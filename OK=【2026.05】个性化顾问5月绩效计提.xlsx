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dia/image2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40" activeTab="1"/>
  </bookViews>
  <sheets>
    <sheet name="汇总" sheetId="1" r:id="rId1"/>
    <sheet name="业绩核算" sheetId="2" r:id="rId2"/>
    <sheet name="签约明细" sheetId="11" r:id="rId3"/>
    <sheet name="退费明细" sheetId="12" r:id="rId4"/>
    <sheet name="5月绩效明细 " sheetId="16" r:id="rId5"/>
    <sheet name="6月绩效目标 " sheetId="14" r:id="rId6"/>
  </sheets>
  <definedNames>
    <definedName name="_xlnm._FilterDatabase" localSheetId="0" hidden="1">汇总!$A$1:$M$11</definedName>
    <definedName name="_xlnm._FilterDatabase" localSheetId="1" hidden="1">业绩核算!$A$3:$BO$7</definedName>
    <definedName name="_xlnm._FilterDatabase" localSheetId="2" hidden="1">签约明细!$A$1:$O$102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<sst xmlns="http://schemas.openxmlformats.org/spreadsheetml/2006/main" count="1334" uniqueCount="439">
  <si>
    <t>序号</t>
  </si>
  <si>
    <t>工号</t>
  </si>
  <si>
    <t>姓名</t>
  </si>
  <si>
    <t>部门</t>
  </si>
  <si>
    <t>岗位</t>
  </si>
  <si>
    <t>薪资项目</t>
  </si>
  <si>
    <t>金额</t>
  </si>
  <si>
    <t>备注</t>
  </si>
  <si>
    <t>说明</t>
  </si>
  <si>
    <t>谭悦</t>
  </si>
  <si>
    <t>考研个性化</t>
  </si>
  <si>
    <t>学习顾问</t>
  </si>
  <si>
    <t>提成奖金</t>
  </si>
  <si>
    <t>兵种</t>
  </si>
  <si>
    <t>薪资名称</t>
  </si>
  <si>
    <t>标化薪资项目请选择</t>
  </si>
  <si>
    <t>转介绍额外激励</t>
  </si>
  <si>
    <t>顾问</t>
  </si>
  <si>
    <t>月绩效</t>
  </si>
  <si>
    <t>月度绩效</t>
  </si>
  <si>
    <t>赵星火</t>
  </si>
  <si>
    <t>业绩提点</t>
  </si>
  <si>
    <t>PK赛激励</t>
  </si>
  <si>
    <t>其他业绩奖金</t>
  </si>
  <si>
    <t>李涛</t>
  </si>
  <si>
    <t>特殊项</t>
  </si>
  <si>
    <t>业绩回算正数</t>
  </si>
  <si>
    <t>往月薪资补发</t>
  </si>
  <si>
    <t>业绩回算负值</t>
  </si>
  <si>
    <t>业绩扣款</t>
  </si>
  <si>
    <t>王志鹏</t>
  </si>
  <si>
    <t>保护期全额</t>
  </si>
  <si>
    <t>手动填写灰色、蓝色单元格，其他含公式，勿动</t>
  </si>
  <si>
    <t>个性化顾问</t>
  </si>
  <si>
    <t>转介绍业绩-30%</t>
  </si>
  <si>
    <t>签约率-40%</t>
  </si>
  <si>
    <t>日常管理-30%</t>
  </si>
  <si>
    <t>基本提成</t>
  </si>
  <si>
    <t>转介绍提成</t>
  </si>
  <si>
    <t>提成奖金小计</t>
  </si>
  <si>
    <t>绩效+提成合计</t>
  </si>
  <si>
    <t>月份</t>
  </si>
  <si>
    <t>职级（下滑选择）</t>
  </si>
  <si>
    <t>转介绍目标</t>
  </si>
  <si>
    <t>转介绍业绩（净）</t>
  </si>
  <si>
    <t>完成率</t>
  </si>
  <si>
    <t>得分</t>
  </si>
  <si>
    <t>目标</t>
  </si>
  <si>
    <t>签约率</t>
  </si>
  <si>
    <t>日常管理扣分次数</t>
  </si>
  <si>
    <t>总得分</t>
  </si>
  <si>
    <t>绩效基数</t>
  </si>
  <si>
    <t>发放比例</t>
  </si>
  <si>
    <t>绩效发放金额小计</t>
  </si>
  <si>
    <t>地面现金目标</t>
  </si>
  <si>
    <t>地面现金签约</t>
  </si>
  <si>
    <t>地面退费</t>
  </si>
  <si>
    <t>地面净现金</t>
  </si>
  <si>
    <t>在线现金目标</t>
  </si>
  <si>
    <t>在线现金签约</t>
  </si>
  <si>
    <t>在线退费</t>
  </si>
  <si>
    <t>在线净现金</t>
  </si>
  <si>
    <r>
      <rPr>
        <b/>
        <sz val="12"/>
        <color rgb="FF000000"/>
        <rFont val="微软雅黑"/>
        <charset val="134"/>
      </rPr>
      <t>总现金完成-</t>
    </r>
    <r>
      <rPr>
        <b/>
        <sz val="12"/>
        <color rgb="FFFF0000"/>
        <rFont val="微软雅黑"/>
        <charset val="134"/>
      </rPr>
      <t>退费后</t>
    </r>
  </si>
  <si>
    <r>
      <rPr>
        <b/>
        <sz val="12"/>
        <color rgb="FF000000"/>
        <rFont val="微软雅黑"/>
        <charset val="134"/>
      </rPr>
      <t>现金完成率-</t>
    </r>
    <r>
      <rPr>
        <b/>
        <sz val="12"/>
        <color rgb="FFFF0000"/>
        <rFont val="微软雅黑"/>
        <charset val="134"/>
      </rPr>
      <t>退费后</t>
    </r>
  </si>
  <si>
    <t>现金完成率-退费前</t>
  </si>
  <si>
    <t>上月退费后业绩完成率</t>
  </si>
  <si>
    <t>奖金提点系数</t>
  </si>
  <si>
    <t>转介绍业绩提成比率</t>
  </si>
  <si>
    <t>O3</t>
  </si>
  <si>
    <t>O2</t>
  </si>
  <si>
    <t>O1</t>
  </si>
  <si>
    <t>培训期
保薪期</t>
  </si>
  <si>
    <t>提点方案</t>
  </si>
  <si>
    <t>职级</t>
  </si>
  <si>
    <t>高提点方案</t>
  </si>
  <si>
    <t>老顾问选择</t>
  </si>
  <si>
    <t>培训期</t>
  </si>
  <si>
    <r>
      <rPr>
        <sz val="10"/>
        <color rgb="FF000000"/>
        <rFont val="微软雅黑"/>
        <charset val="134"/>
      </rPr>
      <t>新顾问</t>
    </r>
    <r>
      <rPr>
        <sz val="10"/>
        <color rgb="FFFF0000"/>
        <rFont val="微软雅黑"/>
        <charset val="134"/>
      </rPr>
      <t>高</t>
    </r>
    <r>
      <rPr>
        <sz val="10"/>
        <color rgb="FF000000"/>
        <rFont val="微软雅黑"/>
        <charset val="134"/>
      </rPr>
      <t>提点方案选择，前三月阶段下标期间，选择此标签，全标后，正常选择【O1】</t>
    </r>
  </si>
  <si>
    <t>低提点方案</t>
  </si>
  <si>
    <r>
      <rPr>
        <sz val="10"/>
        <color rgb="FF000000"/>
        <rFont val="微软雅黑"/>
        <charset val="134"/>
      </rPr>
      <t>新顾问</t>
    </r>
    <r>
      <rPr>
        <sz val="10"/>
        <color rgb="FFFF0000"/>
        <rFont val="微软雅黑"/>
        <charset val="134"/>
      </rPr>
      <t>低</t>
    </r>
    <r>
      <rPr>
        <sz val="10"/>
        <color rgb="FF000000"/>
        <rFont val="微软雅黑"/>
        <charset val="134"/>
      </rPr>
      <t>提点方案选择，前三月阶段下标期间，选择此标签，全标后，正常选择【保薪期】</t>
    </r>
  </si>
  <si>
    <t>保薪期</t>
  </si>
  <si>
    <r>
      <rPr>
        <sz val="10"/>
        <color rgb="FF000000"/>
        <rFont val="微软雅黑"/>
        <charset val="134"/>
      </rPr>
      <t>新顾问</t>
    </r>
    <r>
      <rPr>
        <sz val="10"/>
        <color rgb="FFFF0000"/>
        <rFont val="微软雅黑"/>
        <charset val="134"/>
      </rPr>
      <t>低</t>
    </r>
    <r>
      <rPr>
        <sz val="10"/>
        <color rgb="FF000000"/>
        <rFont val="微软雅黑"/>
        <charset val="134"/>
      </rPr>
      <t>提点方案选择，结束保薪后正常选择【O1】</t>
    </r>
  </si>
  <si>
    <t>日期</t>
  </si>
  <si>
    <t>学员姓名</t>
  </si>
  <si>
    <t>学费</t>
  </si>
  <si>
    <t>学员号</t>
  </si>
  <si>
    <t>包涵</t>
  </si>
  <si>
    <t>国内考试</t>
  </si>
  <si>
    <t>XDF072229135753387</t>
  </si>
  <si>
    <t>新签</t>
  </si>
  <si>
    <t>已交接</t>
  </si>
  <si>
    <t>毛坯数据</t>
  </si>
  <si>
    <t>武子煜</t>
  </si>
  <si>
    <t>BJWY6127303623</t>
  </si>
  <si>
    <t>死单激活谭悦</t>
  </si>
  <si>
    <t>内部员工推荐(大学内部员工推荐)</t>
  </si>
  <si>
    <t>苏梓漪</t>
  </si>
  <si>
    <t>BJWY2920053816</t>
  </si>
  <si>
    <t>小红书KOS</t>
  </si>
  <si>
    <t>张瑞卿</t>
  </si>
  <si>
    <t>BJWY1353388976</t>
  </si>
  <si>
    <t>张会艳</t>
  </si>
  <si>
    <t>新东方员工推荐</t>
  </si>
  <si>
    <t>权有杰</t>
  </si>
  <si>
    <t>BJWY0090690267</t>
  </si>
  <si>
    <t>集团-百度品专</t>
  </si>
  <si>
    <t>石稷韬</t>
  </si>
  <si>
    <t>BJWY8419380371</t>
  </si>
  <si>
    <t>小红书</t>
  </si>
  <si>
    <t>张子悦</t>
  </si>
  <si>
    <t>BJWY9230749165</t>
  </si>
  <si>
    <t>斯特格里</t>
  </si>
  <si>
    <t>BJWY6863533496</t>
  </si>
  <si>
    <t>葛铭</t>
  </si>
  <si>
    <t>续班</t>
  </si>
  <si>
    <t>学管续费推荐</t>
  </si>
  <si>
    <t>李灿</t>
  </si>
  <si>
    <t>BJWY0934899255</t>
  </si>
  <si>
    <t>李亚坤</t>
  </si>
  <si>
    <t>赵予萱</t>
  </si>
  <si>
    <t>BJWY4682292351</t>
  </si>
  <si>
    <t>分单</t>
  </si>
  <si>
    <t>巨量本地推</t>
  </si>
  <si>
    <t>赵子睿</t>
  </si>
  <si>
    <t>BJWY2657109942</t>
  </si>
  <si>
    <t>张乾龙</t>
  </si>
  <si>
    <t>XDF062127195653036</t>
  </si>
  <si>
    <t>新东方PC官网</t>
  </si>
  <si>
    <t>贺子岳</t>
  </si>
  <si>
    <t>BJWY3956726108</t>
  </si>
  <si>
    <t>刘佳林</t>
  </si>
  <si>
    <t>刘婷</t>
  </si>
  <si>
    <t>BJWY9928468300</t>
  </si>
  <si>
    <t>王秋雨</t>
  </si>
  <si>
    <t>王若宇</t>
  </si>
  <si>
    <t>BJWY7758394076</t>
  </si>
  <si>
    <t>王冉</t>
  </si>
  <si>
    <t>BJWY1685349038</t>
  </si>
  <si>
    <t>总部-巨量本地推</t>
  </si>
  <si>
    <t>王大伟</t>
  </si>
  <si>
    <t>BJWY7693462328</t>
  </si>
  <si>
    <t>王天义</t>
  </si>
  <si>
    <t>王若熙</t>
  </si>
  <si>
    <t>BJWY6574639715</t>
  </si>
  <si>
    <t>坦途网</t>
  </si>
  <si>
    <t>仲宇昕</t>
  </si>
  <si>
    <t>BJWY6854548197</t>
  </si>
  <si>
    <t>高梓欣</t>
  </si>
  <si>
    <t>BJWY7812550804</t>
  </si>
  <si>
    <t>老带新系统顾问</t>
  </si>
  <si>
    <t>张乃月</t>
  </si>
  <si>
    <t>张志维+zhangzhiwei19@xdf.cn+ID+培训学校-北京学校-高中一对一部-西南区-海淀东分中心</t>
  </si>
  <si>
    <t>无须交接</t>
  </si>
  <si>
    <t>杨家锐</t>
  </si>
  <si>
    <t>BJWY7405385362</t>
  </si>
  <si>
    <t>张里+zhangli438@xdf.cn+张里438(新东方教育科技集团有限公司-培训学校-华北经济区-北京学校-高中一对一部-西北区-知春路分中心 | 课程顾问)</t>
  </si>
  <si>
    <t>高梓宸</t>
  </si>
  <si>
    <t>BJWY0757953694</t>
  </si>
  <si>
    <t>冯宏韬</t>
  </si>
  <si>
    <t>BJWY1229134270</t>
  </si>
  <si>
    <t>刘蓁蓁</t>
  </si>
  <si>
    <t>BJWY1256011738</t>
  </si>
  <si>
    <t>总部-腾讯广告</t>
  </si>
  <si>
    <t>肖雨涵</t>
  </si>
  <si>
    <t>BJWY9566008760</t>
  </si>
  <si>
    <t>张博岩</t>
  </si>
  <si>
    <t>BJWY3896078049</t>
  </si>
  <si>
    <t>徐岩</t>
  </si>
  <si>
    <t>薛宗齐</t>
  </si>
  <si>
    <t>BJWY9225883231</t>
  </si>
  <si>
    <t>舒志豪</t>
  </si>
  <si>
    <t>周闻汐</t>
  </si>
  <si>
    <t>BJWY6883909264</t>
  </si>
  <si>
    <t>寇颖</t>
  </si>
  <si>
    <t>张添翼</t>
  </si>
  <si>
    <t>BJWY1245358230</t>
  </si>
  <si>
    <t>谭剑波+tanjianbo@xdf.cn+谭剑波(新东方教育科技集团有限公司-产业机构-大学事业部-大学总部-总裁办公室 | 考研资深演讲师)</t>
  </si>
  <si>
    <t>刘天奕</t>
  </si>
  <si>
    <t>BJWY6141363890</t>
  </si>
  <si>
    <t>张议文+344748+zhangyiwen34@xdf.cn+产业机构-前途出国-前途北京公司-美国研究生一部+咨询顾问</t>
  </si>
  <si>
    <t>罗宇航</t>
  </si>
  <si>
    <t>BJWY7777555488</t>
  </si>
  <si>
    <t>黄子琪</t>
  </si>
  <si>
    <t>朱德康</t>
  </si>
  <si>
    <t>BJWY9871261326</t>
  </si>
  <si>
    <t>赵梓新</t>
  </si>
  <si>
    <t>BJWY5247956492</t>
  </si>
  <si>
    <t>陈晶</t>
  </si>
  <si>
    <t>张延飞</t>
  </si>
  <si>
    <t>BJWY1631079977</t>
  </si>
  <si>
    <t>百度投放</t>
  </si>
  <si>
    <t>高瀚诺</t>
  </si>
  <si>
    <t>BJWY4283459719</t>
  </si>
  <si>
    <t>新东方官网小程序</t>
  </si>
  <si>
    <t>杨雨润</t>
  </si>
  <si>
    <t>BJWY5632155495</t>
  </si>
  <si>
    <t>姜可心</t>
  </si>
  <si>
    <t>BJWY4867546315</t>
  </si>
  <si>
    <t>蔡哲</t>
  </si>
  <si>
    <t>BJWY0874092650</t>
  </si>
  <si>
    <t>王子腾</t>
  </si>
  <si>
    <t>BJWY8346078405</t>
  </si>
  <si>
    <t>白珂宇</t>
  </si>
  <si>
    <t>BJWY6424767958</t>
  </si>
  <si>
    <t>王婧</t>
  </si>
  <si>
    <t>浦佳妮</t>
  </si>
  <si>
    <t>BJWY7387955568</t>
  </si>
  <si>
    <t>徐铁</t>
  </si>
  <si>
    <t>李宛泽</t>
  </si>
  <si>
    <t>BJWY4273064883</t>
  </si>
  <si>
    <t>郑雪新</t>
  </si>
  <si>
    <t>薛雯</t>
  </si>
  <si>
    <t>BJWY0626566907</t>
  </si>
  <si>
    <t>勤学网</t>
  </si>
  <si>
    <t>谢守清</t>
  </si>
  <si>
    <t>BJWY5835335329</t>
  </si>
  <si>
    <t>苏乾楠</t>
  </si>
  <si>
    <t>曹润熙</t>
  </si>
  <si>
    <t>BJWY0960633931</t>
  </si>
  <si>
    <t>刘宇正</t>
  </si>
  <si>
    <t>张歆艺</t>
  </si>
  <si>
    <t>BJWY2158176753</t>
  </si>
  <si>
    <t>总部-小红书品专</t>
  </si>
  <si>
    <t>张青</t>
  </si>
  <si>
    <t>BJWY8867690564</t>
  </si>
  <si>
    <t>李颖佳</t>
  </si>
  <si>
    <t>BJWY3221981380</t>
  </si>
  <si>
    <t>大众点评</t>
  </si>
  <si>
    <t>张建瑞</t>
  </si>
  <si>
    <t>BJWY7921612979</t>
  </si>
  <si>
    <t>陈博文</t>
  </si>
  <si>
    <t>BJWY6285912601</t>
  </si>
  <si>
    <t>张明宇</t>
  </si>
  <si>
    <t>BJWY0794782247</t>
  </si>
  <si>
    <t>宋梓瑄</t>
  </si>
  <si>
    <t>BJWY6131514857</t>
  </si>
  <si>
    <t>阿里本地通</t>
  </si>
  <si>
    <t>高翔宇</t>
  </si>
  <si>
    <t>BJWY2830247022</t>
  </si>
  <si>
    <t>孙聃童</t>
  </si>
  <si>
    <t>BJWY4112636775</t>
  </si>
  <si>
    <t>直访</t>
  </si>
  <si>
    <t>汪宇萌</t>
  </si>
  <si>
    <t>宋林晓</t>
  </si>
  <si>
    <t>BJWY7464771787</t>
  </si>
  <si>
    <t>杨同学</t>
  </si>
  <si>
    <t>顾问转介绍-其他(不返现)</t>
  </si>
  <si>
    <t>王奕杰</t>
  </si>
  <si>
    <t>BJWY9026786489</t>
  </si>
  <si>
    <t>李谱贝</t>
  </si>
  <si>
    <t>BJWY9824695116</t>
  </si>
  <si>
    <t>活动社群</t>
  </si>
  <si>
    <t>陈俊霖</t>
  </si>
  <si>
    <t>BJWY7582476740</t>
  </si>
  <si>
    <t>杨欣</t>
  </si>
  <si>
    <t>XDF3140342751</t>
  </si>
  <si>
    <t>张静瑶</t>
  </si>
  <si>
    <t>陈婷+chenting30@xdf.cn+陈婷30(新东方教育科技集团有限公司-培训学校-华北经济区-北京学校-高中一对一部-西北区-知春路分中心 | 课程顾问)</t>
  </si>
  <si>
    <t>孙同学</t>
  </si>
  <si>
    <t>BJWY3479399782</t>
  </si>
  <si>
    <t>姚响</t>
  </si>
  <si>
    <t>BJWY6141650815</t>
  </si>
  <si>
    <t>大客服呼入</t>
  </si>
  <si>
    <t>史胤隆</t>
  </si>
  <si>
    <t>XDF0871001381</t>
  </si>
  <si>
    <t>李玉迪</t>
  </si>
  <si>
    <t>陈亦果</t>
  </si>
  <si>
    <t>BJWY6262236759</t>
  </si>
  <si>
    <t>王闫+wangyan233@xdf.cn+王闫233(新东方教育科技集团有限公司-产业机构-前途出国-前途北京公司-新马港一部-咨询二组 | 咨询顾问)</t>
  </si>
  <si>
    <t>前途推荐</t>
  </si>
  <si>
    <t>白宗翰</t>
  </si>
  <si>
    <t>BJWY9470173972</t>
  </si>
  <si>
    <t>付可涵</t>
  </si>
  <si>
    <t>BJWY9591738919</t>
  </si>
  <si>
    <t>杨御昆</t>
  </si>
  <si>
    <t>王艺霏</t>
  </si>
  <si>
    <t>BJWY6897618700</t>
  </si>
  <si>
    <t>刘晓清</t>
  </si>
  <si>
    <t>李东晨</t>
  </si>
  <si>
    <t>BJWY5413201212</t>
  </si>
  <si>
    <t>孙圣霖</t>
  </si>
  <si>
    <t>BJWY6379218222</t>
  </si>
  <si>
    <t>余博海</t>
  </si>
  <si>
    <t>BJWY8835322956</t>
  </si>
  <si>
    <t>严于律</t>
  </si>
  <si>
    <t>BJWY2511364322</t>
  </si>
  <si>
    <t>云雨欣</t>
  </si>
  <si>
    <t>BJWY6636321659</t>
  </si>
  <si>
    <t>陈猛飞</t>
  </si>
  <si>
    <t>系统管理员</t>
  </si>
  <si>
    <t>明子路</t>
  </si>
  <si>
    <t>BJWY4423573660</t>
  </si>
  <si>
    <t>李诗逸</t>
  </si>
  <si>
    <t>同学</t>
  </si>
  <si>
    <t>孟桓玉</t>
  </si>
  <si>
    <t>BJWY3633922721</t>
  </si>
  <si>
    <t>刘硕</t>
  </si>
  <si>
    <t>BJWY7241754760</t>
  </si>
  <si>
    <t>巨量广告</t>
  </si>
  <si>
    <t>骆雅珞兰</t>
  </si>
  <si>
    <t>BJWY2593539474</t>
  </si>
  <si>
    <t>激活</t>
  </si>
  <si>
    <t>陈贝奇</t>
  </si>
  <si>
    <t>BJWY7229223070</t>
  </si>
  <si>
    <t>陈雨田</t>
  </si>
  <si>
    <t>BJWY4426862891</t>
  </si>
  <si>
    <t>赵晔轩</t>
  </si>
  <si>
    <t>李情希</t>
  </si>
  <si>
    <t>BJWY4896872984</t>
  </si>
  <si>
    <t>李金慧+lijinhui1@xdf.cn+李金慧1(新东方教育科技集团有限公司-产业机构-大学事业部-大学郑州中心-考研项目部-销售管理部 | 学习顾问)</t>
  </si>
  <si>
    <t>戴嘉怡</t>
  </si>
  <si>
    <t>BJWY3125976713</t>
  </si>
  <si>
    <t>总部-百度投放</t>
  </si>
  <si>
    <t>李天时</t>
  </si>
  <si>
    <t>BJWY2870926669</t>
  </si>
  <si>
    <t>腾讯广告</t>
  </si>
  <si>
    <t>刘子湜</t>
  </si>
  <si>
    <t>BJWY3001072971</t>
  </si>
  <si>
    <t>新东方官网APP</t>
  </si>
  <si>
    <t>退费金额</t>
  </si>
  <si>
    <t>WYP27214</t>
  </si>
  <si>
    <t>陈伟钰1</t>
  </si>
  <si>
    <t>BJWY2201F8pC6h</t>
  </si>
  <si>
    <t>WYP27215</t>
  </si>
  <si>
    <t>WYP27213</t>
  </si>
  <si>
    <t>WYE27219</t>
  </si>
  <si>
    <t>吴凯龙</t>
  </si>
  <si>
    <t>BJWY25030q8UPI</t>
  </si>
  <si>
    <t>WYP27207</t>
  </si>
  <si>
    <t>LP1777702061107</t>
  </si>
  <si>
    <t>chenjing171</t>
  </si>
  <si>
    <t>BJWY7734838818</t>
  </si>
  <si>
    <t>蔡智韬</t>
  </si>
  <si>
    <t>WYE27111</t>
  </si>
  <si>
    <t>程远</t>
  </si>
  <si>
    <t>BJWY24032w1g8X</t>
  </si>
  <si>
    <t>WYE27112</t>
  </si>
  <si>
    <t>WYZ27002</t>
  </si>
  <si>
    <t>WYE27108</t>
  </si>
  <si>
    <t>BJWY6023662088</t>
  </si>
  <si>
    <t>董哲语</t>
  </si>
  <si>
    <t>LP17695849251042</t>
  </si>
  <si>
    <t>王天一</t>
  </si>
  <si>
    <t>wangtianyi55</t>
  </si>
  <si>
    <t>BJWY1528223979</t>
  </si>
  <si>
    <r>
      <rPr>
        <sz val="12"/>
        <color rgb="FF222222"/>
        <rFont val="微软雅黑"/>
        <charset val="134"/>
      </rPr>
      <t>程</t>
    </r>
    <r>
      <rPr>
        <sz val="12"/>
        <color rgb="FF222222"/>
        <rFont val="宋体-简"/>
        <charset val="134"/>
      </rPr>
      <t>珺</t>
    </r>
    <r>
      <rPr>
        <sz val="12"/>
        <color rgb="FF222222"/>
        <rFont val="微软雅黑"/>
        <charset val="134"/>
      </rPr>
      <t>晗</t>
    </r>
  </si>
  <si>
    <t>WYP27004</t>
  </si>
  <si>
    <t>段同飞</t>
  </si>
  <si>
    <t>BJWY22035556hl</t>
  </si>
  <si>
    <t>WYP27005</t>
  </si>
  <si>
    <t>WYP27006</t>
  </si>
  <si>
    <t>WYE27026</t>
  </si>
  <si>
    <t>LP17788418391852</t>
  </si>
  <si>
    <t>秦芹芊</t>
  </si>
  <si>
    <t>qinqinqian</t>
  </si>
  <si>
    <t>LP17737194712126</t>
  </si>
  <si>
    <t>geming</t>
  </si>
  <si>
    <t>BJWY4132547819</t>
  </si>
  <si>
    <t>戚沛</t>
  </si>
  <si>
    <t>LP17435013042590</t>
  </si>
  <si>
    <t>WYM27022</t>
  </si>
  <si>
    <t>WYM27024</t>
  </si>
  <si>
    <t>WYM27023</t>
  </si>
  <si>
    <t>WYE27055</t>
  </si>
  <si>
    <t>BJWY6060948795</t>
  </si>
  <si>
    <t>王富伟</t>
  </si>
  <si>
    <t>LP17765678342746</t>
  </si>
  <si>
    <t>LP17737194712125</t>
  </si>
  <si>
    <t>马一鸣</t>
  </si>
  <si>
    <t>mayiming16</t>
  </si>
  <si>
    <t>学员egi5n</t>
  </si>
  <si>
    <t>BJWY1404722327</t>
  </si>
  <si>
    <t>李昕瑶</t>
  </si>
  <si>
    <t>LP17566273494478</t>
  </si>
  <si>
    <t>谢仕为</t>
  </si>
  <si>
    <t>xieshiwei1</t>
  </si>
  <si>
    <t>BJWY7455894214</t>
  </si>
  <si>
    <t>侯童烨</t>
  </si>
  <si>
    <t>LP1774854654394</t>
  </si>
  <si>
    <t>LP1774854654393</t>
  </si>
  <si>
    <t>DLS_3133893142</t>
  </si>
  <si>
    <t>BJWY4293343554</t>
  </si>
  <si>
    <t>代雨鑫</t>
  </si>
  <si>
    <t>LP1769403775379</t>
  </si>
  <si>
    <t>BJWY5305138836</t>
  </si>
  <si>
    <t>郭宸宇</t>
  </si>
  <si>
    <t>LP17632566543722</t>
  </si>
  <si>
    <t>shuzhihao1</t>
  </si>
  <si>
    <t>WYP27103</t>
  </si>
  <si>
    <t>WYP27102</t>
  </si>
  <si>
    <t>WYP27101</t>
  </si>
  <si>
    <t>DLS_1451056855</t>
  </si>
  <si>
    <t>BJWY0892431043</t>
  </si>
  <si>
    <r>
      <rPr>
        <sz val="12"/>
        <color rgb="FF222222"/>
        <rFont val="微软雅黑"/>
        <charset val="134"/>
      </rPr>
      <t>贾</t>
    </r>
    <r>
      <rPr>
        <sz val="12"/>
        <color rgb="FF222222"/>
        <rFont val="宋体-简"/>
        <charset val="134"/>
      </rPr>
      <t>玥</t>
    </r>
    <r>
      <rPr>
        <sz val="12"/>
        <color rgb="FF222222"/>
        <rFont val="微软雅黑"/>
        <charset val="134"/>
      </rPr>
      <t>晗</t>
    </r>
  </si>
  <si>
    <t>KYSJJX2707Z</t>
  </si>
  <si>
    <t>赵秋侠</t>
  </si>
  <si>
    <t>BJWY2306SVFgG7</t>
  </si>
  <si>
    <t>KYSJJXY2705</t>
  </si>
  <si>
    <t>KYSJJXZ2705</t>
  </si>
  <si>
    <t>LP17649259052164</t>
  </si>
  <si>
    <t>WYP27210</t>
  </si>
  <si>
    <t>WYP27212</t>
  </si>
  <si>
    <t>WYP27211</t>
  </si>
  <si>
    <t>转介绍</t>
  </si>
  <si>
    <t>日常管理</t>
  </si>
  <si>
    <t>顾问姓名</t>
  </si>
  <si>
    <t>工单目标</t>
  </si>
  <si>
    <t>工单实际</t>
  </si>
  <si>
    <t>签约目标</t>
  </si>
  <si>
    <t>签约实际</t>
  </si>
  <si>
    <t>占比</t>
  </si>
  <si>
    <t>主动目标</t>
  </si>
  <si>
    <t>主动实际</t>
  </si>
  <si>
    <t>完成情况</t>
  </si>
  <si>
    <t>被动目标</t>
  </si>
  <si>
    <t>被动实际</t>
  </si>
  <si>
    <t>自签占比目标比</t>
  </si>
  <si>
    <t>实际</t>
  </si>
  <si>
    <t>回访时效</t>
  </si>
  <si>
    <t>O3无考核指标</t>
  </si>
  <si>
    <t>完成</t>
  </si>
  <si>
    <t>未完成</t>
  </si>
  <si>
    <t>合格</t>
  </si>
  <si>
    <t>保护期</t>
  </si>
  <si>
    <t>年月</t>
  </si>
  <si>
    <t>绩效考核项</t>
  </si>
  <si>
    <t>1.签约业绩</t>
  </si>
  <si>
    <t>2.主被动转化率</t>
  </si>
  <si>
    <t>3.老带新工单/人头/金额</t>
  </si>
  <si>
    <t>4.项目自签占比</t>
  </si>
  <si>
    <t>5.回访时效</t>
  </si>
  <si>
    <t>主动25%、被动10%</t>
  </si>
  <si>
    <t>工单3/人头2/金额6</t>
  </si>
  <si>
    <t>不低于中心75分位值</t>
  </si>
  <si>
    <t>工单3/人头1/金额1.5</t>
  </si>
  <si>
    <t>主动20%、被动10%</t>
  </si>
  <si>
    <t>工单3/人头1/金额3</t>
  </si>
  <si>
    <t>占比40%</t>
  </si>
  <si>
    <t>占比30%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</si>
</sst>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_);[Red]\(0.0\)"/>
    <numFmt numFmtId="178" formatCode="0.00_);[Red]\(0.00\)"/>
    <numFmt numFmtId="179" formatCode="0.0%"/>
    <numFmt numFmtId="180" formatCode="0.00_ "/>
    <numFmt numFmtId="181" formatCode="0.0_ "/>
  </numFmts>
  <fonts count="47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rgb="FFFFFFFF"/>
      <name val="微软雅黑"/>
      <charset val="134"/>
    </font>
    <font>
      <sz val="11"/>
      <name val="微软雅黑"/>
      <charset val="134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sz val="12"/>
      <color rgb="FF222222"/>
      <name val="微软雅黑"/>
      <charset val="134"/>
    </font>
    <font>
      <sz val="12"/>
      <color theme="0"/>
      <name val="等线"/>
      <charset val="134"/>
      <scheme val="minor"/>
    </font>
    <font>
      <sz val="12"/>
      <color rgb="FF000000"/>
      <name val="宋体"/>
      <charset val="134"/>
    </font>
    <font>
      <b/>
      <sz val="14"/>
      <color rgb="FF002060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等线"/>
      <charset val="134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b/>
      <sz val="10"/>
      <color rgb="FF000000"/>
      <name val="微软雅黑"/>
      <charset val="134"/>
    </font>
    <font>
      <sz val="11"/>
      <color rgb="FF000000"/>
      <name val="等线"/>
      <charset val="134"/>
    </font>
    <font>
      <b/>
      <sz val="14"/>
      <color rgb="FFFF0000"/>
      <name val="微软雅黑"/>
      <charset val="134"/>
    </font>
    <font>
      <b/>
      <sz val="12"/>
      <color rgb="FFFF0000"/>
      <name val="微软雅黑"/>
      <charset val="134"/>
    </font>
    <font>
      <b/>
      <sz val="14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222222"/>
      <name val="宋体-简"/>
      <charset val="134"/>
    </font>
  </fonts>
  <fills count="55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247058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6F9FF"/>
        <bgColor indexed="64"/>
      </patternFill>
    </fill>
    <fill>
      <patternFill patternType="solid">
        <fgColor rgb="FFFEF6E9"/>
        <bgColor indexed="64"/>
      </patternFill>
    </fill>
    <fill>
      <patternFill patternType="solid">
        <fgColor rgb="FFFCF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25" borderId="10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6" borderId="13" applyNumberFormat="0" applyAlignment="0" applyProtection="0">
      <alignment vertical="center"/>
    </xf>
    <xf numFmtId="0" fontId="36" fillId="27" borderId="14" applyNumberFormat="0" applyAlignment="0" applyProtection="0">
      <alignment vertical="center"/>
    </xf>
    <xf numFmtId="0" fontId="37" fillId="27" borderId="13" applyNumberFormat="0" applyAlignment="0" applyProtection="0">
      <alignment vertical="center"/>
    </xf>
    <xf numFmtId="0" fontId="38" fillId="28" borderId="15" applyNumberFormat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9" fontId="3" fillId="0" borderId="1" xfId="0" applyNumberFormat="1" applyFont="1" applyBorder="1" applyAlignment="1" applyProtection="1">
      <alignment horizontal="center" vertical="center"/>
    </xf>
    <xf numFmtId="0" fontId="6" fillId="3" borderId="3" xfId="0" applyFont="1" applyFill="1" applyBorder="1" applyAlignment="1" applyProtection="1">
      <alignment horizontal="center" vertical="center"/>
    </xf>
    <xf numFmtId="9" fontId="6" fillId="3" borderId="3" xfId="0" applyNumberFormat="1" applyFont="1" applyFill="1" applyBorder="1" applyAlignment="1" applyProtection="1">
      <alignment horizontal="center" vertical="center"/>
    </xf>
    <xf numFmtId="0" fontId="7" fillId="4" borderId="4" xfId="0" applyFont="1" applyFill="1" applyBorder="1" applyAlignment="1" applyProtection="1">
      <alignment horizontal="center" vertical="center"/>
    </xf>
    <xf numFmtId="0" fontId="7" fillId="4" borderId="5" xfId="0" applyFont="1" applyFill="1" applyBorder="1" applyAlignment="1" applyProtection="1">
      <alignment horizontal="center" vertical="center"/>
    </xf>
    <xf numFmtId="0" fontId="7" fillId="4" borderId="2" xfId="0" applyFont="1" applyFill="1" applyBorder="1" applyAlignment="1" applyProtection="1">
      <alignment horizontal="center" vertical="center"/>
    </xf>
    <xf numFmtId="0" fontId="7" fillId="4" borderId="1" xfId="0" applyFont="1" applyFill="1" applyBorder="1" applyAlignment="1" applyProtection="1">
      <alignment horizontal="center" vertical="center"/>
    </xf>
    <xf numFmtId="176" fontId="7" fillId="4" borderId="1" xfId="0" applyNumberFormat="1" applyFont="1" applyFill="1" applyBorder="1" applyAlignment="1" applyProtection="1">
      <alignment horizontal="center" vertical="center"/>
    </xf>
    <xf numFmtId="176" fontId="5" fillId="0" borderId="1" xfId="0" applyNumberFormat="1" applyFont="1" applyBorder="1" applyAlignment="1" applyProtection="1">
      <alignment horizontal="center" vertical="center"/>
    </xf>
    <xf numFmtId="9" fontId="8" fillId="0" borderId="1" xfId="0" applyNumberFormat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center" vertical="center"/>
    </xf>
    <xf numFmtId="177" fontId="7" fillId="4" borderId="1" xfId="0" applyNumberFormat="1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</xf>
    <xf numFmtId="0" fontId="7" fillId="5" borderId="1" xfId="0" applyFont="1" applyFill="1" applyBorder="1" applyAlignment="1" applyProtection="1">
      <alignment horizontal="center" vertical="center"/>
    </xf>
    <xf numFmtId="178" fontId="8" fillId="0" borderId="1" xfId="0" applyNumberFormat="1" applyFont="1" applyFill="1" applyBorder="1" applyAlignment="1" applyProtection="1">
      <alignment horizontal="center" vertical="center"/>
    </xf>
    <xf numFmtId="9" fontId="5" fillId="0" borderId="1" xfId="0" applyNumberFormat="1" applyFont="1" applyBorder="1" applyAlignment="1" applyProtection="1">
      <alignment horizontal="center" vertical="center"/>
    </xf>
    <xf numFmtId="179" fontId="5" fillId="0" borderId="1" xfId="0" applyNumberFormat="1" applyFont="1" applyBorder="1" applyAlignment="1" applyProtection="1">
      <alignment horizontal="center" vertical="center"/>
    </xf>
    <xf numFmtId="0" fontId="4" fillId="6" borderId="1" xfId="0" applyFont="1" applyFill="1" applyBorder="1" applyAlignment="1" applyProtection="1">
      <alignment horizontal="center" vertical="center"/>
    </xf>
    <xf numFmtId="0" fontId="7" fillId="6" borderId="1" xfId="0" applyFont="1" applyFill="1" applyBorder="1" applyAlignment="1" applyProtection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22" fontId="11" fillId="0" borderId="6" xfId="0" applyNumberFormat="1" applyFont="1" applyFill="1" applyBorder="1" applyAlignment="1">
      <alignment horizontal="center" vertical="center"/>
    </xf>
    <xf numFmtId="0" fontId="12" fillId="7" borderId="0" xfId="0" applyFont="1" applyFill="1">
      <alignment vertical="center"/>
    </xf>
    <xf numFmtId="0" fontId="9" fillId="0" borderId="6" xfId="0" applyFont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9" fillId="12" borderId="6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11" borderId="7" xfId="0" applyFont="1" applyFill="1" applyBorder="1" applyAlignment="1" applyProtection="1">
      <alignment horizontal="center" vertical="center"/>
    </xf>
    <xf numFmtId="0" fontId="15" fillId="11" borderId="7" xfId="0" applyFont="1" applyFill="1" applyBorder="1" applyAlignment="1" applyProtection="1">
      <alignment horizontal="center" vertical="center" wrapText="1"/>
    </xf>
    <xf numFmtId="0" fontId="16" fillId="11" borderId="7" xfId="0" applyFont="1" applyFill="1" applyBorder="1" applyAlignment="1" applyProtection="1">
      <alignment horizontal="center" vertical="center"/>
    </xf>
    <xf numFmtId="0" fontId="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8" fillId="13" borderId="0" xfId="0" applyFont="1" applyFill="1" applyBorder="1" applyAlignment="1" applyProtection="1">
      <alignment horizontal="center" vertical="center"/>
    </xf>
    <xf numFmtId="0" fontId="14" fillId="14" borderId="6" xfId="0" applyFont="1" applyFill="1" applyBorder="1" applyAlignment="1" applyProtection="1">
      <alignment horizontal="center" vertical="center"/>
    </xf>
    <xf numFmtId="0" fontId="15" fillId="14" borderId="6" xfId="0" applyFont="1" applyFill="1" applyBorder="1" applyAlignment="1" applyProtection="1">
      <alignment horizontal="center" vertical="center" wrapText="1"/>
    </xf>
    <xf numFmtId="0" fontId="16" fillId="15" borderId="6" xfId="0" applyFont="1" applyFill="1" applyBorder="1" applyAlignment="1" applyProtection="1">
      <alignment horizontal="center" vertical="center"/>
    </xf>
    <xf numFmtId="0" fontId="16" fillId="16" borderId="6" xfId="0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vertical="center"/>
    </xf>
    <xf numFmtId="0" fontId="19" fillId="13" borderId="6" xfId="0" applyFont="1" applyFill="1" applyBorder="1" applyAlignment="1">
      <alignment horizontal="center" vertical="center"/>
    </xf>
    <xf numFmtId="0" fontId="20" fillId="0" borderId="6" xfId="0" applyFont="1" applyBorder="1" applyAlignment="1" applyProtection="1">
      <alignment horizontal="center" vertical="center"/>
    </xf>
    <xf numFmtId="0" fontId="20" fillId="17" borderId="6" xfId="0" applyFont="1" applyFill="1" applyBorder="1" applyAlignment="1" applyProtection="1">
      <alignment horizontal="center" vertical="center"/>
    </xf>
    <xf numFmtId="0" fontId="3" fillId="17" borderId="6" xfId="0" applyFont="1" applyFill="1" applyBorder="1" applyAlignment="1" applyProtection="1">
      <alignment vertical="center"/>
    </xf>
    <xf numFmtId="0" fontId="20" fillId="0" borderId="6" xfId="0" applyFont="1" applyBorder="1" applyAlignment="1">
      <alignment horizontal="center" vertical="center"/>
    </xf>
    <xf numFmtId="0" fontId="20" fillId="18" borderId="6" xfId="0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vertical="center"/>
    </xf>
    <xf numFmtId="0" fontId="20" fillId="19" borderId="6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vertical="center"/>
    </xf>
    <xf numFmtId="0" fontId="20" fillId="20" borderId="6" xfId="0" applyFont="1" applyFill="1" applyBorder="1" applyAlignment="1" applyProtection="1">
      <alignment horizontal="center" vertical="center"/>
    </xf>
    <xf numFmtId="0" fontId="3" fillId="20" borderId="6" xfId="0" applyFont="1" applyFill="1" applyBorder="1" applyAlignment="1" applyProtection="1">
      <alignment vertical="center"/>
    </xf>
    <xf numFmtId="0" fontId="20" fillId="21" borderId="6" xfId="0" applyFont="1" applyFill="1" applyBorder="1" applyAlignment="1" applyProtection="1">
      <alignment horizontal="center" vertical="center" wrapText="1"/>
    </xf>
    <xf numFmtId="0" fontId="3" fillId="21" borderId="6" xfId="0" applyFont="1" applyFill="1" applyBorder="1" applyAlignment="1" applyProtection="1">
      <alignment vertical="center"/>
    </xf>
    <xf numFmtId="0" fontId="20" fillId="22" borderId="6" xfId="0" applyFont="1" applyFill="1" applyBorder="1" applyAlignment="1" applyProtection="1">
      <alignment horizontal="center" vertical="center"/>
    </xf>
    <xf numFmtId="0" fontId="3" fillId="22" borderId="6" xfId="0" applyFont="1" applyFill="1" applyBorder="1" applyAlignment="1" applyProtection="1">
      <alignment vertical="center"/>
    </xf>
    <xf numFmtId="0" fontId="21" fillId="0" borderId="0" xfId="0" applyFont="1" applyAlignment="1">
      <alignment horizontal="center" vertical="center"/>
    </xf>
    <xf numFmtId="9" fontId="15" fillId="14" borderId="6" xfId="0" applyNumberFormat="1" applyFont="1" applyFill="1" applyBorder="1" applyAlignment="1" applyProtection="1">
      <alignment horizontal="center" vertical="center" wrapText="1"/>
    </xf>
    <xf numFmtId="180" fontId="16" fillId="16" borderId="6" xfId="0" applyNumberFormat="1" applyFont="1" applyFill="1" applyBorder="1" applyAlignment="1" applyProtection="1">
      <alignment horizontal="center" vertical="center"/>
    </xf>
    <xf numFmtId="9" fontId="16" fillId="14" borderId="6" xfId="0" applyNumberFormat="1" applyFont="1" applyFill="1" applyBorder="1" applyAlignment="1" applyProtection="1">
      <alignment horizontal="center" vertical="center"/>
    </xf>
    <xf numFmtId="0" fontId="15" fillId="14" borderId="6" xfId="0" applyFont="1" applyFill="1" applyBorder="1" applyAlignment="1" applyProtection="1">
      <alignment horizontal="center" vertical="center"/>
    </xf>
    <xf numFmtId="9" fontId="16" fillId="16" borderId="6" xfId="0" applyNumberFormat="1" applyFont="1" applyFill="1" applyBorder="1" applyAlignment="1" applyProtection="1">
      <alignment horizontal="center" vertical="center"/>
    </xf>
    <xf numFmtId="176" fontId="5" fillId="0" borderId="0" xfId="0" applyNumberFormat="1" applyFont="1" applyAlignment="1">
      <alignment vertical="center"/>
    </xf>
    <xf numFmtId="176" fontId="15" fillId="14" borderId="6" xfId="0" applyNumberFormat="1" applyFont="1" applyFill="1" applyBorder="1" applyAlignment="1" applyProtection="1">
      <alignment horizontal="center" vertical="center" wrapText="1"/>
    </xf>
    <xf numFmtId="176" fontId="15" fillId="14" borderId="6" xfId="0" applyNumberFormat="1" applyFont="1" applyFill="1" applyBorder="1" applyAlignment="1" applyProtection="1">
      <alignment horizontal="center" vertical="center"/>
    </xf>
    <xf numFmtId="0" fontId="22" fillId="14" borderId="6" xfId="0" applyFont="1" applyFill="1" applyBorder="1" applyAlignment="1" applyProtection="1">
      <alignment horizontal="center" vertical="center"/>
    </xf>
    <xf numFmtId="0" fontId="16" fillId="14" borderId="6" xfId="0" applyFont="1" applyFill="1" applyBorder="1" applyAlignment="1" applyProtection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0" fontId="15" fillId="14" borderId="6" xfId="0" applyNumberFormat="1" applyFont="1" applyFill="1" applyBorder="1" applyAlignment="1" applyProtection="1">
      <alignment horizontal="center" vertical="center" wrapText="1"/>
    </xf>
    <xf numFmtId="179" fontId="16" fillId="16" borderId="6" xfId="0" applyNumberFormat="1" applyFont="1" applyFill="1" applyBorder="1" applyAlignment="1" applyProtection="1">
      <alignment horizontal="center" vertical="center"/>
    </xf>
    <xf numFmtId="10" fontId="5" fillId="0" borderId="0" xfId="0" applyNumberFormat="1" applyFont="1" applyAlignment="1">
      <alignment vertical="center"/>
    </xf>
    <xf numFmtId="10" fontId="17" fillId="0" borderId="0" xfId="0" applyNumberFormat="1" applyFont="1" applyAlignment="1">
      <alignment vertical="center"/>
    </xf>
    <xf numFmtId="178" fontId="21" fillId="0" borderId="0" xfId="0" applyNumberFormat="1" applyFont="1" applyAlignment="1">
      <alignment horizontal="center" vertical="center"/>
    </xf>
    <xf numFmtId="178" fontId="22" fillId="14" borderId="6" xfId="0" applyNumberFormat="1" applyFont="1" applyFill="1" applyBorder="1" applyAlignment="1" applyProtection="1">
      <alignment horizontal="center" vertical="center"/>
    </xf>
    <xf numFmtId="0" fontId="23" fillId="14" borderId="6" xfId="0" applyFont="1" applyFill="1" applyBorder="1" applyAlignment="1" applyProtection="1">
      <alignment horizontal="center" vertical="center" wrapText="1"/>
    </xf>
    <xf numFmtId="178" fontId="23" fillId="14" borderId="6" xfId="0" applyNumberFormat="1" applyFont="1" applyFill="1" applyBorder="1" applyAlignment="1" applyProtection="1">
      <alignment horizontal="center" vertical="center" wrapText="1"/>
    </xf>
    <xf numFmtId="10" fontId="16" fillId="14" borderId="6" xfId="0" applyNumberFormat="1" applyFont="1" applyFill="1" applyBorder="1" applyAlignment="1" applyProtection="1">
      <alignment horizontal="center" vertical="center"/>
    </xf>
    <xf numFmtId="181" fontId="15" fillId="14" borderId="6" xfId="0" applyNumberFormat="1" applyFont="1" applyFill="1" applyBorder="1" applyAlignment="1" applyProtection="1">
      <alignment horizontal="center" vertical="center"/>
    </xf>
    <xf numFmtId="178" fontId="16" fillId="14" borderId="6" xfId="0" applyNumberFormat="1" applyFont="1" applyFill="1" applyBorder="1" applyAlignment="1" applyProtection="1">
      <alignment horizontal="center" vertical="center"/>
    </xf>
    <xf numFmtId="178" fontId="5" fillId="0" borderId="0" xfId="0" applyNumberFormat="1" applyFont="1" applyAlignment="1">
      <alignment vertical="center"/>
    </xf>
    <xf numFmtId="178" fontId="17" fillId="0" borderId="0" xfId="0" applyNumberFormat="1" applyFont="1" applyAlignment="1">
      <alignment vertical="center"/>
    </xf>
    <xf numFmtId="178" fontId="24" fillId="23" borderId="6" xfId="0" applyNumberFormat="1" applyFont="1" applyFill="1" applyBorder="1" applyAlignment="1" applyProtection="1">
      <alignment horizontal="center" vertical="center"/>
    </xf>
    <xf numFmtId="181" fontId="25" fillId="23" borderId="6" xfId="0" applyNumberFormat="1" applyFont="1" applyFill="1" applyBorder="1" applyAlignment="1">
      <alignment horizontal="center" vertical="center"/>
    </xf>
    <xf numFmtId="0" fontId="20" fillId="15" borderId="6" xfId="0" applyFont="1" applyFill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176" fontId="3" fillId="0" borderId="6" xfId="0" applyNumberFormat="1" applyFont="1" applyBorder="1" applyAlignment="1" applyProtection="1">
      <alignment horizontal="center" vertical="center"/>
    </xf>
    <xf numFmtId="0" fontId="3" fillId="11" borderId="6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center" vertical="center"/>
    </xf>
    <xf numFmtId="178" fontId="20" fillId="15" borderId="6" xfId="0" applyNumberFormat="1" applyFont="1" applyFill="1" applyBorder="1" applyAlignment="1" applyProtection="1">
      <alignment horizontal="center" vertical="center"/>
    </xf>
    <xf numFmtId="0" fontId="3" fillId="17" borderId="6" xfId="0" applyFont="1" applyFill="1" applyBorder="1" applyAlignment="1" applyProtection="1">
      <alignment horizontal="center" vertical="center"/>
    </xf>
    <xf numFmtId="177" fontId="3" fillId="0" borderId="6" xfId="0" applyNumberFormat="1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/>
    </xf>
    <xf numFmtId="177" fontId="5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>
      <alignment vertical="center"/>
    </xf>
    <xf numFmtId="0" fontId="13" fillId="0" borderId="0" xfId="0" applyFont="1">
      <alignment vertical="center"/>
    </xf>
    <xf numFmtId="0" fontId="3" fillId="1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0" fillId="24" borderId="1" xfId="0" applyFont="1" applyFill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center"/>
    </xf>
    <xf numFmtId="0" fontId="3" fillId="0" borderId="9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3" fillId="24" borderId="8" xfId="0" applyFont="1" applyFill="1" applyBorder="1" applyAlignment="1" applyProtection="1">
      <alignment horizontal="center" vertical="center"/>
    </xf>
    <xf numFmtId="0" fontId="3" fillId="0" borderId="1" xfId="0" applyFont="1" applyBorder="1" applyProtection="1">
      <alignment vertical="center"/>
    </xf>
    <xf numFmtId="0" fontId="3" fillId="24" borderId="3" xfId="0" applyFont="1" applyFill="1" applyBorder="1" applyAlignment="1" applyProtection="1">
      <alignment horizontal="center" vertical="center"/>
    </xf>
    <xf numFmtId="0" fontId="20" fillId="13" borderId="1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152400</xdr:colOff>
      <xdr:row>0</xdr:row>
      <xdr:rowOff>177800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52400" cy="17780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4097" name="Host Control 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0"/>
              <a:ext cx="0" cy="22352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152400</xdr:colOff>
      <xdr:row>0</xdr:row>
      <xdr:rowOff>177800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52400" cy="17780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5121" name="Host Control 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0"/>
              <a:ext cx="0" cy="22352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0</xdr:col>
      <xdr:colOff>152400</xdr:colOff>
      <xdr:row>0</xdr:row>
      <xdr:rowOff>177800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52400" cy="17780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1</xdr:row>
          <xdr:rowOff>0</xdr:rowOff>
        </xdr:to>
        <xdr:sp>
          <xdr:nvSpPr>
            <xdr:cNvPr id="5122" name="Host Control 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0" y="0"/>
              <a:ext cx="0" cy="22352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387350</xdr:colOff>
      <xdr:row>58</xdr:row>
      <xdr:rowOff>57785</xdr:rowOff>
    </xdr:from>
    <xdr:to>
      <xdr:col>24</xdr:col>
      <xdr:colOff>572770</xdr:colOff>
      <xdr:row>75</xdr:row>
      <xdr:rowOff>31115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7350" y="12432665"/>
          <a:ext cx="18288000" cy="360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436245</xdr:colOff>
      <xdr:row>41</xdr:row>
      <xdr:rowOff>181610</xdr:rowOff>
    </xdr:from>
    <xdr:to>
      <xdr:col>31</xdr:col>
      <xdr:colOff>647065</xdr:colOff>
      <xdr:row>56</xdr:row>
      <xdr:rowOff>200660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6245" y="8929370"/>
          <a:ext cx="23202900" cy="3219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542925</xdr:colOff>
      <xdr:row>26</xdr:row>
      <xdr:rowOff>26035</xdr:rowOff>
    </xdr:from>
    <xdr:to>
      <xdr:col>32</xdr:col>
      <xdr:colOff>150495</xdr:colOff>
      <xdr:row>40</xdr:row>
      <xdr:rowOff>182245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2925" y="5573395"/>
          <a:ext cx="23298150" cy="3143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605790</xdr:colOff>
      <xdr:row>9</xdr:row>
      <xdr:rowOff>133985</xdr:rowOff>
    </xdr:from>
    <xdr:to>
      <xdr:col>32</xdr:col>
      <xdr:colOff>80010</xdr:colOff>
      <xdr:row>24</xdr:row>
      <xdr:rowOff>210185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05790" y="2054225"/>
          <a:ext cx="23164800" cy="3276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619125</xdr:colOff>
      <xdr:row>9</xdr:row>
      <xdr:rowOff>133985</xdr:rowOff>
    </xdr:from>
    <xdr:to>
      <xdr:col>17</xdr:col>
      <xdr:colOff>123825</xdr:colOff>
      <xdr:row>21</xdr:row>
      <xdr:rowOff>202565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2054225"/>
          <a:ext cx="15278100" cy="2628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control" Target="../activeX/activeX3.xml"/><Relationship Id="rId3" Type="http://schemas.openxmlformats.org/officeDocument/2006/relationships/control" Target="../activeX/activeX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outlinePr summaryBelow="0" summaryRight="0"/>
  </sheetPr>
  <dimension ref="A1:M12"/>
  <sheetViews>
    <sheetView showGridLines="0" workbookViewId="0">
      <selection activeCell="G10" sqref="G10"/>
    </sheetView>
  </sheetViews>
  <sheetFormatPr defaultColWidth="9.16666666666667" defaultRowHeight="16.8" customHeight="1"/>
  <cols>
    <col min="1" max="1" width="5.66666666666667" style="1" customWidth="1"/>
    <col min="2" max="2" width="9.83333333333333" style="1" customWidth="1"/>
    <col min="3" max="3" width="8.33333333333333" style="1" customWidth="1"/>
    <col min="4" max="4" width="11.6666666666667" style="1" customWidth="1"/>
    <col min="5" max="5" width="9.5" style="1" customWidth="1"/>
    <col min="6" max="6" width="16" style="1" customWidth="1"/>
    <col min="7" max="7" width="11.8333333333333" style="1" customWidth="1"/>
    <col min="8" max="8" width="41" style="1" customWidth="1"/>
    <col min="12" max="12" width="16" style="1" customWidth="1"/>
    <col min="13" max="13" width="20.1666666666667" style="1" customWidth="1"/>
  </cols>
  <sheetData>
    <row r="1" customHeight="1" spans="1:13">
      <c r="A1" s="96" t="s">
        <v>0</v>
      </c>
      <c r="B1" s="96" t="s">
        <v>1</v>
      </c>
      <c r="C1" s="96" t="s">
        <v>2</v>
      </c>
      <c r="D1" s="96" t="s">
        <v>3</v>
      </c>
      <c r="E1" s="96" t="s">
        <v>4</v>
      </c>
      <c r="F1" s="96" t="s">
        <v>5</v>
      </c>
      <c r="G1" s="101" t="s">
        <v>6</v>
      </c>
      <c r="H1" s="96" t="s">
        <v>7</v>
      </c>
      <c r="I1" s="107"/>
      <c r="J1" s="107"/>
      <c r="K1" s="108" t="s">
        <v>8</v>
      </c>
      <c r="L1" s="109"/>
      <c r="M1" s="109"/>
    </row>
    <row r="2" customHeight="1" spans="1:13">
      <c r="A2" s="97">
        <v>1</v>
      </c>
      <c r="B2" s="98">
        <v>341422</v>
      </c>
      <c r="C2" s="99" t="s">
        <v>9</v>
      </c>
      <c r="D2" s="97" t="s">
        <v>10</v>
      </c>
      <c r="E2" s="97" t="s">
        <v>11</v>
      </c>
      <c r="F2" s="102" t="s">
        <v>12</v>
      </c>
      <c r="G2" s="103">
        <f>业绩核算!AD4</f>
        <v>61282.8205</v>
      </c>
      <c r="H2" s="97"/>
      <c r="I2" s="107"/>
      <c r="J2" s="107"/>
      <c r="K2" s="110" t="s">
        <v>13</v>
      </c>
      <c r="L2" s="110" t="s">
        <v>14</v>
      </c>
      <c r="M2" s="118" t="s">
        <v>15</v>
      </c>
    </row>
    <row r="3" customHeight="1" spans="1:13">
      <c r="A3" s="97">
        <v>2</v>
      </c>
      <c r="B3" s="98">
        <v>341422</v>
      </c>
      <c r="C3" s="99" t="s">
        <v>9</v>
      </c>
      <c r="D3" s="97" t="s">
        <v>10</v>
      </c>
      <c r="E3" s="97" t="s">
        <v>11</v>
      </c>
      <c r="F3" s="97" t="s">
        <v>16</v>
      </c>
      <c r="G3" s="103">
        <f>业绩核算!AF4</f>
        <v>576.1584</v>
      </c>
      <c r="H3" s="97"/>
      <c r="I3" s="107"/>
      <c r="J3" s="107"/>
      <c r="K3" s="111" t="s">
        <v>17</v>
      </c>
      <c r="L3" s="112" t="s">
        <v>18</v>
      </c>
      <c r="M3" s="112" t="s">
        <v>19</v>
      </c>
    </row>
    <row r="4" customHeight="1" spans="1:13">
      <c r="A4" s="97">
        <v>3</v>
      </c>
      <c r="B4" s="98">
        <v>238256</v>
      </c>
      <c r="C4" s="99" t="s">
        <v>20</v>
      </c>
      <c r="D4" s="97" t="s">
        <v>10</v>
      </c>
      <c r="E4" s="97" t="s">
        <v>11</v>
      </c>
      <c r="F4" s="97" t="s">
        <v>19</v>
      </c>
      <c r="G4" s="103">
        <f>业绩核算!P5</f>
        <v>906</v>
      </c>
      <c r="H4" s="104"/>
      <c r="I4" s="107"/>
      <c r="J4" s="107"/>
      <c r="K4" s="113"/>
      <c r="L4" s="112" t="s">
        <v>21</v>
      </c>
      <c r="M4" s="112" t="s">
        <v>12</v>
      </c>
    </row>
    <row r="5" customHeight="1" spans="1:13">
      <c r="A5" s="97">
        <v>4</v>
      </c>
      <c r="B5" s="98">
        <v>238256</v>
      </c>
      <c r="C5" s="99" t="s">
        <v>20</v>
      </c>
      <c r="D5" s="97" t="s">
        <v>10</v>
      </c>
      <c r="E5" s="97" t="s">
        <v>11</v>
      </c>
      <c r="F5" s="97" t="s">
        <v>12</v>
      </c>
      <c r="G5" s="103">
        <f>业绩核算!AD5</f>
        <v>36796.97</v>
      </c>
      <c r="H5" s="97"/>
      <c r="I5" s="107"/>
      <c r="J5" s="107"/>
      <c r="K5" s="113"/>
      <c r="L5" s="112" t="s">
        <v>16</v>
      </c>
      <c r="M5" s="112" t="s">
        <v>12</v>
      </c>
    </row>
    <row r="6" customHeight="1" spans="1:13">
      <c r="A6" s="97">
        <v>5</v>
      </c>
      <c r="B6" s="98">
        <v>238256</v>
      </c>
      <c r="C6" s="99" t="s">
        <v>20</v>
      </c>
      <c r="D6" s="97" t="s">
        <v>10</v>
      </c>
      <c r="E6" s="97" t="s">
        <v>11</v>
      </c>
      <c r="F6" s="97" t="s">
        <v>16</v>
      </c>
      <c r="G6" s="105">
        <f>业绩核算!AF5</f>
        <v>190.1816</v>
      </c>
      <c r="H6" s="100"/>
      <c r="I6" s="107"/>
      <c r="J6" s="107"/>
      <c r="K6" s="114"/>
      <c r="L6" s="112" t="s">
        <v>22</v>
      </c>
      <c r="M6" s="112" t="s">
        <v>23</v>
      </c>
    </row>
    <row r="7" customHeight="1" spans="1:13">
      <c r="A7" s="97">
        <v>6</v>
      </c>
      <c r="B7" s="98">
        <v>404905</v>
      </c>
      <c r="C7" s="99" t="s">
        <v>24</v>
      </c>
      <c r="D7" s="97" t="s">
        <v>10</v>
      </c>
      <c r="E7" s="97" t="s">
        <v>11</v>
      </c>
      <c r="F7" s="97" t="s">
        <v>19</v>
      </c>
      <c r="G7" s="103">
        <f>业绩核算!P6</f>
        <v>0</v>
      </c>
      <c r="H7" s="104"/>
      <c r="I7" s="107"/>
      <c r="J7" s="107"/>
      <c r="K7" s="115" t="s">
        <v>25</v>
      </c>
      <c r="L7" s="116" t="s">
        <v>26</v>
      </c>
      <c r="M7" s="116" t="s">
        <v>27</v>
      </c>
    </row>
    <row r="8" customHeight="1" spans="1:13">
      <c r="A8" s="97">
        <v>7</v>
      </c>
      <c r="B8" s="98">
        <v>404905</v>
      </c>
      <c r="C8" s="99" t="s">
        <v>24</v>
      </c>
      <c r="D8" s="97" t="s">
        <v>10</v>
      </c>
      <c r="E8" s="97" t="s">
        <v>11</v>
      </c>
      <c r="F8" s="97" t="s">
        <v>12</v>
      </c>
      <c r="G8" s="103">
        <f>业绩核算!AD6</f>
        <v>35032.62</v>
      </c>
      <c r="H8" s="97"/>
      <c r="I8" s="1"/>
      <c r="J8" s="1"/>
      <c r="K8" s="117"/>
      <c r="L8" s="116" t="s">
        <v>28</v>
      </c>
      <c r="M8" s="116" t="s">
        <v>29</v>
      </c>
    </row>
    <row r="9" customHeight="1" spans="1:11">
      <c r="A9" s="97">
        <v>8</v>
      </c>
      <c r="B9" s="98">
        <v>404905</v>
      </c>
      <c r="C9" s="99" t="s">
        <v>24</v>
      </c>
      <c r="D9" s="97" t="s">
        <v>10</v>
      </c>
      <c r="E9" s="97" t="s">
        <v>11</v>
      </c>
      <c r="F9" s="97" t="s">
        <v>16</v>
      </c>
      <c r="G9" s="105">
        <f>业绩核算!AF6</f>
        <v>0</v>
      </c>
      <c r="H9" s="106"/>
      <c r="I9" s="1"/>
      <c r="J9" s="1"/>
      <c r="K9" s="1"/>
    </row>
    <row r="10" customHeight="1" spans="1:11">
      <c r="A10" s="97">
        <v>9</v>
      </c>
      <c r="B10" s="97">
        <v>675069</v>
      </c>
      <c r="C10" s="100" t="s">
        <v>30</v>
      </c>
      <c r="D10" s="97" t="s">
        <v>10</v>
      </c>
      <c r="E10" s="97" t="s">
        <v>11</v>
      </c>
      <c r="F10" s="97" t="s">
        <v>19</v>
      </c>
      <c r="G10" s="103">
        <v>2000</v>
      </c>
      <c r="H10" s="100" t="s">
        <v>31</v>
      </c>
      <c r="I10" s="1"/>
      <c r="J10" s="1"/>
      <c r="K10" s="1"/>
    </row>
    <row r="11" customHeight="1" spans="1:11">
      <c r="A11" s="97">
        <v>10</v>
      </c>
      <c r="B11" s="97">
        <v>675069</v>
      </c>
      <c r="C11" s="100" t="s">
        <v>30</v>
      </c>
      <c r="D11" s="97" t="s">
        <v>10</v>
      </c>
      <c r="E11" s="97" t="s">
        <v>11</v>
      </c>
      <c r="F11" s="102" t="s">
        <v>12</v>
      </c>
      <c r="G11" s="103">
        <f>业绩核算!AD7</f>
        <v>1930.1226</v>
      </c>
      <c r="H11" s="97"/>
      <c r="I11" s="1"/>
      <c r="J11" s="1"/>
      <c r="K11" s="1"/>
    </row>
    <row r="12" customHeight="1" spans="9:11">
      <c r="I12" s="1"/>
      <c r="J12" s="1"/>
      <c r="K12" s="1"/>
    </row>
  </sheetData>
  <autoFilter xmlns:etc="http://www.wps.cn/officeDocument/2017/etCustomData" ref="A1:M11" etc:filterBottomFollowUsedRange="0">
    <extLst/>
  </autoFilter>
  <mergeCells count="2">
    <mergeCell ref="K3:K6"/>
    <mergeCell ref="K7:K8"/>
  </mergeCells>
  <dataValidations count="1">
    <dataValidation type="list" allowBlank="1" showInputMessage="1" showErrorMessage="1" sqref="F1:F3 F6:F11">
      <formula1>"月度绩效,提成奖金,其他业绩奖金,季度绩效,往月薪资补发,业绩扣款"</formula1>
    </dataValidation>
  </dataValidations>
  <pageMargins left="0.7" right="0.7" top="0.75" bottom="0.75" header="0.3" footer="0.3"/>
  <headerFooter/>
  <ignoredErrors>
    <ignoredError sqref="F6 F3 F1 F9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8A6C"/>
    <outlinePr summaryBelow="0" summaryRight="0"/>
  </sheetPr>
  <dimension ref="A1:AN16"/>
  <sheetViews>
    <sheetView showGridLines="0" tabSelected="1" zoomScale="81" zoomScaleNormal="81" workbookViewId="0">
      <selection activeCell="AD4" sqref="AD4"/>
    </sheetView>
  </sheetViews>
  <sheetFormatPr defaultColWidth="9.16666666666667" defaultRowHeight="16.8" customHeight="1"/>
  <cols>
    <col min="1" max="1" width="10.6666666666667" style="44"/>
    <col min="2" max="2" width="9.16666666666667" style="45"/>
    <col min="3" max="3" width="19.5833333333333" style="45" customWidth="1"/>
    <col min="4" max="4" width="13.6666666666667" style="44" customWidth="1"/>
    <col min="5" max="5" width="16.2833333333333" style="44" customWidth="1"/>
    <col min="6" max="8" width="9.16666666666667" style="45"/>
    <col min="9" max="9" width="10.0666666666667" style="45"/>
    <col min="10" max="10" width="12.175" style="44" customWidth="1"/>
    <col min="11" max="13" width="9.16666666666667" style="45"/>
    <col min="14" max="16" width="11.5" style="44" customWidth="1"/>
    <col min="17" max="17" width="14.8333333333333" style="44" customWidth="1"/>
    <col min="18" max="18" width="17.1666666666667" style="44" customWidth="1"/>
    <col min="19" max="19" width="15.5" style="44" customWidth="1"/>
    <col min="20" max="20" width="17.1666666666667" style="44" customWidth="1"/>
    <col min="21" max="21" width="14.3333333333333" style="44" customWidth="1"/>
    <col min="22" max="22" width="14.8333333333333" style="44" customWidth="1"/>
    <col min="23" max="24" width="13.8333333333333" style="44" customWidth="1"/>
    <col min="25" max="25" width="25.6666666666667" style="44" customWidth="1"/>
    <col min="26" max="27" width="22" style="44" customWidth="1"/>
    <col min="28" max="29" width="18.1666666666667" style="44" customWidth="1"/>
    <col min="30" max="30" width="17.1666666666667" style="44" customWidth="1"/>
    <col min="31" max="31" width="21.6666666666667" style="44" customWidth="1"/>
    <col min="32" max="32" width="16" style="44" customWidth="1"/>
    <col min="33" max="33" width="19.1666666666667" style="44" customWidth="1"/>
    <col min="34" max="34" width="20.575" style="45" customWidth="1"/>
    <col min="35" max="16384" width="9.16666666666667" style="45"/>
  </cols>
  <sheetData>
    <row r="1" s="38" customFormat="1" ht="28" customHeight="1" spans="1:40">
      <c r="A1" s="46" t="s">
        <v>32</v>
      </c>
      <c r="B1" s="46"/>
      <c r="C1" s="46"/>
      <c r="D1" s="46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79"/>
      <c r="S1" s="79"/>
      <c r="T1" s="79"/>
      <c r="U1" s="79"/>
      <c r="V1" s="79"/>
      <c r="W1" s="79"/>
      <c r="X1" s="79"/>
      <c r="Y1" s="68"/>
      <c r="Z1" s="68"/>
      <c r="AA1" s="68"/>
      <c r="AB1" s="80"/>
      <c r="AC1" s="80"/>
      <c r="AD1" s="68"/>
      <c r="AE1" s="80"/>
      <c r="AF1" s="85"/>
      <c r="AG1" s="85"/>
      <c r="AH1" s="42"/>
      <c r="AI1" s="42"/>
      <c r="AJ1" s="42"/>
      <c r="AK1" s="42"/>
      <c r="AL1" s="42"/>
      <c r="AM1" s="42"/>
      <c r="AN1" s="42"/>
    </row>
    <row r="2" s="39" customFormat="1" ht="28" customHeight="1" spans="1:40">
      <c r="A2" s="47" t="s">
        <v>33</v>
      </c>
      <c r="B2" s="47"/>
      <c r="C2" s="47"/>
      <c r="D2" s="47" t="s">
        <v>34</v>
      </c>
      <c r="E2" s="47"/>
      <c r="F2" s="47"/>
      <c r="G2" s="47"/>
      <c r="H2" s="47" t="s">
        <v>35</v>
      </c>
      <c r="I2" s="47"/>
      <c r="J2" s="47"/>
      <c r="K2" s="47" t="s">
        <v>36</v>
      </c>
      <c r="L2" s="47"/>
      <c r="M2" s="77" t="s">
        <v>19</v>
      </c>
      <c r="N2" s="77"/>
      <c r="O2" s="77"/>
      <c r="P2" s="77"/>
      <c r="Q2" s="77" t="s">
        <v>37</v>
      </c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 t="s">
        <v>38</v>
      </c>
      <c r="AF2" s="86"/>
      <c r="AG2" s="86" t="s">
        <v>39</v>
      </c>
      <c r="AH2" s="94" t="s">
        <v>40</v>
      </c>
      <c r="AI2" s="42"/>
      <c r="AJ2" s="42"/>
      <c r="AK2" s="42"/>
      <c r="AL2" s="42"/>
      <c r="AM2" s="42"/>
      <c r="AN2" s="42"/>
    </row>
    <row r="3" s="40" customFormat="1" ht="45" customHeight="1" spans="1:40">
      <c r="A3" s="48" t="s">
        <v>41</v>
      </c>
      <c r="B3" s="48" t="s">
        <v>2</v>
      </c>
      <c r="C3" s="48" t="s">
        <v>42</v>
      </c>
      <c r="D3" s="48" t="s">
        <v>43</v>
      </c>
      <c r="E3" s="48" t="s">
        <v>44</v>
      </c>
      <c r="F3" s="69" t="s">
        <v>45</v>
      </c>
      <c r="G3" s="48" t="s">
        <v>46</v>
      </c>
      <c r="H3" s="69" t="s">
        <v>47</v>
      </c>
      <c r="I3" s="69" t="s">
        <v>48</v>
      </c>
      <c r="J3" s="75" t="s">
        <v>46</v>
      </c>
      <c r="K3" s="48" t="s">
        <v>49</v>
      </c>
      <c r="L3" s="48" t="s">
        <v>46</v>
      </c>
      <c r="M3" s="48" t="s">
        <v>50</v>
      </c>
      <c r="N3" s="48" t="s">
        <v>51</v>
      </c>
      <c r="O3" s="48" t="s">
        <v>52</v>
      </c>
      <c r="P3" s="48" t="s">
        <v>53</v>
      </c>
      <c r="Q3" s="48" t="s">
        <v>54</v>
      </c>
      <c r="R3" s="48" t="s">
        <v>55</v>
      </c>
      <c r="S3" s="48" t="s">
        <v>56</v>
      </c>
      <c r="T3" s="48" t="s">
        <v>57</v>
      </c>
      <c r="U3" s="48" t="s">
        <v>58</v>
      </c>
      <c r="V3" s="48" t="s">
        <v>59</v>
      </c>
      <c r="W3" s="48" t="s">
        <v>60</v>
      </c>
      <c r="X3" s="48" t="s">
        <v>61</v>
      </c>
      <c r="Y3" s="48" t="s">
        <v>62</v>
      </c>
      <c r="Z3" s="48" t="s">
        <v>63</v>
      </c>
      <c r="AA3" s="69" t="s">
        <v>64</v>
      </c>
      <c r="AB3" s="81" t="s">
        <v>65</v>
      </c>
      <c r="AC3" s="81" t="s">
        <v>66</v>
      </c>
      <c r="AD3" s="87" t="s">
        <v>37</v>
      </c>
      <c r="AE3" s="81" t="s">
        <v>67</v>
      </c>
      <c r="AF3" s="88" t="s">
        <v>38</v>
      </c>
      <c r="AG3" s="86"/>
      <c r="AH3" s="94"/>
      <c r="AI3" s="42"/>
      <c r="AJ3" s="42"/>
      <c r="AK3" s="42"/>
      <c r="AL3" s="42"/>
      <c r="AM3" s="42"/>
      <c r="AN3" s="42"/>
    </row>
    <row r="4" s="41" customFormat="1" ht="28" customHeight="1" spans="1:40">
      <c r="A4" s="49">
        <v>202604</v>
      </c>
      <c r="B4" s="49" t="s">
        <v>9</v>
      </c>
      <c r="C4" s="49" t="s">
        <v>68</v>
      </c>
      <c r="D4" s="50">
        <v>60000</v>
      </c>
      <c r="E4" s="70">
        <v>288079.2</v>
      </c>
      <c r="F4" s="71">
        <f>IFERROR(E4/D4,"")</f>
        <v>4.80132</v>
      </c>
      <c r="G4" s="72">
        <f>IFERROR(IF(F4&gt;=1,30,IF(AND(1&gt;F4,F4&gt;=0.7),F4*30,IF(F4&lt;70,0))),0)</f>
        <v>30</v>
      </c>
      <c r="H4" s="73">
        <v>0.25</v>
      </c>
      <c r="I4" s="73">
        <v>0.2418</v>
      </c>
      <c r="J4" s="76">
        <f>_xlfn.IFS(I4&lt;H4,(100*40%)-(H4-I4)*100*5,I4&gt;=H4,100*40%)</f>
        <v>35.9</v>
      </c>
      <c r="K4" s="50">
        <v>0</v>
      </c>
      <c r="L4" s="72">
        <f>IF(30-K4&lt;0,0,30-K4)</f>
        <v>30</v>
      </c>
      <c r="M4" s="76">
        <f>L4+J4+G4</f>
        <v>95.9</v>
      </c>
      <c r="N4" s="78">
        <f>IFERROR(IF(C4="O1",2000,IF(C4="O2",1000,IF(C4="O3",0,2000))),0)</f>
        <v>0</v>
      </c>
      <c r="O4" s="71">
        <f t="shared" ref="O4:O6" si="0">IF(ISNUMBER(SEARCH("培训",C4)),1,IF(M4&gt;=90,1,IF(M4&gt;=70,1-(90-M4)*0.02,0)))</f>
        <v>1</v>
      </c>
      <c r="P4" s="72">
        <f>IF(M4&gt;=90,N4,IF(M4&lt;70,0,IF(AND(90&gt;M4,M4&gt;=70),N4-N4*((90-M4)*0.02))))</f>
        <v>0</v>
      </c>
      <c r="Q4" s="50">
        <v>600000</v>
      </c>
      <c r="R4" s="50">
        <v>1442510.1</v>
      </c>
      <c r="S4" s="50">
        <v>-215249.85</v>
      </c>
      <c r="T4" s="78">
        <f>R4+S4</f>
        <v>1227260.25</v>
      </c>
      <c r="U4" s="50">
        <v>0</v>
      </c>
      <c r="V4" s="50">
        <v>13792.2</v>
      </c>
      <c r="W4" s="50">
        <v>-21811.4</v>
      </c>
      <c r="X4" s="78">
        <f>V4+W4</f>
        <v>-8019.2</v>
      </c>
      <c r="Y4" s="78">
        <f>T4</f>
        <v>1227260.25</v>
      </c>
      <c r="Z4" s="71">
        <f>Y4/Q4</f>
        <v>2.04543375</v>
      </c>
      <c r="AA4" s="71">
        <f>R4/Q4</f>
        <v>2.4041835</v>
      </c>
      <c r="AB4" s="82">
        <v>1.87893813432836</v>
      </c>
      <c r="AC4" s="89">
        <f>IF(ISNUMBER(SEARCH("保薪",C4)),IFERROR(IF(Z4&lt;0.7,0%,IF(AND(Z4&gt;=0.7,Z4&lt;1),0.8%,IF(AND(Z4&gt;=1,Z4&lt;1.2),1.2%,IF(Z4&gt;=1.2,2%)))),0),IFERROR(IF(AND(Z4&gt;=1.5,AB4&gt;=0.4),0.05,IF(AND(Z4&gt;=1.5,AB4&lt;0.4),0.04,IF(AND(Z4&lt;1.5,Z4&gt;=1.2),0.04,IF(AND(Z4&lt;1.2,Z4&gt;=1),0.03,IF(AND(Z4&lt;1,Z4&gt;=0.8),0.018,IF(AND(Z4&lt;0.8,Z4&gt;=0.7),0.008,IF(AND(Z4&lt;0.7,AA4&gt;=0.7),0.008,IF(AND(Z4&lt;0.7,AA4&lt;0.7),0)))))))),0))</f>
        <v>0.05</v>
      </c>
      <c r="AD4" s="90">
        <f>Y4*AC4+X4*1%</f>
        <v>61282.8205</v>
      </c>
      <c r="AE4" s="89">
        <f>IF(F4&gt;=1,0.002,IF(F4&lt;0.7,-0.002,IF(AND(F4&gt;=0.7,F4&lt;1),0)))</f>
        <v>0.002</v>
      </c>
      <c r="AF4" s="91">
        <f>E4*(AE4)</f>
        <v>576.1584</v>
      </c>
      <c r="AG4" s="91">
        <f>AF4+AD4</f>
        <v>61858.9789</v>
      </c>
      <c r="AH4" s="95">
        <f>P4+AG4</f>
        <v>61858.9789</v>
      </c>
      <c r="AI4" s="42"/>
      <c r="AJ4" s="42"/>
      <c r="AK4" s="42"/>
      <c r="AL4" s="42"/>
      <c r="AM4" s="42"/>
      <c r="AN4" s="42"/>
    </row>
    <row r="5" s="41" customFormat="1" ht="28" customHeight="1" spans="1:40">
      <c r="A5" s="49">
        <v>202604</v>
      </c>
      <c r="B5" s="49" t="s">
        <v>20</v>
      </c>
      <c r="C5" s="49" t="s">
        <v>69</v>
      </c>
      <c r="D5" s="50">
        <v>60000</v>
      </c>
      <c r="E5" s="70">
        <v>95090.8</v>
      </c>
      <c r="F5" s="71">
        <f>IFERROR(E5/D5,"")</f>
        <v>1.58484666666667</v>
      </c>
      <c r="G5" s="72">
        <f>IFERROR(IF(F5&gt;=1,30,IF(AND(1&gt;F5,F5&gt;=0.7),F5*30,IF(F5&lt;70,0))),0)</f>
        <v>30</v>
      </c>
      <c r="H5" s="73">
        <v>0.25</v>
      </c>
      <c r="I5" s="73">
        <v>0.2206</v>
      </c>
      <c r="J5" s="76">
        <f>_xlfn.IFS(I5&lt;H5,(100*40%)-(H5-I5)*100*5,I5&gt;=H5,100*40%)</f>
        <v>25.3</v>
      </c>
      <c r="K5" s="50">
        <v>0</v>
      </c>
      <c r="L5" s="72">
        <f>IF(30-K5&lt;0,0,30-K5)</f>
        <v>30</v>
      </c>
      <c r="M5" s="76">
        <f>L5+J5+G5</f>
        <v>85.3</v>
      </c>
      <c r="N5" s="78">
        <f>IFERROR(IF(C5="O1",2000,IF(C5="O2",1000,IF(C5="O3",0,2000))),0)</f>
        <v>1000</v>
      </c>
      <c r="O5" s="71">
        <f>IF(ISNUMBER(SEARCH("培训",C5)),1,IF(M5&gt;=90,1,IF(M5&gt;=70,1-(90-M5)*0.02,0)))</f>
        <v>0.906</v>
      </c>
      <c r="P5" s="72">
        <f>IF(M5&gt;=90,N5,IF(M5&lt;70,0,IF(AND(90&gt;M5,M5&gt;=70),N5-N5*((90-M5)*0.02))))</f>
        <v>906</v>
      </c>
      <c r="Q5" s="50">
        <v>652000</v>
      </c>
      <c r="R5" s="50">
        <v>984600.1</v>
      </c>
      <c r="S5" s="50">
        <v>-67072.1</v>
      </c>
      <c r="T5" s="78">
        <f>R5+S5</f>
        <v>917528</v>
      </c>
      <c r="U5" s="50">
        <v>0</v>
      </c>
      <c r="V5" s="50">
        <v>21675</v>
      </c>
      <c r="W5" s="50">
        <v>-12090</v>
      </c>
      <c r="X5" s="78">
        <f>V5+W5</f>
        <v>9585</v>
      </c>
      <c r="Y5" s="78">
        <f>T5</f>
        <v>917528</v>
      </c>
      <c r="Z5" s="71">
        <f>Y5/Q5</f>
        <v>1.40725153374233</v>
      </c>
      <c r="AA5" s="71">
        <f>R5/Q5</f>
        <v>1.51012285276074</v>
      </c>
      <c r="AB5" s="82">
        <v>0.624903880597015</v>
      </c>
      <c r="AC5" s="89">
        <f>IF(ISNUMBER(SEARCH("保薪",C5)),IFERROR(IF(Z5&lt;0.7,0%,IF(AND(Z5&gt;=0.7,Z5&lt;1),0.8%,IF(AND(Z5&gt;=1,Z5&lt;1.2),1.2%,IF(Z5&gt;=1.2,2%)))),0),IFERROR(IF(AND(Z5&gt;=1.5,AB5&gt;=0.4),0.05,IF(AND(Z5&gt;=1.5,AB5&lt;0.4),0.04,IF(AND(Z5&lt;1.5,Z5&gt;=1.2),0.04,IF(AND(Z5&lt;1.2,Z5&gt;=1),0.03,IF(AND(Z5&lt;1,Z5&gt;=0.8),0.018,IF(AND(Z5&lt;0.8,Z5&gt;=0.7),0.008,IF(AND(Z5&lt;0.7,AA5&gt;=0.7),0.008,IF(AND(Z5&lt;0.7,AA5&lt;0.7),0)))))))),0))</f>
        <v>0.04</v>
      </c>
      <c r="AD5" s="90">
        <f>Y5*AC5+X5*1%</f>
        <v>36796.97</v>
      </c>
      <c r="AE5" s="89">
        <f>IF(F5&gt;=1,0.002,IF(F5&lt;0.7,-0.002,IF(AND(F5&gt;=0.7,F5&lt;1),0)))</f>
        <v>0.002</v>
      </c>
      <c r="AF5" s="91">
        <f>E5*(AE5)</f>
        <v>190.1816</v>
      </c>
      <c r="AG5" s="91">
        <f>AF5+AD5</f>
        <v>36987.1516</v>
      </c>
      <c r="AH5" s="95">
        <f>P5+AG5</f>
        <v>37893.1516</v>
      </c>
      <c r="AI5" s="42"/>
      <c r="AJ5" s="42"/>
      <c r="AK5" s="42"/>
      <c r="AL5" s="42"/>
      <c r="AM5" s="42"/>
      <c r="AN5" s="42"/>
    </row>
    <row r="6" s="41" customFormat="1" ht="28" customHeight="1" spans="1:40">
      <c r="A6" s="49">
        <v>202604</v>
      </c>
      <c r="B6" s="49" t="s">
        <v>24</v>
      </c>
      <c r="C6" s="49" t="s">
        <v>70</v>
      </c>
      <c r="D6" s="50">
        <v>60000</v>
      </c>
      <c r="E6" s="70">
        <v>0</v>
      </c>
      <c r="F6" s="71">
        <f>IFERROR(E6/D6,"")</f>
        <v>0</v>
      </c>
      <c r="G6" s="72">
        <f>IFERROR(IF(F6&gt;=1,30,IF(AND(1&gt;F6,F6&gt;=0.7),F6*30,IF(F6&lt;70,0))),0)</f>
        <v>0</v>
      </c>
      <c r="H6" s="73">
        <v>0.2</v>
      </c>
      <c r="I6" s="73">
        <v>0.1556</v>
      </c>
      <c r="J6" s="76">
        <f>_xlfn.IFS(I6&lt;H6,(100*40%)-(H6-I6)*100*5,I6&gt;=H6,100*40%)</f>
        <v>17.8</v>
      </c>
      <c r="K6" s="50">
        <v>0</v>
      </c>
      <c r="L6" s="72">
        <f>IF(30-K6&lt;0,0,30-K6)</f>
        <v>30</v>
      </c>
      <c r="M6" s="76">
        <f>L6+J6+G6</f>
        <v>47.8</v>
      </c>
      <c r="N6" s="78">
        <f>IFERROR(IF(C6="O1",2000,IF(C6="O2",1000,IF(C6="O3",0,2000))),0)</f>
        <v>2000</v>
      </c>
      <c r="O6" s="71">
        <f t="shared" si="0"/>
        <v>0</v>
      </c>
      <c r="P6" s="72">
        <f>IF(M6&gt;=90,N6,IF(M6&lt;70,0,IF(AND(90&gt;M6,M6&gt;=70),N6-N6*((90-M6)*0.02))))</f>
        <v>0</v>
      </c>
      <c r="Q6" s="50">
        <v>612000</v>
      </c>
      <c r="R6" s="50">
        <v>887364.8</v>
      </c>
      <c r="S6" s="50">
        <v>-11549.3</v>
      </c>
      <c r="T6" s="78">
        <f>R6+S6</f>
        <v>875815.5</v>
      </c>
      <c r="U6" s="50">
        <v>0</v>
      </c>
      <c r="V6" s="50">
        <v>0</v>
      </c>
      <c r="W6" s="50">
        <v>0</v>
      </c>
      <c r="X6" s="78">
        <f>V6+W6</f>
        <v>0</v>
      </c>
      <c r="Y6" s="78">
        <f>T6</f>
        <v>875815.5</v>
      </c>
      <c r="Z6" s="71">
        <f>Y6/Q6</f>
        <v>1.43107107843137</v>
      </c>
      <c r="AA6" s="71">
        <f>R6/Q6</f>
        <v>1.44994248366013</v>
      </c>
      <c r="AB6" s="82">
        <v>0.0132806349206349</v>
      </c>
      <c r="AC6" s="89">
        <f>IF(ISNUMBER(SEARCH("保薪",C6)),IFERROR(IF(Z6&lt;0.7,0%,IF(AND(Z6&gt;=0.7,Z6&lt;1),0.8%,IF(AND(Z6&gt;=1,Z6&lt;1.2),1.2%,IF(Z6&gt;=1.2,2%)))),0),IFERROR(IF(AND(Z6&gt;=1.5,AB6&gt;=0.4),0.05,IF(AND(Z6&gt;=1.5,AB6&lt;0.4),0.04,IF(AND(Z6&lt;1.5,Z6&gt;=1.2),0.04,IF(AND(Z6&lt;1.2,Z6&gt;=1),0.03,IF(AND(Z6&lt;1,Z6&gt;=0.8),0.018,IF(AND(Z6&lt;0.8,Z6&gt;=0.7),0.008,IF(AND(Z6&lt;0.7,AA6&gt;=0.7),0.008,IF(AND(Z6&lt;0.7,AA6&lt;0.7),0)))))))),0))</f>
        <v>0.04</v>
      </c>
      <c r="AD6" s="90">
        <f>Y6*AC6+X6*1%</f>
        <v>35032.62</v>
      </c>
      <c r="AE6" s="89">
        <f>IF(F6&gt;=1,0.002,IF(F6&lt;0.7,-0.002,IF(AND(F6&gt;=0.7,F6&lt;1),0)))</f>
        <v>-0.002</v>
      </c>
      <c r="AF6" s="91">
        <f>E6*(AE6)</f>
        <v>0</v>
      </c>
      <c r="AG6" s="91">
        <f>AF6+AD6</f>
        <v>35032.62</v>
      </c>
      <c r="AH6" s="95">
        <f>P6+AG6</f>
        <v>35032.62</v>
      </c>
      <c r="AI6" s="42"/>
      <c r="AJ6" s="42"/>
      <c r="AK6" s="42"/>
      <c r="AL6" s="42"/>
      <c r="AM6" s="42"/>
      <c r="AN6" s="42"/>
    </row>
    <row r="7" s="41" customFormat="1" ht="28" customHeight="1" spans="1:40">
      <c r="A7" s="49">
        <v>202604</v>
      </c>
      <c r="B7" s="49" t="s">
        <v>30</v>
      </c>
      <c r="C7" s="49" t="s">
        <v>71</v>
      </c>
      <c r="D7" s="50">
        <v>0</v>
      </c>
      <c r="E7" s="50">
        <v>0</v>
      </c>
      <c r="F7" s="71" t="str">
        <f>IFERROR(E7/D7,"")</f>
        <v/>
      </c>
      <c r="G7" s="72">
        <f>IFERROR(IF(F7&gt;=1,30,IF(AND(1&gt;F7,F7&gt;=0.7),F7*30,IF(F7&lt;70,0))),0)</f>
        <v>30</v>
      </c>
      <c r="H7" s="73">
        <v>0.2</v>
      </c>
      <c r="I7" s="73">
        <v>0.1667</v>
      </c>
      <c r="J7" s="76">
        <f>_xlfn.IFS(I7&lt;H7,(100*40%)-(H7-I7)*100*5,I7&gt;=H7,100*40%)</f>
        <v>23.35</v>
      </c>
      <c r="K7" s="50">
        <v>0</v>
      </c>
      <c r="L7" s="72">
        <f>IF(30-K7&lt;0,0,30-K7)</f>
        <v>30</v>
      </c>
      <c r="M7" s="76">
        <f>L7+J7+G7</f>
        <v>83.35</v>
      </c>
      <c r="N7" s="78">
        <f>IFERROR(IF(C7="O1",2000,IF(C7="O2",1000,IF(C7="O3",0,2000))),0)</f>
        <v>2000</v>
      </c>
      <c r="O7" s="71">
        <f>IF(ISNUMBER(SEARCH("培训",C7)),1,IF(M7&gt;=90,1,IF(M7&gt;=70,1-(90-M7)*0.02,0)))</f>
        <v>1</v>
      </c>
      <c r="P7" s="72">
        <f>N7</f>
        <v>2000</v>
      </c>
      <c r="Q7" s="50">
        <v>156000</v>
      </c>
      <c r="R7" s="50">
        <v>163850.65</v>
      </c>
      <c r="S7" s="50">
        <v>-5849.1</v>
      </c>
      <c r="T7" s="78">
        <f>R7+S7</f>
        <v>158001.55</v>
      </c>
      <c r="U7" s="50">
        <v>0</v>
      </c>
      <c r="V7" s="50">
        <v>3410.4</v>
      </c>
      <c r="W7" s="50">
        <v>0</v>
      </c>
      <c r="X7" s="78">
        <f>V7+W7</f>
        <v>3410.4</v>
      </c>
      <c r="Y7" s="78">
        <f>T7</f>
        <v>158001.55</v>
      </c>
      <c r="Z7" s="71">
        <f>Y7/Q7</f>
        <v>1.01283044871795</v>
      </c>
      <c r="AA7" s="71">
        <f>R7/Q7</f>
        <v>1.05032467948718</v>
      </c>
      <c r="AB7" s="82">
        <v>3.59808</v>
      </c>
      <c r="AC7" s="89">
        <f>IF(ISNUMBER(SEARCH("保薪",C7)),IFERROR(IF(Z7&lt;0.7,0%,IF(AND(Z7&gt;=0.7,Z7&lt;1),0.8%,IF(AND(Z7&gt;=1,Z7&lt;1.2),1.2%,IF(Z7&gt;=1.2,2%)))),0),IFERROR(IF(AND(Z7&gt;=1.5,AB7&gt;=0.4),0.05,IF(AND(Z7&gt;=1.5,AB7&lt;0.4),0.04,IF(AND(Z7&lt;1.5,Z7&gt;=1.2),0.04,IF(AND(Z7&lt;1.2,Z7&gt;=1),0.03,IF(AND(Z7&lt;1,Z7&gt;=0.8),0.018,IF(AND(Z7&lt;0.8,Z7&gt;=0.7),0.008,IF(AND(Z7&lt;0.7,AA7&gt;=0.7),0.008,IF(AND(Z7&lt;0.7,AA7&lt;0.7),0)))))))),0))</f>
        <v>0.012</v>
      </c>
      <c r="AD7" s="90">
        <f>Y7*AC7+X7*1%</f>
        <v>1930.1226</v>
      </c>
      <c r="AE7" s="89">
        <f>IF(F7&gt;=1,0.002,IF(F7&lt;0.7,-0.002,IF(AND(F7&gt;=0.7,F7&lt;1),0)))</f>
        <v>0.002</v>
      </c>
      <c r="AF7" s="91">
        <v>0</v>
      </c>
      <c r="AG7" s="91">
        <f>AF7+AD7</f>
        <v>1930.1226</v>
      </c>
      <c r="AH7" s="95">
        <f>P7+AG7</f>
        <v>3930.1226</v>
      </c>
      <c r="AI7" s="42"/>
      <c r="AJ7" s="42"/>
      <c r="AK7" s="42"/>
      <c r="AL7" s="42"/>
      <c r="AM7" s="42"/>
      <c r="AN7" s="42"/>
    </row>
    <row r="8" s="42" customFormat="1" ht="28" customHeight="1" spans="1:33">
      <c r="A8" s="51"/>
      <c r="D8" s="52"/>
      <c r="E8" s="52"/>
      <c r="F8" s="74"/>
      <c r="M8" s="52"/>
      <c r="AB8" s="83"/>
      <c r="AC8" s="83"/>
      <c r="AE8" s="83"/>
      <c r="AF8" s="92"/>
      <c r="AG8" s="92"/>
    </row>
    <row r="9" s="43" customFormat="1" ht="28" customHeight="1" spans="1:40">
      <c r="A9" s="53" t="s">
        <v>72</v>
      </c>
      <c r="B9" s="53" t="s">
        <v>73</v>
      </c>
      <c r="C9" s="53" t="s">
        <v>8</v>
      </c>
      <c r="D9" s="53"/>
      <c r="E9" s="53"/>
      <c r="F9" s="53"/>
      <c r="G9" s="53"/>
      <c r="H9" s="53"/>
      <c r="AB9" s="84"/>
      <c r="AC9" s="84"/>
      <c r="AE9" s="84"/>
      <c r="AF9" s="93"/>
      <c r="AG9" s="93"/>
      <c r="AH9" s="42"/>
      <c r="AI9" s="42"/>
      <c r="AJ9" s="42"/>
      <c r="AK9" s="42"/>
      <c r="AL9" s="42"/>
      <c r="AM9" s="42"/>
      <c r="AN9" s="42"/>
    </row>
    <row r="10" s="43" customFormat="1" ht="28" customHeight="1" spans="1:33">
      <c r="A10" s="54" t="s">
        <v>74</v>
      </c>
      <c r="B10" s="55" t="s">
        <v>70</v>
      </c>
      <c r="C10" s="56" t="s">
        <v>75</v>
      </c>
      <c r="D10" s="56"/>
      <c r="E10" s="56"/>
      <c r="F10" s="56"/>
      <c r="G10" s="56"/>
      <c r="H10" s="56"/>
      <c r="AB10" s="84"/>
      <c r="AC10" s="84"/>
      <c r="AE10" s="84"/>
      <c r="AF10" s="93"/>
      <c r="AG10" s="93"/>
    </row>
    <row r="11" s="43" customFormat="1" ht="28" customHeight="1" spans="1:33">
      <c r="A11" s="57"/>
      <c r="B11" s="58" t="s">
        <v>69</v>
      </c>
      <c r="C11" s="59" t="s">
        <v>75</v>
      </c>
      <c r="D11" s="59"/>
      <c r="E11" s="59"/>
      <c r="F11" s="59"/>
      <c r="G11" s="59"/>
      <c r="H11" s="59"/>
      <c r="AB11" s="84"/>
      <c r="AC11" s="84"/>
      <c r="AE11" s="84"/>
      <c r="AF11" s="93"/>
      <c r="AG11" s="93"/>
    </row>
    <row r="12" s="43" customFormat="1" ht="28" customHeight="1" spans="1:33">
      <c r="A12" s="57"/>
      <c r="B12" s="60" t="s">
        <v>68</v>
      </c>
      <c r="C12" s="61" t="s">
        <v>75</v>
      </c>
      <c r="D12" s="61"/>
      <c r="E12" s="61"/>
      <c r="F12" s="61"/>
      <c r="G12" s="61"/>
      <c r="H12" s="61"/>
      <c r="AB12" s="84"/>
      <c r="AC12" s="84"/>
      <c r="AE12" s="84"/>
      <c r="AF12" s="93"/>
      <c r="AG12" s="93"/>
    </row>
    <row r="13" s="43" customFormat="1" ht="28" customHeight="1" spans="1:33">
      <c r="A13" s="54"/>
      <c r="B13" s="62" t="s">
        <v>76</v>
      </c>
      <c r="C13" s="63" t="s">
        <v>77</v>
      </c>
      <c r="D13" s="63"/>
      <c r="E13" s="63"/>
      <c r="F13" s="63"/>
      <c r="G13" s="63"/>
      <c r="H13" s="63"/>
      <c r="AB13" s="84"/>
      <c r="AC13" s="84"/>
      <c r="AE13" s="84"/>
      <c r="AF13" s="93"/>
      <c r="AG13" s="93"/>
    </row>
    <row r="14" s="43" customFormat="1" ht="28" customHeight="1" spans="1:33">
      <c r="A14" s="54" t="s">
        <v>78</v>
      </c>
      <c r="B14" s="64" t="s">
        <v>71</v>
      </c>
      <c r="C14" s="65" t="s">
        <v>79</v>
      </c>
      <c r="D14" s="65"/>
      <c r="E14" s="65"/>
      <c r="F14" s="65"/>
      <c r="G14" s="65"/>
      <c r="H14" s="65"/>
      <c r="Z14" s="42"/>
      <c r="AB14" s="84"/>
      <c r="AC14" s="84"/>
      <c r="AE14" s="84"/>
      <c r="AF14" s="93"/>
      <c r="AG14" s="93"/>
    </row>
    <row r="15" s="43" customFormat="1" ht="28" customHeight="1" spans="1:33">
      <c r="A15" s="54"/>
      <c r="B15" s="66" t="s">
        <v>80</v>
      </c>
      <c r="C15" s="67" t="s">
        <v>81</v>
      </c>
      <c r="D15" s="67"/>
      <c r="E15" s="67"/>
      <c r="F15" s="67"/>
      <c r="G15" s="67"/>
      <c r="H15" s="67"/>
      <c r="AB15" s="84"/>
      <c r="AC15" s="84"/>
      <c r="AE15" s="84"/>
      <c r="AF15" s="93"/>
      <c r="AG15" s="93"/>
    </row>
    <row r="16" s="44" customFormat="1" customHeight="1"/>
  </sheetData>
  <autoFilter xmlns:etc="http://www.wps.cn/officeDocument/2017/etCustomData" ref="A3:BO7" etc:filterBottomFollowUsedRange="0">
    <extLst/>
  </autoFilter>
  <mergeCells count="19">
    <mergeCell ref="A1:D1"/>
    <mergeCell ref="A2:C2"/>
    <mergeCell ref="D2:G2"/>
    <mergeCell ref="H2:J2"/>
    <mergeCell ref="K2:L2"/>
    <mergeCell ref="M2:P2"/>
    <mergeCell ref="Q2:AD2"/>
    <mergeCell ref="AE2:AF2"/>
    <mergeCell ref="C9:H9"/>
    <mergeCell ref="C10:H10"/>
    <mergeCell ref="C11:H11"/>
    <mergeCell ref="C12:H12"/>
    <mergeCell ref="C13:H13"/>
    <mergeCell ref="C14:H14"/>
    <mergeCell ref="C15:H15"/>
    <mergeCell ref="A10:A13"/>
    <mergeCell ref="A14:A15"/>
    <mergeCell ref="AG2:AG3"/>
    <mergeCell ref="AH2:AH3"/>
  </mergeCells>
  <dataValidations count="1">
    <dataValidation type="list" allowBlank="1" showInputMessage="1" showErrorMessage="1" sqref="C4:C7">
      <formula1>$B$10:$B$15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6"/>
  <sheetViews>
    <sheetView workbookViewId="0">
      <selection activeCell="E18" sqref="A1:O102"/>
    </sheetView>
  </sheetViews>
  <sheetFormatPr defaultColWidth="9.06666666666667" defaultRowHeight="17.6"/>
  <cols>
    <col min="1" max="1" width="17.8666666666667" style="31"/>
    <col min="2" max="4" width="9.06666666666667" style="31"/>
    <col min="5" max="5" width="14.6666666666667" style="31"/>
    <col min="6" max="6" width="26.6583333333333" style="31" customWidth="1"/>
    <col min="7" max="11" width="9.06666666666667" style="31"/>
    <col min="12" max="12" width="19.2666666666667" style="31"/>
    <col min="13" max="13" width="9.06666666666667" style="31"/>
    <col min="14" max="15" width="19.2666666666667" style="31"/>
  </cols>
  <sheetData>
    <row r="1" s="30" customFormat="1" spans="1:15">
      <c r="A1" s="27" t="s">
        <v>82</v>
      </c>
      <c r="B1" s="27" t="s">
        <v>83</v>
      </c>
      <c r="C1" s="27"/>
      <c r="D1" s="27"/>
      <c r="E1" s="27" t="s">
        <v>84</v>
      </c>
      <c r="F1" s="27" t="s">
        <v>85</v>
      </c>
      <c r="G1" s="27"/>
      <c r="H1" s="27"/>
      <c r="I1" s="27"/>
      <c r="J1" s="27"/>
      <c r="K1" s="27" t="s">
        <v>17</v>
      </c>
      <c r="L1" s="27"/>
      <c r="M1" s="27"/>
      <c r="N1" s="27"/>
      <c r="O1" s="27"/>
    </row>
    <row r="2" spans="1:15">
      <c r="A2" s="29">
        <v>46173</v>
      </c>
      <c r="B2" s="28" t="s">
        <v>86</v>
      </c>
      <c r="C2" s="28" t="s">
        <v>87</v>
      </c>
      <c r="D2" s="26"/>
      <c r="E2" s="28">
        <v>97800</v>
      </c>
      <c r="F2" s="28" t="s">
        <v>88</v>
      </c>
      <c r="G2" s="26"/>
      <c r="H2" s="28" t="s">
        <v>89</v>
      </c>
      <c r="I2" s="28" t="s">
        <v>90</v>
      </c>
      <c r="J2" s="28" t="s">
        <v>91</v>
      </c>
      <c r="K2" s="28" t="s">
        <v>24</v>
      </c>
      <c r="L2" s="29">
        <v>46173.7222222222</v>
      </c>
      <c r="M2" s="28" t="s">
        <v>24</v>
      </c>
      <c r="N2" s="29">
        <v>46173.7243055556</v>
      </c>
      <c r="O2" s="29">
        <v>46125.8507638889</v>
      </c>
    </row>
    <row r="3" spans="1:15">
      <c r="A3" s="29">
        <v>46173</v>
      </c>
      <c r="B3" s="28" t="s">
        <v>92</v>
      </c>
      <c r="C3" s="28" t="s">
        <v>87</v>
      </c>
      <c r="D3" s="26"/>
      <c r="E3" s="28">
        <v>15300</v>
      </c>
      <c r="F3" s="28" t="s">
        <v>93</v>
      </c>
      <c r="G3" s="28" t="s">
        <v>94</v>
      </c>
      <c r="H3" s="28" t="s">
        <v>89</v>
      </c>
      <c r="I3" s="28" t="s">
        <v>90</v>
      </c>
      <c r="J3" s="28" t="s">
        <v>95</v>
      </c>
      <c r="K3" s="28" t="s">
        <v>9</v>
      </c>
      <c r="L3" s="29">
        <v>46173.6576388889</v>
      </c>
      <c r="M3" s="28" t="s">
        <v>9</v>
      </c>
      <c r="N3" s="29">
        <v>46173.6583333333</v>
      </c>
      <c r="O3" s="29">
        <v>46172.6609953704</v>
      </c>
    </row>
    <row r="4" spans="1:15">
      <c r="A4" s="29">
        <v>46173</v>
      </c>
      <c r="B4" s="28" t="s">
        <v>96</v>
      </c>
      <c r="C4" s="28" t="s">
        <v>87</v>
      </c>
      <c r="D4" s="26"/>
      <c r="E4" s="28">
        <v>47800</v>
      </c>
      <c r="F4" s="28" t="s">
        <v>97</v>
      </c>
      <c r="G4" s="26"/>
      <c r="H4" s="28" t="s">
        <v>89</v>
      </c>
      <c r="I4" s="28" t="s">
        <v>90</v>
      </c>
      <c r="J4" s="28" t="s">
        <v>98</v>
      </c>
      <c r="K4" s="28" t="s">
        <v>24</v>
      </c>
      <c r="L4" s="29">
        <v>46173.8027777778</v>
      </c>
      <c r="M4" s="28" t="s">
        <v>24</v>
      </c>
      <c r="N4" s="29">
        <v>46173.8027777778</v>
      </c>
      <c r="O4" s="29">
        <v>46173.4856018519</v>
      </c>
    </row>
    <row r="5" spans="1:15">
      <c r="A5" s="29">
        <v>46172</v>
      </c>
      <c r="B5" s="28" t="s">
        <v>99</v>
      </c>
      <c r="C5" s="28" t="s">
        <v>87</v>
      </c>
      <c r="D5" s="26"/>
      <c r="E5" s="28">
        <v>87000</v>
      </c>
      <c r="F5" s="28" t="s">
        <v>100</v>
      </c>
      <c r="G5" s="28" t="s">
        <v>101</v>
      </c>
      <c r="H5" s="28" t="s">
        <v>89</v>
      </c>
      <c r="I5" s="28" t="s">
        <v>90</v>
      </c>
      <c r="J5" s="28" t="s">
        <v>102</v>
      </c>
      <c r="K5" s="28" t="s">
        <v>20</v>
      </c>
      <c r="L5" s="29">
        <v>46172.4180555556</v>
      </c>
      <c r="M5" s="28" t="s">
        <v>20</v>
      </c>
      <c r="N5" s="29">
        <v>46172.4229166667</v>
      </c>
      <c r="O5" s="29">
        <v>46171.6257291667</v>
      </c>
    </row>
    <row r="6" spans="1:15">
      <c r="A6" s="29">
        <v>46172</v>
      </c>
      <c r="B6" s="28" t="s">
        <v>103</v>
      </c>
      <c r="C6" s="28" t="s">
        <v>87</v>
      </c>
      <c r="D6" s="26"/>
      <c r="E6" s="28">
        <v>29300</v>
      </c>
      <c r="F6" s="28" t="s">
        <v>104</v>
      </c>
      <c r="G6" s="26"/>
      <c r="H6" s="28" t="s">
        <v>89</v>
      </c>
      <c r="I6" s="28" t="s">
        <v>90</v>
      </c>
      <c r="J6" s="28" t="s">
        <v>105</v>
      </c>
      <c r="K6" s="28" t="s">
        <v>24</v>
      </c>
      <c r="L6" s="29">
        <v>46172.7708333333</v>
      </c>
      <c r="M6" s="28" t="s">
        <v>24</v>
      </c>
      <c r="N6" s="29">
        <v>46172.7708333333</v>
      </c>
      <c r="O6" s="29">
        <v>46171.67125</v>
      </c>
    </row>
    <row r="7" spans="1:15">
      <c r="A7" s="29">
        <v>46172</v>
      </c>
      <c r="B7" s="28" t="s">
        <v>106</v>
      </c>
      <c r="C7" s="28" t="s">
        <v>87</v>
      </c>
      <c r="D7" s="26"/>
      <c r="E7" s="28">
        <v>10440</v>
      </c>
      <c r="F7" s="28" t="s">
        <v>107</v>
      </c>
      <c r="G7" s="26"/>
      <c r="H7" s="28" t="s">
        <v>89</v>
      </c>
      <c r="I7" s="28" t="s">
        <v>90</v>
      </c>
      <c r="J7" s="28" t="s">
        <v>108</v>
      </c>
      <c r="K7" s="28" t="s">
        <v>24</v>
      </c>
      <c r="L7" s="29">
        <v>46172.7180555556</v>
      </c>
      <c r="M7" s="28" t="s">
        <v>24</v>
      </c>
      <c r="N7" s="29">
        <v>46172.7180555556</v>
      </c>
      <c r="O7" s="29">
        <v>46171.4479166667</v>
      </c>
    </row>
    <row r="8" spans="1:15">
      <c r="A8" s="29">
        <v>46171</v>
      </c>
      <c r="B8" s="28" t="s">
        <v>109</v>
      </c>
      <c r="C8" s="28" t="s">
        <v>87</v>
      </c>
      <c r="D8" s="26"/>
      <c r="E8" s="28">
        <v>4460</v>
      </c>
      <c r="F8" s="28" t="s">
        <v>110</v>
      </c>
      <c r="G8" s="26"/>
      <c r="H8" s="28" t="s">
        <v>89</v>
      </c>
      <c r="I8" s="28" t="s">
        <v>90</v>
      </c>
      <c r="J8" s="28" t="s">
        <v>108</v>
      </c>
      <c r="K8" s="28" t="s">
        <v>30</v>
      </c>
      <c r="L8" s="29">
        <v>46171.6597222222</v>
      </c>
      <c r="M8" s="28" t="s">
        <v>30</v>
      </c>
      <c r="N8" s="29">
        <v>46171.6597222222</v>
      </c>
      <c r="O8" s="29">
        <v>46159.0121296296</v>
      </c>
    </row>
    <row r="9" spans="1:15">
      <c r="A9" s="29">
        <v>46171</v>
      </c>
      <c r="B9" s="28" t="s">
        <v>111</v>
      </c>
      <c r="C9" s="28" t="s">
        <v>87</v>
      </c>
      <c r="D9" s="26"/>
      <c r="E9" s="28">
        <v>9000</v>
      </c>
      <c r="F9" s="28" t="s">
        <v>112</v>
      </c>
      <c r="G9" s="28" t="s">
        <v>113</v>
      </c>
      <c r="H9" s="28" t="s">
        <v>114</v>
      </c>
      <c r="I9" s="28" t="s">
        <v>90</v>
      </c>
      <c r="J9" s="28" t="s">
        <v>115</v>
      </c>
      <c r="K9" s="28" t="s">
        <v>20</v>
      </c>
      <c r="L9" s="29">
        <v>46171.6513888889</v>
      </c>
      <c r="M9" s="28" t="s">
        <v>20</v>
      </c>
      <c r="N9" s="29">
        <v>46171.6513888889</v>
      </c>
      <c r="O9" s="29">
        <v>46159.888912037</v>
      </c>
    </row>
    <row r="10" spans="1:15">
      <c r="A10" s="29">
        <v>46169</v>
      </c>
      <c r="B10" s="28" t="s">
        <v>116</v>
      </c>
      <c r="C10" s="28" t="s">
        <v>87</v>
      </c>
      <c r="D10" s="26"/>
      <c r="E10" s="28">
        <v>17500</v>
      </c>
      <c r="F10" s="28" t="s">
        <v>117</v>
      </c>
      <c r="G10" s="28" t="s">
        <v>118</v>
      </c>
      <c r="H10" s="28" t="s">
        <v>114</v>
      </c>
      <c r="I10" s="28" t="s">
        <v>90</v>
      </c>
      <c r="J10" s="28" t="s">
        <v>115</v>
      </c>
      <c r="K10" s="28" t="s">
        <v>20</v>
      </c>
      <c r="L10" s="29">
        <v>46169.4708333333</v>
      </c>
      <c r="M10" s="28" t="s">
        <v>20</v>
      </c>
      <c r="N10" s="29">
        <v>46169.5048611111</v>
      </c>
      <c r="O10" s="29">
        <v>46160.6504398148</v>
      </c>
    </row>
    <row r="11" spans="1:15">
      <c r="A11" s="29">
        <v>46169</v>
      </c>
      <c r="B11" s="28" t="s">
        <v>119</v>
      </c>
      <c r="C11" s="28" t="s">
        <v>87</v>
      </c>
      <c r="D11" s="26"/>
      <c r="E11" s="28">
        <v>39500</v>
      </c>
      <c r="F11" s="28" t="s">
        <v>120</v>
      </c>
      <c r="G11" s="26"/>
      <c r="H11" s="28" t="s">
        <v>121</v>
      </c>
      <c r="I11" s="28" t="s">
        <v>90</v>
      </c>
      <c r="J11" s="28" t="s">
        <v>122</v>
      </c>
      <c r="K11" s="28" t="s">
        <v>9</v>
      </c>
      <c r="L11" s="29">
        <v>46169.6180555556</v>
      </c>
      <c r="M11" s="28" t="s">
        <v>24</v>
      </c>
      <c r="N11" s="29">
        <v>46169.61875</v>
      </c>
      <c r="O11" s="29">
        <v>46148.64</v>
      </c>
    </row>
    <row r="12" spans="1:15">
      <c r="A12" s="29">
        <v>46169</v>
      </c>
      <c r="B12" s="28" t="s">
        <v>119</v>
      </c>
      <c r="C12" s="28" t="s">
        <v>87</v>
      </c>
      <c r="D12" s="26"/>
      <c r="E12" s="28">
        <v>39500</v>
      </c>
      <c r="F12" s="28" t="s">
        <v>120</v>
      </c>
      <c r="G12" s="26"/>
      <c r="H12" s="28" t="s">
        <v>89</v>
      </c>
      <c r="I12" s="28" t="s">
        <v>90</v>
      </c>
      <c r="J12" s="28" t="s">
        <v>122</v>
      </c>
      <c r="K12" s="28" t="s">
        <v>24</v>
      </c>
      <c r="L12" s="29">
        <v>46169.6180555556</v>
      </c>
      <c r="M12" s="28" t="s">
        <v>24</v>
      </c>
      <c r="N12" s="29">
        <v>46169.61875</v>
      </c>
      <c r="O12" s="29">
        <v>46148.64</v>
      </c>
    </row>
    <row r="13" spans="1:15">
      <c r="A13" s="29">
        <v>46169</v>
      </c>
      <c r="B13" s="28" t="s">
        <v>123</v>
      </c>
      <c r="C13" s="28" t="s">
        <v>87</v>
      </c>
      <c r="D13" s="26"/>
      <c r="E13" s="28">
        <v>22100</v>
      </c>
      <c r="F13" s="28" t="s">
        <v>124</v>
      </c>
      <c r="G13" s="26"/>
      <c r="H13" s="28" t="s">
        <v>114</v>
      </c>
      <c r="I13" s="28" t="s">
        <v>90</v>
      </c>
      <c r="J13" s="28" t="s">
        <v>115</v>
      </c>
      <c r="K13" s="28" t="s">
        <v>9</v>
      </c>
      <c r="L13" s="29">
        <v>46169.6138888889</v>
      </c>
      <c r="M13" s="28" t="s">
        <v>9</v>
      </c>
      <c r="N13" s="29">
        <v>46169.6173611111</v>
      </c>
      <c r="O13" s="29">
        <v>46169.5993981482</v>
      </c>
    </row>
    <row r="14" spans="1:15">
      <c r="A14" s="29">
        <v>46168</v>
      </c>
      <c r="B14" s="28" t="s">
        <v>125</v>
      </c>
      <c r="C14" s="28" t="s">
        <v>87</v>
      </c>
      <c r="D14" s="26"/>
      <c r="E14" s="28">
        <v>18300</v>
      </c>
      <c r="F14" s="28" t="s">
        <v>126</v>
      </c>
      <c r="G14" s="26"/>
      <c r="H14" s="28" t="s">
        <v>89</v>
      </c>
      <c r="I14" s="28" t="s">
        <v>90</v>
      </c>
      <c r="J14" s="28" t="s">
        <v>127</v>
      </c>
      <c r="K14" s="28" t="s">
        <v>9</v>
      </c>
      <c r="L14" s="29">
        <v>46168.7013888889</v>
      </c>
      <c r="M14" s="28" t="s">
        <v>9</v>
      </c>
      <c r="N14" s="29">
        <v>46168.7041666667</v>
      </c>
      <c r="O14" s="29">
        <v>46090.4744212963</v>
      </c>
    </row>
    <row r="15" spans="1:15">
      <c r="A15" s="29">
        <v>46168</v>
      </c>
      <c r="B15" s="28" t="s">
        <v>128</v>
      </c>
      <c r="C15" s="28" t="s">
        <v>87</v>
      </c>
      <c r="D15" s="26"/>
      <c r="E15" s="28">
        <v>1400</v>
      </c>
      <c r="F15" s="28" t="s">
        <v>129</v>
      </c>
      <c r="G15" s="28" t="s">
        <v>130</v>
      </c>
      <c r="H15" s="28" t="s">
        <v>114</v>
      </c>
      <c r="I15" s="28" t="s">
        <v>90</v>
      </c>
      <c r="J15" s="28" t="s">
        <v>115</v>
      </c>
      <c r="K15" s="28" t="s">
        <v>20</v>
      </c>
      <c r="L15" s="29">
        <v>46168.4430555556</v>
      </c>
      <c r="M15" s="28" t="s">
        <v>20</v>
      </c>
      <c r="N15" s="29">
        <v>46168.5041666667</v>
      </c>
      <c r="O15" s="29">
        <v>46167.4251157407</v>
      </c>
    </row>
    <row r="16" spans="1:15">
      <c r="A16" s="29">
        <v>46168</v>
      </c>
      <c r="B16" s="28" t="s">
        <v>131</v>
      </c>
      <c r="C16" s="28" t="s">
        <v>87</v>
      </c>
      <c r="D16" s="26"/>
      <c r="E16" s="28">
        <v>10500</v>
      </c>
      <c r="F16" s="28" t="s">
        <v>132</v>
      </c>
      <c r="G16" s="26"/>
      <c r="H16" s="28" t="s">
        <v>121</v>
      </c>
      <c r="I16" s="28" t="s">
        <v>90</v>
      </c>
      <c r="J16" s="28" t="s">
        <v>91</v>
      </c>
      <c r="K16" s="28" t="s">
        <v>30</v>
      </c>
      <c r="L16" s="29">
        <v>46168.6215277778</v>
      </c>
      <c r="M16" s="28" t="s">
        <v>133</v>
      </c>
      <c r="N16" s="29">
        <v>46168.70625</v>
      </c>
      <c r="O16" s="29">
        <v>46168.6217708333</v>
      </c>
    </row>
    <row r="17" spans="1:15">
      <c r="A17" s="29">
        <v>46167</v>
      </c>
      <c r="B17" s="28" t="s">
        <v>131</v>
      </c>
      <c r="C17" s="28" t="s">
        <v>87</v>
      </c>
      <c r="D17" s="26"/>
      <c r="E17" s="28">
        <v>11337.25</v>
      </c>
      <c r="F17" s="28" t="s">
        <v>132</v>
      </c>
      <c r="G17" s="26"/>
      <c r="H17" s="28" t="s">
        <v>121</v>
      </c>
      <c r="I17" s="28" t="s">
        <v>90</v>
      </c>
      <c r="J17" s="28" t="s">
        <v>91</v>
      </c>
      <c r="K17" s="28" t="s">
        <v>30</v>
      </c>
      <c r="L17" s="29">
        <v>46167.8923611111</v>
      </c>
      <c r="M17" s="28" t="s">
        <v>133</v>
      </c>
      <c r="N17" s="29">
        <v>46170.8888888889</v>
      </c>
      <c r="O17" s="29">
        <v>46167.8846990741</v>
      </c>
    </row>
    <row r="18" spans="1:15">
      <c r="A18" s="29">
        <v>46167</v>
      </c>
      <c r="B18" s="28" t="s">
        <v>134</v>
      </c>
      <c r="C18" s="28" t="s">
        <v>87</v>
      </c>
      <c r="D18" s="26"/>
      <c r="E18" s="28">
        <v>6650</v>
      </c>
      <c r="F18" s="28" t="s">
        <v>135</v>
      </c>
      <c r="G18" s="28" t="s">
        <v>113</v>
      </c>
      <c r="H18" s="28" t="s">
        <v>114</v>
      </c>
      <c r="I18" s="28" t="s">
        <v>90</v>
      </c>
      <c r="J18" s="28" t="s">
        <v>115</v>
      </c>
      <c r="K18" s="28" t="s">
        <v>9</v>
      </c>
      <c r="L18" s="29">
        <v>46167.7326388889</v>
      </c>
      <c r="M18" s="28" t="s">
        <v>9</v>
      </c>
      <c r="N18" s="29">
        <v>46167.7333333333</v>
      </c>
      <c r="O18" s="29">
        <v>46167.6260300926</v>
      </c>
    </row>
    <row r="19" spans="1:15">
      <c r="A19" s="29">
        <v>46167</v>
      </c>
      <c r="B19" s="28" t="s">
        <v>134</v>
      </c>
      <c r="C19" s="28" t="s">
        <v>87</v>
      </c>
      <c r="D19" s="26"/>
      <c r="E19" s="28">
        <v>6650</v>
      </c>
      <c r="F19" s="28" t="s">
        <v>135</v>
      </c>
      <c r="G19" s="28" t="s">
        <v>113</v>
      </c>
      <c r="H19" s="28" t="s">
        <v>121</v>
      </c>
      <c r="I19" s="28" t="s">
        <v>90</v>
      </c>
      <c r="J19" s="28" t="s">
        <v>115</v>
      </c>
      <c r="K19" s="28" t="s">
        <v>20</v>
      </c>
      <c r="L19" s="29">
        <v>46167.7326388889</v>
      </c>
      <c r="M19" s="28" t="s">
        <v>9</v>
      </c>
      <c r="N19" s="29">
        <v>46167.7333333333</v>
      </c>
      <c r="O19" s="29">
        <v>46167.6260300926</v>
      </c>
    </row>
    <row r="20" spans="1:15">
      <c r="A20" s="29">
        <v>46166</v>
      </c>
      <c r="B20" s="28" t="s">
        <v>136</v>
      </c>
      <c r="C20" s="28" t="s">
        <v>87</v>
      </c>
      <c r="D20" s="26"/>
      <c r="E20" s="28">
        <v>92300</v>
      </c>
      <c r="F20" s="28" t="s">
        <v>137</v>
      </c>
      <c r="G20" s="26"/>
      <c r="H20" s="28" t="s">
        <v>114</v>
      </c>
      <c r="I20" s="28" t="s">
        <v>90</v>
      </c>
      <c r="J20" s="28" t="s">
        <v>138</v>
      </c>
      <c r="K20" s="28" t="s">
        <v>24</v>
      </c>
      <c r="L20" s="29">
        <v>46166.5638888889</v>
      </c>
      <c r="M20" s="28" t="s">
        <v>24</v>
      </c>
      <c r="N20" s="29">
        <v>46170.4381944444</v>
      </c>
      <c r="O20" s="29">
        <v>46146.7324537037</v>
      </c>
    </row>
    <row r="21" spans="1:15">
      <c r="A21" s="29">
        <v>46165</v>
      </c>
      <c r="B21" s="28" t="s">
        <v>139</v>
      </c>
      <c r="C21" s="28" t="s">
        <v>87</v>
      </c>
      <c r="D21" s="26"/>
      <c r="E21" s="28">
        <v>31500</v>
      </c>
      <c r="F21" s="28" t="s">
        <v>140</v>
      </c>
      <c r="G21" s="28" t="s">
        <v>141</v>
      </c>
      <c r="H21" s="28" t="s">
        <v>114</v>
      </c>
      <c r="I21" s="28" t="s">
        <v>90</v>
      </c>
      <c r="J21" s="28" t="s">
        <v>115</v>
      </c>
      <c r="K21" s="28" t="s">
        <v>20</v>
      </c>
      <c r="L21" s="29">
        <v>46165.5972222222</v>
      </c>
      <c r="M21" s="28" t="s">
        <v>20</v>
      </c>
      <c r="N21" s="29">
        <v>46165.5986111111</v>
      </c>
      <c r="O21" s="29">
        <v>46160.471099537</v>
      </c>
    </row>
    <row r="22" spans="1:15">
      <c r="A22" s="29">
        <v>46165</v>
      </c>
      <c r="B22" s="28" t="s">
        <v>142</v>
      </c>
      <c r="C22" s="28" t="s">
        <v>87</v>
      </c>
      <c r="D22" s="26"/>
      <c r="E22" s="28">
        <v>7650</v>
      </c>
      <c r="F22" s="28" t="s">
        <v>143</v>
      </c>
      <c r="G22" s="26"/>
      <c r="H22" s="28" t="s">
        <v>89</v>
      </c>
      <c r="I22" s="28" t="s">
        <v>90</v>
      </c>
      <c r="J22" s="28" t="s">
        <v>144</v>
      </c>
      <c r="K22" s="28" t="s">
        <v>9</v>
      </c>
      <c r="L22" s="29">
        <v>46165.5673611111</v>
      </c>
      <c r="M22" s="28" t="s">
        <v>9</v>
      </c>
      <c r="N22" s="29">
        <v>46165.5756944444</v>
      </c>
      <c r="O22" s="29">
        <v>46153.5097685185</v>
      </c>
    </row>
    <row r="23" spans="1:15">
      <c r="A23" s="29">
        <v>46164</v>
      </c>
      <c r="B23" s="28" t="s">
        <v>145</v>
      </c>
      <c r="C23" s="28" t="s">
        <v>87</v>
      </c>
      <c r="D23" s="26"/>
      <c r="E23" s="28">
        <v>14900.1</v>
      </c>
      <c r="F23" s="28" t="s">
        <v>146</v>
      </c>
      <c r="G23" s="26"/>
      <c r="H23" s="28" t="s">
        <v>114</v>
      </c>
      <c r="I23" s="28" t="s">
        <v>90</v>
      </c>
      <c r="J23" s="28" t="s">
        <v>115</v>
      </c>
      <c r="K23" s="28" t="s">
        <v>9</v>
      </c>
      <c r="L23" s="29">
        <v>46166.7541666667</v>
      </c>
      <c r="M23" s="28" t="s">
        <v>9</v>
      </c>
      <c r="N23" s="29">
        <v>46166.7548611111</v>
      </c>
      <c r="O23" s="29">
        <v>46166.7542708333</v>
      </c>
    </row>
    <row r="24" spans="1:15">
      <c r="A24" s="29">
        <v>46163</v>
      </c>
      <c r="B24" s="28" t="s">
        <v>147</v>
      </c>
      <c r="C24" s="28" t="s">
        <v>87</v>
      </c>
      <c r="D24" s="26"/>
      <c r="E24" s="28">
        <v>91800</v>
      </c>
      <c r="F24" s="28" t="s">
        <v>148</v>
      </c>
      <c r="G24" s="28" t="s">
        <v>9</v>
      </c>
      <c r="H24" s="28" t="s">
        <v>114</v>
      </c>
      <c r="I24" s="28" t="s">
        <v>90</v>
      </c>
      <c r="J24" s="28" t="s">
        <v>149</v>
      </c>
      <c r="K24" s="28" t="s">
        <v>9</v>
      </c>
      <c r="L24" s="29">
        <v>46163.9736111111</v>
      </c>
      <c r="M24" s="28" t="s">
        <v>9</v>
      </c>
      <c r="N24" s="29">
        <v>46163.9736111111</v>
      </c>
      <c r="O24" s="29">
        <v>46160.8792592593</v>
      </c>
    </row>
    <row r="25" spans="1:15">
      <c r="A25" s="29">
        <v>46163</v>
      </c>
      <c r="B25" s="28" t="s">
        <v>150</v>
      </c>
      <c r="C25" s="28" t="s">
        <v>87</v>
      </c>
      <c r="D25" s="26"/>
      <c r="E25" s="28">
        <v>8613</v>
      </c>
      <c r="F25" s="26"/>
      <c r="G25" s="28" t="s">
        <v>151</v>
      </c>
      <c r="H25" s="28" t="s">
        <v>121</v>
      </c>
      <c r="I25" s="28" t="s">
        <v>152</v>
      </c>
      <c r="J25" s="28" t="s">
        <v>102</v>
      </c>
      <c r="K25" s="28" t="s">
        <v>9</v>
      </c>
      <c r="L25" s="29">
        <v>46163.8097222222</v>
      </c>
      <c r="M25" s="28" t="s">
        <v>20</v>
      </c>
      <c r="N25" s="29">
        <v>46163.8104166667</v>
      </c>
      <c r="O25" s="29">
        <v>46163.8093518519</v>
      </c>
    </row>
    <row r="26" spans="1:15">
      <c r="A26" s="29">
        <v>46163</v>
      </c>
      <c r="B26" s="28" t="s">
        <v>150</v>
      </c>
      <c r="C26" s="28" t="s">
        <v>87</v>
      </c>
      <c r="D26" s="26"/>
      <c r="E26" s="28">
        <v>8613</v>
      </c>
      <c r="F26" s="26"/>
      <c r="G26" s="28" t="s">
        <v>151</v>
      </c>
      <c r="H26" s="28" t="s">
        <v>114</v>
      </c>
      <c r="I26" s="28" t="s">
        <v>152</v>
      </c>
      <c r="J26" s="28" t="s">
        <v>102</v>
      </c>
      <c r="K26" s="28" t="s">
        <v>20</v>
      </c>
      <c r="L26" s="29">
        <v>46163.8097222222</v>
      </c>
      <c r="M26" s="28" t="s">
        <v>20</v>
      </c>
      <c r="N26" s="29">
        <v>46163.8104166667</v>
      </c>
      <c r="O26" s="29">
        <v>46163.8093518519</v>
      </c>
    </row>
    <row r="27" spans="1:15">
      <c r="A27" s="29">
        <v>46163</v>
      </c>
      <c r="B27" s="28" t="s">
        <v>153</v>
      </c>
      <c r="C27" s="28" t="s">
        <v>87</v>
      </c>
      <c r="D27" s="26"/>
      <c r="E27" s="28">
        <v>12500</v>
      </c>
      <c r="F27" s="28" t="s">
        <v>154</v>
      </c>
      <c r="G27" s="28" t="s">
        <v>155</v>
      </c>
      <c r="H27" s="28" t="s">
        <v>121</v>
      </c>
      <c r="I27" s="28" t="s">
        <v>90</v>
      </c>
      <c r="J27" s="28" t="s">
        <v>102</v>
      </c>
      <c r="K27" s="28" t="s">
        <v>20</v>
      </c>
      <c r="L27" s="29">
        <v>46163.8333333333</v>
      </c>
      <c r="M27" s="28" t="s">
        <v>30</v>
      </c>
      <c r="N27" s="29">
        <v>46163.8805555556</v>
      </c>
      <c r="O27" s="29">
        <v>46163.6212847222</v>
      </c>
    </row>
    <row r="28" spans="1:15">
      <c r="A28" s="29">
        <v>46163</v>
      </c>
      <c r="B28" s="28" t="s">
        <v>153</v>
      </c>
      <c r="C28" s="28" t="s">
        <v>87</v>
      </c>
      <c r="D28" s="26"/>
      <c r="E28" s="28">
        <v>12500</v>
      </c>
      <c r="F28" s="28" t="s">
        <v>154</v>
      </c>
      <c r="G28" s="28" t="s">
        <v>155</v>
      </c>
      <c r="H28" s="28" t="s">
        <v>89</v>
      </c>
      <c r="I28" s="28" t="s">
        <v>90</v>
      </c>
      <c r="J28" s="28" t="s">
        <v>102</v>
      </c>
      <c r="K28" s="28" t="s">
        <v>30</v>
      </c>
      <c r="L28" s="29">
        <v>46163.8333333333</v>
      </c>
      <c r="M28" s="28" t="s">
        <v>30</v>
      </c>
      <c r="N28" s="29">
        <v>46163.8805555556</v>
      </c>
      <c r="O28" s="29">
        <v>46163.6212847222</v>
      </c>
    </row>
    <row r="29" spans="1:15">
      <c r="A29" s="29">
        <v>46162</v>
      </c>
      <c r="B29" s="28" t="s">
        <v>156</v>
      </c>
      <c r="C29" s="28" t="s">
        <v>87</v>
      </c>
      <c r="D29" s="26"/>
      <c r="E29" s="28">
        <v>20300</v>
      </c>
      <c r="F29" s="28" t="s">
        <v>157</v>
      </c>
      <c r="G29" s="26"/>
      <c r="H29" s="28" t="s">
        <v>89</v>
      </c>
      <c r="I29" s="28" t="s">
        <v>90</v>
      </c>
      <c r="J29" s="28" t="s">
        <v>127</v>
      </c>
      <c r="K29" s="28" t="s">
        <v>20</v>
      </c>
      <c r="L29" s="29">
        <v>46162.4263888889</v>
      </c>
      <c r="M29" s="28" t="s">
        <v>20</v>
      </c>
      <c r="N29" s="29">
        <v>46162.4270833333</v>
      </c>
      <c r="O29" s="29">
        <v>46161.4401851852</v>
      </c>
    </row>
    <row r="30" spans="1:15">
      <c r="A30" s="29">
        <v>46161</v>
      </c>
      <c r="B30" s="28" t="s">
        <v>158</v>
      </c>
      <c r="C30" s="28" t="s">
        <v>87</v>
      </c>
      <c r="D30" s="26"/>
      <c r="E30" s="28">
        <v>22674.5</v>
      </c>
      <c r="F30" s="28" t="s">
        <v>159</v>
      </c>
      <c r="G30" s="26"/>
      <c r="H30" s="28" t="s">
        <v>89</v>
      </c>
      <c r="I30" s="28" t="s">
        <v>90</v>
      </c>
      <c r="J30" s="28" t="s">
        <v>127</v>
      </c>
      <c r="K30" s="28" t="s">
        <v>24</v>
      </c>
      <c r="L30" s="29">
        <v>46161.7666666667</v>
      </c>
      <c r="M30" s="28" t="s">
        <v>24</v>
      </c>
      <c r="N30" s="29">
        <v>46161.7666666667</v>
      </c>
      <c r="O30" s="29">
        <v>46155.8742708333</v>
      </c>
    </row>
    <row r="31" spans="1:15">
      <c r="A31" s="29">
        <v>46161</v>
      </c>
      <c r="B31" s="28" t="s">
        <v>160</v>
      </c>
      <c r="C31" s="28" t="s">
        <v>87</v>
      </c>
      <c r="D31" s="26"/>
      <c r="E31" s="28">
        <v>15300</v>
      </c>
      <c r="F31" s="28" t="s">
        <v>161</v>
      </c>
      <c r="G31" s="26"/>
      <c r="H31" s="28" t="s">
        <v>114</v>
      </c>
      <c r="I31" s="28" t="s">
        <v>90</v>
      </c>
      <c r="J31" s="28" t="s">
        <v>162</v>
      </c>
      <c r="K31" s="28" t="s">
        <v>9</v>
      </c>
      <c r="L31" s="29">
        <v>46161.85625</v>
      </c>
      <c r="M31" s="28" t="s">
        <v>9</v>
      </c>
      <c r="N31" s="29">
        <v>46161.85625</v>
      </c>
      <c r="O31" s="29">
        <v>46161.8559606482</v>
      </c>
    </row>
    <row r="32" spans="1:15">
      <c r="A32" s="29">
        <v>46161</v>
      </c>
      <c r="B32" s="28" t="s">
        <v>163</v>
      </c>
      <c r="C32" s="28" t="s">
        <v>87</v>
      </c>
      <c r="D32" s="26"/>
      <c r="E32" s="28">
        <v>5955.2</v>
      </c>
      <c r="F32" s="28" t="s">
        <v>164</v>
      </c>
      <c r="G32" s="26"/>
      <c r="H32" s="28" t="s">
        <v>89</v>
      </c>
      <c r="I32" s="28" t="s">
        <v>90</v>
      </c>
      <c r="J32" s="28" t="s">
        <v>122</v>
      </c>
      <c r="K32" s="28" t="s">
        <v>30</v>
      </c>
      <c r="L32" s="29">
        <v>46161.8034722222</v>
      </c>
      <c r="M32" s="28" t="s">
        <v>30</v>
      </c>
      <c r="N32" s="29">
        <v>46162.4270833333</v>
      </c>
      <c r="O32" s="29">
        <v>46156.9234259259</v>
      </c>
    </row>
    <row r="33" spans="1:15">
      <c r="A33" s="29">
        <v>46160</v>
      </c>
      <c r="B33" s="28" t="s">
        <v>165</v>
      </c>
      <c r="C33" s="28" t="s">
        <v>87</v>
      </c>
      <c r="D33" s="26"/>
      <c r="E33" s="28">
        <v>11900</v>
      </c>
      <c r="F33" s="28" t="s">
        <v>166</v>
      </c>
      <c r="G33" s="28" t="s">
        <v>167</v>
      </c>
      <c r="H33" s="28" t="s">
        <v>114</v>
      </c>
      <c r="I33" s="28" t="s">
        <v>90</v>
      </c>
      <c r="J33" s="28" t="s">
        <v>115</v>
      </c>
      <c r="K33" s="28" t="s">
        <v>9</v>
      </c>
      <c r="L33" s="29">
        <v>46160.3979166667</v>
      </c>
      <c r="M33" s="28" t="s">
        <v>9</v>
      </c>
      <c r="N33" s="29">
        <v>46160.3993055556</v>
      </c>
      <c r="O33" s="29">
        <v>46153.6324074074</v>
      </c>
    </row>
    <row r="34" spans="1:15">
      <c r="A34" s="29">
        <v>46159</v>
      </c>
      <c r="B34" s="28" t="s">
        <v>168</v>
      </c>
      <c r="C34" s="28" t="s">
        <v>87</v>
      </c>
      <c r="D34" s="26"/>
      <c r="E34" s="28">
        <v>3000</v>
      </c>
      <c r="F34" s="28" t="s">
        <v>169</v>
      </c>
      <c r="G34" s="28" t="s">
        <v>170</v>
      </c>
      <c r="H34" s="28" t="s">
        <v>114</v>
      </c>
      <c r="I34" s="28" t="s">
        <v>90</v>
      </c>
      <c r="J34" s="28" t="s">
        <v>115</v>
      </c>
      <c r="K34" s="28" t="s">
        <v>9</v>
      </c>
      <c r="L34" s="29">
        <v>46159.6979166667</v>
      </c>
      <c r="M34" s="28" t="s">
        <v>9</v>
      </c>
      <c r="N34" s="29">
        <v>46159.7</v>
      </c>
      <c r="O34" s="29">
        <v>46159.6958912037</v>
      </c>
    </row>
    <row r="35" spans="1:15">
      <c r="A35" s="29">
        <v>46159</v>
      </c>
      <c r="B35" s="28" t="s">
        <v>139</v>
      </c>
      <c r="C35" s="28" t="s">
        <v>87</v>
      </c>
      <c r="D35" s="26"/>
      <c r="E35" s="28">
        <v>33500</v>
      </c>
      <c r="F35" s="28" t="s">
        <v>140</v>
      </c>
      <c r="G35" s="28" t="s">
        <v>141</v>
      </c>
      <c r="H35" s="28" t="s">
        <v>114</v>
      </c>
      <c r="I35" s="28" t="s">
        <v>90</v>
      </c>
      <c r="J35" s="28" t="s">
        <v>115</v>
      </c>
      <c r="K35" s="28" t="s">
        <v>20</v>
      </c>
      <c r="L35" s="29">
        <v>46159.4861111111</v>
      </c>
      <c r="M35" s="28" t="s">
        <v>20</v>
      </c>
      <c r="N35" s="29">
        <v>46159.5555555556</v>
      </c>
      <c r="O35" s="29">
        <v>46151.4994444444</v>
      </c>
    </row>
    <row r="36" spans="1:15">
      <c r="A36" s="29">
        <v>46159</v>
      </c>
      <c r="B36" s="28" t="s">
        <v>171</v>
      </c>
      <c r="C36" s="28" t="s">
        <v>87</v>
      </c>
      <c r="D36" s="26"/>
      <c r="E36" s="28">
        <v>33800</v>
      </c>
      <c r="F36" s="28" t="s">
        <v>172</v>
      </c>
      <c r="G36" s="28" t="s">
        <v>173</v>
      </c>
      <c r="H36" s="28" t="s">
        <v>114</v>
      </c>
      <c r="I36" s="28" t="s">
        <v>90</v>
      </c>
      <c r="J36" s="28" t="s">
        <v>115</v>
      </c>
      <c r="K36" s="28" t="s">
        <v>9</v>
      </c>
      <c r="L36" s="29">
        <v>46159.6298611111</v>
      </c>
      <c r="M36" s="28" t="s">
        <v>9</v>
      </c>
      <c r="N36" s="29">
        <v>46159.63125</v>
      </c>
      <c r="O36" s="29">
        <v>46159.4477430556</v>
      </c>
    </row>
    <row r="37" spans="1:15">
      <c r="A37" s="29">
        <v>46158</v>
      </c>
      <c r="B37" s="28" t="s">
        <v>174</v>
      </c>
      <c r="C37" s="28" t="s">
        <v>87</v>
      </c>
      <c r="D37" s="26"/>
      <c r="E37" s="28">
        <v>50000</v>
      </c>
      <c r="F37" s="28" t="s">
        <v>175</v>
      </c>
      <c r="G37" s="28" t="s">
        <v>176</v>
      </c>
      <c r="H37" s="28" t="s">
        <v>89</v>
      </c>
      <c r="I37" s="28" t="s">
        <v>90</v>
      </c>
      <c r="J37" s="28" t="s">
        <v>95</v>
      </c>
      <c r="K37" s="28" t="s">
        <v>9</v>
      </c>
      <c r="L37" s="29">
        <v>46158.7743055556</v>
      </c>
      <c r="M37" s="28" t="s">
        <v>9</v>
      </c>
      <c r="N37" s="29">
        <v>46158.7756944444</v>
      </c>
      <c r="O37" s="29">
        <v>46144.793275463</v>
      </c>
    </row>
    <row r="38" spans="1:15">
      <c r="A38" s="29">
        <v>46158</v>
      </c>
      <c r="B38" s="28" t="s">
        <v>177</v>
      </c>
      <c r="C38" s="28" t="s">
        <v>87</v>
      </c>
      <c r="D38" s="26"/>
      <c r="E38" s="28">
        <v>25150</v>
      </c>
      <c r="F38" s="28" t="s">
        <v>178</v>
      </c>
      <c r="G38" s="28" t="s">
        <v>179</v>
      </c>
      <c r="H38" s="28" t="s">
        <v>89</v>
      </c>
      <c r="I38" s="28" t="s">
        <v>90</v>
      </c>
      <c r="J38" s="28" t="s">
        <v>95</v>
      </c>
      <c r="K38" s="28" t="s">
        <v>9</v>
      </c>
      <c r="L38" s="29">
        <v>46158.7506944444</v>
      </c>
      <c r="M38" s="28" t="s">
        <v>9</v>
      </c>
      <c r="N38" s="29">
        <v>46158.7555555556</v>
      </c>
      <c r="O38" s="29">
        <v>46134.8356134259</v>
      </c>
    </row>
    <row r="39" spans="1:15">
      <c r="A39" s="29">
        <v>46158</v>
      </c>
      <c r="B39" s="28" t="s">
        <v>180</v>
      </c>
      <c r="C39" s="28" t="s">
        <v>87</v>
      </c>
      <c r="D39" s="26"/>
      <c r="E39" s="28">
        <v>53400</v>
      </c>
      <c r="F39" s="28" t="s">
        <v>181</v>
      </c>
      <c r="G39" s="28" t="s">
        <v>182</v>
      </c>
      <c r="H39" s="28" t="s">
        <v>114</v>
      </c>
      <c r="I39" s="28" t="s">
        <v>90</v>
      </c>
      <c r="J39" s="28" t="s">
        <v>115</v>
      </c>
      <c r="K39" s="28" t="s">
        <v>9</v>
      </c>
      <c r="L39" s="29">
        <v>46158.5534722222</v>
      </c>
      <c r="M39" s="28" t="s">
        <v>9</v>
      </c>
      <c r="N39" s="29">
        <v>46158.6631944444</v>
      </c>
      <c r="O39" s="29">
        <v>46153.8103240741</v>
      </c>
    </row>
    <row r="40" spans="1:15">
      <c r="A40" s="29">
        <v>46158</v>
      </c>
      <c r="B40" s="28" t="s">
        <v>183</v>
      </c>
      <c r="C40" s="28" t="s">
        <v>87</v>
      </c>
      <c r="D40" s="26"/>
      <c r="E40" s="28">
        <v>49800</v>
      </c>
      <c r="F40" s="28" t="s">
        <v>184</v>
      </c>
      <c r="G40" s="28" t="s">
        <v>9</v>
      </c>
      <c r="H40" s="28" t="s">
        <v>114</v>
      </c>
      <c r="I40" s="28" t="s">
        <v>90</v>
      </c>
      <c r="J40" s="28" t="s">
        <v>149</v>
      </c>
      <c r="K40" s="28" t="s">
        <v>9</v>
      </c>
      <c r="L40" s="29">
        <v>46158.7694444444</v>
      </c>
      <c r="M40" s="28" t="s">
        <v>9</v>
      </c>
      <c r="N40" s="29">
        <v>46158.7694444444</v>
      </c>
      <c r="O40" s="29">
        <v>46137.5065277778</v>
      </c>
    </row>
    <row r="41" spans="1:15">
      <c r="A41" s="29">
        <v>46158</v>
      </c>
      <c r="B41" s="28" t="s">
        <v>185</v>
      </c>
      <c r="C41" s="28" t="s">
        <v>87</v>
      </c>
      <c r="D41" s="26"/>
      <c r="E41" s="28">
        <v>3680</v>
      </c>
      <c r="F41" s="28" t="s">
        <v>186</v>
      </c>
      <c r="G41" s="28" t="s">
        <v>187</v>
      </c>
      <c r="H41" s="28" t="s">
        <v>114</v>
      </c>
      <c r="I41" s="28" t="s">
        <v>90</v>
      </c>
      <c r="J41" s="28" t="s">
        <v>115</v>
      </c>
      <c r="K41" s="28" t="s">
        <v>9</v>
      </c>
      <c r="L41" s="29">
        <v>46158.8347222222</v>
      </c>
      <c r="M41" s="28" t="s">
        <v>9</v>
      </c>
      <c r="N41" s="29">
        <v>46158.8347222222</v>
      </c>
      <c r="O41" s="29">
        <v>46154.8546412037</v>
      </c>
    </row>
    <row r="42" spans="1:15">
      <c r="A42" s="29">
        <v>46157</v>
      </c>
      <c r="B42" s="28" t="s">
        <v>188</v>
      </c>
      <c r="C42" s="28" t="s">
        <v>87</v>
      </c>
      <c r="D42" s="26"/>
      <c r="E42" s="28">
        <v>56150</v>
      </c>
      <c r="F42" s="28" t="s">
        <v>189</v>
      </c>
      <c r="G42" s="26"/>
      <c r="H42" s="28" t="s">
        <v>89</v>
      </c>
      <c r="I42" s="28" t="s">
        <v>90</v>
      </c>
      <c r="J42" s="28" t="s">
        <v>190</v>
      </c>
      <c r="K42" s="28" t="s">
        <v>20</v>
      </c>
      <c r="L42" s="29">
        <v>46157.85625</v>
      </c>
      <c r="M42" s="28" t="s">
        <v>20</v>
      </c>
      <c r="N42" s="29">
        <v>46158.4604166667</v>
      </c>
      <c r="O42" s="29">
        <v>46153.6236574074</v>
      </c>
    </row>
    <row r="43" spans="1:15">
      <c r="A43" s="29">
        <v>46157</v>
      </c>
      <c r="B43" s="28" t="s">
        <v>191</v>
      </c>
      <c r="C43" s="28" t="s">
        <v>87</v>
      </c>
      <c r="D43" s="26"/>
      <c r="E43" s="28">
        <v>63500</v>
      </c>
      <c r="F43" s="28" t="s">
        <v>192</v>
      </c>
      <c r="G43" s="26"/>
      <c r="H43" s="28" t="s">
        <v>89</v>
      </c>
      <c r="I43" s="28" t="s">
        <v>90</v>
      </c>
      <c r="J43" s="28" t="s">
        <v>193</v>
      </c>
      <c r="K43" s="28" t="s">
        <v>9</v>
      </c>
      <c r="L43" s="29">
        <v>46157.7805555556</v>
      </c>
      <c r="M43" s="28" t="s">
        <v>9</v>
      </c>
      <c r="N43" s="29">
        <v>46157.78125</v>
      </c>
      <c r="O43" s="29">
        <v>46156.5370601852</v>
      </c>
    </row>
    <row r="44" spans="1:15">
      <c r="A44" s="29">
        <v>46157</v>
      </c>
      <c r="B44" s="28" t="s">
        <v>194</v>
      </c>
      <c r="C44" s="28" t="s">
        <v>87</v>
      </c>
      <c r="D44" s="26"/>
      <c r="E44" s="28">
        <v>33500</v>
      </c>
      <c r="F44" s="28" t="s">
        <v>195</v>
      </c>
      <c r="G44" s="26"/>
      <c r="H44" s="28" t="s">
        <v>114</v>
      </c>
      <c r="I44" s="28" t="s">
        <v>90</v>
      </c>
      <c r="J44" s="28" t="s">
        <v>122</v>
      </c>
      <c r="K44" s="28" t="s">
        <v>20</v>
      </c>
      <c r="L44" s="29">
        <v>46157.4361111111</v>
      </c>
      <c r="M44" s="28" t="s">
        <v>20</v>
      </c>
      <c r="N44" s="29">
        <v>46157.4368055556</v>
      </c>
      <c r="O44" s="29">
        <v>46156.8922106481</v>
      </c>
    </row>
    <row r="45" spans="1:15">
      <c r="A45" s="29">
        <v>46157</v>
      </c>
      <c r="B45" s="28" t="s">
        <v>196</v>
      </c>
      <c r="C45" s="28" t="s">
        <v>87</v>
      </c>
      <c r="D45" s="26"/>
      <c r="E45" s="28">
        <v>25650</v>
      </c>
      <c r="F45" s="28" t="s">
        <v>197</v>
      </c>
      <c r="G45" s="26"/>
      <c r="H45" s="28" t="s">
        <v>114</v>
      </c>
      <c r="I45" s="28" t="s">
        <v>90</v>
      </c>
      <c r="J45" s="28" t="s">
        <v>127</v>
      </c>
      <c r="K45" s="28" t="s">
        <v>30</v>
      </c>
      <c r="L45" s="29">
        <v>46157.4354166667</v>
      </c>
      <c r="M45" s="28" t="s">
        <v>30</v>
      </c>
      <c r="N45" s="29">
        <v>46157.4590277778</v>
      </c>
      <c r="O45" s="29">
        <v>46155.7288425926</v>
      </c>
    </row>
    <row r="46" spans="1:15">
      <c r="A46" s="29">
        <v>46157</v>
      </c>
      <c r="B46" s="28" t="s">
        <v>196</v>
      </c>
      <c r="C46" s="28" t="s">
        <v>87</v>
      </c>
      <c r="D46" s="26"/>
      <c r="E46" s="28">
        <v>25650</v>
      </c>
      <c r="F46" s="28" t="s">
        <v>197</v>
      </c>
      <c r="G46" s="26"/>
      <c r="H46" s="28" t="s">
        <v>121</v>
      </c>
      <c r="I46" s="28" t="s">
        <v>90</v>
      </c>
      <c r="J46" s="28" t="s">
        <v>127</v>
      </c>
      <c r="K46" s="28" t="s">
        <v>20</v>
      </c>
      <c r="L46" s="29">
        <v>46157.4354166667</v>
      </c>
      <c r="M46" s="28" t="s">
        <v>30</v>
      </c>
      <c r="N46" s="29">
        <v>46157.4590277778</v>
      </c>
      <c r="O46" s="29">
        <v>46155.7288425926</v>
      </c>
    </row>
    <row r="47" spans="1:15">
      <c r="A47" s="29">
        <v>46157</v>
      </c>
      <c r="B47" s="28" t="s">
        <v>198</v>
      </c>
      <c r="C47" s="28" t="s">
        <v>87</v>
      </c>
      <c r="D47" s="26"/>
      <c r="E47" s="28">
        <v>3680</v>
      </c>
      <c r="F47" s="28" t="s">
        <v>199</v>
      </c>
      <c r="G47" s="28" t="s">
        <v>187</v>
      </c>
      <c r="H47" s="28" t="s">
        <v>114</v>
      </c>
      <c r="I47" s="28" t="s">
        <v>90</v>
      </c>
      <c r="J47" s="28" t="s">
        <v>115</v>
      </c>
      <c r="K47" s="28" t="s">
        <v>9</v>
      </c>
      <c r="L47" s="29">
        <v>46157.4548611111</v>
      </c>
      <c r="M47" s="28" t="s">
        <v>9</v>
      </c>
      <c r="N47" s="29">
        <v>46157.4666666667</v>
      </c>
      <c r="O47" s="29">
        <v>46157.4554513889</v>
      </c>
    </row>
    <row r="48" spans="1:15">
      <c r="A48" s="29">
        <v>46156</v>
      </c>
      <c r="B48" s="28" t="s">
        <v>200</v>
      </c>
      <c r="C48" s="28" t="s">
        <v>87</v>
      </c>
      <c r="D48" s="26"/>
      <c r="E48" s="28">
        <v>60300</v>
      </c>
      <c r="F48" s="28" t="s">
        <v>201</v>
      </c>
      <c r="G48" s="26"/>
      <c r="H48" s="28" t="s">
        <v>89</v>
      </c>
      <c r="I48" s="28" t="s">
        <v>90</v>
      </c>
      <c r="J48" s="28" t="s">
        <v>138</v>
      </c>
      <c r="K48" s="28" t="s">
        <v>24</v>
      </c>
      <c r="L48" s="29">
        <v>46156.4381944444</v>
      </c>
      <c r="M48" s="28" t="s">
        <v>24</v>
      </c>
      <c r="N48" s="29">
        <v>46156.4388888889</v>
      </c>
      <c r="O48" s="29">
        <v>46139.737337963</v>
      </c>
    </row>
    <row r="49" spans="1:15">
      <c r="A49" s="29">
        <v>46156</v>
      </c>
      <c r="B49" s="28" t="s">
        <v>202</v>
      </c>
      <c r="C49" s="28" t="s">
        <v>87</v>
      </c>
      <c r="D49" s="26"/>
      <c r="E49" s="28">
        <v>120300</v>
      </c>
      <c r="F49" s="28" t="s">
        <v>203</v>
      </c>
      <c r="G49" s="28" t="s">
        <v>204</v>
      </c>
      <c r="H49" s="28" t="s">
        <v>89</v>
      </c>
      <c r="I49" s="28" t="s">
        <v>90</v>
      </c>
      <c r="J49" s="28" t="s">
        <v>102</v>
      </c>
      <c r="K49" s="28" t="s">
        <v>9</v>
      </c>
      <c r="L49" s="29">
        <v>46156.5666666667</v>
      </c>
      <c r="M49" s="28" t="s">
        <v>9</v>
      </c>
      <c r="N49" s="29">
        <v>46156.56875</v>
      </c>
      <c r="O49" s="29">
        <v>46148.8575462963</v>
      </c>
    </row>
    <row r="50" spans="1:15">
      <c r="A50" s="29">
        <v>46155</v>
      </c>
      <c r="B50" s="28" t="s">
        <v>205</v>
      </c>
      <c r="C50" s="28" t="s">
        <v>87</v>
      </c>
      <c r="D50" s="26"/>
      <c r="E50" s="28">
        <v>24900</v>
      </c>
      <c r="F50" s="28" t="s">
        <v>206</v>
      </c>
      <c r="G50" s="28" t="s">
        <v>167</v>
      </c>
      <c r="H50" s="28" t="s">
        <v>121</v>
      </c>
      <c r="I50" s="28" t="s">
        <v>90</v>
      </c>
      <c r="J50" s="28" t="s">
        <v>115</v>
      </c>
      <c r="K50" s="28" t="s">
        <v>20</v>
      </c>
      <c r="L50" s="29">
        <v>46155.60625</v>
      </c>
      <c r="M50" s="28" t="s">
        <v>207</v>
      </c>
      <c r="N50" s="29">
        <v>46155.6590277778</v>
      </c>
      <c r="O50" s="29">
        <v>46151.7681944444</v>
      </c>
    </row>
    <row r="51" spans="1:15">
      <c r="A51" s="29">
        <v>46155</v>
      </c>
      <c r="B51" s="28" t="s">
        <v>208</v>
      </c>
      <c r="C51" s="28" t="s">
        <v>87</v>
      </c>
      <c r="D51" s="26"/>
      <c r="E51" s="28">
        <v>71800</v>
      </c>
      <c r="F51" s="28" t="s">
        <v>209</v>
      </c>
      <c r="G51" s="28" t="s">
        <v>210</v>
      </c>
      <c r="H51" s="28" t="s">
        <v>114</v>
      </c>
      <c r="I51" s="28" t="s">
        <v>90</v>
      </c>
      <c r="J51" s="28" t="s">
        <v>115</v>
      </c>
      <c r="K51" s="28" t="s">
        <v>20</v>
      </c>
      <c r="L51" s="29">
        <v>46155.4388888889</v>
      </c>
      <c r="M51" s="28" t="s">
        <v>20</v>
      </c>
      <c r="N51" s="29">
        <v>46155.4388888889</v>
      </c>
      <c r="O51" s="29">
        <v>46153.762349537</v>
      </c>
    </row>
    <row r="52" spans="1:15">
      <c r="A52" s="29">
        <v>46154</v>
      </c>
      <c r="B52" s="28" t="s">
        <v>211</v>
      </c>
      <c r="C52" s="28" t="s">
        <v>87</v>
      </c>
      <c r="D52" s="26"/>
      <c r="E52" s="28">
        <v>11698.2</v>
      </c>
      <c r="F52" s="28" t="s">
        <v>212</v>
      </c>
      <c r="G52" s="26"/>
      <c r="H52" s="28" t="s">
        <v>114</v>
      </c>
      <c r="I52" s="28" t="s">
        <v>152</v>
      </c>
      <c r="J52" s="28" t="s">
        <v>213</v>
      </c>
      <c r="K52" s="28" t="s">
        <v>30</v>
      </c>
      <c r="L52" s="29">
        <v>46156.4513888889</v>
      </c>
      <c r="M52" s="28" t="s">
        <v>30</v>
      </c>
      <c r="N52" s="29">
        <v>46156.4513888889</v>
      </c>
      <c r="O52" s="29">
        <v>46156.4511921296</v>
      </c>
    </row>
    <row r="53" spans="1:15">
      <c r="A53" s="29">
        <v>46154</v>
      </c>
      <c r="B53" s="28" t="s">
        <v>214</v>
      </c>
      <c r="C53" s="28" t="s">
        <v>87</v>
      </c>
      <c r="D53" s="26"/>
      <c r="E53" s="28">
        <v>52250</v>
      </c>
      <c r="F53" s="28" t="s">
        <v>215</v>
      </c>
      <c r="G53" s="28" t="s">
        <v>141</v>
      </c>
      <c r="H53" s="28" t="s">
        <v>121</v>
      </c>
      <c r="I53" s="28" t="s">
        <v>90</v>
      </c>
      <c r="J53" s="28" t="s">
        <v>115</v>
      </c>
      <c r="K53" s="28" t="s">
        <v>20</v>
      </c>
      <c r="L53" s="29">
        <v>46154.625</v>
      </c>
      <c r="M53" s="28" t="s">
        <v>216</v>
      </c>
      <c r="N53" s="29">
        <v>46154.6263888889</v>
      </c>
      <c r="O53" s="29">
        <v>46145.9024074074</v>
      </c>
    </row>
    <row r="54" spans="1:15">
      <c r="A54" s="29">
        <v>46153</v>
      </c>
      <c r="B54" s="28" t="s">
        <v>217</v>
      </c>
      <c r="C54" s="28" t="s">
        <v>87</v>
      </c>
      <c r="D54" s="26"/>
      <c r="E54" s="28">
        <v>14900.1</v>
      </c>
      <c r="F54" s="28" t="s">
        <v>218</v>
      </c>
      <c r="G54" s="28" t="s">
        <v>219</v>
      </c>
      <c r="H54" s="28" t="s">
        <v>114</v>
      </c>
      <c r="I54" s="28" t="s">
        <v>90</v>
      </c>
      <c r="J54" s="28" t="s">
        <v>115</v>
      </c>
      <c r="K54" s="28" t="s">
        <v>24</v>
      </c>
      <c r="L54" s="29">
        <v>46157.44375</v>
      </c>
      <c r="M54" s="28" t="s">
        <v>24</v>
      </c>
      <c r="N54" s="29">
        <v>46157.44375</v>
      </c>
      <c r="O54" s="29">
        <v>46153.6917824074</v>
      </c>
    </row>
    <row r="55" spans="1:15">
      <c r="A55" s="29">
        <v>46153</v>
      </c>
      <c r="B55" s="28" t="s">
        <v>220</v>
      </c>
      <c r="C55" s="28" t="s">
        <v>87</v>
      </c>
      <c r="D55" s="26"/>
      <c r="E55" s="28">
        <v>54200.2</v>
      </c>
      <c r="F55" s="28" t="s">
        <v>221</v>
      </c>
      <c r="G55" s="26"/>
      <c r="H55" s="28" t="s">
        <v>89</v>
      </c>
      <c r="I55" s="28" t="s">
        <v>90</v>
      </c>
      <c r="J55" s="28" t="s">
        <v>222</v>
      </c>
      <c r="K55" s="28" t="s">
        <v>24</v>
      </c>
      <c r="L55" s="29">
        <v>46155.9125</v>
      </c>
      <c r="M55" s="28" t="s">
        <v>24</v>
      </c>
      <c r="N55" s="29">
        <v>46157.5763888889</v>
      </c>
      <c r="O55" s="29">
        <v>46146.4638425926</v>
      </c>
    </row>
    <row r="56" spans="1:15">
      <c r="A56" s="29">
        <v>46153</v>
      </c>
      <c r="B56" s="28" t="s">
        <v>223</v>
      </c>
      <c r="C56" s="28" t="s">
        <v>87</v>
      </c>
      <c r="D56" s="26"/>
      <c r="E56" s="28">
        <v>9000</v>
      </c>
      <c r="F56" s="28" t="s">
        <v>224</v>
      </c>
      <c r="G56" s="28" t="s">
        <v>187</v>
      </c>
      <c r="H56" s="28" t="s">
        <v>114</v>
      </c>
      <c r="I56" s="28" t="s">
        <v>90</v>
      </c>
      <c r="J56" s="28" t="s">
        <v>115</v>
      </c>
      <c r="K56" s="28" t="s">
        <v>9</v>
      </c>
      <c r="L56" s="29">
        <v>46153.9090277778</v>
      </c>
      <c r="M56" s="28" t="s">
        <v>9</v>
      </c>
      <c r="N56" s="29">
        <v>46153.9097222222</v>
      </c>
      <c r="O56" s="29">
        <v>46153.7539930556</v>
      </c>
    </row>
    <row r="57" spans="1:15">
      <c r="A57" s="29">
        <v>46153</v>
      </c>
      <c r="B57" s="28" t="s">
        <v>225</v>
      </c>
      <c r="C57" s="28" t="s">
        <v>87</v>
      </c>
      <c r="D57" s="26"/>
      <c r="E57" s="28">
        <v>30150</v>
      </c>
      <c r="F57" s="28" t="s">
        <v>226</v>
      </c>
      <c r="G57" s="26"/>
      <c r="H57" s="28" t="s">
        <v>121</v>
      </c>
      <c r="I57" s="28" t="s">
        <v>90</v>
      </c>
      <c r="J57" s="28" t="s">
        <v>227</v>
      </c>
      <c r="K57" s="28" t="s">
        <v>20</v>
      </c>
      <c r="L57" s="29">
        <v>46153.5243055556</v>
      </c>
      <c r="M57" s="28" t="s">
        <v>30</v>
      </c>
      <c r="N57" s="29">
        <v>46153.5270833333</v>
      </c>
      <c r="O57" s="29">
        <v>46149.7257523148</v>
      </c>
    </row>
    <row r="58" spans="1:15">
      <c r="A58" s="29">
        <v>46153</v>
      </c>
      <c r="B58" s="28" t="s">
        <v>225</v>
      </c>
      <c r="C58" s="28" t="s">
        <v>87</v>
      </c>
      <c r="D58" s="26"/>
      <c r="E58" s="28">
        <v>30150</v>
      </c>
      <c r="F58" s="28" t="s">
        <v>226</v>
      </c>
      <c r="G58" s="26"/>
      <c r="H58" s="28" t="s">
        <v>89</v>
      </c>
      <c r="I58" s="28" t="s">
        <v>90</v>
      </c>
      <c r="J58" s="28" t="s">
        <v>227</v>
      </c>
      <c r="K58" s="28" t="s">
        <v>30</v>
      </c>
      <c r="L58" s="29">
        <v>46153.5243055556</v>
      </c>
      <c r="M58" s="28" t="s">
        <v>30</v>
      </c>
      <c r="N58" s="29">
        <v>46153.5270833333</v>
      </c>
      <c r="O58" s="29">
        <v>46149.7257523148</v>
      </c>
    </row>
    <row r="59" spans="1:15">
      <c r="A59" s="29">
        <v>46153</v>
      </c>
      <c r="B59" s="28" t="s">
        <v>228</v>
      </c>
      <c r="C59" s="28" t="s">
        <v>87</v>
      </c>
      <c r="D59" s="26"/>
      <c r="E59" s="28">
        <v>18650</v>
      </c>
      <c r="F59" s="28" t="s">
        <v>229</v>
      </c>
      <c r="G59" s="26"/>
      <c r="H59" s="28" t="s">
        <v>121</v>
      </c>
      <c r="I59" s="28" t="s">
        <v>90</v>
      </c>
      <c r="J59" s="28" t="s">
        <v>108</v>
      </c>
      <c r="K59" s="28" t="s">
        <v>20</v>
      </c>
      <c r="L59" s="29">
        <v>46153.4513888889</v>
      </c>
      <c r="M59" s="28" t="s">
        <v>30</v>
      </c>
      <c r="N59" s="29">
        <v>46153.4520833333</v>
      </c>
      <c r="O59" s="29">
        <v>46140.7171990741</v>
      </c>
    </row>
    <row r="60" spans="1:15">
      <c r="A60" s="29">
        <v>46153</v>
      </c>
      <c r="B60" s="28" t="s">
        <v>228</v>
      </c>
      <c r="C60" s="28" t="s">
        <v>87</v>
      </c>
      <c r="D60" s="26"/>
      <c r="E60" s="28">
        <v>18650</v>
      </c>
      <c r="F60" s="28" t="s">
        <v>229</v>
      </c>
      <c r="G60" s="26"/>
      <c r="H60" s="28" t="s">
        <v>89</v>
      </c>
      <c r="I60" s="28" t="s">
        <v>90</v>
      </c>
      <c r="J60" s="28" t="s">
        <v>108</v>
      </c>
      <c r="K60" s="28" t="s">
        <v>30</v>
      </c>
      <c r="L60" s="29">
        <v>46153.4513888889</v>
      </c>
      <c r="M60" s="28" t="s">
        <v>30</v>
      </c>
      <c r="N60" s="29">
        <v>46153.4520833333</v>
      </c>
      <c r="O60" s="29">
        <v>46140.7171990741</v>
      </c>
    </row>
    <row r="61" spans="1:15">
      <c r="A61" s="29">
        <v>46153</v>
      </c>
      <c r="B61" s="28" t="s">
        <v>211</v>
      </c>
      <c r="C61" s="28" t="s">
        <v>87</v>
      </c>
      <c r="D61" s="26"/>
      <c r="E61" s="28">
        <v>14650</v>
      </c>
      <c r="F61" s="28" t="s">
        <v>212</v>
      </c>
      <c r="G61" s="26"/>
      <c r="H61" s="28" t="s">
        <v>121</v>
      </c>
      <c r="I61" s="28" t="s">
        <v>90</v>
      </c>
      <c r="J61" s="28" t="s">
        <v>213</v>
      </c>
      <c r="K61" s="28" t="s">
        <v>24</v>
      </c>
      <c r="L61" s="29">
        <v>46154.41875</v>
      </c>
      <c r="M61" s="28" t="s">
        <v>30</v>
      </c>
      <c r="N61" s="29">
        <v>46154.4194444444</v>
      </c>
      <c r="O61" s="29">
        <v>46151.6673842593</v>
      </c>
    </row>
    <row r="62" spans="1:15">
      <c r="A62" s="29">
        <v>46153</v>
      </c>
      <c r="B62" s="28" t="s">
        <v>230</v>
      </c>
      <c r="C62" s="28" t="s">
        <v>87</v>
      </c>
      <c r="D62" s="26"/>
      <c r="E62" s="28">
        <v>18300</v>
      </c>
      <c r="F62" s="28" t="s">
        <v>231</v>
      </c>
      <c r="G62" s="28" t="s">
        <v>173</v>
      </c>
      <c r="H62" s="28" t="s">
        <v>114</v>
      </c>
      <c r="I62" s="28" t="s">
        <v>90</v>
      </c>
      <c r="J62" s="28" t="s">
        <v>115</v>
      </c>
      <c r="K62" s="28" t="s">
        <v>20</v>
      </c>
      <c r="L62" s="29">
        <v>46153.4291666667</v>
      </c>
      <c r="M62" s="28" t="s">
        <v>20</v>
      </c>
      <c r="N62" s="29">
        <v>46153.4291666667</v>
      </c>
      <c r="O62" s="29">
        <v>46152.7288541667</v>
      </c>
    </row>
    <row r="63" spans="1:15">
      <c r="A63" s="29">
        <v>46153</v>
      </c>
      <c r="B63" s="28" t="s">
        <v>211</v>
      </c>
      <c r="C63" s="28" t="s">
        <v>87</v>
      </c>
      <c r="D63" s="26"/>
      <c r="E63" s="28">
        <v>14650</v>
      </c>
      <c r="F63" s="28" t="s">
        <v>212</v>
      </c>
      <c r="G63" s="26"/>
      <c r="H63" s="28" t="s">
        <v>89</v>
      </c>
      <c r="I63" s="28" t="s">
        <v>90</v>
      </c>
      <c r="J63" s="28" t="s">
        <v>213</v>
      </c>
      <c r="K63" s="28" t="s">
        <v>30</v>
      </c>
      <c r="L63" s="29">
        <v>46154.41875</v>
      </c>
      <c r="M63" s="28" t="s">
        <v>30</v>
      </c>
      <c r="N63" s="29">
        <v>46154.4194444444</v>
      </c>
      <c r="O63" s="29">
        <v>46151.6673842593</v>
      </c>
    </row>
    <row r="64" spans="1:15">
      <c r="A64" s="29">
        <v>46152</v>
      </c>
      <c r="B64" s="28" t="s">
        <v>232</v>
      </c>
      <c r="C64" s="28" t="s">
        <v>87</v>
      </c>
      <c r="D64" s="26"/>
      <c r="E64" s="28">
        <v>34800</v>
      </c>
      <c r="F64" s="28" t="s">
        <v>233</v>
      </c>
      <c r="G64" s="26"/>
      <c r="H64" s="28" t="s">
        <v>89</v>
      </c>
      <c r="I64" s="28" t="s">
        <v>90</v>
      </c>
      <c r="J64" s="28" t="s">
        <v>227</v>
      </c>
      <c r="K64" s="28" t="s">
        <v>24</v>
      </c>
      <c r="L64" s="29">
        <v>46152.5381944444</v>
      </c>
      <c r="M64" s="28" t="s">
        <v>24</v>
      </c>
      <c r="N64" s="29">
        <v>46152.5451388889</v>
      </c>
      <c r="O64" s="29">
        <v>46140.6989930556</v>
      </c>
    </row>
    <row r="65" spans="1:15">
      <c r="A65" s="29">
        <v>46152</v>
      </c>
      <c r="B65" s="28" t="s">
        <v>234</v>
      </c>
      <c r="C65" s="28" t="s">
        <v>87</v>
      </c>
      <c r="D65" s="26"/>
      <c r="E65" s="28">
        <v>29300</v>
      </c>
      <c r="F65" s="28" t="s">
        <v>235</v>
      </c>
      <c r="G65" s="26"/>
      <c r="H65" s="28" t="s">
        <v>89</v>
      </c>
      <c r="I65" s="28" t="s">
        <v>90</v>
      </c>
      <c r="J65" s="28" t="s">
        <v>236</v>
      </c>
      <c r="K65" s="28" t="s">
        <v>20</v>
      </c>
      <c r="L65" s="29">
        <v>46152.7861111111</v>
      </c>
      <c r="M65" s="28" t="s">
        <v>20</v>
      </c>
      <c r="N65" s="29">
        <v>46152.7861111111</v>
      </c>
      <c r="O65" s="29">
        <v>46150.6732407407</v>
      </c>
    </row>
    <row r="66" spans="1:15">
      <c r="A66" s="29">
        <v>46152</v>
      </c>
      <c r="B66" s="28" t="s">
        <v>237</v>
      </c>
      <c r="C66" s="28" t="s">
        <v>87</v>
      </c>
      <c r="D66" s="26"/>
      <c r="E66" s="28">
        <v>79000</v>
      </c>
      <c r="F66" s="28" t="s">
        <v>238</v>
      </c>
      <c r="G66" s="26"/>
      <c r="H66" s="28" t="s">
        <v>89</v>
      </c>
      <c r="I66" s="28" t="s">
        <v>90</v>
      </c>
      <c r="J66" s="28" t="s">
        <v>227</v>
      </c>
      <c r="K66" s="28" t="s">
        <v>24</v>
      </c>
      <c r="L66" s="29">
        <v>46152.6791666667</v>
      </c>
      <c r="M66" s="28" t="s">
        <v>24</v>
      </c>
      <c r="N66" s="29">
        <v>46152.7166666667</v>
      </c>
      <c r="O66" s="29">
        <v>46126.7045717593</v>
      </c>
    </row>
    <row r="67" spans="1:15">
      <c r="A67" s="29">
        <v>46152</v>
      </c>
      <c r="B67" s="28" t="s">
        <v>239</v>
      </c>
      <c r="C67" s="28" t="s">
        <v>87</v>
      </c>
      <c r="D67" s="26"/>
      <c r="E67" s="28">
        <v>14650</v>
      </c>
      <c r="F67" s="28" t="s">
        <v>240</v>
      </c>
      <c r="G67" s="26"/>
      <c r="H67" s="28" t="s">
        <v>121</v>
      </c>
      <c r="I67" s="28" t="s">
        <v>90</v>
      </c>
      <c r="J67" s="28" t="s">
        <v>241</v>
      </c>
      <c r="K67" s="28" t="s">
        <v>9</v>
      </c>
      <c r="L67" s="29">
        <v>46152.4868055556</v>
      </c>
      <c r="M67" s="28" t="s">
        <v>242</v>
      </c>
      <c r="N67" s="29">
        <v>46152.4875</v>
      </c>
      <c r="O67" s="29">
        <v>46152.4692939815</v>
      </c>
    </row>
    <row r="68" spans="1:15">
      <c r="A68" s="29">
        <v>46152</v>
      </c>
      <c r="B68" s="28" t="s">
        <v>243</v>
      </c>
      <c r="C68" s="28" t="s">
        <v>87</v>
      </c>
      <c r="D68" s="26"/>
      <c r="E68" s="28">
        <v>50300</v>
      </c>
      <c r="F68" s="28" t="s">
        <v>244</v>
      </c>
      <c r="G68" s="28" t="s">
        <v>9</v>
      </c>
      <c r="H68" s="28" t="s">
        <v>114</v>
      </c>
      <c r="I68" s="28" t="s">
        <v>90</v>
      </c>
      <c r="J68" s="28" t="s">
        <v>149</v>
      </c>
      <c r="K68" s="28" t="s">
        <v>9</v>
      </c>
      <c r="L68" s="29">
        <v>46152.4736111111</v>
      </c>
      <c r="M68" s="28" t="s">
        <v>9</v>
      </c>
      <c r="N68" s="29">
        <v>46152.4743055556</v>
      </c>
      <c r="O68" s="29">
        <v>46113.8136226852</v>
      </c>
    </row>
    <row r="69" spans="1:15">
      <c r="A69" s="29">
        <v>46151</v>
      </c>
      <c r="B69" s="28" t="s">
        <v>245</v>
      </c>
      <c r="C69" s="28" t="s">
        <v>87</v>
      </c>
      <c r="D69" s="26"/>
      <c r="E69" s="28">
        <v>4090.8</v>
      </c>
      <c r="F69" s="26"/>
      <c r="G69" s="28" t="s">
        <v>20</v>
      </c>
      <c r="H69" s="28" t="s">
        <v>89</v>
      </c>
      <c r="I69" s="28" t="s">
        <v>152</v>
      </c>
      <c r="J69" s="28" t="s">
        <v>246</v>
      </c>
      <c r="K69" s="28" t="s">
        <v>20</v>
      </c>
      <c r="L69" s="29">
        <v>46152.71875</v>
      </c>
      <c r="M69" s="28" t="s">
        <v>20</v>
      </c>
      <c r="N69" s="29">
        <v>46152.7194444444</v>
      </c>
      <c r="O69" s="29">
        <v>46152.7192939815</v>
      </c>
    </row>
    <row r="70" spans="1:15">
      <c r="A70" s="29">
        <v>46151</v>
      </c>
      <c r="B70" s="28" t="s">
        <v>247</v>
      </c>
      <c r="C70" s="28" t="s">
        <v>87</v>
      </c>
      <c r="D70" s="26"/>
      <c r="E70" s="28">
        <v>20150</v>
      </c>
      <c r="F70" s="28" t="s">
        <v>248</v>
      </c>
      <c r="G70" s="26"/>
      <c r="H70" s="28" t="s">
        <v>121</v>
      </c>
      <c r="I70" s="28" t="s">
        <v>90</v>
      </c>
      <c r="J70" s="28" t="s">
        <v>241</v>
      </c>
      <c r="K70" s="28" t="s">
        <v>9</v>
      </c>
      <c r="L70" s="29">
        <v>46151.7229166667</v>
      </c>
      <c r="M70" s="28" t="s">
        <v>216</v>
      </c>
      <c r="N70" s="29">
        <v>46151.74375</v>
      </c>
      <c r="O70" s="29">
        <v>46151.6782175926</v>
      </c>
    </row>
    <row r="71" spans="1:15">
      <c r="A71" s="29">
        <v>46151</v>
      </c>
      <c r="B71" s="28" t="s">
        <v>249</v>
      </c>
      <c r="C71" s="28" t="s">
        <v>87</v>
      </c>
      <c r="D71" s="26"/>
      <c r="E71" s="28">
        <v>53300</v>
      </c>
      <c r="F71" s="28" t="s">
        <v>250</v>
      </c>
      <c r="G71" s="26"/>
      <c r="H71" s="28" t="s">
        <v>89</v>
      </c>
      <c r="I71" s="28" t="s">
        <v>90</v>
      </c>
      <c r="J71" s="28" t="s">
        <v>251</v>
      </c>
      <c r="K71" s="28" t="s">
        <v>9</v>
      </c>
      <c r="L71" s="29">
        <v>46151.7131944444</v>
      </c>
      <c r="M71" s="28" t="s">
        <v>9</v>
      </c>
      <c r="N71" s="29">
        <v>46151.7215277778</v>
      </c>
      <c r="O71" s="29">
        <v>46077.5773842593</v>
      </c>
    </row>
    <row r="72" spans="1:15">
      <c r="A72" s="29">
        <v>46151</v>
      </c>
      <c r="B72" s="28" t="s">
        <v>252</v>
      </c>
      <c r="C72" s="28" t="s">
        <v>87</v>
      </c>
      <c r="D72" s="26"/>
      <c r="E72" s="28">
        <v>22800</v>
      </c>
      <c r="F72" s="28" t="s">
        <v>253</v>
      </c>
      <c r="G72" s="26"/>
      <c r="H72" s="28" t="s">
        <v>114</v>
      </c>
      <c r="I72" s="28" t="s">
        <v>90</v>
      </c>
      <c r="J72" s="28" t="s">
        <v>127</v>
      </c>
      <c r="K72" s="28" t="s">
        <v>24</v>
      </c>
      <c r="L72" s="29">
        <v>46151.6430555556</v>
      </c>
      <c r="M72" s="28" t="s">
        <v>24</v>
      </c>
      <c r="N72" s="29">
        <v>46151.6430555556</v>
      </c>
      <c r="O72" s="29">
        <v>46098.564537037</v>
      </c>
    </row>
    <row r="73" spans="1:15">
      <c r="A73" s="29">
        <v>46151</v>
      </c>
      <c r="B73" s="28" t="s">
        <v>254</v>
      </c>
      <c r="C73" s="28" t="s">
        <v>87</v>
      </c>
      <c r="D73" s="26"/>
      <c r="E73" s="28">
        <v>34000</v>
      </c>
      <c r="F73" s="28" t="s">
        <v>255</v>
      </c>
      <c r="G73" s="26"/>
      <c r="H73" s="28" t="s">
        <v>114</v>
      </c>
      <c r="I73" s="28" t="s">
        <v>90</v>
      </c>
      <c r="J73" s="28" t="s">
        <v>115</v>
      </c>
      <c r="K73" s="28" t="s">
        <v>20</v>
      </c>
      <c r="L73" s="29">
        <v>46151.4402777778</v>
      </c>
      <c r="M73" s="28" t="s">
        <v>20</v>
      </c>
      <c r="N73" s="29">
        <v>46151.4743055556</v>
      </c>
      <c r="O73" s="29">
        <v>46151.4337384259</v>
      </c>
    </row>
    <row r="74" spans="1:15">
      <c r="A74" s="29">
        <v>46150</v>
      </c>
      <c r="B74" s="28" t="s">
        <v>256</v>
      </c>
      <c r="C74" s="28" t="s">
        <v>87</v>
      </c>
      <c r="D74" s="26"/>
      <c r="E74" s="28">
        <v>8971.2</v>
      </c>
      <c r="F74" s="26"/>
      <c r="G74" s="28" t="s">
        <v>257</v>
      </c>
      <c r="H74" s="28" t="s">
        <v>89</v>
      </c>
      <c r="I74" s="28" t="s">
        <v>152</v>
      </c>
      <c r="J74" s="28" t="s">
        <v>102</v>
      </c>
      <c r="K74" s="28" t="s">
        <v>20</v>
      </c>
      <c r="L74" s="29">
        <v>46150.6881944444</v>
      </c>
      <c r="M74" s="28" t="s">
        <v>20</v>
      </c>
      <c r="N74" s="29">
        <v>46150.6979166667</v>
      </c>
      <c r="O74" s="29">
        <v>46148.4246296296</v>
      </c>
    </row>
    <row r="75" spans="1:15">
      <c r="A75" s="29">
        <v>46150</v>
      </c>
      <c r="B75" s="28" t="s">
        <v>258</v>
      </c>
      <c r="C75" s="28" t="s">
        <v>87</v>
      </c>
      <c r="D75" s="26"/>
      <c r="E75" s="28">
        <v>46500</v>
      </c>
      <c r="F75" s="28" t="s">
        <v>259</v>
      </c>
      <c r="G75" s="28" t="s">
        <v>167</v>
      </c>
      <c r="H75" s="28" t="s">
        <v>114</v>
      </c>
      <c r="I75" s="28" t="s">
        <v>90</v>
      </c>
      <c r="J75" s="28" t="s">
        <v>115</v>
      </c>
      <c r="K75" s="28" t="s">
        <v>20</v>
      </c>
      <c r="L75" s="29">
        <v>46150.4298611111</v>
      </c>
      <c r="M75" s="28" t="s">
        <v>20</v>
      </c>
      <c r="N75" s="29">
        <v>46150.4381944444</v>
      </c>
      <c r="O75" s="29">
        <v>46115.9018055556</v>
      </c>
    </row>
    <row r="76" spans="1:15">
      <c r="A76" s="29">
        <v>46150</v>
      </c>
      <c r="B76" s="28" t="s">
        <v>260</v>
      </c>
      <c r="C76" s="28" t="s">
        <v>87</v>
      </c>
      <c r="D76" s="26"/>
      <c r="E76" s="28">
        <v>186000</v>
      </c>
      <c r="F76" s="28" t="s">
        <v>261</v>
      </c>
      <c r="G76" s="26"/>
      <c r="H76" s="28" t="s">
        <v>89</v>
      </c>
      <c r="I76" s="28" t="s">
        <v>90</v>
      </c>
      <c r="J76" s="28" t="s">
        <v>262</v>
      </c>
      <c r="K76" s="28" t="s">
        <v>9</v>
      </c>
      <c r="L76" s="29">
        <v>46150.7229166667</v>
      </c>
      <c r="M76" s="28" t="s">
        <v>9</v>
      </c>
      <c r="N76" s="29">
        <v>46150.7263888889</v>
      </c>
      <c r="O76" s="29">
        <v>46148.4616782407</v>
      </c>
    </row>
    <row r="77" spans="1:15">
      <c r="A77" s="29">
        <v>46150</v>
      </c>
      <c r="B77" s="28" t="s">
        <v>263</v>
      </c>
      <c r="C77" s="28" t="s">
        <v>87</v>
      </c>
      <c r="D77" s="26"/>
      <c r="E77" s="28">
        <v>46800</v>
      </c>
      <c r="F77" s="28" t="s">
        <v>264</v>
      </c>
      <c r="G77" s="28" t="s">
        <v>265</v>
      </c>
      <c r="H77" s="28" t="s">
        <v>114</v>
      </c>
      <c r="I77" s="28" t="s">
        <v>90</v>
      </c>
      <c r="J77" s="28" t="s">
        <v>115</v>
      </c>
      <c r="K77" s="28" t="s">
        <v>9</v>
      </c>
      <c r="L77" s="29">
        <v>46150.5458333333</v>
      </c>
      <c r="M77" s="28" t="s">
        <v>9</v>
      </c>
      <c r="N77" s="29">
        <v>46150.5465277778</v>
      </c>
      <c r="O77" s="29">
        <v>46138.434537037</v>
      </c>
    </row>
    <row r="78" spans="1:15">
      <c r="A78" s="29">
        <v>46150</v>
      </c>
      <c r="B78" s="28" t="s">
        <v>266</v>
      </c>
      <c r="C78" s="28" t="s">
        <v>87</v>
      </c>
      <c r="D78" s="26"/>
      <c r="E78" s="28">
        <v>15900</v>
      </c>
      <c r="F78" s="28" t="s">
        <v>267</v>
      </c>
      <c r="G78" s="28" t="s">
        <v>268</v>
      </c>
      <c r="H78" s="28" t="s">
        <v>121</v>
      </c>
      <c r="I78" s="28" t="s">
        <v>90</v>
      </c>
      <c r="J78" s="28" t="s">
        <v>269</v>
      </c>
      <c r="K78" s="28" t="s">
        <v>9</v>
      </c>
      <c r="L78" s="29">
        <v>46150.4958333333</v>
      </c>
      <c r="M78" s="28" t="s">
        <v>24</v>
      </c>
      <c r="N78" s="29">
        <v>46150.4965277778</v>
      </c>
      <c r="O78" s="29">
        <v>46148.6447569444</v>
      </c>
    </row>
    <row r="79" spans="1:15">
      <c r="A79" s="29">
        <v>46150</v>
      </c>
      <c r="B79" s="28" t="s">
        <v>266</v>
      </c>
      <c r="C79" s="28" t="s">
        <v>87</v>
      </c>
      <c r="D79" s="26"/>
      <c r="E79" s="28">
        <v>15900</v>
      </c>
      <c r="F79" s="28" t="s">
        <v>267</v>
      </c>
      <c r="G79" s="28" t="s">
        <v>268</v>
      </c>
      <c r="H79" s="28" t="s">
        <v>89</v>
      </c>
      <c r="I79" s="28" t="s">
        <v>90</v>
      </c>
      <c r="J79" s="28" t="s">
        <v>269</v>
      </c>
      <c r="K79" s="28" t="s">
        <v>24</v>
      </c>
      <c r="L79" s="29">
        <v>46150.4958333333</v>
      </c>
      <c r="M79" s="28" t="s">
        <v>24</v>
      </c>
      <c r="N79" s="29">
        <v>46150.4965277778</v>
      </c>
      <c r="O79" s="29">
        <v>46148.6447569444</v>
      </c>
    </row>
    <row r="80" spans="1:15">
      <c r="A80" s="29">
        <v>46150</v>
      </c>
      <c r="B80" s="28" t="s">
        <v>270</v>
      </c>
      <c r="C80" s="28" t="s">
        <v>87</v>
      </c>
      <c r="D80" s="26"/>
      <c r="E80" s="28">
        <v>62000</v>
      </c>
      <c r="F80" s="28" t="s">
        <v>271</v>
      </c>
      <c r="G80" s="28" t="s">
        <v>141</v>
      </c>
      <c r="H80" s="28" t="s">
        <v>114</v>
      </c>
      <c r="I80" s="28" t="s">
        <v>90</v>
      </c>
      <c r="J80" s="28" t="s">
        <v>115</v>
      </c>
      <c r="K80" s="28" t="s">
        <v>9</v>
      </c>
      <c r="L80" s="29">
        <v>46150.4583333333</v>
      </c>
      <c r="M80" s="28" t="s">
        <v>9</v>
      </c>
      <c r="N80" s="29">
        <v>46150.4729166667</v>
      </c>
      <c r="O80" s="29">
        <v>46147.6032060185</v>
      </c>
    </row>
    <row r="81" spans="1:15">
      <c r="A81" s="29">
        <v>46150</v>
      </c>
      <c r="B81" s="28" t="s">
        <v>272</v>
      </c>
      <c r="C81" s="28" t="s">
        <v>87</v>
      </c>
      <c r="D81" s="26"/>
      <c r="E81" s="28">
        <v>33800</v>
      </c>
      <c r="F81" s="28" t="s">
        <v>273</v>
      </c>
      <c r="G81" s="26"/>
      <c r="H81" s="28" t="s">
        <v>89</v>
      </c>
      <c r="I81" s="28" t="s">
        <v>90</v>
      </c>
      <c r="J81" s="28" t="s">
        <v>108</v>
      </c>
      <c r="K81" s="28" t="s">
        <v>9</v>
      </c>
      <c r="L81" s="29">
        <v>46150.45625</v>
      </c>
      <c r="M81" s="28" t="s">
        <v>9</v>
      </c>
      <c r="N81" s="29">
        <v>46150.4715277778</v>
      </c>
      <c r="O81" s="29">
        <v>46113.6421759259</v>
      </c>
    </row>
    <row r="82" spans="1:15">
      <c r="A82" s="29">
        <v>46150</v>
      </c>
      <c r="B82" s="28" t="s">
        <v>274</v>
      </c>
      <c r="C82" s="28" t="s">
        <v>87</v>
      </c>
      <c r="D82" s="26"/>
      <c r="E82" s="28">
        <v>3410.4</v>
      </c>
      <c r="F82" s="26"/>
      <c r="G82" s="26"/>
      <c r="H82" s="28" t="s">
        <v>89</v>
      </c>
      <c r="I82" s="28" t="s">
        <v>152</v>
      </c>
      <c r="J82" s="28" t="s">
        <v>108</v>
      </c>
      <c r="K82" s="28" t="s">
        <v>30</v>
      </c>
      <c r="L82" s="29">
        <v>46150.4965277778</v>
      </c>
      <c r="M82" s="28" t="s">
        <v>30</v>
      </c>
      <c r="N82" s="29">
        <v>46150.5097222222</v>
      </c>
      <c r="O82" s="29">
        <v>46150.4869444444</v>
      </c>
    </row>
    <row r="83" spans="1:15">
      <c r="A83" s="29">
        <v>46149</v>
      </c>
      <c r="B83" s="28" t="s">
        <v>275</v>
      </c>
      <c r="C83" s="28" t="s">
        <v>87</v>
      </c>
      <c r="D83" s="26"/>
      <c r="E83" s="28">
        <v>16800</v>
      </c>
      <c r="F83" s="28" t="s">
        <v>276</v>
      </c>
      <c r="G83" s="28" t="s">
        <v>277</v>
      </c>
      <c r="H83" s="28" t="s">
        <v>89</v>
      </c>
      <c r="I83" s="28" t="s">
        <v>90</v>
      </c>
      <c r="J83" s="28" t="s">
        <v>269</v>
      </c>
      <c r="K83" s="28" t="s">
        <v>24</v>
      </c>
      <c r="L83" s="29">
        <v>46149.5666666667</v>
      </c>
      <c r="M83" s="28" t="s">
        <v>24</v>
      </c>
      <c r="N83" s="29">
        <v>46149.5666666667</v>
      </c>
      <c r="O83" s="29">
        <v>46132.4865625</v>
      </c>
    </row>
    <row r="84" spans="1:15">
      <c r="A84" s="29">
        <v>46149</v>
      </c>
      <c r="B84" s="28" t="s">
        <v>278</v>
      </c>
      <c r="C84" s="28" t="s">
        <v>87</v>
      </c>
      <c r="D84" s="26"/>
      <c r="E84" s="28">
        <v>56300</v>
      </c>
      <c r="F84" s="28" t="s">
        <v>279</v>
      </c>
      <c r="G84" s="26"/>
      <c r="H84" s="28" t="s">
        <v>89</v>
      </c>
      <c r="I84" s="28" t="s">
        <v>90</v>
      </c>
      <c r="J84" s="28" t="s">
        <v>227</v>
      </c>
      <c r="K84" s="28" t="s">
        <v>24</v>
      </c>
      <c r="L84" s="29">
        <v>46149.6493055556</v>
      </c>
      <c r="M84" s="28" t="s">
        <v>24</v>
      </c>
      <c r="N84" s="29">
        <v>46149.6493055556</v>
      </c>
      <c r="O84" s="29">
        <v>46145.7355555556</v>
      </c>
    </row>
    <row r="85" spans="1:15">
      <c r="A85" s="29">
        <v>46149</v>
      </c>
      <c r="B85" s="28" t="s">
        <v>280</v>
      </c>
      <c r="C85" s="28" t="s">
        <v>87</v>
      </c>
      <c r="D85" s="26"/>
      <c r="E85" s="28">
        <v>44200.1</v>
      </c>
      <c r="F85" s="28" t="s">
        <v>281</v>
      </c>
      <c r="G85" s="28" t="s">
        <v>170</v>
      </c>
      <c r="H85" s="28" t="s">
        <v>114</v>
      </c>
      <c r="I85" s="28" t="s">
        <v>90</v>
      </c>
      <c r="J85" s="28" t="s">
        <v>115</v>
      </c>
      <c r="K85" s="28" t="s">
        <v>20</v>
      </c>
      <c r="L85" s="29">
        <v>46149.5166666667</v>
      </c>
      <c r="M85" s="28" t="s">
        <v>20</v>
      </c>
      <c r="N85" s="29">
        <v>46149.5208333333</v>
      </c>
      <c r="O85" s="29">
        <v>46141.4308796296</v>
      </c>
    </row>
    <row r="86" spans="1:15">
      <c r="A86" s="29">
        <v>46148</v>
      </c>
      <c r="B86" s="28" t="s">
        <v>282</v>
      </c>
      <c r="C86" s="28" t="s">
        <v>87</v>
      </c>
      <c r="D86" s="26"/>
      <c r="E86" s="28">
        <v>63300</v>
      </c>
      <c r="F86" s="28" t="s">
        <v>283</v>
      </c>
      <c r="G86" s="26"/>
      <c r="H86" s="28" t="s">
        <v>89</v>
      </c>
      <c r="I86" s="28" t="s">
        <v>90</v>
      </c>
      <c r="J86" s="28" t="s">
        <v>162</v>
      </c>
      <c r="K86" s="28" t="s">
        <v>20</v>
      </c>
      <c r="L86" s="29">
        <v>46148.8243055556</v>
      </c>
      <c r="M86" s="28" t="s">
        <v>20</v>
      </c>
      <c r="N86" s="29">
        <v>46148.8465277778</v>
      </c>
      <c r="O86" s="29">
        <v>46133.6086574074</v>
      </c>
    </row>
    <row r="87" spans="1:15">
      <c r="A87" s="29">
        <v>46148</v>
      </c>
      <c r="B87" s="28" t="s">
        <v>284</v>
      </c>
      <c r="C87" s="28" t="s">
        <v>87</v>
      </c>
      <c r="D87" s="26"/>
      <c r="E87" s="28">
        <v>33000</v>
      </c>
      <c r="F87" s="28" t="s">
        <v>285</v>
      </c>
      <c r="G87" s="28" t="s">
        <v>187</v>
      </c>
      <c r="H87" s="28" t="s">
        <v>114</v>
      </c>
      <c r="I87" s="28" t="s">
        <v>90</v>
      </c>
      <c r="J87" s="28" t="s">
        <v>115</v>
      </c>
      <c r="K87" s="28" t="s">
        <v>24</v>
      </c>
      <c r="L87" s="29">
        <v>46148.7097222222</v>
      </c>
      <c r="M87" s="28" t="s">
        <v>24</v>
      </c>
      <c r="N87" s="29">
        <v>46148.7388888889</v>
      </c>
      <c r="O87" s="29">
        <v>46146.7028356481</v>
      </c>
    </row>
    <row r="88" spans="1:15">
      <c r="A88" s="29">
        <v>46148</v>
      </c>
      <c r="B88" s="28" t="s">
        <v>286</v>
      </c>
      <c r="C88" s="28" t="s">
        <v>87</v>
      </c>
      <c r="D88" s="26"/>
      <c r="E88" s="28">
        <v>5000</v>
      </c>
      <c r="F88" s="28" t="s">
        <v>287</v>
      </c>
      <c r="G88" s="28" t="s">
        <v>288</v>
      </c>
      <c r="H88" s="28" t="s">
        <v>114</v>
      </c>
      <c r="I88" s="28" t="s">
        <v>90</v>
      </c>
      <c r="J88" s="28" t="s">
        <v>115</v>
      </c>
      <c r="K88" s="28" t="s">
        <v>9</v>
      </c>
      <c r="L88" s="29">
        <v>46148.5631944444</v>
      </c>
      <c r="M88" s="28" t="s">
        <v>289</v>
      </c>
      <c r="N88" s="29">
        <v>46148.7118055556</v>
      </c>
      <c r="O88" s="29">
        <v>46148.5624421296</v>
      </c>
    </row>
    <row r="89" spans="1:15">
      <c r="A89" s="29">
        <v>46148</v>
      </c>
      <c r="B89" s="28" t="s">
        <v>290</v>
      </c>
      <c r="C89" s="28" t="s">
        <v>87</v>
      </c>
      <c r="D89" s="26"/>
      <c r="E89" s="28">
        <v>61300</v>
      </c>
      <c r="F89" s="28" t="s">
        <v>291</v>
      </c>
      <c r="G89" s="28" t="s">
        <v>292</v>
      </c>
      <c r="H89" s="28" t="s">
        <v>89</v>
      </c>
      <c r="I89" s="28" t="s">
        <v>90</v>
      </c>
      <c r="J89" s="28" t="s">
        <v>95</v>
      </c>
      <c r="K89" s="28" t="s">
        <v>9</v>
      </c>
      <c r="L89" s="29">
        <v>46148.4388888889</v>
      </c>
      <c r="M89" s="28" t="s">
        <v>9</v>
      </c>
      <c r="N89" s="29">
        <v>46148.4402777778</v>
      </c>
      <c r="O89" s="29">
        <v>46118.5067939815</v>
      </c>
    </row>
    <row r="90" spans="1:15">
      <c r="A90" s="29">
        <v>46147</v>
      </c>
      <c r="B90" s="28" t="s">
        <v>293</v>
      </c>
      <c r="C90" s="28" t="s">
        <v>87</v>
      </c>
      <c r="D90" s="26"/>
      <c r="E90" s="28">
        <v>5179.2</v>
      </c>
      <c r="F90" s="26"/>
      <c r="G90" s="28" t="s">
        <v>293</v>
      </c>
      <c r="H90" s="28" t="s">
        <v>114</v>
      </c>
      <c r="I90" s="28" t="s">
        <v>152</v>
      </c>
      <c r="J90" s="28" t="s">
        <v>246</v>
      </c>
      <c r="K90" s="28" t="s">
        <v>9</v>
      </c>
      <c r="L90" s="29">
        <v>46147.8520833333</v>
      </c>
      <c r="M90" s="28" t="s">
        <v>9</v>
      </c>
      <c r="N90" s="29">
        <v>46147.8527777778</v>
      </c>
      <c r="O90" s="29">
        <v>46147.8518171296</v>
      </c>
    </row>
    <row r="91" spans="1:15">
      <c r="A91" s="29">
        <v>46147</v>
      </c>
      <c r="B91" s="28" t="s">
        <v>294</v>
      </c>
      <c r="C91" s="28" t="s">
        <v>87</v>
      </c>
      <c r="D91" s="26"/>
      <c r="E91" s="28">
        <v>45300</v>
      </c>
      <c r="F91" s="28" t="s">
        <v>295</v>
      </c>
      <c r="G91" s="26"/>
      <c r="H91" s="28" t="s">
        <v>89</v>
      </c>
      <c r="I91" s="28" t="s">
        <v>90</v>
      </c>
      <c r="J91" s="28" t="s">
        <v>98</v>
      </c>
      <c r="K91" s="28" t="s">
        <v>24</v>
      </c>
      <c r="L91" s="29">
        <v>46147.8152777778</v>
      </c>
      <c r="M91" s="28" t="s">
        <v>24</v>
      </c>
      <c r="N91" s="29">
        <v>46147.8152777778</v>
      </c>
      <c r="O91" s="29">
        <v>46144.7295833333</v>
      </c>
    </row>
    <row r="92" spans="1:15">
      <c r="A92" s="29">
        <v>46147</v>
      </c>
      <c r="B92" s="28" t="s">
        <v>296</v>
      </c>
      <c r="C92" s="28" t="s">
        <v>87</v>
      </c>
      <c r="D92" s="26"/>
      <c r="E92" s="28">
        <v>83300</v>
      </c>
      <c r="F92" s="28" t="s">
        <v>297</v>
      </c>
      <c r="G92" s="26"/>
      <c r="H92" s="28" t="s">
        <v>89</v>
      </c>
      <c r="I92" s="28" t="s">
        <v>90</v>
      </c>
      <c r="J92" s="28" t="s">
        <v>298</v>
      </c>
      <c r="K92" s="28" t="s">
        <v>9</v>
      </c>
      <c r="L92" s="29">
        <v>46147.4270833333</v>
      </c>
      <c r="M92" s="28" t="s">
        <v>9</v>
      </c>
      <c r="N92" s="29">
        <v>46147.4270833333</v>
      </c>
      <c r="O92" s="29">
        <v>46132.8884722222</v>
      </c>
    </row>
    <row r="93" spans="1:15">
      <c r="A93" s="29">
        <v>46146</v>
      </c>
      <c r="B93" s="28" t="s">
        <v>299</v>
      </c>
      <c r="C93" s="28" t="s">
        <v>87</v>
      </c>
      <c r="D93" s="26"/>
      <c r="E93" s="28">
        <v>18300</v>
      </c>
      <c r="F93" s="28" t="s">
        <v>300</v>
      </c>
      <c r="G93" s="28" t="s">
        <v>301</v>
      </c>
      <c r="H93" s="28" t="s">
        <v>89</v>
      </c>
      <c r="I93" s="28" t="s">
        <v>90</v>
      </c>
      <c r="J93" s="28" t="s">
        <v>269</v>
      </c>
      <c r="K93" s="28" t="s">
        <v>20</v>
      </c>
      <c r="L93" s="29">
        <v>46146.6409722222</v>
      </c>
      <c r="M93" s="28" t="s">
        <v>20</v>
      </c>
      <c r="N93" s="29">
        <v>46146.6409722222</v>
      </c>
      <c r="O93" s="29">
        <v>46140.6967476852</v>
      </c>
    </row>
    <row r="94" spans="1:15">
      <c r="A94" s="29">
        <v>46146</v>
      </c>
      <c r="B94" s="28" t="s">
        <v>302</v>
      </c>
      <c r="C94" s="28" t="s">
        <v>87</v>
      </c>
      <c r="D94" s="26"/>
      <c r="E94" s="28">
        <v>78000</v>
      </c>
      <c r="F94" s="28" t="s">
        <v>303</v>
      </c>
      <c r="G94" s="26"/>
      <c r="H94" s="28" t="s">
        <v>114</v>
      </c>
      <c r="I94" s="28" t="s">
        <v>90</v>
      </c>
      <c r="J94" s="28" t="s">
        <v>193</v>
      </c>
      <c r="K94" s="28" t="s">
        <v>20</v>
      </c>
      <c r="L94" s="29">
        <v>46146.7534722222</v>
      </c>
      <c r="M94" s="28" t="s">
        <v>20</v>
      </c>
      <c r="N94" s="29">
        <v>46146.7541666667</v>
      </c>
      <c r="O94" s="29">
        <v>46131.6159722222</v>
      </c>
    </row>
    <row r="95" spans="1:15">
      <c r="A95" s="29">
        <v>46146</v>
      </c>
      <c r="B95" s="28" t="s">
        <v>304</v>
      </c>
      <c r="C95" s="28" t="s">
        <v>87</v>
      </c>
      <c r="D95" s="26"/>
      <c r="E95" s="28">
        <v>91000</v>
      </c>
      <c r="F95" s="28" t="s">
        <v>305</v>
      </c>
      <c r="G95" s="28" t="s">
        <v>306</v>
      </c>
      <c r="H95" s="28" t="s">
        <v>121</v>
      </c>
      <c r="I95" s="28" t="s">
        <v>90</v>
      </c>
      <c r="J95" s="28" t="s">
        <v>246</v>
      </c>
      <c r="K95" s="28" t="s">
        <v>9</v>
      </c>
      <c r="L95" s="29">
        <v>46146.6145833333</v>
      </c>
      <c r="M95" s="28" t="s">
        <v>20</v>
      </c>
      <c r="N95" s="29">
        <v>46146.7354166667</v>
      </c>
      <c r="O95" s="29">
        <v>46146.6115625</v>
      </c>
    </row>
    <row r="96" spans="1:15">
      <c r="A96" s="29">
        <v>46146</v>
      </c>
      <c r="B96" s="28" t="s">
        <v>304</v>
      </c>
      <c r="C96" s="28" t="s">
        <v>87</v>
      </c>
      <c r="D96" s="26"/>
      <c r="E96" s="28">
        <v>91000</v>
      </c>
      <c r="F96" s="28" t="s">
        <v>305</v>
      </c>
      <c r="G96" s="28" t="s">
        <v>306</v>
      </c>
      <c r="H96" s="28" t="s">
        <v>89</v>
      </c>
      <c r="I96" s="28" t="s">
        <v>90</v>
      </c>
      <c r="J96" s="28" t="s">
        <v>246</v>
      </c>
      <c r="K96" s="28" t="s">
        <v>20</v>
      </c>
      <c r="L96" s="29">
        <v>46146.6145833333</v>
      </c>
      <c r="M96" s="28" t="s">
        <v>20</v>
      </c>
      <c r="N96" s="29">
        <v>46146.7354166667</v>
      </c>
      <c r="O96" s="29">
        <v>46146.6115625</v>
      </c>
    </row>
    <row r="97" spans="1:15">
      <c r="A97" s="29">
        <v>46146</v>
      </c>
      <c r="B97" s="28" t="s">
        <v>307</v>
      </c>
      <c r="C97" s="28" t="s">
        <v>87</v>
      </c>
      <c r="D97" s="26"/>
      <c r="E97" s="28">
        <v>29300</v>
      </c>
      <c r="F97" s="28" t="s">
        <v>308</v>
      </c>
      <c r="G97" s="28" t="s">
        <v>309</v>
      </c>
      <c r="H97" s="28" t="s">
        <v>89</v>
      </c>
      <c r="I97" s="28" t="s">
        <v>90</v>
      </c>
      <c r="J97" s="28" t="s">
        <v>95</v>
      </c>
      <c r="K97" s="28" t="s">
        <v>20</v>
      </c>
      <c r="L97" s="29">
        <v>46146.5986111111</v>
      </c>
      <c r="M97" s="28" t="s">
        <v>20</v>
      </c>
      <c r="N97" s="29">
        <v>46146.5993055556</v>
      </c>
      <c r="O97" s="29">
        <v>46139.4499768519</v>
      </c>
    </row>
    <row r="98" spans="1:15">
      <c r="A98" s="29">
        <v>46145</v>
      </c>
      <c r="B98" s="28" t="s">
        <v>310</v>
      </c>
      <c r="C98" s="28" t="s">
        <v>87</v>
      </c>
      <c r="D98" s="26"/>
      <c r="E98" s="28">
        <v>97800</v>
      </c>
      <c r="F98" s="28" t="s">
        <v>311</v>
      </c>
      <c r="G98" s="26"/>
      <c r="H98" s="28" t="s">
        <v>89</v>
      </c>
      <c r="I98" s="28" t="s">
        <v>90</v>
      </c>
      <c r="J98" s="28" t="s">
        <v>312</v>
      </c>
      <c r="K98" s="28" t="s">
        <v>24</v>
      </c>
      <c r="L98" s="29">
        <v>46145.7090277778</v>
      </c>
      <c r="M98" s="28" t="s">
        <v>24</v>
      </c>
      <c r="N98" s="29">
        <v>46145.7111111111</v>
      </c>
      <c r="O98" s="29">
        <v>46137.664849537</v>
      </c>
    </row>
    <row r="99" spans="1:15">
      <c r="A99" s="29">
        <v>46144</v>
      </c>
      <c r="B99" s="28" t="s">
        <v>313</v>
      </c>
      <c r="C99" s="28" t="s">
        <v>87</v>
      </c>
      <c r="D99" s="26"/>
      <c r="E99" s="28">
        <v>60300</v>
      </c>
      <c r="F99" s="28" t="s">
        <v>314</v>
      </c>
      <c r="G99" s="26"/>
      <c r="H99" s="28" t="s">
        <v>89</v>
      </c>
      <c r="I99" s="28" t="s">
        <v>90</v>
      </c>
      <c r="J99" s="28" t="s">
        <v>315</v>
      </c>
      <c r="K99" s="28" t="s">
        <v>9</v>
      </c>
      <c r="L99" s="29">
        <v>46144.7625</v>
      </c>
      <c r="M99" s="28" t="s">
        <v>9</v>
      </c>
      <c r="N99" s="29">
        <v>46144.7625</v>
      </c>
      <c r="O99" s="29">
        <v>46133.7462152778</v>
      </c>
    </row>
    <row r="100" spans="1:15">
      <c r="A100" s="29">
        <v>46144</v>
      </c>
      <c r="B100" s="28" t="s">
        <v>284</v>
      </c>
      <c r="C100" s="28" t="s">
        <v>87</v>
      </c>
      <c r="D100" s="26"/>
      <c r="E100" s="28">
        <v>1800</v>
      </c>
      <c r="F100" s="28" t="s">
        <v>285</v>
      </c>
      <c r="G100" s="28" t="s">
        <v>187</v>
      </c>
      <c r="H100" s="28" t="s">
        <v>114</v>
      </c>
      <c r="I100" s="28" t="s">
        <v>90</v>
      </c>
      <c r="J100" s="28" t="s">
        <v>115</v>
      </c>
      <c r="K100" s="28" t="s">
        <v>24</v>
      </c>
      <c r="L100" s="29">
        <v>46144.5881944444</v>
      </c>
      <c r="M100" s="28" t="s">
        <v>24</v>
      </c>
      <c r="N100" s="29">
        <v>46144.5930555556</v>
      </c>
      <c r="O100" s="29">
        <v>46103.8082986111</v>
      </c>
    </row>
    <row r="101" spans="1:15">
      <c r="A101" s="29">
        <v>46144</v>
      </c>
      <c r="B101" s="28" t="s">
        <v>316</v>
      </c>
      <c r="C101" s="28" t="s">
        <v>87</v>
      </c>
      <c r="D101" s="26"/>
      <c r="E101" s="28">
        <v>18300</v>
      </c>
      <c r="F101" s="28" t="s">
        <v>317</v>
      </c>
      <c r="G101" s="26"/>
      <c r="H101" s="28" t="s">
        <v>89</v>
      </c>
      <c r="I101" s="28" t="s">
        <v>90</v>
      </c>
      <c r="J101" s="28" t="s">
        <v>318</v>
      </c>
      <c r="K101" s="28" t="s">
        <v>30</v>
      </c>
      <c r="L101" s="29">
        <v>46144.3895833333</v>
      </c>
      <c r="M101" s="28" t="s">
        <v>30</v>
      </c>
      <c r="N101" s="29">
        <v>46144.4006944444</v>
      </c>
      <c r="O101" s="29">
        <v>46143.5977083333</v>
      </c>
    </row>
    <row r="102" spans="1:15">
      <c r="A102" s="26"/>
      <c r="B102" s="26"/>
      <c r="C102" s="26"/>
      <c r="D102" s="32">
        <v>0</v>
      </c>
      <c r="E102" s="32">
        <v>3517203.25</v>
      </c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spans="1:14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</row>
    <row r="104" spans="1:15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</row>
    <row r="105" spans="1:1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</row>
    <row r="106" spans="1:1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</row>
    <row r="107" spans="1:15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</row>
    <row r="108" spans="1:15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</row>
    <row r="109" spans="1:1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</row>
    <row r="110" spans="1:15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</row>
    <row r="111" spans="1:1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</row>
    <row r="112" spans="1:1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</row>
    <row r="113" spans="1:1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</row>
    <row r="114" spans="1:15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</row>
    <row r="115" spans="1: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</row>
    <row r="116" spans="1:1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</row>
    <row r="117" spans="1:1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</row>
    <row r="118" spans="1:1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</row>
    <row r="119" spans="1:1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</row>
    <row r="120" spans="1:1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</row>
    <row r="121" spans="1:1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</row>
    <row r="122" spans="1:1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</row>
    <row r="123" spans="1:1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</row>
    <row r="124" spans="1:1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</row>
    <row r="125" spans="1:1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</row>
    <row r="126" spans="1:1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</row>
    <row r="127" spans="1:1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</row>
    <row r="128" spans="1:1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</row>
    <row r="129" spans="1:1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</row>
    <row r="130" spans="1:1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</row>
    <row r="131" spans="1:1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</row>
    <row r="132" spans="1:1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</row>
    <row r="133" spans="1:1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</row>
    <row r="134" spans="1:1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</row>
    <row r="135" spans="1:1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</row>
    <row r="136" spans="1:15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</row>
    <row r="137" spans="1:1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</row>
    <row r="138" spans="1:1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</row>
    <row r="139" spans="1:1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</row>
    <row r="140" spans="1:1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</row>
    <row r="141" spans="1:1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</row>
    <row r="142" spans="1:15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</row>
    <row r="143" spans="1:1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</row>
    <row r="144" spans="1:1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</row>
    <row r="145" spans="1:1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</row>
    <row r="146" spans="1:15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</row>
    <row r="147" spans="1:1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</row>
    <row r="148" spans="1:15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</row>
    <row r="149" spans="1:1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</row>
    <row r="150" spans="1:15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</row>
    <row r="151" spans="1:1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</row>
    <row r="152" spans="1:15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</row>
    <row r="153" spans="1:1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</row>
    <row r="154" spans="1:15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</row>
    <row r="155" spans="1:1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</row>
    <row r="156" spans="1:1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</row>
    <row r="157" spans="1:1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</row>
    <row r="158" spans="1:1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</row>
    <row r="159" spans="1:15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</row>
    <row r="160" spans="1:15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</row>
    <row r="161" spans="1:1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</row>
    <row r="162" spans="1:15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</row>
    <row r="163" spans="1:1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</row>
    <row r="164" spans="1:15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</row>
    <row r="165" spans="1:1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</row>
    <row r="166" spans="1:15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</row>
    <row r="167" spans="1:1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</row>
    <row r="168" spans="1:15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</row>
    <row r="169" spans="1:1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</row>
    <row r="170" spans="1:15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</row>
    <row r="171" spans="1:1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</row>
    <row r="172" spans="1:15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</row>
    <row r="173" spans="1:1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</row>
    <row r="174" spans="1:15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</row>
    <row r="175" spans="1:1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</row>
    <row r="176" spans="1:15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</row>
    <row r="177" spans="1:1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</row>
    <row r="178" spans="1:1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</row>
    <row r="179" spans="1:1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</row>
    <row r="180" spans="1:15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</row>
    <row r="181" spans="1:1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</row>
    <row r="182" spans="1:15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</row>
    <row r="183" spans="1:1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</row>
    <row r="184" spans="1:15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</row>
    <row r="185" spans="1:1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</row>
    <row r="186" spans="1:1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</row>
  </sheetData>
  <autoFilter xmlns:etc="http://www.wps.cn/officeDocument/2017/etCustomData" ref="A1:O102" etc:filterBottomFollowUsedRange="0">
    <extLst/>
  </autoFilter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4097" r:id="rId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4097" r:id="rId3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workbookViewId="0">
      <selection activeCell="D26" sqref="D26"/>
    </sheetView>
  </sheetViews>
  <sheetFormatPr defaultColWidth="9.06666666666667" defaultRowHeight="17.6" outlineLevelCol="7"/>
  <cols>
    <col min="1" max="1" width="13.2666666666667" style="26"/>
    <col min="2" max="2" width="17.8" style="26"/>
    <col min="3" max="3" width="9.46666666666667" style="26"/>
    <col min="4" max="4" width="19.2666666666667" style="26"/>
    <col min="5" max="5" width="11.8666666666667" style="26"/>
    <col min="6" max="6" width="9.06666666666667" style="26"/>
    <col min="7" max="7" width="12.3666666666667" style="26" customWidth="1"/>
    <col min="8" max="8" width="9.06666666666667" style="26"/>
  </cols>
  <sheetData>
    <row r="1" spans="1:8">
      <c r="A1" s="27"/>
      <c r="B1" s="27" t="s">
        <v>83</v>
      </c>
      <c r="C1" s="27"/>
      <c r="D1" s="27"/>
      <c r="E1" s="27" t="s">
        <v>319</v>
      </c>
      <c r="F1" s="27"/>
      <c r="G1" s="27"/>
      <c r="H1" s="27" t="s">
        <v>17</v>
      </c>
    </row>
    <row r="2" spans="1:8">
      <c r="A2" s="28" t="s">
        <v>221</v>
      </c>
      <c r="B2" s="28" t="s">
        <v>220</v>
      </c>
      <c r="C2" s="28" t="s">
        <v>320</v>
      </c>
      <c r="D2" s="29">
        <v>46155.8586574074</v>
      </c>
      <c r="E2" s="28">
        <v>-975</v>
      </c>
      <c r="F2" s="28" t="s">
        <v>321</v>
      </c>
      <c r="G2" s="28" t="s">
        <v>322</v>
      </c>
      <c r="H2" s="28" t="s">
        <v>24</v>
      </c>
    </row>
    <row r="3" spans="1:8">
      <c r="A3" s="28" t="s">
        <v>221</v>
      </c>
      <c r="B3" s="28" t="s">
        <v>220</v>
      </c>
      <c r="C3" s="28" t="s">
        <v>323</v>
      </c>
      <c r="D3" s="29">
        <v>46155.8586574074</v>
      </c>
      <c r="E3" s="28">
        <v>-1190.7</v>
      </c>
      <c r="F3" s="28" t="s">
        <v>321</v>
      </c>
      <c r="G3" s="28" t="s">
        <v>322</v>
      </c>
      <c r="H3" s="28" t="s">
        <v>24</v>
      </c>
    </row>
    <row r="4" spans="1:8">
      <c r="A4" s="28" t="s">
        <v>221</v>
      </c>
      <c r="B4" s="28" t="s">
        <v>220</v>
      </c>
      <c r="C4" s="28" t="s">
        <v>324</v>
      </c>
      <c r="D4" s="29">
        <v>46155.8586574074</v>
      </c>
      <c r="E4" s="28">
        <v>-1734.5</v>
      </c>
      <c r="F4" s="28" t="s">
        <v>321</v>
      </c>
      <c r="G4" s="28" t="s">
        <v>322</v>
      </c>
      <c r="H4" s="28" t="s">
        <v>24</v>
      </c>
    </row>
    <row r="5" spans="1:8">
      <c r="A5" s="28" t="s">
        <v>212</v>
      </c>
      <c r="B5" s="28" t="s">
        <v>211</v>
      </c>
      <c r="C5" s="28" t="s">
        <v>325</v>
      </c>
      <c r="D5" s="29">
        <v>46154.7581481481</v>
      </c>
      <c r="E5" s="28">
        <v>-2536.2</v>
      </c>
      <c r="F5" s="28" t="s">
        <v>326</v>
      </c>
      <c r="G5" s="28" t="s">
        <v>327</v>
      </c>
      <c r="H5" s="28" t="s">
        <v>24</v>
      </c>
    </row>
    <row r="6" spans="1:8">
      <c r="A6" s="28" t="s">
        <v>212</v>
      </c>
      <c r="B6" s="28" t="s">
        <v>211</v>
      </c>
      <c r="C6" s="28" t="s">
        <v>328</v>
      </c>
      <c r="D6" s="29">
        <v>46154.7577199074</v>
      </c>
      <c r="E6" s="28">
        <v>-3312.9</v>
      </c>
      <c r="F6" s="28" t="s">
        <v>326</v>
      </c>
      <c r="G6" s="28" t="s">
        <v>327</v>
      </c>
      <c r="H6" s="28" t="s">
        <v>24</v>
      </c>
    </row>
    <row r="7" spans="1:8">
      <c r="A7" s="28" t="s">
        <v>285</v>
      </c>
      <c r="B7" s="28" t="s">
        <v>284</v>
      </c>
      <c r="C7" s="28" t="s">
        <v>329</v>
      </c>
      <c r="D7" s="29">
        <v>46150.6895833333</v>
      </c>
      <c r="E7" s="28">
        <v>-1800</v>
      </c>
      <c r="F7" s="28" t="s">
        <v>187</v>
      </c>
      <c r="G7" s="28" t="s">
        <v>330</v>
      </c>
      <c r="H7" s="28" t="s">
        <v>24</v>
      </c>
    </row>
    <row r="8" spans="1:8">
      <c r="A8" s="28" t="s">
        <v>331</v>
      </c>
      <c r="B8" s="28" t="s">
        <v>332</v>
      </c>
      <c r="C8" s="28" t="s">
        <v>333</v>
      </c>
      <c r="D8" s="29">
        <v>46170.5843981481</v>
      </c>
      <c r="E8" s="28">
        <v>-3135.15</v>
      </c>
      <c r="F8" s="28" t="s">
        <v>334</v>
      </c>
      <c r="G8" s="28" t="s">
        <v>335</v>
      </c>
      <c r="H8" s="28" t="s">
        <v>9</v>
      </c>
    </row>
    <row r="9" spans="1:8">
      <c r="A9" s="28" t="s">
        <v>331</v>
      </c>
      <c r="B9" s="28" t="s">
        <v>332</v>
      </c>
      <c r="C9" s="28" t="s">
        <v>336</v>
      </c>
      <c r="D9" s="29">
        <v>46170.5840972222</v>
      </c>
      <c r="E9" s="28">
        <v>-1243</v>
      </c>
      <c r="F9" s="28" t="s">
        <v>334</v>
      </c>
      <c r="G9" s="28" t="s">
        <v>335</v>
      </c>
      <c r="H9" s="28" t="s">
        <v>9</v>
      </c>
    </row>
    <row r="10" spans="1:8">
      <c r="A10" s="28" t="s">
        <v>331</v>
      </c>
      <c r="B10" s="28" t="s">
        <v>332</v>
      </c>
      <c r="C10" s="28" t="s">
        <v>337</v>
      </c>
      <c r="D10" s="29">
        <v>46170.5838194444</v>
      </c>
      <c r="E10" s="28">
        <v>-8883.1</v>
      </c>
      <c r="F10" s="28" t="s">
        <v>334</v>
      </c>
      <c r="G10" s="28" t="s">
        <v>335</v>
      </c>
      <c r="H10" s="28" t="s">
        <v>9</v>
      </c>
    </row>
    <row r="11" spans="1:8">
      <c r="A11" s="28" t="s">
        <v>331</v>
      </c>
      <c r="B11" s="28" t="s">
        <v>332</v>
      </c>
      <c r="C11" s="28" t="s">
        <v>338</v>
      </c>
      <c r="D11" s="29">
        <v>46170.5828356482</v>
      </c>
      <c r="E11" s="28">
        <v>-1744.75</v>
      </c>
      <c r="F11" s="28" t="s">
        <v>334</v>
      </c>
      <c r="G11" s="28" t="s">
        <v>335</v>
      </c>
      <c r="H11" s="28" t="s">
        <v>9</v>
      </c>
    </row>
    <row r="12" spans="1:8">
      <c r="A12" s="28" t="s">
        <v>339</v>
      </c>
      <c r="B12" s="28" t="s">
        <v>340</v>
      </c>
      <c r="C12" s="28" t="s">
        <v>341</v>
      </c>
      <c r="D12" s="29">
        <v>46171.5570833333</v>
      </c>
      <c r="E12" s="28">
        <v>-12000</v>
      </c>
      <c r="F12" s="28" t="s">
        <v>342</v>
      </c>
      <c r="G12" s="28" t="s">
        <v>343</v>
      </c>
      <c r="H12" s="28" t="s">
        <v>9</v>
      </c>
    </row>
    <row r="13" ht="18" spans="1:8">
      <c r="A13" s="28" t="s">
        <v>344</v>
      </c>
      <c r="B13" s="28" t="s">
        <v>345</v>
      </c>
      <c r="C13" s="28" t="s">
        <v>346</v>
      </c>
      <c r="D13" s="29">
        <v>46167.6975694444</v>
      </c>
      <c r="E13" s="28">
        <v>-550.95</v>
      </c>
      <c r="F13" s="28" t="s">
        <v>347</v>
      </c>
      <c r="G13" s="28" t="s">
        <v>348</v>
      </c>
      <c r="H13" s="28" t="s">
        <v>9</v>
      </c>
    </row>
    <row r="14" ht="18" spans="1:8">
      <c r="A14" s="28" t="s">
        <v>344</v>
      </c>
      <c r="B14" s="28" t="s">
        <v>345</v>
      </c>
      <c r="C14" s="28" t="s">
        <v>349</v>
      </c>
      <c r="D14" s="29">
        <v>46167.6963541667</v>
      </c>
      <c r="E14" s="28">
        <v>-1702.45</v>
      </c>
      <c r="F14" s="28" t="s">
        <v>347</v>
      </c>
      <c r="G14" s="28" t="s">
        <v>348</v>
      </c>
      <c r="H14" s="28" t="s">
        <v>9</v>
      </c>
    </row>
    <row r="15" ht="18" spans="1:8">
      <c r="A15" s="28" t="s">
        <v>344</v>
      </c>
      <c r="B15" s="28" t="s">
        <v>345</v>
      </c>
      <c r="C15" s="28" t="s">
        <v>350</v>
      </c>
      <c r="D15" s="29">
        <v>46167.6958912037</v>
      </c>
      <c r="E15" s="28">
        <v>-1771.7</v>
      </c>
      <c r="F15" s="28" t="s">
        <v>347</v>
      </c>
      <c r="G15" s="28" t="s">
        <v>348</v>
      </c>
      <c r="H15" s="28" t="s">
        <v>9</v>
      </c>
    </row>
    <row r="16" ht="18" spans="1:8">
      <c r="A16" s="28" t="s">
        <v>344</v>
      </c>
      <c r="B16" s="28" t="s">
        <v>345</v>
      </c>
      <c r="C16" s="28" t="s">
        <v>351</v>
      </c>
      <c r="D16" s="29">
        <v>46167.6947222222</v>
      </c>
      <c r="E16" s="28">
        <v>-2482.75</v>
      </c>
      <c r="F16" s="28" t="s">
        <v>347</v>
      </c>
      <c r="G16" s="28" t="s">
        <v>348</v>
      </c>
      <c r="H16" s="28" t="s">
        <v>9</v>
      </c>
    </row>
    <row r="17" spans="1:8">
      <c r="A17" s="28" t="s">
        <v>192</v>
      </c>
      <c r="B17" s="28" t="s">
        <v>191</v>
      </c>
      <c r="C17" s="28" t="s">
        <v>352</v>
      </c>
      <c r="D17" s="29">
        <v>46168.4779282407</v>
      </c>
      <c r="E17" s="28">
        <v>-59900</v>
      </c>
      <c r="F17" s="28" t="s">
        <v>353</v>
      </c>
      <c r="G17" s="28" t="s">
        <v>354</v>
      </c>
      <c r="H17" s="28" t="s">
        <v>9</v>
      </c>
    </row>
    <row r="18" spans="1:8">
      <c r="A18" s="28" t="s">
        <v>124</v>
      </c>
      <c r="B18" s="28" t="s">
        <v>123</v>
      </c>
      <c r="C18" s="28" t="s">
        <v>355</v>
      </c>
      <c r="D18" s="29">
        <v>46167.7034606481</v>
      </c>
      <c r="E18" s="28">
        <v>-17500</v>
      </c>
      <c r="F18" s="28" t="s">
        <v>113</v>
      </c>
      <c r="G18" s="28" t="s">
        <v>356</v>
      </c>
      <c r="H18" s="28" t="s">
        <v>9</v>
      </c>
    </row>
    <row r="19" spans="1:8">
      <c r="A19" s="28" t="s">
        <v>357</v>
      </c>
      <c r="B19" s="28" t="s">
        <v>358</v>
      </c>
      <c r="C19" s="28" t="s">
        <v>359</v>
      </c>
      <c r="D19" s="29">
        <v>46166.5593981482</v>
      </c>
      <c r="E19" s="28">
        <v>-9000</v>
      </c>
      <c r="F19" s="28" t="s">
        <v>187</v>
      </c>
      <c r="G19" s="28" t="s">
        <v>330</v>
      </c>
      <c r="H19" s="28" t="s">
        <v>9</v>
      </c>
    </row>
    <row r="20" spans="1:8">
      <c r="A20" s="28" t="s">
        <v>146</v>
      </c>
      <c r="B20" s="28" t="s">
        <v>145</v>
      </c>
      <c r="C20" s="28" t="s">
        <v>323</v>
      </c>
      <c r="D20" s="29">
        <v>46164.4969444444</v>
      </c>
      <c r="E20" s="28">
        <v>-4549.3</v>
      </c>
      <c r="F20" s="28" t="s">
        <v>334</v>
      </c>
      <c r="G20" s="28" t="s">
        <v>335</v>
      </c>
      <c r="H20" s="28" t="s">
        <v>9</v>
      </c>
    </row>
    <row r="21" spans="1:8">
      <c r="A21" s="28" t="s">
        <v>146</v>
      </c>
      <c r="B21" s="28" t="s">
        <v>145</v>
      </c>
      <c r="C21" s="28" t="s">
        <v>320</v>
      </c>
      <c r="D21" s="29">
        <v>46164.4964814815</v>
      </c>
      <c r="E21" s="28">
        <v>-3725</v>
      </c>
      <c r="F21" s="28" t="s">
        <v>334</v>
      </c>
      <c r="G21" s="28" t="s">
        <v>335</v>
      </c>
      <c r="H21" s="28" t="s">
        <v>9</v>
      </c>
    </row>
    <row r="22" spans="1:8">
      <c r="A22" s="28" t="s">
        <v>146</v>
      </c>
      <c r="B22" s="28" t="s">
        <v>145</v>
      </c>
      <c r="C22" s="28" t="s">
        <v>324</v>
      </c>
      <c r="D22" s="29">
        <v>46164.4959143518</v>
      </c>
      <c r="E22" s="28">
        <v>-6625.8</v>
      </c>
      <c r="F22" s="28" t="s">
        <v>334</v>
      </c>
      <c r="G22" s="28" t="s">
        <v>335</v>
      </c>
      <c r="H22" s="28" t="s">
        <v>9</v>
      </c>
    </row>
    <row r="23" spans="1:8">
      <c r="A23" s="28" t="s">
        <v>172</v>
      </c>
      <c r="B23" s="28" t="s">
        <v>171</v>
      </c>
      <c r="C23" s="28" t="s">
        <v>360</v>
      </c>
      <c r="D23" s="29">
        <v>46159.6222916667</v>
      </c>
      <c r="E23" s="28">
        <v>-3347.8</v>
      </c>
      <c r="F23" s="28" t="s">
        <v>347</v>
      </c>
      <c r="G23" s="28" t="s">
        <v>348</v>
      </c>
      <c r="H23" s="28" t="s">
        <v>9</v>
      </c>
    </row>
    <row r="24" spans="1:8">
      <c r="A24" s="28" t="s">
        <v>172</v>
      </c>
      <c r="B24" s="28" t="s">
        <v>171</v>
      </c>
      <c r="C24" s="28" t="s">
        <v>361</v>
      </c>
      <c r="D24" s="29">
        <v>46159.6203240741</v>
      </c>
      <c r="E24" s="28">
        <v>-3623.5</v>
      </c>
      <c r="F24" s="28" t="s">
        <v>347</v>
      </c>
      <c r="G24" s="28" t="s">
        <v>348</v>
      </c>
      <c r="H24" s="28" t="s">
        <v>9</v>
      </c>
    </row>
    <row r="25" spans="1:8">
      <c r="A25" s="28" t="s">
        <v>172</v>
      </c>
      <c r="B25" s="28" t="s">
        <v>171</v>
      </c>
      <c r="C25" s="28" t="s">
        <v>362</v>
      </c>
      <c r="D25" s="29">
        <v>46159.6199421296</v>
      </c>
      <c r="E25" s="28">
        <v>-7488.6</v>
      </c>
      <c r="F25" s="28" t="s">
        <v>347</v>
      </c>
      <c r="G25" s="28" t="s">
        <v>348</v>
      </c>
      <c r="H25" s="28" t="s">
        <v>9</v>
      </c>
    </row>
    <row r="26" spans="1:8">
      <c r="A26" s="28" t="s">
        <v>172</v>
      </c>
      <c r="B26" s="28" t="s">
        <v>171</v>
      </c>
      <c r="C26" s="28" t="s">
        <v>363</v>
      </c>
      <c r="D26" s="29">
        <v>46159.6193981481</v>
      </c>
      <c r="E26" s="28">
        <v>-2276</v>
      </c>
      <c r="F26" s="28" t="s">
        <v>347</v>
      </c>
      <c r="G26" s="28" t="s">
        <v>348</v>
      </c>
      <c r="H26" s="28" t="s">
        <v>9</v>
      </c>
    </row>
    <row r="27" spans="1:8">
      <c r="A27" s="28" t="s">
        <v>364</v>
      </c>
      <c r="B27" s="28" t="s">
        <v>365</v>
      </c>
      <c r="C27" s="28" t="s">
        <v>366</v>
      </c>
      <c r="D27" s="29">
        <v>46162.5356828704</v>
      </c>
      <c r="E27" s="28">
        <v>-8000</v>
      </c>
      <c r="F27" s="28" t="s">
        <v>342</v>
      </c>
      <c r="G27" s="28" t="s">
        <v>343</v>
      </c>
      <c r="H27" s="28" t="s">
        <v>9</v>
      </c>
    </row>
    <row r="28" spans="1:8">
      <c r="A28" s="28" t="s">
        <v>124</v>
      </c>
      <c r="B28" s="28" t="s">
        <v>123</v>
      </c>
      <c r="C28" s="28" t="s">
        <v>367</v>
      </c>
      <c r="D28" s="29">
        <v>46161.6123726852</v>
      </c>
      <c r="E28" s="28">
        <v>-4800</v>
      </c>
      <c r="F28" s="28" t="s">
        <v>368</v>
      </c>
      <c r="G28" s="28" t="s">
        <v>369</v>
      </c>
      <c r="H28" s="28" t="s">
        <v>9</v>
      </c>
    </row>
    <row r="29" spans="1:8">
      <c r="A29" s="28">
        <v>106730890</v>
      </c>
      <c r="B29" s="28" t="s">
        <v>370</v>
      </c>
      <c r="D29" s="29">
        <v>46155.890775463</v>
      </c>
      <c r="E29" s="28">
        <v>-19836</v>
      </c>
      <c r="F29" s="28" t="s">
        <v>9</v>
      </c>
      <c r="H29" s="28" t="s">
        <v>9</v>
      </c>
    </row>
    <row r="30" spans="1:8">
      <c r="A30" s="28" t="s">
        <v>371</v>
      </c>
      <c r="B30" s="28" t="s">
        <v>372</v>
      </c>
      <c r="C30" s="28" t="s">
        <v>373</v>
      </c>
      <c r="D30" s="29">
        <v>46154.4400231481</v>
      </c>
      <c r="E30" s="28">
        <v>-5000</v>
      </c>
      <c r="F30" s="28" t="s">
        <v>374</v>
      </c>
      <c r="G30" s="28" t="s">
        <v>375</v>
      </c>
      <c r="H30" s="28" t="s">
        <v>9</v>
      </c>
    </row>
    <row r="31" spans="1:8">
      <c r="A31" s="28" t="s">
        <v>376</v>
      </c>
      <c r="B31" s="28" t="s">
        <v>377</v>
      </c>
      <c r="C31" s="28" t="s">
        <v>378</v>
      </c>
      <c r="D31" s="29">
        <v>46154.4358333333</v>
      </c>
      <c r="E31" s="28">
        <v>-5000</v>
      </c>
      <c r="F31" s="28" t="s">
        <v>187</v>
      </c>
      <c r="G31" s="28" t="s">
        <v>330</v>
      </c>
      <c r="H31" s="28" t="s">
        <v>9</v>
      </c>
    </row>
    <row r="32" spans="1:8">
      <c r="A32" s="28" t="s">
        <v>376</v>
      </c>
      <c r="B32" s="28" t="s">
        <v>377</v>
      </c>
      <c r="C32" s="28" t="s">
        <v>379</v>
      </c>
      <c r="D32" s="29">
        <v>46154.4358333333</v>
      </c>
      <c r="E32" s="28">
        <v>-18800</v>
      </c>
      <c r="F32" s="28" t="s">
        <v>187</v>
      </c>
      <c r="G32" s="28" t="s">
        <v>330</v>
      </c>
      <c r="H32" s="28" t="s">
        <v>9</v>
      </c>
    </row>
    <row r="33" spans="1:8">
      <c r="A33" s="28">
        <v>111857137</v>
      </c>
      <c r="B33" s="28" t="s">
        <v>380</v>
      </c>
      <c r="D33" s="29">
        <v>46147.8376967593</v>
      </c>
      <c r="E33" s="28">
        <v>-1975.4</v>
      </c>
      <c r="F33" s="28" t="s">
        <v>9</v>
      </c>
      <c r="H33" s="28" t="s">
        <v>9</v>
      </c>
    </row>
    <row r="34" spans="1:8">
      <c r="A34" s="28" t="s">
        <v>381</v>
      </c>
      <c r="B34" s="28" t="s">
        <v>382</v>
      </c>
      <c r="C34" s="28" t="s">
        <v>383</v>
      </c>
      <c r="D34" s="29">
        <v>46152.6754861111</v>
      </c>
      <c r="E34" s="28">
        <v>-20500</v>
      </c>
      <c r="F34" s="28" t="s">
        <v>368</v>
      </c>
      <c r="G34" s="28" t="s">
        <v>369</v>
      </c>
      <c r="H34" s="28" t="s">
        <v>9</v>
      </c>
    </row>
    <row r="35" spans="1:8">
      <c r="A35" s="28" t="s">
        <v>384</v>
      </c>
      <c r="B35" s="28" t="s">
        <v>385</v>
      </c>
      <c r="C35" s="28" t="s">
        <v>386</v>
      </c>
      <c r="D35" s="29">
        <v>46151.5798842593</v>
      </c>
      <c r="E35" s="28">
        <v>-1600</v>
      </c>
      <c r="F35" s="28" t="s">
        <v>170</v>
      </c>
      <c r="G35" s="28" t="s">
        <v>387</v>
      </c>
      <c r="H35" s="28" t="s">
        <v>9</v>
      </c>
    </row>
    <row r="36" spans="1:8">
      <c r="A36" s="28" t="s">
        <v>212</v>
      </c>
      <c r="B36" s="28" t="s">
        <v>211</v>
      </c>
      <c r="C36" s="28" t="s">
        <v>325</v>
      </c>
      <c r="D36" s="29">
        <v>46154.7581481481</v>
      </c>
      <c r="E36" s="28">
        <v>-2536.2</v>
      </c>
      <c r="F36" s="28" t="s">
        <v>326</v>
      </c>
      <c r="G36" s="28" t="s">
        <v>327</v>
      </c>
      <c r="H36" s="28" t="s">
        <v>30</v>
      </c>
    </row>
    <row r="37" spans="1:8">
      <c r="A37" s="28" t="s">
        <v>212</v>
      </c>
      <c r="B37" s="28" t="s">
        <v>211</v>
      </c>
      <c r="C37" s="28" t="s">
        <v>328</v>
      </c>
      <c r="D37" s="29">
        <v>46154.7577199074</v>
      </c>
      <c r="E37" s="28">
        <v>-3312.9</v>
      </c>
      <c r="F37" s="28" t="s">
        <v>326</v>
      </c>
      <c r="G37" s="28" t="s">
        <v>327</v>
      </c>
      <c r="H37" s="28" t="s">
        <v>30</v>
      </c>
    </row>
    <row r="38" spans="1:8">
      <c r="A38" s="28" t="s">
        <v>112</v>
      </c>
      <c r="B38" s="28" t="s">
        <v>111</v>
      </c>
      <c r="C38" s="28" t="s">
        <v>388</v>
      </c>
      <c r="D38" s="29">
        <v>46171.6478125</v>
      </c>
      <c r="E38" s="28">
        <v>-5740</v>
      </c>
      <c r="F38" s="28" t="s">
        <v>347</v>
      </c>
      <c r="G38" s="28" t="s">
        <v>348</v>
      </c>
      <c r="H38" s="28" t="s">
        <v>20</v>
      </c>
    </row>
    <row r="39" spans="1:8">
      <c r="A39" s="28" t="s">
        <v>112</v>
      </c>
      <c r="B39" s="28" t="s">
        <v>111</v>
      </c>
      <c r="C39" s="28" t="s">
        <v>389</v>
      </c>
      <c r="D39" s="29">
        <v>46171.6473726852</v>
      </c>
      <c r="E39" s="28">
        <v>-4700</v>
      </c>
      <c r="F39" s="28" t="s">
        <v>347</v>
      </c>
      <c r="G39" s="28" t="s">
        <v>348</v>
      </c>
      <c r="H39" s="28" t="s">
        <v>20</v>
      </c>
    </row>
    <row r="40" spans="1:8">
      <c r="A40" s="28" t="s">
        <v>112</v>
      </c>
      <c r="B40" s="28" t="s">
        <v>111</v>
      </c>
      <c r="C40" s="28" t="s">
        <v>390</v>
      </c>
      <c r="D40" s="29">
        <v>46171.6466898148</v>
      </c>
      <c r="E40" s="28">
        <v>-3160</v>
      </c>
      <c r="F40" s="28" t="s">
        <v>347</v>
      </c>
      <c r="G40" s="28" t="s">
        <v>348</v>
      </c>
      <c r="H40" s="28" t="s">
        <v>20</v>
      </c>
    </row>
    <row r="41" spans="1:8">
      <c r="A41" s="28">
        <v>111354677</v>
      </c>
      <c r="B41" s="28" t="s">
        <v>391</v>
      </c>
      <c r="D41" s="29">
        <v>46158.6459606482</v>
      </c>
      <c r="E41" s="28">
        <v>-12090</v>
      </c>
      <c r="F41" s="28" t="s">
        <v>20</v>
      </c>
      <c r="H41" s="28" t="s">
        <v>20</v>
      </c>
    </row>
    <row r="42" ht="18" spans="1:8">
      <c r="A42" s="28" t="s">
        <v>392</v>
      </c>
      <c r="B42" s="28" t="s">
        <v>393</v>
      </c>
      <c r="C42" s="28" t="s">
        <v>394</v>
      </c>
      <c r="D42" s="29">
        <v>46154.4562384259</v>
      </c>
      <c r="E42" s="28">
        <v>-5700</v>
      </c>
      <c r="F42" s="28" t="s">
        <v>395</v>
      </c>
      <c r="G42" s="28" t="s">
        <v>396</v>
      </c>
      <c r="H42" s="28" t="s">
        <v>20</v>
      </c>
    </row>
    <row r="43" ht="18" spans="1:8">
      <c r="A43" s="28" t="s">
        <v>392</v>
      </c>
      <c r="B43" s="28" t="s">
        <v>393</v>
      </c>
      <c r="C43" s="28" t="s">
        <v>397</v>
      </c>
      <c r="D43" s="29">
        <v>46154.4559606481</v>
      </c>
      <c r="E43" s="28">
        <v>-9050</v>
      </c>
      <c r="F43" s="28" t="s">
        <v>395</v>
      </c>
      <c r="G43" s="28" t="s">
        <v>396</v>
      </c>
      <c r="H43" s="28" t="s">
        <v>20</v>
      </c>
    </row>
    <row r="44" ht="18" spans="1:8">
      <c r="A44" s="28" t="s">
        <v>392</v>
      </c>
      <c r="B44" s="28" t="s">
        <v>393</v>
      </c>
      <c r="C44" s="28" t="s">
        <v>398</v>
      </c>
      <c r="D44" s="29">
        <v>46154.4557060185</v>
      </c>
      <c r="E44" s="28">
        <v>-6050</v>
      </c>
      <c r="F44" s="28" t="s">
        <v>395</v>
      </c>
      <c r="G44" s="28" t="s">
        <v>396</v>
      </c>
      <c r="H44" s="28" t="s">
        <v>20</v>
      </c>
    </row>
    <row r="45" ht="18" spans="1:8">
      <c r="A45" s="28" t="s">
        <v>392</v>
      </c>
      <c r="B45" s="28" t="s">
        <v>393</v>
      </c>
      <c r="C45" s="28" t="s">
        <v>399</v>
      </c>
      <c r="D45" s="29">
        <v>46154.4331712963</v>
      </c>
      <c r="E45" s="28">
        <v>-17772</v>
      </c>
      <c r="F45" s="28" t="s">
        <v>342</v>
      </c>
      <c r="G45" s="28" t="s">
        <v>343</v>
      </c>
      <c r="H45" s="28" t="s">
        <v>20</v>
      </c>
    </row>
    <row r="46" spans="1:8">
      <c r="A46" s="28" t="s">
        <v>281</v>
      </c>
      <c r="B46" s="28" t="s">
        <v>280</v>
      </c>
      <c r="C46" s="28" t="s">
        <v>400</v>
      </c>
      <c r="D46" s="29">
        <v>46149.5180671296</v>
      </c>
      <c r="E46" s="28">
        <v>-6625.8</v>
      </c>
      <c r="F46" s="28" t="s">
        <v>326</v>
      </c>
      <c r="G46" s="28" t="s">
        <v>327</v>
      </c>
      <c r="H46" s="28" t="s">
        <v>20</v>
      </c>
    </row>
    <row r="47" spans="1:8">
      <c r="A47" s="28" t="s">
        <v>281</v>
      </c>
      <c r="B47" s="28" t="s">
        <v>280</v>
      </c>
      <c r="C47" s="28" t="s">
        <v>401</v>
      </c>
      <c r="D47" s="29">
        <v>46149.5192708333</v>
      </c>
      <c r="E47" s="28">
        <v>-4549.3</v>
      </c>
      <c r="F47" s="28" t="s">
        <v>326</v>
      </c>
      <c r="G47" s="28" t="s">
        <v>327</v>
      </c>
      <c r="H47" s="28" t="s">
        <v>20</v>
      </c>
    </row>
    <row r="48" spans="1:8">
      <c r="A48" s="28" t="s">
        <v>281</v>
      </c>
      <c r="B48" s="28" t="s">
        <v>280</v>
      </c>
      <c r="C48" s="28" t="s">
        <v>402</v>
      </c>
      <c r="D48" s="29">
        <v>46149.5186921296</v>
      </c>
      <c r="E48" s="28">
        <v>-3725</v>
      </c>
      <c r="F48" s="28" t="s">
        <v>326</v>
      </c>
      <c r="G48" s="28" t="s">
        <v>327</v>
      </c>
      <c r="H48" s="28" t="s">
        <v>20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5121" r:id="rId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5121" r:id="rId3"/>
      </mc:Fallback>
    </mc:AlternateContent>
    <mc:AlternateContent xmlns:mc="http://schemas.openxmlformats.org/markup-compatibility/2006">
      <mc:Choice Requires="x14">
        <control shapeId="5122" r:id="rId4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5122" r:id="rId4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X7"/>
  <sheetViews>
    <sheetView zoomScale="80" zoomScaleNormal="80" workbookViewId="0">
      <selection activeCell="R4" sqref="R4"/>
    </sheetView>
  </sheetViews>
  <sheetFormatPr defaultColWidth="9.16666666666667" defaultRowHeight="16.8" customHeight="1" outlineLevelRow="6"/>
  <cols>
    <col min="4" max="4" width="16.3333333333333" style="1" customWidth="1"/>
    <col min="9" max="9" width="11.9333333333333"/>
    <col min="19" max="19" width="16.8" style="1" customWidth="1"/>
  </cols>
  <sheetData>
    <row r="2" s="1" customFormat="1" customHeight="1" spans="2:24">
      <c r="B2" s="10" t="s">
        <v>17</v>
      </c>
      <c r="C2" s="11"/>
      <c r="D2" s="12"/>
      <c r="E2" s="13" t="s">
        <v>403</v>
      </c>
      <c r="F2" s="14"/>
      <c r="G2" s="13"/>
      <c r="H2" s="13"/>
      <c r="I2" s="18"/>
      <c r="J2" s="13"/>
      <c r="K2" s="13"/>
      <c r="L2" s="19" t="s">
        <v>48</v>
      </c>
      <c r="M2" s="19"/>
      <c r="N2" s="19"/>
      <c r="O2" s="19"/>
      <c r="P2" s="19"/>
      <c r="Q2" s="19"/>
      <c r="R2" s="19"/>
      <c r="S2" s="24" t="s">
        <v>404</v>
      </c>
      <c r="T2" s="24"/>
      <c r="U2" s="24"/>
      <c r="V2" s="24"/>
      <c r="W2" s="24"/>
      <c r="X2" s="24"/>
    </row>
    <row r="3" s="1" customFormat="1" customHeight="1" spans="2:24">
      <c r="B3" s="13" t="s">
        <v>1</v>
      </c>
      <c r="C3" s="13" t="s">
        <v>405</v>
      </c>
      <c r="D3" s="13" t="s">
        <v>7</v>
      </c>
      <c r="E3" s="13" t="s">
        <v>406</v>
      </c>
      <c r="F3" s="14" t="s">
        <v>407</v>
      </c>
      <c r="G3" s="13" t="s">
        <v>45</v>
      </c>
      <c r="H3" s="13" t="s">
        <v>408</v>
      </c>
      <c r="I3" s="18" t="s">
        <v>409</v>
      </c>
      <c r="J3" s="13" t="s">
        <v>45</v>
      </c>
      <c r="K3" s="13" t="s">
        <v>410</v>
      </c>
      <c r="L3" s="20" t="s">
        <v>411</v>
      </c>
      <c r="M3" s="20" t="s">
        <v>412</v>
      </c>
      <c r="N3" s="20" t="s">
        <v>413</v>
      </c>
      <c r="O3" s="20" t="s">
        <v>414</v>
      </c>
      <c r="P3" s="20" t="s">
        <v>415</v>
      </c>
      <c r="Q3" s="20" t="s">
        <v>413</v>
      </c>
      <c r="R3" s="20" t="s">
        <v>410</v>
      </c>
      <c r="S3" s="25" t="s">
        <v>416</v>
      </c>
      <c r="T3" s="25" t="s">
        <v>417</v>
      </c>
      <c r="U3" s="25" t="s">
        <v>410</v>
      </c>
      <c r="V3" s="25" t="s">
        <v>418</v>
      </c>
      <c r="W3" s="25" t="s">
        <v>410</v>
      </c>
      <c r="X3" s="25" t="s">
        <v>46</v>
      </c>
    </row>
    <row r="4" s="1" customFormat="1" customHeight="1" spans="2:24">
      <c r="B4" s="3">
        <v>341422</v>
      </c>
      <c r="C4" s="6" t="s">
        <v>9</v>
      </c>
      <c r="D4" s="6" t="s">
        <v>419</v>
      </c>
      <c r="E4" s="6">
        <v>3</v>
      </c>
      <c r="F4" s="15">
        <v>7</v>
      </c>
      <c r="G4" s="16">
        <f>F4/E4</f>
        <v>2.33333333333333</v>
      </c>
      <c r="H4" s="17">
        <f>业绩核算!D4</f>
        <v>60000</v>
      </c>
      <c r="I4" s="21">
        <f>业绩核算!E4</f>
        <v>288079.2</v>
      </c>
      <c r="J4" s="16">
        <f>I4/H4</f>
        <v>4.80132</v>
      </c>
      <c r="K4" s="22">
        <v>0.3</v>
      </c>
      <c r="L4" s="22">
        <v>0.25</v>
      </c>
      <c r="M4" s="22">
        <v>0.3267</v>
      </c>
      <c r="N4" s="6" t="s">
        <v>420</v>
      </c>
      <c r="O4" s="22">
        <v>0.1</v>
      </c>
      <c r="P4" s="23">
        <v>0.0784</v>
      </c>
      <c r="Q4" s="6" t="s">
        <v>421</v>
      </c>
      <c r="R4" s="22">
        <v>0.4</v>
      </c>
      <c r="S4" s="22">
        <v>0.3</v>
      </c>
      <c r="T4" s="22">
        <v>0.36</v>
      </c>
      <c r="U4" s="22">
        <v>0.2</v>
      </c>
      <c r="V4" s="6" t="s">
        <v>422</v>
      </c>
      <c r="W4" s="22">
        <v>0.1</v>
      </c>
      <c r="X4" s="6">
        <v>70</v>
      </c>
    </row>
    <row r="5" s="1" customFormat="1" customHeight="1" spans="2:24">
      <c r="B5" s="3">
        <v>238256</v>
      </c>
      <c r="C5" s="6" t="s">
        <v>20</v>
      </c>
      <c r="D5" s="6"/>
      <c r="E5" s="6">
        <v>3</v>
      </c>
      <c r="F5" s="15">
        <v>2</v>
      </c>
      <c r="G5" s="16">
        <f>F5/E5</f>
        <v>0.666666666666667</v>
      </c>
      <c r="H5" s="17">
        <f>业绩核算!D5</f>
        <v>60000</v>
      </c>
      <c r="I5" s="21">
        <f>业绩核算!E5</f>
        <v>95090.8</v>
      </c>
      <c r="J5" s="16">
        <f>I5/H5</f>
        <v>1.58484666666667</v>
      </c>
      <c r="K5" s="22">
        <v>0.3</v>
      </c>
      <c r="L5" s="22">
        <v>0.25</v>
      </c>
      <c r="M5" s="22">
        <v>0.2667</v>
      </c>
      <c r="N5" s="6" t="s">
        <v>420</v>
      </c>
      <c r="O5" s="22">
        <v>0.1</v>
      </c>
      <c r="P5" s="23">
        <v>0.069</v>
      </c>
      <c r="Q5" s="6" t="s">
        <v>421</v>
      </c>
      <c r="R5" s="22">
        <v>0.4</v>
      </c>
      <c r="S5" s="22">
        <v>0.3</v>
      </c>
      <c r="T5" s="22">
        <v>0.43</v>
      </c>
      <c r="U5" s="22">
        <v>0.2</v>
      </c>
      <c r="V5" s="6" t="s">
        <v>422</v>
      </c>
      <c r="W5" s="22">
        <v>0.1</v>
      </c>
      <c r="X5" s="6">
        <v>50</v>
      </c>
    </row>
    <row r="6" s="1" customFormat="1" customHeight="1" spans="2:24">
      <c r="B6" s="3">
        <v>404905</v>
      </c>
      <c r="C6" s="6" t="s">
        <v>24</v>
      </c>
      <c r="D6" s="6"/>
      <c r="E6" s="6">
        <v>3</v>
      </c>
      <c r="F6" s="15">
        <v>1</v>
      </c>
      <c r="G6" s="16">
        <f>F6/E6</f>
        <v>0.333333333333333</v>
      </c>
      <c r="H6" s="17">
        <f>业绩核算!D6</f>
        <v>60000</v>
      </c>
      <c r="I6" s="21">
        <f>业绩核算!E6</f>
        <v>0</v>
      </c>
      <c r="J6" s="16">
        <f>I6/H6</f>
        <v>0</v>
      </c>
      <c r="K6" s="22">
        <v>0.3</v>
      </c>
      <c r="L6" s="22">
        <v>0.2</v>
      </c>
      <c r="M6" s="22">
        <v>0.1892</v>
      </c>
      <c r="N6" s="6" t="s">
        <v>421</v>
      </c>
      <c r="O6" s="22">
        <v>0.1</v>
      </c>
      <c r="P6" s="23">
        <v>0.1</v>
      </c>
      <c r="Q6" s="6" t="s">
        <v>420</v>
      </c>
      <c r="R6" s="22">
        <v>0.4</v>
      </c>
      <c r="S6" s="22">
        <v>0.3</v>
      </c>
      <c r="T6" s="22">
        <v>0.411</v>
      </c>
      <c r="U6" s="22">
        <v>0.2</v>
      </c>
      <c r="V6" s="6" t="s">
        <v>422</v>
      </c>
      <c r="W6" s="22">
        <v>0.1</v>
      </c>
      <c r="X6" s="6">
        <v>30</v>
      </c>
    </row>
    <row r="7" s="1" customFormat="1" customHeight="1" spans="2:24">
      <c r="B7" s="3">
        <v>675069</v>
      </c>
      <c r="C7" s="6" t="s">
        <v>30</v>
      </c>
      <c r="D7" s="6" t="s">
        <v>423</v>
      </c>
      <c r="E7" s="6">
        <v>0</v>
      </c>
      <c r="F7" s="15">
        <v>0</v>
      </c>
      <c r="G7" s="16">
        <v>0</v>
      </c>
      <c r="H7" s="17">
        <f>业绩核算!D7</f>
        <v>0</v>
      </c>
      <c r="I7" s="21">
        <f>业绩核算!E7</f>
        <v>0</v>
      </c>
      <c r="J7" s="16">
        <v>0</v>
      </c>
      <c r="K7" s="22">
        <v>0.3</v>
      </c>
      <c r="L7" s="22">
        <v>0.2</v>
      </c>
      <c r="M7" s="22">
        <v>0.1212</v>
      </c>
      <c r="N7" s="6" t="s">
        <v>421</v>
      </c>
      <c r="O7" s="22">
        <v>0.1</v>
      </c>
      <c r="P7" s="23">
        <v>0.1622</v>
      </c>
      <c r="Q7" s="6" t="s">
        <v>420</v>
      </c>
      <c r="R7" s="22">
        <v>0.4</v>
      </c>
      <c r="S7" s="22">
        <v>0.3</v>
      </c>
      <c r="T7" s="22">
        <v>0.127</v>
      </c>
      <c r="U7" s="22">
        <v>0.2</v>
      </c>
      <c r="V7" s="6" t="s">
        <v>422</v>
      </c>
      <c r="W7" s="22">
        <v>0.1</v>
      </c>
      <c r="X7" s="6">
        <v>30</v>
      </c>
    </row>
  </sheetData>
  <mergeCells count="4">
    <mergeCell ref="B2:D2"/>
    <mergeCell ref="E2:K2"/>
    <mergeCell ref="L2:R2"/>
    <mergeCell ref="S2:X2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L9"/>
  <sheetViews>
    <sheetView showGridLines="0" zoomScale="80" zoomScaleNormal="80" workbookViewId="0">
      <selection activeCell="E35" sqref="E35"/>
    </sheetView>
  </sheetViews>
  <sheetFormatPr defaultColWidth="9.16666666666667" defaultRowHeight="16.8" customHeight="1"/>
  <cols>
    <col min="3" max="3" width="10.5" style="1"/>
    <col min="4" max="4" width="13.8333333333333" style="1" customWidth="1"/>
    <col min="9" max="9" width="21.1666666666667" style="1" customWidth="1"/>
    <col min="10" max="10" width="24" style="1" customWidth="1"/>
    <col min="11" max="11" width="15.8333333333333" style="1" customWidth="1"/>
    <col min="12" max="12" width="20.8333333333333" style="1" customWidth="1"/>
  </cols>
  <sheetData>
    <row r="2" s="1" customFormat="1" customHeight="1" spans="2:12">
      <c r="B2" s="2" t="s">
        <v>0</v>
      </c>
      <c r="C2" s="2" t="s">
        <v>424</v>
      </c>
      <c r="D2" s="2" t="s">
        <v>3</v>
      </c>
      <c r="E2" s="2" t="s">
        <v>1</v>
      </c>
      <c r="F2" s="2" t="s">
        <v>2</v>
      </c>
      <c r="G2" s="2" t="s">
        <v>4</v>
      </c>
      <c r="H2" s="4" t="s">
        <v>425</v>
      </c>
      <c r="I2" s="4"/>
      <c r="J2" s="4"/>
      <c r="K2" s="4"/>
      <c r="L2" s="4"/>
    </row>
    <row r="3" s="1" customFormat="1" customHeight="1" spans="2:12">
      <c r="B3" s="2"/>
      <c r="C3" s="2"/>
      <c r="D3" s="2"/>
      <c r="E3" s="2"/>
      <c r="F3" s="2"/>
      <c r="G3" s="2"/>
      <c r="H3" s="5" t="s">
        <v>426</v>
      </c>
      <c r="I3" s="2" t="s">
        <v>427</v>
      </c>
      <c r="J3" s="2" t="s">
        <v>428</v>
      </c>
      <c r="K3" s="2" t="s">
        <v>429</v>
      </c>
      <c r="L3" s="2" t="s">
        <v>430</v>
      </c>
    </row>
    <row r="4" s="1" customFormat="1" customHeight="1" spans="2:12">
      <c r="B4" s="3">
        <v>1</v>
      </c>
      <c r="C4" s="3">
        <v>2025.05</v>
      </c>
      <c r="D4" s="3"/>
      <c r="E4" s="3">
        <v>341422</v>
      </c>
      <c r="F4" s="3" t="s">
        <v>9</v>
      </c>
      <c r="G4" s="3"/>
      <c r="H4" s="3">
        <v>728000</v>
      </c>
      <c r="I4" s="3" t="s">
        <v>431</v>
      </c>
      <c r="J4" s="3" t="s">
        <v>432</v>
      </c>
      <c r="K4" s="7">
        <v>0.3</v>
      </c>
      <c r="L4" s="3" t="s">
        <v>433</v>
      </c>
    </row>
    <row r="5" s="1" customFormat="1" customHeight="1" spans="2:12">
      <c r="B5" s="3">
        <v>2</v>
      </c>
      <c r="C5" s="3">
        <v>2025.05</v>
      </c>
      <c r="D5" s="3"/>
      <c r="E5" s="3">
        <v>238256</v>
      </c>
      <c r="F5" s="3" t="s">
        <v>20</v>
      </c>
      <c r="G5" s="3"/>
      <c r="H5" s="3">
        <v>157000</v>
      </c>
      <c r="I5" s="3" t="s">
        <v>431</v>
      </c>
      <c r="J5" s="3" t="s">
        <v>434</v>
      </c>
      <c r="K5" s="7">
        <v>0.3</v>
      </c>
      <c r="L5" s="3" t="s">
        <v>433</v>
      </c>
    </row>
    <row r="6" s="1" customFormat="1" customHeight="1" spans="2:12">
      <c r="B6" s="3">
        <v>3</v>
      </c>
      <c r="C6" s="3">
        <v>2025.05</v>
      </c>
      <c r="D6" s="3"/>
      <c r="E6" s="3">
        <v>404905</v>
      </c>
      <c r="F6" s="3" t="s">
        <v>24</v>
      </c>
      <c r="G6" s="3"/>
      <c r="H6" s="3">
        <v>728000</v>
      </c>
      <c r="I6" s="3" t="s">
        <v>435</v>
      </c>
      <c r="J6" s="3" t="s">
        <v>432</v>
      </c>
      <c r="K6" s="7">
        <v>0.3</v>
      </c>
      <c r="L6" s="3" t="s">
        <v>433</v>
      </c>
    </row>
    <row r="7" s="1" customFormat="1" customHeight="1" spans="2:12">
      <c r="B7" s="3">
        <v>4</v>
      </c>
      <c r="C7" s="3">
        <v>2025.05</v>
      </c>
      <c r="D7" s="3"/>
      <c r="E7" s="3">
        <v>675069</v>
      </c>
      <c r="F7" s="6" t="s">
        <v>30</v>
      </c>
      <c r="G7" s="3"/>
      <c r="H7" s="3">
        <v>314000</v>
      </c>
      <c r="I7" s="3" t="s">
        <v>435</v>
      </c>
      <c r="J7" s="3" t="s">
        <v>436</v>
      </c>
      <c r="K7" s="7">
        <v>0.3</v>
      </c>
      <c r="L7" s="3" t="s">
        <v>433</v>
      </c>
    </row>
    <row r="8" s="1" customFormat="1" customHeight="1" spans="9:12">
      <c r="I8" s="8" t="s">
        <v>437</v>
      </c>
      <c r="J8" s="8" t="s">
        <v>438</v>
      </c>
      <c r="K8" s="9" t="s">
        <v>438</v>
      </c>
      <c r="L8" s="9"/>
    </row>
    <row r="9" s="1" customFormat="1" customHeight="1"/>
  </sheetData>
  <mergeCells count="10">
    <mergeCell ref="H2:L2"/>
    <mergeCell ref="K8:L8"/>
    <mergeCell ref="B2:B3"/>
    <mergeCell ref="C2:C3"/>
    <mergeCell ref="D2:D3"/>
    <mergeCell ref="D4:D7"/>
    <mergeCell ref="E2:E3"/>
    <mergeCell ref="F2:F3"/>
    <mergeCell ref="G2:G3"/>
    <mergeCell ref="G4:G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业绩核算</vt:lpstr>
      <vt:lpstr>签约明细</vt:lpstr>
      <vt:lpstr>退费明细</vt:lpstr>
      <vt:lpstr>5月绩效明细 </vt:lpstr>
      <vt:lpstr>6月绩效目标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M</cp:lastModifiedBy>
  <dcterms:created xsi:type="dcterms:W3CDTF">2006-09-19T00:00:00Z</dcterms:created>
  <dcterms:modified xsi:type="dcterms:W3CDTF">2026-06-05T17:50:44Z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518A4336923CA0D21C6AFC69F2DCF2FD_43</vt:lpwstr>
  </property>
  <property fmtid="{D5CDD505-2E9C-101B-9397-08002B2CF9AE}" pid="3" name="KSOProductBuildVer">
    <vt:lpwstr>2052-12.1.22553.22553</vt:lpwstr>
  </property>
  <property fmtid="{D5CDD505-2E9C-101B-9397-08002B2CF9AE}" pid="4" name="CalculationRule">
    <vt:i4>0</vt:i4>
  </property>
</Properties>
</file>