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80"/>
  </bookViews>
  <sheets>
    <sheet name="业绩奖金" sheetId="4" r:id="rId1"/>
    <sheet name="顾问奖金及绩效" sheetId="8" r:id="rId2"/>
    <sheet name="签约明细" sheetId="9" r:id="rId3"/>
  </sheets>
  <definedNames>
    <definedName name="_xlnm._FilterDatabase" localSheetId="2" hidden="1">签约明细!$A$1:$AP$3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<sst xmlns="http://schemas.openxmlformats.org/spreadsheetml/2006/main" count="1815" uniqueCount="521">
  <si>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</si>
  <si>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</si>
  <si>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</si>
  <si>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</si>
  <si>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</si>
  <si>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</si>
  <si>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</si>
  <si>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</si>
  <si>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</si>
  <si>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408576</t>
  </si>
  <si>
    <t>刘津玲</t>
  </si>
  <si>
    <t>在职研项目部</t>
  </si>
  <si>
    <t>A级学习顾问</t>
  </si>
  <si>
    <t>月度绩效</t>
  </si>
  <si>
    <t>兵种</t>
  </si>
  <si>
    <t>薪资名称</t>
  </si>
  <si>
    <t>标化薪资项目请选择</t>
  </si>
  <si>
    <t>提成奖金</t>
  </si>
  <si>
    <t>顾问</t>
  </si>
  <si>
    <t>绩效</t>
  </si>
  <si>
    <t>杨明</t>
  </si>
  <si>
    <t>B级学习顾问</t>
  </si>
  <si>
    <t>业绩提点</t>
  </si>
  <si>
    <t>其他</t>
  </si>
  <si>
    <t>其他业绩奖金</t>
  </si>
  <si>
    <t>王沛贤</t>
  </si>
  <si>
    <t>市场/线上运营</t>
  </si>
  <si>
    <t>专员、组长绩效</t>
  </si>
  <si>
    <t>季度奖金</t>
  </si>
  <si>
    <t>季度绩效</t>
  </si>
  <si>
    <t>学管</t>
  </si>
  <si>
    <t>带班/课消服务费、组长绩效</t>
  </si>
  <si>
    <t>续转业绩提点</t>
  </si>
  <si>
    <t>匹配奖金</t>
  </si>
  <si>
    <t>TMK</t>
  </si>
  <si>
    <t>签约</t>
  </si>
  <si>
    <t>过筛</t>
  </si>
  <si>
    <t>客服</t>
  </si>
  <si>
    <t>其他岗位</t>
  </si>
  <si>
    <t>若涉及</t>
  </si>
  <si>
    <t>根据实际情况选择</t>
  </si>
  <si>
    <t>特殊项</t>
  </si>
  <si>
    <t>业绩回算正数</t>
  </si>
  <si>
    <t>往月薪资补发</t>
  </si>
  <si>
    <t>业绩回算负值</t>
  </si>
  <si>
    <t>业绩扣款</t>
  </si>
  <si>
    <t>在职研顾问业绩汇总（12月）</t>
  </si>
  <si>
    <t>本月提成</t>
  </si>
  <si>
    <t>本月绩效</t>
  </si>
  <si>
    <t>月度数据</t>
  </si>
  <si>
    <t>考核项1：总签约率=签约人头/当期新增工单=12%</t>
  </si>
  <si>
    <t>考核项2：小红书渠道签约率=该渠道签约人头/该渠道当期新增工单=12%</t>
  </si>
  <si>
    <t>考核项3：顾问转介绍签约现金≥1w/人</t>
  </si>
  <si>
    <t>考核项4：非等待工单回访次数÷（总工单量-等待工单量）≥3</t>
  </si>
  <si>
    <t>总分</t>
  </si>
  <si>
    <t>发放比例</t>
  </si>
  <si>
    <t>绩效满额</t>
  </si>
  <si>
    <t>应发绩效</t>
  </si>
  <si>
    <t>本月目标</t>
  </si>
  <si>
    <t>91br进账</t>
  </si>
  <si>
    <t>91br退费</t>
  </si>
  <si>
    <t>线下进账</t>
  </si>
  <si>
    <t>线下退费</t>
  </si>
  <si>
    <t>线下净业绩</t>
  </si>
  <si>
    <t>网课进账</t>
  </si>
  <si>
    <t>网课退费</t>
  </si>
  <si>
    <t>网课净业绩</t>
  </si>
  <si>
    <t>综合业绩</t>
  </si>
  <si>
    <t>月度完成率</t>
  </si>
  <si>
    <t>提点限制</t>
  </si>
  <si>
    <t>退费前</t>
  </si>
  <si>
    <t>提点</t>
  </si>
  <si>
    <t>本月奖金</t>
  </si>
  <si>
    <t>业绩差值</t>
  </si>
  <si>
    <t>目标</t>
  </si>
  <si>
    <t>数据</t>
  </si>
  <si>
    <t>完成率</t>
  </si>
  <si>
    <t>得分</t>
  </si>
  <si>
    <t>差额</t>
  </si>
  <si>
    <t>——</t>
  </si>
  <si>
    <t>学校</t>
  </si>
  <si>
    <t>签约日期</t>
  </si>
  <si>
    <t>面询表类型</t>
  </si>
  <si>
    <t>订金</t>
  </si>
  <si>
    <t>学费</t>
  </si>
  <si>
    <t>续费类型</t>
  </si>
  <si>
    <t>推荐人</t>
  </si>
  <si>
    <t>类型</t>
  </si>
  <si>
    <t>特殊备注</t>
  </si>
  <si>
    <t>是否交接</t>
  </si>
  <si>
    <t>一级获取渠道</t>
  </si>
  <si>
    <t>二级获取渠道</t>
  </si>
  <si>
    <t>录入人</t>
  </si>
  <si>
    <t>录入时间</t>
  </si>
  <si>
    <t>更新人</t>
  </si>
  <si>
    <t>更新时间</t>
  </si>
  <si>
    <t>工单录入时间</t>
  </si>
  <si>
    <t>工单等级</t>
  </si>
  <si>
    <t>操作人编号</t>
  </si>
  <si>
    <t>学员号</t>
  </si>
  <si>
    <t>报班日期</t>
  </si>
  <si>
    <t>学员状态</t>
  </si>
  <si>
    <t>咨询课程</t>
  </si>
  <si>
    <t>年级</t>
  </si>
  <si>
    <t>院系</t>
  </si>
  <si>
    <t>专业</t>
  </si>
  <si>
    <t>考季</t>
  </si>
  <si>
    <t>报名产品</t>
  </si>
  <si>
    <t>报名科目</t>
  </si>
  <si>
    <t>学校班型/类型</t>
  </si>
  <si>
    <t>签约单ID</t>
  </si>
  <si>
    <t>大学生源类型</t>
  </si>
  <si>
    <t>在线学员ID</t>
  </si>
  <si>
    <t>面询表状态</t>
  </si>
  <si>
    <t>是否关联协议</t>
  </si>
  <si>
    <t>签署协议时间</t>
  </si>
  <si>
    <t>协议签署金额</t>
  </si>
  <si>
    <t>签约金额是否一致</t>
  </si>
  <si>
    <t>北京大学部</t>
  </si>
  <si>
    <t>国内大学部</t>
  </si>
  <si>
    <t>2025-12-04</t>
  </si>
  <si>
    <t>27山西线上课</t>
  </si>
  <si>
    <t>国内考试</t>
  </si>
  <si>
    <t/>
  </si>
  <si>
    <t>新签</t>
  </si>
  <si>
    <t>无须交接</t>
  </si>
  <si>
    <t>新东方官网</t>
  </si>
  <si>
    <t>新东方PC官网</t>
  </si>
  <si>
    <t>2025-12-04 19:19</t>
  </si>
  <si>
    <t>2025-12-04 19:20</t>
  </si>
  <si>
    <t>2025-12-04 19:18:19</t>
  </si>
  <si>
    <t>A（六个月内有报课意向工单）</t>
  </si>
  <si>
    <t>线上考研产品,MBA</t>
  </si>
  <si>
    <t>询问院校未告知</t>
  </si>
  <si>
    <t>在职</t>
  </si>
  <si>
    <t>药学院</t>
  </si>
  <si>
    <t>药学</t>
  </si>
  <si>
    <t>27考季</t>
  </si>
  <si>
    <t>考研在职管理类综合全程班</t>
  </si>
  <si>
    <t>英语,管综</t>
  </si>
  <si>
    <t>国内高校-双非</t>
  </si>
  <si>
    <t>否</t>
  </si>
  <si>
    <t>公共管理1</t>
  </si>
  <si>
    <t>电话</t>
  </si>
  <si>
    <t>大客服呼入</t>
  </si>
  <si>
    <t>2025-12-04 10:19</t>
  </si>
  <si>
    <t>2025-12-04 10:36</t>
  </si>
  <si>
    <t>2025-06-23 14:54:59</t>
  </si>
  <si>
    <t>MBA</t>
  </si>
  <si>
    <t>北方工业大学</t>
  </si>
  <si>
    <t>文法学院</t>
  </si>
  <si>
    <t>法学</t>
  </si>
  <si>
    <t>考研在职英语二全程班,考研在职管理类综合全程班</t>
  </si>
  <si>
    <t>2025-12-11</t>
  </si>
  <si>
    <t>27旭日东升</t>
  </si>
  <si>
    <t>线上运营-本地生活平台</t>
  </si>
  <si>
    <t>大众点评</t>
  </si>
  <si>
    <t>2025-12-11 12:04</t>
  </si>
  <si>
    <t>2025-12-11 12:12</t>
  </si>
  <si>
    <t>2025-11-19 18:48:30</t>
  </si>
  <si>
    <t>考研在职管理类冲刺班,考研在职管理类冲刺精讲班</t>
  </si>
  <si>
    <t>2025-12-12</t>
  </si>
  <si>
    <t>27王永超</t>
  </si>
  <si>
    <t>线上运营-投放</t>
  </si>
  <si>
    <t>集团-百度品专</t>
  </si>
  <si>
    <t>2025-12-12 19:08</t>
  </si>
  <si>
    <t>2025-12-12 19:08:32</t>
  </si>
  <si>
    <t>毕业/在职</t>
  </si>
  <si>
    <t>未知</t>
  </si>
  <si>
    <t>考研在职管理类综合全程班,考研在职英语二全程班</t>
  </si>
  <si>
    <t>2025-12-13</t>
  </si>
  <si>
    <t>杜拉</t>
  </si>
  <si>
    <t>聂双双</t>
  </si>
  <si>
    <t>分单</t>
  </si>
  <si>
    <t>转介绍</t>
  </si>
  <si>
    <t>顾问转介绍-其他(不返现)</t>
  </si>
  <si>
    <t>2025-12-13 11:32</t>
  </si>
  <si>
    <t>谭悦</t>
  </si>
  <si>
    <t>2025-12-31 17:26</t>
  </si>
  <si>
    <t>2025-12-13 11:00:11</t>
  </si>
  <si>
    <t>线上考研产品</t>
  </si>
  <si>
    <t>北京邮电大学</t>
  </si>
  <si>
    <t>大三</t>
  </si>
  <si>
    <t>经济管理学院</t>
  </si>
  <si>
    <t>工商管理</t>
  </si>
  <si>
    <t>线上直通车</t>
  </si>
  <si>
    <t>国内高校-211</t>
  </si>
  <si>
    <t>本地人本地大学(常规)</t>
  </si>
  <si>
    <t>2025-12-16</t>
  </si>
  <si>
    <t>王琼9</t>
  </si>
  <si>
    <t>线上运营-私域中台</t>
  </si>
  <si>
    <t>集团官微</t>
  </si>
  <si>
    <t>2025-12-16 13:21</t>
  </si>
  <si>
    <t>2025-12-16 13:27</t>
  </si>
  <si>
    <t>2025-12-15 17:36:26</t>
  </si>
  <si>
    <t>询问院系未告知</t>
  </si>
  <si>
    <t>询问专业未告知</t>
  </si>
  <si>
    <t>线上全程班</t>
  </si>
  <si>
    <t>2025-12-23</t>
  </si>
  <si>
    <t>线上课</t>
  </si>
  <si>
    <t>新东方官网M站</t>
  </si>
  <si>
    <t>2025-12-23 17:46</t>
  </si>
  <si>
    <t>2025-12-23 20:55</t>
  </si>
  <si>
    <t>2025-12-19 17:45:16</t>
  </si>
  <si>
    <t>管综,英语</t>
  </si>
  <si>
    <t>2025-12-02</t>
  </si>
  <si>
    <t>冯京楠</t>
  </si>
  <si>
    <t>王立颖17</t>
  </si>
  <si>
    <t>续班</t>
  </si>
  <si>
    <t>已交接</t>
  </si>
  <si>
    <t>学管续费推荐</t>
  </si>
  <si>
    <t>2025-12-02 16:19</t>
  </si>
  <si>
    <t>2025-12-02 16:34</t>
  </si>
  <si>
    <t>2025-12-02 16:16:59</t>
  </si>
  <si>
    <t>BJWY6351960232</t>
  </si>
  <si>
    <t>考研VIP,MBA</t>
  </si>
  <si>
    <t>北京师范大学</t>
  </si>
  <si>
    <t>政府管理学院</t>
  </si>
  <si>
    <t>公共事业管理1</t>
  </si>
  <si>
    <t>26考季</t>
  </si>
  <si>
    <t>VIP - 伴学</t>
  </si>
  <si>
    <t>国内高校-985</t>
  </si>
  <si>
    <t>学管主管审批通过</t>
  </si>
  <si>
    <t>是</t>
  </si>
  <si>
    <t>1800.0</t>
  </si>
  <si>
    <t>2025-12-05</t>
  </si>
  <si>
    <t>迟惠倩</t>
  </si>
  <si>
    <t>2025-12-05 17:28</t>
  </si>
  <si>
    <t>2025-12-05 17:47</t>
  </si>
  <si>
    <t>2025-12-05 17:00:35</t>
  </si>
  <si>
    <t>BJWY3180667757</t>
  </si>
  <si>
    <t>4800.0</t>
  </si>
  <si>
    <t>2025-12-08</t>
  </si>
  <si>
    <t>2025-12-08 19:09</t>
  </si>
  <si>
    <t>2025-12-08 19:41</t>
  </si>
  <si>
    <t>2025-12-08 18:24:06</t>
  </si>
  <si>
    <t>2025-12-14</t>
  </si>
  <si>
    <t>高宇</t>
  </si>
  <si>
    <t>线上运营-小红书</t>
  </si>
  <si>
    <t>小红书KOS</t>
  </si>
  <si>
    <t>2025-12-14 14:40</t>
  </si>
  <si>
    <t>2025-12-12 19:28:57</t>
  </si>
  <si>
    <t>BJWY22035556hl</t>
  </si>
  <si>
    <t>BJWY6576439031</t>
  </si>
  <si>
    <t>询问未告知</t>
  </si>
  <si>
    <t>46300.0</t>
  </si>
  <si>
    <t>2025-12-14 10:06</t>
  </si>
  <si>
    <t>2025-12-14 10:11</t>
  </si>
  <si>
    <t>2025-12-14 09:58:24</t>
  </si>
  <si>
    <t>管综</t>
  </si>
  <si>
    <t>1600.0</t>
  </si>
  <si>
    <t>2025-12-15</t>
  </si>
  <si>
    <t>2025-12-15 16:35</t>
  </si>
  <si>
    <t>2025-12-15 18:00</t>
  </si>
  <si>
    <t>2025-12-15 16:33:12</t>
  </si>
  <si>
    <t>2025-12-17</t>
  </si>
  <si>
    <t>2025-12-17 20:40</t>
  </si>
  <si>
    <t>2025-12-17 20:47</t>
  </si>
  <si>
    <t>2025-12-17 16:37:22</t>
  </si>
  <si>
    <t>3200.0</t>
  </si>
  <si>
    <t>2025-12-21</t>
  </si>
  <si>
    <t>刘桃</t>
  </si>
  <si>
    <t>新东方官网小程序</t>
  </si>
  <si>
    <t>2025-12-21 17:15</t>
  </si>
  <si>
    <t>2025-11-16 21:47:43</t>
  </si>
  <si>
    <t>BJWY2011wXCx1W</t>
  </si>
  <si>
    <t>BJWY2572871188</t>
  </si>
  <si>
    <t>国内高校-大专</t>
  </si>
  <si>
    <t>28800.0</t>
  </si>
  <si>
    <t>2025-12-26</t>
  </si>
  <si>
    <t>李荣盛</t>
  </si>
  <si>
    <t>同科续费</t>
  </si>
  <si>
    <t>兰天惠</t>
  </si>
  <si>
    <t>2025-12-26 11:35</t>
  </si>
  <si>
    <t>2025-12-26 11:36</t>
  </si>
  <si>
    <t>2025-12-21 18:02:19</t>
  </si>
  <si>
    <t>BJWY2101498uW2</t>
  </si>
  <si>
    <t>BJWY0322205526</t>
  </si>
  <si>
    <t>北京协和医学院</t>
  </si>
  <si>
    <t>临床医学院</t>
  </si>
  <si>
    <t>临床医学</t>
  </si>
  <si>
    <t>考研在职管理类复试班</t>
  </si>
  <si>
    <t>2025-12-25 10:12</t>
  </si>
  <si>
    <t>15800.0</t>
  </si>
  <si>
    <t>2025-12-27</t>
  </si>
  <si>
    <t>朱乃安</t>
  </si>
  <si>
    <t>2025-12-27 16:11</t>
  </si>
  <si>
    <t>2025-12-22 14:49:36</t>
  </si>
  <si>
    <t>BJWY9688893595</t>
  </si>
  <si>
    <t>2025-12-30</t>
  </si>
  <si>
    <t>冯雪珊</t>
  </si>
  <si>
    <t>2025-12-30 15:04</t>
  </si>
  <si>
    <t>2025-12-30 11:01:13</t>
  </si>
  <si>
    <t>BJWY24032w1g8X</t>
  </si>
  <si>
    <t>BJWY0389006494</t>
  </si>
  <si>
    <t>北京建筑大学</t>
  </si>
  <si>
    <t>建筑与城市规划学院</t>
  </si>
  <si>
    <t>风景园林</t>
  </si>
  <si>
    <t>2025-12-31</t>
  </si>
  <si>
    <t>王洋</t>
  </si>
  <si>
    <t>2025-12-31 20:31</t>
  </si>
  <si>
    <t>2025-12-31 20:31:07</t>
  </si>
  <si>
    <t>BJWY25030q8UPI</t>
  </si>
  <si>
    <t>BJWY0479222000</t>
  </si>
  <si>
    <t>已毕业在职</t>
  </si>
  <si>
    <t>普通学校-普高</t>
  </si>
  <si>
    <t>顾问主管审批通过</t>
  </si>
  <si>
    <t>9800.0</t>
  </si>
  <si>
    <t>陈墨</t>
  </si>
  <si>
    <t>2025-12-31 20:03</t>
  </si>
  <si>
    <t>2025-12-31 20:14</t>
  </si>
  <si>
    <t>2025-12-31 20:00:51</t>
  </si>
  <si>
    <t>BJWY4476957046</t>
  </si>
  <si>
    <t>中国劳动关系学院</t>
  </si>
  <si>
    <t>公共管理学院</t>
  </si>
  <si>
    <t>行政管理</t>
  </si>
  <si>
    <t>崔泽旭</t>
  </si>
  <si>
    <t>2025-12-31 14:07</t>
  </si>
  <si>
    <t>2025-12-31 11:43:33</t>
  </si>
  <si>
    <t>BJWY7611413460</t>
  </si>
  <si>
    <t>公共管理</t>
  </si>
  <si>
    <t>学管续费</t>
  </si>
  <si>
    <t>刘司墨</t>
  </si>
  <si>
    <t>官网</t>
  </si>
  <si>
    <t>辜宏伟</t>
  </si>
  <si>
    <t>王肖</t>
  </si>
  <si>
    <t>李硕</t>
  </si>
  <si>
    <t>2025-12-02 13:55</t>
  </si>
  <si>
    <t>2025-12-15 11:41</t>
  </si>
  <si>
    <t>2025-12-02 13:55:15</t>
  </si>
  <si>
    <t>BJWY8751934351</t>
  </si>
  <si>
    <t>英语</t>
  </si>
  <si>
    <t>2025-12-07</t>
  </si>
  <si>
    <t>总公司谢海楠老师</t>
  </si>
  <si>
    <t>海楠+xiehainan@xdf.cn+员工id+集团总公司-儿童素养智学-儿童素养团队-产品研发组-口才项目经理</t>
  </si>
  <si>
    <t>内部员工推荐</t>
  </si>
  <si>
    <t>2025-12-07 17:42</t>
  </si>
  <si>
    <t>2025-12-07 19:23</t>
  </si>
  <si>
    <t>2025-11-26 15:38:36</t>
  </si>
  <si>
    <t>B（需长时间跟单或只需要规划）</t>
  </si>
  <si>
    <t>2025-12-09</t>
  </si>
  <si>
    <t>谢滴水湖</t>
  </si>
  <si>
    <t>赵薇461+zhaowei461@xdf.cn+培训学校-北京学校-素养智学部-门店运营中心-白纸坊分中心+规划顾问</t>
  </si>
  <si>
    <t>2025-12-09 11:02</t>
  </si>
  <si>
    <t>2025-12-09 11:02:06</t>
  </si>
  <si>
    <t>同硕英语</t>
  </si>
  <si>
    <t>2025-12-10</t>
  </si>
  <si>
    <t>邓雨沐</t>
  </si>
  <si>
    <t>线上运营-抖音</t>
  </si>
  <si>
    <t>抖音来客</t>
  </si>
  <si>
    <t>2025-12-11 09:23</t>
  </si>
  <si>
    <t>2025-12-11 09:24</t>
  </si>
  <si>
    <t>2025-12-11 09:23:27</t>
  </si>
  <si>
    <t>2025-12-19</t>
  </si>
  <si>
    <t>罗丹</t>
  </si>
  <si>
    <t>张良+zhangliang21@xdf.cn+id+培训学校-北京学校-高中一对一部-学员服务管理中心-东南区-学习顾问</t>
  </si>
  <si>
    <t>2025-12-19 10:25</t>
  </si>
  <si>
    <t>2025-12-18 15:32:25</t>
  </si>
  <si>
    <t>河北联合大学</t>
  </si>
  <si>
    <t>大学已毕业</t>
  </si>
  <si>
    <t>国内高校-C9</t>
  </si>
  <si>
    <t>张道儒</t>
  </si>
  <si>
    <t>2025-12-21 12:40</t>
  </si>
  <si>
    <t>2025-12-21 12:41</t>
  </si>
  <si>
    <t>2025-12-21 12:40:13</t>
  </si>
  <si>
    <t>东北林业大学</t>
  </si>
  <si>
    <t>土木工程学院</t>
  </si>
  <si>
    <t>工程管理</t>
  </si>
  <si>
    <t>2025-12-25</t>
  </si>
  <si>
    <t>李佳晏</t>
  </si>
  <si>
    <t>小红书</t>
  </si>
  <si>
    <t>2025-12-25 17:24</t>
  </si>
  <si>
    <t>2025-12-25 17:30</t>
  </si>
  <si>
    <t>2025-12-25 16:53:08</t>
  </si>
  <si>
    <t>北京舞蹈学院</t>
  </si>
  <si>
    <t>中国民族民间舞系</t>
  </si>
  <si>
    <t>舞蹈表演（中国民族民间舞）</t>
  </si>
  <si>
    <t>考研在职管理类综合全程班,考研在职英语二全程班,线上直通车</t>
  </si>
  <si>
    <t>曾嵘</t>
  </si>
  <si>
    <t>总部-百度投放</t>
  </si>
  <si>
    <t>2025-12-31 17:15</t>
  </si>
  <si>
    <t>2025-12-31 17:14:10</t>
  </si>
  <si>
    <t>2025-12-01</t>
  </si>
  <si>
    <t>王雅婷</t>
  </si>
  <si>
    <t>2025-12-01 09:30</t>
  </si>
  <si>
    <t>2025-12-01 20:05</t>
  </si>
  <si>
    <t>2025-12-01 09:30:34</t>
  </si>
  <si>
    <t>BJWY5584686547</t>
  </si>
  <si>
    <t>国内高校-中外合作办学</t>
  </si>
  <si>
    <t>31300.0</t>
  </si>
  <si>
    <t>徐子周</t>
  </si>
  <si>
    <t>2025-12-02 13:09</t>
  </si>
  <si>
    <t>2025-12-02 13:10</t>
  </si>
  <si>
    <t>2025-11-30 14:37:37</t>
  </si>
  <si>
    <t>BJWY3358851554</t>
  </si>
  <si>
    <t>考研VIP</t>
  </si>
  <si>
    <t>3600.0</t>
  </si>
  <si>
    <t>张圣鹤</t>
  </si>
  <si>
    <t>2025-12-04 10:15</t>
  </si>
  <si>
    <t>2025-12-04 10:28</t>
  </si>
  <si>
    <t>2025-12-04 10:15:48</t>
  </si>
  <si>
    <t>BJWY8204516230</t>
  </si>
  <si>
    <t>北京航空航天大学</t>
  </si>
  <si>
    <t>1700.0</t>
  </si>
  <si>
    <t>2025-12-06</t>
  </si>
  <si>
    <t>2025-12-06 15:46</t>
  </si>
  <si>
    <t>2025-12-06 15:52</t>
  </si>
  <si>
    <t>2025-12-06 15:46:46</t>
  </si>
  <si>
    <t>2025-12-06 16:02</t>
  </si>
  <si>
    <t>张潆兮</t>
  </si>
  <si>
    <t>2025-12-07 10:20</t>
  </si>
  <si>
    <t>2025-12-07 12:00</t>
  </si>
  <si>
    <t>2025-12-07 10:20:04</t>
  </si>
  <si>
    <t>BJWY1015917953</t>
  </si>
  <si>
    <t>对外经济贸易大学</t>
  </si>
  <si>
    <t>国际商学院</t>
  </si>
  <si>
    <t>会计学</t>
  </si>
  <si>
    <t>张凤岐</t>
  </si>
  <si>
    <t>李垚</t>
  </si>
  <si>
    <t>2025-12-08 12:07</t>
  </si>
  <si>
    <t>2025-12-08 12:08</t>
  </si>
  <si>
    <t>2025-12-07 17:34:23</t>
  </si>
  <si>
    <t>BJWY9861427194</t>
  </si>
  <si>
    <t>洛阳理工学院</t>
  </si>
  <si>
    <t>机械工程学院</t>
  </si>
  <si>
    <t>机械电子工程</t>
  </si>
  <si>
    <t>2025-12-12 15:25</t>
  </si>
  <si>
    <t>2025-12-15 11:40</t>
  </si>
  <si>
    <t>2025-12-12 15:25:25</t>
  </si>
  <si>
    <t>肖杰</t>
  </si>
  <si>
    <t>2025-12-15 11:36</t>
  </si>
  <si>
    <t>2025-12-15 11:39</t>
  </si>
  <si>
    <t>2025-12-15 11:36:13</t>
  </si>
  <si>
    <t>BJWY1418621834</t>
  </si>
  <si>
    <t>2025-12-17 15:21</t>
  </si>
  <si>
    <t>2025-12-17 15:31</t>
  </si>
  <si>
    <t>2025-12-17 15:21:04</t>
  </si>
  <si>
    <t>刘肖</t>
  </si>
  <si>
    <t>2025-12-17 19:41</t>
  </si>
  <si>
    <t>2025-12-17 19:46</t>
  </si>
  <si>
    <t>2025-12-17 19:41:38</t>
  </si>
  <si>
    <t>BJWY0369792905</t>
  </si>
  <si>
    <t>2025-12-20</t>
  </si>
  <si>
    <t>吴尚</t>
  </si>
  <si>
    <t>2025-12-20 12:31</t>
  </si>
  <si>
    <t>2025-12-14 16:54:42</t>
  </si>
  <si>
    <t>BJWY1504024232</t>
  </si>
  <si>
    <t>线上直通车,考研在职英语二全程班,考研在职管理类综合全程班,考研在职提前面通识班</t>
  </si>
  <si>
    <t>2025-12-20 12:28</t>
  </si>
  <si>
    <t>滕梓珲</t>
  </si>
  <si>
    <t>2025-12-21 16:57</t>
  </si>
  <si>
    <t>2025-11-05 16:15:51</t>
  </si>
  <si>
    <t>BJWY4773324294</t>
  </si>
  <si>
    <t>考研在职管理类综合全程班,考研在职英语二全程班,考研在职提前面通识班,考研在职管理类复试班</t>
  </si>
  <si>
    <t>2025-12-22 11:24</t>
  </si>
  <si>
    <t>37300.0</t>
  </si>
  <si>
    <t>2025-12-22</t>
  </si>
  <si>
    <t>刘艳君</t>
  </si>
  <si>
    <t>2025-12-22 11:11</t>
  </si>
  <si>
    <t>2025-12-22 12:23</t>
  </si>
  <si>
    <t>2025-12-22 11:11:23</t>
  </si>
  <si>
    <t>BJWY0812258347</t>
  </si>
  <si>
    <t>山东师范大学</t>
  </si>
  <si>
    <t>教育</t>
  </si>
  <si>
    <t>学前教育</t>
  </si>
  <si>
    <t>胡照宇</t>
  </si>
  <si>
    <t>张俊旺</t>
  </si>
  <si>
    <t>2025-12-26 17:14</t>
  </si>
  <si>
    <t>2025-12-21 10:59:32</t>
  </si>
  <si>
    <t>BJWY2491376687</t>
  </si>
  <si>
    <t>2025-12-26 17:09</t>
  </si>
  <si>
    <t>10300.0</t>
  </si>
  <si>
    <t>2025-12-28</t>
  </si>
  <si>
    <t>李鸿超</t>
  </si>
  <si>
    <t>2025-12-28 17:13</t>
  </si>
  <si>
    <t>2025-12-28 17:14</t>
  </si>
  <si>
    <t>2025-12-26 18:04:44</t>
  </si>
  <si>
    <t>BJWY3474468906</t>
  </si>
  <si>
    <t>北京农学院</t>
  </si>
  <si>
    <t>计算机与信息工程学院</t>
  </si>
  <si>
    <t>计算机科学与技术专业</t>
  </si>
  <si>
    <t>2025-12-28 17:23</t>
  </si>
  <si>
    <t>2025-12-29</t>
  </si>
  <si>
    <t>李桐</t>
  </si>
  <si>
    <t>2025-12-29 14:51</t>
  </si>
  <si>
    <t>2025-12-29 14:57</t>
  </si>
  <si>
    <t>2025-12-29 14:51:44</t>
  </si>
  <si>
    <t>BJWY2201F8pC6h</t>
  </si>
  <si>
    <t>BJWY4105459102</t>
  </si>
  <si>
    <t>2025-12-29 14:59</t>
  </si>
  <si>
    <t>方洁</t>
  </si>
  <si>
    <t>2025-12-29 11:05</t>
  </si>
  <si>
    <t>2025-12-26 14:56:26</t>
  </si>
  <si>
    <t>BJWY0320603468</t>
  </si>
  <si>
    <t>湖南科技学院</t>
  </si>
  <si>
    <t>信息工程学院</t>
  </si>
  <si>
    <t>计算机科学与技术</t>
  </si>
  <si>
    <t>2025-12-29 11:06</t>
  </si>
  <si>
    <t>沈喆</t>
  </si>
  <si>
    <t>2025-12-31 10:00</t>
  </si>
  <si>
    <t>2025-12-31 13:58</t>
  </si>
  <si>
    <t>2025-12-31 10:00:33</t>
  </si>
  <si>
    <t>BJWY0621721630</t>
  </si>
  <si>
    <t>2025-12-31 10:36</t>
  </si>
  <si>
    <t>张翼</t>
  </si>
  <si>
    <t>2025-12-31 13:55</t>
  </si>
  <si>
    <t>2025-12-31 13:56</t>
  </si>
  <si>
    <t>2025-12-29 15:49:58</t>
  </si>
  <si>
    <t>BJWY0216583250</t>
  </si>
  <si>
    <t>浙江财经大学</t>
  </si>
  <si>
    <t>财政税务学院</t>
  </si>
  <si>
    <t>财政学</t>
  </si>
  <si>
    <t>2025-12-31 14:02</t>
  </si>
  <si>
    <t>张少宇</t>
  </si>
  <si>
    <t>总部百度投放</t>
  </si>
  <si>
    <t>甄希萌</t>
  </si>
  <si>
    <t>新带新</t>
  </si>
  <si>
    <t>吴小欣</t>
  </si>
  <si>
    <t>柳思雨</t>
  </si>
  <si>
    <t>12月8日</t>
  </si>
  <si>
    <t>徐丹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</si>
</sst>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</numFmts>
  <fonts count="35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color theme="1"/>
      <name val="微软雅黑"/>
      <charset val="134"/>
    </font>
    <font>
      <b/>
      <sz val="10"/>
      <name val="宋体"/>
      <charset val="134"/>
    </font>
    <font>
      <sz val="10"/>
      <name val="Calibri"/>
      <charset val="134"/>
    </font>
    <font>
      <sz val="9"/>
      <color rgb="FF222222"/>
      <name val="宋体"/>
      <charset val="134"/>
    </font>
    <font>
      <sz val="10"/>
      <color theme="1"/>
      <name val="宋体"/>
      <charset val="134"/>
    </font>
    <font>
      <sz val="9"/>
      <color rgb="FF222222"/>
      <name val="Helvetica"/>
      <charset val="134"/>
    </font>
    <font>
      <b/>
      <sz val="11"/>
      <color rgb="FFFFFFFF"/>
      <name val="微软雅黑"/>
      <charset val="134"/>
    </font>
    <font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016C5E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18" applyNumberFormat="0" applyAlignment="0" applyProtection="0">
      <alignment vertical="center"/>
    </xf>
    <xf numFmtId="0" fontId="25" fillId="15" borderId="19" applyNumberFormat="0" applyAlignment="0" applyProtection="0">
      <alignment vertical="center"/>
    </xf>
    <xf numFmtId="0" fontId="26" fillId="15" borderId="18" applyNumberFormat="0" applyAlignment="0" applyProtection="0">
      <alignment vertical="center"/>
    </xf>
    <xf numFmtId="0" fontId="27" fillId="16" borderId="20" applyNumberFormat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4" fillId="0" borderId="0" xfId="0" applyNumberFormat="1" applyFont="1" applyFill="1" applyAlignment="1"/>
    <xf numFmtId="5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9" fontId="10" fillId="8" borderId="6" xfId="0" applyNumberFormat="1" applyFont="1" applyFill="1" applyBorder="1" applyAlignment="1">
      <alignment horizontal="center" vertical="center"/>
    </xf>
    <xf numFmtId="176" fontId="10" fillId="9" borderId="1" xfId="0" applyNumberFormat="1" applyFont="1" applyFill="1" applyBorder="1" applyAlignment="1">
      <alignment horizontal="center" vertical="center"/>
    </xf>
    <xf numFmtId="10" fontId="10" fillId="8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9" fontId="1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10" fillId="8" borderId="9" xfId="0" applyNumberFormat="1" applyFont="1" applyFill="1" applyBorder="1" applyAlignment="1">
      <alignment horizontal="center" vertical="center" wrapText="1"/>
    </xf>
    <xf numFmtId="10" fontId="10" fillId="8" borderId="10" xfId="0" applyNumberFormat="1" applyFont="1" applyFill="1" applyBorder="1" applyAlignment="1">
      <alignment horizontal="center" vertical="center" wrapText="1"/>
    </xf>
    <xf numFmtId="10" fontId="10" fillId="8" borderId="11" xfId="0" applyNumberFormat="1" applyFont="1" applyFill="1" applyBorder="1" applyAlignment="1">
      <alignment horizontal="center" vertical="center" wrapText="1"/>
    </xf>
    <xf numFmtId="176" fontId="10" fillId="9" borderId="9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Fill="1" applyBorder="1" applyAlignment="1">
      <alignment horizontal="center" vertical="center"/>
    </xf>
    <xf numFmtId="10" fontId="13" fillId="0" borderId="1" xfId="0" applyNumberFormat="1" applyFont="1" applyFill="1" applyBorder="1" applyAlignment="1">
      <alignment horizontal="center" vertical="center"/>
    </xf>
    <xf numFmtId="9" fontId="13" fillId="0" borderId="1" xfId="0" applyNumberFormat="1" applyFont="1" applyFill="1" applyBorder="1" applyAlignment="1" applyProtection="1">
      <alignment horizontal="center" vertical="center"/>
    </xf>
    <xf numFmtId="176" fontId="10" fillId="9" borderId="10" xfId="0" applyNumberFormat="1" applyFont="1" applyFill="1" applyBorder="1" applyAlignment="1">
      <alignment horizontal="center" vertical="center" wrapText="1"/>
    </xf>
    <xf numFmtId="176" fontId="10" fillId="9" borderId="11" xfId="0" applyNumberFormat="1" applyFont="1" applyFill="1" applyBorder="1" applyAlignment="1">
      <alignment horizontal="center" vertical="center" wrapText="1"/>
    </xf>
    <xf numFmtId="10" fontId="10" fillId="8" borderId="9" xfId="0" applyNumberFormat="1" applyFont="1" applyFill="1" applyBorder="1" applyAlignment="1">
      <alignment horizontal="center" vertical="center"/>
    </xf>
    <xf numFmtId="10" fontId="10" fillId="8" borderId="10" xfId="0" applyNumberFormat="1" applyFont="1" applyFill="1" applyBorder="1" applyAlignment="1">
      <alignment horizontal="center" vertical="center"/>
    </xf>
    <xf numFmtId="10" fontId="10" fillId="8" borderId="11" xfId="0" applyNumberFormat="1" applyFont="1" applyFill="1" applyBorder="1" applyAlignment="1">
      <alignment horizontal="center" vertical="center"/>
    </xf>
    <xf numFmtId="10" fontId="13" fillId="0" borderId="1" xfId="0" applyNumberFormat="1" applyFont="1" applyFill="1" applyBorder="1" applyAlignment="1" applyProtection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13" fillId="0" borderId="1" xfId="0" applyNumberFormat="1" applyFont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1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799981688894314"/>
  </sheetPr>
  <dimension ref="A1:M81"/>
  <sheetViews>
    <sheetView tabSelected="1" workbookViewId="0">
      <selection activeCell="I8" sqref="I8"/>
    </sheetView>
  </sheetViews>
  <sheetFormatPr defaultColWidth="9" defaultRowHeight="14.5"/>
  <cols>
    <col min="1" max="1" width="6.33333333333333" customWidth="1"/>
    <col min="2" max="2" width="9.44166666666667" customWidth="1"/>
    <col min="3" max="3" width="9.33333333333333" customWidth="1"/>
    <col min="4" max="4" width="14.6666666666667" customWidth="1"/>
    <col min="5" max="5" width="20.4416666666667" customWidth="1"/>
    <col min="6" max="6" width="14.5583333333333" customWidth="1"/>
    <col min="7" max="7" width="11.8833333333333" customWidth="1"/>
    <col min="8" max="8" width="14.5583333333333" customWidth="1"/>
    <col min="11" max="11" width="14.8833333333333" style="55" customWidth="1"/>
    <col min="12" max="12" width="24.5583333333333" style="55" customWidth="1"/>
    <col min="13" max="13" width="21.4416666666667" style="55" customWidth="1"/>
  </cols>
  <sheetData>
    <row r="1" ht="16.5" spans="1:1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K1" s="62" t="s">
        <v>8</v>
      </c>
    </row>
    <row r="2" ht="16.5" spans="1:13">
      <c r="A2" s="57">
        <v>1</v>
      </c>
      <c r="B2" s="41" t="s">
        <v>9</v>
      </c>
      <c r="C2" s="41" t="s">
        <v>10</v>
      </c>
      <c r="D2" s="41" t="s">
        <v>11</v>
      </c>
      <c r="E2" s="41" t="s">
        <v>12</v>
      </c>
      <c r="F2" s="41" t="s">
        <v>13</v>
      </c>
      <c r="G2" s="52">
        <v>3000</v>
      </c>
      <c r="H2" s="58"/>
      <c r="K2" s="63" t="s">
        <v>14</v>
      </c>
      <c r="L2" s="63" t="s">
        <v>15</v>
      </c>
      <c r="M2" s="64" t="s">
        <v>16</v>
      </c>
    </row>
    <row r="3" ht="16.5" spans="1:13">
      <c r="A3" s="57">
        <v>2</v>
      </c>
      <c r="B3" s="41" t="s">
        <v>9</v>
      </c>
      <c r="C3" s="41" t="s">
        <v>10</v>
      </c>
      <c r="D3" s="41" t="s">
        <v>11</v>
      </c>
      <c r="E3" s="41" t="s">
        <v>12</v>
      </c>
      <c r="F3" s="41" t="s">
        <v>17</v>
      </c>
      <c r="G3" s="52">
        <v>5613</v>
      </c>
      <c r="H3" s="58"/>
      <c r="K3" s="65" t="s">
        <v>18</v>
      </c>
      <c r="L3" s="66" t="s">
        <v>19</v>
      </c>
      <c r="M3" s="66" t="s">
        <v>13</v>
      </c>
    </row>
    <row r="4" ht="16.5" spans="1:13">
      <c r="A4" s="57">
        <v>3</v>
      </c>
      <c r="B4" s="41">
        <v>417364</v>
      </c>
      <c r="C4" s="41" t="s">
        <v>20</v>
      </c>
      <c r="D4" s="41" t="s">
        <v>11</v>
      </c>
      <c r="E4" s="41" t="s">
        <v>21</v>
      </c>
      <c r="F4" s="41" t="s">
        <v>13</v>
      </c>
      <c r="G4" s="52">
        <v>1420</v>
      </c>
      <c r="H4" s="59"/>
      <c r="K4" s="67"/>
      <c r="L4" s="66" t="s">
        <v>22</v>
      </c>
      <c r="M4" s="66" t="s">
        <v>17</v>
      </c>
    </row>
    <row r="5" ht="16.5" spans="1:13">
      <c r="A5" s="57">
        <v>4</v>
      </c>
      <c r="B5" s="41">
        <v>417364</v>
      </c>
      <c r="C5" s="41" t="s">
        <v>20</v>
      </c>
      <c r="D5" s="41" t="s">
        <v>11</v>
      </c>
      <c r="E5" s="41" t="s">
        <v>21</v>
      </c>
      <c r="F5" s="41" t="s">
        <v>17</v>
      </c>
      <c r="G5" s="52">
        <v>5818</v>
      </c>
      <c r="H5" s="60"/>
      <c r="K5" s="68"/>
      <c r="L5" s="66" t="s">
        <v>23</v>
      </c>
      <c r="M5" s="66" t="s">
        <v>24</v>
      </c>
    </row>
    <row r="6" ht="16.5" spans="1:13">
      <c r="A6" s="57">
        <v>5</v>
      </c>
      <c r="B6" s="41">
        <v>652767</v>
      </c>
      <c r="C6" s="41" t="s">
        <v>25</v>
      </c>
      <c r="D6" s="41" t="s">
        <v>11</v>
      </c>
      <c r="E6" s="41" t="s">
        <v>21</v>
      </c>
      <c r="F6" s="41" t="s">
        <v>13</v>
      </c>
      <c r="G6" s="52">
        <v>4000</v>
      </c>
      <c r="H6" s="60"/>
      <c r="K6" s="65" t="s">
        <v>26</v>
      </c>
      <c r="L6" s="66" t="s">
        <v>27</v>
      </c>
      <c r="M6" s="66" t="s">
        <v>13</v>
      </c>
    </row>
    <row r="7" ht="16.5" spans="1:13">
      <c r="A7" s="57"/>
      <c r="B7" s="58"/>
      <c r="C7" s="58"/>
      <c r="D7" s="58"/>
      <c r="E7" s="58"/>
      <c r="F7" s="58"/>
      <c r="G7" s="58"/>
      <c r="H7" s="59"/>
      <c r="K7" s="67"/>
      <c r="L7" s="66" t="s">
        <v>22</v>
      </c>
      <c r="M7" s="66" t="s">
        <v>17</v>
      </c>
    </row>
    <row r="8" ht="16.5" spans="1:13">
      <c r="A8" s="57"/>
      <c r="B8" s="41"/>
      <c r="C8" s="41"/>
      <c r="D8" s="41"/>
      <c r="E8" s="41"/>
      <c r="F8" s="41"/>
      <c r="G8" s="52"/>
      <c r="H8" s="58"/>
      <c r="K8" s="67"/>
      <c r="L8" s="66" t="s">
        <v>23</v>
      </c>
      <c r="M8" s="66" t="s">
        <v>24</v>
      </c>
    </row>
    <row r="9" ht="16.5" spans="1:13">
      <c r="A9" s="57"/>
      <c r="B9" s="61"/>
      <c r="C9" s="57"/>
      <c r="D9" s="57"/>
      <c r="E9" s="57"/>
      <c r="F9" s="57"/>
      <c r="G9" s="57"/>
      <c r="H9" s="58"/>
      <c r="K9" s="68"/>
      <c r="L9" s="66" t="s">
        <v>28</v>
      </c>
      <c r="M9" s="66" t="s">
        <v>29</v>
      </c>
    </row>
    <row r="10" ht="16.5" spans="1:13">
      <c r="A10" s="57"/>
      <c r="B10" s="61"/>
      <c r="C10" s="57"/>
      <c r="D10" s="57"/>
      <c r="E10" s="57"/>
      <c r="F10" s="57"/>
      <c r="G10" s="57"/>
      <c r="H10" s="58"/>
      <c r="K10" s="65" t="s">
        <v>30</v>
      </c>
      <c r="L10" s="66" t="s">
        <v>31</v>
      </c>
      <c r="M10" s="66" t="s">
        <v>13</v>
      </c>
    </row>
    <row r="11" ht="16.5" spans="1:13">
      <c r="A11" s="57"/>
      <c r="B11" s="61"/>
      <c r="C11" s="57"/>
      <c r="D11" s="57"/>
      <c r="E11" s="57"/>
      <c r="F11" s="57"/>
      <c r="G11" s="57"/>
      <c r="H11" s="58"/>
      <c r="K11" s="67"/>
      <c r="L11" s="66" t="s">
        <v>32</v>
      </c>
      <c r="M11" s="66" t="s">
        <v>17</v>
      </c>
    </row>
    <row r="12" ht="16.5" spans="1:13">
      <c r="A12" s="57"/>
      <c r="B12" s="61"/>
      <c r="C12" s="57"/>
      <c r="D12" s="57"/>
      <c r="E12" s="57"/>
      <c r="F12" s="57"/>
      <c r="G12" s="57"/>
      <c r="H12" s="58"/>
      <c r="K12" s="68"/>
      <c r="L12" s="66" t="s">
        <v>33</v>
      </c>
      <c r="M12" s="66" t="s">
        <v>24</v>
      </c>
    </row>
    <row r="13" ht="16.5" spans="1:13">
      <c r="A13" s="57"/>
      <c r="B13" s="61"/>
      <c r="C13" s="57"/>
      <c r="D13" s="57"/>
      <c r="E13" s="57"/>
      <c r="F13" s="57"/>
      <c r="G13" s="57"/>
      <c r="H13" s="58"/>
      <c r="K13" s="65" t="s">
        <v>34</v>
      </c>
      <c r="L13" s="66" t="s">
        <v>19</v>
      </c>
      <c r="M13" s="66" t="s">
        <v>13</v>
      </c>
    </row>
    <row r="14" ht="16.5" spans="1:13">
      <c r="A14" s="57"/>
      <c r="B14" s="61"/>
      <c r="C14" s="57"/>
      <c r="D14" s="57"/>
      <c r="E14" s="57"/>
      <c r="F14" s="57"/>
      <c r="G14" s="57"/>
      <c r="H14" s="58"/>
      <c r="K14" s="67"/>
      <c r="L14" s="66" t="s">
        <v>35</v>
      </c>
      <c r="M14" s="66" t="s">
        <v>17</v>
      </c>
    </row>
    <row r="15" ht="16.5" spans="1:13">
      <c r="A15" s="57"/>
      <c r="B15" s="61"/>
      <c r="C15" s="57"/>
      <c r="D15" s="57"/>
      <c r="E15" s="57"/>
      <c r="F15" s="57"/>
      <c r="G15" s="57"/>
      <c r="H15" s="58"/>
      <c r="K15" s="68"/>
      <c r="L15" s="66" t="s">
        <v>36</v>
      </c>
      <c r="M15" s="66" t="s">
        <v>24</v>
      </c>
    </row>
    <row r="16" ht="16.5" spans="1:13">
      <c r="A16" s="57"/>
      <c r="B16" s="61"/>
      <c r="C16" s="57"/>
      <c r="D16" s="57"/>
      <c r="E16" s="57"/>
      <c r="F16" s="57"/>
      <c r="G16" s="57"/>
      <c r="H16" s="58"/>
      <c r="K16" s="66" t="s">
        <v>37</v>
      </c>
      <c r="L16" s="66" t="s">
        <v>19</v>
      </c>
      <c r="M16" s="66" t="s">
        <v>13</v>
      </c>
    </row>
    <row r="17" ht="16.5" spans="1:13">
      <c r="A17" s="57"/>
      <c r="B17" s="61"/>
      <c r="C17" s="57"/>
      <c r="D17" s="57"/>
      <c r="E17" s="57"/>
      <c r="F17" s="57"/>
      <c r="G17" s="57"/>
      <c r="H17" s="58"/>
      <c r="K17" s="66" t="s">
        <v>38</v>
      </c>
      <c r="L17" s="66" t="s">
        <v>39</v>
      </c>
      <c r="M17" s="66" t="s">
        <v>40</v>
      </c>
    </row>
    <row r="18" ht="16.5" spans="1:13">
      <c r="A18" s="57"/>
      <c r="B18" s="61"/>
      <c r="C18" s="57"/>
      <c r="D18" s="57"/>
      <c r="E18" s="57"/>
      <c r="F18" s="57"/>
      <c r="G18" s="57"/>
      <c r="H18" s="58"/>
      <c r="K18" s="69" t="s">
        <v>41</v>
      </c>
      <c r="L18" s="70" t="s">
        <v>42</v>
      </c>
      <c r="M18" s="70" t="s">
        <v>43</v>
      </c>
    </row>
    <row r="19" ht="16.5" spans="1:13">
      <c r="A19" s="57"/>
      <c r="B19" s="61"/>
      <c r="C19" s="57"/>
      <c r="D19" s="57"/>
      <c r="E19" s="57"/>
      <c r="F19" s="57"/>
      <c r="G19" s="57"/>
      <c r="H19" s="58"/>
      <c r="K19" s="69"/>
      <c r="L19" s="70" t="s">
        <v>44</v>
      </c>
      <c r="M19" s="70" t="s">
        <v>45</v>
      </c>
    </row>
    <row r="20" ht="16.5" spans="1:8">
      <c r="A20" s="57"/>
      <c r="B20" s="61"/>
      <c r="C20" s="57"/>
      <c r="D20" s="57"/>
      <c r="E20" s="57"/>
      <c r="F20" s="57"/>
      <c r="G20" s="57"/>
      <c r="H20" s="58"/>
    </row>
    <row r="21" ht="16.5" spans="1:8">
      <c r="A21" s="57"/>
      <c r="B21" s="61"/>
      <c r="C21" s="57"/>
      <c r="D21" s="57"/>
      <c r="E21" s="57"/>
      <c r="F21" s="57"/>
      <c r="G21" s="57"/>
      <c r="H21" s="58"/>
    </row>
    <row r="22" ht="16.5" spans="1:8">
      <c r="A22" s="57"/>
      <c r="B22" s="61"/>
      <c r="C22" s="57"/>
      <c r="D22" s="57"/>
      <c r="E22" s="57"/>
      <c r="F22" s="57"/>
      <c r="G22" s="57"/>
      <c r="H22" s="58"/>
    </row>
    <row r="23" ht="16.5" spans="1:8">
      <c r="A23" s="57"/>
      <c r="B23" s="61"/>
      <c r="C23" s="57"/>
      <c r="D23" s="57"/>
      <c r="E23" s="57"/>
      <c r="F23" s="57"/>
      <c r="G23" s="57"/>
      <c r="H23" s="58"/>
    </row>
    <row r="24" ht="16.5" spans="1:8">
      <c r="A24" s="57"/>
      <c r="B24" s="61"/>
      <c r="C24" s="57"/>
      <c r="D24" s="57"/>
      <c r="E24" s="57"/>
      <c r="F24" s="57"/>
      <c r="G24" s="57"/>
      <c r="H24" s="58"/>
    </row>
    <row r="25" ht="16.5" spans="1:8">
      <c r="A25" s="57"/>
      <c r="B25" s="61"/>
      <c r="C25" s="57"/>
      <c r="D25" s="57"/>
      <c r="E25" s="57"/>
      <c r="F25" s="57"/>
      <c r="G25" s="57"/>
      <c r="H25" s="58"/>
    </row>
    <row r="26" ht="16.5" spans="1:8">
      <c r="A26" s="57"/>
      <c r="B26" s="61"/>
      <c r="C26" s="57"/>
      <c r="D26" s="57"/>
      <c r="E26" s="57"/>
      <c r="F26" s="57"/>
      <c r="G26" s="57"/>
      <c r="H26" s="58"/>
    </row>
    <row r="27" ht="16.5" spans="1:8">
      <c r="A27" s="57"/>
      <c r="B27" s="61"/>
      <c r="C27" s="57"/>
      <c r="D27" s="57"/>
      <c r="E27" s="57"/>
      <c r="F27" s="57"/>
      <c r="G27" s="57"/>
      <c r="H27" s="58"/>
    </row>
    <row r="28" ht="16.5" spans="1:8">
      <c r="A28" s="57"/>
      <c r="B28" s="61"/>
      <c r="C28" s="57"/>
      <c r="D28" s="57"/>
      <c r="E28" s="57"/>
      <c r="F28" s="57"/>
      <c r="G28" s="57"/>
      <c r="H28" s="58"/>
    </row>
    <row r="29" ht="16.5" spans="1:8">
      <c r="A29" s="57"/>
      <c r="B29" s="61"/>
      <c r="C29" s="57"/>
      <c r="D29" s="57"/>
      <c r="E29" s="57"/>
      <c r="F29" s="57"/>
      <c r="G29" s="57"/>
      <c r="H29" s="58"/>
    </row>
    <row r="30" ht="16.5" spans="1:8">
      <c r="A30" s="57"/>
      <c r="B30" s="61"/>
      <c r="C30" s="57"/>
      <c r="D30" s="57"/>
      <c r="E30" s="57"/>
      <c r="F30" s="57"/>
      <c r="G30" s="57"/>
      <c r="H30" s="58"/>
    </row>
    <row r="31" ht="16.5" spans="1:8">
      <c r="A31" s="57"/>
      <c r="B31" s="61"/>
      <c r="C31" s="57"/>
      <c r="D31" s="57"/>
      <c r="E31" s="57"/>
      <c r="F31" s="57"/>
      <c r="G31" s="57"/>
      <c r="H31" s="58"/>
    </row>
    <row r="32" ht="16.5" spans="1:8">
      <c r="A32" s="57"/>
      <c r="B32" s="61"/>
      <c r="C32" s="57"/>
      <c r="D32" s="57"/>
      <c r="E32" s="57"/>
      <c r="F32" s="57"/>
      <c r="G32" s="57"/>
      <c r="H32" s="58"/>
    </row>
    <row r="33" ht="16.5" spans="1:8">
      <c r="A33" s="57"/>
      <c r="B33" s="61"/>
      <c r="C33" s="57"/>
      <c r="D33" s="57"/>
      <c r="E33" s="57"/>
      <c r="F33" s="57"/>
      <c r="G33" s="57"/>
      <c r="H33" s="58"/>
    </row>
    <row r="34" ht="16.5" spans="1:8">
      <c r="A34" s="57"/>
      <c r="B34" s="61"/>
      <c r="C34" s="57"/>
      <c r="D34" s="57"/>
      <c r="E34" s="57"/>
      <c r="F34" s="57"/>
      <c r="G34" s="57"/>
      <c r="H34" s="58"/>
    </row>
    <row r="35" ht="16.5" spans="1:8">
      <c r="A35" s="57"/>
      <c r="B35" s="61"/>
      <c r="C35" s="57"/>
      <c r="D35" s="57"/>
      <c r="E35" s="57"/>
      <c r="F35" s="57"/>
      <c r="G35" s="57"/>
      <c r="H35" s="58"/>
    </row>
    <row r="36" ht="16.5" spans="1:8">
      <c r="A36" s="57"/>
      <c r="B36" s="61"/>
      <c r="C36" s="57"/>
      <c r="D36" s="57"/>
      <c r="E36" s="57"/>
      <c r="F36" s="57"/>
      <c r="G36" s="57"/>
      <c r="H36" s="58"/>
    </row>
    <row r="37" ht="16.5" spans="1:8">
      <c r="A37" s="57"/>
      <c r="B37" s="61"/>
      <c r="C37" s="57"/>
      <c r="D37" s="57"/>
      <c r="E37" s="57"/>
      <c r="F37" s="57"/>
      <c r="G37" s="57"/>
      <c r="H37" s="58"/>
    </row>
    <row r="38" ht="16.5" spans="1:8">
      <c r="A38" s="57"/>
      <c r="B38" s="61"/>
      <c r="C38" s="57"/>
      <c r="D38" s="57"/>
      <c r="E38" s="57"/>
      <c r="F38" s="57"/>
      <c r="G38" s="57"/>
      <c r="H38" s="58"/>
    </row>
    <row r="39" ht="16.5" spans="1:8">
      <c r="A39" s="57"/>
      <c r="B39" s="61"/>
      <c r="C39" s="57"/>
      <c r="D39" s="57"/>
      <c r="E39" s="57"/>
      <c r="F39" s="57"/>
      <c r="G39" s="57"/>
      <c r="H39" s="58"/>
    </row>
    <row r="40" ht="16.5" spans="1:8">
      <c r="A40" s="57"/>
      <c r="B40" s="61"/>
      <c r="C40" s="57"/>
      <c r="D40" s="57"/>
      <c r="E40" s="57"/>
      <c r="F40" s="57"/>
      <c r="G40" s="57"/>
      <c r="H40" s="58"/>
    </row>
    <row r="41" ht="16.5" spans="1:8">
      <c r="A41" s="57"/>
      <c r="B41" s="61"/>
      <c r="C41" s="57"/>
      <c r="D41" s="57"/>
      <c r="E41" s="57"/>
      <c r="F41" s="57"/>
      <c r="G41" s="57"/>
      <c r="H41" s="58"/>
    </row>
    <row r="42" ht="16.5" spans="1:8">
      <c r="A42" s="57"/>
      <c r="B42" s="61"/>
      <c r="C42" s="57"/>
      <c r="D42" s="57"/>
      <c r="E42" s="57"/>
      <c r="F42" s="57"/>
      <c r="G42" s="57"/>
      <c r="H42" s="58"/>
    </row>
    <row r="43" ht="16.5" spans="1:8">
      <c r="A43" s="57"/>
      <c r="B43" s="61"/>
      <c r="C43" s="57"/>
      <c r="D43" s="57"/>
      <c r="E43" s="57"/>
      <c r="F43" s="57"/>
      <c r="G43" s="57"/>
      <c r="H43" s="58"/>
    </row>
    <row r="44" ht="16.5" spans="1:8">
      <c r="A44" s="57"/>
      <c r="B44" s="61"/>
      <c r="C44" s="57"/>
      <c r="D44" s="57"/>
      <c r="E44" s="57"/>
      <c r="F44" s="57"/>
      <c r="G44" s="57"/>
      <c r="H44" s="58"/>
    </row>
    <row r="45" ht="16.5" spans="1:8">
      <c r="A45" s="57"/>
      <c r="B45" s="61"/>
      <c r="C45" s="57"/>
      <c r="D45" s="57"/>
      <c r="E45" s="57"/>
      <c r="F45" s="57"/>
      <c r="G45" s="57"/>
      <c r="H45" s="58"/>
    </row>
    <row r="46" ht="16.5" spans="1:8">
      <c r="A46" s="57"/>
      <c r="B46" s="61"/>
      <c r="C46" s="57"/>
      <c r="D46" s="57"/>
      <c r="E46" s="57"/>
      <c r="F46" s="57"/>
      <c r="G46" s="57"/>
      <c r="H46" s="58"/>
    </row>
    <row r="47" ht="16.5" spans="1:8">
      <c r="A47" s="57"/>
      <c r="B47" s="61"/>
      <c r="C47" s="57"/>
      <c r="D47" s="57"/>
      <c r="E47" s="57"/>
      <c r="F47" s="57"/>
      <c r="G47" s="57"/>
      <c r="H47" s="58"/>
    </row>
    <row r="48" ht="16.5" spans="1:8">
      <c r="A48" s="57"/>
      <c r="B48" s="61"/>
      <c r="C48" s="57"/>
      <c r="D48" s="57"/>
      <c r="E48" s="57"/>
      <c r="F48" s="57"/>
      <c r="G48" s="57"/>
      <c r="H48" s="58"/>
    </row>
    <row r="49" ht="16.5" spans="1:8">
      <c r="A49" s="57"/>
      <c r="B49" s="61"/>
      <c r="C49" s="57"/>
      <c r="D49" s="57"/>
      <c r="E49" s="57"/>
      <c r="F49" s="57"/>
      <c r="G49" s="57"/>
      <c r="H49" s="58"/>
    </row>
    <row r="50" ht="16.5" spans="1:8">
      <c r="A50" s="57"/>
      <c r="B50" s="61"/>
      <c r="C50" s="57"/>
      <c r="D50" s="57"/>
      <c r="E50" s="57"/>
      <c r="F50" s="57"/>
      <c r="G50" s="57"/>
      <c r="H50" s="58"/>
    </row>
    <row r="51" ht="16.5" spans="1:8">
      <c r="A51" s="57"/>
      <c r="B51" s="61"/>
      <c r="C51" s="57"/>
      <c r="D51" s="57"/>
      <c r="E51" s="57"/>
      <c r="F51" s="57"/>
      <c r="G51" s="57"/>
      <c r="H51" s="58"/>
    </row>
    <row r="52" ht="16.5" spans="1:8">
      <c r="A52" s="57"/>
      <c r="B52" s="61"/>
      <c r="C52" s="57"/>
      <c r="D52" s="57"/>
      <c r="E52" s="57"/>
      <c r="F52" s="57"/>
      <c r="G52" s="57"/>
      <c r="H52" s="58"/>
    </row>
    <row r="53" ht="16.5" spans="1:8">
      <c r="A53" s="57"/>
      <c r="B53" s="61"/>
      <c r="C53" s="57"/>
      <c r="D53" s="57"/>
      <c r="E53" s="57"/>
      <c r="F53" s="57"/>
      <c r="G53" s="57"/>
      <c r="H53" s="58"/>
    </row>
    <row r="54" ht="16.5" spans="1:8">
      <c r="A54" s="57"/>
      <c r="B54" s="61"/>
      <c r="C54" s="57"/>
      <c r="D54" s="57"/>
      <c r="E54" s="57"/>
      <c r="F54" s="57"/>
      <c r="G54" s="57"/>
      <c r="H54" s="58"/>
    </row>
    <row r="55" ht="16.5" spans="1:8">
      <c r="A55" s="57"/>
      <c r="B55" s="61"/>
      <c r="C55" s="57"/>
      <c r="D55" s="57"/>
      <c r="E55" s="57"/>
      <c r="F55" s="57"/>
      <c r="G55" s="57"/>
      <c r="H55" s="58"/>
    </row>
    <row r="56" ht="16.5" spans="1:8">
      <c r="A56" s="57"/>
      <c r="B56" s="61"/>
      <c r="C56" s="57"/>
      <c r="D56" s="57"/>
      <c r="E56" s="57"/>
      <c r="F56" s="57"/>
      <c r="G56" s="57"/>
      <c r="H56" s="58"/>
    </row>
    <row r="57" ht="16.5" spans="1:8">
      <c r="A57" s="57"/>
      <c r="B57" s="61"/>
      <c r="C57" s="57"/>
      <c r="D57" s="57"/>
      <c r="E57" s="57"/>
      <c r="F57" s="57"/>
      <c r="G57" s="57"/>
      <c r="H57" s="58"/>
    </row>
    <row r="58" ht="16.5" spans="1:8">
      <c r="A58" s="57"/>
      <c r="B58" s="61"/>
      <c r="C58" s="57"/>
      <c r="D58" s="57"/>
      <c r="E58" s="57"/>
      <c r="F58" s="57"/>
      <c r="G58" s="57"/>
      <c r="H58" s="58"/>
    </row>
    <row r="59" ht="16.5" spans="1:8">
      <c r="A59" s="57"/>
      <c r="B59" s="61"/>
      <c r="C59" s="57"/>
      <c r="D59" s="57"/>
      <c r="E59" s="57"/>
      <c r="F59" s="57"/>
      <c r="G59" s="57"/>
      <c r="H59" s="58"/>
    </row>
    <row r="60" ht="16.5" spans="1:8">
      <c r="A60" s="57"/>
      <c r="B60" s="61"/>
      <c r="C60" s="57"/>
      <c r="D60" s="57"/>
      <c r="E60" s="57"/>
      <c r="F60" s="57"/>
      <c r="G60" s="57"/>
      <c r="H60" s="58"/>
    </row>
    <row r="61" ht="16.5" spans="1:8">
      <c r="A61" s="57"/>
      <c r="B61" s="61"/>
      <c r="C61" s="57"/>
      <c r="D61" s="57"/>
      <c r="E61" s="57"/>
      <c r="F61" s="57"/>
      <c r="G61" s="57"/>
      <c r="H61" s="58"/>
    </row>
    <row r="62" ht="16.5" spans="1:8">
      <c r="A62" s="57"/>
      <c r="B62" s="61"/>
      <c r="C62" s="57"/>
      <c r="D62" s="57"/>
      <c r="E62" s="57"/>
      <c r="F62" s="57"/>
      <c r="G62" s="57"/>
      <c r="H62" s="58"/>
    </row>
    <row r="63" ht="16.5" spans="1:8">
      <c r="A63" s="57"/>
      <c r="B63" s="61"/>
      <c r="C63" s="57"/>
      <c r="D63" s="57"/>
      <c r="E63" s="57"/>
      <c r="F63" s="57"/>
      <c r="G63" s="57"/>
      <c r="H63" s="58"/>
    </row>
    <row r="64" ht="16.5" spans="1:8">
      <c r="A64" s="57"/>
      <c r="B64" s="61"/>
      <c r="C64" s="57"/>
      <c r="D64" s="57"/>
      <c r="E64" s="57"/>
      <c r="F64" s="57"/>
      <c r="G64" s="57"/>
      <c r="H64" s="58"/>
    </row>
    <row r="65" ht="16.5" spans="1:8">
      <c r="A65" s="57"/>
      <c r="B65" s="61"/>
      <c r="C65" s="57"/>
      <c r="D65" s="57"/>
      <c r="E65" s="57"/>
      <c r="F65" s="57"/>
      <c r="G65" s="57"/>
      <c r="H65" s="58"/>
    </row>
    <row r="66" ht="16.5" spans="1:8">
      <c r="A66" s="57"/>
      <c r="B66" s="61"/>
      <c r="C66" s="57"/>
      <c r="D66" s="57"/>
      <c r="E66" s="57"/>
      <c r="F66" s="57"/>
      <c r="G66" s="57"/>
      <c r="H66" s="58"/>
    </row>
    <row r="67" ht="16.5" spans="1:8">
      <c r="A67" s="57"/>
      <c r="B67" s="61"/>
      <c r="C67" s="57"/>
      <c r="D67" s="57"/>
      <c r="E67" s="57"/>
      <c r="F67" s="57"/>
      <c r="G67" s="57"/>
      <c r="H67" s="58"/>
    </row>
    <row r="68" ht="16.5" spans="1:8">
      <c r="A68" s="57"/>
      <c r="B68" s="61"/>
      <c r="C68" s="57"/>
      <c r="D68" s="57"/>
      <c r="E68" s="57"/>
      <c r="F68" s="57"/>
      <c r="G68" s="57"/>
      <c r="H68" s="58"/>
    </row>
    <row r="69" ht="16.5" spans="1:8">
      <c r="A69" s="57"/>
      <c r="B69" s="61"/>
      <c r="C69" s="57"/>
      <c r="D69" s="57"/>
      <c r="E69" s="57"/>
      <c r="F69" s="57"/>
      <c r="G69" s="57"/>
      <c r="H69" s="58"/>
    </row>
    <row r="70" ht="16.5" spans="1:8">
      <c r="A70" s="57"/>
      <c r="B70" s="61"/>
      <c r="C70" s="57"/>
      <c r="D70" s="57"/>
      <c r="E70" s="57"/>
      <c r="F70" s="57"/>
      <c r="G70" s="57"/>
      <c r="H70" s="58"/>
    </row>
    <row r="71" ht="16.5" spans="1:8">
      <c r="A71" s="57"/>
      <c r="B71" s="61"/>
      <c r="C71" s="57"/>
      <c r="D71" s="57"/>
      <c r="E71" s="57"/>
      <c r="F71" s="57"/>
      <c r="G71" s="57"/>
      <c r="H71" s="58"/>
    </row>
    <row r="72" ht="16.5" spans="1:8">
      <c r="A72" s="57"/>
      <c r="B72" s="61"/>
      <c r="C72" s="57"/>
      <c r="D72" s="57"/>
      <c r="E72" s="57"/>
      <c r="F72" s="57"/>
      <c r="G72" s="57"/>
      <c r="H72" s="58"/>
    </row>
    <row r="73" ht="16.5" spans="1:8">
      <c r="A73" s="57"/>
      <c r="B73" s="61"/>
      <c r="C73" s="57"/>
      <c r="D73" s="57"/>
      <c r="E73" s="57"/>
      <c r="F73" s="57"/>
      <c r="G73" s="57"/>
      <c r="H73" s="58"/>
    </row>
    <row r="74" ht="16.5" spans="1:8">
      <c r="A74" s="57"/>
      <c r="B74" s="61"/>
      <c r="C74" s="57"/>
      <c r="D74" s="57"/>
      <c r="E74" s="57"/>
      <c r="F74" s="57"/>
      <c r="G74" s="57"/>
      <c r="H74" s="58"/>
    </row>
    <row r="75" ht="16.5" spans="1:8">
      <c r="A75" s="57"/>
      <c r="B75" s="61"/>
      <c r="C75" s="57"/>
      <c r="D75" s="57"/>
      <c r="E75" s="57"/>
      <c r="F75" s="57"/>
      <c r="G75" s="57"/>
      <c r="H75" s="58"/>
    </row>
    <row r="76" ht="16.5" spans="1:8">
      <c r="A76" s="57"/>
      <c r="B76" s="61"/>
      <c r="C76" s="57"/>
      <c r="D76" s="57"/>
      <c r="E76" s="57"/>
      <c r="F76" s="57"/>
      <c r="G76" s="57"/>
      <c r="H76" s="58"/>
    </row>
    <row r="77" ht="16.5" spans="1:8">
      <c r="A77" s="57"/>
      <c r="B77" s="61"/>
      <c r="C77" s="57"/>
      <c r="D77" s="57"/>
      <c r="E77" s="57"/>
      <c r="F77" s="57"/>
      <c r="G77" s="57"/>
      <c r="H77" s="58"/>
    </row>
    <row r="78" ht="16.5" spans="1:8">
      <c r="A78" s="57"/>
      <c r="B78" s="61"/>
      <c r="C78" s="57"/>
      <c r="D78" s="57"/>
      <c r="E78" s="57"/>
      <c r="F78" s="57"/>
      <c r="G78" s="57"/>
      <c r="H78" s="58"/>
    </row>
    <row r="79" ht="16.5" spans="1:8">
      <c r="A79" s="57"/>
      <c r="B79" s="61"/>
      <c r="C79" s="57"/>
      <c r="D79" s="57"/>
      <c r="E79" s="57"/>
      <c r="F79" s="57"/>
      <c r="G79" s="57"/>
      <c r="H79" s="58"/>
    </row>
    <row r="80" ht="16.5" spans="1:8">
      <c r="A80" s="57"/>
      <c r="B80" s="61"/>
      <c r="C80" s="57"/>
      <c r="D80" s="57"/>
      <c r="E80" s="57"/>
      <c r="F80" s="57"/>
      <c r="G80" s="57"/>
      <c r="H80" s="58"/>
    </row>
    <row r="81" ht="16.5" spans="1:8">
      <c r="A81" s="57"/>
      <c r="B81" s="61"/>
      <c r="C81" s="57"/>
      <c r="D81" s="57"/>
      <c r="E81" s="57"/>
      <c r="F81" s="57"/>
      <c r="G81" s="57"/>
      <c r="H81" s="58"/>
    </row>
  </sheetData>
  <dataValidations count="1">
    <dataValidation type="list" allowBlank="1" showInputMessage="1" showErrorMessage="1" sqref="F1:F6 F8:F1048576">
      <formula1>"月度绩效,提成奖金,其他业绩奖金,季度绩效,往月薪资补发,业绩扣款"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M6"/>
  <sheetViews>
    <sheetView workbookViewId="0">
      <pane xSplit="1" topLeftCell="N1" activePane="topRight" state="frozen"/>
      <selection/>
      <selection pane="topRight" activeCell="AM4" sqref="AM4"/>
    </sheetView>
  </sheetViews>
  <sheetFormatPr defaultColWidth="8.66666666666667" defaultRowHeight="14" outlineLevelRow="5"/>
  <cols>
    <col min="2" max="2" width="9.08333333333333"/>
    <col min="3" max="12" width="9.08333333333333" customWidth="1"/>
    <col min="15" max="15" width="10.6666666666667" customWidth="1"/>
    <col min="17" max="17" width="10.5"/>
    <col min="18" max="18" width="9.16666666666667"/>
    <col min="20" max="39" width="9.08333333333333" customWidth="1"/>
  </cols>
  <sheetData>
    <row r="1" ht="16.5" spans="1:39">
      <c r="A1" s="13" t="s">
        <v>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N1" s="25" t="s">
        <v>47</v>
      </c>
      <c r="O1" s="25"/>
      <c r="P1" s="25"/>
      <c r="Q1" s="25"/>
      <c r="R1" s="25"/>
      <c r="T1" s="25" t="s">
        <v>48</v>
      </c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</row>
    <row r="2" ht="34" customHeight="1" spans="1:39">
      <c r="A2" s="15" t="s">
        <v>18</v>
      </c>
      <c r="B2" s="13" t="s">
        <v>49</v>
      </c>
      <c r="C2" s="13"/>
      <c r="D2" s="13"/>
      <c r="E2" s="13"/>
      <c r="F2" s="13"/>
      <c r="G2" s="13"/>
      <c r="H2" s="13"/>
      <c r="I2" s="13"/>
      <c r="J2" s="13"/>
      <c r="K2" s="13"/>
      <c r="L2" s="13"/>
      <c r="N2" s="25"/>
      <c r="O2" s="25"/>
      <c r="P2" s="25"/>
      <c r="Q2" s="25"/>
      <c r="R2" s="25"/>
      <c r="T2" s="36" t="s">
        <v>50</v>
      </c>
      <c r="U2" s="37"/>
      <c r="V2" s="37"/>
      <c r="W2" s="38"/>
      <c r="X2" s="39" t="s">
        <v>51</v>
      </c>
      <c r="Y2" s="46"/>
      <c r="Z2" s="46"/>
      <c r="AA2" s="47"/>
      <c r="AB2" s="48" t="s">
        <v>52</v>
      </c>
      <c r="AC2" s="49"/>
      <c r="AD2" s="49"/>
      <c r="AE2" s="50"/>
      <c r="AF2" s="39" t="s">
        <v>53</v>
      </c>
      <c r="AG2" s="46"/>
      <c r="AH2" s="46"/>
      <c r="AI2" s="47"/>
      <c r="AJ2" s="41" t="s">
        <v>54</v>
      </c>
      <c r="AK2" s="53" t="s">
        <v>55</v>
      </c>
      <c r="AL2" s="41" t="s">
        <v>56</v>
      </c>
      <c r="AM2" s="41" t="s">
        <v>57</v>
      </c>
    </row>
    <row r="3" ht="16.5" spans="1:39">
      <c r="A3" s="15"/>
      <c r="B3" s="16" t="s">
        <v>58</v>
      </c>
      <c r="C3" s="17" t="s">
        <v>59</v>
      </c>
      <c r="D3" s="18" t="s">
        <v>60</v>
      </c>
      <c r="E3" s="17" t="s">
        <v>61</v>
      </c>
      <c r="F3" s="17" t="s">
        <v>62</v>
      </c>
      <c r="G3" s="19" t="s">
        <v>63</v>
      </c>
      <c r="H3" s="20" t="s">
        <v>64</v>
      </c>
      <c r="I3" s="20" t="s">
        <v>65</v>
      </c>
      <c r="J3" s="19" t="s">
        <v>66</v>
      </c>
      <c r="K3" s="26" t="s">
        <v>67</v>
      </c>
      <c r="L3" s="27" t="s">
        <v>68</v>
      </c>
      <c r="N3" s="28" t="s">
        <v>69</v>
      </c>
      <c r="O3" s="28" t="s">
        <v>70</v>
      </c>
      <c r="P3" s="29" t="s">
        <v>71</v>
      </c>
      <c r="Q3" s="28" t="s">
        <v>72</v>
      </c>
      <c r="R3" s="40" t="s">
        <v>73</v>
      </c>
      <c r="T3" s="41" t="s">
        <v>74</v>
      </c>
      <c r="U3" s="41" t="s">
        <v>75</v>
      </c>
      <c r="V3" s="41" t="s">
        <v>76</v>
      </c>
      <c r="W3" s="41" t="s">
        <v>77</v>
      </c>
      <c r="X3" s="41" t="s">
        <v>74</v>
      </c>
      <c r="Y3" s="41" t="s">
        <v>75</v>
      </c>
      <c r="Z3" s="41" t="s">
        <v>78</v>
      </c>
      <c r="AA3" s="41" t="s">
        <v>77</v>
      </c>
      <c r="AB3" s="41" t="s">
        <v>74</v>
      </c>
      <c r="AC3" s="41" t="s">
        <v>75</v>
      </c>
      <c r="AD3" s="41" t="s">
        <v>76</v>
      </c>
      <c r="AE3" s="41" t="s">
        <v>77</v>
      </c>
      <c r="AF3" s="41" t="s">
        <v>74</v>
      </c>
      <c r="AG3" s="41" t="s">
        <v>75</v>
      </c>
      <c r="AH3" s="41" t="s">
        <v>76</v>
      </c>
      <c r="AI3" s="41" t="s">
        <v>77</v>
      </c>
      <c r="AJ3" s="41"/>
      <c r="AK3" s="54"/>
      <c r="AL3" s="41"/>
      <c r="AM3" s="41"/>
    </row>
    <row r="4" ht="16.5" spans="1:39">
      <c r="A4" s="21" t="s">
        <v>20</v>
      </c>
      <c r="B4" s="22">
        <v>190000</v>
      </c>
      <c r="C4" s="23">
        <v>234090</v>
      </c>
      <c r="D4" s="24">
        <f>F4+I4</f>
        <v>67865.1</v>
      </c>
      <c r="E4" s="23">
        <v>188700</v>
      </c>
      <c r="F4" s="23">
        <v>61647.6</v>
      </c>
      <c r="G4" s="23">
        <v>127052.4</v>
      </c>
      <c r="H4" s="23">
        <v>45390</v>
      </c>
      <c r="I4" s="23">
        <v>6217.5</v>
      </c>
      <c r="J4" s="23">
        <v>39172.5</v>
      </c>
      <c r="K4" s="30">
        <v>166224.9</v>
      </c>
      <c r="L4" s="31">
        <f>K4/B4</f>
        <v>0.874867894736842</v>
      </c>
      <c r="N4" s="32"/>
      <c r="O4" s="33"/>
      <c r="P4" s="34">
        <v>0.035</v>
      </c>
      <c r="Q4" s="42">
        <f>P4*K4</f>
        <v>5817.8715</v>
      </c>
      <c r="R4" s="32"/>
      <c r="T4" s="43">
        <v>0.12</v>
      </c>
      <c r="U4" s="44">
        <v>0.2658</v>
      </c>
      <c r="V4" s="45">
        <v>1</v>
      </c>
      <c r="W4" s="41">
        <v>50</v>
      </c>
      <c r="X4" s="43">
        <v>0.12</v>
      </c>
      <c r="Y4" s="51">
        <v>0.0476</v>
      </c>
      <c r="Z4" s="45">
        <f>X4-Y4</f>
        <v>0.0724</v>
      </c>
      <c r="AA4" s="41">
        <v>6</v>
      </c>
      <c r="AB4" s="41">
        <v>1</v>
      </c>
      <c r="AC4" s="41">
        <v>0</v>
      </c>
      <c r="AD4" s="43">
        <f>AC4/AB4</f>
        <v>0</v>
      </c>
      <c r="AE4" s="41">
        <v>0</v>
      </c>
      <c r="AF4" s="41">
        <v>3</v>
      </c>
      <c r="AG4" s="41">
        <v>3.44</v>
      </c>
      <c r="AH4" s="44">
        <f>AG4/AF4</f>
        <v>1.14666666666667</v>
      </c>
      <c r="AI4" s="41">
        <v>15</v>
      </c>
      <c r="AJ4" s="52">
        <f>AE4+AA4+W4+AI4</f>
        <v>71</v>
      </c>
      <c r="AK4" s="43">
        <f>AJ4/100</f>
        <v>0.71</v>
      </c>
      <c r="AL4" s="41">
        <v>2000</v>
      </c>
      <c r="AM4" s="52">
        <f>AL4*AK4</f>
        <v>1420</v>
      </c>
    </row>
    <row r="5" ht="16.5" spans="1:39">
      <c r="A5" s="21" t="s">
        <v>10</v>
      </c>
      <c r="B5" s="22">
        <v>190000</v>
      </c>
      <c r="C5" s="23">
        <v>251418.5</v>
      </c>
      <c r="D5" s="24">
        <f>F5+I5</f>
        <v>91039.3</v>
      </c>
      <c r="E5" s="23">
        <v>201800</v>
      </c>
      <c r="F5" s="23">
        <v>91039.3</v>
      </c>
      <c r="G5" s="23">
        <v>110760.7</v>
      </c>
      <c r="H5" s="23">
        <v>49618.5</v>
      </c>
      <c r="I5" s="23">
        <v>0</v>
      </c>
      <c r="J5" s="23">
        <v>49618.5</v>
      </c>
      <c r="K5" s="30">
        <v>160379.2</v>
      </c>
      <c r="L5" s="31">
        <f>K5/B5</f>
        <v>0.844101052631579</v>
      </c>
      <c r="N5" s="32"/>
      <c r="O5" s="33"/>
      <c r="P5" s="34">
        <v>0.035</v>
      </c>
      <c r="Q5" s="42">
        <f>P5*K5</f>
        <v>5613.272</v>
      </c>
      <c r="R5" s="32"/>
      <c r="T5" s="43">
        <v>0.12</v>
      </c>
      <c r="U5" s="44">
        <v>0.2778</v>
      </c>
      <c r="V5" s="45">
        <v>1</v>
      </c>
      <c r="W5" s="41">
        <v>50</v>
      </c>
      <c r="X5" s="43">
        <v>0.12</v>
      </c>
      <c r="Y5" s="44">
        <v>0.115</v>
      </c>
      <c r="Z5" s="45">
        <f>X5-Y5</f>
        <v>0.00499999999999999</v>
      </c>
      <c r="AA5" s="52">
        <v>20</v>
      </c>
      <c r="AB5" s="41">
        <v>1</v>
      </c>
      <c r="AC5" s="41">
        <v>1.03</v>
      </c>
      <c r="AD5" s="43">
        <f>AC5/AB5</f>
        <v>1.03</v>
      </c>
      <c r="AE5" s="41">
        <v>15</v>
      </c>
      <c r="AF5" s="41">
        <v>3</v>
      </c>
      <c r="AG5" s="41">
        <v>3</v>
      </c>
      <c r="AH5" s="44">
        <f>AG5/AF5</f>
        <v>1</v>
      </c>
      <c r="AI5" s="41">
        <v>15</v>
      </c>
      <c r="AJ5" s="52">
        <f>AE5+AA5+W5+AI5</f>
        <v>100</v>
      </c>
      <c r="AK5" s="43">
        <v>1</v>
      </c>
      <c r="AL5" s="41">
        <v>3000</v>
      </c>
      <c r="AM5" s="52">
        <f>AL5*AK5</f>
        <v>3000</v>
      </c>
    </row>
    <row r="6" ht="16.5" spans="1:39">
      <c r="A6" s="21" t="s">
        <v>25</v>
      </c>
      <c r="B6" s="22">
        <v>20000</v>
      </c>
      <c r="C6" s="23">
        <v>2786</v>
      </c>
      <c r="D6" s="24">
        <f>F6+I6</f>
        <v>0</v>
      </c>
      <c r="E6" s="23">
        <v>0</v>
      </c>
      <c r="F6" s="23">
        <v>0</v>
      </c>
      <c r="G6" s="23">
        <v>0</v>
      </c>
      <c r="H6" s="23">
        <v>2786</v>
      </c>
      <c r="I6" s="23">
        <v>0</v>
      </c>
      <c r="J6" s="23">
        <v>2786</v>
      </c>
      <c r="K6" s="30">
        <v>2786</v>
      </c>
      <c r="L6" s="31">
        <f>K6/B6</f>
        <v>0.1393</v>
      </c>
      <c r="N6" s="35"/>
      <c r="O6" s="35"/>
      <c r="P6" s="34">
        <v>0</v>
      </c>
      <c r="Q6" s="42">
        <v>0</v>
      </c>
      <c r="R6" s="35"/>
      <c r="T6" s="35" t="s">
        <v>79</v>
      </c>
      <c r="U6" s="35" t="s">
        <v>79</v>
      </c>
      <c r="V6" s="35" t="s">
        <v>79</v>
      </c>
      <c r="W6" s="35" t="s">
        <v>79</v>
      </c>
      <c r="X6" s="35" t="s">
        <v>79</v>
      </c>
      <c r="Y6" s="35" t="s">
        <v>79</v>
      </c>
      <c r="Z6" s="35" t="s">
        <v>79</v>
      </c>
      <c r="AA6" s="35" t="s">
        <v>79</v>
      </c>
      <c r="AB6" s="35" t="s">
        <v>79</v>
      </c>
      <c r="AC6" s="35" t="s">
        <v>79</v>
      </c>
      <c r="AD6" s="35" t="s">
        <v>79</v>
      </c>
      <c r="AE6" s="35" t="s">
        <v>79</v>
      </c>
      <c r="AF6" s="35" t="s">
        <v>79</v>
      </c>
      <c r="AG6" s="35" t="s">
        <v>79</v>
      </c>
      <c r="AH6" s="35" t="s">
        <v>79</v>
      </c>
      <c r="AI6" s="35" t="s">
        <v>79</v>
      </c>
      <c r="AJ6" s="35" t="s">
        <v>79</v>
      </c>
      <c r="AK6" s="43">
        <v>1</v>
      </c>
      <c r="AL6" s="41">
        <v>4000</v>
      </c>
      <c r="AM6" s="41">
        <f>AK6*AL6</f>
        <v>4000</v>
      </c>
    </row>
  </sheetData>
  <mergeCells count="13">
    <mergeCell ref="A1:L1"/>
    <mergeCell ref="T1:AM1"/>
    <mergeCell ref="B2:L2"/>
    <mergeCell ref="T2:W2"/>
    <mergeCell ref="X2:AA2"/>
    <mergeCell ref="AB2:AE2"/>
    <mergeCell ref="AF2:AI2"/>
    <mergeCell ref="A2:A3"/>
    <mergeCell ref="AJ2:AJ3"/>
    <mergeCell ref="AK2:AK3"/>
    <mergeCell ref="AL2:AL3"/>
    <mergeCell ref="AM2:AM3"/>
    <mergeCell ref="N1:R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P1048464"/>
  <sheetViews>
    <sheetView topLeftCell="A52" workbookViewId="0">
      <selection activeCell="G62" sqref="G62"/>
    </sheetView>
  </sheetViews>
  <sheetFormatPr defaultColWidth="8.25" defaultRowHeight="14"/>
  <cols>
    <col min="1" max="3" width="8.25" style="1"/>
    <col min="4" max="4" width="9.08333333333333" style="1"/>
    <col min="5" max="7" width="8.25" style="1"/>
    <col min="8" max="8" width="9.41666666666667" style="1"/>
    <col min="9" max="9" width="8.41666666666667" style="1"/>
    <col min="10" max="10" width="10.75" style="1"/>
    <col min="11" max="11" width="8.25" style="1"/>
    <col min="12" max="12" width="10.75" style="1"/>
    <col min="13" max="36" width="8.25" style="1"/>
    <col min="37" max="37" width="8.91666666666667" style="1"/>
    <col min="38" max="16384" width="8.25" style="1"/>
  </cols>
  <sheetData>
    <row r="1" s="1" customFormat="1" customHeight="1" spans="1:42">
      <c r="A1" s="3" t="s">
        <v>0</v>
      </c>
      <c r="B1" s="3" t="s">
        <v>80</v>
      </c>
      <c r="C1" s="3" t="s">
        <v>3</v>
      </c>
      <c r="D1" s="3" t="s">
        <v>81</v>
      </c>
      <c r="E1" s="3" t="s">
        <v>2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  <c r="Z1" s="3" t="s">
        <v>102</v>
      </c>
      <c r="AA1" s="3" t="s">
        <v>80</v>
      </c>
      <c r="AB1" s="3" t="s">
        <v>103</v>
      </c>
      <c r="AC1" s="3" t="s">
        <v>104</v>
      </c>
      <c r="AD1" s="3" t="s">
        <v>105</v>
      </c>
      <c r="AE1" s="3" t="s">
        <v>106</v>
      </c>
      <c r="AF1" s="3" t="s">
        <v>107</v>
      </c>
      <c r="AG1" s="3" t="s">
        <v>108</v>
      </c>
      <c r="AH1" s="3" t="s">
        <v>109</v>
      </c>
      <c r="AI1" s="3" t="s">
        <v>110</v>
      </c>
      <c r="AJ1" s="3" t="s">
        <v>111</v>
      </c>
      <c r="AK1" s="3" t="s">
        <v>112</v>
      </c>
      <c r="AL1" s="3" t="s">
        <v>113</v>
      </c>
      <c r="AM1" s="3" t="s">
        <v>114</v>
      </c>
      <c r="AN1" s="3" t="s">
        <v>115</v>
      </c>
      <c r="AO1" s="3" t="s">
        <v>116</v>
      </c>
      <c r="AP1" s="3" t="s">
        <v>117</v>
      </c>
    </row>
    <row r="2" s="1" customFormat="1" spans="1:42">
      <c r="A2" s="4">
        <v>15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5">
        <v>5992.5</v>
      </c>
      <c r="I2" s="4"/>
      <c r="J2" s="4" t="s">
        <v>123</v>
      </c>
      <c r="K2" s="4" t="s">
        <v>124</v>
      </c>
      <c r="L2" s="4" t="s">
        <v>123</v>
      </c>
      <c r="M2" s="4" t="s">
        <v>125</v>
      </c>
      <c r="N2" s="4" t="s">
        <v>126</v>
      </c>
      <c r="O2" s="4" t="s">
        <v>127</v>
      </c>
      <c r="P2" s="4" t="s">
        <v>20</v>
      </c>
      <c r="Q2" s="4" t="s">
        <v>128</v>
      </c>
      <c r="R2" s="4" t="s">
        <v>20</v>
      </c>
      <c r="S2" s="4" t="s">
        <v>129</v>
      </c>
      <c r="T2" s="4" t="s">
        <v>130</v>
      </c>
      <c r="U2" s="4" t="s">
        <v>131</v>
      </c>
      <c r="V2" s="4"/>
      <c r="W2" s="4"/>
      <c r="X2" s="4"/>
      <c r="Y2" s="4"/>
      <c r="Z2" s="4" t="s">
        <v>132</v>
      </c>
      <c r="AA2" s="4" t="s">
        <v>133</v>
      </c>
      <c r="AB2" s="4" t="s">
        <v>134</v>
      </c>
      <c r="AC2" s="4" t="s">
        <v>135</v>
      </c>
      <c r="AD2" s="4" t="s">
        <v>136</v>
      </c>
      <c r="AE2" s="4" t="s">
        <v>137</v>
      </c>
      <c r="AF2" s="4" t="s">
        <v>138</v>
      </c>
      <c r="AG2" s="4" t="s">
        <v>139</v>
      </c>
      <c r="AH2" s="4" t="s">
        <v>140</v>
      </c>
      <c r="AI2" s="4">
        <v>5714813</v>
      </c>
      <c r="AJ2" s="4"/>
      <c r="AK2" s="4">
        <v>111258512</v>
      </c>
      <c r="AL2" s="4"/>
      <c r="AM2" s="4" t="s">
        <v>141</v>
      </c>
      <c r="AN2" s="4"/>
      <c r="AO2" s="4"/>
      <c r="AP2" s="4" t="s">
        <v>123</v>
      </c>
    </row>
    <row r="3" s="1" customFormat="1" spans="1:42">
      <c r="A3" s="4">
        <v>16</v>
      </c>
      <c r="B3" s="4" t="s">
        <v>118</v>
      </c>
      <c r="C3" s="4" t="s">
        <v>119</v>
      </c>
      <c r="D3" s="4" t="s">
        <v>120</v>
      </c>
      <c r="E3" s="4" t="s">
        <v>142</v>
      </c>
      <c r="F3" s="4" t="s">
        <v>122</v>
      </c>
      <c r="G3" s="4" t="s">
        <v>123</v>
      </c>
      <c r="H3" s="5">
        <v>6217.5</v>
      </c>
      <c r="I3" s="4"/>
      <c r="J3" s="4" t="s">
        <v>123</v>
      </c>
      <c r="K3" s="4" t="s">
        <v>124</v>
      </c>
      <c r="L3" s="4" t="s">
        <v>123</v>
      </c>
      <c r="M3" s="4" t="s">
        <v>125</v>
      </c>
      <c r="N3" s="4" t="s">
        <v>143</v>
      </c>
      <c r="O3" s="4" t="s">
        <v>144</v>
      </c>
      <c r="P3" s="4" t="s">
        <v>20</v>
      </c>
      <c r="Q3" s="4" t="s">
        <v>145</v>
      </c>
      <c r="R3" s="4" t="s">
        <v>20</v>
      </c>
      <c r="S3" s="4" t="s">
        <v>146</v>
      </c>
      <c r="T3" s="4" t="s">
        <v>147</v>
      </c>
      <c r="U3" s="4" t="s">
        <v>131</v>
      </c>
      <c r="V3" s="4"/>
      <c r="W3" s="4"/>
      <c r="X3" s="4"/>
      <c r="Y3" s="4"/>
      <c r="Z3" s="4" t="s">
        <v>148</v>
      </c>
      <c r="AA3" s="4" t="s">
        <v>149</v>
      </c>
      <c r="AB3" s="4" t="s">
        <v>134</v>
      </c>
      <c r="AC3" s="4" t="s">
        <v>150</v>
      </c>
      <c r="AD3" s="4" t="s">
        <v>151</v>
      </c>
      <c r="AE3" s="4" t="s">
        <v>137</v>
      </c>
      <c r="AF3" s="4" t="s">
        <v>152</v>
      </c>
      <c r="AG3" s="4" t="s">
        <v>139</v>
      </c>
      <c r="AH3" s="4" t="s">
        <v>140</v>
      </c>
      <c r="AI3" s="4">
        <v>5714462</v>
      </c>
      <c r="AJ3" s="4"/>
      <c r="AK3" s="4">
        <v>111274899</v>
      </c>
      <c r="AL3" s="4"/>
      <c r="AM3" s="4" t="s">
        <v>141</v>
      </c>
      <c r="AN3" s="4"/>
      <c r="AO3" s="4"/>
      <c r="AP3" s="4" t="s">
        <v>123</v>
      </c>
    </row>
    <row r="4" s="1" customFormat="1" spans="1:42">
      <c r="A4" s="4">
        <v>10</v>
      </c>
      <c r="B4" s="4" t="s">
        <v>118</v>
      </c>
      <c r="C4" s="4" t="s">
        <v>119</v>
      </c>
      <c r="D4" s="4" t="s">
        <v>153</v>
      </c>
      <c r="E4" s="4" t="s">
        <v>154</v>
      </c>
      <c r="F4" s="4" t="s">
        <v>122</v>
      </c>
      <c r="G4" s="4" t="s">
        <v>123</v>
      </c>
      <c r="H4" s="5">
        <v>5992.5</v>
      </c>
      <c r="I4" s="4"/>
      <c r="J4" s="4" t="s">
        <v>123</v>
      </c>
      <c r="K4" s="4" t="s">
        <v>124</v>
      </c>
      <c r="L4" s="4" t="s">
        <v>123</v>
      </c>
      <c r="M4" s="4" t="s">
        <v>125</v>
      </c>
      <c r="N4" s="4" t="s">
        <v>155</v>
      </c>
      <c r="O4" s="4" t="s">
        <v>156</v>
      </c>
      <c r="P4" s="4" t="s">
        <v>20</v>
      </c>
      <c r="Q4" s="4" t="s">
        <v>157</v>
      </c>
      <c r="R4" s="4" t="s">
        <v>20</v>
      </c>
      <c r="S4" s="4" t="s">
        <v>158</v>
      </c>
      <c r="T4" s="4" t="s">
        <v>159</v>
      </c>
      <c r="U4" s="4" t="s">
        <v>131</v>
      </c>
      <c r="V4" s="4"/>
      <c r="W4" s="4"/>
      <c r="X4" s="4"/>
      <c r="Y4" s="4"/>
      <c r="Z4" s="4" t="s">
        <v>148</v>
      </c>
      <c r="AA4" s="4" t="s">
        <v>134</v>
      </c>
      <c r="AB4" s="4" t="s">
        <v>134</v>
      </c>
      <c r="AC4" s="4" t="s">
        <v>134</v>
      </c>
      <c r="AD4" s="4" t="s">
        <v>134</v>
      </c>
      <c r="AE4" s="4" t="s">
        <v>137</v>
      </c>
      <c r="AF4" s="4" t="s">
        <v>160</v>
      </c>
      <c r="AG4" s="4" t="s">
        <v>139</v>
      </c>
      <c r="AH4" s="4" t="s">
        <v>140</v>
      </c>
      <c r="AI4" s="4">
        <v>5717644</v>
      </c>
      <c r="AJ4" s="4"/>
      <c r="AK4" s="4">
        <v>111319241</v>
      </c>
      <c r="AL4" s="4"/>
      <c r="AM4" s="4" t="s">
        <v>141</v>
      </c>
      <c r="AN4" s="4"/>
      <c r="AO4" s="4"/>
      <c r="AP4" s="4" t="s">
        <v>123</v>
      </c>
    </row>
    <row r="5" s="1" customFormat="1" spans="1:42">
      <c r="A5" s="4">
        <v>9</v>
      </c>
      <c r="B5" s="4" t="s">
        <v>118</v>
      </c>
      <c r="C5" s="4" t="s">
        <v>119</v>
      </c>
      <c r="D5" s="4" t="s">
        <v>161</v>
      </c>
      <c r="E5" s="4" t="s">
        <v>162</v>
      </c>
      <c r="F5" s="4" t="s">
        <v>122</v>
      </c>
      <c r="G5" s="4" t="s">
        <v>123</v>
      </c>
      <c r="H5" s="5">
        <v>11385</v>
      </c>
      <c r="I5" s="4"/>
      <c r="J5" s="4" t="s">
        <v>123</v>
      </c>
      <c r="K5" s="4" t="s">
        <v>124</v>
      </c>
      <c r="L5" s="4" t="s">
        <v>123</v>
      </c>
      <c r="M5" s="4" t="s">
        <v>125</v>
      </c>
      <c r="N5" s="4" t="s">
        <v>163</v>
      </c>
      <c r="O5" s="4" t="s">
        <v>164</v>
      </c>
      <c r="P5" s="4" t="s">
        <v>20</v>
      </c>
      <c r="Q5" s="4" t="s">
        <v>165</v>
      </c>
      <c r="R5" s="4" t="s">
        <v>20</v>
      </c>
      <c r="S5" s="4" t="s">
        <v>165</v>
      </c>
      <c r="T5" s="4" t="s">
        <v>166</v>
      </c>
      <c r="U5" s="4" t="s">
        <v>131</v>
      </c>
      <c r="V5" s="4"/>
      <c r="W5" s="4"/>
      <c r="X5" s="4"/>
      <c r="Y5" s="4"/>
      <c r="Z5" s="4" t="s">
        <v>148</v>
      </c>
      <c r="AA5" s="4" t="s">
        <v>167</v>
      </c>
      <c r="AB5" s="4" t="s">
        <v>168</v>
      </c>
      <c r="AC5" s="4" t="s">
        <v>134</v>
      </c>
      <c r="AD5" s="4" t="s">
        <v>134</v>
      </c>
      <c r="AE5" s="4" t="s">
        <v>137</v>
      </c>
      <c r="AF5" s="4" t="s">
        <v>169</v>
      </c>
      <c r="AG5" s="4" t="s">
        <v>139</v>
      </c>
      <c r="AH5" s="4" t="s">
        <v>140</v>
      </c>
      <c r="AI5" s="4">
        <v>5718531</v>
      </c>
      <c r="AJ5" s="4"/>
      <c r="AK5" s="4">
        <v>111329249</v>
      </c>
      <c r="AL5" s="4"/>
      <c r="AM5" s="4" t="s">
        <v>141</v>
      </c>
      <c r="AN5" s="4"/>
      <c r="AO5" s="4"/>
      <c r="AP5" s="4" t="s">
        <v>123</v>
      </c>
    </row>
    <row r="6" s="1" customFormat="1" spans="1:42">
      <c r="A6" s="4">
        <v>8</v>
      </c>
      <c r="B6" s="4" t="s">
        <v>118</v>
      </c>
      <c r="C6" s="4" t="s">
        <v>119</v>
      </c>
      <c r="D6" s="4" t="s">
        <v>170</v>
      </c>
      <c r="E6" s="4" t="s">
        <v>171</v>
      </c>
      <c r="F6" s="4" t="s">
        <v>122</v>
      </c>
      <c r="G6" s="4" t="s">
        <v>123</v>
      </c>
      <c r="H6" s="5">
        <v>5692.5</v>
      </c>
      <c r="I6" s="4"/>
      <c r="J6" s="4" t="s">
        <v>172</v>
      </c>
      <c r="K6" s="4" t="s">
        <v>173</v>
      </c>
      <c r="L6" s="4" t="s">
        <v>123</v>
      </c>
      <c r="M6" s="4" t="s">
        <v>125</v>
      </c>
      <c r="N6" s="4" t="s">
        <v>174</v>
      </c>
      <c r="O6" s="4" t="s">
        <v>175</v>
      </c>
      <c r="P6" s="4" t="s">
        <v>20</v>
      </c>
      <c r="Q6" s="4" t="s">
        <v>176</v>
      </c>
      <c r="R6" s="4" t="s">
        <v>177</v>
      </c>
      <c r="S6" s="4" t="s">
        <v>178</v>
      </c>
      <c r="T6" s="4" t="s">
        <v>179</v>
      </c>
      <c r="U6" s="4" t="s">
        <v>131</v>
      </c>
      <c r="V6" s="4"/>
      <c r="W6" s="4"/>
      <c r="X6" s="4"/>
      <c r="Y6" s="4"/>
      <c r="Z6" s="4" t="s">
        <v>180</v>
      </c>
      <c r="AA6" s="4" t="s">
        <v>181</v>
      </c>
      <c r="AB6" s="4" t="s">
        <v>182</v>
      </c>
      <c r="AC6" s="4" t="s">
        <v>183</v>
      </c>
      <c r="AD6" s="4" t="s">
        <v>184</v>
      </c>
      <c r="AE6" s="4" t="s">
        <v>137</v>
      </c>
      <c r="AF6" s="4" t="s">
        <v>185</v>
      </c>
      <c r="AG6" s="4" t="s">
        <v>139</v>
      </c>
      <c r="AH6" s="4" t="s">
        <v>186</v>
      </c>
      <c r="AI6" s="4">
        <v>5755932</v>
      </c>
      <c r="AJ6" s="4" t="s">
        <v>187</v>
      </c>
      <c r="AK6" s="4"/>
      <c r="AL6" s="4"/>
      <c r="AM6" s="4" t="s">
        <v>141</v>
      </c>
      <c r="AN6" s="4"/>
      <c r="AO6" s="4"/>
      <c r="AP6" s="4" t="s">
        <v>123</v>
      </c>
    </row>
    <row r="7" s="1" customFormat="1" spans="1:42">
      <c r="A7" s="4">
        <v>7</v>
      </c>
      <c r="B7" s="4" t="s">
        <v>118</v>
      </c>
      <c r="C7" s="4" t="s">
        <v>119</v>
      </c>
      <c r="D7" s="4" t="s">
        <v>188</v>
      </c>
      <c r="E7" s="4" t="s">
        <v>189</v>
      </c>
      <c r="F7" s="4" t="s">
        <v>122</v>
      </c>
      <c r="G7" s="4" t="s">
        <v>123</v>
      </c>
      <c r="H7" s="5">
        <v>4117.5</v>
      </c>
      <c r="I7" s="4"/>
      <c r="J7" s="4" t="s">
        <v>123</v>
      </c>
      <c r="K7" s="4" t="s">
        <v>124</v>
      </c>
      <c r="L7" s="4" t="s">
        <v>123</v>
      </c>
      <c r="M7" s="4" t="s">
        <v>125</v>
      </c>
      <c r="N7" s="4" t="s">
        <v>190</v>
      </c>
      <c r="O7" s="4" t="s">
        <v>191</v>
      </c>
      <c r="P7" s="4" t="s">
        <v>20</v>
      </c>
      <c r="Q7" s="4" t="s">
        <v>192</v>
      </c>
      <c r="R7" s="4" t="s">
        <v>20</v>
      </c>
      <c r="S7" s="4" t="s">
        <v>193</v>
      </c>
      <c r="T7" s="4" t="s">
        <v>194</v>
      </c>
      <c r="U7" s="4" t="s">
        <v>131</v>
      </c>
      <c r="V7" s="4"/>
      <c r="W7" s="4"/>
      <c r="X7" s="4"/>
      <c r="Y7" s="4"/>
      <c r="Z7" s="4" t="s">
        <v>132</v>
      </c>
      <c r="AA7" s="4" t="s">
        <v>195</v>
      </c>
      <c r="AB7" s="4" t="s">
        <v>134</v>
      </c>
      <c r="AC7" s="4" t="s">
        <v>195</v>
      </c>
      <c r="AD7" s="4" t="s">
        <v>196</v>
      </c>
      <c r="AE7" s="4" t="s">
        <v>137</v>
      </c>
      <c r="AF7" s="4" t="s">
        <v>197</v>
      </c>
      <c r="AG7" s="4" t="s">
        <v>139</v>
      </c>
      <c r="AH7" s="4" t="s">
        <v>140</v>
      </c>
      <c r="AI7" s="4">
        <v>5745950</v>
      </c>
      <c r="AJ7" s="4"/>
      <c r="AK7" s="4">
        <v>111359046</v>
      </c>
      <c r="AL7" s="4"/>
      <c r="AM7" s="4" t="s">
        <v>141</v>
      </c>
      <c r="AN7" s="4"/>
      <c r="AO7" s="4"/>
      <c r="AP7" s="4" t="s">
        <v>123</v>
      </c>
    </row>
    <row r="8" s="1" customFormat="1" spans="1:42">
      <c r="A8" s="4">
        <v>4</v>
      </c>
      <c r="B8" s="4" t="s">
        <v>118</v>
      </c>
      <c r="C8" s="4" t="s">
        <v>119</v>
      </c>
      <c r="D8" s="4" t="s">
        <v>198</v>
      </c>
      <c r="E8" s="4" t="s">
        <v>199</v>
      </c>
      <c r="F8" s="4" t="s">
        <v>122</v>
      </c>
      <c r="G8" s="4" t="s">
        <v>123</v>
      </c>
      <c r="H8" s="5">
        <v>5992.5</v>
      </c>
      <c r="I8" s="4"/>
      <c r="J8" s="4" t="s">
        <v>123</v>
      </c>
      <c r="K8" s="4" t="s">
        <v>124</v>
      </c>
      <c r="L8" s="4" t="s">
        <v>123</v>
      </c>
      <c r="M8" s="4" t="s">
        <v>125</v>
      </c>
      <c r="N8" s="4" t="s">
        <v>126</v>
      </c>
      <c r="O8" s="4" t="s">
        <v>200</v>
      </c>
      <c r="P8" s="4" t="s">
        <v>20</v>
      </c>
      <c r="Q8" s="4" t="s">
        <v>201</v>
      </c>
      <c r="R8" s="4" t="s">
        <v>20</v>
      </c>
      <c r="S8" s="4" t="s">
        <v>202</v>
      </c>
      <c r="T8" s="4" t="s">
        <v>203</v>
      </c>
      <c r="U8" s="4" t="s">
        <v>131</v>
      </c>
      <c r="V8" s="4"/>
      <c r="W8" s="4"/>
      <c r="X8" s="4"/>
      <c r="Y8" s="4"/>
      <c r="Z8" s="4" t="s">
        <v>132</v>
      </c>
      <c r="AA8" s="4" t="s">
        <v>167</v>
      </c>
      <c r="AB8" s="4" t="s">
        <v>134</v>
      </c>
      <c r="AC8" s="4" t="s">
        <v>134</v>
      </c>
      <c r="AD8" s="4" t="s">
        <v>134</v>
      </c>
      <c r="AE8" s="4" t="s">
        <v>137</v>
      </c>
      <c r="AF8" s="4" t="s">
        <v>185</v>
      </c>
      <c r="AG8" s="4" t="s">
        <v>204</v>
      </c>
      <c r="AH8" s="4" t="s">
        <v>140</v>
      </c>
      <c r="AI8" s="4">
        <v>5749625</v>
      </c>
      <c r="AJ8" s="4"/>
      <c r="AK8" s="4">
        <v>111215520</v>
      </c>
      <c r="AL8" s="4"/>
      <c r="AM8" s="4" t="s">
        <v>141</v>
      </c>
      <c r="AN8" s="4"/>
      <c r="AO8" s="4"/>
      <c r="AP8" s="4" t="s">
        <v>123</v>
      </c>
    </row>
    <row r="9" s="1" customFormat="1" spans="1:42">
      <c r="A9" s="4">
        <v>48</v>
      </c>
      <c r="B9" s="4" t="s">
        <v>118</v>
      </c>
      <c r="C9" s="4" t="s">
        <v>119</v>
      </c>
      <c r="D9" s="4" t="s">
        <v>205</v>
      </c>
      <c r="E9" s="4" t="s">
        <v>206</v>
      </c>
      <c r="F9" s="4" t="s">
        <v>122</v>
      </c>
      <c r="G9" s="4" t="s">
        <v>123</v>
      </c>
      <c r="H9" s="5">
        <v>1800</v>
      </c>
      <c r="I9" s="4"/>
      <c r="J9" s="4" t="s">
        <v>207</v>
      </c>
      <c r="K9" s="4" t="s">
        <v>208</v>
      </c>
      <c r="L9" s="4" t="s">
        <v>123</v>
      </c>
      <c r="M9" s="4" t="s">
        <v>209</v>
      </c>
      <c r="N9" s="4" t="s">
        <v>174</v>
      </c>
      <c r="O9" s="4" t="s">
        <v>210</v>
      </c>
      <c r="P9" s="4" t="s">
        <v>20</v>
      </c>
      <c r="Q9" s="4" t="s">
        <v>211</v>
      </c>
      <c r="R9" s="4" t="s">
        <v>20</v>
      </c>
      <c r="S9" s="4" t="s">
        <v>212</v>
      </c>
      <c r="T9" s="4" t="s">
        <v>213</v>
      </c>
      <c r="U9" s="4" t="s">
        <v>131</v>
      </c>
      <c r="V9" s="4"/>
      <c r="W9" s="4" t="s">
        <v>214</v>
      </c>
      <c r="X9" s="4"/>
      <c r="Y9" s="4"/>
      <c r="Z9" s="4" t="s">
        <v>215</v>
      </c>
      <c r="AA9" s="4" t="s">
        <v>216</v>
      </c>
      <c r="AB9" s="4" t="s">
        <v>134</v>
      </c>
      <c r="AC9" s="4" t="s">
        <v>217</v>
      </c>
      <c r="AD9" s="4" t="s">
        <v>218</v>
      </c>
      <c r="AE9" s="4" t="s">
        <v>219</v>
      </c>
      <c r="AF9" s="4" t="s">
        <v>220</v>
      </c>
      <c r="AG9" s="4" t="s">
        <v>139</v>
      </c>
      <c r="AH9" s="4" t="s">
        <v>221</v>
      </c>
      <c r="AI9" s="4">
        <v>5739633</v>
      </c>
      <c r="AJ9" s="4"/>
      <c r="AK9" s="4"/>
      <c r="AL9" s="4" t="s">
        <v>222</v>
      </c>
      <c r="AM9" s="4" t="s">
        <v>223</v>
      </c>
      <c r="AN9" s="4"/>
      <c r="AO9" s="4" t="s">
        <v>224</v>
      </c>
      <c r="AP9" s="4" t="s">
        <v>223</v>
      </c>
    </row>
    <row r="10" s="1" customFormat="1" spans="1:42">
      <c r="A10" s="4">
        <v>46</v>
      </c>
      <c r="B10" s="4" t="s">
        <v>118</v>
      </c>
      <c r="C10" s="4" t="s">
        <v>119</v>
      </c>
      <c r="D10" s="4" t="s">
        <v>225</v>
      </c>
      <c r="E10" s="4" t="s">
        <v>226</v>
      </c>
      <c r="F10" s="4" t="s">
        <v>122</v>
      </c>
      <c r="G10" s="4" t="s">
        <v>123</v>
      </c>
      <c r="H10" s="5">
        <v>4800</v>
      </c>
      <c r="I10" s="4"/>
      <c r="J10" s="4" t="s">
        <v>207</v>
      </c>
      <c r="K10" s="4" t="s">
        <v>208</v>
      </c>
      <c r="L10" s="4" t="s">
        <v>123</v>
      </c>
      <c r="M10" s="4" t="s">
        <v>209</v>
      </c>
      <c r="N10" s="4" t="s">
        <v>174</v>
      </c>
      <c r="O10" s="4" t="s">
        <v>210</v>
      </c>
      <c r="P10" s="4" t="s">
        <v>20</v>
      </c>
      <c r="Q10" s="4" t="s">
        <v>227</v>
      </c>
      <c r="R10" s="4" t="s">
        <v>20</v>
      </c>
      <c r="S10" s="4" t="s">
        <v>228</v>
      </c>
      <c r="T10" s="4" t="s">
        <v>229</v>
      </c>
      <c r="U10" s="4" t="s">
        <v>131</v>
      </c>
      <c r="V10" s="4"/>
      <c r="W10" s="4" t="s">
        <v>230</v>
      </c>
      <c r="X10" s="4"/>
      <c r="Y10" s="4"/>
      <c r="Z10" s="4" t="s">
        <v>215</v>
      </c>
      <c r="AA10" s="4" t="s">
        <v>167</v>
      </c>
      <c r="AB10" s="4" t="s">
        <v>134</v>
      </c>
      <c r="AC10" s="4" t="s">
        <v>134</v>
      </c>
      <c r="AD10" s="4" t="s">
        <v>134</v>
      </c>
      <c r="AE10" s="4" t="s">
        <v>219</v>
      </c>
      <c r="AF10" s="4" t="s">
        <v>220</v>
      </c>
      <c r="AG10" s="4" t="s">
        <v>139</v>
      </c>
      <c r="AH10" s="4" t="s">
        <v>140</v>
      </c>
      <c r="AI10" s="4">
        <v>5741044</v>
      </c>
      <c r="AJ10" s="4"/>
      <c r="AK10" s="4"/>
      <c r="AL10" s="4" t="s">
        <v>222</v>
      </c>
      <c r="AM10" s="4" t="s">
        <v>223</v>
      </c>
      <c r="AN10" s="4"/>
      <c r="AO10" s="4" t="s">
        <v>231</v>
      </c>
      <c r="AP10" s="4" t="s">
        <v>223</v>
      </c>
    </row>
    <row r="11" s="1" customFormat="1" spans="1:42">
      <c r="A11" s="4">
        <v>43</v>
      </c>
      <c r="B11" s="4" t="s">
        <v>118</v>
      </c>
      <c r="C11" s="4" t="s">
        <v>119</v>
      </c>
      <c r="D11" s="4" t="s">
        <v>232</v>
      </c>
      <c r="E11" s="4" t="s">
        <v>226</v>
      </c>
      <c r="F11" s="4" t="s">
        <v>122</v>
      </c>
      <c r="G11" s="4" t="s">
        <v>123</v>
      </c>
      <c r="H11" s="5">
        <v>4800</v>
      </c>
      <c r="I11" s="4"/>
      <c r="J11" s="4" t="s">
        <v>207</v>
      </c>
      <c r="K11" s="4" t="s">
        <v>208</v>
      </c>
      <c r="L11" s="4" t="s">
        <v>123</v>
      </c>
      <c r="M11" s="4" t="s">
        <v>209</v>
      </c>
      <c r="N11" s="4" t="s">
        <v>174</v>
      </c>
      <c r="O11" s="4" t="s">
        <v>210</v>
      </c>
      <c r="P11" s="4" t="s">
        <v>20</v>
      </c>
      <c r="Q11" s="4" t="s">
        <v>233</v>
      </c>
      <c r="R11" s="4" t="s">
        <v>20</v>
      </c>
      <c r="S11" s="4" t="s">
        <v>234</v>
      </c>
      <c r="T11" s="4" t="s">
        <v>235</v>
      </c>
      <c r="U11" s="4" t="s">
        <v>131</v>
      </c>
      <c r="V11" s="4"/>
      <c r="W11" s="4" t="s">
        <v>230</v>
      </c>
      <c r="X11" s="4"/>
      <c r="Y11" s="4"/>
      <c r="Z11" s="4" t="s">
        <v>215</v>
      </c>
      <c r="AA11" s="4" t="s">
        <v>167</v>
      </c>
      <c r="AB11" s="4" t="s">
        <v>134</v>
      </c>
      <c r="AC11" s="4" t="s">
        <v>134</v>
      </c>
      <c r="AD11" s="4" t="s">
        <v>134</v>
      </c>
      <c r="AE11" s="4" t="s">
        <v>219</v>
      </c>
      <c r="AF11" s="4" t="s">
        <v>220</v>
      </c>
      <c r="AG11" s="4" t="s">
        <v>139</v>
      </c>
      <c r="AH11" s="4" t="s">
        <v>140</v>
      </c>
      <c r="AI11" s="4">
        <v>5742371</v>
      </c>
      <c r="AJ11" s="4"/>
      <c r="AK11" s="4"/>
      <c r="AL11" s="4" t="s">
        <v>222</v>
      </c>
      <c r="AM11" s="4" t="s">
        <v>223</v>
      </c>
      <c r="AN11" s="4"/>
      <c r="AO11" s="4" t="s">
        <v>231</v>
      </c>
      <c r="AP11" s="4" t="s">
        <v>223</v>
      </c>
    </row>
    <row r="12" s="1" customFormat="1" spans="1:42">
      <c r="A12" s="4">
        <v>40</v>
      </c>
      <c r="B12" s="4" t="s">
        <v>118</v>
      </c>
      <c r="C12" s="4" t="s">
        <v>119</v>
      </c>
      <c r="D12" s="4" t="s">
        <v>236</v>
      </c>
      <c r="E12" s="4" t="s">
        <v>237</v>
      </c>
      <c r="F12" s="4" t="s">
        <v>122</v>
      </c>
      <c r="G12" s="4" t="s">
        <v>123</v>
      </c>
      <c r="H12" s="5">
        <v>46300</v>
      </c>
      <c r="I12" s="4"/>
      <c r="J12" s="4" t="s">
        <v>123</v>
      </c>
      <c r="K12" s="4" t="s">
        <v>124</v>
      </c>
      <c r="L12" s="4" t="s">
        <v>123</v>
      </c>
      <c r="M12" s="4" t="s">
        <v>209</v>
      </c>
      <c r="N12" s="4" t="s">
        <v>238</v>
      </c>
      <c r="O12" s="4" t="s">
        <v>239</v>
      </c>
      <c r="P12" s="4" t="s">
        <v>20</v>
      </c>
      <c r="Q12" s="4" t="s">
        <v>240</v>
      </c>
      <c r="R12" s="4" t="s">
        <v>20</v>
      </c>
      <c r="S12" s="4" t="s">
        <v>240</v>
      </c>
      <c r="T12" s="4" t="s">
        <v>241</v>
      </c>
      <c r="U12" s="4" t="s">
        <v>131</v>
      </c>
      <c r="V12" s="4" t="s">
        <v>242</v>
      </c>
      <c r="W12" s="4" t="s">
        <v>243</v>
      </c>
      <c r="X12" s="4" t="s">
        <v>236</v>
      </c>
      <c r="Y12" s="4"/>
      <c r="Z12" s="4" t="s">
        <v>148</v>
      </c>
      <c r="AA12" s="4" t="s">
        <v>244</v>
      </c>
      <c r="AB12" s="4" t="s">
        <v>182</v>
      </c>
      <c r="AC12" s="4" t="s">
        <v>244</v>
      </c>
      <c r="AD12" s="4" t="s">
        <v>244</v>
      </c>
      <c r="AE12" s="4" t="s">
        <v>137</v>
      </c>
      <c r="AF12" s="4" t="s">
        <v>169</v>
      </c>
      <c r="AG12" s="4" t="s">
        <v>139</v>
      </c>
      <c r="AH12" s="4" t="s">
        <v>186</v>
      </c>
      <c r="AI12" s="4">
        <v>5745072</v>
      </c>
      <c r="AJ12" s="4" t="s">
        <v>187</v>
      </c>
      <c r="AK12" s="4"/>
      <c r="AL12" s="4" t="s">
        <v>222</v>
      </c>
      <c r="AM12" s="4" t="s">
        <v>223</v>
      </c>
      <c r="AN12" s="4"/>
      <c r="AO12" s="4" t="s">
        <v>245</v>
      </c>
      <c r="AP12" s="4" t="s">
        <v>223</v>
      </c>
    </row>
    <row r="13" s="1" customFormat="1" spans="1:42">
      <c r="A13" s="4">
        <v>41</v>
      </c>
      <c r="B13" s="4" t="s">
        <v>118</v>
      </c>
      <c r="C13" s="4" t="s">
        <v>119</v>
      </c>
      <c r="D13" s="4" t="s">
        <v>236</v>
      </c>
      <c r="E13" s="4" t="s">
        <v>226</v>
      </c>
      <c r="F13" s="4" t="s">
        <v>122</v>
      </c>
      <c r="G13" s="4" t="s">
        <v>123</v>
      </c>
      <c r="H13" s="5">
        <v>1600</v>
      </c>
      <c r="I13" s="4"/>
      <c r="J13" s="4" t="s">
        <v>207</v>
      </c>
      <c r="K13" s="4" t="s">
        <v>208</v>
      </c>
      <c r="L13" s="4" t="s">
        <v>123</v>
      </c>
      <c r="M13" s="4" t="s">
        <v>209</v>
      </c>
      <c r="N13" s="4" t="s">
        <v>174</v>
      </c>
      <c r="O13" s="4" t="s">
        <v>210</v>
      </c>
      <c r="P13" s="4" t="s">
        <v>20</v>
      </c>
      <c r="Q13" s="4" t="s">
        <v>246</v>
      </c>
      <c r="R13" s="4" t="s">
        <v>20</v>
      </c>
      <c r="S13" s="4" t="s">
        <v>247</v>
      </c>
      <c r="T13" s="4" t="s">
        <v>248</v>
      </c>
      <c r="U13" s="4" t="s">
        <v>131</v>
      </c>
      <c r="V13" s="4"/>
      <c r="W13" s="4" t="s">
        <v>230</v>
      </c>
      <c r="X13" s="4"/>
      <c r="Y13" s="4"/>
      <c r="Z13" s="4" t="s">
        <v>215</v>
      </c>
      <c r="AA13" s="4" t="s">
        <v>167</v>
      </c>
      <c r="AB13" s="4" t="s">
        <v>134</v>
      </c>
      <c r="AC13" s="4" t="s">
        <v>134</v>
      </c>
      <c r="AD13" s="4" t="s">
        <v>134</v>
      </c>
      <c r="AE13" s="4" t="s">
        <v>219</v>
      </c>
      <c r="AF13" s="4" t="s">
        <v>220</v>
      </c>
      <c r="AG13" s="4" t="s">
        <v>249</v>
      </c>
      <c r="AH13" s="4" t="s">
        <v>140</v>
      </c>
      <c r="AI13" s="4">
        <v>5719175</v>
      </c>
      <c r="AJ13" s="4"/>
      <c r="AK13" s="4"/>
      <c r="AL13" s="4" t="s">
        <v>222</v>
      </c>
      <c r="AM13" s="4" t="s">
        <v>223</v>
      </c>
      <c r="AN13" s="4"/>
      <c r="AO13" s="4" t="s">
        <v>250</v>
      </c>
      <c r="AP13" s="4" t="s">
        <v>223</v>
      </c>
    </row>
    <row r="14" s="1" customFormat="1" spans="1:42">
      <c r="A14" s="4">
        <v>38</v>
      </c>
      <c r="B14" s="4" t="s">
        <v>118</v>
      </c>
      <c r="C14" s="4" t="s">
        <v>119</v>
      </c>
      <c r="D14" s="4" t="s">
        <v>251</v>
      </c>
      <c r="E14" s="4" t="s">
        <v>226</v>
      </c>
      <c r="F14" s="4" t="s">
        <v>122</v>
      </c>
      <c r="G14" s="4" t="s">
        <v>123</v>
      </c>
      <c r="H14" s="5">
        <v>1600</v>
      </c>
      <c r="I14" s="4"/>
      <c r="J14" s="4" t="s">
        <v>207</v>
      </c>
      <c r="K14" s="4" t="s">
        <v>208</v>
      </c>
      <c r="L14" s="4" t="s">
        <v>123</v>
      </c>
      <c r="M14" s="4" t="s">
        <v>209</v>
      </c>
      <c r="N14" s="4" t="s">
        <v>174</v>
      </c>
      <c r="O14" s="4" t="s">
        <v>210</v>
      </c>
      <c r="P14" s="4" t="s">
        <v>20</v>
      </c>
      <c r="Q14" s="4" t="s">
        <v>252</v>
      </c>
      <c r="R14" s="4" t="s">
        <v>20</v>
      </c>
      <c r="S14" s="4" t="s">
        <v>253</v>
      </c>
      <c r="T14" s="4" t="s">
        <v>254</v>
      </c>
      <c r="U14" s="4" t="s">
        <v>131</v>
      </c>
      <c r="V14" s="4"/>
      <c r="W14" s="4" t="s">
        <v>230</v>
      </c>
      <c r="X14" s="4"/>
      <c r="Y14" s="4"/>
      <c r="Z14" s="4" t="s">
        <v>215</v>
      </c>
      <c r="AA14" s="4" t="s">
        <v>167</v>
      </c>
      <c r="AB14" s="4" t="s">
        <v>134</v>
      </c>
      <c r="AC14" s="4" t="s">
        <v>134</v>
      </c>
      <c r="AD14" s="4" t="s">
        <v>134</v>
      </c>
      <c r="AE14" s="4" t="s">
        <v>219</v>
      </c>
      <c r="AF14" s="4" t="s">
        <v>220</v>
      </c>
      <c r="AG14" s="4" t="s">
        <v>249</v>
      </c>
      <c r="AH14" s="4" t="s">
        <v>140</v>
      </c>
      <c r="AI14" s="4">
        <v>5761885</v>
      </c>
      <c r="AJ14" s="4"/>
      <c r="AK14" s="4"/>
      <c r="AL14" s="4" t="s">
        <v>222</v>
      </c>
      <c r="AM14" s="4" t="s">
        <v>223</v>
      </c>
      <c r="AN14" s="4"/>
      <c r="AO14" s="4" t="s">
        <v>250</v>
      </c>
      <c r="AP14" s="4" t="s">
        <v>223</v>
      </c>
    </row>
    <row r="15" s="1" customFormat="1" spans="1:42">
      <c r="A15" s="4">
        <v>36</v>
      </c>
      <c r="B15" s="4" t="s">
        <v>118</v>
      </c>
      <c r="C15" s="4" t="s">
        <v>119</v>
      </c>
      <c r="D15" s="4" t="s">
        <v>255</v>
      </c>
      <c r="E15" s="4" t="s">
        <v>226</v>
      </c>
      <c r="F15" s="4" t="s">
        <v>122</v>
      </c>
      <c r="G15" s="4" t="s">
        <v>123</v>
      </c>
      <c r="H15" s="5">
        <v>3200</v>
      </c>
      <c r="I15" s="4"/>
      <c r="J15" s="4" t="s">
        <v>207</v>
      </c>
      <c r="K15" s="4" t="s">
        <v>208</v>
      </c>
      <c r="L15" s="4" t="s">
        <v>123</v>
      </c>
      <c r="M15" s="4" t="s">
        <v>209</v>
      </c>
      <c r="N15" s="4" t="s">
        <v>174</v>
      </c>
      <c r="O15" s="4" t="s">
        <v>210</v>
      </c>
      <c r="P15" s="4" t="s">
        <v>20</v>
      </c>
      <c r="Q15" s="4" t="s">
        <v>256</v>
      </c>
      <c r="R15" s="4" t="s">
        <v>20</v>
      </c>
      <c r="S15" s="4" t="s">
        <v>257</v>
      </c>
      <c r="T15" s="4" t="s">
        <v>258</v>
      </c>
      <c r="U15" s="4" t="s">
        <v>131</v>
      </c>
      <c r="V15" s="4"/>
      <c r="W15" s="4" t="s">
        <v>230</v>
      </c>
      <c r="X15" s="4"/>
      <c r="Y15" s="4"/>
      <c r="Z15" s="4" t="s">
        <v>215</v>
      </c>
      <c r="AA15" s="4" t="s">
        <v>167</v>
      </c>
      <c r="AB15" s="4" t="s">
        <v>134</v>
      </c>
      <c r="AC15" s="4" t="s">
        <v>134</v>
      </c>
      <c r="AD15" s="4" t="s">
        <v>134</v>
      </c>
      <c r="AE15" s="4" t="s">
        <v>219</v>
      </c>
      <c r="AF15" s="4" t="s">
        <v>220</v>
      </c>
      <c r="AG15" s="4" t="s">
        <v>139</v>
      </c>
      <c r="AH15" s="4" t="s">
        <v>140</v>
      </c>
      <c r="AI15" s="4">
        <v>5721060</v>
      </c>
      <c r="AJ15" s="4"/>
      <c r="AK15" s="4"/>
      <c r="AL15" s="4" t="s">
        <v>222</v>
      </c>
      <c r="AM15" s="4" t="s">
        <v>223</v>
      </c>
      <c r="AN15" s="4"/>
      <c r="AO15" s="4" t="s">
        <v>259</v>
      </c>
      <c r="AP15" s="4" t="s">
        <v>223</v>
      </c>
    </row>
    <row r="16" s="1" customFormat="1" spans="1:42">
      <c r="A16" s="4">
        <v>32</v>
      </c>
      <c r="B16" s="4" t="s">
        <v>118</v>
      </c>
      <c r="C16" s="4" t="s">
        <v>119</v>
      </c>
      <c r="D16" s="4" t="s">
        <v>260</v>
      </c>
      <c r="E16" s="4" t="s">
        <v>261</v>
      </c>
      <c r="F16" s="4" t="s">
        <v>122</v>
      </c>
      <c r="G16" s="4" t="s">
        <v>123</v>
      </c>
      <c r="H16" s="5">
        <v>28800</v>
      </c>
      <c r="I16" s="4"/>
      <c r="J16" s="4" t="s">
        <v>123</v>
      </c>
      <c r="K16" s="4" t="s">
        <v>124</v>
      </c>
      <c r="L16" s="4" t="s">
        <v>123</v>
      </c>
      <c r="M16" s="4" t="s">
        <v>209</v>
      </c>
      <c r="N16" s="4" t="s">
        <v>126</v>
      </c>
      <c r="O16" s="4" t="s">
        <v>262</v>
      </c>
      <c r="P16" s="4" t="s">
        <v>20</v>
      </c>
      <c r="Q16" s="4" t="s">
        <v>263</v>
      </c>
      <c r="R16" s="4" t="s">
        <v>20</v>
      </c>
      <c r="S16" s="4" t="s">
        <v>263</v>
      </c>
      <c r="T16" s="4" t="s">
        <v>264</v>
      </c>
      <c r="U16" s="4" t="s">
        <v>131</v>
      </c>
      <c r="V16" s="4" t="s">
        <v>265</v>
      </c>
      <c r="W16" s="4" t="s">
        <v>266</v>
      </c>
      <c r="X16" s="4" t="s">
        <v>260</v>
      </c>
      <c r="Y16" s="4"/>
      <c r="Z16" s="4" t="s">
        <v>148</v>
      </c>
      <c r="AA16" s="4" t="s">
        <v>167</v>
      </c>
      <c r="AB16" s="4" t="s">
        <v>134</v>
      </c>
      <c r="AC16" s="4" t="s">
        <v>195</v>
      </c>
      <c r="AD16" s="4" t="s">
        <v>196</v>
      </c>
      <c r="AE16" s="4" t="s">
        <v>137</v>
      </c>
      <c r="AF16" s="4" t="s">
        <v>169</v>
      </c>
      <c r="AG16" s="4" t="s">
        <v>139</v>
      </c>
      <c r="AH16" s="4" t="s">
        <v>267</v>
      </c>
      <c r="AI16" s="4">
        <v>5723111</v>
      </c>
      <c r="AJ16" s="4"/>
      <c r="AK16" s="4"/>
      <c r="AL16" s="4" t="s">
        <v>222</v>
      </c>
      <c r="AM16" s="4" t="s">
        <v>223</v>
      </c>
      <c r="AN16" s="4"/>
      <c r="AO16" s="4" t="s">
        <v>268</v>
      </c>
      <c r="AP16" s="4" t="s">
        <v>223</v>
      </c>
    </row>
    <row r="17" s="1" customFormat="1" spans="1:42">
      <c r="A17" s="4">
        <v>29</v>
      </c>
      <c r="B17" s="4" t="s">
        <v>118</v>
      </c>
      <c r="C17" s="4" t="s">
        <v>119</v>
      </c>
      <c r="D17" s="4" t="s">
        <v>269</v>
      </c>
      <c r="E17" s="4" t="s">
        <v>270</v>
      </c>
      <c r="F17" s="4" t="s">
        <v>122</v>
      </c>
      <c r="G17" s="4" t="s">
        <v>123</v>
      </c>
      <c r="H17" s="5">
        <v>15800</v>
      </c>
      <c r="I17" s="4" t="s">
        <v>271</v>
      </c>
      <c r="J17" s="4" t="s">
        <v>272</v>
      </c>
      <c r="K17" s="4" t="s">
        <v>208</v>
      </c>
      <c r="L17" s="4" t="s">
        <v>123</v>
      </c>
      <c r="M17" s="4" t="s">
        <v>209</v>
      </c>
      <c r="N17" s="4" t="s">
        <v>174</v>
      </c>
      <c r="O17" s="4" t="s">
        <v>210</v>
      </c>
      <c r="P17" s="4" t="s">
        <v>20</v>
      </c>
      <c r="Q17" s="4" t="s">
        <v>273</v>
      </c>
      <c r="R17" s="4" t="s">
        <v>20</v>
      </c>
      <c r="S17" s="4" t="s">
        <v>274</v>
      </c>
      <c r="T17" s="4" t="s">
        <v>275</v>
      </c>
      <c r="U17" s="4" t="s">
        <v>131</v>
      </c>
      <c r="V17" s="4" t="s">
        <v>276</v>
      </c>
      <c r="W17" s="4" t="s">
        <v>277</v>
      </c>
      <c r="X17" s="4" t="s">
        <v>269</v>
      </c>
      <c r="Y17" s="4"/>
      <c r="Z17" s="4" t="s">
        <v>215</v>
      </c>
      <c r="AA17" s="4" t="s">
        <v>278</v>
      </c>
      <c r="AB17" s="4" t="s">
        <v>134</v>
      </c>
      <c r="AC17" s="4" t="s">
        <v>279</v>
      </c>
      <c r="AD17" s="4" t="s">
        <v>280</v>
      </c>
      <c r="AE17" s="4" t="s">
        <v>219</v>
      </c>
      <c r="AF17" s="4" t="s">
        <v>281</v>
      </c>
      <c r="AG17" s="4" t="s">
        <v>139</v>
      </c>
      <c r="AH17" s="4" t="s">
        <v>186</v>
      </c>
      <c r="AI17" s="4">
        <v>5764240</v>
      </c>
      <c r="AJ17" s="4"/>
      <c r="AK17" s="4"/>
      <c r="AL17" s="4" t="s">
        <v>222</v>
      </c>
      <c r="AM17" s="4" t="s">
        <v>223</v>
      </c>
      <c r="AN17" s="4" t="s">
        <v>282</v>
      </c>
      <c r="AO17" s="4" t="s">
        <v>283</v>
      </c>
      <c r="AP17" s="4" t="s">
        <v>223</v>
      </c>
    </row>
    <row r="18" s="1" customFormat="1" spans="1:42">
      <c r="A18" s="4">
        <v>28</v>
      </c>
      <c r="B18" s="4" t="s">
        <v>118</v>
      </c>
      <c r="C18" s="4" t="s">
        <v>119</v>
      </c>
      <c r="D18" s="4" t="s">
        <v>284</v>
      </c>
      <c r="E18" s="4" t="s">
        <v>285</v>
      </c>
      <c r="F18" s="4" t="s">
        <v>122</v>
      </c>
      <c r="G18" s="4" t="s">
        <v>123</v>
      </c>
      <c r="H18" s="5">
        <v>28800</v>
      </c>
      <c r="I18" s="4"/>
      <c r="J18" s="4" t="s">
        <v>123</v>
      </c>
      <c r="K18" s="4" t="s">
        <v>124</v>
      </c>
      <c r="L18" s="4" t="s">
        <v>123</v>
      </c>
      <c r="M18" s="4" t="s">
        <v>209</v>
      </c>
      <c r="N18" s="4" t="s">
        <v>155</v>
      </c>
      <c r="O18" s="4" t="s">
        <v>156</v>
      </c>
      <c r="P18" s="4" t="s">
        <v>20</v>
      </c>
      <c r="Q18" s="4" t="s">
        <v>286</v>
      </c>
      <c r="R18" s="4" t="s">
        <v>20</v>
      </c>
      <c r="S18" s="4" t="s">
        <v>286</v>
      </c>
      <c r="T18" s="4" t="s">
        <v>287</v>
      </c>
      <c r="U18" s="4" t="s">
        <v>131</v>
      </c>
      <c r="V18" s="4" t="s">
        <v>276</v>
      </c>
      <c r="W18" s="4" t="s">
        <v>288</v>
      </c>
      <c r="X18" s="4" t="s">
        <v>284</v>
      </c>
      <c r="Y18" s="4"/>
      <c r="Z18" s="4" t="s">
        <v>148</v>
      </c>
      <c r="AA18" s="4" t="s">
        <v>167</v>
      </c>
      <c r="AB18" s="4" t="s">
        <v>134</v>
      </c>
      <c r="AC18" s="4" t="s">
        <v>134</v>
      </c>
      <c r="AD18" s="4" t="s">
        <v>134</v>
      </c>
      <c r="AE18" s="4" t="s">
        <v>137</v>
      </c>
      <c r="AF18" s="4" t="s">
        <v>169</v>
      </c>
      <c r="AG18" s="4" t="s">
        <v>139</v>
      </c>
      <c r="AH18" s="4" t="s">
        <v>140</v>
      </c>
      <c r="AI18" s="4">
        <v>5752188</v>
      </c>
      <c r="AJ18" s="4"/>
      <c r="AK18" s="4"/>
      <c r="AL18" s="4" t="s">
        <v>222</v>
      </c>
      <c r="AM18" s="4" t="s">
        <v>223</v>
      </c>
      <c r="AN18" s="4"/>
      <c r="AO18" s="4" t="s">
        <v>268</v>
      </c>
      <c r="AP18" s="4" t="s">
        <v>223</v>
      </c>
    </row>
    <row r="19" s="1" customFormat="1" spans="1:42">
      <c r="A19" s="4">
        <v>24</v>
      </c>
      <c r="B19" s="4" t="s">
        <v>118</v>
      </c>
      <c r="C19" s="4" t="s">
        <v>119</v>
      </c>
      <c r="D19" s="4" t="s">
        <v>289</v>
      </c>
      <c r="E19" s="4" t="s">
        <v>290</v>
      </c>
      <c r="F19" s="4" t="s">
        <v>122</v>
      </c>
      <c r="G19" s="4" t="s">
        <v>123</v>
      </c>
      <c r="H19" s="5">
        <v>15800</v>
      </c>
      <c r="I19" s="4" t="s">
        <v>271</v>
      </c>
      <c r="J19" s="4" t="s">
        <v>272</v>
      </c>
      <c r="K19" s="4" t="s">
        <v>208</v>
      </c>
      <c r="L19" s="4" t="s">
        <v>123</v>
      </c>
      <c r="M19" s="4" t="s">
        <v>209</v>
      </c>
      <c r="N19" s="4" t="s">
        <v>174</v>
      </c>
      <c r="O19" s="4" t="s">
        <v>210</v>
      </c>
      <c r="P19" s="4" t="s">
        <v>20</v>
      </c>
      <c r="Q19" s="4" t="s">
        <v>291</v>
      </c>
      <c r="R19" s="4" t="s">
        <v>20</v>
      </c>
      <c r="S19" s="4" t="s">
        <v>291</v>
      </c>
      <c r="T19" s="4" t="s">
        <v>292</v>
      </c>
      <c r="U19" s="4" t="s">
        <v>131</v>
      </c>
      <c r="V19" s="4" t="s">
        <v>293</v>
      </c>
      <c r="W19" s="4" t="s">
        <v>294</v>
      </c>
      <c r="X19" s="4" t="s">
        <v>289</v>
      </c>
      <c r="Y19" s="4"/>
      <c r="Z19" s="4" t="s">
        <v>148</v>
      </c>
      <c r="AA19" s="4" t="s">
        <v>295</v>
      </c>
      <c r="AB19" s="4" t="s">
        <v>134</v>
      </c>
      <c r="AC19" s="4" t="s">
        <v>296</v>
      </c>
      <c r="AD19" s="4" t="s">
        <v>297</v>
      </c>
      <c r="AE19" s="4" t="s">
        <v>219</v>
      </c>
      <c r="AF19" s="4" t="s">
        <v>281</v>
      </c>
      <c r="AG19" s="4" t="s">
        <v>139</v>
      </c>
      <c r="AH19" s="4" t="s">
        <v>140</v>
      </c>
      <c r="AI19" s="4">
        <v>5754579</v>
      </c>
      <c r="AJ19" s="4"/>
      <c r="AK19" s="4"/>
      <c r="AL19" s="4" t="s">
        <v>222</v>
      </c>
      <c r="AM19" s="4" t="s">
        <v>223</v>
      </c>
      <c r="AN19" s="4"/>
      <c r="AO19" s="4" t="s">
        <v>283</v>
      </c>
      <c r="AP19" s="4" t="s">
        <v>223</v>
      </c>
    </row>
    <row r="20" s="1" customFormat="1" spans="1:42">
      <c r="A20" s="4">
        <v>1</v>
      </c>
      <c r="B20" s="4" t="s">
        <v>118</v>
      </c>
      <c r="C20" s="4" t="s">
        <v>119</v>
      </c>
      <c r="D20" s="4" t="s">
        <v>298</v>
      </c>
      <c r="E20" s="4" t="s">
        <v>299</v>
      </c>
      <c r="F20" s="4" t="s">
        <v>122</v>
      </c>
      <c r="G20" s="4" t="s">
        <v>123</v>
      </c>
      <c r="H20" s="5">
        <v>9800</v>
      </c>
      <c r="I20" s="4" t="s">
        <v>271</v>
      </c>
      <c r="J20" s="4" t="s">
        <v>272</v>
      </c>
      <c r="K20" s="4" t="s">
        <v>208</v>
      </c>
      <c r="L20" s="4" t="s">
        <v>123</v>
      </c>
      <c r="M20" s="4" t="s">
        <v>209</v>
      </c>
      <c r="N20" s="4" t="s">
        <v>174</v>
      </c>
      <c r="O20" s="4" t="s">
        <v>210</v>
      </c>
      <c r="P20" s="4" t="s">
        <v>20</v>
      </c>
      <c r="Q20" s="4" t="s">
        <v>300</v>
      </c>
      <c r="R20" s="4" t="s">
        <v>20</v>
      </c>
      <c r="S20" s="4" t="s">
        <v>300</v>
      </c>
      <c r="T20" s="4" t="s">
        <v>301</v>
      </c>
      <c r="U20" s="4" t="s">
        <v>131</v>
      </c>
      <c r="V20" s="4" t="s">
        <v>302</v>
      </c>
      <c r="W20" s="4" t="s">
        <v>303</v>
      </c>
      <c r="X20" s="4" t="s">
        <v>298</v>
      </c>
      <c r="Y20" s="4"/>
      <c r="Z20" s="4" t="s">
        <v>215</v>
      </c>
      <c r="AA20" s="4" t="s">
        <v>304</v>
      </c>
      <c r="AB20" s="4" t="s">
        <v>134</v>
      </c>
      <c r="AC20" s="4" t="s">
        <v>134</v>
      </c>
      <c r="AD20" s="4" t="s">
        <v>134</v>
      </c>
      <c r="AE20" s="4" t="s">
        <v>219</v>
      </c>
      <c r="AF20" s="4" t="s">
        <v>281</v>
      </c>
      <c r="AG20" s="4" t="s">
        <v>204</v>
      </c>
      <c r="AH20" s="4" t="s">
        <v>305</v>
      </c>
      <c r="AI20" s="4">
        <v>5756294</v>
      </c>
      <c r="AJ20" s="4"/>
      <c r="AK20" s="4"/>
      <c r="AL20" s="4" t="s">
        <v>306</v>
      </c>
      <c r="AM20" s="4" t="s">
        <v>223</v>
      </c>
      <c r="AN20" s="4"/>
      <c r="AO20" s="4" t="s">
        <v>307</v>
      </c>
      <c r="AP20" s="4" t="s">
        <v>223</v>
      </c>
    </row>
    <row r="21" s="1" customFormat="1" spans="1:42">
      <c r="A21" s="4">
        <v>21</v>
      </c>
      <c r="B21" s="4" t="s">
        <v>118</v>
      </c>
      <c r="C21" s="4" t="s">
        <v>119</v>
      </c>
      <c r="D21" s="4" t="s">
        <v>298</v>
      </c>
      <c r="E21" s="4" t="s">
        <v>308</v>
      </c>
      <c r="F21" s="4" t="s">
        <v>122</v>
      </c>
      <c r="G21" s="4" t="s">
        <v>123</v>
      </c>
      <c r="H21" s="5">
        <v>15800</v>
      </c>
      <c r="I21" s="4"/>
      <c r="J21" s="4" t="s">
        <v>207</v>
      </c>
      <c r="K21" s="4" t="s">
        <v>208</v>
      </c>
      <c r="L21" s="4" t="s">
        <v>123</v>
      </c>
      <c r="M21" s="4" t="s">
        <v>209</v>
      </c>
      <c r="N21" s="4" t="s">
        <v>174</v>
      </c>
      <c r="O21" s="4" t="s">
        <v>210</v>
      </c>
      <c r="P21" s="4" t="s">
        <v>20</v>
      </c>
      <c r="Q21" s="4" t="s">
        <v>309</v>
      </c>
      <c r="R21" s="4" t="s">
        <v>20</v>
      </c>
      <c r="S21" s="4" t="s">
        <v>310</v>
      </c>
      <c r="T21" s="4" t="s">
        <v>311</v>
      </c>
      <c r="U21" s="4" t="s">
        <v>131</v>
      </c>
      <c r="V21" s="4" t="s">
        <v>302</v>
      </c>
      <c r="W21" s="4" t="s">
        <v>312</v>
      </c>
      <c r="X21" s="4" t="s">
        <v>298</v>
      </c>
      <c r="Y21" s="4"/>
      <c r="Z21" s="4" t="s">
        <v>215</v>
      </c>
      <c r="AA21" s="4" t="s">
        <v>313</v>
      </c>
      <c r="AB21" s="4" t="s">
        <v>134</v>
      </c>
      <c r="AC21" s="4" t="s">
        <v>314</v>
      </c>
      <c r="AD21" s="4" t="s">
        <v>315</v>
      </c>
      <c r="AE21" s="4" t="s">
        <v>219</v>
      </c>
      <c r="AF21" s="4" t="s">
        <v>281</v>
      </c>
      <c r="AG21" s="4" t="s">
        <v>139</v>
      </c>
      <c r="AH21" s="4" t="s">
        <v>140</v>
      </c>
      <c r="AI21" s="4">
        <v>5756247</v>
      </c>
      <c r="AJ21" s="4"/>
      <c r="AK21" s="4"/>
      <c r="AL21" s="4" t="s">
        <v>222</v>
      </c>
      <c r="AM21" s="4" t="s">
        <v>223</v>
      </c>
      <c r="AN21" s="4"/>
      <c r="AO21" s="4" t="s">
        <v>283</v>
      </c>
      <c r="AP21" s="4" t="s">
        <v>223</v>
      </c>
    </row>
    <row r="22" s="1" customFormat="1" spans="1:42">
      <c r="A22" s="4">
        <v>22</v>
      </c>
      <c r="B22" s="4" t="s">
        <v>118</v>
      </c>
      <c r="C22" s="4" t="s">
        <v>119</v>
      </c>
      <c r="D22" s="4" t="s">
        <v>298</v>
      </c>
      <c r="E22" s="4" t="s">
        <v>316</v>
      </c>
      <c r="F22" s="4" t="s">
        <v>122</v>
      </c>
      <c r="G22" s="4" t="s">
        <v>123</v>
      </c>
      <c r="H22" s="5">
        <v>9800</v>
      </c>
      <c r="I22" s="4" t="s">
        <v>271</v>
      </c>
      <c r="J22" s="4" t="s">
        <v>272</v>
      </c>
      <c r="K22" s="4" t="s">
        <v>208</v>
      </c>
      <c r="L22" s="4" t="s">
        <v>123</v>
      </c>
      <c r="M22" s="4" t="s">
        <v>209</v>
      </c>
      <c r="N22" s="4" t="s">
        <v>174</v>
      </c>
      <c r="O22" s="4" t="s">
        <v>210</v>
      </c>
      <c r="P22" s="4" t="s">
        <v>20</v>
      </c>
      <c r="Q22" s="4" t="s">
        <v>317</v>
      </c>
      <c r="R22" s="4" t="s">
        <v>20</v>
      </c>
      <c r="S22" s="4" t="s">
        <v>317</v>
      </c>
      <c r="T22" s="4" t="s">
        <v>318</v>
      </c>
      <c r="U22" s="4" t="s">
        <v>131</v>
      </c>
      <c r="V22" s="4" t="s">
        <v>276</v>
      </c>
      <c r="W22" s="4" t="s">
        <v>319</v>
      </c>
      <c r="X22" s="4" t="s">
        <v>298</v>
      </c>
      <c r="Y22" s="4"/>
      <c r="Z22" s="4" t="s">
        <v>148</v>
      </c>
      <c r="AA22" s="4" t="s">
        <v>167</v>
      </c>
      <c r="AB22" s="4" t="s">
        <v>134</v>
      </c>
      <c r="AC22" s="4" t="s">
        <v>134</v>
      </c>
      <c r="AD22" s="4" t="s">
        <v>134</v>
      </c>
      <c r="AE22" s="4" t="s">
        <v>219</v>
      </c>
      <c r="AF22" s="4" t="s">
        <v>281</v>
      </c>
      <c r="AG22" s="4" t="s">
        <v>139</v>
      </c>
      <c r="AH22" s="4" t="s">
        <v>140</v>
      </c>
      <c r="AI22" s="4">
        <v>5755496</v>
      </c>
      <c r="AJ22" s="4"/>
      <c r="AK22" s="4"/>
      <c r="AL22" s="4" t="s">
        <v>222</v>
      </c>
      <c r="AM22" s="4" t="s">
        <v>223</v>
      </c>
      <c r="AN22" s="4"/>
      <c r="AO22" s="4" t="s">
        <v>307</v>
      </c>
      <c r="AP22" s="4" t="s">
        <v>223</v>
      </c>
    </row>
    <row r="23" s="1" customFormat="1" spans="1:42">
      <c r="A23" s="4"/>
      <c r="D23" s="6">
        <v>45995</v>
      </c>
      <c r="E23" s="7" t="s">
        <v>320</v>
      </c>
      <c r="G23" s="4"/>
      <c r="I23" s="5">
        <v>6217.5</v>
      </c>
      <c r="J23" s="4"/>
      <c r="K23" s="4"/>
      <c r="L23" s="4"/>
      <c r="M23" s="4"/>
      <c r="N23" s="4"/>
      <c r="O23" s="7" t="s">
        <v>143</v>
      </c>
      <c r="P23" s="7" t="s">
        <v>20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="1" customFormat="1" spans="4:42">
      <c r="D24" s="6">
        <v>46016</v>
      </c>
      <c r="E24" s="8" t="s">
        <v>270</v>
      </c>
      <c r="G24" s="4"/>
      <c r="I24" s="5">
        <v>3500</v>
      </c>
      <c r="J24" s="4"/>
      <c r="K24" s="4"/>
      <c r="L24" s="4"/>
      <c r="M24" s="4"/>
      <c r="N24" s="4"/>
      <c r="O24" s="7" t="s">
        <v>321</v>
      </c>
      <c r="P24" s="7" t="s">
        <v>20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="1" customFormat="1" spans="4:42">
      <c r="D25" s="6">
        <v>46018</v>
      </c>
      <c r="E25" s="9" t="s">
        <v>322</v>
      </c>
      <c r="G25" s="4"/>
      <c r="I25" s="5">
        <v>2400</v>
      </c>
      <c r="J25" s="4"/>
      <c r="K25" s="4"/>
      <c r="L25" s="4"/>
      <c r="M25" s="4"/>
      <c r="N25" s="4"/>
      <c r="O25" s="7" t="s">
        <v>321</v>
      </c>
      <c r="P25" s="7" t="s">
        <v>20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="1" customFormat="1" spans="3:42">
      <c r="C26" s="7"/>
      <c r="D26" s="6">
        <v>46018</v>
      </c>
      <c r="E26" s="7" t="s">
        <v>261</v>
      </c>
      <c r="G26" s="4"/>
      <c r="I26" s="5">
        <v>28800</v>
      </c>
      <c r="J26" s="4"/>
      <c r="K26" s="4"/>
      <c r="L26" s="4"/>
      <c r="M26" s="4"/>
      <c r="N26" s="4"/>
      <c r="O26" s="7" t="s">
        <v>323</v>
      </c>
      <c r="P26" s="7" t="s">
        <v>20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="1" customFormat="1" spans="3:42">
      <c r="C27" s="10"/>
      <c r="D27" s="6">
        <v>46018</v>
      </c>
      <c r="E27" s="7" t="s">
        <v>324</v>
      </c>
      <c r="G27" s="4"/>
      <c r="I27" s="5">
        <v>9800</v>
      </c>
      <c r="J27" s="4"/>
      <c r="K27" s="4"/>
      <c r="L27" s="4"/>
      <c r="M27" s="4"/>
      <c r="N27" s="4"/>
      <c r="O27" s="7" t="s">
        <v>321</v>
      </c>
      <c r="P27" s="7" t="s">
        <v>20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="1" customFormat="1" spans="3:16">
      <c r="C28" s="10"/>
      <c r="D28" s="6">
        <v>46018</v>
      </c>
      <c r="E28" s="7" t="s">
        <v>290</v>
      </c>
      <c r="I28" s="5">
        <v>600</v>
      </c>
      <c r="O28" s="7" t="s">
        <v>321</v>
      </c>
      <c r="P28" s="7" t="s">
        <v>20</v>
      </c>
    </row>
    <row r="29" s="1" customFormat="1" spans="3:42">
      <c r="C29" s="10"/>
      <c r="D29" s="6">
        <v>46018</v>
      </c>
      <c r="E29" s="7" t="s">
        <v>325</v>
      </c>
      <c r="G29" s="4"/>
      <c r="I29" s="5">
        <v>16547.6</v>
      </c>
      <c r="J29" s="4"/>
      <c r="K29" s="4"/>
      <c r="L29" s="4"/>
      <c r="M29" s="4"/>
      <c r="N29" s="4"/>
      <c r="O29" s="7" t="s">
        <v>156</v>
      </c>
      <c r="P29" s="7" t="s">
        <v>20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8:10">
      <c r="H30" s="1">
        <f>SUM(H2:H29)</f>
        <v>234090</v>
      </c>
      <c r="I30" s="1">
        <f>SUM(I23:I29)</f>
        <v>67865.1</v>
      </c>
      <c r="J30" s="1">
        <f>H30-I30</f>
        <v>166224.9</v>
      </c>
    </row>
    <row r="34" s="1" customFormat="1" customHeight="1" spans="1:42">
      <c r="A34" s="3" t="s">
        <v>0</v>
      </c>
      <c r="B34" s="3" t="s">
        <v>80</v>
      </c>
      <c r="C34" s="3" t="s">
        <v>3</v>
      </c>
      <c r="D34" s="3" t="s">
        <v>81</v>
      </c>
      <c r="E34" s="3" t="s">
        <v>2</v>
      </c>
      <c r="F34" s="3" t="s">
        <v>82</v>
      </c>
      <c r="G34" s="3" t="s">
        <v>83</v>
      </c>
      <c r="H34" s="3" t="s">
        <v>84</v>
      </c>
      <c r="I34" s="3" t="s">
        <v>85</v>
      </c>
      <c r="J34" s="3" t="s">
        <v>86</v>
      </c>
      <c r="K34" s="3" t="s">
        <v>87</v>
      </c>
      <c r="L34" s="3" t="s">
        <v>88</v>
      </c>
      <c r="M34" s="3" t="s">
        <v>89</v>
      </c>
      <c r="N34" s="3" t="s">
        <v>90</v>
      </c>
      <c r="O34" s="3" t="s">
        <v>91</v>
      </c>
      <c r="P34" s="3" t="s">
        <v>92</v>
      </c>
      <c r="Q34" s="3" t="s">
        <v>93</v>
      </c>
      <c r="R34" s="3" t="s">
        <v>94</v>
      </c>
      <c r="S34" s="3" t="s">
        <v>95</v>
      </c>
      <c r="T34" s="3" t="s">
        <v>96</v>
      </c>
      <c r="U34" s="3" t="s">
        <v>97</v>
      </c>
      <c r="V34" s="3" t="s">
        <v>98</v>
      </c>
      <c r="W34" s="3" t="s">
        <v>99</v>
      </c>
      <c r="X34" s="3" t="s">
        <v>100</v>
      </c>
      <c r="Y34" s="3" t="s">
        <v>101</v>
      </c>
      <c r="Z34" s="3" t="s">
        <v>102</v>
      </c>
      <c r="AA34" s="3" t="s">
        <v>80</v>
      </c>
      <c r="AB34" s="3" t="s">
        <v>103</v>
      </c>
      <c r="AC34" s="3" t="s">
        <v>104</v>
      </c>
      <c r="AD34" s="3" t="s">
        <v>105</v>
      </c>
      <c r="AE34" s="3" t="s">
        <v>106</v>
      </c>
      <c r="AF34" s="3" t="s">
        <v>107</v>
      </c>
      <c r="AG34" s="3" t="s">
        <v>108</v>
      </c>
      <c r="AH34" s="3" t="s">
        <v>109</v>
      </c>
      <c r="AI34" s="3" t="s">
        <v>110</v>
      </c>
      <c r="AJ34" s="3" t="s">
        <v>111</v>
      </c>
      <c r="AK34" s="3" t="s">
        <v>112</v>
      </c>
      <c r="AL34" s="3" t="s">
        <v>113</v>
      </c>
      <c r="AM34" s="3" t="s">
        <v>114</v>
      </c>
      <c r="AN34" s="3" t="s">
        <v>115</v>
      </c>
      <c r="AO34" s="3" t="s">
        <v>116</v>
      </c>
      <c r="AP34" s="3" t="s">
        <v>117</v>
      </c>
    </row>
    <row r="35" s="1" customFormat="1" spans="1:42">
      <c r="A35" s="4">
        <v>17</v>
      </c>
      <c r="B35" s="4" t="s">
        <v>118</v>
      </c>
      <c r="C35" s="4" t="s">
        <v>119</v>
      </c>
      <c r="D35" s="4" t="s">
        <v>205</v>
      </c>
      <c r="E35" s="4" t="s">
        <v>326</v>
      </c>
      <c r="F35" s="4" t="s">
        <v>122</v>
      </c>
      <c r="G35" s="4" t="s">
        <v>123</v>
      </c>
      <c r="H35" s="5">
        <v>-50</v>
      </c>
      <c r="I35" s="4"/>
      <c r="J35" s="4" t="s">
        <v>123</v>
      </c>
      <c r="K35" s="4" t="s">
        <v>208</v>
      </c>
      <c r="L35" s="4" t="s">
        <v>123</v>
      </c>
      <c r="M35" s="4" t="s">
        <v>125</v>
      </c>
      <c r="N35" s="4" t="s">
        <v>174</v>
      </c>
      <c r="O35" s="4" t="s">
        <v>210</v>
      </c>
      <c r="P35" s="4" t="s">
        <v>10</v>
      </c>
      <c r="Q35" s="4" t="s">
        <v>327</v>
      </c>
      <c r="R35" s="4" t="s">
        <v>10</v>
      </c>
      <c r="S35" s="4" t="s">
        <v>328</v>
      </c>
      <c r="T35" s="4" t="s">
        <v>329</v>
      </c>
      <c r="U35" s="4" t="s">
        <v>131</v>
      </c>
      <c r="V35" s="4"/>
      <c r="W35" s="4" t="s">
        <v>330</v>
      </c>
      <c r="X35" s="4"/>
      <c r="Y35" s="4"/>
      <c r="Z35" s="4" t="s">
        <v>215</v>
      </c>
      <c r="AA35" s="4" t="s">
        <v>167</v>
      </c>
      <c r="AB35" s="4" t="s">
        <v>134</v>
      </c>
      <c r="AC35" s="4" t="s">
        <v>134</v>
      </c>
      <c r="AD35" s="4" t="s">
        <v>134</v>
      </c>
      <c r="AE35" s="4" t="s">
        <v>219</v>
      </c>
      <c r="AF35" s="4" t="s">
        <v>220</v>
      </c>
      <c r="AG35" s="4" t="s">
        <v>331</v>
      </c>
      <c r="AH35" s="4" t="s">
        <v>305</v>
      </c>
      <c r="AI35" s="4">
        <v>5739503</v>
      </c>
      <c r="AJ35" s="4"/>
      <c r="AK35" s="4"/>
      <c r="AL35" s="4"/>
      <c r="AM35" s="4" t="s">
        <v>141</v>
      </c>
      <c r="AN35" s="4"/>
      <c r="AO35" s="4"/>
      <c r="AP35" s="4" t="s">
        <v>123</v>
      </c>
    </row>
    <row r="36" s="1" customFormat="1" spans="1:42">
      <c r="A36" s="4">
        <v>13</v>
      </c>
      <c r="B36" s="4" t="s">
        <v>118</v>
      </c>
      <c r="C36" s="4" t="s">
        <v>119</v>
      </c>
      <c r="D36" s="4" t="s">
        <v>332</v>
      </c>
      <c r="E36" s="4" t="s">
        <v>333</v>
      </c>
      <c r="F36" s="4" t="s">
        <v>122</v>
      </c>
      <c r="G36" s="4" t="s">
        <v>123</v>
      </c>
      <c r="H36" s="5">
        <v>10626</v>
      </c>
      <c r="I36" s="4"/>
      <c r="J36" s="4" t="s">
        <v>334</v>
      </c>
      <c r="K36" s="4" t="s">
        <v>124</v>
      </c>
      <c r="L36" s="4" t="s">
        <v>123</v>
      </c>
      <c r="M36" s="4" t="s">
        <v>125</v>
      </c>
      <c r="N36" s="4" t="s">
        <v>174</v>
      </c>
      <c r="O36" s="4" t="s">
        <v>335</v>
      </c>
      <c r="P36" s="4" t="s">
        <v>10</v>
      </c>
      <c r="Q36" s="4" t="s">
        <v>336</v>
      </c>
      <c r="R36" s="4" t="s">
        <v>10</v>
      </c>
      <c r="S36" s="4" t="s">
        <v>337</v>
      </c>
      <c r="T36" s="4" t="s">
        <v>338</v>
      </c>
      <c r="U36" s="4" t="s">
        <v>339</v>
      </c>
      <c r="V36" s="4"/>
      <c r="W36" s="4"/>
      <c r="X36" s="4"/>
      <c r="Y36" s="4"/>
      <c r="Z36" s="4" t="s">
        <v>132</v>
      </c>
      <c r="AA36" s="4" t="s">
        <v>167</v>
      </c>
      <c r="AB36" s="4" t="s">
        <v>134</v>
      </c>
      <c r="AC36" s="4" t="s">
        <v>134</v>
      </c>
      <c r="AD36" s="4" t="s">
        <v>134</v>
      </c>
      <c r="AE36" s="4" t="s">
        <v>137</v>
      </c>
      <c r="AF36" s="4" t="s">
        <v>185</v>
      </c>
      <c r="AG36" s="4" t="s">
        <v>139</v>
      </c>
      <c r="AH36" s="4" t="s">
        <v>140</v>
      </c>
      <c r="AI36" s="4">
        <v>5741952</v>
      </c>
      <c r="AJ36" s="4"/>
      <c r="AK36" s="4">
        <v>74382682</v>
      </c>
      <c r="AL36" s="4"/>
      <c r="AM36" s="4" t="s">
        <v>141</v>
      </c>
      <c r="AN36" s="4"/>
      <c r="AO36" s="4"/>
      <c r="AP36" s="4" t="s">
        <v>123</v>
      </c>
    </row>
    <row r="37" s="1" customFormat="1" spans="1:42">
      <c r="A37" s="4">
        <v>12</v>
      </c>
      <c r="B37" s="4" t="s">
        <v>118</v>
      </c>
      <c r="C37" s="4" t="s">
        <v>119</v>
      </c>
      <c r="D37" s="4" t="s">
        <v>340</v>
      </c>
      <c r="E37" s="4" t="s">
        <v>341</v>
      </c>
      <c r="F37" s="4" t="s">
        <v>122</v>
      </c>
      <c r="G37" s="4" t="s">
        <v>123</v>
      </c>
      <c r="H37" s="5">
        <v>6152</v>
      </c>
      <c r="I37" s="4"/>
      <c r="J37" s="4" t="s">
        <v>342</v>
      </c>
      <c r="K37" s="4" t="s">
        <v>124</v>
      </c>
      <c r="L37" s="4" t="s">
        <v>123</v>
      </c>
      <c r="M37" s="4" t="s">
        <v>125</v>
      </c>
      <c r="N37" s="4" t="s">
        <v>174</v>
      </c>
      <c r="O37" s="4" t="s">
        <v>335</v>
      </c>
      <c r="P37" s="4" t="s">
        <v>10</v>
      </c>
      <c r="Q37" s="4" t="s">
        <v>343</v>
      </c>
      <c r="R37" s="4" t="s">
        <v>10</v>
      </c>
      <c r="S37" s="4" t="s">
        <v>343</v>
      </c>
      <c r="T37" s="4" t="s">
        <v>344</v>
      </c>
      <c r="U37" s="4" t="s">
        <v>131</v>
      </c>
      <c r="V37" s="4"/>
      <c r="W37" s="4"/>
      <c r="X37" s="4"/>
      <c r="Y37" s="4"/>
      <c r="Z37" s="4" t="s">
        <v>132</v>
      </c>
      <c r="AA37" s="4" t="s">
        <v>167</v>
      </c>
      <c r="AB37" s="4" t="s">
        <v>134</v>
      </c>
      <c r="AC37" s="4" t="s">
        <v>134</v>
      </c>
      <c r="AD37" s="4" t="s">
        <v>134</v>
      </c>
      <c r="AE37" s="4" t="s">
        <v>219</v>
      </c>
      <c r="AF37" s="4" t="s">
        <v>345</v>
      </c>
      <c r="AG37" s="4" t="s">
        <v>331</v>
      </c>
      <c r="AH37" s="4" t="s">
        <v>140</v>
      </c>
      <c r="AI37" s="4">
        <v>5716826</v>
      </c>
      <c r="AJ37" s="4"/>
      <c r="AK37" s="4">
        <v>111303657</v>
      </c>
      <c r="AL37" s="4"/>
      <c r="AM37" s="4" t="s">
        <v>141</v>
      </c>
      <c r="AN37" s="4"/>
      <c r="AO37" s="4"/>
      <c r="AP37" s="4" t="s">
        <v>123</v>
      </c>
    </row>
    <row r="38" s="1" customFormat="1" spans="1:42">
      <c r="A38" s="4">
        <v>11</v>
      </c>
      <c r="B38" s="4" t="s">
        <v>118</v>
      </c>
      <c r="C38" s="4" t="s">
        <v>119</v>
      </c>
      <c r="D38" s="4" t="s">
        <v>346</v>
      </c>
      <c r="E38" s="4" t="s">
        <v>347</v>
      </c>
      <c r="F38" s="4" t="s">
        <v>122</v>
      </c>
      <c r="G38" s="4" t="s">
        <v>123</v>
      </c>
      <c r="H38" s="5">
        <v>11385</v>
      </c>
      <c r="I38" s="4"/>
      <c r="J38" s="4" t="s">
        <v>123</v>
      </c>
      <c r="K38" s="4" t="s">
        <v>124</v>
      </c>
      <c r="L38" s="4" t="s">
        <v>123</v>
      </c>
      <c r="M38" s="4" t="s">
        <v>125</v>
      </c>
      <c r="N38" s="4" t="s">
        <v>348</v>
      </c>
      <c r="O38" s="4" t="s">
        <v>349</v>
      </c>
      <c r="P38" s="4" t="s">
        <v>10</v>
      </c>
      <c r="Q38" s="4" t="s">
        <v>350</v>
      </c>
      <c r="R38" s="4" t="s">
        <v>10</v>
      </c>
      <c r="S38" s="4" t="s">
        <v>351</v>
      </c>
      <c r="T38" s="4" t="s">
        <v>352</v>
      </c>
      <c r="U38" s="4" t="s">
        <v>131</v>
      </c>
      <c r="V38" s="4"/>
      <c r="W38" s="4"/>
      <c r="X38" s="4"/>
      <c r="Y38" s="4"/>
      <c r="Z38" s="4" t="s">
        <v>132</v>
      </c>
      <c r="AA38" s="4" t="s">
        <v>167</v>
      </c>
      <c r="AB38" s="4" t="s">
        <v>134</v>
      </c>
      <c r="AC38" s="4" t="s">
        <v>134</v>
      </c>
      <c r="AD38" s="4" t="s">
        <v>134</v>
      </c>
      <c r="AE38" s="4" t="s">
        <v>137</v>
      </c>
      <c r="AF38" s="4" t="s">
        <v>185</v>
      </c>
      <c r="AG38" s="4" t="s">
        <v>139</v>
      </c>
      <c r="AH38" s="4" t="s">
        <v>305</v>
      </c>
      <c r="AI38" s="4">
        <v>5760918</v>
      </c>
      <c r="AJ38" s="4"/>
      <c r="AK38" s="4">
        <v>111316348</v>
      </c>
      <c r="AL38" s="4"/>
      <c r="AM38" s="4" t="s">
        <v>141</v>
      </c>
      <c r="AN38" s="4"/>
      <c r="AO38" s="4"/>
      <c r="AP38" s="4" t="s">
        <v>123</v>
      </c>
    </row>
    <row r="39" s="1" customFormat="1" spans="1:42">
      <c r="A39" s="4">
        <v>6</v>
      </c>
      <c r="B39" s="4" t="s">
        <v>118</v>
      </c>
      <c r="C39" s="4" t="s">
        <v>119</v>
      </c>
      <c r="D39" s="4" t="s">
        <v>353</v>
      </c>
      <c r="E39" s="4" t="s">
        <v>354</v>
      </c>
      <c r="F39" s="4" t="s">
        <v>122</v>
      </c>
      <c r="G39" s="4" t="s">
        <v>123</v>
      </c>
      <c r="H39" s="5">
        <v>7000</v>
      </c>
      <c r="I39" s="4"/>
      <c r="J39" s="4" t="s">
        <v>355</v>
      </c>
      <c r="K39" s="4" t="s">
        <v>208</v>
      </c>
      <c r="L39" s="4" t="s">
        <v>123</v>
      </c>
      <c r="M39" s="4" t="s">
        <v>125</v>
      </c>
      <c r="N39" s="4" t="s">
        <v>174</v>
      </c>
      <c r="O39" s="4" t="s">
        <v>335</v>
      </c>
      <c r="P39" s="4" t="s">
        <v>10</v>
      </c>
      <c r="Q39" s="4" t="s">
        <v>356</v>
      </c>
      <c r="R39" s="4" t="s">
        <v>10</v>
      </c>
      <c r="S39" s="4" t="s">
        <v>356</v>
      </c>
      <c r="T39" s="4" t="s">
        <v>357</v>
      </c>
      <c r="U39" s="4" t="s">
        <v>131</v>
      </c>
      <c r="V39" s="4"/>
      <c r="W39" s="4"/>
      <c r="X39" s="4"/>
      <c r="Y39" s="4"/>
      <c r="Z39" s="4" t="s">
        <v>132</v>
      </c>
      <c r="AA39" s="4" t="s">
        <v>358</v>
      </c>
      <c r="AB39" s="4" t="s">
        <v>359</v>
      </c>
      <c r="AC39" s="4" t="s">
        <v>23</v>
      </c>
      <c r="AD39" s="4" t="s">
        <v>23</v>
      </c>
      <c r="AE39" s="4" t="s">
        <v>219</v>
      </c>
      <c r="AF39" s="4" t="s">
        <v>185</v>
      </c>
      <c r="AG39" s="4" t="s">
        <v>139</v>
      </c>
      <c r="AH39" s="4" t="s">
        <v>360</v>
      </c>
      <c r="AI39" s="4">
        <v>5762540</v>
      </c>
      <c r="AJ39" s="4"/>
      <c r="AK39" s="4">
        <v>81047707</v>
      </c>
      <c r="AL39" s="4"/>
      <c r="AM39" s="4" t="s">
        <v>141</v>
      </c>
      <c r="AN39" s="4"/>
      <c r="AO39" s="4"/>
      <c r="AP39" s="4" t="s">
        <v>123</v>
      </c>
    </row>
    <row r="40" s="1" customFormat="1" spans="1:42">
      <c r="A40" s="4">
        <v>5</v>
      </c>
      <c r="B40" s="4" t="s">
        <v>118</v>
      </c>
      <c r="C40" s="4" t="s">
        <v>119</v>
      </c>
      <c r="D40" s="4" t="s">
        <v>260</v>
      </c>
      <c r="E40" s="4" t="s">
        <v>361</v>
      </c>
      <c r="F40" s="4" t="s">
        <v>122</v>
      </c>
      <c r="G40" s="4" t="s">
        <v>123</v>
      </c>
      <c r="H40" s="5">
        <v>2587</v>
      </c>
      <c r="I40" s="4"/>
      <c r="J40" s="4" t="s">
        <v>123</v>
      </c>
      <c r="K40" s="4" t="s">
        <v>208</v>
      </c>
      <c r="L40" s="4" t="s">
        <v>123</v>
      </c>
      <c r="M40" s="4" t="s">
        <v>125</v>
      </c>
      <c r="N40" s="4" t="s">
        <v>126</v>
      </c>
      <c r="O40" s="4" t="s">
        <v>262</v>
      </c>
      <c r="P40" s="4" t="s">
        <v>10</v>
      </c>
      <c r="Q40" s="4" t="s">
        <v>362</v>
      </c>
      <c r="R40" s="4" t="s">
        <v>10</v>
      </c>
      <c r="S40" s="4" t="s">
        <v>363</v>
      </c>
      <c r="T40" s="4" t="s">
        <v>364</v>
      </c>
      <c r="U40" s="4" t="s">
        <v>131</v>
      </c>
      <c r="V40" s="4"/>
      <c r="W40" s="4"/>
      <c r="X40" s="4"/>
      <c r="Y40" s="4"/>
      <c r="Z40" s="4" t="s">
        <v>132</v>
      </c>
      <c r="AA40" s="4" t="s">
        <v>365</v>
      </c>
      <c r="AB40" s="4" t="s">
        <v>134</v>
      </c>
      <c r="AC40" s="4" t="s">
        <v>366</v>
      </c>
      <c r="AD40" s="4" t="s">
        <v>367</v>
      </c>
      <c r="AE40" s="4" t="s">
        <v>219</v>
      </c>
      <c r="AF40" s="4" t="s">
        <v>197</v>
      </c>
      <c r="AG40" s="4" t="s">
        <v>139</v>
      </c>
      <c r="AH40" s="4" t="s">
        <v>186</v>
      </c>
      <c r="AI40" s="4">
        <v>5763012</v>
      </c>
      <c r="AJ40" s="4"/>
      <c r="AK40" s="4">
        <v>101602667</v>
      </c>
      <c r="AL40" s="4"/>
      <c r="AM40" s="4" t="s">
        <v>141</v>
      </c>
      <c r="AN40" s="4"/>
      <c r="AO40" s="4"/>
      <c r="AP40" s="4" t="s">
        <v>123</v>
      </c>
    </row>
    <row r="41" s="1" customFormat="1" spans="1:42">
      <c r="A41" s="4">
        <v>3</v>
      </c>
      <c r="B41" s="4" t="s">
        <v>118</v>
      </c>
      <c r="C41" s="4" t="s">
        <v>119</v>
      </c>
      <c r="D41" s="4" t="s">
        <v>368</v>
      </c>
      <c r="E41" s="4" t="s">
        <v>369</v>
      </c>
      <c r="F41" s="4" t="s">
        <v>122</v>
      </c>
      <c r="G41" s="4" t="s">
        <v>123</v>
      </c>
      <c r="H41" s="5">
        <v>4868.5</v>
      </c>
      <c r="I41" s="4"/>
      <c r="J41" s="4" t="s">
        <v>123</v>
      </c>
      <c r="K41" s="4" t="s">
        <v>208</v>
      </c>
      <c r="L41" s="4" t="s">
        <v>123</v>
      </c>
      <c r="M41" s="4" t="s">
        <v>125</v>
      </c>
      <c r="N41" s="4" t="s">
        <v>238</v>
      </c>
      <c r="O41" s="4" t="s">
        <v>370</v>
      </c>
      <c r="P41" s="4" t="s">
        <v>10</v>
      </c>
      <c r="Q41" s="4" t="s">
        <v>371</v>
      </c>
      <c r="R41" s="4" t="s">
        <v>10</v>
      </c>
      <c r="S41" s="4" t="s">
        <v>372</v>
      </c>
      <c r="T41" s="4" t="s">
        <v>373</v>
      </c>
      <c r="U41" s="4" t="s">
        <v>339</v>
      </c>
      <c r="V41" s="4"/>
      <c r="W41" s="4"/>
      <c r="X41" s="4"/>
      <c r="Y41" s="4"/>
      <c r="Z41" s="4" t="s">
        <v>132</v>
      </c>
      <c r="AA41" s="4" t="s">
        <v>374</v>
      </c>
      <c r="AB41" s="4" t="s">
        <v>134</v>
      </c>
      <c r="AC41" s="4" t="s">
        <v>375</v>
      </c>
      <c r="AD41" s="4" t="s">
        <v>376</v>
      </c>
      <c r="AE41" s="4" t="s">
        <v>219</v>
      </c>
      <c r="AF41" s="4" t="s">
        <v>377</v>
      </c>
      <c r="AG41" s="4" t="s">
        <v>139</v>
      </c>
      <c r="AH41" s="4" t="s">
        <v>140</v>
      </c>
      <c r="AI41" s="4">
        <v>5725529</v>
      </c>
      <c r="AJ41" s="4"/>
      <c r="AK41" s="4">
        <v>109699021</v>
      </c>
      <c r="AL41" s="4"/>
      <c r="AM41" s="4" t="s">
        <v>141</v>
      </c>
      <c r="AN41" s="4"/>
      <c r="AO41" s="4"/>
      <c r="AP41" s="4" t="s">
        <v>123</v>
      </c>
    </row>
    <row r="42" s="1" customFormat="1" spans="1:42">
      <c r="A42" s="4">
        <v>2</v>
      </c>
      <c r="B42" s="4" t="s">
        <v>118</v>
      </c>
      <c r="C42" s="4" t="s">
        <v>119</v>
      </c>
      <c r="D42" s="4" t="s">
        <v>298</v>
      </c>
      <c r="E42" s="4" t="s">
        <v>378</v>
      </c>
      <c r="F42" s="4" t="s">
        <v>122</v>
      </c>
      <c r="G42" s="4" t="s">
        <v>123</v>
      </c>
      <c r="H42" s="5">
        <v>7000</v>
      </c>
      <c r="I42" s="4"/>
      <c r="J42" s="4" t="s">
        <v>123</v>
      </c>
      <c r="K42" s="4" t="s">
        <v>208</v>
      </c>
      <c r="L42" s="4" t="s">
        <v>123</v>
      </c>
      <c r="M42" s="4" t="s">
        <v>125</v>
      </c>
      <c r="N42" s="4" t="s">
        <v>163</v>
      </c>
      <c r="O42" s="4" t="s">
        <v>379</v>
      </c>
      <c r="P42" s="4" t="s">
        <v>10</v>
      </c>
      <c r="Q42" s="4" t="s">
        <v>380</v>
      </c>
      <c r="R42" s="4" t="s">
        <v>10</v>
      </c>
      <c r="S42" s="4" t="s">
        <v>380</v>
      </c>
      <c r="T42" s="4" t="s">
        <v>381</v>
      </c>
      <c r="U42" s="4" t="s">
        <v>131</v>
      </c>
      <c r="V42" s="4"/>
      <c r="W42" s="4"/>
      <c r="X42" s="4"/>
      <c r="Y42" s="4"/>
      <c r="Z42" s="4" t="s">
        <v>132</v>
      </c>
      <c r="AA42" s="4" t="s">
        <v>167</v>
      </c>
      <c r="AB42" s="4" t="s">
        <v>134</v>
      </c>
      <c r="AC42" s="4" t="s">
        <v>134</v>
      </c>
      <c r="AD42" s="4" t="s">
        <v>134</v>
      </c>
      <c r="AE42" s="4" t="s">
        <v>219</v>
      </c>
      <c r="AF42" s="4" t="s">
        <v>185</v>
      </c>
      <c r="AG42" s="4" t="s">
        <v>139</v>
      </c>
      <c r="AH42" s="4" t="s">
        <v>360</v>
      </c>
      <c r="AI42" s="4">
        <v>5755910</v>
      </c>
      <c r="AJ42" s="4"/>
      <c r="AK42" s="4">
        <v>110426024</v>
      </c>
      <c r="AL42" s="4"/>
      <c r="AM42" s="4" t="s">
        <v>141</v>
      </c>
      <c r="AN42" s="4"/>
      <c r="AO42" s="4"/>
      <c r="AP42" s="4" t="s">
        <v>123</v>
      </c>
    </row>
    <row r="43" s="1" customFormat="1" spans="1:42">
      <c r="A43" s="4">
        <v>50</v>
      </c>
      <c r="B43" s="4" t="s">
        <v>118</v>
      </c>
      <c r="C43" s="4" t="s">
        <v>119</v>
      </c>
      <c r="D43" s="4" t="s">
        <v>382</v>
      </c>
      <c r="E43" s="4" t="s">
        <v>383</v>
      </c>
      <c r="F43" s="4" t="s">
        <v>122</v>
      </c>
      <c r="G43" s="4" t="s">
        <v>123</v>
      </c>
      <c r="H43" s="5">
        <v>31300</v>
      </c>
      <c r="I43" s="4" t="s">
        <v>271</v>
      </c>
      <c r="J43" s="4" t="s">
        <v>207</v>
      </c>
      <c r="K43" s="4" t="s">
        <v>208</v>
      </c>
      <c r="L43" s="4" t="s">
        <v>123</v>
      </c>
      <c r="M43" s="4" t="s">
        <v>209</v>
      </c>
      <c r="N43" s="4" t="s">
        <v>174</v>
      </c>
      <c r="O43" s="4" t="s">
        <v>210</v>
      </c>
      <c r="P43" s="4" t="s">
        <v>10</v>
      </c>
      <c r="Q43" s="4" t="s">
        <v>384</v>
      </c>
      <c r="R43" s="4" t="s">
        <v>10</v>
      </c>
      <c r="S43" s="4" t="s">
        <v>385</v>
      </c>
      <c r="T43" s="4" t="s">
        <v>386</v>
      </c>
      <c r="U43" s="4" t="s">
        <v>131</v>
      </c>
      <c r="V43" s="4" t="s">
        <v>293</v>
      </c>
      <c r="W43" s="4" t="s">
        <v>387</v>
      </c>
      <c r="X43" s="4" t="s">
        <v>382</v>
      </c>
      <c r="Y43" s="4"/>
      <c r="Z43" s="4" t="s">
        <v>132</v>
      </c>
      <c r="AA43" s="4" t="s">
        <v>167</v>
      </c>
      <c r="AB43" s="4" t="s">
        <v>134</v>
      </c>
      <c r="AC43" s="4" t="s">
        <v>134</v>
      </c>
      <c r="AD43" s="4" t="s">
        <v>134</v>
      </c>
      <c r="AE43" s="4" t="s">
        <v>137</v>
      </c>
      <c r="AF43" s="4" t="s">
        <v>152</v>
      </c>
      <c r="AG43" s="4" t="s">
        <v>139</v>
      </c>
      <c r="AH43" s="4" t="s">
        <v>388</v>
      </c>
      <c r="AI43" s="4">
        <v>5739016</v>
      </c>
      <c r="AJ43" s="4"/>
      <c r="AK43" s="4"/>
      <c r="AL43" s="4" t="s">
        <v>222</v>
      </c>
      <c r="AM43" s="4" t="s">
        <v>223</v>
      </c>
      <c r="AN43" s="4"/>
      <c r="AO43" s="4" t="s">
        <v>389</v>
      </c>
      <c r="AP43" s="4" t="s">
        <v>223</v>
      </c>
    </row>
    <row r="44" s="1" customFormat="1" spans="1:42">
      <c r="A44" s="4">
        <v>49</v>
      </c>
      <c r="B44" s="4" t="s">
        <v>118</v>
      </c>
      <c r="C44" s="4" t="s">
        <v>119</v>
      </c>
      <c r="D44" s="4" t="s">
        <v>205</v>
      </c>
      <c r="E44" s="4" t="s">
        <v>390</v>
      </c>
      <c r="F44" s="4" t="s">
        <v>122</v>
      </c>
      <c r="G44" s="4" t="s">
        <v>123</v>
      </c>
      <c r="H44" s="5">
        <v>3600</v>
      </c>
      <c r="I44" s="4"/>
      <c r="J44" s="4" t="s">
        <v>123</v>
      </c>
      <c r="K44" s="4" t="s">
        <v>124</v>
      </c>
      <c r="L44" s="4" t="s">
        <v>123</v>
      </c>
      <c r="M44" s="4" t="s">
        <v>209</v>
      </c>
      <c r="N44" s="4" t="s">
        <v>163</v>
      </c>
      <c r="O44" s="4" t="s">
        <v>164</v>
      </c>
      <c r="P44" s="4" t="s">
        <v>10</v>
      </c>
      <c r="Q44" s="4" t="s">
        <v>391</v>
      </c>
      <c r="R44" s="4" t="s">
        <v>10</v>
      </c>
      <c r="S44" s="4" t="s">
        <v>392</v>
      </c>
      <c r="T44" s="4" t="s">
        <v>393</v>
      </c>
      <c r="U44" s="4" t="s">
        <v>339</v>
      </c>
      <c r="V44" s="4"/>
      <c r="W44" s="4" t="s">
        <v>394</v>
      </c>
      <c r="X44" s="4"/>
      <c r="Y44" s="4"/>
      <c r="Z44" s="4" t="s">
        <v>395</v>
      </c>
      <c r="AA44" s="4" t="s">
        <v>167</v>
      </c>
      <c r="AB44" s="4" t="s">
        <v>359</v>
      </c>
      <c r="AC44" s="4" t="s">
        <v>134</v>
      </c>
      <c r="AD44" s="4" t="s">
        <v>134</v>
      </c>
      <c r="AE44" s="4" t="s">
        <v>219</v>
      </c>
      <c r="AF44" s="4" t="s">
        <v>220</v>
      </c>
      <c r="AG44" s="4" t="s">
        <v>139</v>
      </c>
      <c r="AH44" s="4" t="s">
        <v>186</v>
      </c>
      <c r="AI44" s="4">
        <v>5739487</v>
      </c>
      <c r="AJ44" s="4"/>
      <c r="AK44" s="4"/>
      <c r="AL44" s="4" t="s">
        <v>222</v>
      </c>
      <c r="AM44" s="4" t="s">
        <v>223</v>
      </c>
      <c r="AN44" s="4"/>
      <c r="AO44" s="4" t="s">
        <v>396</v>
      </c>
      <c r="AP44" s="4" t="s">
        <v>223</v>
      </c>
    </row>
    <row r="45" s="1" customFormat="1" spans="1:42">
      <c r="A45" s="4">
        <v>47</v>
      </c>
      <c r="B45" s="4" t="s">
        <v>118</v>
      </c>
      <c r="C45" s="4" t="s">
        <v>119</v>
      </c>
      <c r="D45" s="4" t="s">
        <v>120</v>
      </c>
      <c r="E45" s="4" t="s">
        <v>397</v>
      </c>
      <c r="F45" s="4" t="s">
        <v>122</v>
      </c>
      <c r="G45" s="4" t="s">
        <v>123</v>
      </c>
      <c r="H45" s="5">
        <v>1700</v>
      </c>
      <c r="I45" s="4"/>
      <c r="J45" s="4" t="s">
        <v>272</v>
      </c>
      <c r="K45" s="4" t="s">
        <v>208</v>
      </c>
      <c r="L45" s="4" t="s">
        <v>123</v>
      </c>
      <c r="M45" s="4" t="s">
        <v>209</v>
      </c>
      <c r="N45" s="4" t="s">
        <v>174</v>
      </c>
      <c r="O45" s="4" t="s">
        <v>210</v>
      </c>
      <c r="P45" s="4" t="s">
        <v>10</v>
      </c>
      <c r="Q45" s="4" t="s">
        <v>398</v>
      </c>
      <c r="R45" s="4" t="s">
        <v>10</v>
      </c>
      <c r="S45" s="4" t="s">
        <v>399</v>
      </c>
      <c r="T45" s="4" t="s">
        <v>400</v>
      </c>
      <c r="U45" s="4" t="s">
        <v>131</v>
      </c>
      <c r="V45" s="4"/>
      <c r="W45" s="4" t="s">
        <v>401</v>
      </c>
      <c r="X45" s="4"/>
      <c r="Y45" s="4"/>
      <c r="Z45" s="4" t="s">
        <v>215</v>
      </c>
      <c r="AA45" s="4" t="s">
        <v>402</v>
      </c>
      <c r="AB45" s="4" t="s">
        <v>134</v>
      </c>
      <c r="AC45" s="4" t="s">
        <v>183</v>
      </c>
      <c r="AD45" s="4" t="s">
        <v>184</v>
      </c>
      <c r="AE45" s="4" t="s">
        <v>219</v>
      </c>
      <c r="AF45" s="4" t="s">
        <v>220</v>
      </c>
      <c r="AG45" s="4" t="s">
        <v>331</v>
      </c>
      <c r="AH45" s="4" t="s">
        <v>221</v>
      </c>
      <c r="AI45" s="4">
        <v>5740306</v>
      </c>
      <c r="AJ45" s="4"/>
      <c r="AK45" s="4"/>
      <c r="AL45" s="4" t="s">
        <v>222</v>
      </c>
      <c r="AM45" s="4" t="s">
        <v>223</v>
      </c>
      <c r="AN45" s="4" t="s">
        <v>399</v>
      </c>
      <c r="AO45" s="4" t="s">
        <v>403</v>
      </c>
      <c r="AP45" s="4" t="s">
        <v>223</v>
      </c>
    </row>
    <row r="46" s="1" customFormat="1" spans="1:42">
      <c r="A46" s="4">
        <v>45</v>
      </c>
      <c r="B46" s="4" t="s">
        <v>118</v>
      </c>
      <c r="C46" s="4" t="s">
        <v>119</v>
      </c>
      <c r="D46" s="4" t="s">
        <v>404</v>
      </c>
      <c r="E46" s="4" t="s">
        <v>390</v>
      </c>
      <c r="F46" s="4" t="s">
        <v>122</v>
      </c>
      <c r="G46" s="4" t="s">
        <v>123</v>
      </c>
      <c r="H46" s="5">
        <v>3600</v>
      </c>
      <c r="I46" s="4"/>
      <c r="J46" s="4" t="s">
        <v>207</v>
      </c>
      <c r="K46" s="4" t="s">
        <v>208</v>
      </c>
      <c r="L46" s="4" t="s">
        <v>123</v>
      </c>
      <c r="M46" s="4" t="s">
        <v>209</v>
      </c>
      <c r="N46" s="4" t="s">
        <v>174</v>
      </c>
      <c r="O46" s="4" t="s">
        <v>210</v>
      </c>
      <c r="P46" s="4" t="s">
        <v>10</v>
      </c>
      <c r="Q46" s="4" t="s">
        <v>405</v>
      </c>
      <c r="R46" s="4" t="s">
        <v>10</v>
      </c>
      <c r="S46" s="4" t="s">
        <v>406</v>
      </c>
      <c r="T46" s="4" t="s">
        <v>407</v>
      </c>
      <c r="U46" s="4" t="s">
        <v>131</v>
      </c>
      <c r="V46" s="4"/>
      <c r="W46" s="4" t="s">
        <v>394</v>
      </c>
      <c r="X46" s="4"/>
      <c r="Y46" s="4"/>
      <c r="Z46" s="4" t="s">
        <v>395</v>
      </c>
      <c r="AA46" s="4" t="s">
        <v>167</v>
      </c>
      <c r="AB46" s="4" t="s">
        <v>134</v>
      </c>
      <c r="AC46" s="4" t="s">
        <v>134</v>
      </c>
      <c r="AD46" s="4" t="s">
        <v>134</v>
      </c>
      <c r="AE46" s="4" t="s">
        <v>219</v>
      </c>
      <c r="AF46" s="4" t="s">
        <v>220</v>
      </c>
      <c r="AG46" s="4" t="s">
        <v>249</v>
      </c>
      <c r="AH46" s="4" t="s">
        <v>186</v>
      </c>
      <c r="AI46" s="4">
        <v>5760136</v>
      </c>
      <c r="AJ46" s="4"/>
      <c r="AK46" s="4"/>
      <c r="AL46" s="4" t="s">
        <v>222</v>
      </c>
      <c r="AM46" s="4" t="s">
        <v>223</v>
      </c>
      <c r="AN46" s="4" t="s">
        <v>408</v>
      </c>
      <c r="AO46" s="4" t="s">
        <v>396</v>
      </c>
      <c r="AP46" s="4" t="s">
        <v>223</v>
      </c>
    </row>
    <row r="47" s="1" customFormat="1" spans="1:42">
      <c r="A47" s="4">
        <v>14</v>
      </c>
      <c r="B47" s="4" t="s">
        <v>118</v>
      </c>
      <c r="C47" s="4" t="s">
        <v>119</v>
      </c>
      <c r="D47" s="4" t="s">
        <v>332</v>
      </c>
      <c r="E47" s="4" t="s">
        <v>409</v>
      </c>
      <c r="F47" s="4" t="s">
        <v>122</v>
      </c>
      <c r="G47" s="4" t="s">
        <v>123</v>
      </c>
      <c r="H47" s="5">
        <v>1800</v>
      </c>
      <c r="I47" s="4"/>
      <c r="J47" s="4" t="s">
        <v>272</v>
      </c>
      <c r="K47" s="4" t="s">
        <v>208</v>
      </c>
      <c r="L47" s="4" t="s">
        <v>123</v>
      </c>
      <c r="M47" s="4" t="s">
        <v>209</v>
      </c>
      <c r="N47" s="4" t="s">
        <v>174</v>
      </c>
      <c r="O47" s="4" t="s">
        <v>210</v>
      </c>
      <c r="P47" s="4" t="s">
        <v>10</v>
      </c>
      <c r="Q47" s="4" t="s">
        <v>410</v>
      </c>
      <c r="R47" s="4" t="s">
        <v>10</v>
      </c>
      <c r="S47" s="4" t="s">
        <v>411</v>
      </c>
      <c r="T47" s="4" t="s">
        <v>412</v>
      </c>
      <c r="U47" s="4" t="s">
        <v>131</v>
      </c>
      <c r="V47" s="4"/>
      <c r="W47" s="4" t="s">
        <v>413</v>
      </c>
      <c r="X47" s="4"/>
      <c r="Y47" s="4"/>
      <c r="Z47" s="4" t="s">
        <v>215</v>
      </c>
      <c r="AA47" s="4" t="s">
        <v>414</v>
      </c>
      <c r="AB47" s="4" t="s">
        <v>134</v>
      </c>
      <c r="AC47" s="4" t="s">
        <v>415</v>
      </c>
      <c r="AD47" s="4" t="s">
        <v>416</v>
      </c>
      <c r="AE47" s="4" t="s">
        <v>219</v>
      </c>
      <c r="AF47" s="4" t="s">
        <v>220</v>
      </c>
      <c r="AG47" s="4" t="s">
        <v>249</v>
      </c>
      <c r="AH47" s="4" t="s">
        <v>186</v>
      </c>
      <c r="AI47" s="4">
        <v>5741633</v>
      </c>
      <c r="AJ47" s="4"/>
      <c r="AK47" s="4"/>
      <c r="AL47" s="4" t="s">
        <v>222</v>
      </c>
      <c r="AM47" s="4" t="s">
        <v>141</v>
      </c>
      <c r="AN47" s="4"/>
      <c r="AO47" s="4"/>
      <c r="AP47" s="4" t="s">
        <v>123</v>
      </c>
    </row>
    <row r="48" s="1" customFormat="1" spans="1:42">
      <c r="A48" s="4">
        <v>44</v>
      </c>
      <c r="B48" s="4" t="s">
        <v>118</v>
      </c>
      <c r="C48" s="4" t="s">
        <v>119</v>
      </c>
      <c r="D48" s="4" t="s">
        <v>232</v>
      </c>
      <c r="E48" s="4" t="s">
        <v>417</v>
      </c>
      <c r="F48" s="4" t="s">
        <v>122</v>
      </c>
      <c r="G48" s="4" t="s">
        <v>123</v>
      </c>
      <c r="H48" s="5">
        <v>1800</v>
      </c>
      <c r="I48" s="4"/>
      <c r="J48" s="4" t="s">
        <v>418</v>
      </c>
      <c r="K48" s="4" t="s">
        <v>208</v>
      </c>
      <c r="L48" s="4" t="s">
        <v>123</v>
      </c>
      <c r="M48" s="4" t="s">
        <v>209</v>
      </c>
      <c r="N48" s="4" t="s">
        <v>174</v>
      </c>
      <c r="O48" s="4" t="s">
        <v>210</v>
      </c>
      <c r="P48" s="4" t="s">
        <v>10</v>
      </c>
      <c r="Q48" s="4" t="s">
        <v>419</v>
      </c>
      <c r="R48" s="4" t="s">
        <v>10</v>
      </c>
      <c r="S48" s="4" t="s">
        <v>420</v>
      </c>
      <c r="T48" s="4" t="s">
        <v>421</v>
      </c>
      <c r="U48" s="4" t="s">
        <v>131</v>
      </c>
      <c r="V48" s="4"/>
      <c r="W48" s="4" t="s">
        <v>422</v>
      </c>
      <c r="X48" s="4"/>
      <c r="Y48" s="4"/>
      <c r="Z48" s="4" t="s">
        <v>215</v>
      </c>
      <c r="AA48" s="4" t="s">
        <v>423</v>
      </c>
      <c r="AB48" s="4" t="s">
        <v>134</v>
      </c>
      <c r="AC48" s="4" t="s">
        <v>424</v>
      </c>
      <c r="AD48" s="4" t="s">
        <v>425</v>
      </c>
      <c r="AE48" s="4" t="s">
        <v>219</v>
      </c>
      <c r="AF48" s="4" t="s">
        <v>220</v>
      </c>
      <c r="AG48" s="4" t="s">
        <v>249</v>
      </c>
      <c r="AH48" s="4" t="s">
        <v>140</v>
      </c>
      <c r="AI48" s="4">
        <v>5742191</v>
      </c>
      <c r="AJ48" s="4"/>
      <c r="AK48" s="4"/>
      <c r="AL48" s="4" t="s">
        <v>222</v>
      </c>
      <c r="AM48" s="4" t="s">
        <v>223</v>
      </c>
      <c r="AN48" s="4" t="s">
        <v>420</v>
      </c>
      <c r="AO48" s="4" t="s">
        <v>224</v>
      </c>
      <c r="AP48" s="4" t="s">
        <v>223</v>
      </c>
    </row>
    <row r="49" s="1" customFormat="1" spans="1:42">
      <c r="A49" s="4">
        <v>42</v>
      </c>
      <c r="B49" s="4" t="s">
        <v>118</v>
      </c>
      <c r="C49" s="4" t="s">
        <v>119</v>
      </c>
      <c r="D49" s="4" t="s">
        <v>161</v>
      </c>
      <c r="E49" s="4" t="s">
        <v>326</v>
      </c>
      <c r="F49" s="4" t="s">
        <v>122</v>
      </c>
      <c r="G49" s="4" t="s">
        <v>123</v>
      </c>
      <c r="H49" s="5">
        <v>-50</v>
      </c>
      <c r="I49" s="4"/>
      <c r="J49" s="4" t="s">
        <v>123</v>
      </c>
      <c r="K49" s="4" t="s">
        <v>208</v>
      </c>
      <c r="L49" s="4" t="s">
        <v>123</v>
      </c>
      <c r="M49" s="4" t="s">
        <v>209</v>
      </c>
      <c r="N49" s="4" t="s">
        <v>174</v>
      </c>
      <c r="O49" s="4" t="s">
        <v>210</v>
      </c>
      <c r="P49" s="4" t="s">
        <v>10</v>
      </c>
      <c r="Q49" s="4" t="s">
        <v>426</v>
      </c>
      <c r="R49" s="4" t="s">
        <v>10</v>
      </c>
      <c r="S49" s="4" t="s">
        <v>427</v>
      </c>
      <c r="T49" s="4" t="s">
        <v>428</v>
      </c>
      <c r="U49" s="4" t="s">
        <v>131</v>
      </c>
      <c r="V49" s="4"/>
      <c r="W49" s="4" t="s">
        <v>330</v>
      </c>
      <c r="X49" s="4"/>
      <c r="Y49" s="4"/>
      <c r="Z49" s="4" t="s">
        <v>215</v>
      </c>
      <c r="AA49" s="4" t="s">
        <v>167</v>
      </c>
      <c r="AB49" s="4" t="s">
        <v>134</v>
      </c>
      <c r="AC49" s="4" t="s">
        <v>134</v>
      </c>
      <c r="AD49" s="4" t="s">
        <v>134</v>
      </c>
      <c r="AE49" s="4" t="s">
        <v>219</v>
      </c>
      <c r="AF49" s="4" t="s">
        <v>220</v>
      </c>
      <c r="AG49" s="4" t="s">
        <v>331</v>
      </c>
      <c r="AH49" s="4" t="s">
        <v>305</v>
      </c>
      <c r="AI49" s="4">
        <v>5743992</v>
      </c>
      <c r="AJ49" s="4"/>
      <c r="AK49" s="4"/>
      <c r="AL49" s="4" t="s">
        <v>222</v>
      </c>
      <c r="AM49" s="4" t="s">
        <v>141</v>
      </c>
      <c r="AN49" s="4"/>
      <c r="AO49" s="4"/>
      <c r="AP49" s="4" t="s">
        <v>123</v>
      </c>
    </row>
    <row r="50" s="1" customFormat="1" spans="1:42">
      <c r="A50" s="4">
        <v>39</v>
      </c>
      <c r="B50" s="4" t="s">
        <v>118</v>
      </c>
      <c r="C50" s="4" t="s">
        <v>119</v>
      </c>
      <c r="D50" s="4" t="s">
        <v>251</v>
      </c>
      <c r="E50" s="4" t="s">
        <v>429</v>
      </c>
      <c r="F50" s="4" t="s">
        <v>122</v>
      </c>
      <c r="G50" s="4" t="s">
        <v>123</v>
      </c>
      <c r="H50" s="5">
        <v>1800</v>
      </c>
      <c r="I50" s="4"/>
      <c r="J50" s="4" t="s">
        <v>207</v>
      </c>
      <c r="K50" s="4" t="s">
        <v>208</v>
      </c>
      <c r="L50" s="4" t="s">
        <v>123</v>
      </c>
      <c r="M50" s="4" t="s">
        <v>209</v>
      </c>
      <c r="N50" s="4" t="s">
        <v>174</v>
      </c>
      <c r="O50" s="4" t="s">
        <v>210</v>
      </c>
      <c r="P50" s="4" t="s">
        <v>10</v>
      </c>
      <c r="Q50" s="4" t="s">
        <v>430</v>
      </c>
      <c r="R50" s="4" t="s">
        <v>10</v>
      </c>
      <c r="S50" s="4" t="s">
        <v>431</v>
      </c>
      <c r="T50" s="4" t="s">
        <v>432</v>
      </c>
      <c r="U50" s="4" t="s">
        <v>131</v>
      </c>
      <c r="V50" s="4"/>
      <c r="W50" s="4" t="s">
        <v>433</v>
      </c>
      <c r="X50" s="4"/>
      <c r="Y50" s="4"/>
      <c r="Z50" s="4" t="s">
        <v>215</v>
      </c>
      <c r="AA50" s="4" t="s">
        <v>167</v>
      </c>
      <c r="AB50" s="4" t="s">
        <v>134</v>
      </c>
      <c r="AC50" s="4" t="s">
        <v>134</v>
      </c>
      <c r="AD50" s="4" t="s">
        <v>134</v>
      </c>
      <c r="AE50" s="4" t="s">
        <v>219</v>
      </c>
      <c r="AF50" s="4" t="s">
        <v>220</v>
      </c>
      <c r="AG50" s="4" t="s">
        <v>139</v>
      </c>
      <c r="AH50" s="4" t="s">
        <v>140</v>
      </c>
      <c r="AI50" s="4">
        <v>5719847</v>
      </c>
      <c r="AJ50" s="4"/>
      <c r="AK50" s="4"/>
      <c r="AL50" s="4" t="s">
        <v>222</v>
      </c>
      <c r="AM50" s="4" t="s">
        <v>141</v>
      </c>
      <c r="AN50" s="4"/>
      <c r="AO50" s="4"/>
      <c r="AP50" s="4" t="s">
        <v>123</v>
      </c>
    </row>
    <row r="51" s="1" customFormat="1" spans="1:42">
      <c r="A51" s="4">
        <v>35</v>
      </c>
      <c r="B51" s="4" t="s">
        <v>118</v>
      </c>
      <c r="C51" s="4" t="s">
        <v>119</v>
      </c>
      <c r="D51" s="4" t="s">
        <v>255</v>
      </c>
      <c r="E51" s="4" t="s">
        <v>429</v>
      </c>
      <c r="F51" s="4" t="s">
        <v>122</v>
      </c>
      <c r="G51" s="4" t="s">
        <v>123</v>
      </c>
      <c r="H51" s="5">
        <v>1800</v>
      </c>
      <c r="I51" s="4"/>
      <c r="J51" s="4" t="s">
        <v>207</v>
      </c>
      <c r="K51" s="4" t="s">
        <v>208</v>
      </c>
      <c r="L51" s="4" t="s">
        <v>123</v>
      </c>
      <c r="M51" s="4" t="s">
        <v>209</v>
      </c>
      <c r="N51" s="4" t="s">
        <v>174</v>
      </c>
      <c r="O51" s="4" t="s">
        <v>210</v>
      </c>
      <c r="P51" s="4" t="s">
        <v>10</v>
      </c>
      <c r="Q51" s="4" t="s">
        <v>434</v>
      </c>
      <c r="R51" s="4" t="s">
        <v>10</v>
      </c>
      <c r="S51" s="4" t="s">
        <v>435</v>
      </c>
      <c r="T51" s="4" t="s">
        <v>436</v>
      </c>
      <c r="U51" s="4" t="s">
        <v>131</v>
      </c>
      <c r="V51" s="4"/>
      <c r="W51" s="4" t="s">
        <v>433</v>
      </c>
      <c r="X51" s="4"/>
      <c r="Y51" s="4"/>
      <c r="Z51" s="4" t="s">
        <v>215</v>
      </c>
      <c r="AA51" s="4" t="s">
        <v>167</v>
      </c>
      <c r="AB51" s="4" t="s">
        <v>134</v>
      </c>
      <c r="AC51" s="4" t="s">
        <v>134</v>
      </c>
      <c r="AD51" s="4" t="s">
        <v>134</v>
      </c>
      <c r="AE51" s="4" t="s">
        <v>219</v>
      </c>
      <c r="AF51" s="4" t="s">
        <v>220</v>
      </c>
      <c r="AG51" s="4" t="s">
        <v>331</v>
      </c>
      <c r="AH51" s="4" t="s">
        <v>140</v>
      </c>
      <c r="AI51" s="4">
        <v>5762221</v>
      </c>
      <c r="AJ51" s="4"/>
      <c r="AK51" s="4"/>
      <c r="AL51" s="4" t="s">
        <v>222</v>
      </c>
      <c r="AM51" s="4" t="s">
        <v>223</v>
      </c>
      <c r="AN51" s="4"/>
      <c r="AO51" s="4" t="s">
        <v>224</v>
      </c>
      <c r="AP51" s="4" t="s">
        <v>223</v>
      </c>
    </row>
    <row r="52" s="1" customFormat="1" spans="1:42">
      <c r="A52" s="4">
        <v>37</v>
      </c>
      <c r="B52" s="4" t="s">
        <v>118</v>
      </c>
      <c r="C52" s="4" t="s">
        <v>119</v>
      </c>
      <c r="D52" s="4" t="s">
        <v>255</v>
      </c>
      <c r="E52" s="4" t="s">
        <v>437</v>
      </c>
      <c r="F52" s="4" t="s">
        <v>122</v>
      </c>
      <c r="G52" s="4" t="s">
        <v>123</v>
      </c>
      <c r="H52" s="5">
        <v>1800</v>
      </c>
      <c r="I52" s="4"/>
      <c r="J52" s="4" t="s">
        <v>207</v>
      </c>
      <c r="K52" s="4" t="s">
        <v>208</v>
      </c>
      <c r="L52" s="4" t="s">
        <v>123</v>
      </c>
      <c r="M52" s="4" t="s">
        <v>209</v>
      </c>
      <c r="N52" s="4" t="s">
        <v>174</v>
      </c>
      <c r="O52" s="4" t="s">
        <v>210</v>
      </c>
      <c r="P52" s="4" t="s">
        <v>10</v>
      </c>
      <c r="Q52" s="4" t="s">
        <v>438</v>
      </c>
      <c r="R52" s="4" t="s">
        <v>10</v>
      </c>
      <c r="S52" s="4" t="s">
        <v>439</v>
      </c>
      <c r="T52" s="4" t="s">
        <v>440</v>
      </c>
      <c r="U52" s="4" t="s">
        <v>131</v>
      </c>
      <c r="V52" s="4"/>
      <c r="W52" s="4" t="s">
        <v>441</v>
      </c>
      <c r="X52" s="4"/>
      <c r="Y52" s="4"/>
      <c r="Z52" s="4" t="s">
        <v>215</v>
      </c>
      <c r="AA52" s="4" t="s">
        <v>167</v>
      </c>
      <c r="AB52" s="4" t="s">
        <v>134</v>
      </c>
      <c r="AC52" s="4" t="s">
        <v>134</v>
      </c>
      <c r="AD52" s="4" t="s">
        <v>134</v>
      </c>
      <c r="AE52" s="4" t="s">
        <v>219</v>
      </c>
      <c r="AF52" s="4" t="s">
        <v>220</v>
      </c>
      <c r="AG52" s="4" t="s">
        <v>139</v>
      </c>
      <c r="AH52" s="4" t="s">
        <v>360</v>
      </c>
      <c r="AI52" s="4">
        <v>5721048</v>
      </c>
      <c r="AJ52" s="4"/>
      <c r="AK52" s="4"/>
      <c r="AL52" s="4" t="s">
        <v>222</v>
      </c>
      <c r="AM52" s="4" t="s">
        <v>223</v>
      </c>
      <c r="AN52" s="4"/>
      <c r="AO52" s="4" t="s">
        <v>224</v>
      </c>
      <c r="AP52" s="4" t="s">
        <v>223</v>
      </c>
    </row>
    <row r="53" s="1" customFormat="1" spans="1:42">
      <c r="A53" s="4">
        <v>34</v>
      </c>
      <c r="B53" s="4" t="s">
        <v>118</v>
      </c>
      <c r="C53" s="4" t="s">
        <v>119</v>
      </c>
      <c r="D53" s="4" t="s">
        <v>442</v>
      </c>
      <c r="E53" s="4" t="s">
        <v>443</v>
      </c>
      <c r="F53" s="4" t="s">
        <v>122</v>
      </c>
      <c r="G53" s="4" t="s">
        <v>123</v>
      </c>
      <c r="H53" s="5">
        <v>46300</v>
      </c>
      <c r="I53" s="4"/>
      <c r="J53" s="4" t="s">
        <v>123</v>
      </c>
      <c r="K53" s="4" t="s">
        <v>124</v>
      </c>
      <c r="L53" s="4" t="s">
        <v>123</v>
      </c>
      <c r="M53" s="4" t="s">
        <v>209</v>
      </c>
      <c r="N53" s="4" t="s">
        <v>238</v>
      </c>
      <c r="O53" s="4" t="s">
        <v>370</v>
      </c>
      <c r="P53" s="4" t="s">
        <v>10</v>
      </c>
      <c r="Q53" s="4" t="s">
        <v>444</v>
      </c>
      <c r="R53" s="4" t="s">
        <v>10</v>
      </c>
      <c r="S53" s="4" t="s">
        <v>444</v>
      </c>
      <c r="T53" s="4" t="s">
        <v>445</v>
      </c>
      <c r="U53" s="4" t="s">
        <v>339</v>
      </c>
      <c r="V53" s="4" t="s">
        <v>293</v>
      </c>
      <c r="W53" s="4" t="s">
        <v>446</v>
      </c>
      <c r="X53" s="4" t="s">
        <v>442</v>
      </c>
      <c r="Y53" s="4"/>
      <c r="Z53" s="4" t="s">
        <v>132</v>
      </c>
      <c r="AA53" s="4" t="s">
        <v>167</v>
      </c>
      <c r="AB53" s="4" t="s">
        <v>134</v>
      </c>
      <c r="AC53" s="4" t="s">
        <v>134</v>
      </c>
      <c r="AD53" s="4" t="s">
        <v>134</v>
      </c>
      <c r="AE53" s="4" t="s">
        <v>137</v>
      </c>
      <c r="AF53" s="4" t="s">
        <v>447</v>
      </c>
      <c r="AG53" s="4" t="s">
        <v>139</v>
      </c>
      <c r="AH53" s="4" t="s">
        <v>186</v>
      </c>
      <c r="AI53" s="4">
        <v>5722302</v>
      </c>
      <c r="AJ53" s="4"/>
      <c r="AK53" s="4"/>
      <c r="AL53" s="4" t="s">
        <v>222</v>
      </c>
      <c r="AM53" s="4" t="s">
        <v>223</v>
      </c>
      <c r="AN53" s="4" t="s">
        <v>448</v>
      </c>
      <c r="AO53" s="4" t="s">
        <v>245</v>
      </c>
      <c r="AP53" s="4" t="s">
        <v>223</v>
      </c>
    </row>
    <row r="54" s="1" customFormat="1" spans="1:42">
      <c r="A54" s="4">
        <v>33</v>
      </c>
      <c r="B54" s="4" t="s">
        <v>118</v>
      </c>
      <c r="C54" s="4" t="s">
        <v>119</v>
      </c>
      <c r="D54" s="4" t="s">
        <v>260</v>
      </c>
      <c r="E54" s="4" t="s">
        <v>449</v>
      </c>
      <c r="F54" s="4" t="s">
        <v>122</v>
      </c>
      <c r="G54" s="4" t="s">
        <v>123</v>
      </c>
      <c r="H54" s="5">
        <v>37300</v>
      </c>
      <c r="I54" s="4"/>
      <c r="J54" s="4" t="s">
        <v>123</v>
      </c>
      <c r="K54" s="4" t="s">
        <v>124</v>
      </c>
      <c r="L54" s="4" t="s">
        <v>123</v>
      </c>
      <c r="M54" s="4" t="s">
        <v>209</v>
      </c>
      <c r="N54" s="4" t="s">
        <v>238</v>
      </c>
      <c r="O54" s="4" t="s">
        <v>370</v>
      </c>
      <c r="P54" s="4" t="s">
        <v>10</v>
      </c>
      <c r="Q54" s="4" t="s">
        <v>450</v>
      </c>
      <c r="R54" s="4" t="s">
        <v>10</v>
      </c>
      <c r="S54" s="4" t="s">
        <v>450</v>
      </c>
      <c r="T54" s="4" t="s">
        <v>451</v>
      </c>
      <c r="U54" s="4" t="s">
        <v>339</v>
      </c>
      <c r="V54" s="4" t="s">
        <v>265</v>
      </c>
      <c r="W54" s="4" t="s">
        <v>452</v>
      </c>
      <c r="X54" s="4" t="s">
        <v>260</v>
      </c>
      <c r="Y54" s="4"/>
      <c r="Z54" s="4" t="s">
        <v>148</v>
      </c>
      <c r="AA54" s="4" t="s">
        <v>167</v>
      </c>
      <c r="AB54" s="4" t="s">
        <v>134</v>
      </c>
      <c r="AC54" s="4" t="s">
        <v>134</v>
      </c>
      <c r="AD54" s="4" t="s">
        <v>134</v>
      </c>
      <c r="AE54" s="4" t="s">
        <v>137</v>
      </c>
      <c r="AF54" s="4" t="s">
        <v>453</v>
      </c>
      <c r="AG54" s="4" t="s">
        <v>139</v>
      </c>
      <c r="AH54" s="4" t="s">
        <v>140</v>
      </c>
      <c r="AI54" s="4">
        <v>5723092</v>
      </c>
      <c r="AJ54" s="4"/>
      <c r="AK54" s="4"/>
      <c r="AL54" s="4" t="s">
        <v>222</v>
      </c>
      <c r="AM54" s="4" t="s">
        <v>223</v>
      </c>
      <c r="AN54" s="4" t="s">
        <v>454</v>
      </c>
      <c r="AO54" s="4" t="s">
        <v>455</v>
      </c>
      <c r="AP54" s="4" t="s">
        <v>223</v>
      </c>
    </row>
    <row r="55" s="1" customFormat="1" spans="1:42">
      <c r="A55" s="4">
        <v>31</v>
      </c>
      <c r="B55" s="4" t="s">
        <v>118</v>
      </c>
      <c r="C55" s="4" t="s">
        <v>119</v>
      </c>
      <c r="D55" s="4" t="s">
        <v>456</v>
      </c>
      <c r="E55" s="4" t="s">
        <v>457</v>
      </c>
      <c r="F55" s="4" t="s">
        <v>122</v>
      </c>
      <c r="G55" s="4" t="s">
        <v>123</v>
      </c>
      <c r="H55" s="5">
        <v>9800</v>
      </c>
      <c r="I55" s="4" t="s">
        <v>271</v>
      </c>
      <c r="J55" s="4" t="s">
        <v>207</v>
      </c>
      <c r="K55" s="4" t="s">
        <v>208</v>
      </c>
      <c r="L55" s="4" t="s">
        <v>123</v>
      </c>
      <c r="M55" s="4" t="s">
        <v>209</v>
      </c>
      <c r="N55" s="4" t="s">
        <v>174</v>
      </c>
      <c r="O55" s="4" t="s">
        <v>210</v>
      </c>
      <c r="P55" s="4" t="s">
        <v>10</v>
      </c>
      <c r="Q55" s="4" t="s">
        <v>458</v>
      </c>
      <c r="R55" s="4" t="s">
        <v>10</v>
      </c>
      <c r="S55" s="4" t="s">
        <v>459</v>
      </c>
      <c r="T55" s="4" t="s">
        <v>460</v>
      </c>
      <c r="U55" s="4" t="s">
        <v>131</v>
      </c>
      <c r="V55" s="4" t="s">
        <v>242</v>
      </c>
      <c r="W55" s="4" t="s">
        <v>461</v>
      </c>
      <c r="X55" s="4" t="s">
        <v>456</v>
      </c>
      <c r="Y55" s="4"/>
      <c r="Z55" s="4" t="s">
        <v>148</v>
      </c>
      <c r="AA55" s="4" t="s">
        <v>462</v>
      </c>
      <c r="AB55" s="4" t="s">
        <v>134</v>
      </c>
      <c r="AC55" s="4" t="s">
        <v>463</v>
      </c>
      <c r="AD55" s="4" t="s">
        <v>464</v>
      </c>
      <c r="AE55" s="4" t="s">
        <v>219</v>
      </c>
      <c r="AF55" s="4" t="s">
        <v>281</v>
      </c>
      <c r="AG55" s="4" t="s">
        <v>139</v>
      </c>
      <c r="AH55" s="4" t="s">
        <v>140</v>
      </c>
      <c r="AI55" s="4">
        <v>5748870</v>
      </c>
      <c r="AJ55" s="4"/>
      <c r="AK55" s="4"/>
      <c r="AL55" s="4" t="s">
        <v>222</v>
      </c>
      <c r="AM55" s="4" t="s">
        <v>223</v>
      </c>
      <c r="AN55" s="4" t="s">
        <v>454</v>
      </c>
      <c r="AO55" s="4" t="s">
        <v>307</v>
      </c>
      <c r="AP55" s="4" t="s">
        <v>223</v>
      </c>
    </row>
    <row r="56" s="1" customFormat="1" spans="1:42">
      <c r="A56" s="4">
        <v>30</v>
      </c>
      <c r="B56" s="4" t="s">
        <v>118</v>
      </c>
      <c r="C56" s="4" t="s">
        <v>119</v>
      </c>
      <c r="D56" s="4" t="s">
        <v>269</v>
      </c>
      <c r="E56" s="4" t="s">
        <v>465</v>
      </c>
      <c r="F56" s="4" t="s">
        <v>122</v>
      </c>
      <c r="G56" s="4" t="s">
        <v>123</v>
      </c>
      <c r="H56" s="5">
        <v>10300</v>
      </c>
      <c r="I56" s="4"/>
      <c r="J56" s="4" t="s">
        <v>466</v>
      </c>
      <c r="K56" s="4" t="s">
        <v>124</v>
      </c>
      <c r="L56" s="4" t="s">
        <v>123</v>
      </c>
      <c r="M56" s="4" t="s">
        <v>209</v>
      </c>
      <c r="N56" s="4" t="s">
        <v>174</v>
      </c>
      <c r="O56" s="4" t="s">
        <v>175</v>
      </c>
      <c r="P56" s="4" t="s">
        <v>10</v>
      </c>
      <c r="Q56" s="4" t="s">
        <v>467</v>
      </c>
      <c r="R56" s="4" t="s">
        <v>10</v>
      </c>
      <c r="S56" s="4" t="s">
        <v>467</v>
      </c>
      <c r="T56" s="4" t="s">
        <v>468</v>
      </c>
      <c r="U56" s="4" t="s">
        <v>339</v>
      </c>
      <c r="V56" s="4" t="s">
        <v>276</v>
      </c>
      <c r="W56" s="4" t="s">
        <v>469</v>
      </c>
      <c r="X56" s="4" t="s">
        <v>269</v>
      </c>
      <c r="Y56" s="4"/>
      <c r="Z56" s="4" t="s">
        <v>148</v>
      </c>
      <c r="AA56" s="4" t="s">
        <v>167</v>
      </c>
      <c r="AB56" s="4" t="s">
        <v>168</v>
      </c>
      <c r="AC56" s="4" t="s">
        <v>134</v>
      </c>
      <c r="AD56" s="4" t="s">
        <v>134</v>
      </c>
      <c r="AE56" s="4" t="s">
        <v>219</v>
      </c>
      <c r="AF56" s="4" t="s">
        <v>281</v>
      </c>
      <c r="AG56" s="4" t="s">
        <v>139</v>
      </c>
      <c r="AH56" s="4" t="s">
        <v>140</v>
      </c>
      <c r="AI56" s="4">
        <v>5726177</v>
      </c>
      <c r="AJ56" s="4"/>
      <c r="AK56" s="4"/>
      <c r="AL56" s="4" t="s">
        <v>222</v>
      </c>
      <c r="AM56" s="4" t="s">
        <v>223</v>
      </c>
      <c r="AN56" s="4" t="s">
        <v>470</v>
      </c>
      <c r="AO56" s="4" t="s">
        <v>471</v>
      </c>
      <c r="AP56" s="4" t="s">
        <v>223</v>
      </c>
    </row>
    <row r="57" s="1" customFormat="1" spans="1:42">
      <c r="A57" s="4">
        <v>27</v>
      </c>
      <c r="B57" s="4" t="s">
        <v>118</v>
      </c>
      <c r="C57" s="4" t="s">
        <v>119</v>
      </c>
      <c r="D57" s="4" t="s">
        <v>472</v>
      </c>
      <c r="E57" s="4" t="s">
        <v>473</v>
      </c>
      <c r="F57" s="4" t="s">
        <v>122</v>
      </c>
      <c r="G57" s="4" t="s">
        <v>123</v>
      </c>
      <c r="H57" s="5">
        <v>9800</v>
      </c>
      <c r="I57" s="4" t="s">
        <v>271</v>
      </c>
      <c r="J57" s="4" t="s">
        <v>207</v>
      </c>
      <c r="K57" s="4" t="s">
        <v>208</v>
      </c>
      <c r="L57" s="4" t="s">
        <v>123</v>
      </c>
      <c r="M57" s="4" t="s">
        <v>209</v>
      </c>
      <c r="N57" s="4" t="s">
        <v>174</v>
      </c>
      <c r="O57" s="4" t="s">
        <v>210</v>
      </c>
      <c r="P57" s="4" t="s">
        <v>10</v>
      </c>
      <c r="Q57" s="4" t="s">
        <v>474</v>
      </c>
      <c r="R57" s="4" t="s">
        <v>10</v>
      </c>
      <c r="S57" s="4" t="s">
        <v>475</v>
      </c>
      <c r="T57" s="4" t="s">
        <v>476</v>
      </c>
      <c r="U57" s="4" t="s">
        <v>131</v>
      </c>
      <c r="V57" s="4" t="s">
        <v>293</v>
      </c>
      <c r="W57" s="4" t="s">
        <v>477</v>
      </c>
      <c r="X57" s="4" t="s">
        <v>472</v>
      </c>
      <c r="Y57" s="4"/>
      <c r="Z57" s="4" t="s">
        <v>148</v>
      </c>
      <c r="AA57" s="4" t="s">
        <v>478</v>
      </c>
      <c r="AB57" s="4" t="s">
        <v>134</v>
      </c>
      <c r="AC57" s="4" t="s">
        <v>479</v>
      </c>
      <c r="AD57" s="4" t="s">
        <v>480</v>
      </c>
      <c r="AE57" s="4" t="s">
        <v>219</v>
      </c>
      <c r="AF57" s="4" t="s">
        <v>281</v>
      </c>
      <c r="AG57" s="4" t="s">
        <v>139</v>
      </c>
      <c r="AH57" s="4" t="s">
        <v>140</v>
      </c>
      <c r="AI57" s="4">
        <v>5787722</v>
      </c>
      <c r="AJ57" s="4"/>
      <c r="AK57" s="4"/>
      <c r="AL57" s="4" t="s">
        <v>222</v>
      </c>
      <c r="AM57" s="4" t="s">
        <v>223</v>
      </c>
      <c r="AN57" s="4" t="s">
        <v>481</v>
      </c>
      <c r="AO57" s="4" t="s">
        <v>307</v>
      </c>
      <c r="AP57" s="4" t="s">
        <v>223</v>
      </c>
    </row>
    <row r="58" s="1" customFormat="1" spans="1:42">
      <c r="A58" s="4">
        <v>25</v>
      </c>
      <c r="B58" s="4" t="s">
        <v>118</v>
      </c>
      <c r="C58" s="4" t="s">
        <v>119</v>
      </c>
      <c r="D58" s="4" t="s">
        <v>482</v>
      </c>
      <c r="E58" s="4" t="s">
        <v>483</v>
      </c>
      <c r="F58" s="4" t="s">
        <v>122</v>
      </c>
      <c r="G58" s="4" t="s">
        <v>123</v>
      </c>
      <c r="H58" s="5">
        <v>9800</v>
      </c>
      <c r="I58" s="4" t="s">
        <v>271</v>
      </c>
      <c r="J58" s="4" t="s">
        <v>272</v>
      </c>
      <c r="K58" s="4" t="s">
        <v>208</v>
      </c>
      <c r="L58" s="4" t="s">
        <v>123</v>
      </c>
      <c r="M58" s="4" t="s">
        <v>209</v>
      </c>
      <c r="N58" s="4" t="s">
        <v>174</v>
      </c>
      <c r="O58" s="4" t="s">
        <v>210</v>
      </c>
      <c r="P58" s="4" t="s">
        <v>10</v>
      </c>
      <c r="Q58" s="4" t="s">
        <v>484</v>
      </c>
      <c r="R58" s="4" t="s">
        <v>10</v>
      </c>
      <c r="S58" s="4" t="s">
        <v>485</v>
      </c>
      <c r="T58" s="4" t="s">
        <v>486</v>
      </c>
      <c r="U58" s="4" t="s">
        <v>131</v>
      </c>
      <c r="V58" s="4" t="s">
        <v>487</v>
      </c>
      <c r="W58" s="4" t="s">
        <v>488</v>
      </c>
      <c r="X58" s="4" t="s">
        <v>482</v>
      </c>
      <c r="Y58" s="4"/>
      <c r="Z58" s="4" t="s">
        <v>148</v>
      </c>
      <c r="AA58" s="4" t="s">
        <v>167</v>
      </c>
      <c r="AB58" s="4" t="s">
        <v>134</v>
      </c>
      <c r="AC58" s="4" t="s">
        <v>134</v>
      </c>
      <c r="AD58" s="4" t="s">
        <v>134</v>
      </c>
      <c r="AE58" s="4" t="s">
        <v>219</v>
      </c>
      <c r="AF58" s="4" t="s">
        <v>281</v>
      </c>
      <c r="AG58" s="4" t="s">
        <v>139</v>
      </c>
      <c r="AH58" s="4" t="s">
        <v>140</v>
      </c>
      <c r="AI58" s="4">
        <v>5788415</v>
      </c>
      <c r="AJ58" s="4"/>
      <c r="AK58" s="4"/>
      <c r="AL58" s="4" t="s">
        <v>222</v>
      </c>
      <c r="AM58" s="4" t="s">
        <v>223</v>
      </c>
      <c r="AN58" s="4" t="s">
        <v>489</v>
      </c>
      <c r="AO58" s="4" t="s">
        <v>307</v>
      </c>
      <c r="AP58" s="4" t="s">
        <v>223</v>
      </c>
    </row>
    <row r="59" s="1" customFormat="1" spans="1:42">
      <c r="A59" s="4">
        <v>26</v>
      </c>
      <c r="B59" s="4" t="s">
        <v>118</v>
      </c>
      <c r="C59" s="4" t="s">
        <v>119</v>
      </c>
      <c r="D59" s="4" t="s">
        <v>482</v>
      </c>
      <c r="E59" s="4" t="s">
        <v>490</v>
      </c>
      <c r="F59" s="4" t="s">
        <v>122</v>
      </c>
      <c r="G59" s="4" t="s">
        <v>123</v>
      </c>
      <c r="H59" s="5">
        <v>9800</v>
      </c>
      <c r="I59" s="4" t="s">
        <v>271</v>
      </c>
      <c r="J59" s="4" t="s">
        <v>207</v>
      </c>
      <c r="K59" s="4" t="s">
        <v>208</v>
      </c>
      <c r="L59" s="4" t="s">
        <v>123</v>
      </c>
      <c r="M59" s="4" t="s">
        <v>209</v>
      </c>
      <c r="N59" s="4" t="s">
        <v>174</v>
      </c>
      <c r="O59" s="4" t="s">
        <v>210</v>
      </c>
      <c r="P59" s="4" t="s">
        <v>10</v>
      </c>
      <c r="Q59" s="4" t="s">
        <v>491</v>
      </c>
      <c r="R59" s="4" t="s">
        <v>10</v>
      </c>
      <c r="S59" s="4" t="s">
        <v>491</v>
      </c>
      <c r="T59" s="4" t="s">
        <v>492</v>
      </c>
      <c r="U59" s="4" t="s">
        <v>131</v>
      </c>
      <c r="V59" s="4" t="s">
        <v>487</v>
      </c>
      <c r="W59" s="4" t="s">
        <v>493</v>
      </c>
      <c r="X59" s="4" t="s">
        <v>482</v>
      </c>
      <c r="Y59" s="4"/>
      <c r="Z59" s="4" t="s">
        <v>148</v>
      </c>
      <c r="AA59" s="4" t="s">
        <v>494</v>
      </c>
      <c r="AB59" s="4" t="s">
        <v>134</v>
      </c>
      <c r="AC59" s="4" t="s">
        <v>495</v>
      </c>
      <c r="AD59" s="4" t="s">
        <v>496</v>
      </c>
      <c r="AE59" s="4" t="s">
        <v>219</v>
      </c>
      <c r="AF59" s="4" t="s">
        <v>281</v>
      </c>
      <c r="AG59" s="4" t="s">
        <v>139</v>
      </c>
      <c r="AH59" s="4" t="s">
        <v>140</v>
      </c>
      <c r="AI59" s="4">
        <v>5765146</v>
      </c>
      <c r="AJ59" s="4"/>
      <c r="AK59" s="4"/>
      <c r="AL59" s="4" t="s">
        <v>222</v>
      </c>
      <c r="AM59" s="4" t="s">
        <v>223</v>
      </c>
      <c r="AN59" s="4" t="s">
        <v>497</v>
      </c>
      <c r="AO59" s="4" t="s">
        <v>307</v>
      </c>
      <c r="AP59" s="4" t="s">
        <v>223</v>
      </c>
    </row>
    <row r="60" s="1" customFormat="1" spans="1:42">
      <c r="A60" s="4">
        <v>20</v>
      </c>
      <c r="B60" s="4" t="s">
        <v>118</v>
      </c>
      <c r="C60" s="4" t="s">
        <v>119</v>
      </c>
      <c r="D60" s="4" t="s">
        <v>298</v>
      </c>
      <c r="E60" s="4" t="s">
        <v>498</v>
      </c>
      <c r="F60" s="4" t="s">
        <v>122</v>
      </c>
      <c r="G60" s="4" t="s">
        <v>123</v>
      </c>
      <c r="H60" s="5">
        <v>9800</v>
      </c>
      <c r="I60" s="4" t="s">
        <v>271</v>
      </c>
      <c r="J60" s="4" t="s">
        <v>207</v>
      </c>
      <c r="K60" s="4" t="s">
        <v>208</v>
      </c>
      <c r="L60" s="4" t="s">
        <v>123</v>
      </c>
      <c r="M60" s="4" t="s">
        <v>209</v>
      </c>
      <c r="N60" s="4" t="s">
        <v>174</v>
      </c>
      <c r="O60" s="4" t="s">
        <v>210</v>
      </c>
      <c r="P60" s="4" t="s">
        <v>10</v>
      </c>
      <c r="Q60" s="4" t="s">
        <v>499</v>
      </c>
      <c r="R60" s="4" t="s">
        <v>10</v>
      </c>
      <c r="S60" s="4" t="s">
        <v>500</v>
      </c>
      <c r="T60" s="4" t="s">
        <v>501</v>
      </c>
      <c r="U60" s="4" t="s">
        <v>131</v>
      </c>
      <c r="V60" s="4" t="s">
        <v>276</v>
      </c>
      <c r="W60" s="4" t="s">
        <v>502</v>
      </c>
      <c r="X60" s="4" t="s">
        <v>298</v>
      </c>
      <c r="Y60" s="4"/>
      <c r="Z60" s="4" t="s">
        <v>148</v>
      </c>
      <c r="AA60" s="4" t="s">
        <v>167</v>
      </c>
      <c r="AB60" s="4" t="s">
        <v>134</v>
      </c>
      <c r="AC60" s="4" t="s">
        <v>134</v>
      </c>
      <c r="AD60" s="4" t="s">
        <v>134</v>
      </c>
      <c r="AE60" s="4" t="s">
        <v>219</v>
      </c>
      <c r="AF60" s="4" t="s">
        <v>281</v>
      </c>
      <c r="AG60" s="4" t="s">
        <v>139</v>
      </c>
      <c r="AH60" s="4" t="s">
        <v>305</v>
      </c>
      <c r="AI60" s="4">
        <v>5765860</v>
      </c>
      <c r="AJ60" s="4"/>
      <c r="AK60" s="4"/>
      <c r="AL60" s="4" t="s">
        <v>222</v>
      </c>
      <c r="AM60" s="4" t="s">
        <v>223</v>
      </c>
      <c r="AN60" s="4" t="s">
        <v>503</v>
      </c>
      <c r="AO60" s="4" t="s">
        <v>307</v>
      </c>
      <c r="AP60" s="4" t="s">
        <v>223</v>
      </c>
    </row>
    <row r="61" s="1" customFormat="1" spans="1:42">
      <c r="A61" s="4">
        <v>23</v>
      </c>
      <c r="B61" s="4" t="s">
        <v>118</v>
      </c>
      <c r="C61" s="4" t="s">
        <v>119</v>
      </c>
      <c r="D61" s="4" t="s">
        <v>298</v>
      </c>
      <c r="E61" s="4" t="s">
        <v>504</v>
      </c>
      <c r="F61" s="4" t="s">
        <v>122</v>
      </c>
      <c r="G61" s="4" t="s">
        <v>123</v>
      </c>
      <c r="H61" s="5">
        <v>9800</v>
      </c>
      <c r="I61" s="4" t="s">
        <v>271</v>
      </c>
      <c r="J61" s="4" t="s">
        <v>272</v>
      </c>
      <c r="K61" s="4" t="s">
        <v>208</v>
      </c>
      <c r="L61" s="4" t="s">
        <v>123</v>
      </c>
      <c r="M61" s="4" t="s">
        <v>209</v>
      </c>
      <c r="N61" s="4" t="s">
        <v>174</v>
      </c>
      <c r="O61" s="4" t="s">
        <v>210</v>
      </c>
      <c r="P61" s="4" t="s">
        <v>10</v>
      </c>
      <c r="Q61" s="4" t="s">
        <v>505</v>
      </c>
      <c r="R61" s="4" t="s">
        <v>10</v>
      </c>
      <c r="S61" s="4" t="s">
        <v>506</v>
      </c>
      <c r="T61" s="4" t="s">
        <v>507</v>
      </c>
      <c r="U61" s="4" t="s">
        <v>131</v>
      </c>
      <c r="V61" s="4" t="s">
        <v>276</v>
      </c>
      <c r="W61" s="4" t="s">
        <v>508</v>
      </c>
      <c r="X61" s="4" t="s">
        <v>298</v>
      </c>
      <c r="Y61" s="4"/>
      <c r="Z61" s="4" t="s">
        <v>148</v>
      </c>
      <c r="AA61" s="4" t="s">
        <v>509</v>
      </c>
      <c r="AB61" s="4" t="s">
        <v>134</v>
      </c>
      <c r="AC61" s="4" t="s">
        <v>510</v>
      </c>
      <c r="AD61" s="4" t="s">
        <v>511</v>
      </c>
      <c r="AE61" s="4" t="s">
        <v>219</v>
      </c>
      <c r="AF61" s="4" t="s">
        <v>281</v>
      </c>
      <c r="AG61" s="4" t="s">
        <v>139</v>
      </c>
      <c r="AH61" s="4" t="s">
        <v>140</v>
      </c>
      <c r="AI61" s="4">
        <v>5755478</v>
      </c>
      <c r="AJ61" s="4"/>
      <c r="AK61" s="4"/>
      <c r="AL61" s="4" t="s">
        <v>222</v>
      </c>
      <c r="AM61" s="4" t="s">
        <v>223</v>
      </c>
      <c r="AN61" s="4" t="s">
        <v>512</v>
      </c>
      <c r="AO61" s="4" t="s">
        <v>307</v>
      </c>
      <c r="AP61" s="4" t="s">
        <v>223</v>
      </c>
    </row>
    <row r="62" s="1" customFormat="1" spans="1:42">
      <c r="A62" s="4"/>
      <c r="D62" s="6">
        <v>45992</v>
      </c>
      <c r="E62" s="4" t="s">
        <v>383</v>
      </c>
      <c r="G62" s="4"/>
      <c r="H62" s="5"/>
      <c r="I62" s="11">
        <v>23948</v>
      </c>
      <c r="J62" s="4"/>
      <c r="K62" s="4"/>
      <c r="L62" s="4"/>
      <c r="M62" s="4"/>
      <c r="N62" s="4"/>
      <c r="O62" s="7" t="s">
        <v>370</v>
      </c>
      <c r="P62" s="7" t="s">
        <v>10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="1" customFormat="1" spans="1:42">
      <c r="A63" s="4"/>
      <c r="D63" s="6">
        <v>45996</v>
      </c>
      <c r="E63" s="4" t="s">
        <v>513</v>
      </c>
      <c r="G63" s="4"/>
      <c r="H63" s="5"/>
      <c r="I63" s="7">
        <v>15000</v>
      </c>
      <c r="J63" s="4"/>
      <c r="K63" s="4"/>
      <c r="L63" s="4"/>
      <c r="M63" s="4"/>
      <c r="N63" s="4"/>
      <c r="O63" s="7" t="s">
        <v>514</v>
      </c>
      <c r="P63" s="7" t="s">
        <v>10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="1" customFormat="1" spans="1:42">
      <c r="A64" s="4"/>
      <c r="D64" s="6">
        <v>46018</v>
      </c>
      <c r="E64" s="4" t="s">
        <v>515</v>
      </c>
      <c r="G64" s="4"/>
      <c r="H64" s="5"/>
      <c r="I64" s="11">
        <v>15200</v>
      </c>
      <c r="J64" s="4"/>
      <c r="K64" s="4"/>
      <c r="L64" s="4"/>
      <c r="M64" s="4"/>
      <c r="N64" s="4"/>
      <c r="O64" s="7" t="s">
        <v>516</v>
      </c>
      <c r="P64" s="7" t="s">
        <v>10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="1" customFormat="1" spans="1:42">
      <c r="A65" s="4"/>
      <c r="D65" s="6">
        <v>46018</v>
      </c>
      <c r="E65" s="4" t="s">
        <v>517</v>
      </c>
      <c r="G65" s="4"/>
      <c r="H65" s="5"/>
      <c r="I65" s="7">
        <v>33291.3</v>
      </c>
      <c r="J65" s="4"/>
      <c r="K65" s="4"/>
      <c r="L65" s="4"/>
      <c r="M65" s="4"/>
      <c r="N65" s="4"/>
      <c r="O65" s="7" t="s">
        <v>370</v>
      </c>
      <c r="P65" s="7" t="s">
        <v>10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="1" customFormat="1" spans="1:42">
      <c r="A66" s="4"/>
      <c r="D66" s="6">
        <v>46018</v>
      </c>
      <c r="E66" s="4" t="s">
        <v>518</v>
      </c>
      <c r="G66" s="4"/>
      <c r="H66" s="5"/>
      <c r="I66" s="7">
        <v>2550</v>
      </c>
      <c r="J66" s="4"/>
      <c r="K66" s="4"/>
      <c r="L66" s="4"/>
      <c r="M66" s="4"/>
      <c r="N66" s="4"/>
      <c r="O66" s="7" t="s">
        <v>321</v>
      </c>
      <c r="P66" s="7" t="s">
        <v>10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="1" customFormat="1" spans="1:42">
      <c r="A67" s="4"/>
      <c r="D67" s="12" t="s">
        <v>519</v>
      </c>
      <c r="E67" s="4" t="s">
        <v>520</v>
      </c>
      <c r="G67" s="4"/>
      <c r="H67" s="5"/>
      <c r="I67" s="7">
        <v>1050</v>
      </c>
      <c r="J67" s="4"/>
      <c r="K67" s="4"/>
      <c r="L67" s="4"/>
      <c r="M67" s="4"/>
      <c r="N67" s="4"/>
      <c r="O67" s="7" t="s">
        <v>370</v>
      </c>
      <c r="P67" s="7" t="s">
        <v>10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8:10">
      <c r="H68" s="1">
        <f>SUM(H35:H67)</f>
        <v>251418.5</v>
      </c>
      <c r="I68" s="1">
        <f>SUM(I62:I67)</f>
        <v>91039.3</v>
      </c>
      <c r="J68" s="1">
        <f>H68-I68</f>
        <v>160379.2</v>
      </c>
    </row>
    <row r="1048443" s="2" customFormat="1" ht="14.5"/>
    <row r="1048444" s="2" customFormat="1" ht="14.5"/>
    <row r="1048445" s="2" customFormat="1" ht="14.5"/>
    <row r="1048446" s="2" customFormat="1" ht="14.5"/>
    <row r="1048447" s="2" customFormat="1" ht="14.5"/>
    <row r="1048448" s="2" customFormat="1" ht="14.5"/>
    <row r="1048449" s="2" customFormat="1" ht="14.5"/>
    <row r="1048450" s="2" customFormat="1" ht="14.5"/>
    <row r="1048451" s="2" customFormat="1" ht="14.5"/>
    <row r="1048452" s="2" customFormat="1" ht="14.5"/>
    <row r="1048453" s="2" customFormat="1" ht="14.5"/>
    <row r="1048454" s="2" customFormat="1" ht="14.5"/>
    <row r="1048455" s="2" customFormat="1" ht="14.5"/>
    <row r="1048456" s="2" customFormat="1" ht="14.5"/>
    <row r="1048457" s="2" customFormat="1" ht="14.5"/>
    <row r="1048458" s="2" customFormat="1" ht="14.5"/>
    <row r="1048459" s="2" customFormat="1" ht="14.5"/>
    <row r="1048460" s="2" customFormat="1" ht="14.5"/>
    <row r="1048461" s="2" customFormat="1" ht="14.5"/>
    <row r="1048462" s="2" customFormat="1" ht="14.5"/>
    <row r="1048463" s="2" customFormat="1" ht="14.5"/>
    <row r="1048464" s="2" customFormat="1" ht="14.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业绩奖金</vt:lpstr>
      <vt:lpstr>顾问奖金及绩效</vt:lpstr>
      <vt:lpstr>签约明细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耿大伟</cp:lastModifiedBy>
  <dcterms:created xsi:type="dcterms:W3CDTF">2015-06-05T18:19:00Z</dcterms:created>
  <dcterms:modified xsi:type="dcterms:W3CDTF">2026-01-04T02:25:12Z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42DD534178C44FF09934BAD0A1C87E7D_12</vt:lpwstr>
  </property>
  <property fmtid="{D5CDD505-2E9C-101B-9397-08002B2CF9AE}" pid="3" name="KSOProductBuildVer">
    <vt:lpwstr>2052-12.1.0.21171</vt:lpwstr>
  </property>
</Properties>
</file>