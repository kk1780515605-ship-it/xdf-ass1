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38FA127-6234-4D39-9A95-E156B273AD24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集训营" sheetId="1" r:id="rId1"/>
    <sheet name="走读" sheetId="2" r:id="rId2"/>
    <sheet name="四六级" sheetId="3" r:id="rId3"/>
    <sheet name="个性化" sheetId="4" r:id="rId4"/>
    <sheet name="在职研" sheetId="5" r:id="rId5"/>
    <sheet name="英学" sheetId="6" r:id="rId6"/>
  </sheets>
  <externalReferences>
    <externalReference r:id="rId7"/>
    <externalReference r:id="rId8"/>
  </externalReferences>
  <definedNames>
    <definedName name="_xlnm._FilterDatabase" localSheetId="3" hidden="1">个性化!$I$1:$P$5</definedName>
    <definedName name="_xlnm._FilterDatabase" localSheetId="1" hidden="1">走读!$A$2:$AA$134</definedName>
    <definedName name="_xlnm._FilterDatabase" localSheetId="0" hidden="1">集训营!$A$2:$AA$145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I5" i="3"/>
  <c r="F5" i="3" s="1"/>
  <c r="I6" i="3"/>
  <c r="F6" i="3" s="1"/>
  <c r="I7" i="3"/>
  <c r="I8" i="3"/>
  <c r="I9" i="3"/>
  <c r="I10" i="3"/>
  <c r="I3" i="3"/>
  <c r="G4" i="3"/>
  <c r="G5" i="3"/>
  <c r="G6" i="3"/>
  <c r="G7" i="3"/>
  <c r="G8" i="3"/>
  <c r="G9" i="3"/>
  <c r="G10" i="3"/>
  <c r="G3" i="3"/>
  <c r="H4" i="3"/>
  <c r="H5" i="3"/>
  <c r="H6" i="3"/>
  <c r="H7" i="3"/>
  <c r="H8" i="3"/>
  <c r="H9" i="3"/>
  <c r="H10" i="3"/>
  <c r="H3" i="3"/>
  <c r="F4" i="3"/>
  <c r="F7" i="3"/>
  <c r="F3" i="3"/>
  <c r="F37" i="5"/>
  <c r="H36" i="5"/>
  <c r="F36" i="5" s="1"/>
  <c r="H35" i="5"/>
  <c r="F35" i="5"/>
  <c r="H34" i="5"/>
  <c r="F34" i="5"/>
  <c r="F33" i="5"/>
  <c r="H32" i="5"/>
  <c r="F32" i="5" s="1"/>
  <c r="H31" i="5"/>
  <c r="F31" i="5" s="1"/>
  <c r="H30" i="5"/>
  <c r="F30" i="5" s="1"/>
  <c r="H29" i="5"/>
  <c r="F29" i="5" s="1"/>
  <c r="H28" i="5"/>
  <c r="F28" i="5"/>
  <c r="H27" i="5"/>
  <c r="F27" i="5"/>
  <c r="F26" i="5"/>
  <c r="H25" i="5"/>
  <c r="F25" i="5" s="1"/>
  <c r="H24" i="5"/>
  <c r="F24" i="5" s="1"/>
  <c r="H23" i="5"/>
  <c r="F23" i="5" s="1"/>
  <c r="H22" i="5"/>
  <c r="F22" i="5"/>
  <c r="H21" i="5"/>
  <c r="F21" i="5"/>
  <c r="H20" i="5"/>
  <c r="F20" i="5" s="1"/>
  <c r="H19" i="5"/>
  <c r="F19" i="5" s="1"/>
  <c r="H18" i="5"/>
  <c r="F18" i="5" s="1"/>
  <c r="H17" i="5"/>
  <c r="F17" i="5" s="1"/>
  <c r="H16" i="5"/>
  <c r="F16" i="5"/>
  <c r="H15" i="5"/>
  <c r="F15" i="5"/>
  <c r="H14" i="5"/>
  <c r="F14" i="5" s="1"/>
  <c r="H13" i="5"/>
  <c r="F13" i="5" s="1"/>
  <c r="H12" i="5"/>
  <c r="F12" i="5" s="1"/>
  <c r="H11" i="5"/>
  <c r="F11" i="5" s="1"/>
  <c r="H10" i="5"/>
  <c r="F10" i="5"/>
  <c r="H9" i="5"/>
  <c r="F9" i="5"/>
  <c r="H8" i="5"/>
  <c r="F8" i="5" s="1"/>
  <c r="H7" i="5"/>
  <c r="F7" i="5" s="1"/>
  <c r="H6" i="5"/>
  <c r="F6" i="5" s="1"/>
  <c r="H5" i="5"/>
  <c r="F5" i="5" s="1"/>
  <c r="H4" i="5"/>
  <c r="F4" i="5"/>
  <c r="H3" i="5"/>
  <c r="F3" i="5"/>
  <c r="F5" i="4"/>
  <c r="F4" i="4"/>
  <c r="H3" i="4"/>
  <c r="F3" i="4" s="1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H111" i="2"/>
  <c r="G111" i="2"/>
  <c r="F111" i="2" s="1"/>
  <c r="H110" i="2"/>
  <c r="G110" i="2"/>
  <c r="F110" i="2" s="1"/>
  <c r="H109" i="2"/>
  <c r="G109" i="2"/>
  <c r="F109" i="2"/>
  <c r="H108" i="2"/>
  <c r="F108" i="2" s="1"/>
  <c r="G108" i="2"/>
  <c r="H107" i="2"/>
  <c r="G107" i="2"/>
  <c r="F107" i="2" s="1"/>
  <c r="H106" i="2"/>
  <c r="G106" i="2"/>
  <c r="F106" i="2" s="1"/>
  <c r="H105" i="2"/>
  <c r="G105" i="2"/>
  <c r="F105" i="2"/>
  <c r="H104" i="2"/>
  <c r="F104" i="2" s="1"/>
  <c r="G104" i="2"/>
  <c r="H103" i="2"/>
  <c r="G103" i="2"/>
  <c r="F103" i="2" s="1"/>
  <c r="H102" i="2"/>
  <c r="G102" i="2"/>
  <c r="F102" i="2" s="1"/>
  <c r="H101" i="2"/>
  <c r="G101" i="2"/>
  <c r="F101" i="2"/>
  <c r="H100" i="2"/>
  <c r="F100" i="2" s="1"/>
  <c r="G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145" i="1"/>
  <c r="F144" i="1"/>
  <c r="F143" i="1"/>
  <c r="F142" i="1"/>
  <c r="F141" i="1"/>
  <c r="F140" i="1"/>
  <c r="F139" i="1"/>
  <c r="F138" i="1"/>
  <c r="F137" i="1"/>
  <c r="F136" i="1"/>
  <c r="F135" i="1"/>
  <c r="F134" i="1"/>
  <c r="U133" i="1"/>
  <c r="R133" i="1"/>
  <c r="N133" i="1"/>
  <c r="H133" i="1"/>
  <c r="F133" i="1" s="1"/>
  <c r="F132" i="1"/>
  <c r="F131" i="1"/>
  <c r="F130" i="1"/>
  <c r="F129" i="1"/>
  <c r="F128" i="1"/>
  <c r="F127" i="1"/>
  <c r="F126" i="1"/>
  <c r="F125" i="1"/>
  <c r="F124" i="1"/>
  <c r="F123" i="1"/>
  <c r="F122" i="1"/>
  <c r="F121" i="1"/>
  <c r="U120" i="1"/>
  <c r="Q120" i="1"/>
  <c r="R120" i="1" s="1"/>
  <c r="N120" i="1"/>
  <c r="H120" i="1"/>
  <c r="F120" i="1"/>
  <c r="AA119" i="1"/>
  <c r="G119" i="1" s="1"/>
  <c r="F119" i="1" s="1"/>
  <c r="Z119" i="1"/>
  <c r="Y119" i="1"/>
  <c r="X119" i="1"/>
  <c r="AA118" i="1"/>
  <c r="Z118" i="1"/>
  <c r="Y118" i="1"/>
  <c r="X118" i="1"/>
  <c r="G118" i="1"/>
  <c r="F118" i="1"/>
  <c r="AA117" i="1"/>
  <c r="G117" i="1" s="1"/>
  <c r="F117" i="1" s="1"/>
  <c r="Z117" i="1"/>
  <c r="Y117" i="1"/>
  <c r="X117" i="1"/>
  <c r="AA116" i="1"/>
  <c r="Z116" i="1"/>
  <c r="Y116" i="1"/>
  <c r="X116" i="1"/>
  <c r="G116" i="1"/>
  <c r="F116" i="1"/>
  <c r="G115" i="1"/>
  <c r="F115" i="1" s="1"/>
  <c r="AA114" i="1"/>
  <c r="Z114" i="1"/>
  <c r="Y114" i="1"/>
  <c r="X114" i="1"/>
  <c r="G114" i="1"/>
  <c r="F114" i="1"/>
  <c r="AA113" i="1"/>
  <c r="Z113" i="1"/>
  <c r="Y113" i="1"/>
  <c r="X113" i="1"/>
  <c r="G113" i="1"/>
  <c r="F113" i="1" s="1"/>
  <c r="AA112" i="1"/>
  <c r="Z112" i="1"/>
  <c r="Y112" i="1"/>
  <c r="X112" i="1"/>
  <c r="G112" i="1"/>
  <c r="F112" i="1"/>
  <c r="AA111" i="1"/>
  <c r="Z111" i="1"/>
  <c r="Y111" i="1"/>
  <c r="X111" i="1"/>
  <c r="G111" i="1"/>
  <c r="F111" i="1" s="1"/>
  <c r="AA110" i="1"/>
  <c r="Z110" i="1"/>
  <c r="Y110" i="1"/>
  <c r="X110" i="1"/>
  <c r="G110" i="1"/>
  <c r="F110" i="1"/>
  <c r="AA109" i="1"/>
  <c r="Z109" i="1"/>
  <c r="Y109" i="1"/>
  <c r="X109" i="1"/>
  <c r="G109" i="1"/>
  <c r="F109" i="1" s="1"/>
  <c r="AA108" i="1"/>
  <c r="Z108" i="1"/>
  <c r="Y108" i="1"/>
  <c r="X108" i="1"/>
  <c r="G108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G94" i="1"/>
  <c r="F94" i="1"/>
  <c r="H93" i="1"/>
  <c r="G93" i="1"/>
  <c r="F93" i="1" s="1"/>
  <c r="H92" i="1"/>
  <c r="G92" i="1"/>
  <c r="F92" i="1" s="1"/>
  <c r="H91" i="1"/>
  <c r="G91" i="1"/>
  <c r="F91" i="1"/>
  <c r="H90" i="1"/>
  <c r="G90" i="1"/>
  <c r="F90" i="1"/>
  <c r="H89" i="1"/>
  <c r="G89" i="1"/>
  <c r="F89" i="1" s="1"/>
  <c r="H88" i="1"/>
  <c r="G88" i="1"/>
  <c r="F88" i="1" s="1"/>
  <c r="H87" i="1"/>
  <c r="G87" i="1"/>
  <c r="F87" i="1"/>
  <c r="H86" i="1"/>
  <c r="G86" i="1"/>
  <c r="F86" i="1"/>
  <c r="H85" i="1"/>
  <c r="G85" i="1"/>
  <c r="F85" i="1" s="1"/>
  <c r="H84" i="1"/>
  <c r="G84" i="1"/>
  <c r="F84" i="1" s="1"/>
  <c r="H83" i="1"/>
  <c r="G83" i="1"/>
  <c r="F83" i="1"/>
  <c r="H82" i="1"/>
  <c r="G82" i="1"/>
  <c r="F82" i="1"/>
  <c r="R81" i="1"/>
  <c r="O81" i="1"/>
  <c r="N81" i="1"/>
  <c r="H81" i="1"/>
  <c r="G81" i="1"/>
  <c r="F81" i="1" s="1"/>
  <c r="F80" i="1"/>
  <c r="F79" i="1"/>
  <c r="F78" i="1"/>
  <c r="F77" i="1"/>
  <c r="F76" i="1"/>
  <c r="F75" i="1"/>
  <c r="F74" i="1"/>
  <c r="F73" i="1"/>
  <c r="F72" i="1"/>
  <c r="F71" i="1"/>
  <c r="R70" i="1"/>
  <c r="O70" i="1"/>
  <c r="N70" i="1"/>
  <c r="H70" i="1"/>
  <c r="G70" i="1"/>
  <c r="F70" i="1"/>
  <c r="F69" i="1"/>
  <c r="F68" i="1"/>
  <c r="F67" i="1"/>
  <c r="F66" i="1"/>
  <c r="F65" i="1"/>
  <c r="F64" i="1"/>
  <c r="F63" i="1"/>
  <c r="F62" i="1"/>
  <c r="F61" i="1"/>
  <c r="F60" i="1"/>
  <c r="H59" i="1"/>
  <c r="G59" i="1"/>
  <c r="F59" i="1"/>
  <c r="F58" i="1"/>
  <c r="O57" i="1"/>
  <c r="N57" i="1"/>
  <c r="H57" i="1"/>
  <c r="G57" i="1"/>
  <c r="F57" i="1" s="1"/>
  <c r="F56" i="1"/>
  <c r="F55" i="1"/>
  <c r="F54" i="1"/>
  <c r="F53" i="1"/>
  <c r="F52" i="1"/>
  <c r="F51" i="1"/>
  <c r="F50" i="1"/>
  <c r="F49" i="1"/>
  <c r="O48" i="1"/>
  <c r="H48" i="1"/>
  <c r="G48" i="1"/>
  <c r="F48" i="1" s="1"/>
  <c r="F47" i="1"/>
  <c r="F46" i="1"/>
  <c r="F45" i="1"/>
  <c r="F44" i="1"/>
  <c r="F43" i="1"/>
  <c r="F42" i="1"/>
  <c r="F41" i="1"/>
  <c r="F40" i="1"/>
  <c r="F39" i="1"/>
  <c r="F38" i="1"/>
  <c r="O37" i="1"/>
  <c r="N37" i="1"/>
  <c r="H37" i="1"/>
  <c r="G37" i="1"/>
  <c r="F37" i="1"/>
  <c r="W36" i="1"/>
  <c r="V36" i="1"/>
  <c r="T36" i="1"/>
  <c r="S36" i="1"/>
  <c r="H36" i="1"/>
  <c r="G36" i="1"/>
  <c r="F36" i="1" s="1"/>
  <c r="W35" i="1"/>
  <c r="V35" i="1"/>
  <c r="T35" i="1"/>
  <c r="S35" i="1"/>
  <c r="H35" i="1"/>
  <c r="G35" i="1"/>
  <c r="F35" i="1"/>
  <c r="W34" i="1"/>
  <c r="H34" i="1" s="1"/>
  <c r="F34" i="1" s="1"/>
  <c r="V34" i="1"/>
  <c r="T34" i="1"/>
  <c r="U34" i="1" s="1"/>
  <c r="S34" i="1"/>
  <c r="G34" i="1"/>
  <c r="W33" i="1"/>
  <c r="V33" i="1"/>
  <c r="T33" i="1"/>
  <c r="U33" i="1" s="1"/>
  <c r="S33" i="1"/>
  <c r="H33" i="1"/>
  <c r="G33" i="1"/>
  <c r="F33" i="1"/>
  <c r="W32" i="1"/>
  <c r="H32" i="1" s="1"/>
  <c r="F32" i="1" s="1"/>
  <c r="V32" i="1"/>
  <c r="T32" i="1"/>
  <c r="U32" i="1" s="1"/>
  <c r="S32" i="1"/>
  <c r="G32" i="1"/>
  <c r="W31" i="1"/>
  <c r="H31" i="1" s="1"/>
  <c r="F31" i="1" s="1"/>
  <c r="V31" i="1"/>
  <c r="T31" i="1"/>
  <c r="U31" i="1" s="1"/>
  <c r="S31" i="1"/>
  <c r="G31" i="1"/>
  <c r="W30" i="1"/>
  <c r="V30" i="1"/>
  <c r="T30" i="1"/>
  <c r="S30" i="1"/>
  <c r="H30" i="1"/>
  <c r="G30" i="1"/>
  <c r="F30" i="1"/>
  <c r="W29" i="1"/>
  <c r="H29" i="1" s="1"/>
  <c r="F29" i="1" s="1"/>
  <c r="V29" i="1"/>
  <c r="U29" i="1"/>
  <c r="T29" i="1"/>
  <c r="S29" i="1"/>
  <c r="G29" i="1"/>
  <c r="W28" i="1"/>
  <c r="H28" i="1" s="1"/>
  <c r="V28" i="1"/>
  <c r="T28" i="1"/>
  <c r="U28" i="1" s="1"/>
  <c r="S28" i="1"/>
  <c r="G28" i="1"/>
  <c r="F28" i="1" s="1"/>
  <c r="W27" i="1"/>
  <c r="V27" i="1"/>
  <c r="T27" i="1"/>
  <c r="U27" i="1" s="1"/>
  <c r="S27" i="1"/>
  <c r="H27" i="1"/>
  <c r="G27" i="1"/>
  <c r="F27" i="1"/>
  <c r="U26" i="1"/>
  <c r="N26" i="1"/>
  <c r="H26" i="1"/>
  <c r="F26" i="1" s="1"/>
  <c r="G26" i="1"/>
  <c r="F25" i="1"/>
  <c r="F24" i="1"/>
  <c r="F23" i="1"/>
  <c r="F22" i="1"/>
  <c r="F21" i="1"/>
  <c r="F20" i="1"/>
  <c r="F19" i="1"/>
  <c r="F18" i="1"/>
  <c r="F17" i="1"/>
  <c r="F16" i="1"/>
  <c r="F15" i="1"/>
  <c r="H14" i="1"/>
  <c r="G14" i="1"/>
  <c r="F14" i="1"/>
  <c r="F13" i="1"/>
  <c r="F12" i="1"/>
  <c r="F11" i="1"/>
  <c r="F10" i="1"/>
  <c r="F9" i="1"/>
  <c r="F8" i="1"/>
  <c r="F7" i="1"/>
  <c r="F6" i="1"/>
  <c r="F5" i="1"/>
  <c r="F4" i="1"/>
  <c r="H3" i="1"/>
  <c r="G3" i="1"/>
  <c r="F3" i="1"/>
  <c r="F9" i="3" l="1"/>
  <c r="F10" i="3"/>
  <c r="F8" i="3"/>
</calcChain>
</file>

<file path=xl/sharedStrings.xml><?xml version="1.0" encoding="utf-8"?>
<sst xmlns="http://schemas.openxmlformats.org/spreadsheetml/2006/main" count="1495" uniqueCount="144">
  <si>
    <t>年月（自然月）</t>
  </si>
  <si>
    <t>顾问姓名</t>
  </si>
  <si>
    <t>二级部门</t>
  </si>
  <si>
    <t>三级部门</t>
  </si>
  <si>
    <t>岗位</t>
  </si>
  <si>
    <t>奖金</t>
  </si>
  <si>
    <t>四六级提成</t>
  </si>
  <si>
    <t>考研提成</t>
  </si>
  <si>
    <t>转介绍提成</t>
  </si>
  <si>
    <t>四六级业绩</t>
  </si>
  <si>
    <t>考研业绩</t>
  </si>
  <si>
    <t>本月目标</t>
  </si>
  <si>
    <t>总进账</t>
  </si>
  <si>
    <t>线下退费</t>
  </si>
  <si>
    <t>净业绩</t>
  </si>
  <si>
    <t>月度完成率</t>
  </si>
  <si>
    <t>减去转介绍的剩余业绩</t>
  </si>
  <si>
    <t>提点</t>
  </si>
  <si>
    <t>四六级线下提成</t>
  </si>
  <si>
    <t>四六级在线提成</t>
  </si>
  <si>
    <t>考研剩余业绩</t>
  </si>
  <si>
    <t>考研奖金扣除</t>
  </si>
  <si>
    <t>转介绍目标</t>
  </si>
  <si>
    <t>考研转介绍金额</t>
  </si>
  <si>
    <t>四六级转介绍金额</t>
  </si>
  <si>
    <t>转介绍总业绩</t>
  </si>
  <si>
    <t>刘晓娟</t>
  </si>
  <si>
    <t>四六级</t>
  </si>
  <si>
    <t>四六级项目部</t>
  </si>
  <si>
    <t>B级学习顾问</t>
  </si>
  <si>
    <t>徐健坤</t>
  </si>
  <si>
    <t>房国超</t>
  </si>
  <si>
    <t>李政</t>
  </si>
  <si>
    <t>宋增辉</t>
  </si>
  <si>
    <t>田一禾</t>
  </si>
  <si>
    <t>张博奥</t>
  </si>
  <si>
    <t>黄智超</t>
  </si>
  <si>
    <t>实发绩效</t>
  </si>
  <si>
    <t>实发提成</t>
  </si>
  <si>
    <t>月度业绩</t>
  </si>
  <si>
    <t>月度绩效</t>
  </si>
  <si>
    <t>目标</t>
  </si>
  <si>
    <t>线下目标</t>
  </si>
  <si>
    <t>线下进账</t>
  </si>
  <si>
    <t>线下退费表</t>
  </si>
  <si>
    <t>线下主动调整</t>
  </si>
  <si>
    <t>线下净业绩</t>
  </si>
  <si>
    <t>线下完成率</t>
  </si>
  <si>
    <t>网课进账</t>
  </si>
  <si>
    <t>网课退费</t>
  </si>
  <si>
    <t>网课净业绩</t>
  </si>
  <si>
    <t>转介绍业绩</t>
  </si>
  <si>
    <t>转介绍完成率</t>
  </si>
  <si>
    <t>提成</t>
  </si>
  <si>
    <t>合计得分</t>
  </si>
  <si>
    <t>发放比例</t>
  </si>
  <si>
    <t>月度绩效标准</t>
  </si>
  <si>
    <t>月绩效应发</t>
  </si>
  <si>
    <t>苏乾楠</t>
  </si>
  <si>
    <t>集训营</t>
  </si>
  <si>
    <t>考研项目部</t>
  </si>
  <si>
    <t>陈伟钰</t>
  </si>
  <si>
    <t>杨晓超</t>
  </si>
  <si>
    <t>钱雪冰</t>
  </si>
  <si>
    <t>张乐</t>
  </si>
  <si>
    <t>陈露</t>
  </si>
  <si>
    <t>刘创</t>
  </si>
  <si>
    <t>高龙明</t>
  </si>
  <si>
    <t>A级学习顾问</t>
  </si>
  <si>
    <t>张俊旺</t>
  </si>
  <si>
    <t>王钦</t>
  </si>
  <si>
    <t>王泽森</t>
  </si>
  <si>
    <t>王志远</t>
  </si>
  <si>
    <t>集训营顾问组长</t>
  </si>
  <si>
    <t>鲁子寒</t>
  </si>
  <si>
    <t>销售组长</t>
  </si>
  <si>
    <t>张恒磊</t>
  </si>
  <si>
    <t>徐铁</t>
  </si>
  <si>
    <t>王鹤琛</t>
  </si>
  <si>
    <t>刘海玲</t>
  </si>
  <si>
    <t>无忧/走读</t>
  </si>
  <si>
    <t>刘欢</t>
  </si>
  <si>
    <t>汪宇萌</t>
  </si>
  <si>
    <t>李婧</t>
  </si>
  <si>
    <t>李崇宇</t>
  </si>
  <si>
    <t>王秋雨</t>
  </si>
  <si>
    <t>田源</t>
  </si>
  <si>
    <t>卢晓飞</t>
  </si>
  <si>
    <t>田志伟</t>
  </si>
  <si>
    <t>金民民</t>
  </si>
  <si>
    <t>寇源</t>
  </si>
  <si>
    <t>走读项目部-销售管理部-O1学习顾问</t>
  </si>
  <si>
    <t>走读项目部-销售管理部-O3学习顾问</t>
  </si>
  <si>
    <t>王一鸣</t>
  </si>
  <si>
    <t>堕朕</t>
  </si>
  <si>
    <t>走读顾问组长</t>
  </si>
  <si>
    <t>孙宝超</t>
  </si>
  <si>
    <t>席可</t>
  </si>
  <si>
    <t>李骏超</t>
  </si>
  <si>
    <t>徐钦</t>
  </si>
  <si>
    <t>产假</t>
  </si>
  <si>
    <t>基本提成</t>
  </si>
  <si>
    <t>地面现金目标</t>
  </si>
  <si>
    <t>地面净现金</t>
  </si>
  <si>
    <t>在线现金目标</t>
  </si>
  <si>
    <t>在线净现金</t>
  </si>
  <si>
    <t>总现金完成-退费后</t>
  </si>
  <si>
    <t>现金完成率</t>
  </si>
  <si>
    <t>提点系数</t>
  </si>
  <si>
    <t>总得分</t>
  </si>
  <si>
    <t>绩效基数</t>
  </si>
  <si>
    <t>发放金额</t>
  </si>
  <si>
    <t>赵星火</t>
  </si>
  <si>
    <t>个性化</t>
  </si>
  <si>
    <t>考研个性化</t>
  </si>
  <si>
    <t>学习顾问</t>
  </si>
  <si>
    <t>谭悦</t>
  </si>
  <si>
    <t>李涛</t>
  </si>
  <si>
    <t>奖金合计</t>
  </si>
  <si>
    <t>总分</t>
  </si>
  <si>
    <t>绩效满额</t>
  </si>
  <si>
    <t>应发绩效</t>
  </si>
  <si>
    <t>2+3绩效满额</t>
  </si>
  <si>
    <t>2+3应发绩效</t>
  </si>
  <si>
    <t>2+3</t>
  </si>
  <si>
    <t>杨明</t>
  </si>
  <si>
    <t>在职研</t>
  </si>
  <si>
    <t>在职研项目部</t>
  </si>
  <si>
    <t>刘津玲</t>
  </si>
  <si>
    <t>王沛贤</t>
  </si>
  <si>
    <t>——</t>
  </si>
  <si>
    <t>何达尔罕</t>
  </si>
  <si>
    <t>周信宇</t>
  </si>
  <si>
    <t>新签提成</t>
  </si>
  <si>
    <t>续费提成</t>
  </si>
  <si>
    <t>业绩目标</t>
  </si>
  <si>
    <t>个人新签</t>
  </si>
  <si>
    <t>退费金额</t>
  </si>
  <si>
    <t>新签净业绩</t>
  </si>
  <si>
    <t>新签完成率</t>
  </si>
  <si>
    <t>续费总计</t>
  </si>
  <si>
    <t>退费总计</t>
  </si>
  <si>
    <t>续费业绩</t>
  </si>
  <si>
    <t>月度评分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</si>
</sst>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等线"/>
    </font>
    <font>
      <sz val="12"/>
      <name val="等线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8C7A"/>
        <bgColor rgb="FF008C7A"/>
      </patternFill>
    </fill>
    <fill>
      <patternFill patternType="solid">
        <fgColor rgb="FF9CC2E5"/>
        <bgColor rgb="FF9CC2E5"/>
      </patternFill>
    </fill>
    <fill>
      <patternFill patternType="solid">
        <fgColor rgb="FF385623"/>
        <bgColor rgb="FF385623"/>
      </patternFill>
    </fill>
    <fill>
      <patternFill patternType="solid">
        <fgColor rgb="FF1E4E79"/>
        <bgColor rgb="FF1E4E79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rgb="FF385623"/>
      </patternFill>
    </fill>
    <fill>
      <patternFill patternType="solid">
        <fgColor theme="5" tint="0.39997558519241921"/>
        <bgColor rgb="FF1E4E79"/>
      </patternFill>
    </fill>
  </fills>
  <borders count="1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</borders>
  <cellStyleXfs count="3">
    <xf numFmtId="0" fontId="0" fillId="0" borderId="11"/>
    <xf numFmtId="0" fontId="3" fillId="0" borderId="11"/>
    <xf numFmtId="9" fontId="3" fillId="0" borderId="11"/>
  </cellStyleXfs>
  <cellXfs count="70">
    <xf numFmtId="0" fontId="0" fillId="0" borderId="0" xfId="0" applyBorder="1"/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10" fontId="2" fillId="0" borderId="0" xfId="0" applyNumberFormat="1" applyFont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164" fontId="2" fillId="6" borderId="0" xfId="0" applyNumberFormat="1" applyFont="1" applyFill="1" applyBorder="1" applyAlignment="1">
      <alignment horizontal="center" vertical="center" wrapText="1"/>
    </xf>
    <xf numFmtId="4" fontId="2" fillId="6" borderId="0" xfId="0" applyNumberFormat="1" applyFont="1" applyFill="1" applyBorder="1" applyAlignment="1">
      <alignment horizontal="center" vertical="center" wrapText="1"/>
    </xf>
    <xf numFmtId="10" fontId="2" fillId="6" borderId="0" xfId="0" applyNumberFormat="1" applyFont="1" applyFill="1" applyBorder="1" applyAlignment="1">
      <alignment horizontal="center" vertical="center" wrapText="1"/>
    </xf>
    <xf numFmtId="0" fontId="0" fillId="6" borderId="0" xfId="0" applyFill="1" applyBorder="1"/>
    <xf numFmtId="0" fontId="1" fillId="4" borderId="4" xfId="0" applyFont="1" applyFill="1" applyBorder="1" applyAlignment="1">
      <alignment horizontal="center" vertical="center" wrapText="1"/>
    </xf>
    <xf numFmtId="0" fontId="0" fillId="4" borderId="4" xfId="0" applyFill="1" applyBorder="1"/>
    <xf numFmtId="0" fontId="1" fillId="5" borderId="4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9" fontId="0" fillId="4" borderId="4" xfId="2" applyFont="1" applyFill="1" applyBorder="1"/>
    <xf numFmtId="9" fontId="1" fillId="4" borderId="4" xfId="2" applyFont="1" applyFill="1" applyBorder="1" applyAlignment="1">
      <alignment horizontal="center" vertical="center" wrapText="1"/>
    </xf>
    <xf numFmtId="9" fontId="2" fillId="0" borderId="4" xfId="2" applyFont="1" applyBorder="1" applyAlignment="1">
      <alignment horizontal="center" vertical="center" wrapText="1"/>
    </xf>
    <xf numFmtId="9" fontId="4" fillId="0" borderId="3" xfId="2" applyFont="1" applyBorder="1"/>
    <xf numFmtId="9" fontId="0" fillId="0" borderId="0" xfId="2" applyFont="1" applyBorder="1"/>
    <xf numFmtId="0" fontId="1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5" xfId="0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6" fillId="0" borderId="7" xfId="0" applyFont="1" applyBorder="1"/>
    <xf numFmtId="0" fontId="6" fillId="0" borderId="7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" fontId="2" fillId="0" borderId="8" xfId="0" applyNumberFormat="1" applyFont="1" applyBorder="1" applyAlignment="1">
      <alignment horizontal="center" vertical="center" wrapText="1"/>
    </xf>
    <xf numFmtId="10" fontId="2" fillId="0" borderId="8" xfId="0" applyNumberFormat="1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4" fontId="6" fillId="0" borderId="7" xfId="0" applyNumberFormat="1" applyFont="1" applyBorder="1" applyAlignment="1">
      <alignment horizontal="center" vertical="center" wrapText="1"/>
    </xf>
    <xf numFmtId="10" fontId="6" fillId="0" borderId="7" xfId="0" applyNumberFormat="1" applyFont="1" applyBorder="1" applyAlignment="1">
      <alignment horizontal="center" vertical="center" wrapText="1"/>
    </xf>
    <xf numFmtId="0" fontId="0" fillId="0" borderId="7" xfId="0" applyBorder="1"/>
    <xf numFmtId="2" fontId="2" fillId="0" borderId="8" xfId="0" applyNumberFormat="1" applyFont="1" applyBorder="1" applyAlignment="1">
      <alignment horizontal="center" vertical="center" wrapText="1"/>
    </xf>
    <xf numFmtId="2" fontId="6" fillId="0" borderId="7" xfId="0" applyNumberFormat="1" applyFont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7" fillId="0" borderId="11" xfId="0" applyFont="1"/>
    <xf numFmtId="0" fontId="7" fillId="0" borderId="11" xfId="0" applyFont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4" fontId="2" fillId="0" borderId="13" xfId="0" applyNumberFormat="1" applyFont="1" applyBorder="1" applyAlignment="1">
      <alignment horizontal="center" vertical="center" wrapText="1"/>
    </xf>
    <xf numFmtId="10" fontId="2" fillId="0" borderId="13" xfId="0" applyNumberFormat="1" applyFont="1" applyBorder="1" applyAlignment="1">
      <alignment horizontal="center" vertical="center" wrapText="1"/>
    </xf>
    <xf numFmtId="10" fontId="2" fillId="0" borderId="13" xfId="2" applyNumberFormat="1" applyFont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1" fillId="5" borderId="14" xfId="0" applyFont="1" applyFill="1" applyBorder="1" applyAlignment="1">
      <alignment horizontal="center" vertical="center" wrapText="1"/>
    </xf>
    <xf numFmtId="0" fontId="0" fillId="0" borderId="15" xfId="0" applyBorder="1"/>
    <xf numFmtId="0" fontId="1" fillId="2" borderId="13" xfId="0" applyFont="1" applyFill="1" applyBorder="1" applyAlignment="1">
      <alignment horizontal="center" vertical="center" wrapText="1"/>
    </xf>
    <xf numFmtId="0" fontId="0" fillId="0" borderId="2" xfId="0" applyBorder="1"/>
    <xf numFmtId="0" fontId="1" fillId="3" borderId="13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</cellXfs>
  <cellStyles count="3">
    <cellStyle name="Normal" xfId="0" builtinId="0"/>
    <cellStyle name="Percent" xfId="2" builtinId="5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顾问业绩奖金及绩效"/>
      <sheetName val="业绩奖金"/>
      <sheetName val="顾问签约明细"/>
      <sheetName val="顾问绩效"/>
      <sheetName val="pk奖金"/>
      <sheetName val="退费数据"/>
      <sheetName val="8月老带新"/>
      <sheetName val="个性化pk"/>
      <sheetName val="四六级pk"/>
    </sheetNames>
    <sheetDataSet>
      <sheetData sheetId="0">
        <row r="18">
          <cell r="B18" t="str">
            <v>苏乾楠</v>
          </cell>
          <cell r="AM18">
            <v>0.04</v>
          </cell>
          <cell r="AN18">
            <v>29750.511999999999</v>
          </cell>
        </row>
        <row r="19">
          <cell r="B19" t="str">
            <v>高龙明</v>
          </cell>
          <cell r="AM19">
            <v>0.05</v>
          </cell>
          <cell r="AN19">
            <v>42390.597500000003</v>
          </cell>
        </row>
        <row r="20">
          <cell r="B20" t="str">
            <v>陈露</v>
          </cell>
          <cell r="AM20">
            <v>8.0000000000000002E-3</v>
          </cell>
          <cell r="AN20">
            <v>3060.7719999999999</v>
          </cell>
        </row>
        <row r="21">
          <cell r="B21" t="str">
            <v>小组合计</v>
          </cell>
        </row>
        <row r="22">
          <cell r="B22" t="str">
            <v>钱雪冰</v>
          </cell>
          <cell r="AM22">
            <v>0.05</v>
          </cell>
          <cell r="AN22">
            <v>40625.595000000001</v>
          </cell>
        </row>
        <row r="23">
          <cell r="B23" t="str">
            <v>张乐</v>
          </cell>
          <cell r="AM23">
            <v>0</v>
          </cell>
          <cell r="AN23">
            <v>0</v>
          </cell>
        </row>
        <row r="24">
          <cell r="B24" t="str">
            <v>刘创</v>
          </cell>
          <cell r="AM24">
            <v>0.05</v>
          </cell>
          <cell r="AN24">
            <v>44624.745000000003</v>
          </cell>
        </row>
        <row r="25">
          <cell r="B25" t="str">
            <v>王钦</v>
          </cell>
          <cell r="AM25">
            <v>0.03</v>
          </cell>
          <cell r="AN25">
            <v>13066.089</v>
          </cell>
        </row>
        <row r="26">
          <cell r="B26" t="str">
            <v>小组合计</v>
          </cell>
        </row>
        <row r="27">
          <cell r="B27" t="str">
            <v>张俊旺</v>
          </cell>
          <cell r="AM27">
            <v>0.04</v>
          </cell>
          <cell r="AN27">
            <v>28862.133999999998</v>
          </cell>
        </row>
        <row r="28">
          <cell r="B28" t="str">
            <v>杨晓超</v>
          </cell>
          <cell r="AM28">
            <v>0.05</v>
          </cell>
          <cell r="AN28">
            <v>40689.678500000002</v>
          </cell>
        </row>
      </sheetData>
      <sheetData sheetId="1"/>
      <sheetData sheetId="2"/>
      <sheetData sheetId="3"/>
      <sheetData sheetId="4"/>
      <sheetData sheetId="5"/>
      <sheetData sheetId="6">
        <row r="15">
          <cell r="B15" t="str">
            <v>苏乾楠</v>
          </cell>
          <cell r="N15">
            <v>35000</v>
          </cell>
          <cell r="O15">
            <v>87176.8</v>
          </cell>
        </row>
        <row r="16">
          <cell r="B16" t="str">
            <v>杨晓超</v>
          </cell>
          <cell r="N16">
            <v>35000</v>
          </cell>
          <cell r="O16">
            <v>96909.8</v>
          </cell>
        </row>
        <row r="17">
          <cell r="B17" t="str">
            <v>钱雪冰</v>
          </cell>
          <cell r="N17">
            <v>35000</v>
          </cell>
          <cell r="O17">
            <v>18388.8</v>
          </cell>
        </row>
        <row r="18">
          <cell r="B18" t="str">
            <v>张乐</v>
          </cell>
          <cell r="N18">
            <v>35000</v>
          </cell>
          <cell r="O18">
            <v>135400</v>
          </cell>
        </row>
        <row r="19">
          <cell r="B19" t="str">
            <v>陈露</v>
          </cell>
          <cell r="N19">
            <v>35000</v>
          </cell>
          <cell r="O19">
            <v>0</v>
          </cell>
        </row>
        <row r="20">
          <cell r="B20" t="str">
            <v>刘创</v>
          </cell>
          <cell r="N20">
            <v>35000</v>
          </cell>
          <cell r="O20">
            <v>80301.899999999994</v>
          </cell>
        </row>
        <row r="21">
          <cell r="B21" t="str">
            <v>高龙明</v>
          </cell>
          <cell r="N21">
            <v>35000</v>
          </cell>
          <cell r="O21">
            <v>100803</v>
          </cell>
        </row>
        <row r="22">
          <cell r="B22" t="str">
            <v>张俊旺</v>
          </cell>
          <cell r="N22">
            <v>35000</v>
          </cell>
          <cell r="O22">
            <v>0</v>
          </cell>
        </row>
        <row r="23">
          <cell r="B23" t="str">
            <v>王钦</v>
          </cell>
          <cell r="N23">
            <v>18000</v>
          </cell>
          <cell r="O23">
            <v>6130</v>
          </cell>
        </row>
      </sheetData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顾问业绩奖金及绩效"/>
      <sheetName val="业绩奖金"/>
      <sheetName val="顾问签约明细"/>
      <sheetName val="顾问绩效"/>
      <sheetName val="pk奖金"/>
      <sheetName val="退费数据"/>
      <sheetName val="2+3月老带新"/>
      <sheetName val="组长月度绩效"/>
      <sheetName val="组长季度绩效"/>
      <sheetName val="Sheet1"/>
    </sheetNames>
    <sheetDataSet>
      <sheetData sheetId="0"/>
      <sheetData sheetId="1"/>
      <sheetData sheetId="2"/>
      <sheetData sheetId="3">
        <row r="3">
          <cell r="B3" t="str">
            <v>苏乾楠</v>
          </cell>
          <cell r="T3">
            <v>100</v>
          </cell>
          <cell r="U3">
            <v>1</v>
          </cell>
          <cell r="V3">
            <v>4000</v>
          </cell>
          <cell r="W3">
            <v>4000</v>
          </cell>
        </row>
        <row r="4">
          <cell r="B4" t="str">
            <v>杨晓超</v>
          </cell>
          <cell r="T4">
            <v>100</v>
          </cell>
          <cell r="U4">
            <v>1</v>
          </cell>
          <cell r="V4">
            <v>4000</v>
          </cell>
          <cell r="W4">
            <v>4000</v>
          </cell>
        </row>
        <row r="5">
          <cell r="B5" t="str">
            <v>张俊旺</v>
          </cell>
          <cell r="T5">
            <v>81.794871794871796</v>
          </cell>
          <cell r="U5">
            <v>0.81794871794871804</v>
          </cell>
          <cell r="V5">
            <v>2000</v>
          </cell>
          <cell r="W5">
            <v>1635.8974358974399</v>
          </cell>
        </row>
        <row r="6">
          <cell r="B6" t="str">
            <v>张乐</v>
          </cell>
          <cell r="T6">
            <v>96.955208333333303</v>
          </cell>
          <cell r="U6">
            <v>1</v>
          </cell>
          <cell r="V6">
            <v>4000</v>
          </cell>
          <cell r="W6">
            <v>4000</v>
          </cell>
        </row>
        <row r="7">
          <cell r="B7" t="str">
            <v>徐铁</v>
          </cell>
          <cell r="T7">
            <v>100</v>
          </cell>
          <cell r="U7">
            <v>1</v>
          </cell>
          <cell r="V7">
            <v>4000</v>
          </cell>
          <cell r="W7">
            <v>4000</v>
          </cell>
        </row>
        <row r="8">
          <cell r="B8" t="str">
            <v>刘创</v>
          </cell>
          <cell r="T8">
            <v>50</v>
          </cell>
          <cell r="U8">
            <v>0</v>
          </cell>
          <cell r="V8">
            <v>4000</v>
          </cell>
          <cell r="W8">
            <v>0</v>
          </cell>
        </row>
        <row r="9">
          <cell r="B9" t="str">
            <v>高龙明</v>
          </cell>
          <cell r="T9">
            <v>85.853333333333296</v>
          </cell>
          <cell r="U9">
            <v>0.92</v>
          </cell>
          <cell r="V9">
            <v>2000</v>
          </cell>
          <cell r="W9">
            <v>1840</v>
          </cell>
        </row>
        <row r="10">
          <cell r="B10" t="str">
            <v>王钦</v>
          </cell>
          <cell r="T10">
            <v>89.047916666666694</v>
          </cell>
          <cell r="U10">
            <v>0.98</v>
          </cell>
          <cell r="V10">
            <v>4000</v>
          </cell>
          <cell r="W10">
            <v>3920</v>
          </cell>
        </row>
        <row r="11">
          <cell r="B11" t="str">
            <v>鲁子寒</v>
          </cell>
          <cell r="T11">
            <v>66.866666666666703</v>
          </cell>
          <cell r="U11">
            <v>0</v>
          </cell>
          <cell r="V11">
            <v>4000</v>
          </cell>
          <cell r="W11">
            <v>0</v>
          </cell>
        </row>
        <row r="12">
          <cell r="B12" t="str">
            <v>张恒磊</v>
          </cell>
          <cell r="T12">
            <v>100</v>
          </cell>
          <cell r="U12">
            <v>1</v>
          </cell>
          <cell r="V12">
            <v>4000</v>
          </cell>
          <cell r="W12">
            <v>4000</v>
          </cell>
        </row>
        <row r="13">
          <cell r="B13" t="str">
            <v>王鹤琛</v>
          </cell>
          <cell r="T13">
            <v>100</v>
          </cell>
          <cell r="U13">
            <v>1</v>
          </cell>
          <cell r="V13">
            <v>4000</v>
          </cell>
          <cell r="W13">
            <v>4000</v>
          </cell>
        </row>
      </sheetData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5"/>
  <sheetViews>
    <sheetView zoomScale="147" workbookViewId="0">
      <pane xSplit="5" ySplit="2" topLeftCell="Q133" activePane="bottomRight" state="frozen"/>
      <selection pane="topRight"/>
      <selection pane="bottomLeft"/>
      <selection pane="bottomRight" activeCell="C135" sqref="C135"/>
    </sheetView>
  </sheetViews>
  <sheetFormatPr defaultRowHeight="14.25" x14ac:dyDescent="0.45"/>
  <cols>
    <col min="1" max="1" width="20.53125" customWidth="1"/>
    <col min="2" max="2" width="14" customWidth="1"/>
    <col min="3" max="3" width="11" customWidth="1"/>
    <col min="4" max="4" width="24" customWidth="1"/>
    <col min="5" max="5" width="22" customWidth="1"/>
    <col min="6" max="8" width="12" customWidth="1"/>
    <col min="9" max="12" width="13" customWidth="1"/>
    <col min="13" max="13" width="17.1328125" customWidth="1"/>
    <col min="14" max="14" width="13" customWidth="1"/>
    <col min="15" max="15" width="15" customWidth="1"/>
    <col min="16" max="20" width="13" customWidth="1"/>
    <col min="21" max="21" width="15.796875" customWidth="1"/>
    <col min="22" max="22" width="10.1328125" customWidth="1"/>
    <col min="23" max="23" width="12" customWidth="1"/>
    <col min="24" max="25" width="10" customWidth="1"/>
    <col min="26" max="26" width="15.19921875" customWidth="1"/>
    <col min="27" max="27" width="12" customWidth="1"/>
  </cols>
  <sheetData>
    <row r="1" spans="1:27" ht="27" customHeight="1" x14ac:dyDescent="0.45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6" t="s">
        <v>5</v>
      </c>
      <c r="G1" s="66" t="s">
        <v>37</v>
      </c>
      <c r="H1" s="66" t="s">
        <v>38</v>
      </c>
      <c r="I1" s="59" t="s">
        <v>39</v>
      </c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1"/>
      <c r="X1" s="68" t="s">
        <v>40</v>
      </c>
      <c r="Y1" s="60"/>
      <c r="Z1" s="60"/>
      <c r="AA1" s="61"/>
    </row>
    <row r="2" spans="1:27" ht="24.75" customHeight="1" x14ac:dyDescent="0.45">
      <c r="A2" s="65"/>
      <c r="B2" s="65"/>
      <c r="C2" s="65"/>
      <c r="D2" s="65"/>
      <c r="E2" s="65"/>
      <c r="F2" s="65"/>
      <c r="G2" s="65"/>
      <c r="H2" s="65"/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22</v>
      </c>
      <c r="T2" s="1" t="s">
        <v>51</v>
      </c>
      <c r="U2" s="1" t="s">
        <v>52</v>
      </c>
      <c r="V2" s="1" t="s">
        <v>17</v>
      </c>
      <c r="W2" s="1" t="s">
        <v>53</v>
      </c>
      <c r="X2" s="2" t="s">
        <v>54</v>
      </c>
      <c r="Y2" s="2" t="s">
        <v>55</v>
      </c>
      <c r="Z2" s="2" t="s">
        <v>56</v>
      </c>
      <c r="AA2" s="2" t="s">
        <v>57</v>
      </c>
    </row>
    <row r="3" spans="1:27" ht="15" hidden="1" customHeight="1" x14ac:dyDescent="0.45">
      <c r="A3" s="3">
        <v>45809</v>
      </c>
      <c r="B3" s="4" t="s">
        <v>58</v>
      </c>
      <c r="C3" s="4" t="s">
        <v>59</v>
      </c>
      <c r="D3" s="4" t="s">
        <v>60</v>
      </c>
      <c r="E3" s="4" t="s">
        <v>29</v>
      </c>
      <c r="F3" s="5">
        <f t="shared" ref="F3:F34" si="0">G3+H3</f>
        <v>21454.166379999999</v>
      </c>
      <c r="G3" s="5">
        <f>AA3</f>
        <v>1660</v>
      </c>
      <c r="H3" s="5">
        <f>W3</f>
        <v>19794.166379999999</v>
      </c>
      <c r="I3" s="5">
        <v>1276000</v>
      </c>
      <c r="J3" s="4"/>
      <c r="K3" s="4">
        <v>1330516.6000000001</v>
      </c>
      <c r="L3" s="4">
        <v>-256375.1</v>
      </c>
      <c r="M3" s="4">
        <v>-252202.2</v>
      </c>
      <c r="N3" s="5">
        <v>1078314.3999999999</v>
      </c>
      <c r="O3" s="7"/>
      <c r="P3" s="5">
        <v>21361.51</v>
      </c>
      <c r="Q3" s="5">
        <v>0</v>
      </c>
      <c r="R3" s="5">
        <v>21361.51</v>
      </c>
      <c r="S3" s="5">
        <v>150000</v>
      </c>
      <c r="T3" s="5">
        <v>63450</v>
      </c>
      <c r="U3" s="7">
        <v>0.42299999999999999</v>
      </c>
      <c r="V3" s="7">
        <v>1.7999999999999999E-2</v>
      </c>
      <c r="W3" s="5">
        <v>19794.166379999999</v>
      </c>
      <c r="X3" s="5">
        <v>83</v>
      </c>
      <c r="Y3" s="7">
        <v>0.83</v>
      </c>
      <c r="Z3" s="5">
        <v>2000</v>
      </c>
      <c r="AA3" s="5">
        <v>1660</v>
      </c>
    </row>
    <row r="4" spans="1:27" ht="15" hidden="1" customHeight="1" x14ac:dyDescent="0.45">
      <c r="A4" s="3">
        <v>45809</v>
      </c>
      <c r="B4" s="4" t="s">
        <v>61</v>
      </c>
      <c r="C4" s="4" t="s">
        <v>59</v>
      </c>
      <c r="D4" s="4" t="s">
        <v>60</v>
      </c>
      <c r="E4" s="4" t="s">
        <v>29</v>
      </c>
      <c r="F4" s="5">
        <f t="shared" si="0"/>
        <v>6771.5612000000001</v>
      </c>
      <c r="G4" s="5">
        <v>0</v>
      </c>
      <c r="H4" s="5">
        <v>6771.5612000000001</v>
      </c>
      <c r="I4" s="5">
        <v>1276000</v>
      </c>
      <c r="J4" s="4"/>
      <c r="K4" s="5">
        <v>946489.8</v>
      </c>
      <c r="L4" s="5">
        <v>-130620.05</v>
      </c>
      <c r="M4" s="5">
        <v>28600</v>
      </c>
      <c r="N4" s="5">
        <v>844469.75</v>
      </c>
      <c r="O4" s="4"/>
      <c r="P4" s="5">
        <v>1975.4</v>
      </c>
      <c r="Q4" s="5">
        <v>0</v>
      </c>
      <c r="R4" s="5">
        <v>1975.4</v>
      </c>
      <c r="S4" s="5">
        <v>150000</v>
      </c>
      <c r="T4" s="5">
        <v>28300</v>
      </c>
      <c r="U4" s="7">
        <v>0.18866666666666701</v>
      </c>
      <c r="V4" s="7">
        <v>8.0000000000000002E-3</v>
      </c>
      <c r="W4" s="5">
        <v>6771.5612000000001</v>
      </c>
      <c r="X4" s="5">
        <v>47</v>
      </c>
      <c r="Y4" s="7">
        <v>0</v>
      </c>
      <c r="Z4" s="5">
        <v>2000</v>
      </c>
      <c r="AA4" s="5">
        <v>0</v>
      </c>
    </row>
    <row r="5" spans="1:27" ht="15" hidden="1" customHeight="1" x14ac:dyDescent="0.45">
      <c r="A5" s="3">
        <v>45809</v>
      </c>
      <c r="B5" s="4" t="s">
        <v>62</v>
      </c>
      <c r="C5" s="4" t="s">
        <v>59</v>
      </c>
      <c r="D5" s="4" t="s">
        <v>60</v>
      </c>
      <c r="E5" s="4" t="s">
        <v>29</v>
      </c>
      <c r="F5" s="5">
        <f t="shared" si="0"/>
        <v>37659.008000000002</v>
      </c>
      <c r="G5" s="5">
        <v>2000</v>
      </c>
      <c r="H5" s="5">
        <v>35659.008000000002</v>
      </c>
      <c r="I5" s="5">
        <v>1160000</v>
      </c>
      <c r="J5" s="4"/>
      <c r="K5" s="5">
        <v>1505395.15</v>
      </c>
      <c r="L5" s="5">
        <v>-370737.55</v>
      </c>
      <c r="M5" s="5">
        <v>0</v>
      </c>
      <c r="N5" s="5">
        <v>1134657.6000000001</v>
      </c>
      <c r="O5" s="4"/>
      <c r="P5" s="5">
        <v>57510.5</v>
      </c>
      <c r="Q5" s="5">
        <v>-3534.5</v>
      </c>
      <c r="R5" s="5">
        <v>53976</v>
      </c>
      <c r="S5" s="5">
        <v>150000</v>
      </c>
      <c r="T5" s="5">
        <v>228120</v>
      </c>
      <c r="U5" s="7">
        <v>1.5207999999999999</v>
      </c>
      <c r="V5" s="7">
        <v>0.03</v>
      </c>
      <c r="W5" s="5">
        <v>35659.008000000002</v>
      </c>
      <c r="X5" s="5">
        <v>107</v>
      </c>
      <c r="Y5" s="7">
        <v>1</v>
      </c>
      <c r="Z5" s="5">
        <v>2000</v>
      </c>
      <c r="AA5" s="5">
        <v>2000</v>
      </c>
    </row>
    <row r="6" spans="1:27" ht="15" hidden="1" customHeight="1" x14ac:dyDescent="0.45">
      <c r="A6" s="3">
        <v>45809</v>
      </c>
      <c r="B6" s="4" t="s">
        <v>63</v>
      </c>
      <c r="C6" s="4" t="s">
        <v>59</v>
      </c>
      <c r="D6" s="4" t="s">
        <v>60</v>
      </c>
      <c r="E6" s="4" t="s">
        <v>29</v>
      </c>
      <c r="F6" s="5">
        <f t="shared" si="0"/>
        <v>58304.008000000002</v>
      </c>
      <c r="G6" s="5">
        <v>1600</v>
      </c>
      <c r="H6" s="5">
        <v>56704.008000000002</v>
      </c>
      <c r="I6" s="5">
        <v>1160000</v>
      </c>
      <c r="J6" s="4"/>
      <c r="K6" s="5">
        <v>1742439.8</v>
      </c>
      <c r="L6" s="5">
        <v>-353710.9</v>
      </c>
      <c r="M6" s="5">
        <v>4880</v>
      </c>
      <c r="N6" s="5">
        <v>1393608.9</v>
      </c>
      <c r="O6" s="4"/>
      <c r="P6" s="5">
        <v>25966.7</v>
      </c>
      <c r="Q6" s="5">
        <v>-1975.4</v>
      </c>
      <c r="R6" s="5">
        <v>23991.3</v>
      </c>
      <c r="S6" s="5">
        <v>150000</v>
      </c>
      <c r="T6" s="5">
        <v>77480</v>
      </c>
      <c r="U6" s="7">
        <v>0.51653333333333296</v>
      </c>
      <c r="V6" s="7">
        <v>0.04</v>
      </c>
      <c r="W6" s="5">
        <v>56704.008000000002</v>
      </c>
      <c r="X6" s="5">
        <v>80</v>
      </c>
      <c r="Y6" s="7">
        <v>0.8</v>
      </c>
      <c r="Z6" s="5">
        <v>2000</v>
      </c>
      <c r="AA6" s="5">
        <v>1600</v>
      </c>
    </row>
    <row r="7" spans="1:27" ht="15" hidden="1" customHeight="1" x14ac:dyDescent="0.45">
      <c r="A7" s="3">
        <v>45809</v>
      </c>
      <c r="B7" s="4" t="s">
        <v>64</v>
      </c>
      <c r="C7" s="4" t="s">
        <v>59</v>
      </c>
      <c r="D7" s="4" t="s">
        <v>60</v>
      </c>
      <c r="E7" s="4" t="s">
        <v>29</v>
      </c>
      <c r="F7" s="5">
        <f t="shared" si="0"/>
        <v>4970.7503999999999</v>
      </c>
      <c r="G7" s="5">
        <v>0</v>
      </c>
      <c r="H7" s="5">
        <v>4970.7503999999999</v>
      </c>
      <c r="I7" s="5">
        <v>1276000</v>
      </c>
      <c r="J7" s="4"/>
      <c r="K7" s="5">
        <v>1027042.35</v>
      </c>
      <c r="L7" s="5">
        <v>-405698.55</v>
      </c>
      <c r="M7" s="5">
        <v>0</v>
      </c>
      <c r="N7" s="5">
        <v>621343.80000000005</v>
      </c>
      <c r="O7" s="4"/>
      <c r="P7" s="5">
        <v>0</v>
      </c>
      <c r="Q7" s="5">
        <v>0</v>
      </c>
      <c r="R7" s="5">
        <v>0</v>
      </c>
      <c r="S7" s="5">
        <v>150000</v>
      </c>
      <c r="T7" s="5">
        <v>45618.5</v>
      </c>
      <c r="U7" s="7">
        <v>0.30412333333333302</v>
      </c>
      <c r="V7" s="7">
        <v>8.0000000000000002E-3</v>
      </c>
      <c r="W7" s="5">
        <v>4970.7503999999999</v>
      </c>
      <c r="X7" s="5">
        <v>45</v>
      </c>
      <c r="Y7" s="7">
        <v>0</v>
      </c>
      <c r="Z7" s="5">
        <v>2000</v>
      </c>
      <c r="AA7" s="5">
        <v>0</v>
      </c>
    </row>
    <row r="8" spans="1:27" ht="15" hidden="1" customHeight="1" x14ac:dyDescent="0.45">
      <c r="A8" s="3">
        <v>45809</v>
      </c>
      <c r="B8" s="4" t="s">
        <v>65</v>
      </c>
      <c r="C8" s="4" t="s">
        <v>59</v>
      </c>
      <c r="D8" s="4" t="s">
        <v>60</v>
      </c>
      <c r="E8" s="4" t="s">
        <v>29</v>
      </c>
      <c r="F8" s="5">
        <f t="shared" si="0"/>
        <v>0</v>
      </c>
      <c r="G8" s="5">
        <v>0</v>
      </c>
      <c r="H8" s="5">
        <v>0</v>
      </c>
      <c r="I8" s="5">
        <v>1276000</v>
      </c>
      <c r="J8" s="4"/>
      <c r="K8" s="5">
        <v>649070</v>
      </c>
      <c r="L8" s="5">
        <v>-176315.5</v>
      </c>
      <c r="M8" s="5">
        <v>66134</v>
      </c>
      <c r="N8" s="5">
        <v>538888.5</v>
      </c>
      <c r="O8" s="4"/>
      <c r="P8" s="5">
        <v>13827.9</v>
      </c>
      <c r="Q8" s="5">
        <v>0</v>
      </c>
      <c r="R8" s="5">
        <v>13827.9</v>
      </c>
      <c r="S8" s="5">
        <v>150000</v>
      </c>
      <c r="T8" s="5">
        <v>0</v>
      </c>
      <c r="U8" s="7">
        <v>0</v>
      </c>
      <c r="V8" s="7">
        <v>0</v>
      </c>
      <c r="W8" s="5">
        <v>0</v>
      </c>
      <c r="X8" s="5">
        <v>0</v>
      </c>
      <c r="Y8" s="7">
        <v>0</v>
      </c>
      <c r="Z8" s="5">
        <v>2000</v>
      </c>
      <c r="AA8" s="5">
        <v>0</v>
      </c>
    </row>
    <row r="9" spans="1:27" ht="15" hidden="1" customHeight="1" x14ac:dyDescent="0.45">
      <c r="A9" s="3">
        <v>45809</v>
      </c>
      <c r="B9" s="4" t="s">
        <v>66</v>
      </c>
      <c r="C9" s="4" t="s">
        <v>59</v>
      </c>
      <c r="D9" s="4" t="s">
        <v>60</v>
      </c>
      <c r="E9" s="4" t="s">
        <v>29</v>
      </c>
      <c r="F9" s="5">
        <f t="shared" si="0"/>
        <v>89263.095000000001</v>
      </c>
      <c r="G9" s="5">
        <v>0</v>
      </c>
      <c r="H9" s="5">
        <v>89263.095000000001</v>
      </c>
      <c r="I9" s="5">
        <v>1160000</v>
      </c>
      <c r="J9" s="4"/>
      <c r="K9" s="5">
        <v>2178352</v>
      </c>
      <c r="L9" s="5">
        <v>-374422.5</v>
      </c>
      <c r="M9" s="5">
        <v>-43100</v>
      </c>
      <c r="N9" s="5">
        <v>1760829.5</v>
      </c>
      <c r="O9" s="4"/>
      <c r="P9" s="5">
        <v>24432.400000000001</v>
      </c>
      <c r="Q9" s="5">
        <v>0</v>
      </c>
      <c r="R9" s="5">
        <v>24432.400000000001</v>
      </c>
      <c r="S9" s="5">
        <v>150000</v>
      </c>
      <c r="T9" s="5">
        <v>81769.3</v>
      </c>
      <c r="U9" s="7">
        <v>0.54512866666666704</v>
      </c>
      <c r="V9" s="7">
        <v>0.05</v>
      </c>
      <c r="W9" s="5">
        <v>89263.095000000001</v>
      </c>
      <c r="X9" s="5">
        <v>68</v>
      </c>
      <c r="Y9" s="7">
        <v>0</v>
      </c>
      <c r="Z9" s="5">
        <v>2000</v>
      </c>
      <c r="AA9" s="5">
        <v>0</v>
      </c>
    </row>
    <row r="10" spans="1:27" ht="15" hidden="1" customHeight="1" x14ac:dyDescent="0.45">
      <c r="A10" s="3">
        <v>45809</v>
      </c>
      <c r="B10" s="4" t="s">
        <v>67</v>
      </c>
      <c r="C10" s="4" t="s">
        <v>59</v>
      </c>
      <c r="D10" s="4" t="s">
        <v>60</v>
      </c>
      <c r="E10" s="4" t="s">
        <v>68</v>
      </c>
      <c r="F10" s="5">
        <f t="shared" si="0"/>
        <v>37266.083500000001</v>
      </c>
      <c r="G10" s="5">
        <v>1000</v>
      </c>
      <c r="H10" s="5">
        <v>36266.083500000001</v>
      </c>
      <c r="I10" s="5">
        <v>1160000</v>
      </c>
      <c r="J10" s="4"/>
      <c r="K10" s="5">
        <v>1832731</v>
      </c>
      <c r="L10" s="5">
        <v>-711320.45</v>
      </c>
      <c r="M10" s="5">
        <v>21500</v>
      </c>
      <c r="N10" s="5">
        <v>1142910.55</v>
      </c>
      <c r="O10" s="4"/>
      <c r="P10" s="5">
        <v>66237.899999999994</v>
      </c>
      <c r="Q10" s="5">
        <v>-279</v>
      </c>
      <c r="R10" s="5">
        <v>65958.899999999994</v>
      </c>
      <c r="S10" s="5">
        <v>150000</v>
      </c>
      <c r="T10" s="5">
        <v>337186.8</v>
      </c>
      <c r="U10" s="7">
        <v>2.2479119999999999</v>
      </c>
      <c r="V10" s="7">
        <v>0.03</v>
      </c>
      <c r="W10" s="5">
        <v>36266.083500000001</v>
      </c>
      <c r="X10" s="5">
        <v>115</v>
      </c>
      <c r="Y10" s="7">
        <v>1</v>
      </c>
      <c r="Z10" s="5">
        <v>1000</v>
      </c>
      <c r="AA10" s="5">
        <v>1000</v>
      </c>
    </row>
    <row r="11" spans="1:27" ht="15" hidden="1" customHeight="1" x14ac:dyDescent="0.45">
      <c r="A11" s="3">
        <v>45809</v>
      </c>
      <c r="B11" s="4" t="s">
        <v>69</v>
      </c>
      <c r="C11" s="4" t="s">
        <v>59</v>
      </c>
      <c r="D11" s="4" t="s">
        <v>60</v>
      </c>
      <c r="E11" s="4" t="s">
        <v>68</v>
      </c>
      <c r="F11" s="5">
        <f t="shared" si="0"/>
        <v>16832.235960000002</v>
      </c>
      <c r="G11" s="5">
        <v>0</v>
      </c>
      <c r="H11" s="5">
        <v>16832.235960000002</v>
      </c>
      <c r="I11" s="5">
        <v>1160000</v>
      </c>
      <c r="J11" s="4"/>
      <c r="K11" s="5">
        <v>928247.4</v>
      </c>
      <c r="L11" s="5">
        <v>-70362.399999999994</v>
      </c>
      <c r="M11" s="5">
        <v>0</v>
      </c>
      <c r="N11" s="5">
        <v>857885</v>
      </c>
      <c r="O11" s="4"/>
      <c r="P11" s="5">
        <v>91700.6</v>
      </c>
      <c r="Q11" s="5">
        <v>-14461.38</v>
      </c>
      <c r="R11" s="5">
        <v>77239.22</v>
      </c>
      <c r="S11" s="5">
        <v>80000</v>
      </c>
      <c r="T11" s="5">
        <v>5980</v>
      </c>
      <c r="U11" s="7">
        <v>7.4749999999999997E-2</v>
      </c>
      <c r="V11" s="7">
        <v>1.7999999999999999E-2</v>
      </c>
      <c r="W11" s="5">
        <v>16832.235960000002</v>
      </c>
      <c r="X11" s="5">
        <v>60</v>
      </c>
      <c r="Y11" s="7">
        <v>0</v>
      </c>
      <c r="Z11" s="5">
        <v>1000</v>
      </c>
      <c r="AA11" s="5">
        <v>0</v>
      </c>
    </row>
    <row r="12" spans="1:27" ht="15" hidden="1" customHeight="1" x14ac:dyDescent="0.45">
      <c r="A12" s="3">
        <v>45809</v>
      </c>
      <c r="B12" s="4" t="s">
        <v>70</v>
      </c>
      <c r="C12" s="4" t="s">
        <v>59</v>
      </c>
      <c r="D12" s="4" t="s">
        <v>60</v>
      </c>
      <c r="E12" s="4" t="s">
        <v>29</v>
      </c>
      <c r="F12" s="5">
        <f t="shared" si="0"/>
        <v>13514</v>
      </c>
      <c r="G12" s="5">
        <v>2000</v>
      </c>
      <c r="H12" s="5">
        <v>11514</v>
      </c>
      <c r="I12" s="5">
        <v>60000</v>
      </c>
      <c r="J12" s="4"/>
      <c r="K12" s="5">
        <v>230280</v>
      </c>
      <c r="L12" s="5">
        <v>0</v>
      </c>
      <c r="M12" s="5">
        <v>0</v>
      </c>
      <c r="N12" s="5">
        <v>230280</v>
      </c>
      <c r="O12" s="4"/>
      <c r="P12" s="5">
        <v>0</v>
      </c>
      <c r="Q12" s="5">
        <v>0</v>
      </c>
      <c r="R12" s="5">
        <v>0</v>
      </c>
      <c r="S12" s="6">
        <v>0</v>
      </c>
      <c r="T12" s="5">
        <v>35300</v>
      </c>
      <c r="U12" s="7"/>
      <c r="V12" s="7">
        <v>0.05</v>
      </c>
      <c r="W12" s="5">
        <v>11514</v>
      </c>
      <c r="X12" s="5">
        <v>100</v>
      </c>
      <c r="Y12" s="7">
        <v>1</v>
      </c>
      <c r="Z12" s="5">
        <v>2000</v>
      </c>
      <c r="AA12" s="5">
        <v>2000</v>
      </c>
    </row>
    <row r="13" spans="1:27" ht="15" hidden="1" customHeight="1" x14ac:dyDescent="0.45">
      <c r="A13" s="3">
        <v>45809</v>
      </c>
      <c r="B13" s="4" t="s">
        <v>71</v>
      </c>
      <c r="C13" s="4" t="s">
        <v>59</v>
      </c>
      <c r="D13" s="4" t="s">
        <v>60</v>
      </c>
      <c r="E13" s="4" t="s">
        <v>29</v>
      </c>
      <c r="F13" s="5">
        <f t="shared" si="0"/>
        <v>923.07692307692298</v>
      </c>
      <c r="G13" s="5">
        <v>923.07692307692298</v>
      </c>
      <c r="H13" s="5">
        <v>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6">
        <v>0</v>
      </c>
      <c r="T13" s="6">
        <v>0</v>
      </c>
      <c r="U13" s="7">
        <v>0</v>
      </c>
      <c r="V13" s="4"/>
      <c r="W13" s="4"/>
      <c r="X13" s="5">
        <v>0</v>
      </c>
      <c r="Y13" s="7">
        <v>0</v>
      </c>
      <c r="Z13" s="5">
        <v>2000</v>
      </c>
      <c r="AA13" s="5">
        <v>923.07692307692298</v>
      </c>
    </row>
    <row r="14" spans="1:27" ht="15" hidden="1" customHeight="1" x14ac:dyDescent="0.45">
      <c r="A14" s="3">
        <v>45839</v>
      </c>
      <c r="B14" s="4" t="s">
        <v>58</v>
      </c>
      <c r="C14" s="4" t="s">
        <v>59</v>
      </c>
      <c r="D14" s="4" t="s">
        <v>60</v>
      </c>
      <c r="E14" s="4" t="s">
        <v>29</v>
      </c>
      <c r="F14" s="5">
        <f t="shared" si="0"/>
        <v>1740</v>
      </c>
      <c r="G14" s="5">
        <f>AA14</f>
        <v>1740</v>
      </c>
      <c r="H14" s="5">
        <f>W14</f>
        <v>0</v>
      </c>
      <c r="I14" s="5">
        <v>1120000</v>
      </c>
      <c r="J14" s="4"/>
      <c r="K14" s="5">
        <v>644772</v>
      </c>
      <c r="L14" s="5">
        <v>-481046</v>
      </c>
      <c r="M14" s="5">
        <v>-502148</v>
      </c>
      <c r="N14" s="5">
        <v>142624</v>
      </c>
      <c r="P14" s="5">
        <v>24115</v>
      </c>
      <c r="Q14" s="5">
        <v>0</v>
      </c>
      <c r="R14" s="5">
        <v>24115</v>
      </c>
      <c r="S14" s="5">
        <v>150000</v>
      </c>
      <c r="T14" s="5">
        <v>72230</v>
      </c>
      <c r="U14" s="7">
        <v>0.48</v>
      </c>
      <c r="V14" s="7">
        <v>0</v>
      </c>
      <c r="W14" s="5">
        <v>0</v>
      </c>
      <c r="X14" s="5">
        <v>87</v>
      </c>
      <c r="Y14" s="7">
        <v>0.87</v>
      </c>
      <c r="Z14" s="5">
        <v>2000</v>
      </c>
      <c r="AA14" s="5">
        <v>1740</v>
      </c>
    </row>
    <row r="15" spans="1:27" ht="15" hidden="1" customHeight="1" x14ac:dyDescent="0.45">
      <c r="A15" s="3">
        <v>45839</v>
      </c>
      <c r="B15" s="4" t="s">
        <v>64</v>
      </c>
      <c r="C15" s="4" t="s">
        <v>59</v>
      </c>
      <c r="D15" s="4" t="s">
        <v>60</v>
      </c>
      <c r="E15" s="4" t="s">
        <v>29</v>
      </c>
      <c r="F15" s="5">
        <f t="shared" si="0"/>
        <v>38517.980000000003</v>
      </c>
      <c r="G15" s="5">
        <v>1460</v>
      </c>
      <c r="H15" s="5">
        <v>37057.980000000003</v>
      </c>
      <c r="I15" s="5">
        <v>1232000</v>
      </c>
      <c r="J15" s="4"/>
      <c r="K15" s="5">
        <v>1571381</v>
      </c>
      <c r="L15" s="5">
        <v>-338710</v>
      </c>
      <c r="M15" s="5">
        <v>5265</v>
      </c>
      <c r="N15" s="5">
        <v>1237937</v>
      </c>
      <c r="O15" s="4"/>
      <c r="P15" s="5">
        <v>1097</v>
      </c>
      <c r="Q15" s="5">
        <v>-3767</v>
      </c>
      <c r="R15" s="5">
        <v>-2671</v>
      </c>
      <c r="S15" s="6">
        <v>4</v>
      </c>
      <c r="T15" s="6">
        <v>2</v>
      </c>
      <c r="U15" s="7">
        <v>0.5</v>
      </c>
      <c r="V15" s="7">
        <v>0.03</v>
      </c>
      <c r="W15" s="5">
        <v>0.03</v>
      </c>
      <c r="X15" s="5">
        <v>73</v>
      </c>
      <c r="Y15" s="7">
        <v>0.73</v>
      </c>
      <c r="Z15" s="5">
        <v>2000</v>
      </c>
      <c r="AA15" s="5">
        <v>1460</v>
      </c>
    </row>
    <row r="16" spans="1:27" ht="15" hidden="1" customHeight="1" x14ac:dyDescent="0.45">
      <c r="A16" s="3">
        <v>45839</v>
      </c>
      <c r="B16" s="4" t="s">
        <v>69</v>
      </c>
      <c r="C16" s="4" t="s">
        <v>59</v>
      </c>
      <c r="D16" s="4" t="s">
        <v>60</v>
      </c>
      <c r="E16" s="4" t="s">
        <v>68</v>
      </c>
      <c r="F16" s="5">
        <f t="shared" si="0"/>
        <v>1000</v>
      </c>
      <c r="G16" s="5">
        <v>1000</v>
      </c>
      <c r="H16" s="5">
        <v>0</v>
      </c>
      <c r="I16" s="5">
        <v>1120000</v>
      </c>
      <c r="J16" s="4"/>
      <c r="K16" s="5">
        <v>417500</v>
      </c>
      <c r="L16" s="5">
        <v>-137518</v>
      </c>
      <c r="M16" s="5">
        <v>0</v>
      </c>
      <c r="N16" s="5">
        <v>279982</v>
      </c>
      <c r="O16" s="4"/>
      <c r="P16" s="5">
        <v>49497</v>
      </c>
      <c r="Q16" s="5">
        <v>-23863</v>
      </c>
      <c r="R16" s="5">
        <v>25635</v>
      </c>
      <c r="S16" s="6">
        <v>2</v>
      </c>
      <c r="T16" s="6">
        <v>1</v>
      </c>
      <c r="U16" s="7">
        <v>0.5</v>
      </c>
      <c r="V16" s="7">
        <v>0</v>
      </c>
      <c r="W16" s="5">
        <v>0</v>
      </c>
      <c r="X16" s="5">
        <v>61</v>
      </c>
      <c r="Y16" s="7">
        <v>1</v>
      </c>
      <c r="Z16" s="5">
        <v>1000</v>
      </c>
      <c r="AA16" s="5">
        <v>1000</v>
      </c>
    </row>
    <row r="17" spans="1:27" ht="15" hidden="1" customHeight="1" x14ac:dyDescent="0.45">
      <c r="A17" s="3">
        <v>45839</v>
      </c>
      <c r="B17" s="4" t="s">
        <v>62</v>
      </c>
      <c r="C17" s="4" t="s">
        <v>59</v>
      </c>
      <c r="D17" s="4" t="s">
        <v>60</v>
      </c>
      <c r="E17" s="4" t="s">
        <v>29</v>
      </c>
      <c r="F17" s="5">
        <f t="shared" si="0"/>
        <v>56047.32</v>
      </c>
      <c r="G17" s="5">
        <v>1780</v>
      </c>
      <c r="H17" s="5">
        <v>54267.32</v>
      </c>
      <c r="I17" s="5">
        <v>1120000</v>
      </c>
      <c r="J17" s="4"/>
      <c r="K17" s="5">
        <v>1696550</v>
      </c>
      <c r="L17" s="5">
        <v>-403918</v>
      </c>
      <c r="M17" s="5">
        <v>9750</v>
      </c>
      <c r="N17" s="5">
        <v>1302382</v>
      </c>
      <c r="O17" s="4"/>
      <c r="P17" s="5">
        <v>82071</v>
      </c>
      <c r="Q17" s="5">
        <v>-27770</v>
      </c>
      <c r="R17" s="5">
        <v>54302</v>
      </c>
      <c r="S17" s="6">
        <v>4</v>
      </c>
      <c r="T17" s="6">
        <v>2</v>
      </c>
      <c r="U17" s="7">
        <v>0.5</v>
      </c>
      <c r="V17" s="7">
        <v>0.04</v>
      </c>
      <c r="W17" s="5">
        <v>0.04</v>
      </c>
      <c r="X17" s="5">
        <v>89</v>
      </c>
      <c r="Y17" s="7">
        <v>0.89</v>
      </c>
      <c r="Z17" s="5">
        <v>2000</v>
      </c>
      <c r="AA17" s="5">
        <v>1780</v>
      </c>
    </row>
    <row r="18" spans="1:27" ht="15" hidden="1" customHeight="1" x14ac:dyDescent="0.45">
      <c r="A18" s="3">
        <v>45839</v>
      </c>
      <c r="B18" s="4" t="s">
        <v>72</v>
      </c>
      <c r="C18" s="4" t="s">
        <v>59</v>
      </c>
      <c r="D18" s="4" t="s">
        <v>60</v>
      </c>
      <c r="E18" s="4" t="s">
        <v>29</v>
      </c>
      <c r="F18" s="5">
        <f t="shared" si="0"/>
        <v>363.63636363636402</v>
      </c>
      <c r="G18" s="5">
        <v>363.63636363636402</v>
      </c>
      <c r="H18" s="5"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6">
        <v>0</v>
      </c>
      <c r="T18" s="6">
        <v>0</v>
      </c>
      <c r="U18" s="7">
        <v>0</v>
      </c>
      <c r="V18" s="4"/>
      <c r="W18" s="4"/>
      <c r="X18" s="5">
        <v>0</v>
      </c>
      <c r="Y18" s="7">
        <v>1</v>
      </c>
      <c r="Z18" s="5">
        <v>2000</v>
      </c>
      <c r="AA18" s="5">
        <v>363.63636363636402</v>
      </c>
    </row>
    <row r="19" spans="1:27" ht="15" hidden="1" customHeight="1" x14ac:dyDescent="0.45">
      <c r="A19" s="3">
        <v>45839</v>
      </c>
      <c r="B19" s="4" t="s">
        <v>71</v>
      </c>
      <c r="C19" s="4" t="s">
        <v>59</v>
      </c>
      <c r="D19" s="4" t="s">
        <v>60</v>
      </c>
      <c r="E19" s="4" t="s">
        <v>29</v>
      </c>
      <c r="F19" s="5">
        <f t="shared" si="0"/>
        <v>2000</v>
      </c>
      <c r="G19" s="5">
        <v>2000</v>
      </c>
      <c r="H19" s="5">
        <v>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6">
        <v>0</v>
      </c>
      <c r="T19" s="6">
        <v>0</v>
      </c>
      <c r="U19" s="7">
        <v>0</v>
      </c>
      <c r="V19" s="4"/>
      <c r="W19" s="4"/>
      <c r="X19" s="5">
        <v>0</v>
      </c>
      <c r="Y19" s="7">
        <v>1</v>
      </c>
      <c r="Z19" s="5">
        <v>2000</v>
      </c>
      <c r="AA19" s="5">
        <v>2000</v>
      </c>
    </row>
    <row r="20" spans="1:27" ht="15" hidden="1" customHeight="1" x14ac:dyDescent="0.45">
      <c r="A20" s="3">
        <v>45839</v>
      </c>
      <c r="B20" s="4" t="s">
        <v>70</v>
      </c>
      <c r="C20" s="4" t="s">
        <v>59</v>
      </c>
      <c r="D20" s="4" t="s">
        <v>60</v>
      </c>
      <c r="E20" s="4" t="s">
        <v>29</v>
      </c>
      <c r="F20" s="5">
        <f t="shared" si="0"/>
        <v>20024.84</v>
      </c>
      <c r="G20" s="5">
        <v>2000</v>
      </c>
      <c r="H20" s="5">
        <v>18024.84</v>
      </c>
      <c r="I20" s="5">
        <v>560000</v>
      </c>
      <c r="J20" s="4"/>
      <c r="K20" s="5">
        <v>578904</v>
      </c>
      <c r="L20" s="5">
        <v>-31680</v>
      </c>
      <c r="M20" s="5">
        <v>26000</v>
      </c>
      <c r="N20" s="5">
        <v>573224</v>
      </c>
      <c r="O20" s="4"/>
      <c r="P20" s="5">
        <v>27605</v>
      </c>
      <c r="Q20" s="5">
        <v>0</v>
      </c>
      <c r="R20" s="5">
        <v>27605</v>
      </c>
      <c r="S20" s="6">
        <v>1</v>
      </c>
      <c r="T20" s="6">
        <v>0</v>
      </c>
      <c r="U20" s="7">
        <v>0</v>
      </c>
      <c r="V20" s="7">
        <v>0.03</v>
      </c>
      <c r="W20" s="5">
        <v>0.03</v>
      </c>
      <c r="X20" s="5">
        <v>100</v>
      </c>
      <c r="Y20" s="7">
        <v>1</v>
      </c>
      <c r="Z20" s="5">
        <v>2000</v>
      </c>
      <c r="AA20" s="5">
        <v>2000</v>
      </c>
    </row>
    <row r="21" spans="1:27" ht="15" hidden="1" customHeight="1" x14ac:dyDescent="0.45">
      <c r="A21" s="3">
        <v>45839</v>
      </c>
      <c r="B21" s="4" t="s">
        <v>63</v>
      </c>
      <c r="C21" s="4" t="s">
        <v>59</v>
      </c>
      <c r="D21" s="4" t="s">
        <v>60</v>
      </c>
      <c r="E21" s="4" t="s">
        <v>68</v>
      </c>
      <c r="F21" s="5">
        <f t="shared" si="0"/>
        <v>112109.35</v>
      </c>
      <c r="G21" s="5">
        <v>1000</v>
      </c>
      <c r="H21" s="5">
        <v>111109.35</v>
      </c>
      <c r="I21" s="5">
        <v>1120000</v>
      </c>
      <c r="J21" s="4"/>
      <c r="K21" s="5">
        <v>2645146</v>
      </c>
      <c r="L21" s="5">
        <v>-500735</v>
      </c>
      <c r="M21" s="5">
        <v>11300</v>
      </c>
      <c r="N21" s="5">
        <v>2155711</v>
      </c>
      <c r="O21" s="4"/>
      <c r="P21" s="5">
        <v>66476</v>
      </c>
      <c r="Q21" s="5">
        <v>0</v>
      </c>
      <c r="R21" s="5">
        <v>66476</v>
      </c>
      <c r="S21" s="6">
        <v>4</v>
      </c>
      <c r="T21" s="6">
        <v>9</v>
      </c>
      <c r="U21" s="7">
        <v>2.25</v>
      </c>
      <c r="V21" s="7">
        <v>0.05</v>
      </c>
      <c r="W21" s="5">
        <v>0.05</v>
      </c>
      <c r="X21" s="5">
        <v>127</v>
      </c>
      <c r="Y21" s="7">
        <v>1</v>
      </c>
      <c r="Z21" s="5">
        <v>1000</v>
      </c>
      <c r="AA21" s="5">
        <v>1000</v>
      </c>
    </row>
    <row r="22" spans="1:27" ht="15" hidden="1" customHeight="1" x14ac:dyDescent="0.45">
      <c r="A22" s="3">
        <v>45839</v>
      </c>
      <c r="B22" s="4" t="s">
        <v>66</v>
      </c>
      <c r="C22" s="4" t="s">
        <v>59</v>
      </c>
      <c r="D22" s="4" t="s">
        <v>60</v>
      </c>
      <c r="E22" s="4" t="s">
        <v>29</v>
      </c>
      <c r="F22" s="5">
        <f t="shared" si="0"/>
        <v>0</v>
      </c>
      <c r="G22" s="5">
        <v>0</v>
      </c>
      <c r="H22" s="5">
        <v>0</v>
      </c>
      <c r="I22" s="5">
        <v>1120000</v>
      </c>
      <c r="J22" s="4"/>
      <c r="K22" s="5">
        <v>344367</v>
      </c>
      <c r="L22" s="5">
        <v>-341191</v>
      </c>
      <c r="M22" s="5">
        <v>0</v>
      </c>
      <c r="N22" s="5">
        <v>3175</v>
      </c>
      <c r="O22" s="4"/>
      <c r="P22" s="5">
        <v>0</v>
      </c>
      <c r="Q22" s="5">
        <v>0</v>
      </c>
      <c r="R22" s="5">
        <v>0</v>
      </c>
      <c r="S22" s="6">
        <v>4</v>
      </c>
      <c r="T22" s="6">
        <v>1</v>
      </c>
      <c r="U22" s="7">
        <v>0.25</v>
      </c>
      <c r="V22" s="7">
        <v>0</v>
      </c>
      <c r="W22" s="5">
        <v>0</v>
      </c>
      <c r="X22" s="5">
        <v>35</v>
      </c>
      <c r="Y22" s="7">
        <v>0</v>
      </c>
      <c r="Z22" s="5">
        <v>2000</v>
      </c>
      <c r="AA22" s="5">
        <v>0</v>
      </c>
    </row>
    <row r="23" spans="1:27" ht="15" hidden="1" customHeight="1" x14ac:dyDescent="0.45">
      <c r="A23" s="3">
        <v>45839</v>
      </c>
      <c r="B23" s="4" t="s">
        <v>67</v>
      </c>
      <c r="C23" s="4" t="s">
        <v>59</v>
      </c>
      <c r="D23" s="4" t="s">
        <v>60</v>
      </c>
      <c r="E23" s="4" t="s">
        <v>68</v>
      </c>
      <c r="F23" s="5">
        <f t="shared" si="0"/>
        <v>35357.1</v>
      </c>
      <c r="G23" s="5">
        <v>0</v>
      </c>
      <c r="H23" s="5">
        <v>35357.1</v>
      </c>
      <c r="I23" s="5">
        <v>1120000</v>
      </c>
      <c r="J23" s="4"/>
      <c r="K23" s="5">
        <v>1777684</v>
      </c>
      <c r="L23" s="5">
        <v>-634404</v>
      </c>
      <c r="M23" s="5">
        <v>0</v>
      </c>
      <c r="N23" s="5">
        <v>1143279</v>
      </c>
      <c r="O23" s="4"/>
      <c r="P23" s="5">
        <v>35291</v>
      </c>
      <c r="Q23" s="5">
        <v>0</v>
      </c>
      <c r="R23" s="5">
        <v>35291</v>
      </c>
      <c r="S23" s="6">
        <v>4</v>
      </c>
      <c r="T23" s="6">
        <v>3</v>
      </c>
      <c r="U23" s="7">
        <v>0.75</v>
      </c>
      <c r="V23" s="7">
        <v>0.03</v>
      </c>
      <c r="W23" s="5">
        <v>0.03</v>
      </c>
      <c r="X23" s="5">
        <v>69</v>
      </c>
      <c r="Y23" s="7">
        <v>0</v>
      </c>
      <c r="Z23" s="5">
        <v>1000</v>
      </c>
      <c r="AA23" s="5">
        <v>0</v>
      </c>
    </row>
    <row r="24" spans="1:27" ht="15" hidden="1" customHeight="1" x14ac:dyDescent="0.45">
      <c r="A24" s="3">
        <v>45839</v>
      </c>
      <c r="B24" s="4" t="s">
        <v>61</v>
      </c>
      <c r="C24" s="4" t="s">
        <v>59</v>
      </c>
      <c r="D24" s="4" t="s">
        <v>60</v>
      </c>
      <c r="E24" s="4" t="s">
        <v>29</v>
      </c>
      <c r="F24" s="5">
        <f t="shared" si="0"/>
        <v>7903.0479999999998</v>
      </c>
      <c r="G24" s="5">
        <v>2000</v>
      </c>
      <c r="H24" s="5">
        <v>5903.0479999999998</v>
      </c>
      <c r="I24" s="5">
        <v>1232000</v>
      </c>
      <c r="J24" s="4"/>
      <c r="K24" s="5">
        <v>994027</v>
      </c>
      <c r="L24" s="5">
        <v>-329229</v>
      </c>
      <c r="M24" s="5">
        <v>73084</v>
      </c>
      <c r="N24" s="5">
        <v>737881</v>
      </c>
      <c r="O24" s="4"/>
      <c r="P24" s="5">
        <v>0</v>
      </c>
      <c r="Q24" s="5">
        <v>0</v>
      </c>
      <c r="R24" s="5">
        <v>0</v>
      </c>
      <c r="S24" s="6">
        <v>4</v>
      </c>
      <c r="T24" s="6">
        <v>3</v>
      </c>
      <c r="U24" s="7">
        <v>0.75</v>
      </c>
      <c r="V24" s="7">
        <v>8.0000000000000002E-3</v>
      </c>
      <c r="W24" s="5">
        <v>8.0000000000000002E-3</v>
      </c>
      <c r="X24" s="5">
        <v>105</v>
      </c>
      <c r="Y24" s="7">
        <v>1</v>
      </c>
      <c r="Z24" s="5">
        <v>2000</v>
      </c>
      <c r="AA24" s="5">
        <v>2000</v>
      </c>
    </row>
    <row r="25" spans="1:27" ht="15" hidden="1" customHeight="1" x14ac:dyDescent="0.45">
      <c r="A25" s="3">
        <v>45839</v>
      </c>
      <c r="B25" s="4" t="s">
        <v>65</v>
      </c>
      <c r="C25" s="4" t="s">
        <v>59</v>
      </c>
      <c r="D25" s="4" t="s">
        <v>60</v>
      </c>
      <c r="E25" s="4" t="s">
        <v>29</v>
      </c>
      <c r="F25" s="5">
        <f t="shared" si="0"/>
        <v>5941.4160000000002</v>
      </c>
      <c r="G25" s="5">
        <v>0</v>
      </c>
      <c r="H25" s="5">
        <v>5941.4160000000002</v>
      </c>
      <c r="I25" s="5">
        <v>1232000</v>
      </c>
      <c r="J25" s="4"/>
      <c r="K25" s="5">
        <v>825613</v>
      </c>
      <c r="L25" s="5">
        <v>-162506</v>
      </c>
      <c r="M25" s="5">
        <v>0</v>
      </c>
      <c r="N25" s="5">
        <v>663107</v>
      </c>
      <c r="O25" s="4"/>
      <c r="P25" s="5">
        <v>79570</v>
      </c>
      <c r="Q25" s="5">
        <v>0</v>
      </c>
      <c r="R25" s="5">
        <v>79570</v>
      </c>
      <c r="S25" s="6">
        <v>4</v>
      </c>
      <c r="T25" s="6">
        <v>1</v>
      </c>
      <c r="U25" s="7">
        <v>0.25</v>
      </c>
      <c r="V25" s="7">
        <v>8.0000000000000002E-3</v>
      </c>
      <c r="W25" s="5">
        <v>8.0000000000000002E-3</v>
      </c>
      <c r="X25" s="5">
        <v>42</v>
      </c>
      <c r="Y25" s="7">
        <v>0</v>
      </c>
      <c r="Z25" s="5">
        <v>2000</v>
      </c>
      <c r="AA25" s="5">
        <v>0</v>
      </c>
    </row>
    <row r="26" spans="1:27" s="12" customFormat="1" ht="15" hidden="1" customHeight="1" x14ac:dyDescent="0.45">
      <c r="A26" s="9">
        <v>45870</v>
      </c>
      <c r="B26" s="8" t="s">
        <v>58</v>
      </c>
      <c r="C26" s="8" t="s">
        <v>59</v>
      </c>
      <c r="D26" s="8" t="s">
        <v>60</v>
      </c>
      <c r="E26" s="8" t="s">
        <v>29</v>
      </c>
      <c r="F26" s="10">
        <f t="shared" si="0"/>
        <v>31750.511999999999</v>
      </c>
      <c r="G26" s="10">
        <f t="shared" ref="G26:G37" si="1">AA26</f>
        <v>2000</v>
      </c>
      <c r="H26" s="10">
        <f t="shared" ref="H26:H37" si="2">W26</f>
        <v>29750.511999999999</v>
      </c>
      <c r="I26" s="10">
        <v>594000</v>
      </c>
      <c r="J26" s="8"/>
      <c r="K26" s="10">
        <v>997762.2</v>
      </c>
      <c r="L26" s="10">
        <v>-253999.4</v>
      </c>
      <c r="N26" s="10">
        <f>K26+L26+M26</f>
        <v>743762.79999999993</v>
      </c>
      <c r="P26" s="10">
        <v>0</v>
      </c>
      <c r="Q26" s="10">
        <v>0</v>
      </c>
      <c r="R26" s="10">
        <v>0</v>
      </c>
      <c r="S26" s="10">
        <v>35000</v>
      </c>
      <c r="T26" s="10">
        <v>87176.8</v>
      </c>
      <c r="U26" s="11">
        <f>T26/S26</f>
        <v>2.4907657142857142</v>
      </c>
      <c r="V26" s="11">
        <v>0.04</v>
      </c>
      <c r="W26" s="10">
        <v>29750.511999999999</v>
      </c>
      <c r="X26" s="10">
        <v>115</v>
      </c>
      <c r="Y26" s="11">
        <v>1</v>
      </c>
      <c r="Z26" s="10">
        <v>2000</v>
      </c>
      <c r="AA26" s="10">
        <v>2000</v>
      </c>
    </row>
    <row r="27" spans="1:27" ht="15" hidden="1" customHeight="1" x14ac:dyDescent="0.45">
      <c r="A27" s="3">
        <v>45870</v>
      </c>
      <c r="B27" s="4" t="s">
        <v>64</v>
      </c>
      <c r="C27" s="4" t="s">
        <v>59</v>
      </c>
      <c r="D27" s="4" t="s">
        <v>60</v>
      </c>
      <c r="E27" s="4" t="s">
        <v>29</v>
      </c>
      <c r="F27" s="5">
        <f t="shared" si="0"/>
        <v>2000</v>
      </c>
      <c r="G27" s="10">
        <f t="shared" si="1"/>
        <v>2000</v>
      </c>
      <c r="H27" s="10">
        <f t="shared" si="2"/>
        <v>0</v>
      </c>
      <c r="I27" s="5">
        <v>540000</v>
      </c>
      <c r="J27" s="4"/>
      <c r="K27" s="5">
        <v>508000</v>
      </c>
      <c r="L27" s="5">
        <v>-421159.3</v>
      </c>
      <c r="M27" s="5">
        <v>-495201</v>
      </c>
      <c r="N27" s="5">
        <v>0</v>
      </c>
      <c r="O27" s="4"/>
      <c r="P27" s="5">
        <v>-88775.8</v>
      </c>
      <c r="Q27" s="5">
        <v>-0.174755511811024</v>
      </c>
      <c r="R27" s="5">
        <v>135400</v>
      </c>
      <c r="S27" s="10">
        <f>_xlfn.XLOOKUP(B27,'[1]8月老带新'!$B$15:$B$23,'[1]8月老带新'!$N$15:$N$23,0,0)</f>
        <v>35000</v>
      </c>
      <c r="T27" s="10">
        <f>_xlfn.XLOOKUP(B27,'[1]8月老带新'!$B$15:$B$23,'[1]8月老带新'!$O$15:$O$23,0,0)</f>
        <v>135400</v>
      </c>
      <c r="U27" s="11">
        <f>T27/S27</f>
        <v>3.8685714285714288</v>
      </c>
      <c r="V27" s="7">
        <f>_xlfn.XLOOKUP(B27,[1]顾问业绩奖金及绩效!$B$18:$B$28,[1]顾问业绩奖金及绩效!$AM$18:$AM$28,0,0)</f>
        <v>0</v>
      </c>
      <c r="W27" s="5">
        <f>_xlfn.XLOOKUP(B27,[1]顾问业绩奖金及绩效!$B$18:$B$28,[1]顾问业绩奖金及绩效!$AN$18:$AN$28,0,0)</f>
        <v>0</v>
      </c>
      <c r="X27" s="5">
        <v>100</v>
      </c>
      <c r="Y27" s="7">
        <v>1</v>
      </c>
      <c r="Z27" s="5">
        <v>2000</v>
      </c>
      <c r="AA27" s="5">
        <v>2000</v>
      </c>
    </row>
    <row r="28" spans="1:27" ht="15" hidden="1" customHeight="1" x14ac:dyDescent="0.45">
      <c r="A28" s="3">
        <v>45870</v>
      </c>
      <c r="B28" s="4" t="s">
        <v>69</v>
      </c>
      <c r="C28" s="4" t="s">
        <v>59</v>
      </c>
      <c r="D28" s="4" t="s">
        <v>60</v>
      </c>
      <c r="E28" s="4" t="s">
        <v>68</v>
      </c>
      <c r="F28" s="5">
        <f t="shared" si="0"/>
        <v>28862.133999999998</v>
      </c>
      <c r="G28" s="10">
        <f t="shared" si="1"/>
        <v>0</v>
      </c>
      <c r="H28" s="10">
        <f t="shared" si="2"/>
        <v>28862.133999999998</v>
      </c>
      <c r="I28" s="5">
        <v>594000</v>
      </c>
      <c r="J28" s="4"/>
      <c r="K28" s="5">
        <v>562000</v>
      </c>
      <c r="L28" s="5">
        <v>-195333.1</v>
      </c>
      <c r="M28" s="5">
        <v>-189520.1</v>
      </c>
      <c r="N28" s="5">
        <v>0</v>
      </c>
      <c r="O28" s="4"/>
      <c r="P28" s="5">
        <v>718728.35</v>
      </c>
      <c r="Q28" s="5">
        <v>1.2788760676156601</v>
      </c>
      <c r="R28" s="5">
        <v>0</v>
      </c>
      <c r="S28" s="10">
        <f>_xlfn.XLOOKUP(B28,'[1]8月老带新'!$B$15:$B$23,'[1]8月老带新'!$N$15:$N$23,0,0)</f>
        <v>35000</v>
      </c>
      <c r="T28" s="10">
        <f>_xlfn.XLOOKUP(B28,'[1]8月老带新'!$B$15:$B$23,'[1]8月老带新'!$O$15:$O$23,0,0)</f>
        <v>0</v>
      </c>
      <c r="U28" s="11">
        <f>T28/S28</f>
        <v>0</v>
      </c>
      <c r="V28" s="7">
        <f>_xlfn.XLOOKUP(B28,[1]顾问业绩奖金及绩效!$B$18:$B$28,[1]顾问业绩奖金及绩效!$AM$18:$AM$28,0,0)</f>
        <v>0.04</v>
      </c>
      <c r="W28" s="5">
        <f>_xlfn.XLOOKUP(B28,[1]顾问业绩奖金及绩效!$B$18:$B$28,[1]顾问业绩奖金及绩效!$AN$18:$AN$28,0,0)</f>
        <v>28862.133999999998</v>
      </c>
      <c r="X28" s="5">
        <v>40</v>
      </c>
      <c r="Y28" s="7">
        <v>0</v>
      </c>
      <c r="Z28" s="5">
        <v>1000</v>
      </c>
      <c r="AA28" s="5">
        <v>0</v>
      </c>
    </row>
    <row r="29" spans="1:27" ht="15" hidden="1" customHeight="1" x14ac:dyDescent="0.45">
      <c r="A29" s="3">
        <v>45870</v>
      </c>
      <c r="B29" s="4" t="s">
        <v>62</v>
      </c>
      <c r="C29" s="4" t="s">
        <v>59</v>
      </c>
      <c r="D29" s="4" t="s">
        <v>60</v>
      </c>
      <c r="E29" s="4" t="s">
        <v>29</v>
      </c>
      <c r="F29" s="5">
        <f t="shared" si="0"/>
        <v>42689.678500000002</v>
      </c>
      <c r="G29" s="10">
        <f t="shared" si="1"/>
        <v>2000</v>
      </c>
      <c r="H29" s="10">
        <f t="shared" si="2"/>
        <v>40689.678500000002</v>
      </c>
      <c r="I29" s="5">
        <v>540000</v>
      </c>
      <c r="J29" s="4"/>
      <c r="K29" s="5">
        <v>508000</v>
      </c>
      <c r="L29" s="5">
        <v>-628247.19999999995</v>
      </c>
      <c r="M29" s="5">
        <v>-604346.25</v>
      </c>
      <c r="N29" s="5">
        <v>54300</v>
      </c>
      <c r="O29" s="4"/>
      <c r="P29" s="5">
        <v>789744.57</v>
      </c>
      <c r="Q29" s="5">
        <v>1.5546152952755901</v>
      </c>
      <c r="R29" s="5">
        <v>96909.8</v>
      </c>
      <c r="S29" s="10">
        <f>_xlfn.XLOOKUP(B29,'[1]8月老带新'!$B$15:$B$23,'[1]8月老带新'!$N$15:$N$23,0,0)</f>
        <v>35000</v>
      </c>
      <c r="T29" s="10">
        <f>_xlfn.XLOOKUP(B29,'[1]8月老带新'!$B$15:$B$23,'[1]8月老带新'!$O$15:$O$23,0,0)</f>
        <v>96909.8</v>
      </c>
      <c r="U29" s="11">
        <f>T29/S29</f>
        <v>2.7688514285714287</v>
      </c>
      <c r="V29" s="7">
        <f>_xlfn.XLOOKUP(B29,[1]顾问业绩奖金及绩效!$B$18:$B$28,[1]顾问业绩奖金及绩效!$AM$18:$AM$28,0,0)</f>
        <v>0.05</v>
      </c>
      <c r="W29" s="5">
        <f>_xlfn.XLOOKUP(B29,[1]顾问业绩奖金及绩效!$B$18:$B$28,[1]顾问业绩奖金及绩效!$AN$18:$AN$28,0,0)</f>
        <v>40689.678500000002</v>
      </c>
      <c r="X29" s="5">
        <v>120</v>
      </c>
      <c r="Y29" s="7">
        <v>1</v>
      </c>
      <c r="Z29" s="5">
        <v>2000</v>
      </c>
      <c r="AA29" s="5">
        <v>2000</v>
      </c>
    </row>
    <row r="30" spans="1:27" ht="15" hidden="1" customHeight="1" x14ac:dyDescent="0.45">
      <c r="A30" s="3">
        <v>45870</v>
      </c>
      <c r="B30" s="4" t="s">
        <v>72</v>
      </c>
      <c r="C30" s="4" t="s">
        <v>59</v>
      </c>
      <c r="D30" s="4" t="s">
        <v>60</v>
      </c>
      <c r="E30" s="4" t="s">
        <v>29</v>
      </c>
      <c r="F30" s="5">
        <f t="shared" si="0"/>
        <v>2000</v>
      </c>
      <c r="G30" s="10">
        <f t="shared" si="1"/>
        <v>2000</v>
      </c>
      <c r="H30" s="10">
        <f t="shared" si="2"/>
        <v>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10">
        <f>_xlfn.XLOOKUP(B30,'[1]8月老带新'!$B$15:$B$23,'[1]8月老带新'!$N$15:$N$23,0,0)</f>
        <v>0</v>
      </c>
      <c r="T30" s="10">
        <f>_xlfn.XLOOKUP(B30,'[1]8月老带新'!$B$15:$B$23,'[1]8月老带新'!$O$15:$O$23,0,0)</f>
        <v>0</v>
      </c>
      <c r="U30" s="11"/>
      <c r="V30" s="7">
        <f>_xlfn.XLOOKUP(B30,[1]顾问业绩奖金及绩效!$B$18:$B$28,[1]顾问业绩奖金及绩效!$AM$18:$AM$28,0,0)</f>
        <v>0</v>
      </c>
      <c r="W30" s="5">
        <f>_xlfn.XLOOKUP(B30,[1]顾问业绩奖金及绩效!$B$18:$B$28,[1]顾问业绩奖金及绩效!$AN$18:$AN$28,0,0)</f>
        <v>0</v>
      </c>
      <c r="X30" s="5">
        <v>0</v>
      </c>
      <c r="Y30" s="7">
        <v>1</v>
      </c>
      <c r="Z30" s="5">
        <v>2000</v>
      </c>
      <c r="AA30" s="5">
        <v>2000</v>
      </c>
    </row>
    <row r="31" spans="1:27" ht="15" hidden="1" customHeight="1" x14ac:dyDescent="0.45">
      <c r="A31" s="3">
        <v>45870</v>
      </c>
      <c r="B31" s="4" t="s">
        <v>70</v>
      </c>
      <c r="C31" s="4" t="s">
        <v>59</v>
      </c>
      <c r="D31" s="4" t="s">
        <v>60</v>
      </c>
      <c r="E31" s="4" t="s">
        <v>29</v>
      </c>
      <c r="F31" s="5">
        <f t="shared" si="0"/>
        <v>15066.089</v>
      </c>
      <c r="G31" s="10">
        <f t="shared" si="1"/>
        <v>2000</v>
      </c>
      <c r="H31" s="10">
        <f t="shared" si="2"/>
        <v>13066.089</v>
      </c>
      <c r="I31" s="5">
        <v>432000</v>
      </c>
      <c r="J31" s="4"/>
      <c r="K31" s="5">
        <v>400000</v>
      </c>
      <c r="L31" s="5">
        <v>-145975.20000000001</v>
      </c>
      <c r="M31" s="5">
        <v>-169464.8</v>
      </c>
      <c r="N31" s="5">
        <v>0</v>
      </c>
      <c r="O31" s="4"/>
      <c r="P31" s="5">
        <v>365307.4</v>
      </c>
      <c r="Q31" s="5">
        <v>0.91326850000000004</v>
      </c>
      <c r="R31" s="5">
        <v>6130</v>
      </c>
      <c r="S31" s="10">
        <f>_xlfn.XLOOKUP(B31,'[1]8月老带新'!$B$15:$B$23,'[1]8月老带新'!$N$15:$N$23,0,0)</f>
        <v>18000</v>
      </c>
      <c r="T31" s="10">
        <f>_xlfn.XLOOKUP(B31,'[1]8月老带新'!$B$15:$B$23,'[1]8月老带新'!$O$15:$O$23,0,0)</f>
        <v>6130</v>
      </c>
      <c r="U31" s="11">
        <f>T31/S31</f>
        <v>0.34055555555555556</v>
      </c>
      <c r="V31" s="7">
        <f>_xlfn.XLOOKUP(B31,[1]顾问业绩奖金及绩效!$B$18:$B$28,[1]顾问业绩奖金及绩效!$AM$18:$AM$28,0,0)</f>
        <v>0.03</v>
      </c>
      <c r="W31" s="5">
        <f>_xlfn.XLOOKUP(B31,[1]顾问业绩奖金及绩效!$B$18:$B$28,[1]顾问业绩奖金及绩效!$AN$18:$AN$28,0,0)</f>
        <v>13066.089</v>
      </c>
      <c r="X31" s="5">
        <v>100</v>
      </c>
      <c r="Y31" s="7">
        <v>1</v>
      </c>
      <c r="Z31" s="5">
        <v>2000</v>
      </c>
      <c r="AA31" s="5">
        <v>2000</v>
      </c>
    </row>
    <row r="32" spans="1:27" ht="15" hidden="1" customHeight="1" x14ac:dyDescent="0.45">
      <c r="A32" s="3">
        <v>45870</v>
      </c>
      <c r="B32" s="4" t="s">
        <v>63</v>
      </c>
      <c r="C32" s="4" t="s">
        <v>59</v>
      </c>
      <c r="D32" s="4" t="s">
        <v>60</v>
      </c>
      <c r="E32" s="4" t="s">
        <v>29</v>
      </c>
      <c r="F32" s="5">
        <f t="shared" si="0"/>
        <v>41625.595000000001</v>
      </c>
      <c r="G32" s="10">
        <f t="shared" si="1"/>
        <v>1000</v>
      </c>
      <c r="H32" s="10">
        <f t="shared" si="2"/>
        <v>40625.595000000001</v>
      </c>
      <c r="I32" s="5">
        <v>540000</v>
      </c>
      <c r="J32" s="4"/>
      <c r="K32" s="5">
        <v>508000</v>
      </c>
      <c r="L32" s="5">
        <v>-512931.85</v>
      </c>
      <c r="M32" s="5">
        <v>-473267.05</v>
      </c>
      <c r="N32" s="5">
        <v>0</v>
      </c>
      <c r="O32" s="4"/>
      <c r="P32" s="5">
        <v>760336.85</v>
      </c>
      <c r="Q32" s="5">
        <v>1.49672608267717</v>
      </c>
      <c r="R32" s="5">
        <v>18388.8</v>
      </c>
      <c r="S32" s="10">
        <f>_xlfn.XLOOKUP(B32,'[1]8月老带新'!$B$15:$B$23,'[1]8月老带新'!$N$15:$N$23,0,0)</f>
        <v>35000</v>
      </c>
      <c r="T32" s="10">
        <f>_xlfn.XLOOKUP(B32,'[1]8月老带新'!$B$15:$B$23,'[1]8月老带新'!$O$15:$O$23,0,0)</f>
        <v>18388.8</v>
      </c>
      <c r="U32" s="11">
        <f>T32/S32</f>
        <v>0.5253942857142857</v>
      </c>
      <c r="V32" s="7">
        <f>_xlfn.XLOOKUP(B32,[1]顾问业绩奖金及绩效!$B$18:$B$28,[1]顾问业绩奖金及绩效!$AM$18:$AM$28,0,0)</f>
        <v>0.05</v>
      </c>
      <c r="W32" s="5">
        <f>_xlfn.XLOOKUP(B32,[1]顾问业绩奖金及绩效!$B$18:$B$28,[1]顾问业绩奖金及绩效!$AN$18:$AN$28,0,0)</f>
        <v>40625.595000000001</v>
      </c>
      <c r="X32" s="5">
        <v>95</v>
      </c>
      <c r="Y32" s="7">
        <v>1</v>
      </c>
      <c r="Z32" s="5">
        <v>1000</v>
      </c>
      <c r="AA32" s="5">
        <v>1000</v>
      </c>
    </row>
    <row r="33" spans="1:27" ht="15" hidden="1" customHeight="1" x14ac:dyDescent="0.45">
      <c r="A33" s="3">
        <v>45870</v>
      </c>
      <c r="B33" s="4" t="s">
        <v>66</v>
      </c>
      <c r="C33" s="4" t="s">
        <v>59</v>
      </c>
      <c r="D33" s="4" t="s">
        <v>60</v>
      </c>
      <c r="E33" s="4" t="s">
        <v>29</v>
      </c>
      <c r="F33" s="5">
        <f t="shared" si="0"/>
        <v>46624.745000000003</v>
      </c>
      <c r="G33" s="10">
        <f t="shared" si="1"/>
        <v>2000</v>
      </c>
      <c r="H33" s="10">
        <f t="shared" si="2"/>
        <v>44624.745000000003</v>
      </c>
      <c r="I33" s="5">
        <v>594000</v>
      </c>
      <c r="J33" s="4"/>
      <c r="K33" s="5">
        <v>562000</v>
      </c>
      <c r="L33" s="5">
        <v>-474810.65</v>
      </c>
      <c r="M33" s="5">
        <v>-440995.75</v>
      </c>
      <c r="N33" s="5">
        <v>0</v>
      </c>
      <c r="O33" s="4"/>
      <c r="P33" s="5">
        <v>852644.9</v>
      </c>
      <c r="Q33" s="5">
        <v>1.51716174377224</v>
      </c>
      <c r="R33" s="5">
        <v>80301.899999999994</v>
      </c>
      <c r="S33" s="10">
        <f>_xlfn.XLOOKUP(B33,'[1]8月老带新'!$B$15:$B$23,'[1]8月老带新'!$N$15:$N$23,0,0)</f>
        <v>35000</v>
      </c>
      <c r="T33" s="10">
        <f>_xlfn.XLOOKUP(B33,'[1]8月老带新'!$B$15:$B$23,'[1]8月老带新'!$O$15:$O$23,0,0)</f>
        <v>80301.899999999994</v>
      </c>
      <c r="U33" s="11">
        <f>T33/S33</f>
        <v>2.29434</v>
      </c>
      <c r="V33" s="7">
        <f>_xlfn.XLOOKUP(B33,[1]顾问业绩奖金及绩效!$B$18:$B$28,[1]顾问业绩奖金及绩效!$AM$18:$AM$28,0,0)</f>
        <v>0.05</v>
      </c>
      <c r="W33" s="5">
        <f>_xlfn.XLOOKUP(B33,[1]顾问业绩奖金及绩效!$B$18:$B$28,[1]顾问业绩奖金及绩效!$AN$18:$AN$28,0,0)</f>
        <v>44624.745000000003</v>
      </c>
      <c r="X33" s="5">
        <v>100</v>
      </c>
      <c r="Y33" s="7">
        <v>1</v>
      </c>
      <c r="Z33" s="5">
        <v>2000</v>
      </c>
      <c r="AA33" s="5">
        <v>2000</v>
      </c>
    </row>
    <row r="34" spans="1:27" ht="15" hidden="1" customHeight="1" x14ac:dyDescent="0.45">
      <c r="A34" s="3">
        <v>45870</v>
      </c>
      <c r="B34" s="4" t="s">
        <v>67</v>
      </c>
      <c r="C34" s="4" t="s">
        <v>59</v>
      </c>
      <c r="D34" s="4" t="s">
        <v>60</v>
      </c>
      <c r="E34" s="4" t="s">
        <v>68</v>
      </c>
      <c r="F34" s="5">
        <f t="shared" si="0"/>
        <v>43390.597500000003</v>
      </c>
      <c r="G34" s="10">
        <f t="shared" si="1"/>
        <v>1000</v>
      </c>
      <c r="H34" s="10">
        <f t="shared" si="2"/>
        <v>42390.597500000003</v>
      </c>
      <c r="I34" s="5">
        <v>540000</v>
      </c>
      <c r="J34" s="4"/>
      <c r="K34" s="5">
        <v>508000</v>
      </c>
      <c r="L34" s="5">
        <v>-661390.05000000005</v>
      </c>
      <c r="M34" s="5">
        <v>-707562.15</v>
      </c>
      <c r="N34" s="5">
        <v>14625.5</v>
      </c>
      <c r="O34" s="4"/>
      <c r="P34" s="5">
        <v>843016.55</v>
      </c>
      <c r="Q34" s="5">
        <v>1.6594813976378</v>
      </c>
      <c r="R34" s="5">
        <v>100803</v>
      </c>
      <c r="S34" s="10">
        <f>_xlfn.XLOOKUP(B34,'[1]8月老带新'!$B$15:$B$23,'[1]8月老带新'!$N$15:$N$23,0,0)</f>
        <v>35000</v>
      </c>
      <c r="T34" s="10">
        <f>_xlfn.XLOOKUP(B34,'[1]8月老带新'!$B$15:$B$23,'[1]8月老带新'!$O$15:$O$23,0,0)</f>
        <v>100803</v>
      </c>
      <c r="U34" s="11">
        <f>T34/S34</f>
        <v>2.8800857142857144</v>
      </c>
      <c r="V34" s="7">
        <f>_xlfn.XLOOKUP(B34,[1]顾问业绩奖金及绩效!$B$18:$B$28,[1]顾问业绩奖金及绩效!$AM$18:$AM$28,0,0)</f>
        <v>0.05</v>
      </c>
      <c r="W34" s="5">
        <f>_xlfn.XLOOKUP(B34,[1]顾问业绩奖金及绩效!$B$18:$B$28,[1]顾问业绩奖金及绩效!$AN$18:$AN$28,0,0)</f>
        <v>42390.597500000003</v>
      </c>
      <c r="X34" s="5">
        <v>105</v>
      </c>
      <c r="Y34" s="7">
        <v>1</v>
      </c>
      <c r="Z34" s="5">
        <v>1000</v>
      </c>
      <c r="AA34" s="5">
        <v>1000</v>
      </c>
    </row>
    <row r="35" spans="1:27" ht="15" hidden="1" customHeight="1" x14ac:dyDescent="0.45">
      <c r="A35" s="3">
        <v>45870</v>
      </c>
      <c r="B35" s="4" t="s">
        <v>61</v>
      </c>
      <c r="C35" s="4" t="s">
        <v>59</v>
      </c>
      <c r="D35" s="4" t="s">
        <v>60</v>
      </c>
      <c r="E35" s="4" t="s">
        <v>29</v>
      </c>
      <c r="F35" s="5">
        <f t="shared" ref="F35:F66" si="3">G35+H35</f>
        <v>0</v>
      </c>
      <c r="G35" s="10">
        <f t="shared" si="1"/>
        <v>0</v>
      </c>
      <c r="H35" s="10">
        <f t="shared" si="2"/>
        <v>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10">
        <f>_xlfn.XLOOKUP(B35,'[1]8月老带新'!$B$15:$B$23,'[1]8月老带新'!$N$15:$N$23,0,0)</f>
        <v>0</v>
      </c>
      <c r="T35" s="10">
        <f>_xlfn.XLOOKUP(B35,'[1]8月老带新'!$B$15:$B$23,'[1]8月老带新'!$O$15:$O$23,0,0)</f>
        <v>0</v>
      </c>
      <c r="U35" s="4"/>
      <c r="V35" s="7">
        <f>_xlfn.XLOOKUP(B35,[1]顾问业绩奖金及绩效!$B$18:$B$28,[1]顾问业绩奖金及绩效!$AM$18:$AM$28,0,0)</f>
        <v>0</v>
      </c>
      <c r="W35" s="5">
        <f>_xlfn.XLOOKUP(B35,[1]顾问业绩奖金及绩效!$B$18:$B$28,[1]顾问业绩奖金及绩效!$AN$18:$AN$28,0,0)</f>
        <v>0</v>
      </c>
      <c r="X35" s="4"/>
      <c r="Y35" s="4"/>
      <c r="Z35" s="4"/>
      <c r="AA35" s="4"/>
    </row>
    <row r="36" spans="1:27" ht="15" hidden="1" customHeight="1" x14ac:dyDescent="0.45">
      <c r="A36" s="3">
        <v>45870</v>
      </c>
      <c r="B36" s="4" t="s">
        <v>65</v>
      </c>
      <c r="C36" s="4" t="s">
        <v>59</v>
      </c>
      <c r="D36" s="4" t="s">
        <v>60</v>
      </c>
      <c r="E36" s="4" t="s">
        <v>29</v>
      </c>
      <c r="F36" s="5">
        <f t="shared" si="3"/>
        <v>3060.7719999999999</v>
      </c>
      <c r="G36" s="10">
        <f t="shared" si="1"/>
        <v>0</v>
      </c>
      <c r="H36" s="10">
        <f t="shared" si="2"/>
        <v>3060.7719999999999</v>
      </c>
      <c r="I36" s="5">
        <v>594000</v>
      </c>
      <c r="J36" s="4"/>
      <c r="K36" s="5">
        <v>562000</v>
      </c>
      <c r="L36" s="5">
        <v>-251159.55</v>
      </c>
      <c r="M36" s="5">
        <v>-277508.8</v>
      </c>
      <c r="N36" s="5">
        <v>36125.599999999999</v>
      </c>
      <c r="O36" s="4"/>
      <c r="P36" s="5">
        <v>336072</v>
      </c>
      <c r="Q36" s="5">
        <v>0.59799288256227701</v>
      </c>
      <c r="R36" s="5">
        <v>0</v>
      </c>
      <c r="S36" s="10">
        <f>_xlfn.XLOOKUP(B36,'[1]8月老带新'!$B$15:$B$23,'[1]8月老带新'!$N$15:$N$23,0,0)</f>
        <v>35000</v>
      </c>
      <c r="T36" s="10">
        <f>_xlfn.XLOOKUP(B36,'[1]8月老带新'!$B$15:$B$23,'[1]8月老带新'!$O$15:$O$23,0,0)</f>
        <v>0</v>
      </c>
      <c r="U36" s="7">
        <v>0</v>
      </c>
      <c r="V36" s="7">
        <f>_xlfn.XLOOKUP(B36,[1]顾问业绩奖金及绩效!$B$18:$B$28,[1]顾问业绩奖金及绩效!$AM$18:$AM$28,0,0)</f>
        <v>8.0000000000000002E-3</v>
      </c>
      <c r="W36" s="5">
        <f>_xlfn.XLOOKUP(B36,[1]顾问业绩奖金及绩效!$B$18:$B$28,[1]顾问业绩奖金及绩效!$AN$18:$AN$28,0,0)</f>
        <v>3060.7719999999999</v>
      </c>
      <c r="X36" s="5">
        <v>40</v>
      </c>
      <c r="Y36" s="7">
        <v>0</v>
      </c>
      <c r="Z36" s="5">
        <v>2000</v>
      </c>
      <c r="AA36" s="5">
        <v>0</v>
      </c>
    </row>
    <row r="37" spans="1:27" ht="15" hidden="1" customHeight="1" x14ac:dyDescent="0.45">
      <c r="A37" s="3">
        <v>45901</v>
      </c>
      <c r="B37" s="4" t="s">
        <v>58</v>
      </c>
      <c r="C37" s="4" t="s">
        <v>59</v>
      </c>
      <c r="D37" s="4" t="s">
        <v>60</v>
      </c>
      <c r="E37" s="4" t="s">
        <v>29</v>
      </c>
      <c r="F37" s="5">
        <f t="shared" si="3"/>
        <v>35714.6924</v>
      </c>
      <c r="G37" s="5">
        <f t="shared" si="1"/>
        <v>2000</v>
      </c>
      <c r="H37" s="5">
        <f t="shared" si="2"/>
        <v>33714.6924</v>
      </c>
      <c r="I37" s="5">
        <v>700000</v>
      </c>
      <c r="J37" s="4">
        <v>680000</v>
      </c>
      <c r="K37" s="4">
        <v>902001.15</v>
      </c>
      <c r="L37" s="4">
        <v>-80250</v>
      </c>
      <c r="M37" s="4"/>
      <c r="N37" s="4">
        <f>K37+L37+M37</f>
        <v>821751.15</v>
      </c>
      <c r="O37" s="7">
        <f>N37/J37</f>
        <v>1.2084575735294119</v>
      </c>
      <c r="P37" s="5">
        <v>22448.6</v>
      </c>
      <c r="Q37" s="5">
        <v>-1332.44</v>
      </c>
      <c r="R37" s="5">
        <v>21116.16</v>
      </c>
      <c r="S37" s="5">
        <v>35000</v>
      </c>
      <c r="T37" s="5">
        <v>202262.8</v>
      </c>
      <c r="U37" s="7">
        <v>5.7789371428571403</v>
      </c>
      <c r="V37" s="7">
        <v>0.04</v>
      </c>
      <c r="W37" s="5">
        <v>33714.6924</v>
      </c>
      <c r="X37" s="5">
        <v>100</v>
      </c>
      <c r="Y37" s="7">
        <v>1</v>
      </c>
      <c r="Z37" s="5">
        <v>2000</v>
      </c>
      <c r="AA37" s="5">
        <v>2000</v>
      </c>
    </row>
    <row r="38" spans="1:27" ht="15" hidden="1" customHeight="1" x14ac:dyDescent="0.45">
      <c r="A38" s="3">
        <v>45901</v>
      </c>
      <c r="B38" s="4" t="s">
        <v>64</v>
      </c>
      <c r="C38" s="4" t="s">
        <v>59</v>
      </c>
      <c r="D38" s="4" t="s">
        <v>60</v>
      </c>
      <c r="E38" s="4" t="s">
        <v>29</v>
      </c>
      <c r="F38" s="5">
        <f t="shared" si="3"/>
        <v>14144.645</v>
      </c>
      <c r="G38" s="5">
        <v>2000</v>
      </c>
      <c r="H38" s="5">
        <v>12144.645</v>
      </c>
      <c r="I38" s="5">
        <v>831124</v>
      </c>
      <c r="J38" s="5">
        <v>811124</v>
      </c>
      <c r="K38" s="5">
        <v>833431.95</v>
      </c>
      <c r="L38" s="5">
        <v>-168876.95</v>
      </c>
      <c r="M38" s="5">
        <v>0</v>
      </c>
      <c r="N38" s="5">
        <v>664555</v>
      </c>
      <c r="O38" s="7">
        <v>0.81930136452626201</v>
      </c>
      <c r="P38" s="5">
        <v>10147.5</v>
      </c>
      <c r="Q38" s="5">
        <v>0</v>
      </c>
      <c r="R38" s="5">
        <v>10147.5</v>
      </c>
      <c r="S38" s="5">
        <v>35000</v>
      </c>
      <c r="T38" s="5">
        <v>90600</v>
      </c>
      <c r="U38" s="7">
        <v>2.5885714285714299</v>
      </c>
      <c r="V38" s="7">
        <v>1.7999999999999999E-2</v>
      </c>
      <c r="W38" s="5">
        <v>12144.645</v>
      </c>
      <c r="X38" s="5">
        <v>96</v>
      </c>
      <c r="Y38" s="7">
        <v>1</v>
      </c>
      <c r="Z38" s="5">
        <v>2000</v>
      </c>
      <c r="AA38" s="5">
        <v>2000</v>
      </c>
    </row>
    <row r="39" spans="1:27" ht="15" hidden="1" customHeight="1" x14ac:dyDescent="0.45">
      <c r="A39" s="3">
        <v>45901</v>
      </c>
      <c r="B39" s="4" t="s">
        <v>69</v>
      </c>
      <c r="C39" s="4" t="s">
        <v>59</v>
      </c>
      <c r="D39" s="4" t="s">
        <v>60</v>
      </c>
      <c r="E39" s="4" t="s">
        <v>73</v>
      </c>
      <c r="F39" s="5">
        <f t="shared" si="3"/>
        <v>4000</v>
      </c>
      <c r="G39" s="5">
        <v>4000</v>
      </c>
      <c r="H39" s="5">
        <v>0</v>
      </c>
      <c r="I39" s="5">
        <v>350000</v>
      </c>
      <c r="J39" s="5">
        <v>340000</v>
      </c>
      <c r="K39" s="5">
        <v>195800</v>
      </c>
      <c r="L39" s="5">
        <v>-84312.6</v>
      </c>
      <c r="M39" s="5">
        <v>0</v>
      </c>
      <c r="N39" s="5">
        <v>111487.4</v>
      </c>
      <c r="O39" s="7">
        <v>0.32790411764705901</v>
      </c>
      <c r="P39" s="5">
        <v>0</v>
      </c>
      <c r="Q39" s="5">
        <v>0</v>
      </c>
      <c r="R39" s="5">
        <v>0</v>
      </c>
      <c r="S39" s="5">
        <v>70000</v>
      </c>
      <c r="T39" s="5">
        <v>97299</v>
      </c>
      <c r="U39" s="7">
        <v>1.39</v>
      </c>
      <c r="V39" s="7">
        <v>0</v>
      </c>
      <c r="W39" s="5">
        <v>0</v>
      </c>
      <c r="X39" s="5">
        <v>100</v>
      </c>
      <c r="Y39" s="7">
        <v>1</v>
      </c>
      <c r="Z39" s="5">
        <v>4000</v>
      </c>
      <c r="AA39" s="5">
        <v>4000</v>
      </c>
    </row>
    <row r="40" spans="1:27" ht="15" hidden="1" customHeight="1" x14ac:dyDescent="0.45">
      <c r="A40" s="3">
        <v>45901</v>
      </c>
      <c r="B40" s="4" t="s">
        <v>62</v>
      </c>
      <c r="C40" s="4" t="s">
        <v>59</v>
      </c>
      <c r="D40" s="4" t="s">
        <v>60</v>
      </c>
      <c r="E40" s="4" t="s">
        <v>29</v>
      </c>
      <c r="F40" s="5">
        <f t="shared" si="3"/>
        <v>25743.831999999999</v>
      </c>
      <c r="G40" s="5">
        <v>1600</v>
      </c>
      <c r="H40" s="5">
        <v>24143.831999999999</v>
      </c>
      <c r="I40" s="5">
        <v>700000</v>
      </c>
      <c r="J40" s="5">
        <v>680000</v>
      </c>
      <c r="K40" s="5">
        <v>999784.5</v>
      </c>
      <c r="L40" s="5">
        <v>-213079.8</v>
      </c>
      <c r="M40" s="5">
        <v>0</v>
      </c>
      <c r="N40" s="5">
        <v>786704.7</v>
      </c>
      <c r="O40" s="7">
        <v>1.1569186764705901</v>
      </c>
      <c r="P40" s="5">
        <v>18159.7</v>
      </c>
      <c r="Q40" s="5">
        <v>-70</v>
      </c>
      <c r="R40" s="5">
        <v>18089.7</v>
      </c>
      <c r="S40" s="5">
        <v>35000</v>
      </c>
      <c r="T40" s="5">
        <v>97298.5</v>
      </c>
      <c r="U40" s="7">
        <v>2.7799571428571399</v>
      </c>
      <c r="V40" s="7">
        <v>0.03</v>
      </c>
      <c r="W40" s="5">
        <v>24143.831999999999</v>
      </c>
      <c r="X40" s="5">
        <v>80</v>
      </c>
      <c r="Y40" s="7">
        <v>0.8</v>
      </c>
      <c r="Z40" s="5">
        <v>2000</v>
      </c>
      <c r="AA40" s="5">
        <v>1600</v>
      </c>
    </row>
    <row r="41" spans="1:27" ht="15" hidden="1" customHeight="1" x14ac:dyDescent="0.45">
      <c r="A41" s="3">
        <v>45901</v>
      </c>
      <c r="B41" s="4" t="s">
        <v>72</v>
      </c>
      <c r="C41" s="4" t="s">
        <v>59</v>
      </c>
      <c r="D41" s="4" t="s">
        <v>60</v>
      </c>
      <c r="E41" s="4" t="s">
        <v>29</v>
      </c>
      <c r="F41" s="5">
        <f t="shared" si="3"/>
        <v>3305.5950000000003</v>
      </c>
      <c r="G41" s="5">
        <v>2000</v>
      </c>
      <c r="H41" s="5">
        <v>1305.595</v>
      </c>
      <c r="I41" s="5">
        <v>0</v>
      </c>
      <c r="J41" s="5">
        <v>0</v>
      </c>
      <c r="K41" s="5">
        <v>120500</v>
      </c>
      <c r="L41" s="5">
        <v>0</v>
      </c>
      <c r="M41" s="5">
        <v>0</v>
      </c>
      <c r="N41" s="5">
        <v>120500</v>
      </c>
      <c r="O41" s="7">
        <v>0</v>
      </c>
      <c r="P41" s="5">
        <v>10059.5</v>
      </c>
      <c r="Q41" s="5">
        <v>0</v>
      </c>
      <c r="R41" s="5">
        <v>10059.5</v>
      </c>
      <c r="S41" s="5">
        <v>0</v>
      </c>
      <c r="T41" s="5">
        <v>0</v>
      </c>
      <c r="U41" s="7">
        <v>0</v>
      </c>
      <c r="V41" s="7">
        <v>0.01</v>
      </c>
      <c r="W41" s="5">
        <v>1305.595</v>
      </c>
      <c r="X41" s="5">
        <v>0</v>
      </c>
      <c r="Y41" s="7">
        <v>1</v>
      </c>
      <c r="Z41" s="5">
        <v>2000</v>
      </c>
      <c r="AA41" s="5">
        <v>2000</v>
      </c>
    </row>
    <row r="42" spans="1:27" ht="15" hidden="1" customHeight="1" x14ac:dyDescent="0.45">
      <c r="A42" s="3">
        <v>45901</v>
      </c>
      <c r="B42" s="4" t="s">
        <v>70</v>
      </c>
      <c r="C42" s="4" t="s">
        <v>59</v>
      </c>
      <c r="D42" s="4" t="s">
        <v>60</v>
      </c>
      <c r="E42" s="4" t="s">
        <v>29</v>
      </c>
      <c r="F42" s="5">
        <f t="shared" si="3"/>
        <v>13158.7706</v>
      </c>
      <c r="G42" s="5">
        <v>2000</v>
      </c>
      <c r="H42" s="5">
        <v>11158.7706</v>
      </c>
      <c r="I42" s="5">
        <v>700000</v>
      </c>
      <c r="J42" s="5">
        <v>680000</v>
      </c>
      <c r="K42" s="5">
        <v>609665</v>
      </c>
      <c r="L42" s="5">
        <v>-32406.7</v>
      </c>
      <c r="M42" s="5">
        <v>0</v>
      </c>
      <c r="N42" s="5">
        <v>577258.30000000005</v>
      </c>
      <c r="O42" s="7">
        <v>0.84890926470588202</v>
      </c>
      <c r="P42" s="5">
        <v>49626.400000000001</v>
      </c>
      <c r="Q42" s="5">
        <v>-6953</v>
      </c>
      <c r="R42" s="5">
        <v>42673.4</v>
      </c>
      <c r="S42" s="5">
        <v>18000</v>
      </c>
      <c r="T42" s="5">
        <v>98950</v>
      </c>
      <c r="U42" s="7">
        <v>5.49722222222222</v>
      </c>
      <c r="V42" s="7">
        <v>1.7999999999999999E-2</v>
      </c>
      <c r="W42" s="5">
        <v>11158.7706</v>
      </c>
      <c r="X42" s="5">
        <v>70</v>
      </c>
      <c r="Y42" s="7">
        <v>1</v>
      </c>
      <c r="Z42" s="5">
        <v>2000</v>
      </c>
      <c r="AA42" s="5">
        <v>2000</v>
      </c>
    </row>
    <row r="43" spans="1:27" ht="24" hidden="1" customHeight="1" x14ac:dyDescent="0.45">
      <c r="A43" s="3">
        <v>45901</v>
      </c>
      <c r="B43" s="4" t="s">
        <v>63</v>
      </c>
      <c r="C43" s="4" t="s">
        <v>59</v>
      </c>
      <c r="D43" s="4" t="s">
        <v>60</v>
      </c>
      <c r="E43" s="4" t="s">
        <v>73</v>
      </c>
      <c r="F43" s="5">
        <f t="shared" si="3"/>
        <v>15704.651400000001</v>
      </c>
      <c r="G43" s="5">
        <v>3786</v>
      </c>
      <c r="H43" s="5">
        <v>11918.651400000001</v>
      </c>
      <c r="I43" s="5">
        <v>350000</v>
      </c>
      <c r="J43" s="5">
        <v>340000</v>
      </c>
      <c r="K43" s="5">
        <v>485909.05</v>
      </c>
      <c r="L43" s="5">
        <v>-126796.6</v>
      </c>
      <c r="M43" s="5">
        <v>0</v>
      </c>
      <c r="N43" s="5">
        <v>359112.45</v>
      </c>
      <c r="O43" s="7">
        <v>1.05621308823529</v>
      </c>
      <c r="P43" s="5">
        <v>49687</v>
      </c>
      <c r="Q43" s="5">
        <v>-11511.07</v>
      </c>
      <c r="R43" s="5">
        <v>38175.93</v>
      </c>
      <c r="S43" s="5">
        <v>123000</v>
      </c>
      <c r="T43" s="5">
        <v>347833</v>
      </c>
      <c r="U43" s="7">
        <v>2.83</v>
      </c>
      <c r="V43" s="7">
        <v>0.03</v>
      </c>
      <c r="W43" s="5">
        <v>11918.651400000001</v>
      </c>
      <c r="X43" s="5">
        <v>95</v>
      </c>
      <c r="Y43" s="7">
        <v>0.95</v>
      </c>
      <c r="Z43" s="5">
        <v>4000</v>
      </c>
      <c r="AA43" s="5">
        <v>3786</v>
      </c>
    </row>
    <row r="44" spans="1:27" ht="21" hidden="1" customHeight="1" x14ac:dyDescent="0.45">
      <c r="A44" s="3">
        <v>45901</v>
      </c>
      <c r="B44" s="4" t="s">
        <v>66</v>
      </c>
      <c r="C44" s="4" t="s">
        <v>59</v>
      </c>
      <c r="D44" s="4" t="s">
        <v>60</v>
      </c>
      <c r="E44" s="4" t="s">
        <v>29</v>
      </c>
      <c r="F44" s="5">
        <f t="shared" si="3"/>
        <v>23507.9984</v>
      </c>
      <c r="G44" s="5">
        <v>2000</v>
      </c>
      <c r="H44" s="5">
        <v>21507.9984</v>
      </c>
      <c r="I44" s="5">
        <v>700000</v>
      </c>
      <c r="J44" s="5">
        <v>680000</v>
      </c>
      <c r="K44" s="5">
        <v>803565.4</v>
      </c>
      <c r="L44" s="5">
        <v>-161501.70000000001</v>
      </c>
      <c r="M44" s="5">
        <v>0</v>
      </c>
      <c r="N44" s="5">
        <v>642063.69999999995</v>
      </c>
      <c r="O44" s="7">
        <v>0.94421132352941195</v>
      </c>
      <c r="P44" s="5">
        <v>88361</v>
      </c>
      <c r="Q44" s="5">
        <v>-13491.42</v>
      </c>
      <c r="R44" s="5">
        <v>74869.58</v>
      </c>
      <c r="S44" s="5">
        <v>35000</v>
      </c>
      <c r="T44" s="5">
        <v>91203.4</v>
      </c>
      <c r="U44" s="7">
        <v>2.60581142857143</v>
      </c>
      <c r="V44" s="7">
        <v>0.03</v>
      </c>
      <c r="W44" s="5">
        <v>21507.9984</v>
      </c>
      <c r="X44" s="5">
        <v>90</v>
      </c>
      <c r="Y44" s="7">
        <v>1</v>
      </c>
      <c r="Z44" s="5">
        <v>2000</v>
      </c>
      <c r="AA44" s="5">
        <v>2000</v>
      </c>
    </row>
    <row r="45" spans="1:27" ht="18" hidden="1" customHeight="1" x14ac:dyDescent="0.45">
      <c r="A45" s="3">
        <v>45901</v>
      </c>
      <c r="B45" s="4" t="s">
        <v>67</v>
      </c>
      <c r="C45" s="4" t="s">
        <v>59</v>
      </c>
      <c r="D45" s="4" t="s">
        <v>60</v>
      </c>
      <c r="E45" s="4" t="s">
        <v>68</v>
      </c>
      <c r="F45" s="5">
        <f t="shared" si="3"/>
        <v>34303.68</v>
      </c>
      <c r="G45" s="5">
        <v>0</v>
      </c>
      <c r="H45" s="5">
        <v>34303.68</v>
      </c>
      <c r="I45" s="5">
        <v>700000</v>
      </c>
      <c r="J45" s="5">
        <v>680000</v>
      </c>
      <c r="K45" s="5">
        <v>1102850</v>
      </c>
      <c r="L45" s="5">
        <v>-268243.40000000002</v>
      </c>
      <c r="M45" s="5">
        <v>0</v>
      </c>
      <c r="N45" s="5">
        <v>834606.6</v>
      </c>
      <c r="O45" s="7">
        <v>1.2273626470588199</v>
      </c>
      <c r="P45" s="5">
        <v>22985.4</v>
      </c>
      <c r="Q45" s="5">
        <v>0</v>
      </c>
      <c r="R45" s="5">
        <v>22985.4</v>
      </c>
      <c r="S45" s="5">
        <v>35000</v>
      </c>
      <c r="T45" s="5">
        <v>7050</v>
      </c>
      <c r="U45" s="7">
        <v>0.20142857142857101</v>
      </c>
      <c r="V45" s="7">
        <v>0.04</v>
      </c>
      <c r="W45" s="5">
        <v>34303.68</v>
      </c>
      <c r="X45" s="5">
        <v>50</v>
      </c>
      <c r="Y45" s="7">
        <v>0</v>
      </c>
      <c r="Z45" s="5">
        <v>1000</v>
      </c>
      <c r="AA45" s="5">
        <v>0</v>
      </c>
    </row>
    <row r="46" spans="1:27" ht="18.75" hidden="1" customHeight="1" x14ac:dyDescent="0.45">
      <c r="A46" s="3">
        <v>45901</v>
      </c>
      <c r="B46" s="4" t="s">
        <v>65</v>
      </c>
      <c r="C46" s="4" t="s">
        <v>59</v>
      </c>
      <c r="D46" s="4" t="s">
        <v>60</v>
      </c>
      <c r="E46" s="4" t="s">
        <v>29</v>
      </c>
      <c r="F46" s="5">
        <f t="shared" si="3"/>
        <v>5305.174</v>
      </c>
      <c r="G46" s="5">
        <v>2000</v>
      </c>
      <c r="H46" s="5">
        <v>3305.174</v>
      </c>
      <c r="I46" s="5">
        <v>768000</v>
      </c>
      <c r="J46" s="5">
        <v>748000</v>
      </c>
      <c r="K46" s="5">
        <v>599450.80000000005</v>
      </c>
      <c r="L46" s="5">
        <v>-206099</v>
      </c>
      <c r="M46" s="5">
        <v>0</v>
      </c>
      <c r="N46" s="5">
        <v>393351.8</v>
      </c>
      <c r="O46" s="7">
        <v>0.52587139037433195</v>
      </c>
      <c r="P46" s="5">
        <v>35778.199999999997</v>
      </c>
      <c r="Q46" s="5">
        <v>-15983.25</v>
      </c>
      <c r="R46" s="5">
        <v>19794.95</v>
      </c>
      <c r="S46" s="5">
        <v>35000</v>
      </c>
      <c r="T46" s="5">
        <v>27900</v>
      </c>
      <c r="U46" s="7">
        <v>0.79714285714285704</v>
      </c>
      <c r="V46" s="7">
        <v>8.0000000000000002E-3</v>
      </c>
      <c r="W46" s="5">
        <v>3305.174</v>
      </c>
      <c r="X46" s="5">
        <v>89.857142857142904</v>
      </c>
      <c r="Y46" s="7">
        <v>1</v>
      </c>
      <c r="Z46" s="5">
        <v>2000</v>
      </c>
      <c r="AA46" s="5">
        <v>2000</v>
      </c>
    </row>
    <row r="47" spans="1:27" ht="35.35" hidden="1" customHeight="1" x14ac:dyDescent="0.45">
      <c r="A47" s="3">
        <v>45901</v>
      </c>
      <c r="B47" s="4" t="s">
        <v>74</v>
      </c>
      <c r="C47" s="4" t="s">
        <v>59</v>
      </c>
      <c r="D47" s="4" t="s">
        <v>60</v>
      </c>
      <c r="E47" s="4" t="s">
        <v>29</v>
      </c>
      <c r="F47" s="5">
        <f t="shared" si="3"/>
        <v>2000</v>
      </c>
      <c r="G47" s="5">
        <v>2000</v>
      </c>
      <c r="H47" s="5">
        <v>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6"/>
      <c r="T47" s="6"/>
      <c r="U47" s="7"/>
      <c r="V47" s="4"/>
      <c r="W47" s="4"/>
      <c r="X47" s="5">
        <v>0</v>
      </c>
      <c r="Y47" s="7">
        <v>1</v>
      </c>
      <c r="Z47" s="5">
        <v>2000</v>
      </c>
      <c r="AA47" s="5">
        <v>2000</v>
      </c>
    </row>
    <row r="48" spans="1:27" ht="15" hidden="1" customHeight="1" x14ac:dyDescent="0.45">
      <c r="A48" s="3">
        <v>45931</v>
      </c>
      <c r="B48" s="4" t="s">
        <v>58</v>
      </c>
      <c r="C48" s="4" t="s">
        <v>59</v>
      </c>
      <c r="D48" s="4" t="s">
        <v>60</v>
      </c>
      <c r="E48" s="4" t="s">
        <v>29</v>
      </c>
      <c r="F48" s="5">
        <f t="shared" si="3"/>
        <v>7057.0712000000003</v>
      </c>
      <c r="G48" s="5">
        <f>AA48</f>
        <v>2000</v>
      </c>
      <c r="H48" s="5">
        <f>W48</f>
        <v>5057.0712000000003</v>
      </c>
      <c r="I48" s="5">
        <v>321000</v>
      </c>
      <c r="J48" s="5">
        <v>316000</v>
      </c>
      <c r="K48" s="4">
        <v>391366.9</v>
      </c>
      <c r="L48" s="6">
        <v>-113060.3</v>
      </c>
      <c r="M48" s="4"/>
      <c r="N48" s="5">
        <v>278306.59999999998</v>
      </c>
      <c r="O48" s="7">
        <f>N48/J48</f>
        <v>0.8807170886075949</v>
      </c>
      <c r="P48" s="5">
        <v>2641.8</v>
      </c>
      <c r="Q48" s="5">
        <v>0</v>
      </c>
      <c r="R48" s="5">
        <v>2641.8</v>
      </c>
      <c r="S48" s="5">
        <v>35000</v>
      </c>
      <c r="T48" s="5">
        <v>36080</v>
      </c>
      <c r="U48" s="7">
        <v>1.03085714285714</v>
      </c>
      <c r="V48" s="7">
        <v>1.7999999999999999E-2</v>
      </c>
      <c r="W48" s="5">
        <v>5057.0712000000003</v>
      </c>
      <c r="X48" s="5">
        <v>90</v>
      </c>
      <c r="Y48" s="7">
        <v>1</v>
      </c>
      <c r="Z48" s="5">
        <v>2000</v>
      </c>
      <c r="AA48" s="5">
        <v>2000</v>
      </c>
    </row>
    <row r="49" spans="1:27" ht="15" hidden="1" customHeight="1" x14ac:dyDescent="0.45">
      <c r="A49" s="3">
        <v>45931</v>
      </c>
      <c r="B49" s="4" t="s">
        <v>69</v>
      </c>
      <c r="C49" s="4" t="s">
        <v>59</v>
      </c>
      <c r="D49" s="4" t="s">
        <v>60</v>
      </c>
      <c r="E49" s="4" t="s">
        <v>73</v>
      </c>
      <c r="F49" s="5">
        <f t="shared" si="3"/>
        <v>10184.467000000001</v>
      </c>
      <c r="G49" s="5">
        <v>3700</v>
      </c>
      <c r="H49" s="5">
        <v>6484.4669999999996</v>
      </c>
      <c r="I49" s="5">
        <v>165600</v>
      </c>
      <c r="J49" s="5">
        <v>160600</v>
      </c>
      <c r="K49" s="5">
        <v>231964.1</v>
      </c>
      <c r="L49" s="5">
        <v>-8072.2</v>
      </c>
      <c r="M49" s="5">
        <v>0</v>
      </c>
      <c r="N49" s="5">
        <v>204751.2</v>
      </c>
      <c r="O49" s="7">
        <v>1.2749140722291401</v>
      </c>
      <c r="P49" s="5">
        <v>20187.7</v>
      </c>
      <c r="Q49" s="5">
        <v>-8790</v>
      </c>
      <c r="R49" s="5">
        <v>11397.7</v>
      </c>
      <c r="S49" s="5">
        <v>53000</v>
      </c>
      <c r="T49" s="5">
        <v>33450</v>
      </c>
      <c r="U49" s="7">
        <v>0.63</v>
      </c>
      <c r="V49" s="7">
        <v>0.03</v>
      </c>
      <c r="W49" s="5">
        <v>6484.4669999999996</v>
      </c>
      <c r="X49" s="5">
        <v>92.5</v>
      </c>
      <c r="Y49" s="7">
        <v>0.92500000000000004</v>
      </c>
      <c r="Z49" s="5">
        <v>4000</v>
      </c>
      <c r="AA49" s="5">
        <v>3700</v>
      </c>
    </row>
    <row r="50" spans="1:27" ht="15" hidden="1" customHeight="1" x14ac:dyDescent="0.45">
      <c r="A50" s="3">
        <v>45931</v>
      </c>
      <c r="B50" s="4" t="s">
        <v>62</v>
      </c>
      <c r="C50" s="4" t="s">
        <v>59</v>
      </c>
      <c r="D50" s="4" t="s">
        <v>60</v>
      </c>
      <c r="E50" s="4" t="s">
        <v>29</v>
      </c>
      <c r="F50" s="5">
        <f t="shared" si="3"/>
        <v>26095.17</v>
      </c>
      <c r="G50" s="5">
        <v>1520</v>
      </c>
      <c r="H50" s="5">
        <v>24575.17</v>
      </c>
      <c r="I50" s="5">
        <v>321000</v>
      </c>
      <c r="J50" s="5">
        <v>316000</v>
      </c>
      <c r="K50" s="5">
        <v>563045.4</v>
      </c>
      <c r="L50" s="5">
        <v>-116289.4</v>
      </c>
      <c r="M50" s="5">
        <v>5679.7</v>
      </c>
      <c r="N50" s="5">
        <v>445310.7</v>
      </c>
      <c r="O50" s="7">
        <v>1.4092110759493699</v>
      </c>
      <c r="P50" s="5">
        <v>47092.7</v>
      </c>
      <c r="Q50" s="5">
        <v>-900</v>
      </c>
      <c r="R50" s="5">
        <v>46192.7</v>
      </c>
      <c r="S50" s="5">
        <v>35000</v>
      </c>
      <c r="T50" s="5">
        <v>33450</v>
      </c>
      <c r="U50" s="7">
        <v>0.95571428571428596</v>
      </c>
      <c r="V50" s="7">
        <v>0.05</v>
      </c>
      <c r="W50" s="5">
        <v>24575.17</v>
      </c>
      <c r="X50" s="5">
        <v>77.785714285714306</v>
      </c>
      <c r="Y50" s="7">
        <v>0.76</v>
      </c>
      <c r="Z50" s="5">
        <v>2000</v>
      </c>
      <c r="AA50" s="5">
        <v>1520</v>
      </c>
    </row>
    <row r="51" spans="1:27" ht="15" hidden="1" customHeight="1" x14ac:dyDescent="0.45">
      <c r="A51" s="3">
        <v>45931</v>
      </c>
      <c r="B51" s="4" t="s">
        <v>72</v>
      </c>
      <c r="C51" s="4" t="s">
        <v>59</v>
      </c>
      <c r="D51" s="4" t="s">
        <v>60</v>
      </c>
      <c r="E51" s="4" t="s">
        <v>29</v>
      </c>
      <c r="F51" s="5">
        <f t="shared" si="3"/>
        <v>2485.9832000000001</v>
      </c>
      <c r="G51" s="5">
        <v>2000</v>
      </c>
      <c r="H51" s="5">
        <v>485.98320000000001</v>
      </c>
      <c r="I51" s="5">
        <v>81200</v>
      </c>
      <c r="J51" s="5">
        <v>76200</v>
      </c>
      <c r="K51" s="5">
        <v>24546.6</v>
      </c>
      <c r="L51" s="5">
        <v>-6100</v>
      </c>
      <c r="M51" s="5">
        <v>0</v>
      </c>
      <c r="N51" s="5">
        <v>24546.6</v>
      </c>
      <c r="O51" s="7">
        <v>0.32213385826771701</v>
      </c>
      <c r="P51" s="5">
        <v>36201.300000000003</v>
      </c>
      <c r="Q51" s="5">
        <v>0</v>
      </c>
      <c r="R51" s="5">
        <v>36201.300000000003</v>
      </c>
      <c r="S51" s="5">
        <v>35000</v>
      </c>
      <c r="T51" s="5">
        <v>0</v>
      </c>
      <c r="U51" s="7">
        <v>0</v>
      </c>
      <c r="V51" s="7">
        <v>8.0000000000000002E-3</v>
      </c>
      <c r="W51" s="5">
        <v>485.98320000000001</v>
      </c>
      <c r="X51" s="5">
        <v>100</v>
      </c>
      <c r="Y51" s="7">
        <v>1</v>
      </c>
      <c r="Z51" s="5">
        <v>2000</v>
      </c>
      <c r="AA51" s="5">
        <v>2000</v>
      </c>
    </row>
    <row r="52" spans="1:27" ht="15" hidden="1" customHeight="1" x14ac:dyDescent="0.45">
      <c r="A52" s="3">
        <v>45931</v>
      </c>
      <c r="B52" s="4" t="s">
        <v>70</v>
      </c>
      <c r="C52" s="4" t="s">
        <v>59</v>
      </c>
      <c r="D52" s="4" t="s">
        <v>60</v>
      </c>
      <c r="E52" s="4" t="s">
        <v>29</v>
      </c>
      <c r="F52" s="5">
        <f t="shared" si="3"/>
        <v>23793.977999999999</v>
      </c>
      <c r="G52" s="5">
        <v>1520</v>
      </c>
      <c r="H52" s="5">
        <v>22273.977999999999</v>
      </c>
      <c r="I52" s="5">
        <v>278000</v>
      </c>
      <c r="J52" s="5">
        <v>273000</v>
      </c>
      <c r="K52" s="5">
        <v>460355.4</v>
      </c>
      <c r="L52" s="5">
        <v>-94260</v>
      </c>
      <c r="M52" s="5">
        <v>0</v>
      </c>
      <c r="N52" s="5">
        <v>366095.4</v>
      </c>
      <c r="O52" s="7">
        <v>1.34100879120879</v>
      </c>
      <c r="P52" s="5">
        <v>84729.4</v>
      </c>
      <c r="Q52" s="5">
        <v>-5345.24</v>
      </c>
      <c r="R52" s="5">
        <v>79384.160000000003</v>
      </c>
      <c r="S52" s="5">
        <v>35000</v>
      </c>
      <c r="T52" s="5">
        <v>34000</v>
      </c>
      <c r="U52" s="7">
        <v>0.97142857142857097</v>
      </c>
      <c r="V52" s="7">
        <v>0.05</v>
      </c>
      <c r="W52" s="5">
        <v>22273.977999999999</v>
      </c>
      <c r="X52" s="5">
        <v>78</v>
      </c>
      <c r="Y52" s="7">
        <v>0.76</v>
      </c>
      <c r="Z52" s="5">
        <v>2000</v>
      </c>
      <c r="AA52" s="5">
        <v>1520</v>
      </c>
    </row>
    <row r="53" spans="1:27" ht="15" hidden="1" customHeight="1" x14ac:dyDescent="0.45">
      <c r="A53" s="3">
        <v>45931</v>
      </c>
      <c r="B53" s="4" t="s">
        <v>63</v>
      </c>
      <c r="C53" s="4" t="s">
        <v>59</v>
      </c>
      <c r="D53" s="4" t="s">
        <v>60</v>
      </c>
      <c r="E53" s="4" t="s">
        <v>73</v>
      </c>
      <c r="F53" s="5">
        <f t="shared" si="3"/>
        <v>18483.048999999999</v>
      </c>
      <c r="G53" s="5">
        <v>4000</v>
      </c>
      <c r="H53" s="5">
        <v>14483.049000000001</v>
      </c>
      <c r="I53" s="5">
        <v>194000</v>
      </c>
      <c r="J53" s="5">
        <v>189000</v>
      </c>
      <c r="K53" s="5">
        <v>584634.6</v>
      </c>
      <c r="L53" s="5">
        <v>-130296.2</v>
      </c>
      <c r="M53" s="5">
        <v>0</v>
      </c>
      <c r="N53" s="5">
        <v>474518.1</v>
      </c>
      <c r="O53" s="7">
        <v>2.5106777777777798</v>
      </c>
      <c r="P53" s="5">
        <v>8250.2000000000007</v>
      </c>
      <c r="Q53" s="5">
        <v>0</v>
      </c>
      <c r="R53" s="5">
        <v>8250.2000000000007</v>
      </c>
      <c r="S53" s="5">
        <v>140000</v>
      </c>
      <c r="T53" s="5">
        <v>215878</v>
      </c>
      <c r="U53" s="7">
        <v>1.54</v>
      </c>
      <c r="V53" s="7">
        <v>0.03</v>
      </c>
      <c r="W53" s="5">
        <v>14483.049000000001</v>
      </c>
      <c r="X53" s="5">
        <v>100</v>
      </c>
      <c r="Y53" s="7">
        <v>1</v>
      </c>
      <c r="Z53" s="5">
        <v>4000</v>
      </c>
      <c r="AA53" s="5">
        <v>4000</v>
      </c>
    </row>
    <row r="54" spans="1:27" ht="15" hidden="1" customHeight="1" x14ac:dyDescent="0.45">
      <c r="A54" s="3">
        <v>45931</v>
      </c>
      <c r="B54" s="4" t="s">
        <v>66</v>
      </c>
      <c r="C54" s="4" t="s">
        <v>59</v>
      </c>
      <c r="D54" s="4" t="s">
        <v>60</v>
      </c>
      <c r="E54" s="4" t="s">
        <v>29</v>
      </c>
      <c r="F54" s="5">
        <f t="shared" si="3"/>
        <v>27874.543000000001</v>
      </c>
      <c r="G54" s="5">
        <v>2000</v>
      </c>
      <c r="H54" s="5">
        <v>25874.543000000001</v>
      </c>
      <c r="I54" s="5">
        <v>321000</v>
      </c>
      <c r="J54" s="5">
        <v>316000</v>
      </c>
      <c r="K54" s="5">
        <v>649985.80000000005</v>
      </c>
      <c r="L54" s="5">
        <v>-164765.1</v>
      </c>
      <c r="M54" s="5">
        <v>0</v>
      </c>
      <c r="N54" s="5">
        <v>486361.4</v>
      </c>
      <c r="O54" s="7">
        <v>1.5391183544303799</v>
      </c>
      <c r="P54" s="5">
        <v>34130.1</v>
      </c>
      <c r="Q54" s="5">
        <v>-3000.64</v>
      </c>
      <c r="R54" s="5">
        <v>31129.46</v>
      </c>
      <c r="S54" s="5">
        <v>35000</v>
      </c>
      <c r="T54" s="5">
        <v>52980</v>
      </c>
      <c r="U54" s="7">
        <v>1.51371428571429</v>
      </c>
      <c r="V54" s="7">
        <v>0.05</v>
      </c>
      <c r="W54" s="5">
        <v>25874.543000000001</v>
      </c>
      <c r="X54" s="5">
        <v>90</v>
      </c>
      <c r="Y54" s="7">
        <v>1</v>
      </c>
      <c r="Z54" s="5">
        <v>2000</v>
      </c>
      <c r="AA54" s="5">
        <v>2000</v>
      </c>
    </row>
    <row r="55" spans="1:27" ht="15" hidden="1" customHeight="1" x14ac:dyDescent="0.45">
      <c r="A55" s="3">
        <v>45931</v>
      </c>
      <c r="B55" s="4" t="s">
        <v>67</v>
      </c>
      <c r="C55" s="4" t="s">
        <v>59</v>
      </c>
      <c r="D55" s="4" t="s">
        <v>60</v>
      </c>
      <c r="E55" s="4" t="s">
        <v>68</v>
      </c>
      <c r="F55" s="5">
        <f t="shared" si="3"/>
        <v>34388.961499999998</v>
      </c>
      <c r="G55" s="5">
        <v>1000</v>
      </c>
      <c r="H55" s="5">
        <v>33388.961499999998</v>
      </c>
      <c r="I55" s="5">
        <v>321000</v>
      </c>
      <c r="J55" s="5">
        <v>316000</v>
      </c>
      <c r="K55" s="5">
        <v>717889.75</v>
      </c>
      <c r="L55" s="5">
        <v>-60071.75</v>
      </c>
      <c r="M55" s="5">
        <v>0</v>
      </c>
      <c r="N55" s="5">
        <v>659634.25</v>
      </c>
      <c r="O55" s="7">
        <v>2.08745015822785</v>
      </c>
      <c r="P55" s="5">
        <v>17306.400000000001</v>
      </c>
      <c r="Q55" s="5">
        <v>-9161.42</v>
      </c>
      <c r="R55" s="5">
        <v>8144.98</v>
      </c>
      <c r="S55" s="5">
        <v>35000</v>
      </c>
      <c r="T55" s="5">
        <v>55980</v>
      </c>
      <c r="U55" s="7">
        <v>1.5994285714285701</v>
      </c>
      <c r="V55" s="7">
        <v>0.05</v>
      </c>
      <c r="W55" s="5">
        <v>33388.961499999998</v>
      </c>
      <c r="X55" s="5">
        <v>100</v>
      </c>
      <c r="Y55" s="7">
        <v>1</v>
      </c>
      <c r="Z55" s="5">
        <v>1000</v>
      </c>
      <c r="AA55" s="5">
        <v>1000</v>
      </c>
    </row>
    <row r="56" spans="1:27" ht="15" hidden="1" customHeight="1" x14ac:dyDescent="0.45">
      <c r="A56" s="3">
        <v>45931</v>
      </c>
      <c r="B56" s="4" t="s">
        <v>65</v>
      </c>
      <c r="C56" s="4" t="s">
        <v>59</v>
      </c>
      <c r="D56" s="4" t="s">
        <v>60</v>
      </c>
      <c r="E56" s="4" t="s">
        <v>29</v>
      </c>
      <c r="F56" s="5">
        <f t="shared" si="3"/>
        <v>17298.934000000001</v>
      </c>
      <c r="G56" s="5">
        <v>0</v>
      </c>
      <c r="H56" s="5">
        <v>17298.934000000001</v>
      </c>
      <c r="I56" s="5">
        <v>352600</v>
      </c>
      <c r="J56" s="5">
        <v>347600</v>
      </c>
      <c r="K56" s="5">
        <v>452539.5</v>
      </c>
      <c r="L56" s="5">
        <v>-96884.1</v>
      </c>
      <c r="M56" s="5">
        <v>0</v>
      </c>
      <c r="N56" s="5">
        <v>399904.9</v>
      </c>
      <c r="O56" s="7">
        <v>1.15047439585731</v>
      </c>
      <c r="P56" s="5">
        <v>32668.45</v>
      </c>
      <c r="Q56" s="5">
        <v>-100</v>
      </c>
      <c r="R56" s="5">
        <v>32568.45</v>
      </c>
      <c r="S56" s="5">
        <v>35000</v>
      </c>
      <c r="T56" s="5">
        <v>0</v>
      </c>
      <c r="U56" s="7">
        <v>0</v>
      </c>
      <c r="V56" s="7">
        <v>0.04</v>
      </c>
      <c r="W56" s="5">
        <v>17298.934000000001</v>
      </c>
      <c r="X56" s="5">
        <v>40</v>
      </c>
      <c r="Y56" s="7">
        <v>0</v>
      </c>
      <c r="Z56" s="5">
        <v>2000</v>
      </c>
      <c r="AA56" s="5">
        <v>0</v>
      </c>
    </row>
    <row r="57" spans="1:27" ht="15" hidden="1" customHeight="1" x14ac:dyDescent="0.45">
      <c r="A57" s="3">
        <v>45931</v>
      </c>
      <c r="B57" s="4" t="s">
        <v>64</v>
      </c>
      <c r="C57" s="4" t="s">
        <v>59</v>
      </c>
      <c r="D57" s="4" t="s">
        <v>60</v>
      </c>
      <c r="E57" s="4" t="s">
        <v>29</v>
      </c>
      <c r="F57" s="5">
        <f t="shared" si="3"/>
        <v>18703.833999999999</v>
      </c>
      <c r="G57" s="5">
        <f>AA57</f>
        <v>2000</v>
      </c>
      <c r="H57" s="5">
        <f>W57</f>
        <v>16703.833999999999</v>
      </c>
      <c r="I57" s="5">
        <v>321000</v>
      </c>
      <c r="J57" s="5">
        <v>316000</v>
      </c>
      <c r="K57" s="5">
        <v>473797.4</v>
      </c>
      <c r="L57" s="5">
        <v>-62338.1</v>
      </c>
      <c r="M57" s="5">
        <v>0</v>
      </c>
      <c r="N57" s="5">
        <f>M57+L57+K57</f>
        <v>411459.30000000005</v>
      </c>
      <c r="O57" s="7">
        <f>N57/J57</f>
        <v>1.3020863924050634</v>
      </c>
      <c r="P57" s="5">
        <v>6136.55</v>
      </c>
      <c r="Q57" s="5">
        <v>0</v>
      </c>
      <c r="R57" s="5">
        <v>6136.55</v>
      </c>
      <c r="S57" s="5">
        <v>35000</v>
      </c>
      <c r="T57" s="5">
        <v>60800</v>
      </c>
      <c r="U57" s="7">
        <v>1.73714285714286</v>
      </c>
      <c r="V57" s="7">
        <v>0.04</v>
      </c>
      <c r="W57" s="5">
        <v>16703.833999999999</v>
      </c>
      <c r="X57" s="5">
        <v>100</v>
      </c>
      <c r="Y57" s="7">
        <v>1</v>
      </c>
      <c r="Z57" s="5">
        <v>2000</v>
      </c>
      <c r="AA57" s="5">
        <v>2000</v>
      </c>
    </row>
    <row r="58" spans="1:27" ht="15" hidden="1" customHeight="1" x14ac:dyDescent="0.45">
      <c r="A58" s="3">
        <v>45931</v>
      </c>
      <c r="B58" s="4" t="s">
        <v>74</v>
      </c>
      <c r="C58" s="4" t="s">
        <v>59</v>
      </c>
      <c r="D58" s="4" t="s">
        <v>60</v>
      </c>
      <c r="E58" s="4" t="s">
        <v>29</v>
      </c>
      <c r="F58" s="5">
        <f t="shared" si="3"/>
        <v>2000</v>
      </c>
      <c r="G58" s="5">
        <v>2000</v>
      </c>
      <c r="H58" s="5">
        <v>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5">
        <v>100</v>
      </c>
      <c r="Y58" s="7">
        <v>1</v>
      </c>
      <c r="Z58" s="5">
        <v>2000</v>
      </c>
      <c r="AA58" s="5">
        <v>2000</v>
      </c>
    </row>
    <row r="59" spans="1:27" ht="15" hidden="1" customHeight="1" x14ac:dyDescent="0.45">
      <c r="A59" s="3">
        <v>45962</v>
      </c>
      <c r="B59" s="4" t="s">
        <v>58</v>
      </c>
      <c r="C59" s="4" t="s">
        <v>59</v>
      </c>
      <c r="D59" s="4" t="s">
        <v>60</v>
      </c>
      <c r="E59" s="4" t="s">
        <v>29</v>
      </c>
      <c r="F59" s="5">
        <f t="shared" si="3"/>
        <v>14168.421</v>
      </c>
      <c r="G59" s="5">
        <f>AA59</f>
        <v>0</v>
      </c>
      <c r="H59" s="5">
        <f>W59</f>
        <v>14168.421</v>
      </c>
      <c r="I59" s="5">
        <v>415000</v>
      </c>
      <c r="J59" s="5">
        <v>409000</v>
      </c>
      <c r="K59" s="5">
        <v>503131.3</v>
      </c>
      <c r="L59" s="5">
        <v>-47363.7</v>
      </c>
      <c r="M59" s="4"/>
      <c r="N59" s="5">
        <v>455767.6</v>
      </c>
      <c r="O59" s="7">
        <v>1.1143462102689501</v>
      </c>
      <c r="P59" s="5">
        <v>16713.099999999999</v>
      </c>
      <c r="Q59" s="5">
        <v>-200</v>
      </c>
      <c r="R59" s="5">
        <v>16513.099999999999</v>
      </c>
      <c r="S59" s="5">
        <v>50000</v>
      </c>
      <c r="T59" s="5">
        <v>20001.3</v>
      </c>
      <c r="U59" s="7">
        <v>0.40002599999999999</v>
      </c>
      <c r="V59" s="7">
        <v>0.03</v>
      </c>
      <c r="W59" s="5">
        <v>14168.421</v>
      </c>
      <c r="X59" s="5">
        <v>40</v>
      </c>
      <c r="Y59" s="7">
        <v>0</v>
      </c>
      <c r="Z59" s="5">
        <v>2000</v>
      </c>
      <c r="AA59" s="5">
        <v>0</v>
      </c>
    </row>
    <row r="60" spans="1:27" ht="15" hidden="1" customHeight="1" x14ac:dyDescent="0.45">
      <c r="A60" s="3">
        <v>45962</v>
      </c>
      <c r="B60" s="4" t="s">
        <v>64</v>
      </c>
      <c r="C60" s="4" t="s">
        <v>59</v>
      </c>
      <c r="D60" s="4" t="s">
        <v>60</v>
      </c>
      <c r="E60" s="4" t="s">
        <v>29</v>
      </c>
      <c r="F60" s="5">
        <f t="shared" si="3"/>
        <v>0</v>
      </c>
      <c r="G60" s="5">
        <v>0</v>
      </c>
      <c r="H60" s="5">
        <v>0</v>
      </c>
      <c r="I60" s="5">
        <v>415000</v>
      </c>
      <c r="J60" s="5">
        <v>409000</v>
      </c>
      <c r="K60" s="5">
        <v>126940</v>
      </c>
      <c r="L60" s="5">
        <v>-169800</v>
      </c>
      <c r="M60" s="5">
        <v>0</v>
      </c>
      <c r="N60" s="5">
        <v>-42860</v>
      </c>
      <c r="O60" s="7">
        <v>-0.10479217603912</v>
      </c>
      <c r="P60" s="5">
        <v>3809.7</v>
      </c>
      <c r="Q60" s="5">
        <v>0</v>
      </c>
      <c r="R60" s="5">
        <v>3809.7</v>
      </c>
      <c r="S60" s="5">
        <v>50000</v>
      </c>
      <c r="T60" s="5">
        <v>9000</v>
      </c>
      <c r="U60" s="7">
        <v>0.18</v>
      </c>
      <c r="V60" s="7">
        <v>0</v>
      </c>
      <c r="W60" s="5">
        <v>0</v>
      </c>
      <c r="X60" s="5">
        <v>20</v>
      </c>
      <c r="Y60" s="7">
        <v>0</v>
      </c>
      <c r="Z60" s="5">
        <v>2000</v>
      </c>
      <c r="AA60" s="5">
        <v>0</v>
      </c>
    </row>
    <row r="61" spans="1:27" ht="15" hidden="1" customHeight="1" x14ac:dyDescent="0.45">
      <c r="A61" s="3">
        <v>45962</v>
      </c>
      <c r="B61" s="4" t="s">
        <v>69</v>
      </c>
      <c r="C61" s="4" t="s">
        <v>59</v>
      </c>
      <c r="D61" s="4" t="s">
        <v>60</v>
      </c>
      <c r="E61" s="4" t="s">
        <v>73</v>
      </c>
      <c r="F61" s="5">
        <f t="shared" si="3"/>
        <v>3615.2383916990898</v>
      </c>
      <c r="G61" s="5">
        <v>3615.2383916990898</v>
      </c>
      <c r="H61" s="5">
        <v>0</v>
      </c>
      <c r="I61" s="5">
        <v>178000</v>
      </c>
      <c r="J61" s="5">
        <v>175000</v>
      </c>
      <c r="K61" s="5">
        <v>81160</v>
      </c>
      <c r="L61" s="5">
        <v>-19515.900000000001</v>
      </c>
      <c r="M61" s="5">
        <v>0</v>
      </c>
      <c r="N61" s="5">
        <v>61644.1</v>
      </c>
      <c r="O61" s="7">
        <v>0.35225200000000001</v>
      </c>
      <c r="P61" s="5">
        <v>0</v>
      </c>
      <c r="Q61" s="5">
        <v>0</v>
      </c>
      <c r="R61" s="5">
        <v>0</v>
      </c>
      <c r="S61" s="5">
        <v>25000</v>
      </c>
      <c r="T61" s="5">
        <v>35600</v>
      </c>
      <c r="U61" s="7">
        <v>1.4239999999999999</v>
      </c>
      <c r="V61" s="7">
        <v>0</v>
      </c>
      <c r="W61" s="5">
        <v>0</v>
      </c>
      <c r="X61" s="5">
        <v>85.1904798962386</v>
      </c>
      <c r="Y61" s="7">
        <v>0.903809597924772</v>
      </c>
      <c r="Z61" s="5">
        <v>4000</v>
      </c>
      <c r="AA61" s="5">
        <v>3615.2383916990898</v>
      </c>
    </row>
    <row r="62" spans="1:27" ht="15" hidden="1" customHeight="1" x14ac:dyDescent="0.45">
      <c r="A62" s="3">
        <v>45962</v>
      </c>
      <c r="B62" s="4" t="s">
        <v>62</v>
      </c>
      <c r="C62" s="4" t="s">
        <v>59</v>
      </c>
      <c r="D62" s="4" t="s">
        <v>60</v>
      </c>
      <c r="E62" s="4" t="s">
        <v>29</v>
      </c>
      <c r="F62" s="5">
        <f t="shared" si="3"/>
        <v>12768.099</v>
      </c>
      <c r="G62" s="5">
        <v>0</v>
      </c>
      <c r="H62" s="5">
        <v>12768.099</v>
      </c>
      <c r="I62" s="5">
        <v>415000</v>
      </c>
      <c r="J62" s="5">
        <v>409000</v>
      </c>
      <c r="K62" s="5">
        <v>521885.8</v>
      </c>
      <c r="L62" s="5">
        <v>-96282.5</v>
      </c>
      <c r="M62" s="5">
        <v>0</v>
      </c>
      <c r="N62" s="5">
        <v>425603.3</v>
      </c>
      <c r="O62" s="7">
        <v>1.04059486552567</v>
      </c>
      <c r="P62" s="5">
        <v>0</v>
      </c>
      <c r="Q62" s="5">
        <v>0</v>
      </c>
      <c r="R62" s="5">
        <v>0</v>
      </c>
      <c r="S62" s="5">
        <v>50000</v>
      </c>
      <c r="T62" s="5">
        <v>28300</v>
      </c>
      <c r="U62" s="7">
        <v>0.56599999999999995</v>
      </c>
      <c r="V62" s="7">
        <v>0.03</v>
      </c>
      <c r="W62" s="5">
        <v>12768.099</v>
      </c>
      <c r="X62" s="5">
        <v>45</v>
      </c>
      <c r="Y62" s="7">
        <v>0</v>
      </c>
      <c r="Z62" s="5">
        <v>2000</v>
      </c>
      <c r="AA62" s="5">
        <v>0</v>
      </c>
    </row>
    <row r="63" spans="1:27" ht="15" hidden="1" customHeight="1" x14ac:dyDescent="0.45">
      <c r="A63" s="3">
        <v>45962</v>
      </c>
      <c r="B63" s="4" t="s">
        <v>72</v>
      </c>
      <c r="C63" s="4" t="s">
        <v>59</v>
      </c>
      <c r="D63" s="4" t="s">
        <v>60</v>
      </c>
      <c r="E63" s="4" t="s">
        <v>29</v>
      </c>
      <c r="F63" s="5">
        <f t="shared" si="3"/>
        <v>3081.0272</v>
      </c>
      <c r="G63" s="5">
        <v>2000</v>
      </c>
      <c r="H63" s="5">
        <v>1081.0272</v>
      </c>
      <c r="I63" s="5">
        <v>178000</v>
      </c>
      <c r="J63" s="5">
        <v>175000</v>
      </c>
      <c r="K63" s="5">
        <v>110850</v>
      </c>
      <c r="L63" s="5">
        <v>0</v>
      </c>
      <c r="M63" s="5">
        <v>0</v>
      </c>
      <c r="N63" s="5">
        <v>110850</v>
      </c>
      <c r="O63" s="7">
        <v>0.63342857142857101</v>
      </c>
      <c r="P63" s="5">
        <v>24378.400000000001</v>
      </c>
      <c r="Q63" s="5">
        <v>-100</v>
      </c>
      <c r="R63" s="5">
        <v>24278.400000000001</v>
      </c>
      <c r="S63" s="5">
        <v>0</v>
      </c>
      <c r="T63" s="5">
        <v>25000</v>
      </c>
      <c r="U63" s="7">
        <v>0</v>
      </c>
      <c r="V63" s="7">
        <v>8.0000000000000002E-3</v>
      </c>
      <c r="W63" s="5">
        <v>1081.0272</v>
      </c>
      <c r="X63" s="5">
        <v>100</v>
      </c>
      <c r="Y63" s="7">
        <v>1</v>
      </c>
      <c r="Z63" s="5">
        <v>2000</v>
      </c>
      <c r="AA63" s="5">
        <v>2000</v>
      </c>
    </row>
    <row r="64" spans="1:27" ht="15" hidden="1" customHeight="1" x14ac:dyDescent="0.45">
      <c r="A64" s="3">
        <v>45962</v>
      </c>
      <c r="B64" s="4" t="s">
        <v>70</v>
      </c>
      <c r="C64" s="4" t="s">
        <v>59</v>
      </c>
      <c r="D64" s="4" t="s">
        <v>60</v>
      </c>
      <c r="E64" s="4" t="s">
        <v>29</v>
      </c>
      <c r="F64" s="5">
        <f t="shared" si="3"/>
        <v>4157.8127999999997</v>
      </c>
      <c r="G64" s="5">
        <v>2000</v>
      </c>
      <c r="H64" s="5">
        <v>2157.8128000000002</v>
      </c>
      <c r="I64" s="5">
        <v>356000</v>
      </c>
      <c r="J64" s="5">
        <v>350000</v>
      </c>
      <c r="K64" s="5">
        <v>288100</v>
      </c>
      <c r="L64" s="5">
        <v>-43373.4</v>
      </c>
      <c r="M64" s="5">
        <v>12500</v>
      </c>
      <c r="N64" s="5">
        <v>269726.59999999998</v>
      </c>
      <c r="O64" s="7">
        <v>0.77064742857142898</v>
      </c>
      <c r="P64" s="5">
        <v>0</v>
      </c>
      <c r="Q64" s="5">
        <v>0</v>
      </c>
      <c r="R64" s="5">
        <v>0</v>
      </c>
      <c r="S64" s="5">
        <v>25000</v>
      </c>
      <c r="T64" s="5">
        <v>27800</v>
      </c>
      <c r="U64" s="7">
        <v>1.1120000000000001</v>
      </c>
      <c r="V64" s="7">
        <v>8.0000000000000002E-3</v>
      </c>
      <c r="W64" s="5">
        <v>2157.8128000000002</v>
      </c>
      <c r="X64" s="5">
        <v>92</v>
      </c>
      <c r="Y64" s="7">
        <v>1</v>
      </c>
      <c r="Z64" s="5">
        <v>2000</v>
      </c>
      <c r="AA64" s="5">
        <v>2000</v>
      </c>
    </row>
    <row r="65" spans="1:27" ht="15" hidden="1" customHeight="1" x14ac:dyDescent="0.45">
      <c r="A65" s="3">
        <v>45962</v>
      </c>
      <c r="B65" s="4" t="s">
        <v>63</v>
      </c>
      <c r="C65" s="4" t="s">
        <v>59</v>
      </c>
      <c r="D65" s="4" t="s">
        <v>60</v>
      </c>
      <c r="E65" s="4" t="s">
        <v>73</v>
      </c>
      <c r="F65" s="5">
        <f t="shared" si="3"/>
        <v>1480.4392</v>
      </c>
      <c r="G65" s="5">
        <v>0</v>
      </c>
      <c r="H65" s="5">
        <v>1480.4392</v>
      </c>
      <c r="I65" s="5">
        <v>237000</v>
      </c>
      <c r="J65" s="5">
        <v>234000</v>
      </c>
      <c r="K65" s="5">
        <v>332611.8</v>
      </c>
      <c r="L65" s="5">
        <v>-143100</v>
      </c>
      <c r="M65" s="5">
        <v>0</v>
      </c>
      <c r="N65" s="5">
        <v>189511.8</v>
      </c>
      <c r="O65" s="7">
        <v>0.80987948717948699</v>
      </c>
      <c r="P65" s="5">
        <v>4042.1</v>
      </c>
      <c r="Q65" s="5">
        <v>-8499</v>
      </c>
      <c r="R65" s="5">
        <v>-4456.8999999999996</v>
      </c>
      <c r="S65" s="5">
        <v>50000</v>
      </c>
      <c r="T65" s="5">
        <v>75950</v>
      </c>
      <c r="U65" s="7">
        <v>1.5189999999999999</v>
      </c>
      <c r="V65" s="7">
        <v>8.0000000000000002E-3</v>
      </c>
      <c r="W65" s="5">
        <v>1480.4392</v>
      </c>
      <c r="X65" s="5">
        <v>57.176345748418797</v>
      </c>
      <c r="Y65" s="7">
        <v>0</v>
      </c>
      <c r="Z65" s="5">
        <v>4000</v>
      </c>
      <c r="AA65" s="5">
        <v>0</v>
      </c>
    </row>
    <row r="66" spans="1:27" ht="15" hidden="1" customHeight="1" x14ac:dyDescent="0.45">
      <c r="A66" s="3">
        <v>45962</v>
      </c>
      <c r="B66" s="4" t="s">
        <v>66</v>
      </c>
      <c r="C66" s="4" t="s">
        <v>59</v>
      </c>
      <c r="D66" s="4" t="s">
        <v>60</v>
      </c>
      <c r="E66" s="4" t="s">
        <v>29</v>
      </c>
      <c r="F66" s="5">
        <f t="shared" si="3"/>
        <v>12969.357</v>
      </c>
      <c r="G66" s="5">
        <v>0</v>
      </c>
      <c r="H66" s="5">
        <v>12969.357</v>
      </c>
      <c r="I66" s="5">
        <v>415000</v>
      </c>
      <c r="J66" s="5">
        <v>409000</v>
      </c>
      <c r="K66" s="5">
        <v>510294</v>
      </c>
      <c r="L66" s="5">
        <v>-96291.9</v>
      </c>
      <c r="M66" s="5">
        <v>0</v>
      </c>
      <c r="N66" s="5">
        <v>414002.1</v>
      </c>
      <c r="O66" s="7">
        <v>1.0122300733496301</v>
      </c>
      <c r="P66" s="5">
        <v>18309.8</v>
      </c>
      <c r="Q66" s="5">
        <v>0</v>
      </c>
      <c r="R66" s="5">
        <v>18309.8</v>
      </c>
      <c r="S66" s="5">
        <v>50000</v>
      </c>
      <c r="T66" s="5">
        <v>1327</v>
      </c>
      <c r="U66" s="7">
        <v>2.6540000000000001E-2</v>
      </c>
      <c r="V66" s="7">
        <v>0.03</v>
      </c>
      <c r="W66" s="5">
        <v>12969.357</v>
      </c>
      <c r="X66" s="5">
        <v>40</v>
      </c>
      <c r="Y66" s="7">
        <v>0</v>
      </c>
      <c r="Z66" s="5">
        <v>2000</v>
      </c>
      <c r="AA66" s="5">
        <v>0</v>
      </c>
    </row>
    <row r="67" spans="1:27" ht="15" hidden="1" customHeight="1" x14ac:dyDescent="0.45">
      <c r="A67" s="3">
        <v>45962</v>
      </c>
      <c r="B67" s="4" t="s">
        <v>67</v>
      </c>
      <c r="C67" s="4" t="s">
        <v>59</v>
      </c>
      <c r="D67" s="4" t="s">
        <v>60</v>
      </c>
      <c r="E67" s="4" t="s">
        <v>68</v>
      </c>
      <c r="F67" s="5">
        <f t="shared" ref="F67:F98" si="4">G67+H67</f>
        <v>13903.353999999999</v>
      </c>
      <c r="G67" s="5">
        <v>1000</v>
      </c>
      <c r="H67" s="5">
        <v>12903.353999999999</v>
      </c>
      <c r="I67" s="5">
        <v>415000</v>
      </c>
      <c r="J67" s="5">
        <v>409000</v>
      </c>
      <c r="K67" s="5">
        <v>583160</v>
      </c>
      <c r="L67" s="5">
        <v>-199124.4</v>
      </c>
      <c r="M67" s="5">
        <v>0</v>
      </c>
      <c r="N67" s="5">
        <v>384035.6</v>
      </c>
      <c r="O67" s="7">
        <v>0.93896234718826399</v>
      </c>
      <c r="P67" s="5">
        <v>46076.2</v>
      </c>
      <c r="Q67" s="5">
        <v>0</v>
      </c>
      <c r="R67" s="5">
        <v>46076.2</v>
      </c>
      <c r="S67" s="5">
        <v>50000</v>
      </c>
      <c r="T67" s="5">
        <v>54800</v>
      </c>
      <c r="U67" s="7">
        <v>1.0960000000000001</v>
      </c>
      <c r="V67" s="7">
        <v>0.03</v>
      </c>
      <c r="W67" s="5">
        <v>12903.353999999999</v>
      </c>
      <c r="X67" s="5">
        <v>90</v>
      </c>
      <c r="Y67" s="7">
        <v>1</v>
      </c>
      <c r="Z67" s="5">
        <v>1000</v>
      </c>
      <c r="AA67" s="5">
        <v>1000</v>
      </c>
    </row>
    <row r="68" spans="1:27" ht="15" hidden="1" customHeight="1" x14ac:dyDescent="0.45">
      <c r="A68" s="3">
        <v>45962</v>
      </c>
      <c r="B68" s="4" t="s">
        <v>65</v>
      </c>
      <c r="C68" s="4" t="s">
        <v>59</v>
      </c>
      <c r="D68" s="4" t="s">
        <v>60</v>
      </c>
      <c r="E68" s="4" t="s">
        <v>29</v>
      </c>
      <c r="F68" s="5">
        <f t="shared" si="4"/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7">
        <v>0</v>
      </c>
      <c r="P68" s="5">
        <v>0</v>
      </c>
      <c r="Q68" s="5">
        <v>0</v>
      </c>
      <c r="R68" s="5">
        <v>0</v>
      </c>
      <c r="S68" s="5">
        <v>50000</v>
      </c>
      <c r="T68" s="5">
        <v>0</v>
      </c>
      <c r="U68" s="7">
        <v>0</v>
      </c>
      <c r="V68" s="7">
        <v>0</v>
      </c>
      <c r="W68" s="5">
        <v>0</v>
      </c>
      <c r="X68" s="5">
        <v>0</v>
      </c>
      <c r="Y68" s="7">
        <v>0</v>
      </c>
      <c r="Z68" s="5">
        <v>2000</v>
      </c>
      <c r="AA68" s="5">
        <v>0</v>
      </c>
    </row>
    <row r="69" spans="1:27" ht="15" hidden="1" customHeight="1" x14ac:dyDescent="0.45">
      <c r="A69" s="3">
        <v>45962</v>
      </c>
      <c r="B69" s="4" t="s">
        <v>74</v>
      </c>
      <c r="C69" s="4" t="s">
        <v>59</v>
      </c>
      <c r="D69" s="4" t="s">
        <v>60</v>
      </c>
      <c r="E69" s="4" t="s">
        <v>29</v>
      </c>
      <c r="F69" s="5">
        <f t="shared" si="4"/>
        <v>2377</v>
      </c>
      <c r="G69" s="5">
        <v>2000</v>
      </c>
      <c r="H69" s="5">
        <v>377</v>
      </c>
      <c r="I69" s="5">
        <v>1</v>
      </c>
      <c r="J69" s="5">
        <v>0</v>
      </c>
      <c r="K69" s="5">
        <v>25000</v>
      </c>
      <c r="L69" s="5">
        <v>0</v>
      </c>
      <c r="M69" s="5">
        <v>0</v>
      </c>
      <c r="N69" s="5">
        <v>25000</v>
      </c>
      <c r="O69" s="7">
        <v>0</v>
      </c>
      <c r="P69" s="5">
        <v>12800</v>
      </c>
      <c r="Q69" s="5">
        <v>-100</v>
      </c>
      <c r="R69" s="5">
        <v>12700</v>
      </c>
      <c r="S69" s="4"/>
      <c r="T69" s="4"/>
      <c r="U69" s="4"/>
      <c r="V69" s="7">
        <v>0.01</v>
      </c>
      <c r="W69" s="5">
        <v>377</v>
      </c>
      <c r="X69" s="5">
        <v>100</v>
      </c>
      <c r="Y69" s="7">
        <v>1</v>
      </c>
      <c r="Z69" s="5">
        <v>2000</v>
      </c>
      <c r="AA69" s="5">
        <v>2000</v>
      </c>
    </row>
    <row r="70" spans="1:27" ht="15" hidden="1" customHeight="1" x14ac:dyDescent="0.45">
      <c r="A70" s="3">
        <v>45992</v>
      </c>
      <c r="B70" s="4" t="s">
        <v>58</v>
      </c>
      <c r="C70" s="4" t="s">
        <v>59</v>
      </c>
      <c r="D70" s="4" t="s">
        <v>60</v>
      </c>
      <c r="E70" s="4" t="s">
        <v>29</v>
      </c>
      <c r="F70" s="5">
        <f t="shared" si="4"/>
        <v>21104.115600000001</v>
      </c>
      <c r="G70" s="5">
        <f>AA70</f>
        <v>2000</v>
      </c>
      <c r="H70" s="5">
        <f>W70</f>
        <v>19104.115600000001</v>
      </c>
      <c r="I70" s="5">
        <v>391000</v>
      </c>
      <c r="J70" s="5">
        <v>386000</v>
      </c>
      <c r="K70" s="5">
        <v>506231.6</v>
      </c>
      <c r="L70" s="5">
        <v>-51024.45</v>
      </c>
      <c r="M70" s="4"/>
      <c r="N70" s="5">
        <f>M70+L70+K70</f>
        <v>455207.14999999997</v>
      </c>
      <c r="O70" s="7">
        <f>N70/J70</f>
        <v>1.1792931347150257</v>
      </c>
      <c r="P70" s="5">
        <v>24861.599999999999</v>
      </c>
      <c r="Q70" s="5">
        <v>-2465.86</v>
      </c>
      <c r="R70" s="5">
        <f>P70+Q70</f>
        <v>22395.739999999998</v>
      </c>
      <c r="S70" s="5">
        <v>50000</v>
      </c>
      <c r="T70" s="5">
        <v>101700</v>
      </c>
      <c r="U70" s="7">
        <v>2.0339999999999998</v>
      </c>
      <c r="V70" s="7">
        <v>0.04</v>
      </c>
      <c r="W70" s="5">
        <v>19104.115600000001</v>
      </c>
      <c r="X70" s="5">
        <v>90</v>
      </c>
      <c r="Y70" s="7">
        <v>1</v>
      </c>
      <c r="Z70" s="5">
        <v>2000</v>
      </c>
      <c r="AA70" s="5">
        <v>2000</v>
      </c>
    </row>
    <row r="71" spans="1:27" ht="15" hidden="1" customHeight="1" x14ac:dyDescent="0.45">
      <c r="A71" s="3">
        <v>45992</v>
      </c>
      <c r="B71" s="4" t="s">
        <v>64</v>
      </c>
      <c r="C71" s="4" t="s">
        <v>59</v>
      </c>
      <c r="D71" s="4" t="s">
        <v>60</v>
      </c>
      <c r="E71" s="4" t="s">
        <v>29</v>
      </c>
      <c r="F71" s="5">
        <f t="shared" si="4"/>
        <v>28215.002400000001</v>
      </c>
      <c r="G71" s="5">
        <v>1984</v>
      </c>
      <c r="H71" s="5">
        <v>26231.002400000001</v>
      </c>
      <c r="I71" s="5">
        <v>425400</v>
      </c>
      <c r="J71" s="5">
        <v>420400</v>
      </c>
      <c r="K71" s="5">
        <v>687780</v>
      </c>
      <c r="L71" s="5">
        <v>-80160</v>
      </c>
      <c r="M71" s="5">
        <v>0</v>
      </c>
      <c r="N71" s="5">
        <v>607620</v>
      </c>
      <c r="O71" s="7">
        <v>1.4453377735490001</v>
      </c>
      <c r="P71" s="5">
        <v>51816.1</v>
      </c>
      <c r="Q71" s="5">
        <v>-3661.04</v>
      </c>
      <c r="R71" s="5">
        <v>48155.06</v>
      </c>
      <c r="S71" s="5">
        <v>50000</v>
      </c>
      <c r="T71" s="5">
        <v>49609.7</v>
      </c>
      <c r="U71" s="7">
        <v>0.99219400000000002</v>
      </c>
      <c r="V71" s="7">
        <v>0.04</v>
      </c>
      <c r="W71" s="5">
        <v>26231.002400000001</v>
      </c>
      <c r="X71" s="5">
        <v>89.609700000000004</v>
      </c>
      <c r="Y71" s="7">
        <v>0.99199999999999999</v>
      </c>
      <c r="Z71" s="5">
        <v>2000</v>
      </c>
      <c r="AA71" s="5">
        <v>1984</v>
      </c>
    </row>
    <row r="72" spans="1:27" ht="15" hidden="1" customHeight="1" x14ac:dyDescent="0.45">
      <c r="A72" s="3">
        <v>45992</v>
      </c>
      <c r="B72" s="4" t="s">
        <v>69</v>
      </c>
      <c r="C72" s="4" t="s">
        <v>59</v>
      </c>
      <c r="D72" s="4" t="s">
        <v>60</v>
      </c>
      <c r="E72" s="4" t="s">
        <v>75</v>
      </c>
      <c r="F72" s="5">
        <f t="shared" si="4"/>
        <v>9064.8719999999994</v>
      </c>
      <c r="G72" s="5">
        <v>0</v>
      </c>
      <c r="H72" s="5">
        <v>9064.8719999999994</v>
      </c>
      <c r="I72" s="5">
        <v>300200</v>
      </c>
      <c r="J72" s="5">
        <v>296200</v>
      </c>
      <c r="K72" s="5">
        <v>304193.5</v>
      </c>
      <c r="L72" s="5">
        <v>-29275.7</v>
      </c>
      <c r="M72" s="5">
        <v>0</v>
      </c>
      <c r="N72" s="5">
        <v>274917.8</v>
      </c>
      <c r="O72" s="7">
        <v>0.92814922349763695</v>
      </c>
      <c r="P72" s="5">
        <v>27344.6</v>
      </c>
      <c r="Q72" s="5">
        <v>-100</v>
      </c>
      <c r="R72" s="5">
        <v>27244.6</v>
      </c>
      <c r="S72" s="5">
        <v>25000</v>
      </c>
      <c r="T72" s="5">
        <v>0</v>
      </c>
      <c r="U72" s="7">
        <v>0</v>
      </c>
      <c r="V72" s="7">
        <v>0.03</v>
      </c>
      <c r="W72" s="5">
        <v>9064.8719999999994</v>
      </c>
      <c r="X72" s="5">
        <v>20</v>
      </c>
      <c r="Y72" s="7">
        <v>0</v>
      </c>
      <c r="Z72" s="5">
        <v>1000</v>
      </c>
      <c r="AA72" s="5">
        <v>0</v>
      </c>
    </row>
    <row r="73" spans="1:27" ht="15" hidden="1" customHeight="1" x14ac:dyDescent="0.45">
      <c r="A73" s="3">
        <v>45992</v>
      </c>
      <c r="B73" s="4" t="s">
        <v>62</v>
      </c>
      <c r="C73" s="4" t="s">
        <v>59</v>
      </c>
      <c r="D73" s="4" t="s">
        <v>60</v>
      </c>
      <c r="E73" s="4" t="s">
        <v>29</v>
      </c>
      <c r="F73" s="5">
        <f t="shared" si="4"/>
        <v>32357.555499999999</v>
      </c>
      <c r="G73" s="5">
        <v>2000</v>
      </c>
      <c r="H73" s="5">
        <v>30357.555499999999</v>
      </c>
      <c r="I73" s="5">
        <v>391000</v>
      </c>
      <c r="J73" s="5">
        <v>386000</v>
      </c>
      <c r="K73" s="5">
        <v>683901</v>
      </c>
      <c r="L73" s="5">
        <v>-104840.2</v>
      </c>
      <c r="M73" s="5">
        <v>0</v>
      </c>
      <c r="N73" s="5">
        <v>579060.80000000005</v>
      </c>
      <c r="O73" s="7">
        <v>1.50015751295337</v>
      </c>
      <c r="P73" s="5">
        <v>50195.7</v>
      </c>
      <c r="Q73" s="5">
        <v>-22105.39</v>
      </c>
      <c r="R73" s="5">
        <v>28090.31</v>
      </c>
      <c r="S73" s="5">
        <v>50000</v>
      </c>
      <c r="T73" s="5">
        <v>92327.2</v>
      </c>
      <c r="U73" s="7">
        <v>1.846544</v>
      </c>
      <c r="V73" s="7">
        <v>0.05</v>
      </c>
      <c r="W73" s="5">
        <v>30357.555499999999</v>
      </c>
      <c r="X73" s="5">
        <v>90</v>
      </c>
      <c r="Y73" s="7">
        <v>1</v>
      </c>
      <c r="Z73" s="5">
        <v>2000</v>
      </c>
      <c r="AA73" s="5">
        <v>2000</v>
      </c>
    </row>
    <row r="74" spans="1:27" ht="15" hidden="1" customHeight="1" x14ac:dyDescent="0.45">
      <c r="A74" s="3">
        <v>45992</v>
      </c>
      <c r="B74" s="4" t="s">
        <v>72</v>
      </c>
      <c r="C74" s="4" t="s">
        <v>59</v>
      </c>
      <c r="D74" s="4" t="s">
        <v>60</v>
      </c>
      <c r="E74" s="4" t="s">
        <v>29</v>
      </c>
      <c r="F74" s="5">
        <f t="shared" si="4"/>
        <v>3585.2080000000001</v>
      </c>
      <c r="G74" s="5">
        <v>2000</v>
      </c>
      <c r="H74" s="5">
        <v>1585.2080000000001</v>
      </c>
      <c r="I74" s="5">
        <v>279200</v>
      </c>
      <c r="J74" s="5">
        <v>275200</v>
      </c>
      <c r="K74" s="5">
        <v>238500</v>
      </c>
      <c r="L74" s="5">
        <v>-64720</v>
      </c>
      <c r="M74" s="5">
        <v>0</v>
      </c>
      <c r="N74" s="5">
        <v>173780</v>
      </c>
      <c r="O74" s="7">
        <v>0.63146802325581397</v>
      </c>
      <c r="P74" s="5">
        <v>24471</v>
      </c>
      <c r="Q74" s="5">
        <v>-100</v>
      </c>
      <c r="R74" s="5">
        <v>24371</v>
      </c>
      <c r="S74" s="5">
        <v>0</v>
      </c>
      <c r="T74" s="5">
        <v>62800</v>
      </c>
      <c r="U74" s="7">
        <v>1</v>
      </c>
      <c r="V74" s="7">
        <v>8.0000000000000002E-3</v>
      </c>
      <c r="W74" s="5">
        <v>1585.2080000000001</v>
      </c>
      <c r="X74" s="5">
        <v>70</v>
      </c>
      <c r="Y74" s="7">
        <v>1</v>
      </c>
      <c r="Z74" s="5">
        <v>2000</v>
      </c>
      <c r="AA74" s="5">
        <v>2000</v>
      </c>
    </row>
    <row r="75" spans="1:27" ht="15" hidden="1" customHeight="1" x14ac:dyDescent="0.45">
      <c r="A75" s="3">
        <v>45992</v>
      </c>
      <c r="B75" s="4" t="s">
        <v>70</v>
      </c>
      <c r="C75" s="4" t="s">
        <v>59</v>
      </c>
      <c r="D75" s="4" t="s">
        <v>60</v>
      </c>
      <c r="E75" s="4" t="s">
        <v>29</v>
      </c>
      <c r="F75" s="5">
        <f t="shared" si="4"/>
        <v>11611.797</v>
      </c>
      <c r="G75" s="5">
        <v>0</v>
      </c>
      <c r="H75" s="5">
        <v>11611.797</v>
      </c>
      <c r="I75" s="5">
        <v>370000</v>
      </c>
      <c r="J75" s="5">
        <v>365000</v>
      </c>
      <c r="K75" s="5">
        <v>367182</v>
      </c>
      <c r="L75" s="5">
        <v>-58300</v>
      </c>
      <c r="M75" s="5">
        <v>0</v>
      </c>
      <c r="N75" s="5">
        <v>308882</v>
      </c>
      <c r="O75" s="7">
        <v>0.84625205479452104</v>
      </c>
      <c r="P75" s="5">
        <v>105727.9</v>
      </c>
      <c r="Q75" s="5">
        <v>-27550</v>
      </c>
      <c r="R75" s="5">
        <v>78177.899999999994</v>
      </c>
      <c r="S75" s="5">
        <v>25000</v>
      </c>
      <c r="T75" s="5">
        <v>0</v>
      </c>
      <c r="U75" s="7">
        <v>0</v>
      </c>
      <c r="V75" s="7">
        <v>0.03</v>
      </c>
      <c r="W75" s="5">
        <v>11611.797</v>
      </c>
      <c r="X75" s="5">
        <v>16</v>
      </c>
      <c r="Y75" s="7">
        <v>0</v>
      </c>
      <c r="Z75" s="5">
        <v>2000</v>
      </c>
      <c r="AA75" s="5">
        <v>0</v>
      </c>
    </row>
    <row r="76" spans="1:27" ht="15" hidden="1" customHeight="1" x14ac:dyDescent="0.45">
      <c r="A76" s="3">
        <v>45992</v>
      </c>
      <c r="B76" s="4" t="s">
        <v>63</v>
      </c>
      <c r="C76" s="4" t="s">
        <v>59</v>
      </c>
      <c r="D76" s="4" t="s">
        <v>60</v>
      </c>
      <c r="E76" s="4" t="s">
        <v>73</v>
      </c>
      <c r="F76" s="5">
        <f t="shared" si="4"/>
        <v>14477.668</v>
      </c>
      <c r="G76" s="5">
        <v>4000</v>
      </c>
      <c r="H76" s="5">
        <v>10477.668</v>
      </c>
      <c r="I76" s="5">
        <v>219000</v>
      </c>
      <c r="J76" s="5">
        <v>214000</v>
      </c>
      <c r="K76" s="5">
        <v>305060</v>
      </c>
      <c r="L76" s="5">
        <v>-20040</v>
      </c>
      <c r="M76" s="5">
        <v>0</v>
      </c>
      <c r="N76" s="5">
        <v>285020</v>
      </c>
      <c r="O76" s="7">
        <v>1.3318691588785001</v>
      </c>
      <c r="P76" s="5">
        <v>74886.8</v>
      </c>
      <c r="Q76" s="5">
        <v>-10651.2</v>
      </c>
      <c r="R76" s="5">
        <v>64235.6</v>
      </c>
      <c r="S76" s="5">
        <v>50000</v>
      </c>
      <c r="T76" s="5">
        <v>89483.199999999997</v>
      </c>
      <c r="U76" s="7">
        <v>1.7896639999999999</v>
      </c>
      <c r="V76" s="7">
        <v>0.03</v>
      </c>
      <c r="W76" s="5">
        <v>10477.668</v>
      </c>
      <c r="X76" s="5">
        <v>100</v>
      </c>
      <c r="Y76" s="7">
        <v>1</v>
      </c>
      <c r="Z76" s="5">
        <v>4000</v>
      </c>
      <c r="AA76" s="5">
        <v>4000</v>
      </c>
    </row>
    <row r="77" spans="1:27" ht="15" hidden="1" customHeight="1" x14ac:dyDescent="0.45">
      <c r="A77" s="3">
        <v>45992</v>
      </c>
      <c r="B77" s="4" t="s">
        <v>66</v>
      </c>
      <c r="C77" s="4" t="s">
        <v>59</v>
      </c>
      <c r="D77" s="4" t="s">
        <v>60</v>
      </c>
      <c r="E77" s="4" t="s">
        <v>29</v>
      </c>
      <c r="F77" s="5">
        <f t="shared" si="4"/>
        <v>5599.8810000000003</v>
      </c>
      <c r="G77" s="5">
        <v>0</v>
      </c>
      <c r="H77" s="5">
        <v>5599.8810000000003</v>
      </c>
      <c r="I77" s="5">
        <v>391000</v>
      </c>
      <c r="J77" s="5">
        <v>386000</v>
      </c>
      <c r="K77" s="5">
        <v>280933.8</v>
      </c>
      <c r="L77" s="5">
        <v>-52693.8</v>
      </c>
      <c r="M77" s="5">
        <v>0</v>
      </c>
      <c r="N77" s="5">
        <v>228240</v>
      </c>
      <c r="O77" s="7">
        <v>0.59129533678756496</v>
      </c>
      <c r="P77" s="5">
        <v>82864.5</v>
      </c>
      <c r="Q77" s="5">
        <v>0</v>
      </c>
      <c r="R77" s="5">
        <v>82864.5</v>
      </c>
      <c r="S77" s="5">
        <v>50000</v>
      </c>
      <c r="T77" s="5">
        <v>11796.9</v>
      </c>
      <c r="U77" s="7">
        <v>0.23593800000000001</v>
      </c>
      <c r="V77" s="7">
        <v>1.7999999999999999E-2</v>
      </c>
      <c r="W77" s="5">
        <v>5599.8810000000003</v>
      </c>
      <c r="X77" s="5">
        <v>12</v>
      </c>
      <c r="Y77" s="7">
        <v>0</v>
      </c>
      <c r="Z77" s="5">
        <v>2000</v>
      </c>
      <c r="AA77" s="5">
        <v>0</v>
      </c>
    </row>
    <row r="78" spans="1:27" ht="15" hidden="1" customHeight="1" x14ac:dyDescent="0.45">
      <c r="A78" s="3">
        <v>45992</v>
      </c>
      <c r="B78" s="4" t="s">
        <v>67</v>
      </c>
      <c r="C78" s="4" t="s">
        <v>59</v>
      </c>
      <c r="D78" s="4" t="s">
        <v>60</v>
      </c>
      <c r="E78" s="4" t="s">
        <v>68</v>
      </c>
      <c r="F78" s="5">
        <f t="shared" si="4"/>
        <v>30602.074000000001</v>
      </c>
      <c r="G78" s="5">
        <v>0</v>
      </c>
      <c r="H78" s="5">
        <v>30602.074000000001</v>
      </c>
      <c r="I78" s="5">
        <v>391000</v>
      </c>
      <c r="J78" s="5">
        <v>386000</v>
      </c>
      <c r="K78" s="5">
        <v>842028</v>
      </c>
      <c r="L78" s="5">
        <v>-301003.90000000002</v>
      </c>
      <c r="M78" s="5">
        <v>18000</v>
      </c>
      <c r="N78" s="5">
        <v>559024.1</v>
      </c>
      <c r="O78" s="7">
        <v>1.44824896373057</v>
      </c>
      <c r="P78" s="5">
        <v>57797.9</v>
      </c>
      <c r="Q78" s="5">
        <v>-4780.5200000000004</v>
      </c>
      <c r="R78" s="5">
        <v>53017.38</v>
      </c>
      <c r="S78" s="5">
        <v>50000</v>
      </c>
      <c r="T78" s="5">
        <v>1800</v>
      </c>
      <c r="U78" s="7">
        <v>3.5999999999999997E-2</v>
      </c>
      <c r="V78" s="7">
        <v>0.05</v>
      </c>
      <c r="W78" s="5">
        <v>30602.074000000001</v>
      </c>
      <c r="X78" s="5">
        <v>40</v>
      </c>
      <c r="Y78" s="7">
        <v>0</v>
      </c>
      <c r="Z78" s="5">
        <v>1000</v>
      </c>
      <c r="AA78" s="5">
        <v>0</v>
      </c>
    </row>
    <row r="79" spans="1:27" ht="15" hidden="1" customHeight="1" x14ac:dyDescent="0.45">
      <c r="A79" s="3">
        <v>45992</v>
      </c>
      <c r="B79" s="4" t="s">
        <v>65</v>
      </c>
      <c r="C79" s="4" t="s">
        <v>59</v>
      </c>
      <c r="D79" s="4" t="s">
        <v>60</v>
      </c>
      <c r="E79" s="4" t="s">
        <v>29</v>
      </c>
      <c r="F79" s="5">
        <f t="shared" si="4"/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7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7">
        <v>0</v>
      </c>
      <c r="V79" s="7">
        <v>0</v>
      </c>
      <c r="W79" s="5">
        <v>0</v>
      </c>
      <c r="X79" s="5">
        <v>0</v>
      </c>
      <c r="Y79" s="7">
        <v>0</v>
      </c>
      <c r="Z79" s="5">
        <v>2000</v>
      </c>
      <c r="AA79" s="5">
        <v>0</v>
      </c>
    </row>
    <row r="80" spans="1:27" ht="15" hidden="1" customHeight="1" x14ac:dyDescent="0.45">
      <c r="A80" s="3">
        <v>45992</v>
      </c>
      <c r="B80" s="4" t="s">
        <v>74</v>
      </c>
      <c r="C80" s="4" t="s">
        <v>59</v>
      </c>
      <c r="D80" s="4" t="s">
        <v>60</v>
      </c>
      <c r="E80" s="4" t="s">
        <v>29</v>
      </c>
      <c r="F80" s="5">
        <f t="shared" si="4"/>
        <v>2000</v>
      </c>
      <c r="G80" s="5">
        <v>2000</v>
      </c>
      <c r="H80" s="5">
        <v>0</v>
      </c>
      <c r="I80" s="5">
        <v>104700</v>
      </c>
      <c r="J80" s="5">
        <v>103200</v>
      </c>
      <c r="K80" s="5">
        <v>50931</v>
      </c>
      <c r="L80" s="5">
        <v>-8800</v>
      </c>
      <c r="M80" s="5">
        <v>0</v>
      </c>
      <c r="N80" s="5">
        <v>42131</v>
      </c>
      <c r="O80" s="7">
        <v>0.40824612403100802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7">
        <v>0</v>
      </c>
      <c r="V80" s="7">
        <v>0</v>
      </c>
      <c r="W80" s="5">
        <v>0</v>
      </c>
      <c r="X80" s="5">
        <v>50</v>
      </c>
      <c r="Y80" s="7">
        <v>1</v>
      </c>
      <c r="Z80" s="5">
        <v>2000</v>
      </c>
      <c r="AA80" s="5">
        <v>2000</v>
      </c>
    </row>
    <row r="81" spans="1:27" ht="15" hidden="1" customHeight="1" x14ac:dyDescent="0.45">
      <c r="A81" s="3">
        <v>46023</v>
      </c>
      <c r="B81" s="4" t="s">
        <v>58</v>
      </c>
      <c r="C81" s="4" t="s">
        <v>59</v>
      </c>
      <c r="D81" s="4" t="s">
        <v>60</v>
      </c>
      <c r="E81" s="4" t="s">
        <v>29</v>
      </c>
      <c r="F81" s="5">
        <f t="shared" si="4"/>
        <v>37486.345000000001</v>
      </c>
      <c r="G81" s="5">
        <f t="shared" ref="G81:G94" si="5">AA81</f>
        <v>2000</v>
      </c>
      <c r="H81" s="5">
        <f t="shared" ref="H81:H93" si="6">W81</f>
        <v>35486.345000000001</v>
      </c>
      <c r="I81" s="5">
        <v>408000</v>
      </c>
      <c r="J81" s="5">
        <v>400000</v>
      </c>
      <c r="K81" s="5">
        <v>1020407.9</v>
      </c>
      <c r="L81" s="5">
        <v>-364007.4</v>
      </c>
      <c r="M81" s="5">
        <v>23760</v>
      </c>
      <c r="N81" s="5">
        <f>M81+L81+K81</f>
        <v>680160.5</v>
      </c>
      <c r="O81" s="7">
        <f>N81/J81</f>
        <v>1.7004012500000001</v>
      </c>
      <c r="P81" s="5">
        <v>29666.400000000001</v>
      </c>
      <c r="Q81" s="5">
        <v>-100</v>
      </c>
      <c r="R81" s="5">
        <f>P81+Q81</f>
        <v>29566.400000000001</v>
      </c>
      <c r="S81" s="5">
        <v>40000</v>
      </c>
      <c r="T81" s="5">
        <v>121699.2</v>
      </c>
      <c r="U81" s="7">
        <v>3.0424799999999999</v>
      </c>
      <c r="V81" s="7">
        <v>0.05</v>
      </c>
      <c r="W81" s="5">
        <v>35486.345000000001</v>
      </c>
      <c r="X81" s="5">
        <v>100</v>
      </c>
      <c r="Y81" s="7">
        <v>1</v>
      </c>
      <c r="Z81" s="5">
        <v>2000</v>
      </c>
      <c r="AA81" s="5">
        <v>2000</v>
      </c>
    </row>
    <row r="82" spans="1:27" ht="15" hidden="1" customHeight="1" x14ac:dyDescent="0.45">
      <c r="A82" s="3">
        <v>46023</v>
      </c>
      <c r="B82" s="4" t="s">
        <v>64</v>
      </c>
      <c r="C82" s="4" t="s">
        <v>59</v>
      </c>
      <c r="D82" s="4" t="s">
        <v>60</v>
      </c>
      <c r="E82" s="4" t="s">
        <v>29</v>
      </c>
      <c r="F82" s="5">
        <f t="shared" si="4"/>
        <v>33429.457500000004</v>
      </c>
      <c r="G82" s="5">
        <f t="shared" si="5"/>
        <v>2000</v>
      </c>
      <c r="H82" s="5">
        <f t="shared" si="6"/>
        <v>31429.4575</v>
      </c>
      <c r="I82" s="5">
        <v>408000</v>
      </c>
      <c r="J82" s="5">
        <v>400000</v>
      </c>
      <c r="K82" s="5">
        <v>800273.4</v>
      </c>
      <c r="L82" s="5">
        <v>-194364.65</v>
      </c>
      <c r="M82" s="5">
        <v>8800</v>
      </c>
      <c r="N82" s="5">
        <v>614708.75</v>
      </c>
      <c r="O82" s="7">
        <v>1.5367718749999999</v>
      </c>
      <c r="P82" s="5">
        <v>17690.099999999999</v>
      </c>
      <c r="Q82" s="5">
        <v>-3809.7</v>
      </c>
      <c r="R82" s="5">
        <v>13880.4</v>
      </c>
      <c r="S82" s="5">
        <v>40000</v>
      </c>
      <c r="T82" s="5">
        <v>61878.3</v>
      </c>
      <c r="U82" s="7">
        <v>1.5469575</v>
      </c>
      <c r="V82" s="7">
        <v>0.05</v>
      </c>
      <c r="W82" s="5">
        <v>31429.4575</v>
      </c>
      <c r="X82" s="5">
        <v>100</v>
      </c>
      <c r="Y82" s="7">
        <v>1</v>
      </c>
      <c r="Z82" s="5">
        <v>2000</v>
      </c>
      <c r="AA82" s="5">
        <v>2000</v>
      </c>
    </row>
    <row r="83" spans="1:27" ht="15" hidden="1" customHeight="1" x14ac:dyDescent="0.45">
      <c r="A83" s="3">
        <v>46023</v>
      </c>
      <c r="B83" s="4" t="s">
        <v>69</v>
      </c>
      <c r="C83" s="4" t="s">
        <v>59</v>
      </c>
      <c r="D83" s="4" t="s">
        <v>60</v>
      </c>
      <c r="E83" s="4" t="s">
        <v>29</v>
      </c>
      <c r="F83" s="5">
        <f t="shared" si="4"/>
        <v>18049.148000000001</v>
      </c>
      <c r="G83" s="5">
        <f t="shared" si="5"/>
        <v>0</v>
      </c>
      <c r="H83" s="5">
        <f t="shared" si="6"/>
        <v>18049.148000000001</v>
      </c>
      <c r="I83" s="5">
        <v>368000</v>
      </c>
      <c r="J83" s="5">
        <v>360000</v>
      </c>
      <c r="K83" s="5">
        <v>451010</v>
      </c>
      <c r="L83" s="5">
        <v>-20106</v>
      </c>
      <c r="M83" s="5">
        <v>0</v>
      </c>
      <c r="N83" s="5">
        <v>430904</v>
      </c>
      <c r="O83" s="7">
        <v>1.19695555555556</v>
      </c>
      <c r="P83" s="5">
        <v>20324.7</v>
      </c>
      <c r="Q83" s="5">
        <v>0</v>
      </c>
      <c r="R83" s="5">
        <v>20324.7</v>
      </c>
      <c r="S83" s="5">
        <v>40000</v>
      </c>
      <c r="T83" s="5">
        <v>6180</v>
      </c>
      <c r="U83" s="7">
        <v>0.1545</v>
      </c>
      <c r="V83" s="7">
        <v>0.04</v>
      </c>
      <c r="W83" s="5">
        <v>18049.148000000001</v>
      </c>
      <c r="X83" s="5">
        <v>10</v>
      </c>
      <c r="Y83" s="7">
        <v>0</v>
      </c>
      <c r="Z83" s="5">
        <v>1000</v>
      </c>
      <c r="AA83" s="5">
        <v>0</v>
      </c>
    </row>
    <row r="84" spans="1:27" ht="15" hidden="1" customHeight="1" x14ac:dyDescent="0.45">
      <c r="A84" s="3">
        <v>46023</v>
      </c>
      <c r="B84" s="4" t="s">
        <v>76</v>
      </c>
      <c r="C84" s="4" t="s">
        <v>59</v>
      </c>
      <c r="D84" s="4" t="s">
        <v>60</v>
      </c>
      <c r="E84" s="4" t="s">
        <v>29</v>
      </c>
      <c r="F84" s="5">
        <f t="shared" si="4"/>
        <v>1332</v>
      </c>
      <c r="G84" s="5">
        <f t="shared" si="5"/>
        <v>1332</v>
      </c>
      <c r="H84" s="5">
        <f t="shared" si="6"/>
        <v>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7">
        <v>0</v>
      </c>
      <c r="W84" s="5">
        <v>0</v>
      </c>
      <c r="X84" s="5">
        <v>0</v>
      </c>
      <c r="Y84" s="7">
        <v>0</v>
      </c>
      <c r="Z84" s="5">
        <v>0</v>
      </c>
      <c r="AA84" s="5">
        <v>1332</v>
      </c>
    </row>
    <row r="85" spans="1:27" ht="15" hidden="1" customHeight="1" x14ac:dyDescent="0.45">
      <c r="A85" s="3">
        <v>46023</v>
      </c>
      <c r="B85" s="4" t="s">
        <v>62</v>
      </c>
      <c r="C85" s="4" t="s">
        <v>59</v>
      </c>
      <c r="D85" s="4" t="s">
        <v>60</v>
      </c>
      <c r="E85" s="4" t="s">
        <v>29</v>
      </c>
      <c r="F85" s="5">
        <f t="shared" si="4"/>
        <v>41481.2425</v>
      </c>
      <c r="G85" s="5">
        <f t="shared" si="5"/>
        <v>2000</v>
      </c>
      <c r="H85" s="5">
        <f t="shared" si="6"/>
        <v>39481.2425</v>
      </c>
      <c r="I85" s="5">
        <v>408000</v>
      </c>
      <c r="J85" s="5">
        <v>400000</v>
      </c>
      <c r="K85" s="5">
        <v>1232339.2</v>
      </c>
      <c r="L85" s="5">
        <v>-461830.95</v>
      </c>
      <c r="M85" s="5">
        <v>0</v>
      </c>
      <c r="N85" s="5">
        <v>770508.25</v>
      </c>
      <c r="O85" s="7">
        <v>1.9262706249999999</v>
      </c>
      <c r="P85" s="5">
        <v>19416.599999999999</v>
      </c>
      <c r="Q85" s="5">
        <v>-300</v>
      </c>
      <c r="R85" s="5">
        <v>19116.599999999999</v>
      </c>
      <c r="S85" s="5">
        <v>40000</v>
      </c>
      <c r="T85" s="5">
        <v>126773</v>
      </c>
      <c r="U85" s="7">
        <v>3.1693250000000002</v>
      </c>
      <c r="V85" s="7">
        <v>0.05</v>
      </c>
      <c r="W85" s="5">
        <v>39481.2425</v>
      </c>
      <c r="X85" s="5">
        <v>100</v>
      </c>
      <c r="Y85" s="7">
        <v>1</v>
      </c>
      <c r="Z85" s="5">
        <v>2000</v>
      </c>
      <c r="AA85" s="5">
        <v>2000</v>
      </c>
    </row>
    <row r="86" spans="1:27" ht="15" hidden="1" customHeight="1" x14ac:dyDescent="0.45">
      <c r="A86" s="3">
        <v>46023</v>
      </c>
      <c r="B86" s="4" t="s">
        <v>77</v>
      </c>
      <c r="C86" s="4" t="s">
        <v>59</v>
      </c>
      <c r="D86" s="4" t="s">
        <v>60</v>
      </c>
      <c r="E86" s="4" t="s">
        <v>29</v>
      </c>
      <c r="F86" s="5">
        <f t="shared" si="4"/>
        <v>45329.657500000001</v>
      </c>
      <c r="G86" s="5">
        <f t="shared" si="5"/>
        <v>0</v>
      </c>
      <c r="H86" s="5">
        <f t="shared" si="6"/>
        <v>45329.657500000001</v>
      </c>
      <c r="I86" s="5">
        <v>408000</v>
      </c>
      <c r="J86" s="5">
        <v>400000</v>
      </c>
      <c r="K86" s="5">
        <v>934406</v>
      </c>
      <c r="L86" s="5">
        <v>-101700</v>
      </c>
      <c r="M86" s="5">
        <v>0</v>
      </c>
      <c r="N86" s="5">
        <v>832706</v>
      </c>
      <c r="O86" s="7">
        <v>2.0817649999999999</v>
      </c>
      <c r="P86" s="5">
        <v>73887.149999999994</v>
      </c>
      <c r="Q86" s="5">
        <v>0</v>
      </c>
      <c r="R86" s="5">
        <v>73887.149999999994</v>
      </c>
      <c r="S86" s="5">
        <v>40000</v>
      </c>
      <c r="T86" s="5">
        <v>141260</v>
      </c>
      <c r="U86" s="7">
        <v>3.5314999999999999</v>
      </c>
      <c r="V86" s="7">
        <v>0.05</v>
      </c>
      <c r="W86" s="5">
        <v>45329.657500000001</v>
      </c>
      <c r="X86" s="5">
        <v>66</v>
      </c>
      <c r="Y86" s="7">
        <v>0</v>
      </c>
      <c r="Z86" s="5">
        <v>2000</v>
      </c>
      <c r="AA86" s="5">
        <v>0</v>
      </c>
    </row>
    <row r="87" spans="1:27" ht="15" hidden="1" customHeight="1" x14ac:dyDescent="0.45">
      <c r="A87" s="3">
        <v>46023</v>
      </c>
      <c r="B87" s="4" t="s">
        <v>72</v>
      </c>
      <c r="C87" s="4" t="s">
        <v>59</v>
      </c>
      <c r="D87" s="4" t="s">
        <v>60</v>
      </c>
      <c r="E87" s="4" t="s">
        <v>29</v>
      </c>
      <c r="F87" s="5">
        <f t="shared" si="4"/>
        <v>0</v>
      </c>
      <c r="G87" s="5">
        <f t="shared" si="5"/>
        <v>0</v>
      </c>
      <c r="H87" s="5">
        <f t="shared" si="6"/>
        <v>0</v>
      </c>
      <c r="I87" s="5">
        <v>328000</v>
      </c>
      <c r="J87" s="5">
        <v>320000</v>
      </c>
      <c r="K87" s="5">
        <v>108600</v>
      </c>
      <c r="L87" s="5">
        <v>0</v>
      </c>
      <c r="M87" s="5">
        <v>0</v>
      </c>
      <c r="N87" s="5">
        <v>108600</v>
      </c>
      <c r="O87" s="7">
        <v>0.33937499999999998</v>
      </c>
      <c r="P87" s="5">
        <v>39324.199999999997</v>
      </c>
      <c r="Q87" s="5">
        <v>-190</v>
      </c>
      <c r="R87" s="5">
        <v>39134.199999999997</v>
      </c>
      <c r="S87" s="5">
        <v>20000</v>
      </c>
      <c r="T87" s="5">
        <v>0</v>
      </c>
      <c r="U87" s="7">
        <v>0</v>
      </c>
      <c r="V87" s="7">
        <v>0</v>
      </c>
      <c r="W87" s="5">
        <v>0</v>
      </c>
      <c r="X87" s="5">
        <v>60</v>
      </c>
      <c r="Y87" s="7">
        <v>0</v>
      </c>
      <c r="Z87" s="5">
        <v>2000</v>
      </c>
      <c r="AA87" s="5">
        <v>0</v>
      </c>
    </row>
    <row r="88" spans="1:27" ht="15" hidden="1" customHeight="1" x14ac:dyDescent="0.45">
      <c r="A88" s="3">
        <v>46023</v>
      </c>
      <c r="B88" s="4" t="s">
        <v>70</v>
      </c>
      <c r="C88" s="4" t="s">
        <v>59</v>
      </c>
      <c r="D88" s="4" t="s">
        <v>60</v>
      </c>
      <c r="E88" s="4" t="s">
        <v>29</v>
      </c>
      <c r="F88" s="5">
        <f t="shared" si="4"/>
        <v>32636.0645</v>
      </c>
      <c r="G88" s="5">
        <f t="shared" si="5"/>
        <v>2000</v>
      </c>
      <c r="H88" s="5">
        <f t="shared" si="6"/>
        <v>30636.0645</v>
      </c>
      <c r="I88" s="5">
        <v>352000</v>
      </c>
      <c r="J88" s="5">
        <v>344000</v>
      </c>
      <c r="K88" s="5">
        <v>612170</v>
      </c>
      <c r="L88" s="5">
        <v>-40292</v>
      </c>
      <c r="M88" s="5">
        <v>0</v>
      </c>
      <c r="N88" s="5">
        <v>571878</v>
      </c>
      <c r="O88" s="7">
        <v>1.6624360465116299</v>
      </c>
      <c r="P88" s="5">
        <v>53033.29</v>
      </c>
      <c r="Q88" s="5">
        <v>-12190</v>
      </c>
      <c r="R88" s="5">
        <v>40843.29</v>
      </c>
      <c r="S88" s="5">
        <v>20000</v>
      </c>
      <c r="T88" s="5">
        <v>68412.600000000006</v>
      </c>
      <c r="U88" s="7">
        <v>3.4206300000000001</v>
      </c>
      <c r="V88" s="7">
        <v>0.05</v>
      </c>
      <c r="W88" s="5">
        <v>30636.0645</v>
      </c>
      <c r="X88" s="5">
        <v>91</v>
      </c>
      <c r="Y88" s="7">
        <v>1</v>
      </c>
      <c r="Z88" s="5">
        <v>2000</v>
      </c>
      <c r="AA88" s="5">
        <v>2000</v>
      </c>
    </row>
    <row r="89" spans="1:27" ht="15" hidden="1" customHeight="1" x14ac:dyDescent="0.45">
      <c r="A89" s="3">
        <v>46023</v>
      </c>
      <c r="B89" s="4" t="s">
        <v>78</v>
      </c>
      <c r="C89" s="4" t="s">
        <v>59</v>
      </c>
      <c r="D89" s="4" t="s">
        <v>60</v>
      </c>
      <c r="E89" s="4" t="s">
        <v>29</v>
      </c>
      <c r="F89" s="5">
        <f t="shared" si="4"/>
        <v>222</v>
      </c>
      <c r="G89" s="5">
        <f t="shared" si="5"/>
        <v>222</v>
      </c>
      <c r="H89" s="5">
        <f t="shared" si="6"/>
        <v>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7">
        <v>0</v>
      </c>
      <c r="W89" s="5">
        <v>0</v>
      </c>
      <c r="X89" s="5">
        <v>0</v>
      </c>
      <c r="Y89" s="7">
        <v>0</v>
      </c>
      <c r="Z89" s="5">
        <v>0</v>
      </c>
      <c r="AA89" s="5">
        <v>222</v>
      </c>
    </row>
    <row r="90" spans="1:27" ht="15" hidden="1" customHeight="1" x14ac:dyDescent="0.45">
      <c r="A90" s="3">
        <v>46023</v>
      </c>
      <c r="B90" s="4" t="s">
        <v>63</v>
      </c>
      <c r="C90" s="4" t="s">
        <v>59</v>
      </c>
      <c r="D90" s="4" t="s">
        <v>60</v>
      </c>
      <c r="E90" s="4" t="s">
        <v>73</v>
      </c>
      <c r="F90" s="5">
        <f t="shared" si="4"/>
        <v>14714.322399999999</v>
      </c>
      <c r="G90" s="5">
        <f t="shared" si="5"/>
        <v>4000</v>
      </c>
      <c r="H90" s="5">
        <f t="shared" si="6"/>
        <v>10714.322399999999</v>
      </c>
      <c r="I90" s="5">
        <v>244000</v>
      </c>
      <c r="J90" s="5">
        <v>240000</v>
      </c>
      <c r="K90" s="5">
        <v>532689.15</v>
      </c>
      <c r="L90" s="5">
        <v>-228976.3</v>
      </c>
      <c r="M90" s="5">
        <v>0</v>
      </c>
      <c r="N90" s="5">
        <v>303712.84999999998</v>
      </c>
      <c r="O90" s="7">
        <v>1.26547020833333</v>
      </c>
      <c r="P90" s="5">
        <v>57026.25</v>
      </c>
      <c r="Q90" s="5">
        <v>-3595.02</v>
      </c>
      <c r="R90" s="5">
        <v>53431.23</v>
      </c>
      <c r="S90" s="5">
        <v>40000</v>
      </c>
      <c r="T90" s="5">
        <v>200235</v>
      </c>
      <c r="U90" s="7">
        <v>5.0058749999999996</v>
      </c>
      <c r="V90" s="7">
        <v>0.03</v>
      </c>
      <c r="W90" s="5">
        <v>10714.322399999999</v>
      </c>
      <c r="X90" s="5">
        <v>100</v>
      </c>
      <c r="Y90" s="7">
        <v>1</v>
      </c>
      <c r="Z90" s="5">
        <v>4000</v>
      </c>
      <c r="AA90" s="5">
        <v>4000</v>
      </c>
    </row>
    <row r="91" spans="1:27" ht="15" hidden="1" customHeight="1" x14ac:dyDescent="0.45">
      <c r="A91" s="3">
        <v>46023</v>
      </c>
      <c r="B91" s="4" t="s">
        <v>74</v>
      </c>
      <c r="C91" s="4" t="s">
        <v>59</v>
      </c>
      <c r="D91" s="4" t="s">
        <v>60</v>
      </c>
      <c r="E91" s="4" t="s">
        <v>29</v>
      </c>
      <c r="F91" s="5">
        <f t="shared" si="4"/>
        <v>9307.0606000000007</v>
      </c>
      <c r="G91" s="5">
        <f t="shared" si="5"/>
        <v>2000</v>
      </c>
      <c r="H91" s="5">
        <f t="shared" si="6"/>
        <v>7307.0605999999998</v>
      </c>
      <c r="I91" s="5">
        <v>164000</v>
      </c>
      <c r="J91" s="5">
        <v>160000</v>
      </c>
      <c r="K91" s="5">
        <v>339080</v>
      </c>
      <c r="L91" s="5">
        <v>0</v>
      </c>
      <c r="M91" s="5">
        <v>8240.75</v>
      </c>
      <c r="N91" s="5">
        <v>347320.75</v>
      </c>
      <c r="O91" s="7">
        <v>2.1707546875000001</v>
      </c>
      <c r="P91" s="5">
        <v>28621.3</v>
      </c>
      <c r="Q91" s="5">
        <v>-10589.02</v>
      </c>
      <c r="R91" s="5">
        <v>18032.28</v>
      </c>
      <c r="S91" s="5">
        <v>1</v>
      </c>
      <c r="T91" s="5">
        <v>0</v>
      </c>
      <c r="U91" s="7">
        <v>0</v>
      </c>
      <c r="V91" s="7">
        <v>0.02</v>
      </c>
      <c r="W91" s="5">
        <v>7307.0605999999998</v>
      </c>
      <c r="X91" s="5">
        <v>10</v>
      </c>
      <c r="Y91" s="7">
        <v>1</v>
      </c>
      <c r="Z91" s="5">
        <v>2000</v>
      </c>
      <c r="AA91" s="5">
        <v>2000</v>
      </c>
    </row>
    <row r="92" spans="1:27" ht="15" hidden="1" customHeight="1" x14ac:dyDescent="0.45">
      <c r="A92" s="3">
        <v>46023</v>
      </c>
      <c r="B92" s="4" t="s">
        <v>66</v>
      </c>
      <c r="C92" s="4" t="s">
        <v>59</v>
      </c>
      <c r="D92" s="4" t="s">
        <v>60</v>
      </c>
      <c r="E92" s="4" t="s">
        <v>29</v>
      </c>
      <c r="F92" s="5">
        <f t="shared" si="4"/>
        <v>31113.305</v>
      </c>
      <c r="G92" s="5">
        <f t="shared" si="5"/>
        <v>0</v>
      </c>
      <c r="H92" s="5">
        <f t="shared" si="6"/>
        <v>31113.305</v>
      </c>
      <c r="I92" s="5">
        <v>408000</v>
      </c>
      <c r="J92" s="5">
        <v>400000</v>
      </c>
      <c r="K92" s="5">
        <v>817791.6</v>
      </c>
      <c r="L92" s="5">
        <v>-235471.6</v>
      </c>
      <c r="M92" s="5">
        <v>22500</v>
      </c>
      <c r="N92" s="5">
        <v>604820</v>
      </c>
      <c r="O92" s="7">
        <v>1.5120499999999999</v>
      </c>
      <c r="P92" s="5">
        <v>21236.1</v>
      </c>
      <c r="Q92" s="5">
        <v>-3790</v>
      </c>
      <c r="R92" s="5">
        <v>17446.099999999999</v>
      </c>
      <c r="S92" s="5">
        <v>40000</v>
      </c>
      <c r="T92" s="5">
        <v>20139.599999999999</v>
      </c>
      <c r="U92" s="7">
        <v>0.50348999999999999</v>
      </c>
      <c r="V92" s="7">
        <v>0.05</v>
      </c>
      <c r="W92" s="5">
        <v>31113.305</v>
      </c>
      <c r="X92" s="5">
        <v>26</v>
      </c>
      <c r="Y92" s="7">
        <v>0</v>
      </c>
      <c r="Z92" s="5">
        <v>2000</v>
      </c>
      <c r="AA92" s="5">
        <v>0</v>
      </c>
    </row>
    <row r="93" spans="1:27" ht="15" hidden="1" customHeight="1" x14ac:dyDescent="0.45">
      <c r="A93" s="3">
        <v>46023</v>
      </c>
      <c r="B93" s="4" t="s">
        <v>67</v>
      </c>
      <c r="C93" s="4" t="s">
        <v>59</v>
      </c>
      <c r="D93" s="4" t="s">
        <v>60</v>
      </c>
      <c r="E93" s="4" t="s">
        <v>68</v>
      </c>
      <c r="F93" s="5">
        <f t="shared" si="4"/>
        <v>35173.6345</v>
      </c>
      <c r="G93" s="5">
        <f t="shared" si="5"/>
        <v>1000</v>
      </c>
      <c r="H93" s="5">
        <f t="shared" si="6"/>
        <v>34173.6345</v>
      </c>
      <c r="I93" s="5">
        <v>408000</v>
      </c>
      <c r="J93" s="5">
        <v>400000</v>
      </c>
      <c r="K93" s="5">
        <v>854401.2</v>
      </c>
      <c r="L93" s="5">
        <v>-214711.1</v>
      </c>
      <c r="M93" s="5">
        <v>0</v>
      </c>
      <c r="N93" s="5">
        <v>639690.1</v>
      </c>
      <c r="O93" s="7">
        <v>1.5992252499999999</v>
      </c>
      <c r="P93" s="5">
        <v>53491.5</v>
      </c>
      <c r="Q93" s="5">
        <v>-9708.91</v>
      </c>
      <c r="R93" s="5">
        <v>43782.59</v>
      </c>
      <c r="S93" s="5">
        <v>40000</v>
      </c>
      <c r="T93" s="5">
        <v>34062.699999999997</v>
      </c>
      <c r="U93" s="7">
        <v>0.85156750000000003</v>
      </c>
      <c r="V93" s="7">
        <v>0.05</v>
      </c>
      <c r="W93" s="5">
        <v>34173.6345</v>
      </c>
      <c r="X93" s="5">
        <v>90.578374999999994</v>
      </c>
      <c r="Y93" s="7">
        <v>1</v>
      </c>
      <c r="Z93" s="5">
        <v>1000</v>
      </c>
      <c r="AA93" s="5">
        <v>1000</v>
      </c>
    </row>
    <row r="94" spans="1:27" ht="15" hidden="1" customHeight="1" x14ac:dyDescent="0.45">
      <c r="A94" s="3">
        <v>46023</v>
      </c>
      <c r="B94" s="4" t="s">
        <v>65</v>
      </c>
      <c r="C94" s="4" t="s">
        <v>59</v>
      </c>
      <c r="D94" s="4" t="s">
        <v>60</v>
      </c>
      <c r="E94" s="4" t="s">
        <v>29</v>
      </c>
      <c r="F94" s="5">
        <f t="shared" si="4"/>
        <v>0</v>
      </c>
      <c r="G94" s="5">
        <f t="shared" si="5"/>
        <v>0</v>
      </c>
      <c r="H94" s="5">
        <v>0</v>
      </c>
      <c r="I94" s="5">
        <v>0</v>
      </c>
      <c r="J94" s="5">
        <v>0</v>
      </c>
      <c r="K94" s="5">
        <v>0</v>
      </c>
      <c r="L94" s="5">
        <v>-125559.9</v>
      </c>
      <c r="M94" s="5">
        <v>0</v>
      </c>
      <c r="N94" s="5">
        <v>-125559.9</v>
      </c>
      <c r="O94" s="7">
        <v>0</v>
      </c>
      <c r="P94" s="5">
        <v>0</v>
      </c>
      <c r="Q94" s="5">
        <v>-6899.97</v>
      </c>
      <c r="R94" s="5">
        <v>-6899.97</v>
      </c>
      <c r="S94" s="5">
        <v>0</v>
      </c>
      <c r="T94" s="5">
        <v>0</v>
      </c>
      <c r="U94" s="7">
        <v>0</v>
      </c>
      <c r="V94" s="7">
        <v>0</v>
      </c>
      <c r="W94" s="5">
        <v>0</v>
      </c>
      <c r="X94" s="5">
        <v>0</v>
      </c>
      <c r="Y94" s="7">
        <v>0</v>
      </c>
      <c r="Z94" s="5">
        <v>2000</v>
      </c>
      <c r="AA94" s="5">
        <v>0</v>
      </c>
    </row>
    <row r="95" spans="1:27" ht="15" hidden="1" customHeight="1" x14ac:dyDescent="0.45">
      <c r="A95" s="3">
        <v>46054</v>
      </c>
      <c r="B95" s="4" t="s">
        <v>64</v>
      </c>
      <c r="C95" s="4" t="s">
        <v>59</v>
      </c>
      <c r="D95" s="4" t="s">
        <v>60</v>
      </c>
      <c r="E95" s="4" t="s">
        <v>29</v>
      </c>
      <c r="F95" s="5">
        <f t="shared" si="4"/>
        <v>4969.7731999999996</v>
      </c>
      <c r="G95" s="5">
        <v>2000</v>
      </c>
      <c r="H95" s="5">
        <v>2969.7732000000001</v>
      </c>
      <c r="I95" s="5">
        <v>603000</v>
      </c>
      <c r="J95" s="5">
        <v>603000</v>
      </c>
      <c r="K95" s="5">
        <v>695635.05</v>
      </c>
      <c r="L95" s="5">
        <v>-324413.40000000002</v>
      </c>
      <c r="M95" s="5">
        <v>0</v>
      </c>
      <c r="N95" s="5">
        <v>371221.65</v>
      </c>
      <c r="O95" s="7">
        <v>0.61562462686567199</v>
      </c>
      <c r="P95" s="5">
        <v>0</v>
      </c>
      <c r="Q95" s="5">
        <v>0</v>
      </c>
      <c r="R95" s="5">
        <v>0</v>
      </c>
      <c r="S95" s="5">
        <v>90000</v>
      </c>
      <c r="T95" s="5">
        <v>129300</v>
      </c>
      <c r="U95" s="7">
        <v>1.4366666666666701</v>
      </c>
      <c r="V95" s="7">
        <v>2969.7732000000001</v>
      </c>
      <c r="W95" s="5">
        <v>231778.35</v>
      </c>
      <c r="X95" s="5">
        <v>100</v>
      </c>
      <c r="Y95" s="7">
        <v>1</v>
      </c>
      <c r="Z95" s="5">
        <v>2000</v>
      </c>
      <c r="AA95" s="5">
        <v>2000</v>
      </c>
    </row>
    <row r="96" spans="1:27" ht="15" hidden="1" customHeight="1" x14ac:dyDescent="0.45">
      <c r="A96" s="3">
        <v>46054</v>
      </c>
      <c r="B96" s="4" t="s">
        <v>69</v>
      </c>
      <c r="C96" s="4" t="s">
        <v>59</v>
      </c>
      <c r="D96" s="4" t="s">
        <v>60</v>
      </c>
      <c r="E96" s="4" t="s">
        <v>29</v>
      </c>
      <c r="F96" s="5">
        <f t="shared" si="4"/>
        <v>1296.942</v>
      </c>
      <c r="G96" s="5">
        <v>1000</v>
      </c>
      <c r="H96" s="5">
        <v>296.94200000000001</v>
      </c>
      <c r="I96" s="5">
        <v>573000</v>
      </c>
      <c r="J96" s="5">
        <v>573000</v>
      </c>
      <c r="K96" s="5">
        <v>172011.3</v>
      </c>
      <c r="L96" s="5">
        <v>-112104.1</v>
      </c>
      <c r="M96" s="5">
        <v>0</v>
      </c>
      <c r="N96" s="5">
        <v>59907.199999999997</v>
      </c>
      <c r="O96" s="7">
        <v>0.10455008726003499</v>
      </c>
      <c r="P96" s="5">
        <v>30094.2</v>
      </c>
      <c r="Q96" s="5">
        <v>-400</v>
      </c>
      <c r="R96" s="5">
        <v>29694.2</v>
      </c>
      <c r="S96" s="5">
        <v>45000</v>
      </c>
      <c r="T96" s="5">
        <v>0</v>
      </c>
      <c r="U96" s="7">
        <v>0</v>
      </c>
      <c r="V96" s="7">
        <v>296.94200000000001</v>
      </c>
      <c r="W96" s="5">
        <v>513092.8</v>
      </c>
      <c r="X96" s="5">
        <v>100</v>
      </c>
      <c r="Y96" s="7">
        <v>1</v>
      </c>
      <c r="Z96" s="5">
        <v>1000</v>
      </c>
      <c r="AA96" s="5">
        <v>1000</v>
      </c>
    </row>
    <row r="97" spans="1:27" ht="15" hidden="1" customHeight="1" x14ac:dyDescent="0.45">
      <c r="A97" s="3">
        <v>46054</v>
      </c>
      <c r="B97" s="4" t="s">
        <v>76</v>
      </c>
      <c r="C97" s="4" t="s">
        <v>59</v>
      </c>
      <c r="D97" s="4" t="s">
        <v>60</v>
      </c>
      <c r="E97" s="4" t="s">
        <v>29</v>
      </c>
      <c r="F97" s="5">
        <f t="shared" si="4"/>
        <v>2000</v>
      </c>
      <c r="G97" s="5">
        <v>2000</v>
      </c>
      <c r="H97" s="5">
        <v>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>
        <v>0</v>
      </c>
      <c r="Y97" s="7">
        <v>0</v>
      </c>
      <c r="Z97" s="5">
        <v>0</v>
      </c>
      <c r="AA97" s="5">
        <v>2000</v>
      </c>
    </row>
    <row r="98" spans="1:27" ht="15" hidden="1" customHeight="1" x14ac:dyDescent="0.45">
      <c r="A98" s="3">
        <v>46054</v>
      </c>
      <c r="B98" s="4" t="s">
        <v>62</v>
      </c>
      <c r="C98" s="4" t="s">
        <v>59</v>
      </c>
      <c r="D98" s="4" t="s">
        <v>60</v>
      </c>
      <c r="E98" s="4" t="s">
        <v>29</v>
      </c>
      <c r="F98" s="5">
        <f t="shared" si="4"/>
        <v>3202.2363999999998</v>
      </c>
      <c r="G98" s="5">
        <v>2000</v>
      </c>
      <c r="H98" s="5">
        <v>1202.2364</v>
      </c>
      <c r="I98" s="5">
        <v>603000</v>
      </c>
      <c r="J98" s="5">
        <v>603000</v>
      </c>
      <c r="K98" s="5">
        <v>398857.5</v>
      </c>
      <c r="L98" s="5">
        <v>-285888.2</v>
      </c>
      <c r="M98" s="5">
        <v>0</v>
      </c>
      <c r="N98" s="5">
        <v>112969.3</v>
      </c>
      <c r="O98" s="7">
        <v>0.18734543946932</v>
      </c>
      <c r="P98" s="5">
        <v>29848.2</v>
      </c>
      <c r="Q98" s="5">
        <v>0</v>
      </c>
      <c r="R98" s="5">
        <v>29848.2</v>
      </c>
      <c r="S98" s="5">
        <v>90000</v>
      </c>
      <c r="T98" s="5">
        <v>0</v>
      </c>
      <c r="U98" s="7">
        <v>0</v>
      </c>
      <c r="V98" s="7">
        <v>1202.2364</v>
      </c>
      <c r="W98" s="5">
        <v>490030.7</v>
      </c>
      <c r="X98" s="5">
        <v>100</v>
      </c>
      <c r="Y98" s="7">
        <v>1</v>
      </c>
      <c r="Z98" s="5">
        <v>2000</v>
      </c>
      <c r="AA98" s="5">
        <v>2000</v>
      </c>
    </row>
    <row r="99" spans="1:27" ht="15" hidden="1" customHeight="1" x14ac:dyDescent="0.45">
      <c r="A99" s="3">
        <v>46054</v>
      </c>
      <c r="B99" s="4" t="s">
        <v>77</v>
      </c>
      <c r="C99" s="4" t="s">
        <v>59</v>
      </c>
      <c r="D99" s="4" t="s">
        <v>60</v>
      </c>
      <c r="E99" s="4" t="s">
        <v>29</v>
      </c>
      <c r="F99" s="5">
        <f t="shared" ref="F99:F130" si="7">G99+H99</f>
        <v>2030.9570000000001</v>
      </c>
      <c r="G99" s="5">
        <v>2000</v>
      </c>
      <c r="H99" s="5">
        <v>30.957000000000001</v>
      </c>
      <c r="I99" s="5">
        <v>603000</v>
      </c>
      <c r="J99" s="5">
        <v>603000</v>
      </c>
      <c r="K99" s="5">
        <v>219851</v>
      </c>
      <c r="L99" s="5">
        <v>-95541.8</v>
      </c>
      <c r="M99" s="5">
        <v>0</v>
      </c>
      <c r="N99" s="5">
        <v>124309.2</v>
      </c>
      <c r="O99" s="7">
        <v>0.20615124378109501</v>
      </c>
      <c r="P99" s="5">
        <v>3095.7</v>
      </c>
      <c r="Q99" s="5">
        <v>0</v>
      </c>
      <c r="R99" s="5">
        <v>3095.7</v>
      </c>
      <c r="S99" s="5">
        <v>90000</v>
      </c>
      <c r="T99" s="5">
        <v>0</v>
      </c>
      <c r="U99" s="7">
        <v>0</v>
      </c>
      <c r="V99" s="7">
        <v>30.957000000000001</v>
      </c>
      <c r="W99" s="5">
        <v>478690.8</v>
      </c>
      <c r="X99" s="5">
        <v>100</v>
      </c>
      <c r="Y99" s="7">
        <v>1</v>
      </c>
      <c r="Z99" s="5">
        <v>2000</v>
      </c>
      <c r="AA99" s="5">
        <v>2000</v>
      </c>
    </row>
    <row r="100" spans="1:27" ht="15" hidden="1" customHeight="1" x14ac:dyDescent="0.45">
      <c r="A100" s="3">
        <v>46054</v>
      </c>
      <c r="B100" s="4" t="s">
        <v>70</v>
      </c>
      <c r="C100" s="4" t="s">
        <v>59</v>
      </c>
      <c r="D100" s="4" t="s">
        <v>60</v>
      </c>
      <c r="E100" s="4" t="s">
        <v>29</v>
      </c>
      <c r="F100" s="5">
        <f t="shared" si="7"/>
        <v>2090.922</v>
      </c>
      <c r="G100" s="5">
        <v>2000</v>
      </c>
      <c r="H100" s="5">
        <v>90.921999999999997</v>
      </c>
      <c r="I100" s="5">
        <v>573000</v>
      </c>
      <c r="J100" s="5">
        <v>573000</v>
      </c>
      <c r="K100" s="5">
        <v>141851.79999999999</v>
      </c>
      <c r="L100" s="5">
        <v>-39883.800000000003</v>
      </c>
      <c r="M100" s="5">
        <v>0</v>
      </c>
      <c r="N100" s="5">
        <v>101968</v>
      </c>
      <c r="O100" s="7">
        <v>0.17795462478185001</v>
      </c>
      <c r="P100" s="5">
        <v>14775.2</v>
      </c>
      <c r="Q100" s="5">
        <v>-5683</v>
      </c>
      <c r="R100" s="5">
        <v>9092.2000000000007</v>
      </c>
      <c r="S100" s="5">
        <v>45000</v>
      </c>
      <c r="T100" s="5">
        <v>0</v>
      </c>
      <c r="U100" s="7">
        <v>0</v>
      </c>
      <c r="V100" s="7">
        <v>90.921999999999997</v>
      </c>
      <c r="W100" s="5">
        <v>471032</v>
      </c>
      <c r="X100" s="5">
        <v>100</v>
      </c>
      <c r="Y100" s="7">
        <v>1</v>
      </c>
      <c r="Z100" s="5">
        <v>2000</v>
      </c>
      <c r="AA100" s="5">
        <v>2000</v>
      </c>
    </row>
    <row r="101" spans="1:27" ht="15" hidden="1" customHeight="1" x14ac:dyDescent="0.45">
      <c r="A101" s="3">
        <v>46054</v>
      </c>
      <c r="B101" s="4" t="s">
        <v>78</v>
      </c>
      <c r="C101" s="4" t="s">
        <v>59</v>
      </c>
      <c r="D101" s="4" t="s">
        <v>60</v>
      </c>
      <c r="E101" s="4" t="s">
        <v>29</v>
      </c>
      <c r="F101" s="5">
        <f t="shared" si="7"/>
        <v>2000</v>
      </c>
      <c r="G101" s="5">
        <v>2000</v>
      </c>
      <c r="H101" s="5">
        <v>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5">
        <v>0</v>
      </c>
      <c r="Y101" s="7">
        <v>0</v>
      </c>
      <c r="Z101" s="5">
        <v>0</v>
      </c>
      <c r="AA101" s="5">
        <v>2000</v>
      </c>
    </row>
    <row r="102" spans="1:27" ht="15" hidden="1" customHeight="1" x14ac:dyDescent="0.45">
      <c r="A102" s="3">
        <v>46054</v>
      </c>
      <c r="B102" s="4" t="s">
        <v>63</v>
      </c>
      <c r="C102" s="4" t="s">
        <v>59</v>
      </c>
      <c r="D102" s="4" t="s">
        <v>60</v>
      </c>
      <c r="E102" s="4" t="s">
        <v>73</v>
      </c>
      <c r="F102" s="5">
        <f t="shared" si="7"/>
        <v>6359.6127999999999</v>
      </c>
      <c r="G102" s="5">
        <v>4000</v>
      </c>
      <c r="H102" s="5">
        <v>2359.6127999999999</v>
      </c>
      <c r="I102" s="5">
        <v>512400</v>
      </c>
      <c r="J102" s="5">
        <v>512400</v>
      </c>
      <c r="K102" s="5">
        <v>421427.1</v>
      </c>
      <c r="L102" s="5">
        <v>-192866</v>
      </c>
      <c r="M102" s="5">
        <v>0</v>
      </c>
      <c r="N102" s="5">
        <v>228561.1</v>
      </c>
      <c r="O102" s="7">
        <v>0.44605991412958601</v>
      </c>
      <c r="P102" s="5">
        <v>53112.4</v>
      </c>
      <c r="Q102" s="5">
        <v>0</v>
      </c>
      <c r="R102" s="5">
        <v>53112.4</v>
      </c>
      <c r="S102" s="5">
        <v>90000</v>
      </c>
      <c r="T102" s="5">
        <v>0</v>
      </c>
      <c r="U102" s="7">
        <v>0</v>
      </c>
      <c r="V102" s="7">
        <v>2359.6127999999999</v>
      </c>
      <c r="W102" s="5">
        <v>283838.90000000002</v>
      </c>
      <c r="X102" s="5">
        <v>100</v>
      </c>
      <c r="Y102" s="7">
        <v>1</v>
      </c>
      <c r="Z102" s="5">
        <v>4000</v>
      </c>
      <c r="AA102" s="5">
        <v>4000</v>
      </c>
    </row>
    <row r="103" spans="1:27" ht="15" hidden="1" customHeight="1" x14ac:dyDescent="0.45">
      <c r="A103" s="3">
        <v>46054</v>
      </c>
      <c r="B103" s="4" t="s">
        <v>74</v>
      </c>
      <c r="C103" s="4" t="s">
        <v>59</v>
      </c>
      <c r="D103" s="4" t="s">
        <v>60</v>
      </c>
      <c r="E103" s="4" t="s">
        <v>29</v>
      </c>
      <c r="F103" s="5">
        <f t="shared" si="7"/>
        <v>2010.9649999999999</v>
      </c>
      <c r="G103" s="5">
        <v>2000</v>
      </c>
      <c r="H103" s="5">
        <v>10.965</v>
      </c>
      <c r="I103" s="5">
        <v>362400</v>
      </c>
      <c r="J103" s="5">
        <v>362400</v>
      </c>
      <c r="K103" s="5">
        <v>68796</v>
      </c>
      <c r="L103" s="5">
        <v>0</v>
      </c>
      <c r="M103" s="5">
        <v>0</v>
      </c>
      <c r="N103" s="5">
        <v>68796</v>
      </c>
      <c r="O103" s="7">
        <v>0.18983443708609299</v>
      </c>
      <c r="P103" s="5">
        <v>1096.5</v>
      </c>
      <c r="Q103" s="5">
        <v>0</v>
      </c>
      <c r="R103" s="5">
        <v>1096.5</v>
      </c>
      <c r="S103" s="5">
        <v>1</v>
      </c>
      <c r="T103" s="5">
        <v>0</v>
      </c>
      <c r="U103" s="7">
        <v>0</v>
      </c>
      <c r="V103" s="7">
        <v>10.965</v>
      </c>
      <c r="W103" s="5">
        <v>293604</v>
      </c>
      <c r="X103" s="5">
        <v>100</v>
      </c>
      <c r="Y103" s="7">
        <v>1</v>
      </c>
      <c r="Z103" s="5">
        <v>2000</v>
      </c>
      <c r="AA103" s="5">
        <v>2000</v>
      </c>
    </row>
    <row r="104" spans="1:27" ht="15" hidden="1" customHeight="1" x14ac:dyDescent="0.45">
      <c r="A104" s="3">
        <v>46054</v>
      </c>
      <c r="B104" s="4" t="s">
        <v>66</v>
      </c>
      <c r="C104" s="4" t="s">
        <v>59</v>
      </c>
      <c r="D104" s="4" t="s">
        <v>60</v>
      </c>
      <c r="E104" s="4" t="s">
        <v>29</v>
      </c>
      <c r="F104" s="5">
        <f t="shared" si="7"/>
        <v>2143.8919999999998</v>
      </c>
      <c r="G104" s="5">
        <v>2000</v>
      </c>
      <c r="H104" s="5">
        <v>143.892</v>
      </c>
      <c r="I104" s="5">
        <v>603000</v>
      </c>
      <c r="J104" s="5">
        <v>603000</v>
      </c>
      <c r="K104" s="5">
        <v>177769.2</v>
      </c>
      <c r="L104" s="5">
        <v>-98967.2</v>
      </c>
      <c r="M104" s="5">
        <v>0</v>
      </c>
      <c r="N104" s="5">
        <v>78802</v>
      </c>
      <c r="O104" s="7">
        <v>0.130683250414594</v>
      </c>
      <c r="P104" s="5">
        <v>14389.2</v>
      </c>
      <c r="Q104" s="5">
        <v>0</v>
      </c>
      <c r="R104" s="5">
        <v>14389.2</v>
      </c>
      <c r="S104" s="5">
        <v>90000</v>
      </c>
      <c r="T104" s="5">
        <v>0</v>
      </c>
      <c r="U104" s="7">
        <v>0</v>
      </c>
      <c r="V104" s="7">
        <v>143.892</v>
      </c>
      <c r="W104" s="5">
        <v>524198</v>
      </c>
      <c r="X104" s="5">
        <v>100</v>
      </c>
      <c r="Y104" s="7">
        <v>1</v>
      </c>
      <c r="Z104" s="5">
        <v>2000</v>
      </c>
      <c r="AA104" s="5">
        <v>2000</v>
      </c>
    </row>
    <row r="105" spans="1:27" ht="15" hidden="1" customHeight="1" x14ac:dyDescent="0.45">
      <c r="A105" s="3">
        <v>46054</v>
      </c>
      <c r="B105" s="4" t="s">
        <v>67</v>
      </c>
      <c r="C105" s="4" t="s">
        <v>59</v>
      </c>
      <c r="D105" s="4" t="s">
        <v>60</v>
      </c>
      <c r="E105" s="4" t="s">
        <v>68</v>
      </c>
      <c r="F105" s="5">
        <f t="shared" si="7"/>
        <v>1168.0730000000001</v>
      </c>
      <c r="G105" s="5">
        <v>1000</v>
      </c>
      <c r="H105" s="5">
        <v>168.07300000000001</v>
      </c>
      <c r="I105" s="5">
        <v>603000</v>
      </c>
      <c r="J105" s="5">
        <v>603000</v>
      </c>
      <c r="K105" s="5">
        <v>303835.59999999998</v>
      </c>
      <c r="L105" s="5">
        <v>-164373.6</v>
      </c>
      <c r="M105" s="5">
        <v>0</v>
      </c>
      <c r="N105" s="5">
        <v>139462</v>
      </c>
      <c r="O105" s="7">
        <v>0.23128026533996701</v>
      </c>
      <c r="P105" s="5">
        <v>35605.699999999997</v>
      </c>
      <c r="Q105" s="5">
        <v>-18798.400000000001</v>
      </c>
      <c r="R105" s="5">
        <v>16807.3</v>
      </c>
      <c r="S105" s="5">
        <v>90000</v>
      </c>
      <c r="T105" s="5">
        <v>0</v>
      </c>
      <c r="U105" s="7">
        <v>0</v>
      </c>
      <c r="V105" s="7">
        <v>168.07300000000001</v>
      </c>
      <c r="W105" s="5">
        <v>463538</v>
      </c>
      <c r="X105" s="5">
        <v>100</v>
      </c>
      <c r="Y105" s="7">
        <v>1</v>
      </c>
      <c r="Z105" s="5">
        <v>1000</v>
      </c>
      <c r="AA105" s="5">
        <v>1000</v>
      </c>
    </row>
    <row r="106" spans="1:27" ht="15" hidden="1" customHeight="1" x14ac:dyDescent="0.45">
      <c r="A106" s="3">
        <v>46054</v>
      </c>
      <c r="B106" s="4" t="s">
        <v>65</v>
      </c>
      <c r="C106" s="4" t="s">
        <v>59</v>
      </c>
      <c r="D106" s="4" t="s">
        <v>60</v>
      </c>
      <c r="E106" s="4" t="s">
        <v>29</v>
      </c>
      <c r="F106" s="5">
        <f t="shared" si="7"/>
        <v>0</v>
      </c>
      <c r="G106" s="5">
        <v>0</v>
      </c>
      <c r="H106" s="5">
        <v>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5">
        <v>90000</v>
      </c>
      <c r="T106" s="5">
        <v>0</v>
      </c>
      <c r="U106" s="7">
        <v>0</v>
      </c>
      <c r="V106" s="4"/>
      <c r="W106" s="4"/>
      <c r="X106" s="4"/>
      <c r="Y106" s="4"/>
      <c r="Z106" s="4"/>
      <c r="AA106" s="4"/>
    </row>
    <row r="107" spans="1:27" ht="15" hidden="1" customHeight="1" x14ac:dyDescent="0.45">
      <c r="A107" s="3">
        <v>46054</v>
      </c>
      <c r="B107" s="4" t="s">
        <v>72</v>
      </c>
      <c r="C107" s="4" t="s">
        <v>59</v>
      </c>
      <c r="D107" s="4" t="s">
        <v>60</v>
      </c>
      <c r="E107" s="4" t="s">
        <v>29</v>
      </c>
      <c r="F107" s="5">
        <f t="shared" si="7"/>
        <v>0</v>
      </c>
      <c r="G107" s="5">
        <v>0</v>
      </c>
      <c r="H107" s="5">
        <v>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5">
        <v>100</v>
      </c>
      <c r="Y107" s="7">
        <v>0</v>
      </c>
      <c r="Z107" s="5">
        <v>0</v>
      </c>
      <c r="AA107" s="5">
        <v>0</v>
      </c>
    </row>
    <row r="108" spans="1:27" ht="15" hidden="1" customHeight="1" x14ac:dyDescent="0.45">
      <c r="A108" s="3">
        <v>46082</v>
      </c>
      <c r="B108" s="4" t="s">
        <v>58</v>
      </c>
      <c r="C108" s="4" t="s">
        <v>59</v>
      </c>
      <c r="D108" s="4" t="s">
        <v>60</v>
      </c>
      <c r="E108" s="4" t="s">
        <v>29</v>
      </c>
      <c r="F108" s="5">
        <f t="shared" si="7"/>
        <v>56306.093000000001</v>
      </c>
      <c r="G108" s="5">
        <f t="shared" ref="G108:G119" si="8">AA108</f>
        <v>4000</v>
      </c>
      <c r="H108" s="5">
        <v>52306.093000000001</v>
      </c>
      <c r="I108" s="5">
        <v>1714770</v>
      </c>
      <c r="J108" s="4"/>
      <c r="K108" s="4">
        <v>2089053.8</v>
      </c>
      <c r="L108" s="4">
        <v>-347945</v>
      </c>
      <c r="M108" s="4"/>
      <c r="N108" s="4">
        <v>1741108.8</v>
      </c>
      <c r="O108" s="7">
        <v>1.0153599608110699</v>
      </c>
      <c r="P108" s="5">
        <v>25978.9</v>
      </c>
      <c r="Q108" s="5">
        <v>-18696</v>
      </c>
      <c r="R108" s="5">
        <v>7282.9</v>
      </c>
      <c r="S108" s="5">
        <v>150000</v>
      </c>
      <c r="T108" s="5">
        <v>323250</v>
      </c>
      <c r="U108" s="7">
        <v>2.1549999999999998</v>
      </c>
      <c r="V108" s="7">
        <v>0.03</v>
      </c>
      <c r="W108" s="5">
        <v>52306.093000000001</v>
      </c>
      <c r="X108" s="5">
        <f>_xlfn.XLOOKUP($B108,[2]顾问绩效!$B$3:$B$13,[2]顾问绩效!$T$3:$T$13,0,0)</f>
        <v>100</v>
      </c>
      <c r="Y108" s="7">
        <f>_xlfn.XLOOKUP($B108,[2]顾问绩效!$B$3:$B$13,[2]顾问绩效!$U$3:$U$13,0,0)</f>
        <v>1</v>
      </c>
      <c r="Z108" s="5">
        <f>_xlfn.XLOOKUP($B108,[2]顾问绩效!$B$3:$B$13,[2]顾问绩效!$V$3:$V$13,0,0)</f>
        <v>4000</v>
      </c>
      <c r="AA108" s="5">
        <f>_xlfn.XLOOKUP($B108,[2]顾问绩效!$B$3:$B$13,[2]顾问绩效!$W$3:$W$13,0,0)</f>
        <v>4000</v>
      </c>
    </row>
    <row r="109" spans="1:27" ht="15" hidden="1" customHeight="1" x14ac:dyDescent="0.45">
      <c r="A109" s="3">
        <v>46082</v>
      </c>
      <c r="B109" s="4" t="s">
        <v>67</v>
      </c>
      <c r="C109" s="4" t="s">
        <v>59</v>
      </c>
      <c r="D109" s="4" t="s">
        <v>60</v>
      </c>
      <c r="E109" s="4" t="s">
        <v>68</v>
      </c>
      <c r="F109" s="5">
        <f t="shared" si="7"/>
        <v>86463.688800000004</v>
      </c>
      <c r="G109" s="5">
        <f t="shared" si="8"/>
        <v>1840</v>
      </c>
      <c r="H109" s="5">
        <v>84623.688800000004</v>
      </c>
      <c r="I109" s="5">
        <v>1714770</v>
      </c>
      <c r="K109" s="4">
        <v>2752553.9</v>
      </c>
      <c r="L109" s="4">
        <v>-645104.80000000005</v>
      </c>
      <c r="N109" s="4">
        <v>2107449.1</v>
      </c>
      <c r="O109" s="7">
        <v>1.22899811636546</v>
      </c>
      <c r="P109" s="5">
        <v>96697.7</v>
      </c>
      <c r="Q109" s="5">
        <v>-64125.22</v>
      </c>
      <c r="R109" s="5">
        <v>32572.48</v>
      </c>
      <c r="S109" s="5">
        <v>150000</v>
      </c>
      <c r="T109" s="5">
        <v>172096</v>
      </c>
      <c r="U109" s="7">
        <v>1.14730666666667</v>
      </c>
      <c r="V109" s="7">
        <v>0.04</v>
      </c>
      <c r="W109" s="5">
        <v>84623.688800000004</v>
      </c>
      <c r="X109" s="5">
        <f>_xlfn.XLOOKUP(B109,[2]顾问绩效!$B$3:$B$13,[2]顾问绩效!$T$3:$T$13,0,0)</f>
        <v>85.853333333333296</v>
      </c>
      <c r="Y109" s="7">
        <f>_xlfn.XLOOKUP($B109,[2]顾问绩效!$B$3:$B$13,[2]顾问绩效!$U$3:$U$13,0,0)</f>
        <v>0.92</v>
      </c>
      <c r="Z109" s="5">
        <f>_xlfn.XLOOKUP($B109,[2]顾问绩效!$B$3:$B$13,[2]顾问绩效!$V$3:$V$13,0,0)</f>
        <v>2000</v>
      </c>
      <c r="AA109" s="5">
        <f>_xlfn.XLOOKUP($B109,[2]顾问绩效!$B$3:$B$13,[2]顾问绩效!$W$3:$W$13,0,0)</f>
        <v>1840</v>
      </c>
    </row>
    <row r="110" spans="1:27" ht="15" hidden="1" customHeight="1" x14ac:dyDescent="0.45">
      <c r="A110" s="3">
        <v>46082</v>
      </c>
      <c r="B110" s="4" t="s">
        <v>69</v>
      </c>
      <c r="C110" s="4" t="s">
        <v>59</v>
      </c>
      <c r="D110" s="4" t="s">
        <v>60</v>
      </c>
      <c r="E110" s="4" t="s">
        <v>29</v>
      </c>
      <c r="F110" s="5">
        <f t="shared" si="7"/>
        <v>11307.31583589744</v>
      </c>
      <c r="G110" s="5">
        <f t="shared" si="8"/>
        <v>1635.8974358974399</v>
      </c>
      <c r="H110" s="5">
        <v>9671.4184000000005</v>
      </c>
      <c r="I110" s="5">
        <v>1643778</v>
      </c>
      <c r="K110" s="4">
        <v>1293131.3</v>
      </c>
      <c r="L110" s="4">
        <v>-117904.1</v>
      </c>
      <c r="N110" s="4">
        <v>1175227.2</v>
      </c>
      <c r="O110" s="7">
        <v>0.71495493917061803</v>
      </c>
      <c r="P110" s="5">
        <v>36805.800000000003</v>
      </c>
      <c r="Q110" s="5">
        <v>-9845.7199999999993</v>
      </c>
      <c r="R110" s="5">
        <v>26960.080000000002</v>
      </c>
      <c r="S110" s="5">
        <v>150000</v>
      </c>
      <c r="T110" s="5">
        <v>155200</v>
      </c>
      <c r="U110" s="7">
        <v>1.03466666666667</v>
      </c>
      <c r="V110" s="7">
        <v>8.0000000000000002E-3</v>
      </c>
      <c r="W110" s="5">
        <v>9671.4184000000005</v>
      </c>
      <c r="X110" s="5">
        <f>_xlfn.XLOOKUP(B110,[2]顾问绩效!$B$3:$B$13,[2]顾问绩效!$T$3:$T$13,0,0)</f>
        <v>81.794871794871796</v>
      </c>
      <c r="Y110" s="7">
        <f>_xlfn.XLOOKUP($B110,[2]顾问绩效!$B$3:$B$13,[2]顾问绩效!$U$3:$U$13,0,0)</f>
        <v>0.81794871794871804</v>
      </c>
      <c r="Z110" s="5">
        <f>_xlfn.XLOOKUP($B110,[2]顾问绩效!$B$3:$B$13,[2]顾问绩效!$V$3:$V$13,0,0)</f>
        <v>2000</v>
      </c>
      <c r="AA110" s="5">
        <f>_xlfn.XLOOKUP($B110,[2]顾问绩效!$B$3:$B$13,[2]顾问绩效!$W$3:$W$13,0,0)</f>
        <v>1635.8974358974399</v>
      </c>
    </row>
    <row r="111" spans="1:27" ht="15" hidden="1" customHeight="1" x14ac:dyDescent="0.45">
      <c r="A111" s="3">
        <v>46082</v>
      </c>
      <c r="B111" s="4" t="s">
        <v>62</v>
      </c>
      <c r="C111" s="4" t="s">
        <v>59</v>
      </c>
      <c r="D111" s="4" t="s">
        <v>60</v>
      </c>
      <c r="E111" s="4" t="s">
        <v>29</v>
      </c>
      <c r="F111" s="5">
        <f t="shared" si="7"/>
        <v>139074.4515</v>
      </c>
      <c r="G111" s="5">
        <f t="shared" si="8"/>
        <v>4000</v>
      </c>
      <c r="H111" s="5">
        <v>135074.4515</v>
      </c>
      <c r="I111" s="5">
        <v>1714770</v>
      </c>
      <c r="K111" s="4">
        <v>3214383.6</v>
      </c>
      <c r="L111" s="4">
        <v>-517556.1</v>
      </c>
      <c r="N111" s="4">
        <v>2696827.5</v>
      </c>
      <c r="O111" s="7">
        <v>1.5727050858132601</v>
      </c>
      <c r="P111" s="5">
        <v>78745.350000000006</v>
      </c>
      <c r="Q111" s="5">
        <v>-55437.7</v>
      </c>
      <c r="R111" s="5">
        <v>23307.65</v>
      </c>
      <c r="S111" s="5">
        <v>150000</v>
      </c>
      <c r="T111" s="5">
        <v>832663.6</v>
      </c>
      <c r="U111" s="7">
        <v>5.5510906666666697</v>
      </c>
      <c r="V111" s="7">
        <v>0.05</v>
      </c>
      <c r="W111" s="5">
        <v>135074.4515</v>
      </c>
      <c r="X111" s="5">
        <f>_xlfn.XLOOKUP(B111,[2]顾问绩效!$B$3:$B$13,[2]顾问绩效!$T$3:$T$13,0,0)</f>
        <v>100</v>
      </c>
      <c r="Y111" s="7">
        <f>_xlfn.XLOOKUP($B111,[2]顾问绩效!$B$3:$B$13,[2]顾问绩效!$U$3:$U$13,0,0)</f>
        <v>1</v>
      </c>
      <c r="Z111" s="5">
        <f>_xlfn.XLOOKUP($B111,[2]顾问绩效!$B$3:$B$13,[2]顾问绩效!$V$3:$V$13,0,0)</f>
        <v>4000</v>
      </c>
      <c r="AA111" s="5">
        <f>_xlfn.XLOOKUP($B111,[2]顾问绩效!$B$3:$B$13,[2]顾问绩效!$W$3:$W$13,0,0)</f>
        <v>4000</v>
      </c>
    </row>
    <row r="112" spans="1:27" ht="15" hidden="1" customHeight="1" x14ac:dyDescent="0.45">
      <c r="A112" s="3">
        <v>46082</v>
      </c>
      <c r="B112" s="4" t="s">
        <v>74</v>
      </c>
      <c r="C112" s="4" t="s">
        <v>59</v>
      </c>
      <c r="D112" s="4" t="s">
        <v>60</v>
      </c>
      <c r="E112" s="4" t="s">
        <v>29</v>
      </c>
      <c r="F112" s="5">
        <f t="shared" si="7"/>
        <v>7091.5510000000004</v>
      </c>
      <c r="G112" s="5">
        <f t="shared" si="8"/>
        <v>0</v>
      </c>
      <c r="H112" s="5">
        <v>7091.5510000000004</v>
      </c>
      <c r="I112" s="5">
        <v>1393218</v>
      </c>
      <c r="K112" s="4">
        <v>1012623.8</v>
      </c>
      <c r="L112" s="4">
        <v>-145727.79999999999</v>
      </c>
      <c r="N112" s="4">
        <v>866896</v>
      </c>
      <c r="O112" s="7">
        <v>0.62222566748348096</v>
      </c>
      <c r="P112" s="5">
        <v>15708.3</v>
      </c>
      <c r="Q112" s="5">
        <v>-70</v>
      </c>
      <c r="R112" s="5">
        <v>15638.3</v>
      </c>
      <c r="S112" s="5">
        <v>75000</v>
      </c>
      <c r="T112" s="5">
        <v>55300</v>
      </c>
      <c r="U112" s="7">
        <v>0.73733333333333295</v>
      </c>
      <c r="V112" s="7">
        <v>8.0000000000000002E-3</v>
      </c>
      <c r="W112" s="5">
        <v>7091.5510000000004</v>
      </c>
      <c r="X112" s="5">
        <f>_xlfn.XLOOKUP(B112,[2]顾问绩效!$B$3:$B$13,[2]顾问绩效!$T$3:$T$13,0,0)</f>
        <v>66.866666666666703</v>
      </c>
      <c r="Y112" s="7">
        <f>_xlfn.XLOOKUP($B112,[2]顾问绩效!$B$3:$B$13,[2]顾问绩效!$U$3:$U$13,0,0)</f>
        <v>0</v>
      </c>
      <c r="Z112" s="5">
        <f>_xlfn.XLOOKUP($B112,[2]顾问绩效!$B$3:$B$13,[2]顾问绩效!$V$3:$V$13,0,0)</f>
        <v>4000</v>
      </c>
      <c r="AA112" s="5">
        <f>_xlfn.XLOOKUP($B112,[2]顾问绩效!$B$3:$B$13,[2]顾问绩效!$W$3:$W$13,0,0)</f>
        <v>0</v>
      </c>
    </row>
    <row r="113" spans="1:27" ht="15" hidden="1" customHeight="1" x14ac:dyDescent="0.45">
      <c r="A113" s="3">
        <v>46082</v>
      </c>
      <c r="B113" s="4" t="s">
        <v>77</v>
      </c>
      <c r="C113" s="4" t="s">
        <v>59</v>
      </c>
      <c r="D113" s="4" t="s">
        <v>60</v>
      </c>
      <c r="E113" s="4" t="s">
        <v>29</v>
      </c>
      <c r="F113" s="5">
        <f t="shared" si="7"/>
        <v>135265.8818</v>
      </c>
      <c r="G113" s="5">
        <f t="shared" si="8"/>
        <v>4000</v>
      </c>
      <c r="H113" s="5">
        <v>131265.8818</v>
      </c>
      <c r="I113" s="5">
        <v>1714770</v>
      </c>
      <c r="K113" s="4">
        <v>2982266.55</v>
      </c>
      <c r="L113" s="4">
        <v>-355585.05</v>
      </c>
      <c r="N113" s="4">
        <v>2626681.5</v>
      </c>
      <c r="O113" s="7">
        <v>1.5317981420248801</v>
      </c>
      <c r="P113" s="5">
        <v>92792.9</v>
      </c>
      <c r="Q113" s="5">
        <v>-99612.22</v>
      </c>
      <c r="R113" s="5">
        <v>-6819.3200000000097</v>
      </c>
      <c r="S113" s="5">
        <v>150000</v>
      </c>
      <c r="T113" s="5">
        <v>524360</v>
      </c>
      <c r="U113" s="7">
        <v>3.4957333333333298</v>
      </c>
      <c r="V113" s="7">
        <v>0.05</v>
      </c>
      <c r="W113" s="5">
        <v>131265.8818</v>
      </c>
      <c r="X113" s="5">
        <f>_xlfn.XLOOKUP(B113,[2]顾问绩效!$B$3:$B$13,[2]顾问绩效!$T$3:$T$13,0,0)</f>
        <v>100</v>
      </c>
      <c r="Y113" s="7">
        <f>_xlfn.XLOOKUP($B113,[2]顾问绩效!$B$3:$B$13,[2]顾问绩效!$U$3:$U$13,0,0)</f>
        <v>1</v>
      </c>
      <c r="Z113" s="5">
        <f>_xlfn.XLOOKUP($B113,[2]顾问绩效!$B$3:$B$13,[2]顾问绩效!$V$3:$V$13,0,0)</f>
        <v>4000</v>
      </c>
      <c r="AA113" s="5">
        <f>_xlfn.XLOOKUP($B113,[2]顾问绩效!$B$3:$B$13,[2]顾问绩效!$W$3:$W$13,0,0)</f>
        <v>4000</v>
      </c>
    </row>
    <row r="114" spans="1:27" ht="15" hidden="1" customHeight="1" x14ac:dyDescent="0.45">
      <c r="A114" s="3">
        <v>46082</v>
      </c>
      <c r="B114" s="4" t="s">
        <v>78</v>
      </c>
      <c r="C114" s="4" t="s">
        <v>59</v>
      </c>
      <c r="D114" s="4" t="s">
        <v>60</v>
      </c>
      <c r="E114" s="4" t="s">
        <v>29</v>
      </c>
      <c r="F114" s="5">
        <f t="shared" si="7"/>
        <v>37706.51</v>
      </c>
      <c r="G114" s="5">
        <f t="shared" si="8"/>
        <v>4000</v>
      </c>
      <c r="H114" s="5">
        <v>33706.51</v>
      </c>
      <c r="I114" s="5">
        <v>357000</v>
      </c>
      <c r="K114" s="4">
        <v>838130</v>
      </c>
      <c r="L114" s="4">
        <v>-164000</v>
      </c>
      <c r="N114" s="4">
        <v>674130</v>
      </c>
      <c r="O114" s="7">
        <v>1.8883193277310899</v>
      </c>
      <c r="P114" s="5">
        <v>0</v>
      </c>
      <c r="Q114" s="5">
        <v>0</v>
      </c>
      <c r="R114" s="5">
        <v>1</v>
      </c>
      <c r="S114" s="5">
        <v>1</v>
      </c>
      <c r="T114" s="5">
        <v>53300</v>
      </c>
      <c r="U114" s="7">
        <v>53300</v>
      </c>
      <c r="V114" s="7">
        <v>0.05</v>
      </c>
      <c r="W114" s="5">
        <v>33706.51</v>
      </c>
      <c r="X114" s="5">
        <f>_xlfn.XLOOKUP(B114,[2]顾问绩效!$B$3:$B$13,[2]顾问绩效!$T$3:$T$13,0,0)</f>
        <v>100</v>
      </c>
      <c r="Y114" s="7">
        <f>_xlfn.XLOOKUP($B114,[2]顾问绩效!$B$3:$B$13,[2]顾问绩效!$U$3:$U$13,0,0)</f>
        <v>1</v>
      </c>
      <c r="Z114" s="5">
        <f>_xlfn.XLOOKUP($B114,[2]顾问绩效!$B$3:$B$13,[2]顾问绩效!$V$3:$V$13,0,0)</f>
        <v>4000</v>
      </c>
      <c r="AA114" s="5">
        <f>_xlfn.XLOOKUP($B114,[2]顾问绩效!$B$3:$B$13,[2]顾问绩效!$W$3:$W$13,0,0)</f>
        <v>4000</v>
      </c>
    </row>
    <row r="115" spans="1:27" ht="15" hidden="1" customHeight="1" x14ac:dyDescent="0.45">
      <c r="A115" s="3">
        <v>46082</v>
      </c>
      <c r="B115" s="4" t="s">
        <v>63</v>
      </c>
      <c r="C115" s="4" t="s">
        <v>59</v>
      </c>
      <c r="D115" s="4" t="s">
        <v>60</v>
      </c>
      <c r="E115" s="4" t="s">
        <v>73</v>
      </c>
      <c r="F115" s="5">
        <f t="shared" si="7"/>
        <v>57795.756000000001</v>
      </c>
      <c r="G115" s="5">
        <f t="shared" si="8"/>
        <v>6560</v>
      </c>
      <c r="H115" s="5">
        <v>51235.756000000001</v>
      </c>
      <c r="I115" s="5">
        <v>1636000</v>
      </c>
      <c r="K115" s="4">
        <v>2093387.4</v>
      </c>
      <c r="L115" s="4">
        <v>-408563</v>
      </c>
      <c r="N115" s="4">
        <v>1684824.4</v>
      </c>
      <c r="O115" s="7">
        <v>1.0298437652811701</v>
      </c>
      <c r="P115" s="5">
        <v>106494.39999999999</v>
      </c>
      <c r="Q115" s="5">
        <v>-37392</v>
      </c>
      <c r="R115" s="5">
        <v>69102.399999999994</v>
      </c>
      <c r="S115" s="5">
        <v>150000</v>
      </c>
      <c r="T115" s="5">
        <v>77090</v>
      </c>
      <c r="U115" s="7">
        <v>0.51393333333333302</v>
      </c>
      <c r="V115" s="7">
        <v>0.03</v>
      </c>
      <c r="W115" s="5">
        <v>51235.756000000001</v>
      </c>
      <c r="X115" s="5">
        <v>81</v>
      </c>
      <c r="Y115" s="7">
        <v>0.82</v>
      </c>
      <c r="Z115" s="5">
        <v>8000</v>
      </c>
      <c r="AA115" s="5">
        <v>6560</v>
      </c>
    </row>
    <row r="116" spans="1:27" ht="15" hidden="1" customHeight="1" x14ac:dyDescent="0.45">
      <c r="A116" s="3">
        <v>46082</v>
      </c>
      <c r="B116" s="4" t="s">
        <v>64</v>
      </c>
      <c r="C116" s="4" t="s">
        <v>59</v>
      </c>
      <c r="D116" s="4" t="s">
        <v>60</v>
      </c>
      <c r="E116" s="4" t="s">
        <v>29</v>
      </c>
      <c r="F116" s="5">
        <f t="shared" si="7"/>
        <v>89040.952000000005</v>
      </c>
      <c r="G116" s="5">
        <f t="shared" si="8"/>
        <v>4000</v>
      </c>
      <c r="H116" s="5">
        <v>85040.952000000005</v>
      </c>
      <c r="I116" s="5">
        <v>1714770</v>
      </c>
      <c r="K116" s="4">
        <v>2669903.4500000002</v>
      </c>
      <c r="L116" s="4">
        <v>-543929.4</v>
      </c>
      <c r="N116" s="4">
        <v>2125974.0499999998</v>
      </c>
      <c r="O116" s="7">
        <v>1.23980128530357</v>
      </c>
      <c r="P116" s="5">
        <v>199</v>
      </c>
      <c r="Q116" s="5">
        <v>0</v>
      </c>
      <c r="R116" s="5">
        <v>199</v>
      </c>
      <c r="S116" s="5">
        <v>150000</v>
      </c>
      <c r="T116" s="5">
        <v>225384.8</v>
      </c>
      <c r="U116" s="7">
        <v>1.50256533333333</v>
      </c>
      <c r="V116" s="7">
        <v>0.04</v>
      </c>
      <c r="W116" s="5">
        <v>85040.952000000005</v>
      </c>
      <c r="X116" s="5">
        <f>_xlfn.XLOOKUP(B116,[2]顾问绩效!$B$3:$B$13,[2]顾问绩效!$T$3:$T$13,0,0)</f>
        <v>96.955208333333303</v>
      </c>
      <c r="Y116" s="7">
        <f>_xlfn.XLOOKUP($B116,[2]顾问绩效!$B$3:$B$13,[2]顾问绩效!$U$3:$U$13,0,0)</f>
        <v>1</v>
      </c>
      <c r="Z116" s="5">
        <f>_xlfn.XLOOKUP($B116,[2]顾问绩效!$B$3:$B$13,[2]顾问绩效!$V$3:$V$13,0,0)</f>
        <v>4000</v>
      </c>
      <c r="AA116" s="5">
        <f>_xlfn.XLOOKUP($B116,[2]顾问绩效!$B$3:$B$13,[2]顾问绩效!$W$3:$W$13,0,0)</f>
        <v>4000</v>
      </c>
    </row>
    <row r="117" spans="1:27" ht="15" hidden="1" customHeight="1" x14ac:dyDescent="0.45">
      <c r="A117" s="3">
        <v>46082</v>
      </c>
      <c r="B117" s="4" t="s">
        <v>66</v>
      </c>
      <c r="C117" s="4" t="s">
        <v>59</v>
      </c>
      <c r="D117" s="4" t="s">
        <v>60</v>
      </c>
      <c r="E117" s="4" t="s">
        <v>29</v>
      </c>
      <c r="F117" s="5">
        <f t="shared" si="7"/>
        <v>52395.597000000002</v>
      </c>
      <c r="G117" s="5">
        <f t="shared" si="8"/>
        <v>0</v>
      </c>
      <c r="H117" s="5">
        <v>52395.597000000002</v>
      </c>
      <c r="I117" s="5">
        <v>1714770</v>
      </c>
      <c r="K117" s="4">
        <v>2000283.8</v>
      </c>
      <c r="L117" s="4">
        <v>-268976.09999999998</v>
      </c>
      <c r="N117" s="4">
        <v>1731307.7</v>
      </c>
      <c r="O117" s="7">
        <v>1.00964426716119</v>
      </c>
      <c r="P117" s="5">
        <v>63916.6</v>
      </c>
      <c r="Q117" s="5">
        <v>-18280</v>
      </c>
      <c r="R117" s="5">
        <v>45636.6</v>
      </c>
      <c r="S117" s="5">
        <v>150000</v>
      </c>
      <c r="T117" s="5">
        <v>83100</v>
      </c>
      <c r="U117" s="7">
        <v>0.55400000000000005</v>
      </c>
      <c r="V117" s="7">
        <v>0.03</v>
      </c>
      <c r="W117" s="5">
        <v>52395.597000000002</v>
      </c>
      <c r="X117" s="5">
        <f>_xlfn.XLOOKUP(B117,[2]顾问绩效!$B$3:$B$13,[2]顾问绩效!$T$3:$T$13,0,0)</f>
        <v>50</v>
      </c>
      <c r="Y117" s="7">
        <f>_xlfn.XLOOKUP($B117,[2]顾问绩效!$B$3:$B$13,[2]顾问绩效!$U$3:$U$13,0,0)</f>
        <v>0</v>
      </c>
      <c r="Z117" s="5">
        <f>_xlfn.XLOOKUP($B117,[2]顾问绩效!$B$3:$B$13,[2]顾问绩效!$V$3:$V$13,0,0)</f>
        <v>4000</v>
      </c>
      <c r="AA117" s="5">
        <f>_xlfn.XLOOKUP($B117,[2]顾问绩效!$B$3:$B$13,[2]顾问绩效!$W$3:$W$13,0,0)</f>
        <v>0</v>
      </c>
    </row>
    <row r="118" spans="1:27" ht="15" hidden="1" customHeight="1" x14ac:dyDescent="0.45">
      <c r="A118" s="3">
        <v>46082</v>
      </c>
      <c r="B118" s="4" t="s">
        <v>70</v>
      </c>
      <c r="C118" s="4" t="s">
        <v>59</v>
      </c>
      <c r="D118" s="4" t="s">
        <v>60</v>
      </c>
      <c r="E118" s="4" t="s">
        <v>29</v>
      </c>
      <c r="F118" s="5">
        <f t="shared" si="7"/>
        <v>12765.4517</v>
      </c>
      <c r="G118" s="5">
        <f t="shared" si="8"/>
        <v>3920</v>
      </c>
      <c r="H118" s="5">
        <v>8845.4516999999996</v>
      </c>
      <c r="I118" s="5">
        <v>1643778</v>
      </c>
      <c r="K118" s="4">
        <v>1244621.8</v>
      </c>
      <c r="L118" s="4">
        <v>-188539.9</v>
      </c>
      <c r="N118" s="4">
        <v>1056081.8999999999</v>
      </c>
      <c r="O118" s="7">
        <v>0.64247234115555696</v>
      </c>
      <c r="P118" s="5">
        <v>61487.6</v>
      </c>
      <c r="Q118" s="5">
        <v>-21807.95</v>
      </c>
      <c r="R118" s="5">
        <v>39679.65</v>
      </c>
      <c r="S118" s="5">
        <v>75000</v>
      </c>
      <c r="T118" s="5">
        <v>103314.8</v>
      </c>
      <c r="U118" s="7">
        <v>1.37753066666667</v>
      </c>
      <c r="V118" s="7">
        <v>8.0000000000000002E-3</v>
      </c>
      <c r="W118" s="5">
        <v>8845.4516999999996</v>
      </c>
      <c r="X118" s="5">
        <f>_xlfn.XLOOKUP(B118,[2]顾问绩效!$B$3:$B$13,[2]顾问绩效!$T$3:$T$13,0,0)</f>
        <v>89.047916666666694</v>
      </c>
      <c r="Y118" s="7">
        <f>_xlfn.XLOOKUP($B118,[2]顾问绩效!$B$3:$B$13,[2]顾问绩效!$U$3:$U$13,0,0)</f>
        <v>0.98</v>
      </c>
      <c r="Z118" s="5">
        <f>_xlfn.XLOOKUP($B118,[2]顾问绩效!$B$3:$B$13,[2]顾问绩效!$V$3:$V$13,0,0)</f>
        <v>4000</v>
      </c>
      <c r="AA118" s="5">
        <f>_xlfn.XLOOKUP($B118,[2]顾问绩效!$B$3:$B$13,[2]顾问绩效!$W$3:$W$13,0,0)</f>
        <v>3920</v>
      </c>
    </row>
    <row r="119" spans="1:27" ht="15" hidden="1" customHeight="1" x14ac:dyDescent="0.45">
      <c r="A119" s="3">
        <v>46082</v>
      </c>
      <c r="B119" s="4" t="s">
        <v>76</v>
      </c>
      <c r="C119" s="4" t="s">
        <v>59</v>
      </c>
      <c r="D119" s="4" t="s">
        <v>60</v>
      </c>
      <c r="E119" s="4" t="s">
        <v>29</v>
      </c>
      <c r="F119" s="5">
        <f t="shared" si="7"/>
        <v>42748.233500000002</v>
      </c>
      <c r="G119" s="5">
        <f t="shared" si="8"/>
        <v>4000</v>
      </c>
      <c r="H119" s="5">
        <v>38748.233500000002</v>
      </c>
      <c r="I119" s="5">
        <v>357000</v>
      </c>
      <c r="K119" s="4">
        <v>764850</v>
      </c>
      <c r="L119" s="4">
        <v>-4008.4</v>
      </c>
      <c r="N119" s="4">
        <v>760841.6</v>
      </c>
      <c r="O119" s="7">
        <v>2.1312089635854301</v>
      </c>
      <c r="P119" s="5">
        <v>83233.95</v>
      </c>
      <c r="Q119" s="5">
        <v>-12619.6</v>
      </c>
      <c r="R119" s="5">
        <v>70615.350000000006</v>
      </c>
      <c r="S119" s="5">
        <v>1</v>
      </c>
      <c r="T119" s="5">
        <v>0</v>
      </c>
      <c r="U119" s="7">
        <v>0</v>
      </c>
      <c r="V119" s="7">
        <v>0.05</v>
      </c>
      <c r="W119" s="5">
        <v>38748.233500000002</v>
      </c>
      <c r="X119" s="5">
        <f>_xlfn.XLOOKUP(B119,[2]顾问绩效!$B$3:$B$13,[2]顾问绩效!$T$3:$T$13,0,0)</f>
        <v>100</v>
      </c>
      <c r="Y119" s="7">
        <f>_xlfn.XLOOKUP($B119,[2]顾问绩效!$B$3:$B$13,[2]顾问绩效!$U$3:$U$13,0,0)</f>
        <v>1</v>
      </c>
      <c r="Z119" s="5">
        <f>_xlfn.XLOOKUP($B119,[2]顾问绩效!$B$3:$B$13,[2]顾问绩效!$V$3:$V$13,0,0)</f>
        <v>4000</v>
      </c>
      <c r="AA119" s="5">
        <f>_xlfn.XLOOKUP($B119,[2]顾问绩效!$B$3:$B$13,[2]顾问绩效!$W$3:$W$13,0,0)</f>
        <v>4000</v>
      </c>
    </row>
    <row r="120" spans="1:27" ht="15" hidden="1" customHeight="1" x14ac:dyDescent="0.45">
      <c r="A120" s="3">
        <v>46113</v>
      </c>
      <c r="B120" s="4" t="s">
        <v>58</v>
      </c>
      <c r="C120" s="4" t="s">
        <v>59</v>
      </c>
      <c r="D120" s="4" t="s">
        <v>60</v>
      </c>
      <c r="E120" s="4" t="s">
        <v>29</v>
      </c>
      <c r="F120" s="5">
        <f t="shared" si="7"/>
        <v>93.492000000000004</v>
      </c>
      <c r="G120" s="5">
        <v>0</v>
      </c>
      <c r="H120" s="5">
        <f>W120</f>
        <v>93.492000000000004</v>
      </c>
      <c r="I120" s="5">
        <v>700000</v>
      </c>
      <c r="J120" s="5"/>
      <c r="K120" s="5">
        <v>256642.1</v>
      </c>
      <c r="L120" s="5">
        <v>-102537.7</v>
      </c>
      <c r="M120" s="5"/>
      <c r="N120" s="5">
        <f>M120+L120+K120</f>
        <v>154104.40000000002</v>
      </c>
      <c r="O120" s="7"/>
      <c r="P120" s="5">
        <v>9349.2000000000007</v>
      </c>
      <c r="Q120" s="5">
        <f>IFERROR(VLOOKUP(#REF!,AE:AI,2,0),)</f>
        <v>0</v>
      </c>
      <c r="R120" s="5">
        <f>P120+Q120</f>
        <v>9349.2000000000007</v>
      </c>
      <c r="S120" s="5">
        <v>120000</v>
      </c>
      <c r="T120" s="5">
        <v>46700</v>
      </c>
      <c r="U120" s="7">
        <f>T120/S120</f>
        <v>0.38916666666666666</v>
      </c>
      <c r="V120" s="7">
        <v>0</v>
      </c>
      <c r="W120" s="5">
        <v>93.492000000000004</v>
      </c>
      <c r="X120" s="5">
        <v>40</v>
      </c>
      <c r="Y120" s="7">
        <v>0</v>
      </c>
      <c r="Z120" s="5">
        <v>2000</v>
      </c>
      <c r="AA120" s="5">
        <v>0</v>
      </c>
    </row>
    <row r="121" spans="1:27" ht="15" hidden="1" customHeight="1" x14ac:dyDescent="0.45">
      <c r="A121" s="3">
        <v>46113</v>
      </c>
      <c r="B121" s="4" t="s">
        <v>64</v>
      </c>
      <c r="C121" s="4" t="s">
        <v>59</v>
      </c>
      <c r="D121" s="4" t="s">
        <v>60</v>
      </c>
      <c r="E121" s="4" t="s">
        <v>29</v>
      </c>
      <c r="F121" s="5">
        <f t="shared" si="7"/>
        <v>4139.4620000000004</v>
      </c>
      <c r="G121" s="5">
        <v>0</v>
      </c>
      <c r="H121" s="5">
        <v>4139.4620000000004</v>
      </c>
      <c r="I121" s="5">
        <v>700000</v>
      </c>
      <c r="J121" s="5"/>
      <c r="K121" s="5">
        <v>595630</v>
      </c>
      <c r="L121" s="5">
        <v>-78197.25</v>
      </c>
      <c r="M121" s="5"/>
      <c r="N121" s="5">
        <v>517432.75</v>
      </c>
      <c r="O121" s="7"/>
      <c r="P121" s="5">
        <v>0</v>
      </c>
      <c r="Q121" s="5">
        <v>0</v>
      </c>
      <c r="R121" s="5">
        <v>0</v>
      </c>
      <c r="S121" s="5">
        <v>120000</v>
      </c>
      <c r="T121" s="5">
        <v>36180</v>
      </c>
      <c r="U121" s="7">
        <v>0.30149999999999999</v>
      </c>
      <c r="V121" s="7">
        <v>8.0000000000000002E-3</v>
      </c>
      <c r="W121" s="5">
        <v>4139.4620000000004</v>
      </c>
      <c r="X121" s="5">
        <v>12</v>
      </c>
      <c r="Y121" s="7">
        <v>0</v>
      </c>
      <c r="Z121" s="5">
        <v>2000</v>
      </c>
      <c r="AA121" s="5">
        <v>0</v>
      </c>
    </row>
    <row r="122" spans="1:27" ht="15" hidden="1" customHeight="1" x14ac:dyDescent="0.45">
      <c r="A122" s="3">
        <v>46113</v>
      </c>
      <c r="B122" s="4" t="s">
        <v>69</v>
      </c>
      <c r="C122" s="4" t="s">
        <v>59</v>
      </c>
      <c r="D122" s="4" t="s">
        <v>60</v>
      </c>
      <c r="E122" s="4" t="s">
        <v>29</v>
      </c>
      <c r="F122" s="5">
        <f t="shared" si="7"/>
        <v>161.18600000000001</v>
      </c>
      <c r="G122" s="5">
        <v>0</v>
      </c>
      <c r="H122" s="5">
        <v>161.18600000000001</v>
      </c>
      <c r="I122" s="5">
        <v>700000</v>
      </c>
      <c r="J122" s="5"/>
      <c r="K122" s="5">
        <v>256506</v>
      </c>
      <c r="L122" s="5">
        <v>-82556.600000000006</v>
      </c>
      <c r="M122" s="5"/>
      <c r="N122" s="5">
        <v>173949.4</v>
      </c>
      <c r="O122" s="7"/>
      <c r="P122" s="5">
        <v>16418.599999999999</v>
      </c>
      <c r="Q122" s="5">
        <v>-300</v>
      </c>
      <c r="R122" s="5">
        <v>16118.6</v>
      </c>
      <c r="S122" s="5">
        <v>120000</v>
      </c>
      <c r="T122" s="5">
        <v>6180</v>
      </c>
      <c r="U122" s="7">
        <v>5.1499999999999997E-2</v>
      </c>
      <c r="V122" s="7">
        <v>0</v>
      </c>
      <c r="W122" s="5">
        <v>161.18600000000001</v>
      </c>
      <c r="X122" s="5">
        <v>4</v>
      </c>
      <c r="Y122" s="7">
        <v>0</v>
      </c>
      <c r="Z122" s="5">
        <v>1000</v>
      </c>
      <c r="AA122" s="5">
        <v>0</v>
      </c>
    </row>
    <row r="123" spans="1:27" ht="15" hidden="1" customHeight="1" x14ac:dyDescent="0.45">
      <c r="A123" s="3">
        <v>46113</v>
      </c>
      <c r="B123" s="4" t="s">
        <v>76</v>
      </c>
      <c r="C123" s="4" t="s">
        <v>59</v>
      </c>
      <c r="D123" s="4" t="s">
        <v>60</v>
      </c>
      <c r="E123" s="4" t="s">
        <v>29</v>
      </c>
      <c r="F123" s="5">
        <f t="shared" si="7"/>
        <v>30182.675999999999</v>
      </c>
      <c r="G123" s="5">
        <v>2000</v>
      </c>
      <c r="H123" s="5">
        <v>28182.675999999999</v>
      </c>
      <c r="I123" s="5">
        <v>290000</v>
      </c>
      <c r="J123" s="5"/>
      <c r="K123" s="5">
        <v>625488.4</v>
      </c>
      <c r="L123" s="5">
        <v>-62900</v>
      </c>
      <c r="M123" s="5"/>
      <c r="N123" s="5">
        <v>562588.4</v>
      </c>
      <c r="O123" s="7"/>
      <c r="P123" s="5">
        <v>5325.6</v>
      </c>
      <c r="Q123" s="5">
        <v>0</v>
      </c>
      <c r="R123" s="5">
        <v>5325.6</v>
      </c>
      <c r="S123" s="5">
        <v>36000</v>
      </c>
      <c r="T123" s="5">
        <v>49780</v>
      </c>
      <c r="U123" s="7">
        <v>1.3827777777777801</v>
      </c>
      <c r="V123" s="7">
        <v>0.05</v>
      </c>
      <c r="W123" s="5">
        <v>28182.675999999999</v>
      </c>
      <c r="X123" s="5">
        <v>70</v>
      </c>
      <c r="Y123" s="7">
        <v>1</v>
      </c>
      <c r="Z123" s="5">
        <v>2000</v>
      </c>
      <c r="AA123" s="5">
        <v>2000</v>
      </c>
    </row>
    <row r="124" spans="1:27" ht="15" hidden="1" customHeight="1" x14ac:dyDescent="0.45">
      <c r="A124" s="3">
        <v>46113</v>
      </c>
      <c r="B124" s="4" t="s">
        <v>62</v>
      </c>
      <c r="C124" s="4" t="s">
        <v>59</v>
      </c>
      <c r="D124" s="4" t="s">
        <v>60</v>
      </c>
      <c r="E124" s="4" t="s">
        <v>29</v>
      </c>
      <c r="F124" s="5">
        <f t="shared" si="7"/>
        <v>37519.728999999999</v>
      </c>
      <c r="G124" s="5">
        <v>0</v>
      </c>
      <c r="H124" s="5">
        <v>37519.728999999999</v>
      </c>
      <c r="I124" s="5">
        <v>700000</v>
      </c>
      <c r="J124" s="5"/>
      <c r="K124" s="5">
        <v>1166271.05</v>
      </c>
      <c r="L124" s="5">
        <v>-229077.4</v>
      </c>
      <c r="M124" s="5"/>
      <c r="N124" s="5">
        <v>937193.65</v>
      </c>
      <c r="O124" s="7"/>
      <c r="P124" s="5">
        <v>3198.3</v>
      </c>
      <c r="Q124" s="5">
        <v>0</v>
      </c>
      <c r="R124" s="5">
        <v>3198.3</v>
      </c>
      <c r="S124" s="5">
        <v>120000</v>
      </c>
      <c r="T124" s="5">
        <v>0</v>
      </c>
      <c r="U124" s="7">
        <v>0</v>
      </c>
      <c r="V124" s="7">
        <v>0.04</v>
      </c>
      <c r="W124" s="5">
        <v>37519.728999999999</v>
      </c>
      <c r="X124" s="5">
        <v>50</v>
      </c>
      <c r="Y124" s="7">
        <v>0</v>
      </c>
      <c r="Z124" s="5">
        <v>2000</v>
      </c>
      <c r="AA124" s="5">
        <v>0</v>
      </c>
    </row>
    <row r="125" spans="1:27" ht="15" hidden="1" customHeight="1" x14ac:dyDescent="0.45">
      <c r="A125" s="3">
        <v>46113</v>
      </c>
      <c r="B125" s="4" t="s">
        <v>77</v>
      </c>
      <c r="C125" s="4" t="s">
        <v>59</v>
      </c>
      <c r="D125" s="4" t="s">
        <v>60</v>
      </c>
      <c r="E125" s="4" t="s">
        <v>29</v>
      </c>
      <c r="F125" s="5">
        <f t="shared" si="7"/>
        <v>36981.284</v>
      </c>
      <c r="G125" s="5">
        <v>1200</v>
      </c>
      <c r="H125" s="5">
        <v>35781.284</v>
      </c>
      <c r="I125" s="5">
        <v>700000</v>
      </c>
      <c r="J125" s="5"/>
      <c r="K125" s="5">
        <v>1051226.8999999999</v>
      </c>
      <c r="L125" s="5">
        <v>-156694.79999999999</v>
      </c>
      <c r="M125" s="5"/>
      <c r="N125" s="5">
        <v>894532.1</v>
      </c>
      <c r="O125" s="7"/>
      <c r="P125" s="5">
        <v>0</v>
      </c>
      <c r="Q125" s="5">
        <v>0</v>
      </c>
      <c r="R125" s="5">
        <v>0</v>
      </c>
      <c r="S125" s="5">
        <v>120000</v>
      </c>
      <c r="T125" s="5">
        <v>331976.90000000002</v>
      </c>
      <c r="U125" s="7">
        <v>2.7664741666666699</v>
      </c>
      <c r="V125" s="7">
        <v>0.04</v>
      </c>
      <c r="W125" s="5">
        <v>35781.284</v>
      </c>
      <c r="X125" s="5">
        <v>70</v>
      </c>
      <c r="Y125" s="7">
        <v>0.6</v>
      </c>
      <c r="Z125" s="5">
        <v>2000</v>
      </c>
      <c r="AA125" s="5">
        <v>1200</v>
      </c>
    </row>
    <row r="126" spans="1:27" ht="15" hidden="1" customHeight="1" x14ac:dyDescent="0.45">
      <c r="A126" s="3">
        <v>46113</v>
      </c>
      <c r="B126" s="4" t="s">
        <v>70</v>
      </c>
      <c r="C126" s="4" t="s">
        <v>59</v>
      </c>
      <c r="D126" s="4" t="s">
        <v>60</v>
      </c>
      <c r="E126" s="4" t="s">
        <v>29</v>
      </c>
      <c r="F126" s="5">
        <f t="shared" si="7"/>
        <v>53010.756500000003</v>
      </c>
      <c r="G126" s="5">
        <v>0</v>
      </c>
      <c r="H126" s="5">
        <v>53010.756500000003</v>
      </c>
      <c r="I126" s="5">
        <v>698000</v>
      </c>
      <c r="J126" s="5"/>
      <c r="K126" s="5">
        <v>1139457.1499999999</v>
      </c>
      <c r="L126" s="5">
        <v>-79907.3</v>
      </c>
      <c r="M126" s="5"/>
      <c r="N126" s="5">
        <v>1059549.8500000001</v>
      </c>
      <c r="O126" s="7"/>
      <c r="P126" s="5">
        <v>3326.4</v>
      </c>
      <c r="Q126" s="5">
        <v>0</v>
      </c>
      <c r="R126" s="5">
        <v>3326.4</v>
      </c>
      <c r="S126" s="5">
        <v>60000</v>
      </c>
      <c r="T126" s="5">
        <v>0</v>
      </c>
      <c r="U126" s="7">
        <v>0</v>
      </c>
      <c r="V126" s="7">
        <v>0.05</v>
      </c>
      <c r="W126" s="5">
        <v>53010.756500000003</v>
      </c>
      <c r="X126" s="5">
        <v>20</v>
      </c>
      <c r="Y126" s="7">
        <v>0</v>
      </c>
      <c r="Z126" s="5">
        <v>2000</v>
      </c>
      <c r="AA126" s="5">
        <v>0</v>
      </c>
    </row>
    <row r="127" spans="1:27" ht="15" hidden="1" customHeight="1" x14ac:dyDescent="0.45">
      <c r="A127" s="3">
        <v>46113</v>
      </c>
      <c r="B127" s="4" t="s">
        <v>78</v>
      </c>
      <c r="C127" s="4" t="s">
        <v>59</v>
      </c>
      <c r="D127" s="4" t="s">
        <v>60</v>
      </c>
      <c r="E127" s="4" t="s">
        <v>29</v>
      </c>
      <c r="F127" s="5">
        <f t="shared" si="7"/>
        <v>24756.022000000001</v>
      </c>
      <c r="G127" s="5">
        <v>2000</v>
      </c>
      <c r="H127" s="5">
        <v>22756.022000000001</v>
      </c>
      <c r="I127" s="5">
        <v>290000</v>
      </c>
      <c r="J127" s="5"/>
      <c r="K127" s="5">
        <v>573918.19999999995</v>
      </c>
      <c r="L127" s="5">
        <v>-120592</v>
      </c>
      <c r="M127" s="5"/>
      <c r="N127" s="5">
        <v>453326.2</v>
      </c>
      <c r="O127" s="7"/>
      <c r="P127" s="5">
        <v>8971.2000000000007</v>
      </c>
      <c r="Q127" s="5">
        <v>0</v>
      </c>
      <c r="R127" s="5">
        <v>8971.2000000000007</v>
      </c>
      <c r="S127" s="5">
        <v>36000</v>
      </c>
      <c r="T127" s="5">
        <v>18100</v>
      </c>
      <c r="U127" s="7">
        <v>0.50277777777777799</v>
      </c>
      <c r="V127" s="7">
        <v>0.05</v>
      </c>
      <c r="W127" s="5">
        <v>22756.022000000001</v>
      </c>
      <c r="X127" s="5">
        <v>0</v>
      </c>
      <c r="Y127" s="7">
        <v>1</v>
      </c>
      <c r="Z127" s="5">
        <v>2000</v>
      </c>
      <c r="AA127" s="5">
        <v>2000</v>
      </c>
    </row>
    <row r="128" spans="1:27" ht="15" hidden="1" customHeight="1" x14ac:dyDescent="0.45">
      <c r="A128" s="3">
        <v>46113</v>
      </c>
      <c r="B128" s="4" t="s">
        <v>63</v>
      </c>
      <c r="C128" s="4" t="s">
        <v>59</v>
      </c>
      <c r="D128" s="4" t="s">
        <v>60</v>
      </c>
      <c r="E128" s="4" t="s">
        <v>73</v>
      </c>
      <c r="F128" s="5">
        <f t="shared" si="7"/>
        <v>17619.315999999999</v>
      </c>
      <c r="G128" s="5">
        <v>4000</v>
      </c>
      <c r="H128" s="5">
        <v>13619.316000000001</v>
      </c>
      <c r="I128" s="5">
        <v>410000</v>
      </c>
      <c r="J128" s="5"/>
      <c r="K128" s="5">
        <v>676786.5</v>
      </c>
      <c r="L128" s="5">
        <v>-222809.3</v>
      </c>
      <c r="M128" s="5"/>
      <c r="N128" s="5">
        <v>453977.2</v>
      </c>
      <c r="O128" s="7"/>
      <c r="P128" s="5">
        <v>2631.1</v>
      </c>
      <c r="Q128" s="5">
        <v>-2871.86</v>
      </c>
      <c r="R128" s="5">
        <v>-240.76</v>
      </c>
      <c r="S128" s="5">
        <v>120000</v>
      </c>
      <c r="T128" s="5">
        <v>130726.5</v>
      </c>
      <c r="U128" s="7">
        <v>1.0893875</v>
      </c>
      <c r="V128" s="7">
        <v>0.03</v>
      </c>
      <c r="W128" s="5">
        <v>13619.316000000001</v>
      </c>
      <c r="X128" s="5">
        <v>100</v>
      </c>
      <c r="Y128" s="7">
        <v>1</v>
      </c>
      <c r="Z128" s="5">
        <v>4000</v>
      </c>
      <c r="AA128" s="5">
        <v>4000</v>
      </c>
    </row>
    <row r="129" spans="1:27" ht="15" hidden="1" customHeight="1" x14ac:dyDescent="0.45">
      <c r="A129" s="3">
        <v>46113</v>
      </c>
      <c r="B129" s="4" t="s">
        <v>74</v>
      </c>
      <c r="C129" s="4" t="s">
        <v>59</v>
      </c>
      <c r="D129" s="4" t="s">
        <v>60</v>
      </c>
      <c r="E129" s="4" t="s">
        <v>29</v>
      </c>
      <c r="F129" s="5">
        <f t="shared" si="7"/>
        <v>1456.0355999999999</v>
      </c>
      <c r="G129" s="5">
        <v>1200</v>
      </c>
      <c r="H129" s="5">
        <v>256.03559999999999</v>
      </c>
      <c r="I129" s="5">
        <v>674000</v>
      </c>
      <c r="J129" s="5"/>
      <c r="K129" s="5">
        <v>435092.7</v>
      </c>
      <c r="L129" s="5">
        <v>-95627.3</v>
      </c>
      <c r="M129" s="5"/>
      <c r="N129" s="5">
        <v>339465.4</v>
      </c>
      <c r="O129" s="7"/>
      <c r="P129" s="5">
        <v>29757</v>
      </c>
      <c r="Q129" s="5">
        <v>-4153.4399999999996</v>
      </c>
      <c r="R129" s="5">
        <v>25603.56</v>
      </c>
      <c r="S129" s="5">
        <v>60000</v>
      </c>
      <c r="T129" s="5">
        <v>57800</v>
      </c>
      <c r="U129" s="7">
        <v>0.96333333333333304</v>
      </c>
      <c r="V129" s="7">
        <v>0</v>
      </c>
      <c r="W129" s="5">
        <v>256.03559999999999</v>
      </c>
      <c r="X129" s="5">
        <v>70.1666666666667</v>
      </c>
      <c r="Y129" s="7">
        <v>0.6</v>
      </c>
      <c r="Z129" s="5">
        <v>2000</v>
      </c>
      <c r="AA129" s="5">
        <v>1200</v>
      </c>
    </row>
    <row r="130" spans="1:27" ht="15" hidden="1" customHeight="1" x14ac:dyDescent="0.45">
      <c r="A130" s="3">
        <v>46113</v>
      </c>
      <c r="B130" s="4" t="s">
        <v>66</v>
      </c>
      <c r="C130" s="4" t="s">
        <v>59</v>
      </c>
      <c r="D130" s="4" t="s">
        <v>60</v>
      </c>
      <c r="E130" s="4" t="s">
        <v>29</v>
      </c>
      <c r="F130" s="5">
        <f t="shared" si="7"/>
        <v>57001.79</v>
      </c>
      <c r="G130" s="5">
        <v>0</v>
      </c>
      <c r="H130" s="5">
        <v>57001.79</v>
      </c>
      <c r="I130" s="5">
        <v>700000</v>
      </c>
      <c r="J130" s="5"/>
      <c r="K130" s="5">
        <v>1209811.3999999999</v>
      </c>
      <c r="L130" s="5">
        <v>-69775.600000000006</v>
      </c>
      <c r="M130" s="5"/>
      <c r="N130" s="5">
        <v>1140035.8</v>
      </c>
      <c r="O130" s="7"/>
      <c r="P130" s="5">
        <v>5023.2</v>
      </c>
      <c r="Q130" s="5">
        <v>-24228.9</v>
      </c>
      <c r="R130" s="5">
        <v>-19205.7</v>
      </c>
      <c r="S130" s="5">
        <v>120000</v>
      </c>
      <c r="T130" s="5">
        <v>0</v>
      </c>
      <c r="U130" s="7">
        <v>0</v>
      </c>
      <c r="V130" s="7">
        <v>0.05</v>
      </c>
      <c r="W130" s="5">
        <v>57001.79</v>
      </c>
      <c r="X130" s="5">
        <v>20</v>
      </c>
      <c r="Y130" s="7">
        <v>0</v>
      </c>
      <c r="Z130" s="5">
        <v>2000</v>
      </c>
      <c r="AA130" s="5">
        <v>0</v>
      </c>
    </row>
    <row r="131" spans="1:27" ht="15" hidden="1" customHeight="1" x14ac:dyDescent="0.45">
      <c r="A131" s="3">
        <v>46113</v>
      </c>
      <c r="B131" s="4" t="s">
        <v>67</v>
      </c>
      <c r="C131" s="4" t="s">
        <v>59</v>
      </c>
      <c r="D131" s="4" t="s">
        <v>60</v>
      </c>
      <c r="E131" s="4" t="s">
        <v>68</v>
      </c>
      <c r="F131" s="5">
        <f t="shared" ref="F131:F162" si="9">G131+H131</f>
        <v>34094.639999999999</v>
      </c>
      <c r="G131" s="5">
        <v>0</v>
      </c>
      <c r="H131" s="5">
        <v>34094.639999999999</v>
      </c>
      <c r="I131" s="5">
        <v>700000</v>
      </c>
      <c r="J131" s="5"/>
      <c r="K131" s="5">
        <v>1025008.3</v>
      </c>
      <c r="L131" s="5">
        <v>-175720.9</v>
      </c>
      <c r="M131" s="5"/>
      <c r="N131" s="5">
        <v>849287.4</v>
      </c>
      <c r="O131" s="7"/>
      <c r="P131" s="5">
        <v>12314.4</v>
      </c>
      <c r="Q131" s="5">
        <v>0</v>
      </c>
      <c r="R131" s="5">
        <v>12314.4</v>
      </c>
      <c r="S131" s="5">
        <v>120000</v>
      </c>
      <c r="T131" s="5">
        <v>0</v>
      </c>
      <c r="U131" s="7">
        <v>0</v>
      </c>
      <c r="V131" s="7">
        <v>0.04</v>
      </c>
      <c r="W131" s="5">
        <v>34094.639999999999</v>
      </c>
      <c r="X131" s="5">
        <v>20</v>
      </c>
      <c r="Y131" s="7">
        <v>0</v>
      </c>
      <c r="Z131" s="5">
        <v>1000</v>
      </c>
      <c r="AA131" s="5">
        <v>0</v>
      </c>
    </row>
    <row r="132" spans="1:27" ht="15" hidden="1" customHeight="1" x14ac:dyDescent="0.45">
      <c r="A132" s="3">
        <v>46113</v>
      </c>
      <c r="B132" s="4" t="s">
        <v>65</v>
      </c>
      <c r="C132" s="4" t="s">
        <v>59</v>
      </c>
      <c r="D132" s="4" t="s">
        <v>60</v>
      </c>
      <c r="E132" s="4" t="s">
        <v>29</v>
      </c>
      <c r="F132" s="5">
        <f t="shared" si="9"/>
        <v>0</v>
      </c>
      <c r="G132" s="5">
        <v>0</v>
      </c>
      <c r="H132" s="5">
        <v>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>
        <v>0</v>
      </c>
      <c r="T132" s="5">
        <v>0</v>
      </c>
      <c r="U132" s="7">
        <v>0</v>
      </c>
      <c r="V132" s="4"/>
      <c r="W132" s="4"/>
      <c r="X132" s="4"/>
      <c r="Y132" s="4"/>
      <c r="Z132" s="4"/>
      <c r="AA132" s="4"/>
    </row>
    <row r="133" spans="1:27" ht="15" customHeight="1" x14ac:dyDescent="0.45">
      <c r="A133" s="3">
        <v>46143</v>
      </c>
      <c r="B133" s="4" t="s">
        <v>58</v>
      </c>
      <c r="C133" s="4" t="s">
        <v>59</v>
      </c>
      <c r="D133" s="4" t="s">
        <v>60</v>
      </c>
      <c r="E133" s="4" t="s">
        <v>29</v>
      </c>
      <c r="F133" s="5">
        <f t="shared" si="9"/>
        <v>24741.308000000001</v>
      </c>
      <c r="G133" s="5">
        <v>0</v>
      </c>
      <c r="H133" s="5">
        <f>W133</f>
        <v>24741.308000000001</v>
      </c>
      <c r="I133" s="5">
        <v>808000</v>
      </c>
      <c r="J133" s="5"/>
      <c r="K133" s="5">
        <v>846519.6</v>
      </c>
      <c r="L133" s="5">
        <v>-22215.9</v>
      </c>
      <c r="M133" s="5"/>
      <c r="N133" s="5">
        <f>M133+L133+K133</f>
        <v>824303.7</v>
      </c>
      <c r="O133" s="7"/>
      <c r="P133" s="5">
        <v>1219.7</v>
      </c>
      <c r="Q133" s="5">
        <v>0</v>
      </c>
      <c r="R133" s="5">
        <f>P133+Q133</f>
        <v>1219.7</v>
      </c>
      <c r="S133" s="5">
        <v>92000</v>
      </c>
      <c r="T133" s="5">
        <v>91800</v>
      </c>
      <c r="U133" s="7">
        <f>T133/S133</f>
        <v>0.99782608695652175</v>
      </c>
      <c r="V133" s="7">
        <v>0.03</v>
      </c>
      <c r="W133" s="5">
        <v>24741.308000000001</v>
      </c>
      <c r="X133" s="5">
        <v>99.891304347826093</v>
      </c>
      <c r="Y133" s="7">
        <v>1</v>
      </c>
      <c r="Z133" s="5">
        <v>2000</v>
      </c>
      <c r="AA133" s="5">
        <v>2000</v>
      </c>
    </row>
    <row r="134" spans="1:27" ht="15" customHeight="1" x14ac:dyDescent="0.45">
      <c r="A134" s="3">
        <v>46143</v>
      </c>
      <c r="B134" s="4" t="s">
        <v>63</v>
      </c>
      <c r="C134" s="4" t="s">
        <v>59</v>
      </c>
      <c r="D134" s="4" t="s">
        <v>60</v>
      </c>
      <c r="E134" s="4" t="s">
        <v>73</v>
      </c>
      <c r="F134" s="5">
        <f t="shared" si="9"/>
        <v>20314.576099999998</v>
      </c>
      <c r="G134" s="5">
        <v>3600</v>
      </c>
      <c r="H134" s="5">
        <v>16714.576099999998</v>
      </c>
      <c r="I134" s="5">
        <v>407000</v>
      </c>
      <c r="J134" s="4"/>
      <c r="K134" s="5">
        <v>654484.55000000005</v>
      </c>
      <c r="L134" s="5">
        <v>-99205.85</v>
      </c>
      <c r="M134" s="5">
        <v>0</v>
      </c>
      <c r="N134" s="5">
        <v>555278.69999999995</v>
      </c>
      <c r="O134" s="7"/>
      <c r="P134" s="5">
        <v>15243.8</v>
      </c>
      <c r="Q134" s="5">
        <v>-9622.2900000000009</v>
      </c>
      <c r="R134" s="5">
        <v>5621.51</v>
      </c>
      <c r="S134" s="5">
        <v>92000</v>
      </c>
      <c r="T134" s="5">
        <v>93080</v>
      </c>
      <c r="U134" s="7">
        <v>1.01173913043478</v>
      </c>
      <c r="V134" s="7">
        <v>0.03</v>
      </c>
      <c r="W134" s="5">
        <v>16714.576099999998</v>
      </c>
      <c r="X134" s="5">
        <v>85</v>
      </c>
      <c r="Y134" s="7">
        <v>0.9</v>
      </c>
      <c r="Z134" s="5">
        <v>4000</v>
      </c>
      <c r="AA134" s="5">
        <v>3600</v>
      </c>
    </row>
    <row r="135" spans="1:27" ht="15" customHeight="1" x14ac:dyDescent="0.45">
      <c r="A135" s="3">
        <v>46143</v>
      </c>
      <c r="B135" s="4" t="s">
        <v>64</v>
      </c>
      <c r="C135" s="4" t="s">
        <v>59</v>
      </c>
      <c r="D135" s="4" t="s">
        <v>60</v>
      </c>
      <c r="E135" s="4" t="s">
        <v>29</v>
      </c>
      <c r="F135" s="5">
        <f t="shared" si="9"/>
        <v>4212</v>
      </c>
      <c r="G135" s="5">
        <v>0</v>
      </c>
      <c r="H135" s="5">
        <v>4212</v>
      </c>
      <c r="I135" s="5">
        <v>745000</v>
      </c>
      <c r="J135" s="4"/>
      <c r="K135" s="5">
        <v>612078</v>
      </c>
      <c r="L135" s="5">
        <v>-85578</v>
      </c>
      <c r="M135" s="5">
        <v>0</v>
      </c>
      <c r="N135" s="5">
        <v>526500</v>
      </c>
      <c r="O135" s="7"/>
      <c r="P135" s="5">
        <v>0</v>
      </c>
      <c r="Q135" s="5">
        <v>0</v>
      </c>
      <c r="R135" s="5">
        <v>0</v>
      </c>
      <c r="S135" s="5">
        <v>92000</v>
      </c>
      <c r="T135" s="5">
        <v>0</v>
      </c>
      <c r="U135" s="7">
        <v>0</v>
      </c>
      <c r="V135" s="7">
        <v>8.0000000000000002E-3</v>
      </c>
      <c r="W135" s="5">
        <v>4212</v>
      </c>
      <c r="X135" s="5">
        <v>28</v>
      </c>
      <c r="Y135" s="7">
        <v>0</v>
      </c>
      <c r="Z135" s="5">
        <v>2000</v>
      </c>
      <c r="AA135" s="5">
        <v>0</v>
      </c>
    </row>
    <row r="136" spans="1:27" ht="15" customHeight="1" x14ac:dyDescent="0.45">
      <c r="A136" s="3">
        <v>46143</v>
      </c>
      <c r="B136" s="4" t="s">
        <v>69</v>
      </c>
      <c r="C136" s="4" t="s">
        <v>59</v>
      </c>
      <c r="D136" s="4" t="s">
        <v>60</v>
      </c>
      <c r="E136" s="4" t="s">
        <v>29</v>
      </c>
      <c r="F136" s="5">
        <f t="shared" si="9"/>
        <v>25370.536</v>
      </c>
      <c r="G136" s="5">
        <v>760</v>
      </c>
      <c r="H136" s="5">
        <v>24610.536</v>
      </c>
      <c r="I136" s="5">
        <v>785000</v>
      </c>
      <c r="J136" s="4"/>
      <c r="K136" s="5">
        <v>857796</v>
      </c>
      <c r="L136" s="5">
        <v>-37806</v>
      </c>
      <c r="M136" s="5">
        <v>0</v>
      </c>
      <c r="N136" s="5">
        <v>819990</v>
      </c>
      <c r="O136" s="7"/>
      <c r="P136" s="5">
        <v>36950.800000000003</v>
      </c>
      <c r="Q136" s="5">
        <v>-35867.199999999997</v>
      </c>
      <c r="R136" s="5">
        <v>1083.6000000000099</v>
      </c>
      <c r="S136" s="5">
        <v>92000</v>
      </c>
      <c r="T136" s="5">
        <v>141646</v>
      </c>
      <c r="U136" s="7">
        <v>1.53963043478261</v>
      </c>
      <c r="V136" s="7">
        <v>0.03</v>
      </c>
      <c r="W136" s="5">
        <v>24610.536</v>
      </c>
      <c r="X136" s="5">
        <v>78</v>
      </c>
      <c r="Y136" s="7">
        <v>0.76</v>
      </c>
      <c r="Z136" s="5">
        <v>1000</v>
      </c>
      <c r="AA136" s="5">
        <v>760</v>
      </c>
    </row>
    <row r="137" spans="1:27" ht="15" customHeight="1" x14ac:dyDescent="0.45">
      <c r="A137" s="3">
        <v>46143</v>
      </c>
      <c r="B137" s="4" t="s">
        <v>76</v>
      </c>
      <c r="C137" s="4" t="s">
        <v>59</v>
      </c>
      <c r="D137" s="4" t="s">
        <v>60</v>
      </c>
      <c r="E137" s="4" t="s">
        <v>29</v>
      </c>
      <c r="F137" s="5">
        <f t="shared" si="9"/>
        <v>55201.544999999998</v>
      </c>
      <c r="G137" s="5">
        <v>2000</v>
      </c>
      <c r="H137" s="5">
        <v>53201.544999999998</v>
      </c>
      <c r="I137" s="5">
        <v>504000</v>
      </c>
      <c r="J137" s="4"/>
      <c r="K137" s="5">
        <v>1228271.3</v>
      </c>
      <c r="L137" s="5">
        <v>-166903.20000000001</v>
      </c>
      <c r="M137" s="5">
        <v>0</v>
      </c>
      <c r="N137" s="5">
        <v>1061368.1000000001</v>
      </c>
      <c r="O137" s="7"/>
      <c r="P137" s="5">
        <v>20669.3</v>
      </c>
      <c r="Q137" s="5">
        <v>-7355.3</v>
      </c>
      <c r="R137" s="5">
        <v>13314</v>
      </c>
      <c r="S137" s="5">
        <v>46000</v>
      </c>
      <c r="T137" s="5">
        <v>121200</v>
      </c>
      <c r="U137" s="7">
        <v>2.6347826086956498</v>
      </c>
      <c r="V137" s="7">
        <v>0.05</v>
      </c>
      <c r="W137" s="5">
        <v>53201.544999999998</v>
      </c>
      <c r="X137" s="5">
        <v>100</v>
      </c>
      <c r="Y137" s="7">
        <v>1</v>
      </c>
      <c r="Z137" s="5">
        <v>2000</v>
      </c>
      <c r="AA137" s="5">
        <v>2000</v>
      </c>
    </row>
    <row r="138" spans="1:27" ht="15" customHeight="1" x14ac:dyDescent="0.45">
      <c r="A138" s="3">
        <v>46143</v>
      </c>
      <c r="B138" s="4" t="s">
        <v>62</v>
      </c>
      <c r="C138" s="4" t="s">
        <v>59</v>
      </c>
      <c r="D138" s="4" t="s">
        <v>60</v>
      </c>
      <c r="E138" s="4" t="s">
        <v>29</v>
      </c>
      <c r="F138" s="5">
        <f t="shared" si="9"/>
        <v>41269.21</v>
      </c>
      <c r="G138" s="5">
        <v>2000</v>
      </c>
      <c r="H138" s="5">
        <v>39269.21</v>
      </c>
      <c r="I138" s="5">
        <v>745000</v>
      </c>
      <c r="J138" s="4"/>
      <c r="K138" s="5">
        <v>1019465.65</v>
      </c>
      <c r="L138" s="5">
        <v>-40004</v>
      </c>
      <c r="M138" s="5">
        <v>0</v>
      </c>
      <c r="N138" s="5">
        <v>979461.65</v>
      </c>
      <c r="O138" s="7"/>
      <c r="P138" s="5">
        <v>11927.1</v>
      </c>
      <c r="Q138" s="5">
        <v>-2852.7</v>
      </c>
      <c r="R138" s="5">
        <v>9074.4</v>
      </c>
      <c r="S138" s="5">
        <v>92000</v>
      </c>
      <c r="T138" s="5">
        <v>195650</v>
      </c>
      <c r="U138" s="7">
        <v>2.1266304347826099</v>
      </c>
      <c r="V138" s="7">
        <v>0.04</v>
      </c>
      <c r="W138" s="5">
        <v>39269.21</v>
      </c>
      <c r="X138" s="5">
        <v>100</v>
      </c>
      <c r="Y138" s="7">
        <v>1</v>
      </c>
      <c r="Z138" s="5">
        <v>2000</v>
      </c>
      <c r="AA138" s="5">
        <v>2000</v>
      </c>
    </row>
    <row r="139" spans="1:27" ht="15" customHeight="1" x14ac:dyDescent="0.45">
      <c r="A139" s="3">
        <v>46143</v>
      </c>
      <c r="B139" s="4" t="s">
        <v>77</v>
      </c>
      <c r="C139" s="4" t="s">
        <v>59</v>
      </c>
      <c r="D139" s="4" t="s">
        <v>60</v>
      </c>
      <c r="E139" s="4" t="s">
        <v>29</v>
      </c>
      <c r="F139" s="5">
        <f t="shared" si="9"/>
        <v>63177.256999999998</v>
      </c>
      <c r="G139" s="5">
        <v>0</v>
      </c>
      <c r="H139" s="5">
        <v>63177.256999999998</v>
      </c>
      <c r="I139" s="5">
        <v>745000</v>
      </c>
      <c r="J139" s="4"/>
      <c r="K139" s="5">
        <v>1395920.9</v>
      </c>
      <c r="L139" s="5">
        <v>-138271.6</v>
      </c>
      <c r="M139" s="5">
        <v>0</v>
      </c>
      <c r="N139" s="5">
        <v>1257649.3</v>
      </c>
      <c r="O139" s="7"/>
      <c r="P139" s="5">
        <v>29479.200000000001</v>
      </c>
      <c r="Q139" s="5">
        <v>0</v>
      </c>
      <c r="R139" s="5">
        <v>29479.200000000001</v>
      </c>
      <c r="S139" s="5">
        <v>92000</v>
      </c>
      <c r="T139" s="5">
        <v>61300</v>
      </c>
      <c r="U139" s="7">
        <v>0.66630434782608705</v>
      </c>
      <c r="V139" s="7">
        <v>0.05</v>
      </c>
      <c r="W139" s="5">
        <v>63177.256999999998</v>
      </c>
      <c r="X139" s="5">
        <v>30</v>
      </c>
      <c r="Y139" s="7">
        <v>0</v>
      </c>
      <c r="Z139" s="5">
        <v>2000</v>
      </c>
      <c r="AA139" s="5">
        <v>0</v>
      </c>
    </row>
    <row r="140" spans="1:27" ht="15" customHeight="1" x14ac:dyDescent="0.45">
      <c r="A140" s="3">
        <v>46143</v>
      </c>
      <c r="B140" s="4" t="s">
        <v>70</v>
      </c>
      <c r="C140" s="4" t="s">
        <v>59</v>
      </c>
      <c r="D140" s="4" t="s">
        <v>60</v>
      </c>
      <c r="E140" s="4" t="s">
        <v>29</v>
      </c>
      <c r="F140" s="5">
        <f t="shared" si="9"/>
        <v>10678.0406</v>
      </c>
      <c r="G140" s="5">
        <v>0</v>
      </c>
      <c r="H140" s="5">
        <v>10678.0406</v>
      </c>
      <c r="I140" s="5">
        <v>722000</v>
      </c>
      <c r="J140" s="4"/>
      <c r="K140" s="5">
        <v>923847</v>
      </c>
      <c r="L140" s="5">
        <v>-335994.3</v>
      </c>
      <c r="M140" s="5">
        <v>0</v>
      </c>
      <c r="N140" s="5">
        <v>587852.69999999995</v>
      </c>
      <c r="O140" s="7"/>
      <c r="P140" s="5">
        <v>9769.2000000000007</v>
      </c>
      <c r="Q140" s="5">
        <v>-100</v>
      </c>
      <c r="R140" s="5">
        <v>9669.2000000000007</v>
      </c>
      <c r="S140" s="5">
        <v>46000</v>
      </c>
      <c r="T140" s="5">
        <v>27110</v>
      </c>
      <c r="U140" s="7">
        <v>0.58934782608695702</v>
      </c>
      <c r="V140" s="7">
        <v>1.7999999999999999E-2</v>
      </c>
      <c r="W140" s="5">
        <v>10678.0406</v>
      </c>
      <c r="X140" s="5">
        <v>50</v>
      </c>
      <c r="Y140" s="7">
        <v>0</v>
      </c>
      <c r="Z140" s="5">
        <v>2000</v>
      </c>
      <c r="AA140" s="5">
        <v>0</v>
      </c>
    </row>
    <row r="141" spans="1:27" ht="15" customHeight="1" x14ac:dyDescent="0.45">
      <c r="A141" s="3">
        <v>46143</v>
      </c>
      <c r="B141" s="4" t="s">
        <v>78</v>
      </c>
      <c r="C141" s="4" t="s">
        <v>59</v>
      </c>
      <c r="D141" s="4" t="s">
        <v>60</v>
      </c>
      <c r="E141" s="4" t="s">
        <v>29</v>
      </c>
      <c r="F141" s="5">
        <f t="shared" si="9"/>
        <v>9886.1131999999998</v>
      </c>
      <c r="G141" s="5">
        <v>2000</v>
      </c>
      <c r="H141" s="5">
        <v>7886.1131999999998</v>
      </c>
      <c r="I141" s="5">
        <v>504000</v>
      </c>
      <c r="J141" s="4"/>
      <c r="K141" s="5">
        <v>536750</v>
      </c>
      <c r="L141" s="5">
        <v>-98632.6</v>
      </c>
      <c r="M141" s="5">
        <v>0</v>
      </c>
      <c r="N141" s="5">
        <v>438117.4</v>
      </c>
      <c r="O141" s="7"/>
      <c r="P141" s="5">
        <v>0</v>
      </c>
      <c r="Q141" s="5">
        <v>0</v>
      </c>
      <c r="R141" s="5">
        <v>0</v>
      </c>
      <c r="S141" s="5">
        <v>46000</v>
      </c>
      <c r="T141" s="5">
        <v>0</v>
      </c>
      <c r="U141" s="7">
        <v>0</v>
      </c>
      <c r="V141" s="7">
        <v>1.7999999999999999E-2</v>
      </c>
      <c r="W141" s="5">
        <v>7886.1131999999998</v>
      </c>
      <c r="X141" s="5">
        <v>100</v>
      </c>
      <c r="Y141" s="7">
        <v>1</v>
      </c>
      <c r="Z141" s="5">
        <v>2000</v>
      </c>
      <c r="AA141" s="5">
        <v>2000</v>
      </c>
    </row>
    <row r="142" spans="1:27" ht="15" customHeight="1" x14ac:dyDescent="0.45">
      <c r="A142" s="3">
        <v>46143</v>
      </c>
      <c r="B142" s="4" t="s">
        <v>74</v>
      </c>
      <c r="C142" s="4" t="s">
        <v>59</v>
      </c>
      <c r="D142" s="4" t="s">
        <v>60</v>
      </c>
      <c r="E142" s="4" t="s">
        <v>29</v>
      </c>
      <c r="F142" s="5">
        <f t="shared" si="9"/>
        <v>134.702</v>
      </c>
      <c r="G142" s="5">
        <v>0</v>
      </c>
      <c r="H142" s="5">
        <v>134.702</v>
      </c>
      <c r="I142" s="5">
        <v>750500</v>
      </c>
      <c r="J142" s="4"/>
      <c r="K142" s="5">
        <v>169587.1</v>
      </c>
      <c r="L142" s="5">
        <v>0</v>
      </c>
      <c r="M142" s="5">
        <v>0</v>
      </c>
      <c r="N142" s="5">
        <v>169587.1</v>
      </c>
      <c r="O142" s="7"/>
      <c r="P142" s="5">
        <v>13570.2</v>
      </c>
      <c r="Q142" s="5">
        <v>-100</v>
      </c>
      <c r="R142" s="5">
        <v>13470.2</v>
      </c>
      <c r="S142" s="5">
        <v>46000</v>
      </c>
      <c r="T142" s="5">
        <v>0</v>
      </c>
      <c r="U142" s="7">
        <v>0</v>
      </c>
      <c r="V142" s="7">
        <v>0</v>
      </c>
      <c r="W142" s="5">
        <v>134.702</v>
      </c>
      <c r="X142" s="5">
        <v>40</v>
      </c>
      <c r="Y142" s="7">
        <v>0.6</v>
      </c>
      <c r="Z142" s="5">
        <v>2000</v>
      </c>
      <c r="AA142" s="5">
        <v>0</v>
      </c>
    </row>
    <row r="143" spans="1:27" ht="15" customHeight="1" x14ac:dyDescent="0.45">
      <c r="A143" s="3">
        <v>46143</v>
      </c>
      <c r="B143" s="4" t="s">
        <v>66</v>
      </c>
      <c r="C143" s="4" t="s">
        <v>59</v>
      </c>
      <c r="D143" s="4" t="s">
        <v>60</v>
      </c>
      <c r="E143" s="4" t="s">
        <v>29</v>
      </c>
      <c r="F143" s="5">
        <f t="shared" si="9"/>
        <v>23.96</v>
      </c>
      <c r="G143" s="5">
        <v>0</v>
      </c>
      <c r="H143" s="5">
        <v>23.96</v>
      </c>
      <c r="I143" s="5">
        <v>745000</v>
      </c>
      <c r="J143" s="4"/>
      <c r="K143" s="5">
        <v>410084.8</v>
      </c>
      <c r="L143" s="5">
        <v>-284474</v>
      </c>
      <c r="M143" s="5">
        <v>0</v>
      </c>
      <c r="N143" s="5">
        <v>125610.8</v>
      </c>
      <c r="O143" s="7"/>
      <c r="P143" s="5">
        <v>2396</v>
      </c>
      <c r="Q143" s="5">
        <v>0</v>
      </c>
      <c r="R143" s="5">
        <v>2396</v>
      </c>
      <c r="S143" s="5">
        <v>92000</v>
      </c>
      <c r="T143" s="5">
        <v>47550</v>
      </c>
      <c r="U143" s="7">
        <v>0.51684782608695701</v>
      </c>
      <c r="V143" s="7">
        <v>0</v>
      </c>
      <c r="W143" s="5">
        <v>23.96</v>
      </c>
      <c r="X143" s="5">
        <v>34</v>
      </c>
      <c r="Y143" s="7">
        <v>0</v>
      </c>
      <c r="Z143" s="5">
        <v>2000</v>
      </c>
      <c r="AA143" s="5">
        <v>0</v>
      </c>
    </row>
    <row r="144" spans="1:27" ht="15" customHeight="1" x14ac:dyDescent="0.45">
      <c r="A144" s="3">
        <v>46143</v>
      </c>
      <c r="B144" s="4" t="s">
        <v>67</v>
      </c>
      <c r="C144" s="4" t="s">
        <v>59</v>
      </c>
      <c r="D144" s="4" t="s">
        <v>60</v>
      </c>
      <c r="E144" s="4" t="s">
        <v>68</v>
      </c>
      <c r="F144" s="5">
        <f t="shared" si="9"/>
        <v>23543.784</v>
      </c>
      <c r="G144" s="5">
        <v>0</v>
      </c>
      <c r="H144" s="5">
        <v>23543.784</v>
      </c>
      <c r="I144" s="5">
        <v>745000</v>
      </c>
      <c r="J144" s="4"/>
      <c r="K144" s="5">
        <v>978120.2</v>
      </c>
      <c r="L144" s="5">
        <v>-196820.2</v>
      </c>
      <c r="M144" s="5">
        <v>0</v>
      </c>
      <c r="N144" s="5">
        <v>781300</v>
      </c>
      <c r="O144" s="7"/>
      <c r="P144" s="5">
        <v>10478.4</v>
      </c>
      <c r="Q144" s="5">
        <v>0</v>
      </c>
      <c r="R144" s="5">
        <v>10478.4</v>
      </c>
      <c r="S144" s="5">
        <v>92000</v>
      </c>
      <c r="T144" s="5">
        <v>24900</v>
      </c>
      <c r="U144" s="7">
        <v>0.27065217391304303</v>
      </c>
      <c r="V144" s="7">
        <v>0.03</v>
      </c>
      <c r="W144" s="5">
        <v>23543.784</v>
      </c>
      <c r="X144" s="5">
        <v>30</v>
      </c>
      <c r="Y144" s="7">
        <v>0</v>
      </c>
      <c r="Z144" s="5">
        <v>1000</v>
      </c>
      <c r="AA144" s="5">
        <v>0</v>
      </c>
    </row>
    <row r="145" spans="1:27" ht="15" customHeight="1" x14ac:dyDescent="0.45">
      <c r="A145" s="3">
        <v>46143</v>
      </c>
      <c r="B145" s="4" t="s">
        <v>65</v>
      </c>
      <c r="C145" s="4" t="s">
        <v>59</v>
      </c>
      <c r="D145" s="4" t="s">
        <v>60</v>
      </c>
      <c r="E145" s="4" t="s">
        <v>29</v>
      </c>
      <c r="F145" s="5">
        <f t="shared" si="9"/>
        <v>0</v>
      </c>
      <c r="G145" s="5">
        <v>0</v>
      </c>
      <c r="H145" s="5">
        <v>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5">
        <v>0</v>
      </c>
      <c r="T145" s="5">
        <v>0</v>
      </c>
      <c r="U145" s="7">
        <v>0</v>
      </c>
      <c r="V145" s="4"/>
      <c r="W145" s="4"/>
      <c r="X145" s="4"/>
      <c r="Y145" s="4"/>
      <c r="Z145" s="4"/>
      <c r="AA145" s="4"/>
    </row>
  </sheetData>
  <autoFilter ref="A2:AA145" xr:uid="{00000000-0009-0000-0000-000000000000}"/>
  <mergeCells count="10">
    <mergeCell ref="A1:A2"/>
    <mergeCell ref="C1:C2"/>
    <mergeCell ref="B1:B2"/>
    <mergeCell ref="G1:G2"/>
    <mergeCell ref="X1:AA1"/>
    <mergeCell ref="F1:F2"/>
    <mergeCell ref="I1:W1"/>
    <mergeCell ref="D1:D2"/>
    <mergeCell ref="E1:E2"/>
    <mergeCell ref="H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34"/>
  <sheetViews>
    <sheetView zoomScale="84" workbookViewId="0">
      <pane xSplit="5" ySplit="2" topLeftCell="V3" activePane="bottomRight" state="frozen"/>
      <selection pane="topRight"/>
      <selection pane="bottomLeft"/>
      <selection pane="bottomRight" activeCell="C15" sqref="C15"/>
    </sheetView>
  </sheetViews>
  <sheetFormatPr defaultRowHeight="14.25" x14ac:dyDescent="0.45"/>
  <cols>
    <col min="1" max="1" width="12" customWidth="1"/>
    <col min="2" max="2" width="14" customWidth="1"/>
    <col min="3" max="3" width="11" customWidth="1"/>
    <col min="4" max="4" width="24" customWidth="1"/>
    <col min="5" max="5" width="38.6640625" customWidth="1"/>
    <col min="6" max="8" width="12" customWidth="1"/>
    <col min="9" max="12" width="13" customWidth="1"/>
    <col min="13" max="13" width="18.796875" customWidth="1"/>
    <col min="14" max="14" width="13" customWidth="1"/>
    <col min="15" max="15" width="16.19921875" customWidth="1"/>
    <col min="16" max="20" width="13" customWidth="1"/>
    <col min="21" max="21" width="14" customWidth="1"/>
    <col min="22" max="22" width="10" customWidth="1"/>
    <col min="23" max="23" width="12" customWidth="1"/>
    <col min="24" max="24" width="10" customWidth="1"/>
    <col min="25" max="25" width="15.6640625" customWidth="1"/>
    <col min="26" max="27" width="12" customWidth="1"/>
  </cols>
  <sheetData>
    <row r="1" spans="1:27" ht="27" customHeight="1" x14ac:dyDescent="0.45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6" t="s">
        <v>5</v>
      </c>
      <c r="G1" s="66" t="s">
        <v>37</v>
      </c>
      <c r="H1" s="66" t="s">
        <v>38</v>
      </c>
      <c r="I1" s="59" t="s">
        <v>39</v>
      </c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1"/>
      <c r="X1" s="68" t="s">
        <v>40</v>
      </c>
      <c r="Y1" s="60"/>
      <c r="Z1" s="60"/>
      <c r="AA1" s="61"/>
    </row>
    <row r="2" spans="1:27" ht="25.05" customHeight="1" x14ac:dyDescent="0.45">
      <c r="A2" s="65"/>
      <c r="B2" s="65"/>
      <c r="C2" s="65"/>
      <c r="D2" s="65"/>
      <c r="E2" s="65"/>
      <c r="F2" s="65"/>
      <c r="G2" s="65"/>
      <c r="H2" s="65"/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22</v>
      </c>
      <c r="T2" s="1" t="s">
        <v>51</v>
      </c>
      <c r="U2" s="1" t="s">
        <v>52</v>
      </c>
      <c r="V2" s="1" t="s">
        <v>17</v>
      </c>
      <c r="W2" s="1" t="s">
        <v>53</v>
      </c>
      <c r="X2" s="2" t="s">
        <v>54</v>
      </c>
      <c r="Y2" s="2" t="s">
        <v>55</v>
      </c>
      <c r="Z2" s="2" t="s">
        <v>56</v>
      </c>
      <c r="AA2" s="2" t="s">
        <v>57</v>
      </c>
    </row>
    <row r="3" spans="1:27" ht="15" customHeight="1" x14ac:dyDescent="0.45">
      <c r="A3" s="3">
        <v>45809</v>
      </c>
      <c r="B3" s="4" t="s">
        <v>79</v>
      </c>
      <c r="C3" s="4" t="s">
        <v>80</v>
      </c>
      <c r="D3" s="4" t="s">
        <v>60</v>
      </c>
      <c r="E3" s="4" t="s">
        <v>29</v>
      </c>
      <c r="F3" s="5">
        <f t="shared" ref="F3:F34" si="0">G3+H3</f>
        <v>0</v>
      </c>
      <c r="G3" s="5">
        <v>0</v>
      </c>
      <c r="H3" s="5">
        <v>0</v>
      </c>
      <c r="I3" s="5">
        <v>880000</v>
      </c>
      <c r="J3" s="4"/>
      <c r="K3" s="5">
        <v>417141.5</v>
      </c>
      <c r="L3" s="5">
        <v>-356767.3</v>
      </c>
      <c r="M3" s="5">
        <v>0</v>
      </c>
      <c r="N3" s="5">
        <v>60374.200000000012</v>
      </c>
      <c r="O3" s="4"/>
      <c r="P3" s="5">
        <v>20827.8</v>
      </c>
      <c r="Q3" s="5">
        <v>-10054.83</v>
      </c>
      <c r="R3" s="5">
        <v>10772.97</v>
      </c>
      <c r="S3" s="6">
        <v>6</v>
      </c>
      <c r="T3" s="6">
        <v>1</v>
      </c>
      <c r="U3" s="7">
        <v>0.16669999999999999</v>
      </c>
      <c r="V3" s="7">
        <v>0</v>
      </c>
      <c r="W3" s="5">
        <v>0</v>
      </c>
      <c r="X3" s="5">
        <v>25</v>
      </c>
      <c r="Y3" s="7">
        <v>0</v>
      </c>
      <c r="Z3" s="5">
        <v>2000</v>
      </c>
      <c r="AA3" s="5">
        <v>0</v>
      </c>
    </row>
    <row r="4" spans="1:27" ht="15" customHeight="1" x14ac:dyDescent="0.45">
      <c r="A4" s="3">
        <v>45809</v>
      </c>
      <c r="B4" s="4" t="s">
        <v>77</v>
      </c>
      <c r="C4" s="4" t="s">
        <v>80</v>
      </c>
      <c r="D4" s="4" t="s">
        <v>60</v>
      </c>
      <c r="E4" s="4" t="s">
        <v>29</v>
      </c>
      <c r="F4" s="5">
        <f t="shared" si="0"/>
        <v>49805.696000000004</v>
      </c>
      <c r="G4" s="5">
        <v>0</v>
      </c>
      <c r="H4" s="5">
        <v>49805.696000000004</v>
      </c>
      <c r="I4" s="5">
        <v>880000</v>
      </c>
      <c r="J4" s="4"/>
      <c r="K4" s="5">
        <v>1403968.5</v>
      </c>
      <c r="L4" s="5">
        <v>-223913.60000000001</v>
      </c>
      <c r="M4" s="5">
        <v>0</v>
      </c>
      <c r="N4" s="5">
        <v>1180054.8999999999</v>
      </c>
      <c r="O4" s="4"/>
      <c r="P4" s="5">
        <v>75118.850000000006</v>
      </c>
      <c r="Q4" s="5">
        <v>-10031.35</v>
      </c>
      <c r="R4" s="5">
        <v>65087.500000000007</v>
      </c>
      <c r="S4" s="6">
        <v>6</v>
      </c>
      <c r="T4" s="6">
        <v>6</v>
      </c>
      <c r="U4" s="7">
        <v>1</v>
      </c>
      <c r="V4" s="7">
        <v>0.04</v>
      </c>
      <c r="W4" s="5">
        <v>49805.696000000004</v>
      </c>
      <c r="X4" s="5">
        <v>67</v>
      </c>
      <c r="Y4" s="7">
        <v>0</v>
      </c>
      <c r="Z4" s="5">
        <v>2000</v>
      </c>
      <c r="AA4" s="5">
        <v>0</v>
      </c>
    </row>
    <row r="5" spans="1:27" ht="15" customHeight="1" x14ac:dyDescent="0.45">
      <c r="A5" s="3">
        <v>45809</v>
      </c>
      <c r="B5" s="4" t="s">
        <v>81</v>
      </c>
      <c r="C5" s="4" t="s">
        <v>80</v>
      </c>
      <c r="D5" s="4" t="s">
        <v>60</v>
      </c>
      <c r="E5" s="4" t="s">
        <v>68</v>
      </c>
      <c r="F5" s="5">
        <f t="shared" si="0"/>
        <v>79911.78</v>
      </c>
      <c r="G5" s="5">
        <v>810</v>
      </c>
      <c r="H5" s="5">
        <v>79101.78</v>
      </c>
      <c r="I5" s="5">
        <v>880000</v>
      </c>
      <c r="J5" s="4"/>
      <c r="K5" s="5">
        <v>1741966</v>
      </c>
      <c r="L5" s="5">
        <v>-296213.8</v>
      </c>
      <c r="M5" s="5">
        <v>54150</v>
      </c>
      <c r="N5" s="5">
        <v>1499902.2</v>
      </c>
      <c r="O5" s="4"/>
      <c r="P5" s="5">
        <v>88315.1</v>
      </c>
      <c r="Q5" s="5">
        <v>-6181.7</v>
      </c>
      <c r="R5" s="5">
        <v>82133.400000000009</v>
      </c>
      <c r="S5" s="6">
        <v>6</v>
      </c>
      <c r="T5" s="6">
        <v>9</v>
      </c>
      <c r="U5" s="7">
        <v>1.5</v>
      </c>
      <c r="V5" s="7">
        <v>0.05</v>
      </c>
      <c r="W5" s="5">
        <v>79101.78</v>
      </c>
      <c r="X5" s="5">
        <v>81</v>
      </c>
      <c r="Y5" s="7">
        <v>0.81</v>
      </c>
      <c r="Z5" s="5">
        <v>1000</v>
      </c>
      <c r="AA5" s="5">
        <v>810</v>
      </c>
    </row>
    <row r="6" spans="1:27" ht="15" customHeight="1" x14ac:dyDescent="0.45">
      <c r="A6" s="3">
        <v>45809</v>
      </c>
      <c r="B6" s="4" t="s">
        <v>82</v>
      </c>
      <c r="C6" s="4" t="s">
        <v>80</v>
      </c>
      <c r="D6" s="4" t="s">
        <v>60</v>
      </c>
      <c r="E6" s="4" t="s">
        <v>29</v>
      </c>
      <c r="F6" s="5">
        <f t="shared" si="0"/>
        <v>45942.500800000002</v>
      </c>
      <c r="G6" s="5">
        <v>1720</v>
      </c>
      <c r="H6" s="5">
        <v>44222.500800000002</v>
      </c>
      <c r="I6" s="5">
        <v>880000</v>
      </c>
      <c r="J6" s="4"/>
      <c r="K6" s="5">
        <v>1228006</v>
      </c>
      <c r="L6" s="5">
        <v>-184301.1</v>
      </c>
      <c r="M6" s="5">
        <v>0</v>
      </c>
      <c r="N6" s="5">
        <v>1043704.9</v>
      </c>
      <c r="O6" s="4"/>
      <c r="P6" s="5">
        <v>111974.2</v>
      </c>
      <c r="Q6" s="5">
        <v>-50116.58</v>
      </c>
      <c r="R6" s="5">
        <v>61857.62</v>
      </c>
      <c r="S6" s="6">
        <v>6</v>
      </c>
      <c r="T6" s="6">
        <v>6</v>
      </c>
      <c r="U6" s="7">
        <v>1</v>
      </c>
      <c r="V6" s="7">
        <v>0.04</v>
      </c>
      <c r="W6" s="5">
        <v>44222.500800000002</v>
      </c>
      <c r="X6" s="5">
        <v>86</v>
      </c>
      <c r="Y6" s="7">
        <v>0.86</v>
      </c>
      <c r="Z6" s="5">
        <v>2000</v>
      </c>
      <c r="AA6" s="5">
        <v>1720</v>
      </c>
    </row>
    <row r="7" spans="1:27" ht="15" customHeight="1" x14ac:dyDescent="0.45">
      <c r="A7" s="3">
        <v>45809</v>
      </c>
      <c r="B7" s="4" t="s">
        <v>83</v>
      </c>
      <c r="C7" s="4" t="s">
        <v>80</v>
      </c>
      <c r="D7" s="4" t="s">
        <v>60</v>
      </c>
      <c r="E7" s="4" t="s">
        <v>29</v>
      </c>
      <c r="F7" s="5">
        <f t="shared" si="0"/>
        <v>17737.533600000002</v>
      </c>
      <c r="G7" s="5">
        <v>1500</v>
      </c>
      <c r="H7" s="5">
        <v>16237.533600000001</v>
      </c>
      <c r="I7" s="5">
        <v>968000</v>
      </c>
      <c r="J7" s="4"/>
      <c r="K7" s="5">
        <v>999495.9</v>
      </c>
      <c r="L7" s="5">
        <v>-116128.8</v>
      </c>
      <c r="M7" s="5">
        <v>0</v>
      </c>
      <c r="N7" s="5">
        <v>883367.1</v>
      </c>
      <c r="O7" s="4"/>
      <c r="P7" s="5">
        <v>28918.1</v>
      </c>
      <c r="Q7" s="5">
        <v>-10200</v>
      </c>
      <c r="R7" s="5">
        <v>18718.099999999999</v>
      </c>
      <c r="S7" s="6">
        <v>6</v>
      </c>
      <c r="T7" s="6">
        <v>5</v>
      </c>
      <c r="U7" s="7">
        <v>0.83330000000000004</v>
      </c>
      <c r="V7" s="7">
        <v>1.7999999999999999E-2</v>
      </c>
      <c r="W7" s="5">
        <v>16237.533600000001</v>
      </c>
      <c r="X7" s="5">
        <v>75</v>
      </c>
      <c r="Y7" s="7">
        <v>0.75</v>
      </c>
      <c r="Z7" s="5">
        <v>2000</v>
      </c>
      <c r="AA7" s="5">
        <v>1500</v>
      </c>
    </row>
    <row r="8" spans="1:27" ht="15" customHeight="1" x14ac:dyDescent="0.45">
      <c r="A8" s="3">
        <v>45809</v>
      </c>
      <c r="B8" s="4" t="s">
        <v>84</v>
      </c>
      <c r="C8" s="4" t="s">
        <v>80</v>
      </c>
      <c r="D8" s="4" t="s">
        <v>60</v>
      </c>
      <c r="E8" s="4" t="s">
        <v>29</v>
      </c>
      <c r="F8" s="5">
        <f t="shared" si="0"/>
        <v>0</v>
      </c>
      <c r="G8" s="5">
        <v>0</v>
      </c>
      <c r="H8" s="5">
        <v>0</v>
      </c>
      <c r="I8" s="5">
        <v>968000</v>
      </c>
      <c r="J8" s="4"/>
      <c r="K8" s="5">
        <v>197700</v>
      </c>
      <c r="L8" s="5">
        <v>-69190.8</v>
      </c>
      <c r="M8" s="5">
        <v>0</v>
      </c>
      <c r="N8" s="5">
        <v>128509.2</v>
      </c>
      <c r="O8" s="4"/>
      <c r="P8" s="5">
        <v>12682.9</v>
      </c>
      <c r="Q8" s="5">
        <v>0</v>
      </c>
      <c r="R8" s="5">
        <v>12682.9</v>
      </c>
      <c r="S8" s="6">
        <v>4</v>
      </c>
      <c r="T8" s="6">
        <v>0</v>
      </c>
      <c r="U8" s="7">
        <v>0</v>
      </c>
      <c r="V8" s="7">
        <v>0</v>
      </c>
      <c r="W8" s="5">
        <v>0</v>
      </c>
      <c r="X8" s="5">
        <v>0</v>
      </c>
      <c r="Y8" s="7">
        <v>0</v>
      </c>
      <c r="Z8" s="5">
        <v>2000</v>
      </c>
      <c r="AA8" s="5">
        <v>0</v>
      </c>
    </row>
    <row r="9" spans="1:27" ht="15" customHeight="1" x14ac:dyDescent="0.45">
      <c r="A9" s="3">
        <v>45809</v>
      </c>
      <c r="B9" s="4" t="s">
        <v>85</v>
      </c>
      <c r="C9" s="4" t="s">
        <v>80</v>
      </c>
      <c r="D9" s="4" t="s">
        <v>60</v>
      </c>
      <c r="E9" s="4" t="s">
        <v>29</v>
      </c>
      <c r="F9" s="5">
        <f t="shared" si="0"/>
        <v>12986.145</v>
      </c>
      <c r="G9" s="5">
        <v>0</v>
      </c>
      <c r="H9" s="5">
        <v>12986.145</v>
      </c>
      <c r="I9" s="5">
        <v>880000</v>
      </c>
      <c r="J9" s="4"/>
      <c r="K9" s="5">
        <v>749621.20000000007</v>
      </c>
      <c r="L9" s="5">
        <v>-67974.8</v>
      </c>
      <c r="M9" s="5">
        <v>0</v>
      </c>
      <c r="N9" s="5">
        <v>681646.4</v>
      </c>
      <c r="O9" s="4"/>
      <c r="P9" s="5">
        <v>39806.1</v>
      </c>
      <c r="Q9" s="5">
        <v>0</v>
      </c>
      <c r="R9" s="5">
        <v>39806.1</v>
      </c>
      <c r="S9" s="6">
        <v>4</v>
      </c>
      <c r="T9" s="6">
        <v>2</v>
      </c>
      <c r="U9" s="7">
        <v>0.5</v>
      </c>
      <c r="V9" s="7">
        <v>1.7999999999999999E-2</v>
      </c>
      <c r="W9" s="5">
        <v>12986.145</v>
      </c>
      <c r="X9" s="5">
        <v>45</v>
      </c>
      <c r="Y9" s="7">
        <v>0</v>
      </c>
      <c r="Z9" s="5">
        <v>2000</v>
      </c>
      <c r="AA9" s="5">
        <v>0</v>
      </c>
    </row>
    <row r="10" spans="1:27" ht="15" customHeight="1" x14ac:dyDescent="0.45">
      <c r="A10" s="3">
        <v>45809</v>
      </c>
      <c r="B10" s="4" t="s">
        <v>86</v>
      </c>
      <c r="C10" s="4" t="s">
        <v>80</v>
      </c>
      <c r="D10" s="4" t="s">
        <v>60</v>
      </c>
      <c r="E10" s="4" t="s">
        <v>29</v>
      </c>
      <c r="F10" s="5">
        <f t="shared" si="0"/>
        <v>818.18181818181824</v>
      </c>
      <c r="G10" s="5">
        <v>818.18181818181824</v>
      </c>
      <c r="H10" s="5">
        <v>0</v>
      </c>
      <c r="I10" s="5">
        <v>0</v>
      </c>
      <c r="J10" s="4"/>
      <c r="K10" s="5">
        <v>0</v>
      </c>
      <c r="L10" s="5">
        <v>0</v>
      </c>
      <c r="M10" s="5">
        <v>0</v>
      </c>
      <c r="N10" s="5">
        <v>0</v>
      </c>
      <c r="O10" s="4"/>
      <c r="P10" s="5">
        <v>0</v>
      </c>
      <c r="Q10" s="5">
        <v>0</v>
      </c>
      <c r="R10" s="5">
        <v>0</v>
      </c>
      <c r="S10" s="6">
        <v>0</v>
      </c>
      <c r="T10" s="6">
        <v>0</v>
      </c>
      <c r="U10" s="7">
        <v>0</v>
      </c>
      <c r="V10" s="7">
        <v>0</v>
      </c>
      <c r="W10" s="5">
        <v>0</v>
      </c>
      <c r="X10" s="5">
        <v>0</v>
      </c>
      <c r="Y10" s="7">
        <v>0.40909090909090912</v>
      </c>
      <c r="Z10" s="5">
        <v>2000</v>
      </c>
      <c r="AA10" s="5">
        <v>818.18181818181824</v>
      </c>
    </row>
    <row r="11" spans="1:27" ht="15" customHeight="1" x14ac:dyDescent="0.45">
      <c r="A11" s="3">
        <v>45809</v>
      </c>
      <c r="B11" s="4" t="s">
        <v>87</v>
      </c>
      <c r="C11" s="4" t="s">
        <v>80</v>
      </c>
      <c r="D11" s="4" t="s">
        <v>60</v>
      </c>
      <c r="E11" s="4" t="s">
        <v>29</v>
      </c>
      <c r="F11" s="5">
        <f t="shared" si="0"/>
        <v>2544.36</v>
      </c>
      <c r="G11" s="5">
        <v>2000</v>
      </c>
      <c r="H11" s="5">
        <v>544.36</v>
      </c>
      <c r="I11" s="5">
        <v>0</v>
      </c>
      <c r="J11" s="4"/>
      <c r="K11" s="5">
        <v>125500</v>
      </c>
      <c r="L11" s="5">
        <v>0</v>
      </c>
      <c r="M11" s="5">
        <v>-88200</v>
      </c>
      <c r="N11" s="5">
        <v>37300</v>
      </c>
      <c r="O11" s="4"/>
      <c r="P11" s="5">
        <v>17136</v>
      </c>
      <c r="Q11" s="5">
        <v>0</v>
      </c>
      <c r="R11" s="5">
        <v>17136</v>
      </c>
      <c r="S11" s="6">
        <v>0</v>
      </c>
      <c r="T11" s="6">
        <v>0</v>
      </c>
      <c r="U11" s="7">
        <v>0</v>
      </c>
      <c r="V11" s="7">
        <v>0.01</v>
      </c>
      <c r="W11" s="5">
        <v>544.36</v>
      </c>
      <c r="X11" s="5">
        <v>0</v>
      </c>
      <c r="Y11" s="7">
        <v>1</v>
      </c>
      <c r="Z11" s="5">
        <v>2000</v>
      </c>
      <c r="AA11" s="5">
        <v>2000</v>
      </c>
    </row>
    <row r="12" spans="1:27" ht="15" customHeight="1" x14ac:dyDescent="0.45">
      <c r="A12" s="3">
        <v>45809</v>
      </c>
      <c r="B12" s="4" t="s">
        <v>88</v>
      </c>
      <c r="C12" s="4" t="s">
        <v>80</v>
      </c>
      <c r="D12" s="4" t="s">
        <v>60</v>
      </c>
      <c r="E12" s="4" t="s">
        <v>29</v>
      </c>
      <c r="F12" s="5">
        <f t="shared" si="0"/>
        <v>2230</v>
      </c>
      <c r="G12" s="5">
        <v>2000</v>
      </c>
      <c r="H12" s="5">
        <v>230</v>
      </c>
      <c r="I12" s="5">
        <v>0</v>
      </c>
      <c r="J12" s="4"/>
      <c r="K12" s="5">
        <v>23000</v>
      </c>
      <c r="L12" s="5">
        <v>0</v>
      </c>
      <c r="M12" s="5">
        <v>0</v>
      </c>
      <c r="N12" s="5">
        <v>23000</v>
      </c>
      <c r="O12" s="4"/>
      <c r="P12" s="5">
        <v>0</v>
      </c>
      <c r="Q12" s="5">
        <v>0</v>
      </c>
      <c r="R12" s="5">
        <v>0</v>
      </c>
      <c r="S12" s="6">
        <v>0</v>
      </c>
      <c r="T12" s="6">
        <v>0</v>
      </c>
      <c r="U12" s="7">
        <v>0</v>
      </c>
      <c r="V12" s="7">
        <v>0.01</v>
      </c>
      <c r="W12" s="5">
        <v>230</v>
      </c>
      <c r="X12" s="5">
        <v>0</v>
      </c>
      <c r="Y12" s="7">
        <v>1</v>
      </c>
      <c r="Z12" s="5">
        <v>2000</v>
      </c>
      <c r="AA12" s="5">
        <v>2000</v>
      </c>
    </row>
    <row r="13" spans="1:27" ht="15" customHeight="1" x14ac:dyDescent="0.45">
      <c r="A13" s="3">
        <v>45809</v>
      </c>
      <c r="B13" s="4" t="s">
        <v>89</v>
      </c>
      <c r="C13" s="4" t="s">
        <v>80</v>
      </c>
      <c r="D13" s="4" t="s">
        <v>60</v>
      </c>
      <c r="E13" s="4" t="s">
        <v>29</v>
      </c>
      <c r="F13" s="5">
        <f t="shared" si="0"/>
        <v>2000</v>
      </c>
      <c r="G13" s="5">
        <v>2000</v>
      </c>
      <c r="H13" s="5">
        <v>0</v>
      </c>
      <c r="I13" s="5">
        <v>0</v>
      </c>
      <c r="J13" s="4"/>
      <c r="K13" s="5">
        <v>0</v>
      </c>
      <c r="L13" s="5">
        <v>0</v>
      </c>
      <c r="M13" s="5">
        <v>0</v>
      </c>
      <c r="N13" s="5">
        <v>0</v>
      </c>
      <c r="O13" s="4"/>
      <c r="P13" s="5">
        <v>0</v>
      </c>
      <c r="Q13" s="5">
        <v>0</v>
      </c>
      <c r="R13" s="5">
        <v>0</v>
      </c>
      <c r="S13" s="6">
        <v>0</v>
      </c>
      <c r="T13" s="6">
        <v>0</v>
      </c>
      <c r="U13" s="7">
        <v>0</v>
      </c>
      <c r="V13" s="7">
        <v>0</v>
      </c>
      <c r="W13" s="5">
        <v>0</v>
      </c>
      <c r="X13" s="5">
        <v>0</v>
      </c>
      <c r="Y13" s="7">
        <v>1</v>
      </c>
      <c r="Z13" s="5">
        <v>2000</v>
      </c>
      <c r="AA13" s="5">
        <v>2000</v>
      </c>
    </row>
    <row r="14" spans="1:27" ht="15" customHeight="1" x14ac:dyDescent="0.45">
      <c r="A14" s="3">
        <v>45809</v>
      </c>
      <c r="B14" s="4" t="s">
        <v>90</v>
      </c>
      <c r="C14" s="4" t="s">
        <v>80</v>
      </c>
      <c r="D14" s="4" t="s">
        <v>60</v>
      </c>
      <c r="E14" s="4" t="s">
        <v>29</v>
      </c>
      <c r="F14" s="5">
        <f t="shared" si="0"/>
        <v>0</v>
      </c>
      <c r="G14" s="5">
        <v>0</v>
      </c>
      <c r="H14" s="5">
        <v>0</v>
      </c>
      <c r="I14" s="5">
        <v>0</v>
      </c>
      <c r="J14" s="4"/>
      <c r="K14" s="5">
        <v>0</v>
      </c>
      <c r="L14" s="5">
        <v>0</v>
      </c>
      <c r="M14" s="5">
        <v>0</v>
      </c>
      <c r="N14" s="5">
        <v>0</v>
      </c>
      <c r="O14" s="4"/>
      <c r="P14" s="5">
        <v>0</v>
      </c>
      <c r="Q14" s="5">
        <v>0</v>
      </c>
      <c r="R14" s="5">
        <v>0</v>
      </c>
      <c r="S14" s="6">
        <v>0</v>
      </c>
      <c r="T14" s="6">
        <v>0</v>
      </c>
      <c r="U14" s="7">
        <v>0</v>
      </c>
      <c r="V14" s="7">
        <v>0</v>
      </c>
      <c r="W14" s="5">
        <v>0</v>
      </c>
      <c r="X14" s="5">
        <v>0</v>
      </c>
      <c r="Y14" s="7">
        <v>0</v>
      </c>
      <c r="Z14" s="5">
        <v>0</v>
      </c>
      <c r="AA14" s="5">
        <v>0</v>
      </c>
    </row>
    <row r="15" spans="1:27" ht="45" customHeight="1" x14ac:dyDescent="0.45">
      <c r="A15" s="3">
        <v>45839</v>
      </c>
      <c r="B15" s="4" t="s">
        <v>79</v>
      </c>
      <c r="C15" s="4" t="s">
        <v>80</v>
      </c>
      <c r="D15" s="4" t="s">
        <v>60</v>
      </c>
      <c r="E15" s="4" t="s">
        <v>91</v>
      </c>
      <c r="F15" s="5">
        <f t="shared" si="0"/>
        <v>44234</v>
      </c>
      <c r="G15" s="5">
        <v>2000</v>
      </c>
      <c r="H15" s="5">
        <v>42234</v>
      </c>
      <c r="I15" s="5">
        <v>1320000</v>
      </c>
      <c r="J15" s="4"/>
      <c r="K15" s="5">
        <v>1585156</v>
      </c>
      <c r="L15" s="5">
        <v>-250435</v>
      </c>
      <c r="M15" s="5">
        <v>0</v>
      </c>
      <c r="N15" s="5">
        <v>1334721</v>
      </c>
      <c r="O15" s="4"/>
      <c r="P15" s="5">
        <v>76001</v>
      </c>
      <c r="Q15" s="5">
        <v>-2936</v>
      </c>
      <c r="R15" s="5">
        <v>73065</v>
      </c>
      <c r="S15" s="6">
        <v>4</v>
      </c>
      <c r="T15" s="6">
        <v>12</v>
      </c>
      <c r="U15" s="7">
        <v>3</v>
      </c>
      <c r="V15" s="7">
        <v>0.03</v>
      </c>
      <c r="W15" s="5">
        <v>42234</v>
      </c>
      <c r="X15" s="5">
        <v>140</v>
      </c>
      <c r="Y15" s="7">
        <v>1</v>
      </c>
      <c r="Z15" s="5">
        <v>2000</v>
      </c>
      <c r="AA15" s="5">
        <v>2000</v>
      </c>
    </row>
    <row r="16" spans="1:27" ht="45" customHeight="1" x14ac:dyDescent="0.45">
      <c r="A16" s="3">
        <v>45839</v>
      </c>
      <c r="B16" s="4" t="s">
        <v>77</v>
      </c>
      <c r="C16" s="4" t="s">
        <v>80</v>
      </c>
      <c r="D16" s="4" t="s">
        <v>60</v>
      </c>
      <c r="E16" s="4" t="s">
        <v>91</v>
      </c>
      <c r="F16" s="5">
        <f t="shared" si="0"/>
        <v>38762</v>
      </c>
      <c r="G16" s="5">
        <v>2000</v>
      </c>
      <c r="H16" s="5">
        <v>36762</v>
      </c>
      <c r="I16" s="5">
        <v>1200000</v>
      </c>
      <c r="J16" s="4"/>
      <c r="K16" s="5">
        <v>1412333</v>
      </c>
      <c r="L16" s="5">
        <v>-237514</v>
      </c>
      <c r="M16" s="5">
        <v>0</v>
      </c>
      <c r="N16" s="5">
        <v>1174819</v>
      </c>
      <c r="O16" s="4"/>
      <c r="P16" s="5">
        <v>50567</v>
      </c>
      <c r="Q16" s="5">
        <v>0</v>
      </c>
      <c r="R16" s="5">
        <v>50567</v>
      </c>
      <c r="S16" s="6">
        <v>4</v>
      </c>
      <c r="T16" s="6">
        <v>4</v>
      </c>
      <c r="U16" s="7">
        <v>1</v>
      </c>
      <c r="V16" s="7">
        <v>0.03</v>
      </c>
      <c r="W16" s="5">
        <v>36762</v>
      </c>
      <c r="X16" s="5">
        <v>100</v>
      </c>
      <c r="Y16" s="7">
        <v>1</v>
      </c>
      <c r="Z16" s="5">
        <v>2000</v>
      </c>
      <c r="AA16" s="5">
        <v>2000</v>
      </c>
    </row>
    <row r="17" spans="1:27" ht="45" customHeight="1" x14ac:dyDescent="0.45">
      <c r="A17" s="3">
        <v>45839</v>
      </c>
      <c r="B17" s="4" t="s">
        <v>81</v>
      </c>
      <c r="C17" s="4" t="s">
        <v>80</v>
      </c>
      <c r="D17" s="4" t="s">
        <v>60</v>
      </c>
      <c r="E17" s="4" t="s">
        <v>92</v>
      </c>
      <c r="F17" s="5">
        <f t="shared" si="0"/>
        <v>128266</v>
      </c>
      <c r="G17" s="5">
        <v>0</v>
      </c>
      <c r="H17" s="5">
        <v>128266</v>
      </c>
      <c r="I17" s="5">
        <v>1200000</v>
      </c>
      <c r="J17" s="4"/>
      <c r="K17" s="5">
        <v>2759951</v>
      </c>
      <c r="L17" s="5">
        <v>-375566</v>
      </c>
      <c r="M17" s="5">
        <v>27650</v>
      </c>
      <c r="N17" s="5">
        <v>2412035</v>
      </c>
      <c r="O17" s="4"/>
      <c r="P17" s="5">
        <v>203877</v>
      </c>
      <c r="Q17" s="5">
        <v>-50596</v>
      </c>
      <c r="R17" s="5">
        <v>153281</v>
      </c>
      <c r="S17" s="6">
        <v>4</v>
      </c>
      <c r="T17" s="6">
        <v>10</v>
      </c>
      <c r="U17" s="7">
        <v>2.5</v>
      </c>
      <c r="V17" s="7">
        <v>0.05</v>
      </c>
      <c r="W17" s="5">
        <v>128266</v>
      </c>
      <c r="X17" s="5">
        <v>160</v>
      </c>
      <c r="Y17" s="7">
        <v>1</v>
      </c>
      <c r="Z17" s="5">
        <v>0</v>
      </c>
      <c r="AA17" s="5">
        <v>0</v>
      </c>
    </row>
    <row r="18" spans="1:27" ht="45" customHeight="1" x14ac:dyDescent="0.45">
      <c r="A18" s="3">
        <v>45839</v>
      </c>
      <c r="B18" s="4" t="s">
        <v>82</v>
      </c>
      <c r="C18" s="4" t="s">
        <v>80</v>
      </c>
      <c r="D18" s="4" t="s">
        <v>60</v>
      </c>
      <c r="E18" s="4" t="s">
        <v>91</v>
      </c>
      <c r="F18" s="5">
        <f t="shared" si="0"/>
        <v>94735</v>
      </c>
      <c r="G18" s="5">
        <v>2000</v>
      </c>
      <c r="H18" s="5">
        <v>92735</v>
      </c>
      <c r="I18" s="5">
        <v>1200000</v>
      </c>
      <c r="J18" s="4"/>
      <c r="K18" s="5">
        <v>2189632</v>
      </c>
      <c r="L18" s="5">
        <v>-393133</v>
      </c>
      <c r="M18" s="5">
        <v>0</v>
      </c>
      <c r="N18" s="5">
        <v>1796499</v>
      </c>
      <c r="O18" s="4"/>
      <c r="P18" s="5">
        <v>93872</v>
      </c>
      <c r="Q18" s="5">
        <v>-35679</v>
      </c>
      <c r="R18" s="5">
        <v>58193</v>
      </c>
      <c r="S18" s="6">
        <v>4</v>
      </c>
      <c r="T18" s="6">
        <v>7</v>
      </c>
      <c r="U18" s="7">
        <v>1.75</v>
      </c>
      <c r="V18" s="7">
        <v>0.05</v>
      </c>
      <c r="W18" s="5">
        <v>92735</v>
      </c>
      <c r="X18" s="5">
        <v>150</v>
      </c>
      <c r="Y18" s="7">
        <v>1</v>
      </c>
      <c r="Z18" s="5">
        <v>2000</v>
      </c>
      <c r="AA18" s="5">
        <v>2000</v>
      </c>
    </row>
    <row r="19" spans="1:27" ht="45" customHeight="1" x14ac:dyDescent="0.45">
      <c r="A19" s="3">
        <v>45839</v>
      </c>
      <c r="B19" s="4" t="s">
        <v>83</v>
      </c>
      <c r="C19" s="4" t="s">
        <v>80</v>
      </c>
      <c r="D19" s="4" t="s">
        <v>60</v>
      </c>
      <c r="E19" s="4" t="s">
        <v>91</v>
      </c>
      <c r="F19" s="5">
        <f t="shared" si="0"/>
        <v>4339</v>
      </c>
      <c r="G19" s="5">
        <v>2000</v>
      </c>
      <c r="H19" s="5">
        <v>2339</v>
      </c>
      <c r="I19" s="5">
        <v>1200000</v>
      </c>
      <c r="J19" s="4"/>
      <c r="K19" s="5">
        <v>786226</v>
      </c>
      <c r="L19" s="5">
        <v>-550708</v>
      </c>
      <c r="M19" s="5">
        <v>11300</v>
      </c>
      <c r="N19" s="5">
        <v>246818</v>
      </c>
      <c r="O19" s="4"/>
      <c r="P19" s="5">
        <v>45617</v>
      </c>
      <c r="Q19" s="5">
        <v>0</v>
      </c>
      <c r="R19" s="5">
        <v>45617</v>
      </c>
      <c r="S19" s="6">
        <v>4</v>
      </c>
      <c r="T19" s="6">
        <v>6</v>
      </c>
      <c r="U19" s="7">
        <v>1.5</v>
      </c>
      <c r="V19" s="7">
        <v>8.0000000000000002E-3</v>
      </c>
      <c r="W19" s="5">
        <v>2339</v>
      </c>
      <c r="X19" s="5">
        <v>125</v>
      </c>
      <c r="Y19" s="7">
        <v>1</v>
      </c>
      <c r="Z19" s="5">
        <v>2000</v>
      </c>
      <c r="AA19" s="5">
        <v>2000</v>
      </c>
    </row>
    <row r="20" spans="1:27" ht="45" customHeight="1" x14ac:dyDescent="0.45">
      <c r="A20" s="3">
        <v>45839</v>
      </c>
      <c r="B20" s="4" t="s">
        <v>84</v>
      </c>
      <c r="C20" s="4" t="s">
        <v>80</v>
      </c>
      <c r="D20" s="4" t="s">
        <v>60</v>
      </c>
      <c r="E20" s="4" t="s">
        <v>91</v>
      </c>
      <c r="F20" s="5">
        <f t="shared" si="0"/>
        <v>0</v>
      </c>
      <c r="G20" s="5">
        <v>0</v>
      </c>
      <c r="H20" s="5">
        <v>0</v>
      </c>
      <c r="I20" s="5">
        <v>0</v>
      </c>
      <c r="J20" s="4"/>
      <c r="K20" s="5">
        <v>0</v>
      </c>
      <c r="L20" s="5">
        <v>0</v>
      </c>
      <c r="M20" s="5">
        <v>0</v>
      </c>
      <c r="N20" s="5">
        <v>0</v>
      </c>
      <c r="O20" s="4"/>
      <c r="P20" s="5">
        <v>0</v>
      </c>
      <c r="Q20" s="5">
        <v>0</v>
      </c>
      <c r="R20" s="5">
        <v>0</v>
      </c>
      <c r="S20" s="6">
        <v>0</v>
      </c>
      <c r="T20" s="6">
        <v>0</v>
      </c>
      <c r="U20" s="7">
        <v>0</v>
      </c>
      <c r="V20" s="7">
        <v>0</v>
      </c>
      <c r="W20" s="5">
        <v>0</v>
      </c>
      <c r="X20" s="5">
        <v>0</v>
      </c>
      <c r="Y20" s="7">
        <v>0</v>
      </c>
      <c r="Z20" s="5">
        <v>2000</v>
      </c>
      <c r="AA20" s="5">
        <v>0</v>
      </c>
    </row>
    <row r="21" spans="1:27" ht="45" customHeight="1" x14ac:dyDescent="0.45">
      <c r="A21" s="3">
        <v>45839</v>
      </c>
      <c r="B21" s="4" t="s">
        <v>85</v>
      </c>
      <c r="C21" s="4" t="s">
        <v>80</v>
      </c>
      <c r="D21" s="4" t="s">
        <v>60</v>
      </c>
      <c r="E21" s="4" t="s">
        <v>91</v>
      </c>
      <c r="F21" s="5">
        <f t="shared" si="0"/>
        <v>36402</v>
      </c>
      <c r="G21" s="5">
        <v>0</v>
      </c>
      <c r="H21" s="5">
        <v>36402</v>
      </c>
      <c r="I21" s="5">
        <v>1200000</v>
      </c>
      <c r="J21" s="4"/>
      <c r="K21" s="5">
        <v>1206337</v>
      </c>
      <c r="L21" s="5">
        <v>-180361</v>
      </c>
      <c r="M21" s="5">
        <v>0</v>
      </c>
      <c r="N21" s="5">
        <v>1025976</v>
      </c>
      <c r="O21" s="4"/>
      <c r="P21" s="5">
        <v>207599</v>
      </c>
      <c r="Q21" s="5">
        <v>-20170</v>
      </c>
      <c r="R21" s="5">
        <v>187429</v>
      </c>
      <c r="S21" s="6">
        <v>1</v>
      </c>
      <c r="T21" s="6">
        <v>0</v>
      </c>
      <c r="U21" s="7">
        <v>0</v>
      </c>
      <c r="V21" s="7">
        <v>0.03</v>
      </c>
      <c r="W21" s="5">
        <v>36402</v>
      </c>
      <c r="X21" s="5">
        <v>60</v>
      </c>
      <c r="Y21" s="7">
        <v>0</v>
      </c>
      <c r="Z21" s="5">
        <v>2000</v>
      </c>
      <c r="AA21" s="5">
        <v>0</v>
      </c>
    </row>
    <row r="22" spans="1:27" ht="45" customHeight="1" x14ac:dyDescent="0.45">
      <c r="A22" s="3">
        <v>45839</v>
      </c>
      <c r="B22" s="4" t="s">
        <v>88</v>
      </c>
      <c r="C22" s="4" t="s">
        <v>80</v>
      </c>
      <c r="D22" s="4" t="s">
        <v>60</v>
      </c>
      <c r="E22" s="4" t="s">
        <v>91</v>
      </c>
      <c r="F22" s="5">
        <f t="shared" si="0"/>
        <v>2000</v>
      </c>
      <c r="G22" s="5">
        <v>2000</v>
      </c>
      <c r="H22" s="5">
        <v>0</v>
      </c>
      <c r="I22" s="5">
        <v>360000</v>
      </c>
      <c r="J22" s="4"/>
      <c r="K22" s="5">
        <v>53900</v>
      </c>
      <c r="L22" s="5">
        <v>0</v>
      </c>
      <c r="M22" s="5">
        <v>0</v>
      </c>
      <c r="N22" s="5">
        <v>53900</v>
      </c>
      <c r="O22" s="4"/>
      <c r="P22" s="5">
        <v>16748</v>
      </c>
      <c r="Q22" s="5">
        <v>-15330</v>
      </c>
      <c r="R22" s="5">
        <v>1418</v>
      </c>
      <c r="S22" s="6">
        <v>1</v>
      </c>
      <c r="T22" s="6">
        <v>0</v>
      </c>
      <c r="U22" s="7">
        <v>0</v>
      </c>
      <c r="V22" s="7">
        <v>0</v>
      </c>
      <c r="W22" s="5">
        <v>0</v>
      </c>
      <c r="X22" s="5">
        <v>35</v>
      </c>
      <c r="Y22" s="7">
        <v>1</v>
      </c>
      <c r="Z22" s="5">
        <v>2000</v>
      </c>
      <c r="AA22" s="5">
        <v>2000</v>
      </c>
    </row>
    <row r="23" spans="1:27" ht="45" customHeight="1" x14ac:dyDescent="0.45">
      <c r="A23" s="3">
        <v>45839</v>
      </c>
      <c r="B23" s="4" t="s">
        <v>87</v>
      </c>
      <c r="C23" s="4" t="s">
        <v>80</v>
      </c>
      <c r="D23" s="4" t="s">
        <v>60</v>
      </c>
      <c r="E23" s="4" t="s">
        <v>91</v>
      </c>
      <c r="F23" s="5">
        <f t="shared" si="0"/>
        <v>13930</v>
      </c>
      <c r="G23" s="5">
        <v>2000</v>
      </c>
      <c r="H23" s="5">
        <v>11930</v>
      </c>
      <c r="I23" s="5">
        <v>360000</v>
      </c>
      <c r="J23" s="4"/>
      <c r="K23" s="5">
        <v>373097</v>
      </c>
      <c r="L23" s="5">
        <v>0</v>
      </c>
      <c r="M23" s="5">
        <v>0</v>
      </c>
      <c r="N23" s="5">
        <v>373097</v>
      </c>
      <c r="O23" s="4"/>
      <c r="P23" s="5">
        <v>28794</v>
      </c>
      <c r="Q23" s="5">
        <v>-4233</v>
      </c>
      <c r="R23" s="5">
        <v>24561</v>
      </c>
      <c r="S23" s="6">
        <v>1</v>
      </c>
      <c r="T23" s="6">
        <v>1</v>
      </c>
      <c r="U23" s="7">
        <v>1</v>
      </c>
      <c r="V23" s="7">
        <v>0.03</v>
      </c>
      <c r="W23" s="5">
        <v>11930</v>
      </c>
      <c r="X23" s="5">
        <v>93</v>
      </c>
      <c r="Y23" s="7">
        <v>1</v>
      </c>
      <c r="Z23" s="5">
        <v>2000</v>
      </c>
      <c r="AA23" s="5">
        <v>2000</v>
      </c>
    </row>
    <row r="24" spans="1:27" ht="45" customHeight="1" x14ac:dyDescent="0.45">
      <c r="A24" s="3">
        <v>45839</v>
      </c>
      <c r="B24" s="4" t="s">
        <v>89</v>
      </c>
      <c r="C24" s="4" t="s">
        <v>80</v>
      </c>
      <c r="D24" s="4" t="s">
        <v>60</v>
      </c>
      <c r="E24" s="4" t="s">
        <v>91</v>
      </c>
      <c r="F24" s="5">
        <f t="shared" si="0"/>
        <v>2000</v>
      </c>
      <c r="G24" s="5">
        <v>2000</v>
      </c>
      <c r="H24" s="5">
        <v>0</v>
      </c>
      <c r="I24" s="5">
        <v>360000</v>
      </c>
      <c r="J24" s="4"/>
      <c r="K24" s="5">
        <v>152200</v>
      </c>
      <c r="L24" s="5">
        <v>0</v>
      </c>
      <c r="M24" s="5">
        <v>0</v>
      </c>
      <c r="N24" s="5">
        <v>152200</v>
      </c>
      <c r="O24" s="4"/>
      <c r="P24" s="5">
        <v>23063</v>
      </c>
      <c r="Q24" s="5">
        <v>0</v>
      </c>
      <c r="R24" s="5">
        <v>23063</v>
      </c>
      <c r="S24" s="6">
        <v>1</v>
      </c>
      <c r="T24" s="6">
        <v>0</v>
      </c>
      <c r="U24" s="7">
        <v>0</v>
      </c>
      <c r="V24" s="7">
        <v>0</v>
      </c>
      <c r="W24" s="5">
        <v>0</v>
      </c>
      <c r="X24" s="5">
        <v>25</v>
      </c>
      <c r="Y24" s="7">
        <v>1</v>
      </c>
      <c r="Z24" s="5">
        <v>2000</v>
      </c>
      <c r="AA24" s="5">
        <v>2000</v>
      </c>
    </row>
    <row r="25" spans="1:27" ht="45" customHeight="1" x14ac:dyDescent="0.45">
      <c r="A25" s="3">
        <v>45839</v>
      </c>
      <c r="B25" s="4" t="s">
        <v>93</v>
      </c>
      <c r="C25" s="4" t="s">
        <v>80</v>
      </c>
      <c r="D25" s="4" t="s">
        <v>60</v>
      </c>
      <c r="E25" s="4" t="s">
        <v>91</v>
      </c>
      <c r="F25" s="5">
        <f t="shared" si="0"/>
        <v>181.81818181818181</v>
      </c>
      <c r="G25" s="5">
        <v>181.81818181818181</v>
      </c>
      <c r="H25" s="5">
        <v>0</v>
      </c>
      <c r="I25" s="5">
        <v>0</v>
      </c>
      <c r="J25" s="4"/>
      <c r="K25" s="5">
        <v>0</v>
      </c>
      <c r="L25" s="5">
        <v>0</v>
      </c>
      <c r="M25" s="5">
        <v>0</v>
      </c>
      <c r="N25" s="5">
        <v>0</v>
      </c>
      <c r="O25" s="4"/>
      <c r="P25" s="5">
        <v>0</v>
      </c>
      <c r="Q25" s="5">
        <v>0</v>
      </c>
      <c r="R25" s="5">
        <v>0</v>
      </c>
      <c r="S25" s="6">
        <v>0</v>
      </c>
      <c r="T25" s="6">
        <v>0</v>
      </c>
      <c r="U25" s="7">
        <v>0</v>
      </c>
      <c r="V25" s="7">
        <v>0</v>
      </c>
      <c r="W25" s="5">
        <v>0</v>
      </c>
      <c r="X25" s="5">
        <v>0</v>
      </c>
      <c r="Y25" s="7">
        <v>9.0909090909090912E-2</v>
      </c>
      <c r="Z25" s="5">
        <v>2000</v>
      </c>
      <c r="AA25" s="5">
        <v>181.81818181818181</v>
      </c>
    </row>
    <row r="26" spans="1:27" ht="45" customHeight="1" x14ac:dyDescent="0.45">
      <c r="A26" s="3">
        <v>45839</v>
      </c>
      <c r="B26" s="4" t="s">
        <v>94</v>
      </c>
      <c r="C26" s="4" t="s">
        <v>80</v>
      </c>
      <c r="D26" s="4" t="s">
        <v>60</v>
      </c>
      <c r="E26" s="4" t="s">
        <v>91</v>
      </c>
      <c r="F26" s="5">
        <f t="shared" si="0"/>
        <v>363.63636363636363</v>
      </c>
      <c r="G26" s="5">
        <v>363.63636363636363</v>
      </c>
      <c r="H26" s="5">
        <v>0</v>
      </c>
      <c r="I26" s="5">
        <v>0</v>
      </c>
      <c r="J26" s="4"/>
      <c r="K26" s="5">
        <v>0</v>
      </c>
      <c r="L26" s="5">
        <v>0</v>
      </c>
      <c r="M26" s="5">
        <v>0</v>
      </c>
      <c r="N26" s="5">
        <v>0</v>
      </c>
      <c r="O26" s="4"/>
      <c r="P26" s="5">
        <v>0</v>
      </c>
      <c r="Q26" s="5">
        <v>0</v>
      </c>
      <c r="R26" s="5">
        <v>0</v>
      </c>
      <c r="S26" s="6">
        <v>0</v>
      </c>
      <c r="T26" s="6">
        <v>0</v>
      </c>
      <c r="U26" s="7">
        <v>0</v>
      </c>
      <c r="V26" s="7">
        <v>0</v>
      </c>
      <c r="W26" s="5">
        <v>0</v>
      </c>
      <c r="X26" s="5">
        <v>0</v>
      </c>
      <c r="Y26" s="7">
        <v>0.1818181818181818</v>
      </c>
      <c r="Z26" s="5">
        <v>2000</v>
      </c>
      <c r="AA26" s="5">
        <v>363.63636363636363</v>
      </c>
    </row>
    <row r="27" spans="1:27" ht="45" customHeight="1" x14ac:dyDescent="0.45">
      <c r="A27" s="3">
        <v>45870</v>
      </c>
      <c r="B27" s="4" t="s">
        <v>79</v>
      </c>
      <c r="C27" s="4" t="s">
        <v>80</v>
      </c>
      <c r="D27" s="4" t="s">
        <v>60</v>
      </c>
      <c r="E27" s="4" t="s">
        <v>91</v>
      </c>
      <c r="F27" s="5">
        <f t="shared" si="0"/>
        <v>10461.9393</v>
      </c>
      <c r="G27" s="5">
        <v>0</v>
      </c>
      <c r="H27" s="5">
        <v>10461.9393</v>
      </c>
      <c r="I27" s="5">
        <v>705000</v>
      </c>
      <c r="J27" s="5">
        <v>670000</v>
      </c>
      <c r="K27" s="5">
        <v>944937.8</v>
      </c>
      <c r="L27" s="5">
        <v>-365741.95</v>
      </c>
      <c r="M27" s="5">
        <v>0</v>
      </c>
      <c r="N27" s="5">
        <v>579195.85000000009</v>
      </c>
      <c r="O27" s="7">
        <v>0.8644714179104479</v>
      </c>
      <c r="P27" s="5">
        <v>2023</v>
      </c>
      <c r="Q27" s="5">
        <v>0</v>
      </c>
      <c r="R27" s="5">
        <v>2023</v>
      </c>
      <c r="S27" s="5">
        <v>90000</v>
      </c>
      <c r="T27" s="5">
        <v>31123</v>
      </c>
      <c r="U27" s="7">
        <v>0.34581111111111112</v>
      </c>
      <c r="V27" s="7">
        <v>1.7999999999999999E-2</v>
      </c>
      <c r="W27" s="5">
        <v>10461.9393</v>
      </c>
      <c r="X27" s="5">
        <v>20</v>
      </c>
      <c r="Y27" s="7">
        <v>0</v>
      </c>
      <c r="Z27" s="5">
        <v>2000</v>
      </c>
      <c r="AA27" s="5">
        <v>0</v>
      </c>
    </row>
    <row r="28" spans="1:27" ht="45" customHeight="1" x14ac:dyDescent="0.45">
      <c r="A28" s="3">
        <v>45870</v>
      </c>
      <c r="B28" s="4" t="s">
        <v>77</v>
      </c>
      <c r="C28" s="4" t="s">
        <v>80</v>
      </c>
      <c r="D28" s="4" t="s">
        <v>60</v>
      </c>
      <c r="E28" s="4" t="s">
        <v>91</v>
      </c>
      <c r="F28" s="5">
        <f t="shared" si="0"/>
        <v>35873.076000000001</v>
      </c>
      <c r="G28" s="5">
        <v>0</v>
      </c>
      <c r="H28" s="5">
        <v>35873.076000000001</v>
      </c>
      <c r="I28" s="5">
        <v>705000</v>
      </c>
      <c r="J28" s="5">
        <v>670000</v>
      </c>
      <c r="K28" s="5">
        <v>969162.5</v>
      </c>
      <c r="L28" s="5">
        <v>-147704.25</v>
      </c>
      <c r="M28" s="5">
        <v>0</v>
      </c>
      <c r="N28" s="5">
        <v>821458.25</v>
      </c>
      <c r="O28" s="7">
        <v>1.2260570895522389</v>
      </c>
      <c r="P28" s="5">
        <v>75368.649999999994</v>
      </c>
      <c r="Q28" s="5">
        <v>0</v>
      </c>
      <c r="R28" s="5">
        <v>75368.649999999994</v>
      </c>
      <c r="S28" s="5">
        <v>90000</v>
      </c>
      <c r="T28" s="5">
        <v>49055.9</v>
      </c>
      <c r="U28" s="7">
        <v>0.54506555555555558</v>
      </c>
      <c r="V28" s="7">
        <v>0.04</v>
      </c>
      <c r="W28" s="5">
        <v>35873.076000000001</v>
      </c>
      <c r="X28" s="5">
        <v>20</v>
      </c>
      <c r="Y28" s="7">
        <v>0</v>
      </c>
      <c r="Z28" s="5">
        <v>2000</v>
      </c>
      <c r="AA28" s="5">
        <v>0</v>
      </c>
    </row>
    <row r="29" spans="1:27" ht="45" customHeight="1" x14ac:dyDescent="0.45">
      <c r="A29" s="3">
        <v>45870</v>
      </c>
      <c r="B29" s="4" t="s">
        <v>81</v>
      </c>
      <c r="C29" s="4" t="s">
        <v>80</v>
      </c>
      <c r="D29" s="4" t="s">
        <v>60</v>
      </c>
      <c r="E29" s="4" t="s">
        <v>92</v>
      </c>
      <c r="F29" s="5">
        <f t="shared" si="0"/>
        <v>56684.623500000002</v>
      </c>
      <c r="G29" s="5">
        <v>0</v>
      </c>
      <c r="H29" s="5">
        <v>56684.623500000002</v>
      </c>
      <c r="I29" s="5">
        <v>705000</v>
      </c>
      <c r="J29" s="5">
        <v>670000</v>
      </c>
      <c r="K29" s="5">
        <v>1415085.45</v>
      </c>
      <c r="L29" s="5">
        <v>-343524.05</v>
      </c>
      <c r="M29" s="5">
        <v>0</v>
      </c>
      <c r="N29" s="5">
        <v>1071561.3999999999</v>
      </c>
      <c r="O29" s="7">
        <v>1.5993453731343279</v>
      </c>
      <c r="P29" s="5">
        <v>76275.75</v>
      </c>
      <c r="Q29" s="5">
        <v>-14144.68</v>
      </c>
      <c r="R29" s="5">
        <v>62131.07</v>
      </c>
      <c r="S29" s="5">
        <v>90000</v>
      </c>
      <c r="T29" s="5">
        <v>128995.7</v>
      </c>
      <c r="U29" s="7">
        <v>1.433285555555555</v>
      </c>
      <c r="V29" s="7">
        <v>0.05</v>
      </c>
      <c r="W29" s="5">
        <v>56684.623500000002</v>
      </c>
      <c r="X29" s="5">
        <v>88</v>
      </c>
      <c r="Y29" s="7">
        <v>0.88</v>
      </c>
      <c r="Z29" s="5">
        <v>0</v>
      </c>
      <c r="AA29" s="5">
        <v>0</v>
      </c>
    </row>
    <row r="30" spans="1:27" ht="45" customHeight="1" x14ac:dyDescent="0.45">
      <c r="A30" s="3">
        <v>45870</v>
      </c>
      <c r="B30" s="4" t="s">
        <v>82</v>
      </c>
      <c r="C30" s="4" t="s">
        <v>80</v>
      </c>
      <c r="D30" s="4" t="s">
        <v>60</v>
      </c>
      <c r="E30" s="4" t="s">
        <v>91</v>
      </c>
      <c r="F30" s="5">
        <f t="shared" si="0"/>
        <v>37202.274400000002</v>
      </c>
      <c r="G30" s="5">
        <v>0</v>
      </c>
      <c r="H30" s="5">
        <v>37202.274400000002</v>
      </c>
      <c r="I30" s="5">
        <v>705000</v>
      </c>
      <c r="J30" s="5">
        <v>670000</v>
      </c>
      <c r="K30" s="5">
        <v>1214290</v>
      </c>
      <c r="L30" s="5">
        <v>-348563.75</v>
      </c>
      <c r="M30" s="5">
        <v>0</v>
      </c>
      <c r="N30" s="5">
        <v>865726.25</v>
      </c>
      <c r="O30" s="7">
        <v>1.2921287313432841</v>
      </c>
      <c r="P30" s="5">
        <v>68367.5</v>
      </c>
      <c r="Q30" s="5">
        <v>-4036.89</v>
      </c>
      <c r="R30" s="5">
        <v>64330.61</v>
      </c>
      <c r="S30" s="5">
        <v>90000</v>
      </c>
      <c r="T30" s="5">
        <v>43250</v>
      </c>
      <c r="U30" s="7">
        <v>0.48055555555555562</v>
      </c>
      <c r="V30" s="7">
        <v>0.04</v>
      </c>
      <c r="W30" s="5">
        <v>37202.274400000002</v>
      </c>
      <c r="X30" s="5">
        <v>20</v>
      </c>
      <c r="Y30" s="7">
        <v>0</v>
      </c>
      <c r="Z30" s="5">
        <v>2000</v>
      </c>
      <c r="AA30" s="5">
        <v>0</v>
      </c>
    </row>
    <row r="31" spans="1:27" ht="45" customHeight="1" x14ac:dyDescent="0.45">
      <c r="A31" s="3">
        <v>45870</v>
      </c>
      <c r="B31" s="4" t="s">
        <v>83</v>
      </c>
      <c r="C31" s="4" t="s">
        <v>80</v>
      </c>
      <c r="D31" s="4" t="s">
        <v>60</v>
      </c>
      <c r="E31" s="4" t="s">
        <v>91</v>
      </c>
      <c r="F31" s="5">
        <f t="shared" si="0"/>
        <v>45811.618799999997</v>
      </c>
      <c r="G31" s="5">
        <v>2000</v>
      </c>
      <c r="H31" s="5">
        <v>43811.618799999997</v>
      </c>
      <c r="I31" s="5">
        <v>775500</v>
      </c>
      <c r="J31" s="5">
        <v>740500</v>
      </c>
      <c r="K31" s="5">
        <v>1261818.3</v>
      </c>
      <c r="L31" s="5">
        <v>-201755.85</v>
      </c>
      <c r="M31" s="5">
        <v>0</v>
      </c>
      <c r="N31" s="5">
        <v>1060062.45</v>
      </c>
      <c r="O31" s="7">
        <v>1.4315495611073601</v>
      </c>
      <c r="P31" s="5">
        <v>42455.5</v>
      </c>
      <c r="Q31" s="5">
        <v>-7227.48</v>
      </c>
      <c r="R31" s="5">
        <v>35228.019999999997</v>
      </c>
      <c r="S31" s="5">
        <v>90000</v>
      </c>
      <c r="T31" s="5">
        <v>115206</v>
      </c>
      <c r="U31" s="7">
        <v>1.2800666666666669</v>
      </c>
      <c r="V31" s="7">
        <v>0.04</v>
      </c>
      <c r="W31" s="5">
        <v>43811.618799999997</v>
      </c>
      <c r="X31" s="5">
        <v>100</v>
      </c>
      <c r="Y31" s="7">
        <v>1</v>
      </c>
      <c r="Z31" s="5">
        <v>2000</v>
      </c>
      <c r="AA31" s="5">
        <v>2000</v>
      </c>
    </row>
    <row r="32" spans="1:27" ht="45" customHeight="1" x14ac:dyDescent="0.45">
      <c r="A32" s="3">
        <v>45870</v>
      </c>
      <c r="B32" s="4" t="s">
        <v>85</v>
      </c>
      <c r="C32" s="4" t="s">
        <v>80</v>
      </c>
      <c r="D32" s="4" t="s">
        <v>60</v>
      </c>
      <c r="E32" s="4" t="s">
        <v>91</v>
      </c>
      <c r="F32" s="5">
        <f t="shared" si="0"/>
        <v>22612.434600000001</v>
      </c>
      <c r="G32" s="5">
        <v>0</v>
      </c>
      <c r="H32" s="5">
        <v>22612.434600000001</v>
      </c>
      <c r="I32" s="5">
        <v>705000</v>
      </c>
      <c r="J32" s="5">
        <v>670000</v>
      </c>
      <c r="K32" s="5">
        <v>817555</v>
      </c>
      <c r="L32" s="5">
        <v>-110820.9</v>
      </c>
      <c r="M32" s="5">
        <v>0</v>
      </c>
      <c r="N32" s="5">
        <v>706734.1</v>
      </c>
      <c r="O32" s="7">
        <v>1.0548270149253729</v>
      </c>
      <c r="P32" s="5">
        <v>65435</v>
      </c>
      <c r="Q32" s="5">
        <v>-18421.28</v>
      </c>
      <c r="R32" s="5">
        <v>47013.72</v>
      </c>
      <c r="S32" s="5">
        <v>90000</v>
      </c>
      <c r="T32" s="5">
        <v>22100</v>
      </c>
      <c r="U32" s="7">
        <v>0.24555555555555561</v>
      </c>
      <c r="V32" s="7">
        <v>0.03</v>
      </c>
      <c r="W32" s="5">
        <v>22612.434600000001</v>
      </c>
      <c r="X32" s="5">
        <v>20</v>
      </c>
      <c r="Y32" s="7">
        <v>0</v>
      </c>
      <c r="Z32" s="5">
        <v>2000</v>
      </c>
      <c r="AA32" s="5">
        <v>0</v>
      </c>
    </row>
    <row r="33" spans="1:27" ht="45" customHeight="1" x14ac:dyDescent="0.45">
      <c r="A33" s="3">
        <v>45870</v>
      </c>
      <c r="B33" s="4" t="s">
        <v>88</v>
      </c>
      <c r="C33" s="4" t="s">
        <v>80</v>
      </c>
      <c r="D33" s="4" t="s">
        <v>60</v>
      </c>
      <c r="E33" s="4" t="s">
        <v>91</v>
      </c>
      <c r="F33" s="5">
        <f t="shared" si="0"/>
        <v>10462.805</v>
      </c>
      <c r="G33" s="5">
        <v>2000</v>
      </c>
      <c r="H33" s="5">
        <v>8462.8050000000003</v>
      </c>
      <c r="I33" s="5">
        <v>352500</v>
      </c>
      <c r="J33" s="5">
        <v>335000</v>
      </c>
      <c r="K33" s="5">
        <v>343629.75</v>
      </c>
      <c r="L33" s="5">
        <v>0</v>
      </c>
      <c r="M33" s="5">
        <v>0</v>
      </c>
      <c r="N33" s="5">
        <v>343629.75</v>
      </c>
      <c r="O33" s="7">
        <v>1.0257604477611939</v>
      </c>
      <c r="P33" s="5">
        <v>79610.5</v>
      </c>
      <c r="Q33" s="5">
        <v>-100</v>
      </c>
      <c r="R33" s="5">
        <v>79510.5</v>
      </c>
      <c r="S33" s="5">
        <v>30000</v>
      </c>
      <c r="T33" s="5">
        <v>0</v>
      </c>
      <c r="U33" s="7">
        <v>0</v>
      </c>
      <c r="V33" s="7">
        <v>0.02</v>
      </c>
      <c r="W33" s="5">
        <v>8462.8050000000003</v>
      </c>
      <c r="X33" s="5">
        <v>20</v>
      </c>
      <c r="Y33" s="7">
        <v>1</v>
      </c>
      <c r="Z33" s="5">
        <v>2000</v>
      </c>
      <c r="AA33" s="5">
        <v>2000</v>
      </c>
    </row>
    <row r="34" spans="1:27" ht="45" customHeight="1" x14ac:dyDescent="0.45">
      <c r="A34" s="3">
        <v>45870</v>
      </c>
      <c r="B34" s="4" t="s">
        <v>87</v>
      </c>
      <c r="C34" s="4" t="s">
        <v>80</v>
      </c>
      <c r="D34" s="4" t="s">
        <v>60</v>
      </c>
      <c r="E34" s="4" t="s">
        <v>91</v>
      </c>
      <c r="F34" s="5">
        <f t="shared" si="0"/>
        <v>7188.2479999999996</v>
      </c>
      <c r="G34" s="5">
        <v>2000</v>
      </c>
      <c r="H34" s="5">
        <v>5188.2479999999996</v>
      </c>
      <c r="I34" s="5">
        <v>352500</v>
      </c>
      <c r="J34" s="5">
        <v>335000</v>
      </c>
      <c r="K34" s="5">
        <v>301332.8</v>
      </c>
      <c r="L34" s="5">
        <v>-41406.699999999997</v>
      </c>
      <c r="M34" s="5">
        <v>8997.9</v>
      </c>
      <c r="N34" s="5">
        <v>268924</v>
      </c>
      <c r="O34" s="7">
        <v>0.80275820895522387</v>
      </c>
      <c r="P34" s="5">
        <v>19312</v>
      </c>
      <c r="Q34" s="5">
        <v>0</v>
      </c>
      <c r="R34" s="5">
        <v>19312</v>
      </c>
      <c r="S34" s="5">
        <v>30000</v>
      </c>
      <c r="T34" s="5">
        <v>0</v>
      </c>
      <c r="U34" s="7">
        <v>0</v>
      </c>
      <c r="V34" s="7">
        <v>1.7999999999999999E-2</v>
      </c>
      <c r="W34" s="5">
        <v>5188.2479999999996</v>
      </c>
      <c r="X34" s="5">
        <v>0</v>
      </c>
      <c r="Y34" s="7">
        <v>1</v>
      </c>
      <c r="Z34" s="5">
        <v>2000</v>
      </c>
      <c r="AA34" s="5">
        <v>2000</v>
      </c>
    </row>
    <row r="35" spans="1:27" ht="45" customHeight="1" x14ac:dyDescent="0.45">
      <c r="A35" s="3">
        <v>45870</v>
      </c>
      <c r="B35" s="4" t="s">
        <v>89</v>
      </c>
      <c r="C35" s="4" t="s">
        <v>80</v>
      </c>
      <c r="D35" s="4" t="s">
        <v>60</v>
      </c>
      <c r="E35" s="4" t="s">
        <v>91</v>
      </c>
      <c r="F35" s="5">
        <f t="shared" ref="F35:F66" si="1">G35+H35</f>
        <v>2000</v>
      </c>
      <c r="G35" s="5">
        <v>2000</v>
      </c>
      <c r="H35" s="5">
        <v>0</v>
      </c>
      <c r="I35" s="5">
        <v>352500</v>
      </c>
      <c r="J35" s="5">
        <v>335000</v>
      </c>
      <c r="K35" s="5">
        <v>89626.5</v>
      </c>
      <c r="L35" s="5">
        <v>-30188</v>
      </c>
      <c r="M35" s="5">
        <v>0</v>
      </c>
      <c r="N35" s="5">
        <v>59438.5</v>
      </c>
      <c r="O35" s="7">
        <v>0.17742835820895519</v>
      </c>
      <c r="P35" s="5">
        <v>18725.5</v>
      </c>
      <c r="Q35" s="5">
        <v>0</v>
      </c>
      <c r="R35" s="5">
        <v>18725.5</v>
      </c>
      <c r="S35" s="5">
        <v>30000</v>
      </c>
      <c r="T35" s="5">
        <v>0</v>
      </c>
      <c r="U35" s="7">
        <v>0</v>
      </c>
      <c r="V35" s="7">
        <v>0</v>
      </c>
      <c r="W35" s="5">
        <v>0</v>
      </c>
      <c r="X35" s="5">
        <v>0</v>
      </c>
      <c r="Y35" s="7">
        <v>1</v>
      </c>
      <c r="Z35" s="5">
        <v>2000</v>
      </c>
      <c r="AA35" s="5">
        <v>2000</v>
      </c>
    </row>
    <row r="36" spans="1:27" ht="45" customHeight="1" x14ac:dyDescent="0.45">
      <c r="A36" s="3">
        <v>45870</v>
      </c>
      <c r="B36" s="4" t="s">
        <v>93</v>
      </c>
      <c r="C36" s="4" t="s">
        <v>80</v>
      </c>
      <c r="D36" s="4" t="s">
        <v>60</v>
      </c>
      <c r="E36" s="4" t="s">
        <v>91</v>
      </c>
      <c r="F36" s="5">
        <f t="shared" si="1"/>
        <v>29093.8</v>
      </c>
      <c r="G36" s="5">
        <v>2000</v>
      </c>
      <c r="H36" s="5">
        <v>27093.8</v>
      </c>
      <c r="I36" s="5">
        <v>211500</v>
      </c>
      <c r="J36" s="5">
        <v>201000</v>
      </c>
      <c r="K36" s="5">
        <v>538493</v>
      </c>
      <c r="L36" s="5">
        <v>0</v>
      </c>
      <c r="M36" s="5">
        <v>0</v>
      </c>
      <c r="N36" s="5">
        <v>538493</v>
      </c>
      <c r="O36" s="7">
        <v>2.679069651741294</v>
      </c>
      <c r="P36" s="5">
        <v>3383</v>
      </c>
      <c r="Q36" s="5">
        <v>0</v>
      </c>
      <c r="R36" s="5">
        <v>3383</v>
      </c>
      <c r="S36" s="5">
        <v>30000</v>
      </c>
      <c r="T36" s="5">
        <v>129000</v>
      </c>
      <c r="U36" s="7">
        <v>4.3</v>
      </c>
      <c r="V36" s="7">
        <v>0.05</v>
      </c>
      <c r="W36" s="5">
        <v>27093.8</v>
      </c>
      <c r="X36" s="5">
        <v>70</v>
      </c>
      <c r="Y36" s="7">
        <v>1</v>
      </c>
      <c r="Z36" s="5">
        <v>2000</v>
      </c>
      <c r="AA36" s="5">
        <v>2000</v>
      </c>
    </row>
    <row r="37" spans="1:27" ht="45" customHeight="1" x14ac:dyDescent="0.45">
      <c r="A37" s="3">
        <v>45870</v>
      </c>
      <c r="B37" s="4" t="s">
        <v>94</v>
      </c>
      <c r="C37" s="4" t="s">
        <v>80</v>
      </c>
      <c r="D37" s="4" t="s">
        <v>60</v>
      </c>
      <c r="E37" s="4" t="s">
        <v>91</v>
      </c>
      <c r="F37" s="5">
        <f t="shared" si="1"/>
        <v>2000</v>
      </c>
      <c r="G37" s="5">
        <v>2000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7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7">
        <v>0</v>
      </c>
      <c r="V37" s="7">
        <v>0</v>
      </c>
      <c r="W37" s="5">
        <v>0</v>
      </c>
      <c r="X37" s="5">
        <v>0</v>
      </c>
      <c r="Y37" s="7">
        <v>1</v>
      </c>
      <c r="Z37" s="5">
        <v>2000</v>
      </c>
      <c r="AA37" s="5">
        <v>2000</v>
      </c>
    </row>
    <row r="38" spans="1:27" ht="15" customHeight="1" x14ac:dyDescent="0.45">
      <c r="A38" s="3">
        <v>45901</v>
      </c>
      <c r="B38" s="4" t="s">
        <v>82</v>
      </c>
      <c r="C38" s="4" t="s">
        <v>80</v>
      </c>
      <c r="D38" s="4" t="s">
        <v>60</v>
      </c>
      <c r="E38" s="4" t="s">
        <v>95</v>
      </c>
      <c r="F38" s="5">
        <f t="shared" si="1"/>
        <v>32687.759999999998</v>
      </c>
      <c r="G38" s="5">
        <v>2880</v>
      </c>
      <c r="H38" s="5">
        <v>29807.759999999998</v>
      </c>
      <c r="I38" s="5">
        <v>365000</v>
      </c>
      <c r="J38" s="5">
        <v>350000</v>
      </c>
      <c r="K38" s="5">
        <v>1101732.3</v>
      </c>
      <c r="L38" s="5">
        <v>-166811.4</v>
      </c>
      <c r="M38" s="5">
        <v>9900</v>
      </c>
      <c r="N38" s="5">
        <v>944820.9</v>
      </c>
      <c r="O38" s="7">
        <v>2.6994882857142861</v>
      </c>
      <c r="P38" s="5">
        <v>48991</v>
      </c>
      <c r="Q38" s="5">
        <v>-220</v>
      </c>
      <c r="R38" s="5">
        <v>48771</v>
      </c>
      <c r="S38" s="5">
        <v>55000</v>
      </c>
      <c r="T38" s="5">
        <v>50800</v>
      </c>
      <c r="U38" s="7">
        <v>0</v>
      </c>
      <c r="V38" s="7">
        <v>0.03</v>
      </c>
      <c r="W38" s="5">
        <v>29807.757000000001</v>
      </c>
      <c r="X38" s="5">
        <v>75.973110213502594</v>
      </c>
      <c r="Y38" s="7">
        <v>0.75970000000000004</v>
      </c>
      <c r="Z38" s="5">
        <v>4000</v>
      </c>
      <c r="AA38" s="5">
        <v>2880</v>
      </c>
    </row>
    <row r="39" spans="1:27" ht="45" customHeight="1" x14ac:dyDescent="0.45">
      <c r="A39" s="3">
        <v>45901</v>
      </c>
      <c r="B39" s="4" t="s">
        <v>79</v>
      </c>
      <c r="C39" s="4" t="s">
        <v>80</v>
      </c>
      <c r="D39" s="4" t="s">
        <v>60</v>
      </c>
      <c r="E39" s="4" t="s">
        <v>91</v>
      </c>
      <c r="F39" s="5">
        <f t="shared" si="1"/>
        <v>24649.096699999998</v>
      </c>
      <c r="G39" s="5">
        <v>1760</v>
      </c>
      <c r="H39" s="5">
        <v>22889.096699999998</v>
      </c>
      <c r="I39" s="5">
        <v>730000</v>
      </c>
      <c r="J39" s="5">
        <v>700000</v>
      </c>
      <c r="K39" s="5">
        <v>862161.9</v>
      </c>
      <c r="L39" s="5">
        <v>-163216.6</v>
      </c>
      <c r="M39" s="5">
        <v>0</v>
      </c>
      <c r="N39" s="5">
        <v>698945.3</v>
      </c>
      <c r="O39" s="7">
        <v>0.99849328571428575</v>
      </c>
      <c r="P39" s="5">
        <v>67602.899999999994</v>
      </c>
      <c r="Q39" s="5">
        <v>-3578.31</v>
      </c>
      <c r="R39" s="5">
        <v>64024.59</v>
      </c>
      <c r="S39" s="5">
        <v>110000</v>
      </c>
      <c r="T39" s="5">
        <v>140800</v>
      </c>
      <c r="U39" s="7">
        <v>4427.3</v>
      </c>
      <c r="V39" s="7">
        <v>0.03</v>
      </c>
      <c r="W39" s="5">
        <v>22889.096699999998</v>
      </c>
      <c r="X39" s="5">
        <v>88</v>
      </c>
      <c r="Y39" s="7">
        <v>0.88</v>
      </c>
      <c r="Z39" s="5">
        <v>2000</v>
      </c>
      <c r="AA39" s="5">
        <v>1760</v>
      </c>
    </row>
    <row r="40" spans="1:27" ht="45" customHeight="1" x14ac:dyDescent="0.45">
      <c r="A40" s="3">
        <v>45901</v>
      </c>
      <c r="B40" s="4" t="s">
        <v>77</v>
      </c>
      <c r="C40" s="4" t="s">
        <v>80</v>
      </c>
      <c r="D40" s="4" t="s">
        <v>60</v>
      </c>
      <c r="E40" s="4" t="s">
        <v>91</v>
      </c>
      <c r="F40" s="5">
        <f t="shared" si="1"/>
        <v>38107.454909090906</v>
      </c>
      <c r="G40" s="5">
        <v>1761.2909090909091</v>
      </c>
      <c r="H40" s="5">
        <v>36346.163999999997</v>
      </c>
      <c r="I40" s="5">
        <v>730000</v>
      </c>
      <c r="J40" s="5">
        <v>700000</v>
      </c>
      <c r="K40" s="5">
        <v>1088354.1000000001</v>
      </c>
      <c r="L40" s="5">
        <v>-255487</v>
      </c>
      <c r="M40" s="5">
        <v>0</v>
      </c>
      <c r="N40" s="5">
        <v>832867.10000000009</v>
      </c>
      <c r="O40" s="7">
        <v>1.189810142857143</v>
      </c>
      <c r="P40" s="5">
        <v>77899</v>
      </c>
      <c r="Q40" s="5">
        <v>-2112</v>
      </c>
      <c r="R40" s="5">
        <v>75787</v>
      </c>
      <c r="S40" s="5">
        <v>110000</v>
      </c>
      <c r="T40" s="5">
        <v>83742.100000000006</v>
      </c>
      <c r="U40" s="7">
        <v>0</v>
      </c>
      <c r="V40" s="7">
        <v>0.04</v>
      </c>
      <c r="W40" s="5">
        <v>36346.163999999997</v>
      </c>
      <c r="X40" s="5">
        <v>88.064545454545453</v>
      </c>
      <c r="Y40" s="7">
        <v>0.88064545454545451</v>
      </c>
      <c r="Z40" s="5">
        <v>2000</v>
      </c>
      <c r="AA40" s="5">
        <v>1761.2909090909091</v>
      </c>
    </row>
    <row r="41" spans="1:27" ht="45" customHeight="1" x14ac:dyDescent="0.45">
      <c r="A41" s="3">
        <v>45901</v>
      </c>
      <c r="B41" s="4" t="s">
        <v>81</v>
      </c>
      <c r="C41" s="4" t="s">
        <v>80</v>
      </c>
      <c r="D41" s="4" t="s">
        <v>60</v>
      </c>
      <c r="E41" s="4" t="s">
        <v>92</v>
      </c>
      <c r="F41" s="5">
        <f t="shared" si="1"/>
        <v>37865.449999999997</v>
      </c>
      <c r="G41" s="5">
        <v>0</v>
      </c>
      <c r="H41" s="5">
        <v>37865.449999999997</v>
      </c>
      <c r="I41" s="5">
        <v>730000</v>
      </c>
      <c r="J41" s="5">
        <v>700000</v>
      </c>
      <c r="K41" s="5">
        <v>1079758.1499999999</v>
      </c>
      <c r="L41" s="5">
        <v>-211836.3</v>
      </c>
      <c r="M41" s="5">
        <v>0</v>
      </c>
      <c r="N41" s="5">
        <v>867921.84999999986</v>
      </c>
      <c r="O41" s="7">
        <v>1.2398883571428569</v>
      </c>
      <c r="P41" s="5">
        <v>90610</v>
      </c>
      <c r="Q41" s="5">
        <v>-11895.6</v>
      </c>
      <c r="R41" s="5">
        <v>78714.399999999994</v>
      </c>
      <c r="S41" s="5">
        <v>110000</v>
      </c>
      <c r="T41" s="5">
        <v>22121</v>
      </c>
      <c r="U41" s="7">
        <v>3188.8</v>
      </c>
      <c r="V41" s="7">
        <v>0.04</v>
      </c>
      <c r="W41" s="5">
        <v>37865.449999999997</v>
      </c>
      <c r="X41" s="5">
        <v>50</v>
      </c>
      <c r="Y41" s="7">
        <v>0</v>
      </c>
      <c r="Z41" s="5">
        <v>0</v>
      </c>
      <c r="AA41" s="5">
        <v>0</v>
      </c>
    </row>
    <row r="42" spans="1:27" ht="45" customHeight="1" x14ac:dyDescent="0.45">
      <c r="A42" s="3">
        <v>45901</v>
      </c>
      <c r="B42" s="4" t="s">
        <v>83</v>
      </c>
      <c r="C42" s="4" t="s">
        <v>80</v>
      </c>
      <c r="D42" s="4" t="s">
        <v>60</v>
      </c>
      <c r="E42" s="4" t="s">
        <v>91</v>
      </c>
      <c r="F42" s="5">
        <f t="shared" si="1"/>
        <v>24377.160500000002</v>
      </c>
      <c r="G42" s="5">
        <v>2000</v>
      </c>
      <c r="H42" s="5">
        <v>22377.160500000002</v>
      </c>
      <c r="I42" s="5">
        <v>730000</v>
      </c>
      <c r="J42" s="5">
        <v>700000</v>
      </c>
      <c r="K42" s="5">
        <v>779605.65</v>
      </c>
      <c r="L42" s="5">
        <v>-55622</v>
      </c>
      <c r="M42" s="5">
        <v>0</v>
      </c>
      <c r="N42" s="5">
        <v>723983.65</v>
      </c>
      <c r="O42" s="7">
        <v>1.0342623571428571</v>
      </c>
      <c r="P42" s="5">
        <v>21921.7</v>
      </c>
      <c r="Q42" s="5">
        <v>0</v>
      </c>
      <c r="R42" s="5">
        <v>21921.7</v>
      </c>
      <c r="S42" s="5">
        <v>110000</v>
      </c>
      <c r="T42" s="5">
        <v>93103</v>
      </c>
      <c r="U42" s="7">
        <v>0</v>
      </c>
      <c r="V42" s="7">
        <v>0.03</v>
      </c>
      <c r="W42" s="5">
        <v>22377.160500000002</v>
      </c>
      <c r="X42" s="5">
        <v>92.319545454545448</v>
      </c>
      <c r="Y42" s="7">
        <v>1</v>
      </c>
      <c r="Z42" s="5">
        <v>2000</v>
      </c>
      <c r="AA42" s="5">
        <v>2000</v>
      </c>
    </row>
    <row r="43" spans="1:27" ht="45" customHeight="1" x14ac:dyDescent="0.45">
      <c r="A43" s="3">
        <v>45901</v>
      </c>
      <c r="B43" s="4" t="s">
        <v>85</v>
      </c>
      <c r="C43" s="4" t="s">
        <v>80</v>
      </c>
      <c r="D43" s="4" t="s">
        <v>60</v>
      </c>
      <c r="E43" s="4" t="s">
        <v>91</v>
      </c>
      <c r="F43" s="5">
        <f t="shared" si="1"/>
        <v>38426.972000000002</v>
      </c>
      <c r="G43" s="5">
        <v>0</v>
      </c>
      <c r="H43" s="5">
        <v>38426.972000000002</v>
      </c>
      <c r="I43" s="5">
        <v>730000</v>
      </c>
      <c r="J43" s="5">
        <v>700000</v>
      </c>
      <c r="K43" s="5">
        <v>994207.25</v>
      </c>
      <c r="L43" s="5">
        <v>-75242.55</v>
      </c>
      <c r="M43" s="5">
        <v>21000</v>
      </c>
      <c r="N43" s="5">
        <v>939964.7</v>
      </c>
      <c r="O43" s="7">
        <v>1.3428067142857141</v>
      </c>
      <c r="P43" s="5">
        <v>20709.599999999999</v>
      </c>
      <c r="Q43" s="5">
        <v>0</v>
      </c>
      <c r="R43" s="5">
        <v>20709.599999999999</v>
      </c>
      <c r="S43" s="5">
        <v>110000</v>
      </c>
      <c r="T43" s="5">
        <v>50300</v>
      </c>
      <c r="U43" s="7">
        <v>0</v>
      </c>
      <c r="V43" s="7">
        <v>0.04</v>
      </c>
      <c r="W43" s="5">
        <v>38426.972000000002</v>
      </c>
      <c r="X43" s="5">
        <v>44</v>
      </c>
      <c r="Y43" s="7">
        <v>0</v>
      </c>
      <c r="Z43" s="5">
        <v>2000</v>
      </c>
      <c r="AA43" s="5">
        <v>0</v>
      </c>
    </row>
    <row r="44" spans="1:27" ht="45" customHeight="1" x14ac:dyDescent="0.45">
      <c r="A44" s="3">
        <v>45901</v>
      </c>
      <c r="B44" s="4" t="s">
        <v>88</v>
      </c>
      <c r="C44" s="4" t="s">
        <v>80</v>
      </c>
      <c r="D44" s="4" t="s">
        <v>60</v>
      </c>
      <c r="E44" s="4" t="s">
        <v>91</v>
      </c>
      <c r="F44" s="5">
        <f t="shared" si="1"/>
        <v>2000</v>
      </c>
      <c r="G44" s="5">
        <v>2000</v>
      </c>
      <c r="H44" s="5">
        <v>0</v>
      </c>
      <c r="I44" s="5">
        <v>584000</v>
      </c>
      <c r="J44" s="5">
        <v>560000</v>
      </c>
      <c r="K44" s="5">
        <v>16650</v>
      </c>
      <c r="L44" s="5">
        <v>-49800</v>
      </c>
      <c r="M44" s="5">
        <v>0</v>
      </c>
      <c r="N44" s="5">
        <v>-33150</v>
      </c>
      <c r="O44" s="7">
        <v>-5.9196428571428573E-2</v>
      </c>
      <c r="P44" s="5">
        <v>0</v>
      </c>
      <c r="Q44" s="5">
        <v>-11706.59</v>
      </c>
      <c r="R44" s="5">
        <v>-11706.59</v>
      </c>
      <c r="S44" s="5">
        <v>88000</v>
      </c>
      <c r="T44" s="5">
        <v>0</v>
      </c>
      <c r="U44" s="7">
        <v>0</v>
      </c>
      <c r="V44" s="7">
        <v>0</v>
      </c>
      <c r="W44" s="5">
        <v>0</v>
      </c>
      <c r="X44" s="5">
        <v>10</v>
      </c>
      <c r="Y44" s="7">
        <v>1</v>
      </c>
      <c r="Z44" s="5">
        <v>2000</v>
      </c>
      <c r="AA44" s="5">
        <v>2000</v>
      </c>
    </row>
    <row r="45" spans="1:27" ht="45" customHeight="1" x14ac:dyDescent="0.45">
      <c r="A45" s="3">
        <v>45901</v>
      </c>
      <c r="B45" s="4" t="s">
        <v>87</v>
      </c>
      <c r="C45" s="4" t="s">
        <v>80</v>
      </c>
      <c r="D45" s="4" t="s">
        <v>60</v>
      </c>
      <c r="E45" s="4" t="s">
        <v>91</v>
      </c>
      <c r="F45" s="5">
        <f t="shared" si="1"/>
        <v>2000</v>
      </c>
      <c r="G45" s="5">
        <v>2000</v>
      </c>
      <c r="H45" s="5">
        <v>0</v>
      </c>
      <c r="I45" s="5">
        <v>584000</v>
      </c>
      <c r="J45" s="5">
        <v>560000</v>
      </c>
      <c r="K45" s="5">
        <v>234736.8</v>
      </c>
      <c r="L45" s="5">
        <v>-12006.8</v>
      </c>
      <c r="M45" s="5">
        <v>0</v>
      </c>
      <c r="N45" s="5">
        <v>222730</v>
      </c>
      <c r="O45" s="7">
        <v>0.39773214285714292</v>
      </c>
      <c r="P45" s="5">
        <v>12895.4</v>
      </c>
      <c r="Q45" s="5">
        <v>0</v>
      </c>
      <c r="R45" s="5">
        <v>12895.4</v>
      </c>
      <c r="S45" s="5">
        <v>88000</v>
      </c>
      <c r="T45" s="5">
        <v>5480</v>
      </c>
      <c r="U45" s="7">
        <v>0</v>
      </c>
      <c r="V45" s="7">
        <v>0</v>
      </c>
      <c r="W45" s="5">
        <v>0</v>
      </c>
      <c r="X45" s="5">
        <v>30</v>
      </c>
      <c r="Y45" s="7">
        <v>1</v>
      </c>
      <c r="Z45" s="5">
        <v>2000</v>
      </c>
      <c r="AA45" s="5">
        <v>2000</v>
      </c>
    </row>
    <row r="46" spans="1:27" ht="45" customHeight="1" x14ac:dyDescent="0.45">
      <c r="A46" s="3">
        <v>45901</v>
      </c>
      <c r="B46" s="4" t="s">
        <v>89</v>
      </c>
      <c r="C46" s="4" t="s">
        <v>80</v>
      </c>
      <c r="D46" s="4" t="s">
        <v>60</v>
      </c>
      <c r="E46" s="4" t="s">
        <v>91</v>
      </c>
      <c r="F46" s="5">
        <f t="shared" si="1"/>
        <v>2000</v>
      </c>
      <c r="G46" s="5">
        <v>2000</v>
      </c>
      <c r="H46" s="5">
        <v>0</v>
      </c>
      <c r="I46" s="5">
        <v>584000</v>
      </c>
      <c r="J46" s="5">
        <v>560000</v>
      </c>
      <c r="K46" s="5">
        <v>336680.5</v>
      </c>
      <c r="L46" s="5">
        <v>-105511.2</v>
      </c>
      <c r="M46" s="5">
        <v>0</v>
      </c>
      <c r="N46" s="5">
        <v>231169.3</v>
      </c>
      <c r="O46" s="7">
        <v>0.41280232142857137</v>
      </c>
      <c r="P46" s="5">
        <v>21824</v>
      </c>
      <c r="Q46" s="5">
        <v>-80</v>
      </c>
      <c r="R46" s="5">
        <v>21744</v>
      </c>
      <c r="S46" s="5">
        <v>88000</v>
      </c>
      <c r="T46" s="5">
        <v>0</v>
      </c>
      <c r="U46" s="7">
        <v>29682.5</v>
      </c>
      <c r="V46" s="7">
        <v>0</v>
      </c>
      <c r="W46" s="5">
        <v>0</v>
      </c>
      <c r="X46" s="5">
        <v>50</v>
      </c>
      <c r="Y46" s="7">
        <v>1</v>
      </c>
      <c r="Z46" s="5">
        <v>2000</v>
      </c>
      <c r="AA46" s="5">
        <v>2000</v>
      </c>
    </row>
    <row r="47" spans="1:27" ht="45" customHeight="1" x14ac:dyDescent="0.45">
      <c r="A47" s="3">
        <v>45901</v>
      </c>
      <c r="B47" s="4" t="s">
        <v>93</v>
      </c>
      <c r="C47" s="4" t="s">
        <v>80</v>
      </c>
      <c r="D47" s="4" t="s">
        <v>60</v>
      </c>
      <c r="E47" s="4" t="s">
        <v>91</v>
      </c>
      <c r="F47" s="5">
        <f t="shared" si="1"/>
        <v>30596.235000000001</v>
      </c>
      <c r="G47" s="5">
        <v>2000</v>
      </c>
      <c r="H47" s="5">
        <v>28596.235000000001</v>
      </c>
      <c r="I47" s="5">
        <v>365000</v>
      </c>
      <c r="J47" s="5">
        <v>350000</v>
      </c>
      <c r="K47" s="5">
        <v>678414</v>
      </c>
      <c r="L47" s="5">
        <v>-130913.3</v>
      </c>
      <c r="M47" s="5">
        <v>0</v>
      </c>
      <c r="N47" s="5">
        <v>547500.69999999995</v>
      </c>
      <c r="O47" s="7">
        <v>1.5642877142857139</v>
      </c>
      <c r="P47" s="5">
        <v>24514</v>
      </c>
      <c r="Q47" s="5">
        <v>-90</v>
      </c>
      <c r="R47" s="5">
        <v>24424</v>
      </c>
      <c r="S47" s="5">
        <v>55000</v>
      </c>
      <c r="T47" s="5">
        <v>89884</v>
      </c>
      <c r="U47" s="7">
        <v>0</v>
      </c>
      <c r="V47" s="7">
        <v>0.05</v>
      </c>
      <c r="W47" s="5">
        <v>28596.235000000001</v>
      </c>
      <c r="X47" s="5">
        <v>80</v>
      </c>
      <c r="Y47" s="7">
        <v>1</v>
      </c>
      <c r="Z47" s="5">
        <v>2000</v>
      </c>
      <c r="AA47" s="5">
        <v>2000</v>
      </c>
    </row>
    <row r="48" spans="1:27" ht="45" customHeight="1" x14ac:dyDescent="0.45">
      <c r="A48" s="3">
        <v>45901</v>
      </c>
      <c r="B48" s="4" t="s">
        <v>94</v>
      </c>
      <c r="C48" s="4" t="s">
        <v>80</v>
      </c>
      <c r="D48" s="4" t="s">
        <v>60</v>
      </c>
      <c r="E48" s="4" t="s">
        <v>91</v>
      </c>
      <c r="F48" s="5">
        <f t="shared" si="1"/>
        <v>25849.59</v>
      </c>
      <c r="G48" s="5">
        <v>2000</v>
      </c>
      <c r="H48" s="5">
        <v>23849.59</v>
      </c>
      <c r="I48" s="5">
        <v>200000</v>
      </c>
      <c r="J48" s="5">
        <v>192000</v>
      </c>
      <c r="K48" s="5">
        <v>464314</v>
      </c>
      <c r="L48" s="5">
        <v>-43783.3</v>
      </c>
      <c r="M48" s="5">
        <v>0</v>
      </c>
      <c r="N48" s="5">
        <v>420530.7</v>
      </c>
      <c r="O48" s="7">
        <v>2.1902640624999998</v>
      </c>
      <c r="P48" s="5">
        <v>64757.1</v>
      </c>
      <c r="Q48" s="5">
        <v>-8296</v>
      </c>
      <c r="R48" s="5">
        <v>56461.1</v>
      </c>
      <c r="S48" s="5">
        <v>30000</v>
      </c>
      <c r="T48" s="5">
        <v>0</v>
      </c>
      <c r="U48" s="7">
        <v>0</v>
      </c>
      <c r="V48" s="7">
        <v>0.05</v>
      </c>
      <c r="W48" s="5">
        <v>23849.59</v>
      </c>
      <c r="X48" s="5">
        <v>30</v>
      </c>
      <c r="Y48" s="7">
        <v>1</v>
      </c>
      <c r="Z48" s="5">
        <v>2000</v>
      </c>
      <c r="AA48" s="5">
        <v>2000</v>
      </c>
    </row>
    <row r="49" spans="1:27" ht="15" customHeight="1" x14ac:dyDescent="0.45">
      <c r="A49" s="3">
        <v>45931</v>
      </c>
      <c r="B49" s="4" t="s">
        <v>82</v>
      </c>
      <c r="C49" s="4" t="s">
        <v>80</v>
      </c>
      <c r="D49" s="4" t="s">
        <v>60</v>
      </c>
      <c r="E49" s="4" t="s">
        <v>95</v>
      </c>
      <c r="F49" s="5">
        <f t="shared" si="1"/>
        <v>21972.285100000001</v>
      </c>
      <c r="G49" s="5">
        <v>2800</v>
      </c>
      <c r="H49" s="5">
        <v>19172.285100000001</v>
      </c>
      <c r="I49" s="5">
        <v>360000</v>
      </c>
      <c r="J49" s="5">
        <v>345000</v>
      </c>
      <c r="K49" s="5">
        <v>748004</v>
      </c>
      <c r="L49" s="5">
        <v>-123083</v>
      </c>
      <c r="M49" s="5">
        <v>0</v>
      </c>
      <c r="N49" s="5">
        <v>624921</v>
      </c>
      <c r="O49" s="7">
        <v>1.81</v>
      </c>
      <c r="P49" s="5">
        <v>20788</v>
      </c>
      <c r="Q49" s="5">
        <v>-11656</v>
      </c>
      <c r="R49" s="5">
        <v>14156</v>
      </c>
      <c r="S49" s="5">
        <v>60000</v>
      </c>
      <c r="T49" s="5">
        <v>0</v>
      </c>
      <c r="U49" s="7">
        <v>0</v>
      </c>
      <c r="V49" s="7">
        <v>0.03</v>
      </c>
      <c r="W49" s="5">
        <v>19172.29</v>
      </c>
      <c r="X49" s="5">
        <v>75.090457912457921</v>
      </c>
      <c r="Y49" s="7">
        <v>0.75090000000000001</v>
      </c>
      <c r="Z49" s="5">
        <v>4000</v>
      </c>
      <c r="AA49" s="5">
        <v>2800</v>
      </c>
    </row>
    <row r="50" spans="1:27" ht="15" customHeight="1" x14ac:dyDescent="0.45">
      <c r="A50" s="3">
        <v>45931</v>
      </c>
      <c r="B50" s="4" t="s">
        <v>79</v>
      </c>
      <c r="C50" s="4" t="s">
        <v>80</v>
      </c>
      <c r="D50" s="4" t="s">
        <v>60</v>
      </c>
      <c r="E50" s="4" t="s">
        <v>91</v>
      </c>
      <c r="F50" s="5">
        <f t="shared" si="1"/>
        <v>0</v>
      </c>
      <c r="G50" s="5">
        <v>0</v>
      </c>
      <c r="H50" s="5">
        <v>0</v>
      </c>
      <c r="I50" s="5">
        <v>720000</v>
      </c>
      <c r="J50" s="5">
        <v>690000</v>
      </c>
      <c r="K50" s="5">
        <v>325795</v>
      </c>
      <c r="L50" s="5">
        <v>-88429</v>
      </c>
      <c r="M50" s="5">
        <v>0</v>
      </c>
      <c r="N50" s="5">
        <v>237366</v>
      </c>
      <c r="O50" s="7">
        <v>0.34</v>
      </c>
      <c r="P50" s="5">
        <v>14923</v>
      </c>
      <c r="Q50" s="5">
        <v>0</v>
      </c>
      <c r="R50" s="5">
        <v>14923</v>
      </c>
      <c r="S50" s="5">
        <v>90000</v>
      </c>
      <c r="T50" s="5">
        <v>0</v>
      </c>
      <c r="U50" s="7">
        <v>0</v>
      </c>
      <c r="V50" s="7">
        <v>0</v>
      </c>
      <c r="W50" s="5">
        <v>0</v>
      </c>
      <c r="X50" s="5">
        <v>12</v>
      </c>
      <c r="Y50" s="7">
        <v>0</v>
      </c>
      <c r="Z50" s="5">
        <v>2000</v>
      </c>
      <c r="AA50" s="5">
        <v>0</v>
      </c>
    </row>
    <row r="51" spans="1:27" ht="15" customHeight="1" x14ac:dyDescent="0.45">
      <c r="A51" s="3">
        <v>45931</v>
      </c>
      <c r="B51" s="4" t="s">
        <v>77</v>
      </c>
      <c r="C51" s="4" t="s">
        <v>80</v>
      </c>
      <c r="D51" s="4" t="s">
        <v>60</v>
      </c>
      <c r="E51" s="4" t="s">
        <v>91</v>
      </c>
      <c r="F51" s="5">
        <f t="shared" si="1"/>
        <v>10551.62</v>
      </c>
      <c r="G51" s="5">
        <v>0</v>
      </c>
      <c r="H51" s="5">
        <v>10551.62</v>
      </c>
      <c r="I51" s="5">
        <v>720000</v>
      </c>
      <c r="J51" s="5">
        <v>690000</v>
      </c>
      <c r="K51" s="5">
        <v>991317</v>
      </c>
      <c r="L51" s="5">
        <v>-468228</v>
      </c>
      <c r="M51" s="5">
        <v>16350</v>
      </c>
      <c r="N51" s="5">
        <v>539439</v>
      </c>
      <c r="O51" s="7">
        <v>0.78</v>
      </c>
      <c r="P51" s="5">
        <v>38747</v>
      </c>
      <c r="Q51" s="5">
        <v>-979</v>
      </c>
      <c r="R51" s="5">
        <v>46762</v>
      </c>
      <c r="S51" s="5">
        <v>90000</v>
      </c>
      <c r="T51" s="5">
        <v>65070</v>
      </c>
      <c r="U51" s="7">
        <v>0.72</v>
      </c>
      <c r="V51" s="7">
        <v>1.7999999999999999E-2</v>
      </c>
      <c r="W51" s="5">
        <v>10551.62</v>
      </c>
      <c r="X51" s="5">
        <v>56.15</v>
      </c>
      <c r="Y51" s="7">
        <v>0</v>
      </c>
      <c r="Z51" s="5">
        <v>2000</v>
      </c>
      <c r="AA51" s="5">
        <v>0</v>
      </c>
    </row>
    <row r="52" spans="1:27" ht="15" customHeight="1" x14ac:dyDescent="0.45">
      <c r="A52" s="3">
        <v>45931</v>
      </c>
      <c r="B52" s="4" t="s">
        <v>81</v>
      </c>
      <c r="C52" s="4" t="s">
        <v>80</v>
      </c>
      <c r="D52" s="4" t="s">
        <v>60</v>
      </c>
      <c r="E52" s="4" t="s">
        <v>92</v>
      </c>
      <c r="F52" s="5">
        <f t="shared" si="1"/>
        <v>59270.19</v>
      </c>
      <c r="G52" s="5">
        <v>0</v>
      </c>
      <c r="H52" s="5">
        <v>59270.19</v>
      </c>
      <c r="I52" s="5">
        <v>720000</v>
      </c>
      <c r="J52" s="5">
        <v>690000</v>
      </c>
      <c r="K52" s="5">
        <v>1415346</v>
      </c>
      <c r="L52" s="5">
        <v>-333723</v>
      </c>
      <c r="M52" s="5">
        <v>0</v>
      </c>
      <c r="N52" s="5">
        <v>1081623</v>
      </c>
      <c r="O52" s="7">
        <v>1.57</v>
      </c>
      <c r="P52" s="5">
        <v>105877</v>
      </c>
      <c r="Q52" s="5">
        <v>-2096</v>
      </c>
      <c r="R52" s="5">
        <v>103781</v>
      </c>
      <c r="S52" s="5">
        <v>90000</v>
      </c>
      <c r="T52" s="5">
        <v>214818</v>
      </c>
      <c r="U52" s="7">
        <v>2.39</v>
      </c>
      <c r="V52" s="7">
        <v>0.05</v>
      </c>
      <c r="W52" s="5">
        <v>59270.19</v>
      </c>
      <c r="X52" s="5">
        <v>70</v>
      </c>
      <c r="Y52" s="7">
        <v>0.6</v>
      </c>
      <c r="Z52" s="5">
        <v>0</v>
      </c>
      <c r="AA52" s="5">
        <v>0</v>
      </c>
    </row>
    <row r="53" spans="1:27" ht="15" customHeight="1" x14ac:dyDescent="0.45">
      <c r="A53" s="3">
        <v>45931</v>
      </c>
      <c r="B53" s="4" t="s">
        <v>83</v>
      </c>
      <c r="C53" s="4" t="s">
        <v>80</v>
      </c>
      <c r="D53" s="4" t="s">
        <v>60</v>
      </c>
      <c r="E53" s="4" t="s">
        <v>91</v>
      </c>
      <c r="F53" s="5">
        <f t="shared" si="1"/>
        <v>3568.77</v>
      </c>
      <c r="G53" s="5">
        <v>0</v>
      </c>
      <c r="H53" s="5">
        <v>3568.77</v>
      </c>
      <c r="I53" s="5">
        <v>720000</v>
      </c>
      <c r="J53" s="5">
        <v>690000</v>
      </c>
      <c r="K53" s="5">
        <v>489670</v>
      </c>
      <c r="L53" s="5">
        <v>-234019</v>
      </c>
      <c r="M53" s="5">
        <v>151600</v>
      </c>
      <c r="N53" s="5">
        <v>407251</v>
      </c>
      <c r="O53" s="7">
        <v>0.59</v>
      </c>
      <c r="P53" s="5">
        <v>53250</v>
      </c>
      <c r="Q53" s="5">
        <v>-14405</v>
      </c>
      <c r="R53" s="5">
        <v>38845</v>
      </c>
      <c r="S53" s="5">
        <v>90000</v>
      </c>
      <c r="T53" s="5">
        <v>3090</v>
      </c>
      <c r="U53" s="7">
        <v>0.03</v>
      </c>
      <c r="V53" s="7">
        <v>8.0000000000000002E-3</v>
      </c>
      <c r="W53" s="5">
        <v>3568.77</v>
      </c>
      <c r="X53" s="5">
        <v>20</v>
      </c>
      <c r="Y53" s="7">
        <v>0</v>
      </c>
      <c r="Z53" s="5">
        <v>2000</v>
      </c>
      <c r="AA53" s="5">
        <v>0</v>
      </c>
    </row>
    <row r="54" spans="1:27" ht="15" customHeight="1" x14ac:dyDescent="0.45">
      <c r="A54" s="3">
        <v>45931</v>
      </c>
      <c r="B54" s="4" t="s">
        <v>85</v>
      </c>
      <c r="C54" s="4" t="s">
        <v>80</v>
      </c>
      <c r="D54" s="4" t="s">
        <v>60</v>
      </c>
      <c r="E54" s="4" t="s">
        <v>91</v>
      </c>
      <c r="F54" s="5">
        <f t="shared" si="1"/>
        <v>4048.66</v>
      </c>
      <c r="G54" s="5">
        <v>0</v>
      </c>
      <c r="H54" s="5">
        <v>4048.66</v>
      </c>
      <c r="I54" s="5">
        <v>720000</v>
      </c>
      <c r="J54" s="5">
        <v>690000</v>
      </c>
      <c r="K54" s="5">
        <v>777699</v>
      </c>
      <c r="L54" s="5">
        <v>-340536</v>
      </c>
      <c r="M54" s="5">
        <v>12220</v>
      </c>
      <c r="N54" s="5">
        <v>449383</v>
      </c>
      <c r="O54" s="7">
        <v>0.65</v>
      </c>
      <c r="P54" s="5">
        <v>53228</v>
      </c>
      <c r="Q54" s="5">
        <v>-27134</v>
      </c>
      <c r="R54" s="5">
        <v>56700</v>
      </c>
      <c r="S54" s="5">
        <v>90000</v>
      </c>
      <c r="T54" s="5">
        <v>56300</v>
      </c>
      <c r="U54" s="7">
        <v>0.63</v>
      </c>
      <c r="V54" s="7">
        <v>8.0000000000000002E-3</v>
      </c>
      <c r="W54" s="5">
        <v>4048.66</v>
      </c>
      <c r="X54" s="5">
        <v>40</v>
      </c>
      <c r="Y54" s="7">
        <v>0</v>
      </c>
      <c r="Z54" s="5">
        <v>2000</v>
      </c>
      <c r="AA54" s="5">
        <v>0</v>
      </c>
    </row>
    <row r="55" spans="1:27" ht="15" customHeight="1" x14ac:dyDescent="0.45">
      <c r="A55" s="3">
        <v>45931</v>
      </c>
      <c r="B55" s="4" t="s">
        <v>87</v>
      </c>
      <c r="C55" s="4" t="s">
        <v>80</v>
      </c>
      <c r="D55" s="4" t="s">
        <v>60</v>
      </c>
      <c r="E55" s="4" t="s">
        <v>91</v>
      </c>
      <c r="F55" s="5">
        <f t="shared" si="1"/>
        <v>0</v>
      </c>
      <c r="G55" s="5">
        <v>0</v>
      </c>
      <c r="H55" s="5">
        <v>0</v>
      </c>
      <c r="I55" s="5">
        <v>720000</v>
      </c>
      <c r="J55" s="5">
        <v>687000</v>
      </c>
      <c r="K55" s="5">
        <v>492823</v>
      </c>
      <c r="L55" s="5">
        <v>-52255</v>
      </c>
      <c r="M55" s="5">
        <v>0</v>
      </c>
      <c r="N55" s="5">
        <v>440568</v>
      </c>
      <c r="O55" s="7">
        <v>0.64</v>
      </c>
      <c r="P55" s="5">
        <v>13297</v>
      </c>
      <c r="Q55" s="5">
        <v>0</v>
      </c>
      <c r="R55" s="5">
        <v>13297</v>
      </c>
      <c r="S55" s="5">
        <v>60000</v>
      </c>
      <c r="T55" s="5">
        <v>27200</v>
      </c>
      <c r="U55" s="7">
        <v>0.45</v>
      </c>
      <c r="V55" s="7">
        <v>0</v>
      </c>
      <c r="W55" s="5">
        <v>0</v>
      </c>
      <c r="X55" s="5">
        <v>40</v>
      </c>
      <c r="Y55" s="7">
        <v>0</v>
      </c>
      <c r="Z55" s="5">
        <v>2000</v>
      </c>
      <c r="AA55" s="5">
        <v>0</v>
      </c>
    </row>
    <row r="56" spans="1:27" ht="15" customHeight="1" x14ac:dyDescent="0.45">
      <c r="A56" s="3">
        <v>45931</v>
      </c>
      <c r="B56" s="4" t="s">
        <v>89</v>
      </c>
      <c r="C56" s="4" t="s">
        <v>80</v>
      </c>
      <c r="D56" s="4" t="s">
        <v>60</v>
      </c>
      <c r="E56" s="4" t="s">
        <v>91</v>
      </c>
      <c r="F56" s="5">
        <f t="shared" si="1"/>
        <v>0</v>
      </c>
      <c r="G56" s="5">
        <v>0</v>
      </c>
      <c r="H56" s="5">
        <v>0</v>
      </c>
      <c r="I56" s="5">
        <v>720000</v>
      </c>
      <c r="J56" s="5">
        <v>687000</v>
      </c>
      <c r="K56" s="5">
        <v>142400</v>
      </c>
      <c r="L56" s="5">
        <v>-114800</v>
      </c>
      <c r="M56" s="5">
        <v>0</v>
      </c>
      <c r="N56" s="5">
        <v>27600</v>
      </c>
      <c r="O56" s="7">
        <v>0.04</v>
      </c>
      <c r="P56" s="5">
        <v>99137</v>
      </c>
      <c r="Q56" s="5">
        <v>0</v>
      </c>
      <c r="R56" s="5">
        <v>99137</v>
      </c>
      <c r="S56" s="5">
        <v>60000</v>
      </c>
      <c r="T56" s="5">
        <v>0</v>
      </c>
      <c r="U56" s="7">
        <v>0</v>
      </c>
      <c r="V56" s="7">
        <v>0</v>
      </c>
      <c r="W56" s="5">
        <v>0</v>
      </c>
      <c r="X56" s="5">
        <v>10</v>
      </c>
      <c r="Y56" s="7">
        <v>0</v>
      </c>
      <c r="Z56" s="5">
        <v>2000</v>
      </c>
      <c r="AA56" s="5">
        <v>0</v>
      </c>
    </row>
    <row r="57" spans="1:27" ht="15" customHeight="1" x14ac:dyDescent="0.45">
      <c r="A57" s="3">
        <v>45931</v>
      </c>
      <c r="B57" s="4" t="s">
        <v>93</v>
      </c>
      <c r="C57" s="4" t="s">
        <v>80</v>
      </c>
      <c r="D57" s="4" t="s">
        <v>60</v>
      </c>
      <c r="E57" s="4" t="s">
        <v>91</v>
      </c>
      <c r="F57" s="5">
        <f t="shared" si="1"/>
        <v>20098.990000000002</v>
      </c>
      <c r="G57" s="5">
        <v>2000</v>
      </c>
      <c r="H57" s="5">
        <v>18098.990000000002</v>
      </c>
      <c r="I57" s="5">
        <v>576000</v>
      </c>
      <c r="J57" s="5">
        <v>552000</v>
      </c>
      <c r="K57" s="5">
        <v>640720</v>
      </c>
      <c r="L57" s="5">
        <v>-62274</v>
      </c>
      <c r="M57" s="5">
        <v>0</v>
      </c>
      <c r="N57" s="5">
        <v>578446</v>
      </c>
      <c r="O57" s="7">
        <v>1.05</v>
      </c>
      <c r="P57" s="5">
        <v>24854</v>
      </c>
      <c r="Q57" s="5">
        <v>0</v>
      </c>
      <c r="R57" s="5">
        <v>24854</v>
      </c>
      <c r="S57" s="5">
        <v>35000</v>
      </c>
      <c r="T57" s="5">
        <v>93200</v>
      </c>
      <c r="U57" s="7">
        <v>2.66</v>
      </c>
      <c r="V57" s="7">
        <v>0.03</v>
      </c>
      <c r="W57" s="5">
        <v>18098.990000000002</v>
      </c>
      <c r="X57" s="5">
        <v>72</v>
      </c>
      <c r="Y57" s="7">
        <v>1</v>
      </c>
      <c r="Z57" s="5">
        <v>2000</v>
      </c>
      <c r="AA57" s="5">
        <v>2000</v>
      </c>
    </row>
    <row r="58" spans="1:27" ht="15" customHeight="1" x14ac:dyDescent="0.45">
      <c r="A58" s="3">
        <v>45931</v>
      </c>
      <c r="B58" s="4" t="s">
        <v>94</v>
      </c>
      <c r="C58" s="4" t="s">
        <v>80</v>
      </c>
      <c r="D58" s="4" t="s">
        <v>60</v>
      </c>
      <c r="E58" s="4" t="s">
        <v>91</v>
      </c>
      <c r="F58" s="5">
        <f t="shared" si="1"/>
        <v>20091.419999999998</v>
      </c>
      <c r="G58" s="5">
        <v>2000</v>
      </c>
      <c r="H58" s="5">
        <v>18091.419999999998</v>
      </c>
      <c r="I58" s="5">
        <v>360000</v>
      </c>
      <c r="J58" s="5">
        <v>345000</v>
      </c>
      <c r="K58" s="5">
        <v>558781</v>
      </c>
      <c r="L58" s="5">
        <v>-136660</v>
      </c>
      <c r="M58" s="5">
        <v>0</v>
      </c>
      <c r="N58" s="5">
        <v>422121</v>
      </c>
      <c r="O58" s="7">
        <v>1.22</v>
      </c>
      <c r="P58" s="5">
        <v>31068</v>
      </c>
      <c r="Q58" s="5">
        <v>-904</v>
      </c>
      <c r="R58" s="5">
        <v>30164</v>
      </c>
      <c r="S58" s="5">
        <v>35000</v>
      </c>
      <c r="T58" s="5">
        <v>106100</v>
      </c>
      <c r="U58" s="7">
        <v>3.03</v>
      </c>
      <c r="V58" s="7">
        <v>0.04</v>
      </c>
      <c r="W58" s="5">
        <v>18091.419999999998</v>
      </c>
      <c r="X58" s="5">
        <v>76</v>
      </c>
      <c r="Y58" s="7">
        <v>1</v>
      </c>
      <c r="Z58" s="5">
        <v>2000</v>
      </c>
      <c r="AA58" s="5">
        <v>2000</v>
      </c>
    </row>
    <row r="59" spans="1:27" ht="15" customHeight="1" x14ac:dyDescent="0.45">
      <c r="A59" s="3">
        <v>45962</v>
      </c>
      <c r="B59" s="4" t="s">
        <v>82</v>
      </c>
      <c r="C59" s="4" t="s">
        <v>80</v>
      </c>
      <c r="D59" s="4" t="s">
        <v>60</v>
      </c>
      <c r="E59" s="4" t="s">
        <v>95</v>
      </c>
      <c r="F59" s="5">
        <f t="shared" si="1"/>
        <v>18047.91</v>
      </c>
      <c r="G59" s="5">
        <v>3600</v>
      </c>
      <c r="H59" s="5">
        <v>14447.91</v>
      </c>
      <c r="I59" s="5">
        <v>332500</v>
      </c>
      <c r="J59" s="5">
        <v>330000</v>
      </c>
      <c r="K59" s="5">
        <v>618836</v>
      </c>
      <c r="L59" s="5">
        <v>-175808.9</v>
      </c>
      <c r="M59" s="5">
        <v>12220</v>
      </c>
      <c r="N59" s="5">
        <v>455247.1</v>
      </c>
      <c r="O59" s="7">
        <v>1.3795366666666671</v>
      </c>
      <c r="P59" s="5">
        <v>26449.4</v>
      </c>
      <c r="Q59" s="5">
        <v>-100</v>
      </c>
      <c r="R59" s="5">
        <v>26349.4</v>
      </c>
      <c r="S59" s="4"/>
      <c r="T59" s="4"/>
      <c r="U59" s="4"/>
      <c r="V59" s="7">
        <v>0.03</v>
      </c>
      <c r="W59" s="5">
        <v>14447.9</v>
      </c>
      <c r="X59" s="5">
        <v>84.731504424778763</v>
      </c>
      <c r="Y59" s="7">
        <v>0.84730000000000005</v>
      </c>
      <c r="Z59" s="5">
        <v>4000</v>
      </c>
      <c r="AA59" s="5">
        <v>3600</v>
      </c>
    </row>
    <row r="60" spans="1:27" ht="15" customHeight="1" x14ac:dyDescent="0.45">
      <c r="A60" s="3">
        <v>45962</v>
      </c>
      <c r="B60" s="4" t="s">
        <v>79</v>
      </c>
      <c r="C60" s="4" t="s">
        <v>80</v>
      </c>
      <c r="D60" s="4" t="s">
        <v>60</v>
      </c>
      <c r="E60" s="4" t="s">
        <v>91</v>
      </c>
      <c r="F60" s="5">
        <f t="shared" si="1"/>
        <v>9865.49</v>
      </c>
      <c r="G60" s="5">
        <v>0</v>
      </c>
      <c r="H60" s="5">
        <v>9865.49</v>
      </c>
      <c r="I60" s="5">
        <v>599000</v>
      </c>
      <c r="J60" s="5">
        <v>594000</v>
      </c>
      <c r="K60" s="5">
        <v>620080</v>
      </c>
      <c r="L60" s="5">
        <v>-83800</v>
      </c>
      <c r="M60" s="5">
        <v>0</v>
      </c>
      <c r="N60" s="5">
        <v>536280</v>
      </c>
      <c r="O60" s="7">
        <v>0.90282828282828287</v>
      </c>
      <c r="P60" s="5">
        <v>11902.8</v>
      </c>
      <c r="Q60" s="5">
        <v>-100</v>
      </c>
      <c r="R60" s="5">
        <v>11802.8</v>
      </c>
      <c r="S60" s="5">
        <v>80000</v>
      </c>
      <c r="T60" s="5">
        <v>14200</v>
      </c>
      <c r="U60" s="7">
        <v>0.18</v>
      </c>
      <c r="V60" s="7">
        <v>1.7999999999999999E-2</v>
      </c>
      <c r="W60" s="5">
        <v>9865.49</v>
      </c>
      <c r="X60" s="5">
        <v>28</v>
      </c>
      <c r="Y60" s="7">
        <v>0</v>
      </c>
      <c r="Z60" s="5">
        <v>2000</v>
      </c>
      <c r="AA60" s="5">
        <v>0</v>
      </c>
    </row>
    <row r="61" spans="1:27" ht="15" customHeight="1" x14ac:dyDescent="0.45">
      <c r="A61" s="3">
        <v>45962</v>
      </c>
      <c r="B61" s="4" t="s">
        <v>77</v>
      </c>
      <c r="C61" s="4" t="s">
        <v>80</v>
      </c>
      <c r="D61" s="4" t="s">
        <v>60</v>
      </c>
      <c r="E61" s="4" t="s">
        <v>91</v>
      </c>
      <c r="F61" s="5">
        <f t="shared" si="1"/>
        <v>29152.799999999999</v>
      </c>
      <c r="G61" s="5">
        <v>2000</v>
      </c>
      <c r="H61" s="5">
        <v>27152.799999999999</v>
      </c>
      <c r="I61" s="5">
        <v>555000</v>
      </c>
      <c r="J61" s="5">
        <v>550000</v>
      </c>
      <c r="K61" s="5">
        <v>836268</v>
      </c>
      <c r="L61" s="5">
        <v>-214452.5</v>
      </c>
      <c r="M61" s="5">
        <v>17100</v>
      </c>
      <c r="N61" s="5">
        <v>638915.5</v>
      </c>
      <c r="O61" s="7">
        <v>1.161664545454546</v>
      </c>
      <c r="P61" s="5">
        <v>40004.400000000001</v>
      </c>
      <c r="Q61" s="5">
        <v>-100</v>
      </c>
      <c r="R61" s="5">
        <v>39904.400000000001</v>
      </c>
      <c r="S61" s="5">
        <v>80000</v>
      </c>
      <c r="T61" s="5">
        <v>106100</v>
      </c>
      <c r="U61" s="7">
        <v>1.33</v>
      </c>
      <c r="V61" s="7">
        <v>0.04</v>
      </c>
      <c r="W61" s="5">
        <v>27152.799999999999</v>
      </c>
      <c r="X61" s="5">
        <v>90</v>
      </c>
      <c r="Y61" s="7">
        <v>1</v>
      </c>
      <c r="Z61" s="5">
        <v>2000</v>
      </c>
      <c r="AA61" s="5">
        <v>2000</v>
      </c>
    </row>
    <row r="62" spans="1:27" ht="15" customHeight="1" x14ac:dyDescent="0.45">
      <c r="A62" s="3">
        <v>45962</v>
      </c>
      <c r="B62" s="4" t="s">
        <v>81</v>
      </c>
      <c r="C62" s="4" t="s">
        <v>80</v>
      </c>
      <c r="D62" s="4" t="s">
        <v>60</v>
      </c>
      <c r="E62" s="4" t="s">
        <v>92</v>
      </c>
      <c r="F62" s="5">
        <f t="shared" si="1"/>
        <v>8239.41</v>
      </c>
      <c r="G62" s="5">
        <v>0</v>
      </c>
      <c r="H62" s="5">
        <v>8239.41</v>
      </c>
      <c r="I62" s="5">
        <v>555000</v>
      </c>
      <c r="J62" s="5">
        <v>550000</v>
      </c>
      <c r="K62" s="5">
        <v>648333.70000000007</v>
      </c>
      <c r="L62" s="5">
        <v>-193109.1</v>
      </c>
      <c r="M62" s="5">
        <v>-6400</v>
      </c>
      <c r="N62" s="5">
        <v>448824.60000000009</v>
      </c>
      <c r="O62" s="7">
        <v>0.81604472727272748</v>
      </c>
      <c r="P62" s="5">
        <v>18470.599999999999</v>
      </c>
      <c r="Q62" s="5">
        <v>-9550</v>
      </c>
      <c r="R62" s="5">
        <v>8920.5999999999985</v>
      </c>
      <c r="S62" s="5">
        <v>80000</v>
      </c>
      <c r="T62" s="5">
        <v>3366</v>
      </c>
      <c r="U62" s="7">
        <v>0.04</v>
      </c>
      <c r="V62" s="7">
        <v>1.7999999999999999E-2</v>
      </c>
      <c r="W62" s="5">
        <v>8239.41</v>
      </c>
      <c r="X62" s="5">
        <v>20</v>
      </c>
      <c r="Y62" s="7">
        <v>0</v>
      </c>
      <c r="Z62" s="5">
        <v>0</v>
      </c>
      <c r="AA62" s="5">
        <v>0</v>
      </c>
    </row>
    <row r="63" spans="1:27" ht="15" customHeight="1" x14ac:dyDescent="0.45">
      <c r="A63" s="3">
        <v>45962</v>
      </c>
      <c r="B63" s="4" t="s">
        <v>83</v>
      </c>
      <c r="C63" s="4" t="s">
        <v>80</v>
      </c>
      <c r="D63" s="4" t="s">
        <v>60</v>
      </c>
      <c r="E63" s="4" t="s">
        <v>91</v>
      </c>
      <c r="F63" s="5">
        <f t="shared" si="1"/>
        <v>0</v>
      </c>
      <c r="G63" s="5">
        <v>0</v>
      </c>
      <c r="H63" s="5">
        <v>0</v>
      </c>
      <c r="I63" s="5">
        <v>555000</v>
      </c>
      <c r="J63" s="5">
        <v>550000</v>
      </c>
      <c r="K63" s="5">
        <v>183650</v>
      </c>
      <c r="L63" s="5">
        <v>-37829</v>
      </c>
      <c r="M63" s="5">
        <v>0</v>
      </c>
      <c r="N63" s="5">
        <v>145821</v>
      </c>
      <c r="O63" s="7">
        <v>0.26512909090909093</v>
      </c>
      <c r="P63" s="5">
        <v>8263.1</v>
      </c>
      <c r="Q63" s="5">
        <v>-100</v>
      </c>
      <c r="R63" s="5">
        <v>8163.1</v>
      </c>
      <c r="S63" s="5">
        <v>80000</v>
      </c>
      <c r="T63" s="5">
        <v>54800</v>
      </c>
      <c r="U63" s="7">
        <v>0.69</v>
      </c>
      <c r="V63" s="7">
        <v>0</v>
      </c>
      <c r="W63" s="5">
        <v>0</v>
      </c>
      <c r="X63" s="5">
        <v>50</v>
      </c>
      <c r="Y63" s="7">
        <v>0</v>
      </c>
      <c r="Z63" s="5">
        <v>2000</v>
      </c>
      <c r="AA63" s="5">
        <v>0</v>
      </c>
    </row>
    <row r="64" spans="1:27" ht="15" customHeight="1" x14ac:dyDescent="0.45">
      <c r="A64" s="3">
        <v>45962</v>
      </c>
      <c r="B64" s="4" t="s">
        <v>85</v>
      </c>
      <c r="C64" s="4" t="s">
        <v>80</v>
      </c>
      <c r="D64" s="4" t="s">
        <v>60</v>
      </c>
      <c r="E64" s="4" t="s">
        <v>91</v>
      </c>
      <c r="F64" s="5">
        <f t="shared" si="1"/>
        <v>22992.59</v>
      </c>
      <c r="G64" s="5">
        <v>0</v>
      </c>
      <c r="H64" s="5">
        <v>22992.59</v>
      </c>
      <c r="I64" s="5">
        <v>478000</v>
      </c>
      <c r="J64" s="5">
        <v>473000</v>
      </c>
      <c r="K64" s="5">
        <v>696219.1</v>
      </c>
      <c r="L64" s="5">
        <v>-133486.1</v>
      </c>
      <c r="M64" s="5">
        <v>0</v>
      </c>
      <c r="N64" s="5">
        <v>562733</v>
      </c>
      <c r="O64" s="7">
        <v>1.189710359408034</v>
      </c>
      <c r="P64" s="5">
        <v>12181.85</v>
      </c>
      <c r="Q64" s="5">
        <v>-100</v>
      </c>
      <c r="R64" s="5">
        <v>12081.85</v>
      </c>
      <c r="S64" s="5">
        <v>40000</v>
      </c>
      <c r="T64" s="5">
        <v>0</v>
      </c>
      <c r="U64" s="7">
        <v>0</v>
      </c>
      <c r="V64" s="7">
        <v>0.04</v>
      </c>
      <c r="W64" s="5">
        <v>22992.59</v>
      </c>
      <c r="X64" s="5">
        <v>30</v>
      </c>
      <c r="Y64" s="7">
        <v>0</v>
      </c>
      <c r="Z64" s="5">
        <v>2000</v>
      </c>
      <c r="AA64" s="5">
        <v>0</v>
      </c>
    </row>
    <row r="65" spans="1:27" ht="15" customHeight="1" x14ac:dyDescent="0.45">
      <c r="A65" s="3">
        <v>45962</v>
      </c>
      <c r="B65" s="4" t="s">
        <v>87</v>
      </c>
      <c r="C65" s="4" t="s">
        <v>80</v>
      </c>
      <c r="D65" s="4" t="s">
        <v>60</v>
      </c>
      <c r="E65" s="4" t="s">
        <v>91</v>
      </c>
      <c r="F65" s="5">
        <f t="shared" si="1"/>
        <v>0</v>
      </c>
      <c r="G65" s="5">
        <v>0</v>
      </c>
      <c r="H65" s="5">
        <v>0</v>
      </c>
      <c r="I65" s="5">
        <v>522000</v>
      </c>
      <c r="J65" s="5">
        <v>517000</v>
      </c>
      <c r="K65" s="5">
        <v>203322</v>
      </c>
      <c r="L65" s="5">
        <v>-39000</v>
      </c>
      <c r="M65" s="5">
        <v>0</v>
      </c>
      <c r="N65" s="5">
        <v>164322</v>
      </c>
      <c r="O65" s="7">
        <v>0.31783752417794969</v>
      </c>
      <c r="P65" s="5">
        <v>4286.3999999999996</v>
      </c>
      <c r="Q65" s="5">
        <v>-1415.39</v>
      </c>
      <c r="R65" s="5">
        <v>2871.0099999999989</v>
      </c>
      <c r="S65" s="5">
        <v>40000</v>
      </c>
      <c r="T65" s="5">
        <v>0</v>
      </c>
      <c r="U65" s="7">
        <v>0</v>
      </c>
      <c r="V65" s="7">
        <v>0</v>
      </c>
      <c r="W65" s="5">
        <v>0</v>
      </c>
      <c r="X65" s="5">
        <v>20</v>
      </c>
      <c r="Y65" s="7">
        <v>0</v>
      </c>
      <c r="Z65" s="5">
        <v>2000</v>
      </c>
      <c r="AA65" s="5">
        <v>0</v>
      </c>
    </row>
    <row r="66" spans="1:27" ht="15" customHeight="1" x14ac:dyDescent="0.45">
      <c r="A66" s="3">
        <v>45962</v>
      </c>
      <c r="B66" s="4" t="s">
        <v>93</v>
      </c>
      <c r="C66" s="4" t="s">
        <v>80</v>
      </c>
      <c r="D66" s="4" t="s">
        <v>60</v>
      </c>
      <c r="E66" s="4" t="s">
        <v>91</v>
      </c>
      <c r="F66" s="5">
        <f t="shared" si="1"/>
        <v>22951.78</v>
      </c>
      <c r="G66" s="5">
        <v>0</v>
      </c>
      <c r="H66" s="5">
        <v>22951.78</v>
      </c>
      <c r="I66" s="5">
        <v>478000</v>
      </c>
      <c r="J66" s="5">
        <v>473000</v>
      </c>
      <c r="K66" s="5">
        <v>602381.6</v>
      </c>
      <c r="L66" s="5">
        <v>-54321.599999999999</v>
      </c>
      <c r="M66" s="5">
        <v>0</v>
      </c>
      <c r="N66" s="5">
        <v>548060</v>
      </c>
      <c r="O66" s="7">
        <v>1.1586892177589849</v>
      </c>
      <c r="P66" s="5">
        <v>25814.400000000001</v>
      </c>
      <c r="Q66" s="5">
        <v>-80</v>
      </c>
      <c r="R66" s="5">
        <v>25734.400000000001</v>
      </c>
      <c r="S66" s="5">
        <v>40000</v>
      </c>
      <c r="T66" s="5">
        <v>14856</v>
      </c>
      <c r="U66" s="7">
        <v>0.37</v>
      </c>
      <c r="V66" s="7">
        <v>0.04</v>
      </c>
      <c r="W66" s="5">
        <v>22951.78</v>
      </c>
      <c r="X66" s="5">
        <v>38</v>
      </c>
      <c r="Y66" s="7">
        <v>0</v>
      </c>
      <c r="Z66" s="5">
        <v>2000</v>
      </c>
      <c r="AA66" s="5">
        <v>0</v>
      </c>
    </row>
    <row r="67" spans="1:27" ht="15" customHeight="1" x14ac:dyDescent="0.45">
      <c r="A67" s="3">
        <v>45962</v>
      </c>
      <c r="B67" s="4" t="s">
        <v>94</v>
      </c>
      <c r="C67" s="4" t="s">
        <v>80</v>
      </c>
      <c r="D67" s="4" t="s">
        <v>60</v>
      </c>
      <c r="E67" s="4" t="s">
        <v>91</v>
      </c>
      <c r="F67" s="5">
        <f t="shared" ref="F67:F98" si="2">G67+H67</f>
        <v>12686.34</v>
      </c>
      <c r="G67" s="5">
        <v>2000</v>
      </c>
      <c r="H67" s="5">
        <v>10686.34</v>
      </c>
      <c r="I67" s="5">
        <v>356000</v>
      </c>
      <c r="J67" s="5">
        <v>352000</v>
      </c>
      <c r="K67" s="5">
        <v>373299.5</v>
      </c>
      <c r="L67" s="5">
        <v>-81040.3</v>
      </c>
      <c r="M67" s="5">
        <v>17100</v>
      </c>
      <c r="N67" s="5">
        <v>309359.2</v>
      </c>
      <c r="O67" s="7">
        <v>0.87886136363636369</v>
      </c>
      <c r="P67" s="5">
        <v>46952.05</v>
      </c>
      <c r="Q67" s="5">
        <v>-100</v>
      </c>
      <c r="R67" s="5">
        <v>46852.05</v>
      </c>
      <c r="S67" s="5">
        <v>40000</v>
      </c>
      <c r="T67" s="5">
        <v>70300</v>
      </c>
      <c r="U67" s="7">
        <v>1.76</v>
      </c>
      <c r="V67" s="7">
        <v>0.03</v>
      </c>
      <c r="W67" s="5">
        <v>10686.34</v>
      </c>
      <c r="X67" s="5">
        <v>90</v>
      </c>
      <c r="Y67" s="7">
        <v>1</v>
      </c>
      <c r="Z67" s="5">
        <v>2000</v>
      </c>
      <c r="AA67" s="5">
        <v>2000</v>
      </c>
    </row>
    <row r="68" spans="1:27" ht="15" customHeight="1" x14ac:dyDescent="0.45">
      <c r="A68" s="3">
        <v>45992</v>
      </c>
      <c r="B68" s="8" t="s">
        <v>82</v>
      </c>
      <c r="C68" s="4" t="s">
        <v>80</v>
      </c>
      <c r="D68" s="4" t="s">
        <v>60</v>
      </c>
      <c r="E68" s="4" t="s">
        <v>95</v>
      </c>
      <c r="F68" s="5">
        <f t="shared" si="2"/>
        <v>10311.299999999999</v>
      </c>
      <c r="G68" s="5">
        <v>0</v>
      </c>
      <c r="H68" s="5">
        <v>10311.299999999999</v>
      </c>
      <c r="I68" s="5">
        <v>262000</v>
      </c>
      <c r="J68" s="5">
        <v>255000</v>
      </c>
      <c r="K68" s="5">
        <v>439100</v>
      </c>
      <c r="L68" s="5">
        <v>-139285</v>
      </c>
      <c r="M68" s="5">
        <v>0</v>
      </c>
      <c r="N68" s="5">
        <v>299816</v>
      </c>
      <c r="O68" s="7">
        <v>1.18</v>
      </c>
      <c r="P68" s="5">
        <v>44144</v>
      </c>
      <c r="Q68" s="5">
        <v>-250</v>
      </c>
      <c r="R68" s="5">
        <v>43894</v>
      </c>
      <c r="S68" s="4"/>
      <c r="T68" s="4"/>
      <c r="U68" s="4"/>
      <c r="V68" s="7">
        <v>0.04</v>
      </c>
      <c r="W68" s="5">
        <v>13748.4</v>
      </c>
      <c r="X68" s="5">
        <v>30</v>
      </c>
      <c r="Y68" s="7">
        <v>0.3</v>
      </c>
      <c r="Z68" s="5">
        <v>4000</v>
      </c>
      <c r="AA68" s="5">
        <v>0</v>
      </c>
    </row>
    <row r="69" spans="1:27" ht="15" customHeight="1" x14ac:dyDescent="0.45">
      <c r="A69" s="3">
        <v>45992</v>
      </c>
      <c r="B69" s="4" t="s">
        <v>79</v>
      </c>
      <c r="C69" s="4" t="s">
        <v>80</v>
      </c>
      <c r="D69" s="4" t="s">
        <v>60</v>
      </c>
      <c r="E69" s="4" t="s">
        <v>91</v>
      </c>
      <c r="F69" s="5">
        <f t="shared" si="2"/>
        <v>2795.71</v>
      </c>
      <c r="G69" s="5">
        <v>0</v>
      </c>
      <c r="H69" s="5">
        <v>2795.71</v>
      </c>
      <c r="I69" s="5">
        <v>474000</v>
      </c>
      <c r="J69" s="5">
        <v>460000</v>
      </c>
      <c r="K69" s="5">
        <v>446520</v>
      </c>
      <c r="L69" s="5">
        <v>-111760</v>
      </c>
      <c r="M69" s="5">
        <v>0</v>
      </c>
      <c r="N69" s="5">
        <v>334760</v>
      </c>
      <c r="O69" s="7">
        <v>0.72773913043478256</v>
      </c>
      <c r="P69" s="5">
        <v>14703.6</v>
      </c>
      <c r="Q69" s="5">
        <v>0</v>
      </c>
      <c r="R69" s="5">
        <v>14703.6</v>
      </c>
      <c r="S69" s="5">
        <v>100000</v>
      </c>
      <c r="T69" s="5">
        <v>42300</v>
      </c>
      <c r="U69" s="7">
        <v>0.42</v>
      </c>
      <c r="V69" s="7">
        <v>8.0000000000000002E-3</v>
      </c>
      <c r="W69" s="5">
        <v>2795.71</v>
      </c>
      <c r="X69" s="5">
        <v>22</v>
      </c>
      <c r="Y69" s="7">
        <v>0</v>
      </c>
      <c r="Z69" s="5">
        <v>2000</v>
      </c>
      <c r="AA69" s="5">
        <v>0</v>
      </c>
    </row>
    <row r="70" spans="1:27" ht="15" customHeight="1" x14ac:dyDescent="0.45">
      <c r="A70" s="3">
        <v>45992</v>
      </c>
      <c r="B70" s="4" t="s">
        <v>77</v>
      </c>
      <c r="C70" s="4" t="s">
        <v>80</v>
      </c>
      <c r="D70" s="4" t="s">
        <v>60</v>
      </c>
      <c r="E70" s="4" t="s">
        <v>91</v>
      </c>
      <c r="F70" s="5">
        <f t="shared" si="2"/>
        <v>22924.080000000002</v>
      </c>
      <c r="G70" s="5">
        <v>0</v>
      </c>
      <c r="H70" s="5">
        <v>22924.080000000002</v>
      </c>
      <c r="I70" s="5">
        <v>474000</v>
      </c>
      <c r="J70" s="5">
        <v>460000</v>
      </c>
      <c r="K70" s="5">
        <v>602497</v>
      </c>
      <c r="L70" s="5">
        <v>-38991</v>
      </c>
      <c r="M70" s="5">
        <v>0</v>
      </c>
      <c r="N70" s="5">
        <v>563506</v>
      </c>
      <c r="O70" s="7">
        <v>1.2250130434782609</v>
      </c>
      <c r="P70" s="5">
        <v>9596.1</v>
      </c>
      <c r="Q70" s="5">
        <v>0</v>
      </c>
      <c r="R70" s="5">
        <v>9596.1</v>
      </c>
      <c r="S70" s="5">
        <v>100000</v>
      </c>
      <c r="T70" s="5">
        <v>0</v>
      </c>
      <c r="U70" s="7">
        <v>0</v>
      </c>
      <c r="V70" s="7">
        <v>0.04</v>
      </c>
      <c r="W70" s="5">
        <v>22924.080000000002</v>
      </c>
      <c r="X70" s="5">
        <v>8</v>
      </c>
      <c r="Y70" s="7">
        <v>0</v>
      </c>
      <c r="Z70" s="5">
        <v>2000</v>
      </c>
      <c r="AA70" s="5">
        <v>0</v>
      </c>
    </row>
    <row r="71" spans="1:27" ht="15" customHeight="1" x14ac:dyDescent="0.45">
      <c r="A71" s="3">
        <v>45992</v>
      </c>
      <c r="B71" s="4" t="s">
        <v>81</v>
      </c>
      <c r="C71" s="4" t="s">
        <v>80</v>
      </c>
      <c r="D71" s="4" t="s">
        <v>60</v>
      </c>
      <c r="E71" s="4" t="s">
        <v>92</v>
      </c>
      <c r="F71" s="5">
        <f t="shared" si="2"/>
        <v>35832.910000000003</v>
      </c>
      <c r="G71" s="5">
        <v>0</v>
      </c>
      <c r="H71" s="5">
        <v>35832.910000000003</v>
      </c>
      <c r="I71" s="5">
        <v>474000</v>
      </c>
      <c r="J71" s="5">
        <v>460000</v>
      </c>
      <c r="K71" s="5">
        <v>770023</v>
      </c>
      <c r="L71" s="5">
        <v>-69496</v>
      </c>
      <c r="M71" s="5">
        <v>1280</v>
      </c>
      <c r="N71" s="5">
        <v>701807</v>
      </c>
      <c r="O71" s="7">
        <v>1.53</v>
      </c>
      <c r="P71" s="5">
        <v>46205</v>
      </c>
      <c r="Q71" s="5">
        <v>-31354</v>
      </c>
      <c r="R71" s="5">
        <v>14851</v>
      </c>
      <c r="S71" s="5">
        <v>100000</v>
      </c>
      <c r="T71" s="5">
        <v>104487</v>
      </c>
      <c r="U71" s="7">
        <v>1.04</v>
      </c>
      <c r="V71" s="7">
        <v>0.05</v>
      </c>
      <c r="W71" s="5">
        <v>35832.910000000003</v>
      </c>
      <c r="X71" s="5">
        <v>70</v>
      </c>
      <c r="Y71" s="7">
        <v>0.6</v>
      </c>
      <c r="Z71" s="5">
        <v>0</v>
      </c>
      <c r="AA71" s="5">
        <v>0</v>
      </c>
    </row>
    <row r="72" spans="1:27" ht="15" customHeight="1" x14ac:dyDescent="0.45">
      <c r="A72" s="3">
        <v>45992</v>
      </c>
      <c r="B72" s="4" t="s">
        <v>83</v>
      </c>
      <c r="C72" s="4" t="s">
        <v>80</v>
      </c>
      <c r="D72" s="4" t="s">
        <v>60</v>
      </c>
      <c r="E72" s="4" t="s">
        <v>91</v>
      </c>
      <c r="F72" s="5">
        <f t="shared" si="2"/>
        <v>0</v>
      </c>
      <c r="G72" s="5">
        <v>0</v>
      </c>
      <c r="H72" s="5">
        <v>0</v>
      </c>
      <c r="I72" s="5">
        <v>515000</v>
      </c>
      <c r="J72" s="5">
        <v>501000</v>
      </c>
      <c r="K72" s="5">
        <v>197806</v>
      </c>
      <c r="L72" s="5">
        <v>-93640.3</v>
      </c>
      <c r="M72" s="5">
        <v>0</v>
      </c>
      <c r="N72" s="5">
        <v>104165.7</v>
      </c>
      <c r="O72" s="7">
        <v>0.20791556886227541</v>
      </c>
      <c r="P72" s="5">
        <v>11520</v>
      </c>
      <c r="Q72" s="5">
        <v>0</v>
      </c>
      <c r="R72" s="5">
        <v>11520</v>
      </c>
      <c r="S72" s="5">
        <v>100000</v>
      </c>
      <c r="T72" s="5">
        <v>0</v>
      </c>
      <c r="U72" s="7">
        <v>0</v>
      </c>
      <c r="V72" s="7">
        <v>0</v>
      </c>
      <c r="W72" s="5">
        <v>0</v>
      </c>
      <c r="X72" s="5">
        <v>30</v>
      </c>
      <c r="Y72" s="7">
        <v>0</v>
      </c>
      <c r="Z72" s="5">
        <v>2000</v>
      </c>
      <c r="AA72" s="5">
        <v>0</v>
      </c>
    </row>
    <row r="73" spans="1:27" ht="15" customHeight="1" x14ac:dyDescent="0.45">
      <c r="A73" s="3">
        <v>45992</v>
      </c>
      <c r="B73" s="4" t="s">
        <v>85</v>
      </c>
      <c r="C73" s="4" t="s">
        <v>80</v>
      </c>
      <c r="D73" s="4" t="s">
        <v>60</v>
      </c>
      <c r="E73" s="4" t="s">
        <v>91</v>
      </c>
      <c r="F73" s="5">
        <f t="shared" si="2"/>
        <v>13332.97</v>
      </c>
      <c r="G73" s="5">
        <v>0</v>
      </c>
      <c r="H73" s="5">
        <v>13332.97</v>
      </c>
      <c r="I73" s="5">
        <v>439000</v>
      </c>
      <c r="J73" s="5">
        <v>425000</v>
      </c>
      <c r="K73" s="5">
        <v>463294</v>
      </c>
      <c r="L73" s="5">
        <v>-31550</v>
      </c>
      <c r="M73" s="5">
        <v>0</v>
      </c>
      <c r="N73" s="5">
        <v>431744</v>
      </c>
      <c r="O73" s="7">
        <v>1.015868235294118</v>
      </c>
      <c r="P73" s="5">
        <v>12688.2</v>
      </c>
      <c r="Q73" s="5">
        <v>0</v>
      </c>
      <c r="R73" s="5">
        <v>12688.2</v>
      </c>
      <c r="S73" s="5">
        <v>80000</v>
      </c>
      <c r="T73" s="5">
        <v>54800</v>
      </c>
      <c r="U73" s="7">
        <v>0.69</v>
      </c>
      <c r="V73" s="7">
        <v>0.03</v>
      </c>
      <c r="W73" s="5">
        <v>13332.97</v>
      </c>
      <c r="X73" s="5">
        <v>50</v>
      </c>
      <c r="Y73" s="7">
        <v>0</v>
      </c>
      <c r="Z73" s="5">
        <v>2000</v>
      </c>
      <c r="AA73" s="5">
        <v>0</v>
      </c>
    </row>
    <row r="74" spans="1:27" ht="15" customHeight="1" x14ac:dyDescent="0.45">
      <c r="A74" s="3">
        <v>45992</v>
      </c>
      <c r="B74" s="4" t="s">
        <v>87</v>
      </c>
      <c r="C74" s="4" t="s">
        <v>80</v>
      </c>
      <c r="D74" s="4" t="s">
        <v>60</v>
      </c>
      <c r="E74" s="4" t="s">
        <v>91</v>
      </c>
      <c r="F74" s="5">
        <f t="shared" si="2"/>
        <v>0</v>
      </c>
      <c r="G74" s="5">
        <v>0</v>
      </c>
      <c r="H74" s="5">
        <v>0</v>
      </c>
      <c r="I74" s="5">
        <v>480000</v>
      </c>
      <c r="J74" s="5">
        <v>466000</v>
      </c>
      <c r="K74" s="5">
        <v>42250</v>
      </c>
      <c r="L74" s="5">
        <v>0</v>
      </c>
      <c r="M74" s="5">
        <v>0</v>
      </c>
      <c r="N74" s="5">
        <v>42250</v>
      </c>
      <c r="O74" s="7">
        <v>9.0665236051502146E-2</v>
      </c>
      <c r="P74" s="5">
        <v>24402</v>
      </c>
      <c r="Q74" s="5">
        <v>-180</v>
      </c>
      <c r="R74" s="5">
        <v>24222</v>
      </c>
      <c r="S74" s="5">
        <v>80000</v>
      </c>
      <c r="T74" s="5">
        <v>0</v>
      </c>
      <c r="U74" s="7">
        <v>0</v>
      </c>
      <c r="V74" s="7">
        <v>0</v>
      </c>
      <c r="W74" s="5">
        <v>0</v>
      </c>
      <c r="X74" s="5">
        <v>0</v>
      </c>
      <c r="Y74" s="7">
        <v>0</v>
      </c>
      <c r="Z74" s="5">
        <v>2000</v>
      </c>
      <c r="AA74" s="5">
        <v>0</v>
      </c>
    </row>
    <row r="75" spans="1:27" ht="15" customHeight="1" x14ac:dyDescent="0.45">
      <c r="A75" s="3">
        <v>45992</v>
      </c>
      <c r="B75" s="4" t="s">
        <v>93</v>
      </c>
      <c r="C75" s="4" t="s">
        <v>80</v>
      </c>
      <c r="D75" s="4" t="s">
        <v>60</v>
      </c>
      <c r="E75" s="4" t="s">
        <v>91</v>
      </c>
      <c r="F75" s="5">
        <f t="shared" si="2"/>
        <v>15071.97</v>
      </c>
      <c r="G75" s="5">
        <v>0</v>
      </c>
      <c r="H75" s="5">
        <v>15071.97</v>
      </c>
      <c r="I75" s="5">
        <v>439000</v>
      </c>
      <c r="J75" s="5">
        <v>425000</v>
      </c>
      <c r="K75" s="5">
        <v>500303.6</v>
      </c>
      <c r="L75" s="5">
        <v>-14034.6</v>
      </c>
      <c r="M75" s="5">
        <v>0</v>
      </c>
      <c r="N75" s="5">
        <v>486269</v>
      </c>
      <c r="O75" s="7">
        <v>1.144162352941176</v>
      </c>
      <c r="P75" s="5">
        <v>22035.200000000001</v>
      </c>
      <c r="Q75" s="5">
        <v>-5905.2</v>
      </c>
      <c r="R75" s="5">
        <v>16130</v>
      </c>
      <c r="S75" s="5">
        <v>60000</v>
      </c>
      <c r="T75" s="5">
        <v>0</v>
      </c>
      <c r="U75" s="7">
        <v>0</v>
      </c>
      <c r="V75" s="7">
        <v>0.03</v>
      </c>
      <c r="W75" s="5">
        <v>15071.97</v>
      </c>
      <c r="X75" s="5">
        <v>0</v>
      </c>
      <c r="Y75" s="7">
        <v>0</v>
      </c>
      <c r="Z75" s="5">
        <v>2000</v>
      </c>
      <c r="AA75" s="5">
        <v>0</v>
      </c>
    </row>
    <row r="76" spans="1:27" ht="15" customHeight="1" x14ac:dyDescent="0.45">
      <c r="A76" s="3">
        <v>45992</v>
      </c>
      <c r="B76" s="4" t="s">
        <v>94</v>
      </c>
      <c r="C76" s="4" t="s">
        <v>80</v>
      </c>
      <c r="D76" s="4" t="s">
        <v>60</v>
      </c>
      <c r="E76" s="4" t="s">
        <v>91</v>
      </c>
      <c r="F76" s="5">
        <f t="shared" si="2"/>
        <v>0</v>
      </c>
      <c r="G76" s="5">
        <v>0</v>
      </c>
      <c r="H76" s="5">
        <v>0</v>
      </c>
      <c r="I76" s="5">
        <v>439000</v>
      </c>
      <c r="J76" s="5">
        <v>425000</v>
      </c>
      <c r="K76" s="5">
        <v>90050</v>
      </c>
      <c r="L76" s="5">
        <v>0</v>
      </c>
      <c r="M76" s="5">
        <v>0</v>
      </c>
      <c r="N76" s="5">
        <v>90050</v>
      </c>
      <c r="O76" s="7">
        <v>0.21188235294117649</v>
      </c>
      <c r="P76" s="5">
        <v>0</v>
      </c>
      <c r="Q76" s="5">
        <v>-17390</v>
      </c>
      <c r="R76" s="5">
        <v>-17390</v>
      </c>
      <c r="S76" s="5">
        <v>60000</v>
      </c>
      <c r="T76" s="5">
        <v>0</v>
      </c>
      <c r="U76" s="7">
        <v>0</v>
      </c>
      <c r="V76" s="7">
        <v>0</v>
      </c>
      <c r="W76" s="5">
        <v>0</v>
      </c>
      <c r="X76" s="5">
        <v>20</v>
      </c>
      <c r="Y76" s="7">
        <v>0</v>
      </c>
      <c r="Z76" s="5">
        <v>2000</v>
      </c>
      <c r="AA76" s="5">
        <v>0</v>
      </c>
    </row>
    <row r="77" spans="1:27" ht="15" customHeight="1" x14ac:dyDescent="0.45">
      <c r="A77" s="3">
        <v>46023</v>
      </c>
      <c r="B77" s="4" t="s">
        <v>82</v>
      </c>
      <c r="C77" s="4" t="s">
        <v>80</v>
      </c>
      <c r="D77" s="4" t="s">
        <v>60</v>
      </c>
      <c r="E77" s="4" t="s">
        <v>95</v>
      </c>
      <c r="F77" s="5">
        <f t="shared" si="2"/>
        <v>31174.12</v>
      </c>
      <c r="G77" s="5">
        <v>4000</v>
      </c>
      <c r="H77" s="5">
        <v>27174.12</v>
      </c>
      <c r="I77" s="5">
        <v>340500</v>
      </c>
      <c r="J77" s="5">
        <v>227500</v>
      </c>
      <c r="K77" s="5">
        <v>801452.9</v>
      </c>
      <c r="L77" s="5">
        <v>-23976</v>
      </c>
      <c r="M77" s="5">
        <v>0</v>
      </c>
      <c r="N77" s="5">
        <v>777476.9</v>
      </c>
      <c r="O77" s="7">
        <v>3.4174808791208791</v>
      </c>
      <c r="P77" s="5">
        <v>128696.9</v>
      </c>
      <c r="Q77" s="5">
        <v>-370</v>
      </c>
      <c r="R77" s="5">
        <v>128326.9</v>
      </c>
      <c r="S77" s="4"/>
      <c r="T77" s="4"/>
      <c r="U77" s="4"/>
      <c r="V77" s="7">
        <v>0.03</v>
      </c>
      <c r="W77" s="5">
        <v>27174.11</v>
      </c>
      <c r="X77" s="5">
        <v>100</v>
      </c>
      <c r="Y77" s="7">
        <v>1</v>
      </c>
      <c r="Z77" s="5">
        <v>4000</v>
      </c>
      <c r="AA77" s="5">
        <v>4000</v>
      </c>
    </row>
    <row r="78" spans="1:27" ht="15" customHeight="1" x14ac:dyDescent="0.45">
      <c r="A78" s="3">
        <v>46023</v>
      </c>
      <c r="B78" s="4" t="s">
        <v>79</v>
      </c>
      <c r="C78" s="4" t="s">
        <v>80</v>
      </c>
      <c r="D78" s="4" t="s">
        <v>60</v>
      </c>
      <c r="E78" s="4" t="s">
        <v>91</v>
      </c>
      <c r="F78" s="5">
        <f t="shared" si="2"/>
        <v>19958.37</v>
      </c>
      <c r="G78" s="5">
        <v>1600</v>
      </c>
      <c r="H78" s="5">
        <v>18358.37</v>
      </c>
      <c r="I78" s="5">
        <v>573000</v>
      </c>
      <c r="J78" s="5">
        <v>455000</v>
      </c>
      <c r="K78" s="5">
        <v>736580</v>
      </c>
      <c r="L78" s="5">
        <v>-146348.70000000001</v>
      </c>
      <c r="M78" s="5">
        <v>0</v>
      </c>
      <c r="N78" s="5">
        <v>590231.30000000005</v>
      </c>
      <c r="O78" s="7">
        <v>1.297211648351648</v>
      </c>
      <c r="P78" s="5">
        <v>21804.400000000001</v>
      </c>
      <c r="Q78" s="5">
        <v>-90</v>
      </c>
      <c r="R78" s="5">
        <v>21714.400000000001</v>
      </c>
      <c r="S78" s="5">
        <v>103000</v>
      </c>
      <c r="T78" s="5">
        <v>137163.6</v>
      </c>
      <c r="U78" s="7">
        <v>1.3316854368932041</v>
      </c>
      <c r="V78" s="7">
        <v>0.03</v>
      </c>
      <c r="W78" s="5">
        <v>18358.37</v>
      </c>
      <c r="X78" s="5">
        <v>10</v>
      </c>
      <c r="Y78" s="7">
        <v>80</v>
      </c>
      <c r="Z78" s="5">
        <v>0.8</v>
      </c>
      <c r="AA78" s="5">
        <v>2000</v>
      </c>
    </row>
    <row r="79" spans="1:27" ht="15" customHeight="1" x14ac:dyDescent="0.45">
      <c r="A79" s="3">
        <v>46023</v>
      </c>
      <c r="B79" s="4" t="s">
        <v>81</v>
      </c>
      <c r="C79" s="4" t="s">
        <v>80</v>
      </c>
      <c r="D79" s="4" t="s">
        <v>60</v>
      </c>
      <c r="E79" s="4" t="s">
        <v>92</v>
      </c>
      <c r="F79" s="5">
        <f t="shared" si="2"/>
        <v>57450.04</v>
      </c>
      <c r="G79" s="5">
        <v>0</v>
      </c>
      <c r="H79" s="5">
        <v>57450.04</v>
      </c>
      <c r="I79" s="5">
        <v>573000</v>
      </c>
      <c r="J79" s="5">
        <v>455000</v>
      </c>
      <c r="K79" s="5">
        <v>1330707.3999999999</v>
      </c>
      <c r="L79" s="5">
        <v>-254617.1</v>
      </c>
      <c r="M79" s="5">
        <v>0</v>
      </c>
      <c r="N79" s="5">
        <v>1076090.3</v>
      </c>
      <c r="O79" s="7">
        <v>2.3650336263736258</v>
      </c>
      <c r="P79" s="5">
        <v>79050.5</v>
      </c>
      <c r="Q79" s="5">
        <v>-6140</v>
      </c>
      <c r="R79" s="5">
        <v>72910.5</v>
      </c>
      <c r="S79" s="5">
        <v>103000</v>
      </c>
      <c r="T79" s="5">
        <v>72264.399999999994</v>
      </c>
      <c r="U79" s="7">
        <v>0.70159611650485432</v>
      </c>
      <c r="V79" s="7">
        <v>0.05</v>
      </c>
      <c r="W79" s="5">
        <v>57450.04</v>
      </c>
      <c r="X79" s="5">
        <v>10</v>
      </c>
      <c r="Y79" s="7">
        <v>85.079611650485447</v>
      </c>
      <c r="Z79" s="5">
        <v>0.90159223300970892</v>
      </c>
      <c r="AA79" s="5">
        <v>0</v>
      </c>
    </row>
    <row r="80" spans="1:27" ht="15" customHeight="1" x14ac:dyDescent="0.45">
      <c r="A80" s="3">
        <v>46023</v>
      </c>
      <c r="B80" s="4" t="s">
        <v>83</v>
      </c>
      <c r="C80" s="4" t="s">
        <v>80</v>
      </c>
      <c r="D80" s="4" t="s">
        <v>60</v>
      </c>
      <c r="E80" s="4" t="s">
        <v>91</v>
      </c>
      <c r="F80" s="5">
        <f t="shared" si="2"/>
        <v>32809.68</v>
      </c>
      <c r="G80" s="5">
        <v>1600</v>
      </c>
      <c r="H80" s="5">
        <v>31209.68</v>
      </c>
      <c r="I80" s="5">
        <v>618500</v>
      </c>
      <c r="J80" s="5">
        <v>500500</v>
      </c>
      <c r="K80" s="5">
        <v>852120.7</v>
      </c>
      <c r="L80" s="5">
        <v>-94557.1</v>
      </c>
      <c r="M80" s="5">
        <v>0</v>
      </c>
      <c r="N80" s="5">
        <v>757563.6</v>
      </c>
      <c r="O80" s="7">
        <v>1.513613586413586</v>
      </c>
      <c r="P80" s="5">
        <v>34198.5</v>
      </c>
      <c r="Q80" s="5">
        <v>-11520</v>
      </c>
      <c r="R80" s="5">
        <v>22678.5</v>
      </c>
      <c r="S80" s="5">
        <v>103000</v>
      </c>
      <c r="T80" s="5">
        <v>106750</v>
      </c>
      <c r="U80" s="7">
        <v>1.0364077669902909</v>
      </c>
      <c r="V80" s="7">
        <v>0.04</v>
      </c>
      <c r="W80" s="5">
        <v>31209.68</v>
      </c>
      <c r="X80" s="5">
        <v>10</v>
      </c>
      <c r="Y80" s="7">
        <v>80</v>
      </c>
      <c r="Z80" s="5">
        <v>0.8</v>
      </c>
      <c r="AA80" s="5">
        <v>2000</v>
      </c>
    </row>
    <row r="81" spans="1:27" ht="15" customHeight="1" x14ac:dyDescent="0.45">
      <c r="A81" s="3">
        <v>46023</v>
      </c>
      <c r="B81" s="4" t="s">
        <v>85</v>
      </c>
      <c r="C81" s="4" t="s">
        <v>80</v>
      </c>
      <c r="D81" s="4" t="s">
        <v>60</v>
      </c>
      <c r="E81" s="4" t="s">
        <v>91</v>
      </c>
      <c r="F81" s="5">
        <f t="shared" si="2"/>
        <v>58756.49</v>
      </c>
      <c r="G81" s="5">
        <v>2000</v>
      </c>
      <c r="H81" s="5">
        <v>56756.49</v>
      </c>
      <c r="I81" s="5">
        <v>497400</v>
      </c>
      <c r="J81" s="5">
        <v>455000</v>
      </c>
      <c r="K81" s="5">
        <v>1245987.6499999999</v>
      </c>
      <c r="L81" s="5">
        <v>-188561.6</v>
      </c>
      <c r="M81" s="5">
        <v>0</v>
      </c>
      <c r="N81" s="5">
        <v>1057426.05</v>
      </c>
      <c r="O81" s="7">
        <v>2.3240132967032969</v>
      </c>
      <c r="P81" s="5">
        <v>83843.899999999994</v>
      </c>
      <c r="Q81" s="5">
        <v>-6140.22</v>
      </c>
      <c r="R81" s="5">
        <v>77703.679999999993</v>
      </c>
      <c r="S81" s="5">
        <v>82400</v>
      </c>
      <c r="T81" s="5">
        <v>257800</v>
      </c>
      <c r="U81" s="7">
        <v>3.128640776699029</v>
      </c>
      <c r="V81" s="7">
        <v>0.05</v>
      </c>
      <c r="W81" s="5">
        <v>56756.49</v>
      </c>
      <c r="X81" s="5">
        <v>10</v>
      </c>
      <c r="Y81" s="7">
        <v>100</v>
      </c>
      <c r="Z81" s="5">
        <v>1</v>
      </c>
      <c r="AA81" s="5">
        <v>2000</v>
      </c>
    </row>
    <row r="82" spans="1:27" ht="15" customHeight="1" x14ac:dyDescent="0.45">
      <c r="A82" s="3">
        <v>46023</v>
      </c>
      <c r="B82" s="4" t="s">
        <v>87</v>
      </c>
      <c r="C82" s="4" t="s">
        <v>80</v>
      </c>
      <c r="D82" s="4" t="s">
        <v>60</v>
      </c>
      <c r="E82" s="4" t="s">
        <v>91</v>
      </c>
      <c r="F82" s="5">
        <f t="shared" si="2"/>
        <v>29639.55</v>
      </c>
      <c r="G82" s="5">
        <v>1520</v>
      </c>
      <c r="H82" s="5">
        <v>28119.55</v>
      </c>
      <c r="I82" s="5">
        <v>542900</v>
      </c>
      <c r="J82" s="5">
        <v>500500</v>
      </c>
      <c r="K82" s="5">
        <v>686520</v>
      </c>
      <c r="L82" s="5">
        <v>0</v>
      </c>
      <c r="M82" s="5">
        <v>0</v>
      </c>
      <c r="N82" s="5">
        <v>686520</v>
      </c>
      <c r="O82" s="7">
        <v>1.371668331668332</v>
      </c>
      <c r="P82" s="5">
        <v>16648.8</v>
      </c>
      <c r="Q82" s="5">
        <v>-180</v>
      </c>
      <c r="R82" s="5">
        <v>16468.8</v>
      </c>
      <c r="S82" s="5">
        <v>82400</v>
      </c>
      <c r="T82" s="5">
        <v>144400</v>
      </c>
      <c r="U82" s="7">
        <v>1.75242718446602</v>
      </c>
      <c r="V82" s="7">
        <v>0.04</v>
      </c>
      <c r="W82" s="5">
        <v>28119.55</v>
      </c>
      <c r="X82" s="5">
        <v>10</v>
      </c>
      <c r="Y82" s="7">
        <v>78</v>
      </c>
      <c r="Z82" s="5">
        <v>0.76</v>
      </c>
      <c r="AA82" s="5">
        <v>2000</v>
      </c>
    </row>
    <row r="83" spans="1:27" ht="15" customHeight="1" x14ac:dyDescent="0.45">
      <c r="A83" s="3">
        <v>46023</v>
      </c>
      <c r="B83" s="4" t="s">
        <v>93</v>
      </c>
      <c r="C83" s="4" t="s">
        <v>80</v>
      </c>
      <c r="D83" s="4" t="s">
        <v>60</v>
      </c>
      <c r="E83" s="4" t="s">
        <v>91</v>
      </c>
      <c r="F83" s="5">
        <f t="shared" si="2"/>
        <v>59991.02</v>
      </c>
      <c r="G83" s="5">
        <v>2000</v>
      </c>
      <c r="H83" s="5">
        <v>57991.02</v>
      </c>
      <c r="I83" s="5">
        <v>497400</v>
      </c>
      <c r="J83" s="5">
        <v>455000</v>
      </c>
      <c r="K83" s="5">
        <v>1262614</v>
      </c>
      <c r="L83" s="5">
        <v>-125734.6</v>
      </c>
      <c r="M83" s="5">
        <v>0</v>
      </c>
      <c r="N83" s="5">
        <v>1136879.3999999999</v>
      </c>
      <c r="O83" s="7">
        <v>2.498636043956044</v>
      </c>
      <c r="P83" s="5">
        <v>23041</v>
      </c>
      <c r="Q83" s="5">
        <v>-100</v>
      </c>
      <c r="R83" s="5">
        <v>22941</v>
      </c>
      <c r="S83" s="5">
        <v>61800</v>
      </c>
      <c r="T83" s="5">
        <v>82300</v>
      </c>
      <c r="U83" s="7">
        <v>1.3317152103559871</v>
      </c>
      <c r="V83" s="7">
        <v>0.05</v>
      </c>
      <c r="W83" s="5">
        <v>57991.02</v>
      </c>
      <c r="X83" s="5">
        <v>10</v>
      </c>
      <c r="Y83" s="7">
        <v>100</v>
      </c>
      <c r="Z83" s="5">
        <v>1</v>
      </c>
      <c r="AA83" s="5">
        <v>2000</v>
      </c>
    </row>
    <row r="84" spans="1:27" ht="15" customHeight="1" x14ac:dyDescent="0.45">
      <c r="A84" s="3">
        <v>46023</v>
      </c>
      <c r="B84" s="4" t="s">
        <v>94</v>
      </c>
      <c r="C84" s="4" t="s">
        <v>80</v>
      </c>
      <c r="D84" s="4" t="s">
        <v>60</v>
      </c>
      <c r="E84" s="4" t="s">
        <v>91</v>
      </c>
      <c r="F84" s="5">
        <f t="shared" si="2"/>
        <v>31982.49</v>
      </c>
      <c r="G84" s="5">
        <v>2000</v>
      </c>
      <c r="H84" s="5">
        <v>29982.49</v>
      </c>
      <c r="I84" s="5">
        <v>542900</v>
      </c>
      <c r="J84" s="5">
        <v>500500</v>
      </c>
      <c r="K84" s="5">
        <v>748277.8</v>
      </c>
      <c r="L84" s="5">
        <v>-90547.8</v>
      </c>
      <c r="M84" s="5">
        <v>0</v>
      </c>
      <c r="N84" s="5">
        <v>657730</v>
      </c>
      <c r="O84" s="7">
        <v>1.3141458541458539</v>
      </c>
      <c r="P84" s="5">
        <v>101384</v>
      </c>
      <c r="Q84" s="5">
        <v>-9551.68</v>
      </c>
      <c r="R84" s="5">
        <v>91832.320000000007</v>
      </c>
      <c r="S84" s="5">
        <v>61800</v>
      </c>
      <c r="T84" s="5">
        <v>78950</v>
      </c>
      <c r="U84" s="7">
        <v>1.277508090614887</v>
      </c>
      <c r="V84" s="7">
        <v>0.04</v>
      </c>
      <c r="W84" s="5">
        <v>29982.49</v>
      </c>
      <c r="X84" s="5">
        <v>10</v>
      </c>
      <c r="Y84" s="7">
        <v>100</v>
      </c>
      <c r="Z84" s="5">
        <v>1</v>
      </c>
      <c r="AA84" s="5">
        <v>2000</v>
      </c>
    </row>
    <row r="85" spans="1:27" ht="15" customHeight="1" x14ac:dyDescent="0.45">
      <c r="A85" s="3">
        <v>46023</v>
      </c>
      <c r="B85" s="4" t="s">
        <v>96</v>
      </c>
      <c r="C85" s="4" t="s">
        <v>80</v>
      </c>
      <c r="D85" s="4" t="s">
        <v>60</v>
      </c>
      <c r="E85" s="4" t="s">
        <v>91</v>
      </c>
      <c r="F85" s="5">
        <f t="shared" si="2"/>
        <v>900</v>
      </c>
      <c r="G85" s="5">
        <v>900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7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7">
        <v>0</v>
      </c>
      <c r="V85" s="7">
        <v>0</v>
      </c>
      <c r="W85" s="5">
        <v>0</v>
      </c>
      <c r="X85" s="5">
        <v>0</v>
      </c>
      <c r="Y85" s="7">
        <v>0</v>
      </c>
      <c r="Z85" s="5">
        <v>0.45</v>
      </c>
      <c r="AA85" s="5">
        <v>2000</v>
      </c>
    </row>
    <row r="86" spans="1:27" ht="15" customHeight="1" x14ac:dyDescent="0.45">
      <c r="A86" s="3">
        <v>46023</v>
      </c>
      <c r="B86" s="4" t="s">
        <v>97</v>
      </c>
      <c r="C86" s="4" t="s">
        <v>80</v>
      </c>
      <c r="D86" s="4" t="s">
        <v>60</v>
      </c>
      <c r="E86" s="4" t="s">
        <v>91</v>
      </c>
      <c r="F86" s="5">
        <f t="shared" si="2"/>
        <v>500</v>
      </c>
      <c r="G86" s="5">
        <v>500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7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7">
        <v>0</v>
      </c>
      <c r="V86" s="7">
        <v>0</v>
      </c>
      <c r="W86" s="5">
        <v>0</v>
      </c>
      <c r="X86" s="5">
        <v>0</v>
      </c>
      <c r="Y86" s="7">
        <v>0</v>
      </c>
      <c r="Z86" s="5">
        <v>0.25</v>
      </c>
      <c r="AA86" s="5">
        <v>2000</v>
      </c>
    </row>
    <row r="87" spans="1:27" ht="15" customHeight="1" x14ac:dyDescent="0.45">
      <c r="A87" s="3">
        <v>46023</v>
      </c>
      <c r="B87" s="4" t="s">
        <v>98</v>
      </c>
      <c r="C87" s="4" t="s">
        <v>80</v>
      </c>
      <c r="D87" s="4" t="s">
        <v>60</v>
      </c>
      <c r="E87" s="4" t="s">
        <v>91</v>
      </c>
      <c r="F87" s="5">
        <f t="shared" si="2"/>
        <v>1100</v>
      </c>
      <c r="G87" s="5">
        <v>1100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7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7">
        <v>0</v>
      </c>
      <c r="V87" s="7">
        <v>0</v>
      </c>
      <c r="W87" s="5">
        <v>0</v>
      </c>
      <c r="X87" s="5">
        <v>0</v>
      </c>
      <c r="Y87" s="7">
        <v>0</v>
      </c>
      <c r="Z87" s="5">
        <v>0.55000000000000004</v>
      </c>
      <c r="AA87" s="5">
        <v>2000</v>
      </c>
    </row>
    <row r="88" spans="1:27" ht="15" customHeight="1" x14ac:dyDescent="0.45">
      <c r="A88" s="3">
        <v>46054</v>
      </c>
      <c r="B88" s="4" t="s">
        <v>82</v>
      </c>
      <c r="C88" s="4" t="s">
        <v>80</v>
      </c>
      <c r="D88" s="4" t="s">
        <v>60</v>
      </c>
      <c r="E88" s="4" t="s">
        <v>95</v>
      </c>
      <c r="F88" s="5">
        <f t="shared" si="2"/>
        <v>4902.0259999999998</v>
      </c>
      <c r="G88" s="5">
        <v>4000</v>
      </c>
      <c r="H88" s="5">
        <v>902.02600000000007</v>
      </c>
      <c r="I88" s="5">
        <v>616000</v>
      </c>
      <c r="J88" s="5">
        <v>0</v>
      </c>
      <c r="K88" s="5">
        <v>264978.40000000002</v>
      </c>
      <c r="L88" s="5">
        <v>-59518.400000000001</v>
      </c>
      <c r="M88" s="5">
        <v>0</v>
      </c>
      <c r="N88" s="5">
        <v>205460</v>
      </c>
      <c r="O88" s="7">
        <v>0.33353896103896108</v>
      </c>
      <c r="P88" s="5">
        <v>91242.6</v>
      </c>
      <c r="Q88" s="5">
        <v>-1040</v>
      </c>
      <c r="R88" s="5">
        <v>90202.6</v>
      </c>
      <c r="S88" s="5">
        <v>90000</v>
      </c>
      <c r="T88" s="5">
        <v>0</v>
      </c>
      <c r="U88" s="7">
        <v>0</v>
      </c>
      <c r="V88" s="7">
        <v>0</v>
      </c>
      <c r="W88" s="5">
        <v>902.02600000000007</v>
      </c>
      <c r="X88" s="5">
        <v>100</v>
      </c>
      <c r="Y88" s="7">
        <v>1</v>
      </c>
      <c r="Z88" s="5">
        <v>4000</v>
      </c>
      <c r="AA88" s="5">
        <v>4000</v>
      </c>
    </row>
    <row r="89" spans="1:27" ht="15" customHeight="1" x14ac:dyDescent="0.45">
      <c r="A89" s="3">
        <v>46054</v>
      </c>
      <c r="B89" s="4" t="s">
        <v>79</v>
      </c>
      <c r="C89" s="4" t="s">
        <v>80</v>
      </c>
      <c r="D89" s="4" t="s">
        <v>60</v>
      </c>
      <c r="E89" s="4" t="s">
        <v>91</v>
      </c>
      <c r="F89" s="5">
        <f t="shared" si="2"/>
        <v>5224.5079999999998</v>
      </c>
      <c r="G89" s="5">
        <v>2000</v>
      </c>
      <c r="H89" s="5">
        <v>3224.5079999999998</v>
      </c>
      <c r="I89" s="5">
        <v>770000</v>
      </c>
      <c r="J89" s="5">
        <v>0</v>
      </c>
      <c r="K89" s="5">
        <v>650559.1</v>
      </c>
      <c r="L89" s="5">
        <v>-252420.1</v>
      </c>
      <c r="M89" s="5">
        <v>0</v>
      </c>
      <c r="N89" s="5">
        <v>398139</v>
      </c>
      <c r="O89" s="7">
        <v>0.51706363636363639</v>
      </c>
      <c r="P89" s="5">
        <v>3939.599999999999</v>
      </c>
      <c r="Q89" s="5">
        <v>0</v>
      </c>
      <c r="R89" s="5">
        <v>3939.599999999999</v>
      </c>
      <c r="S89" s="5">
        <v>90000</v>
      </c>
      <c r="T89" s="5">
        <v>35300</v>
      </c>
      <c r="U89" s="7">
        <v>0.39222222222222219</v>
      </c>
      <c r="V89" s="7">
        <v>8.0000000000000002E-3</v>
      </c>
      <c r="W89" s="5">
        <v>3224.5079999999998</v>
      </c>
      <c r="X89" s="5">
        <v>0</v>
      </c>
      <c r="Y89" s="7">
        <v>0</v>
      </c>
      <c r="Z89" s="5">
        <v>1</v>
      </c>
      <c r="AA89" s="5">
        <v>2000</v>
      </c>
    </row>
    <row r="90" spans="1:27" ht="15" customHeight="1" x14ac:dyDescent="0.45">
      <c r="A90" s="3">
        <v>46054</v>
      </c>
      <c r="B90" s="4" t="s">
        <v>81</v>
      </c>
      <c r="C90" s="4" t="s">
        <v>80</v>
      </c>
      <c r="D90" s="4" t="s">
        <v>60</v>
      </c>
      <c r="E90" s="4" t="s">
        <v>92</v>
      </c>
      <c r="F90" s="5">
        <f t="shared" si="2"/>
        <v>43.012</v>
      </c>
      <c r="G90" s="5">
        <v>0</v>
      </c>
      <c r="H90" s="5">
        <v>43.012</v>
      </c>
      <c r="I90" s="5">
        <v>770000</v>
      </c>
      <c r="J90" s="5">
        <v>0</v>
      </c>
      <c r="K90" s="5">
        <v>148953.70000000001</v>
      </c>
      <c r="L90" s="5">
        <v>-166972.9</v>
      </c>
      <c r="M90" s="5">
        <v>0</v>
      </c>
      <c r="N90" s="5">
        <v>-18019.200000000012</v>
      </c>
      <c r="O90" s="7">
        <v>-2.3401558441558459E-2</v>
      </c>
      <c r="P90" s="5">
        <v>4381.2</v>
      </c>
      <c r="Q90" s="5">
        <v>-80</v>
      </c>
      <c r="R90" s="5">
        <v>4301.2</v>
      </c>
      <c r="S90" s="5">
        <v>90000</v>
      </c>
      <c r="T90" s="5">
        <v>40340</v>
      </c>
      <c r="U90" s="7">
        <v>0.44822222222222219</v>
      </c>
      <c r="V90" s="7">
        <v>0</v>
      </c>
      <c r="W90" s="5">
        <v>43.012</v>
      </c>
      <c r="X90" s="5">
        <v>0</v>
      </c>
      <c r="Y90" s="7">
        <v>0</v>
      </c>
      <c r="Z90" s="5">
        <v>1</v>
      </c>
      <c r="AA90" s="5">
        <v>0</v>
      </c>
    </row>
    <row r="91" spans="1:27" ht="15" customHeight="1" x14ac:dyDescent="0.45">
      <c r="A91" s="3">
        <v>46054</v>
      </c>
      <c r="B91" s="4" t="s">
        <v>83</v>
      </c>
      <c r="C91" s="4" t="s">
        <v>80</v>
      </c>
      <c r="D91" s="4" t="s">
        <v>60</v>
      </c>
      <c r="E91" s="4" t="s">
        <v>91</v>
      </c>
      <c r="F91" s="5">
        <f t="shared" si="2"/>
        <v>2228.3360000000002</v>
      </c>
      <c r="G91" s="5">
        <v>2000</v>
      </c>
      <c r="H91" s="5">
        <v>228.33600000000001</v>
      </c>
      <c r="I91" s="5">
        <v>770000</v>
      </c>
      <c r="J91" s="5">
        <v>0</v>
      </c>
      <c r="K91" s="5">
        <v>271138.2</v>
      </c>
      <c r="L91" s="5">
        <v>-14398.2</v>
      </c>
      <c r="M91" s="5">
        <v>0</v>
      </c>
      <c r="N91" s="5">
        <v>256740</v>
      </c>
      <c r="O91" s="7">
        <v>0.33342857142857141</v>
      </c>
      <c r="P91" s="5">
        <v>22833.599999999999</v>
      </c>
      <c r="Q91" s="5">
        <v>0</v>
      </c>
      <c r="R91" s="5">
        <v>22833.599999999999</v>
      </c>
      <c r="S91" s="5">
        <v>90000</v>
      </c>
      <c r="T91" s="5">
        <v>17460</v>
      </c>
      <c r="U91" s="7">
        <v>0.19400000000000001</v>
      </c>
      <c r="V91" s="7">
        <v>0</v>
      </c>
      <c r="W91" s="5">
        <v>228.33600000000001</v>
      </c>
      <c r="X91" s="5">
        <v>0</v>
      </c>
      <c r="Y91" s="7">
        <v>0</v>
      </c>
      <c r="Z91" s="5">
        <v>1</v>
      </c>
      <c r="AA91" s="5">
        <v>2000</v>
      </c>
    </row>
    <row r="92" spans="1:27" ht="15" customHeight="1" x14ac:dyDescent="0.45">
      <c r="A92" s="3">
        <v>46054</v>
      </c>
      <c r="B92" s="4" t="s">
        <v>85</v>
      </c>
      <c r="C92" s="4" t="s">
        <v>80</v>
      </c>
      <c r="D92" s="4" t="s">
        <v>60</v>
      </c>
      <c r="E92" s="4" t="s">
        <v>91</v>
      </c>
      <c r="F92" s="5">
        <f t="shared" si="2"/>
        <v>2516.0430000000001</v>
      </c>
      <c r="G92" s="5">
        <v>2000</v>
      </c>
      <c r="H92" s="5">
        <v>516.04300000000001</v>
      </c>
      <c r="I92" s="5">
        <v>708000</v>
      </c>
      <c r="J92" s="5">
        <v>0</v>
      </c>
      <c r="K92" s="5">
        <v>301768.55</v>
      </c>
      <c r="L92" s="5">
        <v>-33268.550000000003</v>
      </c>
      <c r="M92" s="5">
        <v>0</v>
      </c>
      <c r="N92" s="5">
        <v>268500</v>
      </c>
      <c r="O92" s="7">
        <v>0.37923728813559321</v>
      </c>
      <c r="P92" s="5">
        <v>51604.3</v>
      </c>
      <c r="Q92" s="5">
        <v>0</v>
      </c>
      <c r="R92" s="5">
        <v>51604.3</v>
      </c>
      <c r="S92" s="5">
        <v>72000</v>
      </c>
      <c r="T92" s="5">
        <v>18300</v>
      </c>
      <c r="U92" s="7">
        <v>0.25416666666666671</v>
      </c>
      <c r="V92" s="7">
        <v>0</v>
      </c>
      <c r="W92" s="5">
        <v>516.04300000000001</v>
      </c>
      <c r="X92" s="5">
        <v>0</v>
      </c>
      <c r="Y92" s="7">
        <v>0</v>
      </c>
      <c r="Z92" s="5">
        <v>1</v>
      </c>
      <c r="AA92" s="5">
        <v>2000</v>
      </c>
    </row>
    <row r="93" spans="1:27" ht="15" customHeight="1" x14ac:dyDescent="0.45">
      <c r="A93" s="3">
        <v>46054</v>
      </c>
      <c r="B93" s="4" t="s">
        <v>87</v>
      </c>
      <c r="C93" s="4" t="s">
        <v>80</v>
      </c>
      <c r="D93" s="4" t="s">
        <v>60</v>
      </c>
      <c r="E93" s="4" t="s">
        <v>91</v>
      </c>
      <c r="F93" s="5">
        <f t="shared" si="2"/>
        <v>2133.1089999999999</v>
      </c>
      <c r="G93" s="5">
        <v>2000</v>
      </c>
      <c r="H93" s="5">
        <v>133.10900000000001</v>
      </c>
      <c r="I93" s="5">
        <v>708000</v>
      </c>
      <c r="J93" s="5">
        <v>0</v>
      </c>
      <c r="K93" s="5">
        <v>255452.05</v>
      </c>
      <c r="L93" s="5">
        <v>-124080.55</v>
      </c>
      <c r="M93" s="5">
        <v>25220</v>
      </c>
      <c r="N93" s="5">
        <v>156591.5</v>
      </c>
      <c r="O93" s="7">
        <v>0.2211744350282486</v>
      </c>
      <c r="P93" s="5">
        <v>13410.9</v>
      </c>
      <c r="Q93" s="5">
        <v>-100</v>
      </c>
      <c r="R93" s="5">
        <v>13310.9</v>
      </c>
      <c r="S93" s="5">
        <v>72000</v>
      </c>
      <c r="T93" s="5">
        <v>0</v>
      </c>
      <c r="U93" s="7">
        <v>0</v>
      </c>
      <c r="V93" s="7">
        <v>0</v>
      </c>
      <c r="W93" s="5">
        <v>133.10900000000001</v>
      </c>
      <c r="X93" s="5">
        <v>0</v>
      </c>
      <c r="Y93" s="7">
        <v>0</v>
      </c>
      <c r="Z93" s="5">
        <v>1</v>
      </c>
      <c r="AA93" s="5">
        <v>2000</v>
      </c>
    </row>
    <row r="94" spans="1:27" ht="15" customHeight="1" x14ac:dyDescent="0.45">
      <c r="A94" s="3">
        <v>46054</v>
      </c>
      <c r="B94" s="4" t="s">
        <v>93</v>
      </c>
      <c r="C94" s="4" t="s">
        <v>80</v>
      </c>
      <c r="D94" s="4" t="s">
        <v>60</v>
      </c>
      <c r="E94" s="4" t="s">
        <v>91</v>
      </c>
      <c r="F94" s="5">
        <f t="shared" si="2"/>
        <v>4679.8000000000011</v>
      </c>
      <c r="G94" s="5">
        <v>2000</v>
      </c>
      <c r="H94" s="5">
        <v>2679.8000000000011</v>
      </c>
      <c r="I94" s="5">
        <v>708000</v>
      </c>
      <c r="J94" s="5">
        <v>0</v>
      </c>
      <c r="K94" s="5">
        <v>562149.30000000005</v>
      </c>
      <c r="L94" s="5">
        <v>-250544.3</v>
      </c>
      <c r="M94" s="5">
        <v>0</v>
      </c>
      <c r="N94" s="5">
        <v>311605.00000000012</v>
      </c>
      <c r="O94" s="7">
        <v>0.44012005649717523</v>
      </c>
      <c r="P94" s="5">
        <v>18696</v>
      </c>
      <c r="Q94" s="5">
        <v>0</v>
      </c>
      <c r="R94" s="5">
        <v>18696</v>
      </c>
      <c r="S94" s="5">
        <v>72000</v>
      </c>
      <c r="T94" s="5">
        <v>49300</v>
      </c>
      <c r="U94" s="7">
        <v>0.68472222222222223</v>
      </c>
      <c r="V94" s="7">
        <v>8.0000000000000002E-3</v>
      </c>
      <c r="W94" s="5">
        <v>2679.8000000000011</v>
      </c>
      <c r="X94" s="5">
        <v>0</v>
      </c>
      <c r="Y94" s="7">
        <v>0</v>
      </c>
      <c r="Z94" s="5">
        <v>1</v>
      </c>
      <c r="AA94" s="5">
        <v>2000</v>
      </c>
    </row>
    <row r="95" spans="1:27" ht="15" customHeight="1" x14ac:dyDescent="0.45">
      <c r="A95" s="3">
        <v>46054</v>
      </c>
      <c r="B95" s="4" t="s">
        <v>94</v>
      </c>
      <c r="C95" s="4" t="s">
        <v>80</v>
      </c>
      <c r="D95" s="4" t="s">
        <v>60</v>
      </c>
      <c r="E95" s="4" t="s">
        <v>91</v>
      </c>
      <c r="F95" s="5">
        <f t="shared" si="2"/>
        <v>2362.9470000000001</v>
      </c>
      <c r="G95" s="5">
        <v>2000</v>
      </c>
      <c r="H95" s="5">
        <v>362.947</v>
      </c>
      <c r="I95" s="5">
        <v>708000</v>
      </c>
      <c r="J95" s="5">
        <v>0</v>
      </c>
      <c r="K95" s="5">
        <v>90900</v>
      </c>
      <c r="L95" s="5">
        <v>-96731.8</v>
      </c>
      <c r="M95" s="5">
        <v>0</v>
      </c>
      <c r="N95" s="5">
        <v>-5831.8000000000029</v>
      </c>
      <c r="O95" s="7">
        <v>-8.237005649717518E-3</v>
      </c>
      <c r="P95" s="5">
        <v>36294.699999999997</v>
      </c>
      <c r="Q95" s="5">
        <v>0</v>
      </c>
      <c r="R95" s="5">
        <v>36294.699999999997</v>
      </c>
      <c r="S95" s="5">
        <v>72000</v>
      </c>
      <c r="T95" s="5">
        <v>21400</v>
      </c>
      <c r="U95" s="7">
        <v>0.29722222222222222</v>
      </c>
      <c r="V95" s="7">
        <v>0</v>
      </c>
      <c r="W95" s="5">
        <v>362.947</v>
      </c>
      <c r="X95" s="5">
        <v>0</v>
      </c>
      <c r="Y95" s="7">
        <v>0</v>
      </c>
      <c r="Z95" s="5">
        <v>1</v>
      </c>
      <c r="AA95" s="5">
        <v>2000</v>
      </c>
    </row>
    <row r="96" spans="1:27" ht="15" customHeight="1" x14ac:dyDescent="0.45">
      <c r="A96" s="3">
        <v>46054</v>
      </c>
      <c r="B96" s="4" t="s">
        <v>96</v>
      </c>
      <c r="C96" s="4" t="s">
        <v>80</v>
      </c>
      <c r="D96" s="4" t="s">
        <v>60</v>
      </c>
      <c r="E96" s="4" t="s">
        <v>91</v>
      </c>
      <c r="F96" s="5">
        <f t="shared" si="2"/>
        <v>2304.0740000000001</v>
      </c>
      <c r="G96" s="5">
        <v>2000</v>
      </c>
      <c r="H96" s="5">
        <v>304.07400000000001</v>
      </c>
      <c r="I96" s="5">
        <v>165000</v>
      </c>
      <c r="J96" s="5">
        <v>0</v>
      </c>
      <c r="K96" s="5">
        <v>36099.999999999993</v>
      </c>
      <c r="L96" s="5">
        <v>0</v>
      </c>
      <c r="M96" s="5">
        <v>0</v>
      </c>
      <c r="N96" s="5">
        <v>36099.999999999993</v>
      </c>
      <c r="O96" s="7">
        <v>0.21878787878787881</v>
      </c>
      <c r="P96" s="5">
        <v>30407.4</v>
      </c>
      <c r="Q96" s="5">
        <v>0</v>
      </c>
      <c r="R96" s="5">
        <v>30407.4</v>
      </c>
      <c r="S96" s="5">
        <v>27000</v>
      </c>
      <c r="T96" s="5">
        <v>0</v>
      </c>
      <c r="U96" s="7">
        <v>0</v>
      </c>
      <c r="V96" s="7">
        <v>0</v>
      </c>
      <c r="W96" s="5">
        <v>304.07400000000001</v>
      </c>
      <c r="X96" s="5">
        <v>0</v>
      </c>
      <c r="Y96" s="7">
        <v>0</v>
      </c>
      <c r="Z96" s="5">
        <v>1</v>
      </c>
      <c r="AA96" s="5">
        <v>2000</v>
      </c>
    </row>
    <row r="97" spans="1:27" ht="15" customHeight="1" x14ac:dyDescent="0.45">
      <c r="A97" s="3">
        <v>46054</v>
      </c>
      <c r="B97" s="4" t="s">
        <v>97</v>
      </c>
      <c r="C97" s="4" t="s">
        <v>80</v>
      </c>
      <c r="D97" s="4" t="s">
        <v>60</v>
      </c>
      <c r="E97" s="4" t="s">
        <v>91</v>
      </c>
      <c r="F97" s="5">
        <f t="shared" si="2"/>
        <v>2118.4140000000002</v>
      </c>
      <c r="G97" s="5">
        <v>2000</v>
      </c>
      <c r="H97" s="5">
        <v>118.414</v>
      </c>
      <c r="I97" s="5">
        <v>165000</v>
      </c>
      <c r="J97" s="5">
        <v>0</v>
      </c>
      <c r="K97" s="5">
        <v>5680.0000000000018</v>
      </c>
      <c r="L97" s="5">
        <v>0</v>
      </c>
      <c r="M97" s="5">
        <v>0</v>
      </c>
      <c r="N97" s="5">
        <v>5680.0000000000018</v>
      </c>
      <c r="O97" s="7">
        <v>3.4424242424242427E-2</v>
      </c>
      <c r="P97" s="5">
        <v>11841.4</v>
      </c>
      <c r="Q97" s="5">
        <v>0</v>
      </c>
      <c r="R97" s="5">
        <v>11841.4</v>
      </c>
      <c r="S97" s="5">
        <v>27000</v>
      </c>
      <c r="T97" s="5">
        <v>0</v>
      </c>
      <c r="U97" s="7">
        <v>0</v>
      </c>
      <c r="V97" s="7">
        <v>0</v>
      </c>
      <c r="W97" s="5">
        <v>118.414</v>
      </c>
      <c r="X97" s="5">
        <v>0</v>
      </c>
      <c r="Y97" s="7">
        <v>0</v>
      </c>
      <c r="Z97" s="5">
        <v>1</v>
      </c>
      <c r="AA97" s="5">
        <v>2000</v>
      </c>
    </row>
    <row r="98" spans="1:27" ht="15" customHeight="1" x14ac:dyDescent="0.45">
      <c r="A98" s="3">
        <v>46054</v>
      </c>
      <c r="B98" s="4" t="s">
        <v>98</v>
      </c>
      <c r="C98" s="4" t="s">
        <v>80</v>
      </c>
      <c r="D98" s="4" t="s">
        <v>60</v>
      </c>
      <c r="E98" s="4" t="s">
        <v>91</v>
      </c>
      <c r="F98" s="5">
        <f t="shared" si="2"/>
        <v>2000</v>
      </c>
      <c r="G98" s="5">
        <v>2000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7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7">
        <v>0</v>
      </c>
      <c r="V98" s="7">
        <v>0</v>
      </c>
      <c r="W98" s="5">
        <v>0</v>
      </c>
      <c r="X98" s="5">
        <v>0</v>
      </c>
      <c r="Y98" s="7">
        <v>0</v>
      </c>
      <c r="Z98" s="5">
        <v>1</v>
      </c>
      <c r="AA98" s="5">
        <v>2000</v>
      </c>
    </row>
    <row r="99" spans="1:27" ht="15" customHeight="1" x14ac:dyDescent="0.45">
      <c r="A99" s="3">
        <v>46054</v>
      </c>
      <c r="B99" s="4" t="s">
        <v>99</v>
      </c>
      <c r="C99" s="4" t="s">
        <v>80</v>
      </c>
      <c r="D99" s="4" t="s">
        <v>60</v>
      </c>
      <c r="E99" s="4" t="s">
        <v>91</v>
      </c>
      <c r="F99" s="5">
        <f t="shared" ref="F99:F130" si="3">G99+H99</f>
        <v>2000</v>
      </c>
      <c r="G99" s="5">
        <v>2000</v>
      </c>
      <c r="H99" s="5">
        <v>0</v>
      </c>
      <c r="I99" s="5">
        <v>0</v>
      </c>
      <c r="J99" s="5">
        <v>0</v>
      </c>
      <c r="K99" s="5">
        <v>4900</v>
      </c>
      <c r="L99" s="5">
        <v>0</v>
      </c>
      <c r="M99" s="5">
        <v>0</v>
      </c>
      <c r="N99" s="5">
        <v>4900</v>
      </c>
      <c r="O99" s="7">
        <v>2.9696969696969701E-2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7">
        <v>0</v>
      </c>
      <c r="V99" s="7">
        <v>0</v>
      </c>
      <c r="W99" s="5">
        <v>0</v>
      </c>
      <c r="X99" s="5">
        <v>0</v>
      </c>
      <c r="Y99" s="7">
        <v>0</v>
      </c>
      <c r="Z99" s="5">
        <v>1</v>
      </c>
      <c r="AA99" s="5">
        <v>2000</v>
      </c>
    </row>
    <row r="100" spans="1:27" ht="15" customHeight="1" x14ac:dyDescent="0.45">
      <c r="A100" s="3">
        <v>46082</v>
      </c>
      <c r="B100" s="4" t="s">
        <v>79</v>
      </c>
      <c r="C100" s="4" t="s">
        <v>80</v>
      </c>
      <c r="D100" s="4" t="s">
        <v>60</v>
      </c>
      <c r="E100" s="4" t="s">
        <v>91</v>
      </c>
      <c r="F100" s="5">
        <f t="shared" si="3"/>
        <v>54883.34</v>
      </c>
      <c r="G100" s="5">
        <f t="shared" ref="G100:G111" si="4">AA100</f>
        <v>-2000</v>
      </c>
      <c r="H100" s="5">
        <f t="shared" ref="H100:H111" si="5">W100</f>
        <v>56883.34</v>
      </c>
      <c r="I100" s="5">
        <v>1844400</v>
      </c>
      <c r="K100" s="5">
        <v>2405732</v>
      </c>
      <c r="L100" s="5">
        <v>-579952</v>
      </c>
      <c r="M100" s="5">
        <v>63000</v>
      </c>
      <c r="N100" s="5">
        <v>1888780</v>
      </c>
      <c r="O100" s="7">
        <v>1.02</v>
      </c>
      <c r="P100" s="5">
        <v>25319</v>
      </c>
      <c r="Q100" s="5">
        <v>-3326</v>
      </c>
      <c r="R100" s="5">
        <v>21993</v>
      </c>
      <c r="S100" s="5">
        <v>220000</v>
      </c>
      <c r="T100" s="5">
        <v>97260</v>
      </c>
      <c r="U100" s="7">
        <v>0.44</v>
      </c>
      <c r="V100" s="7">
        <v>0.03</v>
      </c>
      <c r="W100" s="5">
        <v>56883.34</v>
      </c>
      <c r="X100" s="5">
        <v>30</v>
      </c>
      <c r="Y100" s="7">
        <v>0</v>
      </c>
      <c r="Z100" s="5">
        <v>4000</v>
      </c>
      <c r="AA100" s="5">
        <v>-2000</v>
      </c>
    </row>
    <row r="101" spans="1:27" ht="15" customHeight="1" x14ac:dyDescent="0.45">
      <c r="A101" s="3">
        <v>46082</v>
      </c>
      <c r="B101" s="4" t="s">
        <v>81</v>
      </c>
      <c r="C101" s="4" t="s">
        <v>80</v>
      </c>
      <c r="D101" s="4" t="s">
        <v>60</v>
      </c>
      <c r="E101" s="4" t="s">
        <v>92</v>
      </c>
      <c r="F101" s="5">
        <f t="shared" si="3"/>
        <v>-17.91</v>
      </c>
      <c r="G101" s="5">
        <f t="shared" si="4"/>
        <v>0</v>
      </c>
      <c r="H101" s="5">
        <f t="shared" si="5"/>
        <v>-17.91</v>
      </c>
      <c r="I101" s="5">
        <v>669900</v>
      </c>
      <c r="K101" s="5">
        <v>148954</v>
      </c>
      <c r="L101" s="5">
        <v>-373755</v>
      </c>
      <c r="M101" s="5"/>
      <c r="N101" s="5">
        <v>-224802</v>
      </c>
      <c r="O101" s="7">
        <v>-0.34</v>
      </c>
      <c r="P101" s="5">
        <v>4381</v>
      </c>
      <c r="Q101" s="5">
        <v>-6172</v>
      </c>
      <c r="R101" s="5">
        <v>-1791</v>
      </c>
      <c r="S101" s="5"/>
      <c r="T101" s="5">
        <v>40340</v>
      </c>
      <c r="U101" s="7"/>
      <c r="V101" s="7">
        <v>0</v>
      </c>
      <c r="W101" s="5">
        <v>-17.91</v>
      </c>
      <c r="X101" s="5">
        <v>30</v>
      </c>
      <c r="Y101" s="7">
        <v>0</v>
      </c>
      <c r="Z101" s="5">
        <v>0</v>
      </c>
      <c r="AA101" s="5">
        <v>0</v>
      </c>
    </row>
    <row r="102" spans="1:27" ht="15" customHeight="1" x14ac:dyDescent="0.45">
      <c r="A102" s="3">
        <v>46082</v>
      </c>
      <c r="B102" s="4" t="s">
        <v>82</v>
      </c>
      <c r="C102" s="4" t="s">
        <v>80</v>
      </c>
      <c r="D102" s="4" t="s">
        <v>60</v>
      </c>
      <c r="E102" s="4" t="s">
        <v>95</v>
      </c>
      <c r="F102" s="5">
        <f t="shared" si="3"/>
        <v>93328.95</v>
      </c>
      <c r="G102" s="5">
        <f t="shared" si="4"/>
        <v>3200</v>
      </c>
      <c r="H102" s="5">
        <f t="shared" si="5"/>
        <v>90128.95</v>
      </c>
      <c r="I102" s="5">
        <v>1710420</v>
      </c>
      <c r="K102" s="5">
        <v>2658369</v>
      </c>
      <c r="L102" s="5">
        <v>-440914</v>
      </c>
      <c r="M102" s="5"/>
      <c r="N102" s="5">
        <v>2217455</v>
      </c>
      <c r="O102" s="7">
        <v>1.3</v>
      </c>
      <c r="P102" s="5">
        <v>173512</v>
      </c>
      <c r="Q102" s="5">
        <v>-30435</v>
      </c>
      <c r="R102" s="5">
        <v>143077</v>
      </c>
      <c r="S102" s="5">
        <v>220000</v>
      </c>
      <c r="T102" s="5">
        <v>94640</v>
      </c>
      <c r="U102" s="7">
        <v>0.43</v>
      </c>
      <c r="V102" s="7">
        <v>0.04</v>
      </c>
      <c r="W102" s="5">
        <v>90128.95</v>
      </c>
      <c r="X102" s="5">
        <v>85</v>
      </c>
      <c r="Y102" s="7">
        <v>0.4</v>
      </c>
      <c r="Z102" s="5">
        <v>8000</v>
      </c>
      <c r="AA102" s="5">
        <v>3200</v>
      </c>
    </row>
    <row r="103" spans="1:27" ht="15" customHeight="1" x14ac:dyDescent="0.45">
      <c r="A103" s="3">
        <v>46082</v>
      </c>
      <c r="B103" s="4" t="s">
        <v>83</v>
      </c>
      <c r="C103" s="4" t="s">
        <v>80</v>
      </c>
      <c r="D103" s="4" t="s">
        <v>60</v>
      </c>
      <c r="E103" s="4" t="s">
        <v>91</v>
      </c>
      <c r="F103" s="5">
        <f t="shared" si="3"/>
        <v>58707.348181818175</v>
      </c>
      <c r="G103" s="5">
        <f t="shared" si="4"/>
        <v>1928.8181818181799</v>
      </c>
      <c r="H103" s="5">
        <f t="shared" si="5"/>
        <v>56778.53</v>
      </c>
      <c r="I103" s="5">
        <v>1844400</v>
      </c>
      <c r="K103" s="5">
        <v>1965062</v>
      </c>
      <c r="L103" s="5">
        <v>-92948</v>
      </c>
      <c r="M103" s="5">
        <v>4800</v>
      </c>
      <c r="N103" s="5">
        <v>1876913</v>
      </c>
      <c r="O103" s="7">
        <v>1.02</v>
      </c>
      <c r="P103" s="5">
        <v>67490</v>
      </c>
      <c r="Q103" s="5">
        <v>-20378</v>
      </c>
      <c r="R103" s="5">
        <v>47113</v>
      </c>
      <c r="S103" s="5">
        <v>220000</v>
      </c>
      <c r="T103" s="5">
        <v>193060</v>
      </c>
      <c r="U103" s="7">
        <v>0.88</v>
      </c>
      <c r="V103" s="7">
        <v>0.03</v>
      </c>
      <c r="W103" s="5">
        <v>56778.53</v>
      </c>
      <c r="X103" s="5">
        <v>89.1102272727273</v>
      </c>
      <c r="Y103" s="7">
        <v>0.98220454545454505</v>
      </c>
      <c r="Z103" s="5">
        <v>4000</v>
      </c>
      <c r="AA103" s="5">
        <v>1928.8181818181799</v>
      </c>
    </row>
    <row r="104" spans="1:27" ht="15" customHeight="1" x14ac:dyDescent="0.45">
      <c r="A104" s="3">
        <v>46082</v>
      </c>
      <c r="B104" s="4" t="s">
        <v>85</v>
      </c>
      <c r="C104" s="4" t="s">
        <v>80</v>
      </c>
      <c r="D104" s="4" t="s">
        <v>60</v>
      </c>
      <c r="E104" s="4" t="s">
        <v>91</v>
      </c>
      <c r="F104" s="5">
        <f t="shared" si="3"/>
        <v>64327.24</v>
      </c>
      <c r="G104" s="5">
        <f t="shared" si="4"/>
        <v>1200</v>
      </c>
      <c r="H104" s="5">
        <f t="shared" si="5"/>
        <v>63127.24</v>
      </c>
      <c r="I104" s="5">
        <v>1790460</v>
      </c>
      <c r="K104" s="5">
        <v>2276712</v>
      </c>
      <c r="L104" s="5">
        <v>-253246</v>
      </c>
      <c r="M104" s="5"/>
      <c r="N104" s="5">
        <v>2023467</v>
      </c>
      <c r="O104" s="7">
        <v>1.1299999999999999</v>
      </c>
      <c r="P104" s="5">
        <v>179344</v>
      </c>
      <c r="Q104" s="5">
        <v>-8190</v>
      </c>
      <c r="R104" s="5">
        <v>171154</v>
      </c>
      <c r="S104" s="5">
        <v>220000</v>
      </c>
      <c r="T104" s="5">
        <v>159870</v>
      </c>
      <c r="U104" s="7">
        <v>0.73</v>
      </c>
      <c r="V104" s="7">
        <v>0.03</v>
      </c>
      <c r="W104" s="5">
        <v>63127.24</v>
      </c>
      <c r="X104" s="5">
        <v>80</v>
      </c>
      <c r="Y104" s="7">
        <v>0.8</v>
      </c>
      <c r="Z104" s="5">
        <v>4000</v>
      </c>
      <c r="AA104" s="5">
        <v>1200</v>
      </c>
    </row>
    <row r="105" spans="1:27" ht="15" customHeight="1" x14ac:dyDescent="0.45">
      <c r="A105" s="3">
        <v>46082</v>
      </c>
      <c r="B105" s="4" t="s">
        <v>87</v>
      </c>
      <c r="C105" s="4" t="s">
        <v>80</v>
      </c>
      <c r="D105" s="4" t="s">
        <v>60</v>
      </c>
      <c r="E105" s="4" t="s">
        <v>91</v>
      </c>
      <c r="F105" s="5">
        <f t="shared" si="3"/>
        <v>27226.71</v>
      </c>
      <c r="G105" s="5">
        <f t="shared" si="4"/>
        <v>1200</v>
      </c>
      <c r="H105" s="5">
        <f t="shared" si="5"/>
        <v>26026.71</v>
      </c>
      <c r="I105" s="5">
        <v>1708680</v>
      </c>
      <c r="K105" s="5">
        <v>1636320</v>
      </c>
      <c r="L105" s="5">
        <v>-241351</v>
      </c>
      <c r="M105" s="5">
        <v>25220</v>
      </c>
      <c r="N105" s="5">
        <v>1420189</v>
      </c>
      <c r="O105" s="7">
        <v>0.83</v>
      </c>
      <c r="P105" s="5">
        <v>46501</v>
      </c>
      <c r="Q105" s="5">
        <v>-170</v>
      </c>
      <c r="R105" s="5">
        <v>46331</v>
      </c>
      <c r="S105" s="5">
        <v>170000</v>
      </c>
      <c r="T105" s="5">
        <v>182180</v>
      </c>
      <c r="U105" s="7">
        <v>1.07</v>
      </c>
      <c r="V105" s="7">
        <v>1.7999999999999999E-2</v>
      </c>
      <c r="W105" s="5">
        <v>26026.71</v>
      </c>
      <c r="X105" s="5">
        <v>80</v>
      </c>
      <c r="Y105" s="7">
        <v>0.8</v>
      </c>
      <c r="Z105" s="5">
        <v>4000</v>
      </c>
      <c r="AA105" s="5">
        <v>1200</v>
      </c>
    </row>
    <row r="106" spans="1:27" ht="15" customHeight="1" x14ac:dyDescent="0.45">
      <c r="A106" s="3">
        <v>46082</v>
      </c>
      <c r="B106" s="4" t="s">
        <v>93</v>
      </c>
      <c r="C106" s="4" t="s">
        <v>80</v>
      </c>
      <c r="D106" s="4" t="s">
        <v>60</v>
      </c>
      <c r="E106" s="4" t="s">
        <v>91</v>
      </c>
      <c r="F106" s="5">
        <f t="shared" si="3"/>
        <v>81040.429999999993</v>
      </c>
      <c r="G106" s="5">
        <f t="shared" si="4"/>
        <v>-2000</v>
      </c>
      <c r="H106" s="5">
        <f t="shared" si="5"/>
        <v>83040.429999999993</v>
      </c>
      <c r="I106" s="5">
        <v>1708680</v>
      </c>
      <c r="K106" s="5">
        <v>2563540</v>
      </c>
      <c r="L106" s="5">
        <v>-489654</v>
      </c>
      <c r="M106" s="5"/>
      <c r="N106" s="5">
        <v>2073886</v>
      </c>
      <c r="O106" s="7">
        <v>1.21</v>
      </c>
      <c r="P106" s="5">
        <v>30187</v>
      </c>
      <c r="Q106" s="5">
        <v>-21687</v>
      </c>
      <c r="R106" s="5">
        <v>8500</v>
      </c>
      <c r="S106" s="5">
        <v>170000</v>
      </c>
      <c r="T106" s="5">
        <v>268600</v>
      </c>
      <c r="U106" s="7">
        <v>1.58</v>
      </c>
      <c r="V106" s="7">
        <v>0.04</v>
      </c>
      <c r="W106" s="5">
        <v>83040.429999999993</v>
      </c>
      <c r="X106" s="5">
        <v>30</v>
      </c>
      <c r="Y106" s="7">
        <v>0</v>
      </c>
      <c r="Z106" s="5">
        <v>4000</v>
      </c>
      <c r="AA106" s="5">
        <v>-2000</v>
      </c>
    </row>
    <row r="107" spans="1:27" ht="15" customHeight="1" x14ac:dyDescent="0.45">
      <c r="A107" s="3">
        <v>46082</v>
      </c>
      <c r="B107" s="4" t="s">
        <v>94</v>
      </c>
      <c r="C107" s="4" t="s">
        <v>80</v>
      </c>
      <c r="D107" s="4" t="s">
        <v>60</v>
      </c>
      <c r="E107" s="4" t="s">
        <v>91</v>
      </c>
      <c r="F107" s="5">
        <f t="shared" si="3"/>
        <v>55849.07</v>
      </c>
      <c r="G107" s="5">
        <f t="shared" si="4"/>
        <v>2000</v>
      </c>
      <c r="H107" s="5">
        <f t="shared" si="5"/>
        <v>53849.07</v>
      </c>
      <c r="I107" s="5">
        <v>1708680</v>
      </c>
      <c r="K107" s="5">
        <v>2047498</v>
      </c>
      <c r="L107" s="5">
        <v>-316674</v>
      </c>
      <c r="M107" s="5">
        <v>21000</v>
      </c>
      <c r="N107" s="5">
        <v>1751825</v>
      </c>
      <c r="O107" s="7">
        <v>1.03</v>
      </c>
      <c r="P107" s="5">
        <v>143463</v>
      </c>
      <c r="Q107" s="5">
        <v>-14030</v>
      </c>
      <c r="R107" s="5">
        <v>129433</v>
      </c>
      <c r="S107" s="5">
        <v>170000</v>
      </c>
      <c r="T107" s="5">
        <v>77000</v>
      </c>
      <c r="U107" s="7">
        <v>0.45</v>
      </c>
      <c r="V107" s="7">
        <v>0.03</v>
      </c>
      <c r="W107" s="5">
        <v>53849.07</v>
      </c>
      <c r="X107" s="5">
        <v>60</v>
      </c>
      <c r="Y107" s="7">
        <v>1</v>
      </c>
      <c r="Z107" s="5">
        <v>4000</v>
      </c>
      <c r="AA107" s="5">
        <v>2000</v>
      </c>
    </row>
    <row r="108" spans="1:27" ht="15" customHeight="1" x14ac:dyDescent="0.45">
      <c r="A108" s="3">
        <v>46082</v>
      </c>
      <c r="B108" s="4" t="s">
        <v>96</v>
      </c>
      <c r="C108" s="4" t="s">
        <v>80</v>
      </c>
      <c r="D108" s="4" t="s">
        <v>60</v>
      </c>
      <c r="E108" s="4" t="s">
        <v>91</v>
      </c>
      <c r="F108" s="5">
        <f t="shared" si="3"/>
        <v>6834.89</v>
      </c>
      <c r="G108" s="5">
        <f t="shared" si="4"/>
        <v>2000</v>
      </c>
      <c r="H108" s="5">
        <f t="shared" si="5"/>
        <v>4834.8900000000003</v>
      </c>
      <c r="I108" s="5">
        <v>561150</v>
      </c>
      <c r="K108" s="5">
        <v>461090</v>
      </c>
      <c r="L108" s="5">
        <v>0</v>
      </c>
      <c r="M108" s="5"/>
      <c r="N108" s="5">
        <v>461090</v>
      </c>
      <c r="O108" s="7">
        <v>0.82</v>
      </c>
      <c r="P108" s="5">
        <v>114617</v>
      </c>
      <c r="Q108" s="5">
        <v>0</v>
      </c>
      <c r="R108" s="5">
        <v>114617</v>
      </c>
      <c r="S108" s="5">
        <v>60000</v>
      </c>
      <c r="T108" s="5">
        <v>62690</v>
      </c>
      <c r="U108" s="7">
        <v>1.04</v>
      </c>
      <c r="V108" s="7">
        <v>8.0000000000000002E-3</v>
      </c>
      <c r="W108" s="5">
        <v>4834.8900000000003</v>
      </c>
      <c r="X108" s="5">
        <v>10</v>
      </c>
      <c r="Y108" s="7">
        <v>1</v>
      </c>
      <c r="Z108" s="5">
        <v>4000</v>
      </c>
      <c r="AA108" s="5">
        <v>2000</v>
      </c>
    </row>
    <row r="109" spans="1:27" ht="15" customHeight="1" x14ac:dyDescent="0.45">
      <c r="A109" s="3">
        <v>46082</v>
      </c>
      <c r="B109" s="4" t="s">
        <v>97</v>
      </c>
      <c r="C109" s="4" t="s">
        <v>80</v>
      </c>
      <c r="D109" s="4" t="s">
        <v>60</v>
      </c>
      <c r="E109" s="4" t="s">
        <v>91</v>
      </c>
      <c r="F109" s="5">
        <f t="shared" si="3"/>
        <v>6275.92</v>
      </c>
      <c r="G109" s="5">
        <f t="shared" si="4"/>
        <v>2000</v>
      </c>
      <c r="H109" s="5">
        <f t="shared" si="5"/>
        <v>4275.92</v>
      </c>
      <c r="I109" s="5">
        <v>561150</v>
      </c>
      <c r="K109" s="5">
        <v>517795</v>
      </c>
      <c r="L109" s="5">
        <v>-35665</v>
      </c>
      <c r="M109" s="5"/>
      <c r="N109" s="5">
        <v>482130</v>
      </c>
      <c r="O109" s="7">
        <v>0.86</v>
      </c>
      <c r="P109" s="5">
        <v>41888</v>
      </c>
      <c r="Q109" s="5">
        <v>0</v>
      </c>
      <c r="R109" s="5">
        <v>41888</v>
      </c>
      <c r="S109" s="5">
        <v>60000</v>
      </c>
      <c r="T109" s="5">
        <v>28300</v>
      </c>
      <c r="U109" s="7">
        <v>0.47</v>
      </c>
      <c r="V109" s="7">
        <v>8.0000000000000002E-3</v>
      </c>
      <c r="W109" s="5">
        <v>4275.92</v>
      </c>
      <c r="X109" s="5">
        <v>30</v>
      </c>
      <c r="Y109" s="7">
        <v>1</v>
      </c>
      <c r="Z109" s="5">
        <v>4000</v>
      </c>
      <c r="AA109" s="5">
        <v>2000</v>
      </c>
    </row>
    <row r="110" spans="1:27" ht="15" customHeight="1" x14ac:dyDescent="0.45">
      <c r="A110" s="3">
        <v>46082</v>
      </c>
      <c r="B110" s="4" t="s">
        <v>98</v>
      </c>
      <c r="C110" s="4" t="s">
        <v>80</v>
      </c>
      <c r="D110" s="4" t="s">
        <v>60</v>
      </c>
      <c r="E110" s="4" t="s">
        <v>29</v>
      </c>
      <c r="F110" s="5">
        <f t="shared" si="3"/>
        <v>8580.7000000000007</v>
      </c>
      <c r="G110" s="5">
        <f t="shared" si="4"/>
        <v>2000</v>
      </c>
      <c r="H110" s="5">
        <f t="shared" si="5"/>
        <v>6580.7</v>
      </c>
      <c r="I110" s="5">
        <v>255780</v>
      </c>
      <c r="K110" s="5">
        <v>384997</v>
      </c>
      <c r="L110" s="5">
        <v>-60847</v>
      </c>
      <c r="M110" s="5"/>
      <c r="N110" s="5">
        <v>324150</v>
      </c>
      <c r="O110" s="7">
        <v>1.27</v>
      </c>
      <c r="P110" s="5">
        <v>9850</v>
      </c>
      <c r="Q110" s="5">
        <v>-80</v>
      </c>
      <c r="R110" s="5">
        <v>9770</v>
      </c>
      <c r="S110" s="5">
        <v>30000</v>
      </c>
      <c r="T110" s="5">
        <v>0</v>
      </c>
      <c r="U110" s="7">
        <v>0</v>
      </c>
      <c r="V110" s="7">
        <v>0.02</v>
      </c>
      <c r="W110" s="5">
        <v>6580.7</v>
      </c>
      <c r="X110" s="5">
        <v>55.5</v>
      </c>
      <c r="Y110" s="7">
        <v>1</v>
      </c>
      <c r="Z110" s="5">
        <v>4000</v>
      </c>
      <c r="AA110" s="5">
        <v>2000</v>
      </c>
    </row>
    <row r="111" spans="1:27" ht="15" customHeight="1" x14ac:dyDescent="0.45">
      <c r="A111" s="3">
        <v>46082</v>
      </c>
      <c r="B111" s="4" t="s">
        <v>99</v>
      </c>
      <c r="C111" s="4" t="s">
        <v>80</v>
      </c>
      <c r="D111" s="4" t="s">
        <v>60</v>
      </c>
      <c r="E111" s="4" t="s">
        <v>91</v>
      </c>
      <c r="F111" s="5">
        <f t="shared" si="3"/>
        <v>8129.19</v>
      </c>
      <c r="G111" s="5">
        <f t="shared" si="4"/>
        <v>0</v>
      </c>
      <c r="H111" s="5">
        <f t="shared" si="5"/>
        <v>8129.19</v>
      </c>
      <c r="I111" s="5">
        <v>255780</v>
      </c>
      <c r="K111" s="5">
        <v>397460</v>
      </c>
      <c r="L111" s="5">
        <v>0</v>
      </c>
      <c r="N111" s="5">
        <v>397460</v>
      </c>
      <c r="O111" s="7">
        <v>1.55</v>
      </c>
      <c r="P111" s="5">
        <v>17999</v>
      </c>
      <c r="Q111" s="5">
        <v>0</v>
      </c>
      <c r="R111" s="5">
        <v>17999</v>
      </c>
      <c r="S111" s="5">
        <v>30000</v>
      </c>
      <c r="T111" s="5">
        <v>27300</v>
      </c>
      <c r="U111" s="7">
        <v>0.91</v>
      </c>
      <c r="V111" s="7">
        <v>0.02</v>
      </c>
      <c r="W111" s="5">
        <v>8129.19</v>
      </c>
      <c r="X111" s="5"/>
    </row>
    <row r="112" spans="1:27" ht="15" customHeight="1" x14ac:dyDescent="0.45">
      <c r="A112" s="3">
        <v>46113</v>
      </c>
      <c r="B112" s="4" t="s">
        <v>82</v>
      </c>
      <c r="C112" s="4" t="s">
        <v>80</v>
      </c>
      <c r="D112" s="4" t="s">
        <v>60</v>
      </c>
      <c r="E112" s="4" t="s">
        <v>95</v>
      </c>
      <c r="F112" s="5">
        <f t="shared" si="3"/>
        <v>17324.97</v>
      </c>
      <c r="G112" s="5">
        <v>0</v>
      </c>
      <c r="H112" s="5">
        <v>17324.97</v>
      </c>
      <c r="I112" s="5">
        <v>365000</v>
      </c>
      <c r="J112" s="5"/>
      <c r="K112" s="5">
        <v>665216</v>
      </c>
      <c r="L112" s="5">
        <v>-87717.2</v>
      </c>
      <c r="M112" s="5">
        <v>0</v>
      </c>
      <c r="N112" s="5">
        <v>577498.80000000005</v>
      </c>
      <c r="O112" s="7">
        <v>1.5821884931506851</v>
      </c>
      <c r="P112" s="5">
        <v>12371</v>
      </c>
      <c r="Q112" s="5">
        <v>-26343.11</v>
      </c>
      <c r="R112" s="5">
        <v>-13972.11</v>
      </c>
      <c r="S112" s="5">
        <v>50000</v>
      </c>
      <c r="T112" s="5">
        <v>0</v>
      </c>
      <c r="U112" s="7">
        <v>0</v>
      </c>
      <c r="V112" s="7">
        <v>0.03</v>
      </c>
      <c r="W112" s="5">
        <v>17324.964</v>
      </c>
      <c r="X112" s="5">
        <v>54.518181818181823</v>
      </c>
      <c r="Y112" s="7">
        <v>0.54520000000000002</v>
      </c>
      <c r="Z112" s="5">
        <v>8000</v>
      </c>
      <c r="AA112" s="5">
        <v>0</v>
      </c>
    </row>
    <row r="113" spans="1:27" ht="15" customHeight="1" x14ac:dyDescent="0.45">
      <c r="A113" s="3">
        <v>46113</v>
      </c>
      <c r="B113" s="4" t="s">
        <v>79</v>
      </c>
      <c r="C113" s="4" t="s">
        <v>80</v>
      </c>
      <c r="D113" s="4" t="s">
        <v>60</v>
      </c>
      <c r="E113" s="4" t="s">
        <v>91</v>
      </c>
      <c r="F113" s="5">
        <f t="shared" si="3"/>
        <v>30477.684499999999</v>
      </c>
      <c r="G113" s="5">
        <v>2000</v>
      </c>
      <c r="H113" s="5">
        <v>28477.684499999999</v>
      </c>
      <c r="I113" s="5">
        <v>560000</v>
      </c>
      <c r="J113" s="5"/>
      <c r="K113" s="5">
        <v>777012.1</v>
      </c>
      <c r="L113" s="5">
        <v>-68114.100000000006</v>
      </c>
      <c r="M113" s="5">
        <v>0</v>
      </c>
      <c r="N113" s="5">
        <v>708898</v>
      </c>
      <c r="O113" s="7">
        <v>1.265889285714286</v>
      </c>
      <c r="P113" s="5">
        <v>28005.599999999999</v>
      </c>
      <c r="Q113" s="5">
        <v>-15829.15</v>
      </c>
      <c r="R113" s="5">
        <v>12176.45</v>
      </c>
      <c r="S113" s="4"/>
      <c r="T113" s="4"/>
      <c r="U113" s="4"/>
      <c r="V113" s="7">
        <v>0.04</v>
      </c>
      <c r="W113" s="5">
        <v>28477.684499999999</v>
      </c>
      <c r="X113" s="5">
        <v>90</v>
      </c>
      <c r="Y113" s="7">
        <v>1</v>
      </c>
      <c r="Z113" s="5">
        <v>2000</v>
      </c>
      <c r="AA113" s="5">
        <v>2000</v>
      </c>
    </row>
    <row r="114" spans="1:27" ht="15" customHeight="1" x14ac:dyDescent="0.45">
      <c r="A114" s="3">
        <v>46113</v>
      </c>
      <c r="B114" s="4" t="s">
        <v>81</v>
      </c>
      <c r="C114" s="4" t="s">
        <v>80</v>
      </c>
      <c r="D114" s="4" t="s">
        <v>60</v>
      </c>
      <c r="E114" s="4" t="s">
        <v>92</v>
      </c>
      <c r="F114" s="5">
        <f t="shared" si="3"/>
        <v>0</v>
      </c>
      <c r="G114" s="5">
        <v>0</v>
      </c>
      <c r="H114" s="5">
        <v>0</v>
      </c>
      <c r="I114" s="5">
        <v>0</v>
      </c>
      <c r="J114" s="5"/>
      <c r="K114" s="5">
        <v>0</v>
      </c>
      <c r="L114" s="5">
        <v>0</v>
      </c>
      <c r="M114" s="5">
        <v>0</v>
      </c>
      <c r="N114" s="5">
        <v>0</v>
      </c>
      <c r="O114" s="7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7">
        <v>0</v>
      </c>
      <c r="V114" s="7">
        <v>0</v>
      </c>
      <c r="W114" s="5">
        <v>0</v>
      </c>
      <c r="X114" s="5">
        <v>0</v>
      </c>
      <c r="Y114" s="7">
        <v>0</v>
      </c>
      <c r="Z114" s="5">
        <v>0</v>
      </c>
      <c r="AA114" s="5">
        <v>0</v>
      </c>
    </row>
    <row r="115" spans="1:27" ht="15" customHeight="1" x14ac:dyDescent="0.45">
      <c r="A115" s="3">
        <v>46113</v>
      </c>
      <c r="B115" s="4" t="s">
        <v>83</v>
      </c>
      <c r="C115" s="4" t="s">
        <v>80</v>
      </c>
      <c r="D115" s="4" t="s">
        <v>60</v>
      </c>
      <c r="E115" s="4" t="s">
        <v>91</v>
      </c>
      <c r="F115" s="5">
        <f t="shared" si="3"/>
        <v>116.25</v>
      </c>
      <c r="G115" s="5">
        <v>0</v>
      </c>
      <c r="H115" s="5">
        <v>116.25</v>
      </c>
      <c r="I115" s="5">
        <v>560000</v>
      </c>
      <c r="J115" s="5"/>
      <c r="K115" s="5">
        <v>244330.8</v>
      </c>
      <c r="L115" s="5">
        <v>-89113.7</v>
      </c>
      <c r="M115" s="5">
        <v>0</v>
      </c>
      <c r="N115" s="5">
        <v>155217.1</v>
      </c>
      <c r="O115" s="7">
        <v>0.27717339285714282</v>
      </c>
      <c r="P115" s="5">
        <v>11625</v>
      </c>
      <c r="Q115" s="5">
        <v>0</v>
      </c>
      <c r="R115" s="5">
        <v>11625</v>
      </c>
      <c r="S115" s="5">
        <v>50000</v>
      </c>
      <c r="T115" s="5">
        <v>27800</v>
      </c>
      <c r="U115" s="7">
        <v>0.56000000000000005</v>
      </c>
      <c r="V115" s="7">
        <v>0</v>
      </c>
      <c r="W115" s="5">
        <v>116.25</v>
      </c>
      <c r="X115" s="5">
        <v>10</v>
      </c>
      <c r="Y115" s="7">
        <v>0</v>
      </c>
      <c r="Z115" s="5">
        <v>2000</v>
      </c>
      <c r="AA115" s="5">
        <v>0</v>
      </c>
    </row>
    <row r="116" spans="1:27" ht="15" customHeight="1" x14ac:dyDescent="0.45">
      <c r="A116" s="3">
        <v>46113</v>
      </c>
      <c r="B116" s="4" t="s">
        <v>85</v>
      </c>
      <c r="C116" s="4" t="s">
        <v>80</v>
      </c>
      <c r="D116" s="4" t="s">
        <v>60</v>
      </c>
      <c r="E116" s="4" t="s">
        <v>91</v>
      </c>
      <c r="F116" s="5">
        <f t="shared" si="3"/>
        <v>29044.620999999999</v>
      </c>
      <c r="G116" s="5">
        <v>1480</v>
      </c>
      <c r="H116" s="5">
        <v>27564.620999999999</v>
      </c>
      <c r="I116" s="5">
        <v>560000</v>
      </c>
      <c r="J116" s="5"/>
      <c r="K116" s="5">
        <v>834317.8</v>
      </c>
      <c r="L116" s="5">
        <v>-151444.9</v>
      </c>
      <c r="M116" s="5">
        <v>0</v>
      </c>
      <c r="N116" s="5">
        <v>682872.9</v>
      </c>
      <c r="O116" s="7">
        <v>1.219415892857143</v>
      </c>
      <c r="P116" s="5">
        <v>24970.5</v>
      </c>
      <c r="Q116" s="5">
        <v>0</v>
      </c>
      <c r="R116" s="5">
        <v>24970.5</v>
      </c>
      <c r="S116" s="5">
        <v>50000</v>
      </c>
      <c r="T116" s="5">
        <v>54800</v>
      </c>
      <c r="U116" s="7">
        <v>1.1000000000000001</v>
      </c>
      <c r="V116" s="7">
        <v>0.04</v>
      </c>
      <c r="W116" s="5">
        <v>27564.620999999999</v>
      </c>
      <c r="X116" s="5">
        <v>77</v>
      </c>
      <c r="Y116" s="7">
        <v>0.74</v>
      </c>
      <c r="Z116" s="5">
        <v>2000</v>
      </c>
      <c r="AA116" s="5">
        <v>1480</v>
      </c>
    </row>
    <row r="117" spans="1:27" ht="15" customHeight="1" x14ac:dyDescent="0.45">
      <c r="A117" s="3">
        <v>46113</v>
      </c>
      <c r="B117" s="4" t="s">
        <v>87</v>
      </c>
      <c r="C117" s="4" t="s">
        <v>80</v>
      </c>
      <c r="D117" s="4" t="s">
        <v>60</v>
      </c>
      <c r="E117" s="4" t="s">
        <v>91</v>
      </c>
      <c r="F117" s="5">
        <f t="shared" si="3"/>
        <v>4715.8980000000001</v>
      </c>
      <c r="G117" s="5">
        <v>2000</v>
      </c>
      <c r="H117" s="5">
        <v>2715.8980000000001</v>
      </c>
      <c r="I117" s="5">
        <v>536000</v>
      </c>
      <c r="J117" s="5"/>
      <c r="K117" s="5">
        <v>419332.9</v>
      </c>
      <c r="L117" s="5">
        <v>-148096.9</v>
      </c>
      <c r="M117" s="5">
        <v>0</v>
      </c>
      <c r="N117" s="5">
        <v>271236</v>
      </c>
      <c r="O117" s="7">
        <v>0.50603731343283587</v>
      </c>
      <c r="P117" s="5">
        <v>70863.399999999994</v>
      </c>
      <c r="Q117" s="5">
        <v>-16262.4</v>
      </c>
      <c r="R117" s="5">
        <v>54600.999999999993</v>
      </c>
      <c r="S117" s="5">
        <v>50000</v>
      </c>
      <c r="T117" s="5">
        <v>74780</v>
      </c>
      <c r="U117" s="7">
        <v>1.5</v>
      </c>
      <c r="V117" s="7">
        <v>8.0000000000000002E-3</v>
      </c>
      <c r="W117" s="5">
        <v>2715.8980000000001</v>
      </c>
      <c r="X117" s="5">
        <v>97</v>
      </c>
      <c r="Y117" s="7">
        <v>1</v>
      </c>
      <c r="Z117" s="5">
        <v>2000</v>
      </c>
      <c r="AA117" s="5">
        <v>2000</v>
      </c>
    </row>
    <row r="118" spans="1:27" ht="15" customHeight="1" x14ac:dyDescent="0.45">
      <c r="A118" s="3">
        <v>46113</v>
      </c>
      <c r="B118" s="4" t="s">
        <v>93</v>
      </c>
      <c r="C118" s="4" t="s">
        <v>80</v>
      </c>
      <c r="D118" s="4" t="s">
        <v>60</v>
      </c>
      <c r="E118" s="4" t="s">
        <v>91</v>
      </c>
      <c r="F118" s="5">
        <f t="shared" si="3"/>
        <v>20715.494999999999</v>
      </c>
      <c r="G118" s="5">
        <v>1680</v>
      </c>
      <c r="H118" s="5">
        <v>19035.494999999999</v>
      </c>
      <c r="I118" s="5">
        <v>536000</v>
      </c>
      <c r="J118" s="5"/>
      <c r="K118" s="5">
        <v>747506.6</v>
      </c>
      <c r="L118" s="5">
        <v>-114650.1</v>
      </c>
      <c r="M118" s="5">
        <v>0</v>
      </c>
      <c r="N118" s="5">
        <v>632856.5</v>
      </c>
      <c r="O118" s="7">
        <v>1.180702425373134</v>
      </c>
      <c r="P118" s="5">
        <v>4980</v>
      </c>
      <c r="Q118" s="5">
        <v>0</v>
      </c>
      <c r="R118" s="5">
        <v>4980</v>
      </c>
      <c r="S118" s="5">
        <v>50000</v>
      </c>
      <c r="T118" s="5">
        <v>207677</v>
      </c>
      <c r="U118" s="7">
        <v>4.1500000000000004</v>
      </c>
      <c r="V118" s="7">
        <v>0.03</v>
      </c>
      <c r="W118" s="5">
        <v>19035.494999999999</v>
      </c>
      <c r="X118" s="5">
        <v>82</v>
      </c>
      <c r="Y118" s="7">
        <v>0.84</v>
      </c>
      <c r="Z118" s="5">
        <v>2000</v>
      </c>
      <c r="AA118" s="5">
        <v>1680</v>
      </c>
    </row>
    <row r="119" spans="1:27" ht="15" customHeight="1" x14ac:dyDescent="0.45">
      <c r="A119" s="3">
        <v>46113</v>
      </c>
      <c r="B119" s="4" t="s">
        <v>94</v>
      </c>
      <c r="C119" s="4" t="s">
        <v>80</v>
      </c>
      <c r="D119" s="4" t="s">
        <v>60</v>
      </c>
      <c r="E119" s="4" t="s">
        <v>91</v>
      </c>
      <c r="F119" s="5">
        <f t="shared" si="3"/>
        <v>18303.447799999998</v>
      </c>
      <c r="G119" s="5">
        <v>1640.96</v>
      </c>
      <c r="H119" s="5">
        <v>16662.487799999999</v>
      </c>
      <c r="I119" s="5">
        <v>536000</v>
      </c>
      <c r="J119" s="5"/>
      <c r="K119" s="5">
        <v>755360.1</v>
      </c>
      <c r="L119" s="5">
        <v>-197019.9</v>
      </c>
      <c r="M119" s="5">
        <v>2600</v>
      </c>
      <c r="N119" s="5">
        <v>560940.19999999995</v>
      </c>
      <c r="O119" s="7">
        <v>1.0465302238805969</v>
      </c>
      <c r="P119" s="5">
        <v>26308.799999999999</v>
      </c>
      <c r="Q119" s="5">
        <v>-42880.62</v>
      </c>
      <c r="R119" s="5">
        <v>-16571.82</v>
      </c>
      <c r="S119" s="5">
        <v>50000</v>
      </c>
      <c r="T119" s="5">
        <v>37024</v>
      </c>
      <c r="U119" s="7">
        <v>0.74</v>
      </c>
      <c r="V119" s="7">
        <v>0.03</v>
      </c>
      <c r="W119" s="5">
        <v>16662.487799999999</v>
      </c>
      <c r="X119" s="5">
        <v>81.024000000000001</v>
      </c>
      <c r="Y119" s="7">
        <v>0.82047999999999999</v>
      </c>
      <c r="Z119" s="5">
        <v>2000</v>
      </c>
      <c r="AA119" s="5">
        <v>1640.96</v>
      </c>
    </row>
    <row r="120" spans="1:27" ht="15" customHeight="1" x14ac:dyDescent="0.45">
      <c r="A120" s="3">
        <v>46113</v>
      </c>
      <c r="B120" s="4" t="s">
        <v>96</v>
      </c>
      <c r="C120" s="4" t="s">
        <v>80</v>
      </c>
      <c r="D120" s="4" t="s">
        <v>60</v>
      </c>
      <c r="E120" s="4" t="s">
        <v>91</v>
      </c>
      <c r="F120" s="5">
        <f t="shared" si="3"/>
        <v>4694.4771999999994</v>
      </c>
      <c r="G120" s="5">
        <v>2000</v>
      </c>
      <c r="H120" s="5">
        <v>2694.4771999999998</v>
      </c>
      <c r="I120" s="5">
        <v>352000</v>
      </c>
      <c r="J120" s="5"/>
      <c r="K120" s="5">
        <v>404150</v>
      </c>
      <c r="L120" s="5">
        <v>-121740.1</v>
      </c>
      <c r="M120" s="5">
        <v>0</v>
      </c>
      <c r="N120" s="5">
        <v>282409.90000000002</v>
      </c>
      <c r="O120" s="7">
        <v>0.80230085227272729</v>
      </c>
      <c r="P120" s="5">
        <v>43519.8</v>
      </c>
      <c r="Q120" s="5">
        <v>0</v>
      </c>
      <c r="R120" s="5">
        <v>43519.8</v>
      </c>
      <c r="S120" s="5">
        <v>40000</v>
      </c>
      <c r="T120" s="5">
        <v>0</v>
      </c>
      <c r="U120" s="7">
        <v>0</v>
      </c>
      <c r="V120" s="7">
        <v>8.0000000000000002E-3</v>
      </c>
      <c r="W120" s="5">
        <v>2694.4771999999998</v>
      </c>
      <c r="X120" s="5">
        <v>0</v>
      </c>
      <c r="Y120" s="7">
        <v>1</v>
      </c>
      <c r="Z120" s="5">
        <v>2000</v>
      </c>
      <c r="AA120" s="5">
        <v>2000</v>
      </c>
    </row>
    <row r="121" spans="1:27" ht="15" customHeight="1" x14ac:dyDescent="0.45">
      <c r="A121" s="3">
        <v>46113</v>
      </c>
      <c r="B121" s="4" t="s">
        <v>97</v>
      </c>
      <c r="C121" s="4" t="s">
        <v>80</v>
      </c>
      <c r="D121" s="4" t="s">
        <v>60</v>
      </c>
      <c r="E121" s="4" t="s">
        <v>91</v>
      </c>
      <c r="F121" s="5">
        <f t="shared" si="3"/>
        <v>6459.866</v>
      </c>
      <c r="G121" s="5">
        <v>2000</v>
      </c>
      <c r="H121" s="5">
        <v>4459.866</v>
      </c>
      <c r="I121" s="5">
        <v>352000</v>
      </c>
      <c r="J121" s="5"/>
      <c r="K121" s="5">
        <v>443062.2</v>
      </c>
      <c r="L121" s="5">
        <v>-83962.2</v>
      </c>
      <c r="M121" s="5">
        <v>0</v>
      </c>
      <c r="N121" s="5">
        <v>359100</v>
      </c>
      <c r="O121" s="7">
        <v>1.0201704545454551</v>
      </c>
      <c r="P121" s="5">
        <v>15066.6</v>
      </c>
      <c r="Q121" s="5">
        <v>0</v>
      </c>
      <c r="R121" s="5">
        <v>15066.6</v>
      </c>
      <c r="S121" s="5">
        <v>40000</v>
      </c>
      <c r="T121" s="5">
        <v>24400</v>
      </c>
      <c r="U121" s="7">
        <v>0.61</v>
      </c>
      <c r="V121" s="7">
        <v>1.2E-2</v>
      </c>
      <c r="W121" s="5">
        <v>4459.866</v>
      </c>
      <c r="X121" s="5">
        <v>0</v>
      </c>
      <c r="Y121" s="7">
        <v>1</v>
      </c>
      <c r="Z121" s="5">
        <v>2000</v>
      </c>
      <c r="AA121" s="5">
        <v>2000</v>
      </c>
    </row>
    <row r="122" spans="1:27" ht="15" customHeight="1" x14ac:dyDescent="0.45">
      <c r="A122" s="3">
        <v>46113</v>
      </c>
      <c r="B122" s="4" t="s">
        <v>98</v>
      </c>
      <c r="C122" s="4" t="s">
        <v>80</v>
      </c>
      <c r="D122" s="4" t="s">
        <v>60</v>
      </c>
      <c r="E122" s="4" t="s">
        <v>91</v>
      </c>
      <c r="F122" s="5">
        <f t="shared" si="3"/>
        <v>3269.6</v>
      </c>
      <c r="G122" s="5">
        <v>2000</v>
      </c>
      <c r="H122" s="5">
        <v>1269.5999999999999</v>
      </c>
      <c r="I122" s="5">
        <v>220000</v>
      </c>
      <c r="J122" s="5"/>
      <c r="K122" s="5">
        <v>158700</v>
      </c>
      <c r="L122" s="5">
        <v>0</v>
      </c>
      <c r="M122" s="5">
        <v>0</v>
      </c>
      <c r="N122" s="5">
        <v>158700</v>
      </c>
      <c r="O122" s="7">
        <v>0.72136363636363632</v>
      </c>
      <c r="P122" s="5">
        <v>0</v>
      </c>
      <c r="Q122" s="5">
        <v>0</v>
      </c>
      <c r="R122" s="5">
        <v>0</v>
      </c>
      <c r="S122" s="5">
        <v>25000</v>
      </c>
      <c r="T122" s="5">
        <v>0</v>
      </c>
      <c r="U122" s="7">
        <v>0</v>
      </c>
      <c r="V122" s="7">
        <v>8.0000000000000002E-3</v>
      </c>
      <c r="W122" s="5">
        <v>1269.5999999999999</v>
      </c>
      <c r="X122" s="5">
        <v>0</v>
      </c>
      <c r="Y122" s="7">
        <v>1</v>
      </c>
      <c r="Z122" s="5">
        <v>2000</v>
      </c>
      <c r="AA122" s="5">
        <v>2000</v>
      </c>
    </row>
    <row r="123" spans="1:27" s="12" customFormat="1" ht="15" customHeight="1" x14ac:dyDescent="0.45">
      <c r="A123" s="9">
        <v>46113</v>
      </c>
      <c r="B123" s="8" t="s">
        <v>99</v>
      </c>
      <c r="C123" s="8" t="s">
        <v>80</v>
      </c>
      <c r="D123" s="8" t="s">
        <v>60</v>
      </c>
      <c r="E123" s="8" t="s">
        <v>91</v>
      </c>
      <c r="F123" s="10">
        <f t="shared" si="3"/>
        <v>2000</v>
      </c>
      <c r="G123" s="10">
        <v>2000</v>
      </c>
      <c r="H123" s="10">
        <v>0</v>
      </c>
      <c r="I123" s="10">
        <v>220000</v>
      </c>
      <c r="J123" s="10"/>
      <c r="K123" s="10">
        <v>122400</v>
      </c>
      <c r="L123" s="10">
        <v>0</v>
      </c>
      <c r="M123" s="10">
        <v>0</v>
      </c>
      <c r="N123" s="10">
        <v>122400</v>
      </c>
      <c r="O123" s="11">
        <v>0.55636363636363639</v>
      </c>
      <c r="P123" s="10">
        <v>0</v>
      </c>
      <c r="Q123" s="10">
        <v>0</v>
      </c>
      <c r="R123" s="10">
        <v>0</v>
      </c>
      <c r="S123" s="10">
        <v>25000</v>
      </c>
      <c r="T123" s="10">
        <v>0</v>
      </c>
      <c r="U123" s="11">
        <v>0</v>
      </c>
      <c r="V123" s="11">
        <v>0</v>
      </c>
      <c r="W123" s="10">
        <v>0</v>
      </c>
      <c r="X123" s="10">
        <v>0</v>
      </c>
      <c r="Y123" s="11">
        <v>1</v>
      </c>
      <c r="Z123" s="10">
        <v>2000</v>
      </c>
      <c r="AA123" s="10">
        <v>2000</v>
      </c>
    </row>
    <row r="124" spans="1:27" s="12" customFormat="1" ht="15" customHeight="1" x14ac:dyDescent="0.45">
      <c r="A124" s="9">
        <v>46143</v>
      </c>
      <c r="B124" s="8" t="s">
        <v>82</v>
      </c>
      <c r="C124" s="8" t="s">
        <v>80</v>
      </c>
      <c r="D124" s="8" t="s">
        <v>60</v>
      </c>
      <c r="E124" s="8" t="s">
        <v>95</v>
      </c>
      <c r="F124" s="10">
        <f t="shared" si="3"/>
        <v>18212.009999999998</v>
      </c>
      <c r="G124" s="10">
        <v>0</v>
      </c>
      <c r="H124" s="10">
        <v>18212.009999999998</v>
      </c>
      <c r="I124" s="10">
        <v>360000</v>
      </c>
      <c r="J124" s="8"/>
      <c r="K124" s="10">
        <v>748309.2</v>
      </c>
      <c r="L124" s="10">
        <v>-145809.20000000001</v>
      </c>
      <c r="M124" s="10">
        <v>0</v>
      </c>
      <c r="N124" s="10">
        <v>602500</v>
      </c>
      <c r="O124" s="11">
        <v>1.6736111111111109</v>
      </c>
      <c r="P124" s="10">
        <v>14001</v>
      </c>
      <c r="Q124" s="10">
        <v>-300</v>
      </c>
      <c r="R124" s="10">
        <v>13701</v>
      </c>
      <c r="S124" s="8"/>
      <c r="T124" s="8"/>
      <c r="U124" s="8"/>
      <c r="V124" s="11">
        <v>0.03</v>
      </c>
      <c r="W124" s="10">
        <v>18212.009999999998</v>
      </c>
      <c r="X124" s="10">
        <v>52.109222222222222</v>
      </c>
      <c r="Y124" s="11">
        <v>0</v>
      </c>
      <c r="Z124" s="10">
        <v>4000</v>
      </c>
      <c r="AA124" s="10">
        <v>0</v>
      </c>
    </row>
    <row r="125" spans="1:27" ht="15" customHeight="1" x14ac:dyDescent="0.45">
      <c r="A125" s="3">
        <v>46143</v>
      </c>
      <c r="B125" s="4" t="s">
        <v>79</v>
      </c>
      <c r="C125" s="4" t="s">
        <v>80</v>
      </c>
      <c r="D125" s="4" t="s">
        <v>60</v>
      </c>
      <c r="E125" s="4" t="s">
        <v>91</v>
      </c>
      <c r="F125" s="5">
        <f t="shared" si="3"/>
        <v>27545.907999999999</v>
      </c>
      <c r="G125" s="5">
        <v>2000</v>
      </c>
      <c r="H125" s="5">
        <v>25545.907999999999</v>
      </c>
      <c r="I125" s="5">
        <v>510000</v>
      </c>
      <c r="J125" s="4"/>
      <c r="K125" s="5">
        <v>727064.4</v>
      </c>
      <c r="L125" s="5">
        <v>-119066.7</v>
      </c>
      <c r="M125" s="5">
        <v>30650</v>
      </c>
      <c r="N125" s="5">
        <v>638647.70000000007</v>
      </c>
      <c r="O125" s="7">
        <v>1.2522503921568631</v>
      </c>
      <c r="P125" s="5">
        <v>0</v>
      </c>
      <c r="Q125" s="5">
        <v>0</v>
      </c>
      <c r="R125" s="5">
        <v>0</v>
      </c>
      <c r="S125" s="5">
        <v>70000</v>
      </c>
      <c r="T125" s="5">
        <v>71800</v>
      </c>
      <c r="U125" s="7">
        <v>1.025714285714286</v>
      </c>
      <c r="V125" s="7">
        <v>0.04</v>
      </c>
      <c r="W125" s="5">
        <v>25545.907999999999</v>
      </c>
      <c r="X125" s="5">
        <v>98</v>
      </c>
      <c r="Y125" s="7">
        <v>1</v>
      </c>
      <c r="Z125" s="5">
        <v>2000</v>
      </c>
      <c r="AA125" s="5">
        <v>2000</v>
      </c>
    </row>
    <row r="126" spans="1:27" ht="15" customHeight="1" x14ac:dyDescent="0.45">
      <c r="A126" s="3">
        <v>46143</v>
      </c>
      <c r="B126" s="4" t="s">
        <v>81</v>
      </c>
      <c r="C126" s="4" t="s">
        <v>80</v>
      </c>
      <c r="D126" s="4" t="s">
        <v>60</v>
      </c>
      <c r="E126" s="4" t="s">
        <v>92</v>
      </c>
      <c r="F126" s="5">
        <f t="shared" si="3"/>
        <v>0</v>
      </c>
      <c r="G126" s="5">
        <v>0</v>
      </c>
      <c r="H126" s="5">
        <v>0</v>
      </c>
      <c r="I126" s="5">
        <v>0</v>
      </c>
      <c r="J126" s="4"/>
      <c r="K126" s="5">
        <v>0</v>
      </c>
      <c r="L126" s="5">
        <v>0</v>
      </c>
      <c r="M126" s="5">
        <v>0</v>
      </c>
      <c r="N126" s="5">
        <v>0</v>
      </c>
      <c r="O126" s="7">
        <v>0</v>
      </c>
      <c r="P126" s="5">
        <v>0</v>
      </c>
      <c r="Q126" s="5">
        <v>0</v>
      </c>
      <c r="R126" s="5">
        <v>0</v>
      </c>
      <c r="S126" s="5" t="s">
        <v>100</v>
      </c>
      <c r="T126" s="5">
        <v>0</v>
      </c>
      <c r="U126" s="7">
        <v>0</v>
      </c>
      <c r="V126" s="7">
        <v>0</v>
      </c>
      <c r="W126" s="5">
        <v>0</v>
      </c>
      <c r="X126" s="5">
        <v>0</v>
      </c>
      <c r="Y126" s="7">
        <v>0</v>
      </c>
      <c r="Z126" s="5">
        <v>0</v>
      </c>
      <c r="AA126" s="5">
        <v>0</v>
      </c>
    </row>
    <row r="127" spans="1:27" ht="15" customHeight="1" x14ac:dyDescent="0.45">
      <c r="A127" s="3">
        <v>46143</v>
      </c>
      <c r="B127" s="4" t="s">
        <v>83</v>
      </c>
      <c r="C127" s="4" t="s">
        <v>80</v>
      </c>
      <c r="D127" s="4" t="s">
        <v>60</v>
      </c>
      <c r="E127" s="4" t="s">
        <v>91</v>
      </c>
      <c r="F127" s="5">
        <f t="shared" si="3"/>
        <v>17329.485000000001</v>
      </c>
      <c r="G127" s="5">
        <v>0</v>
      </c>
      <c r="H127" s="5">
        <v>17329.485000000001</v>
      </c>
      <c r="I127" s="5">
        <v>540000</v>
      </c>
      <c r="J127" s="4"/>
      <c r="K127" s="5">
        <v>644421</v>
      </c>
      <c r="L127" s="5">
        <v>-66771.5</v>
      </c>
      <c r="M127" s="5">
        <v>0</v>
      </c>
      <c r="N127" s="5">
        <v>577649.5</v>
      </c>
      <c r="O127" s="7">
        <v>1.0697212962962961</v>
      </c>
      <c r="P127" s="5">
        <v>0</v>
      </c>
      <c r="Q127" s="5">
        <v>0</v>
      </c>
      <c r="R127" s="5">
        <v>0</v>
      </c>
      <c r="S127" s="5">
        <v>70000</v>
      </c>
      <c r="T127" s="5">
        <v>0</v>
      </c>
      <c r="U127" s="7">
        <v>0</v>
      </c>
      <c r="V127" s="7">
        <v>0.03</v>
      </c>
      <c r="W127" s="5">
        <v>17329.485000000001</v>
      </c>
      <c r="X127" s="5">
        <v>28</v>
      </c>
      <c r="Y127" s="7">
        <v>0</v>
      </c>
      <c r="Z127" s="5">
        <v>2000</v>
      </c>
      <c r="AA127" s="5">
        <v>0</v>
      </c>
    </row>
    <row r="128" spans="1:27" ht="15" customHeight="1" x14ac:dyDescent="0.45">
      <c r="A128" s="3">
        <v>46143</v>
      </c>
      <c r="B128" s="4" t="s">
        <v>85</v>
      </c>
      <c r="C128" s="4" t="s">
        <v>80</v>
      </c>
      <c r="D128" s="4" t="s">
        <v>60</v>
      </c>
      <c r="E128" s="4" t="s">
        <v>91</v>
      </c>
      <c r="F128" s="5">
        <f t="shared" si="3"/>
        <v>38395.625</v>
      </c>
      <c r="G128" s="5">
        <v>0</v>
      </c>
      <c r="H128" s="5">
        <v>38395.625</v>
      </c>
      <c r="I128" s="5">
        <v>510000</v>
      </c>
      <c r="J128" s="4"/>
      <c r="K128" s="5">
        <v>861154.2</v>
      </c>
      <c r="L128" s="5">
        <v>-93241.7</v>
      </c>
      <c r="M128" s="5">
        <v>0</v>
      </c>
      <c r="N128" s="5">
        <v>767912.5</v>
      </c>
      <c r="O128" s="7">
        <v>1.505710784313725</v>
      </c>
      <c r="P128" s="5">
        <v>0</v>
      </c>
      <c r="Q128" s="5">
        <v>-19298.11</v>
      </c>
      <c r="R128" s="5">
        <v>-19298.11</v>
      </c>
      <c r="S128" s="5">
        <v>70000</v>
      </c>
      <c r="T128" s="5">
        <v>0</v>
      </c>
      <c r="U128" s="7">
        <v>0</v>
      </c>
      <c r="V128" s="7">
        <v>0.05</v>
      </c>
      <c r="W128" s="5">
        <v>38395.625</v>
      </c>
      <c r="X128" s="5">
        <v>30</v>
      </c>
      <c r="Y128" s="7">
        <v>0</v>
      </c>
      <c r="Z128" s="5">
        <v>2000</v>
      </c>
      <c r="AA128" s="5">
        <v>0</v>
      </c>
    </row>
    <row r="129" spans="1:27" ht="15" customHeight="1" x14ac:dyDescent="0.45">
      <c r="A129" s="3">
        <v>46143</v>
      </c>
      <c r="B129" s="4" t="s">
        <v>87</v>
      </c>
      <c r="C129" s="4" t="s">
        <v>80</v>
      </c>
      <c r="D129" s="4" t="s">
        <v>60</v>
      </c>
      <c r="E129" s="4" t="s">
        <v>91</v>
      </c>
      <c r="F129" s="5">
        <f t="shared" si="3"/>
        <v>2261.8751999999999</v>
      </c>
      <c r="G129" s="5">
        <v>0</v>
      </c>
      <c r="H129" s="5">
        <v>2261.8751999999999</v>
      </c>
      <c r="I129" s="5">
        <v>540000</v>
      </c>
      <c r="J129" s="4"/>
      <c r="K129" s="5">
        <v>322804.90000000002</v>
      </c>
      <c r="L129" s="5">
        <v>-85904.5</v>
      </c>
      <c r="M129" s="5">
        <v>0</v>
      </c>
      <c r="N129" s="5">
        <v>236900.4</v>
      </c>
      <c r="O129" s="7">
        <v>0.43870444444444451</v>
      </c>
      <c r="P129" s="5">
        <v>88859.6</v>
      </c>
      <c r="Q129" s="5">
        <v>-52192.4</v>
      </c>
      <c r="R129" s="5">
        <v>36667.199999999997</v>
      </c>
      <c r="S129" s="5">
        <v>70000</v>
      </c>
      <c r="T129" s="5">
        <v>0</v>
      </c>
      <c r="U129" s="7">
        <v>0</v>
      </c>
      <c r="V129" s="7">
        <v>8.0000000000000002E-3</v>
      </c>
      <c r="W129" s="5">
        <v>2261.8751999999999</v>
      </c>
      <c r="X129" s="5">
        <v>18</v>
      </c>
      <c r="Y129" s="7">
        <v>0</v>
      </c>
      <c r="Z129" s="5">
        <v>2000</v>
      </c>
      <c r="AA129" s="5">
        <v>0</v>
      </c>
    </row>
    <row r="130" spans="1:27" ht="15" customHeight="1" x14ac:dyDescent="0.45">
      <c r="A130" s="3">
        <v>46143</v>
      </c>
      <c r="B130" s="4" t="s">
        <v>93</v>
      </c>
      <c r="C130" s="4" t="s">
        <v>80</v>
      </c>
      <c r="D130" s="4" t="s">
        <v>60</v>
      </c>
      <c r="E130" s="4" t="s">
        <v>91</v>
      </c>
      <c r="F130" s="5">
        <f t="shared" si="3"/>
        <v>52090.7</v>
      </c>
      <c r="G130" s="5">
        <v>0</v>
      </c>
      <c r="H130" s="5">
        <v>52090.7</v>
      </c>
      <c r="I130" s="5">
        <v>510000</v>
      </c>
      <c r="J130" s="4"/>
      <c r="K130" s="5">
        <v>1125660</v>
      </c>
      <c r="L130" s="5">
        <v>-83846</v>
      </c>
      <c r="M130" s="5">
        <v>0</v>
      </c>
      <c r="N130" s="5">
        <v>1041814</v>
      </c>
      <c r="O130" s="7">
        <v>2.0427725490196078</v>
      </c>
      <c r="P130" s="5">
        <v>0</v>
      </c>
      <c r="Q130" s="5">
        <v>0</v>
      </c>
      <c r="R130" s="5">
        <v>0</v>
      </c>
      <c r="S130" s="5">
        <v>70000</v>
      </c>
      <c r="T130" s="5">
        <v>0</v>
      </c>
      <c r="U130" s="7">
        <v>0</v>
      </c>
      <c r="V130" s="7">
        <v>0.05</v>
      </c>
      <c r="W130" s="5">
        <v>52090.7</v>
      </c>
      <c r="X130" s="5">
        <v>30</v>
      </c>
      <c r="Y130" s="7">
        <v>0</v>
      </c>
      <c r="Z130" s="5">
        <v>2000</v>
      </c>
      <c r="AA130" s="5">
        <v>0</v>
      </c>
    </row>
    <row r="131" spans="1:27" ht="15" customHeight="1" x14ac:dyDescent="0.45">
      <c r="A131" s="3">
        <v>46143</v>
      </c>
      <c r="B131" s="4" t="s">
        <v>94</v>
      </c>
      <c r="C131" s="4" t="s">
        <v>80</v>
      </c>
      <c r="D131" s="4" t="s">
        <v>60</v>
      </c>
      <c r="E131" s="4" t="s">
        <v>91</v>
      </c>
      <c r="F131" s="5">
        <f t="shared" ref="F131:F162" si="6">G131+H131</f>
        <v>45915</v>
      </c>
      <c r="G131" s="5">
        <v>1600</v>
      </c>
      <c r="H131" s="5">
        <v>44315</v>
      </c>
      <c r="I131" s="5">
        <v>510000</v>
      </c>
      <c r="J131" s="4"/>
      <c r="K131" s="5">
        <v>935400</v>
      </c>
      <c r="L131" s="5">
        <v>-49100</v>
      </c>
      <c r="M131" s="5">
        <v>0</v>
      </c>
      <c r="N131" s="5">
        <v>886300</v>
      </c>
      <c r="O131" s="7">
        <v>1.7378431372549019</v>
      </c>
      <c r="P131" s="5">
        <v>0</v>
      </c>
      <c r="Q131" s="5">
        <v>-27946.75</v>
      </c>
      <c r="R131" s="5">
        <v>-27946.75</v>
      </c>
      <c r="S131" s="5">
        <v>70000</v>
      </c>
      <c r="T131" s="5">
        <v>247500</v>
      </c>
      <c r="U131" s="7">
        <v>3.535714285714286</v>
      </c>
      <c r="V131" s="7">
        <v>0.05</v>
      </c>
      <c r="W131" s="5">
        <v>44315</v>
      </c>
      <c r="X131" s="5">
        <v>80</v>
      </c>
      <c r="Y131" s="7">
        <v>0.8</v>
      </c>
      <c r="Z131" s="5">
        <v>2000</v>
      </c>
      <c r="AA131" s="5">
        <v>1600</v>
      </c>
    </row>
    <row r="132" spans="1:27" ht="15" customHeight="1" x14ac:dyDescent="0.45">
      <c r="A132" s="3">
        <v>46143</v>
      </c>
      <c r="B132" s="4" t="s">
        <v>96</v>
      </c>
      <c r="C132" s="4" t="s">
        <v>80</v>
      </c>
      <c r="D132" s="4" t="s">
        <v>60</v>
      </c>
      <c r="E132" s="4" t="s">
        <v>91</v>
      </c>
      <c r="F132" s="5">
        <f t="shared" si="6"/>
        <v>9129.2019999999993</v>
      </c>
      <c r="G132" s="5">
        <v>0</v>
      </c>
      <c r="H132" s="5">
        <v>9129.2019999999993</v>
      </c>
      <c r="I132" s="5">
        <v>360000</v>
      </c>
      <c r="J132" s="4"/>
      <c r="K132" s="5">
        <v>451974.5</v>
      </c>
      <c r="L132" s="5">
        <v>0</v>
      </c>
      <c r="M132" s="5">
        <v>0</v>
      </c>
      <c r="N132" s="5">
        <v>451974.5</v>
      </c>
      <c r="O132" s="7">
        <v>1.2554847222222221</v>
      </c>
      <c r="P132" s="5">
        <v>8971.2000000000007</v>
      </c>
      <c r="Q132" s="5">
        <v>0</v>
      </c>
      <c r="R132" s="5">
        <v>8971.2000000000007</v>
      </c>
      <c r="S132" s="5">
        <v>60000</v>
      </c>
      <c r="T132" s="5">
        <v>36200</v>
      </c>
      <c r="U132" s="7">
        <v>0.60333333333333339</v>
      </c>
      <c r="V132" s="7">
        <v>0.02</v>
      </c>
      <c r="W132" s="5">
        <v>9129.2019999999993</v>
      </c>
      <c r="X132" s="5">
        <v>40</v>
      </c>
      <c r="Y132" s="7">
        <v>0</v>
      </c>
      <c r="Z132" s="5">
        <v>2000</v>
      </c>
      <c r="AA132" s="5">
        <v>0</v>
      </c>
    </row>
    <row r="133" spans="1:27" ht="15" customHeight="1" x14ac:dyDescent="0.45">
      <c r="A133" s="3">
        <v>46143</v>
      </c>
      <c r="B133" s="4" t="s">
        <v>97</v>
      </c>
      <c r="C133" s="4" t="s">
        <v>80</v>
      </c>
      <c r="D133" s="4" t="s">
        <v>60</v>
      </c>
      <c r="E133" s="4" t="s">
        <v>91</v>
      </c>
      <c r="F133" s="5">
        <f t="shared" si="6"/>
        <v>181.459</v>
      </c>
      <c r="G133" s="5">
        <v>0</v>
      </c>
      <c r="H133" s="5">
        <v>181.459</v>
      </c>
      <c r="I133" s="5">
        <v>360000</v>
      </c>
      <c r="J133" s="4"/>
      <c r="K133" s="5">
        <v>82074.350000000006</v>
      </c>
      <c r="L133" s="5">
        <v>-42566</v>
      </c>
      <c r="M133" s="5">
        <v>0</v>
      </c>
      <c r="N133" s="5">
        <v>39508.350000000013</v>
      </c>
      <c r="O133" s="7">
        <v>0.10974541666666671</v>
      </c>
      <c r="P133" s="5">
        <v>18145.900000000001</v>
      </c>
      <c r="Q133" s="5">
        <v>0</v>
      </c>
      <c r="R133" s="5">
        <v>18145.900000000001</v>
      </c>
      <c r="S133" s="5">
        <v>60000</v>
      </c>
      <c r="T133" s="5">
        <v>0</v>
      </c>
      <c r="U133" s="7">
        <v>0</v>
      </c>
      <c r="V133" s="7">
        <v>0</v>
      </c>
      <c r="W133" s="5">
        <v>181.459</v>
      </c>
      <c r="X133" s="5">
        <v>20</v>
      </c>
      <c r="Y133" s="7">
        <v>0</v>
      </c>
      <c r="Z133" s="5">
        <v>2000</v>
      </c>
      <c r="AA133" s="5">
        <v>0</v>
      </c>
    </row>
    <row r="134" spans="1:27" ht="15" customHeight="1" x14ac:dyDescent="0.45">
      <c r="A134" s="3">
        <v>46143</v>
      </c>
      <c r="B134" s="4" t="s">
        <v>98</v>
      </c>
      <c r="C134" s="4" t="s">
        <v>80</v>
      </c>
      <c r="D134" s="4" t="s">
        <v>60</v>
      </c>
      <c r="E134" s="4" t="s">
        <v>91</v>
      </c>
      <c r="F134" s="5">
        <f t="shared" si="6"/>
        <v>0</v>
      </c>
      <c r="G134" s="5">
        <v>0</v>
      </c>
      <c r="H134" s="5">
        <v>0</v>
      </c>
      <c r="I134" s="5">
        <v>288000</v>
      </c>
      <c r="J134" s="4"/>
      <c r="K134" s="5">
        <v>0</v>
      </c>
      <c r="L134" s="5">
        <v>0</v>
      </c>
      <c r="M134" s="5">
        <v>0</v>
      </c>
      <c r="N134" s="5">
        <v>0</v>
      </c>
      <c r="O134" s="7">
        <v>0</v>
      </c>
      <c r="P134" s="5">
        <v>0</v>
      </c>
      <c r="Q134" s="5">
        <v>0</v>
      </c>
      <c r="R134" s="5">
        <v>0</v>
      </c>
      <c r="S134" s="5">
        <v>48000</v>
      </c>
      <c r="T134" s="5">
        <v>0</v>
      </c>
      <c r="U134" s="7">
        <v>0</v>
      </c>
      <c r="V134" s="7">
        <v>0</v>
      </c>
      <c r="W134" s="5">
        <v>0</v>
      </c>
      <c r="X134" s="4"/>
      <c r="Y134" s="4"/>
      <c r="Z134" s="4"/>
      <c r="AA134" s="4"/>
    </row>
  </sheetData>
  <autoFilter ref="A2:AA134" xr:uid="{00000000-0009-0000-0000-000001000000}"/>
  <mergeCells count="10">
    <mergeCell ref="A1:A2"/>
    <mergeCell ref="C1:C2"/>
    <mergeCell ref="B1:B2"/>
    <mergeCell ref="G1:G2"/>
    <mergeCell ref="X1:AA1"/>
    <mergeCell ref="F1:F2"/>
    <mergeCell ref="I1:W1"/>
    <mergeCell ref="D1:D2"/>
    <mergeCell ref="E1:E2"/>
    <mergeCell ref="H1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43"/>
  <sheetViews>
    <sheetView tabSelected="1" workbookViewId="0">
      <pane xSplit="5" ySplit="2" topLeftCell="F3" activePane="bottomRight" state="frozen"/>
      <selection pane="topRight"/>
      <selection pane="bottomLeft"/>
      <selection pane="bottomRight" activeCell="F7" sqref="F7"/>
    </sheetView>
  </sheetViews>
  <sheetFormatPr defaultRowHeight="14.25" x14ac:dyDescent="0.45"/>
  <cols>
    <col min="1" max="2" width="12" customWidth="1"/>
    <col min="3" max="3" width="10" customWidth="1"/>
    <col min="4" max="5" width="16" customWidth="1"/>
    <col min="6" max="9" width="12" customWidth="1"/>
    <col min="10" max="10" width="16" customWidth="1"/>
    <col min="11" max="12" width="14" customWidth="1"/>
    <col min="13" max="13" width="12" customWidth="1"/>
    <col min="14" max="14" width="16" customWidth="1"/>
    <col min="15" max="15" width="23.46484375" customWidth="1"/>
    <col min="16" max="16" width="14" customWidth="1"/>
    <col min="17" max="17" width="16.53125" customWidth="1"/>
    <col min="18" max="18" width="23" customWidth="1"/>
    <col min="19" max="19" width="16.1328125" customWidth="1"/>
    <col min="20" max="20" width="11" customWidth="1"/>
    <col min="21" max="21" width="17.59765625" customWidth="1"/>
    <col min="22" max="22" width="15.265625" customWidth="1"/>
    <col min="23" max="23" width="15.73046875" customWidth="1"/>
    <col min="24" max="24" width="21.46484375" customWidth="1"/>
    <col min="25" max="25" width="18.19921875" customWidth="1"/>
    <col min="26" max="28" width="17" customWidth="1"/>
    <col min="29" max="29" width="10" customWidth="1"/>
    <col min="30" max="30" width="12" customWidth="1"/>
    <col min="31" max="32" width="10" customWidth="1"/>
    <col min="33" max="34" width="12" customWidth="1"/>
  </cols>
  <sheetData>
    <row r="1" spans="1:46" ht="27" customHeight="1" x14ac:dyDescent="0.45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59" t="s">
        <v>9</v>
      </c>
      <c r="K1" s="60"/>
      <c r="L1" s="60"/>
      <c r="M1" s="60"/>
      <c r="N1" s="60"/>
      <c r="O1" s="60"/>
      <c r="P1" s="60"/>
      <c r="Q1" s="60"/>
      <c r="R1" s="61"/>
      <c r="S1" s="67" t="s">
        <v>10</v>
      </c>
      <c r="T1" s="60"/>
      <c r="U1" s="60"/>
      <c r="V1" s="61"/>
      <c r="W1" s="62" t="s">
        <v>8</v>
      </c>
      <c r="X1" s="63"/>
      <c r="Y1" s="63"/>
      <c r="Z1" s="63"/>
      <c r="AA1" s="63"/>
      <c r="AB1" s="63"/>
      <c r="AC1" s="51"/>
      <c r="AD1" s="51"/>
      <c r="AE1" s="52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</row>
    <row r="2" spans="1:46" ht="25.05" customHeight="1" x14ac:dyDescent="0.45">
      <c r="A2" s="65"/>
      <c r="B2" s="65"/>
      <c r="C2" s="65"/>
      <c r="D2" s="65"/>
      <c r="E2" s="65"/>
      <c r="F2" s="65"/>
      <c r="G2" s="65"/>
      <c r="H2" s="65"/>
      <c r="I2" s="65"/>
      <c r="J2" s="49" t="s">
        <v>11</v>
      </c>
      <c r="K2" s="49" t="s">
        <v>12</v>
      </c>
      <c r="L2" s="49" t="s">
        <v>13</v>
      </c>
      <c r="M2" s="49" t="s">
        <v>14</v>
      </c>
      <c r="N2" s="49" t="s">
        <v>15</v>
      </c>
      <c r="O2" s="49" t="s">
        <v>16</v>
      </c>
      <c r="P2" s="49" t="s">
        <v>17</v>
      </c>
      <c r="Q2" s="49" t="s">
        <v>18</v>
      </c>
      <c r="R2" s="49" t="s">
        <v>19</v>
      </c>
      <c r="S2" s="58" t="s">
        <v>20</v>
      </c>
      <c r="T2" s="58" t="s">
        <v>17</v>
      </c>
      <c r="U2" s="58" t="s">
        <v>7</v>
      </c>
      <c r="V2" s="58" t="s">
        <v>21</v>
      </c>
      <c r="W2" s="50" t="s">
        <v>22</v>
      </c>
      <c r="X2" s="50" t="s">
        <v>23</v>
      </c>
      <c r="Y2" s="50" t="s">
        <v>24</v>
      </c>
      <c r="Z2" s="50" t="s">
        <v>25</v>
      </c>
      <c r="AA2" s="50" t="s">
        <v>17</v>
      </c>
      <c r="AB2" s="50" t="s">
        <v>8</v>
      </c>
      <c r="AC2" s="52"/>
      <c r="AD2" s="52"/>
      <c r="AE2" s="52"/>
      <c r="AF2" s="52"/>
      <c r="AG2" s="52"/>
      <c r="AH2" s="52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</row>
    <row r="3" spans="1:46" ht="15" x14ac:dyDescent="0.45">
      <c r="A3" s="53">
        <v>45809</v>
      </c>
      <c r="B3" s="54" t="s">
        <v>26</v>
      </c>
      <c r="C3" s="54" t="s">
        <v>27</v>
      </c>
      <c r="D3" s="54" t="s">
        <v>28</v>
      </c>
      <c r="E3" s="54" t="s">
        <v>29</v>
      </c>
      <c r="F3" s="55">
        <f t="shared" ref="F3:F10" si="0">G3+H3+I3</f>
        <v>40644.448000000004</v>
      </c>
      <c r="G3" s="55">
        <f>Q3+R3</f>
        <v>28707.4</v>
      </c>
      <c r="H3" s="55">
        <f>U3-V3</f>
        <v>10277.048000000001</v>
      </c>
      <c r="I3" s="55">
        <f>AB3</f>
        <v>1660</v>
      </c>
      <c r="J3" s="55">
        <v>360000</v>
      </c>
      <c r="K3" s="55">
        <v>589576</v>
      </c>
      <c r="L3" s="55">
        <v>15428</v>
      </c>
      <c r="M3" s="55">
        <v>574148</v>
      </c>
      <c r="N3" s="56">
        <v>1.5948555555555599</v>
      </c>
      <c r="O3" s="55"/>
      <c r="P3" s="56">
        <v>0.05</v>
      </c>
      <c r="Q3" s="55">
        <v>28707.4</v>
      </c>
      <c r="R3" s="55"/>
      <c r="S3" s="55">
        <v>457590.6</v>
      </c>
      <c r="T3" s="56">
        <v>0.03</v>
      </c>
      <c r="U3" s="55">
        <v>13727.718000000001</v>
      </c>
      <c r="V3" s="55">
        <v>3450.67</v>
      </c>
      <c r="W3" s="55"/>
      <c r="X3" s="55"/>
      <c r="Y3" s="55"/>
      <c r="Z3" s="55"/>
      <c r="AA3" s="56"/>
      <c r="AB3" s="55">
        <v>1660</v>
      </c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</row>
    <row r="4" spans="1:46" ht="15" x14ac:dyDescent="0.45">
      <c r="A4" s="53">
        <v>45809</v>
      </c>
      <c r="B4" s="54" t="s">
        <v>30</v>
      </c>
      <c r="C4" s="54" t="s">
        <v>27</v>
      </c>
      <c r="D4" s="54" t="s">
        <v>28</v>
      </c>
      <c r="E4" s="54" t="s">
        <v>29</v>
      </c>
      <c r="F4" s="55">
        <f t="shared" si="0"/>
        <v>6876.96</v>
      </c>
      <c r="G4" s="55">
        <f t="shared" ref="G4:G10" si="1">Q4+R4</f>
        <v>5376.96</v>
      </c>
      <c r="H4" s="55">
        <f t="shared" ref="H4:H10" si="2">U4-V4</f>
        <v>0</v>
      </c>
      <c r="I4" s="55">
        <f t="shared" ref="I4:I10" si="3">AB4</f>
        <v>1500</v>
      </c>
      <c r="J4" s="55">
        <v>360000</v>
      </c>
      <c r="K4" s="55">
        <v>299220</v>
      </c>
      <c r="L4" s="55">
        <v>500</v>
      </c>
      <c r="M4" s="55">
        <v>298720</v>
      </c>
      <c r="N4" s="56">
        <v>0.82977777777777795</v>
      </c>
      <c r="O4" s="55"/>
      <c r="P4" s="56">
        <v>1.7999999999999999E-2</v>
      </c>
      <c r="Q4" s="55">
        <v>5376.96</v>
      </c>
      <c r="R4" s="55"/>
      <c r="S4" s="55"/>
      <c r="T4" s="56"/>
      <c r="U4" s="55"/>
      <c r="V4" s="55"/>
      <c r="W4" s="55"/>
      <c r="X4" s="55"/>
      <c r="Y4" s="55"/>
      <c r="Z4" s="55"/>
      <c r="AA4" s="56"/>
      <c r="AB4" s="55">
        <v>1500</v>
      </c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</row>
    <row r="5" spans="1:46" ht="15" x14ac:dyDescent="0.45">
      <c r="A5" s="53">
        <v>45809</v>
      </c>
      <c r="B5" s="54" t="s">
        <v>31</v>
      </c>
      <c r="C5" s="54" t="s">
        <v>27</v>
      </c>
      <c r="D5" s="54" t="s">
        <v>28</v>
      </c>
      <c r="E5" s="54" t="s">
        <v>29</v>
      </c>
      <c r="F5" s="55">
        <f t="shared" si="0"/>
        <v>5634.1799999999994</v>
      </c>
      <c r="G5" s="55">
        <f t="shared" si="1"/>
        <v>5415.48</v>
      </c>
      <c r="H5" s="55">
        <f t="shared" si="2"/>
        <v>218.7</v>
      </c>
      <c r="I5" s="55">
        <f t="shared" si="3"/>
        <v>0</v>
      </c>
      <c r="J5" s="55">
        <v>360000</v>
      </c>
      <c r="K5" s="55">
        <v>300860</v>
      </c>
      <c r="L5" s="55">
        <v>0</v>
      </c>
      <c r="M5" s="55">
        <v>300860</v>
      </c>
      <c r="N5" s="56">
        <v>0.83572222222222203</v>
      </c>
      <c r="O5" s="55"/>
      <c r="P5" s="56">
        <v>1.7999999999999999E-2</v>
      </c>
      <c r="Q5" s="55">
        <v>5415.48</v>
      </c>
      <c r="R5" s="55"/>
      <c r="S5" s="55">
        <v>12150</v>
      </c>
      <c r="T5" s="56">
        <v>1.7999999999999999E-2</v>
      </c>
      <c r="U5" s="55">
        <v>218.7</v>
      </c>
      <c r="V5" s="55">
        <v>0</v>
      </c>
      <c r="W5" s="55"/>
      <c r="X5" s="55"/>
      <c r="Y5" s="55"/>
      <c r="Z5" s="55"/>
      <c r="AA5" s="56"/>
      <c r="AB5" s="55">
        <v>0</v>
      </c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</row>
    <row r="6" spans="1:46" ht="15" x14ac:dyDescent="0.45">
      <c r="A6" s="53">
        <v>45809</v>
      </c>
      <c r="B6" s="54" t="s">
        <v>32</v>
      </c>
      <c r="C6" s="54" t="s">
        <v>27</v>
      </c>
      <c r="D6" s="54" t="s">
        <v>28</v>
      </c>
      <c r="E6" s="54" t="s">
        <v>29</v>
      </c>
      <c r="F6" s="55">
        <f t="shared" si="0"/>
        <v>2019.36</v>
      </c>
      <c r="G6" s="55">
        <f t="shared" si="1"/>
        <v>2019.36</v>
      </c>
      <c r="H6" s="55">
        <f t="shared" si="2"/>
        <v>0</v>
      </c>
      <c r="I6" s="55">
        <f t="shared" si="3"/>
        <v>0</v>
      </c>
      <c r="J6" s="55">
        <v>360000</v>
      </c>
      <c r="K6" s="55">
        <v>252420</v>
      </c>
      <c r="L6" s="55">
        <v>0</v>
      </c>
      <c r="M6" s="55">
        <v>252420</v>
      </c>
      <c r="N6" s="56">
        <v>0.70116666666666705</v>
      </c>
      <c r="O6" s="55"/>
      <c r="P6" s="56">
        <v>8.0000000000000002E-3</v>
      </c>
      <c r="Q6" s="55">
        <v>2019.36</v>
      </c>
      <c r="R6" s="55"/>
      <c r="S6" s="55"/>
      <c r="T6" s="56"/>
      <c r="U6" s="55"/>
      <c r="V6" s="55"/>
      <c r="W6" s="55"/>
      <c r="X6" s="55"/>
      <c r="Y6" s="55"/>
      <c r="Z6" s="55"/>
      <c r="AA6" s="56"/>
      <c r="AB6" s="55">
        <v>0</v>
      </c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</row>
    <row r="7" spans="1:46" ht="15" x14ac:dyDescent="0.45">
      <c r="A7" s="53">
        <v>45809</v>
      </c>
      <c r="B7" s="54" t="s">
        <v>33</v>
      </c>
      <c r="C7" s="54" t="s">
        <v>27</v>
      </c>
      <c r="D7" s="54" t="s">
        <v>28</v>
      </c>
      <c r="E7" s="54" t="s">
        <v>29</v>
      </c>
      <c r="F7" s="55">
        <f t="shared" si="0"/>
        <v>11580.8</v>
      </c>
      <c r="G7" s="55">
        <f t="shared" si="1"/>
        <v>9580.7999999999993</v>
      </c>
      <c r="H7" s="55">
        <f t="shared" si="2"/>
        <v>0</v>
      </c>
      <c r="I7" s="55">
        <f t="shared" si="3"/>
        <v>2000</v>
      </c>
      <c r="J7" s="55">
        <v>180000</v>
      </c>
      <c r="K7" s="55">
        <v>244200</v>
      </c>
      <c r="L7" s="55">
        <v>4680</v>
      </c>
      <c r="M7" s="55">
        <v>239520</v>
      </c>
      <c r="N7" s="56">
        <v>1.33066666666667</v>
      </c>
      <c r="O7" s="55"/>
      <c r="P7" s="56">
        <v>0.04</v>
      </c>
      <c r="Q7" s="55">
        <v>9580.7999999999993</v>
      </c>
      <c r="R7" s="55"/>
      <c r="S7" s="55"/>
      <c r="T7" s="56"/>
      <c r="U7" s="55"/>
      <c r="V7" s="55"/>
      <c r="W7" s="55"/>
      <c r="X7" s="55"/>
      <c r="Y7" s="55"/>
      <c r="Z7" s="55"/>
      <c r="AA7" s="56"/>
      <c r="AB7" s="55">
        <v>2000</v>
      </c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</row>
    <row r="8" spans="1:46" ht="15" x14ac:dyDescent="0.45">
      <c r="A8" s="53">
        <v>45809</v>
      </c>
      <c r="B8" s="54" t="s">
        <v>34</v>
      </c>
      <c r="C8" s="54" t="s">
        <v>27</v>
      </c>
      <c r="D8" s="54" t="s">
        <v>28</v>
      </c>
      <c r="E8" s="54" t="s">
        <v>29</v>
      </c>
      <c r="F8" s="55">
        <f t="shared" si="0"/>
        <v>5326.4</v>
      </c>
      <c r="G8" s="55">
        <f t="shared" si="1"/>
        <v>3065.4</v>
      </c>
      <c r="H8" s="55">
        <f t="shared" si="2"/>
        <v>261</v>
      </c>
      <c r="I8" s="55">
        <f t="shared" si="3"/>
        <v>2000</v>
      </c>
      <c r="J8" s="55">
        <v>180000</v>
      </c>
      <c r="K8" s="55">
        <v>170300</v>
      </c>
      <c r="L8" s="55">
        <v>0</v>
      </c>
      <c r="M8" s="55">
        <v>170300</v>
      </c>
      <c r="N8" s="56">
        <v>0.94611111111111101</v>
      </c>
      <c r="O8" s="55"/>
      <c r="P8" s="56">
        <v>1.7999999999999999E-2</v>
      </c>
      <c r="Q8" s="55">
        <v>3065.4</v>
      </c>
      <c r="R8" s="55"/>
      <c r="S8" s="55">
        <v>14500</v>
      </c>
      <c r="T8" s="56">
        <v>1.7999999999999999E-2</v>
      </c>
      <c r="U8" s="55">
        <v>261</v>
      </c>
      <c r="V8" s="55">
        <v>0</v>
      </c>
      <c r="W8" s="55"/>
      <c r="X8" s="55"/>
      <c r="Y8" s="55"/>
      <c r="Z8" s="55"/>
      <c r="AA8" s="56"/>
      <c r="AB8" s="55">
        <v>2000</v>
      </c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</row>
    <row r="9" spans="1:46" ht="15" x14ac:dyDescent="0.45">
      <c r="A9" s="53">
        <v>45809</v>
      </c>
      <c r="B9" s="54" t="s">
        <v>35</v>
      </c>
      <c r="C9" s="54" t="s">
        <v>27</v>
      </c>
      <c r="D9" s="54" t="s">
        <v>28</v>
      </c>
      <c r="E9" s="54" t="s">
        <v>29</v>
      </c>
      <c r="F9" s="55">
        <f t="shared" si="0"/>
        <v>2000</v>
      </c>
      <c r="G9" s="55">
        <f t="shared" si="1"/>
        <v>0</v>
      </c>
      <c r="H9" s="55">
        <f t="shared" si="2"/>
        <v>0</v>
      </c>
      <c r="I9" s="55">
        <f t="shared" si="3"/>
        <v>2000</v>
      </c>
      <c r="J9" s="55">
        <v>180000</v>
      </c>
      <c r="K9" s="55">
        <v>92620</v>
      </c>
      <c r="L9" s="55">
        <v>0</v>
      </c>
      <c r="M9" s="55">
        <v>92620</v>
      </c>
      <c r="N9" s="56">
        <v>0.51455555555555599</v>
      </c>
      <c r="O9" s="55"/>
      <c r="P9" s="56">
        <v>0</v>
      </c>
      <c r="Q9" s="55">
        <v>0</v>
      </c>
      <c r="R9" s="55"/>
      <c r="S9" s="55"/>
      <c r="T9" s="56"/>
      <c r="U9" s="55"/>
      <c r="V9" s="55"/>
      <c r="W9" s="55"/>
      <c r="X9" s="55"/>
      <c r="Y9" s="55"/>
      <c r="Z9" s="55"/>
      <c r="AA9" s="56"/>
      <c r="AB9" s="55">
        <v>2000</v>
      </c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</row>
    <row r="10" spans="1:46" ht="15" x14ac:dyDescent="0.45">
      <c r="A10" s="53">
        <v>45809</v>
      </c>
      <c r="B10" s="54" t="s">
        <v>36</v>
      </c>
      <c r="C10" s="54" t="s">
        <v>27</v>
      </c>
      <c r="D10" s="54" t="s">
        <v>28</v>
      </c>
      <c r="E10" s="54" t="s">
        <v>29</v>
      </c>
      <c r="F10" s="55">
        <f t="shared" si="0"/>
        <v>11411.043</v>
      </c>
      <c r="G10" s="55">
        <f t="shared" si="1"/>
        <v>8654.35</v>
      </c>
      <c r="H10" s="55">
        <f t="shared" si="2"/>
        <v>756.69299999999998</v>
      </c>
      <c r="I10" s="55">
        <f t="shared" si="3"/>
        <v>2000</v>
      </c>
      <c r="J10" s="55">
        <v>56000</v>
      </c>
      <c r="K10" s="55">
        <v>173087</v>
      </c>
      <c r="L10" s="55"/>
      <c r="M10" s="55">
        <v>173087</v>
      </c>
      <c r="N10" s="56">
        <v>3.0908392857142899</v>
      </c>
      <c r="O10" s="55"/>
      <c r="P10" s="56">
        <v>0.05</v>
      </c>
      <c r="Q10" s="55">
        <v>8654.35</v>
      </c>
      <c r="R10" s="55"/>
      <c r="S10" s="55">
        <v>25223.1</v>
      </c>
      <c r="T10" s="56">
        <v>0.03</v>
      </c>
      <c r="U10" s="55">
        <v>756.69299999999998</v>
      </c>
      <c r="V10" s="55">
        <v>0</v>
      </c>
      <c r="W10" s="55"/>
      <c r="X10" s="55"/>
      <c r="Y10" s="55"/>
      <c r="Z10" s="55"/>
      <c r="AA10" s="56"/>
      <c r="AB10" s="55">
        <v>2000</v>
      </c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</row>
    <row r="11" spans="1:46" x14ac:dyDescent="0.4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</row>
    <row r="12" spans="1:46" x14ac:dyDescent="0.4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</row>
    <row r="13" spans="1:46" x14ac:dyDescent="0.4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</row>
    <row r="14" spans="1:46" x14ac:dyDescent="0.4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</row>
    <row r="15" spans="1:46" x14ac:dyDescent="0.4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</row>
    <row r="16" spans="1:46" x14ac:dyDescent="0.4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</row>
    <row r="17" spans="1:46" x14ac:dyDescent="0.45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</row>
    <row r="18" spans="1:46" x14ac:dyDescent="0.45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</row>
    <row r="19" spans="1:46" x14ac:dyDescent="0.45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</row>
    <row r="20" spans="1:46" x14ac:dyDescent="0.4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</row>
    <row r="21" spans="1:46" x14ac:dyDescent="0.45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</row>
    <row r="22" spans="1:46" x14ac:dyDescent="0.4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</row>
    <row r="23" spans="1:46" x14ac:dyDescent="0.4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</row>
    <row r="24" spans="1:46" x14ac:dyDescent="0.45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</row>
    <row r="25" spans="1:46" x14ac:dyDescent="0.4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</row>
    <row r="26" spans="1:46" x14ac:dyDescent="0.4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</row>
    <row r="27" spans="1:46" x14ac:dyDescent="0.4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</row>
    <row r="28" spans="1:46" x14ac:dyDescent="0.4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</row>
    <row r="29" spans="1:46" x14ac:dyDescent="0.4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</row>
    <row r="30" spans="1:46" x14ac:dyDescent="0.45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</row>
    <row r="31" spans="1:46" x14ac:dyDescent="0.4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</row>
    <row r="32" spans="1:46" x14ac:dyDescent="0.4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</row>
    <row r="33" spans="1:46" x14ac:dyDescent="0.4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</row>
    <row r="34" spans="1:46" x14ac:dyDescent="0.45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</row>
    <row r="35" spans="1:46" x14ac:dyDescent="0.4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</row>
    <row r="36" spans="1:46" x14ac:dyDescent="0.45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</row>
    <row r="37" spans="1:46" x14ac:dyDescent="0.45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</row>
    <row r="38" spans="1:46" x14ac:dyDescent="0.4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</row>
    <row r="39" spans="1:46" x14ac:dyDescent="0.45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</row>
    <row r="40" spans="1:46" x14ac:dyDescent="0.45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</row>
    <row r="41" spans="1:46" x14ac:dyDescent="0.45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</row>
    <row r="42" spans="1:46" x14ac:dyDescent="0.45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</row>
    <row r="43" spans="1:46" x14ac:dyDescent="0.45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</row>
    <row r="44" spans="1:46" x14ac:dyDescent="0.45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</row>
    <row r="45" spans="1:46" x14ac:dyDescent="0.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</row>
    <row r="46" spans="1:46" x14ac:dyDescent="0.45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</row>
    <row r="47" spans="1:46" x14ac:dyDescent="0.45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</row>
    <row r="48" spans="1:46" x14ac:dyDescent="0.45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</row>
    <row r="49" spans="1:46" x14ac:dyDescent="0.45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</row>
    <row r="50" spans="1:46" x14ac:dyDescent="0.45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</row>
    <row r="51" spans="1:46" x14ac:dyDescent="0.45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</row>
    <row r="52" spans="1:46" x14ac:dyDescent="0.45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</row>
    <row r="53" spans="1:46" x14ac:dyDescent="0.45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</row>
    <row r="54" spans="1:46" x14ac:dyDescent="0.45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</row>
    <row r="55" spans="1:46" x14ac:dyDescent="0.4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</row>
    <row r="56" spans="1:46" x14ac:dyDescent="0.45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</row>
    <row r="57" spans="1:46" x14ac:dyDescent="0.45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</row>
    <row r="58" spans="1:46" x14ac:dyDescent="0.45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</row>
    <row r="59" spans="1:46" x14ac:dyDescent="0.4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</row>
    <row r="60" spans="1:46" x14ac:dyDescent="0.45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</row>
    <row r="61" spans="1:46" x14ac:dyDescent="0.45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</row>
    <row r="62" spans="1:46" x14ac:dyDescent="0.45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</row>
    <row r="63" spans="1:46" x14ac:dyDescent="0.45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</row>
    <row r="64" spans="1:46" x14ac:dyDescent="0.45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</row>
    <row r="65" spans="1:46" x14ac:dyDescent="0.4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</row>
    <row r="66" spans="1:46" x14ac:dyDescent="0.45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</row>
    <row r="67" spans="1:46" x14ac:dyDescent="0.45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</row>
    <row r="68" spans="1:46" x14ac:dyDescent="0.45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</row>
    <row r="69" spans="1:46" x14ac:dyDescent="0.45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</row>
    <row r="70" spans="1:46" x14ac:dyDescent="0.45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</row>
    <row r="71" spans="1:46" x14ac:dyDescent="0.45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</row>
    <row r="72" spans="1:46" x14ac:dyDescent="0.45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</row>
    <row r="73" spans="1:46" x14ac:dyDescent="0.45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</row>
    <row r="74" spans="1:46" x14ac:dyDescent="0.45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</row>
    <row r="75" spans="1:46" x14ac:dyDescent="0.4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</row>
    <row r="76" spans="1:46" x14ac:dyDescent="0.45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</row>
    <row r="77" spans="1:46" x14ac:dyDescent="0.45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</row>
    <row r="78" spans="1:46" x14ac:dyDescent="0.45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</row>
    <row r="79" spans="1:46" x14ac:dyDescent="0.45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</row>
    <row r="80" spans="1:46" x14ac:dyDescent="0.45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</row>
    <row r="81" spans="1:46" x14ac:dyDescent="0.45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</row>
    <row r="82" spans="1:46" x14ac:dyDescent="0.45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</row>
    <row r="83" spans="1:46" x14ac:dyDescent="0.45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</row>
    <row r="84" spans="1:46" x14ac:dyDescent="0.45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</row>
    <row r="85" spans="1:46" x14ac:dyDescent="0.4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</row>
    <row r="86" spans="1:46" x14ac:dyDescent="0.45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</row>
    <row r="87" spans="1:46" x14ac:dyDescent="0.45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</row>
    <row r="88" spans="1:46" x14ac:dyDescent="0.45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</row>
    <row r="89" spans="1:46" x14ac:dyDescent="0.45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</row>
    <row r="90" spans="1:46" x14ac:dyDescent="0.45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</row>
    <row r="91" spans="1:46" x14ac:dyDescent="0.45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</row>
    <row r="92" spans="1:46" x14ac:dyDescent="0.45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</row>
    <row r="93" spans="1:46" x14ac:dyDescent="0.45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</row>
    <row r="94" spans="1:46" x14ac:dyDescent="0.45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</row>
    <row r="95" spans="1:46" x14ac:dyDescent="0.4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</row>
    <row r="96" spans="1:46" x14ac:dyDescent="0.45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</row>
    <row r="97" spans="1:46" x14ac:dyDescent="0.45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</row>
    <row r="98" spans="1:46" x14ac:dyDescent="0.45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</row>
    <row r="99" spans="1:46" x14ac:dyDescent="0.45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</row>
    <row r="100" spans="1:46" x14ac:dyDescent="0.45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</row>
    <row r="101" spans="1:46" x14ac:dyDescent="0.45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</row>
    <row r="102" spans="1:46" x14ac:dyDescent="0.45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</row>
    <row r="103" spans="1:46" x14ac:dyDescent="0.45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</row>
    <row r="104" spans="1:46" x14ac:dyDescent="0.45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</row>
    <row r="105" spans="1:46" x14ac:dyDescent="0.4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</row>
    <row r="106" spans="1:46" x14ac:dyDescent="0.45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</row>
    <row r="107" spans="1:46" x14ac:dyDescent="0.45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</row>
    <row r="108" spans="1:46" x14ac:dyDescent="0.45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</row>
    <row r="109" spans="1:46" x14ac:dyDescent="0.45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</row>
    <row r="110" spans="1:46" x14ac:dyDescent="0.45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</row>
    <row r="111" spans="1:46" x14ac:dyDescent="0.45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</row>
    <row r="112" spans="1:46" x14ac:dyDescent="0.45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</row>
    <row r="113" spans="1:46" x14ac:dyDescent="0.45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</row>
    <row r="114" spans="1:46" x14ac:dyDescent="0.45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</row>
    <row r="115" spans="1:46" x14ac:dyDescent="0.4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</row>
    <row r="116" spans="1:46" x14ac:dyDescent="0.45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</row>
    <row r="117" spans="1:46" x14ac:dyDescent="0.45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</row>
    <row r="118" spans="1:46" x14ac:dyDescent="0.45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</row>
    <row r="119" spans="1:46" x14ac:dyDescent="0.45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</row>
    <row r="120" spans="1:46" x14ac:dyDescent="0.45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</row>
    <row r="121" spans="1:46" x14ac:dyDescent="0.45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</row>
    <row r="122" spans="1:46" x14ac:dyDescent="0.45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</row>
    <row r="123" spans="1:46" x14ac:dyDescent="0.45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</row>
    <row r="124" spans="1:46" x14ac:dyDescent="0.45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</row>
    <row r="125" spans="1:46" x14ac:dyDescent="0.4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</row>
    <row r="126" spans="1:46" x14ac:dyDescent="0.45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</row>
    <row r="127" spans="1:46" x14ac:dyDescent="0.45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</row>
    <row r="128" spans="1:46" x14ac:dyDescent="0.45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</row>
    <row r="129" spans="1:46" x14ac:dyDescent="0.45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</row>
    <row r="130" spans="1:46" x14ac:dyDescent="0.45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</row>
    <row r="131" spans="1:46" x14ac:dyDescent="0.45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</row>
    <row r="132" spans="1:46" x14ac:dyDescent="0.45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</row>
    <row r="133" spans="1:46" x14ac:dyDescent="0.45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</row>
    <row r="134" spans="1:46" x14ac:dyDescent="0.45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</row>
    <row r="135" spans="1:46" x14ac:dyDescent="0.4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</row>
    <row r="136" spans="1:46" x14ac:dyDescent="0.45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</row>
    <row r="137" spans="1:46" x14ac:dyDescent="0.45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</row>
    <row r="138" spans="1:46" x14ac:dyDescent="0.45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</row>
    <row r="139" spans="1:46" x14ac:dyDescent="0.45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</row>
    <row r="140" spans="1:46" x14ac:dyDescent="0.45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</row>
    <row r="141" spans="1:46" x14ac:dyDescent="0.45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</row>
    <row r="142" spans="1:46" x14ac:dyDescent="0.45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</row>
    <row r="143" spans="1:46" x14ac:dyDescent="0.45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</row>
  </sheetData>
  <mergeCells count="12">
    <mergeCell ref="A1:A2"/>
    <mergeCell ref="J1:R1"/>
    <mergeCell ref="W1:AB1"/>
    <mergeCell ref="C1:C2"/>
    <mergeCell ref="B1:B2"/>
    <mergeCell ref="G1:G2"/>
    <mergeCell ref="F1:F2"/>
    <mergeCell ref="E1:E2"/>
    <mergeCell ref="I1:I2"/>
    <mergeCell ref="D1:D2"/>
    <mergeCell ref="H1:H2"/>
    <mergeCell ref="S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50"/>
  <sheetViews>
    <sheetView zoomScale="95" zoomScaleNormal="48" workbookViewId="0">
      <pane xSplit="5" ySplit="2" topLeftCell="F3" activePane="bottomRight" state="frozen"/>
      <selection pane="topRight"/>
      <selection pane="bottomLeft"/>
      <selection pane="bottomRight" activeCell="K3" sqref="K3"/>
    </sheetView>
  </sheetViews>
  <sheetFormatPr defaultRowHeight="14.25" x14ac:dyDescent="0.45"/>
  <cols>
    <col min="1" max="2" width="12" customWidth="1"/>
    <col min="3" max="3" width="11" customWidth="1"/>
    <col min="4" max="4" width="16" customWidth="1"/>
    <col min="5" max="5" width="14" customWidth="1"/>
    <col min="6" max="8" width="12" customWidth="1"/>
    <col min="9" max="10" width="14" customWidth="1"/>
    <col min="11" max="11" width="19.3984375" customWidth="1"/>
    <col min="12" max="12" width="14" customWidth="1"/>
    <col min="13" max="13" width="22.53125" customWidth="1"/>
    <col min="14" max="14" width="12" customWidth="1"/>
    <col min="15" max="15" width="11" customWidth="1"/>
    <col min="16" max="16" width="14.19921875" style="46" customWidth="1"/>
    <col min="17" max="18" width="13" customWidth="1"/>
    <col min="19" max="20" width="14.19921875" style="46" customWidth="1"/>
    <col min="21" max="23" width="11" customWidth="1"/>
    <col min="24" max="24" width="12" customWidth="1"/>
    <col min="25" max="25" width="11" customWidth="1"/>
    <col min="26" max="26" width="10" customWidth="1"/>
    <col min="27" max="27" width="12" customWidth="1"/>
    <col min="28" max="29" width="10" customWidth="1"/>
    <col min="30" max="31" width="12" customWidth="1"/>
  </cols>
  <sheetData>
    <row r="1" spans="1:43" ht="27" customHeight="1" x14ac:dyDescent="0.45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6" t="s">
        <v>5</v>
      </c>
      <c r="G1" s="66" t="s">
        <v>37</v>
      </c>
      <c r="H1" s="66" t="s">
        <v>101</v>
      </c>
      <c r="I1" s="59" t="s">
        <v>101</v>
      </c>
      <c r="J1" s="60"/>
      <c r="K1" s="60"/>
      <c r="L1" s="60"/>
      <c r="M1" s="60"/>
      <c r="N1" s="60"/>
      <c r="O1" s="60"/>
      <c r="P1" s="61"/>
      <c r="Q1" s="59" t="s">
        <v>8</v>
      </c>
      <c r="R1" s="60"/>
      <c r="S1" s="60"/>
      <c r="T1" s="61"/>
      <c r="U1" s="68" t="s">
        <v>40</v>
      </c>
      <c r="V1" s="60"/>
      <c r="W1" s="60"/>
      <c r="X1" s="61"/>
      <c r="Y1" s="37"/>
      <c r="Z1" s="37"/>
      <c r="AA1" s="37"/>
      <c r="AB1" s="38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</row>
    <row r="2" spans="1:43" ht="25.05" customHeight="1" x14ac:dyDescent="0.45">
      <c r="A2" s="65"/>
      <c r="B2" s="65"/>
      <c r="C2" s="65"/>
      <c r="D2" s="65"/>
      <c r="E2" s="65"/>
      <c r="F2" s="65"/>
      <c r="G2" s="65"/>
      <c r="H2" s="65"/>
      <c r="I2" s="35" t="s">
        <v>102</v>
      </c>
      <c r="J2" s="35" t="s">
        <v>103</v>
      </c>
      <c r="K2" s="35" t="s">
        <v>104</v>
      </c>
      <c r="L2" s="35" t="s">
        <v>105</v>
      </c>
      <c r="M2" s="35" t="s">
        <v>106</v>
      </c>
      <c r="N2" s="35" t="s">
        <v>107</v>
      </c>
      <c r="O2" s="35" t="s">
        <v>108</v>
      </c>
      <c r="P2" s="35" t="s">
        <v>101</v>
      </c>
      <c r="Q2" s="35" t="s">
        <v>22</v>
      </c>
      <c r="R2" s="35" t="s">
        <v>51</v>
      </c>
      <c r="S2" s="35" t="s">
        <v>17</v>
      </c>
      <c r="T2" s="35" t="s">
        <v>8</v>
      </c>
      <c r="U2" s="36" t="s">
        <v>109</v>
      </c>
      <c r="V2" s="36" t="s">
        <v>110</v>
      </c>
      <c r="W2" s="36" t="s">
        <v>55</v>
      </c>
      <c r="X2" s="36" t="s">
        <v>111</v>
      </c>
      <c r="Y2" s="38"/>
      <c r="Z2" s="38"/>
      <c r="AA2" s="38"/>
      <c r="AB2" s="38"/>
      <c r="AC2" s="38"/>
      <c r="AD2" s="38"/>
      <c r="AE2" s="38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</row>
    <row r="3" spans="1:43" ht="63.4" customHeight="1" x14ac:dyDescent="0.45">
      <c r="A3" s="39">
        <v>45962</v>
      </c>
      <c r="B3" s="40" t="s">
        <v>112</v>
      </c>
      <c r="C3" s="40" t="s">
        <v>113</v>
      </c>
      <c r="D3" s="40" t="s">
        <v>114</v>
      </c>
      <c r="E3" s="40" t="s">
        <v>115</v>
      </c>
      <c r="F3" s="41">
        <f>G3+H3</f>
        <v>1990.4312</v>
      </c>
      <c r="G3" s="41">
        <v>600</v>
      </c>
      <c r="H3" s="41">
        <f>P3</f>
        <v>1390.4312</v>
      </c>
      <c r="I3" s="41">
        <v>510000</v>
      </c>
      <c r="J3" s="41">
        <v>120749.5</v>
      </c>
      <c r="K3" s="41">
        <v>5000</v>
      </c>
      <c r="L3" s="41">
        <v>53054.400000000001</v>
      </c>
      <c r="M3" s="41">
        <v>173803.9</v>
      </c>
      <c r="N3" s="42">
        <v>0.33748330097087381</v>
      </c>
      <c r="O3" s="42">
        <v>8.0000000000000002E-3</v>
      </c>
      <c r="P3" s="47">
        <v>1390.4312</v>
      </c>
      <c r="Q3" s="41">
        <v>50000</v>
      </c>
      <c r="R3" s="41">
        <v>0</v>
      </c>
      <c r="S3" s="42">
        <v>-2E-3</v>
      </c>
      <c r="T3" s="47">
        <v>0</v>
      </c>
      <c r="U3" s="41">
        <v>70</v>
      </c>
      <c r="V3" s="41">
        <v>1000</v>
      </c>
      <c r="W3" s="42">
        <v>0.6</v>
      </c>
      <c r="X3" s="41">
        <v>600</v>
      </c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</row>
    <row r="4" spans="1:43" ht="74.25" customHeight="1" x14ac:dyDescent="0.45">
      <c r="A4" s="39">
        <v>45962</v>
      </c>
      <c r="B4" s="40" t="s">
        <v>116</v>
      </c>
      <c r="C4" s="40" t="s">
        <v>113</v>
      </c>
      <c r="D4" s="40" t="s">
        <v>114</v>
      </c>
      <c r="E4" s="40" t="s">
        <v>115</v>
      </c>
      <c r="F4" s="41">
        <f>G4+H4</f>
        <v>27810.468000000001</v>
      </c>
      <c r="G4" s="41">
        <v>0</v>
      </c>
      <c r="H4" s="41">
        <v>27810.468000000001</v>
      </c>
      <c r="I4" s="41">
        <v>510000</v>
      </c>
      <c r="J4" s="41">
        <v>640893.19999999995</v>
      </c>
      <c r="K4" s="41">
        <v>5000</v>
      </c>
      <c r="L4" s="41">
        <v>56051</v>
      </c>
      <c r="M4" s="41">
        <v>696944.2</v>
      </c>
      <c r="N4" s="42">
        <v>1.3532897087378639</v>
      </c>
      <c r="O4" s="42">
        <v>0.04</v>
      </c>
      <c r="P4" s="47">
        <v>27877.768</v>
      </c>
      <c r="Q4" s="41">
        <v>50000</v>
      </c>
      <c r="R4" s="41">
        <v>33650</v>
      </c>
      <c r="S4" s="42">
        <v>-2E-3</v>
      </c>
      <c r="T4" s="47">
        <v>-67.3</v>
      </c>
      <c r="U4" s="41">
        <v>70</v>
      </c>
      <c r="V4" s="41">
        <v>0</v>
      </c>
      <c r="W4" s="42">
        <v>0.6</v>
      </c>
      <c r="X4" s="41">
        <v>0</v>
      </c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</row>
    <row r="5" spans="1:43" ht="72" customHeight="1" x14ac:dyDescent="0.45">
      <c r="A5" s="39">
        <v>45962</v>
      </c>
      <c r="B5" s="40" t="s">
        <v>117</v>
      </c>
      <c r="C5" s="40" t="s">
        <v>113</v>
      </c>
      <c r="D5" s="40" t="s">
        <v>114</v>
      </c>
      <c r="E5" s="40" t="s">
        <v>115</v>
      </c>
      <c r="F5" s="41">
        <f>G5+H5</f>
        <v>1200</v>
      </c>
      <c r="G5" s="41">
        <v>1200</v>
      </c>
      <c r="H5" s="41">
        <v>0</v>
      </c>
      <c r="I5" s="41">
        <v>510000</v>
      </c>
      <c r="J5" s="41">
        <v>77710</v>
      </c>
      <c r="K5" s="41">
        <v>4000</v>
      </c>
      <c r="L5" s="41">
        <v>-8366.4500000000007</v>
      </c>
      <c r="M5" s="41">
        <v>69343.55</v>
      </c>
      <c r="N5" s="42">
        <v>0.1349096303501946</v>
      </c>
      <c r="O5" s="42">
        <v>0</v>
      </c>
      <c r="P5" s="47">
        <v>0</v>
      </c>
      <c r="Q5" s="41">
        <v>40000</v>
      </c>
      <c r="R5" s="41">
        <v>0</v>
      </c>
      <c r="S5" s="42">
        <v>-2E-3</v>
      </c>
      <c r="T5" s="47">
        <v>0</v>
      </c>
      <c r="U5" s="41">
        <v>70</v>
      </c>
      <c r="V5" s="41">
        <v>2000</v>
      </c>
      <c r="W5" s="42">
        <v>0.6</v>
      </c>
      <c r="X5" s="41">
        <v>1200</v>
      </c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</row>
    <row r="6" spans="1:43" x14ac:dyDescent="0.45">
      <c r="A6" s="43"/>
      <c r="B6" s="38"/>
      <c r="C6" s="38"/>
      <c r="D6" s="38"/>
      <c r="E6" s="38"/>
      <c r="F6" s="44"/>
      <c r="G6" s="44"/>
      <c r="H6" s="44"/>
      <c r="I6" s="44"/>
      <c r="J6" s="44"/>
      <c r="K6" s="44"/>
      <c r="L6" s="44"/>
      <c r="M6" s="44"/>
      <c r="N6" s="45"/>
      <c r="O6" s="45"/>
      <c r="P6" s="48"/>
      <c r="Q6" s="44"/>
      <c r="R6" s="44"/>
      <c r="S6" s="48"/>
      <c r="T6" s="48"/>
      <c r="U6" s="44"/>
      <c r="V6" s="44"/>
      <c r="W6" s="45"/>
      <c r="X6" s="44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</row>
    <row r="7" spans="1:43" x14ac:dyDescent="0.45">
      <c r="A7" s="43"/>
      <c r="B7" s="38"/>
      <c r="C7" s="38"/>
      <c r="D7" s="38"/>
      <c r="E7" s="38"/>
      <c r="F7" s="44"/>
      <c r="G7" s="44"/>
      <c r="H7" s="44"/>
      <c r="I7" s="44"/>
      <c r="J7" s="44"/>
      <c r="K7" s="44"/>
      <c r="L7" s="44"/>
      <c r="M7" s="44"/>
      <c r="N7" s="45"/>
      <c r="O7" s="45"/>
      <c r="P7" s="48"/>
      <c r="Q7" s="44"/>
      <c r="R7" s="44"/>
      <c r="S7" s="48"/>
      <c r="T7" s="48"/>
      <c r="U7" s="44"/>
      <c r="V7" s="44"/>
      <c r="W7" s="45"/>
      <c r="X7" s="44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</row>
    <row r="8" spans="1:43" x14ac:dyDescent="0.45">
      <c r="A8" s="43"/>
      <c r="B8" s="38"/>
      <c r="C8" s="38"/>
      <c r="D8" s="38"/>
      <c r="E8" s="38"/>
      <c r="F8" s="44"/>
      <c r="G8" s="44"/>
      <c r="H8" s="44"/>
      <c r="I8" s="44"/>
      <c r="J8" s="44"/>
      <c r="K8" s="44"/>
      <c r="L8" s="44"/>
      <c r="M8" s="44"/>
      <c r="N8" s="45"/>
      <c r="O8" s="45"/>
      <c r="P8" s="48"/>
      <c r="Q8" s="44"/>
      <c r="R8" s="44"/>
      <c r="S8" s="48"/>
      <c r="T8" s="48"/>
      <c r="U8" s="44"/>
      <c r="V8" s="44"/>
      <c r="W8" s="45"/>
      <c r="X8" s="44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</row>
    <row r="9" spans="1:43" x14ac:dyDescent="0.45">
      <c r="A9" s="43"/>
      <c r="B9" s="38"/>
      <c r="C9" s="38"/>
      <c r="D9" s="38"/>
      <c r="E9" s="38"/>
      <c r="F9" s="44"/>
      <c r="G9" s="44"/>
      <c r="H9" s="44"/>
      <c r="I9" s="44"/>
      <c r="J9" s="44"/>
      <c r="K9" s="44"/>
      <c r="L9" s="44"/>
      <c r="M9" s="44"/>
      <c r="N9" s="45"/>
      <c r="O9" s="45"/>
      <c r="P9" s="38"/>
      <c r="Q9" s="44"/>
      <c r="R9" s="44"/>
      <c r="S9" s="38"/>
      <c r="T9" s="38"/>
      <c r="U9" s="44"/>
      <c r="V9" s="44"/>
      <c r="W9" s="45"/>
      <c r="X9" s="44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</row>
    <row r="10" spans="1:43" x14ac:dyDescent="0.45">
      <c r="A10" s="43"/>
      <c r="B10" s="38"/>
      <c r="C10" s="38"/>
      <c r="D10" s="38"/>
      <c r="E10" s="38"/>
      <c r="F10" s="44"/>
      <c r="G10" s="44"/>
      <c r="H10" s="44"/>
      <c r="I10" s="44"/>
      <c r="J10" s="44"/>
      <c r="K10" s="44"/>
      <c r="L10" s="44"/>
      <c r="M10" s="44"/>
      <c r="N10" s="45"/>
      <c r="O10" s="45"/>
      <c r="P10" s="38"/>
      <c r="Q10" s="44"/>
      <c r="R10" s="44"/>
      <c r="S10" s="38"/>
      <c r="T10" s="38"/>
      <c r="U10" s="44"/>
      <c r="V10" s="44"/>
      <c r="W10" s="45"/>
      <c r="X10" s="44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</row>
    <row r="11" spans="1:43" x14ac:dyDescent="0.45">
      <c r="A11" s="43"/>
      <c r="B11" s="38"/>
      <c r="C11" s="38"/>
      <c r="D11" s="38"/>
      <c r="E11" s="38"/>
      <c r="F11" s="44"/>
      <c r="G11" s="44"/>
      <c r="H11" s="44"/>
      <c r="I11" s="44"/>
      <c r="J11" s="44"/>
      <c r="K11" s="44"/>
      <c r="L11" s="44"/>
      <c r="M11" s="44"/>
      <c r="N11" s="45"/>
      <c r="O11" s="45"/>
      <c r="P11" s="38"/>
      <c r="Q11" s="44"/>
      <c r="R11" s="44"/>
      <c r="S11" s="38"/>
      <c r="T11" s="38"/>
      <c r="U11" s="44"/>
      <c r="V11" s="44"/>
      <c r="W11" s="45"/>
      <c r="X11" s="44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</row>
    <row r="12" spans="1:43" x14ac:dyDescent="0.45">
      <c r="A12" s="43"/>
      <c r="B12" s="38"/>
      <c r="C12" s="38"/>
      <c r="D12" s="38"/>
      <c r="E12" s="38"/>
      <c r="F12" s="44"/>
      <c r="G12" s="44"/>
      <c r="H12" s="44"/>
      <c r="I12" s="44"/>
      <c r="J12" s="44"/>
      <c r="K12" s="44"/>
      <c r="L12" s="44"/>
      <c r="M12" s="44"/>
      <c r="N12" s="45"/>
      <c r="O12" s="45"/>
      <c r="P12" s="38"/>
      <c r="Q12" s="44"/>
      <c r="R12" s="44"/>
      <c r="S12" s="38"/>
      <c r="T12" s="38"/>
      <c r="U12" s="44"/>
      <c r="V12" s="44"/>
      <c r="W12" s="45"/>
      <c r="X12" s="44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</row>
    <row r="13" spans="1:43" x14ac:dyDescent="0.4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</row>
    <row r="14" spans="1:43" x14ac:dyDescent="0.4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</row>
    <row r="15" spans="1:43" x14ac:dyDescent="0.4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</row>
    <row r="16" spans="1:43" x14ac:dyDescent="0.4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</row>
    <row r="17" spans="1:43" x14ac:dyDescent="0.4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</row>
    <row r="18" spans="1:43" x14ac:dyDescent="0.4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</row>
    <row r="19" spans="1:43" x14ac:dyDescent="0.4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</row>
    <row r="20" spans="1:43" x14ac:dyDescent="0.4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</row>
    <row r="21" spans="1:43" x14ac:dyDescent="0.4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</row>
    <row r="22" spans="1:43" x14ac:dyDescent="0.4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</row>
    <row r="23" spans="1:43" x14ac:dyDescent="0.4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</row>
    <row r="24" spans="1:43" x14ac:dyDescent="0.4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</row>
    <row r="25" spans="1:43" x14ac:dyDescent="0.4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</row>
    <row r="26" spans="1:43" x14ac:dyDescent="0.4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</row>
    <row r="27" spans="1:43" x14ac:dyDescent="0.4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</row>
    <row r="28" spans="1:43" x14ac:dyDescent="0.4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</row>
    <row r="29" spans="1:43" x14ac:dyDescent="0.4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</row>
    <row r="30" spans="1:43" x14ac:dyDescent="0.4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</row>
    <row r="31" spans="1:43" x14ac:dyDescent="0.4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</row>
    <row r="32" spans="1:43" x14ac:dyDescent="0.4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</row>
    <row r="33" spans="1:43" x14ac:dyDescent="0.4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</row>
    <row r="34" spans="1:43" x14ac:dyDescent="0.4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</row>
    <row r="35" spans="1:43" x14ac:dyDescent="0.4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</row>
    <row r="36" spans="1:43" x14ac:dyDescent="0.4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</row>
    <row r="37" spans="1:43" x14ac:dyDescent="0.4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</row>
    <row r="38" spans="1:43" x14ac:dyDescent="0.4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</row>
    <row r="39" spans="1:43" x14ac:dyDescent="0.4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</row>
    <row r="40" spans="1:43" x14ac:dyDescent="0.4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</row>
    <row r="41" spans="1:43" x14ac:dyDescent="0.4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</row>
    <row r="42" spans="1:43" x14ac:dyDescent="0.4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</row>
    <row r="43" spans="1:43" x14ac:dyDescent="0.4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</row>
    <row r="44" spans="1:43" x14ac:dyDescent="0.4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</row>
    <row r="45" spans="1:43" x14ac:dyDescent="0.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</row>
    <row r="46" spans="1:43" x14ac:dyDescent="0.4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</row>
    <row r="47" spans="1:43" x14ac:dyDescent="0.4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</row>
    <row r="48" spans="1:43" x14ac:dyDescent="0.4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</row>
    <row r="49" spans="1:43" x14ac:dyDescent="0.4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</row>
    <row r="50" spans="1:43" x14ac:dyDescent="0.4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</row>
    <row r="51" spans="1:43" x14ac:dyDescent="0.4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</row>
    <row r="52" spans="1:43" x14ac:dyDescent="0.4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</row>
    <row r="53" spans="1:43" x14ac:dyDescent="0.4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</row>
    <row r="54" spans="1:43" x14ac:dyDescent="0.4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</row>
    <row r="55" spans="1:43" x14ac:dyDescent="0.4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</row>
    <row r="56" spans="1:43" x14ac:dyDescent="0.4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</row>
    <row r="57" spans="1:43" x14ac:dyDescent="0.4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</row>
    <row r="58" spans="1:43" x14ac:dyDescent="0.4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</row>
    <row r="59" spans="1:43" x14ac:dyDescent="0.4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</row>
    <row r="60" spans="1:43" x14ac:dyDescent="0.4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</row>
    <row r="61" spans="1:43" x14ac:dyDescent="0.4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</row>
    <row r="62" spans="1:43" x14ac:dyDescent="0.4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</row>
    <row r="63" spans="1:43" x14ac:dyDescent="0.4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</row>
    <row r="64" spans="1:43" x14ac:dyDescent="0.4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</row>
    <row r="65" spans="1:43" x14ac:dyDescent="0.4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</row>
    <row r="66" spans="1:43" x14ac:dyDescent="0.4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</row>
    <row r="67" spans="1:43" x14ac:dyDescent="0.4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</row>
    <row r="68" spans="1:43" x14ac:dyDescent="0.4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</row>
    <row r="69" spans="1:43" x14ac:dyDescent="0.4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</row>
    <row r="70" spans="1:43" x14ac:dyDescent="0.4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</row>
    <row r="71" spans="1:43" x14ac:dyDescent="0.4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</row>
    <row r="72" spans="1:43" x14ac:dyDescent="0.4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</row>
    <row r="73" spans="1:43" x14ac:dyDescent="0.4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</row>
    <row r="74" spans="1:43" x14ac:dyDescent="0.4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</row>
    <row r="75" spans="1:43" x14ac:dyDescent="0.4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</row>
    <row r="76" spans="1:43" x14ac:dyDescent="0.4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</row>
    <row r="77" spans="1:43" x14ac:dyDescent="0.4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</row>
    <row r="78" spans="1:43" x14ac:dyDescent="0.4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</row>
    <row r="79" spans="1:43" x14ac:dyDescent="0.4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</row>
    <row r="80" spans="1:43" x14ac:dyDescent="0.4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</row>
    <row r="81" spans="1:43" x14ac:dyDescent="0.4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</row>
    <row r="82" spans="1:43" x14ac:dyDescent="0.4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</row>
    <row r="83" spans="1:43" x14ac:dyDescent="0.4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</row>
    <row r="84" spans="1:43" x14ac:dyDescent="0.4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</row>
    <row r="85" spans="1:43" x14ac:dyDescent="0.4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</row>
    <row r="86" spans="1:43" x14ac:dyDescent="0.4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</row>
    <row r="87" spans="1:43" x14ac:dyDescent="0.4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</row>
    <row r="88" spans="1:43" x14ac:dyDescent="0.4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</row>
    <row r="89" spans="1:43" x14ac:dyDescent="0.4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</row>
    <row r="90" spans="1:43" x14ac:dyDescent="0.4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</row>
    <row r="91" spans="1:43" x14ac:dyDescent="0.4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</row>
    <row r="92" spans="1:43" x14ac:dyDescent="0.4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</row>
    <row r="93" spans="1:43" x14ac:dyDescent="0.4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</row>
    <row r="94" spans="1:43" x14ac:dyDescent="0.4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</row>
    <row r="95" spans="1:43" x14ac:dyDescent="0.4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</row>
    <row r="96" spans="1:43" x14ac:dyDescent="0.4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</row>
    <row r="97" spans="1:43" x14ac:dyDescent="0.4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</row>
    <row r="98" spans="1:43" x14ac:dyDescent="0.4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</row>
    <row r="99" spans="1:43" x14ac:dyDescent="0.4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</row>
    <row r="100" spans="1:43" x14ac:dyDescent="0.4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</row>
    <row r="101" spans="1:43" x14ac:dyDescent="0.4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</row>
    <row r="102" spans="1:43" x14ac:dyDescent="0.4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</row>
    <row r="103" spans="1:43" x14ac:dyDescent="0.4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</row>
    <row r="104" spans="1:43" x14ac:dyDescent="0.4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</row>
    <row r="105" spans="1:43" x14ac:dyDescent="0.4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</row>
    <row r="106" spans="1:43" x14ac:dyDescent="0.4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</row>
    <row r="107" spans="1:43" x14ac:dyDescent="0.4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</row>
    <row r="108" spans="1:43" x14ac:dyDescent="0.4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</row>
    <row r="109" spans="1:43" x14ac:dyDescent="0.4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</row>
    <row r="110" spans="1:43" x14ac:dyDescent="0.4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</row>
    <row r="111" spans="1:43" x14ac:dyDescent="0.4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</row>
    <row r="112" spans="1:43" x14ac:dyDescent="0.4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</row>
    <row r="113" spans="1:43" x14ac:dyDescent="0.4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</row>
    <row r="114" spans="1:43" x14ac:dyDescent="0.4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</row>
    <row r="115" spans="1:43" x14ac:dyDescent="0.4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</row>
    <row r="116" spans="1:43" x14ac:dyDescent="0.4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</row>
    <row r="117" spans="1:43" x14ac:dyDescent="0.4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</row>
    <row r="118" spans="1:43" x14ac:dyDescent="0.4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</row>
    <row r="119" spans="1:43" x14ac:dyDescent="0.4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</row>
    <row r="120" spans="1:43" x14ac:dyDescent="0.4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</row>
    <row r="121" spans="1:43" x14ac:dyDescent="0.4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</row>
    <row r="122" spans="1:43" x14ac:dyDescent="0.4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</row>
    <row r="123" spans="1:43" x14ac:dyDescent="0.4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</row>
    <row r="124" spans="1:43" x14ac:dyDescent="0.4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</row>
    <row r="125" spans="1:43" x14ac:dyDescent="0.4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</row>
    <row r="126" spans="1:43" x14ac:dyDescent="0.4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</row>
    <row r="127" spans="1:43" x14ac:dyDescent="0.4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</row>
    <row r="128" spans="1:43" x14ac:dyDescent="0.4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</row>
    <row r="129" spans="1:43" x14ac:dyDescent="0.4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</row>
    <row r="130" spans="1:43" x14ac:dyDescent="0.4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</row>
    <row r="131" spans="1:43" x14ac:dyDescent="0.4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</row>
    <row r="132" spans="1:43" x14ac:dyDescent="0.4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</row>
    <row r="133" spans="1:43" x14ac:dyDescent="0.4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</row>
    <row r="134" spans="1:43" x14ac:dyDescent="0.4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</row>
    <row r="135" spans="1:43" x14ac:dyDescent="0.4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</row>
    <row r="136" spans="1:43" x14ac:dyDescent="0.4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</row>
    <row r="137" spans="1:43" x14ac:dyDescent="0.4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</row>
    <row r="138" spans="1:43" x14ac:dyDescent="0.4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</row>
    <row r="139" spans="1:43" x14ac:dyDescent="0.4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</row>
    <row r="140" spans="1:43" x14ac:dyDescent="0.4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</row>
    <row r="141" spans="1:43" x14ac:dyDescent="0.4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</row>
    <row r="142" spans="1:43" x14ac:dyDescent="0.4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</row>
    <row r="143" spans="1:43" x14ac:dyDescent="0.4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</row>
    <row r="144" spans="1:43" x14ac:dyDescent="0.4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</row>
    <row r="145" spans="1:43" x14ac:dyDescent="0.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</row>
    <row r="146" spans="1:43" x14ac:dyDescent="0.4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</row>
    <row r="147" spans="1:43" x14ac:dyDescent="0.4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</row>
    <row r="148" spans="1:43" x14ac:dyDescent="0.4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</row>
    <row r="149" spans="1:43" x14ac:dyDescent="0.4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</row>
    <row r="150" spans="1:43" x14ac:dyDescent="0.4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</row>
  </sheetData>
  <autoFilter ref="I1:P5" xr:uid="{00000000-0009-0000-0000-000003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11">
    <mergeCell ref="A1:A2"/>
    <mergeCell ref="U1:X1"/>
    <mergeCell ref="Q1:T1"/>
    <mergeCell ref="C1:C2"/>
    <mergeCell ref="B1:B2"/>
    <mergeCell ref="D1:D2"/>
    <mergeCell ref="F1:F2"/>
    <mergeCell ref="E1:E2"/>
    <mergeCell ref="H1:H2"/>
    <mergeCell ref="G1:G2"/>
    <mergeCell ref="I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50"/>
  <sheetViews>
    <sheetView zoomScale="63" zoomScaleNormal="63" workbookViewId="0">
      <pane xSplit="5" ySplit="2" topLeftCell="F6" activePane="bottomRight" state="frozen"/>
      <selection pane="topRight"/>
      <selection pane="bottomLeft"/>
      <selection pane="bottomRight" activeCell="R25" sqref="R25"/>
    </sheetView>
  </sheetViews>
  <sheetFormatPr defaultRowHeight="14.25" x14ac:dyDescent="0.45"/>
  <cols>
    <col min="1" max="1" width="16.1328125" customWidth="1"/>
    <col min="2" max="2" width="12" customWidth="1"/>
    <col min="3" max="3" width="11" customWidth="1"/>
    <col min="4" max="5" width="22" customWidth="1"/>
    <col min="6" max="8" width="12" customWidth="1"/>
    <col min="9" max="12" width="13" customWidth="1"/>
    <col min="13" max="13" width="13.6640625" customWidth="1"/>
    <col min="14" max="16" width="13" customWidth="1"/>
    <col min="17" max="17" width="13" style="25" customWidth="1"/>
    <col min="18" max="18" width="13" customWidth="1"/>
    <col min="19" max="19" width="10" customWidth="1"/>
    <col min="20" max="20" width="11" customWidth="1"/>
    <col min="21" max="22" width="12" customWidth="1"/>
    <col min="23" max="24" width="28.33203125" customWidth="1"/>
    <col min="25" max="25" width="12" customWidth="1"/>
    <col min="26" max="27" width="10" customWidth="1"/>
    <col min="28" max="29" width="12" customWidth="1"/>
  </cols>
  <sheetData>
    <row r="1" spans="1:41" ht="27" customHeight="1" x14ac:dyDescent="0.45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6" t="s">
        <v>5</v>
      </c>
      <c r="G1" s="66" t="s">
        <v>37</v>
      </c>
      <c r="H1" s="66" t="s">
        <v>38</v>
      </c>
      <c r="I1" s="59" t="s">
        <v>39</v>
      </c>
      <c r="J1" s="60"/>
      <c r="K1" s="60"/>
      <c r="L1" s="60"/>
      <c r="M1" s="60"/>
      <c r="N1" s="60"/>
      <c r="O1" s="60"/>
      <c r="P1" s="61"/>
      <c r="Q1" s="21"/>
      <c r="R1" s="14"/>
      <c r="S1" s="68" t="s">
        <v>40</v>
      </c>
      <c r="T1" s="60"/>
      <c r="U1" s="60"/>
      <c r="V1" s="60"/>
      <c r="W1" s="60"/>
      <c r="X1" s="61"/>
      <c r="Y1" s="16"/>
      <c r="Z1" s="17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</row>
    <row r="2" spans="1:41" ht="25.05" customHeight="1" x14ac:dyDescent="0.45">
      <c r="A2" s="65"/>
      <c r="B2" s="65"/>
      <c r="C2" s="65"/>
      <c r="D2" s="65"/>
      <c r="E2" s="65"/>
      <c r="F2" s="65"/>
      <c r="G2" s="65"/>
      <c r="H2" s="65"/>
      <c r="I2" s="13" t="s">
        <v>11</v>
      </c>
      <c r="J2" s="13" t="s">
        <v>43</v>
      </c>
      <c r="K2" s="13" t="s">
        <v>13</v>
      </c>
      <c r="L2" s="13" t="s">
        <v>46</v>
      </c>
      <c r="M2" s="13" t="s">
        <v>15</v>
      </c>
      <c r="N2" s="13" t="s">
        <v>48</v>
      </c>
      <c r="O2" s="13" t="s">
        <v>49</v>
      </c>
      <c r="P2" s="13" t="s">
        <v>50</v>
      </c>
      <c r="Q2" s="22" t="s">
        <v>17</v>
      </c>
      <c r="R2" s="13" t="s">
        <v>118</v>
      </c>
      <c r="S2" s="15" t="s">
        <v>119</v>
      </c>
      <c r="T2" s="15" t="s">
        <v>55</v>
      </c>
      <c r="U2" s="15" t="s">
        <v>120</v>
      </c>
      <c r="V2" s="15" t="s">
        <v>121</v>
      </c>
      <c r="W2" s="15" t="s">
        <v>122</v>
      </c>
      <c r="X2" s="15" t="s">
        <v>123</v>
      </c>
      <c r="Y2" s="17"/>
      <c r="Z2" s="17"/>
      <c r="AA2" s="17"/>
      <c r="AB2" s="17"/>
      <c r="AC2" s="17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</row>
    <row r="3" spans="1:41" ht="27.85" customHeight="1" x14ac:dyDescent="0.45">
      <c r="A3" s="18" t="s">
        <v>124</v>
      </c>
      <c r="B3" s="18" t="s">
        <v>125</v>
      </c>
      <c r="C3" s="18" t="s">
        <v>126</v>
      </c>
      <c r="D3" s="18" t="s">
        <v>127</v>
      </c>
      <c r="E3" s="18" t="s">
        <v>29</v>
      </c>
      <c r="F3" s="19">
        <f t="shared" ref="F3:F37" si="0">G3+H3</f>
        <v>21257.579750000001</v>
      </c>
      <c r="G3" s="19">
        <v>2000</v>
      </c>
      <c r="H3" s="19">
        <f t="shared" ref="H3:H25" si="1">R3</f>
        <v>19257.579750000001</v>
      </c>
      <c r="I3" s="19">
        <v>617700</v>
      </c>
      <c r="J3" s="19">
        <v>574550</v>
      </c>
      <c r="K3" s="19">
        <v>36279.15</v>
      </c>
      <c r="L3" s="19">
        <v>538270.85</v>
      </c>
      <c r="M3" s="20">
        <v>0.87141144568560802</v>
      </c>
      <c r="N3" s="19">
        <v>41810</v>
      </c>
      <c r="O3" s="19">
        <v>0</v>
      </c>
      <c r="P3" s="19">
        <v>41810</v>
      </c>
      <c r="Q3" s="23">
        <v>3.5000000000000003E-2</v>
      </c>
      <c r="R3" s="19">
        <v>19257.579750000001</v>
      </c>
      <c r="S3" s="19">
        <v>92.203374999999994</v>
      </c>
      <c r="T3" s="20">
        <v>1</v>
      </c>
      <c r="U3" s="19">
        <v>2000</v>
      </c>
      <c r="V3" s="19">
        <v>2000</v>
      </c>
      <c r="W3" s="19">
        <v>4000</v>
      </c>
      <c r="X3" s="19">
        <v>2000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</row>
    <row r="4" spans="1:41" ht="27.85" customHeight="1" x14ac:dyDescent="0.45">
      <c r="A4" s="18" t="s">
        <v>124</v>
      </c>
      <c r="B4" s="18" t="s">
        <v>128</v>
      </c>
      <c r="C4" s="18" t="s">
        <v>126</v>
      </c>
      <c r="D4" s="18" t="s">
        <v>127</v>
      </c>
      <c r="E4" s="18" t="s">
        <v>68</v>
      </c>
      <c r="F4" s="19">
        <f t="shared" si="0"/>
        <v>47745.764999999999</v>
      </c>
      <c r="G4" s="19">
        <v>2220</v>
      </c>
      <c r="H4" s="19">
        <f t="shared" si="1"/>
        <v>45525.764999999999</v>
      </c>
      <c r="I4" s="19">
        <v>617700</v>
      </c>
      <c r="J4" s="19">
        <v>810280</v>
      </c>
      <c r="K4" s="19">
        <v>60524.85</v>
      </c>
      <c r="L4" s="19">
        <v>749755.15</v>
      </c>
      <c r="M4" s="20">
        <v>1.21378525174033</v>
      </c>
      <c r="N4" s="19">
        <v>84091.6</v>
      </c>
      <c r="O4" s="19">
        <v>30046</v>
      </c>
      <c r="P4" s="19">
        <v>54045.599999999999</v>
      </c>
      <c r="Q4" s="23">
        <v>0.06</v>
      </c>
      <c r="R4" s="19">
        <v>45525.764999999999</v>
      </c>
      <c r="S4" s="19">
        <v>86.5</v>
      </c>
      <c r="T4" s="20">
        <v>0.87</v>
      </c>
      <c r="U4" s="19">
        <v>3000</v>
      </c>
      <c r="V4" s="19">
        <v>2610</v>
      </c>
      <c r="W4" s="19">
        <v>6000</v>
      </c>
      <c r="X4" s="19">
        <v>2220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</row>
    <row r="5" spans="1:41" ht="27.85" customHeight="1" x14ac:dyDescent="0.45">
      <c r="A5" s="18" t="s">
        <v>124</v>
      </c>
      <c r="B5" s="18" t="s">
        <v>129</v>
      </c>
      <c r="C5" s="18" t="s">
        <v>126</v>
      </c>
      <c r="D5" s="18" t="s">
        <v>127</v>
      </c>
      <c r="E5" s="18" t="s">
        <v>29</v>
      </c>
      <c r="F5" s="19">
        <f t="shared" si="0"/>
        <v>15269.892</v>
      </c>
      <c r="G5" s="19">
        <v>8295</v>
      </c>
      <c r="H5" s="19">
        <f t="shared" si="1"/>
        <v>6974.8919999999998</v>
      </c>
      <c r="I5" s="19">
        <v>217500</v>
      </c>
      <c r="J5" s="19">
        <v>195550</v>
      </c>
      <c r="K5" s="19">
        <v>0</v>
      </c>
      <c r="L5" s="19">
        <v>195550</v>
      </c>
      <c r="M5" s="20">
        <v>0.89908045977011497</v>
      </c>
      <c r="N5" s="19">
        <v>13064.2</v>
      </c>
      <c r="O5" s="19">
        <v>0</v>
      </c>
      <c r="P5" s="19">
        <v>13064.2</v>
      </c>
      <c r="Q5" s="23">
        <v>3.5000000000000003E-2</v>
      </c>
      <c r="R5" s="19">
        <v>6974.8919999999998</v>
      </c>
      <c r="S5" s="19">
        <v>83</v>
      </c>
      <c r="T5" s="20">
        <v>0.83</v>
      </c>
      <c r="U5" s="19">
        <v>2000</v>
      </c>
      <c r="V5" s="19">
        <v>1660</v>
      </c>
      <c r="W5" s="19">
        <v>4000</v>
      </c>
      <c r="X5" s="19">
        <v>1320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</row>
    <row r="6" spans="1:41" ht="15" customHeight="1" x14ac:dyDescent="0.45">
      <c r="A6" s="53">
        <v>46113</v>
      </c>
      <c r="B6" s="54" t="s">
        <v>125</v>
      </c>
      <c r="C6" s="54" t="s">
        <v>126</v>
      </c>
      <c r="D6" s="54" t="s">
        <v>127</v>
      </c>
      <c r="E6" s="54" t="s">
        <v>29</v>
      </c>
      <c r="F6" s="55">
        <f t="shared" si="0"/>
        <v>17267.008999999998</v>
      </c>
      <c r="G6" s="55">
        <v>2000</v>
      </c>
      <c r="H6" s="55">
        <f t="shared" si="1"/>
        <v>15267.009</v>
      </c>
      <c r="I6" s="55">
        <v>211000</v>
      </c>
      <c r="J6" s="55">
        <v>421680</v>
      </c>
      <c r="K6" s="55">
        <v>167916.1</v>
      </c>
      <c r="L6" s="55">
        <v>253763.9</v>
      </c>
      <c r="M6" s="56">
        <v>1.2026725118483399</v>
      </c>
      <c r="N6" s="55">
        <v>4117.5</v>
      </c>
      <c r="O6" s="55">
        <v>0</v>
      </c>
      <c r="P6" s="55">
        <v>4117.5</v>
      </c>
      <c r="Q6" s="57">
        <v>0.06</v>
      </c>
      <c r="R6" s="55">
        <v>15267.009</v>
      </c>
      <c r="S6" s="55">
        <v>100</v>
      </c>
      <c r="T6" s="56">
        <v>1</v>
      </c>
      <c r="U6" s="55">
        <v>2000</v>
      </c>
      <c r="V6" s="55">
        <v>2000</v>
      </c>
      <c r="W6" s="54"/>
      <c r="X6" s="54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</row>
    <row r="7" spans="1:41" ht="15" customHeight="1" x14ac:dyDescent="0.45">
      <c r="A7" s="53">
        <v>46113</v>
      </c>
      <c r="B7" s="54" t="s">
        <v>128</v>
      </c>
      <c r="C7" s="54" t="s">
        <v>126</v>
      </c>
      <c r="D7" s="54" t="s">
        <v>127</v>
      </c>
      <c r="E7" s="54" t="s">
        <v>68</v>
      </c>
      <c r="F7" s="55">
        <f t="shared" si="0"/>
        <v>30909.922299999998</v>
      </c>
      <c r="G7" s="55">
        <v>3000</v>
      </c>
      <c r="H7" s="55">
        <f t="shared" si="1"/>
        <v>27909.922299999998</v>
      </c>
      <c r="I7" s="55">
        <v>211000</v>
      </c>
      <c r="J7" s="55">
        <v>558372.30000000005</v>
      </c>
      <c r="K7" s="55">
        <v>132642</v>
      </c>
      <c r="L7" s="55">
        <v>425730.3</v>
      </c>
      <c r="M7" s="56">
        <v>2.0176791469194302</v>
      </c>
      <c r="N7" s="55">
        <v>32205</v>
      </c>
      <c r="O7" s="55">
        <v>8459.7199999999993</v>
      </c>
      <c r="P7" s="55">
        <v>23745.279999999999</v>
      </c>
      <c r="Q7" s="57">
        <v>6.5000000000000002E-2</v>
      </c>
      <c r="R7" s="55">
        <v>27909.922299999998</v>
      </c>
      <c r="S7" s="55">
        <v>100</v>
      </c>
      <c r="T7" s="56">
        <v>1</v>
      </c>
      <c r="U7" s="55">
        <v>3000</v>
      </c>
      <c r="V7" s="55">
        <v>3000</v>
      </c>
      <c r="W7" s="54"/>
      <c r="X7" s="54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15" customHeight="1" x14ac:dyDescent="0.45">
      <c r="A8" s="53">
        <v>46113</v>
      </c>
      <c r="B8" s="54" t="s">
        <v>129</v>
      </c>
      <c r="C8" s="54" t="s">
        <v>126</v>
      </c>
      <c r="D8" s="54" t="s">
        <v>127</v>
      </c>
      <c r="E8" s="54" t="s">
        <v>29</v>
      </c>
      <c r="F8" s="55">
        <f t="shared" si="0"/>
        <v>14004.307000000001</v>
      </c>
      <c r="G8" s="55">
        <v>1600</v>
      </c>
      <c r="H8" s="55">
        <f t="shared" si="1"/>
        <v>12404.307000000001</v>
      </c>
      <c r="I8" s="55">
        <v>150000</v>
      </c>
      <c r="J8" s="55">
        <v>204180</v>
      </c>
      <c r="K8" s="55">
        <v>0</v>
      </c>
      <c r="L8" s="55">
        <v>204180</v>
      </c>
      <c r="M8" s="56">
        <v>1.3612</v>
      </c>
      <c r="N8" s="55">
        <v>15350.7</v>
      </c>
      <c r="O8" s="55">
        <v>0</v>
      </c>
      <c r="P8" s="55">
        <v>15350.7</v>
      </c>
      <c r="Q8" s="57">
        <v>0.06</v>
      </c>
      <c r="R8" s="55">
        <v>12404.307000000001</v>
      </c>
      <c r="S8" s="55">
        <v>80</v>
      </c>
      <c r="T8" s="56">
        <v>0.8</v>
      </c>
      <c r="U8" s="55">
        <v>2000</v>
      </c>
      <c r="V8" s="55">
        <v>1600</v>
      </c>
      <c r="W8" s="54"/>
      <c r="X8" s="54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</row>
    <row r="9" spans="1:41" ht="15" customHeight="1" x14ac:dyDescent="0.45">
      <c r="A9" s="53">
        <v>46143</v>
      </c>
      <c r="B9" s="54" t="s">
        <v>125</v>
      </c>
      <c r="C9" s="54" t="s">
        <v>126</v>
      </c>
      <c r="D9" s="54" t="s">
        <v>127</v>
      </c>
      <c r="E9" s="54" t="s">
        <v>29</v>
      </c>
      <c r="F9" s="55">
        <f t="shared" si="0"/>
        <v>19110.167000000001</v>
      </c>
      <c r="G9" s="55">
        <v>2000</v>
      </c>
      <c r="H9" s="55">
        <f t="shared" si="1"/>
        <v>17110.167000000001</v>
      </c>
      <c r="I9" s="55">
        <v>230000</v>
      </c>
      <c r="J9" s="55">
        <v>283350</v>
      </c>
      <c r="K9" s="55">
        <v>0</v>
      </c>
      <c r="L9" s="55">
        <v>283350</v>
      </c>
      <c r="M9" s="56">
        <v>1.23195652173913</v>
      </c>
      <c r="N9" s="55">
        <v>31801.7</v>
      </c>
      <c r="O9" s="55">
        <v>20885</v>
      </c>
      <c r="P9" s="55">
        <v>10916.7</v>
      </c>
      <c r="Q9" s="57">
        <v>0.06</v>
      </c>
      <c r="R9" s="55">
        <v>17110.167000000001</v>
      </c>
      <c r="S9" s="55">
        <v>100</v>
      </c>
      <c r="T9" s="56">
        <v>1</v>
      </c>
      <c r="U9" s="55">
        <v>2000</v>
      </c>
      <c r="V9" s="55">
        <v>2000</v>
      </c>
      <c r="W9" s="54"/>
      <c r="X9" s="54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</row>
    <row r="10" spans="1:41" ht="15" customHeight="1" x14ac:dyDescent="0.45">
      <c r="A10" s="53">
        <v>46143</v>
      </c>
      <c r="B10" s="54" t="s">
        <v>128</v>
      </c>
      <c r="C10" s="54" t="s">
        <v>126</v>
      </c>
      <c r="D10" s="54" t="s">
        <v>127</v>
      </c>
      <c r="E10" s="54" t="s">
        <v>68</v>
      </c>
      <c r="F10" s="55">
        <f t="shared" si="0"/>
        <v>26878.538</v>
      </c>
      <c r="G10" s="55">
        <v>3000</v>
      </c>
      <c r="H10" s="55">
        <f t="shared" si="1"/>
        <v>23878.538</v>
      </c>
      <c r="I10" s="55">
        <v>230000</v>
      </c>
      <c r="J10" s="55">
        <v>366530</v>
      </c>
      <c r="K10" s="55">
        <v>0</v>
      </c>
      <c r="L10" s="55">
        <v>366530</v>
      </c>
      <c r="M10" s="56">
        <v>1.59360869565217</v>
      </c>
      <c r="N10" s="55">
        <v>42700.1</v>
      </c>
      <c r="O10" s="55">
        <v>37291.300000000003</v>
      </c>
      <c r="P10" s="55">
        <v>5408.8</v>
      </c>
      <c r="Q10" s="57">
        <v>6.5000000000000002E-2</v>
      </c>
      <c r="R10" s="55">
        <v>23878.538</v>
      </c>
      <c r="S10" s="55">
        <v>92.250431034482801</v>
      </c>
      <c r="T10" s="56">
        <v>1</v>
      </c>
      <c r="U10" s="55">
        <v>3000</v>
      </c>
      <c r="V10" s="55">
        <v>3000</v>
      </c>
      <c r="W10" s="54"/>
      <c r="X10" s="54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</row>
    <row r="11" spans="1:41" ht="15" customHeight="1" x14ac:dyDescent="0.45">
      <c r="A11" s="53">
        <v>46143</v>
      </c>
      <c r="B11" s="54" t="s">
        <v>129</v>
      </c>
      <c r="C11" s="54" t="s">
        <v>126</v>
      </c>
      <c r="D11" s="54" t="s">
        <v>127</v>
      </c>
      <c r="E11" s="54" t="s">
        <v>29</v>
      </c>
      <c r="F11" s="55">
        <f t="shared" si="0"/>
        <v>105.09</v>
      </c>
      <c r="G11" s="55">
        <v>0</v>
      </c>
      <c r="H11" s="55">
        <f t="shared" si="1"/>
        <v>105.09</v>
      </c>
      <c r="I11" s="55">
        <v>230000</v>
      </c>
      <c r="J11" s="55">
        <v>36400</v>
      </c>
      <c r="K11" s="55">
        <v>0</v>
      </c>
      <c r="L11" s="55">
        <v>36400</v>
      </c>
      <c r="M11" s="56">
        <v>0.15826086956521701</v>
      </c>
      <c r="N11" s="55">
        <v>10509</v>
      </c>
      <c r="O11" s="55">
        <v>0</v>
      </c>
      <c r="P11" s="55">
        <v>10509</v>
      </c>
      <c r="Q11" s="57">
        <v>0</v>
      </c>
      <c r="R11" s="55">
        <v>105.09</v>
      </c>
      <c r="S11" s="55">
        <v>38.575000000000003</v>
      </c>
      <c r="T11" s="56">
        <v>0</v>
      </c>
      <c r="U11" s="55">
        <v>2000</v>
      </c>
      <c r="V11" s="55">
        <v>0</v>
      </c>
      <c r="W11" s="54"/>
      <c r="X11" s="54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</row>
    <row r="12" spans="1:41" ht="15" customHeight="1" x14ac:dyDescent="0.45">
      <c r="A12" s="53">
        <v>46023</v>
      </c>
      <c r="B12" s="54" t="s">
        <v>125</v>
      </c>
      <c r="C12" s="54" t="s">
        <v>126</v>
      </c>
      <c r="D12" s="54" t="s">
        <v>127</v>
      </c>
      <c r="E12" s="54" t="s">
        <v>29</v>
      </c>
      <c r="F12" s="55">
        <f t="shared" si="0"/>
        <v>9216.2825000000012</v>
      </c>
      <c r="G12" s="55">
        <v>2000</v>
      </c>
      <c r="H12" s="55">
        <f t="shared" si="1"/>
        <v>7216.2825000000003</v>
      </c>
      <c r="I12" s="55">
        <v>250000</v>
      </c>
      <c r="J12" s="55">
        <v>179279.8</v>
      </c>
      <c r="K12" s="55">
        <v>40529.800000000003</v>
      </c>
      <c r="L12" s="55">
        <v>138750</v>
      </c>
      <c r="M12" s="56">
        <v>0.82471799999999995</v>
      </c>
      <c r="N12" s="55">
        <v>70215.5</v>
      </c>
      <c r="O12" s="55">
        <v>2786</v>
      </c>
      <c r="P12" s="55">
        <v>67429.5</v>
      </c>
      <c r="Q12" s="57">
        <v>3.5000000000000003E-2</v>
      </c>
      <c r="R12" s="55">
        <v>7216.2825000000003</v>
      </c>
      <c r="S12" s="55">
        <v>98</v>
      </c>
      <c r="T12" s="56">
        <v>1</v>
      </c>
      <c r="U12" s="55">
        <v>2000</v>
      </c>
      <c r="V12" s="55">
        <v>2000</v>
      </c>
      <c r="W12" s="54"/>
      <c r="X12" s="54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</row>
    <row r="13" spans="1:41" ht="15" customHeight="1" x14ac:dyDescent="0.45">
      <c r="A13" s="53">
        <v>46023</v>
      </c>
      <c r="B13" s="54" t="s">
        <v>128</v>
      </c>
      <c r="C13" s="54" t="s">
        <v>126</v>
      </c>
      <c r="D13" s="54" t="s">
        <v>127</v>
      </c>
      <c r="E13" s="54" t="s">
        <v>68</v>
      </c>
      <c r="F13" s="55">
        <f t="shared" si="0"/>
        <v>16183.289000000001</v>
      </c>
      <c r="G13" s="55">
        <v>3000</v>
      </c>
      <c r="H13" s="55">
        <f t="shared" si="1"/>
        <v>13183.289000000001</v>
      </c>
      <c r="I13" s="55">
        <v>250000</v>
      </c>
      <c r="J13" s="55">
        <v>187350</v>
      </c>
      <c r="K13" s="55">
        <v>30100</v>
      </c>
      <c r="L13" s="55">
        <v>157250</v>
      </c>
      <c r="M13" s="56">
        <v>1.0546631200000001</v>
      </c>
      <c r="N13" s="55">
        <v>125915.78</v>
      </c>
      <c r="O13" s="55">
        <v>19500</v>
      </c>
      <c r="P13" s="55">
        <v>106415.78</v>
      </c>
      <c r="Q13" s="57">
        <v>0.05</v>
      </c>
      <c r="R13" s="55">
        <v>13183.289000000001</v>
      </c>
      <c r="S13" s="55">
        <v>100</v>
      </c>
      <c r="T13" s="56">
        <v>1</v>
      </c>
      <c r="U13" s="55">
        <v>3000</v>
      </c>
      <c r="V13" s="55">
        <v>3000</v>
      </c>
      <c r="W13" s="54"/>
      <c r="X13" s="54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</row>
    <row r="14" spans="1:41" ht="15" customHeight="1" x14ac:dyDescent="0.45">
      <c r="A14" s="53">
        <v>46023</v>
      </c>
      <c r="B14" s="54" t="s">
        <v>129</v>
      </c>
      <c r="C14" s="54" t="s">
        <v>126</v>
      </c>
      <c r="D14" s="54" t="s">
        <v>127</v>
      </c>
      <c r="E14" s="54" t="s">
        <v>29</v>
      </c>
      <c r="F14" s="55">
        <f t="shared" si="0"/>
        <v>4000</v>
      </c>
      <c r="G14" s="55">
        <v>4000</v>
      </c>
      <c r="H14" s="55">
        <f t="shared" si="1"/>
        <v>0</v>
      </c>
      <c r="I14" s="55">
        <v>50000</v>
      </c>
      <c r="J14" s="55">
        <v>28800</v>
      </c>
      <c r="K14" s="55">
        <v>0</v>
      </c>
      <c r="L14" s="55">
        <v>28800</v>
      </c>
      <c r="M14" s="56">
        <v>0.57599999999999996</v>
      </c>
      <c r="N14" s="55">
        <v>0</v>
      </c>
      <c r="O14" s="55">
        <v>0</v>
      </c>
      <c r="P14" s="55">
        <v>0</v>
      </c>
      <c r="Q14" s="57">
        <v>0</v>
      </c>
      <c r="R14" s="55">
        <v>0</v>
      </c>
      <c r="S14" s="55" t="s">
        <v>130</v>
      </c>
      <c r="T14" s="56">
        <v>1</v>
      </c>
      <c r="U14" s="55">
        <v>4000</v>
      </c>
      <c r="V14" s="55">
        <v>4000</v>
      </c>
      <c r="W14" s="54"/>
      <c r="X14" s="54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</row>
    <row r="15" spans="1:41" ht="15" customHeight="1" x14ac:dyDescent="0.45">
      <c r="A15" s="53">
        <v>45992</v>
      </c>
      <c r="B15" s="54" t="s">
        <v>125</v>
      </c>
      <c r="C15" s="54" t="s">
        <v>126</v>
      </c>
      <c r="D15" s="54" t="s">
        <v>127</v>
      </c>
      <c r="E15" s="54" t="s">
        <v>29</v>
      </c>
      <c r="F15" s="55">
        <f t="shared" si="0"/>
        <v>7237.8715000000002</v>
      </c>
      <c r="G15" s="55">
        <v>1420</v>
      </c>
      <c r="H15" s="55">
        <f t="shared" si="1"/>
        <v>5817.8715000000002</v>
      </c>
      <c r="I15" s="55">
        <v>190000</v>
      </c>
      <c r="J15" s="55">
        <v>188700</v>
      </c>
      <c r="K15" s="55">
        <v>61647.6</v>
      </c>
      <c r="L15" s="55">
        <v>127052.4</v>
      </c>
      <c r="M15" s="56">
        <v>0.87486789473684201</v>
      </c>
      <c r="N15" s="55">
        <v>45390</v>
      </c>
      <c r="O15" s="55">
        <v>6217.5</v>
      </c>
      <c r="P15" s="55">
        <v>39172.5</v>
      </c>
      <c r="Q15" s="57">
        <v>3.5000000000000003E-2</v>
      </c>
      <c r="R15" s="55">
        <v>5817.8715000000002</v>
      </c>
      <c r="S15" s="55">
        <v>71</v>
      </c>
      <c r="T15" s="56">
        <v>0.71</v>
      </c>
      <c r="U15" s="55">
        <v>2000</v>
      </c>
      <c r="V15" s="55">
        <v>1420</v>
      </c>
      <c r="W15" s="54"/>
      <c r="X15" s="54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</row>
    <row r="16" spans="1:41" ht="15" customHeight="1" x14ac:dyDescent="0.45">
      <c r="A16" s="53">
        <v>45992</v>
      </c>
      <c r="B16" s="54" t="s">
        <v>128</v>
      </c>
      <c r="C16" s="54" t="s">
        <v>126</v>
      </c>
      <c r="D16" s="54" t="s">
        <v>127</v>
      </c>
      <c r="E16" s="54" t="s">
        <v>68</v>
      </c>
      <c r="F16" s="55">
        <f t="shared" si="0"/>
        <v>8613.2720000000008</v>
      </c>
      <c r="G16" s="55">
        <v>3000</v>
      </c>
      <c r="H16" s="55">
        <f t="shared" si="1"/>
        <v>5613.2719999999999</v>
      </c>
      <c r="I16" s="55">
        <v>190000</v>
      </c>
      <c r="J16" s="55">
        <v>201800</v>
      </c>
      <c r="K16" s="55">
        <v>91039.3</v>
      </c>
      <c r="L16" s="55">
        <v>110760.7</v>
      </c>
      <c r="M16" s="56">
        <v>0.84410105263157897</v>
      </c>
      <c r="N16" s="55">
        <v>49618.5</v>
      </c>
      <c r="O16" s="55">
        <v>0</v>
      </c>
      <c r="P16" s="55">
        <v>49618.5</v>
      </c>
      <c r="Q16" s="57">
        <v>3.5000000000000003E-2</v>
      </c>
      <c r="R16" s="55">
        <v>5613.2719999999999</v>
      </c>
      <c r="S16" s="55">
        <v>100</v>
      </c>
      <c r="T16" s="56">
        <v>1</v>
      </c>
      <c r="U16" s="55">
        <v>3000</v>
      </c>
      <c r="V16" s="55">
        <v>3000</v>
      </c>
      <c r="W16" s="54"/>
      <c r="X16" s="54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</row>
    <row r="17" spans="1:41" ht="15" customHeight="1" x14ac:dyDescent="0.45">
      <c r="A17" s="53">
        <v>45992</v>
      </c>
      <c r="B17" s="54" t="s">
        <v>129</v>
      </c>
      <c r="C17" s="54" t="s">
        <v>126</v>
      </c>
      <c r="D17" s="54" t="s">
        <v>127</v>
      </c>
      <c r="E17" s="54" t="s">
        <v>29</v>
      </c>
      <c r="F17" s="55">
        <f t="shared" si="0"/>
        <v>4000</v>
      </c>
      <c r="G17" s="55">
        <v>4000</v>
      </c>
      <c r="H17" s="55">
        <f t="shared" si="1"/>
        <v>0</v>
      </c>
      <c r="I17" s="55">
        <v>20000</v>
      </c>
      <c r="J17" s="55">
        <v>0</v>
      </c>
      <c r="K17" s="55">
        <v>0</v>
      </c>
      <c r="L17" s="55">
        <v>0</v>
      </c>
      <c r="M17" s="56">
        <v>0.13930000000000001</v>
      </c>
      <c r="N17" s="55">
        <v>2786</v>
      </c>
      <c r="O17" s="55">
        <v>0</v>
      </c>
      <c r="P17" s="55">
        <v>2786</v>
      </c>
      <c r="Q17" s="57">
        <v>0</v>
      </c>
      <c r="R17" s="55">
        <v>0</v>
      </c>
      <c r="S17" s="55" t="s">
        <v>130</v>
      </c>
      <c r="T17" s="56">
        <v>1</v>
      </c>
      <c r="U17" s="55">
        <v>4000</v>
      </c>
      <c r="V17" s="55">
        <v>4000</v>
      </c>
      <c r="W17" s="54"/>
      <c r="X17" s="54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</row>
    <row r="18" spans="1:41" ht="15" customHeight="1" x14ac:dyDescent="0.45">
      <c r="A18" s="53">
        <v>45809</v>
      </c>
      <c r="B18" s="54" t="s">
        <v>125</v>
      </c>
      <c r="C18" s="54" t="s">
        <v>126</v>
      </c>
      <c r="D18" s="54" t="s">
        <v>127</v>
      </c>
      <c r="E18" s="54" t="s">
        <v>29</v>
      </c>
      <c r="F18" s="55">
        <f t="shared" si="0"/>
        <v>19338.116000000002</v>
      </c>
      <c r="G18" s="55">
        <v>2000</v>
      </c>
      <c r="H18" s="55">
        <f t="shared" si="1"/>
        <v>17338.116000000002</v>
      </c>
      <c r="I18" s="55">
        <v>240000</v>
      </c>
      <c r="J18" s="55">
        <v>272780</v>
      </c>
      <c r="K18" s="55">
        <v>62431.4</v>
      </c>
      <c r="L18" s="55">
        <v>210348.6</v>
      </c>
      <c r="M18" s="56">
        <v>1.2040358333333301</v>
      </c>
      <c r="N18" s="55">
        <v>90005</v>
      </c>
      <c r="O18" s="55">
        <v>11385</v>
      </c>
      <c r="P18" s="55">
        <v>78620</v>
      </c>
      <c r="Q18" s="57">
        <v>0.06</v>
      </c>
      <c r="R18" s="55">
        <v>17338.116000000002</v>
      </c>
      <c r="S18" s="55">
        <v>100</v>
      </c>
      <c r="T18" s="56">
        <v>1</v>
      </c>
      <c r="U18" s="55">
        <v>2000</v>
      </c>
      <c r="V18" s="55">
        <v>2000</v>
      </c>
      <c r="W18" s="54"/>
      <c r="X18" s="54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</row>
    <row r="19" spans="1:41" ht="15" customHeight="1" x14ac:dyDescent="0.45">
      <c r="A19" s="53">
        <v>45809</v>
      </c>
      <c r="B19" s="54" t="s">
        <v>128</v>
      </c>
      <c r="C19" s="54" t="s">
        <v>126</v>
      </c>
      <c r="D19" s="54" t="s">
        <v>127</v>
      </c>
      <c r="E19" s="54" t="s">
        <v>68</v>
      </c>
      <c r="F19" s="55">
        <f t="shared" si="0"/>
        <v>21026.780999999999</v>
      </c>
      <c r="G19" s="55">
        <v>3000</v>
      </c>
      <c r="H19" s="55">
        <f t="shared" si="1"/>
        <v>18026.780999999999</v>
      </c>
      <c r="I19" s="55">
        <v>240000</v>
      </c>
      <c r="J19" s="55">
        <v>223500</v>
      </c>
      <c r="K19" s="55">
        <v>56320.6</v>
      </c>
      <c r="L19" s="55">
        <v>167179.4</v>
      </c>
      <c r="M19" s="56">
        <v>1.2518597916666701</v>
      </c>
      <c r="N19" s="55">
        <v>144521.95000000001</v>
      </c>
      <c r="O19" s="55">
        <v>11255</v>
      </c>
      <c r="P19" s="55">
        <v>133266.95000000001</v>
      </c>
      <c r="Q19" s="57">
        <v>0.06</v>
      </c>
      <c r="R19" s="55">
        <v>18026.780999999999</v>
      </c>
      <c r="S19" s="55">
        <v>100</v>
      </c>
      <c r="T19" s="56">
        <v>1</v>
      </c>
      <c r="U19" s="55">
        <v>3000</v>
      </c>
      <c r="V19" s="55">
        <v>3000</v>
      </c>
      <c r="W19" s="54"/>
      <c r="X19" s="54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</row>
    <row r="20" spans="1:41" ht="15" customHeight="1" x14ac:dyDescent="0.45">
      <c r="A20" s="53">
        <v>45809</v>
      </c>
      <c r="B20" s="54" t="s">
        <v>131</v>
      </c>
      <c r="C20" s="54" t="s">
        <v>126</v>
      </c>
      <c r="D20" s="54" t="s">
        <v>127</v>
      </c>
      <c r="E20" s="54" t="s">
        <v>29</v>
      </c>
      <c r="F20" s="55">
        <f t="shared" si="0"/>
        <v>2000</v>
      </c>
      <c r="G20" s="55">
        <v>2000</v>
      </c>
      <c r="H20" s="55">
        <f t="shared" si="1"/>
        <v>0</v>
      </c>
      <c r="I20" s="55">
        <v>60000</v>
      </c>
      <c r="J20" s="55">
        <v>8900</v>
      </c>
      <c r="K20" s="55">
        <v>0</v>
      </c>
      <c r="L20" s="55">
        <v>8900</v>
      </c>
      <c r="M20" s="56">
        <v>0</v>
      </c>
      <c r="N20" s="55">
        <v>0</v>
      </c>
      <c r="O20" s="55">
        <v>0</v>
      </c>
      <c r="P20" s="55">
        <v>0</v>
      </c>
      <c r="Q20" s="57">
        <v>0</v>
      </c>
      <c r="R20" s="55">
        <v>0</v>
      </c>
      <c r="S20" s="55">
        <v>100</v>
      </c>
      <c r="T20" s="56">
        <v>1</v>
      </c>
      <c r="U20" s="55">
        <v>2000</v>
      </c>
      <c r="V20" s="55">
        <v>2000</v>
      </c>
      <c r="W20" s="54"/>
      <c r="X20" s="54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</row>
    <row r="21" spans="1:41" ht="15" customHeight="1" x14ac:dyDescent="0.45">
      <c r="A21" s="53">
        <v>45839</v>
      </c>
      <c r="B21" s="54" t="s">
        <v>125</v>
      </c>
      <c r="C21" s="54" t="s">
        <v>126</v>
      </c>
      <c r="D21" s="54" t="s">
        <v>127</v>
      </c>
      <c r="E21" s="54" t="s">
        <v>29</v>
      </c>
      <c r="F21" s="55">
        <f t="shared" si="0"/>
        <v>17489.105</v>
      </c>
      <c r="G21" s="55">
        <v>2000</v>
      </c>
      <c r="H21" s="55">
        <f t="shared" si="1"/>
        <v>15489.105</v>
      </c>
      <c r="I21" s="55">
        <v>300000</v>
      </c>
      <c r="J21" s="55">
        <v>280430</v>
      </c>
      <c r="K21" s="55">
        <v>35526.400000000001</v>
      </c>
      <c r="L21" s="55">
        <v>244903.6</v>
      </c>
      <c r="M21" s="56">
        <v>1.0326070000000001</v>
      </c>
      <c r="N21" s="55">
        <v>71261</v>
      </c>
      <c r="O21" s="55">
        <v>6382.5</v>
      </c>
      <c r="P21" s="55">
        <v>64878.5</v>
      </c>
      <c r="Q21" s="57">
        <v>0.05</v>
      </c>
      <c r="R21" s="55">
        <v>15489.105</v>
      </c>
      <c r="S21" s="55">
        <v>100</v>
      </c>
      <c r="T21" s="56">
        <v>1</v>
      </c>
      <c r="U21" s="55">
        <v>2000</v>
      </c>
      <c r="V21" s="55">
        <v>2000</v>
      </c>
      <c r="W21" s="54"/>
      <c r="X21" s="54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</row>
    <row r="22" spans="1:41" ht="15" customHeight="1" x14ac:dyDescent="0.45">
      <c r="A22" s="53">
        <v>45839</v>
      </c>
      <c r="B22" s="54" t="s">
        <v>128</v>
      </c>
      <c r="C22" s="54" t="s">
        <v>126</v>
      </c>
      <c r="D22" s="54" t="s">
        <v>127</v>
      </c>
      <c r="E22" s="54" t="s">
        <v>68</v>
      </c>
      <c r="F22" s="55">
        <f t="shared" si="0"/>
        <v>18734.946499999998</v>
      </c>
      <c r="G22" s="55">
        <v>3000</v>
      </c>
      <c r="H22" s="55">
        <f t="shared" si="1"/>
        <v>15734.9465</v>
      </c>
      <c r="I22" s="55">
        <v>300000</v>
      </c>
      <c r="J22" s="55">
        <v>280035.59999999998</v>
      </c>
      <c r="K22" s="55">
        <v>87104.2</v>
      </c>
      <c r="L22" s="55">
        <v>192931.4</v>
      </c>
      <c r="M22" s="56">
        <v>1.0489964333333299</v>
      </c>
      <c r="N22" s="55">
        <v>139325.79999999999</v>
      </c>
      <c r="O22" s="55">
        <v>17558.27</v>
      </c>
      <c r="P22" s="55">
        <v>121767.53</v>
      </c>
      <c r="Q22" s="57">
        <v>0.05</v>
      </c>
      <c r="R22" s="55">
        <v>15734.9465</v>
      </c>
      <c r="S22" s="55">
        <v>100</v>
      </c>
      <c r="T22" s="56">
        <v>1</v>
      </c>
      <c r="U22" s="55">
        <v>3000</v>
      </c>
      <c r="V22" s="55">
        <v>3000</v>
      </c>
      <c r="W22" s="54"/>
      <c r="X22" s="54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</row>
    <row r="23" spans="1:41" ht="15" customHeight="1" x14ac:dyDescent="0.45">
      <c r="A23" s="53">
        <v>45839</v>
      </c>
      <c r="B23" s="54" t="s">
        <v>131</v>
      </c>
      <c r="C23" s="54" t="s">
        <v>126</v>
      </c>
      <c r="D23" s="54" t="s">
        <v>127</v>
      </c>
      <c r="E23" s="54" t="s">
        <v>29</v>
      </c>
      <c r="F23" s="55">
        <f t="shared" si="0"/>
        <v>2000</v>
      </c>
      <c r="G23" s="55">
        <v>2000</v>
      </c>
      <c r="H23" s="55">
        <f t="shared" si="1"/>
        <v>0</v>
      </c>
      <c r="I23" s="55">
        <v>100000</v>
      </c>
      <c r="J23" s="55">
        <v>9650</v>
      </c>
      <c r="K23" s="55">
        <v>0</v>
      </c>
      <c r="L23" s="55">
        <v>9650</v>
      </c>
      <c r="M23" s="56">
        <v>0.21035000000000001</v>
      </c>
      <c r="N23" s="55">
        <v>11385</v>
      </c>
      <c r="O23" s="55">
        <v>0</v>
      </c>
      <c r="P23" s="55">
        <v>11385</v>
      </c>
      <c r="Q23" s="57">
        <v>0</v>
      </c>
      <c r="R23" s="55">
        <v>0</v>
      </c>
      <c r="S23" s="55">
        <v>100</v>
      </c>
      <c r="T23" s="56">
        <v>1</v>
      </c>
      <c r="U23" s="55">
        <v>2000</v>
      </c>
      <c r="V23" s="55">
        <v>2000</v>
      </c>
      <c r="W23" s="54"/>
      <c r="X23" s="54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</row>
    <row r="24" spans="1:41" ht="15" customHeight="1" x14ac:dyDescent="0.45">
      <c r="A24" s="53">
        <v>45870</v>
      </c>
      <c r="B24" s="54" t="s">
        <v>125</v>
      </c>
      <c r="C24" s="54" t="s">
        <v>126</v>
      </c>
      <c r="D24" s="54" t="s">
        <v>127</v>
      </c>
      <c r="E24" s="54" t="s">
        <v>29</v>
      </c>
      <c r="F24" s="55">
        <f t="shared" si="0"/>
        <v>27970.324452508961</v>
      </c>
      <c r="G24" s="55">
        <v>1573.47670250896</v>
      </c>
      <c r="H24" s="55">
        <f t="shared" si="1"/>
        <v>26396.847750000001</v>
      </c>
      <c r="I24" s="55">
        <v>210000</v>
      </c>
      <c r="J24" s="55">
        <v>395298.6</v>
      </c>
      <c r="K24" s="55">
        <v>5085.75</v>
      </c>
      <c r="L24" s="55">
        <v>390212.85</v>
      </c>
      <c r="M24" s="56">
        <v>1.933835</v>
      </c>
      <c r="N24" s="55">
        <v>15892.5</v>
      </c>
      <c r="O24" s="55">
        <v>0</v>
      </c>
      <c r="P24" s="55">
        <v>15892.5</v>
      </c>
      <c r="Q24" s="57">
        <v>6.5000000000000002E-2</v>
      </c>
      <c r="R24" s="55">
        <v>26396.847750000001</v>
      </c>
      <c r="S24" s="55">
        <v>78.673835125447994</v>
      </c>
      <c r="T24" s="56">
        <v>0.78673835125448</v>
      </c>
      <c r="U24" s="55">
        <v>2000</v>
      </c>
      <c r="V24" s="55">
        <v>1573.47670250896</v>
      </c>
      <c r="W24" s="54"/>
      <c r="X24" s="54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</row>
    <row r="25" spans="1:41" ht="15" customHeight="1" x14ac:dyDescent="0.45">
      <c r="A25" s="53">
        <v>45870</v>
      </c>
      <c r="B25" s="54" t="s">
        <v>128</v>
      </c>
      <c r="C25" s="54" t="s">
        <v>126</v>
      </c>
      <c r="D25" s="54" t="s">
        <v>127</v>
      </c>
      <c r="E25" s="54" t="s">
        <v>68</v>
      </c>
      <c r="F25" s="55">
        <f t="shared" si="0"/>
        <v>29730.561000000002</v>
      </c>
      <c r="G25" s="55">
        <v>3000</v>
      </c>
      <c r="H25" s="55">
        <f t="shared" si="1"/>
        <v>26730.561000000002</v>
      </c>
      <c r="I25" s="55">
        <v>210000</v>
      </c>
      <c r="J25" s="55">
        <v>389024.9</v>
      </c>
      <c r="K25" s="55">
        <v>54315</v>
      </c>
      <c r="L25" s="55">
        <v>334709.90000000002</v>
      </c>
      <c r="M25" s="56">
        <v>1.9582828571428601</v>
      </c>
      <c r="N25" s="55">
        <v>76529.5</v>
      </c>
      <c r="O25" s="55">
        <v>0</v>
      </c>
      <c r="P25" s="55">
        <v>76529.5</v>
      </c>
      <c r="Q25" s="57">
        <v>6.5000000000000002E-2</v>
      </c>
      <c r="R25" s="55">
        <v>26730.561000000002</v>
      </c>
      <c r="S25" s="55">
        <v>100</v>
      </c>
      <c r="T25" s="56">
        <v>1</v>
      </c>
      <c r="U25" s="55">
        <v>3000</v>
      </c>
      <c r="V25" s="55">
        <v>3000</v>
      </c>
      <c r="W25" s="54"/>
      <c r="X25" s="54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</row>
    <row r="26" spans="1:41" ht="15" customHeight="1" x14ac:dyDescent="0.45">
      <c r="A26" s="53">
        <v>45870</v>
      </c>
      <c r="B26" s="54" t="s">
        <v>132</v>
      </c>
      <c r="C26" s="54" t="s">
        <v>126</v>
      </c>
      <c r="D26" s="54" t="s">
        <v>127</v>
      </c>
      <c r="E26" s="54" t="s">
        <v>29</v>
      </c>
      <c r="F26" s="55">
        <f t="shared" si="0"/>
        <v>900</v>
      </c>
      <c r="G26" s="55">
        <v>900</v>
      </c>
      <c r="H26" s="55">
        <v>0</v>
      </c>
      <c r="I26" s="55" t="s">
        <v>130</v>
      </c>
      <c r="J26" s="55" t="s">
        <v>130</v>
      </c>
      <c r="K26" s="55" t="s">
        <v>130</v>
      </c>
      <c r="L26" s="55" t="s">
        <v>130</v>
      </c>
      <c r="M26" s="56" t="s">
        <v>130</v>
      </c>
      <c r="N26" s="55" t="s">
        <v>130</v>
      </c>
      <c r="O26" s="55" t="s">
        <v>130</v>
      </c>
      <c r="P26" s="55" t="s">
        <v>130</v>
      </c>
      <c r="Q26" s="57" t="s">
        <v>130</v>
      </c>
      <c r="R26" s="55" t="s">
        <v>130</v>
      </c>
      <c r="S26" s="55" t="s">
        <v>130</v>
      </c>
      <c r="T26" s="56">
        <v>0.22500000000000001</v>
      </c>
      <c r="U26" s="55">
        <v>4000</v>
      </c>
      <c r="V26" s="55">
        <v>900</v>
      </c>
      <c r="W26" s="54"/>
      <c r="X26" s="54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</row>
    <row r="27" spans="1:41" ht="15" customHeight="1" x14ac:dyDescent="0.45">
      <c r="A27" s="53">
        <v>45901</v>
      </c>
      <c r="B27" s="54" t="s">
        <v>125</v>
      </c>
      <c r="C27" s="54" t="s">
        <v>126</v>
      </c>
      <c r="D27" s="54" t="s">
        <v>127</v>
      </c>
      <c r="E27" s="54" t="s">
        <v>29</v>
      </c>
      <c r="F27" s="55">
        <f t="shared" si="0"/>
        <v>14706.75</v>
      </c>
      <c r="G27" s="55">
        <v>1700</v>
      </c>
      <c r="H27" s="55">
        <f t="shared" ref="H27:H32" si="2">R27</f>
        <v>13006.75</v>
      </c>
      <c r="I27" s="55">
        <v>260000</v>
      </c>
      <c r="J27" s="55">
        <v>284935</v>
      </c>
      <c r="K27" s="55">
        <v>36110</v>
      </c>
      <c r="L27" s="55">
        <v>248825</v>
      </c>
      <c r="M27" s="56">
        <v>1.0005192307692301</v>
      </c>
      <c r="N27" s="55">
        <v>11310</v>
      </c>
      <c r="O27" s="55">
        <v>0</v>
      </c>
      <c r="P27" s="55">
        <v>11310</v>
      </c>
      <c r="Q27" s="57">
        <v>0.05</v>
      </c>
      <c r="R27" s="55">
        <v>13006.75</v>
      </c>
      <c r="S27" s="55">
        <v>85</v>
      </c>
      <c r="T27" s="56">
        <v>0.85</v>
      </c>
      <c r="U27" s="55">
        <v>2000</v>
      </c>
      <c r="V27" s="55">
        <v>1700</v>
      </c>
      <c r="W27" s="54"/>
      <c r="X27" s="54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</row>
    <row r="28" spans="1:41" ht="15" customHeight="1" x14ac:dyDescent="0.45">
      <c r="A28" s="53">
        <v>45901</v>
      </c>
      <c r="B28" s="54" t="s">
        <v>128</v>
      </c>
      <c r="C28" s="54" t="s">
        <v>126</v>
      </c>
      <c r="D28" s="54" t="s">
        <v>127</v>
      </c>
      <c r="E28" s="54" t="s">
        <v>68</v>
      </c>
      <c r="F28" s="55">
        <f t="shared" si="0"/>
        <v>22952.472000000002</v>
      </c>
      <c r="G28" s="55">
        <v>2550</v>
      </c>
      <c r="H28" s="55">
        <f t="shared" si="2"/>
        <v>20402.472000000002</v>
      </c>
      <c r="I28" s="55">
        <v>260000</v>
      </c>
      <c r="J28" s="55">
        <v>324735</v>
      </c>
      <c r="K28" s="55">
        <v>16680</v>
      </c>
      <c r="L28" s="55">
        <v>308055</v>
      </c>
      <c r="M28" s="56">
        <v>1.3078507692307699</v>
      </c>
      <c r="N28" s="55">
        <v>40051</v>
      </c>
      <c r="O28" s="55">
        <v>8064.8</v>
      </c>
      <c r="P28" s="55">
        <v>31986.2</v>
      </c>
      <c r="Q28" s="57">
        <v>0.06</v>
      </c>
      <c r="R28" s="55">
        <v>20402.472000000002</v>
      </c>
      <c r="S28" s="55">
        <v>85</v>
      </c>
      <c r="T28" s="56">
        <v>0.85</v>
      </c>
      <c r="U28" s="55">
        <v>3000</v>
      </c>
      <c r="V28" s="55">
        <v>2550</v>
      </c>
      <c r="W28" s="54"/>
      <c r="X28" s="54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</row>
    <row r="29" spans="1:41" ht="15" customHeight="1" x14ac:dyDescent="0.45">
      <c r="A29" s="53">
        <v>45901</v>
      </c>
      <c r="B29" s="54" t="s">
        <v>132</v>
      </c>
      <c r="C29" s="54" t="s">
        <v>126</v>
      </c>
      <c r="D29" s="54" t="s">
        <v>127</v>
      </c>
      <c r="E29" s="54" t="s">
        <v>29</v>
      </c>
      <c r="F29" s="55">
        <f t="shared" si="0"/>
        <v>4000</v>
      </c>
      <c r="G29" s="55">
        <v>4000</v>
      </c>
      <c r="H29" s="55">
        <f t="shared" si="2"/>
        <v>0</v>
      </c>
      <c r="I29" s="55">
        <v>30000</v>
      </c>
      <c r="J29" s="55">
        <v>8800</v>
      </c>
      <c r="K29" s="55">
        <v>0</v>
      </c>
      <c r="L29" s="55">
        <v>8800</v>
      </c>
      <c r="M29" s="56">
        <v>0.293333333333333</v>
      </c>
      <c r="N29" s="55">
        <v>0</v>
      </c>
      <c r="O29" s="55">
        <v>0</v>
      </c>
      <c r="P29" s="55">
        <v>0</v>
      </c>
      <c r="Q29" s="57">
        <v>0</v>
      </c>
      <c r="R29" s="55">
        <v>0</v>
      </c>
      <c r="S29" s="55" t="s">
        <v>130</v>
      </c>
      <c r="T29" s="56">
        <v>1</v>
      </c>
      <c r="U29" s="55">
        <v>4000</v>
      </c>
      <c r="V29" s="55">
        <v>4000</v>
      </c>
      <c r="W29" s="54"/>
      <c r="X29" s="54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</row>
    <row r="30" spans="1:41" ht="15" customHeight="1" x14ac:dyDescent="0.45">
      <c r="A30" s="53">
        <v>45931</v>
      </c>
      <c r="B30" s="54" t="s">
        <v>125</v>
      </c>
      <c r="C30" s="54" t="s">
        <v>126</v>
      </c>
      <c r="D30" s="54" t="s">
        <v>127</v>
      </c>
      <c r="E30" s="54" t="s">
        <v>29</v>
      </c>
      <c r="F30" s="55">
        <f t="shared" si="0"/>
        <v>14908.875</v>
      </c>
      <c r="G30" s="55">
        <v>1580</v>
      </c>
      <c r="H30" s="55">
        <f t="shared" si="2"/>
        <v>13328.875</v>
      </c>
      <c r="I30" s="55">
        <v>260000</v>
      </c>
      <c r="J30" s="55">
        <v>286650</v>
      </c>
      <c r="K30" s="55">
        <v>48062.5</v>
      </c>
      <c r="L30" s="55">
        <v>238587.5</v>
      </c>
      <c r="M30" s="56">
        <v>1.0252980769230799</v>
      </c>
      <c r="N30" s="55">
        <v>27990</v>
      </c>
      <c r="O30" s="55">
        <v>0</v>
      </c>
      <c r="P30" s="55">
        <v>27990</v>
      </c>
      <c r="Q30" s="57">
        <v>0.05</v>
      </c>
      <c r="R30" s="55">
        <v>13328.875</v>
      </c>
      <c r="S30" s="55">
        <v>79</v>
      </c>
      <c r="T30" s="56">
        <v>0.79</v>
      </c>
      <c r="U30" s="55">
        <v>2000</v>
      </c>
      <c r="V30" s="55">
        <v>1580</v>
      </c>
      <c r="W30" s="54"/>
      <c r="X30" s="54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</row>
    <row r="31" spans="1:41" ht="15" customHeight="1" x14ac:dyDescent="0.45">
      <c r="A31" s="53">
        <v>45931</v>
      </c>
      <c r="B31" s="54" t="s">
        <v>128</v>
      </c>
      <c r="C31" s="54" t="s">
        <v>126</v>
      </c>
      <c r="D31" s="54" t="s">
        <v>127</v>
      </c>
      <c r="E31" s="54" t="s">
        <v>68</v>
      </c>
      <c r="F31" s="55">
        <f t="shared" si="0"/>
        <v>11360.1</v>
      </c>
      <c r="G31" s="55">
        <v>3000</v>
      </c>
      <c r="H31" s="55">
        <f t="shared" si="2"/>
        <v>8360.1</v>
      </c>
      <c r="I31" s="55">
        <v>260000</v>
      </c>
      <c r="J31" s="55">
        <v>247544</v>
      </c>
      <c r="K31" s="55">
        <v>39700</v>
      </c>
      <c r="L31" s="55">
        <v>207844</v>
      </c>
      <c r="M31" s="56">
        <v>0.91869230769230803</v>
      </c>
      <c r="N31" s="55">
        <v>31016</v>
      </c>
      <c r="O31" s="55">
        <v>0</v>
      </c>
      <c r="P31" s="55">
        <v>31016</v>
      </c>
      <c r="Q31" s="57">
        <v>3.5000000000000003E-2</v>
      </c>
      <c r="R31" s="55">
        <v>8360.1</v>
      </c>
      <c r="S31" s="55">
        <v>97</v>
      </c>
      <c r="T31" s="56">
        <v>1</v>
      </c>
      <c r="U31" s="55">
        <v>3000</v>
      </c>
      <c r="V31" s="55">
        <v>3000</v>
      </c>
      <c r="W31" s="54"/>
      <c r="X31" s="54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</row>
    <row r="32" spans="1:41" ht="15" customHeight="1" x14ac:dyDescent="0.45">
      <c r="A32" s="53">
        <v>45931</v>
      </c>
      <c r="B32" s="54" t="s">
        <v>132</v>
      </c>
      <c r="C32" s="54" t="s">
        <v>126</v>
      </c>
      <c r="D32" s="54" t="s">
        <v>127</v>
      </c>
      <c r="E32" s="54" t="s">
        <v>29</v>
      </c>
      <c r="F32" s="55">
        <f t="shared" si="0"/>
        <v>4233.8999999999996</v>
      </c>
      <c r="G32" s="55">
        <v>4000</v>
      </c>
      <c r="H32" s="55">
        <f t="shared" si="2"/>
        <v>233.9</v>
      </c>
      <c r="I32" s="55">
        <v>40000</v>
      </c>
      <c r="J32" s="55">
        <v>32190</v>
      </c>
      <c r="K32" s="55">
        <v>8800</v>
      </c>
      <c r="L32" s="55">
        <v>23390</v>
      </c>
      <c r="M32" s="56">
        <v>0.58474999999999999</v>
      </c>
      <c r="N32" s="55">
        <v>0</v>
      </c>
      <c r="O32" s="55">
        <v>0</v>
      </c>
      <c r="P32" s="55">
        <v>0</v>
      </c>
      <c r="Q32" s="57">
        <v>0.01</v>
      </c>
      <c r="R32" s="55">
        <v>233.9</v>
      </c>
      <c r="S32" s="55" t="s">
        <v>130</v>
      </c>
      <c r="T32" s="56">
        <v>1</v>
      </c>
      <c r="U32" s="55">
        <v>4000</v>
      </c>
      <c r="V32" s="55">
        <v>4000</v>
      </c>
      <c r="W32" s="54"/>
      <c r="X32" s="54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</row>
    <row r="33" spans="1:41" ht="15" customHeight="1" x14ac:dyDescent="0.45">
      <c r="A33" s="53">
        <v>45931</v>
      </c>
      <c r="B33" s="54" t="s">
        <v>129</v>
      </c>
      <c r="C33" s="54" t="s">
        <v>126</v>
      </c>
      <c r="D33" s="54" t="s">
        <v>127</v>
      </c>
      <c r="E33" s="54" t="s">
        <v>29</v>
      </c>
      <c r="F33" s="55">
        <f t="shared" si="0"/>
        <v>1160</v>
      </c>
      <c r="G33" s="55">
        <v>1160</v>
      </c>
      <c r="H33" s="55">
        <v>0</v>
      </c>
      <c r="I33" s="55" t="s">
        <v>130</v>
      </c>
      <c r="J33" s="55" t="s">
        <v>130</v>
      </c>
      <c r="K33" s="55" t="s">
        <v>130</v>
      </c>
      <c r="L33" s="55" t="s">
        <v>130</v>
      </c>
      <c r="M33" s="56" t="s">
        <v>130</v>
      </c>
      <c r="N33" s="55" t="s">
        <v>130</v>
      </c>
      <c r="O33" s="55" t="s">
        <v>130</v>
      </c>
      <c r="P33" s="55" t="s">
        <v>130</v>
      </c>
      <c r="Q33" s="57" t="s">
        <v>130</v>
      </c>
      <c r="R33" s="55" t="s">
        <v>130</v>
      </c>
      <c r="S33" s="55" t="s">
        <v>130</v>
      </c>
      <c r="T33" s="56">
        <v>0.28999999999999998</v>
      </c>
      <c r="U33" s="55">
        <v>4000</v>
      </c>
      <c r="V33" s="55">
        <v>1160</v>
      </c>
      <c r="W33" s="54"/>
      <c r="X33" s="54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</row>
    <row r="34" spans="1:41" ht="15" customHeight="1" x14ac:dyDescent="0.45">
      <c r="A34" s="53">
        <v>45962</v>
      </c>
      <c r="B34" s="54" t="s">
        <v>125</v>
      </c>
      <c r="C34" s="54" t="s">
        <v>126</v>
      </c>
      <c r="D34" s="54" t="s">
        <v>127</v>
      </c>
      <c r="E34" s="54" t="s">
        <v>29</v>
      </c>
      <c r="F34" s="55">
        <f t="shared" si="0"/>
        <v>5183.1139999999996</v>
      </c>
      <c r="G34" s="55">
        <v>2000</v>
      </c>
      <c r="H34" s="55">
        <f>R34</f>
        <v>3183.114</v>
      </c>
      <c r="I34" s="55">
        <v>300000</v>
      </c>
      <c r="J34" s="55">
        <v>157100</v>
      </c>
      <c r="K34" s="55">
        <v>55570</v>
      </c>
      <c r="L34" s="55">
        <v>101530</v>
      </c>
      <c r="M34" s="56">
        <v>0.53051899999999996</v>
      </c>
      <c r="N34" s="55">
        <v>57625.7</v>
      </c>
      <c r="O34" s="55">
        <v>0</v>
      </c>
      <c r="P34" s="55">
        <v>57625.7</v>
      </c>
      <c r="Q34" s="57">
        <v>0.02</v>
      </c>
      <c r="R34" s="55">
        <v>3183.114</v>
      </c>
      <c r="S34" s="55">
        <v>100</v>
      </c>
      <c r="T34" s="56">
        <v>1</v>
      </c>
      <c r="U34" s="55">
        <v>2000</v>
      </c>
      <c r="V34" s="55">
        <v>2000</v>
      </c>
      <c r="W34" s="54"/>
      <c r="X34" s="54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</row>
    <row r="35" spans="1:41" ht="15" customHeight="1" x14ac:dyDescent="0.45">
      <c r="A35" s="53">
        <v>45962</v>
      </c>
      <c r="B35" s="54" t="s">
        <v>128</v>
      </c>
      <c r="C35" s="54" t="s">
        <v>126</v>
      </c>
      <c r="D35" s="54" t="s">
        <v>127</v>
      </c>
      <c r="E35" s="54" t="s">
        <v>68</v>
      </c>
      <c r="F35" s="55">
        <f t="shared" si="0"/>
        <v>19665.195</v>
      </c>
      <c r="G35" s="55">
        <v>3000</v>
      </c>
      <c r="H35" s="55">
        <f>R35</f>
        <v>16665.195</v>
      </c>
      <c r="I35" s="55">
        <v>300000</v>
      </c>
      <c r="J35" s="55">
        <v>246900</v>
      </c>
      <c r="K35" s="55">
        <v>15517</v>
      </c>
      <c r="L35" s="55">
        <v>231383</v>
      </c>
      <c r="M35" s="56">
        <v>1.111013</v>
      </c>
      <c r="N35" s="55">
        <v>113751.9</v>
      </c>
      <c r="O35" s="55">
        <v>11831</v>
      </c>
      <c r="P35" s="55">
        <v>101920.9</v>
      </c>
      <c r="Q35" s="57">
        <v>0.05</v>
      </c>
      <c r="R35" s="55">
        <v>16665.195</v>
      </c>
      <c r="S35" s="55">
        <v>94</v>
      </c>
      <c r="T35" s="56">
        <v>1</v>
      </c>
      <c r="U35" s="55">
        <v>3000</v>
      </c>
      <c r="V35" s="55">
        <v>3000</v>
      </c>
      <c r="W35" s="54"/>
      <c r="X35" s="54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</row>
    <row r="36" spans="1:41" ht="15" customHeight="1" x14ac:dyDescent="0.45">
      <c r="A36" s="53">
        <v>45962</v>
      </c>
      <c r="B36" s="54" t="s">
        <v>132</v>
      </c>
      <c r="C36" s="54" t="s">
        <v>126</v>
      </c>
      <c r="D36" s="54" t="s">
        <v>127</v>
      </c>
      <c r="E36" s="54" t="s">
        <v>29</v>
      </c>
      <c r="F36" s="55">
        <f t="shared" si="0"/>
        <v>3332</v>
      </c>
      <c r="G36" s="55">
        <v>3332</v>
      </c>
      <c r="H36" s="55">
        <f>R36</f>
        <v>0</v>
      </c>
      <c r="I36" s="55">
        <v>50000</v>
      </c>
      <c r="J36" s="55">
        <v>0</v>
      </c>
      <c r="K36" s="55">
        <v>0</v>
      </c>
      <c r="L36" s="55">
        <v>0</v>
      </c>
      <c r="M36" s="56">
        <v>-0.36480000000000001</v>
      </c>
      <c r="N36" s="55">
        <v>0</v>
      </c>
      <c r="O36" s="55">
        <v>18240</v>
      </c>
      <c r="P36" s="55">
        <v>-18240</v>
      </c>
      <c r="Q36" s="57">
        <v>0</v>
      </c>
      <c r="R36" s="55">
        <v>0</v>
      </c>
      <c r="S36" s="55" t="s">
        <v>130</v>
      </c>
      <c r="T36" s="56">
        <v>0.83299999999999996</v>
      </c>
      <c r="U36" s="55">
        <v>4000</v>
      </c>
      <c r="V36" s="55">
        <v>3332</v>
      </c>
      <c r="W36" s="54"/>
      <c r="X36" s="54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</row>
    <row r="37" spans="1:41" ht="15" customHeight="1" x14ac:dyDescent="0.45">
      <c r="A37" s="53">
        <v>45962</v>
      </c>
      <c r="B37" s="54" t="s">
        <v>129</v>
      </c>
      <c r="C37" s="54" t="s">
        <v>126</v>
      </c>
      <c r="D37" s="54" t="s">
        <v>127</v>
      </c>
      <c r="E37" s="54" t="s">
        <v>29</v>
      </c>
      <c r="F37" s="55">
        <f t="shared" si="0"/>
        <v>4000</v>
      </c>
      <c r="G37" s="55">
        <v>4000</v>
      </c>
      <c r="H37" s="55">
        <v>0</v>
      </c>
      <c r="I37" s="55" t="s">
        <v>130</v>
      </c>
      <c r="J37" s="55" t="s">
        <v>130</v>
      </c>
      <c r="K37" s="55" t="s">
        <v>130</v>
      </c>
      <c r="L37" s="55" t="s">
        <v>130</v>
      </c>
      <c r="M37" s="56" t="s">
        <v>130</v>
      </c>
      <c r="N37" s="55" t="s">
        <v>130</v>
      </c>
      <c r="O37" s="55" t="s">
        <v>130</v>
      </c>
      <c r="P37" s="55" t="s">
        <v>130</v>
      </c>
      <c r="Q37" s="57" t="s">
        <v>130</v>
      </c>
      <c r="R37" s="55" t="s">
        <v>130</v>
      </c>
      <c r="S37" s="55" t="s">
        <v>130</v>
      </c>
      <c r="T37" s="56">
        <v>1</v>
      </c>
      <c r="U37" s="55">
        <v>4000</v>
      </c>
      <c r="V37" s="55">
        <v>4000</v>
      </c>
      <c r="W37" s="54"/>
      <c r="X37" s="54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</row>
    <row r="38" spans="1:41" x14ac:dyDescent="0.4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24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</row>
    <row r="39" spans="1:41" x14ac:dyDescent="0.4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24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</row>
    <row r="40" spans="1:41" x14ac:dyDescent="0.4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24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</row>
    <row r="41" spans="1:41" x14ac:dyDescent="0.4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24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</row>
    <row r="42" spans="1:41" x14ac:dyDescent="0.4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24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</row>
    <row r="43" spans="1:41" x14ac:dyDescent="0.4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24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</row>
    <row r="44" spans="1:41" x14ac:dyDescent="0.4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24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</row>
    <row r="45" spans="1:41" x14ac:dyDescent="0.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24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</row>
    <row r="46" spans="1:41" x14ac:dyDescent="0.4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24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</row>
    <row r="47" spans="1:41" x14ac:dyDescent="0.4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24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</row>
    <row r="48" spans="1:41" x14ac:dyDescent="0.4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24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</row>
    <row r="49" spans="1:41" x14ac:dyDescent="0.4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24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</row>
    <row r="50" spans="1:41" x14ac:dyDescent="0.4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24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</row>
    <row r="51" spans="1:41" x14ac:dyDescent="0.4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24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</row>
    <row r="52" spans="1:41" x14ac:dyDescent="0.4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24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</row>
    <row r="53" spans="1:41" x14ac:dyDescent="0.4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24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</row>
    <row r="54" spans="1:41" x14ac:dyDescent="0.4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24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</row>
    <row r="55" spans="1:41" x14ac:dyDescent="0.4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24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</row>
    <row r="56" spans="1:41" x14ac:dyDescent="0.4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24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</row>
    <row r="57" spans="1:41" x14ac:dyDescent="0.4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24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</row>
    <row r="58" spans="1:41" x14ac:dyDescent="0.4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24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</row>
    <row r="59" spans="1:41" x14ac:dyDescent="0.4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24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</row>
    <row r="60" spans="1:41" x14ac:dyDescent="0.4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24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</row>
    <row r="61" spans="1:41" x14ac:dyDescent="0.4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24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</row>
    <row r="62" spans="1:41" x14ac:dyDescent="0.4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24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</row>
    <row r="63" spans="1:41" x14ac:dyDescent="0.4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24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</row>
    <row r="64" spans="1:41" x14ac:dyDescent="0.4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24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</row>
    <row r="65" spans="1:41" x14ac:dyDescent="0.4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24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</row>
    <row r="66" spans="1:41" x14ac:dyDescent="0.4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24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</row>
    <row r="67" spans="1:41" x14ac:dyDescent="0.4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24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</row>
    <row r="68" spans="1:41" x14ac:dyDescent="0.4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24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</row>
    <row r="69" spans="1:41" x14ac:dyDescent="0.4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24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</row>
    <row r="70" spans="1:41" x14ac:dyDescent="0.4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24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</row>
    <row r="71" spans="1:41" x14ac:dyDescent="0.4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24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</row>
    <row r="72" spans="1:41" x14ac:dyDescent="0.4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24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</row>
    <row r="73" spans="1:41" x14ac:dyDescent="0.4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24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</row>
    <row r="74" spans="1:41" x14ac:dyDescent="0.4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24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</row>
    <row r="75" spans="1:41" x14ac:dyDescent="0.4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24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</row>
    <row r="76" spans="1:41" x14ac:dyDescent="0.4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24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</row>
    <row r="77" spans="1:41" x14ac:dyDescent="0.4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24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</row>
    <row r="78" spans="1:41" x14ac:dyDescent="0.4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24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</row>
    <row r="79" spans="1:41" x14ac:dyDescent="0.4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24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</row>
    <row r="80" spans="1:41" x14ac:dyDescent="0.4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24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</row>
    <row r="81" spans="1:41" x14ac:dyDescent="0.4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24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</row>
    <row r="82" spans="1:41" x14ac:dyDescent="0.4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24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</row>
    <row r="83" spans="1:41" x14ac:dyDescent="0.4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24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</row>
    <row r="84" spans="1:41" x14ac:dyDescent="0.4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24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</row>
    <row r="85" spans="1:41" x14ac:dyDescent="0.4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24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</row>
    <row r="86" spans="1:41" x14ac:dyDescent="0.4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24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</row>
    <row r="87" spans="1:41" x14ac:dyDescent="0.4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24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</row>
    <row r="88" spans="1:41" x14ac:dyDescent="0.4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24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</row>
    <row r="89" spans="1:41" x14ac:dyDescent="0.4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24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</row>
    <row r="90" spans="1:41" x14ac:dyDescent="0.4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24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</row>
    <row r="91" spans="1:41" x14ac:dyDescent="0.4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24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</row>
    <row r="92" spans="1:41" x14ac:dyDescent="0.4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24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</row>
    <row r="93" spans="1:41" x14ac:dyDescent="0.4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24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</row>
    <row r="94" spans="1:41" x14ac:dyDescent="0.4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24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</row>
    <row r="95" spans="1:41" x14ac:dyDescent="0.4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24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</row>
    <row r="96" spans="1:41" x14ac:dyDescent="0.4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24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</row>
    <row r="97" spans="1:41" x14ac:dyDescent="0.4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24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</row>
    <row r="98" spans="1:41" x14ac:dyDescent="0.4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24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</row>
    <row r="99" spans="1:41" x14ac:dyDescent="0.4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24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</row>
    <row r="100" spans="1:41" x14ac:dyDescent="0.4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24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</row>
    <row r="101" spans="1:41" x14ac:dyDescent="0.4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24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</row>
    <row r="102" spans="1:41" x14ac:dyDescent="0.4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24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</row>
    <row r="103" spans="1:41" x14ac:dyDescent="0.4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24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</row>
    <row r="104" spans="1:41" x14ac:dyDescent="0.4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24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</row>
    <row r="105" spans="1:41" x14ac:dyDescent="0.4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24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</row>
    <row r="106" spans="1:41" x14ac:dyDescent="0.4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24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</row>
    <row r="107" spans="1:41" x14ac:dyDescent="0.4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24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</row>
    <row r="108" spans="1:41" x14ac:dyDescent="0.4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24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</row>
    <row r="109" spans="1:41" x14ac:dyDescent="0.4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24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</row>
    <row r="110" spans="1:41" x14ac:dyDescent="0.4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24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</row>
    <row r="111" spans="1:41" x14ac:dyDescent="0.4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24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</row>
    <row r="112" spans="1:41" x14ac:dyDescent="0.4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24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</row>
    <row r="113" spans="1:41" x14ac:dyDescent="0.4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24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</row>
    <row r="114" spans="1:41" x14ac:dyDescent="0.4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24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</row>
    <row r="115" spans="1:41" x14ac:dyDescent="0.4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24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</row>
    <row r="116" spans="1:41" x14ac:dyDescent="0.4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24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</row>
    <row r="117" spans="1:41" x14ac:dyDescent="0.4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24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</row>
    <row r="118" spans="1:41" x14ac:dyDescent="0.4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24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</row>
    <row r="119" spans="1:41" x14ac:dyDescent="0.4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24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</row>
    <row r="120" spans="1:41" x14ac:dyDescent="0.4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24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</row>
    <row r="121" spans="1:41" x14ac:dyDescent="0.4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24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</row>
    <row r="122" spans="1:41" x14ac:dyDescent="0.4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24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</row>
    <row r="123" spans="1:41" x14ac:dyDescent="0.4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24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</row>
    <row r="124" spans="1:41" x14ac:dyDescent="0.4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24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</row>
    <row r="125" spans="1:41" x14ac:dyDescent="0.4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24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</row>
    <row r="126" spans="1:41" x14ac:dyDescent="0.4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24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</row>
    <row r="127" spans="1:41" x14ac:dyDescent="0.4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24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</row>
    <row r="128" spans="1:41" x14ac:dyDescent="0.4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24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</row>
    <row r="129" spans="1:41" x14ac:dyDescent="0.4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24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</row>
    <row r="130" spans="1:41" x14ac:dyDescent="0.4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24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</row>
    <row r="131" spans="1:41" x14ac:dyDescent="0.4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24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</row>
    <row r="132" spans="1:41" x14ac:dyDescent="0.4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24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</row>
    <row r="133" spans="1:41" x14ac:dyDescent="0.4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24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</row>
    <row r="134" spans="1:41" x14ac:dyDescent="0.4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24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</row>
    <row r="135" spans="1:41" x14ac:dyDescent="0.4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24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</row>
    <row r="136" spans="1:41" x14ac:dyDescent="0.4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24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</row>
    <row r="137" spans="1:41" x14ac:dyDescent="0.4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24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</row>
    <row r="138" spans="1:41" x14ac:dyDescent="0.4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24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</row>
    <row r="139" spans="1:41" x14ac:dyDescent="0.4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24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</row>
    <row r="140" spans="1:41" x14ac:dyDescent="0.4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24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</row>
    <row r="141" spans="1:41" x14ac:dyDescent="0.4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24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</row>
    <row r="142" spans="1:41" x14ac:dyDescent="0.4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24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</row>
    <row r="143" spans="1:41" x14ac:dyDescent="0.4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24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</row>
    <row r="144" spans="1:41" x14ac:dyDescent="0.4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24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</row>
    <row r="145" spans="1:41" x14ac:dyDescent="0.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24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</row>
    <row r="146" spans="1:41" x14ac:dyDescent="0.4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24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</row>
    <row r="147" spans="1:41" x14ac:dyDescent="0.4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24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</row>
    <row r="148" spans="1:41" x14ac:dyDescent="0.4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24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</row>
    <row r="149" spans="1:41" x14ac:dyDescent="0.4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24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</row>
    <row r="150" spans="1:41" x14ac:dyDescent="0.4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24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</row>
  </sheetData>
  <mergeCells count="10">
    <mergeCell ref="A1:A2"/>
    <mergeCell ref="S1:X1"/>
    <mergeCell ref="D1:D2"/>
    <mergeCell ref="B1:B2"/>
    <mergeCell ref="G1:G2"/>
    <mergeCell ref="F1:F2"/>
    <mergeCell ref="E1:E2"/>
    <mergeCell ref="H1:H2"/>
    <mergeCell ref="C1:C2"/>
    <mergeCell ref="I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150"/>
  <sheetViews>
    <sheetView zoomScale="68" zoomScaleNormal="70" workbookViewId="0">
      <pane xSplit="5" ySplit="2" topLeftCell="F3" activePane="bottomRight" state="frozen"/>
      <selection pane="topRight"/>
      <selection pane="bottomLeft"/>
      <selection pane="bottomRight" activeCell="X7" sqref="X7"/>
    </sheetView>
  </sheetViews>
  <sheetFormatPr defaultRowHeight="14.25" x14ac:dyDescent="0.45"/>
  <cols>
    <col min="1" max="1" width="14.33203125" customWidth="1"/>
    <col min="2" max="2" width="12" customWidth="1"/>
    <col min="3" max="3" width="10" customWidth="1"/>
    <col min="4" max="4" width="16" customWidth="1"/>
    <col min="5" max="5" width="13.3984375" customWidth="1"/>
    <col min="6" max="9" width="12" customWidth="1"/>
    <col min="10" max="10" width="13" customWidth="1"/>
    <col min="11" max="11" width="12" customWidth="1"/>
    <col min="12" max="12" width="14" customWidth="1"/>
    <col min="13" max="13" width="15.265625" customWidth="1"/>
    <col min="14" max="14" width="14" customWidth="1"/>
    <col min="15" max="15" width="13" customWidth="1"/>
    <col min="16" max="16" width="15.265625" customWidth="1"/>
    <col min="17" max="17" width="13" customWidth="1"/>
    <col min="18" max="18" width="12" customWidth="1"/>
    <col min="19" max="19" width="14" customWidth="1"/>
    <col min="20" max="20" width="15.265625" customWidth="1"/>
    <col min="21" max="21" width="13" customWidth="1"/>
    <col min="22" max="22" width="15.265625" customWidth="1"/>
    <col min="23" max="23" width="11" customWidth="1"/>
    <col min="24" max="24" width="13" customWidth="1"/>
    <col min="25" max="25" width="12" customWidth="1"/>
    <col min="26" max="27" width="10" customWidth="1"/>
    <col min="28" max="29" width="12" customWidth="1"/>
  </cols>
  <sheetData>
    <row r="1" spans="1:41" ht="27" customHeight="1" x14ac:dyDescent="0.45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6" t="s">
        <v>5</v>
      </c>
      <c r="G1" s="66" t="s">
        <v>133</v>
      </c>
      <c r="H1" s="66" t="s">
        <v>134</v>
      </c>
      <c r="I1" s="66" t="s">
        <v>40</v>
      </c>
      <c r="J1" s="59" t="s">
        <v>133</v>
      </c>
      <c r="K1" s="60"/>
      <c r="L1" s="60"/>
      <c r="M1" s="60"/>
      <c r="N1" s="60"/>
      <c r="O1" s="60"/>
      <c r="P1" s="61"/>
      <c r="Q1" s="69" t="s">
        <v>134</v>
      </c>
      <c r="R1" s="60"/>
      <c r="S1" s="60"/>
      <c r="T1" s="60"/>
      <c r="U1" s="60"/>
      <c r="V1" s="61"/>
      <c r="W1" s="68" t="s">
        <v>40</v>
      </c>
      <c r="X1" s="61"/>
      <c r="Y1" s="28"/>
      <c r="Z1" s="29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</row>
    <row r="2" spans="1:41" ht="25.05" customHeight="1" x14ac:dyDescent="0.45">
      <c r="A2" s="65"/>
      <c r="B2" s="65"/>
      <c r="C2" s="65"/>
      <c r="D2" s="65"/>
      <c r="E2" s="65"/>
      <c r="F2" s="65"/>
      <c r="G2" s="65"/>
      <c r="H2" s="65"/>
      <c r="I2" s="65"/>
      <c r="J2" s="26" t="s">
        <v>135</v>
      </c>
      <c r="K2" s="26" t="s">
        <v>136</v>
      </c>
      <c r="L2" s="26" t="s">
        <v>137</v>
      </c>
      <c r="M2" s="26" t="s">
        <v>138</v>
      </c>
      <c r="N2" s="26" t="s">
        <v>139</v>
      </c>
      <c r="O2" s="26" t="s">
        <v>17</v>
      </c>
      <c r="P2" s="26" t="s">
        <v>133</v>
      </c>
      <c r="Q2" s="34" t="s">
        <v>140</v>
      </c>
      <c r="R2" s="34" t="s">
        <v>141</v>
      </c>
      <c r="S2" s="34" t="s">
        <v>137</v>
      </c>
      <c r="T2" s="34" t="s">
        <v>142</v>
      </c>
      <c r="U2" s="34" t="s">
        <v>17</v>
      </c>
      <c r="V2" s="34" t="s">
        <v>134</v>
      </c>
      <c r="W2" s="27" t="s">
        <v>143</v>
      </c>
      <c r="X2" s="27" t="s">
        <v>40</v>
      </c>
      <c r="Y2" s="29"/>
      <c r="Z2" s="29"/>
      <c r="AA2" s="29"/>
      <c r="AB2" s="29"/>
      <c r="AC2" s="29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41" ht="38.35" customHeight="1" x14ac:dyDescent="0.45">
      <c r="A3" s="30"/>
      <c r="B3" s="31"/>
      <c r="C3" s="31"/>
      <c r="D3" s="31"/>
      <c r="E3" s="31"/>
      <c r="F3" s="32"/>
      <c r="G3" s="32"/>
      <c r="H3" s="32"/>
      <c r="I3" s="32"/>
      <c r="J3" s="32"/>
      <c r="K3" s="32"/>
      <c r="L3" s="32"/>
      <c r="M3" s="33"/>
      <c r="N3" s="32"/>
      <c r="O3" s="32"/>
      <c r="P3" s="33"/>
      <c r="Q3" s="32"/>
      <c r="R3" s="32"/>
      <c r="S3" s="32"/>
      <c r="T3" s="33"/>
      <c r="U3" s="32"/>
      <c r="V3" s="33"/>
      <c r="W3" s="32"/>
      <c r="X3" s="32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</row>
    <row r="4" spans="1:41" ht="38.35" customHeight="1" x14ac:dyDescent="0.45">
      <c r="A4" s="30"/>
      <c r="B4" s="31"/>
      <c r="C4" s="31"/>
      <c r="D4" s="31"/>
      <c r="E4" s="31"/>
      <c r="F4" s="32"/>
      <c r="G4" s="32"/>
      <c r="H4" s="32"/>
      <c r="I4" s="32"/>
      <c r="J4" s="32"/>
      <c r="K4" s="32"/>
      <c r="L4" s="32"/>
      <c r="M4" s="33"/>
      <c r="N4" s="32"/>
      <c r="O4" s="32"/>
      <c r="P4" s="33"/>
      <c r="Q4" s="32"/>
      <c r="R4" s="32"/>
      <c r="S4" s="32"/>
      <c r="T4" s="33"/>
      <c r="U4" s="32"/>
      <c r="V4" s="33"/>
      <c r="W4" s="32"/>
      <c r="X4" s="32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</row>
    <row r="5" spans="1:41" ht="38.35" customHeight="1" x14ac:dyDescent="0.45">
      <c r="A5" s="30"/>
      <c r="B5" s="31"/>
      <c r="C5" s="31"/>
      <c r="D5" s="31"/>
      <c r="E5" s="31"/>
      <c r="F5" s="32"/>
      <c r="G5" s="32"/>
      <c r="H5" s="32"/>
      <c r="I5" s="32"/>
      <c r="J5" s="32"/>
      <c r="K5" s="32"/>
      <c r="L5" s="32"/>
      <c r="M5" s="33"/>
      <c r="N5" s="32"/>
      <c r="O5" s="32"/>
      <c r="P5" s="33"/>
      <c r="Q5" s="32"/>
      <c r="R5" s="32"/>
      <c r="S5" s="32"/>
      <c r="T5" s="33"/>
      <c r="U5" s="32"/>
      <c r="V5" s="33"/>
      <c r="W5" s="32"/>
      <c r="X5" s="32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</row>
    <row r="6" spans="1:41" ht="38.35" customHeight="1" x14ac:dyDescent="0.45">
      <c r="A6" s="30"/>
      <c r="B6" s="31"/>
      <c r="C6" s="31"/>
      <c r="D6" s="31"/>
      <c r="E6" s="31"/>
      <c r="F6" s="32"/>
      <c r="G6" s="32"/>
      <c r="H6" s="32"/>
      <c r="I6" s="32"/>
      <c r="J6" s="32"/>
      <c r="K6" s="32"/>
      <c r="L6" s="32"/>
      <c r="M6" s="33"/>
      <c r="N6" s="32"/>
      <c r="O6" s="32"/>
      <c r="P6" s="33"/>
      <c r="Q6" s="32"/>
      <c r="R6" s="32"/>
      <c r="S6" s="32"/>
      <c r="T6" s="33"/>
      <c r="U6" s="32"/>
      <c r="V6" s="33"/>
      <c r="W6" s="32"/>
      <c r="X6" s="32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</row>
    <row r="7" spans="1:41" x14ac:dyDescent="0.45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</row>
    <row r="8" spans="1:41" x14ac:dyDescent="0.4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</row>
    <row r="9" spans="1:41" x14ac:dyDescent="0.4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</row>
    <row r="10" spans="1:41" x14ac:dyDescent="0.4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</row>
    <row r="11" spans="1:41" x14ac:dyDescent="0.4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</row>
    <row r="12" spans="1:41" x14ac:dyDescent="0.4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</row>
    <row r="13" spans="1:41" x14ac:dyDescent="0.4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</row>
    <row r="14" spans="1:41" x14ac:dyDescent="0.4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</row>
    <row r="15" spans="1:41" x14ac:dyDescent="0.4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</row>
    <row r="16" spans="1:41" x14ac:dyDescent="0.4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</row>
    <row r="17" spans="1:41" x14ac:dyDescent="0.4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</row>
    <row r="18" spans="1:41" x14ac:dyDescent="0.4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</row>
    <row r="19" spans="1:41" x14ac:dyDescent="0.4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</row>
    <row r="20" spans="1:41" x14ac:dyDescent="0.4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</row>
    <row r="21" spans="1:41" x14ac:dyDescent="0.4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</row>
    <row r="22" spans="1:41" x14ac:dyDescent="0.4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</row>
    <row r="23" spans="1:41" x14ac:dyDescent="0.4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</row>
    <row r="24" spans="1:41" x14ac:dyDescent="0.4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</row>
    <row r="25" spans="1:4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</row>
    <row r="26" spans="1:4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</row>
    <row r="27" spans="1:4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</row>
    <row r="28" spans="1:41" x14ac:dyDescent="0.4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</row>
    <row r="29" spans="1:41" x14ac:dyDescent="0.4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</row>
    <row r="30" spans="1:41" x14ac:dyDescent="0.4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</row>
    <row r="31" spans="1:41" x14ac:dyDescent="0.4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</row>
    <row r="32" spans="1:41" x14ac:dyDescent="0.4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</row>
    <row r="33" spans="1:41" x14ac:dyDescent="0.4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</row>
    <row r="34" spans="1:41" x14ac:dyDescent="0.4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</row>
    <row r="35" spans="1:41" x14ac:dyDescent="0.4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</row>
    <row r="36" spans="1:41" x14ac:dyDescent="0.4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</row>
    <row r="37" spans="1:41" x14ac:dyDescent="0.4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</row>
    <row r="38" spans="1:41" x14ac:dyDescent="0.4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</row>
    <row r="39" spans="1:41" x14ac:dyDescent="0.4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</row>
    <row r="40" spans="1:41" x14ac:dyDescent="0.4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</row>
    <row r="41" spans="1:41" x14ac:dyDescent="0.4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</row>
    <row r="42" spans="1:41" x14ac:dyDescent="0.4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</row>
    <row r="43" spans="1:41" x14ac:dyDescent="0.4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</row>
    <row r="44" spans="1:41" x14ac:dyDescent="0.4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</row>
    <row r="45" spans="1:41" x14ac:dyDescent="0.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</row>
    <row r="46" spans="1:41" x14ac:dyDescent="0.4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</row>
    <row r="47" spans="1:41" x14ac:dyDescent="0.4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</row>
    <row r="48" spans="1:41" x14ac:dyDescent="0.4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</row>
    <row r="49" spans="1:41" x14ac:dyDescent="0.4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</row>
    <row r="50" spans="1:41" x14ac:dyDescent="0.4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</row>
    <row r="51" spans="1:41" x14ac:dyDescent="0.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</row>
    <row r="52" spans="1:41" x14ac:dyDescent="0.4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</row>
    <row r="53" spans="1:41" x14ac:dyDescent="0.4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</row>
    <row r="54" spans="1:41" x14ac:dyDescent="0.4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</row>
    <row r="55" spans="1:41" x14ac:dyDescent="0.4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</row>
    <row r="56" spans="1:41" x14ac:dyDescent="0.4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</row>
    <row r="57" spans="1:41" x14ac:dyDescent="0.4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</row>
    <row r="58" spans="1:41" x14ac:dyDescent="0.4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</row>
    <row r="59" spans="1:41" x14ac:dyDescent="0.4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</row>
    <row r="60" spans="1:41" x14ac:dyDescent="0.4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</row>
    <row r="61" spans="1:41" x14ac:dyDescent="0.4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</row>
    <row r="62" spans="1:41" x14ac:dyDescent="0.4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</row>
    <row r="63" spans="1:41" x14ac:dyDescent="0.4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</row>
    <row r="64" spans="1:41" x14ac:dyDescent="0.4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</row>
    <row r="65" spans="1:41" x14ac:dyDescent="0.4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</row>
    <row r="66" spans="1:41" x14ac:dyDescent="0.4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</row>
    <row r="67" spans="1:41" x14ac:dyDescent="0.4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</row>
    <row r="68" spans="1:41" x14ac:dyDescent="0.4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</row>
    <row r="69" spans="1:41" x14ac:dyDescent="0.4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</row>
    <row r="70" spans="1:41" x14ac:dyDescent="0.4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</row>
    <row r="71" spans="1:41" x14ac:dyDescent="0.4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</row>
    <row r="72" spans="1:41" x14ac:dyDescent="0.4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</row>
    <row r="73" spans="1:41" x14ac:dyDescent="0.4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</row>
    <row r="74" spans="1:41" x14ac:dyDescent="0.4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</row>
    <row r="75" spans="1:41" x14ac:dyDescent="0.4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</row>
    <row r="76" spans="1:41" x14ac:dyDescent="0.4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</row>
    <row r="77" spans="1:41" x14ac:dyDescent="0.4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</row>
    <row r="78" spans="1:41" x14ac:dyDescent="0.4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</row>
    <row r="79" spans="1:41" x14ac:dyDescent="0.4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</row>
    <row r="80" spans="1:41" x14ac:dyDescent="0.4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</row>
    <row r="81" spans="1:41" x14ac:dyDescent="0.4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</row>
    <row r="82" spans="1:41" x14ac:dyDescent="0.4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</row>
    <row r="83" spans="1:41" x14ac:dyDescent="0.4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</row>
    <row r="84" spans="1:41" x14ac:dyDescent="0.4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</row>
    <row r="85" spans="1:41" x14ac:dyDescent="0.4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</row>
    <row r="86" spans="1:41" x14ac:dyDescent="0.4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</row>
    <row r="87" spans="1:41" x14ac:dyDescent="0.4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</row>
    <row r="88" spans="1:41" x14ac:dyDescent="0.4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</row>
    <row r="89" spans="1:41" x14ac:dyDescent="0.4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</row>
    <row r="90" spans="1:41" x14ac:dyDescent="0.4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</row>
    <row r="91" spans="1:41" x14ac:dyDescent="0.4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</row>
    <row r="92" spans="1:41" x14ac:dyDescent="0.4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</row>
    <row r="93" spans="1:41" x14ac:dyDescent="0.4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</row>
    <row r="94" spans="1:41" x14ac:dyDescent="0.4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</row>
    <row r="95" spans="1:41" x14ac:dyDescent="0.4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</row>
    <row r="96" spans="1:41" x14ac:dyDescent="0.4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</row>
    <row r="97" spans="1:41" x14ac:dyDescent="0.4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</row>
    <row r="98" spans="1:41" x14ac:dyDescent="0.4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</row>
    <row r="99" spans="1:41" x14ac:dyDescent="0.4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</row>
    <row r="100" spans="1:41" x14ac:dyDescent="0.4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</row>
    <row r="101" spans="1:41" x14ac:dyDescent="0.4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</row>
    <row r="102" spans="1:41" x14ac:dyDescent="0.4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</row>
    <row r="103" spans="1:41" x14ac:dyDescent="0.4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</row>
    <row r="104" spans="1:41" x14ac:dyDescent="0.4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</row>
    <row r="105" spans="1:41" x14ac:dyDescent="0.4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</row>
    <row r="106" spans="1:41" x14ac:dyDescent="0.4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</row>
    <row r="107" spans="1:41" x14ac:dyDescent="0.4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</row>
    <row r="108" spans="1:41" x14ac:dyDescent="0.4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</row>
    <row r="109" spans="1:41" x14ac:dyDescent="0.4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</row>
    <row r="110" spans="1:41" x14ac:dyDescent="0.4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</row>
    <row r="111" spans="1:41" x14ac:dyDescent="0.4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</row>
    <row r="112" spans="1:41" x14ac:dyDescent="0.4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</row>
    <row r="113" spans="1:41" x14ac:dyDescent="0.4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</row>
    <row r="114" spans="1:41" x14ac:dyDescent="0.4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</row>
    <row r="115" spans="1:41" x14ac:dyDescent="0.4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</row>
    <row r="116" spans="1:41" x14ac:dyDescent="0.4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</row>
    <row r="117" spans="1:41" x14ac:dyDescent="0.4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</row>
    <row r="118" spans="1:41" x14ac:dyDescent="0.4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</row>
    <row r="119" spans="1:41" x14ac:dyDescent="0.4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</row>
    <row r="120" spans="1:41" x14ac:dyDescent="0.4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</row>
    <row r="121" spans="1:41" x14ac:dyDescent="0.4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</row>
    <row r="122" spans="1:41" x14ac:dyDescent="0.4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</row>
    <row r="123" spans="1:41" x14ac:dyDescent="0.4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</row>
    <row r="124" spans="1:41" x14ac:dyDescent="0.4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</row>
    <row r="125" spans="1:41" x14ac:dyDescent="0.4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</row>
    <row r="126" spans="1:41" x14ac:dyDescent="0.4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</row>
    <row r="127" spans="1:41" x14ac:dyDescent="0.4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</row>
    <row r="128" spans="1:41" x14ac:dyDescent="0.4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</row>
    <row r="129" spans="1:41" x14ac:dyDescent="0.4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</row>
    <row r="130" spans="1:41" x14ac:dyDescent="0.4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</row>
    <row r="131" spans="1:41" x14ac:dyDescent="0.4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</row>
    <row r="132" spans="1:41" x14ac:dyDescent="0.4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</row>
    <row r="133" spans="1:41" x14ac:dyDescent="0.4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</row>
    <row r="134" spans="1:41" x14ac:dyDescent="0.4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</row>
    <row r="135" spans="1:41" x14ac:dyDescent="0.4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</row>
    <row r="136" spans="1:41" x14ac:dyDescent="0.4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</row>
    <row r="137" spans="1:41" x14ac:dyDescent="0.4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</row>
    <row r="138" spans="1:41" x14ac:dyDescent="0.4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</row>
    <row r="139" spans="1:41" x14ac:dyDescent="0.4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</row>
    <row r="140" spans="1:41" x14ac:dyDescent="0.4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</row>
    <row r="141" spans="1:41" x14ac:dyDescent="0.4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</row>
    <row r="142" spans="1:41" x14ac:dyDescent="0.4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</row>
    <row r="143" spans="1:41" x14ac:dyDescent="0.4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</row>
    <row r="144" spans="1:41" x14ac:dyDescent="0.4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</row>
    <row r="145" spans="1:41" x14ac:dyDescent="0.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</row>
    <row r="146" spans="1:41" x14ac:dyDescent="0.4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</row>
    <row r="147" spans="1:41" x14ac:dyDescent="0.4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</row>
    <row r="148" spans="1:41" x14ac:dyDescent="0.4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</row>
    <row r="149" spans="1:41" x14ac:dyDescent="0.4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</row>
    <row r="150" spans="1:41" x14ac:dyDescent="0.4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</row>
  </sheetData>
  <mergeCells count="12">
    <mergeCell ref="A1:A2"/>
    <mergeCell ref="J1:P1"/>
    <mergeCell ref="W1:X1"/>
    <mergeCell ref="D1:D2"/>
    <mergeCell ref="B1:B2"/>
    <mergeCell ref="G1:G2"/>
    <mergeCell ref="F1:F2"/>
    <mergeCell ref="E1:E2"/>
    <mergeCell ref="I1:I2"/>
    <mergeCell ref="C1:C2"/>
    <mergeCell ref="H1:H2"/>
    <mergeCell ref="Q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集训营</vt:lpstr>
      <vt:lpstr>走读</vt:lpstr>
      <vt:lpstr>四六级</vt:lpstr>
      <vt:lpstr>个性化</vt:lpstr>
      <vt:lpstr>在职研</vt:lpstr>
      <vt:lpstr>英学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依琳 李</cp:lastModifiedBy>
  <dcterms:created xsi:type="dcterms:W3CDTF">2026-06-29T11:20:10Z</dcterms:created>
  <dcterms:modified xsi:type="dcterms:W3CDTF">2026-07-02T06:06:18Z</dcterms:modified>
</cp:coreProperties>
</file>