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xdf\FY26\202511\OK=个性化\顾问\"/>
    </mc:Choice>
  </mc:AlternateContent>
  <xr:revisionPtr revIDLastSave="0" documentId="13_ncr:1_{F561170F-850D-456A-8B22-69BA910C1848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汇总" sheetId="2" r:id="rId1"/>
    <sheet name="核算模版" sheetId="1" r:id="rId2"/>
    <sheet name="签约明细" sheetId="4" r:id="rId3"/>
    <sheet name="退费明细" sheetId="3" r:id="rId4"/>
    <sheet name="11月绩效核算" sheetId="6" r:id="rId5"/>
    <sheet name="12月绩效目标" sheetId="7" r:id="rId6"/>
  </sheets>
  <definedNames>
    <definedName name="_xlnm._FilterDatabase" localSheetId="2" hidden="1">签约明细!$A$9:$BO$141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X6" i="6"/>
  <c r="J6" i="6"/>
  <c r="G6" i="6"/>
  <c r="X5" i="6"/>
  <c r="J5" i="6"/>
  <c r="G5" i="6"/>
  <c r="J4" i="6"/>
  <c r="G4" i="6"/>
  <c r="AD53" i="3"/>
  <c r="W6" i="1" s="1"/>
  <c r="AD41" i="3"/>
  <c r="AD40" i="3"/>
  <c r="AD49" i="3" s="1"/>
  <c r="S4" i="1" s="1"/>
  <c r="AD39" i="3"/>
  <c r="AD12" i="3"/>
  <c r="AD11" i="3"/>
  <c r="AD10" i="3"/>
  <c r="AD6" i="3"/>
  <c r="AD4" i="3"/>
  <c r="S6" i="1" s="1"/>
  <c r="AA8" i="1"/>
  <c r="X8" i="1"/>
  <c r="Y8" i="1" s="1"/>
  <c r="Z8" i="1" s="1"/>
  <c r="AC8" i="1" s="1"/>
  <c r="AD8" i="1" s="1"/>
  <c r="T8" i="1"/>
  <c r="O8" i="1"/>
  <c r="N8" i="1"/>
  <c r="L8" i="1"/>
  <c r="J8" i="1"/>
  <c r="F8" i="1"/>
  <c r="G8" i="1" s="1"/>
  <c r="AA7" i="1"/>
  <c r="X7" i="1"/>
  <c r="Y7" i="1" s="1"/>
  <c r="T7" i="1"/>
  <c r="O7" i="1"/>
  <c r="N7" i="1"/>
  <c r="L7" i="1"/>
  <c r="J7" i="1"/>
  <c r="F7" i="1"/>
  <c r="G7" i="1" s="1"/>
  <c r="N6" i="1"/>
  <c r="L6" i="1"/>
  <c r="I6" i="1"/>
  <c r="J6" i="1" s="1"/>
  <c r="F6" i="1"/>
  <c r="AE6" i="1" s="1"/>
  <c r="AF6" i="1" s="1"/>
  <c r="N5" i="1"/>
  <c r="L5" i="1"/>
  <c r="I5" i="1"/>
  <c r="J5" i="1" s="1"/>
  <c r="F5" i="1"/>
  <c r="AE5" i="1" s="1"/>
  <c r="AF5" i="1" s="1"/>
  <c r="N4" i="1"/>
  <c r="L4" i="1"/>
  <c r="I4" i="1"/>
  <c r="J4" i="1" s="1"/>
  <c r="F4" i="1"/>
  <c r="G4" i="1" s="1"/>
  <c r="AE7" i="1" l="1"/>
  <c r="AF7" i="1" s="1"/>
  <c r="AE8" i="1"/>
  <c r="AF8" i="1" s="1"/>
  <c r="M4" i="1"/>
  <c r="AD16" i="3"/>
  <c r="S5" i="1" s="1"/>
  <c r="T5" i="1" s="1"/>
  <c r="AE4" i="1"/>
  <c r="AF4" i="1" s="1"/>
  <c r="AA5" i="1"/>
  <c r="X5" i="1"/>
  <c r="T6" i="1"/>
  <c r="AA6" i="1"/>
  <c r="X4" i="1"/>
  <c r="T4" i="1"/>
  <c r="AA4" i="1"/>
  <c r="X6" i="1"/>
  <c r="P4" i="1"/>
  <c r="G2" i="2" s="1"/>
  <c r="O4" i="1"/>
  <c r="AG8" i="1"/>
  <c r="M8" i="1"/>
  <c r="P8" i="1" s="1"/>
  <c r="AH8" i="1" s="1"/>
  <c r="M7" i="1"/>
  <c r="P7" i="1" s="1"/>
  <c r="Z7" i="1"/>
  <c r="AC7" i="1" s="1"/>
  <c r="AD7" i="1" s="1"/>
  <c r="G6" i="1"/>
  <c r="M6" i="1" s="1"/>
  <c r="G5" i="1"/>
  <c r="M5" i="1" s="1"/>
  <c r="Y5" i="1" l="1"/>
  <c r="P6" i="1"/>
  <c r="G4" i="2" s="1"/>
  <c r="O6" i="1"/>
  <c r="AH7" i="1"/>
  <c r="AG7" i="1"/>
  <c r="P5" i="1"/>
  <c r="O5" i="1"/>
  <c r="Y6" i="1"/>
  <c r="Y4" i="1"/>
  <c r="Z5" i="1"/>
  <c r="AC5" i="1" s="1"/>
  <c r="AD5" i="1" s="1"/>
  <c r="AH5" i="1" l="1"/>
  <c r="G6" i="2" s="1"/>
  <c r="AG5" i="1"/>
  <c r="AC4" i="1"/>
  <c r="AD4" i="1" s="1"/>
  <c r="Z6" i="1"/>
  <c r="AC6" i="1" s="1"/>
  <c r="AD6" i="1" s="1"/>
  <c r="G7" i="2" l="1"/>
  <c r="AG6" i="1"/>
  <c r="AH6" i="1"/>
  <c r="AH4" i="1"/>
  <c r="AG4" i="1"/>
  <c r="G5" i="2" s="1"/>
</calcChain>
</file>

<file path=xl/sharedStrings.xml><?xml version="1.0" encoding="utf-8"?>
<sst xmlns="http://schemas.openxmlformats.org/spreadsheetml/2006/main" count="7567" uniqueCount="2054">
  <si>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</si>
  <si>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</si>
  <si>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</si>
  <si>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</si>
  <si>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</si>
  <si>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</si>
  <si>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</si>
  <si>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</si>
  <si>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</si>
  <si>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赵星火</t>
  </si>
  <si>
    <t>考研个性化</t>
  </si>
  <si>
    <t>学习顾问</t>
  </si>
  <si>
    <t>月度绩效</t>
  </si>
  <si>
    <t>兵种</t>
  </si>
  <si>
    <t>薪资名称</t>
  </si>
  <si>
    <t>标化薪资项目请选择</t>
  </si>
  <si>
    <t>谭悦</t>
  </si>
  <si>
    <t>其他业绩奖金</t>
  </si>
  <si>
    <t>菁英计划签约奖金1000，学员陈政元</t>
  </si>
  <si>
    <t>顾问</t>
  </si>
  <si>
    <t>月绩效</t>
  </si>
  <si>
    <t>李涛</t>
  </si>
  <si>
    <t>业绩提点</t>
  </si>
  <si>
    <t>提成奖金</t>
  </si>
  <si>
    <t>转介绍额外激励</t>
  </si>
  <si>
    <t>PK赛激励</t>
  </si>
  <si>
    <t>特殊项</t>
  </si>
  <si>
    <t>业绩回算正数</t>
  </si>
  <si>
    <t>往月薪资补发</t>
  </si>
  <si>
    <t>业绩回算负值</t>
  </si>
  <si>
    <t>业绩扣款</t>
  </si>
  <si>
    <t>手动填写灰色、蓝色单元格，其他含公式，勿动</t>
  </si>
  <si>
    <t>个性化顾问</t>
  </si>
  <si>
    <t>转介绍业绩-30%</t>
  </si>
  <si>
    <t>签约率-40%</t>
  </si>
  <si>
    <t>日常管理-30%</t>
  </si>
  <si>
    <t>基本提成</t>
  </si>
  <si>
    <t>转介绍提成</t>
  </si>
  <si>
    <t>提成奖金合计</t>
  </si>
  <si>
    <t>合计</t>
  </si>
  <si>
    <t>月份</t>
  </si>
  <si>
    <t>职级（下滑选择）</t>
  </si>
  <si>
    <t>转介绍目标</t>
  </si>
  <si>
    <t>转介绍业绩（净）</t>
  </si>
  <si>
    <t>完成率</t>
  </si>
  <si>
    <t>得分</t>
  </si>
  <si>
    <t>目标</t>
  </si>
  <si>
    <t>签约率</t>
  </si>
  <si>
    <t>日常管理扣分次数</t>
  </si>
  <si>
    <t>总得分</t>
  </si>
  <si>
    <t>绩效基数</t>
  </si>
  <si>
    <t>发放比例</t>
  </si>
  <si>
    <t>发放金额</t>
  </si>
  <si>
    <t>地面现金目标</t>
  </si>
  <si>
    <t>地面现金签约</t>
  </si>
  <si>
    <t>地面退费</t>
  </si>
  <si>
    <t>地面净现金</t>
  </si>
  <si>
    <t>在线现金目标</t>
  </si>
  <si>
    <t>在线现金签约</t>
  </si>
  <si>
    <t>在线退费</t>
  </si>
  <si>
    <t>在线净现金</t>
  </si>
  <si>
    <r>
      <rPr>
        <b/>
        <sz val="12"/>
        <color theme="1"/>
        <rFont val="微软雅黑"/>
        <family val="2"/>
        <charset val="134"/>
      </rPr>
      <t>总现金完成-</t>
    </r>
    <r>
      <rPr>
        <b/>
        <sz val="12"/>
        <color rgb="FFFF0000"/>
        <rFont val="微软雅黑"/>
        <family val="2"/>
        <charset val="134"/>
      </rPr>
      <t>退费后</t>
    </r>
  </si>
  <si>
    <r>
      <rPr>
        <b/>
        <sz val="12"/>
        <color theme="1"/>
        <rFont val="微软雅黑"/>
        <family val="2"/>
        <charset val="134"/>
      </rPr>
      <t>现金完成率-</t>
    </r>
    <r>
      <rPr>
        <b/>
        <sz val="12"/>
        <color rgb="FFFF0000"/>
        <rFont val="微软雅黑"/>
        <family val="2"/>
        <charset val="134"/>
      </rPr>
      <t>退费后</t>
    </r>
  </si>
  <si>
    <t>现金完成率-退费前</t>
  </si>
  <si>
    <t>上月退费后业绩完成率</t>
  </si>
  <si>
    <t>奖金提点系数</t>
  </si>
  <si>
    <t>转介绍业绩提成比率</t>
  </si>
  <si>
    <t>O2</t>
  </si>
  <si>
    <t>O3</t>
  </si>
  <si>
    <t>O1</t>
  </si>
  <si>
    <t>培训期</t>
  </si>
  <si>
    <t>培训期+保薪期</t>
  </si>
  <si>
    <t>职级</t>
  </si>
  <si>
    <t>高提点方案</t>
  </si>
  <si>
    <t>老顾问选择</t>
  </si>
  <si>
    <r>
      <rPr>
        <sz val="10"/>
        <color theme="1"/>
        <rFont val="微软雅黑"/>
        <family val="2"/>
        <charset val="134"/>
      </rPr>
      <t>新顾问</t>
    </r>
    <r>
      <rPr>
        <sz val="10"/>
        <color rgb="FFFF0000"/>
        <rFont val="微软雅黑"/>
        <family val="2"/>
        <charset val="134"/>
      </rPr>
      <t>高</t>
    </r>
    <r>
      <rPr>
        <sz val="10"/>
        <color theme="1"/>
        <rFont val="微软雅黑"/>
        <family val="2"/>
        <charset val="134"/>
      </rPr>
      <t>提点方案选择，前三月阶段下标期间，选择此标签，全标后，正常选择【O1】</t>
    </r>
  </si>
  <si>
    <t>低提点方案</t>
  </si>
  <si>
    <r>
      <rPr>
        <sz val="10"/>
        <color theme="1"/>
        <rFont val="微软雅黑"/>
        <family val="2"/>
        <charset val="134"/>
      </rPr>
      <t>新顾问</t>
    </r>
    <r>
      <rPr>
        <sz val="10"/>
        <color rgb="FFFF0000"/>
        <rFont val="微软雅黑"/>
        <family val="2"/>
        <charset val="134"/>
      </rPr>
      <t>低</t>
    </r>
    <r>
      <rPr>
        <sz val="10"/>
        <color theme="1"/>
        <rFont val="微软雅黑"/>
        <family val="2"/>
        <charset val="134"/>
      </rPr>
      <t>提点方案选择，前三月阶段下标期间，选择此标签，全标后，正常选择【保薪期】</t>
    </r>
  </si>
  <si>
    <t>保薪期</t>
  </si>
  <si>
    <r>
      <rPr>
        <sz val="10"/>
        <color theme="1"/>
        <rFont val="微软雅黑"/>
        <family val="2"/>
        <charset val="134"/>
      </rPr>
      <t>新顾问</t>
    </r>
    <r>
      <rPr>
        <sz val="10"/>
        <color rgb="FFFF0000"/>
        <rFont val="微软雅黑"/>
        <family val="2"/>
        <charset val="134"/>
      </rPr>
      <t>低</t>
    </r>
    <r>
      <rPr>
        <sz val="10"/>
        <color theme="1"/>
        <rFont val="微软雅黑"/>
        <family val="2"/>
        <charset val="134"/>
      </rPr>
      <t>提点方案选择，结束保薪后正常选择【O1】</t>
    </r>
  </si>
  <si>
    <t>求和项:学费</t>
  </si>
  <si>
    <t>项目类别</t>
  </si>
  <si>
    <t>签约单录入人</t>
  </si>
  <si>
    <t>个性化</t>
  </si>
  <si>
    <t>集训</t>
  </si>
  <si>
    <t>无忧</t>
  </si>
  <si>
    <t>在职</t>
  </si>
  <si>
    <t>四六级</t>
  </si>
  <si>
    <t>网课</t>
  </si>
  <si>
    <t>总计</t>
  </si>
  <si>
    <t>学校</t>
  </si>
  <si>
    <t>资源姓名</t>
  </si>
  <si>
    <t>资源ID</t>
  </si>
  <si>
    <t>资源录入人</t>
  </si>
  <si>
    <t>资源录入时间</t>
  </si>
  <si>
    <t>资源描述</t>
  </si>
  <si>
    <t>市场活动</t>
  </si>
  <si>
    <t>资源年级</t>
  </si>
  <si>
    <t>分配顾问/TMK</t>
  </si>
  <si>
    <t>一级获取渠道</t>
  </si>
  <si>
    <t>二级获取渠道</t>
  </si>
  <si>
    <t>转介绍人</t>
  </si>
  <si>
    <t>TMK激活人</t>
  </si>
  <si>
    <t>TMK激活处理时间</t>
  </si>
  <si>
    <t>工单姓名</t>
  </si>
  <si>
    <t>跟进顾问</t>
  </si>
  <si>
    <t>工单ID</t>
  </si>
  <si>
    <t>工单类型</t>
  </si>
  <si>
    <t>工单录入时间</t>
  </si>
  <si>
    <t>工单等级</t>
  </si>
  <si>
    <t>咨询课程</t>
  </si>
  <si>
    <t>工单年级</t>
  </si>
  <si>
    <t>院系</t>
  </si>
  <si>
    <t>专业</t>
  </si>
  <si>
    <t>签约学生姓名</t>
  </si>
  <si>
    <t>签约单ID</t>
  </si>
  <si>
    <t>签约单录入时间</t>
  </si>
  <si>
    <t>签约单更新人</t>
  </si>
  <si>
    <t>签约单更新时间</t>
  </si>
  <si>
    <t>班号</t>
  </si>
  <si>
    <t>班级名称</t>
  </si>
  <si>
    <t>面询表类型</t>
  </si>
  <si>
    <t>订金</t>
  </si>
  <si>
    <t>学费</t>
  </si>
  <si>
    <t>续费类型</t>
  </si>
  <si>
    <t>推荐人</t>
  </si>
  <si>
    <t>类型</t>
  </si>
  <si>
    <t>是否交接</t>
  </si>
  <si>
    <t>操作人编号</t>
  </si>
  <si>
    <t>学员号</t>
  </si>
  <si>
    <t>听课证号</t>
  </si>
  <si>
    <t>报班日期</t>
  </si>
  <si>
    <t>学员状态</t>
  </si>
  <si>
    <t>回访记录</t>
  </si>
  <si>
    <t>新老生类型</t>
  </si>
  <si>
    <t>退费金额</t>
  </si>
  <si>
    <t>退费日期</t>
  </si>
  <si>
    <t>课程类型</t>
  </si>
  <si>
    <t>客户ID</t>
  </si>
  <si>
    <t>是否新东方在线签约</t>
  </si>
  <si>
    <t>考季</t>
  </si>
  <si>
    <t>报名产品</t>
  </si>
  <si>
    <t>报名科目</t>
  </si>
  <si>
    <t>意向报考专业</t>
  </si>
  <si>
    <t>学校班型/类型</t>
  </si>
  <si>
    <t>是否关联协议</t>
  </si>
  <si>
    <t>特殊备注</t>
  </si>
  <si>
    <t>产品品类</t>
  </si>
  <si>
    <t>业务类型</t>
  </si>
  <si>
    <t>签约列表在线学员ID</t>
  </si>
  <si>
    <t>大学生源类型</t>
  </si>
  <si>
    <t>资源来源</t>
  </si>
  <si>
    <t>北京大学部</t>
  </si>
  <si>
    <t>国内大学部</t>
  </si>
  <si>
    <t>127127668</t>
  </si>
  <si>
    <t>2025-09-11 16:33:44</t>
  </si>
  <si>
    <t>知春路直访，咨询考研</t>
  </si>
  <si>
    <t/>
  </si>
  <si>
    <t>大三</t>
  </si>
  <si>
    <t>直访</t>
  </si>
  <si>
    <t>安思羽</t>
  </si>
  <si>
    <t>30745364</t>
  </si>
  <si>
    <t>续费工单</t>
  </si>
  <si>
    <t>2025-11-10 19:46</t>
  </si>
  <si>
    <t>A（六个月内有报课意向工单）</t>
  </si>
  <si>
    <t>考研专业课,考研无忧计划</t>
  </si>
  <si>
    <t>北京科技大学</t>
  </si>
  <si>
    <t>计算机与通信工程学院</t>
  </si>
  <si>
    <t>计算机科学与技术</t>
  </si>
  <si>
    <t>WYC27103</t>
  </si>
  <si>
    <t>考研专业课无忧Pro优才走读班（27考研/408计算机）</t>
  </si>
  <si>
    <t>国内考试</t>
  </si>
  <si>
    <t>同科续费</t>
  </si>
  <si>
    <t>续班</t>
  </si>
  <si>
    <t>无须交接</t>
  </si>
  <si>
    <t>BJWY2101498uW2</t>
  </si>
  <si>
    <t>BJWY5747046882</t>
  </si>
  <si>
    <t>WYC271030004</t>
  </si>
  <si>
    <t>2025-11-07</t>
  </si>
  <si>
    <t>回访人：谭悦，回访时间：2025-11-10 19:46，回访内容：1；|回访人：谭悦，回访时间：2025-11-10 19:46，回访内容：1</t>
  </si>
  <si>
    <t>否</t>
  </si>
  <si>
    <t>27考季</t>
  </si>
  <si>
    <t>无忧计划-啄木鸟,考研专业课150</t>
  </si>
  <si>
    <t>英语,政治,数学,计算机</t>
  </si>
  <si>
    <t>国内高校-211</t>
  </si>
  <si>
    <t>转出</t>
  </si>
  <si>
    <t>本地人本地大学(常规)</t>
  </si>
  <si>
    <t>115852926</t>
  </si>
  <si>
    <t>2025-06-23 16:42:01</t>
  </si>
  <si>
    <t>北京新东方考研18714556226</t>
  </si>
  <si>
    <t>幼儿</t>
  </si>
  <si>
    <t>杨晓超</t>
  </si>
  <si>
    <t>市场-代理商合作</t>
  </si>
  <si>
    <t>职递</t>
  </si>
  <si>
    <t>毕琦昕</t>
  </si>
  <si>
    <t>30715344</t>
  </si>
  <si>
    <t>2025-11-10 10:51</t>
  </si>
  <si>
    <t>北京邮电大学</t>
  </si>
  <si>
    <t>国际学院</t>
  </si>
  <si>
    <t>物联网工程</t>
  </si>
  <si>
    <t>2025-11-10 10:52</t>
  </si>
  <si>
    <t>分单</t>
  </si>
  <si>
    <t>BJWY1550131227</t>
  </si>
  <si>
    <t xml:space="preserve">回访人：杨晓超，回访时间：2025-11-10 10:51，回访内容：1；|回访人：杨晓超，回访时间：2025-11-10 10:51，回访内容：签约 </t>
  </si>
  <si>
    <t>无忧计划-啄木鸟</t>
  </si>
  <si>
    <t>外地人本地大学(常规)</t>
  </si>
  <si>
    <t>同学</t>
  </si>
  <si>
    <t>134565004</t>
  </si>
  <si>
    <t>陈伟钰</t>
  </si>
  <si>
    <t>2025-11-14 15:13:37</t>
  </si>
  <si>
    <t>钱雪冰的顾问转介绍-其他（不返现）</t>
  </si>
  <si>
    <t>钱雪冰</t>
  </si>
  <si>
    <t>转介绍</t>
  </si>
  <si>
    <t>顾问转介绍-其他(不返现)</t>
  </si>
  <si>
    <t>钱雪冰qianxuebing@xdf.cn</t>
  </si>
  <si>
    <t>蔡佳茵</t>
  </si>
  <si>
    <t>30761404</t>
  </si>
  <si>
    <t>正常工单</t>
  </si>
  <si>
    <t>2025-11-14 15:26</t>
  </si>
  <si>
    <t>考研专业课,考研VIP,考研无忧计划</t>
  </si>
  <si>
    <t>燕京理工学院</t>
  </si>
  <si>
    <t>文法学院</t>
  </si>
  <si>
    <t>汉语言文学</t>
  </si>
  <si>
    <t>2025-11-15 15:18</t>
  </si>
  <si>
    <t>2025-11-15 15:19</t>
  </si>
  <si>
    <t>已交接</t>
  </si>
  <si>
    <t>BJWY1763277405</t>
  </si>
  <si>
    <t>回访人：钱雪冰，回访时间：2025-11-14 15:26，回访内容：燕京理工学院 大三 汉语言文学专业，然后是想考郑州大学汉语言文学专业，比较在意是否有上岸的案例。比较在意上课的细节，明天过来校区听试听课程；|回访人：钱雪冰，回访时间：2025-11-15 15:18，回访内容：报名</t>
  </si>
  <si>
    <t>无忧计划-候鸟,VIP - 伴学,考研专业课300</t>
  </si>
  <si>
    <t>英语,政治</t>
  </si>
  <si>
    <t>其他</t>
  </si>
  <si>
    <t>国内高校-双非</t>
  </si>
  <si>
    <t>本地人外地大学(归巢)</t>
  </si>
  <si>
    <t>客服</t>
  </si>
  <si>
    <t>曹泽恒</t>
  </si>
  <si>
    <t>134462228</t>
  </si>
  <si>
    <t>刘大庆</t>
  </si>
  <si>
    <t>2025-11-14 18:57:24</t>
  </si>
  <si>
    <t>续费原因：学员续费一对一，辛苦老师建单流转；该学生为保护期内续费，原顾问：国内大学部-赵星火(zhaoxinghuo@xdf.cn)</t>
  </si>
  <si>
    <t>大学已毕业</t>
  </si>
  <si>
    <t>学管续费推荐</t>
  </si>
  <si>
    <t>刘大庆liudaqing1@xdf.cn</t>
  </si>
  <si>
    <t>30765656</t>
  </si>
  <si>
    <t>2025-11-15 15:30</t>
  </si>
  <si>
    <t>考研VIP</t>
  </si>
  <si>
    <t>北京工业大学</t>
  </si>
  <si>
    <t>城市建设学部</t>
  </si>
  <si>
    <t>土木工程</t>
  </si>
  <si>
    <t>2025-11-18 19:32</t>
  </si>
  <si>
    <t>2025-11-18 20:40</t>
  </si>
  <si>
    <t>LP17634655422194</t>
  </si>
  <si>
    <t>26考研一对一伴学（集训）</t>
  </si>
  <si>
    <t>BJWY4116308585</t>
  </si>
  <si>
    <t>2025-11-18</t>
  </si>
  <si>
    <t>回访人：赵星火，回访时间：2025-11-15 15:30，回访内容：计划续费一对一这边看下课时跟进中；|回访人：赵星火，回访时间：2025-11-17 14:41，回访内容：跟进学生中继续维护学生考虑，看下课程考虑。；|回访人：赵星火，回访时间：2025-11-18 19:32，回访内容：系统自动签约</t>
  </si>
  <si>
    <t>26考季</t>
  </si>
  <si>
    <t>VIP - 伴学</t>
  </si>
  <si>
    <t>英语</t>
  </si>
  <si>
    <t>是</t>
  </si>
  <si>
    <t>曾丹</t>
  </si>
  <si>
    <t>134232548</t>
  </si>
  <si>
    <t>李亚坤</t>
  </si>
  <si>
    <t>2025-11-12 17:32:45</t>
  </si>
  <si>
    <t>续费原因：家长择校完，说还是要考人大 300升级费需要交；该学生为保护期内续费，原顾问：国内大学部-谭悦(tanyue9@xdf.cn)</t>
  </si>
  <si>
    <t>李亚坤liyakun4@xdf.cn</t>
  </si>
  <si>
    <t>30729076</t>
  </si>
  <si>
    <t>2025-11-12 19:49</t>
  </si>
  <si>
    <t>考研专业课</t>
  </si>
  <si>
    <t>中国农业大学</t>
  </si>
  <si>
    <t>人文与发展学院</t>
  </si>
  <si>
    <t>2025-11-13 11:38</t>
  </si>
  <si>
    <t>2025-11-13 11:43</t>
  </si>
  <si>
    <t>LP1763005110401</t>
  </si>
  <si>
    <t>985院校升级费-无忧</t>
  </si>
  <si>
    <t>未交接</t>
  </si>
  <si>
    <t>BJWY7684715389</t>
  </si>
  <si>
    <t>2025-11-13</t>
  </si>
  <si>
    <t>回访人：谭悦，回访时间：2025-11-12 19:49，回访内容：续费专业课 ；|回访人：谭悦，回访时间：2025-11-13 11:38，回访内容：系统自动签约</t>
  </si>
  <si>
    <t>考研专业课300</t>
  </si>
  <si>
    <t>专业课300</t>
  </si>
  <si>
    <t>国内高校-985</t>
  </si>
  <si>
    <t>陈嘉硕</t>
  </si>
  <si>
    <t>133140096</t>
  </si>
  <si>
    <t>陈晶</t>
  </si>
  <si>
    <t>2025-11-03 15:46:32</t>
  </si>
  <si>
    <t>续费原因：报名专业课；该学生为保护期外续费，原顾问部门：国内大学部</t>
  </si>
  <si>
    <t>陈晶chenjing171@xdf.cn</t>
  </si>
  <si>
    <t>30652571</t>
  </si>
  <si>
    <t>2025-11-03 16:19</t>
  </si>
  <si>
    <t>西安邮电大学</t>
  </si>
  <si>
    <t>计算机学院</t>
  </si>
  <si>
    <t>2025-11-03 16:21</t>
  </si>
  <si>
    <t>LP1762158074916</t>
  </si>
  <si>
    <t>考研专业课一对一伴学班（12h/26考季）</t>
  </si>
  <si>
    <t>BJWY7070266959</t>
  </si>
  <si>
    <t>2025-11-03</t>
  </si>
  <si>
    <t>回访人：谭悦，回访时间：2025-11-03 16:19，回访内容：报专业课 ；|回访人：谭悦，回访时间：2025-11-03 16:21，回访内容：系统自动签约</t>
  </si>
  <si>
    <t>考研专业课150</t>
  </si>
  <si>
    <t>专业课150</t>
  </si>
  <si>
    <t>135330352</t>
  </si>
  <si>
    <t>2025-11-21 15:49:57</t>
  </si>
  <si>
    <t>续费原因：续课时，个性化；该学生为保护期内续费，原顾问：国内大学部-谭悦(tanyue9@xdf.cn)</t>
  </si>
  <si>
    <t>30792786</t>
  </si>
  <si>
    <t>2025-11-21 15:58</t>
  </si>
  <si>
    <t>2025-11-21 16:45</t>
  </si>
  <si>
    <t>2025-11-21 16:48</t>
  </si>
  <si>
    <t>LP17637147081820</t>
  </si>
  <si>
    <t>考研初试专业课一对一（26考季/10小时）</t>
  </si>
  <si>
    <t>2025-11-21</t>
  </si>
  <si>
    <t>回访人：谭悦，回访时间：2025-11-21 15:58，回访内容：微信跟进中  ；|回访人：谭悦，回访时间：2025-11-21 16:45，回访内容：系统自动签约</t>
  </si>
  <si>
    <t>132605684</t>
  </si>
  <si>
    <t>2025-10-28 20:22:28</t>
  </si>
  <si>
    <t>【小红书资源】
咨询考研一对一，IP地址在北京</t>
  </si>
  <si>
    <t>线上运营-小红书</t>
  </si>
  <si>
    <t>小红书</t>
  </si>
  <si>
    <t>陈靓怡</t>
  </si>
  <si>
    <t>30655508</t>
  </si>
  <si>
    <t>2025-11-03 11:47</t>
  </si>
  <si>
    <t>北京信息科技大学</t>
  </si>
  <si>
    <t>2025-11-04 15:50</t>
  </si>
  <si>
    <t>2025-11-04 17:12</t>
  </si>
  <si>
    <t>3201731</t>
  </si>
  <si>
    <t>考研督学计划 27考研英数督学计划</t>
  </si>
  <si>
    <t>BJWY7173848231</t>
  </si>
  <si>
    <t>108320173100000001</t>
  </si>
  <si>
    <t>2025-11-04</t>
  </si>
  <si>
    <t>回访人：李涛，回访时间：2025-11-03 11:47，回访内容：重新下单；|回访人：李涛，回访时间：2025-11-03 18:46，回访内容：等退费 然后入班！；|回访人：李涛，回访时间：2025-11-04 15:50，回访内容：已报名</t>
  </si>
  <si>
    <t>132519662</t>
  </si>
  <si>
    <t>2025-10-28 11:15:27</t>
  </si>
  <si>
    <t>续费原因：学生27考研，需要一对一，辛苦谭悦老师跟进；该学生为保护期内续费，原顾问：国内大学部-谭悦(tanyue9@xdf.cn)</t>
  </si>
  <si>
    <t>大四</t>
  </si>
  <si>
    <t>陈一凡</t>
  </si>
  <si>
    <t>30690701</t>
  </si>
  <si>
    <t>2025-11-05 16:35</t>
  </si>
  <si>
    <t>北方工业大学</t>
  </si>
  <si>
    <t>信息学院</t>
  </si>
  <si>
    <t>数据科学与大数据技术</t>
  </si>
  <si>
    <t>系统管理员</t>
  </si>
  <si>
    <t>2025-11-10 17:45</t>
  </si>
  <si>
    <t>LP1761622149221</t>
  </si>
  <si>
    <t>26考研一对一伴学（无忧）</t>
  </si>
  <si>
    <t>BJWY8503976521</t>
  </si>
  <si>
    <t>2025-11-05</t>
  </si>
  <si>
    <t>回访人：系统管理员，回访时间：2025-11-05 16:35，回访内容：学生转产品转入，创建续费工单。</t>
  </si>
  <si>
    <t>LP17623311801419</t>
  </si>
  <si>
    <t>27考研一对一伴学(无忧)</t>
  </si>
  <si>
    <t>2025-11-10</t>
  </si>
  <si>
    <t>LP1762767548850</t>
  </si>
  <si>
    <t>陈政元</t>
  </si>
  <si>
    <t>132406074</t>
  </si>
  <si>
    <t>北京国内管理员</t>
  </si>
  <si>
    <t>2025-10-26 21:48:56</t>
  </si>
  <si>
    <t>资源录入来源：小表单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备注：来源:小表单;姓名:陈政元;意向课程: 【课程】考研、四六级、专升本、成人英语/北京/北京; 新老生: 新生; 提交链接:pages/index/index.html?scene=81512,,ucwVUGil;地理位置:-;渠道:新媒体运营/集团品牌官微</t>
  </si>
  <si>
    <t>2026财年小表单-新东方集团官微【新东方】资源</t>
  </si>
  <si>
    <t>未知</t>
  </si>
  <si>
    <t>杨钰杰</t>
  </si>
  <si>
    <t>线上运营-私域中台</t>
  </si>
  <si>
    <t>集团官微</t>
  </si>
  <si>
    <t>2025-10-27 10:03:33</t>
  </si>
  <si>
    <t>30560560</t>
  </si>
  <si>
    <t>2025-10-27 11:30</t>
  </si>
  <si>
    <t>考研专业课,考研VIP</t>
  </si>
  <si>
    <t>北京工商大学</t>
  </si>
  <si>
    <t>人工智能学院</t>
  </si>
  <si>
    <t>机械工程</t>
  </si>
  <si>
    <t>2025-11-09 17:00</t>
  </si>
  <si>
    <t>2025-11-09 18:01</t>
  </si>
  <si>
    <t>3234557</t>
  </si>
  <si>
    <t>北京中心菁英计划 27考研菁英A计划（英政数）</t>
  </si>
  <si>
    <t>新签</t>
  </si>
  <si>
    <t>BJWY4807692593</t>
  </si>
  <si>
    <t>108323455700000001</t>
  </si>
  <si>
    <t>2025-11-09</t>
  </si>
  <si>
    <t>回访人：谭悦，回访时间：2025-10-31 16:56，回访内容：学生要等家长回来，一起过来  ；|回访人：谭悦，回访时间：2025-11-05 12:03，回访内容：微信邀约来访面谈  ；|回访人：谭悦，回访时间：2025-11-09 17:00，回访内容：面谈接待，报名了菁英计划</t>
  </si>
  <si>
    <t>VIP - 畅学,考研专业课150</t>
  </si>
  <si>
    <t>英语,政治,数学,专业课150</t>
  </si>
  <si>
    <t>小表单</t>
  </si>
  <si>
    <t>3234573</t>
  </si>
  <si>
    <t>北京中心菁英计划 27考研菁英计划（英政数联报专业课30h</t>
  </si>
  <si>
    <t>108323457300000001</t>
  </si>
  <si>
    <t>崔好奇</t>
  </si>
  <si>
    <t>135201274</t>
  </si>
  <si>
    <t>2025-11-20 20:13:46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</si>
  <si>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备注：来源:小表单;姓名:崔好奇;意向课程: 【课程】考研、四六级、专升本、成人英语/北京/北京; 新老生: 新生; 提交链接:pages/index/index.html?scene=81512,,ucwVUGil;地理位置:北京市丰台区东铁匠营街道西木樨园;渠道:新媒体运营/集团品牌官微</t>
  </si>
  <si>
    <t>2025-11-20 20:24:25</t>
  </si>
  <si>
    <t>30848265</t>
  </si>
  <si>
    <t>2025-11-21 11:51</t>
  </si>
  <si>
    <t>B（需长时间跟单或只需要规划）</t>
  </si>
  <si>
    <t>线上考研产品</t>
  </si>
  <si>
    <t>北京建筑大学</t>
  </si>
  <si>
    <t>环境与能源工程学院</t>
  </si>
  <si>
    <t>建筑环境与能源应用工程</t>
  </si>
  <si>
    <t>2025-11-22 17:57</t>
  </si>
  <si>
    <t>86231189510</t>
  </si>
  <si>
    <t>2028考研管综全科在校直通车（1期）</t>
  </si>
  <si>
    <t>2025-11-22</t>
  </si>
  <si>
    <t>回访人：谭悦，回访时间：2025-11-21 11:51，回访内容：25年毕业， 28考研， 跟进中 ，MEM 北建筑  ；|回访人：谭悦，回访时间：2025-11-22 17:57，回访内容：1</t>
  </si>
  <si>
    <t>长期班</t>
  </si>
  <si>
    <t>线上直通车</t>
  </si>
  <si>
    <t>英语,管综</t>
  </si>
  <si>
    <t>管综</t>
  </si>
  <si>
    <t>崔若琳</t>
  </si>
  <si>
    <t>134062030</t>
  </si>
  <si>
    <t>张泽7</t>
  </si>
  <si>
    <t>2025-11-10 18:24:44</t>
  </si>
  <si>
    <t>续费原因：每周三加一次写作；该学生为保护期内续费，原顾问：国内大学部-赵星火(zhaoxinghuo@xdf.cn)</t>
  </si>
  <si>
    <t>张泽7zhangze7@xdf.cn</t>
  </si>
  <si>
    <t>30746685</t>
  </si>
  <si>
    <t>2025-11-11 11:41</t>
  </si>
  <si>
    <t>北京农学院</t>
  </si>
  <si>
    <t>生物与资源环境学院</t>
  </si>
  <si>
    <t>生物工程</t>
  </si>
  <si>
    <t>2025-11-11 12:04</t>
  </si>
  <si>
    <t>2025-11-11 12:07</t>
  </si>
  <si>
    <t>LP1762833896560</t>
  </si>
  <si>
    <t>考研一对一伴学班（26考季）</t>
  </si>
  <si>
    <t>BJWY0122570561</t>
  </si>
  <si>
    <t>2025-11-11</t>
  </si>
  <si>
    <t>回访人：赵星火，回访时间：2025-11-11 11:41，回访内容：签约；|回访人：赵星火，回访时间：2025-11-11 12:04，回访内容：系统自动签约</t>
  </si>
  <si>
    <t>135004856</t>
  </si>
  <si>
    <t>吕猛</t>
  </si>
  <si>
    <t>2025-11-18 21:22:49</t>
  </si>
  <si>
    <t>咨询一对一冲刺课程</t>
  </si>
  <si>
    <t>线上运营-本地生活平台</t>
  </si>
  <si>
    <t>大众点评</t>
  </si>
  <si>
    <t>丹央</t>
  </si>
  <si>
    <t>30788504</t>
  </si>
  <si>
    <t>2025-11-19 11:50</t>
  </si>
  <si>
    <t>国际关系学院</t>
  </si>
  <si>
    <t>国际安全学院</t>
  </si>
  <si>
    <t>国际政治</t>
  </si>
  <si>
    <t>02698866958</t>
  </si>
  <si>
    <t>2026考研专业课定制一对一（20h）-B班</t>
  </si>
  <si>
    <t>2025-11-19</t>
  </si>
  <si>
    <t>回访人：谭悦，回访时间：2025-11-19 11:50，回访内容：国际关系学院，本科学的是公共管理。</t>
  </si>
  <si>
    <t>专业课</t>
  </si>
  <si>
    <t>丁浩洋</t>
  </si>
  <si>
    <t>135003471</t>
  </si>
  <si>
    <t>李雪68</t>
  </si>
  <si>
    <t>2025-11-18 18:55:45</t>
  </si>
  <si>
    <t xml:space="preserve">罗玉骏+luoyujun@xdf.cn+罗玉骏(新东方教育科技集团有限公司-产业机构-国际教育培训事业部-国际教育北京中心-运营管理部-中学区域运营中心二区-国贸中学分中心 | 学业规划师)
</t>
  </si>
  <si>
    <t>内部员工推荐</t>
  </si>
  <si>
    <t>罗玉骏+luoyujun@xdf.cn+罗玉骏(新东方教育科技集团有限公司-产业机构-国际教育培训事业部-国际教育北京中心-运营管理部-中学区域运营中心二区-国贸中学分中心 | 学业规划师)</t>
  </si>
  <si>
    <t>30787958</t>
  </si>
  <si>
    <t>2025-11-18 18:59</t>
  </si>
  <si>
    <t>大一</t>
  </si>
  <si>
    <t>澳门科技大学</t>
  </si>
  <si>
    <t>电子与信息技术</t>
  </si>
  <si>
    <t>2025-11-18 19:11</t>
  </si>
  <si>
    <t>2025-11-18 19:29</t>
  </si>
  <si>
    <t>LP17634642652171</t>
  </si>
  <si>
    <t>考研初试专业课一对一（27考研/30小时）</t>
  </si>
  <si>
    <t>BJWY8381978400</t>
  </si>
  <si>
    <t>回访人：赵星火，回访时间：2025-11-18 18:59，回访内容：跟进中这边看下情况；|回访人：赵星火，回访时间：2025-11-18 19:11，回访内容：系统自动签约</t>
  </si>
  <si>
    <t>136043660</t>
  </si>
  <si>
    <t>2025-11-29 16:30:24</t>
  </si>
  <si>
    <t>续费原因：4h定制1v1，指定刘瑶；该学生为保护期内续费，原顾问：国内大学部-谭悦(tanyue9@xdf.cn)</t>
  </si>
  <si>
    <t>冯晨阳</t>
  </si>
  <si>
    <t>30958049</t>
  </si>
  <si>
    <t>2025-12-01 20:15</t>
  </si>
  <si>
    <t>首都医科大学</t>
  </si>
  <si>
    <t>临床医学院</t>
  </si>
  <si>
    <t>临床医学</t>
  </si>
  <si>
    <t>LP17644170743890</t>
  </si>
  <si>
    <t>考研一对一伴学班（定制/26考季）</t>
  </si>
  <si>
    <t>BJWY9774040881</t>
  </si>
  <si>
    <t>2025-12-01</t>
  </si>
  <si>
    <t>回访人：系统管理员，回访时间：2025-12-01 20:15，回访内容：学生转产品转入，创建续费工单。</t>
  </si>
  <si>
    <t>LP17645908628004</t>
  </si>
  <si>
    <t>26考研一对一伴学（定制/无忧）</t>
  </si>
  <si>
    <t>许庆典</t>
  </si>
  <si>
    <t>许庆典xuqingdian@xdf.cn</t>
  </si>
  <si>
    <t>30914217</t>
  </si>
  <si>
    <t>2025-11-29 19:45</t>
  </si>
  <si>
    <t>2025-11-29 19:51</t>
  </si>
  <si>
    <t>2025-11-29 19:59</t>
  </si>
  <si>
    <t>2025-11-29</t>
  </si>
  <si>
    <t>回访人：谭悦，回访时间：2025-11-29 19:45，回访内容：1；|回访人：谭悦，回访时间：2025-11-29 19:51，回访内容：系统自动签约</t>
  </si>
  <si>
    <t>北京市5117</t>
  </si>
  <si>
    <t>135574278</t>
  </si>
  <si>
    <t>王静静</t>
  </si>
  <si>
    <t>2025-11-24 11:09:52</t>
  </si>
  <si>
    <t>考季：26
年级：在职
课程形式：考研VIP
学生情况：今年考研，咨询考研英语和政治的一对一【系统里有签约】；渠道录入来源：新东方官网M站-客服
意向城市：北京访客省/城市：北京市
访客静态ID：01000003465900269897988572415117
接待分组ID：70455
搜索引擎：
搜索词：
关键词：
设备类型：phone
访客IP：124.127.68.131
对话详细内容：AI-Lbo0rDBXCyBY 2025-11-09 22:36:20_x000D_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AI-Lbo0rDBXCyBY 2025-11-09 22:36:23_x000D_
您是想咨询【线下课程】【线上课程】【考研规划】还是【在职考研】呢？**【线下课程】#  **【线上课程】#**【考研规划】#**【在职考研】#_x000D_
_x000D_
01000003465900269897988572415117 2025-11-09 22:36:30_x000D_
【线下课程】_x000D_
_x000D_
AI-Lbo0rDBXCyBY 2025-11-09 22:36:34_x000D_
同学，你现在是在校还是在职呢？_x000D_
_x000D_
01000003465900269897988572415117 2025-11-09 22:36:42_x000D_
在校_x000D_
_x000D_
AI-Lbo0rDBXCyBY 2025-11-09 22:36:45_x000D_
具体是想报考什么学校和专业呢？_x000D_
_x000D_
01000003465900269897988572415117 2025-11-09 22:37:05_x000D_
【考研一对一】_x000D_
_x000D_
AI-Lbo0rDBXCyBY 2025-11-09 22:37:09_x000D_
好的，我这边安排专业老师给您回电，详细沟通一下，请问您的电话是多少呢？_x000D_
_x000D_
01000003465900269897988572415117 2025-11-09 22:37:20_x000D_
17338157357_x000D_
_x000D_
AI-Lbo0rDBXCyBY 2025-11-09 22:37:24_x000D_
好的，确认一下你的号码是否正确呢~_x000D_
_x000D_
01000003465900269897988572415117 2025-11-09 22:37:34_x000D_
正确_x000D_
_x000D_
AI-Lbo0rDBXCyBY 2025-11-09 22:37:38_x000D_
同学怎么称呼呢？_x000D_
_x000D_
01000003465900269897988572415117 2025-11-09 22:37:45_x000D_
冯_x000D_
_x000D_
AI-Lbo0rDBXCyBY 2025-11-09 22:37:49_x000D_
好的，由于今天课程规划老师已经下班了，这边安排老师明天上午9点后给您回电请注意接听~_x000D_
_x000D_
01000003465900269897988572415117 2025-11-09 22:38:23_x000D_
上午十一点到十二点打吧_x000D_
_x000D_
AI-Lbo0rDBXCyBY 2025-11-09 22:38:26_x000D_
好的，这个也是您的微信号吗？_x000D_
_x000D_
01000003465900269897988572415117 2025-11-09 22:38:33_x000D_
对_x000D_
_x000D_
AI-Lbo0rDBXCyBY 2025-11-09 22:38:36_x000D_
稍后老师会联系哈_x000D_
_x000D_
01000003465900269897988572415117 2025-11-09 22:38:48_x000D_
直接加微信说吧_x000D_
_x000D_
AI-Lbo0rDBXCyBY 2025-11-09 22:38:52_x000D_
可以的，你的微信是多少呢？_x000D_
_x000D_
01000003465900269897988572415117 2025-11-09 22:39:05_x000D_
就这个手机号_x000D_
_x000D_
AI-Lbo0rDBXCyBY 2025-11-09 22:39:08_x000D_
好的，请问还有其他问题需要咨询吗？_x000D_
_x000D_
01000003465900269897988572415117 2025-11-09 22:39:18_x000D_
没_x000D_
_x000D_
AI-Lbo0rDBXCyBY 2025-11-09 22:39:21_x000D_
联系方式已收到，第二天上午9点后与您联系的，感谢您的访问 祝您生活愉快！您可以关闭对话早点休息了。晚安~_x000D_
_x000D_
_x000D_
来源页：https://group-live2.easyliao.com/live/chat.do?c=34659&amp;g=70455&amp;config=102466
备注： 外呼主题：2026财年第6财月易聊新东方官网M站
离职顾问：栗晓环(资源备注人:程远;资源备注时间:2025-11-10 10:00)（TMK主管分配TMK）</t>
  </si>
  <si>
    <t>2026财年第6财月易聊新东方官网M站</t>
  </si>
  <si>
    <t>段同飞</t>
  </si>
  <si>
    <t>新东方官网</t>
  </si>
  <si>
    <t>新东方官网M站</t>
  </si>
  <si>
    <t>2025-11-24 12:15:58</t>
  </si>
  <si>
    <t>30861560</t>
  </si>
  <si>
    <t>2025-11-24 14:15</t>
  </si>
  <si>
    <t>2025-11-24 14:39</t>
  </si>
  <si>
    <t>2025-11-24 14:40</t>
  </si>
  <si>
    <t>LP1763966340551</t>
  </si>
  <si>
    <t>2025-11-24</t>
  </si>
  <si>
    <t>回访人：谭悦，回访时间：2025-11-24 14:15，回访内容：1；|回访人：谭悦，回访时间：2025-11-24 14:39，回访内容：系统自动签约</t>
  </si>
  <si>
    <t>沈</t>
  </si>
  <si>
    <t>134829313</t>
  </si>
  <si>
    <t>仇舰宁</t>
  </si>
  <si>
    <t>2025-11-17 15:20:49</t>
  </si>
  <si>
    <t>市场人员：刘子奇
备注：家长给孩子咨询26考研冲刺1对1辅导</t>
  </si>
  <si>
    <t>2026财年第6财月91校代系统资源活动</t>
  </si>
  <si>
    <t>校代</t>
  </si>
  <si>
    <t>线上校代</t>
  </si>
  <si>
    <t>冯靖桐</t>
  </si>
  <si>
    <t>30833624</t>
  </si>
  <si>
    <t>2025-11-17 16:32</t>
  </si>
  <si>
    <t>青岛农业大学</t>
  </si>
  <si>
    <t>动漫与传媒学院</t>
  </si>
  <si>
    <t>传播学（影视与网络）</t>
  </si>
  <si>
    <t>2025-11-17 19:04</t>
  </si>
  <si>
    <t>2025-11-17 19:05</t>
  </si>
  <si>
    <t>99860229334</t>
  </si>
  <si>
    <t>2026考研专业课定制一对一（20h）-A班</t>
  </si>
  <si>
    <t>2025-11-17</t>
  </si>
  <si>
    <t>回访人：李涛，回访时间：2025-11-17 16:32，回访内容：想考山东师范大学   历史学！  本科新闻传播学！   现在主要是需要专业课的辅导！介绍一对一课程！；|回访人：李涛，回访时间：2025-11-17 19:04，回访内容：系统自动签约</t>
  </si>
  <si>
    <t>9450.0</t>
  </si>
  <si>
    <t>2025-11-30</t>
  </si>
  <si>
    <t>外地人外地大学(常规)</t>
  </si>
  <si>
    <t>新东方91校园大使</t>
  </si>
  <si>
    <t>成都市8577</t>
  </si>
  <si>
    <t>133164484</t>
  </si>
  <si>
    <t>张亚男</t>
  </si>
  <si>
    <t>2025-11-02 12:39:40</t>
  </si>
  <si>
    <t>渠道录入来源：北京中心-百度投放
意向城市：北京访客省/城市：成都市
访客静态ID：01000000034659205819616495768577
接待分组ID：82148
搜索引擎：
搜索词：
关键词：
设备类型：pc
访客IP：171.221.137.205
对话详细内容：AI-Lbo0rDBXCy 2025-11-02 12:36:38_x000D_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 2025-11-02 12:36:41_x000D_
您是想咨询【线下课程】【线上课程】【考研规划】还是【在职考研】呢？**【线下课程】#  **【线上课程】#**【考研规划】#**【在职考研】#_x000D_
_x000D_
01000000034659205819616495768577 2025-11-02 12:36:54_x000D_
【考研一对一】_x000D_
_x000D_
AI-Lbo0rDBXCy 2025-11-02 12:36:57_x000D_
同学，你现在是在校还是在职呢？_x000D_
_x000D_
01000000034659205819616495768577 2025-11-02 12:37:04_x000D_
在职_x000D_
_x000D_
AI-Lbo0rDBXCy 2025-11-02 12:37:07_x000D_
具体是想报考什么学校和专业呢？_x000D_
_x000D_
01000000034659205819616495768577 2025-11-02 12:37:19_x000D_
清华大学 新闻与传播_x000D_
_x000D_
AI-Lbo0rDBXCy 2025-11-02 12:37:23_x000D_
好的，我这边安排专业老师给您回电，详细沟通一下，请问您的电话是多少呢？_x000D_
_x000D_
01000000034659205819616495768577 2025-11-02 12:37:39_x000D_
13564410235_x000D_
_x000D_
AI-Lbo0rDBXCy 2025-11-02 12:37:43_x000D_
好的，确认一下你的号码是否正确呢~_x000D_
_x000D_
01000000034659205819616495768577 2025-11-02 12:37:53_x000D_
确认_x000D_
_x000D_
AI-Lbo0rDBXCy 2025-11-02 12:37:56_x000D_
同学怎么称呼呢？_x000D_
_x000D_
01000000034659205819616495768577 2025-11-02 12:38:02_x000D_
傅_x000D_
_x000D_
AI-Lbo0rDBXCy 2025-11-02 12:38:06_x000D_
这边马上安排顾问老师联系您，预计半个小时左右给您回电请注意接听~_x000D_
_x000D_
来源页：https://cn.bing.com/
备注：</t>
  </si>
  <si>
    <t>2026财年第6财月易聊百度投放</t>
  </si>
  <si>
    <t>线上运营-投放</t>
  </si>
  <si>
    <t>百度投放</t>
  </si>
  <si>
    <t>傅寅杰</t>
  </si>
  <si>
    <t>30650543</t>
  </si>
  <si>
    <t>2025-11-03 10:25</t>
  </si>
  <si>
    <t>清华大学</t>
  </si>
  <si>
    <t>新闻与传播学院</t>
  </si>
  <si>
    <t>新闻学</t>
  </si>
  <si>
    <t>2025-11-03 11:36</t>
  </si>
  <si>
    <t>2025-11-03 12:28</t>
  </si>
  <si>
    <t>LP1762140978258</t>
  </si>
  <si>
    <t>考研初试专业课一对一（27考研/50小时）</t>
  </si>
  <si>
    <t>BJWY5387442298</t>
  </si>
  <si>
    <t>回访人：谭悦，回访时间：2025-11-03 10:25，回访内容：毕业几年了，24考研考的上海的新传，差20分， 今年考清华的学硕新传， 准备报专业课 ；|回访人：谭悦，回访时间：2025-11-03 11:36，回访内容：系统自动签约</t>
  </si>
  <si>
    <t>国内高校-C9</t>
  </si>
  <si>
    <t>易聊在线咨询</t>
  </si>
  <si>
    <t>LP1762140978259</t>
  </si>
  <si>
    <t>清北院校升级费</t>
  </si>
  <si>
    <t>郭宸宇</t>
  </si>
  <si>
    <t>134712043</t>
  </si>
  <si>
    <t>徐岩</t>
  </si>
  <si>
    <t>2025-11-15 21:13:52</t>
  </si>
  <si>
    <t>续费原因：续费10小时数学课 辛苦流转谭悦；该学生为保护期内续费，原顾问：国内大学部-谭悦(tanyue9@xdf.cn)</t>
  </si>
  <si>
    <t>大二</t>
  </si>
  <si>
    <t>徐岩xuyan91@xdf.cn</t>
  </si>
  <si>
    <t>30767603</t>
  </si>
  <si>
    <t>2025-11-16 09:26</t>
  </si>
  <si>
    <t>六级</t>
  </si>
  <si>
    <t>对外经济贸易大学</t>
  </si>
  <si>
    <t>金融学院</t>
  </si>
  <si>
    <t>金融学</t>
  </si>
  <si>
    <t>2025-11-16 09:30</t>
  </si>
  <si>
    <t>2025-11-16 09:38</t>
  </si>
  <si>
    <t>LP17632566543722</t>
  </si>
  <si>
    <t>大学数学一对一伴学班（定制）</t>
  </si>
  <si>
    <t>BJWY5305138836</t>
  </si>
  <si>
    <t>2025-11-16</t>
  </si>
  <si>
    <t>回访人：谭悦，回访时间：2025-11-16 09:26，回访内容：报名数学一对一 ；|回访人：谭悦，回访时间：2025-11-16 09:30，回访内容：系统自动签约</t>
  </si>
  <si>
    <t>25下考季</t>
  </si>
  <si>
    <t>六级一对一</t>
  </si>
  <si>
    <t>107044026</t>
  </si>
  <si>
    <t>133903723</t>
  </si>
  <si>
    <t>2025-11-09 10:13:22</t>
  </si>
  <si>
    <t>渠道录入来源：抖音新东方考研直播间
koouserID：107044026
城市：北京
产品分组：考研
线索来源：直播间小风车收资-大学生-线下面授
市场人员：
是否兼职：
备注信息：请选择当前所属阶段：:大三;请选择倾向的备考方式：:线下面授;请选择备考城市：:北京</t>
  </si>
  <si>
    <t>2026财年第6财月抖音新东方考研直播间</t>
  </si>
  <si>
    <t>乔文娇</t>
  </si>
  <si>
    <t>线上运营-抖音</t>
  </si>
  <si>
    <t>抖音新东方考研直播间</t>
  </si>
  <si>
    <t>2025-11-09 12:29:40</t>
  </si>
  <si>
    <t>何年</t>
  </si>
  <si>
    <t>30708914</t>
  </si>
  <si>
    <t>2025-11-09 17:34</t>
  </si>
  <si>
    <t>大连海事大学</t>
  </si>
  <si>
    <t>法学院</t>
  </si>
  <si>
    <t>法学（海商法）</t>
  </si>
  <si>
    <t>2025-11-11 21:14</t>
  </si>
  <si>
    <t>2025-11-11 22:53</t>
  </si>
  <si>
    <t>46455177697</t>
  </si>
  <si>
    <t>2027考研英语一无忧计划·7期,2027考研直通车VIP【法律硕士（法学）】,2027考研政治无忧计划·6期</t>
  </si>
  <si>
    <t>回访人：谭悦，回访时间：2025-11-09 17:34，回访内容：法硕  面谈了， 大连海事想考北大法硕法学， 家长一起来的 ；|回访人：谭悦，回访时间：2025-11-11 18:45，回访内容：学生不回复消息，不怎么说话  ；|回访人：谭悦，回访时间：2025-11-11 21:14，回访内容：系统自动签约</t>
  </si>
  <si>
    <t>长期班,长期班,长期班</t>
  </si>
  <si>
    <t>政治,英语</t>
  </si>
  <si>
    <t>134447281</t>
  </si>
  <si>
    <t>2025-11-14 09:47:52</t>
  </si>
  <si>
    <t>课程形式：考博英语一对一
学生情况：学生咨询考博英语，非医学专业，告知目前只有一对一辅导，也说了价格，可以了解一下，方便电话</t>
  </si>
  <si>
    <t>研究生以上</t>
  </si>
  <si>
    <t>电话</t>
  </si>
  <si>
    <t>大客服呼入</t>
  </si>
  <si>
    <t>何晓涛</t>
  </si>
  <si>
    <t>30806542</t>
  </si>
  <si>
    <t>2025-11-17 10:13</t>
  </si>
  <si>
    <t>考博</t>
  </si>
  <si>
    <t>中国人民大学</t>
  </si>
  <si>
    <t>2025-11-17 10:20</t>
  </si>
  <si>
    <t>2025-11-17 10:27</t>
  </si>
  <si>
    <t>LP176334603072</t>
  </si>
  <si>
    <t>考博一对一伴学班</t>
  </si>
  <si>
    <t>BJWY4055776168</t>
  </si>
  <si>
    <t>回访人：赵星火，回访时间：2025-11-17 10:13，回访内容：1；|回访人：赵星火，回访时间：2025-11-17 10:20，回访内容：系统自动签约</t>
  </si>
  <si>
    <t>134504635</t>
  </si>
  <si>
    <t>杨欢欢</t>
  </si>
  <si>
    <t>2025-11-14 09:19:17</t>
  </si>
  <si>
    <t>30780026</t>
  </si>
  <si>
    <t>2025-11-14 10:24</t>
  </si>
  <si>
    <t>2025-11-15 10:38</t>
  </si>
  <si>
    <t>2025-11-15 10:47</t>
  </si>
  <si>
    <t>LP1763174337311</t>
  </si>
  <si>
    <t>2025-11-15</t>
  </si>
  <si>
    <t>回访人：赵星火，回访时间：2025-11-14 10:24，回访内容：需要了解人大信息学院的考博的 内容近期想要上课，这边跟进中。；|回访人：赵星火，回访时间：2025-11-15 10:38，回访内容：系统自动签约</t>
  </si>
  <si>
    <t>贺其永歌</t>
  </si>
  <si>
    <t>133318501</t>
  </si>
  <si>
    <t>舒志豪</t>
  </si>
  <si>
    <t>2025-11-04 12:02:17</t>
  </si>
  <si>
    <t>续费原因：学员有续费英语六级需求；该学生为保护期内续费，原顾问：国内大学部-谭悦(tanyue9@xdf.cn)</t>
  </si>
  <si>
    <t>舒志豪shuzhihao1@xdf.cn</t>
  </si>
  <si>
    <t>30684897</t>
  </si>
  <si>
    <t>2025-11-04 12:13</t>
  </si>
  <si>
    <t>首都师范大学</t>
  </si>
  <si>
    <t>文学院</t>
  </si>
  <si>
    <t>2025-11-04 12:18</t>
  </si>
  <si>
    <t>2025-11-04 15:07</t>
  </si>
  <si>
    <t>LP1762229887473</t>
  </si>
  <si>
    <t>六级一对一伴学班</t>
  </si>
  <si>
    <t>BJWY9822893615</t>
  </si>
  <si>
    <t>回访人：谭悦，回访时间：2025-11-04 12:13，回访内容：六级一对一 ；|回访人：谭悦，回访时间：2025-11-04 12:18，回访内容：系统自动签约</t>
  </si>
  <si>
    <t>国内高校-双一流(非985/211)</t>
  </si>
  <si>
    <t>贺暄恒</t>
  </si>
  <si>
    <t>136464256</t>
  </si>
  <si>
    <t>郭又华</t>
  </si>
  <si>
    <t>2025-12-02 15:34:55</t>
  </si>
  <si>
    <t>续费原因：专业课还想再上2次；该学生为保护期内续费，原顾问：国内大学部-谭悦(tanyue9@xdf.cn)</t>
  </si>
  <si>
    <t>郭又华guoyouhua@xdf.cn</t>
  </si>
  <si>
    <t>30984866</t>
  </si>
  <si>
    <t>2025-12-02 17:28</t>
  </si>
  <si>
    <t>建筑与城市规划学院</t>
  </si>
  <si>
    <t>建筑学</t>
  </si>
  <si>
    <t>2025-12-02 17:37</t>
  </si>
  <si>
    <t>2025-12-02 17:44</t>
  </si>
  <si>
    <t>LP17646682272950</t>
  </si>
  <si>
    <t>考研初试专业课一对一（26考研/无忧）</t>
  </si>
  <si>
    <t>BJWY9142571360</t>
  </si>
  <si>
    <t>2025-12-02</t>
  </si>
  <si>
    <t>回访人：谭悦，回访时间：2025-12-02 17:28，回访内容：1；|回访人：谭悦，回访时间：2025-12-02 17:37，回访内容：系统自动签约</t>
  </si>
  <si>
    <t>132960286</t>
  </si>
  <si>
    <t>2025-11-01 11:27:06</t>
  </si>
  <si>
    <t>续费原因：学生专业课想再讲讲题，加4小时；该学生为保护期内续费，原顾问：国内大学部-谭悦(tanyue9@xdf.cn)</t>
  </si>
  <si>
    <t>30576201</t>
  </si>
  <si>
    <t>2025-11-01 11:37</t>
  </si>
  <si>
    <t>2025-11-01 12:29</t>
  </si>
  <si>
    <t>2025-11-01 14:40</t>
  </si>
  <si>
    <t>LP17619713684250</t>
  </si>
  <si>
    <t>2025-11-01</t>
  </si>
  <si>
    <t>回访人：谭悦，回访时间：2025-11-01 11:37，回访内容：续费；|回访人：谭悦，回访时间：2025-11-01 11:51，回访内容：专业课续费跟进；|回访人：谭悦，回访时间：2025-11-01 12:29，回访内容：系统自动签约</t>
  </si>
  <si>
    <t>134915707</t>
  </si>
  <si>
    <t>2025-11-18 11:25:29</t>
  </si>
  <si>
    <t>续费原因：学生专业课还想再加8小时讲讲真题；该学生为保护期内续费，原顾问：国内大学部-谭悦(tanyue9@xdf.cn)</t>
  </si>
  <si>
    <t>30810914</t>
  </si>
  <si>
    <t>2025-11-18 11:45</t>
  </si>
  <si>
    <t>2025-11-18 11:52</t>
  </si>
  <si>
    <t>2025-11-18 11:55</t>
  </si>
  <si>
    <t>LP1763437959325</t>
  </si>
  <si>
    <t>回访人：谭悦，回访时间：2025-11-18 11:45，回访内容：加8小时专业课  ；|回访人：谭悦，回访时间：2025-11-18 11:52，回访内容：系统自动签约</t>
  </si>
  <si>
    <t>霍盈杉</t>
  </si>
  <si>
    <t>133914690</t>
  </si>
  <si>
    <t>焦子瑞</t>
  </si>
  <si>
    <t>2025-11-09 14:33:00</t>
  </si>
  <si>
    <t>续费原因：学生想学集训营政治一对一的课程，推荐王晶老师，辛苦老师联系学生；该学生为保护期内续费，原顾问：国内大学部-赵星火(zhaoxinghuo@xdf.cn)</t>
  </si>
  <si>
    <t>焦子瑞jiaozirui@xdf.cn</t>
  </si>
  <si>
    <t>30714830</t>
  </si>
  <si>
    <t>2025-11-10 10:00</t>
  </si>
  <si>
    <t>保定理工学院</t>
  </si>
  <si>
    <t>资源与工程技术学院</t>
  </si>
  <si>
    <t>土地资源管理</t>
  </si>
  <si>
    <t>2025-11-10 10:23</t>
  </si>
  <si>
    <t>2025-11-10 11:38</t>
  </si>
  <si>
    <t>LP176274139982</t>
  </si>
  <si>
    <t>BJWY9038592627</t>
  </si>
  <si>
    <t>回访人：赵星火，回访时间：2025-11-10 10:00，回访内容：1；|回访人：赵星火，回访时间：2025-11-10 10:23，回访内容：系统自动签约</t>
  </si>
  <si>
    <t>政治</t>
  </si>
  <si>
    <t>125552175</t>
  </si>
  <si>
    <t>2025-08-30 11:37:20</t>
  </si>
  <si>
    <t>续费原因：学生续费数学班课；该学生为保护期内续费，原顾问：国内大学部-谭悦(tanyue9@xdf.cn)</t>
  </si>
  <si>
    <t>贾佳霖</t>
  </si>
  <si>
    <t>30862226</t>
  </si>
  <si>
    <t>2025-11-24 15:52</t>
  </si>
  <si>
    <t>考研无忧计划</t>
  </si>
  <si>
    <t>北京化工大学</t>
  </si>
  <si>
    <t>化学工程学院</t>
  </si>
  <si>
    <t>环境工程</t>
  </si>
  <si>
    <t>2025-11-24 16:04</t>
  </si>
  <si>
    <t>2025-11-24 16:16</t>
  </si>
  <si>
    <t>LP1763971496728</t>
  </si>
  <si>
    <t>26考研一对一伴学（老带新1H/无忧）</t>
  </si>
  <si>
    <t>BJWY0479852281</t>
  </si>
  <si>
    <t>回访人：谭悦，回访时间：2025-11-24 15:52，回访内容：1；|回访人：谭悦，回访时间：2025-11-24 16:04，回访内容：系统自动签约</t>
  </si>
  <si>
    <t>133253349</t>
  </si>
  <si>
    <t>2025-11-03 13:27:26</t>
  </si>
  <si>
    <t>老生/转介绍人姓名
任玉婷/陈晶
资源描述/特殊备注
辛苦顾问加微信，已经和学员沟通好，先报10小时非定制学习写作</t>
  </si>
  <si>
    <t>学管转介绍</t>
  </si>
  <si>
    <t>姜昕彤</t>
  </si>
  <si>
    <t>30580122</t>
  </si>
  <si>
    <t>2025-11-03 14:46</t>
  </si>
  <si>
    <t>法学</t>
  </si>
  <si>
    <t>2025-11-03 15:33</t>
  </si>
  <si>
    <t>2025-11-03 15:37</t>
  </si>
  <si>
    <t>LP1762155188808</t>
  </si>
  <si>
    <t>BJWY3434115421</t>
  </si>
  <si>
    <t>回访人：谭悦，回访时间：2025-11-03 14:46，回访内容：跟进考研一对一辅导，加微信；|回访人：谭悦，回访时间：2025-11-03 15:33，回访内容：系统自动签约</t>
  </si>
  <si>
    <t>蒋洲</t>
  </si>
  <si>
    <t>135849991</t>
  </si>
  <si>
    <t>2025-11-27 10:29:42</t>
  </si>
  <si>
    <t>续费原因：2小时，个性化；该学生为保护期内续费，原顾问：国内大学部-赵星火(zhaoxinghuo@xdf.cn)</t>
  </si>
  <si>
    <t>30902510</t>
  </si>
  <si>
    <t>2025-11-27 10:33</t>
  </si>
  <si>
    <t>物理系</t>
  </si>
  <si>
    <t>物理学</t>
  </si>
  <si>
    <t>2025-11-27 11:12</t>
  </si>
  <si>
    <t>LP1764213123276</t>
  </si>
  <si>
    <t>BJWY8202292766</t>
  </si>
  <si>
    <t>2025-11-27</t>
  </si>
  <si>
    <t>回访人：赵星火，回访时间：2025-11-27 10:33，回访内容：预计两小时；|回访人：赵星火，回访时间：2025-11-27 11:12，回访内容：系统自动签约</t>
  </si>
  <si>
    <t>雷才利</t>
  </si>
  <si>
    <t>136076596</t>
  </si>
  <si>
    <t>2025-11-30 15:26:26</t>
  </si>
  <si>
    <t>续费原因：需要续费2小时，选好教师后报课，个性化；该学生为保护期内续费，原顾问：国内大学部-谭悦(tanyue9@xdf.cn)</t>
  </si>
  <si>
    <t>30953965</t>
  </si>
  <si>
    <t>2025-11-30 19:01</t>
  </si>
  <si>
    <t>华中农业大学</t>
  </si>
  <si>
    <t>园艺林学学院</t>
  </si>
  <si>
    <t>风景园林</t>
  </si>
  <si>
    <t>2025-11-30 19:18</t>
  </si>
  <si>
    <t>2025-11-30 23:31</t>
  </si>
  <si>
    <t>LP17645014924982</t>
  </si>
  <si>
    <t>BJWY7202042206</t>
  </si>
  <si>
    <t>回访人：谭悦，回访时间：2025-11-30 19:01，回访内容：1；|回访人：谭悦，回访时间：2025-11-30 19:18，回访内容：系统自动签约</t>
  </si>
  <si>
    <t>北京先不加哦</t>
  </si>
  <si>
    <t>133676602</t>
  </si>
  <si>
    <t>北京客服部</t>
  </si>
  <si>
    <t>2025-11-07 13:09:25</t>
  </si>
  <si>
    <t>北京</t>
  </si>
  <si>
    <t>2026财年第6财月代理商</t>
  </si>
  <si>
    <t>线上运营-商务合作</t>
  </si>
  <si>
    <t>众学帮</t>
  </si>
  <si>
    <t>2025-11-07 15:05:06</t>
  </si>
  <si>
    <t>李丹尼</t>
  </si>
  <si>
    <t>30699753</t>
  </si>
  <si>
    <t>2025-11-07 15:52</t>
  </si>
  <si>
    <t>北京石油化工学院</t>
  </si>
  <si>
    <t>经济管理学院</t>
  </si>
  <si>
    <t>电子商务</t>
  </si>
  <si>
    <t>2025-11-29 10:48</t>
  </si>
  <si>
    <t>2025-11-29 14:17</t>
  </si>
  <si>
    <t>21041968775</t>
  </si>
  <si>
    <t>2027考研管综无忧计划·1期</t>
  </si>
  <si>
    <t>BJWY9367616072</t>
  </si>
  <si>
    <t>回访人：赵星火，回访时间：2025-11-20 17:31，回访内容：回访学生情况这边跟进中继续维护学生
表示孩子哭了晚点再说；|回访人：赵星火，回访时间：2025-11-22 21:17，回访内容：临时有事明天回访；|回访人：赵星火，回访时间：2025-11-24 17:26，回访内容：回访学生之前表示孩子压力大 还没确定下来专业跟进中；|回访人：赵星火，回访时间：2025-11-28 17:57，回访内容：明天计划来校区这边沟通学习情况跟进中；|回访人：赵星火，回访时间：2025-11-29 10:48，回访内容：签约</t>
  </si>
  <si>
    <t>线下代理商</t>
  </si>
  <si>
    <t>3201727</t>
  </si>
  <si>
    <t>考研督学计划 27考研英语督学计划</t>
  </si>
  <si>
    <t>108320172700000002</t>
  </si>
  <si>
    <t>94741951</t>
  </si>
  <si>
    <t>2025-02-16 17:07:41</t>
  </si>
  <si>
    <t>内部员工推荐给赵星火老师</t>
  </si>
  <si>
    <t>李昊鹏</t>
  </si>
  <si>
    <t>30710438</t>
  </si>
  <si>
    <t>2025-11-10 10:48</t>
  </si>
  <si>
    <t>中国劳动关系学院</t>
  </si>
  <si>
    <t>应用技术学院</t>
  </si>
  <si>
    <t>2025-11-10 10:49</t>
  </si>
  <si>
    <t>WYC27002</t>
  </si>
  <si>
    <t>考研专业课无忧计划（27考研/408计算机）</t>
  </si>
  <si>
    <t>刘红雎+liuhongju@xdf.cn+ID+产业机构-前途出国</t>
  </si>
  <si>
    <t>BJWY24032w1g8X</t>
  </si>
  <si>
    <t>BJWY3908538703</t>
  </si>
  <si>
    <t>WYC270020001</t>
  </si>
  <si>
    <t>回访人：赵星火，回访时间：2025-11-10 10:48，回访内容：1；|回访人：赵星火，回访时间：2025-11-10 10:49，回访内容：1</t>
  </si>
  <si>
    <t>127312848</t>
  </si>
  <si>
    <t>2025-09-13 09:51:15</t>
  </si>
  <si>
    <t>内推给赵星火老师</t>
  </si>
  <si>
    <t>李嘉璐</t>
  </si>
  <si>
    <t>30710431</t>
  </si>
  <si>
    <t>2025-11-10 10:47</t>
  </si>
  <si>
    <t>考研专业课,考研集训营</t>
  </si>
  <si>
    <t>北京工商大学嘉华学院</t>
  </si>
  <si>
    <t>会计学院</t>
  </si>
  <si>
    <t>会计</t>
  </si>
  <si>
    <t>袁琳+yuanlin9@xdf.cn+袁琳9(新东方教育科技集团有限公司-培训学校-北京学校-高中一对一部-西北区-远大路分中心 | 分中心高级主管)</t>
  </si>
  <si>
    <t>BJWY2201F8pC6h</t>
  </si>
  <si>
    <t>BJWY9464850685</t>
  </si>
  <si>
    <t>WYC271030005</t>
  </si>
  <si>
    <t>回访人：赵星火，回访时间：2025-11-10 10:47，回访内容：1；|回访人：赵星火，回访时间：2025-11-10 10:48，回访内容：1</t>
  </si>
  <si>
    <t>寒暑假集训营（春秋OMO）,考研专业课300</t>
  </si>
  <si>
    <t>英语,政治,专业课300</t>
  </si>
  <si>
    <t>nu</t>
  </si>
  <si>
    <t>135461015</t>
  </si>
  <si>
    <t>张冰</t>
  </si>
  <si>
    <t>2025-11-22 18:02:27</t>
  </si>
  <si>
    <t>咨询一对一，今年考研，着急联系</t>
  </si>
  <si>
    <t>总部-巨量广告</t>
  </si>
  <si>
    <t>李孝妍</t>
  </si>
  <si>
    <t>30831477</t>
  </si>
  <si>
    <t>2025-11-22 18:55</t>
  </si>
  <si>
    <t>中央财经大学</t>
  </si>
  <si>
    <t>经济学院</t>
  </si>
  <si>
    <t>经济学</t>
  </si>
  <si>
    <t>2025-11-23 09:08</t>
  </si>
  <si>
    <t>2025-11-27 17:15</t>
  </si>
  <si>
    <t>LP17638601264498</t>
  </si>
  <si>
    <t>BJWY7583492040</t>
  </si>
  <si>
    <t>2025-11-23</t>
  </si>
  <si>
    <t>回访人：李涛，回访时间：2025-11-22 18:55，回访内容：学生是央财沙河校区的，今年考，想要冲刺一下京东数学，基础不是很好，推荐1对1课程，介绍上课模式，推荐老师，加微信沟通中。；|回访人：李涛，回访时间：2025-11-23 09:08，回访内容：系统自动签约</t>
  </si>
  <si>
    <t>数学,经综</t>
  </si>
  <si>
    <t>市场</t>
  </si>
  <si>
    <t>LP17642348921845</t>
  </si>
  <si>
    <t>李子扬</t>
  </si>
  <si>
    <t>136365156</t>
  </si>
  <si>
    <t>2025-12-01 17:37:19</t>
  </si>
  <si>
    <t>续费原因：续费8小时六级 辛苦流转星火；该学生为保护期内续费，原顾问：国内大学部-赵星火(zhaoxinghuo@xdf.cn)</t>
  </si>
  <si>
    <t>30921328</t>
  </si>
  <si>
    <t>2025-12-01 17:42</t>
  </si>
  <si>
    <t>北京工业大学都柏林学院</t>
  </si>
  <si>
    <t>2025-12-01 18:27</t>
  </si>
  <si>
    <t>2025-12-01 18:54</t>
  </si>
  <si>
    <t>LP17645848687373</t>
  </si>
  <si>
    <t>BJWY5491797172</t>
  </si>
  <si>
    <t>回访人：赵星火，回访时间：2025-12-01 17:42，回访内容：计划续费4次课；|回访人：赵星火，回访时间：2025-12-01 18:27，回访内容：系统自动签约</t>
  </si>
  <si>
    <t>刘皓惟</t>
  </si>
  <si>
    <t>133486098</t>
  </si>
  <si>
    <t>2025-11-06 10:35:44</t>
  </si>
  <si>
    <t>续费原因：目前大三想准备考研 咨询一对一 ；该学生为保护期内续费，原顾问：国内大学部-刘文君(liuwenjun6@xdf.cn)</t>
  </si>
  <si>
    <t>30693071</t>
  </si>
  <si>
    <t>2025-11-06 10:56</t>
  </si>
  <si>
    <t>信息管理学院</t>
  </si>
  <si>
    <t>大数据管理与应用</t>
  </si>
  <si>
    <t>2025-11-12 11:07</t>
  </si>
  <si>
    <t>WYM27021</t>
  </si>
  <si>
    <t>考研数学无忧计划（27考研/冲刺）</t>
  </si>
  <si>
    <t>WebReg</t>
  </si>
  <si>
    <t>BJWY9243582547</t>
  </si>
  <si>
    <t>WYM270210029</t>
  </si>
  <si>
    <t>2025-11-12</t>
  </si>
  <si>
    <t>回访人：赵星火，回访时间：2025-11-06 10:56，回访内容：本科学校和专业  北信科 大数据专业
目标院校和专业 没有完全确定院校目标，不想要学习计算机相关的，之前给孩子看的是这种  地理信息系统遥感科学与技术  武汉大学的
就业
基本学情 四六级大学数学 四级  考过了 六级12月
数学现在还可以，十次课还剩余新东方课时
学习时间分配
学习习惯
介绍一对一邀约校区沟通；|回访人：赵星火，回访时间：2025-11-07 16:08，回访内容：跟进学生邀约面谈跟进中这边继续维护中。；|回访人：赵星火，回访时间：2025-11-09 22:03，回访内容：临时有事请假明天回访；|回访人：赵星火，回访时间：2025-11-10 17:02，回访内容：沟通专业院校中，这边想要华电的管理类的这边跟进中，继续维护；|回访人：赵星火，回访时间：2025-11-12 11:07，回访内容：跟进中</t>
  </si>
  <si>
    <t>考研专业课150,无忧计划-早鸟</t>
  </si>
  <si>
    <t>报名</t>
  </si>
  <si>
    <t>WYE27201</t>
  </si>
  <si>
    <t>考研英语无忧计划（27考研/基础）</t>
  </si>
  <si>
    <t>WYE272010013</t>
  </si>
  <si>
    <t>WYP27201</t>
  </si>
  <si>
    <t>考研政治无忧计划（27考研/基础）</t>
  </si>
  <si>
    <t>WYP272010010</t>
  </si>
  <si>
    <t>WYE27020</t>
  </si>
  <si>
    <t>考研英语无忧计划（27考研/英一强化）</t>
  </si>
  <si>
    <t>WYE270200030</t>
  </si>
  <si>
    <t>WYE27021</t>
  </si>
  <si>
    <t>考研英语无忧计划（27考研/英一冲刺）</t>
  </si>
  <si>
    <t>WYE270210030</t>
  </si>
  <si>
    <t>WYM27019</t>
  </si>
  <si>
    <t>考研数学无忧计划（27考研/基础）</t>
  </si>
  <si>
    <t>WYM270190030</t>
  </si>
  <si>
    <t>WYM27020</t>
  </si>
  <si>
    <t>考研数学无忧计划（27考研/强化）</t>
  </si>
  <si>
    <t>WYM270200029</t>
  </si>
  <si>
    <t>WYP27202</t>
  </si>
  <si>
    <t>考研政治无忧计划（27考研/强化）</t>
  </si>
  <si>
    <t>WYP272020010</t>
  </si>
  <si>
    <t>WYP27203</t>
  </si>
  <si>
    <t>考研政治无忧计划（27考研/冲刺）</t>
  </si>
  <si>
    <t>WYP272030010</t>
  </si>
  <si>
    <t>LP1762915865331</t>
  </si>
  <si>
    <t>考研初试专业课一对一（27考研/无忧30小时）</t>
  </si>
  <si>
    <t>刘家豪</t>
  </si>
  <si>
    <t>136146714</t>
  </si>
  <si>
    <t>王天义</t>
  </si>
  <si>
    <t>2025-11-30 10:54:12</t>
  </si>
  <si>
    <t>续费原因：学生考虑续费三次一对一课程，非定制；该学生为保护期内续费，原顾问：国内大学部-谭悦(tanyue9@xdf.cn)</t>
  </si>
  <si>
    <t>王天义wangtianyi56@xdf.cn</t>
  </si>
  <si>
    <t>30892629</t>
  </si>
  <si>
    <t>2025-11-30 15:54</t>
  </si>
  <si>
    <t>北京交通大学</t>
  </si>
  <si>
    <t>材料</t>
  </si>
  <si>
    <t>2025-11-30 16:02</t>
  </si>
  <si>
    <t>2025-11-30 16:29</t>
  </si>
  <si>
    <t>LP17644897583010</t>
  </si>
  <si>
    <t>BJWY3144689723</t>
  </si>
  <si>
    <t>回访人：谭悦，回访时间：2025-11-30 15:54，回访内容：1；|回访人：谭悦，回访时间：2025-11-30 16:02，回访内容：系统自动签约</t>
  </si>
  <si>
    <t>刘潇婧</t>
  </si>
  <si>
    <t>136235064</t>
  </si>
  <si>
    <t>2025-11-30 20:25:17</t>
  </si>
  <si>
    <t xml:space="preserve">学生学习英语和政治，先报12小时的非定制课程，教师是龚媛媛和王晶，辛苦加学生的微信沟通付款
</t>
  </si>
  <si>
    <t>30954826</t>
  </si>
  <si>
    <t>2025-12-01 10:05</t>
  </si>
  <si>
    <t>南京航空航天大学</t>
  </si>
  <si>
    <t>2025-12-01 14:56</t>
  </si>
  <si>
    <t>2025-12-01 15:00</t>
  </si>
  <si>
    <t>LP17645721765147</t>
  </si>
  <si>
    <t>BJWY0762412108</t>
  </si>
  <si>
    <t>回访人：李涛，回访时间：2025-12-01 10:05，回访内容：学生学习英语和政治，先报12小时的非定制课程，教师是龚媛媛和王晶；|回访人：李涛，回访时间：2025-12-01 14:56，回访内容：系统自动签约</t>
  </si>
  <si>
    <t>刘柱山</t>
  </si>
  <si>
    <t>133739987</t>
  </si>
  <si>
    <t>2025-11-07 15:32:10</t>
  </si>
  <si>
    <t>续费原因：加 3 次逻辑共 6 小时，2 次写作共 2 小时，一共 8 小时管综；该学生为保护期内续费，原顾问：国内大学部-谭悦(tanyue9@xdf.cn)</t>
  </si>
  <si>
    <t>30706489</t>
  </si>
  <si>
    <t>2025-11-09 11:08</t>
  </si>
  <si>
    <t>国际经济与贸易学院</t>
  </si>
  <si>
    <t>国际商务</t>
  </si>
  <si>
    <t>2025-11-09 15:57</t>
  </si>
  <si>
    <t>2025-11-09 17:09</t>
  </si>
  <si>
    <t>LP17626750221872</t>
  </si>
  <si>
    <t>考研初试专业课一对一伴学班（经综-26考季）</t>
  </si>
  <si>
    <t>BJWY3477910309</t>
  </si>
  <si>
    <t>回访人：谭悦，回访时间：2025-11-09 11:08，回访内容：1；|回访人：谭悦，回访时间：2025-11-09 15:57，回访内容：系统自动签约</t>
  </si>
  <si>
    <t>国内高校-中外合作办学</t>
  </si>
  <si>
    <t>135414334</t>
  </si>
  <si>
    <t>2025-11-22 11:17:41</t>
  </si>
  <si>
    <t>续费原因：续费，个性化；该学生为保护期内续费，原顾问：国内大学部-谭悦(tanyue9@xdf.cn)</t>
  </si>
  <si>
    <t>吕昊铭</t>
  </si>
  <si>
    <t>30856055</t>
  </si>
  <si>
    <t>2025-11-22 20:32</t>
  </si>
  <si>
    <t>北京理工大学</t>
  </si>
  <si>
    <t>材料学院</t>
  </si>
  <si>
    <t>材料科学与工程</t>
  </si>
  <si>
    <t>2025-11-22 20:33</t>
  </si>
  <si>
    <t>2025-11-22 20:35</t>
  </si>
  <si>
    <t>LP17638148124140</t>
  </si>
  <si>
    <t>BJWY9628596430</t>
  </si>
  <si>
    <t>回访人：谭悦，回访时间：2025-11-22 20:32，回访内容：1；|回访人：谭悦，回访时间：2025-11-22 20:33，回访内容：系统自动签约</t>
  </si>
  <si>
    <t>30853054</t>
  </si>
  <si>
    <t>2025-11-22 12:45</t>
  </si>
  <si>
    <t>2025-11-22 17:01</t>
  </si>
  <si>
    <t>2025-11-22 17:15</t>
  </si>
  <si>
    <t>LP17638020862973</t>
  </si>
  <si>
    <t>六级一对一伴学班（定制）</t>
  </si>
  <si>
    <t>回访人：谭悦，回访时间：2025-11-22 12:45，回访内容：1；|回访人：谭悦，回访时间：2025-11-22 17:01，回访内容：系统自动签约</t>
  </si>
  <si>
    <t>125744073</t>
  </si>
  <si>
    <t>2025-09-01 17:44:10</t>
  </si>
  <si>
    <t>死单激活，刘创；</t>
  </si>
  <si>
    <t>刘创</t>
  </si>
  <si>
    <t>总部-百度投放</t>
  </si>
  <si>
    <t>吕松澄</t>
  </si>
  <si>
    <t>30710678</t>
  </si>
  <si>
    <t>2025-11-10 11:01</t>
  </si>
  <si>
    <t>信息学部</t>
  </si>
  <si>
    <t>计算机科学与技术（实验班)</t>
  </si>
  <si>
    <t>2025-11-10 11:02</t>
  </si>
  <si>
    <t>2025-11-10 11:03</t>
  </si>
  <si>
    <t>BJWY6180564776</t>
  </si>
  <si>
    <t>回访人：刘创，回访时间：2025-11-10 11:01，回访内容：1；|回访人：刘创，回访时间：2025-11-10 11:02，回访内容：1</t>
  </si>
  <si>
    <t>Leb</t>
  </si>
  <si>
    <t>133190727</t>
  </si>
  <si>
    <t>王朝群</t>
  </si>
  <si>
    <t>2025-11-02 15:01:53</t>
  </si>
  <si>
    <t>【王朝群】咨询考研英语+政治一对一辅导</t>
  </si>
  <si>
    <t>小红书KOS</t>
  </si>
  <si>
    <t>马欧力</t>
  </si>
  <si>
    <t>30648417</t>
  </si>
  <si>
    <t>2025-11-02 15:18</t>
  </si>
  <si>
    <t>机械工程学院</t>
  </si>
  <si>
    <t>2025-11-03 18:26</t>
  </si>
  <si>
    <t>2025-11-03 18:33</t>
  </si>
  <si>
    <t>36384969030</t>
  </si>
  <si>
    <t>BJWY5875380161</t>
  </si>
  <si>
    <t>回访人：赵星火，回访时间：2025-11-02 15:18，回访内容：考本校本专业自述要370，英语需要做题技巧和写作，目标分70
政治没开始需要60+
数学自己学习
专业课没开始介绍新东方的辅导，意向知春路；|回访人：赵星火，回访时间：2025-11-03 15:17，回访内容：回访学生情况考北科的机械，这边问下家里的考虑还没确认。；|回访人：赵星火，回访时间：2025-11-03 18:26，回访内容：系统自动签约</t>
  </si>
  <si>
    <t>LP17621659211183</t>
  </si>
  <si>
    <t>马雨晨</t>
  </si>
  <si>
    <t>133209037</t>
  </si>
  <si>
    <t>2025-11-02 23:55:39</t>
  </si>
  <si>
    <t>续费原因：10小时专业课可以加；该学生为保护期内续费，原顾问：国内大学部-赵星火(zhaoxinghuo@xdf.cn)</t>
  </si>
  <si>
    <t>30654908</t>
  </si>
  <si>
    <t>2025-11-03 10:20</t>
  </si>
  <si>
    <t>北京邮电大学世纪学院</t>
  </si>
  <si>
    <t>外语系</t>
  </si>
  <si>
    <t>2025-11-03 10:38</t>
  </si>
  <si>
    <t>2025-11-03 10:40</t>
  </si>
  <si>
    <t>LP1762137510106</t>
  </si>
  <si>
    <t>BJWY0133779918</t>
  </si>
  <si>
    <t>回访人：赵星火，回访时间：2025-11-03 10:20，回访内容：签约；|回访人：赵星火，回访时间：2025-11-03 10:38，回访内容：系统自动签约</t>
  </si>
  <si>
    <t>梅嘉润</t>
  </si>
  <si>
    <t>134865026</t>
  </si>
  <si>
    <t>2025-11-17 19:51:01</t>
  </si>
  <si>
    <t>续费原因：学生续费 10h 数学课非定制；该学生为保护期内续费，原顾问：国内大学部-赵星火(zhaoxinghuo@xdf.cn)</t>
  </si>
  <si>
    <t>30810388</t>
  </si>
  <si>
    <t>2025-11-18 10:29</t>
  </si>
  <si>
    <t>辽宁大学</t>
  </si>
  <si>
    <t>电子信息科学与技术</t>
  </si>
  <si>
    <t>2025-11-18 12:46</t>
  </si>
  <si>
    <t>2025-11-18 12:48</t>
  </si>
  <si>
    <t>LP1763441212420</t>
  </si>
  <si>
    <t>BJWY8697479484</t>
  </si>
  <si>
    <t>回访人：赵星火，回访时间：2025-11-18 10:29，回访内容：1；|回访人：赵星火，回访时间：2025-11-18 12:46，回访内容：系统自动签约</t>
  </si>
  <si>
    <t>数学</t>
  </si>
  <si>
    <t>134524349</t>
  </si>
  <si>
    <t>2025-11-14 11:53:26</t>
  </si>
  <si>
    <t xml:space="preserve">四级英语
</t>
  </si>
  <si>
    <t>百教网</t>
  </si>
  <si>
    <t>梅溪田</t>
  </si>
  <si>
    <t>30780899</t>
  </si>
  <si>
    <t>2025-11-14 15:54</t>
  </si>
  <si>
    <t>长春理工大学</t>
  </si>
  <si>
    <t>光电工程学院</t>
  </si>
  <si>
    <t>光电信息科学与工程（工学）</t>
  </si>
  <si>
    <t>2025-11-18 12:35</t>
  </si>
  <si>
    <t>2025-11-18 12:39</t>
  </si>
  <si>
    <t>WYHM27001</t>
  </si>
  <si>
    <t>考研数学无忧计划候鸟（27考研/基础强化）</t>
  </si>
  <si>
    <t>BJWY4119645110</t>
  </si>
  <si>
    <t>WYHM270010018</t>
  </si>
  <si>
    <t>回访人：赵星火，回访时间：2025-11-14 15:54，回访内容：表示就想要数学一的班课辅导，寒假的这边跟进中继续维护学生情况。；|回访人：赵星火，回访时间：2025-11-16 20:36，回访内容：临时有事明天回访；|回访人：赵星火，回访时间：2025-11-17 14:46，回访内容：回访学生情况这边继续维护学生考虑跟进中；|回访人：赵星火，回访时间：2025-11-18 12:35，回访内容：1</t>
  </si>
  <si>
    <t>无忧计划-候鸟</t>
  </si>
  <si>
    <t>WYHM27002</t>
  </si>
  <si>
    <t>考研数学无忧计划候鸟（27考研/冲刺）</t>
  </si>
  <si>
    <t>WYHM270020018</t>
  </si>
  <si>
    <t>128355093</t>
  </si>
  <si>
    <t>2025-09-21 11:18:18</t>
  </si>
  <si>
    <t>激活</t>
  </si>
  <si>
    <t>巨量广告</t>
  </si>
  <si>
    <t>孟瑞航</t>
  </si>
  <si>
    <t>30710400</t>
  </si>
  <si>
    <t>2025-11-10 10:41</t>
  </si>
  <si>
    <t>软件工程（实验班）</t>
  </si>
  <si>
    <t>2025-11-10 10:44</t>
  </si>
  <si>
    <t>BJWY8048985572</t>
  </si>
  <si>
    <t>WYC271030009</t>
  </si>
  <si>
    <t>回访人：赵星火，回访时间：2025-11-10 10:41，回访内容：1；|回访人：赵星火，回访时间：2025-11-10 10:44，回访内容：1</t>
  </si>
  <si>
    <t>无忧计划-早鸟,考研专业课150</t>
  </si>
  <si>
    <t>英语,政治,数学,计算机,专业课150</t>
  </si>
  <si>
    <t>齐子涵</t>
  </si>
  <si>
    <t>133242906</t>
  </si>
  <si>
    <t>2025-11-03 10:46:51</t>
  </si>
  <si>
    <t>续费原因：续费 6h；该学生为保护期内续费，原顾问：国内大学部-赵星火(zhaoxinghuo@xdf.cn)</t>
  </si>
  <si>
    <t>30650722</t>
  </si>
  <si>
    <t>2025-11-03 10:55</t>
  </si>
  <si>
    <t>工学院</t>
  </si>
  <si>
    <t>农业工程</t>
  </si>
  <si>
    <t>2025-11-03 10:57</t>
  </si>
  <si>
    <t>2025-11-03 10:59</t>
  </si>
  <si>
    <t>LP1762138635165</t>
  </si>
  <si>
    <t>BJWY2929284490</t>
  </si>
  <si>
    <t>回访人：赵星火，回访时间：2025-11-03 10:55，回访内容：1；|回访人：赵星火，回访时间：2025-11-03 10:57，回访内容：系统自动签约</t>
  </si>
  <si>
    <t>其乐木格</t>
  </si>
  <si>
    <t>133384773</t>
  </si>
  <si>
    <t>2025-11-04 15:00:37</t>
  </si>
  <si>
    <t>续费原因：续费，赵星火；该学生为保护期内续费，原顾问：国内大学部-赵星火(zhaoxinghuo@xdf.cn)</t>
  </si>
  <si>
    <t>30660407</t>
  </si>
  <si>
    <t>2025-11-04 15:18</t>
  </si>
  <si>
    <t>马克思主义学院</t>
  </si>
  <si>
    <t>中国共产党历史</t>
  </si>
  <si>
    <t>2025-11-04 15:19</t>
  </si>
  <si>
    <t>2025-11-04 15:30</t>
  </si>
  <si>
    <t>LP1762240780945</t>
  </si>
  <si>
    <t>BJWY9831867979</t>
  </si>
  <si>
    <t>回访人：赵星火，回访时间：2025-11-04 15:18，回访内容：签约1；|回访人：赵星火，回访时间：2025-11-04 15:19，回访内容：系统自动签约</t>
  </si>
  <si>
    <t>124719714</t>
  </si>
  <si>
    <t>2025-08-22 11:32:22</t>
  </si>
  <si>
    <t xml:space="preserve">考北大 文学现代汉语，咨询考研专业课，目前在北京可以到校区面询
渠道录入来源：大众点评
事件名称：400电话
大众点评门店名称：新东方考研四六级(中关村总部)
店铺绑定的校区：临时教学校区
店铺管理员邮箱：lvmeng2@xdf.cn
备注：2025-08-22 11:32:20,用户在大众点评新东方考研四六级(中关村总部)呼入400电话 已接
</t>
  </si>
  <si>
    <t>2026财年第3财月大众点评在线咨询</t>
  </si>
  <si>
    <t>青松</t>
  </si>
  <si>
    <t>30880653</t>
  </si>
  <si>
    <t>2025-11-27 16:45</t>
  </si>
  <si>
    <t>广东财经大学</t>
  </si>
  <si>
    <t>LP17587025531109</t>
  </si>
  <si>
    <t>BJWY1260307992</t>
  </si>
  <si>
    <t>回访人：系统管理员，回访时间：2025-11-27 16:45，回访内容：学生转产品转入，创建续费工单。</t>
  </si>
  <si>
    <t>LP17642330441626</t>
  </si>
  <si>
    <t>132181335</t>
  </si>
  <si>
    <t>2025-10-24 15:01:02</t>
  </si>
  <si>
    <t xml:space="preserve">渠道录入来源：集团百度搜索-基木鱼-新媒体管家
活动所属学校id：108
活动所属学校名称：北京大学事业部
统一活动id：2824107
统一活动名称：北京大学事业部25年10月百度搜索在线咨询
线索接收学校id：108
线索id：18be486027f8183461b1b1b59f78d55e
线索接收部门code：02
线索接收二级部门code：0201
渠道名称：网络营销-百度搜索-在线咨询
线索接收人邮箱：zhangyanan13@xdf.cn
备注：当前线索来源于百度搜索
账户ID：60103473
线索类型：咨询
留资时间：2025-10-24 14:52:10
流量渠道：百度-搜索推广
线索地域：北京
通话状态：未接通
搜索词：北京线下考研辅导机构哪家好
C端用户名称：
账号名称：
关键词：新东方考研机构价目表
站点名称：新东方考研专属客服
站点URL：https://ada.baidu.com/site/wjz2uk75/agent?imid=b9cc3f4ec469d744ef91d47374486c78
推广计划：新东方-考研
IP: 1.202.53.35
</t>
  </si>
  <si>
    <t>2026财年第5财月集团百度搜索-基木鱼-新媒体管家</t>
  </si>
  <si>
    <t>秋何故</t>
  </si>
  <si>
    <t>30548084</t>
  </si>
  <si>
    <t>2025-10-24 15:25</t>
  </si>
  <si>
    <t>考研集训营</t>
  </si>
  <si>
    <t>北京第二外国语学院</t>
  </si>
  <si>
    <t>英语学院</t>
  </si>
  <si>
    <t>2025-11-02 21:24</t>
  </si>
  <si>
    <t>2025-11-02 22:12</t>
  </si>
  <si>
    <t>39232209222</t>
  </si>
  <si>
    <t>2027考研专业课定制一对一（50h）-A班</t>
  </si>
  <si>
    <t>2025-11-02</t>
  </si>
  <si>
    <t>回访人：赵星火，回访时间：2025-10-24 15:25，回访内容：本科学校和专业，现在在职想要明年考试，本科
目标院校和专业，想要政法大学法学，全日制的，法律非法，纪检监察学
就业，现在从事语言类的工作，
基本学情 四六级大学数学,之前考过英语一70，
学习时间分配
学习习惯，集体宿舍，教培行业
了解全年集训和半年集训跟进中，继续维护。；|回访人：赵星火，回访时间：2025-10-25 15:06，回访内容：给到联报优惠  大班 课程跟进中继续维护；|回访人：赵星火，回访时间：2025-10-27 15:39，回访内容：表示最近工作在忙，还要再确定一下，也问了具体研究方向，还有上岸情况给到信心；|回访人：赵星火，回访时间：2025-10-29 17:56，回访内容：给到报名优惠倒计时跟进学生情况中继续维护；|回访人：赵星火，回访时间：2025-10-31 16:23，回访内容：回访学生情况这边继续维护学生考虑跟进中；|回访人：赵星火，回访时间：2025-11-02 21:24，回访内容：系统自动签约</t>
  </si>
  <si>
    <t>全年集训营</t>
  </si>
  <si>
    <t>集团百度搜索-基木鱼-新媒体管家</t>
  </si>
  <si>
    <t>84737872942</t>
  </si>
  <si>
    <t>2027考研政治全程班 早鸟4班,2027考研英语全程班 早鸟4班</t>
  </si>
  <si>
    <t>长期班,长期班</t>
  </si>
  <si>
    <t>沈劲成</t>
  </si>
  <si>
    <t>133507822</t>
  </si>
  <si>
    <t>2025-11-05 15:08:02</t>
  </si>
  <si>
    <t>续费原因：续费 辛苦分配谭悦；该学生为保护期内续费，原顾问：国内大学部-谭悦(tanyue9@xdf.cn)</t>
  </si>
  <si>
    <t>30664691</t>
  </si>
  <si>
    <t>2025-11-05 15:40</t>
  </si>
  <si>
    <t>六级,四级</t>
  </si>
  <si>
    <t>河北医科大学</t>
  </si>
  <si>
    <t>医学院</t>
  </si>
  <si>
    <t>临床医学药物分析</t>
  </si>
  <si>
    <t>2025-11-05 18:43</t>
  </si>
  <si>
    <t>2025-11-05 19:09</t>
  </si>
  <si>
    <t>LP17623394251960</t>
  </si>
  <si>
    <t>XDF082122170236310</t>
  </si>
  <si>
    <t>回访人：谭悦，回访时间：2025-11-05 15:40，回访内容：续费一对一，跟进中 ；|回访人：谭悦，回访时间：2025-11-05 15:54，回访内容：续费；|回访人：谭悦，回访时间：2025-11-05 18:43，回访内容：系统自动签约</t>
  </si>
  <si>
    <t>四级一对一</t>
  </si>
  <si>
    <t>LP17623400011970</t>
  </si>
  <si>
    <t>132801311</t>
  </si>
  <si>
    <t>2025-10-30 12:56:52</t>
  </si>
  <si>
    <t xml:space="preserve">考中传播音主持，咨询考研课程
渠道录入来源：大众点评
事件名称：400电话
大众点评门店名称：新东方考研四六级(中关村总部)
店铺绑定的校区：临时教学校区
店铺管理员邮箱：lvmeng2@xdf.cn
备注：2025-10-30 12:56:48,用户在大众点评新东方考研四六级(中关村总部)呼入400电话 已接
</t>
  </si>
  <si>
    <t>2026财年第5财月大众点评在线咨询</t>
  </si>
  <si>
    <t>舒凌</t>
  </si>
  <si>
    <t>30635616</t>
  </si>
  <si>
    <t>2025-10-30 15:09</t>
  </si>
  <si>
    <t>毕业/在职</t>
  </si>
  <si>
    <t>2025-11-06 14:47</t>
  </si>
  <si>
    <t>2025-11-06 14:56</t>
  </si>
  <si>
    <t>01034781574</t>
  </si>
  <si>
    <t>2027考研政治直通车 长线4期,2027考研英语直通车  长线4期</t>
  </si>
  <si>
    <t>2025-11-06</t>
  </si>
  <si>
    <t>回访人：谭悦，回访时间：2025-10-30 15:09，回访内容：自考本科，北影，演员，想考中传播音主持， 介绍了菁英，督学，无忧，学生自己凑钱报课，说攒三个月才能有8000块钱，要分期，问全程班淘宝只要一千多。 没有消费能力，12月才能攒到钱报名 ；|回访人：谭悦，回访时间：2025-11-06 14:40，回访内容：准备报英语政治网课  ；|回访人：谭悦，回访时间：2025-11-06 14:47，回访内容：系统自动签约</t>
  </si>
  <si>
    <t>新媒体管家-点评</t>
  </si>
  <si>
    <t>127719805</t>
  </si>
  <si>
    <t>2025-09-16 17:56:14</t>
  </si>
  <si>
    <t xml:space="preserve">咨询考研线课程，想到校区咨询
渠道录入来源：百度地图
事件名称：电话咨询
百度门店id：64751032
百度门店名称：新东方考研四六级（良乡大学城校区）
店铺绑定的学校id：108
店铺绑定的部门code：02
活动所属学校id：108
活动所属学校名称：北京大学事业部
统一活动id：2756755
统一活动名称：北京大学事业部25年9月百度地图电话咨询
渠道名称：网络营销-百度地图店铺-电话咨询
店铺管理员邮箱：lvmeng2@xdf.cn
备注：用户在【2025-09-16 17:54:02】从【百度地图】渠道拨打了店铺电话，电话【已接通】。来源页面：【https://aisite.wejianzhan.com/site/wjzavdcm/de49a8a9-51d7-4236-ade1-e9780d284a02】
</t>
  </si>
  <si>
    <t>2026财年第4财月百度地图</t>
  </si>
  <si>
    <t>百度地图</t>
  </si>
  <si>
    <t>孙嘉珩</t>
  </si>
  <si>
    <t>30773971</t>
  </si>
  <si>
    <t>2025-11-10 19:49</t>
  </si>
  <si>
    <t>2025-11-10 19:50</t>
  </si>
  <si>
    <t>BJWY6729478911</t>
  </si>
  <si>
    <t>WYC271030008</t>
  </si>
  <si>
    <t>回访人：谭悦，回访时间：2025-11-10 19:49，回访内容：1；|回访人：谭悦，回访时间：2025-11-10 19:49，回访内容：1</t>
  </si>
  <si>
    <t>孙彤</t>
  </si>
  <si>
    <t>136250209</t>
  </si>
  <si>
    <t>陈号东</t>
  </si>
  <si>
    <t>2025-12-01 10:20:06</t>
  </si>
  <si>
    <t>续费原因：学生续费公共课一对一；该学生为保护期内续费，原顾问：国内大学部-谭悦(tanyue9@xdf.cn)</t>
  </si>
  <si>
    <t>陈号东chenhaodong5@xdf.cn</t>
  </si>
  <si>
    <t>30920432</t>
  </si>
  <si>
    <t>2025-12-01 15:41</t>
  </si>
  <si>
    <t>中国石油大学(北京)</t>
  </si>
  <si>
    <t>计算机</t>
  </si>
  <si>
    <t>2025-12-01 16:07</t>
  </si>
  <si>
    <t>2025-12-01 16:29</t>
  </si>
  <si>
    <t>LP17645764426042</t>
  </si>
  <si>
    <t>考研专业课一对一伴学班（其他/26考季）</t>
  </si>
  <si>
    <t>BJWY1101020582</t>
  </si>
  <si>
    <t>回访人：谭悦，回访时间：2025-12-01 15:41，回访内容：1；|回访人：谭悦，回访时间：2025-12-01 16:07，回访内容：系统自动签约</t>
  </si>
  <si>
    <t>LP17645764416040</t>
  </si>
  <si>
    <t>130402259</t>
  </si>
  <si>
    <t>2025-10-12 17:41:21</t>
  </si>
  <si>
    <t>续费原因：学生续费一对一；该学生为保护期内续费，原顾问：国内大学部-谭悦(tanyue9@xdf.cn)</t>
  </si>
  <si>
    <t>30690803</t>
  </si>
  <si>
    <t>2025-11-05 16:45</t>
  </si>
  <si>
    <t>LP17612921611105</t>
  </si>
  <si>
    <t>26考研一对一伴学（20h定制/无忧）</t>
  </si>
  <si>
    <t>回访人：系统管理员，回访时间：2025-11-05 16:45，回访内容：学生转产品转入，创建续费工单。</t>
  </si>
  <si>
    <t>英语,政治,数学</t>
  </si>
  <si>
    <t>LP17623319811465</t>
  </si>
  <si>
    <t>孙仲余</t>
  </si>
  <si>
    <t>135563350</t>
  </si>
  <si>
    <t>郝琨</t>
  </si>
  <si>
    <t>2025-11-24 14:37:48</t>
  </si>
  <si>
    <t>续费原因：学生续费一对一；该学生为保护期内续费，原顾问：国内大学部-赵星火(zhaoxinghuo@xdf.cn)</t>
  </si>
  <si>
    <t>郝琨haokun@xdf.cn</t>
  </si>
  <si>
    <t>30896188</t>
  </si>
  <si>
    <t>2025-11-25 15:43</t>
  </si>
  <si>
    <t>国际经济与贸易</t>
  </si>
  <si>
    <t>2025-12-02 11:05</t>
  </si>
  <si>
    <t>2025-12-02 11:08</t>
  </si>
  <si>
    <t>LP1764644728420</t>
  </si>
  <si>
    <t>XDF112220010736709</t>
  </si>
  <si>
    <t>回访人：赵星火，回访时间：2025-11-25 15:43，回访内容：想要政治专业课的这些主观题辅导跟进学生师资看下情况；|回访人：赵星火，回访时间：2025-11-27 16:31，回访内容：要试一次课程，没问题再续费跟进中继续维护。；|回访人：赵星火，回访时间：2025-12-02 11:05，回访内容：系统自动签约</t>
  </si>
  <si>
    <t>塔娜</t>
  </si>
  <si>
    <t>136246961</t>
  </si>
  <si>
    <t>2025-12-01 09:32:56</t>
  </si>
  <si>
    <t>续费原因：直接联系学生报4小时非定制课程即可，个性化；该学生为保护期内续费，原顾问：国内大学部-赵星火(zhaoxinghuo@xdf.cn)</t>
  </si>
  <si>
    <t>30919535</t>
  </si>
  <si>
    <t>2025-12-01 12:54</t>
  </si>
  <si>
    <t>中国地质大学(北京)</t>
  </si>
  <si>
    <t>资勘</t>
  </si>
  <si>
    <t>2025-12-02 14:06</t>
  </si>
  <si>
    <t>2025-12-02 14:07</t>
  </si>
  <si>
    <t>LP17646555731273</t>
  </si>
  <si>
    <t>BJWY0438533775</t>
  </si>
  <si>
    <t>回访人：赵星火，回访时间：2025-12-01 12:54，回访内容：续费；|回访人：赵星火，回访时间：2025-12-01 18:56，回访内容：已发订单；|回访人：赵星火，回访时间：2025-12-02 14:06，回访内容：系统自动签约</t>
  </si>
  <si>
    <t>唐欣</t>
  </si>
  <si>
    <t>135756822</t>
  </si>
  <si>
    <t>2025-11-26 11:51:35</t>
  </si>
  <si>
    <t>续费原因：续费，个性化；该学生为保护期内续费，原顾问：国内大学部-赵星火(zhaoxinghuo@xdf.cn)</t>
  </si>
  <si>
    <t>30801397</t>
  </si>
  <si>
    <t>2025-11-26 14:08</t>
  </si>
  <si>
    <t>2025-11-26 14:22</t>
  </si>
  <si>
    <t>LP17641381251250</t>
  </si>
  <si>
    <t>BJWY1667668404</t>
  </si>
  <si>
    <t>2025-11-26</t>
  </si>
  <si>
    <t>回访人：赵星火，回访时间：2025-11-26 14:08，回访内容：1；|回访人：赵星火，回访时间：2025-11-26 14:22，回访内容：系统自动签约</t>
  </si>
  <si>
    <t>北京市7352</t>
  </si>
  <si>
    <t>135571041</t>
  </si>
  <si>
    <t>杨俊42(国内)</t>
  </si>
  <si>
    <t>2025-11-24 17:26:21</t>
  </si>
  <si>
    <t>渠道录入来源：新东方PC官网-客服
意向城市：北京访客省/城市：北京市
访客静态ID：01000000034659397621681165517352
接待分组ID：70447
搜索引擎：
搜索词：
关键词：
设备类型：phone
访客IP：120.245.66.93
对话详细内容：AI-Lbo0rDBXCyBY 2025-11-24 17:23:38_x000D_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AI-Lbo0rDBXCyBY 2025-11-24 17:23:41_x000D_
您是想咨询【线下课程】【线上课程】【考研规划】还是【在职考研】呢？**【线下课程】#  **【线上课程】#**【考研规划】#**【在职考研】#_x000D_
_x000D_
01000000034659397621681165517352 2025-11-24 17:23:44_x000D_
【考研一对一】_x000D_
_x000D_
AI-Lbo0rDBXCyBY 2025-11-24 17:23:47_x000D_
同学，你现在是在校还是在职呢？_x000D_
_x000D_
01000000034659397621681165517352 2025-11-24 17:23:48_x000D_
【线上课程】_x000D_
_x000D_
AI-Lbo0rDBXCyBY 2025-11-24 17:23:51_x000D_
具体是想报考什么学校和专业呢？_x000D_
_x000D_
01000000034659397621681165517352 2025-11-24 17:24:05_x000D_
在职 需要一对一政治老师_x000D_
_x000D_
AI-Lbo0rDBXCyBY 2025-11-24 17:24:08_x000D_
好的，我这边安排专业老师给您回电，详细沟通一下，请问您的电话是多少呢？_x000D_
_x000D_
01000000034659397621681165517352 2025-11-24 17:24:18_x000D_
13522721802_x000D_
_x000D_
AI-Lbo0rDBXCyBY 2025-11-24 17:24:22_x000D_
好的，确认一下你的号码是否正确呢~_x000D_
_x000D_
01000000034659397621681165517352 2025-11-24 17:24:32_x000D_
正确_x000D_
_x000D_
AI-Lbo0rDBXCyBY 2025-11-24 17:24:35_x000D_
同学怎么称呼呢？_x000D_
_x000D_
01000000034659397621681165517352 2025-11-24 17:24:51_x000D_
唐女士_x000D_
_x000D_
AI-Lbo0rDBXCyBY 2025-11-24 17:24:54_x000D_
这边马上安排顾问老师联系您，预计半个小时左右给您回电请注意接听~_x000D_
_x000D_
来源页：https://kaoyan.xdf.cn/
备注：</t>
  </si>
  <si>
    <t>2026财年第6财月易聊新东方PC官网</t>
  </si>
  <si>
    <t>曹健</t>
  </si>
  <si>
    <t>新东方PC官网</t>
  </si>
  <si>
    <t>2025-11-24 17:38:13</t>
  </si>
  <si>
    <t>30869032</t>
  </si>
  <si>
    <t>2025-11-24 17:56</t>
  </si>
  <si>
    <t>2025-11-24 18:51</t>
  </si>
  <si>
    <t>2025-11-24 18:52</t>
  </si>
  <si>
    <t>LP17639814851108</t>
  </si>
  <si>
    <t>回访人：赵星火，回访时间：2025-11-24 17:56，回访内容：不想要两小时，然后主观题需要老师有经验的，建议试听一次课的；|回访人：赵星火，回访时间：2025-11-24 18:51，回访内容：系统自动签约</t>
  </si>
  <si>
    <t>25</t>
  </si>
  <si>
    <t>134577369</t>
  </si>
  <si>
    <t>崔佳慧</t>
  </si>
  <si>
    <t>2025-11-14 20:36:06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</si>
  <si>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统一活动id：2896637
统一活动名称：北京大学事业部25年11月小红书专业号投放
渠道名称：网络营销-小红书-专业号投放
线索创建人邮箱：cuijiahui2@xdf.cn
资源跟进人邮箱：cuijiahui2@xdf.cn
备注：用户地区是【北京市北京市】，在【2025-11-14 20:34:05】留资，私信通线索标签为【留客资】，来源于【北京新东方考研一对一咨询】投放账户，意向项目是【考研/考博】，留资笔记是【】，备注【-】
</t>
  </si>
  <si>
    <t>2026财年第6财月小红书</t>
  </si>
  <si>
    <t>陶雪婷</t>
  </si>
  <si>
    <t>30782672</t>
  </si>
  <si>
    <t>2025-11-15 15:49</t>
  </si>
  <si>
    <t>土木与资源工程学院</t>
  </si>
  <si>
    <t>采矿工程</t>
  </si>
  <si>
    <t>2025-11-15 20:57</t>
  </si>
  <si>
    <t>2025-11-15 22:19</t>
  </si>
  <si>
    <t>LP17632114193282</t>
  </si>
  <si>
    <t>BJWY6033725486</t>
  </si>
  <si>
    <t>回访人：谭悦，回访时间：2025-11-15 15:49，回访内容：考虑报英语二一对一 ；|回访人：谭悦，回访时间：2025-11-15 20:57，回访内容：系统自动签约</t>
  </si>
  <si>
    <t>家长</t>
  </si>
  <si>
    <t>133555234</t>
  </si>
  <si>
    <t>2025-11-06 11:49:59</t>
  </si>
  <si>
    <t>在去花园桥校区的路上，开车前往，30分左右到，尽快联系</t>
  </si>
  <si>
    <t>王志远</t>
  </si>
  <si>
    <t>田羽歆</t>
  </si>
  <si>
    <t>30668221</t>
  </si>
  <si>
    <t>2025-11-06 12:31</t>
  </si>
  <si>
    <t>考研集训营,考研无忧计划,线上考研产品</t>
  </si>
  <si>
    <t>商学院</t>
  </si>
  <si>
    <t>财务管理</t>
  </si>
  <si>
    <t>2025-11-13 10:55</t>
  </si>
  <si>
    <t>2025-11-13 11:09</t>
  </si>
  <si>
    <t>XDF1557036491</t>
  </si>
  <si>
    <t>回访人：王志远，回访时间：2025-11-06 12:31，回访内容：直访花园桥校区，李涛老师接待；|回访人：王志远，回访时间：2025-11-07 18:00，回访内容：花园桥直访，李涛代接待，规划的是无忧早鸟全科和少量一对一，今天微信消息未回复，周六电话联系~；|回访人：王志远，回访时间：2025-11-08 18:37，回访内容：花园桥直访，李涛代接待，规划的是无忧早鸟全科，两边同时跟进，同步了定金膨胀的活动，询问一下意向；|回访人：王志远，回访时间：2025-11-10 18:36，回访内容：李涛代接待，咨询后就失联，现在两边联系都无人回应，判其“死”；|回访人：王志远，回访时间：2025-11-13 10:55，回访内容：报名签约</t>
  </si>
  <si>
    <t>无忧计划-早鸟,寒暑假集训营（春秋OMO）</t>
  </si>
  <si>
    <t>教育</t>
  </si>
  <si>
    <t>王浩儒</t>
  </si>
  <si>
    <t>135461435</t>
  </si>
  <si>
    <t>2025-11-22 18:26:54</t>
  </si>
  <si>
    <t>30831401</t>
  </si>
  <si>
    <t>2025-11-22 18:44</t>
  </si>
  <si>
    <t>2025-11-23 14:50</t>
  </si>
  <si>
    <t>2025-11-23 16:41</t>
  </si>
  <si>
    <t>LP17638806041652</t>
  </si>
  <si>
    <t>BJWY2816785503</t>
  </si>
  <si>
    <t>回访人：谭悦，回访时间：2025-11-22 18:44，回访内容：1；|回访人：谭悦，回访时间：2025-11-23 14:50，回访内容：系统自动签约</t>
  </si>
  <si>
    <t>132634051</t>
  </si>
  <si>
    <t>2025-10-29 11:16:33</t>
  </si>
  <si>
    <t>91好学校</t>
  </si>
  <si>
    <t>王妍</t>
  </si>
  <si>
    <t>30602952</t>
  </si>
  <si>
    <t>2025-10-29 11:22</t>
  </si>
  <si>
    <t>英语语言文学</t>
  </si>
  <si>
    <t>2025-11-21 15:33</t>
  </si>
  <si>
    <t>2025-11-21 15:36</t>
  </si>
  <si>
    <t>LP17637103981436</t>
  </si>
  <si>
    <t>BJWY8603201784</t>
  </si>
  <si>
    <t>回访人：赵星火，回访时间：2025-11-12 16:43，回访内容：回访学生情况这边看下到京时间跟进中；|回访人：赵星火，回访时间：2025-11-15 17:17，回访内容：电话呼出联系不上学生微信没回复这边跟进中。；|回访人：赵星火，回访时间：2025-11-20 18:40，回访内容：表示还没确定下来 后面需要再联系；|回访人：赵星火，回访时间：2025-11-21 15:33，回访内容：系统自动签约</t>
  </si>
  <si>
    <t>王仪阳</t>
  </si>
  <si>
    <t>135126353</t>
  </si>
  <si>
    <t>郑雪新</t>
  </si>
  <si>
    <t>2025-11-19 20:19:23</t>
  </si>
  <si>
    <t>续费原因：集训营续费；该学生为保护期内续费，原顾问：国内大学部-谭悦(tanyue9@xdf.cn)</t>
  </si>
  <si>
    <t>郑雪新zhengxuexin@xdf.cn</t>
  </si>
  <si>
    <t>30846665</t>
  </si>
  <si>
    <t>2025-11-20 18:07</t>
  </si>
  <si>
    <t>南京传媒学院</t>
  </si>
  <si>
    <t>戏剧影视学院</t>
  </si>
  <si>
    <t>戏剧影视导演</t>
  </si>
  <si>
    <t>2025-11-20 18:18</t>
  </si>
  <si>
    <t>2025-11-20 18:32</t>
  </si>
  <si>
    <t>LP17636339302456</t>
  </si>
  <si>
    <t>26考研一对一伴学（定制/集训）</t>
  </si>
  <si>
    <t>BJWY6088825240</t>
  </si>
  <si>
    <t>2025-11-20</t>
  </si>
  <si>
    <t>回访人：谭悦，回访时间：2025-11-20 18:07，回访内容：1；|回访人：谭悦，回访时间：2025-11-20 18:18，回访内容：系统自动签约</t>
  </si>
  <si>
    <t>重庆市5958</t>
  </si>
  <si>
    <t>134690484</t>
  </si>
  <si>
    <t>2025-11-16 10:41:10</t>
  </si>
  <si>
    <t>渠道录入来源：新东方PC官网-客服
意向城市：北京访客省/城市：重庆市
访客静态ID：01000003465900326063551590405958
接待分组ID：70447
搜索引擎：
搜索词：
关键词：
设备类型：phone
访客IP：111.55.209.122
对话详细内容：AI-Lbo0rDBXCyBY 2025-11-16 10:37:17_x000D_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AI-Lbo0rDBXCyBY 2025-11-16 10:37:20_x000D_
您是想咨询【线下课程】【线上课程】【考研规划】还是【在职考研】呢？**【线下课程】#  **【线上课程】#**【考研规划】#**【在职考研】#_x000D_
_x000D_
01000003465900326063551590405958 2025-11-16 10:37:32_x000D_
【线上课程】_x000D_
_x000D_
AI-Lbo0rDBXCyBY 2025-11-16 10:37:36_x000D_
同学，你现在是在校还是在职呢？_x000D_
_x000D_
01000003465900326063551590405958 2025-11-16 10:37:58_x000D_
在校_x000D_
_x000D_
AI-Lbo0rDBXCyBY 2025-11-16 10:38:02_x000D_
具体是想报考什么学校和专业呢？_x000D_
_x000D_
AI-Lbo0rDBXCyBY 2025-11-16 10:38:39_x000D_
您好，能看到我的对话吗？如有疑问，可以在此留电咨询！_x000D_
_x000D_
01000003465900326063551590405958 2025-11-16 10:38:49_x000D_
中国政法大学，法学专业_x000D_
_x000D_
AI-Lbo0rDBXCyBY 2025-11-16 10:38:52_x000D_
好的，我这边安排专业老师给您回电，详细沟通一下，请问您的电话是多少呢？_x000D_
_x000D_
01000003465900326063551590405958 2025-11-16 10:39:08_x000D_
15889686058_x000D_
_x000D_
AI-Lbo0rDBXCyBY 2025-11-16 10:39:12_x000D_
好的，确认一下你的号码是否正确呢~_x000D_
_x000D_
01000003465900326063551590405958 2025-11-16 10:39:24_x000D_
正确_x000D_
_x000D_
AI-Lbo0rDBXCyBY 2025-11-16 10:39:27_x000D_
同学怎么称呼呢？_x000D_
_x000D_
01000003465900326063551590405958 2025-11-16 10:39:35_x000D_
文_x000D_
_x000D_
AI-Lbo0rDBXCyBY 2025-11-16 10:39:39_x000D_
这边马上安排顾问老师联系您，预计半个小时左右给您回电请注意接听~_x000D_
_x000D_
01000003465900326063551590405958 2025-11-16 10:39:51_x000D_
好的，谢谢_x000D_
_x000D_
AI-Lbo0rDBXCyBY 2025-11-16 10:39:54_x000D_
好的，这个也是您的微信号吗？_x000D_
_x000D_
01000003465900326063551590405958 2025-11-16 10:40:01_x000D_
是的_x000D_
_x000D_
AI-Lbo0rDBXCyBY 2025-11-16 10:40:05_x000D_
稍后老师会联系哈_x000D_
_x000D_
01000003465900326063551590405958 2025-11-16 10:40:12_x000D_
好的_x000D_
_x000D_
AI-Lbo0rDBXCyBY 2025-11-16 10:40:15_x000D_
嗯嗯_x000D_
_x000D_
来源页：https://m.xdf.cn/city/110100?binded=false
备注：</t>
  </si>
  <si>
    <t>2025-11-16 11:03:02</t>
  </si>
  <si>
    <t>文丰裕</t>
  </si>
  <si>
    <t>30768413</t>
  </si>
  <si>
    <t>2025-11-16 11:40</t>
  </si>
  <si>
    <t>中国政法大学</t>
  </si>
  <si>
    <t>法学（法学人才培养模式改革实验班）</t>
  </si>
  <si>
    <t>2025-11-17 20:56</t>
  </si>
  <si>
    <t>2025-11-17 21:03</t>
  </si>
  <si>
    <t>LP17633841631342</t>
  </si>
  <si>
    <t>考研初试专业课一对一伴学班（法硕-26考季）</t>
  </si>
  <si>
    <t>BJWY6517078363</t>
  </si>
  <si>
    <t>回访人：谭悦，回访时间：2025-11-16 11:40，回访内容：中国政法，大二，香港留学和国内考研两手准备，咨询期末考试和科研论文  ；|回访人：谭悦，回访时间：2025-11-17 18:51，回访内容：打算报名专业课  ；|回访人：谭悦，回访时间：2025-11-17 20:56，回访内容：系统自动签约</t>
  </si>
  <si>
    <t>122209301</t>
  </si>
  <si>
    <t>2025-08-05 15:54:32</t>
  </si>
  <si>
    <t>【考研】学生咨询考研辅导，想考本专业，目前想冲刺一下北大，学生在实习不方便电话，可以给学生妈妈电话沟通18992812493；渠道录入来源：新东方官网M站-客服
意向城市：北京访客省/城市：西安市
访客静态ID：01000003465900437192388411285857
接待分组ID：70455
搜索引擎：
搜索词：
关键词：
设备类型：phone
访客IP：36.43.17.155
对话详细内容：AI-Lbo0rDBXCyBY 2025-08-05 13:32:04_x000D_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AI-Lbo0rDBXCyBY 2025-08-05 13:32:07_x000D_
您是想咨询【线下课程】【线上课程】【考研规划】还是【在职考研】呢？**【线下课程】#  **【线上课程】#**【考研规划】#**【在职考研】#_x000D_
_x000D_
01000003465900437192388411285857 2025-08-05 13:32:14_x000D_
【线上课程】_x000D_
_x000D_
AI-Lbo0rDBXCyBY 2025-08-05 13:32:17_x000D_
同学，你现在是在校还是在职呢？_x000D_
_x000D_
01000003465900437192388411285857 2025-08-05 13:32:24_x000D_
在校_x000D_
_x000D_
AI-Lbo0rDBXCyBY 2025-08-05 13:32:27_x000D_
具体是想报考什么学校和专业呢？_x000D_
_x000D_
01000003465900437192388411285857 2025-08-05 13:32:35_x000D_
北大 大数据_x000D_
_x000D_
AI-Lbo0rDBXCyBY 2025-08-05 13:32:39_x000D_
好的，我这边安排专业老师给您回电，详细沟通一下，请问您的电话是多少呢？_x000D_
_x000D_
01000003465900437192388411285857 2025-08-05 13:32:51_x000D_
18991300258_x000D_
_x000D_
AI-Lbo0rDBXCyBY 2025-08-05 13:32:54_x000D_
好的，确认一下你的号码是否正确呢~_x000D_
_x000D_
01000003465900437192388411285857 2025-08-05 13:32:59_x000D_
是的_x000D_
_x000D_
AI-Lbo0rDBXCyBY 2025-08-05 13:33:02_x000D_
同学怎么称呼呢？_x000D_
_x000D_
01000003465900437192388411285857 2025-08-05 13:33:15_x000D_
姓文_x000D_
_x000D_
AI-Lbo0rDBXCyBY 2025-08-05 13:33:18_x000D_
这边马上安排顾问老师联系您，预计半个小时左右给您回电请注意接听~_x000D_
_x000D_
01000003465900437192388411285857 2025-08-05 13:33:26_x000D_
谢谢_x000D_
_x000D_
AI-Lbo0rDBXCyBY 2025-08-05 13:33:29_x000D_
好的，这个也是您的微信号吗？_x000D_
_x000D_
来源页：https://group-live2.easyliao.com/live/chat.do?c=34659&amp;g=70455&amp;config=102466
备注： 外呼主题：2026财年第3财月易聊新东方官网M站</t>
  </si>
  <si>
    <t>2026财年第3财月易聊新东方官网M站</t>
  </si>
  <si>
    <t>文艺如</t>
  </si>
  <si>
    <t>30770933</t>
  </si>
  <si>
    <t>2025-11-16 18:40</t>
  </si>
  <si>
    <t>统计学院</t>
  </si>
  <si>
    <t>统计学</t>
  </si>
  <si>
    <t>2025-11-16 18:42</t>
  </si>
  <si>
    <t>2025-11-16 18:44</t>
  </si>
  <si>
    <t>LP17632897423373</t>
  </si>
  <si>
    <t>BJWY9614434089</t>
  </si>
  <si>
    <t>回访人：谭悦，回访时间：2025-11-16 18:40，回访内容：1；|回访人：谭悦，回访时间：2025-11-16 18:42，回访内容：系统自动签约</t>
  </si>
  <si>
    <t>135805566</t>
  </si>
  <si>
    <t>2025-11-26 18:58:31</t>
  </si>
  <si>
    <t>谭悦死单激活</t>
  </si>
  <si>
    <t>小萌</t>
  </si>
  <si>
    <t>30877901</t>
  </si>
  <si>
    <t>2025-11-26 19:20</t>
  </si>
  <si>
    <t>北京语言大学</t>
  </si>
  <si>
    <t>汉语教育学院</t>
  </si>
  <si>
    <t>汉语国际教育</t>
  </si>
  <si>
    <t>2025-11-27 14:35</t>
  </si>
  <si>
    <t>05501266798</t>
  </si>
  <si>
    <t>冲刺2026考研专业课定制一对一（10h）A班</t>
  </si>
  <si>
    <t>回访人：谭悦，回访时间：2025-11-26 19:20，回访内容：1；|回访人：谭悦，回访时间：2025-11-27 11:48，回访内容：今年考研，咨询专业课， 还没有报名。很介意价格，一直讲价还价  ；|回访人：谭悦，回访时间：2025-11-27 14:35，回访内容：1</t>
  </si>
  <si>
    <t>线上全程班</t>
  </si>
  <si>
    <t>普通学校-普高</t>
  </si>
  <si>
    <t>肖振晟</t>
  </si>
  <si>
    <t>133563669</t>
  </si>
  <si>
    <t>陈猛飞</t>
  </si>
  <si>
    <t>2025-11-06 10:06:24</t>
  </si>
  <si>
    <t>续费原因：学生想要续费5小时学习自命题，辛苦老师联系；该学生为保护期内续费，原顾问：国内大学部-李涛(litao48@xdf.cn)</t>
  </si>
  <si>
    <t>陈猛飞chenmengfei@xdf.cn</t>
  </si>
  <si>
    <t>30692773</t>
  </si>
  <si>
    <t>2025-11-06 10:22</t>
  </si>
  <si>
    <t>北京联合大学</t>
  </si>
  <si>
    <t>师范学院</t>
  </si>
  <si>
    <t>音乐学</t>
  </si>
  <si>
    <t>2025-11-07 10:51</t>
  </si>
  <si>
    <t>2025-11-07 10:59</t>
  </si>
  <si>
    <t>LP1762483915267</t>
  </si>
  <si>
    <t>BJWY4543862862</t>
  </si>
  <si>
    <t>回访人：李涛，回访时间：2025-11-06 10:22，回访内容：跟孩子联系 现在需要专业课的辅导 ！跟孩子联系！；|回访人：李涛，回访时间：2025-11-07 10:51，回访内容：系统自动签约</t>
  </si>
  <si>
    <t>英语,专业课150</t>
  </si>
  <si>
    <t>徐菲</t>
  </si>
  <si>
    <t>133820881</t>
  </si>
  <si>
    <t>罗志勇</t>
  </si>
  <si>
    <t>2025-11-08 16:02:11</t>
  </si>
  <si>
    <t>续费原因：咨询四六级1v1，辛苦分配赵星火老师；该学生为保护期内续费，原顾问：国内大学部-赵星火(zhaoxinghuo@xdf.cn)</t>
  </si>
  <si>
    <t>罗志勇luozhiyong1@xdf.cn</t>
  </si>
  <si>
    <t>30704157</t>
  </si>
  <si>
    <t>2025-11-08 16:08</t>
  </si>
  <si>
    <t>四级</t>
  </si>
  <si>
    <t>首都经济贸易大学</t>
  </si>
  <si>
    <t>财政税务学院</t>
  </si>
  <si>
    <t>财政学</t>
  </si>
  <si>
    <t>2025-11-08 16:15</t>
  </si>
  <si>
    <t>2025-11-08 16:16</t>
  </si>
  <si>
    <t>LP17625897081597</t>
  </si>
  <si>
    <t>大学课程一对一畅学班（其它/50H）</t>
  </si>
  <si>
    <t>BJWY4001339264</t>
  </si>
  <si>
    <t>2025-11-08</t>
  </si>
  <si>
    <t>回访人：赵星火，回访时间：2025-11-08 16:08，回访内容：计划报名大学数学微积分跟着马大林老师学习，想固定时间每周的周六下午7点到9点，辛苦占上时间，跟徐岩老师沟通过可以的。这边课时也有计划后面上四六级雅思托福这些。；|回访人：赵星火，回访时间：2025-11-08 16:15，回访内容：系统自动签约</t>
  </si>
  <si>
    <t>27上考季</t>
  </si>
  <si>
    <t>许鎏杨</t>
  </si>
  <si>
    <t>133926060</t>
  </si>
  <si>
    <t>黄子琪</t>
  </si>
  <si>
    <t>2025-11-09 09:30:07</t>
  </si>
  <si>
    <t>续费原因：想上几节专业课，北化的物理化学，串一下知识点；该学生为保护期外续费，原顾问部门：国内大学部</t>
  </si>
  <si>
    <t>黄子琪huangziqi3@xdf.cn</t>
  </si>
  <si>
    <t>30592123</t>
  </si>
  <si>
    <t>2025-11-10 10:09</t>
  </si>
  <si>
    <t>中国石油大学（北京）</t>
  </si>
  <si>
    <t>化学工程与环境学院</t>
  </si>
  <si>
    <t>能源化学工程</t>
  </si>
  <si>
    <t>2025-11-10 10:20</t>
  </si>
  <si>
    <t>2025-11-10 10:22</t>
  </si>
  <si>
    <t>LP176274121967</t>
  </si>
  <si>
    <t>BJWY5249989665</t>
  </si>
  <si>
    <t>回访人：谭悦，回访时间：2025-11-10 10:09，回访内容：续费两小时专业课；|回访人：谭悦，回访时间：2025-11-10 10:20，回访内容：系统自动签约</t>
  </si>
  <si>
    <t>闫舒译</t>
  </si>
  <si>
    <t>134670924</t>
  </si>
  <si>
    <t>2025-11-15 15:18:39</t>
  </si>
  <si>
    <t>续费原因：学生考虑续费一些定制课时；该学生为保护期内续费，原顾问：国内大学部-赵星火(zhaoxinghuo@xdf.cn)</t>
  </si>
  <si>
    <t>30740585</t>
  </si>
  <si>
    <t>2025-11-15 15:28</t>
  </si>
  <si>
    <t>2025-11-15 17:04</t>
  </si>
  <si>
    <t>2025-11-15 17:11</t>
  </si>
  <si>
    <t>LP17631974722319</t>
  </si>
  <si>
    <t>BJWY4925013491</t>
  </si>
  <si>
    <t>回访人：赵星火，回访时间：2025-11-15 15:28，回访内容：跟进学生情况 数学续费一对一看下时间缴费；|回访人：赵星火，回访时间：2025-11-15 17:04，回访内容：系统自动签约</t>
  </si>
  <si>
    <t>LP17631974462315</t>
  </si>
  <si>
    <t>131967989</t>
  </si>
  <si>
    <t>2025-10-23 09:19:42</t>
  </si>
  <si>
    <t xml:space="preserve">渠道录入来源：SCRM-客服推送
商机ID：5009779443
商机编码：XSJ20251023000482
针对人群：在职
学员号：BJ0321147742
学生学校：不详
咨询课程：英语二
创建人邮箱：wangmeng63@xdf.cn
创建时间：2025-10-23 09:19:36
资源类型：单个资源
跟进记录：商机备注：学员咨询，年底考研，需求英语二一对一辅导，线上线下都了解一下，需求海淀老师，咨询在顺义，对于老师要求高，想冲刺辅导一下;接触点：呼入；
</t>
  </si>
  <si>
    <t>闫曦子</t>
  </si>
  <si>
    <t>30691844</t>
  </si>
  <si>
    <t>2025-11-05 18:34</t>
  </si>
  <si>
    <t>中央民族大学</t>
  </si>
  <si>
    <t>音乐学院</t>
  </si>
  <si>
    <t>音乐学（音乐学理论）</t>
  </si>
  <si>
    <t>2025-11-05 18:35</t>
  </si>
  <si>
    <t>32115158948</t>
  </si>
  <si>
    <t>2026考研英语定制一对一10h版（新）</t>
  </si>
  <si>
    <t>回访人：赵星火，回访时间：2025-11-05 18:34，回访内容：1；|回访人：赵星火，回访时间：2025-11-05 18:35，回访内容：13552778793</t>
  </si>
  <si>
    <t>杨淑睿</t>
  </si>
  <si>
    <t>134795631</t>
  </si>
  <si>
    <t>2025-11-17 11:24:21</t>
  </si>
  <si>
    <t>续费原因：报4小时非定制，个性化；该学生为保护期外续费，原顾问部门：国内大学部</t>
  </si>
  <si>
    <t>30772435</t>
  </si>
  <si>
    <t>2025-11-17 12:28</t>
  </si>
  <si>
    <t>考研VIP,考研复试班</t>
  </si>
  <si>
    <t>新疆艺术学院</t>
  </si>
  <si>
    <t>设计学院</t>
  </si>
  <si>
    <t>服装与服饰设计</t>
  </si>
  <si>
    <t>2025-11-17 15:09</t>
  </si>
  <si>
    <t>LP1763363343733</t>
  </si>
  <si>
    <t>BJWY4026242870</t>
  </si>
  <si>
    <t>回访人：谭悦，回访时间：2025-11-17 12:28，回访内容：微信跟进中  ；|回访人：谭悦，回访时间：2025-11-17 15:09，回访内容：系统自动签约</t>
  </si>
  <si>
    <t>121517724</t>
  </si>
  <si>
    <t>2025-07-30 22:05:58</t>
  </si>
  <si>
    <t xml:space="preserve">同学介绍的，转谭悦
</t>
  </si>
  <si>
    <t>杨希恒</t>
  </si>
  <si>
    <t>30862312</t>
  </si>
  <si>
    <t>2025-11-24 16:07</t>
  </si>
  <si>
    <t>材料科学与工程学院</t>
  </si>
  <si>
    <t>高分子材料与工程精英班</t>
  </si>
  <si>
    <t>2025-11-24 16:12</t>
  </si>
  <si>
    <t>2025-11-24 16:20</t>
  </si>
  <si>
    <t>LP1763971969744</t>
  </si>
  <si>
    <t>BJWY2409130365</t>
  </si>
  <si>
    <t>回访人：谭悦，回访时间：2025-11-24 16:07，回访内容：1；|回访人：谭悦，回访时间：2025-11-24 16:12，回访内容：系统自动签约</t>
  </si>
  <si>
    <t>无忧计划-蜂鸟</t>
  </si>
  <si>
    <t>杨显婷</t>
  </si>
  <si>
    <t>133426876</t>
  </si>
  <si>
    <t>2025-11-05 09:28:31</t>
  </si>
  <si>
    <t>续费原因：论文辅导；该学生为保护期内续费，原顾问：国内大学部-谭悦(tanyue9@xdf.cn)</t>
  </si>
  <si>
    <t>30688156</t>
  </si>
  <si>
    <t>2025-11-05 10:22</t>
  </si>
  <si>
    <t>科研</t>
  </si>
  <si>
    <t>北京物资学院</t>
  </si>
  <si>
    <t>应用统计学</t>
  </si>
  <si>
    <t>2025-11-05 10:23</t>
  </si>
  <si>
    <t>WYKA27102</t>
  </si>
  <si>
    <t>AIS交叉学科研究实践项目-无忧（27考季/个人）</t>
  </si>
  <si>
    <t>BJWY22035556hl</t>
  </si>
  <si>
    <t>BJWY5113272165</t>
  </si>
  <si>
    <t>WYKA271020001</t>
  </si>
  <si>
    <t>回访人：谭悦，回访时间：2025-11-05 10:22，回访内容：科研论文</t>
  </si>
  <si>
    <t>姚宇晟</t>
  </si>
  <si>
    <t>133224785</t>
  </si>
  <si>
    <t>2025-11-03 11:48:07</t>
  </si>
  <si>
    <t>续费原因：专业课想再讲讲题，需要加10小时；该学生为保护期内续费，原顾问：国内大学部-赵星火(zhaoxinghuo@xdf.cn)</t>
  </si>
  <si>
    <t>30651176</t>
  </si>
  <si>
    <t>2025-11-03 11:59</t>
  </si>
  <si>
    <t>自动化学院</t>
  </si>
  <si>
    <t>自动化</t>
  </si>
  <si>
    <t>2025-11-03 12:08</t>
  </si>
  <si>
    <t>2025-11-03 12:09</t>
  </si>
  <si>
    <t>LP1762142889346</t>
  </si>
  <si>
    <t>考研初试专业课一对一（26考季/无忧10小时）</t>
  </si>
  <si>
    <t>BJWY8823586949</t>
  </si>
  <si>
    <t>回访人：赵星火，回访时间：2025-11-03 11:59，回访内容：考研；|回访人：赵星火，回访时间：2025-11-03 12:08，回访内容：系统自动签约</t>
  </si>
  <si>
    <t>95484988</t>
  </si>
  <si>
    <t>2025-02-25 08:12:26</t>
  </si>
  <si>
    <t>大二，咨询考研
IP：安徽
搜索词：北京市海淀区有新东方考研培训班吗</t>
  </si>
  <si>
    <t>余欣然</t>
  </si>
  <si>
    <t>30719892</t>
  </si>
  <si>
    <t>2025-11-10 19:45</t>
  </si>
  <si>
    <t>六级,考研专业课,考研无忧计划</t>
  </si>
  <si>
    <t>信息工程学院</t>
  </si>
  <si>
    <t>电子信息工程</t>
  </si>
  <si>
    <t>WYC27101</t>
  </si>
  <si>
    <t>BJWY0305179384</t>
  </si>
  <si>
    <t>WYC271010012</t>
  </si>
  <si>
    <t>回访人：谭悦，回访时间：2025-11-10 19:45，回访内容：1；|回访人：谭悦，回访时间：2025-11-10 19:45，回访内容：1</t>
  </si>
  <si>
    <t>无忧计划-啄木鸟,考研专业课150,六级无忧计划</t>
  </si>
  <si>
    <t>未留</t>
  </si>
  <si>
    <t>133272239</t>
  </si>
  <si>
    <t>2025-11-03 19:44:44</t>
  </si>
  <si>
    <t>咨询考研</t>
  </si>
  <si>
    <t>无忧学</t>
  </si>
  <si>
    <t>2025-11-04 10:56:02</t>
  </si>
  <si>
    <t>岳文健</t>
  </si>
  <si>
    <t>30685011</t>
  </si>
  <si>
    <t>2025-11-04 13:47</t>
  </si>
  <si>
    <t>中国社会科学院大学</t>
  </si>
  <si>
    <t>马克思主义理论</t>
  </si>
  <si>
    <t>2025-11-04 14:20</t>
  </si>
  <si>
    <t>2025-11-04 14:21</t>
  </si>
  <si>
    <t>LP1762224102195</t>
  </si>
  <si>
    <t>BJWY6709542100</t>
  </si>
  <si>
    <t>回访人：段同飞，回访时间：2025-11-04 13:01，回访内容：1；|回访人：赵星火，回访时间：2025-11-04 14:20，回访内容：1</t>
  </si>
  <si>
    <t>张纯懿</t>
  </si>
  <si>
    <t>134043280</t>
  </si>
  <si>
    <t>2025-11-10 14:25:20</t>
  </si>
  <si>
    <t>续费原因：专业课加课时，专业课剩余课时不多（需新购课时），学生想法是一直跟着老师按一定节奏上课，老师带着复习、刷题等。；该学生为保护期内续费，原顾问：国内大学部-苏乾楠(suqiannan@xdf.cn)</t>
  </si>
  <si>
    <t>苏乾楠</t>
  </si>
  <si>
    <t>30773269</t>
  </si>
  <si>
    <t>2025-11-10 15:28</t>
  </si>
  <si>
    <t>新能源与材料学院</t>
  </si>
  <si>
    <t>储能科学与工程</t>
  </si>
  <si>
    <t>2025-11-11 17:05</t>
  </si>
  <si>
    <t>2025-11-11 17:06</t>
  </si>
  <si>
    <t>BJWY4947069192</t>
  </si>
  <si>
    <t>回访人：苏乾楠，回访时间：2025-11-10 15:28，回访内容：谭悦老师正在沟通 目前计划是专业课续费10小时 其他没啥啦 等出协议；|回访人：苏乾楠，回访时间：2025-11-11 17:05，回访内容：系统自动签约</t>
  </si>
  <si>
    <t>学员-表单-考研-寒暑营</t>
  </si>
  <si>
    <t>127921341</t>
  </si>
  <si>
    <t>姜琛</t>
  </si>
  <si>
    <t>2025-09-18 10:31:11</t>
  </si>
  <si>
    <t xml:space="preserve">渠道录入来源：集团大市场投放-灵蹊
城市：北京市
着陆页标题：集团小红书品专-综合
着陆页url：https://lingxi.xdf.cn/zonghe
广告追踪码：f6a87cc73ec14df0bbf7625789967db7
表单信息：表单ID：299769；表单名（对内）：新东方大学事业部-小红书品专；表单名（对外）：新东方考研官网；创建人邮箱：liangpeng8@xdf.cn
其他：来源:灵蹊落地页;姓名:学员-表单-考研-寒暑营;地区:北京市/北京市 ;新老生: 新生; 提交链接:https://lingxi.xdf.cn/zonghe;渠道:网络营销/小红书品专;页面名称: 集团小红书品专-综合;
</t>
  </si>
  <si>
    <t>2026财年第4财月集团大市场投放-灵蹊</t>
  </si>
  <si>
    <t>集团-小红书品专</t>
  </si>
  <si>
    <t>张珏宁</t>
  </si>
  <si>
    <t>30178446</t>
  </si>
  <si>
    <t>2025-09-18 12:10</t>
  </si>
  <si>
    <t>劳动关系与人力资源学院</t>
  </si>
  <si>
    <t>劳动关系</t>
  </si>
  <si>
    <t>2025-11-13 17:25</t>
  </si>
  <si>
    <t>WYHE27002</t>
  </si>
  <si>
    <t>考研英语无忧计划候鸟（27考研/英一冲刺）</t>
  </si>
  <si>
    <t>BJWY25030q8UPI</t>
  </si>
  <si>
    <t>BJWY9485189420</t>
  </si>
  <si>
    <t>WYHE270020025</t>
  </si>
  <si>
    <t>回访人：谭悦，回访时间：2025-11-13 17:22，回访内容：谭悦进行了退单操作!(本条回访记录由系统自动记录)；|回访人：谭悦，回访时间：2025-11-13 17:23，回访内容：出订单这么久，终于交了  ；|回访人：谭悦，回访时间：2025-11-13 17:25，回访内容：1</t>
  </si>
  <si>
    <t>集团大市场投放-灵蹊</t>
  </si>
  <si>
    <t>WYHE27001</t>
  </si>
  <si>
    <t>考研英语无忧计划候鸟（27考研/基础强化）</t>
  </si>
  <si>
    <t>WYHE270010033</t>
  </si>
  <si>
    <t>WYHP27002</t>
  </si>
  <si>
    <t>考研政治无忧计划候鸟（27考研/冲刺）</t>
  </si>
  <si>
    <t>WYHP270020030</t>
  </si>
  <si>
    <t>WYHP27001</t>
  </si>
  <si>
    <t>考研政治无忧计划候鸟（27考研/基础强化）</t>
  </si>
  <si>
    <t>WYHP270010030</t>
  </si>
  <si>
    <t>张睿涵</t>
  </si>
  <si>
    <t>133297889</t>
  </si>
  <si>
    <t>2025-11-03 17:44:55</t>
  </si>
  <si>
    <t>续费原因：2 小时政治；该学生为保护期内续费，原顾问：国内大学部-谭悦(tanyue9@xdf.cn)</t>
  </si>
  <si>
    <t>30658017</t>
  </si>
  <si>
    <t>2025-11-03 18:17</t>
  </si>
  <si>
    <t>2025-11-03 18:18</t>
  </si>
  <si>
    <t>2025-11-03 18:36</t>
  </si>
  <si>
    <t>LP17621651341168</t>
  </si>
  <si>
    <t>BJWY2481187846</t>
  </si>
  <si>
    <t>回访人：谭悦，回访时间：2025-11-03 18:17，回访内容：跟进中 ；|回访人：谭悦，回访时间：2025-11-03 18:18，回访内容：系统自动签约</t>
  </si>
  <si>
    <t>135743842</t>
  </si>
  <si>
    <t>2025-11-26 19:08:32</t>
  </si>
  <si>
    <t>续费原因：政治加两节，老师排在12月5号以后；该学生为保护期内续费，原顾问：国内大学部-谭悦(tanyue9@xdf.cn)</t>
  </si>
  <si>
    <t>30877907</t>
  </si>
  <si>
    <t>2025-11-26 19:22</t>
  </si>
  <si>
    <t>2025-11-26 19:42</t>
  </si>
  <si>
    <t>2025-11-26 20:06</t>
  </si>
  <si>
    <t>LP17641573662555</t>
  </si>
  <si>
    <t>回访人：谭悦，回访时间：2025-11-26 19:22，回访内容：1；|回访人：谭悦，回访时间：2025-11-26 19:42，回访内容：系统自动签约</t>
  </si>
  <si>
    <t>张若轩</t>
  </si>
  <si>
    <t>135059303</t>
  </si>
  <si>
    <t>2025-11-19 11:26:42</t>
  </si>
  <si>
    <t>续费原因：2 次政治课；该学生为保护期内续费，原顾问：国内大学部-谭悦(tanyue9@xdf.cn)</t>
  </si>
  <si>
    <t>30788531</t>
  </si>
  <si>
    <t>2025-11-19 11:56</t>
  </si>
  <si>
    <t>2025-11-19 12:23</t>
  </si>
  <si>
    <t>2025-11-19 13:08</t>
  </si>
  <si>
    <t>LP1763526232735</t>
  </si>
  <si>
    <t>BJWY2461966659</t>
  </si>
  <si>
    <t>回访人：谭悦，回访时间：2025-11-19 11:56，回访内容：续费4小时 ；|回访人：谭悦，回访时间：2025-11-19 12:23，回访内容：系统自动签约</t>
  </si>
  <si>
    <t>张桐赫</t>
  </si>
  <si>
    <t>134959151</t>
  </si>
  <si>
    <t>2025-11-18 17:09:11</t>
  </si>
  <si>
    <t>30837623</t>
  </si>
  <si>
    <t>2025-11-18 17:16</t>
  </si>
  <si>
    <t>北京电影学院</t>
  </si>
  <si>
    <t>影视技术系</t>
  </si>
  <si>
    <t>影视技术</t>
  </si>
  <si>
    <t>2025-11-18 17:32</t>
  </si>
  <si>
    <t>2025-11-18 17:33</t>
  </si>
  <si>
    <t>LP17634583661768</t>
  </si>
  <si>
    <t>BJWY3595058331</t>
  </si>
  <si>
    <t>回访人：赵星火，回访时间：2025-11-18 17:16，回访内容：预计八节课跟进学生情况中继续维护；|回访人：赵星火，回访时间：2025-11-18 17:32，回访内容：系统自动签约</t>
  </si>
  <si>
    <t>张宇博</t>
  </si>
  <si>
    <t>133620019</t>
  </si>
  <si>
    <t>2025-11-07 09:29:42</t>
  </si>
  <si>
    <t>续费原因：定制12小时，辛苦发我缴费链接，个性化；该学生为保护期内续费，原顾问：国内大学部-赵星火(zhaoxinghuo@xdf.cn)</t>
  </si>
  <si>
    <t>30697496</t>
  </si>
  <si>
    <t>2025-11-07 10:21</t>
  </si>
  <si>
    <t>中国人民公安大学</t>
  </si>
  <si>
    <t>公安管理学院</t>
  </si>
  <si>
    <t>公安管理学</t>
  </si>
  <si>
    <t>2025-11-07 10:39</t>
  </si>
  <si>
    <t>2025-11-07 10:42</t>
  </si>
  <si>
    <t>LP1762483171219</t>
  </si>
  <si>
    <t>BJWY4132320884</t>
  </si>
  <si>
    <t>回访人：赵星火，回访时间：2025-11-07 10:21，回访内容：跟进中；|回访人：赵星火，回访时间：2025-11-07 10:39，回访内容：系统自动签约</t>
  </si>
  <si>
    <t>张彧</t>
  </si>
  <si>
    <t>133523667</t>
  </si>
  <si>
    <t>2025-11-05 21:37:45</t>
  </si>
  <si>
    <t>续费原因：续费 6h；该学生为保护期内续费，原顾问：国内大学部-谭悦(tanyue9@xdf.cn)</t>
  </si>
  <si>
    <t>30696964</t>
  </si>
  <si>
    <t>2025-11-06 20:25</t>
  </si>
  <si>
    <t>重庆大学</t>
  </si>
  <si>
    <t>环境与生态学院</t>
  </si>
  <si>
    <t>给排水科学与工程</t>
  </si>
  <si>
    <t>2025-11-06 20:28</t>
  </si>
  <si>
    <t>LP17624320922022</t>
  </si>
  <si>
    <t>BJWY2909848959</t>
  </si>
  <si>
    <t>回访人：谭悦，回访时间：2025-11-06 20:25，回访内容：签约 ；|回访人：谭悦，回访时间：2025-11-06 20:25，回访内容：谭悦进行了退单操作!(本条回访记录由系统自动记录)；|回访人：谭悦，回访时间：2025-11-06 20:28，回访内容：系统自动签约</t>
  </si>
  <si>
    <t>赵奕博</t>
  </si>
  <si>
    <t>133814079</t>
  </si>
  <si>
    <t>2025-11-08 13:26:34</t>
  </si>
  <si>
    <t>续费原因：续费课时，个性化谭悦；该学生为保护期内续费，原顾问：国内大学部-谭悦(tanyue9@xdf.cn)</t>
  </si>
  <si>
    <t>30702930</t>
  </si>
  <si>
    <t>2025-11-08 13:30</t>
  </si>
  <si>
    <t>2025-11-08 13:35</t>
  </si>
  <si>
    <t>2025-11-08 15:21</t>
  </si>
  <si>
    <t>LP1762580131838</t>
  </si>
  <si>
    <t>BJWY2013160416</t>
  </si>
  <si>
    <t>回访人：谭悦，回访时间：2025-11-08 13:30，回访内容：1；|回访人：谭悦，回访时间：2025-11-08 13:35，回访内容：系统自动签约</t>
  </si>
  <si>
    <t>132206847</t>
  </si>
  <si>
    <t>2025-10-24 14:12:09</t>
  </si>
  <si>
    <t>赵梓新</t>
  </si>
  <si>
    <t>30548486</t>
  </si>
  <si>
    <t>电子信息</t>
  </si>
  <si>
    <t>2025-11-08 14:18</t>
  </si>
  <si>
    <t>2025-11-08 15:24</t>
  </si>
  <si>
    <t>LP17625826781025</t>
  </si>
  <si>
    <t>BJWY5247956492</t>
  </si>
  <si>
    <t>回访人：谭悦，回访时间：2025-11-01 11:21，回访内容：考前一对一，觉得早，不着急，今年就要考试了！；|回访人：谭悦，回访时间：2025-11-05 16:28，回访内容：家长长期不回复消息  ；|回访人：李雪68，回访时间：2025-11-08 13:30，回访内容：李雪68恢复工单, 系统自动生成回访记录!；|回访人：谭悦，回访时间：2025-11-08 14:18，回访内容：系统自动签约</t>
  </si>
  <si>
    <t>96709233</t>
  </si>
  <si>
    <t>2025-03-11 08:48:05</t>
  </si>
  <si>
    <t>15911140519，北京，一对一，家长</t>
  </si>
  <si>
    <t>郑雅洁</t>
  </si>
  <si>
    <t>30671426</t>
  </si>
  <si>
    <t>2025-11-06 20:30</t>
  </si>
  <si>
    <t>BJWY5564317069</t>
  </si>
  <si>
    <t>WYE272010009</t>
  </si>
  <si>
    <t>回访人：谭悦，回访时间：2025-11-06 20:30，回访内容：1；|回访人：谭悦，回访时间：2025-11-06 20:30，回访内容：1</t>
  </si>
  <si>
    <t>无忧计划-啄木鸟,六级无忧计划,考研专业课300</t>
  </si>
  <si>
    <t>专业课300,英语,政治</t>
  </si>
  <si>
    <t>钟柏屹</t>
  </si>
  <si>
    <t>133406721</t>
  </si>
  <si>
    <t>余韵</t>
  </si>
  <si>
    <t>2025-11-04 20:38:03</t>
  </si>
  <si>
    <t>续费原因：老师好，学员有续费考研课程意向；该学生为保护期内续费，原顾问：国内大学部-赵星火(zhaoxinghuo@xdf.cn)</t>
  </si>
  <si>
    <t>余韵yuyun7@xdf.cn</t>
  </si>
  <si>
    <t>30582609</t>
  </si>
  <si>
    <t>2025-11-04 20:49</t>
  </si>
  <si>
    <t>附属科德学院</t>
  </si>
  <si>
    <t>新闻编导</t>
  </si>
  <si>
    <t>2025-11-04 20:54</t>
  </si>
  <si>
    <t>2025-11-04 20:55</t>
  </si>
  <si>
    <t>LP17622608702257</t>
  </si>
  <si>
    <t>BJWY8126135050</t>
  </si>
  <si>
    <t>回访人：赵星火，回访时间：2025-11-04 20:49，回访内容：1；|回访人：赵星火，回访时间：2025-11-04 20:50，回访内容：赵星火进行了退单操作!(本条回访记录由系统自动记录)；|回访人：赵星火，回访时间：2025-11-04 20:54，回访内容：系统自动签约</t>
  </si>
  <si>
    <t>钟宇睿</t>
  </si>
  <si>
    <t>134971163</t>
  </si>
  <si>
    <t>2025-11-19 09:31:53</t>
  </si>
  <si>
    <t>续费原因：需要报6小时非定制课程，个性化；该学生为保护期内续费，原顾问：国内大学部-李涛(litao48@xdf.cn)</t>
  </si>
  <si>
    <t>30814115</t>
  </si>
  <si>
    <t>2025-11-19 10:18</t>
  </si>
  <si>
    <t>考研VIP,线上考研产品</t>
  </si>
  <si>
    <t>华南师范大学</t>
  </si>
  <si>
    <t>人工智能</t>
  </si>
  <si>
    <t>2025-11-19 15:44</t>
  </si>
  <si>
    <t>2025-11-19 15:53</t>
  </si>
  <si>
    <t>LP17635382631370</t>
  </si>
  <si>
    <t>BJWY1229174206</t>
  </si>
  <si>
    <t>回访人：李涛，回访时间：2025-11-19 10:18，回访内容：续报6小时；|回访人：李涛，回访时间：2025-11-19 15:44，回访内容：系统自动签约</t>
  </si>
  <si>
    <t>钟韵仪</t>
  </si>
  <si>
    <t>135476831</t>
  </si>
  <si>
    <t>寇颖</t>
  </si>
  <si>
    <t>2025-11-23 16:59:47</t>
  </si>
  <si>
    <t>续费原因：想续费一对一；该学生为保护期内续费，原顾问：国内大学部-赵星火(zhaoxinghuo@xdf.cn)</t>
  </si>
  <si>
    <t>寇颖kouying@xdf.cn</t>
  </si>
  <si>
    <t>30861844</t>
  </si>
  <si>
    <t>2025-11-24 14:55</t>
  </si>
  <si>
    <t>北京大学</t>
  </si>
  <si>
    <t>物理学院</t>
  </si>
  <si>
    <t>2025-11-24 15:00</t>
  </si>
  <si>
    <t>2025-11-24 15:02</t>
  </si>
  <si>
    <t>LP1763967618580</t>
  </si>
  <si>
    <t>BJWY8580626884</t>
  </si>
  <si>
    <t>回访人：赵星火，回访时间：2025-11-24 14:55，回访内容：续费；|回访人：赵星火，回访时间：2025-11-24 15:00，回访内容：系统自动签约</t>
  </si>
  <si>
    <t>LP1763967618579</t>
  </si>
  <si>
    <t>26考研一对一伴学（20h/无忧）</t>
  </si>
  <si>
    <t>周璇</t>
  </si>
  <si>
    <t>134714055</t>
  </si>
  <si>
    <t>程远</t>
  </si>
  <si>
    <t>2025-11-16 09:06:13</t>
  </si>
  <si>
    <t>转谭悦 尽快联系</t>
  </si>
  <si>
    <t>30742502</t>
  </si>
  <si>
    <t>2025-11-16 09:17</t>
  </si>
  <si>
    <t>MBA</t>
  </si>
  <si>
    <t>工商管理</t>
  </si>
  <si>
    <t>EMBA</t>
  </si>
  <si>
    <t>2025-11-16 10:45</t>
  </si>
  <si>
    <t>2025-11-16 10:47</t>
  </si>
  <si>
    <t>LP1763261117258</t>
  </si>
  <si>
    <t>在职研VIP（EMBA笔试）</t>
  </si>
  <si>
    <t>BJWY6232105627</t>
  </si>
  <si>
    <t>回访人：谭悦，回访时间：2025-11-16 09:17，回访内容：考虑报名EMBA辅导；|回访人：谭悦，回访时间：2025-11-16 10:45，回访内容：系统自动签约</t>
  </si>
  <si>
    <t>考研在职管理类冲刺班</t>
  </si>
  <si>
    <t>135551963</t>
  </si>
  <si>
    <t>2025-11-24 10:26:43</t>
  </si>
  <si>
    <t>谭悦的内部员工推荐</t>
  </si>
  <si>
    <t>杨莹莹+yangyingying18@xdf.cn+杨莹莹18(新东方教育科技集团有限公司-培训学校-北京学校-高中一对一部-东南区-蒲黄榆分中心 | 课程顾问)</t>
  </si>
  <si>
    <t>周子翔</t>
  </si>
  <si>
    <t>30866373</t>
  </si>
  <si>
    <t>2025-11-24 10:37</t>
  </si>
  <si>
    <t>2025-11-24 18:10</t>
  </si>
  <si>
    <t>2025-11-24 18:11</t>
  </si>
  <si>
    <t>WYFJ25041</t>
  </si>
  <si>
    <t>四级无忧计划</t>
  </si>
  <si>
    <t>BJWY6442282709</t>
  </si>
  <si>
    <t>WYFJ250410062</t>
  </si>
  <si>
    <t>回访人：谭悦，回访时间：2025-11-24 10:37，回访内容：微信跟进，四级一对一，推荐课程 校区面授  ；|回访人：谭悦，回访时间：2025-11-24 17:46，回访内容：微信跟进中，四级辅导， 高考英语130多， 推荐寒假四级班  ；|回访人：谭悦，回访时间：2025-11-24 18:10，回访内容：1</t>
  </si>
  <si>
    <t>26下考季</t>
  </si>
  <si>
    <t>朱海润</t>
  </si>
  <si>
    <t>135475497</t>
  </si>
  <si>
    <t>2025-11-23 16:20:41</t>
  </si>
  <si>
    <t>续费原因：续费两次一对一非定制政治课；该学生为保护期内续费，原顾问：国内大学部-刘晓娟(liuxiaojuan@xdf.cn)</t>
  </si>
  <si>
    <t>30860367</t>
  </si>
  <si>
    <t>2025-11-24 10:15</t>
  </si>
  <si>
    <t>电气与控制工程学院</t>
  </si>
  <si>
    <t>2025-11-24 10:19</t>
  </si>
  <si>
    <t>2025-11-24 10:22</t>
  </si>
  <si>
    <t>LP176395077344</t>
  </si>
  <si>
    <t>BJWY2454733004</t>
  </si>
  <si>
    <t>回访人：赵星火，回访时间：2025-11-24 10:15，回访内容：续费四小时；|回访人：赵星火，回访时间：2025-11-24 10:19，回访内容：系统自动签约</t>
  </si>
  <si>
    <t>北京市2104</t>
  </si>
  <si>
    <t>133212786</t>
  </si>
  <si>
    <t>2025-11-03 09:28:01</t>
  </si>
  <si>
    <t>渠道录入来源：北京中心-百度投放
意向城市：北京访客省/城市：北京市
访客静态ID：01000000034659213305441085542104
接待分组ID：82148
搜索引擎：www.baidu.com
搜索词：北京新东方考研培训机构收费
关键词：考研冲刺班
设备类型：pc
访客IP：223.70.132.41
对话详细内容：AI-Lbo0rDBXCy 2025-11-03 09:24:21_x000D_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
_x000D_
AI-Lbo0rDBXCy 2025-11-03 09:24:24_x000D_
您是想咨询【线下课程】【线上课程】【考研规划】还是【在职考研】呢？**【线下课程】#  **【线上课程】#**【考研规划】#**【在职考研】#_x000D_
_x000D_
01000000034659213305441085542104 2025-11-03 09:25:08_x000D_
26考研_x000D_
_x000D_
AI-Lbo0rDBXCy 2025-11-03 09:25:12_x000D_
同学，你现在是在校还是在职呢？_x000D_
_x000D_
01000000034659213305441085542104 2025-11-03 09:25:17_x000D_
有冲刺班吗_x000D_
_x000D_
AI-Lbo0rDBXCy 2025-11-03 09:25:20_x000D_
具体是想报考什么学校和专业呢？_x000D_
_x000D_
01000000034659213305441085542104 2025-11-03 09:25:28_x000D_
物理化学和英一有一对一吗_x000D_
_x000D_
AI-Lbo0rDBXCy 2025-11-03 09:25:31_x000D_
好的，我这边安排专业老师给您回电，详细沟通一下，请问您的电话是多少呢？_x000D_
_x000D_
01000000034659213305441085542104 2025-11-03 09:25:33_x000D_
北京工商大学_x000D_
_x000D_
AI-Lbo0rDBXCy 2025-11-03 09:25:36_x000D_
嗯嗯  好的那同学稍后方便接听电话吗？我这边可以立刻安排专业老师给您回电呢_x000D_
_x000D_
01000000034659213305441085542104 2025-11-03 09:25:45_x000D_
应用化学专业_x000D_
_x000D_
AI-Lbo0rDBXCy 2025-11-03 09:25:48_x000D_
这样，您电话多少，我安排考研部的老师联系您，将课程的详细内容介绍给您_x000D_
_x000D_
01000000034659213305441085542104 2025-11-03 09:25:58_x000D_
13901084965_x000D_
_x000D_
AI-Lbo0rDBXCy 2025-11-03 09:26:01_x000D_
好的，确认一下你的号码是否正确呢~_x000D_
_x000D_
01000000034659213305441085542104 2025-11-03 09:26:05_x000D_
直接加微信吧_x000D_
_x000D_
AI-Lbo0rDBXCy 2025-11-03 09:26:08_x000D_
可以的，你的微信是多少呢？_x000D_
_x000D_
01000000034659213305441085542104 2025-11-03 09:26:14_x000D_
这个号码_x000D_
_x000D_
AI-Lbo0rDBXCy 2025-11-03 09:26:18_x000D_
同学怎么称呼呢？_x000D_
_x000D_
01000000034659213305441085542104 2025-11-03 09:26:24_x000D_
朱同学_x000D_
_x000D_
AI-Lbo0rDBXCy 2025-11-03 09:26:27_x000D_
这边马上安排顾问老师联系您，预计半个小时左右给您回电请注意接听~_x000D_
_x000D_
来源页：https://www.baidu.com/baidu.php?url=K60000avpXkFvm7200NI2k4sUyaPA0pIfnzeY-cho4utEyKBYCDJBAtI1a5ZBhNIzqLnTo8drhaYw_sfiv6316H1jL105P0gMJzwFyiYKLJpb_tNRn4wbxtzRpkDoUGMyKiuOHqXnE1yN8igL01cXw2F6rN9d6JSctUeEAAv3Jd8t3pRcgANHWgETiNcHkS4en9clkCAPMyD_dAkfhS8Iz-PEfhx.DD_NR2Ar5Od66CE1IjOQC8dtbaIXVMgE_Eek8sHfGmOPtrxj4e_rOW9vN3x5ksePSZutrZ1vmxUqTr14IXdrW6IPTk9tqvZutrZx33x5_sSEVsSL3T5MY3IOH9qUn5Mvmxgu9LOj9tSMjElT5oEsSX1j__serrZ1tT5V_seS1j4e_rOl3xgx9tqhZvSXZvOQj4qrZxtrZdq8Z1lTrO1ser1j4qrZxvmxgGsSX1jlqhZdLqRt_nzypjOCikYqreGzUePvHGLIRtEpMwsrh8knNvIr1klpt-h1F3dJN9h9mzU81klN.U1Yk0ZDqEe1wYQ5-Vnzs30Kspynqn0KsTv-MUWYYnADLm19-uHTzmHuWPjcdPyDYnH79nvRsPvmduWT4r0KY5UAkEJMfsopoVevOEPZfkXjwVUEl8UM2dUxw0A-V5HczPfKM5yq-TZns0ZNG5yF9pywd0ZKGujYk0APGujY1P160UgfqnH0kPdt1nHcYg1csPH7xrHDLr7tknjD4g1csPWFxn1msnfKopHYs0ZFY5H6zPfKBpHYkPH9xnW0Y0AdW5HDsnHIxn1DzP7tznjRkg1bkP19xnH0krNt1nWT3n16dnjRzrNts0Z7spyfqn0Kkmv-b5H00ThIYmyTqn0K8my-b5H00Uh7YTjYs0APdujYYnWTYPW01rHb0mycqn7ts0ANzu1Ys0ZKs5H00UMus5H08nj0snj0snj00Ugws5H00uAwETjYs0ZFJ5H00uANv5gKW0AuY5H00TA6qn0KET1Ys0AFL5HDs0A4Y5H00TLCq0A71gv-bm1dsTzdWUfKGuAnqiDFK0ZKCIZbq0Zw9ThI-IjY1nNt1nHwxnH0YPfKYIgnqnHD1n1RzPW0YrHTsnjRvnH01PWT0ThNkIjYkP1mznHn1njRdPWRY0A-W5H00Tv-b5yn1P163nyFBnj0snvuhnH00mLPV5H9arHbYwH9aPH0dfHcLn1c0UAF15H00mynqnfKsUWYs0Z7VIjYs0Z7VT1Ys0Aw-I7qWTADqn0KlIjYs0AdWgvuzUvYqn7tsg1Kxn7tsg1Kxn0Kbmy4dmhNxTAk9Uh-bT1Ysg1DkrH64P1mvn-tsg1Kxn7tsg100TA7Ygvu_myTqn0Kbmv-b5H00ugwGujYVnfK9TLKWm1Ys0ZNspy4Wm1Ys0Z7VuWYs0AuWIgfqn0KGTvP_5H00mywhUA7M5HD0UAuW5H00uAPWujY0IZF9uARqn0KBuA-b5RfLfRRYnHD3rjD4nDD3wWwDPHDYPDc1wDRkPH6dn1bk0AqW5HD0mMfqnsKEmgwL5H00ULfqnfKETMKY5HcWnankranknj0sc1nLn1msn1fdP1RWrHnsnj0WrHnsnj08nj0snj0sc1nWn1_Yc10WP1RWna3sn1bdPHDWni3snj0snj0Wninsc1Dznj0sna3snj0snj0WnankrHmkrHDdnj0vnBnsc10Wnansc100mh78pv7Wm1YzPj6kninkP1nkPBnzPj6kninkrjcYP0K3TLwd5Hnkn1n1PjRd0Z7xIWYsQWR1g108njKxna3sn7tknj08njKxnH0sQW0sg1Kxna3YP7ts0AF1gLKzUvwGujYs0ZFEpyu_myTqP0KWIWY0pgPxmLK95H00mL0qn0K-TLfqn0KkuLIb5H00UL0k5Hcsr0KsTjfqnH00mLFW5Hc3PH6v&amp;us=newvui&amp;xst=mWdDPY77PjDkrj6krHKKrDmYwjRkPjw
备注：</t>
  </si>
  <si>
    <t>朱婧妍</t>
  </si>
  <si>
    <t>30650522</t>
  </si>
  <si>
    <t>2025-11-03 10:21</t>
  </si>
  <si>
    <t>化学与材料工程学院</t>
  </si>
  <si>
    <t>化学</t>
  </si>
  <si>
    <t>2025-11-04 17:09</t>
  </si>
  <si>
    <t>2025-11-04 17:43</t>
  </si>
  <si>
    <t>14500429997</t>
  </si>
  <si>
    <t>BJWY0800874762</t>
  </si>
  <si>
    <t>回访人：李涛，回访时间：2025-11-03 10:21，回访内容：孩子今年是三站  之前是考的化学工程，今年改考物理化学，英语政治   物理化学  无机化学，需要辅导的是英语一和物理化学，考的是北京工商大学，去年英语二考了41分，介绍一对一课程    家长丰台区！ 微信发详细的介绍！；|回访人：李涛，回访时间：2025-11-04 16:35，回访内容：等待支付中     ；|回访人：李涛，回访时间：2025-11-04 17:09，回访内容：系统自动签约</t>
  </si>
  <si>
    <t>LP17622473921700</t>
  </si>
  <si>
    <t>ILov</t>
  </si>
  <si>
    <t>135192212</t>
  </si>
  <si>
    <t>2025-11-20 11:39:32</t>
  </si>
  <si>
    <t>【王朝群】咨询考研数学1对1</t>
  </si>
  <si>
    <t>邹晨阳</t>
  </si>
  <si>
    <t>30819445</t>
  </si>
  <si>
    <t>2025-11-20 11:53</t>
  </si>
  <si>
    <t>材料与制造学部</t>
  </si>
  <si>
    <t>2025-11-24 09:26</t>
  </si>
  <si>
    <t>2025-11-24 10:17</t>
  </si>
  <si>
    <t>LP17639476044508</t>
  </si>
  <si>
    <t>BJWY5182616747</t>
  </si>
  <si>
    <t>回访人：李涛，回访时间：2025-11-20 11:53，回访内容：今年考数二！   想要一对一辅导，加微信沟通 不方便电话  介绍费用和上课地址！；|回访人：李涛，回访时间：2025-11-21 18:10，回访内容：确定一下课程安排！微信继续联系跟进！；|回访人：李涛，回访时间：2025-11-24 09:26，回访内容：系统自动签约</t>
  </si>
  <si>
    <t>提交日期</t>
  </si>
  <si>
    <t>OA流水号</t>
  </si>
  <si>
    <t>学管姓名</t>
  </si>
  <si>
    <t>学管是否代办</t>
  </si>
  <si>
    <t>顾问姓名</t>
  </si>
  <si>
    <t>顾问是否代办</t>
  </si>
  <si>
    <t>91系统-最新报名二级渠道</t>
  </si>
  <si>
    <t>原班所属项目</t>
  </si>
  <si>
    <t>新报入班级所属项目</t>
  </si>
  <si>
    <t>退费阶段</t>
  </si>
  <si>
    <t>退费一级原因（开课前）</t>
  </si>
  <si>
    <t>退费一级原因 (开课后)</t>
  </si>
  <si>
    <t>退费二级原因（专业课师资匹配原因）</t>
  </si>
  <si>
    <t>退费二级原因（学员意愿转变_开课后）</t>
  </si>
  <si>
    <t>退费三级原因（完全匹配不上）-院校、学院、专业、专业课代码及名称</t>
  </si>
  <si>
    <t>退费详细原因说明（与OA退费详细说明保持一致）</t>
  </si>
  <si>
    <t>预计报名新班学费金额</t>
  </si>
  <si>
    <t>转班金额（请学管填写所在班级实际金额）</t>
  </si>
  <si>
    <t>转班详细原因说明</t>
  </si>
  <si>
    <t>提交时间</t>
  </si>
  <si>
    <t>学院</t>
  </si>
  <si>
    <t>年级</t>
  </si>
  <si>
    <t>您所办理的业务类型</t>
  </si>
  <si>
    <t>提交人</t>
  </si>
  <si>
    <t>退费类型</t>
  </si>
  <si>
    <t>学员姓名</t>
  </si>
  <si>
    <t>学员编码</t>
  </si>
  <si>
    <t>办理日期-客服</t>
  </si>
  <si>
    <t>退费方式-客服</t>
  </si>
  <si>
    <t>需要跟进的顾问/学管</t>
  </si>
  <si>
    <t>退费/转班特殊情况备注（若需要学管提供银行卡信息，可将需求填写在此处）-客服</t>
  </si>
  <si>
    <t>是否完成退费/转班-客服</t>
  </si>
  <si>
    <t>父记录</t>
  </si>
  <si>
    <t>2025/11/03</t>
  </si>
  <si>
    <t>2025110300814</t>
  </si>
  <si>
    <t>葛铭</t>
  </si>
  <si>
    <t>李涛48</t>
  </si>
  <si>
    <t>无忧项目-VIP</t>
  </si>
  <si>
    <t>VIP项目</t>
  </si>
  <si>
    <t>开课前退费</t>
  </si>
  <si>
    <t>中心原因_开课前</t>
  </si>
  <si>
    <t>学员退出改报一对一督学</t>
  </si>
  <si>
    <t>¥80000.00</t>
  </si>
  <si>
    <t>计算机技术</t>
  </si>
  <si>
    <t>退费</t>
  </si>
  <si>
    <t>转项目/转班/退出重报等未产生实际退费</t>
  </si>
  <si>
    <t>2025/11/04</t>
  </si>
  <si>
    <t xml:space="preserve">11.4，退回账户余额
11.4未办理，oa未到前台@葛铭@李涛48 (李涛)
[图片]
</t>
  </si>
  <si>
    <t>TRUE</t>
  </si>
  <si>
    <t>2025/11/11</t>
  </si>
  <si>
    <t>2025110402621</t>
  </si>
  <si>
    <t>王天义56</t>
  </si>
  <si>
    <t>VIP项目-专业课</t>
  </si>
  <si>
    <t>开课后退费</t>
  </si>
  <si>
    <t>学员意愿转变_开课后</t>
  </si>
  <si>
    <t>认为课程用处不大/不适合自己</t>
  </si>
  <si>
    <t>退费原因：1、学生觉得信息差导致焦虑报名课程，研究生第一次授课后学员觉得溢价，并提到“经过学长提点”；2、学院家庭条件不太富裕；3、目标院校的学习通上可以下载专业课的知识点，并从二手群收购资料。引导学生专业课的复习不光是知识点的掌握，更是结合时政热点，学长手里也有实时的解题思路、模板和规划，会节约复习时间等，学生坚持退费。 退费金额：报名金额-课消金额-研究生匹配费=18800-2*700-500=16900元</t>
  </si>
  <si>
    <t>上海交通大学</t>
  </si>
  <si>
    <t>2022</t>
  </si>
  <si>
    <t>真实产生的退费</t>
  </si>
  <si>
    <t>熊新</t>
  </si>
  <si>
    <t>BJWY2441731275</t>
  </si>
  <si>
    <t>2025/11/13</t>
  </si>
  <si>
    <t>11.13支付宝退回16900————————
11.12未办理：未查询到顾问的挽单记录@王天义56 (王天义)</t>
  </si>
  <si>
    <t>2025/10/30</t>
  </si>
  <si>
    <t>18967906</t>
  </si>
  <si>
    <t>余韵7</t>
  </si>
  <si>
    <t>谭悦9</t>
  </si>
  <si>
    <t>无忧项目-班课</t>
  </si>
  <si>
    <t>学生姓名：许凯贤
学员编号：BJWY0058842315
报名班级：无忧英语政治
报名手机号：18611288017
考勤截至日期：10月19号
实际课消：英语2次课共4课时
退费明细：资料费用68.2元
其中已开课班次WYE27019退4184-（2/108）*21800-68.2元=3712.1元
其他未开课班次WYP27016，WYP27017，WYP27018，WYE27022，WYE27023退23116元
总退费金额：3712.1+23116=26828.1元</t>
  </si>
  <si>
    <t>2025-10-30</t>
  </si>
  <si>
    <t>首都体育学院</t>
  </si>
  <si>
    <t>体育教育训练学院</t>
  </si>
  <si>
    <t>体育教育</t>
  </si>
  <si>
    <t>许凯贤</t>
  </si>
  <si>
    <t>BJWY0058842315</t>
  </si>
  <si>
    <t>2025/11/01</t>
  </si>
  <si>
    <t>11.11退款已到账
11.11已确认，退款中
[图片]
11.10已转手工（26828.1已经申请提现，务必提醒学生进入短信链接确认（注意不是短信回复验证码），自确认之日起7-15个工作日到账。）：@余韵7 (余韵)
户 名：许凯贤
卡 号：6214680096962319
开户行：北京银行中关村石景山园支行
11.9银联扫码退款失败
11.8头寸不足，退回失败，是否需要转手工退回，如否继续等待，如是，需提供学员本人银行卡信息@余韵7 (余韵)————————————
11.7头寸不足@余韵7 (余韵)
11.6头寸不足@余韵7 (余韵)
11.5头寸不足@余韵7 (余韵)
11.4头寸不足@余韵7 (余韵)
[图片]
11.1已提交退款，目前显示退款失败商户头寸不足，原因如下图，辛苦老师确认@余韵7 (余韵)[图片]
10.31暂退学生账户，学生另一个班级课消有误@余韵7 (余韵)
10.30未办理，oa未到前台@余韵7 (余韵)</t>
  </si>
  <si>
    <t>花园桥取消班，不计算顾问退费，因学管操作，上月未及时推出</t>
  </si>
  <si>
    <t>2025/11/02</t>
  </si>
  <si>
    <t>黄小妹7</t>
  </si>
  <si>
    <t>学生需要往后转班3月花园桥上课，持续转班</t>
  </si>
  <si>
    <t>转班</t>
  </si>
  <si>
    <t>已转班</t>
  </si>
  <si>
    <t>NO.2025111000162</t>
  </si>
  <si>
    <t>VIP项目-VIP</t>
  </si>
  <si>
    <t>学员意愿转变_开课前</t>
  </si>
  <si>
    <t>学员家长给学员报名一对一课程，经多次沟通学员均拒绝上课，家长沟通无果决定退出费用，目前没有其他课程需要了</t>
  </si>
  <si>
    <t>北京航空航天</t>
  </si>
  <si>
    <t>信息</t>
  </si>
  <si>
    <t>赵一泽</t>
  </si>
  <si>
    <t>BJWY5334447793</t>
  </si>
  <si>
    <t>2025/11/19</t>
  </si>
  <si>
    <t>微信退回
未办理：OA未到前台（11.18）@张泽7 (张泽)
未办理：OA未到前台（11.17）@张泽7 (张泽)——————————
11.15未办理：OA未到前台，无顾问挽单记录@张泽7 (张泽)
11.14未办理：OA未到前台
11.13未办理：OA未到前台</t>
  </si>
  <si>
    <t>2025/11/30</t>
  </si>
  <si>
    <t>19012339</t>
  </si>
  <si>
    <t>【开课前退费】学生表示个人原因，不透露其他，说有需求会再联系。</t>
  </si>
  <si>
    <t xml:space="preserve">
机电与车辆工程学院</t>
  </si>
  <si>
    <t xml:space="preserve">
机械工程</t>
  </si>
  <si>
    <t>温宇飞</t>
  </si>
  <si>
    <t xml:space="preserve">
BJWY4724508572</t>
  </si>
  <si>
    <t>12.2支付宝退42857————————
[图片]
12.01需要等专业课退费后合并提现
暂退至学员账户，待专业课退费后合并提现</t>
  </si>
  <si>
    <t>19012035</t>
  </si>
  <si>
    <t>【开课后退费】学生表示个人原因，不透露其他，说有需求会再联系。</t>
  </si>
  <si>
    <t>机电与车辆工程学院</t>
  </si>
  <si>
    <t xml:space="preserve">
温宇飞</t>
  </si>
  <si>
    <t>BJWY4724508572</t>
  </si>
  <si>
    <t>12.2支付宝退3988.8元————————————
[图片]
12.01需要等专业课退费后合并提现
暂退至学员账户，待专业课退费后合并提现</t>
  </si>
  <si>
    <t>2025/11/26</t>
  </si>
  <si>
    <t>19008961</t>
  </si>
  <si>
    <t>集训营项目-专业课</t>
  </si>
  <si>
    <t>计划冲突_开课后</t>
  </si>
  <si>
    <t>退费方式：开课后退费，费用原路退回。退费原因：学生学校事情太多，无法继续参加后续的线下课程了，申请退费。</t>
  </si>
  <si>
    <t>生命科学学院</t>
  </si>
  <si>
    <t>生物科学</t>
  </si>
  <si>
    <t>刘晓瑜</t>
  </si>
  <si>
    <t>BJWY4340261185</t>
  </si>
  <si>
    <t>2025/11/28</t>
  </si>
  <si>
    <t>邮件已审批，合计18912微信退回
11.28邮件和审核对不上，已重新群内审核，需要重新发邮件
11.27未办理：退费群内无审核记录@焦子瑞[图片]
[图片]</t>
  </si>
  <si>
    <t>谭悦星火分单，18912</t>
  </si>
  <si>
    <t>19008870</t>
  </si>
  <si>
    <t>退费方式：开课后退费，费用原路退回。
退费原因：学生学校事情太多，无法继续参加后续的线下课程了，申请退费。</t>
  </si>
  <si>
    <t>2025/11/27</t>
  </si>
  <si>
    <t>19010532</t>
  </si>
  <si>
    <t>集训营项目-班课</t>
  </si>
  <si>
    <t>邮件已审批，合计18912微信退回
11.28邮件和审核对不上，已重新群内审核，需要重新发邮件</t>
  </si>
  <si>
    <t>无忧408第一次转班</t>
  </si>
  <si>
    <t>2025102800224</t>
  </si>
  <si>
    <t>专业课师资匹配原因</t>
  </si>
  <si>
    <t>对专业课教师资质不满意</t>
  </si>
  <si>
    <t>师资无法匹配，辅导科目比较难： 1、大部分是数学专业内容，计算机专业无法授课，数学专业又无法讲解计算机部分； 2、匹配到了学生本校研究生，研究生反馈这门课网上没有课件，及格都比较难，当时找学校领导反应过太难，学不会，相应的专业研究生很难辅导； 3、匹配到可以带的 211 研究生，家长不满意研究生院校，想要北京的师资。 引导家长放宽匹配范围，家长要求退款，由于学生有四六级、数学课时包，所以引导家长学习考研预科，挖掘考研需求，家长不考虑。</t>
  </si>
  <si>
    <t>西安电子科技大学</t>
  </si>
  <si>
    <t>网络与信息安全学院</t>
  </si>
  <si>
    <t>2024</t>
  </si>
  <si>
    <t>信息安全</t>
  </si>
  <si>
    <t>郭泽恩</t>
  </si>
  <si>
    <t>BJWY2399718106</t>
  </si>
  <si>
    <t xml:space="preserve">11.1已原路退回@王天义56 (王天义)[图片]
</t>
  </si>
  <si>
    <t>2025110601399</t>
  </si>
  <si>
    <t>徐岩91</t>
  </si>
  <si>
    <t>四六级项目-VIP</t>
  </si>
  <si>
    <t>找到工作</t>
  </si>
  <si>
    <t>学员已经毕业 工作了 四六级都过了 大学挂科的也都过了 么有需要了 申请退费</t>
  </si>
  <si>
    <t>毕业</t>
  </si>
  <si>
    <t>数字媒体技术</t>
  </si>
  <si>
    <t>罗浩轩</t>
  </si>
  <si>
    <t>BJWY8238689300</t>
  </si>
  <si>
    <t>11.14退款完成
11.14退款中
11.13银联商务POS退回，退款中@徐岩91 (徐岩)[图片]
11.12未办理：需提供下学管端口挽单截图@徐岩91 (徐岩)[图片]</t>
  </si>
  <si>
    <t>2025/11/14</t>
  </si>
  <si>
    <t>18994744</t>
  </si>
  <si>
    <t>姓名：赵梓伊学员编号:BJWY8307774892退费计算过程：退费班级：20264047；KYHSJX2702Z；KYHSJXY2702；KYHSJXZ2702报名实缴费45800（课前退费）；共计应退费用：25500+6900+7000+6400=45800元1】20264047；27考研一对一伴学(30小时/集训)；255002】KYHSJX2702Z；27考研寒暑集训营（住宿费）；69003】KYHSJXY2702；27考研寒暑集训营英语；70004】KYHSJXZ2702；27考研寒暑集训营政治；6400</t>
  </si>
  <si>
    <t>2025-11-14</t>
  </si>
  <si>
    <t>艺术与传媒学院</t>
  </si>
  <si>
    <t>传播学（数字媒体策划与传播）</t>
  </si>
  <si>
    <t>赵梓伊</t>
  </si>
  <si>
    <t>BJWY8307774892</t>
  </si>
  <si>
    <t>2025/11/18</t>
  </si>
  <si>
    <t>11.24退款成功
(11.22)原路径退还65800，银联扫码退款中：@郑雪新@王天一55 (王天一)
[图片]
暂退至学员账户
未办理：无顾问、学管挽单记录（11.18）@郑雪新
未办理：无顾问、学管挽单记录（11.17）@郑雪新</t>
  </si>
  <si>
    <t>NO.5764607523035810600</t>
  </si>
  <si>
    <t>王天一55</t>
  </si>
  <si>
    <t>学生跟家长商量后决定不考研了，想要直接工作，退费意愿强烈</t>
  </si>
  <si>
    <t>传播学</t>
  </si>
  <si>
    <t>2025/11/06</t>
  </si>
  <si>
    <t>NO.4323455642277300862</t>
  </si>
  <si>
    <t>无忧项目-专业课</t>
  </si>
  <si>
    <t>学生从24年就报名了，但是本人是公司老板，一直没有时间学习，感觉课程设计不太合适，今年考研也没有报名，想要全科退费，目前没有其他课程需要了</t>
  </si>
  <si>
    <t>学生不愿告知</t>
  </si>
  <si>
    <t>唐庆银</t>
  </si>
  <si>
    <t>BJWY4636639194</t>
  </si>
  <si>
    <t>2025/11/10</t>
  </si>
  <si>
    <t>11.26退款成功。
11.25合计提现24569.5，已转手工退至原汇款账户，待短信确认：北京从云科技有限公司632967667中国民生银行股份有限公司北京魏公村支行@许庆典
[图片]
[图片]
11.10已退回账户余4486.7，待公共课办理后一起提现（11.17）——————————@郭又华
[图片]
未办理：OA未到客服（11.9）
未办理：OA未到客服（11.8）——————————
11.6未办理，oa未到前台</t>
  </si>
  <si>
    <t>2025/11/15</t>
  </si>
  <si>
    <t>18986796</t>
  </si>
  <si>
    <t>史文涵1</t>
  </si>
  <si>
    <t>学员因自己前期没怎么上课，威胁投诉，要求退还剩余费用，已申请特批退款,邮件已抄送客服</t>
  </si>
  <si>
    <t>2025/11/25</t>
  </si>
  <si>
    <t>11.26退款成功。
11.25合计提现24569.5，已转手工退至原汇款账户，待短信确认：北京从云科技有限公司632967667中国民生银行股份有限公司北京魏公村支行@许庆典
[图片]
[图片]
11.25未办理，暂时没有收到邮件
未办理：邮件还未审核完成（11.24）@史文涵1 (史文涵)@梁小东2 (梁小东)
未办理：邮件还未审核完成（11.23）@史文涵1 (史文涵)@梁小东2 (梁小东)
未办理：邮件还未审核完成（11.22）
未办理：辛苦老师将邮件完整的审批记录抄送至【大学事业部北京中心客户服务部前台客服部】（11.21）@史文涵1 (史文涵)
未办理：邮件审批流程未完成（11.20）@史文涵1 (史文涵)
未办理：邮件审批流程未完成（11.19）@史文涵1 (史文涵)[图片]
未办理：邮件审批流程未完成（11.18）
未办理：邮件审批流程未完成（11.17）</t>
  </si>
  <si>
    <t>18990802</t>
  </si>
  <si>
    <t>18990954</t>
  </si>
  <si>
    <t>18990973</t>
  </si>
  <si>
    <t>18991963</t>
  </si>
  <si>
    <t>18991941</t>
  </si>
  <si>
    <t>18990927</t>
  </si>
  <si>
    <t>0元离班
11.25未办理，暂时没有收到邮件
未办理：邮件还未审核完成（11.24）@史文涵1 (史文涵)@梁小东2 (梁小东)
未办理：邮件还未审核完成（11.23）@史文涵1 (史文涵)@梁小东2 (梁小东)
未办理：邮件还未审核完成（11.22）
未办理：辛苦老师将邮件完整的审批记录抄送至【大学事业部北京中心客户服务部前台客服部】（11.21）@史文涵1 (史文涵)
未办理：邮件审批流程未完成（11.20）@史文涵1 (史文涵)
未办理：邮件审批流程未完成（11.19）@史文涵1 (史文涵)[图片]
未办理：邮件审批流程未完成（11.18）
未办理：邮件审批流程未完成（11.17）</t>
  </si>
  <si>
    <t>18991920</t>
  </si>
  <si>
    <t>18989761</t>
  </si>
  <si>
    <t>18973649</t>
  </si>
  <si>
    <t>罗志勇1</t>
  </si>
  <si>
    <t>四六级项目-班课</t>
  </si>
  <si>
    <t>学生家长反馈学生周末学校有安排，实在没有办法上课，直播效果不好，一直强调不是老师的问题，是自己的原因，坚持退费，拒绝转班</t>
  </si>
  <si>
    <t>智能制造</t>
  </si>
  <si>
    <t>杨辛</t>
  </si>
  <si>
    <t>BJWY1788882002</t>
  </si>
  <si>
    <t>2025/11/16</t>
  </si>
  <si>
    <t>11.16 微信原渠道退还@罗志勇1 (罗志勇)</t>
  </si>
  <si>
    <t>4035225266125600297</t>
  </si>
  <si>
    <t>集训营项目-VIP</t>
  </si>
  <si>
    <t>姓名：赵梓伊
学员编号:BJWY8307774892
退费计算过程：班号20264047 ；27考研一对一伴学(30小时/集训)；25500</t>
  </si>
  <si>
    <t>2025/11/22</t>
  </si>
  <si>
    <t>11.29退款完成————————
11.28商务银联退款中
11.27商务银联退款中[图片]
11.26商务银联退款中
11.25商务银联退款中[图片]
11.24商务银联退款中
[图片]
(11.22)原路径退还65800，银联扫码退款中：@郑雪新@王天一55 (王天一)
[图片]
未办理：群内未查到该班级的退费申请以及金额审核记录（11.21）@王天一55 (王天一)</t>
  </si>
  <si>
    <t>2025/11/20</t>
  </si>
  <si>
    <t>2025111600666</t>
  </si>
  <si>
    <t>放心学</t>
  </si>
  <si>
    <t>家长因孩子专业课压力大，提出英语课仅下周二上最后一节作文课收尾，剩余英语课退费，政治做保留。学管询问孩子今年是否还考试，家长确认肯定考试，只因专业课任务重，英语上完最后一节即可。学管说明英语课在续课时已压缩，当时选择了课时较少的方案，讲课速度较快，若孩子觉得压力大可查看云教室的课程回放，并指出若不上会影响孩子英语成绩提升和复习。家长表示清楚后果并自愿承担，坚持退费。引导家长保留一部分课时用来上政治，家长保留 2h，共退出 12h。</t>
  </si>
  <si>
    <t>北京林业大学</t>
  </si>
  <si>
    <t>林学院</t>
  </si>
  <si>
    <t>林学</t>
  </si>
  <si>
    <t>刘宵含</t>
  </si>
  <si>
    <t>BJWY0430086011</t>
  </si>
  <si>
    <t>微信退回</t>
  </si>
  <si>
    <t>2025111500523</t>
  </si>
  <si>
    <t>25 考季学员，已经工作，家长表示无心考研，由于报名比较早，存在价差，建议家长保留课时，需要的时候再报名的话会花费更多，并推荐非全，家长坚持退费。</t>
  </si>
  <si>
    <t>毕业/已就业</t>
  </si>
  <si>
    <t xml:space="preserve">11.26退款成功。
11.26已确认，退款中，待到账
11.25已确认，退款中，待到账
[图片]
11.24已转手工退至学员本人银行卡，待短信确认：高新章6217000010112474112建设银行北京天宁寺支行@王天义56 (王天义)
11.23再次提醒
(11.22)退回账户余额，原支付渠道超时失效，请提供原支付银行卡信息来手工退款@王天义56 (王天义)
中国建设银行621700*********4112
[图片]
</t>
  </si>
  <si>
    <t>2025/11/23</t>
  </si>
  <si>
    <t>19005767</t>
  </si>
  <si>
    <t>放弃考研</t>
  </si>
  <si>
    <t>生物技术</t>
  </si>
  <si>
    <t>韩宜航</t>
  </si>
  <si>
    <t>BJWY8146889572</t>
  </si>
  <si>
    <t>微信退回
11.26未办理，oa未到客服
11.25未办理，oa未到客服
未办理：OA未到客服（11.24）</t>
  </si>
  <si>
    <t>19005869</t>
  </si>
  <si>
    <t>生物科技</t>
  </si>
  <si>
    <t>2025111802284</t>
  </si>
  <si>
    <t>孩子没有别的需求 六级，数学，考研，雅思课都不需要啦 申请退费</t>
  </si>
  <si>
    <t>2025-11-25</t>
  </si>
  <si>
    <t>大专</t>
  </si>
  <si>
    <t>王樱</t>
  </si>
  <si>
    <t>BJWY1989106679</t>
  </si>
  <si>
    <t xml:space="preserve">11.28退款完成
11.28已确认，退款中，待到账
[图片]
11.27已短信确认/退款中
11.26已转手工，待短信确认@徐岩91 (徐岩)
11.25已办理退至学员账户，原支付渠道失效，请提醒学生本人银行卡信息转手工退款@徐岩91 (徐岩)[图片]
</t>
  </si>
  <si>
    <t>NO.6629298651491008139</t>
  </si>
  <si>
    <t>马一鸣16</t>
  </si>
  <si>
    <t>学生目前找了辅导专业课的老师，不需要这边匹配了。和学生沟通是否需要转到英语政治一对一提升一下，学生拒绝，挽单失败。</t>
  </si>
  <si>
    <t>艺术学院</t>
  </si>
  <si>
    <t>绘画</t>
  </si>
  <si>
    <t>方越</t>
  </si>
  <si>
    <t>BJWY2391065562</t>
  </si>
  <si>
    <t>微信退回
11.26未办理，未查询到顾问的挽单记录@马一鸣16 (马一鸣)</t>
  </si>
  <si>
    <t>19011600</t>
  </si>
  <si>
    <t>退费方式：开课后退费，原路退回。
退费原因：学生学校事情太多，无法继续参加后续的线下课程了，申请退费</t>
  </si>
  <si>
    <t>2025-11-28</t>
  </si>
  <si>
    <t>2025/11/29</t>
  </si>
  <si>
    <t>支付宝退回12444.8元，微信退回1元</t>
  </si>
  <si>
    <t>19011766</t>
  </si>
  <si>
    <t>退费方式：开课后退费，原路退回。
退费原因：学生学校事情太多，无法继续参加后续的线下课程了，申请退费。</t>
  </si>
  <si>
    <t>NO.2025112402751</t>
  </si>
  <si>
    <t>个人身体原因无法承受高强度学习</t>
  </si>
  <si>
    <t>学员范围， 2025-08-23报名100h，开课日期为2025-08-24，课消 98h，剩余 2h；2025-10-16续费，续费 34h，课消为 0，每周课频为 3-5 次课。计算剩余课时和授课进度，与老师沟通所需课时，劝说学生于提前续费，按计划可在考前上完。 与家长 11/14 电话沟通，学生压力大经常失眠，去医院检查后，医生建议停课一周观察，家长觉得身体要紧遵从医嘱；一周后复查，医生不建议继续考试，表示学生身体已经亮红灯，家长不愿冒风险，考研也是为了满足孩子的心愿，身体最重要，选择放弃考试，托关系找工作就业。 8月末开始系统复习考试，复习时间很短，在学生生病前，我在校区见到同学多次鼓励，并在模考时将学生安排在我监考的场次，考试后成绩不理想也进行心理疏导；科任老师平时上课也对学生进行鼓励式教育。家长很认可老师们的努力，并表示感谢，后续如果考在职研会再联系。</t>
  </si>
  <si>
    <t>土木与交通工程学院</t>
  </si>
  <si>
    <t>范围</t>
  </si>
  <si>
    <t>BJWY1871741452</t>
  </si>
  <si>
    <t xml:space="preserve">12.3已再次发送短信，请提醒学生短信确认@王天义56 (王天义)
[图片]
12.2再次提醒短信确认@王天义56 (王天义)——————————
12.01已办理提交手工退费，已发送确认短信到137****5363 ，需要提醒学生短信确认@王天义56 (王天义)
[图片]
暂退至学员账户，提供原汇款账户信息@王天义56 (王天义)————————
[图片]
</t>
  </si>
  <si>
    <t>学员27djm</t>
  </si>
  <si>
    <t>DLS_5044115304</t>
  </si>
  <si>
    <t>学员rkfe7</t>
  </si>
  <si>
    <t>李涛48在线退费</t>
  </si>
  <si>
    <t>学员4908565</t>
  </si>
  <si>
    <t>学员ubxdc</t>
  </si>
  <si>
    <t>学员komf2</t>
  </si>
  <si>
    <t>日常管理</t>
  </si>
  <si>
    <t>工单目标</t>
  </si>
  <si>
    <t>工单实际</t>
  </si>
  <si>
    <t>签约目标</t>
  </si>
  <si>
    <t>签约实际</t>
  </si>
  <si>
    <t>占比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</si>
  <si>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</si>
  <si>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</si>
  <si>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</si>
  <si>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</si>
  <si>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</si>
  <si>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</si>
  <si>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</si>
  <si>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</si>
  <si>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完成</t>
  </si>
  <si>
    <t>合格</t>
  </si>
  <si>
    <t>结束保护期</t>
  </si>
  <si>
    <t>O3无考核指标</t>
  </si>
  <si>
    <t>年月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</si>
  <si>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</si>
  <si>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</si>
  <si>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</si>
  <si>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</si>
  <si>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</si>
  <si>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</si>
  <si>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个性化项目部</t>
  </si>
  <si>
    <t>37.8w（含在线代售8000）</t>
  </si>
  <si>
    <t>主动25%、被动10%</t>
  </si>
  <si>
    <t>工单2/人头1/金额1</t>
  </si>
  <si>
    <t>不低于中心75分位值</t>
  </si>
  <si>
    <t>40.8w（含在线代售8000）</t>
  </si>
  <si>
    <t>32.5w（含在线代售5000）</t>
  </si>
  <si>
    <t>主动20%、被动10%</t>
  </si>
  <si>
    <t>占比40%</t>
  </si>
  <si>
    <t>占比30%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</si>
</sst>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_ "/>
    <numFmt numFmtId="165" formatCode="0.0"/>
    <numFmt numFmtId="166" formatCode="0.00_);[Red]\(0.00\)"/>
    <numFmt numFmtId="167" formatCode="&quot;￥&quot;#,##0.00;[Red]&quot;￥&quot;\-#,##0.00"/>
    <numFmt numFmtId="168" formatCode="0.0_);[Red]\(0.0\)"/>
    <numFmt numFmtId="169" formatCode="0_);[Red]\(0\)"/>
  </numFmts>
  <fonts count="30">
    <font>
      <sz val="11"/>
      <color theme="1"/>
      <name val="Calibri"/>
      <charset val="134"/>
      <scheme val="minor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indexed="8"/>
      <name val="Calibri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E03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rgb="FF222222"/>
      <name val="Helvetica Neue"/>
      <family val="2"/>
    </font>
    <font>
      <b/>
      <sz val="10"/>
      <name val="宋体"/>
      <family val="3"/>
      <charset val="134"/>
    </font>
    <font>
      <sz val="10"/>
      <name val="Calibri"/>
      <family val="2"/>
    </font>
    <font>
      <sz val="10"/>
      <name val="宋体-简"/>
      <charset val="134"/>
    </font>
    <font>
      <b/>
      <sz val="14"/>
      <color rgb="FF00206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Calibri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C5F4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79992065187536243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8" fillId="0" borderId="0"/>
    <xf numFmtId="9" fontId="28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9" fontId="7" fillId="0" borderId="10" xfId="2" applyFont="1" applyBorder="1" applyAlignment="1">
      <alignment horizontal="center" vertical="center"/>
    </xf>
    <xf numFmtId="168" fontId="6" fillId="4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7" fillId="0" borderId="10" xfId="0" applyNumberFormat="1" applyFont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167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167" fontId="7" fillId="3" borderId="0" xfId="0" applyNumberFormat="1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7" borderId="0" xfId="0" applyFont="1" applyFill="1"/>
    <xf numFmtId="0" fontId="11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12" fillId="0" borderId="0" xfId="0" applyFont="1"/>
    <xf numFmtId="0" fontId="13" fillId="8" borderId="10" xfId="0" applyFont="1" applyFill="1" applyBorder="1" applyAlignment="1">
      <alignment horizontal="center" vertical="center" wrapText="1"/>
    </xf>
    <xf numFmtId="0" fontId="14" fillId="0" borderId="0" xfId="0" applyFont="1"/>
    <xf numFmtId="0" fontId="14" fillId="7" borderId="0" xfId="0" applyFont="1" applyFill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9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9" fontId="0" fillId="0" borderId="0" xfId="0" applyNumberFormat="1"/>
    <xf numFmtId="10" fontId="0" fillId="0" borderId="0" xfId="0" applyNumberFormat="1"/>
    <xf numFmtId="0" fontId="17" fillId="10" borderId="1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9" fontId="19" fillId="0" borderId="0" xfId="2" applyFont="1" applyAlignment="1"/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22" fillId="13" borderId="16" xfId="0" applyFont="1" applyFill="1" applyBorder="1" applyAlignment="1">
      <alignment horizontal="center"/>
    </xf>
    <xf numFmtId="0" fontId="23" fillId="13" borderId="16" xfId="0" applyFont="1" applyFill="1" applyBorder="1"/>
    <xf numFmtId="0" fontId="22" fillId="14" borderId="0" xfId="0" applyFont="1" applyFill="1" applyAlignment="1">
      <alignment horizontal="center"/>
    </xf>
    <xf numFmtId="0" fontId="23" fillId="14" borderId="0" xfId="0" applyFont="1" applyFill="1"/>
    <xf numFmtId="0" fontId="22" fillId="15" borderId="0" xfId="0" applyFont="1" applyFill="1" applyAlignment="1">
      <alignment horizontal="center"/>
    </xf>
    <xf numFmtId="0" fontId="23" fillId="15" borderId="0" xfId="0" applyFont="1" applyFill="1"/>
    <xf numFmtId="0" fontId="22" fillId="16" borderId="17" xfId="0" applyFont="1" applyFill="1" applyBorder="1" applyAlignment="1">
      <alignment horizontal="center"/>
    </xf>
    <xf numFmtId="0" fontId="23" fillId="16" borderId="17" xfId="0" applyFont="1" applyFill="1" applyBorder="1"/>
    <xf numFmtId="0" fontId="22" fillId="17" borderId="16" xfId="0" applyFont="1" applyFill="1" applyBorder="1" applyAlignment="1">
      <alignment horizontal="center"/>
    </xf>
    <xf numFmtId="0" fontId="23" fillId="17" borderId="16" xfId="0" applyFont="1" applyFill="1" applyBorder="1"/>
    <xf numFmtId="0" fontId="22" fillId="18" borderId="17" xfId="0" applyFont="1" applyFill="1" applyBorder="1" applyAlignment="1">
      <alignment horizontal="center"/>
    </xf>
    <xf numFmtId="0" fontId="23" fillId="18" borderId="17" xfId="0" applyFont="1" applyFill="1" applyBorder="1"/>
    <xf numFmtId="9" fontId="17" fillId="10" borderId="11" xfId="0" applyNumberFormat="1" applyFont="1" applyFill="1" applyBorder="1" applyAlignment="1">
      <alignment horizontal="center" vertical="center" wrapText="1"/>
    </xf>
    <xf numFmtId="9" fontId="17" fillId="10" borderId="11" xfId="2" applyFont="1" applyFill="1" applyBorder="1" applyAlignment="1">
      <alignment horizontal="center" vertical="center" wrapText="1"/>
    </xf>
    <xf numFmtId="9" fontId="18" fillId="10" borderId="11" xfId="0" applyNumberFormat="1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9" fontId="18" fillId="12" borderId="11" xfId="2" applyFont="1" applyFill="1" applyBorder="1" applyAlignment="1">
      <alignment horizontal="center" vertical="center"/>
    </xf>
    <xf numFmtId="164" fontId="18" fillId="12" borderId="11" xfId="0" applyNumberFormat="1" applyFont="1" applyFill="1" applyBorder="1" applyAlignment="1">
      <alignment horizontal="center" vertical="center"/>
    </xf>
    <xf numFmtId="9" fontId="19" fillId="0" borderId="0" xfId="0" applyNumberFormat="1" applyFont="1"/>
    <xf numFmtId="169" fontId="19" fillId="0" borderId="0" xfId="2" applyNumberFormat="1" applyFont="1" applyAlignment="1"/>
    <xf numFmtId="169" fontId="17" fillId="10" borderId="11" xfId="2" applyNumberFormat="1" applyFont="1" applyFill="1" applyBorder="1" applyAlignment="1">
      <alignment horizontal="center" vertical="center" wrapText="1"/>
    </xf>
    <xf numFmtId="169" fontId="17" fillId="10" borderId="11" xfId="2" applyNumberFormat="1" applyFont="1" applyFill="1" applyBorder="1" applyAlignment="1">
      <alignment horizontal="center" vertical="center"/>
    </xf>
    <xf numFmtId="169" fontId="17" fillId="10" borderId="11" xfId="0" applyNumberFormat="1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9" fontId="18" fillId="10" borderId="11" xfId="2" applyFont="1" applyFill="1" applyBorder="1" applyAlignment="1">
      <alignment horizontal="center" vertical="center"/>
    </xf>
    <xf numFmtId="10" fontId="17" fillId="10" borderId="11" xfId="0" applyNumberFormat="1" applyFont="1" applyFill="1" applyBorder="1" applyAlignment="1">
      <alignment horizontal="center" vertical="center" wrapText="1"/>
    </xf>
    <xf numFmtId="10" fontId="18" fillId="12" borderId="11" xfId="0" applyNumberFormat="1" applyFont="1" applyFill="1" applyBorder="1" applyAlignment="1">
      <alignment horizontal="center" vertical="center"/>
    </xf>
    <xf numFmtId="10" fontId="19" fillId="0" borderId="0" xfId="0" applyNumberFormat="1" applyFont="1"/>
    <xf numFmtId="10" fontId="20" fillId="0" borderId="0" xfId="0" applyNumberFormat="1" applyFont="1"/>
    <xf numFmtId="0" fontId="25" fillId="10" borderId="11" xfId="0" applyFont="1" applyFill="1" applyBorder="1" applyAlignment="1">
      <alignment horizontal="center" vertical="center" wrapText="1"/>
    </xf>
    <xf numFmtId="10" fontId="18" fillId="10" borderId="11" xfId="0" applyNumberFormat="1" applyFont="1" applyFill="1" applyBorder="1" applyAlignment="1">
      <alignment horizontal="center" vertical="center"/>
    </xf>
    <xf numFmtId="165" fontId="17" fillId="9" borderId="1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27" fillId="19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66" fontId="27" fillId="19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166" fontId="2" fillId="0" borderId="0" xfId="1" applyNumberFormat="1" applyFont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3" fillId="7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20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vertical="center"/>
    </xf>
    <xf numFmtId="0" fontId="22" fillId="7" borderId="10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20" borderId="20" xfId="0" applyFont="1" applyFill="1" applyBorder="1" applyAlignment="1">
      <alignment horizontal="center" vertical="center"/>
    </xf>
    <xf numFmtId="0" fontId="23" fillId="20" borderId="22" xfId="0" applyFont="1" applyFill="1" applyBorder="1" applyAlignment="1">
      <alignment horizontal="center" vertical="center"/>
    </xf>
    <xf numFmtId="0" fontId="24" fillId="10" borderId="18" xfId="0" applyFont="1" applyFill="1" applyBorder="1" applyAlignment="1">
      <alignment horizontal="center" vertical="center"/>
    </xf>
    <xf numFmtId="0" fontId="24" fillId="10" borderId="19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16" fillId="10" borderId="13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8" fontId="6" fillId="4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" xfId="0" builtinId="0"/>
    <cellStyle name="Percent" xfId="2" builtinId="5"/>
    <cellStyle name="常规 2" xfId="1" xr:uid="{00000000-0005-0000-0000-000002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Light16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C1" workbookViewId="0">
      <selection activeCell="I9" sqref="I9"/>
    </sheetView>
  </sheetViews>
  <sheetFormatPr defaultColWidth="9" defaultRowHeight="14.25"/>
  <cols>
    <col min="4" max="4" width="10.6640625" customWidth="1"/>
    <col min="5" max="5" width="13.86328125" customWidth="1"/>
    <col min="6" max="6" width="15.46484375" customWidth="1"/>
    <col min="7" max="7" width="19.86328125" style="80" customWidth="1"/>
    <col min="8" max="8" width="33.796875" customWidth="1"/>
    <col min="12" max="12" width="14.53125" customWidth="1"/>
    <col min="13" max="13" width="20.53125" customWidth="1"/>
  </cols>
  <sheetData>
    <row r="1" spans="1:13" ht="14.6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6" t="s">
        <v>6</v>
      </c>
      <c r="H1" s="81" t="s">
        <v>7</v>
      </c>
      <c r="K1" s="92" t="s">
        <v>8</v>
      </c>
      <c r="L1" s="93"/>
      <c r="M1" s="93"/>
    </row>
    <row r="2" spans="1:13" ht="14.65">
      <c r="A2" s="82">
        <v>1</v>
      </c>
      <c r="B2" s="83">
        <v>238256</v>
      </c>
      <c r="C2" s="84" t="s">
        <v>9</v>
      </c>
      <c r="D2" s="82" t="s">
        <v>10</v>
      </c>
      <c r="E2" s="82" t="s">
        <v>11</v>
      </c>
      <c r="F2" s="82" t="s">
        <v>12</v>
      </c>
      <c r="G2" s="87">
        <f>核算模版!P4</f>
        <v>600</v>
      </c>
      <c r="H2" s="88"/>
      <c r="K2" s="94" t="s">
        <v>13</v>
      </c>
      <c r="L2" s="94" t="s">
        <v>14</v>
      </c>
      <c r="M2" s="97" t="s">
        <v>15</v>
      </c>
    </row>
    <row r="3" spans="1:13">
      <c r="A3" s="82">
        <v>2</v>
      </c>
      <c r="B3" s="83">
        <v>341422</v>
      </c>
      <c r="C3" s="84" t="s">
        <v>16</v>
      </c>
      <c r="D3" s="82" t="s">
        <v>10</v>
      </c>
      <c r="E3" s="82" t="s">
        <v>11</v>
      </c>
      <c r="F3" s="82" t="s">
        <v>17</v>
      </c>
      <c r="G3" s="87">
        <v>1000</v>
      </c>
      <c r="H3" s="88" t="s">
        <v>18</v>
      </c>
      <c r="K3" s="98" t="s">
        <v>19</v>
      </c>
      <c r="L3" s="95" t="s">
        <v>20</v>
      </c>
      <c r="M3" s="95" t="s">
        <v>12</v>
      </c>
    </row>
    <row r="4" spans="1:13">
      <c r="A4" s="82">
        <v>3</v>
      </c>
      <c r="B4" s="83">
        <v>404905</v>
      </c>
      <c r="C4" s="84" t="s">
        <v>21</v>
      </c>
      <c r="D4" s="82" t="s">
        <v>10</v>
      </c>
      <c r="E4" s="82" t="s">
        <v>11</v>
      </c>
      <c r="F4" s="82" t="s">
        <v>12</v>
      </c>
      <c r="G4" s="87">
        <f>核算模版!P6</f>
        <v>1200</v>
      </c>
      <c r="H4" s="82"/>
      <c r="K4" s="99"/>
      <c r="L4" s="95" t="s">
        <v>22</v>
      </c>
      <c r="M4" s="95" t="s">
        <v>23</v>
      </c>
    </row>
    <row r="5" spans="1:13">
      <c r="A5" s="82">
        <v>4</v>
      </c>
      <c r="B5" s="83">
        <v>238256</v>
      </c>
      <c r="C5" s="84" t="s">
        <v>9</v>
      </c>
      <c r="D5" s="82" t="s">
        <v>10</v>
      </c>
      <c r="E5" s="82" t="s">
        <v>11</v>
      </c>
      <c r="F5" s="82" t="s">
        <v>23</v>
      </c>
      <c r="G5" s="87">
        <f>核算模版!AG4</f>
        <v>1390.4312</v>
      </c>
      <c r="H5" s="82"/>
      <c r="K5" s="99"/>
      <c r="L5" s="95" t="s">
        <v>24</v>
      </c>
      <c r="M5" s="95" t="s">
        <v>23</v>
      </c>
    </row>
    <row r="6" spans="1:13">
      <c r="A6" s="82">
        <v>5</v>
      </c>
      <c r="B6" s="83">
        <v>341422</v>
      </c>
      <c r="C6" s="84" t="s">
        <v>16</v>
      </c>
      <c r="D6" s="82" t="s">
        <v>10</v>
      </c>
      <c r="E6" s="82" t="s">
        <v>11</v>
      </c>
      <c r="F6" s="82" t="s">
        <v>23</v>
      </c>
      <c r="G6" s="87">
        <f>核算模版!AH5</f>
        <v>27810.468000000001</v>
      </c>
      <c r="H6" s="82"/>
      <c r="K6" s="100"/>
      <c r="L6" s="95" t="s">
        <v>25</v>
      </c>
      <c r="M6" s="95" t="s">
        <v>17</v>
      </c>
    </row>
    <row r="7" spans="1:13">
      <c r="A7" s="82">
        <v>6</v>
      </c>
      <c r="B7" s="83">
        <v>404905</v>
      </c>
      <c r="C7" s="84" t="s">
        <v>21</v>
      </c>
      <c r="D7" s="82" t="s">
        <v>10</v>
      </c>
      <c r="E7" s="82" t="s">
        <v>11</v>
      </c>
      <c r="F7" s="82" t="s">
        <v>23</v>
      </c>
      <c r="G7" s="87">
        <f>核算模版!AD6</f>
        <v>0</v>
      </c>
      <c r="H7" s="82"/>
      <c r="K7" s="101" t="s">
        <v>26</v>
      </c>
      <c r="L7" s="96" t="s">
        <v>27</v>
      </c>
      <c r="M7" s="96" t="s">
        <v>28</v>
      </c>
    </row>
    <row r="8" spans="1:13">
      <c r="A8" s="82">
        <v>7</v>
      </c>
      <c r="B8" s="84"/>
      <c r="C8" s="84"/>
      <c r="D8" s="82"/>
      <c r="E8" s="82"/>
      <c r="F8" s="82"/>
      <c r="G8" s="87"/>
      <c r="H8" s="82"/>
      <c r="K8" s="102"/>
      <c r="L8" s="96" t="s">
        <v>29</v>
      </c>
      <c r="M8" s="96" t="s">
        <v>30</v>
      </c>
    </row>
    <row r="9" spans="1:13">
      <c r="A9" s="82">
        <v>8</v>
      </c>
      <c r="B9" s="84"/>
      <c r="C9" s="82"/>
      <c r="D9" s="82"/>
      <c r="E9" s="82"/>
      <c r="F9" s="82"/>
      <c r="G9" s="87"/>
      <c r="H9" s="88"/>
    </row>
    <row r="10" spans="1:13">
      <c r="A10" s="82">
        <v>9</v>
      </c>
      <c r="B10" s="84"/>
      <c r="C10" s="82"/>
      <c r="D10" s="82"/>
      <c r="E10" s="82"/>
      <c r="F10" s="82"/>
      <c r="G10" s="87"/>
      <c r="H10" s="88"/>
    </row>
    <row r="11" spans="1:13">
      <c r="A11" s="82">
        <v>10</v>
      </c>
      <c r="B11" s="84"/>
      <c r="C11" s="82"/>
      <c r="D11" s="82"/>
      <c r="E11" s="82"/>
      <c r="F11" s="82"/>
      <c r="G11" s="89"/>
      <c r="H11" s="88"/>
    </row>
    <row r="12" spans="1:13">
      <c r="A12" s="82">
        <v>11</v>
      </c>
      <c r="B12" s="84"/>
      <c r="C12" s="82"/>
      <c r="D12" s="82"/>
      <c r="E12" s="82"/>
      <c r="F12" s="82"/>
      <c r="G12" s="87"/>
      <c r="H12" s="88"/>
    </row>
    <row r="13" spans="1:13">
      <c r="A13" s="82">
        <v>12</v>
      </c>
      <c r="B13" s="84"/>
      <c r="C13" s="84"/>
      <c r="D13" s="82"/>
      <c r="E13" s="82"/>
      <c r="F13" s="82"/>
      <c r="G13" s="87"/>
      <c r="H13" s="88"/>
    </row>
    <row r="14" spans="1:13">
      <c r="A14" s="82">
        <v>13</v>
      </c>
      <c r="B14" s="84"/>
      <c r="C14" s="84"/>
      <c r="D14" s="82"/>
      <c r="E14" s="82"/>
      <c r="F14" s="82"/>
      <c r="G14" s="87"/>
      <c r="H14" s="88"/>
    </row>
    <row r="15" spans="1:13">
      <c r="A15" s="82">
        <v>14</v>
      </c>
      <c r="B15" s="84"/>
      <c r="C15" s="82"/>
      <c r="D15" s="82"/>
      <c r="E15" s="82"/>
      <c r="F15" s="82"/>
      <c r="G15" s="87"/>
      <c r="H15" s="88"/>
    </row>
    <row r="16" spans="1:13">
      <c r="A16" s="82">
        <v>15</v>
      </c>
      <c r="B16" s="84"/>
      <c r="C16" s="82"/>
      <c r="D16" s="82"/>
      <c r="E16" s="82"/>
      <c r="F16" s="82"/>
      <c r="G16" s="87"/>
      <c r="H16" s="88"/>
    </row>
    <row r="17" spans="1:8">
      <c r="A17" s="82">
        <v>16</v>
      </c>
      <c r="B17" s="84"/>
      <c r="C17" s="82"/>
      <c r="D17" s="82"/>
      <c r="E17" s="82"/>
      <c r="F17" s="82"/>
      <c r="G17" s="87"/>
      <c r="H17" s="88"/>
    </row>
    <row r="18" spans="1:8">
      <c r="A18" s="82">
        <v>17</v>
      </c>
      <c r="B18" s="84"/>
      <c r="C18" s="82"/>
      <c r="D18" s="82"/>
      <c r="E18" s="82"/>
      <c r="F18" s="82"/>
      <c r="G18" s="87"/>
      <c r="H18" s="88"/>
    </row>
    <row r="19" spans="1:8">
      <c r="A19" s="82">
        <v>18</v>
      </c>
      <c r="B19" s="84"/>
      <c r="C19" s="82"/>
      <c r="D19" s="82"/>
      <c r="E19" s="82"/>
      <c r="F19" s="82"/>
      <c r="G19" s="87"/>
      <c r="H19" s="88"/>
    </row>
    <row r="20" spans="1:8">
      <c r="A20" s="82">
        <v>19</v>
      </c>
      <c r="B20" s="84"/>
      <c r="C20" s="82"/>
      <c r="D20" s="82"/>
      <c r="E20" s="82"/>
      <c r="F20" s="82"/>
      <c r="G20" s="87"/>
      <c r="H20" s="88"/>
    </row>
    <row r="21" spans="1:8">
      <c r="A21" s="82">
        <v>20</v>
      </c>
      <c r="B21" s="84"/>
      <c r="C21" s="82"/>
      <c r="D21" s="82"/>
      <c r="E21" s="82"/>
      <c r="F21" s="82"/>
      <c r="G21" s="87"/>
      <c r="H21" s="88"/>
    </row>
    <row r="22" spans="1:8">
      <c r="A22" s="82">
        <v>21</v>
      </c>
      <c r="B22" s="84"/>
      <c r="C22" s="82"/>
      <c r="D22" s="82"/>
      <c r="E22" s="82"/>
      <c r="F22" s="82"/>
      <c r="G22" s="87"/>
      <c r="H22" s="88"/>
    </row>
    <row r="23" spans="1:8">
      <c r="A23" s="82">
        <v>22</v>
      </c>
      <c r="B23" s="84"/>
      <c r="C23" s="82"/>
      <c r="D23" s="82"/>
      <c r="E23" s="82"/>
      <c r="F23" s="82"/>
      <c r="G23" s="87"/>
      <c r="H23" s="88"/>
    </row>
    <row r="24" spans="1:8">
      <c r="A24" s="82">
        <v>23</v>
      </c>
      <c r="B24" s="84"/>
      <c r="C24" s="82"/>
      <c r="D24" s="82"/>
      <c r="E24" s="82"/>
      <c r="F24" s="82"/>
      <c r="G24" s="87"/>
      <c r="H24" s="88"/>
    </row>
    <row r="25" spans="1:8">
      <c r="A25" s="82">
        <v>24</v>
      </c>
      <c r="B25" s="84"/>
      <c r="C25" s="82"/>
      <c r="D25" s="82"/>
      <c r="E25" s="82"/>
      <c r="F25" s="82"/>
      <c r="G25" s="87"/>
      <c r="H25" s="88"/>
    </row>
    <row r="26" spans="1:8">
      <c r="A26" s="82">
        <v>25</v>
      </c>
      <c r="B26" s="84"/>
      <c r="C26" s="82"/>
      <c r="D26" s="82"/>
      <c r="E26" s="82"/>
      <c r="F26" s="82"/>
      <c r="G26" s="87"/>
      <c r="H26" s="88"/>
    </row>
    <row r="27" spans="1:8">
      <c r="A27" s="82">
        <v>26</v>
      </c>
      <c r="B27" s="84"/>
      <c r="C27" s="82"/>
      <c r="D27" s="82"/>
      <c r="E27" s="82"/>
      <c r="F27" s="82"/>
      <c r="G27" s="87"/>
      <c r="H27" s="88"/>
    </row>
    <row r="28" spans="1:8">
      <c r="A28" s="82">
        <v>27</v>
      </c>
      <c r="B28" s="84"/>
      <c r="C28" s="85"/>
      <c r="D28" s="85"/>
      <c r="E28" s="85"/>
      <c r="F28" s="85"/>
      <c r="G28" s="90"/>
      <c r="H28" s="91"/>
    </row>
    <row r="29" spans="1:8">
      <c r="A29" s="82">
        <v>28</v>
      </c>
      <c r="B29" s="84"/>
      <c r="C29" s="82"/>
      <c r="D29" s="82"/>
      <c r="E29" s="82"/>
      <c r="F29" s="82"/>
      <c r="G29" s="87"/>
      <c r="H29" s="88"/>
    </row>
    <row r="30" spans="1:8">
      <c r="A30" s="82">
        <v>29</v>
      </c>
      <c r="B30" s="84"/>
      <c r="C30" s="82"/>
      <c r="D30" s="82"/>
      <c r="E30" s="82"/>
      <c r="F30" s="82"/>
      <c r="G30" s="87"/>
      <c r="H30" s="88"/>
    </row>
  </sheetData>
  <sheetProtection formatCells="0" insertHyperlinks="0" autoFilter="0"/>
  <mergeCells count="2">
    <mergeCell ref="K3:K6"/>
    <mergeCell ref="K7:K8"/>
  </mergeCells>
  <phoneticPr fontId="29" type="noConversion"/>
  <dataValidations count="1">
    <dataValidation type="list" allowBlank="1" showInputMessage="1" showErrorMessage="1" sqref="F1:F30" xr:uid="{00000000-0002-0000-0000-000000000000}">
      <formula1>"月度绩效,提成奖金,其他业绩奖金,季度绩效,往月薪资补发,业绩扣款"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"/>
  <sheetViews>
    <sheetView showGridLines="0" tabSelected="1" topLeftCell="P1" zoomScale="69" zoomScaleNormal="69" workbookViewId="0">
      <selection activeCell="Z6" sqref="Z6"/>
    </sheetView>
  </sheetViews>
  <sheetFormatPr defaultColWidth="9" defaultRowHeight="14.25"/>
  <cols>
    <col min="1" max="1" width="13.796875" customWidth="1"/>
    <col min="2" max="2" width="14.46484375" customWidth="1"/>
    <col min="3" max="3" width="16.33203125" customWidth="1"/>
    <col min="4" max="4" width="12.53125" customWidth="1"/>
    <col min="5" max="5" width="18" customWidth="1"/>
    <col min="6" max="6" width="15.86328125" customWidth="1"/>
    <col min="7" max="7" width="17.19921875" customWidth="1"/>
    <col min="8" max="8" width="9.46484375" customWidth="1"/>
    <col min="9" max="9" width="14.1328125" customWidth="1"/>
    <col min="10" max="10" width="9.46484375" customWidth="1"/>
    <col min="11" max="11" width="15.796875" customWidth="1"/>
    <col min="12" max="12" width="13.796875" customWidth="1"/>
    <col min="13" max="16" width="9.1328125" customWidth="1"/>
    <col min="17" max="17" width="15.6640625" customWidth="1"/>
    <col min="18" max="18" width="17.19921875" customWidth="1"/>
    <col min="19" max="19" width="15.1328125" customWidth="1"/>
    <col min="20" max="24" width="17.19921875" customWidth="1"/>
    <col min="25" max="25" width="20.6640625" customWidth="1"/>
    <col min="26" max="26" width="19.6640625" customWidth="1"/>
    <col min="27" max="27" width="14.86328125" style="39" customWidth="1"/>
    <col min="28" max="28" width="15" style="40" customWidth="1"/>
    <col min="29" max="29" width="14.86328125" style="40" customWidth="1"/>
    <col min="30" max="30" width="13.1328125" customWidth="1"/>
    <col min="31" max="31" width="23.1328125" style="40" customWidth="1"/>
    <col min="32" max="32" width="12.53125" customWidth="1"/>
    <col min="33" max="33" width="17.46484375" customWidth="1"/>
    <col min="34" max="34" width="12.53125" customWidth="1"/>
  </cols>
  <sheetData>
    <row r="1" spans="1:35" ht="14.65">
      <c r="A1" s="113" t="s">
        <v>31</v>
      </c>
      <c r="B1" s="113"/>
      <c r="C1" s="113"/>
      <c r="D1" s="113"/>
      <c r="R1" s="39"/>
      <c r="S1" s="39"/>
      <c r="T1" s="39"/>
      <c r="U1" s="39"/>
      <c r="V1" s="39"/>
      <c r="W1" s="39"/>
      <c r="X1" s="39"/>
      <c r="AA1"/>
    </row>
    <row r="2" spans="1:35" s="34" customFormat="1" ht="30" customHeight="1">
      <c r="A2" s="114" t="s">
        <v>32</v>
      </c>
      <c r="B2" s="115"/>
      <c r="C2" s="116"/>
      <c r="D2" s="114" t="s">
        <v>33</v>
      </c>
      <c r="E2" s="115"/>
      <c r="F2" s="115"/>
      <c r="G2" s="116"/>
      <c r="H2" s="114" t="s">
        <v>34</v>
      </c>
      <c r="I2" s="115"/>
      <c r="J2" s="116"/>
      <c r="K2" s="117" t="s">
        <v>35</v>
      </c>
      <c r="L2" s="117"/>
      <c r="M2" s="106" t="s">
        <v>12</v>
      </c>
      <c r="N2" s="107"/>
      <c r="O2" s="107"/>
      <c r="P2" s="108"/>
      <c r="Q2" s="106" t="s">
        <v>36</v>
      </c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8"/>
      <c r="AE2" s="109" t="s">
        <v>37</v>
      </c>
      <c r="AF2" s="109"/>
      <c r="AG2" s="103" t="s">
        <v>38</v>
      </c>
      <c r="AH2" s="105" t="s">
        <v>39</v>
      </c>
    </row>
    <row r="3" spans="1:35" s="35" customFormat="1" ht="30" customHeight="1">
      <c r="A3" s="41" t="s">
        <v>40</v>
      </c>
      <c r="B3" s="41" t="s">
        <v>2</v>
      </c>
      <c r="C3" s="41" t="s">
        <v>41</v>
      </c>
      <c r="D3" s="41" t="s">
        <v>42</v>
      </c>
      <c r="E3" s="41" t="s">
        <v>43</v>
      </c>
      <c r="F3" s="60" t="s">
        <v>44</v>
      </c>
      <c r="G3" s="41" t="s">
        <v>45</v>
      </c>
      <c r="H3" s="61" t="s">
        <v>46</v>
      </c>
      <c r="I3" s="61" t="s">
        <v>47</v>
      </c>
      <c r="J3" s="68" t="s">
        <v>45</v>
      </c>
      <c r="K3" s="41" t="s">
        <v>48</v>
      </c>
      <c r="L3" s="41" t="s">
        <v>45</v>
      </c>
      <c r="M3" s="41" t="s">
        <v>49</v>
      </c>
      <c r="N3" s="41" t="s">
        <v>50</v>
      </c>
      <c r="O3" s="41" t="s">
        <v>51</v>
      </c>
      <c r="P3" s="41" t="s">
        <v>52</v>
      </c>
      <c r="Q3" s="41" t="s">
        <v>53</v>
      </c>
      <c r="R3" s="41" t="s">
        <v>54</v>
      </c>
      <c r="S3" s="41" t="s">
        <v>55</v>
      </c>
      <c r="T3" s="41" t="s">
        <v>56</v>
      </c>
      <c r="U3" s="41" t="s">
        <v>57</v>
      </c>
      <c r="V3" s="41" t="s">
        <v>58</v>
      </c>
      <c r="W3" s="41" t="s">
        <v>59</v>
      </c>
      <c r="X3" s="41" t="s">
        <v>60</v>
      </c>
      <c r="Y3" s="41" t="s">
        <v>61</v>
      </c>
      <c r="Z3" s="41" t="s">
        <v>62</v>
      </c>
      <c r="AA3" s="60" t="s">
        <v>63</v>
      </c>
      <c r="AB3" s="73" t="s">
        <v>64</v>
      </c>
      <c r="AC3" s="73" t="s">
        <v>65</v>
      </c>
      <c r="AD3" s="77" t="s">
        <v>36</v>
      </c>
      <c r="AE3" s="73" t="s">
        <v>66</v>
      </c>
      <c r="AF3" s="77" t="s">
        <v>37</v>
      </c>
      <c r="AG3" s="104"/>
      <c r="AH3" s="105"/>
      <c r="AI3" s="79"/>
    </row>
    <row r="4" spans="1:35" s="36" customFormat="1" ht="30" customHeight="1">
      <c r="A4" s="42">
        <v>202511</v>
      </c>
      <c r="B4" s="42" t="s">
        <v>9</v>
      </c>
      <c r="C4" s="42" t="s">
        <v>67</v>
      </c>
      <c r="D4" s="43">
        <v>50000</v>
      </c>
      <c r="E4" s="43">
        <v>0</v>
      </c>
      <c r="F4" s="62">
        <f>E4/D4</f>
        <v>0</v>
      </c>
      <c r="G4" s="63">
        <f>IFERROR(IF(F4&gt;=1,30,IF(AND(1&gt;F4,F4&gt;=0.7),F4*30,IF(F4&lt;70,0))),0)</f>
        <v>0</v>
      </c>
      <c r="H4" s="64">
        <v>0.25</v>
      </c>
      <c r="I4" s="64">
        <f>33/99</f>
        <v>0.33333333333333331</v>
      </c>
      <c r="J4" s="69">
        <f>IFERROR(IF(I4&gt;=H4,40,IF(AND(0.08&gt;=H4-I4,H4-I4&gt;=0.01),20-(H4-I4)*100*5,IF(H4-I4&gt;0.08,0))),0)</f>
        <v>40</v>
      </c>
      <c r="K4" s="43">
        <v>0</v>
      </c>
      <c r="L4" s="63">
        <f>IF(30-K4&lt;0,0,30-K4)</f>
        <v>30</v>
      </c>
      <c r="M4" s="70">
        <f>L4+J4+G4</f>
        <v>70</v>
      </c>
      <c r="N4" s="71">
        <f>IFERROR(IF(C4="O1",2000,IF(C4="O2",1000,IF(C4="O3",0,2000))),0)</f>
        <v>1000</v>
      </c>
      <c r="O4" s="72">
        <f>IF(ISNUMBER(SEARCH("培训",C4)),1,IF(M4&gt;=90,1,IF(M4&gt;=70,1-(90-M4)*0.02,0)))</f>
        <v>0.6</v>
      </c>
      <c r="P4" s="63">
        <f>IF(M4&gt;=90,N4,IF(M4&lt;70,0,IF(AND(90&gt;M4,M4&gt;=70),N4-N4*((90-M4)*0.02))))</f>
        <v>600</v>
      </c>
      <c r="Q4" s="43">
        <v>510000</v>
      </c>
      <c r="R4" s="43">
        <v>456580</v>
      </c>
      <c r="S4" s="43">
        <f>退费明细!AD49</f>
        <v>335830.5</v>
      </c>
      <c r="T4" s="71">
        <f>R4-S4</f>
        <v>120749.5</v>
      </c>
      <c r="U4" s="43">
        <v>5000</v>
      </c>
      <c r="V4" s="43">
        <v>53154.400000000001</v>
      </c>
      <c r="W4" s="43">
        <v>100</v>
      </c>
      <c r="X4" s="71">
        <f>V4-W4</f>
        <v>53054.400000000001</v>
      </c>
      <c r="Y4" s="71">
        <f>X4+T4</f>
        <v>173803.9</v>
      </c>
      <c r="Z4" s="62">
        <f>Y4/(Q4+U4)</f>
        <v>0.33748330097087376</v>
      </c>
      <c r="AA4" s="62">
        <f>(R4+V4)/Q4</f>
        <v>0.99947921568627451</v>
      </c>
      <c r="AB4" s="74">
        <v>0.4</v>
      </c>
      <c r="AC4" s="78">
        <f>IF(ISNUMBER(SEARCH("保薪",C4)),IFERROR(IF(Z4&lt;0.7,0%,IF(AND(Z4&gt;=0.7,Z4&lt;1),0.8%,IF(AND(Z4&gt;=1,Z4&lt;1.2),1.2%,IF(Z4&gt;=1.2,2%)))),0),IFERROR(IF(AND(Z4&gt;=1.5,AB4&gt;=0.4),0.05,IF(AND(Z4&gt;=1.5,AB4&lt;0.4),0.04,IF(AND(Z4&lt;1.5,Z4&gt;=1.2),0.04,IF(AND(Z4&lt;1.2,Z4&gt;=1),0.03,IF(AND(Z4&lt;1,Z4&gt;=0.8),0.018,IF(AND(Z4&lt;0.8,Z4&gt;=0.7),0.008,IF(AND(Z4&lt;0.7,AA4&gt;=0.7),0.008,IF(AND(Z4&lt;0.7,AA4&lt;0.7),0)))))))),0))</f>
        <v>8.0000000000000002E-3</v>
      </c>
      <c r="AD4" s="63">
        <f>Y4*AC4</f>
        <v>1390.4312</v>
      </c>
      <c r="AE4" s="78">
        <f>IF(F4&gt;=1,0.002,IF(F4&lt;0.7,-0.002,IF(AND(F4&gt;=0.7,F4&lt;1),0)))</f>
        <v>-2E-3</v>
      </c>
      <c r="AF4" s="71">
        <f>E4*(AE4)</f>
        <v>0</v>
      </c>
      <c r="AG4" s="71">
        <f>AF4+AD4</f>
        <v>1390.4312</v>
      </c>
      <c r="AH4" s="71">
        <f>AF4+AD4+P4</f>
        <v>1990.4312</v>
      </c>
    </row>
    <row r="5" spans="1:35" s="36" customFormat="1" ht="30" customHeight="1">
      <c r="A5" s="42">
        <v>202511</v>
      </c>
      <c r="B5" s="42" t="s">
        <v>16</v>
      </c>
      <c r="C5" s="42" t="s">
        <v>68</v>
      </c>
      <c r="D5" s="43">
        <v>50000</v>
      </c>
      <c r="E5" s="65">
        <v>33650</v>
      </c>
      <c r="F5" s="62">
        <f>E5/D5</f>
        <v>0.67300000000000004</v>
      </c>
      <c r="G5" s="63">
        <f>IFERROR(IF(F5&gt;=1,30,IF(AND(1&gt;F5,F5&gt;=0.7),F5*30,IF(F5&lt;70,0))),0)</f>
        <v>0</v>
      </c>
      <c r="H5" s="64">
        <v>0.25</v>
      </c>
      <c r="I5" s="64">
        <f>49/126</f>
        <v>0.3888888888888889</v>
      </c>
      <c r="J5" s="69">
        <f>IFERROR(IF(I5&gt;=H5,40,IF(AND(0.08&gt;=H5-I5,H5-I5&gt;=0.01),20-(H5-I5)*100*5,IF(H5-I5&gt;0.08,0))),0)</f>
        <v>40</v>
      </c>
      <c r="K5" s="43">
        <v>0</v>
      </c>
      <c r="L5" s="63">
        <f>IF(30-K5&lt;0,0,30-K5)</f>
        <v>30</v>
      </c>
      <c r="M5" s="70">
        <f>L5+J5+G5</f>
        <v>70</v>
      </c>
      <c r="N5" s="71">
        <f>IFERROR(IF(C5="O1",2000,IF(C5="O2",1000,IF(C5="O3",0,2000))),0)</f>
        <v>0</v>
      </c>
      <c r="O5" s="72">
        <f>IF(ISNUMBER(SEARCH("培训",C5)),1,IF(M5&gt;=90,1,IF(M5&gt;=70,1-(90-M5)*0.02,0)))</f>
        <v>0.6</v>
      </c>
      <c r="P5" s="63">
        <f>IF(M5&gt;=90,N5,IF(M5&lt;70,0,IF(AND(90&gt;M5,M5&gt;=70),N5-N5*((90-M5)*0.02))))</f>
        <v>0</v>
      </c>
      <c r="Q5" s="43">
        <v>510000</v>
      </c>
      <c r="R5" s="43">
        <v>746086.1</v>
      </c>
      <c r="S5" s="43">
        <f>退费明细!AD16</f>
        <v>105192.9</v>
      </c>
      <c r="T5" s="71">
        <f>R5-S5</f>
        <v>640893.19999999995</v>
      </c>
      <c r="U5" s="43">
        <v>5000</v>
      </c>
      <c r="V5" s="43">
        <v>56251</v>
      </c>
      <c r="W5" s="43">
        <v>200</v>
      </c>
      <c r="X5" s="71">
        <f>V5-W5</f>
        <v>56051</v>
      </c>
      <c r="Y5" s="71">
        <f>X5+T5</f>
        <v>696944.2</v>
      </c>
      <c r="Z5" s="62">
        <f>Y5/(Q5+U5)</f>
        <v>1.3532897087378639</v>
      </c>
      <c r="AA5" s="62">
        <f>(R5+V5)/Q5</f>
        <v>1.57321</v>
      </c>
      <c r="AB5" s="74">
        <v>0.4</v>
      </c>
      <c r="AC5" s="78">
        <f>IF(ISNUMBER(SEARCH("保薪",C5)),IFERROR(IF(Z5&lt;0.7,0%,IF(AND(Z5&gt;=0.7,Z5&lt;1),0.8%,IF(AND(Z5&gt;=1,Z5&lt;1.2),1.2%,IF(Z5&gt;=1.2,2%)))),0),IFERROR(IF(AND(Z5&gt;=1.5,AB5&gt;=0.4),0.05,IF(AND(Z5&gt;=1.5,AB5&lt;0.4),0.04,IF(AND(Z5&lt;1.5,Z5&gt;=1.2),0.04,IF(AND(Z5&lt;1.2,Z5&gt;=1),0.03,IF(AND(Z5&lt;1,Z5&gt;=0.8),0.018,IF(AND(Z5&lt;0.8,Z5&gt;=0.7),0.008,IF(AND(Z5&lt;0.7,AA5&gt;=0.7),0.008,IF(AND(Z5&lt;0.7,AA5&lt;0.7),0)))))))),0))</f>
        <v>0.04</v>
      </c>
      <c r="AD5" s="63">
        <f>Y5*AC5</f>
        <v>27877.768</v>
      </c>
      <c r="AE5" s="78">
        <f>IF(F5&gt;=1,0.002,IF(F5&lt;0.7,-0.002,IF(AND(F5&gt;=0.7,F5&lt;1),0)))</f>
        <v>-2E-3</v>
      </c>
      <c r="AF5" s="71">
        <f t="shared" ref="AF5:AF6" si="0">E5*(AE5)</f>
        <v>-67.3</v>
      </c>
      <c r="AG5" s="71">
        <f>AF5+AD5</f>
        <v>27810.468000000001</v>
      </c>
      <c r="AH5" s="71">
        <f>AF5+AD5+P5</f>
        <v>27810.468000000001</v>
      </c>
    </row>
    <row r="6" spans="1:35" s="36" customFormat="1" ht="30" customHeight="1">
      <c r="A6" s="42">
        <v>202511</v>
      </c>
      <c r="B6" s="42" t="s">
        <v>21</v>
      </c>
      <c r="C6" s="42" t="s">
        <v>69</v>
      </c>
      <c r="D6" s="43">
        <v>40000</v>
      </c>
      <c r="E6" s="43">
        <v>0</v>
      </c>
      <c r="F6" s="62">
        <f>E6/D6</f>
        <v>0</v>
      </c>
      <c r="G6" s="63">
        <f>IFERROR(IF(F6&gt;=1,30,IF(AND(1&gt;F6,F6&gt;=0.7),F6*30,IF(F6&lt;70,0))),0)</f>
        <v>0</v>
      </c>
      <c r="H6" s="64">
        <v>0.1</v>
      </c>
      <c r="I6" s="64">
        <f>8/43</f>
        <v>0.18604651162790697</v>
      </c>
      <c r="J6" s="69">
        <f>IFERROR(IF(I6&gt;=H6,40,IF(AND(0.08&gt;=H6-I6,H6-I6&gt;=0.01),20-(H6-I6)*100*5,IF(H6-I6&gt;0.08,0))),0)</f>
        <v>40</v>
      </c>
      <c r="K6" s="43">
        <v>0</v>
      </c>
      <c r="L6" s="63">
        <f>IF(30-K6&lt;0,0,30-K6)</f>
        <v>30</v>
      </c>
      <c r="M6" s="70">
        <f>L6+J6+G6</f>
        <v>70</v>
      </c>
      <c r="N6" s="71">
        <f>IFERROR(IF(C6="O1",2000,IF(C6="O2",1000,IF(C6="O3",0,2000))),0)</f>
        <v>2000</v>
      </c>
      <c r="O6" s="72">
        <f>IF(ISNUMBER(SEARCH("培训",C6)),1,IF(M6&gt;=90,1,IF(M6&gt;=70,1-(90-M6)*0.02,0)))</f>
        <v>0.6</v>
      </c>
      <c r="P6" s="63">
        <f>IF(M6&gt;=90,N6,IF(M6&lt;70,0,IF(AND(90&gt;M6,M6&gt;=70),N6-N6*((90-M6)*0.02))))</f>
        <v>1200</v>
      </c>
      <c r="Q6" s="43">
        <v>510000</v>
      </c>
      <c r="R6" s="43">
        <v>174610</v>
      </c>
      <c r="S6" s="43">
        <f>退费明细!AD4</f>
        <v>96900</v>
      </c>
      <c r="T6" s="71">
        <f>R6-S6</f>
        <v>77710</v>
      </c>
      <c r="U6" s="43">
        <v>4000</v>
      </c>
      <c r="V6" s="43">
        <v>18900</v>
      </c>
      <c r="W6" s="43">
        <f>退费明细!AD53</f>
        <v>27266.45</v>
      </c>
      <c r="X6" s="71">
        <f>V6-W6</f>
        <v>-8366.4500000000007</v>
      </c>
      <c r="Y6" s="71">
        <f>X6+T6</f>
        <v>69343.55</v>
      </c>
      <c r="Z6" s="62">
        <f>Y6/(Q6+U6)</f>
        <v>0.13490963035019457</v>
      </c>
      <c r="AA6" s="62">
        <f>(R6+V6)/Q6</f>
        <v>0.3794313725490196</v>
      </c>
      <c r="AB6" s="74">
        <v>0.4</v>
      </c>
      <c r="AC6" s="78">
        <f>IF(ISNUMBER(SEARCH("保薪",C6)),IFERROR(IF(Z6&lt;0.7,0%,IF(AND(Z6&gt;=0.7,Z6&lt;1),0.8%,IF(AND(Z6&gt;=1,Z6&lt;1.2),1.2%,IF(Z6&gt;=1.2,2%)))),0),IFERROR(IF(AND(Z6&gt;=1.5,AB6&gt;=0.4),0.05,IF(AND(Z6&gt;=1.5,AB6&lt;0.4),0.04,IF(AND(Z6&lt;1.5,Z6&gt;=1.2),0.04,IF(AND(Z6&lt;1.2,Z6&gt;=1),0.03,IF(AND(Z6&lt;1,Z6&gt;=0.8),0.018,IF(AND(Z6&lt;0.8,Z6&gt;=0.7),0.008,IF(AND(Z6&lt;0.7,AA6&gt;=0.7),0.008,IF(AND(Z6&lt;0.7,AA6&lt;0.7),0)))))))),0))</f>
        <v>0</v>
      </c>
      <c r="AD6" s="63">
        <f>Y6*AC6</f>
        <v>0</v>
      </c>
      <c r="AE6" s="78">
        <f>IF(F6&gt;=1,0.002,IF(F6&lt;0.7,-0.002,IF(AND(F6&gt;=0.7,F6&lt;1),0)))</f>
        <v>-2E-3</v>
      </c>
      <c r="AF6" s="71">
        <f t="shared" si="0"/>
        <v>0</v>
      </c>
      <c r="AG6" s="71">
        <f>AF6+AD6</f>
        <v>0</v>
      </c>
      <c r="AH6" s="71">
        <f>AF6+AD6+P6</f>
        <v>1200</v>
      </c>
    </row>
    <row r="7" spans="1:35" s="36" customFormat="1" ht="30" customHeight="1">
      <c r="A7" s="42"/>
      <c r="B7" s="42"/>
      <c r="C7" s="42" t="s">
        <v>70</v>
      </c>
      <c r="D7" s="43"/>
      <c r="E7" s="43"/>
      <c r="F7" s="62" t="e">
        <f>E7/D7</f>
        <v>#DIV/0!</v>
      </c>
      <c r="G7" s="63">
        <f>IFERROR(IF(F7&gt;=1,30,IF(AND(1&gt;F7,F7&gt;=0.7),F7*30,IF(F7&lt;70,0))),0)</f>
        <v>0</v>
      </c>
      <c r="H7" s="64"/>
      <c r="I7" s="64"/>
      <c r="J7" s="69">
        <f>IFERROR(IF(I7&gt;=H7,40,IF(AND(0.08&gt;=H7-I7,H7-I7&gt;=0.01),20-(H7-I7)*100*5,IF(H7-I7&gt;0.08,0))),0)</f>
        <v>40</v>
      </c>
      <c r="K7" s="43"/>
      <c r="L7" s="63">
        <f>IF(30-K7&lt;0,0,30-K7)</f>
        <v>30</v>
      </c>
      <c r="M7" s="70">
        <f>L7+J7+G7</f>
        <v>70</v>
      </c>
      <c r="N7" s="71">
        <f>IFERROR(IF(C7="O1",2000,IF(C7="O2",1000,IF(C7="O3",0,2000))),0)</f>
        <v>2000</v>
      </c>
      <c r="O7" s="72">
        <f>IF(ISNUMBER(SEARCH("培训",C7)),1,IF(M7&gt;=90,1,IF(M7&gt;=70,1-(90-M7)*0.02,0)))</f>
        <v>1</v>
      </c>
      <c r="P7" s="63">
        <f>IF(M7&gt;=90,N7,IF(M7&lt;70,0,IF(AND(90&gt;M7,M7&gt;=70),N7-N7*((90-M7)*0.02))))</f>
        <v>1200</v>
      </c>
      <c r="Q7" s="43"/>
      <c r="R7" s="43"/>
      <c r="S7" s="43"/>
      <c r="T7" s="71">
        <f>R7-S7</f>
        <v>0</v>
      </c>
      <c r="U7" s="43"/>
      <c r="V7" s="43"/>
      <c r="W7" s="43"/>
      <c r="X7" s="71">
        <f>V7-W7</f>
        <v>0</v>
      </c>
      <c r="Y7" s="71">
        <f>X7+T7</f>
        <v>0</v>
      </c>
      <c r="Z7" s="62" t="e">
        <f>Y7/(Q7+U7)</f>
        <v>#DIV/0!</v>
      </c>
      <c r="AA7" s="62" t="e">
        <f>(R7+V7)/Q7</f>
        <v>#DIV/0!</v>
      </c>
      <c r="AB7" s="74">
        <v>0.4</v>
      </c>
      <c r="AC7" s="78">
        <f>IF(ISNUMBER(SEARCH("保薪",C7)),IFERROR(IF(Z7&lt;0.7,0%,IF(AND(Z7&gt;=0.7,Z7&lt;1),0.8%,IF(AND(Z7&gt;=1,Z7&lt;1.2),1.2%,IF(Z7&gt;=1.2,2%)))),0),IFERROR(IF(AND(Z7&gt;=1.5,AB7&gt;=0.4),0.05,IF(AND(Z7&gt;=1.5,AB7&lt;0.4),0.04,IF(AND(Z7&lt;1.5,Z7&gt;=1.2),0.04,IF(AND(Z7&lt;1.2,Z7&gt;=1),0.03,IF(AND(Z7&lt;1,Z7&gt;=0.8),0.018,IF(AND(Z7&lt;0.8,Z7&gt;=0.7),0.008,IF(AND(Z7&lt;0.7,AA7&gt;=0.7),0.008,IF(AND(Z7&lt;0.7,AA7&lt;0.7),0)))))))),0))</f>
        <v>0</v>
      </c>
      <c r="AD7" s="63">
        <f>Y7*AC7</f>
        <v>0</v>
      </c>
      <c r="AE7" s="78" t="e">
        <f>IF(F7&gt;=1,0.002,IF(F7&lt;0.7,-0.002,IF(AND(F7&gt;=0.7,F7&lt;1),0)))</f>
        <v>#DIV/0!</v>
      </c>
      <c r="AF7" s="71" t="e">
        <f>E7*(1+AE7)</f>
        <v>#DIV/0!</v>
      </c>
      <c r="AG7" s="71" t="e">
        <f>AF7+AD7</f>
        <v>#DIV/0!</v>
      </c>
      <c r="AH7" s="71" t="e">
        <f>AF7+AD7+P7</f>
        <v>#DIV/0!</v>
      </c>
    </row>
    <row r="8" spans="1:35" s="36" customFormat="1" ht="30" customHeight="1">
      <c r="A8" s="42"/>
      <c r="B8" s="42"/>
      <c r="C8" s="42" t="s">
        <v>71</v>
      </c>
      <c r="D8" s="43"/>
      <c r="E8" s="43"/>
      <c r="F8" s="62" t="e">
        <f>E8/D8</f>
        <v>#DIV/0!</v>
      </c>
      <c r="G8" s="63">
        <f>IFERROR(IF(F8&gt;=1,30,IF(AND(1&gt;F8,F8&gt;=0.7),F8*30,IF(F8&lt;70,0))),0)</f>
        <v>0</v>
      </c>
      <c r="H8" s="64"/>
      <c r="I8" s="64"/>
      <c r="J8" s="69">
        <f>IFERROR(IF(I8&gt;=H8,40,IF(AND(0.08&gt;=H8-I8,H8-I8&gt;=0.01),20-(H8-I8)*100*5,IF(H8-I8&gt;0.08,0))),0)</f>
        <v>40</v>
      </c>
      <c r="K8" s="43"/>
      <c r="L8" s="63">
        <f>IF(30-K8&lt;0,0,30-K8)</f>
        <v>30</v>
      </c>
      <c r="M8" s="70">
        <f>L8+J8+G8</f>
        <v>70</v>
      </c>
      <c r="N8" s="71">
        <f>IFERROR(IF(C8="O1",2000,IF(C8="O2",1000,IF(C8="O3",0,2000))),0)</f>
        <v>2000</v>
      </c>
      <c r="O8" s="72">
        <f>IF(ISNUMBER(SEARCH("培训",C8)),1,IF(M8&gt;=90,1,IF(M8&gt;=70,1-(90-M8)*0.02,0)))</f>
        <v>1</v>
      </c>
      <c r="P8" s="63">
        <f>IF(M8&gt;=90,N8,IF(M8&lt;70,0,IF(AND(90&gt;M8,M8&gt;=70),N8-N8*((90-M8)*0.02))))</f>
        <v>1200</v>
      </c>
      <c r="Q8" s="43"/>
      <c r="R8" s="43"/>
      <c r="S8" s="43"/>
      <c r="T8" s="71">
        <f>R8-S8</f>
        <v>0</v>
      </c>
      <c r="U8" s="43"/>
      <c r="V8" s="43"/>
      <c r="W8" s="43"/>
      <c r="X8" s="71">
        <f>V8-W8</f>
        <v>0</v>
      </c>
      <c r="Y8" s="71">
        <f>X8+T8</f>
        <v>0</v>
      </c>
      <c r="Z8" s="62" t="e">
        <f>Y8/(Q8+U8)</f>
        <v>#DIV/0!</v>
      </c>
      <c r="AA8" s="62" t="e">
        <f>(R8+V8)/Q8</f>
        <v>#DIV/0!</v>
      </c>
      <c r="AB8" s="74">
        <v>0.4</v>
      </c>
      <c r="AC8" s="78">
        <f>IF(ISNUMBER(SEARCH("保薪",C8)),IFERROR(IF(Z8&lt;0.7,0%,IF(AND(Z8&gt;=0.7,Z8&lt;1),0.8%,IF(AND(Z8&gt;=1,Z8&lt;1.2),1.2%,IF(Z8&gt;=1.2,2%)))),0),IFERROR(IF(AND(Z8&gt;=1.5,AB8&gt;=0.4),0.05,IF(AND(Z8&gt;=1.5,AB8&lt;0.4),0.04,IF(AND(Z8&lt;1.5,Z8&gt;=1.2),0.04,IF(AND(Z8&lt;1.2,Z8&gt;=1),0.03,IF(AND(Z8&lt;1,Z8&gt;=0.8),0.018,IF(AND(Z8&lt;0.8,Z8&gt;=0.7),0.008,IF(AND(Z8&lt;0.7,AA8&gt;=0.7),0.008,IF(AND(Z8&lt;0.7,AA8&lt;0.7),0)))))))),0))</f>
        <v>0</v>
      </c>
      <c r="AD8" s="63">
        <f>Y8*AC8</f>
        <v>0</v>
      </c>
      <c r="AE8" s="78" t="e">
        <f>IF(F8&gt;=1,0.002,IF(F8&lt;0.7,-0.002,IF(AND(F8&gt;=0.7,F8&lt;1),0)))</f>
        <v>#DIV/0!</v>
      </c>
      <c r="AF8" s="71" t="e">
        <f>E8*(1+AE8)</f>
        <v>#DIV/0!</v>
      </c>
      <c r="AG8" s="71" t="e">
        <f>AF8+AD8</f>
        <v>#DIV/0!</v>
      </c>
      <c r="AH8" s="71" t="e">
        <f>AF8+AD8+P8</f>
        <v>#DIV/0!</v>
      </c>
    </row>
    <row r="9" spans="1:35" s="37" customFormat="1" ht="15">
      <c r="A9" s="44"/>
      <c r="F9" s="66"/>
      <c r="H9" s="45"/>
      <c r="I9" s="45"/>
      <c r="J9" s="67"/>
      <c r="AA9" s="66"/>
      <c r="AB9" s="75"/>
      <c r="AC9" s="75"/>
      <c r="AE9" s="75"/>
    </row>
    <row r="10" spans="1:35" s="37" customFormat="1" ht="15">
      <c r="A10" s="44"/>
      <c r="D10" s="45"/>
      <c r="E10" s="45"/>
      <c r="F10" s="67"/>
      <c r="M10" s="66"/>
      <c r="AB10" s="75"/>
      <c r="AC10" s="75"/>
      <c r="AE10" s="75"/>
    </row>
    <row r="11" spans="1:35" s="38" customFormat="1" ht="13.9">
      <c r="B11" s="46" t="s">
        <v>72</v>
      </c>
      <c r="C11" s="47" t="s">
        <v>8</v>
      </c>
      <c r="AB11" s="76"/>
      <c r="AC11" s="76"/>
      <c r="AE11" s="76"/>
    </row>
    <row r="12" spans="1:35" s="38" customFormat="1" ht="16.25" customHeight="1">
      <c r="A12" s="110" t="s">
        <v>73</v>
      </c>
      <c r="B12" s="48" t="s">
        <v>69</v>
      </c>
      <c r="C12" s="49" t="s">
        <v>74</v>
      </c>
      <c r="AB12" s="76"/>
      <c r="AC12" s="76"/>
      <c r="AE12" s="76"/>
    </row>
    <row r="13" spans="1:35" s="38" customFormat="1" ht="14.65">
      <c r="A13" s="111"/>
      <c r="B13" s="50" t="s">
        <v>67</v>
      </c>
      <c r="C13" s="51" t="s">
        <v>74</v>
      </c>
      <c r="AB13" s="76"/>
      <c r="AC13" s="76"/>
      <c r="AE13" s="76"/>
    </row>
    <row r="14" spans="1:35" s="38" customFormat="1" ht="14.65">
      <c r="A14" s="111"/>
      <c r="B14" s="52" t="s">
        <v>68</v>
      </c>
      <c r="C14" s="53" t="s">
        <v>74</v>
      </c>
      <c r="AB14" s="76"/>
      <c r="AC14" s="76"/>
      <c r="AE14" s="76"/>
    </row>
    <row r="15" spans="1:35" s="38" customFormat="1" ht="14.65">
      <c r="A15" s="112"/>
      <c r="B15" s="54" t="s">
        <v>70</v>
      </c>
      <c r="C15" s="55" t="s">
        <v>75</v>
      </c>
      <c r="AB15" s="76"/>
      <c r="AC15" s="76"/>
      <c r="AE15" s="76"/>
    </row>
    <row r="16" spans="1:35" s="38" customFormat="1" ht="14.65">
      <c r="A16" s="110" t="s">
        <v>76</v>
      </c>
      <c r="B16" s="56" t="s">
        <v>71</v>
      </c>
      <c r="C16" s="57" t="s">
        <v>77</v>
      </c>
      <c r="AB16" s="76"/>
      <c r="AC16" s="76"/>
      <c r="AE16" s="76"/>
    </row>
    <row r="17" spans="1:31" s="38" customFormat="1" ht="14.65">
      <c r="A17" s="112"/>
      <c r="B17" s="58" t="s">
        <v>78</v>
      </c>
      <c r="C17" s="59" t="s">
        <v>79</v>
      </c>
      <c r="AB17" s="76"/>
      <c r="AC17" s="76"/>
      <c r="AE17" s="76"/>
    </row>
  </sheetData>
  <sheetProtection formatCells="0" insertHyperlinks="0" autoFilter="0"/>
  <mergeCells count="12">
    <mergeCell ref="H2:J2"/>
    <mergeCell ref="K2:L2"/>
    <mergeCell ref="A12:A15"/>
    <mergeCell ref="A16:A17"/>
    <mergeCell ref="A1:D1"/>
    <mergeCell ref="A2:C2"/>
    <mergeCell ref="D2:G2"/>
    <mergeCell ref="AG2:AG3"/>
    <mergeCell ref="AH2:AH3"/>
    <mergeCell ref="M2:P2"/>
    <mergeCell ref="Q2:AD2"/>
    <mergeCell ref="AE2:AF2"/>
  </mergeCells>
  <phoneticPr fontId="29" type="noConversion"/>
  <dataValidations count="1">
    <dataValidation type="list" allowBlank="1" showInputMessage="1" showErrorMessage="1" sqref="C4:C8" xr:uid="{00000000-0002-0000-0100-000000000000}">
      <formula1>$B$12:$B$17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O141"/>
  <sheetViews>
    <sheetView workbookViewId="0">
      <selection activeCell="V9" sqref="A9:XFD9"/>
    </sheetView>
  </sheetViews>
  <sheetFormatPr defaultColWidth="9.1328125" defaultRowHeight="14.25"/>
  <sheetData>
    <row r="1" spans="1:67" s="3" customFormat="1" ht="15">
      <c r="C1" s="16" t="s">
        <v>80</v>
      </c>
      <c r="D1" s="16" t="s">
        <v>81</v>
      </c>
      <c r="E1" s="16"/>
      <c r="F1" s="16"/>
      <c r="G1" s="16"/>
      <c r="H1" s="16"/>
      <c r="I1" s="16"/>
      <c r="J1" s="16"/>
      <c r="AH1" s="32"/>
    </row>
    <row r="2" spans="1:67" s="3" customFormat="1" ht="14" customHeight="1">
      <c r="C2" s="16" t="s">
        <v>82</v>
      </c>
      <c r="D2" s="16" t="s">
        <v>83</v>
      </c>
      <c r="E2" s="16" t="s">
        <v>84</v>
      </c>
      <c r="F2" s="16" t="s">
        <v>85</v>
      </c>
      <c r="G2" s="16" t="s">
        <v>86</v>
      </c>
      <c r="H2" s="16" t="s">
        <v>87</v>
      </c>
      <c r="I2" s="16" t="s">
        <v>88</v>
      </c>
      <c r="J2" s="16" t="s">
        <v>89</v>
      </c>
      <c r="AH2" s="32"/>
    </row>
    <row r="3" spans="1:67" s="3" customFormat="1" ht="14" customHeight="1">
      <c r="C3" s="16" t="s">
        <v>21</v>
      </c>
      <c r="D3" s="16">
        <v>158460</v>
      </c>
      <c r="E3" s="16"/>
      <c r="F3" s="16">
        <v>16150</v>
      </c>
      <c r="G3" s="16"/>
      <c r="H3" s="16"/>
      <c r="I3" s="16">
        <v>18900</v>
      </c>
      <c r="J3" s="16">
        <v>193510</v>
      </c>
      <c r="AH3" s="32"/>
    </row>
    <row r="4" spans="1:67" s="3" customFormat="1" ht="14" customHeight="1">
      <c r="C4" s="16" t="s">
        <v>16</v>
      </c>
      <c r="D4" s="16">
        <v>431550</v>
      </c>
      <c r="E4" s="16">
        <v>4800</v>
      </c>
      <c r="F4" s="16">
        <v>149341.1</v>
      </c>
      <c r="G4" s="16">
        <v>65300</v>
      </c>
      <c r="H4" s="16">
        <v>95095</v>
      </c>
      <c r="I4" s="16">
        <v>56251</v>
      </c>
      <c r="J4" s="16">
        <v>802337.1</v>
      </c>
      <c r="AH4" s="32"/>
    </row>
    <row r="5" spans="1:67" s="3" customFormat="1" ht="14" customHeight="1">
      <c r="C5" s="16" t="s">
        <v>9</v>
      </c>
      <c r="D5" s="16">
        <v>224130</v>
      </c>
      <c r="E5" s="16">
        <v>23500</v>
      </c>
      <c r="F5" s="16">
        <v>170550</v>
      </c>
      <c r="G5" s="16"/>
      <c r="H5" s="16">
        <v>38400</v>
      </c>
      <c r="I5" s="16">
        <v>53154.400000000001</v>
      </c>
      <c r="J5" s="16">
        <v>509734.40000000002</v>
      </c>
      <c r="AH5" s="32"/>
    </row>
    <row r="6" spans="1:67" s="3" customFormat="1" ht="14" customHeight="1">
      <c r="C6" s="16" t="s">
        <v>89</v>
      </c>
      <c r="D6" s="16">
        <v>814140</v>
      </c>
      <c r="E6" s="16">
        <v>28300</v>
      </c>
      <c r="F6" s="16">
        <v>336041.1</v>
      </c>
      <c r="G6" s="16">
        <v>65300</v>
      </c>
      <c r="H6" s="16">
        <v>133495</v>
      </c>
      <c r="I6" s="16">
        <v>128305.4</v>
      </c>
      <c r="J6" s="16">
        <v>1505581.5</v>
      </c>
      <c r="AH6" s="32"/>
    </row>
    <row r="7" spans="1:67" s="3" customFormat="1" ht="14" customHeight="1">
      <c r="AH7" s="32"/>
    </row>
    <row r="8" spans="1:67" s="3" customFormat="1">
      <c r="AH8" s="32"/>
    </row>
    <row r="9" spans="1:67" s="3" customFormat="1" ht="14" customHeight="1">
      <c r="A9" s="29" t="s">
        <v>0</v>
      </c>
      <c r="B9" s="29" t="s">
        <v>90</v>
      </c>
      <c r="C9" s="29" t="s">
        <v>3</v>
      </c>
      <c r="D9" s="29" t="s">
        <v>91</v>
      </c>
      <c r="E9" s="29" t="s">
        <v>92</v>
      </c>
      <c r="F9" s="29" t="s">
        <v>93</v>
      </c>
      <c r="G9" s="29" t="s">
        <v>94</v>
      </c>
      <c r="H9" s="29" t="s">
        <v>95</v>
      </c>
      <c r="I9" s="29" t="s">
        <v>96</v>
      </c>
      <c r="J9" s="29" t="s">
        <v>97</v>
      </c>
      <c r="K9" s="29" t="s">
        <v>98</v>
      </c>
      <c r="L9" s="29" t="s">
        <v>99</v>
      </c>
      <c r="M9" s="29" t="s">
        <v>100</v>
      </c>
      <c r="N9" s="29" t="s">
        <v>101</v>
      </c>
      <c r="O9" s="29" t="s">
        <v>102</v>
      </c>
      <c r="P9" s="29" t="s">
        <v>103</v>
      </c>
      <c r="Q9" s="29" t="s">
        <v>104</v>
      </c>
      <c r="R9" s="29" t="s">
        <v>105</v>
      </c>
      <c r="S9" s="29" t="s">
        <v>106</v>
      </c>
      <c r="T9" s="29" t="s">
        <v>107</v>
      </c>
      <c r="U9" s="29" t="s">
        <v>108</v>
      </c>
      <c r="V9" s="29" t="s">
        <v>109</v>
      </c>
      <c r="W9" s="29" t="s">
        <v>110</v>
      </c>
      <c r="X9" s="29" t="s">
        <v>111</v>
      </c>
      <c r="Y9" s="29" t="s">
        <v>90</v>
      </c>
      <c r="Z9" s="29" t="s">
        <v>112</v>
      </c>
      <c r="AA9" s="29" t="s">
        <v>113</v>
      </c>
      <c r="AB9" s="29" t="s">
        <v>114</v>
      </c>
      <c r="AC9" s="29" t="s">
        <v>115</v>
      </c>
      <c r="AD9" s="29" t="s">
        <v>82</v>
      </c>
      <c r="AE9" s="29" t="s">
        <v>116</v>
      </c>
      <c r="AF9" s="29" t="s">
        <v>117</v>
      </c>
      <c r="AG9" s="29" t="s">
        <v>118</v>
      </c>
      <c r="AH9" s="29" t="s">
        <v>81</v>
      </c>
      <c r="AI9" s="29" t="s">
        <v>119</v>
      </c>
      <c r="AJ9" s="29" t="s">
        <v>120</v>
      </c>
      <c r="AK9" s="29" t="s">
        <v>121</v>
      </c>
      <c r="AL9" s="29" t="s">
        <v>122</v>
      </c>
      <c r="AM9" s="29" t="s">
        <v>123</v>
      </c>
      <c r="AN9" s="29" t="s">
        <v>124</v>
      </c>
      <c r="AO9" s="29" t="s">
        <v>125</v>
      </c>
      <c r="AP9" s="29" t="s">
        <v>126</v>
      </c>
      <c r="AQ9" s="29" t="s">
        <v>127</v>
      </c>
      <c r="AR9" s="29" t="s">
        <v>128</v>
      </c>
      <c r="AS9" s="29" t="s">
        <v>129</v>
      </c>
      <c r="AT9" s="29" t="s">
        <v>130</v>
      </c>
      <c r="AU9" s="29" t="s">
        <v>131</v>
      </c>
      <c r="AV9" s="29" t="s">
        <v>132</v>
      </c>
      <c r="AW9" s="29" t="s">
        <v>133</v>
      </c>
      <c r="AX9" s="29" t="s">
        <v>134</v>
      </c>
      <c r="AY9" s="29" t="s">
        <v>135</v>
      </c>
      <c r="AZ9" s="29" t="s">
        <v>136</v>
      </c>
      <c r="BA9" s="29" t="s">
        <v>137</v>
      </c>
      <c r="BB9" s="29" t="s">
        <v>138</v>
      </c>
      <c r="BC9" s="29" t="s">
        <v>139</v>
      </c>
      <c r="BD9" s="29" t="s">
        <v>140</v>
      </c>
      <c r="BE9" s="29" t="s">
        <v>141</v>
      </c>
      <c r="BF9" s="29" t="s">
        <v>142</v>
      </c>
      <c r="BG9" s="29" t="s">
        <v>143</v>
      </c>
      <c r="BH9" s="29" t="s">
        <v>144</v>
      </c>
      <c r="BI9" s="29" t="s">
        <v>145</v>
      </c>
      <c r="BJ9" s="29" t="s">
        <v>146</v>
      </c>
      <c r="BK9" s="29" t="s">
        <v>147</v>
      </c>
      <c r="BL9" s="29" t="s">
        <v>148</v>
      </c>
      <c r="BM9" s="29" t="s">
        <v>149</v>
      </c>
      <c r="BN9" s="29" t="s">
        <v>150</v>
      </c>
      <c r="BO9" s="29" t="s">
        <v>151</v>
      </c>
    </row>
    <row r="10" spans="1:67" s="3" customFormat="1" hidden="1">
      <c r="A10" s="30">
        <v>15</v>
      </c>
      <c r="B10" s="30" t="s">
        <v>152</v>
      </c>
      <c r="C10" s="30" t="s">
        <v>153</v>
      </c>
      <c r="D10" s="30"/>
      <c r="E10" s="30" t="s">
        <v>154</v>
      </c>
      <c r="F10" s="30"/>
      <c r="G10" s="30" t="s">
        <v>155</v>
      </c>
      <c r="H10" s="30" t="s">
        <v>156</v>
      </c>
      <c r="I10" s="30" t="s">
        <v>157</v>
      </c>
      <c r="J10" s="30" t="s">
        <v>158</v>
      </c>
      <c r="K10" s="30" t="s">
        <v>16</v>
      </c>
      <c r="L10" s="30" t="s">
        <v>159</v>
      </c>
      <c r="M10" s="30" t="s">
        <v>159</v>
      </c>
      <c r="N10" s="30"/>
      <c r="O10" s="30"/>
      <c r="P10" s="30"/>
      <c r="Q10" s="30" t="s">
        <v>160</v>
      </c>
      <c r="R10" s="30" t="s">
        <v>16</v>
      </c>
      <c r="S10" s="30" t="s">
        <v>161</v>
      </c>
      <c r="T10" s="30" t="s">
        <v>162</v>
      </c>
      <c r="U10" s="30" t="s">
        <v>163</v>
      </c>
      <c r="V10" s="30" t="s">
        <v>164</v>
      </c>
      <c r="W10" s="30" t="s">
        <v>165</v>
      </c>
      <c r="X10" s="30" t="s">
        <v>158</v>
      </c>
      <c r="Y10" s="30" t="s">
        <v>166</v>
      </c>
      <c r="Z10" s="30" t="s">
        <v>167</v>
      </c>
      <c r="AA10" s="30" t="s">
        <v>168</v>
      </c>
      <c r="AB10" s="30" t="s">
        <v>160</v>
      </c>
      <c r="AC10" s="30">
        <v>5694808</v>
      </c>
      <c r="AD10" s="30" t="s">
        <v>16</v>
      </c>
      <c r="AE10" s="30" t="s">
        <v>163</v>
      </c>
      <c r="AF10" s="30" t="s">
        <v>16</v>
      </c>
      <c r="AG10" s="30" t="s">
        <v>163</v>
      </c>
      <c r="AH10" s="33" t="s">
        <v>85</v>
      </c>
      <c r="AI10" s="30" t="s">
        <v>169</v>
      </c>
      <c r="AJ10" s="30" t="s">
        <v>170</v>
      </c>
      <c r="AK10" s="30" t="s">
        <v>171</v>
      </c>
      <c r="AL10" s="30" t="s">
        <v>157</v>
      </c>
      <c r="AM10" s="30">
        <v>9000</v>
      </c>
      <c r="AN10" s="30" t="s">
        <v>172</v>
      </c>
      <c r="AO10" s="30" t="s">
        <v>157</v>
      </c>
      <c r="AP10" s="30" t="s">
        <v>173</v>
      </c>
      <c r="AQ10" s="30" t="s">
        <v>174</v>
      </c>
      <c r="AR10" s="30" t="s">
        <v>175</v>
      </c>
      <c r="AS10" s="30" t="s">
        <v>176</v>
      </c>
      <c r="AT10" s="30" t="s">
        <v>177</v>
      </c>
      <c r="AU10" s="30" t="s">
        <v>178</v>
      </c>
      <c r="AV10" s="30"/>
      <c r="AW10" s="30" t="s">
        <v>179</v>
      </c>
      <c r="AX10" s="30"/>
      <c r="AY10" s="30"/>
      <c r="AZ10" s="30"/>
      <c r="BA10" s="30"/>
      <c r="BB10" s="30">
        <v>84810126</v>
      </c>
      <c r="BC10" s="30" t="s">
        <v>180</v>
      </c>
      <c r="BD10" s="30" t="s">
        <v>181</v>
      </c>
      <c r="BE10" s="30" t="s">
        <v>182</v>
      </c>
      <c r="BF10" s="30" t="s">
        <v>183</v>
      </c>
      <c r="BG10" s="30"/>
      <c r="BH10" s="30" t="s">
        <v>184</v>
      </c>
      <c r="BI10" s="30" t="s">
        <v>180</v>
      </c>
      <c r="BJ10" s="30" t="s">
        <v>157</v>
      </c>
      <c r="BK10" s="30"/>
      <c r="BL10" s="30" t="s">
        <v>185</v>
      </c>
      <c r="BM10" s="30"/>
      <c r="BN10" s="30" t="s">
        <v>186</v>
      </c>
      <c r="BO10" s="30"/>
    </row>
    <row r="11" spans="1:67" s="3" customFormat="1" hidden="1">
      <c r="A11" s="30">
        <v>16</v>
      </c>
      <c r="B11" s="30" t="s">
        <v>152</v>
      </c>
      <c r="C11" s="30" t="s">
        <v>153</v>
      </c>
      <c r="D11" s="30"/>
      <c r="E11" s="30" t="s">
        <v>187</v>
      </c>
      <c r="F11" s="30"/>
      <c r="G11" s="30" t="s">
        <v>188</v>
      </c>
      <c r="H11" s="30" t="s">
        <v>189</v>
      </c>
      <c r="I11" s="30" t="s">
        <v>157</v>
      </c>
      <c r="J11" s="30" t="s">
        <v>190</v>
      </c>
      <c r="K11" s="30" t="s">
        <v>191</v>
      </c>
      <c r="L11" s="30" t="s">
        <v>192</v>
      </c>
      <c r="M11" s="30" t="s">
        <v>193</v>
      </c>
      <c r="N11" s="30"/>
      <c r="O11" s="30"/>
      <c r="P11" s="30"/>
      <c r="Q11" s="30" t="s">
        <v>194</v>
      </c>
      <c r="R11" s="30" t="s">
        <v>191</v>
      </c>
      <c r="S11" s="30" t="s">
        <v>195</v>
      </c>
      <c r="T11" s="30" t="s">
        <v>162</v>
      </c>
      <c r="U11" s="30" t="s">
        <v>196</v>
      </c>
      <c r="V11" s="30" t="s">
        <v>164</v>
      </c>
      <c r="W11" s="30" t="s">
        <v>165</v>
      </c>
      <c r="X11" s="30" t="s">
        <v>158</v>
      </c>
      <c r="Y11" s="30" t="s">
        <v>197</v>
      </c>
      <c r="Z11" s="30" t="s">
        <v>198</v>
      </c>
      <c r="AA11" s="30" t="s">
        <v>199</v>
      </c>
      <c r="AB11" s="31" t="s">
        <v>194</v>
      </c>
      <c r="AC11" s="30">
        <v>5694390</v>
      </c>
      <c r="AD11" s="30" t="s">
        <v>16</v>
      </c>
      <c r="AE11" s="30" t="s">
        <v>196</v>
      </c>
      <c r="AF11" s="30" t="s">
        <v>191</v>
      </c>
      <c r="AG11" s="30" t="s">
        <v>200</v>
      </c>
      <c r="AH11" s="33" t="s">
        <v>85</v>
      </c>
      <c r="AI11" s="30"/>
      <c r="AJ11" s="30"/>
      <c r="AK11" s="30" t="s">
        <v>171</v>
      </c>
      <c r="AL11" s="30" t="s">
        <v>157</v>
      </c>
      <c r="AM11" s="30">
        <v>4500</v>
      </c>
      <c r="AN11" s="30" t="s">
        <v>172</v>
      </c>
      <c r="AO11" s="30" t="s">
        <v>157</v>
      </c>
      <c r="AP11" s="30" t="s">
        <v>201</v>
      </c>
      <c r="AQ11" s="30" t="s">
        <v>174</v>
      </c>
      <c r="AR11" s="30"/>
      <c r="AS11" s="30" t="s">
        <v>202</v>
      </c>
      <c r="AT11" s="30"/>
      <c r="AU11" s="30"/>
      <c r="AV11" s="30"/>
      <c r="AW11" s="30" t="s">
        <v>203</v>
      </c>
      <c r="AX11" s="30"/>
      <c r="AY11" s="30"/>
      <c r="AZ11" s="30"/>
      <c r="BA11" s="30"/>
      <c r="BB11" s="30">
        <v>80376945</v>
      </c>
      <c r="BC11" s="30" t="s">
        <v>180</v>
      </c>
      <c r="BD11" s="30" t="s">
        <v>181</v>
      </c>
      <c r="BE11" s="30" t="s">
        <v>204</v>
      </c>
      <c r="BF11" s="30" t="s">
        <v>183</v>
      </c>
      <c r="BG11" s="30"/>
      <c r="BH11" s="30" t="s">
        <v>184</v>
      </c>
      <c r="BI11" s="30" t="s">
        <v>180</v>
      </c>
      <c r="BJ11" s="30" t="s">
        <v>157</v>
      </c>
      <c r="BK11" s="30"/>
      <c r="BL11" s="30"/>
      <c r="BM11" s="30"/>
      <c r="BN11" s="30" t="s">
        <v>205</v>
      </c>
      <c r="BO11" s="30"/>
    </row>
    <row r="12" spans="1:67" s="3" customFormat="1">
      <c r="A12" s="30">
        <v>85</v>
      </c>
      <c r="B12" s="30" t="s">
        <v>152</v>
      </c>
      <c r="C12" s="30" t="s">
        <v>153</v>
      </c>
      <c r="D12" s="30" t="s">
        <v>206</v>
      </c>
      <c r="E12" s="30" t="s">
        <v>207</v>
      </c>
      <c r="F12" s="30" t="s">
        <v>208</v>
      </c>
      <c r="G12" s="30" t="s">
        <v>209</v>
      </c>
      <c r="H12" s="30" t="s">
        <v>210</v>
      </c>
      <c r="I12" s="30" t="s">
        <v>157</v>
      </c>
      <c r="J12" s="30" t="s">
        <v>158</v>
      </c>
      <c r="K12" s="30" t="s">
        <v>211</v>
      </c>
      <c r="L12" s="30" t="s">
        <v>212</v>
      </c>
      <c r="M12" s="30" t="s">
        <v>213</v>
      </c>
      <c r="N12" s="30" t="s">
        <v>214</v>
      </c>
      <c r="O12" s="30"/>
      <c r="P12" s="30"/>
      <c r="Q12" s="30" t="s">
        <v>215</v>
      </c>
      <c r="R12" s="30" t="s">
        <v>211</v>
      </c>
      <c r="S12" s="30" t="s">
        <v>216</v>
      </c>
      <c r="T12" s="30" t="s">
        <v>217</v>
      </c>
      <c r="U12" s="30" t="s">
        <v>218</v>
      </c>
      <c r="V12" s="30" t="s">
        <v>164</v>
      </c>
      <c r="W12" s="30" t="s">
        <v>219</v>
      </c>
      <c r="X12" s="30" t="s">
        <v>158</v>
      </c>
      <c r="Y12" s="30" t="s">
        <v>220</v>
      </c>
      <c r="Z12" s="30" t="s">
        <v>221</v>
      </c>
      <c r="AA12" s="30" t="s">
        <v>222</v>
      </c>
      <c r="AB12" s="31" t="s">
        <v>215</v>
      </c>
      <c r="AC12" s="30">
        <v>5728268</v>
      </c>
      <c r="AD12" s="30" t="s">
        <v>16</v>
      </c>
      <c r="AE12" s="30" t="s">
        <v>223</v>
      </c>
      <c r="AF12" s="30" t="s">
        <v>211</v>
      </c>
      <c r="AG12" s="30" t="s">
        <v>224</v>
      </c>
      <c r="AH12" s="33" t="s">
        <v>85</v>
      </c>
      <c r="AI12" s="30"/>
      <c r="AJ12" s="30"/>
      <c r="AK12" s="30" t="s">
        <v>171</v>
      </c>
      <c r="AL12" s="30" t="s">
        <v>157</v>
      </c>
      <c r="AM12" s="30">
        <v>33650</v>
      </c>
      <c r="AN12" s="30"/>
      <c r="AO12" s="30" t="s">
        <v>211</v>
      </c>
      <c r="AP12" s="30" t="s">
        <v>201</v>
      </c>
      <c r="AQ12" s="30" t="s">
        <v>225</v>
      </c>
      <c r="AR12" s="30"/>
      <c r="AS12" s="30" t="s">
        <v>226</v>
      </c>
      <c r="AT12" s="30"/>
      <c r="AU12" s="30"/>
      <c r="AV12" s="30"/>
      <c r="AW12" s="30" t="s">
        <v>227</v>
      </c>
      <c r="AX12" s="30"/>
      <c r="AY12" s="30"/>
      <c r="AZ12" s="30"/>
      <c r="BA12" s="30"/>
      <c r="BB12" s="30">
        <v>87447997</v>
      </c>
      <c r="BC12" s="30" t="s">
        <v>180</v>
      </c>
      <c r="BD12" s="30" t="s">
        <v>181</v>
      </c>
      <c r="BE12" s="30" t="s">
        <v>228</v>
      </c>
      <c r="BF12" s="30" t="s">
        <v>229</v>
      </c>
      <c r="BG12" s="30" t="s">
        <v>230</v>
      </c>
      <c r="BH12" s="30" t="s">
        <v>231</v>
      </c>
      <c r="BI12" s="30" t="s">
        <v>180</v>
      </c>
      <c r="BJ12" s="30" t="s">
        <v>157</v>
      </c>
      <c r="BK12" s="30"/>
      <c r="BL12" s="30"/>
      <c r="BM12" s="30"/>
      <c r="BN12" s="30" t="s">
        <v>232</v>
      </c>
      <c r="BO12" s="30" t="s">
        <v>233</v>
      </c>
    </row>
    <row r="13" spans="1:67" s="3" customFormat="1" hidden="1">
      <c r="A13" s="30">
        <v>72</v>
      </c>
      <c r="B13" s="30" t="s">
        <v>152</v>
      </c>
      <c r="C13" s="30" t="s">
        <v>153</v>
      </c>
      <c r="D13" s="30" t="s">
        <v>234</v>
      </c>
      <c r="E13" s="30" t="s">
        <v>235</v>
      </c>
      <c r="F13" s="30" t="s">
        <v>236</v>
      </c>
      <c r="G13" s="30" t="s">
        <v>237</v>
      </c>
      <c r="H13" s="30" t="s">
        <v>238</v>
      </c>
      <c r="I13" s="30"/>
      <c r="J13" s="30" t="s">
        <v>239</v>
      </c>
      <c r="K13" s="30" t="s">
        <v>9</v>
      </c>
      <c r="L13" s="30" t="s">
        <v>212</v>
      </c>
      <c r="M13" s="30" t="s">
        <v>240</v>
      </c>
      <c r="N13" s="30" t="s">
        <v>241</v>
      </c>
      <c r="O13" s="30"/>
      <c r="P13" s="30"/>
      <c r="Q13" s="30" t="s">
        <v>234</v>
      </c>
      <c r="R13" s="30" t="s">
        <v>9</v>
      </c>
      <c r="S13" s="30" t="s">
        <v>242</v>
      </c>
      <c r="T13" s="30" t="s">
        <v>162</v>
      </c>
      <c r="U13" s="30" t="s">
        <v>243</v>
      </c>
      <c r="V13" s="30" t="s">
        <v>164</v>
      </c>
      <c r="W13" s="30" t="s">
        <v>244</v>
      </c>
      <c r="X13" s="30" t="s">
        <v>239</v>
      </c>
      <c r="Y13" s="30" t="s">
        <v>245</v>
      </c>
      <c r="Z13" s="30" t="s">
        <v>246</v>
      </c>
      <c r="AA13" s="30" t="s">
        <v>247</v>
      </c>
      <c r="AB13" s="30" t="s">
        <v>234</v>
      </c>
      <c r="AC13" s="30">
        <v>5730320</v>
      </c>
      <c r="AD13" s="30" t="s">
        <v>9</v>
      </c>
      <c r="AE13" s="30" t="s">
        <v>248</v>
      </c>
      <c r="AF13" s="30" t="s">
        <v>9</v>
      </c>
      <c r="AG13" s="30" t="s">
        <v>249</v>
      </c>
      <c r="AH13" s="33" t="s">
        <v>84</v>
      </c>
      <c r="AI13" s="30" t="s">
        <v>250</v>
      </c>
      <c r="AJ13" s="30" t="s">
        <v>251</v>
      </c>
      <c r="AK13" s="30" t="s">
        <v>171</v>
      </c>
      <c r="AL13" s="30" t="s">
        <v>157</v>
      </c>
      <c r="AM13" s="30">
        <v>9600</v>
      </c>
      <c r="AN13" s="30"/>
      <c r="AO13" s="30" t="s">
        <v>236</v>
      </c>
      <c r="AP13" s="30" t="s">
        <v>173</v>
      </c>
      <c r="AQ13" s="30" t="s">
        <v>225</v>
      </c>
      <c r="AR13" s="30"/>
      <c r="AS13" s="30" t="s">
        <v>252</v>
      </c>
      <c r="AT13" s="30"/>
      <c r="AU13" s="30" t="s">
        <v>253</v>
      </c>
      <c r="AV13" s="30"/>
      <c r="AW13" s="30" t="s">
        <v>254</v>
      </c>
      <c r="AX13" s="30"/>
      <c r="AY13" s="30"/>
      <c r="AZ13" s="30"/>
      <c r="BA13" s="30"/>
      <c r="BB13" s="30">
        <v>33140368</v>
      </c>
      <c r="BC13" s="30" t="s">
        <v>180</v>
      </c>
      <c r="BD13" s="30" t="s">
        <v>255</v>
      </c>
      <c r="BE13" s="30" t="s">
        <v>256</v>
      </c>
      <c r="BF13" s="30" t="s">
        <v>257</v>
      </c>
      <c r="BG13" s="30" t="s">
        <v>230</v>
      </c>
      <c r="BH13" s="30" t="s">
        <v>184</v>
      </c>
      <c r="BI13" s="30" t="s">
        <v>258</v>
      </c>
      <c r="BJ13" s="30" t="s">
        <v>157</v>
      </c>
      <c r="BK13" s="30"/>
      <c r="BL13" s="30"/>
      <c r="BM13" s="30"/>
      <c r="BN13" s="30"/>
      <c r="BO13" s="30" t="s">
        <v>240</v>
      </c>
    </row>
    <row r="14" spans="1:67" s="3" customFormat="1" hidden="1">
      <c r="A14" s="30">
        <v>10</v>
      </c>
      <c r="B14" s="30" t="s">
        <v>152</v>
      </c>
      <c r="C14" s="30" t="s">
        <v>153</v>
      </c>
      <c r="D14" s="30" t="s">
        <v>259</v>
      </c>
      <c r="E14" s="30" t="s">
        <v>260</v>
      </c>
      <c r="F14" s="30" t="s">
        <v>261</v>
      </c>
      <c r="G14" s="30" t="s">
        <v>262</v>
      </c>
      <c r="H14" s="30" t="s">
        <v>263</v>
      </c>
      <c r="I14" s="30"/>
      <c r="J14" s="30" t="s">
        <v>158</v>
      </c>
      <c r="K14" s="30" t="s">
        <v>16</v>
      </c>
      <c r="L14" s="30" t="s">
        <v>212</v>
      </c>
      <c r="M14" s="30" t="s">
        <v>240</v>
      </c>
      <c r="N14" s="30" t="s">
        <v>264</v>
      </c>
      <c r="O14" s="30"/>
      <c r="P14" s="30"/>
      <c r="Q14" s="30" t="s">
        <v>259</v>
      </c>
      <c r="R14" s="30" t="s">
        <v>16</v>
      </c>
      <c r="S14" s="30" t="s">
        <v>265</v>
      </c>
      <c r="T14" s="30" t="s">
        <v>162</v>
      </c>
      <c r="U14" s="30" t="s">
        <v>266</v>
      </c>
      <c r="V14" s="30" t="s">
        <v>164</v>
      </c>
      <c r="W14" s="30" t="s">
        <v>267</v>
      </c>
      <c r="X14" s="30" t="s">
        <v>158</v>
      </c>
      <c r="Y14" s="30" t="s">
        <v>268</v>
      </c>
      <c r="Z14" s="30" t="s">
        <v>269</v>
      </c>
      <c r="AA14" s="30" t="s">
        <v>257</v>
      </c>
      <c r="AB14" s="30" t="s">
        <v>259</v>
      </c>
      <c r="AC14" s="30">
        <v>5696741</v>
      </c>
      <c r="AD14" s="30" t="s">
        <v>16</v>
      </c>
      <c r="AE14" s="30" t="s">
        <v>270</v>
      </c>
      <c r="AF14" s="30" t="s">
        <v>16</v>
      </c>
      <c r="AG14" s="30" t="s">
        <v>271</v>
      </c>
      <c r="AH14" s="33" t="s">
        <v>85</v>
      </c>
      <c r="AI14" s="30" t="s">
        <v>272</v>
      </c>
      <c r="AJ14" s="30" t="s">
        <v>273</v>
      </c>
      <c r="AK14" s="30" t="s">
        <v>171</v>
      </c>
      <c r="AL14" s="30" t="s">
        <v>157</v>
      </c>
      <c r="AM14" s="30">
        <v>3000</v>
      </c>
      <c r="AN14" s="30"/>
      <c r="AO14" s="30" t="s">
        <v>261</v>
      </c>
      <c r="AP14" s="30" t="s">
        <v>173</v>
      </c>
      <c r="AQ14" s="30" t="s">
        <v>274</v>
      </c>
      <c r="AR14" s="30"/>
      <c r="AS14" s="30" t="s">
        <v>275</v>
      </c>
      <c r="AT14" s="30"/>
      <c r="AU14" s="30" t="s">
        <v>276</v>
      </c>
      <c r="AV14" s="30"/>
      <c r="AW14" s="30" t="s">
        <v>277</v>
      </c>
      <c r="AX14" s="30"/>
      <c r="AY14" s="30"/>
      <c r="AZ14" s="30"/>
      <c r="BA14" s="30"/>
      <c r="BB14" s="30">
        <v>84876601</v>
      </c>
      <c r="BC14" s="30" t="s">
        <v>180</v>
      </c>
      <c r="BD14" s="30" t="s">
        <v>181</v>
      </c>
      <c r="BE14" s="30" t="s">
        <v>278</v>
      </c>
      <c r="BF14" s="30" t="s">
        <v>279</v>
      </c>
      <c r="BG14" s="30" t="s">
        <v>230</v>
      </c>
      <c r="BH14" s="30" t="s">
        <v>280</v>
      </c>
      <c r="BI14" s="30" t="s">
        <v>180</v>
      </c>
      <c r="BJ14" s="30" t="s">
        <v>157</v>
      </c>
      <c r="BK14" s="30"/>
      <c r="BL14" s="30"/>
      <c r="BM14" s="30"/>
      <c r="BN14" s="30" t="s">
        <v>186</v>
      </c>
      <c r="BO14" s="30" t="s">
        <v>240</v>
      </c>
    </row>
    <row r="15" spans="1:67" s="3" customFormat="1" hidden="1">
      <c r="A15" s="30">
        <v>40</v>
      </c>
      <c r="B15" s="30" t="s">
        <v>152</v>
      </c>
      <c r="C15" s="30" t="s">
        <v>153</v>
      </c>
      <c r="D15" s="30" t="s">
        <v>281</v>
      </c>
      <c r="E15" s="30" t="s">
        <v>282</v>
      </c>
      <c r="F15" s="30" t="s">
        <v>283</v>
      </c>
      <c r="G15" s="30" t="s">
        <v>284</v>
      </c>
      <c r="H15" s="30" t="s">
        <v>285</v>
      </c>
      <c r="I15" s="30"/>
      <c r="J15" s="30" t="s">
        <v>239</v>
      </c>
      <c r="K15" s="30" t="s">
        <v>16</v>
      </c>
      <c r="L15" s="30" t="s">
        <v>212</v>
      </c>
      <c r="M15" s="30" t="s">
        <v>240</v>
      </c>
      <c r="N15" s="30" t="s">
        <v>286</v>
      </c>
      <c r="O15" s="30"/>
      <c r="P15" s="30"/>
      <c r="Q15" s="30" t="s">
        <v>281</v>
      </c>
      <c r="R15" s="30" t="s">
        <v>16</v>
      </c>
      <c r="S15" s="30" t="s">
        <v>287</v>
      </c>
      <c r="T15" s="30" t="s">
        <v>162</v>
      </c>
      <c r="U15" s="30" t="s">
        <v>288</v>
      </c>
      <c r="V15" s="30" t="s">
        <v>164</v>
      </c>
      <c r="W15" s="30" t="s">
        <v>267</v>
      </c>
      <c r="X15" s="30" t="s">
        <v>239</v>
      </c>
      <c r="Y15" s="30" t="s">
        <v>289</v>
      </c>
      <c r="Z15" s="30" t="s">
        <v>290</v>
      </c>
      <c r="AA15" s="30" t="s">
        <v>168</v>
      </c>
      <c r="AB15" s="30" t="s">
        <v>281</v>
      </c>
      <c r="AC15" s="30">
        <v>5691084</v>
      </c>
      <c r="AD15" s="30" t="s">
        <v>16</v>
      </c>
      <c r="AE15" s="30" t="s">
        <v>291</v>
      </c>
      <c r="AF15" s="30"/>
      <c r="AG15" s="30"/>
      <c r="AH15" s="33" t="s">
        <v>83</v>
      </c>
      <c r="AI15" s="30" t="s">
        <v>292</v>
      </c>
      <c r="AJ15" s="30" t="s">
        <v>293</v>
      </c>
      <c r="AK15" s="30"/>
      <c r="AL15" s="30" t="s">
        <v>157</v>
      </c>
      <c r="AM15" s="30">
        <v>7200</v>
      </c>
      <c r="AN15" s="30"/>
      <c r="AO15" s="30" t="s">
        <v>283</v>
      </c>
      <c r="AP15" s="30" t="s">
        <v>173</v>
      </c>
      <c r="AQ15" s="30" t="s">
        <v>274</v>
      </c>
      <c r="AR15" s="30"/>
      <c r="AS15" s="30" t="s">
        <v>294</v>
      </c>
      <c r="AT15" s="30"/>
      <c r="AU15" s="30" t="s">
        <v>295</v>
      </c>
      <c r="AV15" s="30"/>
      <c r="AW15" s="30" t="s">
        <v>296</v>
      </c>
      <c r="AX15" s="30"/>
      <c r="AY15" s="30"/>
      <c r="AZ15" s="30"/>
      <c r="BA15" s="30"/>
      <c r="BB15" s="30">
        <v>52706084</v>
      </c>
      <c r="BC15" s="30" t="s">
        <v>180</v>
      </c>
      <c r="BD15" s="30" t="s">
        <v>181</v>
      </c>
      <c r="BE15" s="30" t="s">
        <v>297</v>
      </c>
      <c r="BF15" s="30" t="s">
        <v>298</v>
      </c>
      <c r="BG15" s="30" t="s">
        <v>230</v>
      </c>
      <c r="BH15" s="30" t="s">
        <v>184</v>
      </c>
      <c r="BI15" s="30" t="s">
        <v>180</v>
      </c>
      <c r="BJ15" s="30"/>
      <c r="BK15" s="30"/>
      <c r="BL15" s="30"/>
      <c r="BM15" s="30"/>
      <c r="BN15" s="30"/>
      <c r="BO15" s="30" t="s">
        <v>240</v>
      </c>
    </row>
    <row r="16" spans="1:67" s="3" customFormat="1" hidden="1">
      <c r="A16" s="30">
        <v>67</v>
      </c>
      <c r="B16" s="30" t="s">
        <v>152</v>
      </c>
      <c r="C16" s="30" t="s">
        <v>153</v>
      </c>
      <c r="D16" s="30" t="s">
        <v>281</v>
      </c>
      <c r="E16" s="30" t="s">
        <v>299</v>
      </c>
      <c r="F16" s="30" t="s">
        <v>283</v>
      </c>
      <c r="G16" s="30" t="s">
        <v>300</v>
      </c>
      <c r="H16" s="30" t="s">
        <v>301</v>
      </c>
      <c r="I16" s="30"/>
      <c r="J16" s="30" t="s">
        <v>239</v>
      </c>
      <c r="K16" s="30" t="s">
        <v>16</v>
      </c>
      <c r="L16" s="30" t="s">
        <v>212</v>
      </c>
      <c r="M16" s="30" t="s">
        <v>240</v>
      </c>
      <c r="N16" s="30" t="s">
        <v>286</v>
      </c>
      <c r="O16" s="30"/>
      <c r="P16" s="30"/>
      <c r="Q16" s="30" t="s">
        <v>281</v>
      </c>
      <c r="R16" s="30" t="s">
        <v>16</v>
      </c>
      <c r="S16" s="30" t="s">
        <v>302</v>
      </c>
      <c r="T16" s="30" t="s">
        <v>162</v>
      </c>
      <c r="U16" s="30" t="s">
        <v>303</v>
      </c>
      <c r="V16" s="30" t="s">
        <v>164</v>
      </c>
      <c r="W16" s="30" t="s">
        <v>267</v>
      </c>
      <c r="X16" s="30" t="s">
        <v>239</v>
      </c>
      <c r="Y16" s="30" t="s">
        <v>289</v>
      </c>
      <c r="Z16" s="30" t="s">
        <v>290</v>
      </c>
      <c r="AA16" s="30" t="s">
        <v>168</v>
      </c>
      <c r="AB16" s="30" t="s">
        <v>281</v>
      </c>
      <c r="AC16" s="30">
        <v>5731913</v>
      </c>
      <c r="AD16" s="30" t="s">
        <v>16</v>
      </c>
      <c r="AE16" s="30" t="s">
        <v>304</v>
      </c>
      <c r="AF16" s="30" t="s">
        <v>16</v>
      </c>
      <c r="AG16" s="30" t="s">
        <v>305</v>
      </c>
      <c r="AH16" s="33" t="s">
        <v>83</v>
      </c>
      <c r="AI16" s="30" t="s">
        <v>306</v>
      </c>
      <c r="AJ16" s="30" t="s">
        <v>307</v>
      </c>
      <c r="AK16" s="30" t="s">
        <v>171</v>
      </c>
      <c r="AL16" s="30" t="s">
        <v>157</v>
      </c>
      <c r="AM16" s="30">
        <v>6000</v>
      </c>
      <c r="AN16" s="30"/>
      <c r="AO16" s="30" t="s">
        <v>283</v>
      </c>
      <c r="AP16" s="30" t="s">
        <v>173</v>
      </c>
      <c r="AQ16" s="30" t="s">
        <v>225</v>
      </c>
      <c r="AR16" s="30"/>
      <c r="AS16" s="30" t="s">
        <v>294</v>
      </c>
      <c r="AT16" s="30"/>
      <c r="AU16" s="30" t="s">
        <v>308</v>
      </c>
      <c r="AV16" s="30"/>
      <c r="AW16" s="30" t="s">
        <v>309</v>
      </c>
      <c r="AX16" s="30"/>
      <c r="AY16" s="30"/>
      <c r="AZ16" s="30"/>
      <c r="BA16" s="30"/>
      <c r="BB16" s="30">
        <v>52706084</v>
      </c>
      <c r="BC16" s="30" t="s">
        <v>180</v>
      </c>
      <c r="BD16" s="30" t="s">
        <v>255</v>
      </c>
      <c r="BE16" s="30" t="s">
        <v>297</v>
      </c>
      <c r="BF16" s="30" t="s">
        <v>298</v>
      </c>
      <c r="BG16" s="30" t="s">
        <v>230</v>
      </c>
      <c r="BH16" s="30" t="s">
        <v>184</v>
      </c>
      <c r="BI16" s="30" t="s">
        <v>258</v>
      </c>
      <c r="BJ16" s="30" t="s">
        <v>157</v>
      </c>
      <c r="BK16" s="30"/>
      <c r="BL16" s="30"/>
      <c r="BM16" s="30"/>
      <c r="BN16" s="30"/>
      <c r="BO16" s="30" t="s">
        <v>240</v>
      </c>
    </row>
    <row r="17" spans="1:67" s="3" customFormat="1" hidden="1">
      <c r="A17" s="30">
        <v>121</v>
      </c>
      <c r="B17" s="30" t="s">
        <v>152</v>
      </c>
      <c r="C17" s="30" t="s">
        <v>153</v>
      </c>
      <c r="D17" s="30"/>
      <c r="E17" s="30" t="s">
        <v>310</v>
      </c>
      <c r="F17" s="30"/>
      <c r="G17" s="30" t="s">
        <v>311</v>
      </c>
      <c r="H17" s="30" t="s">
        <v>312</v>
      </c>
      <c r="I17" s="30" t="s">
        <v>157</v>
      </c>
      <c r="J17" s="30" t="s">
        <v>158</v>
      </c>
      <c r="K17" s="30" t="s">
        <v>21</v>
      </c>
      <c r="L17" s="30" t="s">
        <v>313</v>
      </c>
      <c r="M17" s="30" t="s">
        <v>314</v>
      </c>
      <c r="N17" s="30"/>
      <c r="O17" s="30"/>
      <c r="P17" s="30"/>
      <c r="Q17" s="30" t="s">
        <v>315</v>
      </c>
      <c r="R17" s="30" t="s">
        <v>21</v>
      </c>
      <c r="S17" s="30" t="s">
        <v>316</v>
      </c>
      <c r="T17" s="30" t="s">
        <v>162</v>
      </c>
      <c r="U17" s="30" t="s">
        <v>317</v>
      </c>
      <c r="V17" s="30" t="s">
        <v>164</v>
      </c>
      <c r="W17" s="30" t="s">
        <v>244</v>
      </c>
      <c r="X17" s="30" t="s">
        <v>158</v>
      </c>
      <c r="Y17" s="30" t="s">
        <v>318</v>
      </c>
      <c r="Z17" s="30" t="s">
        <v>290</v>
      </c>
      <c r="AA17" s="30" t="s">
        <v>168</v>
      </c>
      <c r="AB17" s="30" t="s">
        <v>315</v>
      </c>
      <c r="AC17" s="30">
        <v>5691452</v>
      </c>
      <c r="AD17" s="30" t="s">
        <v>21</v>
      </c>
      <c r="AE17" s="30" t="s">
        <v>319</v>
      </c>
      <c r="AF17" s="30" t="s">
        <v>21</v>
      </c>
      <c r="AG17" s="30" t="s">
        <v>320</v>
      </c>
      <c r="AH17" s="33" t="s">
        <v>83</v>
      </c>
      <c r="AI17" s="30" t="s">
        <v>321</v>
      </c>
      <c r="AJ17" s="30" t="s">
        <v>322</v>
      </c>
      <c r="AK17" s="30" t="s">
        <v>171</v>
      </c>
      <c r="AL17" s="30" t="s">
        <v>157</v>
      </c>
      <c r="AM17" s="30">
        <v>80960</v>
      </c>
      <c r="AN17" s="30"/>
      <c r="AO17" s="30" t="s">
        <v>157</v>
      </c>
      <c r="AP17" s="30" t="s">
        <v>173</v>
      </c>
      <c r="AQ17" s="30" t="s">
        <v>225</v>
      </c>
      <c r="AR17" s="30"/>
      <c r="AS17" s="30" t="s">
        <v>323</v>
      </c>
      <c r="AT17" s="30" t="s">
        <v>324</v>
      </c>
      <c r="AU17" s="30" t="s">
        <v>325</v>
      </c>
      <c r="AV17" s="30"/>
      <c r="AW17" s="30" t="s">
        <v>326</v>
      </c>
      <c r="AX17" s="30"/>
      <c r="AY17" s="30"/>
      <c r="AZ17" s="30"/>
      <c r="BA17" s="30"/>
      <c r="BB17" s="30">
        <v>86751591</v>
      </c>
      <c r="BC17" s="30" t="s">
        <v>180</v>
      </c>
      <c r="BD17" s="30" t="s">
        <v>181</v>
      </c>
      <c r="BE17" s="30" t="s">
        <v>256</v>
      </c>
      <c r="BF17" s="30" t="s">
        <v>183</v>
      </c>
      <c r="BG17" s="30"/>
      <c r="BH17" s="30" t="s">
        <v>231</v>
      </c>
      <c r="BI17" s="30" t="s">
        <v>258</v>
      </c>
      <c r="BJ17" s="30" t="s">
        <v>157</v>
      </c>
      <c r="BK17" s="30"/>
      <c r="BL17" s="30"/>
      <c r="BM17" s="30"/>
      <c r="BN17" s="30" t="s">
        <v>186</v>
      </c>
      <c r="BO17" s="30"/>
    </row>
    <row r="18" spans="1:67" s="3" customFormat="1" hidden="1">
      <c r="A18" s="30">
        <v>36</v>
      </c>
      <c r="B18" s="30" t="s">
        <v>152</v>
      </c>
      <c r="C18" s="30" t="s">
        <v>153</v>
      </c>
      <c r="D18" s="30"/>
      <c r="E18" s="30" t="s">
        <v>327</v>
      </c>
      <c r="F18" s="30"/>
      <c r="G18" s="30" t="s">
        <v>328</v>
      </c>
      <c r="H18" s="30" t="s">
        <v>329</v>
      </c>
      <c r="I18" s="30"/>
      <c r="J18" s="30" t="s">
        <v>330</v>
      </c>
      <c r="K18" s="30" t="s">
        <v>16</v>
      </c>
      <c r="L18" s="30" t="s">
        <v>212</v>
      </c>
      <c r="M18" s="30" t="s">
        <v>240</v>
      </c>
      <c r="N18" s="30"/>
      <c r="O18" s="30"/>
      <c r="P18" s="30"/>
      <c r="Q18" s="30" t="s">
        <v>331</v>
      </c>
      <c r="R18" s="30" t="s">
        <v>16</v>
      </c>
      <c r="S18" s="30" t="s">
        <v>332</v>
      </c>
      <c r="T18" s="30" t="s">
        <v>162</v>
      </c>
      <c r="U18" s="30" t="s">
        <v>333</v>
      </c>
      <c r="V18" s="30" t="s">
        <v>164</v>
      </c>
      <c r="W18" s="30" t="s">
        <v>244</v>
      </c>
      <c r="X18" s="30" t="s">
        <v>330</v>
      </c>
      <c r="Y18" s="30" t="s">
        <v>334</v>
      </c>
      <c r="Z18" s="30" t="s">
        <v>335</v>
      </c>
      <c r="AA18" s="30" t="s">
        <v>336</v>
      </c>
      <c r="AB18" s="30" t="s">
        <v>331</v>
      </c>
      <c r="AC18" s="30">
        <v>5691927</v>
      </c>
      <c r="AD18" s="30" t="s">
        <v>16</v>
      </c>
      <c r="AE18" s="30" t="s">
        <v>333</v>
      </c>
      <c r="AF18" s="30" t="s">
        <v>337</v>
      </c>
      <c r="AG18" s="30" t="s">
        <v>338</v>
      </c>
      <c r="AH18" s="33" t="s">
        <v>85</v>
      </c>
      <c r="AI18" s="30" t="s">
        <v>339</v>
      </c>
      <c r="AJ18" s="30" t="s">
        <v>340</v>
      </c>
      <c r="AK18" s="30"/>
      <c r="AL18" s="30" t="s">
        <v>157</v>
      </c>
      <c r="AM18" s="30">
        <v>-20400</v>
      </c>
      <c r="AN18" s="30"/>
      <c r="AO18" s="30" t="s">
        <v>157</v>
      </c>
      <c r="AP18" s="30"/>
      <c r="AQ18" s="30" t="s">
        <v>274</v>
      </c>
      <c r="AR18" s="30"/>
      <c r="AS18" s="30" t="s">
        <v>341</v>
      </c>
      <c r="AT18" s="30"/>
      <c r="AU18" s="30" t="s">
        <v>342</v>
      </c>
      <c r="AV18" s="30"/>
      <c r="AW18" s="30" t="s">
        <v>343</v>
      </c>
      <c r="AX18" s="30"/>
      <c r="AY18" s="30"/>
      <c r="AZ18" s="30"/>
      <c r="BA18" s="30"/>
      <c r="BB18" s="30">
        <v>58815635</v>
      </c>
      <c r="BC18" s="30" t="s">
        <v>180</v>
      </c>
      <c r="BD18" s="30" t="s">
        <v>255</v>
      </c>
      <c r="BE18" s="30" t="s">
        <v>256</v>
      </c>
      <c r="BF18" s="30" t="s">
        <v>229</v>
      </c>
      <c r="BG18" s="30"/>
      <c r="BH18" s="30" t="s">
        <v>184</v>
      </c>
      <c r="BI18" s="30" t="s">
        <v>180</v>
      </c>
      <c r="BJ18" s="30"/>
      <c r="BK18" s="30"/>
      <c r="BL18" s="30"/>
      <c r="BM18" s="30"/>
      <c r="BN18" s="30"/>
      <c r="BO18" s="30"/>
    </row>
    <row r="19" spans="1:67" s="3" customFormat="1" hidden="1">
      <c r="A19" s="30">
        <v>37</v>
      </c>
      <c r="B19" s="30" t="s">
        <v>152</v>
      </c>
      <c r="C19" s="30" t="s">
        <v>153</v>
      </c>
      <c r="D19" s="30"/>
      <c r="E19" s="30" t="s">
        <v>327</v>
      </c>
      <c r="F19" s="30"/>
      <c r="G19" s="30" t="s">
        <v>328</v>
      </c>
      <c r="H19" s="30" t="s">
        <v>329</v>
      </c>
      <c r="I19" s="30"/>
      <c r="J19" s="30" t="s">
        <v>330</v>
      </c>
      <c r="K19" s="30" t="s">
        <v>16</v>
      </c>
      <c r="L19" s="30" t="s">
        <v>212</v>
      </c>
      <c r="M19" s="30" t="s">
        <v>240</v>
      </c>
      <c r="N19" s="30"/>
      <c r="O19" s="30"/>
      <c r="P19" s="30"/>
      <c r="Q19" s="30" t="s">
        <v>331</v>
      </c>
      <c r="R19" s="30" t="s">
        <v>16</v>
      </c>
      <c r="S19" s="30" t="s">
        <v>332</v>
      </c>
      <c r="T19" s="30" t="s">
        <v>162</v>
      </c>
      <c r="U19" s="30" t="s">
        <v>333</v>
      </c>
      <c r="V19" s="30" t="s">
        <v>164</v>
      </c>
      <c r="W19" s="30" t="s">
        <v>244</v>
      </c>
      <c r="X19" s="30" t="s">
        <v>330</v>
      </c>
      <c r="Y19" s="30" t="s">
        <v>334</v>
      </c>
      <c r="Z19" s="30" t="s">
        <v>335</v>
      </c>
      <c r="AA19" s="30" t="s">
        <v>336</v>
      </c>
      <c r="AB19" s="30" t="s">
        <v>331</v>
      </c>
      <c r="AC19" s="30">
        <v>5691927</v>
      </c>
      <c r="AD19" s="30" t="s">
        <v>16</v>
      </c>
      <c r="AE19" s="30" t="s">
        <v>333</v>
      </c>
      <c r="AF19" s="30" t="s">
        <v>337</v>
      </c>
      <c r="AG19" s="30" t="s">
        <v>338</v>
      </c>
      <c r="AH19" s="33" t="s">
        <v>85</v>
      </c>
      <c r="AI19" s="30" t="s">
        <v>344</v>
      </c>
      <c r="AJ19" s="30" t="s">
        <v>345</v>
      </c>
      <c r="AK19" s="30"/>
      <c r="AL19" s="30" t="s">
        <v>157</v>
      </c>
      <c r="AM19" s="30">
        <v>20400</v>
      </c>
      <c r="AN19" s="30"/>
      <c r="AO19" s="30" t="s">
        <v>157</v>
      </c>
      <c r="AP19" s="30"/>
      <c r="AQ19" s="30" t="s">
        <v>274</v>
      </c>
      <c r="AR19" s="30"/>
      <c r="AS19" s="30" t="s">
        <v>341</v>
      </c>
      <c r="AT19" s="30"/>
      <c r="AU19" s="30" t="s">
        <v>342</v>
      </c>
      <c r="AV19" s="30"/>
      <c r="AW19" s="30" t="s">
        <v>343</v>
      </c>
      <c r="AX19" s="30"/>
      <c r="AY19" s="30"/>
      <c r="AZ19" s="30"/>
      <c r="BA19" s="30"/>
      <c r="BB19" s="30">
        <v>58815635</v>
      </c>
      <c r="BC19" s="30" t="s">
        <v>180</v>
      </c>
      <c r="BD19" s="30" t="s">
        <v>255</v>
      </c>
      <c r="BE19" s="30" t="s">
        <v>256</v>
      </c>
      <c r="BF19" s="30" t="s">
        <v>229</v>
      </c>
      <c r="BG19" s="30"/>
      <c r="BH19" s="30" t="s">
        <v>184</v>
      </c>
      <c r="BI19" s="30" t="s">
        <v>180</v>
      </c>
      <c r="BJ19" s="30"/>
      <c r="BK19" s="30"/>
      <c r="BL19" s="30"/>
      <c r="BM19" s="30"/>
      <c r="BN19" s="30"/>
      <c r="BO19" s="30"/>
    </row>
    <row r="20" spans="1:67" s="3" customFormat="1" hidden="1">
      <c r="A20" s="30">
        <v>38</v>
      </c>
      <c r="B20" s="30" t="s">
        <v>152</v>
      </c>
      <c r="C20" s="30" t="s">
        <v>153</v>
      </c>
      <c r="D20" s="30"/>
      <c r="E20" s="30" t="s">
        <v>327</v>
      </c>
      <c r="F20" s="30"/>
      <c r="G20" s="30" t="s">
        <v>328</v>
      </c>
      <c r="H20" s="30" t="s">
        <v>329</v>
      </c>
      <c r="I20" s="30"/>
      <c r="J20" s="30" t="s">
        <v>330</v>
      </c>
      <c r="K20" s="30" t="s">
        <v>16</v>
      </c>
      <c r="L20" s="30" t="s">
        <v>212</v>
      </c>
      <c r="M20" s="30" t="s">
        <v>240</v>
      </c>
      <c r="N20" s="30"/>
      <c r="O20" s="30"/>
      <c r="P20" s="30"/>
      <c r="Q20" s="30" t="s">
        <v>331</v>
      </c>
      <c r="R20" s="30" t="s">
        <v>16</v>
      </c>
      <c r="S20" s="30" t="s">
        <v>332</v>
      </c>
      <c r="T20" s="30" t="s">
        <v>162</v>
      </c>
      <c r="U20" s="30" t="s">
        <v>333</v>
      </c>
      <c r="V20" s="30" t="s">
        <v>164</v>
      </c>
      <c r="W20" s="30" t="s">
        <v>244</v>
      </c>
      <c r="X20" s="30" t="s">
        <v>330</v>
      </c>
      <c r="Y20" s="30" t="s">
        <v>334</v>
      </c>
      <c r="Z20" s="30" t="s">
        <v>335</v>
      </c>
      <c r="AA20" s="30" t="s">
        <v>336</v>
      </c>
      <c r="AB20" s="30" t="s">
        <v>331</v>
      </c>
      <c r="AC20" s="30">
        <v>5691927</v>
      </c>
      <c r="AD20" s="30" t="s">
        <v>16</v>
      </c>
      <c r="AE20" s="30" t="s">
        <v>333</v>
      </c>
      <c r="AF20" s="30" t="s">
        <v>337</v>
      </c>
      <c r="AG20" s="30" t="s">
        <v>338</v>
      </c>
      <c r="AH20" s="33" t="s">
        <v>85</v>
      </c>
      <c r="AI20" s="30" t="s">
        <v>344</v>
      </c>
      <c r="AJ20" s="30" t="s">
        <v>345</v>
      </c>
      <c r="AK20" s="30"/>
      <c r="AL20" s="30" t="s">
        <v>157</v>
      </c>
      <c r="AM20" s="30">
        <v>1200</v>
      </c>
      <c r="AN20" s="30"/>
      <c r="AO20" s="30" t="s">
        <v>157</v>
      </c>
      <c r="AP20" s="30"/>
      <c r="AQ20" s="30" t="s">
        <v>274</v>
      </c>
      <c r="AR20" s="30"/>
      <c r="AS20" s="30" t="s">
        <v>341</v>
      </c>
      <c r="AT20" s="30"/>
      <c r="AU20" s="30" t="s">
        <v>346</v>
      </c>
      <c r="AV20" s="30"/>
      <c r="AW20" s="30" t="s">
        <v>343</v>
      </c>
      <c r="AX20" s="30"/>
      <c r="AY20" s="30"/>
      <c r="AZ20" s="30"/>
      <c r="BA20" s="30"/>
      <c r="BB20" s="30">
        <v>58815635</v>
      </c>
      <c r="BC20" s="30" t="s">
        <v>180</v>
      </c>
      <c r="BD20" s="30" t="s">
        <v>255</v>
      </c>
      <c r="BE20" s="30" t="s">
        <v>256</v>
      </c>
      <c r="BF20" s="30" t="s">
        <v>229</v>
      </c>
      <c r="BG20" s="30"/>
      <c r="BH20" s="30" t="s">
        <v>184</v>
      </c>
      <c r="BI20" s="30" t="s">
        <v>180</v>
      </c>
      <c r="BJ20" s="30"/>
      <c r="BK20" s="30"/>
      <c r="BL20" s="30"/>
      <c r="BM20" s="30"/>
      <c r="BN20" s="30"/>
      <c r="BO20" s="30"/>
    </row>
    <row r="21" spans="1:67" s="3" customFormat="1" hidden="1">
      <c r="A21" s="30">
        <v>39</v>
      </c>
      <c r="B21" s="30" t="s">
        <v>152</v>
      </c>
      <c r="C21" s="30" t="s">
        <v>153</v>
      </c>
      <c r="D21" s="30"/>
      <c r="E21" s="30" t="s">
        <v>327</v>
      </c>
      <c r="F21" s="30"/>
      <c r="G21" s="30" t="s">
        <v>328</v>
      </c>
      <c r="H21" s="30" t="s">
        <v>329</v>
      </c>
      <c r="I21" s="30"/>
      <c r="J21" s="30" t="s">
        <v>330</v>
      </c>
      <c r="K21" s="30" t="s">
        <v>16</v>
      </c>
      <c r="L21" s="30" t="s">
        <v>212</v>
      </c>
      <c r="M21" s="30" t="s">
        <v>240</v>
      </c>
      <c r="N21" s="30"/>
      <c r="O21" s="30"/>
      <c r="P21" s="30"/>
      <c r="Q21" s="30" t="s">
        <v>331</v>
      </c>
      <c r="R21" s="30" t="s">
        <v>16</v>
      </c>
      <c r="S21" s="30" t="s">
        <v>332</v>
      </c>
      <c r="T21" s="30" t="s">
        <v>162</v>
      </c>
      <c r="U21" s="30" t="s">
        <v>333</v>
      </c>
      <c r="V21" s="30" t="s">
        <v>164</v>
      </c>
      <c r="W21" s="30" t="s">
        <v>244</v>
      </c>
      <c r="X21" s="30" t="s">
        <v>330</v>
      </c>
      <c r="Y21" s="30" t="s">
        <v>334</v>
      </c>
      <c r="Z21" s="30" t="s">
        <v>335</v>
      </c>
      <c r="AA21" s="30" t="s">
        <v>336</v>
      </c>
      <c r="AB21" s="30" t="s">
        <v>331</v>
      </c>
      <c r="AC21" s="30">
        <v>5691927</v>
      </c>
      <c r="AD21" s="30" t="s">
        <v>16</v>
      </c>
      <c r="AE21" s="30" t="s">
        <v>333</v>
      </c>
      <c r="AF21" s="30" t="s">
        <v>337</v>
      </c>
      <c r="AG21" s="30" t="s">
        <v>338</v>
      </c>
      <c r="AH21" s="33" t="s">
        <v>85</v>
      </c>
      <c r="AI21" s="30" t="s">
        <v>347</v>
      </c>
      <c r="AJ21" s="30" t="s">
        <v>345</v>
      </c>
      <c r="AK21" s="30"/>
      <c r="AL21" s="30" t="s">
        <v>157</v>
      </c>
      <c r="AM21" s="30">
        <v>8500</v>
      </c>
      <c r="AN21" s="30"/>
      <c r="AO21" s="30" t="s">
        <v>157</v>
      </c>
      <c r="AP21" s="30"/>
      <c r="AQ21" s="30" t="s">
        <v>274</v>
      </c>
      <c r="AR21" s="30"/>
      <c r="AS21" s="30" t="s">
        <v>341</v>
      </c>
      <c r="AT21" s="30"/>
      <c r="AU21" s="30" t="s">
        <v>346</v>
      </c>
      <c r="AV21" s="30"/>
      <c r="AW21" s="30" t="s">
        <v>343</v>
      </c>
      <c r="AX21" s="30"/>
      <c r="AY21" s="30"/>
      <c r="AZ21" s="30"/>
      <c r="BA21" s="30"/>
      <c r="BB21" s="30">
        <v>58815635</v>
      </c>
      <c r="BC21" s="30" t="s">
        <v>180</v>
      </c>
      <c r="BD21" s="30" t="s">
        <v>255</v>
      </c>
      <c r="BE21" s="30" t="s">
        <v>256</v>
      </c>
      <c r="BF21" s="30" t="s">
        <v>229</v>
      </c>
      <c r="BG21" s="30"/>
      <c r="BH21" s="30" t="s">
        <v>184</v>
      </c>
      <c r="BI21" s="30" t="s">
        <v>180</v>
      </c>
      <c r="BJ21" s="30"/>
      <c r="BK21" s="30"/>
      <c r="BL21" s="30"/>
      <c r="BM21" s="30"/>
      <c r="BN21" s="30"/>
      <c r="BO21" s="30"/>
    </row>
    <row r="22" spans="1:67" s="3" customFormat="1" hidden="1">
      <c r="A22" s="30">
        <v>109</v>
      </c>
      <c r="B22" s="30" t="s">
        <v>152</v>
      </c>
      <c r="C22" s="30" t="s">
        <v>153</v>
      </c>
      <c r="D22" s="30" t="s">
        <v>348</v>
      </c>
      <c r="E22" s="30" t="s">
        <v>349</v>
      </c>
      <c r="F22" s="30" t="s">
        <v>350</v>
      </c>
      <c r="G22" s="30" t="s">
        <v>351</v>
      </c>
      <c r="H22" s="30" t="s">
        <v>352</v>
      </c>
      <c r="I22" s="30" t="s">
        <v>353</v>
      </c>
      <c r="J22" s="30" t="s">
        <v>354</v>
      </c>
      <c r="K22" s="30" t="s">
        <v>355</v>
      </c>
      <c r="L22" s="30" t="s">
        <v>356</v>
      </c>
      <c r="M22" s="30" t="s">
        <v>357</v>
      </c>
      <c r="N22" s="30" t="s">
        <v>157</v>
      </c>
      <c r="O22" s="30" t="s">
        <v>355</v>
      </c>
      <c r="P22" s="30" t="s">
        <v>358</v>
      </c>
      <c r="Q22" s="30" t="s">
        <v>348</v>
      </c>
      <c r="R22" s="30" t="s">
        <v>16</v>
      </c>
      <c r="S22" s="30" t="s">
        <v>359</v>
      </c>
      <c r="T22" s="30" t="s">
        <v>217</v>
      </c>
      <c r="U22" s="30" t="s">
        <v>360</v>
      </c>
      <c r="V22" s="30" t="s">
        <v>164</v>
      </c>
      <c r="W22" s="30" t="s">
        <v>361</v>
      </c>
      <c r="X22" s="30" t="s">
        <v>330</v>
      </c>
      <c r="Y22" s="30" t="s">
        <v>362</v>
      </c>
      <c r="Z22" s="30" t="s">
        <v>363</v>
      </c>
      <c r="AA22" s="30" t="s">
        <v>364</v>
      </c>
      <c r="AB22" s="30" t="s">
        <v>348</v>
      </c>
      <c r="AC22" s="30">
        <v>5694099</v>
      </c>
      <c r="AD22" s="30" t="s">
        <v>16</v>
      </c>
      <c r="AE22" s="30" t="s">
        <v>365</v>
      </c>
      <c r="AF22" s="30" t="s">
        <v>16</v>
      </c>
      <c r="AG22" s="30" t="s">
        <v>366</v>
      </c>
      <c r="AH22" s="33" t="s">
        <v>83</v>
      </c>
      <c r="AI22" s="30" t="s">
        <v>367</v>
      </c>
      <c r="AJ22" s="30" t="s">
        <v>368</v>
      </c>
      <c r="AK22" s="30" t="s">
        <v>171</v>
      </c>
      <c r="AL22" s="30" t="s">
        <v>157</v>
      </c>
      <c r="AM22" s="30">
        <v>259000</v>
      </c>
      <c r="AN22" s="30"/>
      <c r="AO22" s="30" t="s">
        <v>157</v>
      </c>
      <c r="AP22" s="30" t="s">
        <v>369</v>
      </c>
      <c r="AQ22" s="30" t="s">
        <v>225</v>
      </c>
      <c r="AR22" s="30"/>
      <c r="AS22" s="30" t="s">
        <v>370</v>
      </c>
      <c r="AT22" s="30" t="s">
        <v>371</v>
      </c>
      <c r="AU22" s="30" t="s">
        <v>372</v>
      </c>
      <c r="AV22" s="30"/>
      <c r="AW22" s="30" t="s">
        <v>373</v>
      </c>
      <c r="AX22" s="30"/>
      <c r="AY22" s="30"/>
      <c r="AZ22" s="30"/>
      <c r="BA22" s="30"/>
      <c r="BB22" s="30">
        <v>86686253</v>
      </c>
      <c r="BC22" s="30" t="s">
        <v>180</v>
      </c>
      <c r="BD22" s="30" t="s">
        <v>181</v>
      </c>
      <c r="BE22" s="30" t="s">
        <v>374</v>
      </c>
      <c r="BF22" s="30" t="s">
        <v>375</v>
      </c>
      <c r="BG22" s="30" t="s">
        <v>230</v>
      </c>
      <c r="BH22" s="30" t="s">
        <v>231</v>
      </c>
      <c r="BI22" s="30" t="s">
        <v>258</v>
      </c>
      <c r="BJ22" s="30" t="s">
        <v>157</v>
      </c>
      <c r="BK22" s="30"/>
      <c r="BL22" s="30"/>
      <c r="BM22" s="30"/>
      <c r="BN22" s="30" t="s">
        <v>186</v>
      </c>
      <c r="BO22" s="30" t="s">
        <v>376</v>
      </c>
    </row>
    <row r="23" spans="1:67" s="3" customFormat="1" hidden="1">
      <c r="A23" s="30">
        <v>110</v>
      </c>
      <c r="B23" s="30" t="s">
        <v>152</v>
      </c>
      <c r="C23" s="30" t="s">
        <v>153</v>
      </c>
      <c r="D23" s="30" t="s">
        <v>348</v>
      </c>
      <c r="E23" s="30" t="s">
        <v>349</v>
      </c>
      <c r="F23" s="30" t="s">
        <v>350</v>
      </c>
      <c r="G23" s="30" t="s">
        <v>351</v>
      </c>
      <c r="H23" s="30" t="s">
        <v>352</v>
      </c>
      <c r="I23" s="30" t="s">
        <v>353</v>
      </c>
      <c r="J23" s="30" t="s">
        <v>354</v>
      </c>
      <c r="K23" s="30" t="s">
        <v>355</v>
      </c>
      <c r="L23" s="30" t="s">
        <v>356</v>
      </c>
      <c r="M23" s="30" t="s">
        <v>357</v>
      </c>
      <c r="N23" s="30" t="s">
        <v>157</v>
      </c>
      <c r="O23" s="30" t="s">
        <v>355</v>
      </c>
      <c r="P23" s="30" t="s">
        <v>358</v>
      </c>
      <c r="Q23" s="30" t="s">
        <v>348</v>
      </c>
      <c r="R23" s="30" t="s">
        <v>16</v>
      </c>
      <c r="S23" s="30" t="s">
        <v>359</v>
      </c>
      <c r="T23" s="30" t="s">
        <v>217</v>
      </c>
      <c r="U23" s="30" t="s">
        <v>360</v>
      </c>
      <c r="V23" s="30" t="s">
        <v>164</v>
      </c>
      <c r="W23" s="30" t="s">
        <v>361</v>
      </c>
      <c r="X23" s="30" t="s">
        <v>330</v>
      </c>
      <c r="Y23" s="30" t="s">
        <v>362</v>
      </c>
      <c r="Z23" s="30" t="s">
        <v>363</v>
      </c>
      <c r="AA23" s="30" t="s">
        <v>364</v>
      </c>
      <c r="AB23" s="30" t="s">
        <v>348</v>
      </c>
      <c r="AC23" s="30">
        <v>5694099</v>
      </c>
      <c r="AD23" s="30" t="s">
        <v>16</v>
      </c>
      <c r="AE23" s="30" t="s">
        <v>365</v>
      </c>
      <c r="AF23" s="30" t="s">
        <v>16</v>
      </c>
      <c r="AG23" s="30" t="s">
        <v>366</v>
      </c>
      <c r="AH23" s="33" t="s">
        <v>83</v>
      </c>
      <c r="AI23" s="30" t="s">
        <v>377</v>
      </c>
      <c r="AJ23" s="30" t="s">
        <v>378</v>
      </c>
      <c r="AK23" s="30" t="s">
        <v>171</v>
      </c>
      <c r="AL23" s="30" t="s">
        <v>157</v>
      </c>
      <c r="AM23" s="30">
        <v>12000</v>
      </c>
      <c r="AN23" s="30"/>
      <c r="AO23" s="30" t="s">
        <v>157</v>
      </c>
      <c r="AP23" s="30" t="s">
        <v>369</v>
      </c>
      <c r="AQ23" s="30" t="s">
        <v>225</v>
      </c>
      <c r="AR23" s="30"/>
      <c r="AS23" s="30" t="s">
        <v>370</v>
      </c>
      <c r="AT23" s="30" t="s">
        <v>379</v>
      </c>
      <c r="AU23" s="30" t="s">
        <v>372</v>
      </c>
      <c r="AV23" s="30"/>
      <c r="AW23" s="30" t="s">
        <v>373</v>
      </c>
      <c r="AX23" s="30"/>
      <c r="AY23" s="30"/>
      <c r="AZ23" s="30"/>
      <c r="BA23" s="30"/>
      <c r="BB23" s="30">
        <v>86686253</v>
      </c>
      <c r="BC23" s="30" t="s">
        <v>180</v>
      </c>
      <c r="BD23" s="30" t="s">
        <v>181</v>
      </c>
      <c r="BE23" s="30" t="s">
        <v>374</v>
      </c>
      <c r="BF23" s="30" t="s">
        <v>375</v>
      </c>
      <c r="BG23" s="30" t="s">
        <v>230</v>
      </c>
      <c r="BH23" s="30" t="s">
        <v>231</v>
      </c>
      <c r="BI23" s="30" t="s">
        <v>258</v>
      </c>
      <c r="BJ23" s="30" t="s">
        <v>157</v>
      </c>
      <c r="BK23" s="30"/>
      <c r="BL23" s="30"/>
      <c r="BM23" s="30"/>
      <c r="BN23" s="30" t="s">
        <v>186</v>
      </c>
      <c r="BO23" s="30" t="s">
        <v>376</v>
      </c>
    </row>
    <row r="24" spans="1:67" s="3" customFormat="1" hidden="1">
      <c r="A24" s="30">
        <v>6</v>
      </c>
      <c r="B24" s="30" t="s">
        <v>152</v>
      </c>
      <c r="C24" s="30" t="s">
        <v>153</v>
      </c>
      <c r="D24" s="30" t="s">
        <v>380</v>
      </c>
      <c r="E24" s="30" t="s">
        <v>381</v>
      </c>
      <c r="F24" s="30" t="s">
        <v>350</v>
      </c>
      <c r="G24" s="30" t="s">
        <v>382</v>
      </c>
      <c r="H24" s="30" t="s">
        <v>383</v>
      </c>
      <c r="I24" s="30" t="s">
        <v>353</v>
      </c>
      <c r="J24" s="30" t="s">
        <v>354</v>
      </c>
      <c r="K24" s="30" t="s">
        <v>355</v>
      </c>
      <c r="L24" s="30" t="s">
        <v>356</v>
      </c>
      <c r="M24" s="30" t="s">
        <v>357</v>
      </c>
      <c r="N24" s="30" t="s">
        <v>157</v>
      </c>
      <c r="O24" s="30" t="s">
        <v>355</v>
      </c>
      <c r="P24" s="30" t="s">
        <v>384</v>
      </c>
      <c r="Q24" s="30" t="s">
        <v>380</v>
      </c>
      <c r="R24" s="30" t="s">
        <v>16</v>
      </c>
      <c r="S24" s="30" t="s">
        <v>385</v>
      </c>
      <c r="T24" s="30" t="s">
        <v>217</v>
      </c>
      <c r="U24" s="30" t="s">
        <v>386</v>
      </c>
      <c r="V24" s="30" t="s">
        <v>387</v>
      </c>
      <c r="W24" s="30" t="s">
        <v>388</v>
      </c>
      <c r="X24" s="30" t="s">
        <v>86</v>
      </c>
      <c r="Y24" s="30" t="s">
        <v>389</v>
      </c>
      <c r="Z24" s="30" t="s">
        <v>390</v>
      </c>
      <c r="AA24" s="30" t="s">
        <v>391</v>
      </c>
      <c r="AB24" s="30" t="s">
        <v>380</v>
      </c>
      <c r="AC24" s="30">
        <v>5706702</v>
      </c>
      <c r="AD24" s="30" t="s">
        <v>16</v>
      </c>
      <c r="AE24" s="30" t="s">
        <v>392</v>
      </c>
      <c r="AF24" s="30" t="s">
        <v>16</v>
      </c>
      <c r="AG24" s="30" t="s">
        <v>392</v>
      </c>
      <c r="AH24" s="33" t="s">
        <v>88</v>
      </c>
      <c r="AI24" s="30" t="s">
        <v>393</v>
      </c>
      <c r="AJ24" s="30" t="s">
        <v>394</v>
      </c>
      <c r="AK24" s="30" t="s">
        <v>171</v>
      </c>
      <c r="AL24" s="30" t="s">
        <v>157</v>
      </c>
      <c r="AM24" s="30">
        <v>10144</v>
      </c>
      <c r="AN24" s="30"/>
      <c r="AO24" s="30" t="s">
        <v>157</v>
      </c>
      <c r="AP24" s="30" t="s">
        <v>369</v>
      </c>
      <c r="AQ24" s="30" t="s">
        <v>174</v>
      </c>
      <c r="AR24" s="30"/>
      <c r="AS24" s="30"/>
      <c r="AT24" s="30"/>
      <c r="AU24" s="30" t="s">
        <v>395</v>
      </c>
      <c r="AV24" s="30"/>
      <c r="AW24" s="30" t="s">
        <v>396</v>
      </c>
      <c r="AX24" s="30"/>
      <c r="AY24" s="30"/>
      <c r="AZ24" s="30"/>
      <c r="BA24" s="30" t="s">
        <v>397</v>
      </c>
      <c r="BB24" s="30">
        <v>87668013</v>
      </c>
      <c r="BC24" s="30" t="s">
        <v>258</v>
      </c>
      <c r="BD24" s="30" t="s">
        <v>181</v>
      </c>
      <c r="BE24" s="30" t="s">
        <v>398</v>
      </c>
      <c r="BF24" s="30" t="s">
        <v>399</v>
      </c>
      <c r="BG24" s="30" t="s">
        <v>400</v>
      </c>
      <c r="BH24" s="30" t="s">
        <v>231</v>
      </c>
      <c r="BI24" s="30" t="s">
        <v>180</v>
      </c>
      <c r="BJ24" s="30" t="s">
        <v>157</v>
      </c>
      <c r="BK24" s="30"/>
      <c r="BL24" s="30"/>
      <c r="BM24" s="30">
        <v>107274163</v>
      </c>
      <c r="BN24" s="30"/>
      <c r="BO24" s="30" t="s">
        <v>376</v>
      </c>
    </row>
    <row r="25" spans="1:67" s="3" customFormat="1" hidden="1">
      <c r="A25" s="30">
        <v>105</v>
      </c>
      <c r="B25" s="30" t="s">
        <v>152</v>
      </c>
      <c r="C25" s="30" t="s">
        <v>153</v>
      </c>
      <c r="D25" s="30" t="s">
        <v>401</v>
      </c>
      <c r="E25" s="30" t="s">
        <v>402</v>
      </c>
      <c r="F25" s="30" t="s">
        <v>403</v>
      </c>
      <c r="G25" s="30" t="s">
        <v>404</v>
      </c>
      <c r="H25" s="30" t="s">
        <v>405</v>
      </c>
      <c r="I25" s="30"/>
      <c r="J25" s="30" t="s">
        <v>330</v>
      </c>
      <c r="K25" s="30" t="s">
        <v>9</v>
      </c>
      <c r="L25" s="30" t="s">
        <v>212</v>
      </c>
      <c r="M25" s="30" t="s">
        <v>240</v>
      </c>
      <c r="N25" s="30" t="s">
        <v>406</v>
      </c>
      <c r="O25" s="30"/>
      <c r="P25" s="30"/>
      <c r="Q25" s="30" t="s">
        <v>401</v>
      </c>
      <c r="R25" s="30" t="s">
        <v>9</v>
      </c>
      <c r="S25" s="30" t="s">
        <v>407</v>
      </c>
      <c r="T25" s="30" t="s">
        <v>162</v>
      </c>
      <c r="U25" s="30" t="s">
        <v>408</v>
      </c>
      <c r="V25" s="30" t="s">
        <v>164</v>
      </c>
      <c r="W25" s="30" t="s">
        <v>244</v>
      </c>
      <c r="X25" s="30" t="s">
        <v>330</v>
      </c>
      <c r="Y25" s="30" t="s">
        <v>409</v>
      </c>
      <c r="Z25" s="30" t="s">
        <v>410</v>
      </c>
      <c r="AA25" s="30" t="s">
        <v>411</v>
      </c>
      <c r="AB25" s="30" t="s">
        <v>401</v>
      </c>
      <c r="AC25" s="30">
        <v>5695111</v>
      </c>
      <c r="AD25" s="30" t="s">
        <v>9</v>
      </c>
      <c r="AE25" s="30" t="s">
        <v>412</v>
      </c>
      <c r="AF25" s="30" t="s">
        <v>9</v>
      </c>
      <c r="AG25" s="30" t="s">
        <v>413</v>
      </c>
      <c r="AH25" s="33" t="s">
        <v>83</v>
      </c>
      <c r="AI25" s="30" t="s">
        <v>414</v>
      </c>
      <c r="AJ25" s="30" t="s">
        <v>415</v>
      </c>
      <c r="AK25" s="30" t="s">
        <v>171</v>
      </c>
      <c r="AL25" s="30" t="s">
        <v>157</v>
      </c>
      <c r="AM25" s="30">
        <v>7800</v>
      </c>
      <c r="AN25" s="30"/>
      <c r="AO25" s="30" t="s">
        <v>403</v>
      </c>
      <c r="AP25" s="30" t="s">
        <v>173</v>
      </c>
      <c r="AQ25" s="30" t="s">
        <v>225</v>
      </c>
      <c r="AR25" s="30"/>
      <c r="AS25" s="30" t="s">
        <v>416</v>
      </c>
      <c r="AT25" s="30"/>
      <c r="AU25" s="30" t="s">
        <v>417</v>
      </c>
      <c r="AV25" s="30"/>
      <c r="AW25" s="30" t="s">
        <v>418</v>
      </c>
      <c r="AX25" s="30"/>
      <c r="AY25" s="30"/>
      <c r="AZ25" s="30"/>
      <c r="BA25" s="30"/>
      <c r="BB25" s="30">
        <v>19355703</v>
      </c>
      <c r="BC25" s="30" t="s">
        <v>180</v>
      </c>
      <c r="BD25" s="30" t="s">
        <v>255</v>
      </c>
      <c r="BE25" s="30" t="s">
        <v>256</v>
      </c>
      <c r="BF25" s="30" t="s">
        <v>257</v>
      </c>
      <c r="BG25" s="30" t="s">
        <v>230</v>
      </c>
      <c r="BH25" s="30" t="s">
        <v>231</v>
      </c>
      <c r="BI25" s="30" t="s">
        <v>258</v>
      </c>
      <c r="BJ25" s="30" t="s">
        <v>157</v>
      </c>
      <c r="BK25" s="30"/>
      <c r="BL25" s="30"/>
      <c r="BM25" s="30"/>
      <c r="BN25" s="30" t="s">
        <v>186</v>
      </c>
      <c r="BO25" s="30" t="s">
        <v>240</v>
      </c>
    </row>
    <row r="26" spans="1:67" s="3" customFormat="1" hidden="1">
      <c r="A26" s="30">
        <v>7</v>
      </c>
      <c r="B26" s="30" t="s">
        <v>152</v>
      </c>
      <c r="C26" s="30" t="s">
        <v>153</v>
      </c>
      <c r="D26" s="30" t="s">
        <v>206</v>
      </c>
      <c r="E26" s="30" t="s">
        <v>419</v>
      </c>
      <c r="F26" s="30" t="s">
        <v>420</v>
      </c>
      <c r="G26" s="30" t="s">
        <v>421</v>
      </c>
      <c r="H26" s="30" t="s">
        <v>422</v>
      </c>
      <c r="I26" s="30"/>
      <c r="J26" s="30" t="s">
        <v>330</v>
      </c>
      <c r="K26" s="30" t="s">
        <v>16</v>
      </c>
      <c r="L26" s="30" t="s">
        <v>423</v>
      </c>
      <c r="M26" s="30" t="s">
        <v>424</v>
      </c>
      <c r="N26" s="30" t="s">
        <v>157</v>
      </c>
      <c r="O26" s="30"/>
      <c r="P26" s="30"/>
      <c r="Q26" s="30" t="s">
        <v>425</v>
      </c>
      <c r="R26" s="30" t="s">
        <v>16</v>
      </c>
      <c r="S26" s="30" t="s">
        <v>426</v>
      </c>
      <c r="T26" s="30" t="s">
        <v>217</v>
      </c>
      <c r="U26" s="30" t="s">
        <v>427</v>
      </c>
      <c r="V26" s="30" t="s">
        <v>164</v>
      </c>
      <c r="W26" s="30" t="s">
        <v>388</v>
      </c>
      <c r="X26" s="30" t="s">
        <v>330</v>
      </c>
      <c r="Y26" s="30" t="s">
        <v>428</v>
      </c>
      <c r="Z26" s="30" t="s">
        <v>429</v>
      </c>
      <c r="AA26" s="30" t="s">
        <v>430</v>
      </c>
      <c r="AB26" s="30" t="s">
        <v>425</v>
      </c>
      <c r="AC26" s="30">
        <v>5575552</v>
      </c>
      <c r="AD26" s="30" t="s">
        <v>16</v>
      </c>
      <c r="AE26" s="30" t="s">
        <v>427</v>
      </c>
      <c r="AF26" s="30" t="s">
        <v>16</v>
      </c>
      <c r="AG26" s="30" t="s">
        <v>427</v>
      </c>
      <c r="AH26" s="33" t="s">
        <v>88</v>
      </c>
      <c r="AI26" s="30" t="s">
        <v>431</v>
      </c>
      <c r="AJ26" s="30" t="s">
        <v>432</v>
      </c>
      <c r="AK26" s="30" t="s">
        <v>171</v>
      </c>
      <c r="AL26" s="30" t="s">
        <v>157</v>
      </c>
      <c r="AM26" s="30">
        <v>12240</v>
      </c>
      <c r="AN26" s="30"/>
      <c r="AO26" s="30" t="s">
        <v>157</v>
      </c>
      <c r="AP26" s="30" t="s">
        <v>369</v>
      </c>
      <c r="AQ26" s="30" t="s">
        <v>174</v>
      </c>
      <c r="AR26" s="30"/>
      <c r="AS26" s="30"/>
      <c r="AT26" s="30"/>
      <c r="AU26" s="30" t="s">
        <v>433</v>
      </c>
      <c r="AV26" s="30"/>
      <c r="AW26" s="30" t="s">
        <v>434</v>
      </c>
      <c r="AX26" s="30"/>
      <c r="AY26" s="30"/>
      <c r="AZ26" s="30"/>
      <c r="BA26" s="30" t="s">
        <v>397</v>
      </c>
      <c r="BB26" s="30">
        <v>87647271</v>
      </c>
      <c r="BC26" s="30" t="s">
        <v>258</v>
      </c>
      <c r="BD26" s="30" t="s">
        <v>255</v>
      </c>
      <c r="BE26" s="30" t="s">
        <v>435</v>
      </c>
      <c r="BF26" s="30" t="s">
        <v>279</v>
      </c>
      <c r="BG26" s="30" t="s">
        <v>230</v>
      </c>
      <c r="BH26" s="30" t="s">
        <v>231</v>
      </c>
      <c r="BI26" s="30" t="s">
        <v>180</v>
      </c>
      <c r="BJ26" s="30" t="s">
        <v>157</v>
      </c>
      <c r="BK26" s="30"/>
      <c r="BL26" s="30"/>
      <c r="BM26" s="30">
        <v>109203918</v>
      </c>
      <c r="BN26" s="30" t="s">
        <v>186</v>
      </c>
      <c r="BO26" s="30" t="s">
        <v>233</v>
      </c>
    </row>
    <row r="27" spans="1:67" s="3" customFormat="1" hidden="1">
      <c r="A27" s="30">
        <v>73</v>
      </c>
      <c r="B27" s="30" t="s">
        <v>152</v>
      </c>
      <c r="C27" s="30" t="s">
        <v>153</v>
      </c>
      <c r="D27" s="30" t="s">
        <v>436</v>
      </c>
      <c r="E27" s="30" t="s">
        <v>437</v>
      </c>
      <c r="F27" s="30" t="s">
        <v>438</v>
      </c>
      <c r="G27" s="30" t="s">
        <v>439</v>
      </c>
      <c r="H27" s="30" t="s">
        <v>440</v>
      </c>
      <c r="I27" s="30" t="s">
        <v>157</v>
      </c>
      <c r="J27" s="30" t="s">
        <v>354</v>
      </c>
      <c r="K27" s="30" t="s">
        <v>9</v>
      </c>
      <c r="L27" s="30" t="s">
        <v>212</v>
      </c>
      <c r="M27" s="30" t="s">
        <v>441</v>
      </c>
      <c r="N27" s="30" t="s">
        <v>442</v>
      </c>
      <c r="O27" s="30"/>
      <c r="P27" s="30"/>
      <c r="Q27" s="30" t="s">
        <v>436</v>
      </c>
      <c r="R27" s="30" t="s">
        <v>9</v>
      </c>
      <c r="S27" s="30" t="s">
        <v>443</v>
      </c>
      <c r="T27" s="30" t="s">
        <v>217</v>
      </c>
      <c r="U27" s="30" t="s">
        <v>444</v>
      </c>
      <c r="V27" s="30" t="s">
        <v>164</v>
      </c>
      <c r="W27" s="30" t="s">
        <v>267</v>
      </c>
      <c r="X27" s="30" t="s">
        <v>445</v>
      </c>
      <c r="Y27" s="30" t="s">
        <v>446</v>
      </c>
      <c r="Z27" s="30" t="s">
        <v>447</v>
      </c>
      <c r="AA27" s="30" t="s">
        <v>447</v>
      </c>
      <c r="AB27" s="30" t="s">
        <v>436</v>
      </c>
      <c r="AC27" s="30">
        <v>5730315</v>
      </c>
      <c r="AD27" s="30" t="s">
        <v>9</v>
      </c>
      <c r="AE27" s="30" t="s">
        <v>448</v>
      </c>
      <c r="AF27" s="30" t="s">
        <v>9</v>
      </c>
      <c r="AG27" s="30" t="s">
        <v>449</v>
      </c>
      <c r="AH27" s="33" t="s">
        <v>83</v>
      </c>
      <c r="AI27" s="30" t="s">
        <v>450</v>
      </c>
      <c r="AJ27" s="30" t="s">
        <v>451</v>
      </c>
      <c r="AK27" s="30" t="s">
        <v>171</v>
      </c>
      <c r="AL27" s="30" t="s">
        <v>157</v>
      </c>
      <c r="AM27" s="30">
        <v>18300</v>
      </c>
      <c r="AN27" s="30"/>
      <c r="AO27" s="30" t="s">
        <v>442</v>
      </c>
      <c r="AP27" s="30" t="s">
        <v>369</v>
      </c>
      <c r="AQ27" s="30" t="s">
        <v>225</v>
      </c>
      <c r="AR27" s="30"/>
      <c r="AS27" s="30" t="s">
        <v>452</v>
      </c>
      <c r="AT27" s="30"/>
      <c r="AU27" s="30" t="s">
        <v>253</v>
      </c>
      <c r="AV27" s="30"/>
      <c r="AW27" s="30" t="s">
        <v>453</v>
      </c>
      <c r="AX27" s="30"/>
      <c r="AY27" s="30"/>
      <c r="AZ27" s="30"/>
      <c r="BA27" s="30"/>
      <c r="BB27" s="30">
        <v>87647140</v>
      </c>
      <c r="BC27" s="30" t="s">
        <v>180</v>
      </c>
      <c r="BD27" s="30" t="s">
        <v>181</v>
      </c>
      <c r="BE27" s="30" t="s">
        <v>297</v>
      </c>
      <c r="BF27" s="30" t="s">
        <v>298</v>
      </c>
      <c r="BG27" s="30" t="s">
        <v>230</v>
      </c>
      <c r="BH27" s="30" t="s">
        <v>231</v>
      </c>
      <c r="BI27" s="30" t="s">
        <v>258</v>
      </c>
      <c r="BJ27" s="30" t="s">
        <v>157</v>
      </c>
      <c r="BK27" s="30"/>
      <c r="BL27" s="30"/>
      <c r="BM27" s="30"/>
      <c r="BN27" s="30" t="s">
        <v>232</v>
      </c>
      <c r="BO27" s="30" t="s">
        <v>233</v>
      </c>
    </row>
    <row r="28" spans="1:67" s="3" customFormat="1" hidden="1">
      <c r="A28" s="30">
        <v>28</v>
      </c>
      <c r="B28" s="30" t="s">
        <v>152</v>
      </c>
      <c r="C28" s="30" t="s">
        <v>153</v>
      </c>
      <c r="D28" s="30"/>
      <c r="E28" s="30" t="s">
        <v>454</v>
      </c>
      <c r="F28" s="30"/>
      <c r="G28" s="30" t="s">
        <v>455</v>
      </c>
      <c r="H28" s="30" t="s">
        <v>456</v>
      </c>
      <c r="I28" s="30"/>
      <c r="J28" s="30" t="s">
        <v>239</v>
      </c>
      <c r="K28" s="30" t="s">
        <v>16</v>
      </c>
      <c r="L28" s="30" t="s">
        <v>212</v>
      </c>
      <c r="M28" s="30" t="s">
        <v>240</v>
      </c>
      <c r="N28" s="30"/>
      <c r="O28" s="30"/>
      <c r="P28" s="30"/>
      <c r="Q28" s="30" t="s">
        <v>457</v>
      </c>
      <c r="R28" s="30" t="s">
        <v>16</v>
      </c>
      <c r="S28" s="30" t="s">
        <v>458</v>
      </c>
      <c r="T28" s="30" t="s">
        <v>162</v>
      </c>
      <c r="U28" s="30" t="s">
        <v>459</v>
      </c>
      <c r="V28" s="30" t="s">
        <v>164</v>
      </c>
      <c r="W28" s="30" t="s">
        <v>244</v>
      </c>
      <c r="X28" s="30" t="s">
        <v>239</v>
      </c>
      <c r="Y28" s="30" t="s">
        <v>460</v>
      </c>
      <c r="Z28" s="30" t="s">
        <v>461</v>
      </c>
      <c r="AA28" s="30" t="s">
        <v>462</v>
      </c>
      <c r="AB28" s="30" t="s">
        <v>457</v>
      </c>
      <c r="AC28" s="30">
        <v>5713519</v>
      </c>
      <c r="AD28" s="30" t="s">
        <v>16</v>
      </c>
      <c r="AE28" s="30" t="s">
        <v>459</v>
      </c>
      <c r="AF28" s="30" t="s">
        <v>337</v>
      </c>
      <c r="AG28" s="30" t="s">
        <v>459</v>
      </c>
      <c r="AH28" s="33" t="s">
        <v>83</v>
      </c>
      <c r="AI28" s="30" t="s">
        <v>463</v>
      </c>
      <c r="AJ28" s="30" t="s">
        <v>464</v>
      </c>
      <c r="AK28" s="30"/>
      <c r="AL28" s="30" t="s">
        <v>157</v>
      </c>
      <c r="AM28" s="30">
        <v>-7200</v>
      </c>
      <c r="AN28" s="30"/>
      <c r="AO28" s="30" t="s">
        <v>157</v>
      </c>
      <c r="AP28" s="30"/>
      <c r="AQ28" s="30" t="s">
        <v>274</v>
      </c>
      <c r="AR28" s="30"/>
      <c r="AS28" s="30" t="s">
        <v>465</v>
      </c>
      <c r="AT28" s="30"/>
      <c r="AU28" s="30" t="s">
        <v>466</v>
      </c>
      <c r="AV28" s="30"/>
      <c r="AW28" s="30" t="s">
        <v>467</v>
      </c>
      <c r="AX28" s="30"/>
      <c r="AY28" s="30"/>
      <c r="AZ28" s="30"/>
      <c r="BA28" s="30"/>
      <c r="BB28" s="30">
        <v>51853027</v>
      </c>
      <c r="BC28" s="30" t="s">
        <v>180</v>
      </c>
      <c r="BD28" s="30" t="s">
        <v>255</v>
      </c>
      <c r="BE28" s="30" t="s">
        <v>256</v>
      </c>
      <c r="BF28" s="30" t="s">
        <v>257</v>
      </c>
      <c r="BG28" s="30"/>
      <c r="BH28" s="30" t="s">
        <v>231</v>
      </c>
      <c r="BI28" s="30" t="s">
        <v>180</v>
      </c>
      <c r="BJ28" s="30"/>
      <c r="BK28" s="30"/>
      <c r="BL28" s="30"/>
      <c r="BM28" s="30"/>
      <c r="BN28" s="30"/>
      <c r="BO28" s="30"/>
    </row>
    <row r="29" spans="1:67" s="3" customFormat="1" hidden="1">
      <c r="A29" s="30">
        <v>29</v>
      </c>
      <c r="B29" s="30" t="s">
        <v>152</v>
      </c>
      <c r="C29" s="30" t="s">
        <v>153</v>
      </c>
      <c r="D29" s="30"/>
      <c r="E29" s="30" t="s">
        <v>454</v>
      </c>
      <c r="F29" s="30"/>
      <c r="G29" s="30" t="s">
        <v>455</v>
      </c>
      <c r="H29" s="30" t="s">
        <v>456</v>
      </c>
      <c r="I29" s="30"/>
      <c r="J29" s="30" t="s">
        <v>239</v>
      </c>
      <c r="K29" s="30" t="s">
        <v>16</v>
      </c>
      <c r="L29" s="30" t="s">
        <v>212</v>
      </c>
      <c r="M29" s="30" t="s">
        <v>240</v>
      </c>
      <c r="N29" s="30"/>
      <c r="O29" s="30"/>
      <c r="P29" s="30"/>
      <c r="Q29" s="30" t="s">
        <v>457</v>
      </c>
      <c r="R29" s="30" t="s">
        <v>16</v>
      </c>
      <c r="S29" s="30" t="s">
        <v>458</v>
      </c>
      <c r="T29" s="30" t="s">
        <v>162</v>
      </c>
      <c r="U29" s="30" t="s">
        <v>459</v>
      </c>
      <c r="V29" s="30" t="s">
        <v>164</v>
      </c>
      <c r="W29" s="30" t="s">
        <v>244</v>
      </c>
      <c r="X29" s="30" t="s">
        <v>239</v>
      </c>
      <c r="Y29" s="30" t="s">
        <v>460</v>
      </c>
      <c r="Z29" s="30" t="s">
        <v>461</v>
      </c>
      <c r="AA29" s="30" t="s">
        <v>462</v>
      </c>
      <c r="AB29" s="30" t="s">
        <v>457</v>
      </c>
      <c r="AC29" s="30">
        <v>5713519</v>
      </c>
      <c r="AD29" s="30" t="s">
        <v>16</v>
      </c>
      <c r="AE29" s="30" t="s">
        <v>459</v>
      </c>
      <c r="AF29" s="30" t="s">
        <v>337</v>
      </c>
      <c r="AG29" s="30" t="s">
        <v>459</v>
      </c>
      <c r="AH29" s="33" t="s">
        <v>85</v>
      </c>
      <c r="AI29" s="30" t="s">
        <v>468</v>
      </c>
      <c r="AJ29" s="30" t="s">
        <v>469</v>
      </c>
      <c r="AK29" s="30"/>
      <c r="AL29" s="30" t="s">
        <v>157</v>
      </c>
      <c r="AM29" s="30">
        <v>7200</v>
      </c>
      <c r="AN29" s="30"/>
      <c r="AO29" s="30" t="s">
        <v>157</v>
      </c>
      <c r="AP29" s="30"/>
      <c r="AQ29" s="30" t="s">
        <v>274</v>
      </c>
      <c r="AR29" s="30"/>
      <c r="AS29" s="30" t="s">
        <v>465</v>
      </c>
      <c r="AT29" s="30"/>
      <c r="AU29" s="30" t="s">
        <v>466</v>
      </c>
      <c r="AV29" s="30"/>
      <c r="AW29" s="30" t="s">
        <v>467</v>
      </c>
      <c r="AX29" s="30"/>
      <c r="AY29" s="30"/>
      <c r="AZ29" s="30"/>
      <c r="BA29" s="30"/>
      <c r="BB29" s="30">
        <v>51853027</v>
      </c>
      <c r="BC29" s="30" t="s">
        <v>180</v>
      </c>
      <c r="BD29" s="30" t="s">
        <v>255</v>
      </c>
      <c r="BE29" s="30" t="s">
        <v>256</v>
      </c>
      <c r="BF29" s="30" t="s">
        <v>257</v>
      </c>
      <c r="BG29" s="30"/>
      <c r="BH29" s="30" t="s">
        <v>231</v>
      </c>
      <c r="BI29" s="30" t="s">
        <v>180</v>
      </c>
      <c r="BJ29" s="30"/>
      <c r="BK29" s="30"/>
      <c r="BL29" s="30"/>
      <c r="BM29" s="30"/>
      <c r="BN29" s="30"/>
      <c r="BO29" s="30"/>
    </row>
    <row r="30" spans="1:67" s="3" customFormat="1" hidden="1">
      <c r="A30" s="30">
        <v>46</v>
      </c>
      <c r="B30" s="30" t="s">
        <v>152</v>
      </c>
      <c r="C30" s="30" t="s">
        <v>153</v>
      </c>
      <c r="D30" s="30" t="s">
        <v>457</v>
      </c>
      <c r="E30" s="30" t="s">
        <v>454</v>
      </c>
      <c r="F30" s="30" t="s">
        <v>470</v>
      </c>
      <c r="G30" s="30" t="s">
        <v>455</v>
      </c>
      <c r="H30" s="30" t="s">
        <v>456</v>
      </c>
      <c r="I30" s="30"/>
      <c r="J30" s="30" t="s">
        <v>239</v>
      </c>
      <c r="K30" s="30" t="s">
        <v>16</v>
      </c>
      <c r="L30" s="30" t="s">
        <v>212</v>
      </c>
      <c r="M30" s="30" t="s">
        <v>240</v>
      </c>
      <c r="N30" s="30" t="s">
        <v>471</v>
      </c>
      <c r="O30" s="30"/>
      <c r="P30" s="30"/>
      <c r="Q30" s="30" t="s">
        <v>457</v>
      </c>
      <c r="R30" s="30" t="s">
        <v>16</v>
      </c>
      <c r="S30" s="30" t="s">
        <v>472</v>
      </c>
      <c r="T30" s="30" t="s">
        <v>162</v>
      </c>
      <c r="U30" s="30" t="s">
        <v>473</v>
      </c>
      <c r="V30" s="30" t="s">
        <v>164</v>
      </c>
      <c r="W30" s="30" t="s">
        <v>244</v>
      </c>
      <c r="X30" s="30" t="s">
        <v>239</v>
      </c>
      <c r="Y30" s="30" t="s">
        <v>460</v>
      </c>
      <c r="Z30" s="30" t="s">
        <v>461</v>
      </c>
      <c r="AA30" s="30" t="s">
        <v>462</v>
      </c>
      <c r="AB30" s="30" t="s">
        <v>457</v>
      </c>
      <c r="AC30" s="30">
        <v>5737100</v>
      </c>
      <c r="AD30" s="30" t="s">
        <v>16</v>
      </c>
      <c r="AE30" s="30" t="s">
        <v>474</v>
      </c>
      <c r="AF30" s="30" t="s">
        <v>16</v>
      </c>
      <c r="AG30" s="30" t="s">
        <v>475</v>
      </c>
      <c r="AH30" s="33" t="s">
        <v>83</v>
      </c>
      <c r="AI30" s="30" t="s">
        <v>463</v>
      </c>
      <c r="AJ30" s="30" t="s">
        <v>464</v>
      </c>
      <c r="AK30" s="30" t="s">
        <v>171</v>
      </c>
      <c r="AL30" s="30" t="s">
        <v>157</v>
      </c>
      <c r="AM30" s="30">
        <v>7200</v>
      </c>
      <c r="AN30" s="30"/>
      <c r="AO30" s="30" t="s">
        <v>470</v>
      </c>
      <c r="AP30" s="30" t="s">
        <v>173</v>
      </c>
      <c r="AQ30" s="30" t="s">
        <v>225</v>
      </c>
      <c r="AR30" s="30"/>
      <c r="AS30" s="30" t="s">
        <v>465</v>
      </c>
      <c r="AT30" s="30"/>
      <c r="AU30" s="30" t="s">
        <v>476</v>
      </c>
      <c r="AV30" s="30"/>
      <c r="AW30" s="30" t="s">
        <v>477</v>
      </c>
      <c r="AX30" s="30"/>
      <c r="AY30" s="30"/>
      <c r="AZ30" s="30"/>
      <c r="BA30" s="30"/>
      <c r="BB30" s="30">
        <v>51853027</v>
      </c>
      <c r="BC30" s="30" t="s">
        <v>180</v>
      </c>
      <c r="BD30" s="30" t="s">
        <v>255</v>
      </c>
      <c r="BE30" s="30" t="s">
        <v>256</v>
      </c>
      <c r="BF30" s="30" t="s">
        <v>257</v>
      </c>
      <c r="BG30" s="30" t="s">
        <v>230</v>
      </c>
      <c r="BH30" s="30" t="s">
        <v>231</v>
      </c>
      <c r="BI30" s="30" t="s">
        <v>258</v>
      </c>
      <c r="BJ30" s="30" t="s">
        <v>157</v>
      </c>
      <c r="BK30" s="30"/>
      <c r="BL30" s="30"/>
      <c r="BM30" s="30"/>
      <c r="BN30" s="30"/>
      <c r="BO30" s="30" t="s">
        <v>240</v>
      </c>
    </row>
    <row r="31" spans="1:67" s="3" customFormat="1" hidden="1">
      <c r="A31" s="30">
        <v>60</v>
      </c>
      <c r="B31" s="30" t="s">
        <v>152</v>
      </c>
      <c r="C31" s="30" t="s">
        <v>153</v>
      </c>
      <c r="D31" s="30" t="s">
        <v>478</v>
      </c>
      <c r="E31" s="30" t="s">
        <v>479</v>
      </c>
      <c r="F31" s="30" t="s">
        <v>480</v>
      </c>
      <c r="G31" s="30" t="s">
        <v>481</v>
      </c>
      <c r="H31" s="30" t="s">
        <v>482</v>
      </c>
      <c r="I31" s="30" t="s">
        <v>483</v>
      </c>
      <c r="J31" s="30" t="s">
        <v>86</v>
      </c>
      <c r="K31" s="30" t="s">
        <v>484</v>
      </c>
      <c r="L31" s="30" t="s">
        <v>485</v>
      </c>
      <c r="M31" s="30" t="s">
        <v>486</v>
      </c>
      <c r="N31" s="30" t="s">
        <v>157</v>
      </c>
      <c r="O31" s="30" t="s">
        <v>484</v>
      </c>
      <c r="P31" s="30" t="s">
        <v>487</v>
      </c>
      <c r="Q31" s="30" t="s">
        <v>457</v>
      </c>
      <c r="R31" s="30" t="s">
        <v>16</v>
      </c>
      <c r="S31" s="30" t="s">
        <v>488</v>
      </c>
      <c r="T31" s="30" t="s">
        <v>162</v>
      </c>
      <c r="U31" s="30" t="s">
        <v>489</v>
      </c>
      <c r="V31" s="30" t="s">
        <v>164</v>
      </c>
      <c r="W31" s="30" t="s">
        <v>244</v>
      </c>
      <c r="X31" s="30" t="s">
        <v>86</v>
      </c>
      <c r="Y31" s="30" t="s">
        <v>460</v>
      </c>
      <c r="Z31" s="30" t="s">
        <v>461</v>
      </c>
      <c r="AA31" s="30" t="s">
        <v>462</v>
      </c>
      <c r="AB31" s="30" t="s">
        <v>457</v>
      </c>
      <c r="AC31" s="30">
        <v>5576878</v>
      </c>
      <c r="AD31" s="30" t="s">
        <v>16</v>
      </c>
      <c r="AE31" s="30" t="s">
        <v>490</v>
      </c>
      <c r="AF31" s="30" t="s">
        <v>16</v>
      </c>
      <c r="AG31" s="30" t="s">
        <v>491</v>
      </c>
      <c r="AH31" s="33" t="s">
        <v>85</v>
      </c>
      <c r="AI31" s="30" t="s">
        <v>492</v>
      </c>
      <c r="AJ31" s="30" t="s">
        <v>469</v>
      </c>
      <c r="AK31" s="30" t="s">
        <v>171</v>
      </c>
      <c r="AL31" s="30" t="s">
        <v>157</v>
      </c>
      <c r="AM31" s="30">
        <v>5200</v>
      </c>
      <c r="AN31" s="30"/>
      <c r="AO31" s="30" t="s">
        <v>157</v>
      </c>
      <c r="AP31" s="30" t="s">
        <v>173</v>
      </c>
      <c r="AQ31" s="30" t="s">
        <v>225</v>
      </c>
      <c r="AR31" s="30"/>
      <c r="AS31" s="30" t="s">
        <v>465</v>
      </c>
      <c r="AT31" s="30"/>
      <c r="AU31" s="30" t="s">
        <v>493</v>
      </c>
      <c r="AV31" s="30"/>
      <c r="AW31" s="30" t="s">
        <v>494</v>
      </c>
      <c r="AX31" s="30"/>
      <c r="AY31" s="30"/>
      <c r="AZ31" s="30"/>
      <c r="BA31" s="30"/>
      <c r="BB31" s="30">
        <v>51853027</v>
      </c>
      <c r="BC31" s="30" t="s">
        <v>180</v>
      </c>
      <c r="BD31" s="30" t="s">
        <v>255</v>
      </c>
      <c r="BE31" s="30" t="s">
        <v>256</v>
      </c>
      <c r="BF31" s="30" t="s">
        <v>257</v>
      </c>
      <c r="BG31" s="30" t="s">
        <v>230</v>
      </c>
      <c r="BH31" s="30" t="s">
        <v>231</v>
      </c>
      <c r="BI31" s="30" t="s">
        <v>258</v>
      </c>
      <c r="BJ31" s="30" t="s">
        <v>157</v>
      </c>
      <c r="BK31" s="30"/>
      <c r="BL31" s="30"/>
      <c r="BM31" s="30"/>
      <c r="BN31" s="30"/>
      <c r="BO31" s="30"/>
    </row>
    <row r="32" spans="1:67" s="3" customFormat="1" hidden="1">
      <c r="A32" s="30">
        <v>8</v>
      </c>
      <c r="B32" s="30" t="s">
        <v>152</v>
      </c>
      <c r="C32" s="30" t="s">
        <v>153</v>
      </c>
      <c r="D32" s="30" t="s">
        <v>495</v>
      </c>
      <c r="E32" s="30" t="s">
        <v>496</v>
      </c>
      <c r="F32" s="30" t="s">
        <v>497</v>
      </c>
      <c r="G32" s="30" t="s">
        <v>498</v>
      </c>
      <c r="H32" s="30" t="s">
        <v>499</v>
      </c>
      <c r="I32" s="30" t="s">
        <v>500</v>
      </c>
      <c r="J32" s="30"/>
      <c r="K32" s="30" t="s">
        <v>21</v>
      </c>
      <c r="L32" s="30" t="s">
        <v>501</v>
      </c>
      <c r="M32" s="30" t="s">
        <v>502</v>
      </c>
      <c r="N32" s="30" t="s">
        <v>157</v>
      </c>
      <c r="O32" s="30"/>
      <c r="P32" s="30"/>
      <c r="Q32" s="30" t="s">
        <v>503</v>
      </c>
      <c r="R32" s="30" t="s">
        <v>21</v>
      </c>
      <c r="S32" s="30" t="s">
        <v>504</v>
      </c>
      <c r="T32" s="30" t="s">
        <v>217</v>
      </c>
      <c r="U32" s="30" t="s">
        <v>505</v>
      </c>
      <c r="V32" s="30" t="s">
        <v>164</v>
      </c>
      <c r="W32" s="30" t="s">
        <v>244</v>
      </c>
      <c r="X32" s="30" t="s">
        <v>330</v>
      </c>
      <c r="Y32" s="30" t="s">
        <v>506</v>
      </c>
      <c r="Z32" s="30" t="s">
        <v>507</v>
      </c>
      <c r="AA32" s="30" t="s">
        <v>508</v>
      </c>
      <c r="AB32" s="30" t="s">
        <v>503</v>
      </c>
      <c r="AC32" s="30">
        <v>5729816</v>
      </c>
      <c r="AD32" s="30" t="s">
        <v>21</v>
      </c>
      <c r="AE32" s="30" t="s">
        <v>509</v>
      </c>
      <c r="AF32" s="30" t="s">
        <v>21</v>
      </c>
      <c r="AG32" s="30" t="s">
        <v>510</v>
      </c>
      <c r="AH32" s="33" t="s">
        <v>88</v>
      </c>
      <c r="AI32" s="30" t="s">
        <v>511</v>
      </c>
      <c r="AJ32" s="30" t="s">
        <v>512</v>
      </c>
      <c r="AK32" s="30" t="s">
        <v>171</v>
      </c>
      <c r="AL32" s="30" t="s">
        <v>157</v>
      </c>
      <c r="AM32" s="30">
        <v>9450</v>
      </c>
      <c r="AN32" s="30"/>
      <c r="AO32" s="30" t="s">
        <v>157</v>
      </c>
      <c r="AP32" s="30" t="s">
        <v>369</v>
      </c>
      <c r="AQ32" s="30" t="s">
        <v>174</v>
      </c>
      <c r="AR32" s="30"/>
      <c r="AS32" s="30"/>
      <c r="AT32" s="30"/>
      <c r="AU32" s="30" t="s">
        <v>513</v>
      </c>
      <c r="AV32" s="30"/>
      <c r="AW32" s="30" t="s">
        <v>514</v>
      </c>
      <c r="AX32" s="30"/>
      <c r="AY32" s="30" t="s">
        <v>515</v>
      </c>
      <c r="AZ32" s="30" t="s">
        <v>516</v>
      </c>
      <c r="BA32" s="30" t="s">
        <v>397</v>
      </c>
      <c r="BB32" s="30">
        <v>87568856</v>
      </c>
      <c r="BC32" s="30" t="s">
        <v>258</v>
      </c>
      <c r="BD32" s="30" t="s">
        <v>181</v>
      </c>
      <c r="BE32" s="30" t="s">
        <v>256</v>
      </c>
      <c r="BF32" s="30" t="s">
        <v>298</v>
      </c>
      <c r="BG32" s="30" t="s">
        <v>230</v>
      </c>
      <c r="BH32" s="30" t="s">
        <v>231</v>
      </c>
      <c r="BI32" s="30" t="s">
        <v>180</v>
      </c>
      <c r="BJ32" s="30" t="s">
        <v>157</v>
      </c>
      <c r="BK32" s="30"/>
      <c r="BL32" s="30"/>
      <c r="BM32" s="30">
        <v>111185342</v>
      </c>
      <c r="BN32" s="30" t="s">
        <v>517</v>
      </c>
      <c r="BO32" s="30" t="s">
        <v>518</v>
      </c>
    </row>
    <row r="33" spans="1:67" s="3" customFormat="1" hidden="1">
      <c r="A33" s="30">
        <v>127</v>
      </c>
      <c r="B33" s="30" t="s">
        <v>152</v>
      </c>
      <c r="C33" s="30" t="s">
        <v>153</v>
      </c>
      <c r="D33" s="30" t="s">
        <v>519</v>
      </c>
      <c r="E33" s="30" t="s">
        <v>520</v>
      </c>
      <c r="F33" s="30" t="s">
        <v>521</v>
      </c>
      <c r="G33" s="30" t="s">
        <v>522</v>
      </c>
      <c r="H33" s="30" t="s">
        <v>523</v>
      </c>
      <c r="I33" s="30" t="s">
        <v>524</v>
      </c>
      <c r="J33" s="30"/>
      <c r="K33" s="30" t="s">
        <v>16</v>
      </c>
      <c r="L33" s="30" t="s">
        <v>525</v>
      </c>
      <c r="M33" s="30" t="s">
        <v>526</v>
      </c>
      <c r="N33" s="30" t="s">
        <v>157</v>
      </c>
      <c r="O33" s="30"/>
      <c r="P33" s="30"/>
      <c r="Q33" s="30" t="s">
        <v>527</v>
      </c>
      <c r="R33" s="30" t="s">
        <v>16</v>
      </c>
      <c r="S33" s="30" t="s">
        <v>528</v>
      </c>
      <c r="T33" s="30" t="s">
        <v>217</v>
      </c>
      <c r="U33" s="30" t="s">
        <v>529</v>
      </c>
      <c r="V33" s="30" t="s">
        <v>164</v>
      </c>
      <c r="W33" s="30" t="s">
        <v>267</v>
      </c>
      <c r="X33" s="30" t="s">
        <v>86</v>
      </c>
      <c r="Y33" s="30" t="s">
        <v>530</v>
      </c>
      <c r="Z33" s="30" t="s">
        <v>531</v>
      </c>
      <c r="AA33" s="30" t="s">
        <v>532</v>
      </c>
      <c r="AB33" s="30" t="s">
        <v>527</v>
      </c>
      <c r="AC33" s="30">
        <v>5690879</v>
      </c>
      <c r="AD33" s="30" t="s">
        <v>16</v>
      </c>
      <c r="AE33" s="30" t="s">
        <v>533</v>
      </c>
      <c r="AF33" s="30" t="s">
        <v>16</v>
      </c>
      <c r="AG33" s="30" t="s">
        <v>534</v>
      </c>
      <c r="AH33" s="33" t="s">
        <v>83</v>
      </c>
      <c r="AI33" s="30" t="s">
        <v>535</v>
      </c>
      <c r="AJ33" s="30" t="s">
        <v>536</v>
      </c>
      <c r="AK33" s="30" t="s">
        <v>171</v>
      </c>
      <c r="AL33" s="30" t="s">
        <v>157</v>
      </c>
      <c r="AM33" s="30">
        <v>28800</v>
      </c>
      <c r="AN33" s="30"/>
      <c r="AO33" s="30" t="s">
        <v>157</v>
      </c>
      <c r="AP33" s="30" t="s">
        <v>369</v>
      </c>
      <c r="AQ33" s="30" t="s">
        <v>225</v>
      </c>
      <c r="AR33" s="30"/>
      <c r="AS33" s="30" t="s">
        <v>537</v>
      </c>
      <c r="AT33" s="30"/>
      <c r="AU33" s="30" t="s">
        <v>295</v>
      </c>
      <c r="AV33" s="30"/>
      <c r="AW33" s="30" t="s">
        <v>538</v>
      </c>
      <c r="AX33" s="30"/>
      <c r="AY33" s="30"/>
      <c r="AZ33" s="30"/>
      <c r="BA33" s="30"/>
      <c r="BB33" s="30">
        <v>86931058</v>
      </c>
      <c r="BC33" s="30" t="s">
        <v>180</v>
      </c>
      <c r="BD33" s="30" t="s">
        <v>181</v>
      </c>
      <c r="BE33" s="30" t="s">
        <v>278</v>
      </c>
      <c r="BF33" s="30" t="s">
        <v>279</v>
      </c>
      <c r="BG33" s="30" t="s">
        <v>230</v>
      </c>
      <c r="BH33" s="30" t="s">
        <v>539</v>
      </c>
      <c r="BI33" s="30" t="s">
        <v>258</v>
      </c>
      <c r="BJ33" s="30" t="s">
        <v>157</v>
      </c>
      <c r="BK33" s="30"/>
      <c r="BL33" s="30"/>
      <c r="BM33" s="30"/>
      <c r="BN33" s="30"/>
      <c r="BO33" s="30" t="s">
        <v>540</v>
      </c>
    </row>
    <row r="34" spans="1:67" s="3" customFormat="1" hidden="1">
      <c r="A34" s="30">
        <v>128</v>
      </c>
      <c r="B34" s="30" t="s">
        <v>152</v>
      </c>
      <c r="C34" s="30" t="s">
        <v>153</v>
      </c>
      <c r="D34" s="30" t="s">
        <v>519</v>
      </c>
      <c r="E34" s="30" t="s">
        <v>520</v>
      </c>
      <c r="F34" s="30" t="s">
        <v>521</v>
      </c>
      <c r="G34" s="30" t="s">
        <v>522</v>
      </c>
      <c r="H34" s="30" t="s">
        <v>523</v>
      </c>
      <c r="I34" s="30" t="s">
        <v>524</v>
      </c>
      <c r="J34" s="30"/>
      <c r="K34" s="30" t="s">
        <v>16</v>
      </c>
      <c r="L34" s="30" t="s">
        <v>525</v>
      </c>
      <c r="M34" s="30" t="s">
        <v>526</v>
      </c>
      <c r="N34" s="30" t="s">
        <v>157</v>
      </c>
      <c r="O34" s="30"/>
      <c r="P34" s="30"/>
      <c r="Q34" s="30" t="s">
        <v>527</v>
      </c>
      <c r="R34" s="30" t="s">
        <v>16</v>
      </c>
      <c r="S34" s="30" t="s">
        <v>528</v>
      </c>
      <c r="T34" s="30" t="s">
        <v>217</v>
      </c>
      <c r="U34" s="30" t="s">
        <v>529</v>
      </c>
      <c r="V34" s="30" t="s">
        <v>164</v>
      </c>
      <c r="W34" s="30" t="s">
        <v>267</v>
      </c>
      <c r="X34" s="30" t="s">
        <v>86</v>
      </c>
      <c r="Y34" s="30" t="s">
        <v>530</v>
      </c>
      <c r="Z34" s="30" t="s">
        <v>531</v>
      </c>
      <c r="AA34" s="30" t="s">
        <v>532</v>
      </c>
      <c r="AB34" s="30" t="s">
        <v>527</v>
      </c>
      <c r="AC34" s="30">
        <v>5690879</v>
      </c>
      <c r="AD34" s="30" t="s">
        <v>16</v>
      </c>
      <c r="AE34" s="30" t="s">
        <v>533</v>
      </c>
      <c r="AF34" s="30" t="s">
        <v>16</v>
      </c>
      <c r="AG34" s="30" t="s">
        <v>534</v>
      </c>
      <c r="AH34" s="33" t="s">
        <v>83</v>
      </c>
      <c r="AI34" s="30" t="s">
        <v>541</v>
      </c>
      <c r="AJ34" s="30" t="s">
        <v>542</v>
      </c>
      <c r="AK34" s="30" t="s">
        <v>171</v>
      </c>
      <c r="AL34" s="30" t="s">
        <v>157</v>
      </c>
      <c r="AM34" s="30">
        <v>5000</v>
      </c>
      <c r="AN34" s="30"/>
      <c r="AO34" s="30" t="s">
        <v>157</v>
      </c>
      <c r="AP34" s="30" t="s">
        <v>369</v>
      </c>
      <c r="AQ34" s="30" t="s">
        <v>225</v>
      </c>
      <c r="AR34" s="30"/>
      <c r="AS34" s="30" t="s">
        <v>537</v>
      </c>
      <c r="AT34" s="30"/>
      <c r="AU34" s="30" t="s">
        <v>295</v>
      </c>
      <c r="AV34" s="30"/>
      <c r="AW34" s="30" t="s">
        <v>538</v>
      </c>
      <c r="AX34" s="30"/>
      <c r="AY34" s="30"/>
      <c r="AZ34" s="30"/>
      <c r="BA34" s="30"/>
      <c r="BB34" s="30">
        <v>86931058</v>
      </c>
      <c r="BC34" s="30" t="s">
        <v>180</v>
      </c>
      <c r="BD34" s="30" t="s">
        <v>181</v>
      </c>
      <c r="BE34" s="30" t="s">
        <v>278</v>
      </c>
      <c r="BF34" s="30" t="s">
        <v>279</v>
      </c>
      <c r="BG34" s="30" t="s">
        <v>230</v>
      </c>
      <c r="BH34" s="30" t="s">
        <v>539</v>
      </c>
      <c r="BI34" s="30" t="s">
        <v>258</v>
      </c>
      <c r="BJ34" s="30" t="s">
        <v>157</v>
      </c>
      <c r="BK34" s="30"/>
      <c r="BL34" s="30"/>
      <c r="BM34" s="30"/>
      <c r="BN34" s="30"/>
      <c r="BO34" s="30" t="s">
        <v>540</v>
      </c>
    </row>
    <row r="35" spans="1:67" s="3" customFormat="1" hidden="1">
      <c r="A35" s="30">
        <v>84</v>
      </c>
      <c r="B35" s="30" t="s">
        <v>152</v>
      </c>
      <c r="C35" s="30" t="s">
        <v>153</v>
      </c>
      <c r="D35" s="30" t="s">
        <v>543</v>
      </c>
      <c r="E35" s="30" t="s">
        <v>544</v>
      </c>
      <c r="F35" s="30" t="s">
        <v>545</v>
      </c>
      <c r="G35" s="30" t="s">
        <v>546</v>
      </c>
      <c r="H35" s="30" t="s">
        <v>547</v>
      </c>
      <c r="I35" s="30"/>
      <c r="J35" s="30" t="s">
        <v>548</v>
      </c>
      <c r="K35" s="30" t="s">
        <v>16</v>
      </c>
      <c r="L35" s="30" t="s">
        <v>212</v>
      </c>
      <c r="M35" s="30" t="s">
        <v>240</v>
      </c>
      <c r="N35" s="30" t="s">
        <v>549</v>
      </c>
      <c r="O35" s="30"/>
      <c r="P35" s="30"/>
      <c r="Q35" s="30" t="s">
        <v>543</v>
      </c>
      <c r="R35" s="30" t="s">
        <v>16</v>
      </c>
      <c r="S35" s="30" t="s">
        <v>550</v>
      </c>
      <c r="T35" s="30" t="s">
        <v>162</v>
      </c>
      <c r="U35" s="30" t="s">
        <v>551</v>
      </c>
      <c r="V35" s="30" t="s">
        <v>164</v>
      </c>
      <c r="W35" s="30" t="s">
        <v>552</v>
      </c>
      <c r="X35" s="30" t="s">
        <v>548</v>
      </c>
      <c r="Y35" s="30" t="s">
        <v>553</v>
      </c>
      <c r="Z35" s="30" t="s">
        <v>554</v>
      </c>
      <c r="AA35" s="30" t="s">
        <v>555</v>
      </c>
      <c r="AB35" s="30" t="s">
        <v>543</v>
      </c>
      <c r="AC35" s="30">
        <v>5574845</v>
      </c>
      <c r="AD35" s="30" t="s">
        <v>16</v>
      </c>
      <c r="AE35" s="30" t="s">
        <v>556</v>
      </c>
      <c r="AF35" s="30" t="s">
        <v>16</v>
      </c>
      <c r="AG35" s="30" t="s">
        <v>557</v>
      </c>
      <c r="AH35" s="33" t="s">
        <v>87</v>
      </c>
      <c r="AI35" s="30" t="s">
        <v>558</v>
      </c>
      <c r="AJ35" s="30" t="s">
        <v>559</v>
      </c>
      <c r="AK35" s="30" t="s">
        <v>171</v>
      </c>
      <c r="AL35" s="30" t="s">
        <v>157</v>
      </c>
      <c r="AM35" s="30">
        <v>12000</v>
      </c>
      <c r="AN35" s="30"/>
      <c r="AO35" s="30" t="s">
        <v>545</v>
      </c>
      <c r="AP35" s="30" t="s">
        <v>173</v>
      </c>
      <c r="AQ35" s="30" t="s">
        <v>225</v>
      </c>
      <c r="AR35" s="30"/>
      <c r="AS35" s="30" t="s">
        <v>560</v>
      </c>
      <c r="AT35" s="30"/>
      <c r="AU35" s="30" t="s">
        <v>561</v>
      </c>
      <c r="AV35" s="30"/>
      <c r="AW35" s="30" t="s">
        <v>562</v>
      </c>
      <c r="AX35" s="30"/>
      <c r="AY35" s="30"/>
      <c r="AZ35" s="30"/>
      <c r="BA35" s="30"/>
      <c r="BB35" s="30">
        <v>59798822</v>
      </c>
      <c r="BC35" s="30" t="s">
        <v>180</v>
      </c>
      <c r="BD35" s="30" t="s">
        <v>563</v>
      </c>
      <c r="BE35" s="30" t="s">
        <v>564</v>
      </c>
      <c r="BF35" s="30" t="s">
        <v>157</v>
      </c>
      <c r="BG35" s="30"/>
      <c r="BH35" s="30" t="s">
        <v>184</v>
      </c>
      <c r="BI35" s="30" t="s">
        <v>258</v>
      </c>
      <c r="BJ35" s="30" t="s">
        <v>157</v>
      </c>
      <c r="BK35" s="30"/>
      <c r="BL35" s="30"/>
      <c r="BM35" s="30"/>
      <c r="BN35" s="30" t="s">
        <v>186</v>
      </c>
      <c r="BO35" s="30" t="s">
        <v>240</v>
      </c>
    </row>
    <row r="36" spans="1:67" s="3" customFormat="1" hidden="1">
      <c r="A36" s="30">
        <v>11</v>
      </c>
      <c r="B36" s="30" t="s">
        <v>152</v>
      </c>
      <c r="C36" s="30" t="s">
        <v>153</v>
      </c>
      <c r="D36" s="30" t="s">
        <v>565</v>
      </c>
      <c r="E36" s="30" t="s">
        <v>566</v>
      </c>
      <c r="F36" s="30" t="s">
        <v>521</v>
      </c>
      <c r="G36" s="30" t="s">
        <v>567</v>
      </c>
      <c r="H36" s="30" t="s">
        <v>568</v>
      </c>
      <c r="I36" s="30" t="s">
        <v>569</v>
      </c>
      <c r="J36" s="30"/>
      <c r="K36" s="30" t="s">
        <v>570</v>
      </c>
      <c r="L36" s="30" t="s">
        <v>571</v>
      </c>
      <c r="M36" s="30" t="s">
        <v>572</v>
      </c>
      <c r="N36" s="30" t="s">
        <v>157</v>
      </c>
      <c r="O36" s="30" t="s">
        <v>570</v>
      </c>
      <c r="P36" s="30" t="s">
        <v>573</v>
      </c>
      <c r="Q36" s="30" t="s">
        <v>574</v>
      </c>
      <c r="R36" s="30" t="s">
        <v>16</v>
      </c>
      <c r="S36" s="30" t="s">
        <v>575</v>
      </c>
      <c r="T36" s="30" t="s">
        <v>217</v>
      </c>
      <c r="U36" s="30" t="s">
        <v>576</v>
      </c>
      <c r="V36" s="30" t="s">
        <v>164</v>
      </c>
      <c r="W36" s="30" t="s">
        <v>388</v>
      </c>
      <c r="X36" s="30" t="s">
        <v>158</v>
      </c>
      <c r="Y36" s="30" t="s">
        <v>577</v>
      </c>
      <c r="Z36" s="30" t="s">
        <v>578</v>
      </c>
      <c r="AA36" s="30" t="s">
        <v>579</v>
      </c>
      <c r="AB36" s="30" t="s">
        <v>574</v>
      </c>
      <c r="AC36" s="30">
        <v>5695630</v>
      </c>
      <c r="AD36" s="30" t="s">
        <v>16</v>
      </c>
      <c r="AE36" s="30" t="s">
        <v>580</v>
      </c>
      <c r="AF36" s="30" t="s">
        <v>16</v>
      </c>
      <c r="AG36" s="30" t="s">
        <v>581</v>
      </c>
      <c r="AH36" s="33" t="s">
        <v>88</v>
      </c>
      <c r="AI36" s="30" t="s">
        <v>582</v>
      </c>
      <c r="AJ36" s="30" t="s">
        <v>583</v>
      </c>
      <c r="AK36" s="30" t="s">
        <v>171</v>
      </c>
      <c r="AL36" s="30" t="s">
        <v>157</v>
      </c>
      <c r="AM36" s="30">
        <v>19685.599999999999</v>
      </c>
      <c r="AN36" s="30"/>
      <c r="AO36" s="30" t="s">
        <v>157</v>
      </c>
      <c r="AP36" s="30" t="s">
        <v>369</v>
      </c>
      <c r="AQ36" s="30" t="s">
        <v>174</v>
      </c>
      <c r="AR36" s="30"/>
      <c r="AS36" s="30"/>
      <c r="AT36" s="30"/>
      <c r="AU36" s="30" t="s">
        <v>417</v>
      </c>
      <c r="AV36" s="30"/>
      <c r="AW36" s="30" t="s">
        <v>584</v>
      </c>
      <c r="AX36" s="30"/>
      <c r="AY36" s="30"/>
      <c r="AZ36" s="30"/>
      <c r="BA36" s="30" t="s">
        <v>585</v>
      </c>
      <c r="BB36" s="30">
        <v>87225932</v>
      </c>
      <c r="BC36" s="30" t="s">
        <v>258</v>
      </c>
      <c r="BD36" s="30" t="s">
        <v>181</v>
      </c>
      <c r="BE36" s="30" t="s">
        <v>398</v>
      </c>
      <c r="BF36" s="30" t="s">
        <v>586</v>
      </c>
      <c r="BG36" s="30" t="s">
        <v>230</v>
      </c>
      <c r="BH36" s="30" t="s">
        <v>184</v>
      </c>
      <c r="BI36" s="30" t="s">
        <v>180</v>
      </c>
      <c r="BJ36" s="30" t="s">
        <v>157</v>
      </c>
      <c r="BK36" s="30"/>
      <c r="BL36" s="30"/>
      <c r="BM36" s="30">
        <v>107044026</v>
      </c>
      <c r="BN36" s="30" t="s">
        <v>517</v>
      </c>
      <c r="BO36" s="30" t="s">
        <v>572</v>
      </c>
    </row>
    <row r="37" spans="1:67" s="3" customFormat="1" hidden="1">
      <c r="A37" s="30">
        <v>82</v>
      </c>
      <c r="B37" s="30" t="s">
        <v>152</v>
      </c>
      <c r="C37" s="30" t="s">
        <v>153</v>
      </c>
      <c r="D37" s="30"/>
      <c r="E37" s="30" t="s">
        <v>587</v>
      </c>
      <c r="F37" s="30"/>
      <c r="G37" s="30" t="s">
        <v>588</v>
      </c>
      <c r="H37" s="30" t="s">
        <v>589</v>
      </c>
      <c r="I37" s="30" t="s">
        <v>157</v>
      </c>
      <c r="J37" s="30" t="s">
        <v>590</v>
      </c>
      <c r="K37" s="30" t="s">
        <v>9</v>
      </c>
      <c r="L37" s="30" t="s">
        <v>591</v>
      </c>
      <c r="M37" s="30" t="s">
        <v>592</v>
      </c>
      <c r="N37" s="30"/>
      <c r="O37" s="30"/>
      <c r="P37" s="30"/>
      <c r="Q37" s="30" t="s">
        <v>593</v>
      </c>
      <c r="R37" s="30" t="s">
        <v>9</v>
      </c>
      <c r="S37" s="30" t="s">
        <v>594</v>
      </c>
      <c r="T37" s="30" t="s">
        <v>162</v>
      </c>
      <c r="U37" s="30" t="s">
        <v>595</v>
      </c>
      <c r="V37" s="30" t="s">
        <v>164</v>
      </c>
      <c r="W37" s="30" t="s">
        <v>596</v>
      </c>
      <c r="X37" s="30" t="s">
        <v>590</v>
      </c>
      <c r="Y37" s="30" t="s">
        <v>597</v>
      </c>
      <c r="Z37" s="30" t="s">
        <v>335</v>
      </c>
      <c r="AA37" s="30" t="s">
        <v>168</v>
      </c>
      <c r="AB37" s="30" t="s">
        <v>593</v>
      </c>
      <c r="AC37" s="30">
        <v>5703459</v>
      </c>
      <c r="AD37" s="30" t="s">
        <v>9</v>
      </c>
      <c r="AE37" s="30" t="s">
        <v>598</v>
      </c>
      <c r="AF37" s="30" t="s">
        <v>9</v>
      </c>
      <c r="AG37" s="30" t="s">
        <v>599</v>
      </c>
      <c r="AH37" s="33" t="s">
        <v>83</v>
      </c>
      <c r="AI37" s="30" t="s">
        <v>600</v>
      </c>
      <c r="AJ37" s="30" t="s">
        <v>601</v>
      </c>
      <c r="AK37" s="30" t="s">
        <v>171</v>
      </c>
      <c r="AL37" s="30" t="s">
        <v>157</v>
      </c>
      <c r="AM37" s="30">
        <v>18000</v>
      </c>
      <c r="AN37" s="30"/>
      <c r="AO37" s="30" t="s">
        <v>157</v>
      </c>
      <c r="AP37" s="30" t="s">
        <v>173</v>
      </c>
      <c r="AQ37" s="30" t="s">
        <v>225</v>
      </c>
      <c r="AR37" s="30"/>
      <c r="AS37" s="30" t="s">
        <v>602</v>
      </c>
      <c r="AT37" s="30"/>
      <c r="AU37" s="30" t="s">
        <v>513</v>
      </c>
      <c r="AV37" s="30"/>
      <c r="AW37" s="30" t="s">
        <v>603</v>
      </c>
      <c r="AX37" s="30"/>
      <c r="AY37" s="30"/>
      <c r="AZ37" s="30"/>
      <c r="BA37" s="30"/>
      <c r="BB37" s="30">
        <v>87403705</v>
      </c>
      <c r="BC37" s="30" t="s">
        <v>180</v>
      </c>
      <c r="BD37" s="30"/>
      <c r="BE37" s="30" t="s">
        <v>157</v>
      </c>
      <c r="BF37" s="30" t="s">
        <v>157</v>
      </c>
      <c r="BG37" s="30"/>
      <c r="BH37" s="30" t="s">
        <v>280</v>
      </c>
      <c r="BI37" s="30" t="s">
        <v>258</v>
      </c>
      <c r="BJ37" s="30" t="s">
        <v>157</v>
      </c>
      <c r="BK37" s="30"/>
      <c r="BL37" s="30"/>
      <c r="BM37" s="30"/>
      <c r="BN37" s="30"/>
      <c r="BO37" s="30"/>
    </row>
    <row r="38" spans="1:67" s="3" customFormat="1" hidden="1">
      <c r="A38" s="30">
        <v>86</v>
      </c>
      <c r="B38" s="30" t="s">
        <v>152</v>
      </c>
      <c r="C38" s="30" t="s">
        <v>153</v>
      </c>
      <c r="D38" s="30" t="s">
        <v>596</v>
      </c>
      <c r="E38" s="30" t="s">
        <v>604</v>
      </c>
      <c r="F38" s="30" t="s">
        <v>605</v>
      </c>
      <c r="G38" s="30" t="s">
        <v>606</v>
      </c>
      <c r="H38" s="30" t="s">
        <v>157</v>
      </c>
      <c r="I38" s="30" t="s">
        <v>157</v>
      </c>
      <c r="J38" s="30" t="s">
        <v>590</v>
      </c>
      <c r="K38" s="30" t="s">
        <v>605</v>
      </c>
      <c r="L38" s="30" t="s">
        <v>591</v>
      </c>
      <c r="M38" s="30" t="s">
        <v>592</v>
      </c>
      <c r="N38" s="30" t="s">
        <v>157</v>
      </c>
      <c r="O38" s="30" t="s">
        <v>605</v>
      </c>
      <c r="P38" s="30" t="s">
        <v>588</v>
      </c>
      <c r="Q38" s="30" t="s">
        <v>593</v>
      </c>
      <c r="R38" s="30" t="s">
        <v>9</v>
      </c>
      <c r="S38" s="30" t="s">
        <v>607</v>
      </c>
      <c r="T38" s="30" t="s">
        <v>217</v>
      </c>
      <c r="U38" s="30" t="s">
        <v>608</v>
      </c>
      <c r="V38" s="30" t="s">
        <v>164</v>
      </c>
      <c r="W38" s="30" t="s">
        <v>596</v>
      </c>
      <c r="X38" s="30" t="s">
        <v>590</v>
      </c>
      <c r="Y38" s="30" t="s">
        <v>597</v>
      </c>
      <c r="Z38" s="30" t="s">
        <v>335</v>
      </c>
      <c r="AA38" s="30" t="s">
        <v>168</v>
      </c>
      <c r="AB38" s="30" t="s">
        <v>593</v>
      </c>
      <c r="AC38" s="30">
        <v>5727982</v>
      </c>
      <c r="AD38" s="30" t="s">
        <v>9</v>
      </c>
      <c r="AE38" s="30" t="s">
        <v>609</v>
      </c>
      <c r="AF38" s="30" t="s">
        <v>9</v>
      </c>
      <c r="AG38" s="30" t="s">
        <v>610</v>
      </c>
      <c r="AH38" s="33" t="s">
        <v>83</v>
      </c>
      <c r="AI38" s="30" t="s">
        <v>611</v>
      </c>
      <c r="AJ38" s="30" t="s">
        <v>601</v>
      </c>
      <c r="AK38" s="30" t="s">
        <v>171</v>
      </c>
      <c r="AL38" s="30" t="s">
        <v>157</v>
      </c>
      <c r="AM38" s="30">
        <v>1800</v>
      </c>
      <c r="AN38" s="30"/>
      <c r="AO38" s="30" t="s">
        <v>157</v>
      </c>
      <c r="AP38" s="30" t="s">
        <v>369</v>
      </c>
      <c r="AQ38" s="30" t="s">
        <v>225</v>
      </c>
      <c r="AR38" s="30"/>
      <c r="AS38" s="30" t="s">
        <v>602</v>
      </c>
      <c r="AT38" s="30"/>
      <c r="AU38" s="30" t="s">
        <v>612</v>
      </c>
      <c r="AV38" s="30"/>
      <c r="AW38" s="30" t="s">
        <v>613</v>
      </c>
      <c r="AX38" s="30"/>
      <c r="AY38" s="30"/>
      <c r="AZ38" s="30"/>
      <c r="BA38" s="30"/>
      <c r="BB38" s="30">
        <v>87403705</v>
      </c>
      <c r="BC38" s="30" t="s">
        <v>180</v>
      </c>
      <c r="BD38" s="30"/>
      <c r="BE38" s="30" t="s">
        <v>157</v>
      </c>
      <c r="BF38" s="30" t="s">
        <v>157</v>
      </c>
      <c r="BG38" s="30"/>
      <c r="BH38" s="30" t="s">
        <v>280</v>
      </c>
      <c r="BI38" s="30" t="s">
        <v>258</v>
      </c>
      <c r="BJ38" s="30" t="s">
        <v>157</v>
      </c>
      <c r="BK38" s="30"/>
      <c r="BL38" s="30"/>
      <c r="BM38" s="30"/>
      <c r="BN38" s="30"/>
      <c r="BO38" s="30" t="s">
        <v>233</v>
      </c>
    </row>
    <row r="39" spans="1:67" s="3" customFormat="1" hidden="1">
      <c r="A39" s="30">
        <v>125</v>
      </c>
      <c r="B39" s="30" t="s">
        <v>152</v>
      </c>
      <c r="C39" s="30" t="s">
        <v>153</v>
      </c>
      <c r="D39" s="30" t="s">
        <v>614</v>
      </c>
      <c r="E39" s="30" t="s">
        <v>615</v>
      </c>
      <c r="F39" s="30" t="s">
        <v>616</v>
      </c>
      <c r="G39" s="30" t="s">
        <v>617</v>
      </c>
      <c r="H39" s="30" t="s">
        <v>618</v>
      </c>
      <c r="I39" s="30"/>
      <c r="J39" s="30" t="s">
        <v>158</v>
      </c>
      <c r="K39" s="30" t="s">
        <v>16</v>
      </c>
      <c r="L39" s="30" t="s">
        <v>212</v>
      </c>
      <c r="M39" s="30" t="s">
        <v>240</v>
      </c>
      <c r="N39" s="30" t="s">
        <v>619</v>
      </c>
      <c r="O39" s="30"/>
      <c r="P39" s="30"/>
      <c r="Q39" s="30" t="s">
        <v>614</v>
      </c>
      <c r="R39" s="30" t="s">
        <v>16</v>
      </c>
      <c r="S39" s="30" t="s">
        <v>620</v>
      </c>
      <c r="T39" s="30" t="s">
        <v>162</v>
      </c>
      <c r="U39" s="30" t="s">
        <v>621</v>
      </c>
      <c r="V39" s="30" t="s">
        <v>164</v>
      </c>
      <c r="W39" s="30" t="s">
        <v>552</v>
      </c>
      <c r="X39" s="30" t="s">
        <v>158</v>
      </c>
      <c r="Y39" s="30" t="s">
        <v>622</v>
      </c>
      <c r="Z39" s="30" t="s">
        <v>623</v>
      </c>
      <c r="AA39" s="30" t="s">
        <v>222</v>
      </c>
      <c r="AB39" s="30" t="s">
        <v>614</v>
      </c>
      <c r="AC39" s="30">
        <v>5571639</v>
      </c>
      <c r="AD39" s="30" t="s">
        <v>16</v>
      </c>
      <c r="AE39" s="30" t="s">
        <v>624</v>
      </c>
      <c r="AF39" s="30" t="s">
        <v>16</v>
      </c>
      <c r="AG39" s="30" t="s">
        <v>625</v>
      </c>
      <c r="AH39" s="33" t="s">
        <v>87</v>
      </c>
      <c r="AI39" s="30" t="s">
        <v>626</v>
      </c>
      <c r="AJ39" s="30" t="s">
        <v>627</v>
      </c>
      <c r="AK39" s="30" t="s">
        <v>171</v>
      </c>
      <c r="AL39" s="30" t="s">
        <v>157</v>
      </c>
      <c r="AM39" s="30">
        <v>9800</v>
      </c>
      <c r="AN39" s="30"/>
      <c r="AO39" s="30" t="s">
        <v>616</v>
      </c>
      <c r="AP39" s="30" t="s">
        <v>173</v>
      </c>
      <c r="AQ39" s="30" t="s">
        <v>225</v>
      </c>
      <c r="AR39" s="30"/>
      <c r="AS39" s="30" t="s">
        <v>628</v>
      </c>
      <c r="AT39" s="30"/>
      <c r="AU39" s="30" t="s">
        <v>325</v>
      </c>
      <c r="AV39" s="30"/>
      <c r="AW39" s="30" t="s">
        <v>629</v>
      </c>
      <c r="AX39" s="30"/>
      <c r="AY39" s="30"/>
      <c r="AZ39" s="30"/>
      <c r="BA39" s="30"/>
      <c r="BB39" s="30">
        <v>53001132</v>
      </c>
      <c r="BC39" s="30" t="s">
        <v>180</v>
      </c>
      <c r="BD39" s="30" t="s">
        <v>563</v>
      </c>
      <c r="BE39" s="30" t="s">
        <v>564</v>
      </c>
      <c r="BF39" s="30" t="s">
        <v>157</v>
      </c>
      <c r="BG39" s="30"/>
      <c r="BH39" s="30" t="s">
        <v>630</v>
      </c>
      <c r="BI39" s="30" t="s">
        <v>258</v>
      </c>
      <c r="BJ39" s="30" t="s">
        <v>157</v>
      </c>
      <c r="BK39" s="30"/>
      <c r="BL39" s="30"/>
      <c r="BM39" s="30"/>
      <c r="BN39" s="30" t="s">
        <v>186</v>
      </c>
      <c r="BO39" s="30" t="s">
        <v>240</v>
      </c>
    </row>
    <row r="40" spans="1:67" s="3" customFormat="1" hidden="1">
      <c r="A40" s="30">
        <v>2</v>
      </c>
      <c r="B40" s="30" t="s">
        <v>152</v>
      </c>
      <c r="C40" s="30" t="s">
        <v>153</v>
      </c>
      <c r="D40" s="30" t="s">
        <v>631</v>
      </c>
      <c r="E40" s="30" t="s">
        <v>632</v>
      </c>
      <c r="F40" s="30" t="s">
        <v>633</v>
      </c>
      <c r="G40" s="30" t="s">
        <v>634</v>
      </c>
      <c r="H40" s="30" t="s">
        <v>635</v>
      </c>
      <c r="I40" s="30"/>
      <c r="J40" s="30" t="s">
        <v>330</v>
      </c>
      <c r="K40" s="30" t="s">
        <v>16</v>
      </c>
      <c r="L40" s="30" t="s">
        <v>212</v>
      </c>
      <c r="M40" s="30" t="s">
        <v>240</v>
      </c>
      <c r="N40" s="30" t="s">
        <v>636</v>
      </c>
      <c r="O40" s="30"/>
      <c r="P40" s="30"/>
      <c r="Q40" s="30" t="s">
        <v>631</v>
      </c>
      <c r="R40" s="30" t="s">
        <v>16</v>
      </c>
      <c r="S40" s="30" t="s">
        <v>637</v>
      </c>
      <c r="T40" s="30" t="s">
        <v>162</v>
      </c>
      <c r="U40" s="30" t="s">
        <v>638</v>
      </c>
      <c r="V40" s="30" t="s">
        <v>164</v>
      </c>
      <c r="W40" s="30" t="s">
        <v>267</v>
      </c>
      <c r="X40" s="30" t="s">
        <v>330</v>
      </c>
      <c r="Y40" s="30" t="s">
        <v>389</v>
      </c>
      <c r="Z40" s="30" t="s">
        <v>639</v>
      </c>
      <c r="AA40" s="30" t="s">
        <v>640</v>
      </c>
      <c r="AB40" s="30" t="s">
        <v>631</v>
      </c>
      <c r="AC40" s="30">
        <v>5713857</v>
      </c>
      <c r="AD40" s="30" t="s">
        <v>16</v>
      </c>
      <c r="AE40" s="30" t="s">
        <v>641</v>
      </c>
      <c r="AF40" s="30" t="s">
        <v>16</v>
      </c>
      <c r="AG40" s="30" t="s">
        <v>642</v>
      </c>
      <c r="AH40" s="33" t="s">
        <v>85</v>
      </c>
      <c r="AI40" s="30" t="s">
        <v>643</v>
      </c>
      <c r="AJ40" s="30" t="s">
        <v>644</v>
      </c>
      <c r="AK40" s="30" t="s">
        <v>171</v>
      </c>
      <c r="AL40" s="30" t="s">
        <v>157</v>
      </c>
      <c r="AM40" s="30">
        <v>2800</v>
      </c>
      <c r="AN40" s="30"/>
      <c r="AO40" s="30" t="s">
        <v>633</v>
      </c>
      <c r="AP40" s="30" t="s">
        <v>173</v>
      </c>
      <c r="AQ40" s="30" t="s">
        <v>225</v>
      </c>
      <c r="AR40" s="30"/>
      <c r="AS40" s="30" t="s">
        <v>645</v>
      </c>
      <c r="AT40" s="30"/>
      <c r="AU40" s="30" t="s">
        <v>646</v>
      </c>
      <c r="AV40" s="30"/>
      <c r="AW40" s="30" t="s">
        <v>647</v>
      </c>
      <c r="AX40" s="30"/>
      <c r="AY40" s="30"/>
      <c r="AZ40" s="30"/>
      <c r="BA40" s="30"/>
      <c r="BB40" s="30">
        <v>66477823</v>
      </c>
      <c r="BC40" s="30" t="s">
        <v>180</v>
      </c>
      <c r="BD40" s="30" t="s">
        <v>255</v>
      </c>
      <c r="BE40" s="30" t="s">
        <v>297</v>
      </c>
      <c r="BF40" s="30" t="s">
        <v>298</v>
      </c>
      <c r="BG40" s="30" t="s">
        <v>230</v>
      </c>
      <c r="BH40" s="30" t="s">
        <v>231</v>
      </c>
      <c r="BI40" s="30" t="s">
        <v>258</v>
      </c>
      <c r="BJ40" s="30" t="s">
        <v>157</v>
      </c>
      <c r="BK40" s="30"/>
      <c r="BL40" s="30"/>
      <c r="BM40" s="30"/>
      <c r="BN40" s="30" t="s">
        <v>186</v>
      </c>
      <c r="BO40" s="30" t="s">
        <v>240</v>
      </c>
    </row>
    <row r="41" spans="1:67" s="3" customFormat="1" hidden="1">
      <c r="A41" s="30">
        <v>27</v>
      </c>
      <c r="B41" s="30" t="s">
        <v>152</v>
      </c>
      <c r="C41" s="30" t="s">
        <v>153</v>
      </c>
      <c r="D41" s="30" t="s">
        <v>631</v>
      </c>
      <c r="E41" s="30" t="s">
        <v>648</v>
      </c>
      <c r="F41" s="30" t="s">
        <v>633</v>
      </c>
      <c r="G41" s="30" t="s">
        <v>649</v>
      </c>
      <c r="H41" s="30" t="s">
        <v>650</v>
      </c>
      <c r="I41" s="30"/>
      <c r="J41" s="30" t="s">
        <v>330</v>
      </c>
      <c r="K41" s="30" t="s">
        <v>16</v>
      </c>
      <c r="L41" s="30" t="s">
        <v>212</v>
      </c>
      <c r="M41" s="30" t="s">
        <v>240</v>
      </c>
      <c r="N41" s="30" t="s">
        <v>636</v>
      </c>
      <c r="O41" s="30"/>
      <c r="P41" s="30"/>
      <c r="Q41" s="30" t="s">
        <v>631</v>
      </c>
      <c r="R41" s="30" t="s">
        <v>16</v>
      </c>
      <c r="S41" s="30" t="s">
        <v>651</v>
      </c>
      <c r="T41" s="30" t="s">
        <v>162</v>
      </c>
      <c r="U41" s="30" t="s">
        <v>652</v>
      </c>
      <c r="V41" s="30" t="s">
        <v>164</v>
      </c>
      <c r="W41" s="30" t="s">
        <v>267</v>
      </c>
      <c r="X41" s="30" t="s">
        <v>330</v>
      </c>
      <c r="Y41" s="30" t="s">
        <v>389</v>
      </c>
      <c r="Z41" s="30" t="s">
        <v>639</v>
      </c>
      <c r="AA41" s="30" t="s">
        <v>640</v>
      </c>
      <c r="AB41" s="30" t="s">
        <v>631</v>
      </c>
      <c r="AC41" s="30">
        <v>5570914</v>
      </c>
      <c r="AD41" s="30" t="s">
        <v>16</v>
      </c>
      <c r="AE41" s="30" t="s">
        <v>653</v>
      </c>
      <c r="AF41" s="30" t="s">
        <v>16</v>
      </c>
      <c r="AG41" s="30" t="s">
        <v>654</v>
      </c>
      <c r="AH41" s="33" t="s">
        <v>85</v>
      </c>
      <c r="AI41" s="30" t="s">
        <v>655</v>
      </c>
      <c r="AJ41" s="30" t="s">
        <v>644</v>
      </c>
      <c r="AK41" s="30" t="s">
        <v>171</v>
      </c>
      <c r="AL41" s="30" t="s">
        <v>157</v>
      </c>
      <c r="AM41" s="30">
        <v>2800</v>
      </c>
      <c r="AN41" s="30"/>
      <c r="AO41" s="30" t="s">
        <v>633</v>
      </c>
      <c r="AP41" s="30" t="s">
        <v>173</v>
      </c>
      <c r="AQ41" s="30" t="s">
        <v>225</v>
      </c>
      <c r="AR41" s="30"/>
      <c r="AS41" s="30" t="s">
        <v>645</v>
      </c>
      <c r="AT41" s="30"/>
      <c r="AU41" s="30" t="s">
        <v>656</v>
      </c>
      <c r="AV41" s="30"/>
      <c r="AW41" s="30" t="s">
        <v>657</v>
      </c>
      <c r="AX41" s="30"/>
      <c r="AY41" s="30"/>
      <c r="AZ41" s="30"/>
      <c r="BA41" s="30"/>
      <c r="BB41" s="30">
        <v>66477823</v>
      </c>
      <c r="BC41" s="30" t="s">
        <v>180</v>
      </c>
      <c r="BD41" s="30" t="s">
        <v>255</v>
      </c>
      <c r="BE41" s="30" t="s">
        <v>297</v>
      </c>
      <c r="BF41" s="30" t="s">
        <v>298</v>
      </c>
      <c r="BG41" s="30" t="s">
        <v>230</v>
      </c>
      <c r="BH41" s="30" t="s">
        <v>231</v>
      </c>
      <c r="BI41" s="30" t="s">
        <v>258</v>
      </c>
      <c r="BJ41" s="30" t="s">
        <v>157</v>
      </c>
      <c r="BK41" s="30"/>
      <c r="BL41" s="30"/>
      <c r="BM41" s="30"/>
      <c r="BN41" s="30" t="s">
        <v>186</v>
      </c>
      <c r="BO41" s="30" t="s">
        <v>240</v>
      </c>
    </row>
    <row r="42" spans="1:67" s="3" customFormat="1" hidden="1">
      <c r="A42" s="30">
        <v>75</v>
      </c>
      <c r="B42" s="30" t="s">
        <v>152</v>
      </c>
      <c r="C42" s="30" t="s">
        <v>153</v>
      </c>
      <c r="D42" s="30" t="s">
        <v>631</v>
      </c>
      <c r="E42" s="30" t="s">
        <v>658</v>
      </c>
      <c r="F42" s="30" t="s">
        <v>633</v>
      </c>
      <c r="G42" s="30" t="s">
        <v>659</v>
      </c>
      <c r="H42" s="30" t="s">
        <v>660</v>
      </c>
      <c r="I42" s="30"/>
      <c r="J42" s="30" t="s">
        <v>330</v>
      </c>
      <c r="K42" s="30" t="s">
        <v>16</v>
      </c>
      <c r="L42" s="30" t="s">
        <v>212</v>
      </c>
      <c r="M42" s="30" t="s">
        <v>240</v>
      </c>
      <c r="N42" s="30" t="s">
        <v>636</v>
      </c>
      <c r="O42" s="30"/>
      <c r="P42" s="30"/>
      <c r="Q42" s="30" t="s">
        <v>631</v>
      </c>
      <c r="R42" s="30" t="s">
        <v>16</v>
      </c>
      <c r="S42" s="30" t="s">
        <v>661</v>
      </c>
      <c r="T42" s="30" t="s">
        <v>162</v>
      </c>
      <c r="U42" s="30" t="s">
        <v>662</v>
      </c>
      <c r="V42" s="30" t="s">
        <v>164</v>
      </c>
      <c r="W42" s="30" t="s">
        <v>267</v>
      </c>
      <c r="X42" s="30" t="s">
        <v>330</v>
      </c>
      <c r="Y42" s="30" t="s">
        <v>389</v>
      </c>
      <c r="Z42" s="30" t="s">
        <v>639</v>
      </c>
      <c r="AA42" s="30" t="s">
        <v>640</v>
      </c>
      <c r="AB42" s="30" t="s">
        <v>631</v>
      </c>
      <c r="AC42" s="30">
        <v>5730051</v>
      </c>
      <c r="AD42" s="30" t="s">
        <v>16</v>
      </c>
      <c r="AE42" s="30" t="s">
        <v>663</v>
      </c>
      <c r="AF42" s="30" t="s">
        <v>16</v>
      </c>
      <c r="AG42" s="30" t="s">
        <v>664</v>
      </c>
      <c r="AH42" s="33" t="s">
        <v>85</v>
      </c>
      <c r="AI42" s="30" t="s">
        <v>665</v>
      </c>
      <c r="AJ42" s="30" t="s">
        <v>644</v>
      </c>
      <c r="AK42" s="30" t="s">
        <v>171</v>
      </c>
      <c r="AL42" s="30" t="s">
        <v>157</v>
      </c>
      <c r="AM42" s="30">
        <v>5600</v>
      </c>
      <c r="AN42" s="30"/>
      <c r="AO42" s="30" t="s">
        <v>633</v>
      </c>
      <c r="AP42" s="30" t="s">
        <v>173</v>
      </c>
      <c r="AQ42" s="30" t="s">
        <v>225</v>
      </c>
      <c r="AR42" s="30"/>
      <c r="AS42" s="30" t="s">
        <v>645</v>
      </c>
      <c r="AT42" s="30"/>
      <c r="AU42" s="30" t="s">
        <v>253</v>
      </c>
      <c r="AV42" s="30"/>
      <c r="AW42" s="30" t="s">
        <v>666</v>
      </c>
      <c r="AX42" s="30"/>
      <c r="AY42" s="30"/>
      <c r="AZ42" s="30"/>
      <c r="BA42" s="30"/>
      <c r="BB42" s="30">
        <v>66477823</v>
      </c>
      <c r="BC42" s="30" t="s">
        <v>180</v>
      </c>
      <c r="BD42" s="30" t="s">
        <v>255</v>
      </c>
      <c r="BE42" s="30" t="s">
        <v>297</v>
      </c>
      <c r="BF42" s="30" t="s">
        <v>298</v>
      </c>
      <c r="BG42" s="30" t="s">
        <v>230</v>
      </c>
      <c r="BH42" s="30" t="s">
        <v>231</v>
      </c>
      <c r="BI42" s="30" t="s">
        <v>180</v>
      </c>
      <c r="BJ42" s="30" t="s">
        <v>157</v>
      </c>
      <c r="BK42" s="30"/>
      <c r="BL42" s="30"/>
      <c r="BM42" s="30"/>
      <c r="BN42" s="30" t="s">
        <v>186</v>
      </c>
      <c r="BO42" s="30" t="s">
        <v>240</v>
      </c>
    </row>
    <row r="43" spans="1:67" s="3" customFormat="1" hidden="1">
      <c r="A43" s="30">
        <v>107</v>
      </c>
      <c r="B43" s="30" t="s">
        <v>152</v>
      </c>
      <c r="C43" s="30" t="s">
        <v>153</v>
      </c>
      <c r="D43" s="30" t="s">
        <v>667</v>
      </c>
      <c r="E43" s="30" t="s">
        <v>668</v>
      </c>
      <c r="F43" s="30" t="s">
        <v>669</v>
      </c>
      <c r="G43" s="30" t="s">
        <v>670</v>
      </c>
      <c r="H43" s="30" t="s">
        <v>671</v>
      </c>
      <c r="I43" s="30"/>
      <c r="J43" s="30" t="s">
        <v>330</v>
      </c>
      <c r="K43" s="30" t="s">
        <v>9</v>
      </c>
      <c r="L43" s="30" t="s">
        <v>212</v>
      </c>
      <c r="M43" s="30" t="s">
        <v>240</v>
      </c>
      <c r="N43" s="30" t="s">
        <v>672</v>
      </c>
      <c r="O43" s="30"/>
      <c r="P43" s="30"/>
      <c r="Q43" s="30" t="s">
        <v>667</v>
      </c>
      <c r="R43" s="30" t="s">
        <v>9</v>
      </c>
      <c r="S43" s="30" t="s">
        <v>673</v>
      </c>
      <c r="T43" s="30" t="s">
        <v>162</v>
      </c>
      <c r="U43" s="30" t="s">
        <v>674</v>
      </c>
      <c r="V43" s="30" t="s">
        <v>164</v>
      </c>
      <c r="W43" s="30" t="s">
        <v>244</v>
      </c>
      <c r="X43" s="30" t="s">
        <v>330</v>
      </c>
      <c r="Y43" s="30" t="s">
        <v>675</v>
      </c>
      <c r="Z43" s="30" t="s">
        <v>676</v>
      </c>
      <c r="AA43" s="30" t="s">
        <v>677</v>
      </c>
      <c r="AB43" s="30" t="s">
        <v>667</v>
      </c>
      <c r="AC43" s="30">
        <v>5698305</v>
      </c>
      <c r="AD43" s="30" t="s">
        <v>9</v>
      </c>
      <c r="AE43" s="30" t="s">
        <v>678</v>
      </c>
      <c r="AF43" s="30" t="s">
        <v>9</v>
      </c>
      <c r="AG43" s="30" t="s">
        <v>679</v>
      </c>
      <c r="AH43" s="33" t="s">
        <v>84</v>
      </c>
      <c r="AI43" s="30" t="s">
        <v>680</v>
      </c>
      <c r="AJ43" s="30" t="s">
        <v>251</v>
      </c>
      <c r="AK43" s="30" t="s">
        <v>171</v>
      </c>
      <c r="AL43" s="30" t="s">
        <v>157</v>
      </c>
      <c r="AM43" s="30">
        <v>13900</v>
      </c>
      <c r="AN43" s="30"/>
      <c r="AO43" s="30" t="s">
        <v>669</v>
      </c>
      <c r="AP43" s="30" t="s">
        <v>173</v>
      </c>
      <c r="AQ43" s="30" t="s">
        <v>225</v>
      </c>
      <c r="AR43" s="30"/>
      <c r="AS43" s="30" t="s">
        <v>681</v>
      </c>
      <c r="AT43" s="30"/>
      <c r="AU43" s="30" t="s">
        <v>346</v>
      </c>
      <c r="AV43" s="30"/>
      <c r="AW43" s="30" t="s">
        <v>682</v>
      </c>
      <c r="AX43" s="30"/>
      <c r="AY43" s="30"/>
      <c r="AZ43" s="30"/>
      <c r="BA43" s="30"/>
      <c r="BB43" s="30">
        <v>38346789</v>
      </c>
      <c r="BC43" s="30" t="s">
        <v>180</v>
      </c>
      <c r="BD43" s="30" t="s">
        <v>255</v>
      </c>
      <c r="BE43" s="30" t="s">
        <v>256</v>
      </c>
      <c r="BF43" s="30" t="s">
        <v>683</v>
      </c>
      <c r="BG43" s="30" t="s">
        <v>230</v>
      </c>
      <c r="BH43" s="30" t="s">
        <v>231</v>
      </c>
      <c r="BI43" s="30" t="s">
        <v>258</v>
      </c>
      <c r="BJ43" s="30" t="s">
        <v>157</v>
      </c>
      <c r="BK43" s="30"/>
      <c r="BL43" s="30"/>
      <c r="BM43" s="30"/>
      <c r="BN43" s="30" t="s">
        <v>186</v>
      </c>
      <c r="BO43" s="30" t="s">
        <v>240</v>
      </c>
    </row>
    <row r="44" spans="1:67" s="3" customFormat="1" hidden="1">
      <c r="A44" s="30">
        <v>56</v>
      </c>
      <c r="B44" s="30" t="s">
        <v>152</v>
      </c>
      <c r="C44" s="30" t="s">
        <v>153</v>
      </c>
      <c r="D44" s="30"/>
      <c r="E44" s="30" t="s">
        <v>684</v>
      </c>
      <c r="F44" s="30"/>
      <c r="G44" s="30" t="s">
        <v>685</v>
      </c>
      <c r="H44" s="30" t="s">
        <v>686</v>
      </c>
      <c r="I44" s="30"/>
      <c r="J44" s="30" t="s">
        <v>330</v>
      </c>
      <c r="K44" s="30" t="s">
        <v>16</v>
      </c>
      <c r="L44" s="30" t="s">
        <v>212</v>
      </c>
      <c r="M44" s="30" t="s">
        <v>240</v>
      </c>
      <c r="N44" s="30"/>
      <c r="O44" s="30"/>
      <c r="P44" s="30"/>
      <c r="Q44" s="30" t="s">
        <v>687</v>
      </c>
      <c r="R44" s="30" t="s">
        <v>16</v>
      </c>
      <c r="S44" s="30" t="s">
        <v>688</v>
      </c>
      <c r="T44" s="30" t="s">
        <v>162</v>
      </c>
      <c r="U44" s="30" t="s">
        <v>689</v>
      </c>
      <c r="V44" s="30" t="s">
        <v>164</v>
      </c>
      <c r="W44" s="30" t="s">
        <v>690</v>
      </c>
      <c r="X44" s="30" t="s">
        <v>330</v>
      </c>
      <c r="Y44" s="30" t="s">
        <v>691</v>
      </c>
      <c r="Z44" s="30" t="s">
        <v>692</v>
      </c>
      <c r="AA44" s="30" t="s">
        <v>693</v>
      </c>
      <c r="AB44" s="30" t="s">
        <v>687</v>
      </c>
      <c r="AC44" s="30">
        <v>5707837</v>
      </c>
      <c r="AD44" s="30" t="s">
        <v>16</v>
      </c>
      <c r="AE44" s="30" t="s">
        <v>694</v>
      </c>
      <c r="AF44" s="30" t="s">
        <v>16</v>
      </c>
      <c r="AG44" s="30" t="s">
        <v>695</v>
      </c>
      <c r="AH44" s="33" t="s">
        <v>85</v>
      </c>
      <c r="AI44" s="30" t="s">
        <v>696</v>
      </c>
      <c r="AJ44" s="30" t="s">
        <v>697</v>
      </c>
      <c r="AK44" s="30" t="s">
        <v>171</v>
      </c>
      <c r="AL44" s="30" t="s">
        <v>157</v>
      </c>
      <c r="AM44" s="30">
        <v>0</v>
      </c>
      <c r="AN44" s="30"/>
      <c r="AO44" s="30" t="s">
        <v>157</v>
      </c>
      <c r="AP44" s="30" t="s">
        <v>173</v>
      </c>
      <c r="AQ44" s="30" t="s">
        <v>225</v>
      </c>
      <c r="AR44" s="30"/>
      <c r="AS44" s="30" t="s">
        <v>698</v>
      </c>
      <c r="AT44" s="30"/>
      <c r="AU44" s="30" t="s">
        <v>493</v>
      </c>
      <c r="AV44" s="30"/>
      <c r="AW44" s="30" t="s">
        <v>699</v>
      </c>
      <c r="AX44" s="30"/>
      <c r="AY44" s="30"/>
      <c r="AZ44" s="30"/>
      <c r="BA44" s="30"/>
      <c r="BB44" s="30">
        <v>79753776</v>
      </c>
      <c r="BC44" s="30" t="s">
        <v>180</v>
      </c>
      <c r="BD44" s="30" t="s">
        <v>255</v>
      </c>
      <c r="BE44" s="30" t="s">
        <v>204</v>
      </c>
      <c r="BF44" s="30" t="s">
        <v>257</v>
      </c>
      <c r="BG44" s="30"/>
      <c r="BH44" s="30" t="s">
        <v>184</v>
      </c>
      <c r="BI44" s="30" t="s">
        <v>180</v>
      </c>
      <c r="BJ44" s="30" t="s">
        <v>157</v>
      </c>
      <c r="BK44" s="30"/>
      <c r="BL44" s="30"/>
      <c r="BM44" s="30"/>
      <c r="BN44" s="30" t="s">
        <v>186</v>
      </c>
      <c r="BO44" s="30"/>
    </row>
    <row r="45" spans="1:67" s="3" customFormat="1" hidden="1">
      <c r="A45" s="30">
        <v>126</v>
      </c>
      <c r="B45" s="30" t="s">
        <v>152</v>
      </c>
      <c r="C45" s="30" t="s">
        <v>153</v>
      </c>
      <c r="D45" s="30" t="s">
        <v>206</v>
      </c>
      <c r="E45" s="30" t="s">
        <v>700</v>
      </c>
      <c r="F45" s="30" t="s">
        <v>208</v>
      </c>
      <c r="G45" s="30" t="s">
        <v>701</v>
      </c>
      <c r="H45" s="30" t="s">
        <v>702</v>
      </c>
      <c r="I45" s="30" t="s">
        <v>157</v>
      </c>
      <c r="J45" s="30" t="s">
        <v>158</v>
      </c>
      <c r="K45" s="30" t="s">
        <v>16</v>
      </c>
      <c r="L45" s="30" t="s">
        <v>212</v>
      </c>
      <c r="M45" s="30" t="s">
        <v>703</v>
      </c>
      <c r="N45" s="30" t="s">
        <v>286</v>
      </c>
      <c r="O45" s="30"/>
      <c r="P45" s="30"/>
      <c r="Q45" s="30" t="s">
        <v>704</v>
      </c>
      <c r="R45" s="30" t="s">
        <v>16</v>
      </c>
      <c r="S45" s="30" t="s">
        <v>705</v>
      </c>
      <c r="T45" s="30" t="s">
        <v>217</v>
      </c>
      <c r="U45" s="30" t="s">
        <v>706</v>
      </c>
      <c r="V45" s="30" t="s">
        <v>164</v>
      </c>
      <c r="W45" s="30" t="s">
        <v>244</v>
      </c>
      <c r="X45" s="30" t="s">
        <v>158</v>
      </c>
      <c r="Y45" s="30" t="s">
        <v>362</v>
      </c>
      <c r="Z45" s="30" t="s">
        <v>578</v>
      </c>
      <c r="AA45" s="30" t="s">
        <v>707</v>
      </c>
      <c r="AB45" s="30" t="s">
        <v>704</v>
      </c>
      <c r="AC45" s="30">
        <v>5691053</v>
      </c>
      <c r="AD45" s="30" t="s">
        <v>16</v>
      </c>
      <c r="AE45" s="30" t="s">
        <v>708</v>
      </c>
      <c r="AF45" s="30" t="s">
        <v>16</v>
      </c>
      <c r="AG45" s="30" t="s">
        <v>709</v>
      </c>
      <c r="AH45" s="33" t="s">
        <v>83</v>
      </c>
      <c r="AI45" s="30" t="s">
        <v>710</v>
      </c>
      <c r="AJ45" s="30" t="s">
        <v>415</v>
      </c>
      <c r="AK45" s="30" t="s">
        <v>171</v>
      </c>
      <c r="AL45" s="30" t="s">
        <v>157</v>
      </c>
      <c r="AM45" s="30">
        <v>8800</v>
      </c>
      <c r="AN45" s="30"/>
      <c r="AO45" s="30" t="s">
        <v>283</v>
      </c>
      <c r="AP45" s="30" t="s">
        <v>369</v>
      </c>
      <c r="AQ45" s="30" t="s">
        <v>225</v>
      </c>
      <c r="AR45" s="30"/>
      <c r="AS45" s="30" t="s">
        <v>711</v>
      </c>
      <c r="AT45" s="30"/>
      <c r="AU45" s="30" t="s">
        <v>295</v>
      </c>
      <c r="AV45" s="30"/>
      <c r="AW45" s="30" t="s">
        <v>712</v>
      </c>
      <c r="AX45" s="30"/>
      <c r="AY45" s="30"/>
      <c r="AZ45" s="30"/>
      <c r="BA45" s="30"/>
      <c r="BB45" s="30">
        <v>86978349</v>
      </c>
      <c r="BC45" s="30" t="s">
        <v>180</v>
      </c>
      <c r="BD45" s="30" t="s">
        <v>255</v>
      </c>
      <c r="BE45" s="30" t="s">
        <v>256</v>
      </c>
      <c r="BF45" s="30" t="s">
        <v>257</v>
      </c>
      <c r="BG45" s="30" t="s">
        <v>230</v>
      </c>
      <c r="BH45" s="30" t="s">
        <v>231</v>
      </c>
      <c r="BI45" s="30" t="s">
        <v>258</v>
      </c>
      <c r="BJ45" s="30" t="s">
        <v>157</v>
      </c>
      <c r="BK45" s="30"/>
      <c r="BL45" s="30"/>
      <c r="BM45" s="30"/>
      <c r="BN45" s="30" t="s">
        <v>186</v>
      </c>
      <c r="BO45" s="30" t="s">
        <v>233</v>
      </c>
    </row>
    <row r="46" spans="1:67" s="3" customFormat="1" hidden="1">
      <c r="A46" s="30">
        <v>49</v>
      </c>
      <c r="B46" s="30" t="s">
        <v>152</v>
      </c>
      <c r="C46" s="30" t="s">
        <v>153</v>
      </c>
      <c r="D46" s="30" t="s">
        <v>713</v>
      </c>
      <c r="E46" s="30" t="s">
        <v>714</v>
      </c>
      <c r="F46" s="30" t="s">
        <v>283</v>
      </c>
      <c r="G46" s="30" t="s">
        <v>715</v>
      </c>
      <c r="H46" s="30" t="s">
        <v>716</v>
      </c>
      <c r="I46" s="30"/>
      <c r="J46" s="30" t="s">
        <v>239</v>
      </c>
      <c r="K46" s="30" t="s">
        <v>9</v>
      </c>
      <c r="L46" s="30" t="s">
        <v>212</v>
      </c>
      <c r="M46" s="30" t="s">
        <v>240</v>
      </c>
      <c r="N46" s="30" t="s">
        <v>286</v>
      </c>
      <c r="O46" s="30"/>
      <c r="P46" s="30"/>
      <c r="Q46" s="30" t="s">
        <v>713</v>
      </c>
      <c r="R46" s="30" t="s">
        <v>9</v>
      </c>
      <c r="S46" s="30" t="s">
        <v>717</v>
      </c>
      <c r="T46" s="30" t="s">
        <v>162</v>
      </c>
      <c r="U46" s="30" t="s">
        <v>718</v>
      </c>
      <c r="V46" s="30" t="s">
        <v>164</v>
      </c>
      <c r="W46" s="30" t="s">
        <v>244</v>
      </c>
      <c r="X46" s="30" t="s">
        <v>239</v>
      </c>
      <c r="Y46" s="30" t="s">
        <v>622</v>
      </c>
      <c r="Z46" s="30" t="s">
        <v>719</v>
      </c>
      <c r="AA46" s="30" t="s">
        <v>720</v>
      </c>
      <c r="AB46" s="30" t="s">
        <v>713</v>
      </c>
      <c r="AC46" s="30">
        <v>5735360</v>
      </c>
      <c r="AD46" s="30" t="s">
        <v>9</v>
      </c>
      <c r="AE46" s="30" t="s">
        <v>721</v>
      </c>
      <c r="AF46" s="30" t="s">
        <v>9</v>
      </c>
      <c r="AG46" s="30" t="s">
        <v>721</v>
      </c>
      <c r="AH46" s="33" t="s">
        <v>83</v>
      </c>
      <c r="AI46" s="30" t="s">
        <v>722</v>
      </c>
      <c r="AJ46" s="30" t="s">
        <v>415</v>
      </c>
      <c r="AK46" s="30" t="s">
        <v>171</v>
      </c>
      <c r="AL46" s="30" t="s">
        <v>157</v>
      </c>
      <c r="AM46" s="30">
        <v>1600</v>
      </c>
      <c r="AN46" s="30"/>
      <c r="AO46" s="30" t="s">
        <v>283</v>
      </c>
      <c r="AP46" s="30" t="s">
        <v>173</v>
      </c>
      <c r="AQ46" s="30" t="s">
        <v>225</v>
      </c>
      <c r="AR46" s="30"/>
      <c r="AS46" s="30" t="s">
        <v>723</v>
      </c>
      <c r="AT46" s="30"/>
      <c r="AU46" s="30" t="s">
        <v>724</v>
      </c>
      <c r="AV46" s="30"/>
      <c r="AW46" s="30" t="s">
        <v>725</v>
      </c>
      <c r="AX46" s="30"/>
      <c r="AY46" s="30"/>
      <c r="AZ46" s="30"/>
      <c r="BA46" s="30"/>
      <c r="BB46" s="30">
        <v>46865814</v>
      </c>
      <c r="BC46" s="30" t="s">
        <v>180</v>
      </c>
      <c r="BD46" s="30" t="s">
        <v>255</v>
      </c>
      <c r="BE46" s="30" t="s">
        <v>256</v>
      </c>
      <c r="BF46" s="30" t="s">
        <v>257</v>
      </c>
      <c r="BG46" s="30" t="s">
        <v>230</v>
      </c>
      <c r="BH46" s="30" t="s">
        <v>630</v>
      </c>
      <c r="BI46" s="30" t="s">
        <v>258</v>
      </c>
      <c r="BJ46" s="30" t="s">
        <v>157</v>
      </c>
      <c r="BK46" s="30"/>
      <c r="BL46" s="30"/>
      <c r="BM46" s="30"/>
      <c r="BN46" s="30"/>
      <c r="BO46" s="30" t="s">
        <v>240</v>
      </c>
    </row>
    <row r="47" spans="1:67" s="3" customFormat="1" hidden="1">
      <c r="A47" s="30">
        <v>45</v>
      </c>
      <c r="B47" s="30" t="s">
        <v>152</v>
      </c>
      <c r="C47" s="30" t="s">
        <v>153</v>
      </c>
      <c r="D47" s="30" t="s">
        <v>726</v>
      </c>
      <c r="E47" s="30" t="s">
        <v>727</v>
      </c>
      <c r="F47" s="30" t="s">
        <v>283</v>
      </c>
      <c r="G47" s="30" t="s">
        <v>728</v>
      </c>
      <c r="H47" s="30" t="s">
        <v>729</v>
      </c>
      <c r="I47" s="30"/>
      <c r="J47" s="30" t="s">
        <v>239</v>
      </c>
      <c r="K47" s="30" t="s">
        <v>16</v>
      </c>
      <c r="L47" s="30" t="s">
        <v>212</v>
      </c>
      <c r="M47" s="30" t="s">
        <v>240</v>
      </c>
      <c r="N47" s="30" t="s">
        <v>286</v>
      </c>
      <c r="O47" s="30"/>
      <c r="P47" s="30"/>
      <c r="Q47" s="30" t="s">
        <v>726</v>
      </c>
      <c r="R47" s="30" t="s">
        <v>16</v>
      </c>
      <c r="S47" s="30" t="s">
        <v>730</v>
      </c>
      <c r="T47" s="30" t="s">
        <v>162</v>
      </c>
      <c r="U47" s="30" t="s">
        <v>731</v>
      </c>
      <c r="V47" s="30" t="s">
        <v>164</v>
      </c>
      <c r="W47" s="30" t="s">
        <v>244</v>
      </c>
      <c r="X47" s="30" t="s">
        <v>239</v>
      </c>
      <c r="Y47" s="30" t="s">
        <v>732</v>
      </c>
      <c r="Z47" s="30" t="s">
        <v>733</v>
      </c>
      <c r="AA47" s="30" t="s">
        <v>734</v>
      </c>
      <c r="AB47" s="30" t="s">
        <v>726</v>
      </c>
      <c r="AC47" s="30">
        <v>5712679</v>
      </c>
      <c r="AD47" s="30" t="s">
        <v>16</v>
      </c>
      <c r="AE47" s="30" t="s">
        <v>735</v>
      </c>
      <c r="AF47" s="30" t="s">
        <v>16</v>
      </c>
      <c r="AG47" s="30" t="s">
        <v>736</v>
      </c>
      <c r="AH47" s="33" t="s">
        <v>83</v>
      </c>
      <c r="AI47" s="30" t="s">
        <v>737</v>
      </c>
      <c r="AJ47" s="30" t="s">
        <v>415</v>
      </c>
      <c r="AK47" s="30" t="s">
        <v>171</v>
      </c>
      <c r="AL47" s="30" t="s">
        <v>157</v>
      </c>
      <c r="AM47" s="30">
        <v>1800</v>
      </c>
      <c r="AN47" s="30"/>
      <c r="AO47" s="30" t="s">
        <v>283</v>
      </c>
      <c r="AP47" s="30" t="s">
        <v>173</v>
      </c>
      <c r="AQ47" s="30" t="s">
        <v>225</v>
      </c>
      <c r="AR47" s="30"/>
      <c r="AS47" s="30" t="s">
        <v>738</v>
      </c>
      <c r="AT47" s="30"/>
      <c r="AU47" s="30" t="s">
        <v>516</v>
      </c>
      <c r="AV47" s="30"/>
      <c r="AW47" s="30" t="s">
        <v>739</v>
      </c>
      <c r="AX47" s="30"/>
      <c r="AY47" s="30"/>
      <c r="AZ47" s="30"/>
      <c r="BA47" s="30"/>
      <c r="BB47" s="30">
        <v>46040906</v>
      </c>
      <c r="BC47" s="30" t="s">
        <v>180</v>
      </c>
      <c r="BD47" s="30" t="s">
        <v>255</v>
      </c>
      <c r="BE47" s="30" t="s">
        <v>256</v>
      </c>
      <c r="BF47" s="30" t="s">
        <v>257</v>
      </c>
      <c r="BG47" s="30" t="s">
        <v>230</v>
      </c>
      <c r="BH47" s="30" t="s">
        <v>184</v>
      </c>
      <c r="BI47" s="30" t="s">
        <v>258</v>
      </c>
      <c r="BJ47" s="30" t="s">
        <v>157</v>
      </c>
      <c r="BK47" s="30"/>
      <c r="BL47" s="30"/>
      <c r="BM47" s="30"/>
      <c r="BN47" s="30"/>
      <c r="BO47" s="30" t="s">
        <v>240</v>
      </c>
    </row>
    <row r="48" spans="1:67" s="3" customFormat="1" hidden="1">
      <c r="A48" s="30">
        <v>47</v>
      </c>
      <c r="B48" s="30" t="s">
        <v>152</v>
      </c>
      <c r="C48" s="30" t="s">
        <v>153</v>
      </c>
      <c r="D48" s="30" t="s">
        <v>740</v>
      </c>
      <c r="E48" s="30" t="s">
        <v>741</v>
      </c>
      <c r="F48" s="30" t="s">
        <v>742</v>
      </c>
      <c r="G48" s="30" t="s">
        <v>743</v>
      </c>
      <c r="H48" s="30" t="s">
        <v>744</v>
      </c>
      <c r="I48" s="30" t="s">
        <v>745</v>
      </c>
      <c r="J48" s="30"/>
      <c r="K48" s="30" t="s">
        <v>480</v>
      </c>
      <c r="L48" s="30" t="s">
        <v>746</v>
      </c>
      <c r="M48" s="30" t="s">
        <v>747</v>
      </c>
      <c r="N48" s="30" t="s">
        <v>157</v>
      </c>
      <c r="O48" s="30" t="s">
        <v>480</v>
      </c>
      <c r="P48" s="30" t="s">
        <v>748</v>
      </c>
      <c r="Q48" s="30" t="s">
        <v>749</v>
      </c>
      <c r="R48" s="30" t="s">
        <v>9</v>
      </c>
      <c r="S48" s="30" t="s">
        <v>750</v>
      </c>
      <c r="T48" s="30" t="s">
        <v>217</v>
      </c>
      <c r="U48" s="30" t="s">
        <v>751</v>
      </c>
      <c r="V48" s="30" t="s">
        <v>164</v>
      </c>
      <c r="W48" s="30" t="s">
        <v>244</v>
      </c>
      <c r="X48" s="30" t="s">
        <v>158</v>
      </c>
      <c r="Y48" s="30" t="s">
        <v>752</v>
      </c>
      <c r="Z48" s="30" t="s">
        <v>753</v>
      </c>
      <c r="AA48" s="30" t="s">
        <v>754</v>
      </c>
      <c r="AB48" s="30" t="s">
        <v>749</v>
      </c>
      <c r="AC48" s="30">
        <v>5710639</v>
      </c>
      <c r="AD48" s="30" t="s">
        <v>9</v>
      </c>
      <c r="AE48" s="30" t="s">
        <v>755</v>
      </c>
      <c r="AF48" s="30" t="s">
        <v>9</v>
      </c>
      <c r="AG48" s="30" t="s">
        <v>756</v>
      </c>
      <c r="AH48" s="33" t="s">
        <v>88</v>
      </c>
      <c r="AI48" s="30" t="s">
        <v>757</v>
      </c>
      <c r="AJ48" s="30" t="s">
        <v>758</v>
      </c>
      <c r="AK48" s="30" t="s">
        <v>171</v>
      </c>
      <c r="AL48" s="30" t="s">
        <v>157</v>
      </c>
      <c r="AM48" s="30">
        <v>17820</v>
      </c>
      <c r="AN48" s="30"/>
      <c r="AO48" s="30" t="s">
        <v>157</v>
      </c>
      <c r="AP48" s="30" t="s">
        <v>369</v>
      </c>
      <c r="AQ48" s="30" t="s">
        <v>225</v>
      </c>
      <c r="AR48" s="30"/>
      <c r="AS48" s="30" t="s">
        <v>759</v>
      </c>
      <c r="AT48" s="30"/>
      <c r="AU48" s="30" t="s">
        <v>476</v>
      </c>
      <c r="AV48" s="30"/>
      <c r="AW48" s="30" t="s">
        <v>760</v>
      </c>
      <c r="AX48" s="30"/>
      <c r="AY48" s="30"/>
      <c r="AZ48" s="30"/>
      <c r="BA48" s="30" t="s">
        <v>397</v>
      </c>
      <c r="BB48" s="30">
        <v>87171481</v>
      </c>
      <c r="BC48" s="30" t="s">
        <v>258</v>
      </c>
      <c r="BD48" s="30" t="s">
        <v>181</v>
      </c>
      <c r="BE48" s="30" t="s">
        <v>256</v>
      </c>
      <c r="BF48" s="30" t="s">
        <v>257</v>
      </c>
      <c r="BG48" s="30" t="s">
        <v>230</v>
      </c>
      <c r="BH48" s="30" t="s">
        <v>231</v>
      </c>
      <c r="BI48" s="30" t="s">
        <v>258</v>
      </c>
      <c r="BJ48" s="30" t="s">
        <v>157</v>
      </c>
      <c r="BK48" s="30"/>
      <c r="BL48" s="30"/>
      <c r="BM48" s="30">
        <v>111246636</v>
      </c>
      <c r="BN48" s="30" t="s">
        <v>186</v>
      </c>
      <c r="BO48" s="30" t="s">
        <v>761</v>
      </c>
    </row>
    <row r="49" spans="1:67" s="3" customFormat="1" hidden="1">
      <c r="A49" s="30">
        <v>48</v>
      </c>
      <c r="B49" s="30" t="s">
        <v>152</v>
      </c>
      <c r="C49" s="30" t="s">
        <v>153</v>
      </c>
      <c r="D49" s="30" t="s">
        <v>740</v>
      </c>
      <c r="E49" s="30" t="s">
        <v>741</v>
      </c>
      <c r="F49" s="30" t="s">
        <v>742</v>
      </c>
      <c r="G49" s="30" t="s">
        <v>743</v>
      </c>
      <c r="H49" s="30" t="s">
        <v>744</v>
      </c>
      <c r="I49" s="30" t="s">
        <v>745</v>
      </c>
      <c r="J49" s="30"/>
      <c r="K49" s="30" t="s">
        <v>480</v>
      </c>
      <c r="L49" s="30" t="s">
        <v>746</v>
      </c>
      <c r="M49" s="30" t="s">
        <v>747</v>
      </c>
      <c r="N49" s="30" t="s">
        <v>157</v>
      </c>
      <c r="O49" s="30" t="s">
        <v>480</v>
      </c>
      <c r="P49" s="30" t="s">
        <v>748</v>
      </c>
      <c r="Q49" s="30" t="s">
        <v>749</v>
      </c>
      <c r="R49" s="30" t="s">
        <v>9</v>
      </c>
      <c r="S49" s="30" t="s">
        <v>750</v>
      </c>
      <c r="T49" s="30" t="s">
        <v>217</v>
      </c>
      <c r="U49" s="30" t="s">
        <v>751</v>
      </c>
      <c r="V49" s="30" t="s">
        <v>164</v>
      </c>
      <c r="W49" s="30" t="s">
        <v>244</v>
      </c>
      <c r="X49" s="30" t="s">
        <v>158</v>
      </c>
      <c r="Y49" s="30" t="s">
        <v>752</v>
      </c>
      <c r="Z49" s="30" t="s">
        <v>753</v>
      </c>
      <c r="AA49" s="30" t="s">
        <v>754</v>
      </c>
      <c r="AB49" s="30" t="s">
        <v>749</v>
      </c>
      <c r="AC49" s="30">
        <v>5710639</v>
      </c>
      <c r="AD49" s="30" t="s">
        <v>9</v>
      </c>
      <c r="AE49" s="30" t="s">
        <v>755</v>
      </c>
      <c r="AF49" s="30" t="s">
        <v>9</v>
      </c>
      <c r="AG49" s="30" t="s">
        <v>756</v>
      </c>
      <c r="AH49" s="33" t="s">
        <v>83</v>
      </c>
      <c r="AI49" s="30" t="s">
        <v>762</v>
      </c>
      <c r="AJ49" s="30" t="s">
        <v>763</v>
      </c>
      <c r="AK49" s="30" t="s">
        <v>171</v>
      </c>
      <c r="AL49" s="30" t="s">
        <v>157</v>
      </c>
      <c r="AM49" s="30">
        <v>35980</v>
      </c>
      <c r="AN49" s="30"/>
      <c r="AO49" s="30" t="s">
        <v>157</v>
      </c>
      <c r="AP49" s="30" t="s">
        <v>369</v>
      </c>
      <c r="AQ49" s="30" t="s">
        <v>225</v>
      </c>
      <c r="AR49" s="30"/>
      <c r="AS49" s="30" t="s">
        <v>759</v>
      </c>
      <c r="AT49" s="30" t="s">
        <v>764</v>
      </c>
      <c r="AU49" s="30" t="s">
        <v>476</v>
      </c>
      <c r="AV49" s="30"/>
      <c r="AW49" s="30" t="s">
        <v>760</v>
      </c>
      <c r="AX49" s="30"/>
      <c r="AY49" s="30"/>
      <c r="AZ49" s="30"/>
      <c r="BA49" s="30"/>
      <c r="BB49" s="30">
        <v>87171481</v>
      </c>
      <c r="BC49" s="30" t="s">
        <v>180</v>
      </c>
      <c r="BD49" s="30" t="s">
        <v>181</v>
      </c>
      <c r="BE49" s="30" t="s">
        <v>256</v>
      </c>
      <c r="BF49" s="30" t="s">
        <v>257</v>
      </c>
      <c r="BG49" s="30" t="s">
        <v>230</v>
      </c>
      <c r="BH49" s="30" t="s">
        <v>231</v>
      </c>
      <c r="BI49" s="30" t="s">
        <v>258</v>
      </c>
      <c r="BJ49" s="30" t="s">
        <v>157</v>
      </c>
      <c r="BK49" s="30"/>
      <c r="BL49" s="30"/>
      <c r="BM49" s="30">
        <v>111246636</v>
      </c>
      <c r="BN49" s="30" t="s">
        <v>186</v>
      </c>
      <c r="BO49" s="30" t="s">
        <v>761</v>
      </c>
    </row>
    <row r="50" spans="1:67" s="3" customFormat="1" hidden="1">
      <c r="A50" s="30">
        <v>17</v>
      </c>
      <c r="B50" s="30" t="s">
        <v>152</v>
      </c>
      <c r="C50" s="30" t="s">
        <v>153</v>
      </c>
      <c r="D50" s="30"/>
      <c r="E50" s="30" t="s">
        <v>765</v>
      </c>
      <c r="F50" s="30"/>
      <c r="G50" s="30" t="s">
        <v>766</v>
      </c>
      <c r="H50" s="30" t="s">
        <v>767</v>
      </c>
      <c r="I50" s="30" t="s">
        <v>157</v>
      </c>
      <c r="J50" s="30" t="s">
        <v>548</v>
      </c>
      <c r="K50" s="30" t="s">
        <v>9</v>
      </c>
      <c r="L50" s="30" t="s">
        <v>212</v>
      </c>
      <c r="M50" s="30" t="s">
        <v>441</v>
      </c>
      <c r="N50" s="30"/>
      <c r="O50" s="30"/>
      <c r="P50" s="30"/>
      <c r="Q50" s="30" t="s">
        <v>768</v>
      </c>
      <c r="R50" s="30" t="s">
        <v>9</v>
      </c>
      <c r="S50" s="30" t="s">
        <v>769</v>
      </c>
      <c r="T50" s="30" t="s">
        <v>162</v>
      </c>
      <c r="U50" s="30" t="s">
        <v>770</v>
      </c>
      <c r="V50" s="30" t="s">
        <v>164</v>
      </c>
      <c r="W50" s="30" t="s">
        <v>165</v>
      </c>
      <c r="X50" s="30" t="s">
        <v>158</v>
      </c>
      <c r="Y50" s="30" t="s">
        <v>771</v>
      </c>
      <c r="Z50" s="30" t="s">
        <v>772</v>
      </c>
      <c r="AA50" s="30" t="s">
        <v>168</v>
      </c>
      <c r="AB50" s="30" t="s">
        <v>768</v>
      </c>
      <c r="AC50" s="30">
        <v>5694385</v>
      </c>
      <c r="AD50" s="30" t="s">
        <v>9</v>
      </c>
      <c r="AE50" s="30" t="s">
        <v>773</v>
      </c>
      <c r="AF50" s="30" t="s">
        <v>9</v>
      </c>
      <c r="AG50" s="30" t="s">
        <v>773</v>
      </c>
      <c r="AH50" s="33" t="s">
        <v>85</v>
      </c>
      <c r="AI50" s="30" t="s">
        <v>774</v>
      </c>
      <c r="AJ50" s="30" t="s">
        <v>775</v>
      </c>
      <c r="AK50" s="30" t="s">
        <v>171</v>
      </c>
      <c r="AL50" s="30" t="s">
        <v>157</v>
      </c>
      <c r="AM50" s="30">
        <v>10000</v>
      </c>
      <c r="AN50" s="30" t="s">
        <v>172</v>
      </c>
      <c r="AO50" s="30" t="s">
        <v>776</v>
      </c>
      <c r="AP50" s="30" t="s">
        <v>173</v>
      </c>
      <c r="AQ50" s="30" t="s">
        <v>225</v>
      </c>
      <c r="AR50" s="30" t="s">
        <v>777</v>
      </c>
      <c r="AS50" s="30" t="s">
        <v>778</v>
      </c>
      <c r="AT50" s="30" t="s">
        <v>779</v>
      </c>
      <c r="AU50" s="30" t="s">
        <v>178</v>
      </c>
      <c r="AV50" s="30"/>
      <c r="AW50" s="30" t="s">
        <v>780</v>
      </c>
      <c r="AX50" s="30"/>
      <c r="AY50" s="30"/>
      <c r="AZ50" s="30"/>
      <c r="BA50" s="30"/>
      <c r="BB50" s="30">
        <v>66907521</v>
      </c>
      <c r="BC50" s="30" t="s">
        <v>180</v>
      </c>
      <c r="BD50" s="30" t="s">
        <v>181</v>
      </c>
      <c r="BE50" s="30" t="s">
        <v>182</v>
      </c>
      <c r="BF50" s="30" t="s">
        <v>183</v>
      </c>
      <c r="BG50" s="30"/>
      <c r="BH50" s="30" t="s">
        <v>231</v>
      </c>
      <c r="BI50" s="30" t="s">
        <v>180</v>
      </c>
      <c r="BJ50" s="30" t="s">
        <v>157</v>
      </c>
      <c r="BK50" s="30"/>
      <c r="BL50" s="30" t="s">
        <v>185</v>
      </c>
      <c r="BM50" s="30"/>
      <c r="BN50" s="30" t="s">
        <v>186</v>
      </c>
      <c r="BO50" s="30"/>
    </row>
    <row r="51" spans="1:67" s="3" customFormat="1" hidden="1">
      <c r="A51" s="30">
        <v>18</v>
      </c>
      <c r="B51" s="30" t="s">
        <v>152</v>
      </c>
      <c r="C51" s="30" t="s">
        <v>153</v>
      </c>
      <c r="D51" s="30"/>
      <c r="E51" s="30" t="s">
        <v>781</v>
      </c>
      <c r="F51" s="30"/>
      <c r="G51" s="30" t="s">
        <v>782</v>
      </c>
      <c r="H51" s="30" t="s">
        <v>783</v>
      </c>
      <c r="I51" s="30" t="s">
        <v>157</v>
      </c>
      <c r="J51" s="30" t="s">
        <v>158</v>
      </c>
      <c r="K51" s="30" t="s">
        <v>9</v>
      </c>
      <c r="L51" s="30" t="s">
        <v>212</v>
      </c>
      <c r="M51" s="30" t="s">
        <v>441</v>
      </c>
      <c r="N51" s="30"/>
      <c r="O51" s="30"/>
      <c r="P51" s="30"/>
      <c r="Q51" s="30" t="s">
        <v>784</v>
      </c>
      <c r="R51" s="30" t="s">
        <v>9</v>
      </c>
      <c r="S51" s="30" t="s">
        <v>785</v>
      </c>
      <c r="T51" s="30" t="s">
        <v>162</v>
      </c>
      <c r="U51" s="30" t="s">
        <v>786</v>
      </c>
      <c r="V51" s="30" t="s">
        <v>164</v>
      </c>
      <c r="W51" s="30" t="s">
        <v>787</v>
      </c>
      <c r="X51" s="30" t="s">
        <v>158</v>
      </c>
      <c r="Y51" s="30" t="s">
        <v>788</v>
      </c>
      <c r="Z51" s="30" t="s">
        <v>789</v>
      </c>
      <c r="AA51" s="30" t="s">
        <v>790</v>
      </c>
      <c r="AB51" s="30" t="s">
        <v>784</v>
      </c>
      <c r="AC51" s="30">
        <v>5694383</v>
      </c>
      <c r="AD51" s="30" t="s">
        <v>9</v>
      </c>
      <c r="AE51" s="30" t="s">
        <v>770</v>
      </c>
      <c r="AF51" s="30" t="s">
        <v>9</v>
      </c>
      <c r="AG51" s="30" t="s">
        <v>770</v>
      </c>
      <c r="AH51" s="33" t="s">
        <v>85</v>
      </c>
      <c r="AI51" s="30" t="s">
        <v>169</v>
      </c>
      <c r="AJ51" s="30" t="s">
        <v>170</v>
      </c>
      <c r="AK51" s="30" t="s">
        <v>171</v>
      </c>
      <c r="AL51" s="30" t="s">
        <v>157</v>
      </c>
      <c r="AM51" s="30">
        <v>9000</v>
      </c>
      <c r="AN51" s="30" t="s">
        <v>172</v>
      </c>
      <c r="AO51" s="30" t="s">
        <v>791</v>
      </c>
      <c r="AP51" s="30" t="s">
        <v>173</v>
      </c>
      <c r="AQ51" s="30" t="s">
        <v>174</v>
      </c>
      <c r="AR51" s="30" t="s">
        <v>792</v>
      </c>
      <c r="AS51" s="30" t="s">
        <v>793</v>
      </c>
      <c r="AT51" s="30" t="s">
        <v>794</v>
      </c>
      <c r="AU51" s="30" t="s">
        <v>178</v>
      </c>
      <c r="AV51" s="30"/>
      <c r="AW51" s="30" t="s">
        <v>795</v>
      </c>
      <c r="AX51" s="30"/>
      <c r="AY51" s="30"/>
      <c r="AZ51" s="30"/>
      <c r="BA51" s="30"/>
      <c r="BB51" s="30">
        <v>43463837</v>
      </c>
      <c r="BC51" s="30" t="s">
        <v>180</v>
      </c>
      <c r="BD51" s="30" t="s">
        <v>181</v>
      </c>
      <c r="BE51" s="30" t="s">
        <v>796</v>
      </c>
      <c r="BF51" s="30" t="s">
        <v>797</v>
      </c>
      <c r="BG51" s="30"/>
      <c r="BH51" s="30" t="s">
        <v>184</v>
      </c>
      <c r="BI51" s="30" t="s">
        <v>180</v>
      </c>
      <c r="BJ51" s="30" t="s">
        <v>157</v>
      </c>
      <c r="BK51" s="30"/>
      <c r="BL51" s="30" t="s">
        <v>185</v>
      </c>
      <c r="BM51" s="30"/>
      <c r="BN51" s="30" t="s">
        <v>186</v>
      </c>
      <c r="BO51" s="30"/>
    </row>
    <row r="52" spans="1:67" s="3" customFormat="1" hidden="1">
      <c r="A52" s="30">
        <v>62</v>
      </c>
      <c r="B52" s="30" t="s">
        <v>152</v>
      </c>
      <c r="C52" s="30" t="s">
        <v>153</v>
      </c>
      <c r="D52" s="30" t="s">
        <v>798</v>
      </c>
      <c r="E52" s="30" t="s">
        <v>799</v>
      </c>
      <c r="F52" s="30" t="s">
        <v>800</v>
      </c>
      <c r="G52" s="30" t="s">
        <v>801</v>
      </c>
      <c r="H52" s="30" t="s">
        <v>802</v>
      </c>
      <c r="I52" s="30"/>
      <c r="J52" s="30" t="s">
        <v>330</v>
      </c>
      <c r="K52" s="30" t="s">
        <v>21</v>
      </c>
      <c r="L52" s="30" t="s">
        <v>525</v>
      </c>
      <c r="M52" s="30" t="s">
        <v>803</v>
      </c>
      <c r="N52" s="30"/>
      <c r="O52" s="30"/>
      <c r="P52" s="30"/>
      <c r="Q52" s="30" t="s">
        <v>804</v>
      </c>
      <c r="R52" s="30" t="s">
        <v>21</v>
      </c>
      <c r="S52" s="30" t="s">
        <v>805</v>
      </c>
      <c r="T52" s="30" t="s">
        <v>217</v>
      </c>
      <c r="U52" s="30" t="s">
        <v>806</v>
      </c>
      <c r="V52" s="30" t="s">
        <v>164</v>
      </c>
      <c r="W52" s="30" t="s">
        <v>244</v>
      </c>
      <c r="X52" s="30" t="s">
        <v>330</v>
      </c>
      <c r="Y52" s="30" t="s">
        <v>807</v>
      </c>
      <c r="Z52" s="30" t="s">
        <v>808</v>
      </c>
      <c r="AA52" s="30" t="s">
        <v>809</v>
      </c>
      <c r="AB52" s="30" t="s">
        <v>804</v>
      </c>
      <c r="AC52" s="30">
        <v>5706883</v>
      </c>
      <c r="AD52" s="30" t="s">
        <v>21</v>
      </c>
      <c r="AE52" s="30" t="s">
        <v>810</v>
      </c>
      <c r="AF52" s="30" t="s">
        <v>337</v>
      </c>
      <c r="AG52" s="30" t="s">
        <v>811</v>
      </c>
      <c r="AH52" s="33" t="s">
        <v>83</v>
      </c>
      <c r="AI52" s="30" t="s">
        <v>812</v>
      </c>
      <c r="AJ52" s="30" t="s">
        <v>415</v>
      </c>
      <c r="AK52" s="30" t="s">
        <v>171</v>
      </c>
      <c r="AL52" s="30" t="s">
        <v>157</v>
      </c>
      <c r="AM52" s="30">
        <v>18000</v>
      </c>
      <c r="AN52" s="30"/>
      <c r="AO52" s="30" t="s">
        <v>157</v>
      </c>
      <c r="AP52" s="30" t="s">
        <v>369</v>
      </c>
      <c r="AQ52" s="30" t="s">
        <v>225</v>
      </c>
      <c r="AR52" s="30"/>
      <c r="AS52" s="30" t="s">
        <v>813</v>
      </c>
      <c r="AT52" s="30"/>
      <c r="AU52" s="30" t="s">
        <v>814</v>
      </c>
      <c r="AV52" s="30"/>
      <c r="AW52" s="30" t="s">
        <v>815</v>
      </c>
      <c r="AX52" s="30"/>
      <c r="AY52" s="30"/>
      <c r="AZ52" s="30"/>
      <c r="BA52" s="30"/>
      <c r="BB52" s="30">
        <v>87859245</v>
      </c>
      <c r="BC52" s="30" t="s">
        <v>180</v>
      </c>
      <c r="BD52" s="30" t="s">
        <v>255</v>
      </c>
      <c r="BE52" s="30" t="s">
        <v>256</v>
      </c>
      <c r="BF52" s="30" t="s">
        <v>816</v>
      </c>
      <c r="BG52" s="30" t="s">
        <v>230</v>
      </c>
      <c r="BH52" s="30" t="s">
        <v>184</v>
      </c>
      <c r="BI52" s="30" t="s">
        <v>258</v>
      </c>
      <c r="BJ52" s="30" t="s">
        <v>157</v>
      </c>
      <c r="BK52" s="30"/>
      <c r="BL52" s="30"/>
      <c r="BM52" s="30"/>
      <c r="BN52" s="30" t="s">
        <v>186</v>
      </c>
      <c r="BO52" s="30" t="s">
        <v>817</v>
      </c>
    </row>
    <row r="53" spans="1:67" s="3" customFormat="1" hidden="1">
      <c r="A53" s="30">
        <v>63</v>
      </c>
      <c r="B53" s="30" t="s">
        <v>152</v>
      </c>
      <c r="C53" s="30" t="s">
        <v>153</v>
      </c>
      <c r="D53" s="30" t="s">
        <v>798</v>
      </c>
      <c r="E53" s="30" t="s">
        <v>799</v>
      </c>
      <c r="F53" s="30" t="s">
        <v>800</v>
      </c>
      <c r="G53" s="30" t="s">
        <v>801</v>
      </c>
      <c r="H53" s="30" t="s">
        <v>802</v>
      </c>
      <c r="I53" s="30"/>
      <c r="J53" s="30" t="s">
        <v>330</v>
      </c>
      <c r="K53" s="30" t="s">
        <v>21</v>
      </c>
      <c r="L53" s="30" t="s">
        <v>525</v>
      </c>
      <c r="M53" s="30" t="s">
        <v>803</v>
      </c>
      <c r="N53" s="30"/>
      <c r="O53" s="30"/>
      <c r="P53" s="30"/>
      <c r="Q53" s="30" t="s">
        <v>804</v>
      </c>
      <c r="R53" s="30" t="s">
        <v>21</v>
      </c>
      <c r="S53" s="30" t="s">
        <v>805</v>
      </c>
      <c r="T53" s="30" t="s">
        <v>217</v>
      </c>
      <c r="U53" s="30" t="s">
        <v>806</v>
      </c>
      <c r="V53" s="30" t="s">
        <v>164</v>
      </c>
      <c r="W53" s="30" t="s">
        <v>244</v>
      </c>
      <c r="X53" s="30" t="s">
        <v>330</v>
      </c>
      <c r="Y53" s="30" t="s">
        <v>807</v>
      </c>
      <c r="Z53" s="30" t="s">
        <v>808</v>
      </c>
      <c r="AA53" s="30" t="s">
        <v>809</v>
      </c>
      <c r="AB53" s="30" t="s">
        <v>804</v>
      </c>
      <c r="AC53" s="30">
        <v>5706883</v>
      </c>
      <c r="AD53" s="30" t="s">
        <v>21</v>
      </c>
      <c r="AE53" s="30" t="s">
        <v>810</v>
      </c>
      <c r="AF53" s="30" t="s">
        <v>337</v>
      </c>
      <c r="AG53" s="30" t="s">
        <v>811</v>
      </c>
      <c r="AH53" s="33" t="s">
        <v>83</v>
      </c>
      <c r="AI53" s="30" t="s">
        <v>812</v>
      </c>
      <c r="AJ53" s="30" t="s">
        <v>415</v>
      </c>
      <c r="AK53" s="30" t="s">
        <v>171</v>
      </c>
      <c r="AL53" s="30" t="s">
        <v>157</v>
      </c>
      <c r="AM53" s="30">
        <v>-16200</v>
      </c>
      <c r="AN53" s="30"/>
      <c r="AO53" s="30" t="s">
        <v>157</v>
      </c>
      <c r="AP53" s="30" t="s">
        <v>369</v>
      </c>
      <c r="AQ53" s="30" t="s">
        <v>225</v>
      </c>
      <c r="AR53" s="30"/>
      <c r="AS53" s="30" t="s">
        <v>813</v>
      </c>
      <c r="AT53" s="30"/>
      <c r="AU53" s="30" t="s">
        <v>724</v>
      </c>
      <c r="AV53" s="30"/>
      <c r="AW53" s="30" t="s">
        <v>815</v>
      </c>
      <c r="AX53" s="30"/>
      <c r="AY53" s="30"/>
      <c r="AZ53" s="30"/>
      <c r="BA53" s="30"/>
      <c r="BB53" s="30">
        <v>87859245</v>
      </c>
      <c r="BC53" s="30" t="s">
        <v>180</v>
      </c>
      <c r="BD53" s="30" t="s">
        <v>255</v>
      </c>
      <c r="BE53" s="30" t="s">
        <v>256</v>
      </c>
      <c r="BF53" s="30" t="s">
        <v>816</v>
      </c>
      <c r="BG53" s="30" t="s">
        <v>230</v>
      </c>
      <c r="BH53" s="30" t="s">
        <v>184</v>
      </c>
      <c r="BI53" s="30" t="s">
        <v>258</v>
      </c>
      <c r="BJ53" s="30" t="s">
        <v>157</v>
      </c>
      <c r="BK53" s="30"/>
      <c r="BL53" s="30"/>
      <c r="BM53" s="30"/>
      <c r="BN53" s="30" t="s">
        <v>186</v>
      </c>
      <c r="BO53" s="30" t="s">
        <v>817</v>
      </c>
    </row>
    <row r="54" spans="1:67" s="3" customFormat="1" hidden="1">
      <c r="A54" s="30">
        <v>64</v>
      </c>
      <c r="B54" s="30" t="s">
        <v>152</v>
      </c>
      <c r="C54" s="30" t="s">
        <v>153</v>
      </c>
      <c r="D54" s="30" t="s">
        <v>798</v>
      </c>
      <c r="E54" s="30" t="s">
        <v>799</v>
      </c>
      <c r="F54" s="30" t="s">
        <v>800</v>
      </c>
      <c r="G54" s="30" t="s">
        <v>801</v>
      </c>
      <c r="H54" s="30" t="s">
        <v>802</v>
      </c>
      <c r="I54" s="30"/>
      <c r="J54" s="30" t="s">
        <v>330</v>
      </c>
      <c r="K54" s="30" t="s">
        <v>21</v>
      </c>
      <c r="L54" s="30" t="s">
        <v>525</v>
      </c>
      <c r="M54" s="30" t="s">
        <v>803</v>
      </c>
      <c r="N54" s="30"/>
      <c r="O54" s="30"/>
      <c r="P54" s="30"/>
      <c r="Q54" s="30" t="s">
        <v>804</v>
      </c>
      <c r="R54" s="30" t="s">
        <v>21</v>
      </c>
      <c r="S54" s="30" t="s">
        <v>805</v>
      </c>
      <c r="T54" s="30" t="s">
        <v>217</v>
      </c>
      <c r="U54" s="30" t="s">
        <v>806</v>
      </c>
      <c r="V54" s="30" t="s">
        <v>164</v>
      </c>
      <c r="W54" s="30" t="s">
        <v>244</v>
      </c>
      <c r="X54" s="30" t="s">
        <v>330</v>
      </c>
      <c r="Y54" s="30" t="s">
        <v>807</v>
      </c>
      <c r="Z54" s="30" t="s">
        <v>808</v>
      </c>
      <c r="AA54" s="30" t="s">
        <v>809</v>
      </c>
      <c r="AB54" s="30" t="s">
        <v>804</v>
      </c>
      <c r="AC54" s="30">
        <v>5706883</v>
      </c>
      <c r="AD54" s="30" t="s">
        <v>21</v>
      </c>
      <c r="AE54" s="30" t="s">
        <v>810</v>
      </c>
      <c r="AF54" s="30" t="s">
        <v>337</v>
      </c>
      <c r="AG54" s="30" t="s">
        <v>811</v>
      </c>
      <c r="AH54" s="33" t="s">
        <v>83</v>
      </c>
      <c r="AI54" s="30" t="s">
        <v>818</v>
      </c>
      <c r="AJ54" s="30" t="s">
        <v>464</v>
      </c>
      <c r="AK54" s="30" t="s">
        <v>171</v>
      </c>
      <c r="AL54" s="30" t="s">
        <v>157</v>
      </c>
      <c r="AM54" s="30">
        <v>28800</v>
      </c>
      <c r="AN54" s="30"/>
      <c r="AO54" s="30" t="s">
        <v>157</v>
      </c>
      <c r="AP54" s="30" t="s">
        <v>369</v>
      </c>
      <c r="AQ54" s="30" t="s">
        <v>225</v>
      </c>
      <c r="AR54" s="30"/>
      <c r="AS54" s="30" t="s">
        <v>813</v>
      </c>
      <c r="AT54" s="30"/>
      <c r="AU54" s="30" t="s">
        <v>724</v>
      </c>
      <c r="AV54" s="30"/>
      <c r="AW54" s="30" t="s">
        <v>815</v>
      </c>
      <c r="AX54" s="30"/>
      <c r="AY54" s="30"/>
      <c r="AZ54" s="30"/>
      <c r="BA54" s="30"/>
      <c r="BB54" s="30">
        <v>87859245</v>
      </c>
      <c r="BC54" s="30" t="s">
        <v>180</v>
      </c>
      <c r="BD54" s="30" t="s">
        <v>255</v>
      </c>
      <c r="BE54" s="30" t="s">
        <v>256</v>
      </c>
      <c r="BF54" s="30" t="s">
        <v>816</v>
      </c>
      <c r="BG54" s="30" t="s">
        <v>230</v>
      </c>
      <c r="BH54" s="30" t="s">
        <v>184</v>
      </c>
      <c r="BI54" s="30" t="s">
        <v>258</v>
      </c>
      <c r="BJ54" s="30" t="s">
        <v>157</v>
      </c>
      <c r="BK54" s="30"/>
      <c r="BL54" s="30"/>
      <c r="BM54" s="30"/>
      <c r="BN54" s="30" t="s">
        <v>186</v>
      </c>
      <c r="BO54" s="30" t="s">
        <v>817</v>
      </c>
    </row>
    <row r="55" spans="1:67" s="3" customFormat="1" hidden="1">
      <c r="A55" s="30">
        <v>43</v>
      </c>
      <c r="B55" s="30" t="s">
        <v>152</v>
      </c>
      <c r="C55" s="30" t="s">
        <v>153</v>
      </c>
      <c r="D55" s="30" t="s">
        <v>819</v>
      </c>
      <c r="E55" s="30" t="s">
        <v>820</v>
      </c>
      <c r="F55" s="30" t="s">
        <v>545</v>
      </c>
      <c r="G55" s="30" t="s">
        <v>821</v>
      </c>
      <c r="H55" s="30" t="s">
        <v>822</v>
      </c>
      <c r="I55" s="30"/>
      <c r="J55" s="30" t="s">
        <v>548</v>
      </c>
      <c r="K55" s="30" t="s">
        <v>9</v>
      </c>
      <c r="L55" s="30" t="s">
        <v>212</v>
      </c>
      <c r="M55" s="30" t="s">
        <v>240</v>
      </c>
      <c r="N55" s="30" t="s">
        <v>549</v>
      </c>
      <c r="O55" s="30"/>
      <c r="P55" s="30"/>
      <c r="Q55" s="30" t="s">
        <v>819</v>
      </c>
      <c r="R55" s="30" t="s">
        <v>9</v>
      </c>
      <c r="S55" s="30" t="s">
        <v>823</v>
      </c>
      <c r="T55" s="30" t="s">
        <v>162</v>
      </c>
      <c r="U55" s="30" t="s">
        <v>824</v>
      </c>
      <c r="V55" s="30" t="s">
        <v>164</v>
      </c>
      <c r="W55" s="30" t="s">
        <v>552</v>
      </c>
      <c r="X55" s="30" t="s">
        <v>548</v>
      </c>
      <c r="Y55" s="30" t="s">
        <v>825</v>
      </c>
      <c r="Z55" s="30" t="s">
        <v>554</v>
      </c>
      <c r="AA55" s="30" t="s">
        <v>555</v>
      </c>
      <c r="AB55" s="30" t="s">
        <v>819</v>
      </c>
      <c r="AC55" s="30">
        <v>5713478</v>
      </c>
      <c r="AD55" s="30" t="s">
        <v>9</v>
      </c>
      <c r="AE55" s="30" t="s">
        <v>826</v>
      </c>
      <c r="AF55" s="30" t="s">
        <v>9</v>
      </c>
      <c r="AG55" s="30" t="s">
        <v>827</v>
      </c>
      <c r="AH55" s="33" t="s">
        <v>87</v>
      </c>
      <c r="AI55" s="30" t="s">
        <v>828</v>
      </c>
      <c r="AJ55" s="30" t="s">
        <v>627</v>
      </c>
      <c r="AK55" s="30" t="s">
        <v>171</v>
      </c>
      <c r="AL55" s="30" t="s">
        <v>157</v>
      </c>
      <c r="AM55" s="30">
        <v>3900</v>
      </c>
      <c r="AN55" s="30"/>
      <c r="AO55" s="30" t="s">
        <v>545</v>
      </c>
      <c r="AP55" s="30" t="s">
        <v>173</v>
      </c>
      <c r="AQ55" s="30" t="s">
        <v>225</v>
      </c>
      <c r="AR55" s="30"/>
      <c r="AS55" s="30" t="s">
        <v>829</v>
      </c>
      <c r="AT55" s="30"/>
      <c r="AU55" s="30" t="s">
        <v>466</v>
      </c>
      <c r="AV55" s="30"/>
      <c r="AW55" s="30" t="s">
        <v>830</v>
      </c>
      <c r="AX55" s="30"/>
      <c r="AY55" s="30"/>
      <c r="AZ55" s="30"/>
      <c r="BA55" s="30"/>
      <c r="BB55" s="30">
        <v>64143332</v>
      </c>
      <c r="BC55" s="30" t="s">
        <v>180</v>
      </c>
      <c r="BD55" s="30" t="s">
        <v>563</v>
      </c>
      <c r="BE55" s="30" t="s">
        <v>564</v>
      </c>
      <c r="BF55" s="30" t="s">
        <v>157</v>
      </c>
      <c r="BG55" s="30"/>
      <c r="BH55" s="30" t="s">
        <v>231</v>
      </c>
      <c r="BI55" s="30" t="s">
        <v>258</v>
      </c>
      <c r="BJ55" s="30" t="s">
        <v>157</v>
      </c>
      <c r="BK55" s="30"/>
      <c r="BL55" s="30"/>
      <c r="BM55" s="30"/>
      <c r="BN55" s="30" t="s">
        <v>186</v>
      </c>
      <c r="BO55" s="30" t="s">
        <v>240</v>
      </c>
    </row>
    <row r="56" spans="1:67" s="3" customFormat="1" hidden="1">
      <c r="A56" s="30">
        <v>95</v>
      </c>
      <c r="B56" s="30" t="s">
        <v>152</v>
      </c>
      <c r="C56" s="30" t="s">
        <v>153</v>
      </c>
      <c r="D56" s="30" t="s">
        <v>831</v>
      </c>
      <c r="E56" s="30" t="s">
        <v>832</v>
      </c>
      <c r="F56" s="30" t="s">
        <v>545</v>
      </c>
      <c r="G56" s="30" t="s">
        <v>833</v>
      </c>
      <c r="H56" s="30" t="s">
        <v>834</v>
      </c>
      <c r="I56" s="30"/>
      <c r="J56" s="30" t="s">
        <v>158</v>
      </c>
      <c r="K56" s="30" t="s">
        <v>9</v>
      </c>
      <c r="L56" s="30" t="s">
        <v>212</v>
      </c>
      <c r="M56" s="30" t="s">
        <v>240</v>
      </c>
      <c r="N56" s="30" t="s">
        <v>549</v>
      </c>
      <c r="O56" s="30"/>
      <c r="P56" s="30"/>
      <c r="Q56" s="30" t="s">
        <v>831</v>
      </c>
      <c r="R56" s="30" t="s">
        <v>9</v>
      </c>
      <c r="S56" s="30" t="s">
        <v>835</v>
      </c>
      <c r="T56" s="30" t="s">
        <v>162</v>
      </c>
      <c r="U56" s="30" t="s">
        <v>836</v>
      </c>
      <c r="V56" s="30" t="s">
        <v>164</v>
      </c>
      <c r="W56" s="30" t="s">
        <v>165</v>
      </c>
      <c r="X56" s="30" t="s">
        <v>158</v>
      </c>
      <c r="Y56" s="30" t="s">
        <v>318</v>
      </c>
      <c r="Z56" s="30" t="s">
        <v>837</v>
      </c>
      <c r="AA56" s="30" t="s">
        <v>838</v>
      </c>
      <c r="AB56" s="30" t="s">
        <v>831</v>
      </c>
      <c r="AC56" s="30">
        <v>5695887</v>
      </c>
      <c r="AD56" s="30" t="s">
        <v>9</v>
      </c>
      <c r="AE56" s="30" t="s">
        <v>839</v>
      </c>
      <c r="AF56" s="30" t="s">
        <v>9</v>
      </c>
      <c r="AG56" s="30" t="s">
        <v>839</v>
      </c>
      <c r="AH56" s="33" t="s">
        <v>85</v>
      </c>
      <c r="AI56" s="30" t="s">
        <v>840</v>
      </c>
      <c r="AJ56" s="30" t="s">
        <v>841</v>
      </c>
      <c r="AK56" s="30" t="s">
        <v>171</v>
      </c>
      <c r="AL56" s="30" t="s">
        <v>157</v>
      </c>
      <c r="AM56" s="30">
        <v>5745.8</v>
      </c>
      <c r="AN56" s="30"/>
      <c r="AO56" s="30" t="s">
        <v>545</v>
      </c>
      <c r="AP56" s="30" t="s">
        <v>173</v>
      </c>
      <c r="AQ56" s="30" t="s">
        <v>225</v>
      </c>
      <c r="AR56" s="30" t="s">
        <v>842</v>
      </c>
      <c r="AS56" s="30" t="s">
        <v>843</v>
      </c>
      <c r="AT56" s="30" t="s">
        <v>844</v>
      </c>
      <c r="AU56" s="30" t="s">
        <v>845</v>
      </c>
      <c r="AV56" s="30"/>
      <c r="AW56" s="30" t="s">
        <v>846</v>
      </c>
      <c r="AX56" s="30"/>
      <c r="AY56" s="30"/>
      <c r="AZ56" s="30"/>
      <c r="BA56" s="30"/>
      <c r="BB56" s="30">
        <v>43538682</v>
      </c>
      <c r="BC56" s="30" t="s">
        <v>180</v>
      </c>
      <c r="BD56" s="30" t="s">
        <v>181</v>
      </c>
      <c r="BE56" s="30" t="s">
        <v>847</v>
      </c>
      <c r="BF56" s="30" t="s">
        <v>375</v>
      </c>
      <c r="BG56" s="30" t="s">
        <v>230</v>
      </c>
      <c r="BH56" s="30" t="s">
        <v>231</v>
      </c>
      <c r="BI56" s="30" t="s">
        <v>258</v>
      </c>
      <c r="BJ56" s="30" t="s">
        <v>157</v>
      </c>
      <c r="BK56" s="30"/>
      <c r="BL56" s="30" t="s">
        <v>848</v>
      </c>
      <c r="BM56" s="30"/>
      <c r="BN56" s="30" t="s">
        <v>186</v>
      </c>
      <c r="BO56" s="30" t="s">
        <v>240</v>
      </c>
    </row>
    <row r="57" spans="1:67" s="3" customFormat="1" hidden="1">
      <c r="A57" s="30">
        <v>96</v>
      </c>
      <c r="B57" s="30" t="s">
        <v>152</v>
      </c>
      <c r="C57" s="30" t="s">
        <v>153</v>
      </c>
      <c r="D57" s="30" t="s">
        <v>831</v>
      </c>
      <c r="E57" s="30" t="s">
        <v>832</v>
      </c>
      <c r="F57" s="30" t="s">
        <v>545</v>
      </c>
      <c r="G57" s="30" t="s">
        <v>833</v>
      </c>
      <c r="H57" s="30" t="s">
        <v>834</v>
      </c>
      <c r="I57" s="30"/>
      <c r="J57" s="30" t="s">
        <v>158</v>
      </c>
      <c r="K57" s="30" t="s">
        <v>9</v>
      </c>
      <c r="L57" s="30" t="s">
        <v>212</v>
      </c>
      <c r="M57" s="30" t="s">
        <v>240</v>
      </c>
      <c r="N57" s="30" t="s">
        <v>549</v>
      </c>
      <c r="O57" s="30"/>
      <c r="P57" s="30"/>
      <c r="Q57" s="30" t="s">
        <v>831</v>
      </c>
      <c r="R57" s="30" t="s">
        <v>9</v>
      </c>
      <c r="S57" s="30" t="s">
        <v>835</v>
      </c>
      <c r="T57" s="30" t="s">
        <v>162</v>
      </c>
      <c r="U57" s="30" t="s">
        <v>836</v>
      </c>
      <c r="V57" s="30" t="s">
        <v>164</v>
      </c>
      <c r="W57" s="30" t="s">
        <v>165</v>
      </c>
      <c r="X57" s="30" t="s">
        <v>158</v>
      </c>
      <c r="Y57" s="30" t="s">
        <v>318</v>
      </c>
      <c r="Z57" s="30" t="s">
        <v>837</v>
      </c>
      <c r="AA57" s="30" t="s">
        <v>838</v>
      </c>
      <c r="AB57" s="30" t="s">
        <v>831</v>
      </c>
      <c r="AC57" s="30">
        <v>5695887</v>
      </c>
      <c r="AD57" s="30" t="s">
        <v>9</v>
      </c>
      <c r="AE57" s="30" t="s">
        <v>839</v>
      </c>
      <c r="AF57" s="30" t="s">
        <v>9</v>
      </c>
      <c r="AG57" s="30" t="s">
        <v>839</v>
      </c>
      <c r="AH57" s="33" t="s">
        <v>85</v>
      </c>
      <c r="AI57" s="30" t="s">
        <v>849</v>
      </c>
      <c r="AJ57" s="30" t="s">
        <v>850</v>
      </c>
      <c r="AK57" s="30" t="s">
        <v>171</v>
      </c>
      <c r="AL57" s="30" t="s">
        <v>157</v>
      </c>
      <c r="AM57" s="30">
        <v>5107.7</v>
      </c>
      <c r="AN57" s="30"/>
      <c r="AO57" s="30" t="s">
        <v>545</v>
      </c>
      <c r="AP57" s="30" t="s">
        <v>173</v>
      </c>
      <c r="AQ57" s="30" t="s">
        <v>225</v>
      </c>
      <c r="AR57" s="30" t="s">
        <v>842</v>
      </c>
      <c r="AS57" s="30" t="s">
        <v>843</v>
      </c>
      <c r="AT57" s="30" t="s">
        <v>851</v>
      </c>
      <c r="AU57" s="30" t="s">
        <v>845</v>
      </c>
      <c r="AV57" s="30"/>
      <c r="AW57" s="30" t="s">
        <v>846</v>
      </c>
      <c r="AX57" s="30"/>
      <c r="AY57" s="30"/>
      <c r="AZ57" s="30"/>
      <c r="BA57" s="30"/>
      <c r="BB57" s="30">
        <v>43538682</v>
      </c>
      <c r="BC57" s="30" t="s">
        <v>180</v>
      </c>
      <c r="BD57" s="30" t="s">
        <v>181</v>
      </c>
      <c r="BE57" s="30" t="s">
        <v>847</v>
      </c>
      <c r="BF57" s="30" t="s">
        <v>375</v>
      </c>
      <c r="BG57" s="30" t="s">
        <v>230</v>
      </c>
      <c r="BH57" s="30" t="s">
        <v>231</v>
      </c>
      <c r="BI57" s="30" t="s">
        <v>258</v>
      </c>
      <c r="BJ57" s="30" t="s">
        <v>157</v>
      </c>
      <c r="BK57" s="30"/>
      <c r="BL57" s="30" t="s">
        <v>848</v>
      </c>
      <c r="BM57" s="30"/>
      <c r="BN57" s="30" t="s">
        <v>186</v>
      </c>
      <c r="BO57" s="30" t="s">
        <v>240</v>
      </c>
    </row>
    <row r="58" spans="1:67" s="3" customFormat="1" hidden="1">
      <c r="A58" s="30">
        <v>97</v>
      </c>
      <c r="B58" s="30" t="s">
        <v>152</v>
      </c>
      <c r="C58" s="30" t="s">
        <v>153</v>
      </c>
      <c r="D58" s="30" t="s">
        <v>831</v>
      </c>
      <c r="E58" s="30" t="s">
        <v>832</v>
      </c>
      <c r="F58" s="30" t="s">
        <v>545</v>
      </c>
      <c r="G58" s="30" t="s">
        <v>833</v>
      </c>
      <c r="H58" s="30" t="s">
        <v>834</v>
      </c>
      <c r="I58" s="30"/>
      <c r="J58" s="30" t="s">
        <v>158</v>
      </c>
      <c r="K58" s="30" t="s">
        <v>9</v>
      </c>
      <c r="L58" s="30" t="s">
        <v>212</v>
      </c>
      <c r="M58" s="30" t="s">
        <v>240</v>
      </c>
      <c r="N58" s="30" t="s">
        <v>549</v>
      </c>
      <c r="O58" s="30"/>
      <c r="P58" s="30"/>
      <c r="Q58" s="30" t="s">
        <v>831</v>
      </c>
      <c r="R58" s="30" t="s">
        <v>9</v>
      </c>
      <c r="S58" s="30" t="s">
        <v>835</v>
      </c>
      <c r="T58" s="30" t="s">
        <v>162</v>
      </c>
      <c r="U58" s="30" t="s">
        <v>836</v>
      </c>
      <c r="V58" s="30" t="s">
        <v>164</v>
      </c>
      <c r="W58" s="30" t="s">
        <v>165</v>
      </c>
      <c r="X58" s="30" t="s">
        <v>158</v>
      </c>
      <c r="Y58" s="30" t="s">
        <v>318</v>
      </c>
      <c r="Z58" s="30" t="s">
        <v>837</v>
      </c>
      <c r="AA58" s="30" t="s">
        <v>838</v>
      </c>
      <c r="AB58" s="30" t="s">
        <v>831</v>
      </c>
      <c r="AC58" s="30">
        <v>5695887</v>
      </c>
      <c r="AD58" s="30" t="s">
        <v>9</v>
      </c>
      <c r="AE58" s="30" t="s">
        <v>839</v>
      </c>
      <c r="AF58" s="30" t="s">
        <v>9</v>
      </c>
      <c r="AG58" s="30" t="s">
        <v>839</v>
      </c>
      <c r="AH58" s="33" t="s">
        <v>85</v>
      </c>
      <c r="AI58" s="30" t="s">
        <v>852</v>
      </c>
      <c r="AJ58" s="30" t="s">
        <v>853</v>
      </c>
      <c r="AK58" s="30" t="s">
        <v>171</v>
      </c>
      <c r="AL58" s="30" t="s">
        <v>157</v>
      </c>
      <c r="AM58" s="30">
        <v>6624.1</v>
      </c>
      <c r="AN58" s="30"/>
      <c r="AO58" s="30" t="s">
        <v>545</v>
      </c>
      <c r="AP58" s="30" t="s">
        <v>173</v>
      </c>
      <c r="AQ58" s="30" t="s">
        <v>225</v>
      </c>
      <c r="AR58" s="30" t="s">
        <v>842</v>
      </c>
      <c r="AS58" s="30" t="s">
        <v>843</v>
      </c>
      <c r="AT58" s="30" t="s">
        <v>854</v>
      </c>
      <c r="AU58" s="30" t="s">
        <v>845</v>
      </c>
      <c r="AV58" s="30"/>
      <c r="AW58" s="30" t="s">
        <v>846</v>
      </c>
      <c r="AX58" s="30"/>
      <c r="AY58" s="30"/>
      <c r="AZ58" s="30"/>
      <c r="BA58" s="30"/>
      <c r="BB58" s="30">
        <v>43538682</v>
      </c>
      <c r="BC58" s="30" t="s">
        <v>180</v>
      </c>
      <c r="BD58" s="30" t="s">
        <v>181</v>
      </c>
      <c r="BE58" s="30" t="s">
        <v>847</v>
      </c>
      <c r="BF58" s="30" t="s">
        <v>375</v>
      </c>
      <c r="BG58" s="30" t="s">
        <v>230</v>
      </c>
      <c r="BH58" s="30" t="s">
        <v>231</v>
      </c>
      <c r="BI58" s="30" t="s">
        <v>258</v>
      </c>
      <c r="BJ58" s="30" t="s">
        <v>157</v>
      </c>
      <c r="BK58" s="30"/>
      <c r="BL58" s="30" t="s">
        <v>848</v>
      </c>
      <c r="BM58" s="30"/>
      <c r="BN58" s="30" t="s">
        <v>186</v>
      </c>
      <c r="BO58" s="30" t="s">
        <v>240</v>
      </c>
    </row>
    <row r="59" spans="1:67" s="3" customFormat="1" hidden="1">
      <c r="A59" s="30">
        <v>98</v>
      </c>
      <c r="B59" s="30" t="s">
        <v>152</v>
      </c>
      <c r="C59" s="30" t="s">
        <v>153</v>
      </c>
      <c r="D59" s="30" t="s">
        <v>831</v>
      </c>
      <c r="E59" s="30" t="s">
        <v>832</v>
      </c>
      <c r="F59" s="30" t="s">
        <v>545</v>
      </c>
      <c r="G59" s="30" t="s">
        <v>833</v>
      </c>
      <c r="H59" s="30" t="s">
        <v>834</v>
      </c>
      <c r="I59" s="30"/>
      <c r="J59" s="30" t="s">
        <v>158</v>
      </c>
      <c r="K59" s="30" t="s">
        <v>9</v>
      </c>
      <c r="L59" s="30" t="s">
        <v>212</v>
      </c>
      <c r="M59" s="30" t="s">
        <v>240</v>
      </c>
      <c r="N59" s="30" t="s">
        <v>549</v>
      </c>
      <c r="O59" s="30"/>
      <c r="P59" s="30"/>
      <c r="Q59" s="30" t="s">
        <v>831</v>
      </c>
      <c r="R59" s="30" t="s">
        <v>9</v>
      </c>
      <c r="S59" s="30" t="s">
        <v>835</v>
      </c>
      <c r="T59" s="30" t="s">
        <v>162</v>
      </c>
      <c r="U59" s="30" t="s">
        <v>836</v>
      </c>
      <c r="V59" s="30" t="s">
        <v>164</v>
      </c>
      <c r="W59" s="30" t="s">
        <v>165</v>
      </c>
      <c r="X59" s="30" t="s">
        <v>158</v>
      </c>
      <c r="Y59" s="30" t="s">
        <v>318</v>
      </c>
      <c r="Z59" s="30" t="s">
        <v>837</v>
      </c>
      <c r="AA59" s="30" t="s">
        <v>838</v>
      </c>
      <c r="AB59" s="30" t="s">
        <v>831</v>
      </c>
      <c r="AC59" s="30">
        <v>5695887</v>
      </c>
      <c r="AD59" s="30" t="s">
        <v>9</v>
      </c>
      <c r="AE59" s="30" t="s">
        <v>839</v>
      </c>
      <c r="AF59" s="30" t="s">
        <v>9</v>
      </c>
      <c r="AG59" s="30" t="s">
        <v>839</v>
      </c>
      <c r="AH59" s="33" t="s">
        <v>85</v>
      </c>
      <c r="AI59" s="30" t="s">
        <v>855</v>
      </c>
      <c r="AJ59" s="30" t="s">
        <v>856</v>
      </c>
      <c r="AK59" s="30" t="s">
        <v>171</v>
      </c>
      <c r="AL59" s="30" t="s">
        <v>157</v>
      </c>
      <c r="AM59" s="30">
        <v>6703.9</v>
      </c>
      <c r="AN59" s="30"/>
      <c r="AO59" s="30" t="s">
        <v>545</v>
      </c>
      <c r="AP59" s="30" t="s">
        <v>173</v>
      </c>
      <c r="AQ59" s="30" t="s">
        <v>225</v>
      </c>
      <c r="AR59" s="30" t="s">
        <v>842</v>
      </c>
      <c r="AS59" s="30" t="s">
        <v>843</v>
      </c>
      <c r="AT59" s="30" t="s">
        <v>857</v>
      </c>
      <c r="AU59" s="30" t="s">
        <v>845</v>
      </c>
      <c r="AV59" s="30"/>
      <c r="AW59" s="30" t="s">
        <v>846</v>
      </c>
      <c r="AX59" s="30"/>
      <c r="AY59" s="30"/>
      <c r="AZ59" s="30"/>
      <c r="BA59" s="30"/>
      <c r="BB59" s="30">
        <v>43538682</v>
      </c>
      <c r="BC59" s="30" t="s">
        <v>180</v>
      </c>
      <c r="BD59" s="30" t="s">
        <v>181</v>
      </c>
      <c r="BE59" s="30" t="s">
        <v>847</v>
      </c>
      <c r="BF59" s="30" t="s">
        <v>375</v>
      </c>
      <c r="BG59" s="30" t="s">
        <v>230</v>
      </c>
      <c r="BH59" s="30" t="s">
        <v>231</v>
      </c>
      <c r="BI59" s="30" t="s">
        <v>258</v>
      </c>
      <c r="BJ59" s="30" t="s">
        <v>157</v>
      </c>
      <c r="BK59" s="30"/>
      <c r="BL59" s="30" t="s">
        <v>848</v>
      </c>
      <c r="BM59" s="30"/>
      <c r="BN59" s="30" t="s">
        <v>186</v>
      </c>
      <c r="BO59" s="30" t="s">
        <v>240</v>
      </c>
    </row>
    <row r="60" spans="1:67" s="3" customFormat="1" hidden="1">
      <c r="A60" s="30">
        <v>99</v>
      </c>
      <c r="B60" s="30" t="s">
        <v>152</v>
      </c>
      <c r="C60" s="30" t="s">
        <v>153</v>
      </c>
      <c r="D60" s="30" t="s">
        <v>831</v>
      </c>
      <c r="E60" s="30" t="s">
        <v>832</v>
      </c>
      <c r="F60" s="30" t="s">
        <v>545</v>
      </c>
      <c r="G60" s="30" t="s">
        <v>833</v>
      </c>
      <c r="H60" s="30" t="s">
        <v>834</v>
      </c>
      <c r="I60" s="30"/>
      <c r="J60" s="30" t="s">
        <v>158</v>
      </c>
      <c r="K60" s="30" t="s">
        <v>9</v>
      </c>
      <c r="L60" s="30" t="s">
        <v>212</v>
      </c>
      <c r="M60" s="30" t="s">
        <v>240</v>
      </c>
      <c r="N60" s="30" t="s">
        <v>549</v>
      </c>
      <c r="O60" s="30"/>
      <c r="P60" s="30"/>
      <c r="Q60" s="30" t="s">
        <v>831</v>
      </c>
      <c r="R60" s="30" t="s">
        <v>9</v>
      </c>
      <c r="S60" s="30" t="s">
        <v>835</v>
      </c>
      <c r="T60" s="30" t="s">
        <v>162</v>
      </c>
      <c r="U60" s="30" t="s">
        <v>836</v>
      </c>
      <c r="V60" s="30" t="s">
        <v>164</v>
      </c>
      <c r="W60" s="30" t="s">
        <v>165</v>
      </c>
      <c r="X60" s="30" t="s">
        <v>158</v>
      </c>
      <c r="Y60" s="30" t="s">
        <v>318</v>
      </c>
      <c r="Z60" s="30" t="s">
        <v>837</v>
      </c>
      <c r="AA60" s="30" t="s">
        <v>838</v>
      </c>
      <c r="AB60" s="30" t="s">
        <v>831</v>
      </c>
      <c r="AC60" s="30">
        <v>5695887</v>
      </c>
      <c r="AD60" s="30" t="s">
        <v>9</v>
      </c>
      <c r="AE60" s="30" t="s">
        <v>839</v>
      </c>
      <c r="AF60" s="30" t="s">
        <v>9</v>
      </c>
      <c r="AG60" s="30" t="s">
        <v>839</v>
      </c>
      <c r="AH60" s="33" t="s">
        <v>85</v>
      </c>
      <c r="AI60" s="30" t="s">
        <v>858</v>
      </c>
      <c r="AJ60" s="30" t="s">
        <v>859</v>
      </c>
      <c r="AK60" s="30" t="s">
        <v>171</v>
      </c>
      <c r="AL60" s="30" t="s">
        <v>157</v>
      </c>
      <c r="AM60" s="30">
        <v>5586.6</v>
      </c>
      <c r="AN60" s="30"/>
      <c r="AO60" s="30" t="s">
        <v>545</v>
      </c>
      <c r="AP60" s="30" t="s">
        <v>173</v>
      </c>
      <c r="AQ60" s="30" t="s">
        <v>225</v>
      </c>
      <c r="AR60" s="30" t="s">
        <v>842</v>
      </c>
      <c r="AS60" s="30" t="s">
        <v>843</v>
      </c>
      <c r="AT60" s="30" t="s">
        <v>860</v>
      </c>
      <c r="AU60" s="30" t="s">
        <v>845</v>
      </c>
      <c r="AV60" s="30"/>
      <c r="AW60" s="30" t="s">
        <v>846</v>
      </c>
      <c r="AX60" s="30"/>
      <c r="AY60" s="30"/>
      <c r="AZ60" s="30"/>
      <c r="BA60" s="30"/>
      <c r="BB60" s="30">
        <v>43538682</v>
      </c>
      <c r="BC60" s="30" t="s">
        <v>180</v>
      </c>
      <c r="BD60" s="30" t="s">
        <v>181</v>
      </c>
      <c r="BE60" s="30" t="s">
        <v>847</v>
      </c>
      <c r="BF60" s="30" t="s">
        <v>375</v>
      </c>
      <c r="BG60" s="30" t="s">
        <v>230</v>
      </c>
      <c r="BH60" s="30" t="s">
        <v>231</v>
      </c>
      <c r="BI60" s="30" t="s">
        <v>258</v>
      </c>
      <c r="BJ60" s="30" t="s">
        <v>157</v>
      </c>
      <c r="BK60" s="30"/>
      <c r="BL60" s="30" t="s">
        <v>848</v>
      </c>
      <c r="BM60" s="30"/>
      <c r="BN60" s="30" t="s">
        <v>186</v>
      </c>
      <c r="BO60" s="30" t="s">
        <v>240</v>
      </c>
    </row>
    <row r="61" spans="1:67" s="3" customFormat="1" hidden="1">
      <c r="A61" s="30">
        <v>100</v>
      </c>
      <c r="B61" s="30" t="s">
        <v>152</v>
      </c>
      <c r="C61" s="30" t="s">
        <v>153</v>
      </c>
      <c r="D61" s="30" t="s">
        <v>831</v>
      </c>
      <c r="E61" s="30" t="s">
        <v>832</v>
      </c>
      <c r="F61" s="30" t="s">
        <v>545</v>
      </c>
      <c r="G61" s="30" t="s">
        <v>833</v>
      </c>
      <c r="H61" s="30" t="s">
        <v>834</v>
      </c>
      <c r="I61" s="30"/>
      <c r="J61" s="30" t="s">
        <v>158</v>
      </c>
      <c r="K61" s="30" t="s">
        <v>9</v>
      </c>
      <c r="L61" s="30" t="s">
        <v>212</v>
      </c>
      <c r="M61" s="30" t="s">
        <v>240</v>
      </c>
      <c r="N61" s="30" t="s">
        <v>549</v>
      </c>
      <c r="O61" s="30"/>
      <c r="P61" s="30"/>
      <c r="Q61" s="30" t="s">
        <v>831</v>
      </c>
      <c r="R61" s="30" t="s">
        <v>9</v>
      </c>
      <c r="S61" s="30" t="s">
        <v>835</v>
      </c>
      <c r="T61" s="30" t="s">
        <v>162</v>
      </c>
      <c r="U61" s="30" t="s">
        <v>836</v>
      </c>
      <c r="V61" s="30" t="s">
        <v>164</v>
      </c>
      <c r="W61" s="30" t="s">
        <v>165</v>
      </c>
      <c r="X61" s="30" t="s">
        <v>158</v>
      </c>
      <c r="Y61" s="30" t="s">
        <v>318</v>
      </c>
      <c r="Z61" s="30" t="s">
        <v>837</v>
      </c>
      <c r="AA61" s="30" t="s">
        <v>838</v>
      </c>
      <c r="AB61" s="30" t="s">
        <v>831</v>
      </c>
      <c r="AC61" s="30">
        <v>5695887</v>
      </c>
      <c r="AD61" s="30" t="s">
        <v>9</v>
      </c>
      <c r="AE61" s="30" t="s">
        <v>839</v>
      </c>
      <c r="AF61" s="30" t="s">
        <v>9</v>
      </c>
      <c r="AG61" s="30" t="s">
        <v>839</v>
      </c>
      <c r="AH61" s="33" t="s">
        <v>85</v>
      </c>
      <c r="AI61" s="30" t="s">
        <v>861</v>
      </c>
      <c r="AJ61" s="30" t="s">
        <v>862</v>
      </c>
      <c r="AK61" s="30" t="s">
        <v>171</v>
      </c>
      <c r="AL61" s="30" t="s">
        <v>157</v>
      </c>
      <c r="AM61" s="30">
        <v>4628.8999999999996</v>
      </c>
      <c r="AN61" s="30"/>
      <c r="AO61" s="30" t="s">
        <v>545</v>
      </c>
      <c r="AP61" s="30" t="s">
        <v>173</v>
      </c>
      <c r="AQ61" s="30" t="s">
        <v>225</v>
      </c>
      <c r="AR61" s="30" t="s">
        <v>842</v>
      </c>
      <c r="AS61" s="30" t="s">
        <v>843</v>
      </c>
      <c r="AT61" s="30" t="s">
        <v>863</v>
      </c>
      <c r="AU61" s="30" t="s">
        <v>845</v>
      </c>
      <c r="AV61" s="30"/>
      <c r="AW61" s="30" t="s">
        <v>846</v>
      </c>
      <c r="AX61" s="30"/>
      <c r="AY61" s="30"/>
      <c r="AZ61" s="30"/>
      <c r="BA61" s="30"/>
      <c r="BB61" s="30">
        <v>43538682</v>
      </c>
      <c r="BC61" s="30" t="s">
        <v>180</v>
      </c>
      <c r="BD61" s="30" t="s">
        <v>181</v>
      </c>
      <c r="BE61" s="30" t="s">
        <v>847</v>
      </c>
      <c r="BF61" s="30" t="s">
        <v>375</v>
      </c>
      <c r="BG61" s="30" t="s">
        <v>230</v>
      </c>
      <c r="BH61" s="30" t="s">
        <v>231</v>
      </c>
      <c r="BI61" s="30" t="s">
        <v>258</v>
      </c>
      <c r="BJ61" s="30" t="s">
        <v>157</v>
      </c>
      <c r="BK61" s="30"/>
      <c r="BL61" s="30" t="s">
        <v>848</v>
      </c>
      <c r="BM61" s="30"/>
      <c r="BN61" s="30" t="s">
        <v>186</v>
      </c>
      <c r="BO61" s="30" t="s">
        <v>240</v>
      </c>
    </row>
    <row r="62" spans="1:67" s="3" customFormat="1" hidden="1">
      <c r="A62" s="30">
        <v>101</v>
      </c>
      <c r="B62" s="30" t="s">
        <v>152</v>
      </c>
      <c r="C62" s="30" t="s">
        <v>153</v>
      </c>
      <c r="D62" s="30" t="s">
        <v>831</v>
      </c>
      <c r="E62" s="30" t="s">
        <v>832</v>
      </c>
      <c r="F62" s="30" t="s">
        <v>545</v>
      </c>
      <c r="G62" s="30" t="s">
        <v>833</v>
      </c>
      <c r="H62" s="30" t="s">
        <v>834</v>
      </c>
      <c r="I62" s="30"/>
      <c r="J62" s="30" t="s">
        <v>158</v>
      </c>
      <c r="K62" s="30" t="s">
        <v>9</v>
      </c>
      <c r="L62" s="30" t="s">
        <v>212</v>
      </c>
      <c r="M62" s="30" t="s">
        <v>240</v>
      </c>
      <c r="N62" s="30" t="s">
        <v>549</v>
      </c>
      <c r="O62" s="30"/>
      <c r="P62" s="30"/>
      <c r="Q62" s="30" t="s">
        <v>831</v>
      </c>
      <c r="R62" s="30" t="s">
        <v>9</v>
      </c>
      <c r="S62" s="30" t="s">
        <v>835</v>
      </c>
      <c r="T62" s="30" t="s">
        <v>162</v>
      </c>
      <c r="U62" s="30" t="s">
        <v>836</v>
      </c>
      <c r="V62" s="30" t="s">
        <v>164</v>
      </c>
      <c r="W62" s="30" t="s">
        <v>165</v>
      </c>
      <c r="X62" s="30" t="s">
        <v>158</v>
      </c>
      <c r="Y62" s="30" t="s">
        <v>318</v>
      </c>
      <c r="Z62" s="30" t="s">
        <v>837</v>
      </c>
      <c r="AA62" s="30" t="s">
        <v>838</v>
      </c>
      <c r="AB62" s="30" t="s">
        <v>831</v>
      </c>
      <c r="AC62" s="30">
        <v>5695887</v>
      </c>
      <c r="AD62" s="30" t="s">
        <v>9</v>
      </c>
      <c r="AE62" s="30" t="s">
        <v>839</v>
      </c>
      <c r="AF62" s="30" t="s">
        <v>9</v>
      </c>
      <c r="AG62" s="30" t="s">
        <v>839</v>
      </c>
      <c r="AH62" s="33" t="s">
        <v>85</v>
      </c>
      <c r="AI62" s="30" t="s">
        <v>864</v>
      </c>
      <c r="AJ62" s="30" t="s">
        <v>865</v>
      </c>
      <c r="AK62" s="30" t="s">
        <v>171</v>
      </c>
      <c r="AL62" s="30" t="s">
        <v>157</v>
      </c>
      <c r="AM62" s="30">
        <v>7023.1</v>
      </c>
      <c r="AN62" s="30"/>
      <c r="AO62" s="30" t="s">
        <v>545</v>
      </c>
      <c r="AP62" s="30" t="s">
        <v>173</v>
      </c>
      <c r="AQ62" s="30" t="s">
        <v>225</v>
      </c>
      <c r="AR62" s="30" t="s">
        <v>842</v>
      </c>
      <c r="AS62" s="30" t="s">
        <v>843</v>
      </c>
      <c r="AT62" s="30" t="s">
        <v>866</v>
      </c>
      <c r="AU62" s="30" t="s">
        <v>845</v>
      </c>
      <c r="AV62" s="30"/>
      <c r="AW62" s="30" t="s">
        <v>846</v>
      </c>
      <c r="AX62" s="30"/>
      <c r="AY62" s="30"/>
      <c r="AZ62" s="30"/>
      <c r="BA62" s="30"/>
      <c r="BB62" s="30">
        <v>43538682</v>
      </c>
      <c r="BC62" s="30" t="s">
        <v>180</v>
      </c>
      <c r="BD62" s="30" t="s">
        <v>181</v>
      </c>
      <c r="BE62" s="30" t="s">
        <v>847</v>
      </c>
      <c r="BF62" s="30" t="s">
        <v>375</v>
      </c>
      <c r="BG62" s="30" t="s">
        <v>230</v>
      </c>
      <c r="BH62" s="30" t="s">
        <v>231</v>
      </c>
      <c r="BI62" s="30" t="s">
        <v>258</v>
      </c>
      <c r="BJ62" s="30" t="s">
        <v>157</v>
      </c>
      <c r="BK62" s="30"/>
      <c r="BL62" s="30" t="s">
        <v>848</v>
      </c>
      <c r="BM62" s="30"/>
      <c r="BN62" s="30" t="s">
        <v>186</v>
      </c>
      <c r="BO62" s="30" t="s">
        <v>240</v>
      </c>
    </row>
    <row r="63" spans="1:67" s="3" customFormat="1" hidden="1">
      <c r="A63" s="30">
        <v>102</v>
      </c>
      <c r="B63" s="30" t="s">
        <v>152</v>
      </c>
      <c r="C63" s="30" t="s">
        <v>153</v>
      </c>
      <c r="D63" s="30" t="s">
        <v>831</v>
      </c>
      <c r="E63" s="30" t="s">
        <v>832</v>
      </c>
      <c r="F63" s="30" t="s">
        <v>545</v>
      </c>
      <c r="G63" s="30" t="s">
        <v>833</v>
      </c>
      <c r="H63" s="30" t="s">
        <v>834</v>
      </c>
      <c r="I63" s="30"/>
      <c r="J63" s="30" t="s">
        <v>158</v>
      </c>
      <c r="K63" s="30" t="s">
        <v>9</v>
      </c>
      <c r="L63" s="30" t="s">
        <v>212</v>
      </c>
      <c r="M63" s="30" t="s">
        <v>240</v>
      </c>
      <c r="N63" s="30" t="s">
        <v>549</v>
      </c>
      <c r="O63" s="30"/>
      <c r="P63" s="30"/>
      <c r="Q63" s="30" t="s">
        <v>831</v>
      </c>
      <c r="R63" s="30" t="s">
        <v>9</v>
      </c>
      <c r="S63" s="30" t="s">
        <v>835</v>
      </c>
      <c r="T63" s="30" t="s">
        <v>162</v>
      </c>
      <c r="U63" s="30" t="s">
        <v>836</v>
      </c>
      <c r="V63" s="30" t="s">
        <v>164</v>
      </c>
      <c r="W63" s="30" t="s">
        <v>165</v>
      </c>
      <c r="X63" s="30" t="s">
        <v>158</v>
      </c>
      <c r="Y63" s="30" t="s">
        <v>318</v>
      </c>
      <c r="Z63" s="30" t="s">
        <v>837</v>
      </c>
      <c r="AA63" s="30" t="s">
        <v>838</v>
      </c>
      <c r="AB63" s="30" t="s">
        <v>831</v>
      </c>
      <c r="AC63" s="30">
        <v>5695887</v>
      </c>
      <c r="AD63" s="30" t="s">
        <v>9</v>
      </c>
      <c r="AE63" s="30" t="s">
        <v>839</v>
      </c>
      <c r="AF63" s="30" t="s">
        <v>9</v>
      </c>
      <c r="AG63" s="30" t="s">
        <v>839</v>
      </c>
      <c r="AH63" s="33" t="s">
        <v>85</v>
      </c>
      <c r="AI63" s="30" t="s">
        <v>867</v>
      </c>
      <c r="AJ63" s="30" t="s">
        <v>868</v>
      </c>
      <c r="AK63" s="30" t="s">
        <v>171</v>
      </c>
      <c r="AL63" s="30" t="s">
        <v>157</v>
      </c>
      <c r="AM63" s="30">
        <v>3830.8</v>
      </c>
      <c r="AN63" s="30"/>
      <c r="AO63" s="30" t="s">
        <v>545</v>
      </c>
      <c r="AP63" s="30" t="s">
        <v>173</v>
      </c>
      <c r="AQ63" s="30" t="s">
        <v>225</v>
      </c>
      <c r="AR63" s="30" t="s">
        <v>842</v>
      </c>
      <c r="AS63" s="30" t="s">
        <v>843</v>
      </c>
      <c r="AT63" s="30" t="s">
        <v>869</v>
      </c>
      <c r="AU63" s="30" t="s">
        <v>845</v>
      </c>
      <c r="AV63" s="30"/>
      <c r="AW63" s="30" t="s">
        <v>846</v>
      </c>
      <c r="AX63" s="30"/>
      <c r="AY63" s="30"/>
      <c r="AZ63" s="30"/>
      <c r="BA63" s="30"/>
      <c r="BB63" s="30">
        <v>43538682</v>
      </c>
      <c r="BC63" s="30" t="s">
        <v>180</v>
      </c>
      <c r="BD63" s="30" t="s">
        <v>181</v>
      </c>
      <c r="BE63" s="30" t="s">
        <v>847</v>
      </c>
      <c r="BF63" s="30" t="s">
        <v>375</v>
      </c>
      <c r="BG63" s="30" t="s">
        <v>230</v>
      </c>
      <c r="BH63" s="30" t="s">
        <v>231</v>
      </c>
      <c r="BI63" s="30" t="s">
        <v>258</v>
      </c>
      <c r="BJ63" s="30" t="s">
        <v>157</v>
      </c>
      <c r="BK63" s="30"/>
      <c r="BL63" s="30" t="s">
        <v>848</v>
      </c>
      <c r="BM63" s="30"/>
      <c r="BN63" s="30" t="s">
        <v>186</v>
      </c>
      <c r="BO63" s="30" t="s">
        <v>240</v>
      </c>
    </row>
    <row r="64" spans="1:67" s="3" customFormat="1" hidden="1">
      <c r="A64" s="30">
        <v>103</v>
      </c>
      <c r="B64" s="30" t="s">
        <v>152</v>
      </c>
      <c r="C64" s="30" t="s">
        <v>153</v>
      </c>
      <c r="D64" s="30" t="s">
        <v>831</v>
      </c>
      <c r="E64" s="30" t="s">
        <v>832</v>
      </c>
      <c r="F64" s="30" t="s">
        <v>545</v>
      </c>
      <c r="G64" s="30" t="s">
        <v>833</v>
      </c>
      <c r="H64" s="30" t="s">
        <v>834</v>
      </c>
      <c r="I64" s="30"/>
      <c r="J64" s="30" t="s">
        <v>158</v>
      </c>
      <c r="K64" s="30" t="s">
        <v>9</v>
      </c>
      <c r="L64" s="30" t="s">
        <v>212</v>
      </c>
      <c r="M64" s="30" t="s">
        <v>240</v>
      </c>
      <c r="N64" s="30" t="s">
        <v>549</v>
      </c>
      <c r="O64" s="30"/>
      <c r="P64" s="30"/>
      <c r="Q64" s="30" t="s">
        <v>831</v>
      </c>
      <c r="R64" s="30" t="s">
        <v>9</v>
      </c>
      <c r="S64" s="30" t="s">
        <v>835</v>
      </c>
      <c r="T64" s="30" t="s">
        <v>162</v>
      </c>
      <c r="U64" s="30" t="s">
        <v>836</v>
      </c>
      <c r="V64" s="30" t="s">
        <v>164</v>
      </c>
      <c r="W64" s="30" t="s">
        <v>165</v>
      </c>
      <c r="X64" s="30" t="s">
        <v>158</v>
      </c>
      <c r="Y64" s="30" t="s">
        <v>318</v>
      </c>
      <c r="Z64" s="30" t="s">
        <v>837</v>
      </c>
      <c r="AA64" s="30" t="s">
        <v>838</v>
      </c>
      <c r="AB64" s="30" t="s">
        <v>831</v>
      </c>
      <c r="AC64" s="30">
        <v>5695887</v>
      </c>
      <c r="AD64" s="30" t="s">
        <v>9</v>
      </c>
      <c r="AE64" s="30" t="s">
        <v>839</v>
      </c>
      <c r="AF64" s="30" t="s">
        <v>9</v>
      </c>
      <c r="AG64" s="30" t="s">
        <v>839</v>
      </c>
      <c r="AH64" s="33" t="s">
        <v>85</v>
      </c>
      <c r="AI64" s="30" t="s">
        <v>870</v>
      </c>
      <c r="AJ64" s="30" t="s">
        <v>871</v>
      </c>
      <c r="AK64" s="30" t="s">
        <v>171</v>
      </c>
      <c r="AL64" s="30" t="s">
        <v>157</v>
      </c>
      <c r="AM64" s="30">
        <v>3549.1</v>
      </c>
      <c r="AN64" s="30"/>
      <c r="AO64" s="30" t="s">
        <v>545</v>
      </c>
      <c r="AP64" s="30" t="s">
        <v>173</v>
      </c>
      <c r="AQ64" s="30" t="s">
        <v>225</v>
      </c>
      <c r="AR64" s="30" t="s">
        <v>842</v>
      </c>
      <c r="AS64" s="30" t="s">
        <v>843</v>
      </c>
      <c r="AT64" s="30" t="s">
        <v>872</v>
      </c>
      <c r="AU64" s="30" t="s">
        <v>845</v>
      </c>
      <c r="AV64" s="30"/>
      <c r="AW64" s="30" t="s">
        <v>846</v>
      </c>
      <c r="AX64" s="30"/>
      <c r="AY64" s="30"/>
      <c r="AZ64" s="30"/>
      <c r="BA64" s="30"/>
      <c r="BB64" s="30">
        <v>43538682</v>
      </c>
      <c r="BC64" s="30" t="s">
        <v>180</v>
      </c>
      <c r="BD64" s="30" t="s">
        <v>181</v>
      </c>
      <c r="BE64" s="30" t="s">
        <v>847</v>
      </c>
      <c r="BF64" s="30" t="s">
        <v>375</v>
      </c>
      <c r="BG64" s="30" t="s">
        <v>230</v>
      </c>
      <c r="BH64" s="30" t="s">
        <v>231</v>
      </c>
      <c r="BI64" s="30" t="s">
        <v>258</v>
      </c>
      <c r="BJ64" s="30" t="s">
        <v>157</v>
      </c>
      <c r="BK64" s="30"/>
      <c r="BL64" s="30" t="s">
        <v>848</v>
      </c>
      <c r="BM64" s="30"/>
      <c r="BN64" s="30" t="s">
        <v>186</v>
      </c>
      <c r="BO64" s="30" t="s">
        <v>240</v>
      </c>
    </row>
    <row r="65" spans="1:67" s="3" customFormat="1" hidden="1">
      <c r="A65" s="30">
        <v>104</v>
      </c>
      <c r="B65" s="30" t="s">
        <v>152</v>
      </c>
      <c r="C65" s="30" t="s">
        <v>153</v>
      </c>
      <c r="D65" s="30" t="s">
        <v>831</v>
      </c>
      <c r="E65" s="30" t="s">
        <v>832</v>
      </c>
      <c r="F65" s="30" t="s">
        <v>545</v>
      </c>
      <c r="G65" s="30" t="s">
        <v>833</v>
      </c>
      <c r="H65" s="30" t="s">
        <v>834</v>
      </c>
      <c r="I65" s="30"/>
      <c r="J65" s="30" t="s">
        <v>158</v>
      </c>
      <c r="K65" s="30" t="s">
        <v>9</v>
      </c>
      <c r="L65" s="30" t="s">
        <v>212</v>
      </c>
      <c r="M65" s="30" t="s">
        <v>240</v>
      </c>
      <c r="N65" s="30" t="s">
        <v>549</v>
      </c>
      <c r="O65" s="30"/>
      <c r="P65" s="30"/>
      <c r="Q65" s="30" t="s">
        <v>831</v>
      </c>
      <c r="R65" s="30" t="s">
        <v>9</v>
      </c>
      <c r="S65" s="30" t="s">
        <v>835</v>
      </c>
      <c r="T65" s="30" t="s">
        <v>162</v>
      </c>
      <c r="U65" s="30" t="s">
        <v>836</v>
      </c>
      <c r="V65" s="30" t="s">
        <v>164</v>
      </c>
      <c r="W65" s="30" t="s">
        <v>165</v>
      </c>
      <c r="X65" s="30" t="s">
        <v>158</v>
      </c>
      <c r="Y65" s="30" t="s">
        <v>318</v>
      </c>
      <c r="Z65" s="30" t="s">
        <v>837</v>
      </c>
      <c r="AA65" s="30" t="s">
        <v>838</v>
      </c>
      <c r="AB65" s="30" t="s">
        <v>831</v>
      </c>
      <c r="AC65" s="30">
        <v>5695887</v>
      </c>
      <c r="AD65" s="30" t="s">
        <v>9</v>
      </c>
      <c r="AE65" s="30" t="s">
        <v>839</v>
      </c>
      <c r="AF65" s="30" t="s">
        <v>9</v>
      </c>
      <c r="AG65" s="30" t="s">
        <v>839</v>
      </c>
      <c r="AH65" s="33" t="s">
        <v>85</v>
      </c>
      <c r="AI65" s="30" t="s">
        <v>873</v>
      </c>
      <c r="AJ65" s="30" t="s">
        <v>874</v>
      </c>
      <c r="AK65" s="30" t="s">
        <v>171</v>
      </c>
      <c r="AL65" s="30" t="s">
        <v>157</v>
      </c>
      <c r="AM65" s="30">
        <v>10000</v>
      </c>
      <c r="AN65" s="30"/>
      <c r="AO65" s="30" t="s">
        <v>545</v>
      </c>
      <c r="AP65" s="30" t="s">
        <v>173</v>
      </c>
      <c r="AQ65" s="30" t="s">
        <v>225</v>
      </c>
      <c r="AR65" s="30" t="s">
        <v>842</v>
      </c>
      <c r="AS65" s="30" t="s">
        <v>843</v>
      </c>
      <c r="AT65" s="30"/>
      <c r="AU65" s="30" t="s">
        <v>845</v>
      </c>
      <c r="AV65" s="30"/>
      <c r="AW65" s="30" t="s">
        <v>846</v>
      </c>
      <c r="AX65" s="30"/>
      <c r="AY65" s="30"/>
      <c r="AZ65" s="30"/>
      <c r="BA65" s="30"/>
      <c r="BB65" s="30">
        <v>43538682</v>
      </c>
      <c r="BC65" s="30" t="s">
        <v>180</v>
      </c>
      <c r="BD65" s="30" t="s">
        <v>181</v>
      </c>
      <c r="BE65" s="30" t="s">
        <v>847</v>
      </c>
      <c r="BF65" s="30" t="s">
        <v>375</v>
      </c>
      <c r="BG65" s="30" t="s">
        <v>230</v>
      </c>
      <c r="BH65" s="30" t="s">
        <v>231</v>
      </c>
      <c r="BI65" s="30" t="s">
        <v>258</v>
      </c>
      <c r="BJ65" s="30" t="s">
        <v>157</v>
      </c>
      <c r="BK65" s="30"/>
      <c r="BL65" s="30"/>
      <c r="BM65" s="30"/>
      <c r="BN65" s="30" t="s">
        <v>186</v>
      </c>
      <c r="BO65" s="30" t="s">
        <v>240</v>
      </c>
    </row>
    <row r="66" spans="1:67" s="3" customFormat="1" hidden="1">
      <c r="A66" s="30">
        <v>44</v>
      </c>
      <c r="B66" s="30" t="s">
        <v>152</v>
      </c>
      <c r="C66" s="30" t="s">
        <v>153</v>
      </c>
      <c r="D66" s="30" t="s">
        <v>875</v>
      </c>
      <c r="E66" s="30" t="s">
        <v>876</v>
      </c>
      <c r="F66" s="30" t="s">
        <v>877</v>
      </c>
      <c r="G66" s="30" t="s">
        <v>878</v>
      </c>
      <c r="H66" s="30" t="s">
        <v>879</v>
      </c>
      <c r="I66" s="30"/>
      <c r="J66" s="30" t="s">
        <v>330</v>
      </c>
      <c r="K66" s="30" t="s">
        <v>16</v>
      </c>
      <c r="L66" s="30" t="s">
        <v>212</v>
      </c>
      <c r="M66" s="30" t="s">
        <v>240</v>
      </c>
      <c r="N66" s="30" t="s">
        <v>880</v>
      </c>
      <c r="O66" s="30"/>
      <c r="P66" s="30"/>
      <c r="Q66" s="30" t="s">
        <v>875</v>
      </c>
      <c r="R66" s="30" t="s">
        <v>16</v>
      </c>
      <c r="S66" s="30" t="s">
        <v>881</v>
      </c>
      <c r="T66" s="30" t="s">
        <v>162</v>
      </c>
      <c r="U66" s="30" t="s">
        <v>882</v>
      </c>
      <c r="V66" s="30" t="s">
        <v>164</v>
      </c>
      <c r="W66" s="30" t="s">
        <v>244</v>
      </c>
      <c r="X66" s="30" t="s">
        <v>330</v>
      </c>
      <c r="Y66" s="30" t="s">
        <v>883</v>
      </c>
      <c r="Z66" s="30" t="s">
        <v>884</v>
      </c>
      <c r="AA66" s="30" t="s">
        <v>884</v>
      </c>
      <c r="AB66" s="30" t="s">
        <v>875</v>
      </c>
      <c r="AC66" s="30">
        <v>5737921</v>
      </c>
      <c r="AD66" s="30" t="s">
        <v>16</v>
      </c>
      <c r="AE66" s="30" t="s">
        <v>885</v>
      </c>
      <c r="AF66" s="30" t="s">
        <v>16</v>
      </c>
      <c r="AG66" s="30" t="s">
        <v>886</v>
      </c>
      <c r="AH66" s="33" t="s">
        <v>83</v>
      </c>
      <c r="AI66" s="30" t="s">
        <v>887</v>
      </c>
      <c r="AJ66" s="30" t="s">
        <v>415</v>
      </c>
      <c r="AK66" s="30" t="s">
        <v>171</v>
      </c>
      <c r="AL66" s="30" t="s">
        <v>157</v>
      </c>
      <c r="AM66" s="30">
        <v>4800</v>
      </c>
      <c r="AN66" s="30"/>
      <c r="AO66" s="30" t="s">
        <v>877</v>
      </c>
      <c r="AP66" s="30" t="s">
        <v>173</v>
      </c>
      <c r="AQ66" s="30" t="s">
        <v>225</v>
      </c>
      <c r="AR66" s="30"/>
      <c r="AS66" s="30" t="s">
        <v>888</v>
      </c>
      <c r="AT66" s="30"/>
      <c r="AU66" s="30" t="s">
        <v>516</v>
      </c>
      <c r="AV66" s="30"/>
      <c r="AW66" s="30" t="s">
        <v>889</v>
      </c>
      <c r="AX66" s="30"/>
      <c r="AY66" s="30"/>
      <c r="AZ66" s="30"/>
      <c r="BA66" s="30"/>
      <c r="BB66" s="30">
        <v>30979793</v>
      </c>
      <c r="BC66" s="30" t="s">
        <v>180</v>
      </c>
      <c r="BD66" s="30" t="s">
        <v>255</v>
      </c>
      <c r="BE66" s="30" t="s">
        <v>256</v>
      </c>
      <c r="BF66" s="30" t="s">
        <v>257</v>
      </c>
      <c r="BG66" s="30" t="s">
        <v>230</v>
      </c>
      <c r="BH66" s="30" t="s">
        <v>184</v>
      </c>
      <c r="BI66" s="30" t="s">
        <v>258</v>
      </c>
      <c r="BJ66" s="30" t="s">
        <v>157</v>
      </c>
      <c r="BK66" s="30"/>
      <c r="BL66" s="30"/>
      <c r="BM66" s="30"/>
      <c r="BN66" s="30" t="s">
        <v>186</v>
      </c>
      <c r="BO66" s="30" t="s">
        <v>240</v>
      </c>
    </row>
    <row r="67" spans="1:67" s="3" customFormat="1" hidden="1">
      <c r="A67" s="30">
        <v>42</v>
      </c>
      <c r="B67" s="30" t="s">
        <v>152</v>
      </c>
      <c r="C67" s="30" t="s">
        <v>153</v>
      </c>
      <c r="D67" s="30" t="s">
        <v>890</v>
      </c>
      <c r="E67" s="30" t="s">
        <v>891</v>
      </c>
      <c r="F67" s="30" t="s">
        <v>438</v>
      </c>
      <c r="G67" s="30" t="s">
        <v>892</v>
      </c>
      <c r="H67" s="30" t="s">
        <v>893</v>
      </c>
      <c r="I67" s="30" t="s">
        <v>157</v>
      </c>
      <c r="J67" s="30" t="s">
        <v>354</v>
      </c>
      <c r="K67" s="30" t="s">
        <v>21</v>
      </c>
      <c r="L67" s="30" t="s">
        <v>212</v>
      </c>
      <c r="M67" s="30" t="s">
        <v>703</v>
      </c>
      <c r="N67" s="30" t="s">
        <v>286</v>
      </c>
      <c r="O67" s="30"/>
      <c r="P67" s="30"/>
      <c r="Q67" s="30" t="s">
        <v>890</v>
      </c>
      <c r="R67" s="30" t="s">
        <v>21</v>
      </c>
      <c r="S67" s="30" t="s">
        <v>894</v>
      </c>
      <c r="T67" s="30" t="s">
        <v>217</v>
      </c>
      <c r="U67" s="30" t="s">
        <v>895</v>
      </c>
      <c r="V67" s="30" t="s">
        <v>164</v>
      </c>
      <c r="W67" s="30" t="s">
        <v>244</v>
      </c>
      <c r="X67" s="30" t="s">
        <v>330</v>
      </c>
      <c r="Y67" s="30" t="s">
        <v>896</v>
      </c>
      <c r="Z67" s="30" t="s">
        <v>354</v>
      </c>
      <c r="AA67" s="30" t="s">
        <v>354</v>
      </c>
      <c r="AB67" s="30" t="s">
        <v>890</v>
      </c>
      <c r="AC67" s="30">
        <v>5739155</v>
      </c>
      <c r="AD67" s="30" t="s">
        <v>21</v>
      </c>
      <c r="AE67" s="30" t="s">
        <v>897</v>
      </c>
      <c r="AF67" s="30" t="s">
        <v>21</v>
      </c>
      <c r="AG67" s="30" t="s">
        <v>898</v>
      </c>
      <c r="AH67" s="33" t="s">
        <v>83</v>
      </c>
      <c r="AI67" s="30" t="s">
        <v>899</v>
      </c>
      <c r="AJ67" s="30" t="s">
        <v>415</v>
      </c>
      <c r="AK67" s="30" t="s">
        <v>171</v>
      </c>
      <c r="AL67" s="30" t="s">
        <v>157</v>
      </c>
      <c r="AM67" s="30">
        <v>8800</v>
      </c>
      <c r="AN67" s="30"/>
      <c r="AO67" s="30" t="s">
        <v>283</v>
      </c>
      <c r="AP67" s="30" t="s">
        <v>369</v>
      </c>
      <c r="AQ67" s="30" t="s">
        <v>225</v>
      </c>
      <c r="AR67" s="30"/>
      <c r="AS67" s="30" t="s">
        <v>900</v>
      </c>
      <c r="AT67" s="30"/>
      <c r="AU67" s="30" t="s">
        <v>466</v>
      </c>
      <c r="AV67" s="30"/>
      <c r="AW67" s="30" t="s">
        <v>901</v>
      </c>
      <c r="AX67" s="30"/>
      <c r="AY67" s="30"/>
      <c r="AZ67" s="30"/>
      <c r="BA67" s="30"/>
      <c r="BB67" s="30">
        <v>88224022</v>
      </c>
      <c r="BC67" s="30" t="s">
        <v>180</v>
      </c>
      <c r="BD67" s="30" t="s">
        <v>255</v>
      </c>
      <c r="BE67" s="30" t="s">
        <v>256</v>
      </c>
      <c r="BF67" s="30" t="s">
        <v>257</v>
      </c>
      <c r="BG67" s="30" t="s">
        <v>230</v>
      </c>
      <c r="BH67" s="30" t="s">
        <v>184</v>
      </c>
      <c r="BI67" s="30" t="s">
        <v>180</v>
      </c>
      <c r="BJ67" s="30" t="s">
        <v>157</v>
      </c>
      <c r="BK67" s="30"/>
      <c r="BL67" s="30"/>
      <c r="BM67" s="30"/>
      <c r="BN67" s="30" t="s">
        <v>517</v>
      </c>
      <c r="BO67" s="30" t="s">
        <v>233</v>
      </c>
    </row>
    <row r="68" spans="1:67" s="3" customFormat="1" hidden="1">
      <c r="A68" s="30">
        <v>111</v>
      </c>
      <c r="B68" s="30" t="s">
        <v>152</v>
      </c>
      <c r="C68" s="30" t="s">
        <v>153</v>
      </c>
      <c r="D68" s="30" t="s">
        <v>902</v>
      </c>
      <c r="E68" s="30" t="s">
        <v>903</v>
      </c>
      <c r="F68" s="30" t="s">
        <v>403</v>
      </c>
      <c r="G68" s="30" t="s">
        <v>904</v>
      </c>
      <c r="H68" s="30" t="s">
        <v>905</v>
      </c>
      <c r="I68" s="30"/>
      <c r="J68" s="30" t="s">
        <v>330</v>
      </c>
      <c r="K68" s="30" t="s">
        <v>16</v>
      </c>
      <c r="L68" s="30" t="s">
        <v>212</v>
      </c>
      <c r="M68" s="30" t="s">
        <v>240</v>
      </c>
      <c r="N68" s="30" t="s">
        <v>406</v>
      </c>
      <c r="O68" s="30"/>
      <c r="P68" s="30"/>
      <c r="Q68" s="30" t="s">
        <v>902</v>
      </c>
      <c r="R68" s="30" t="s">
        <v>16</v>
      </c>
      <c r="S68" s="30" t="s">
        <v>906</v>
      </c>
      <c r="T68" s="30" t="s">
        <v>162</v>
      </c>
      <c r="U68" s="30" t="s">
        <v>907</v>
      </c>
      <c r="V68" s="30" t="s">
        <v>164</v>
      </c>
      <c r="W68" s="30" t="s">
        <v>244</v>
      </c>
      <c r="X68" s="30" t="s">
        <v>330</v>
      </c>
      <c r="Y68" s="30" t="s">
        <v>807</v>
      </c>
      <c r="Z68" s="30" t="s">
        <v>908</v>
      </c>
      <c r="AA68" s="30" t="s">
        <v>909</v>
      </c>
      <c r="AB68" s="30" t="s">
        <v>902</v>
      </c>
      <c r="AC68" s="30">
        <v>5694025</v>
      </c>
      <c r="AD68" s="30" t="s">
        <v>16</v>
      </c>
      <c r="AE68" s="30" t="s">
        <v>910</v>
      </c>
      <c r="AF68" s="30" t="s">
        <v>16</v>
      </c>
      <c r="AG68" s="30" t="s">
        <v>911</v>
      </c>
      <c r="AH68" s="33" t="s">
        <v>83</v>
      </c>
      <c r="AI68" s="30" t="s">
        <v>912</v>
      </c>
      <c r="AJ68" s="30" t="s">
        <v>913</v>
      </c>
      <c r="AK68" s="30" t="s">
        <v>171</v>
      </c>
      <c r="AL68" s="30" t="s">
        <v>157</v>
      </c>
      <c r="AM68" s="30">
        <v>5400</v>
      </c>
      <c r="AN68" s="30"/>
      <c r="AO68" s="30" t="s">
        <v>403</v>
      </c>
      <c r="AP68" s="30" t="s">
        <v>173</v>
      </c>
      <c r="AQ68" s="30" t="s">
        <v>225</v>
      </c>
      <c r="AR68" s="30"/>
      <c r="AS68" s="30" t="s">
        <v>914</v>
      </c>
      <c r="AT68" s="30"/>
      <c r="AU68" s="30" t="s">
        <v>372</v>
      </c>
      <c r="AV68" s="30"/>
      <c r="AW68" s="30" t="s">
        <v>915</v>
      </c>
      <c r="AX68" s="30"/>
      <c r="AY68" s="30"/>
      <c r="AZ68" s="30"/>
      <c r="BA68" s="30"/>
      <c r="BB68" s="30">
        <v>61985429</v>
      </c>
      <c r="BC68" s="30" t="s">
        <v>180</v>
      </c>
      <c r="BD68" s="30" t="s">
        <v>255</v>
      </c>
      <c r="BE68" s="30" t="s">
        <v>256</v>
      </c>
      <c r="BF68" s="30" t="s">
        <v>229</v>
      </c>
      <c r="BG68" s="30" t="s">
        <v>230</v>
      </c>
      <c r="BH68" s="30" t="s">
        <v>916</v>
      </c>
      <c r="BI68" s="30" t="s">
        <v>258</v>
      </c>
      <c r="BJ68" s="30" t="s">
        <v>157</v>
      </c>
      <c r="BK68" s="30"/>
      <c r="BL68" s="30"/>
      <c r="BM68" s="30"/>
      <c r="BN68" s="30" t="s">
        <v>186</v>
      </c>
      <c r="BO68" s="30" t="s">
        <v>240</v>
      </c>
    </row>
    <row r="69" spans="1:67" s="3" customFormat="1" hidden="1">
      <c r="A69" s="30">
        <v>65</v>
      </c>
      <c r="B69" s="30" t="s">
        <v>152</v>
      </c>
      <c r="C69" s="30" t="s">
        <v>153</v>
      </c>
      <c r="D69" s="30"/>
      <c r="E69" s="30" t="s">
        <v>917</v>
      </c>
      <c r="F69" s="30"/>
      <c r="G69" s="30" t="s">
        <v>918</v>
      </c>
      <c r="H69" s="30" t="s">
        <v>919</v>
      </c>
      <c r="I69" s="30"/>
      <c r="J69" s="30" t="s">
        <v>239</v>
      </c>
      <c r="K69" s="30" t="s">
        <v>16</v>
      </c>
      <c r="L69" s="30" t="s">
        <v>212</v>
      </c>
      <c r="M69" s="30" t="s">
        <v>240</v>
      </c>
      <c r="N69" s="30"/>
      <c r="O69" s="30"/>
      <c r="P69" s="30"/>
      <c r="Q69" s="30" t="s">
        <v>920</v>
      </c>
      <c r="R69" s="30" t="s">
        <v>16</v>
      </c>
      <c r="S69" s="30" t="s">
        <v>921</v>
      </c>
      <c r="T69" s="30" t="s">
        <v>162</v>
      </c>
      <c r="U69" s="30" t="s">
        <v>922</v>
      </c>
      <c r="V69" s="30" t="s">
        <v>164</v>
      </c>
      <c r="W69" s="30" t="s">
        <v>244</v>
      </c>
      <c r="X69" s="30" t="s">
        <v>239</v>
      </c>
      <c r="Y69" s="30" t="s">
        <v>923</v>
      </c>
      <c r="Z69" s="30" t="s">
        <v>924</v>
      </c>
      <c r="AA69" s="30" t="s">
        <v>925</v>
      </c>
      <c r="AB69" s="30" t="s">
        <v>920</v>
      </c>
      <c r="AC69" s="30">
        <v>5706823</v>
      </c>
      <c r="AD69" s="30" t="s">
        <v>16</v>
      </c>
      <c r="AE69" s="30" t="s">
        <v>926</v>
      </c>
      <c r="AF69" s="30" t="s">
        <v>16</v>
      </c>
      <c r="AG69" s="30" t="s">
        <v>927</v>
      </c>
      <c r="AH69" s="33" t="s">
        <v>83</v>
      </c>
      <c r="AI69" s="30" t="s">
        <v>928</v>
      </c>
      <c r="AJ69" s="30" t="s">
        <v>415</v>
      </c>
      <c r="AK69" s="30" t="s">
        <v>171</v>
      </c>
      <c r="AL69" s="30" t="s">
        <v>157</v>
      </c>
      <c r="AM69" s="30">
        <v>1600</v>
      </c>
      <c r="AN69" s="30"/>
      <c r="AO69" s="30" t="s">
        <v>157</v>
      </c>
      <c r="AP69" s="30" t="s">
        <v>173</v>
      </c>
      <c r="AQ69" s="30" t="s">
        <v>225</v>
      </c>
      <c r="AR69" s="30"/>
      <c r="AS69" s="30" t="s">
        <v>929</v>
      </c>
      <c r="AT69" s="30"/>
      <c r="AU69" s="30" t="s">
        <v>395</v>
      </c>
      <c r="AV69" s="30"/>
      <c r="AW69" s="30" t="s">
        <v>930</v>
      </c>
      <c r="AX69" s="30"/>
      <c r="AY69" s="30"/>
      <c r="AZ69" s="30"/>
      <c r="BA69" s="30"/>
      <c r="BB69" s="30">
        <v>37964629</v>
      </c>
      <c r="BC69" s="30" t="s">
        <v>180</v>
      </c>
      <c r="BD69" s="30" t="s">
        <v>181</v>
      </c>
      <c r="BE69" s="30" t="s">
        <v>256</v>
      </c>
      <c r="BF69" s="30" t="s">
        <v>257</v>
      </c>
      <c r="BG69" s="30"/>
      <c r="BH69" s="30" t="s">
        <v>280</v>
      </c>
      <c r="BI69" s="30" t="s">
        <v>258</v>
      </c>
      <c r="BJ69" s="30" t="s">
        <v>157</v>
      </c>
      <c r="BK69" s="30"/>
      <c r="BL69" s="30"/>
      <c r="BM69" s="30"/>
      <c r="BN69" s="30"/>
      <c r="BO69" s="30"/>
    </row>
    <row r="70" spans="1:67" s="3" customFormat="1" hidden="1">
      <c r="A70" s="30">
        <v>66</v>
      </c>
      <c r="B70" s="30" t="s">
        <v>152</v>
      </c>
      <c r="C70" s="30" t="s">
        <v>153</v>
      </c>
      <c r="D70" s="30" t="s">
        <v>920</v>
      </c>
      <c r="E70" s="30" t="s">
        <v>917</v>
      </c>
      <c r="F70" s="30" t="s">
        <v>283</v>
      </c>
      <c r="G70" s="30" t="s">
        <v>918</v>
      </c>
      <c r="H70" s="30" t="s">
        <v>919</v>
      </c>
      <c r="I70" s="30"/>
      <c r="J70" s="30" t="s">
        <v>239</v>
      </c>
      <c r="K70" s="30" t="s">
        <v>16</v>
      </c>
      <c r="L70" s="30" t="s">
        <v>212</v>
      </c>
      <c r="M70" s="30" t="s">
        <v>240</v>
      </c>
      <c r="N70" s="30" t="s">
        <v>286</v>
      </c>
      <c r="O70" s="30"/>
      <c r="P70" s="30"/>
      <c r="Q70" s="30" t="s">
        <v>920</v>
      </c>
      <c r="R70" s="30" t="s">
        <v>16</v>
      </c>
      <c r="S70" s="30" t="s">
        <v>931</v>
      </c>
      <c r="T70" s="30" t="s">
        <v>162</v>
      </c>
      <c r="U70" s="30" t="s">
        <v>932</v>
      </c>
      <c r="V70" s="30" t="s">
        <v>164</v>
      </c>
      <c r="W70" s="30" t="s">
        <v>244</v>
      </c>
      <c r="X70" s="30" t="s">
        <v>239</v>
      </c>
      <c r="Y70" s="30" t="s">
        <v>923</v>
      </c>
      <c r="Z70" s="30" t="s">
        <v>924</v>
      </c>
      <c r="AA70" s="30" t="s">
        <v>925</v>
      </c>
      <c r="AB70" s="30" t="s">
        <v>920</v>
      </c>
      <c r="AC70" s="30">
        <v>5706621</v>
      </c>
      <c r="AD70" s="30" t="s">
        <v>16</v>
      </c>
      <c r="AE70" s="30" t="s">
        <v>933</v>
      </c>
      <c r="AF70" s="30" t="s">
        <v>16</v>
      </c>
      <c r="AG70" s="30" t="s">
        <v>934</v>
      </c>
      <c r="AH70" s="33" t="s">
        <v>87</v>
      </c>
      <c r="AI70" s="30" t="s">
        <v>935</v>
      </c>
      <c r="AJ70" s="30" t="s">
        <v>936</v>
      </c>
      <c r="AK70" s="30" t="s">
        <v>171</v>
      </c>
      <c r="AL70" s="30" t="s">
        <v>157</v>
      </c>
      <c r="AM70" s="30">
        <v>12800</v>
      </c>
      <c r="AN70" s="30"/>
      <c r="AO70" s="30" t="s">
        <v>283</v>
      </c>
      <c r="AP70" s="30" t="s">
        <v>173</v>
      </c>
      <c r="AQ70" s="30" t="s">
        <v>225</v>
      </c>
      <c r="AR70" s="30"/>
      <c r="AS70" s="30" t="s">
        <v>929</v>
      </c>
      <c r="AT70" s="30"/>
      <c r="AU70" s="30" t="s">
        <v>395</v>
      </c>
      <c r="AV70" s="30"/>
      <c r="AW70" s="30" t="s">
        <v>937</v>
      </c>
      <c r="AX70" s="30"/>
      <c r="AY70" s="30"/>
      <c r="AZ70" s="30"/>
      <c r="BA70" s="30"/>
      <c r="BB70" s="30">
        <v>37964629</v>
      </c>
      <c r="BC70" s="30" t="s">
        <v>180</v>
      </c>
      <c r="BD70" s="30" t="s">
        <v>181</v>
      </c>
      <c r="BE70" s="30" t="s">
        <v>256</v>
      </c>
      <c r="BF70" s="30" t="s">
        <v>257</v>
      </c>
      <c r="BG70" s="30" t="s">
        <v>230</v>
      </c>
      <c r="BH70" s="30" t="s">
        <v>280</v>
      </c>
      <c r="BI70" s="30" t="s">
        <v>180</v>
      </c>
      <c r="BJ70" s="30" t="s">
        <v>157</v>
      </c>
      <c r="BK70" s="30"/>
      <c r="BL70" s="30"/>
      <c r="BM70" s="30"/>
      <c r="BN70" s="30"/>
      <c r="BO70" s="30" t="s">
        <v>240</v>
      </c>
    </row>
    <row r="71" spans="1:67" s="3" customFormat="1" hidden="1">
      <c r="A71" s="30">
        <v>32</v>
      </c>
      <c r="B71" s="30" t="s">
        <v>152</v>
      </c>
      <c r="C71" s="30" t="s">
        <v>153</v>
      </c>
      <c r="D71" s="30"/>
      <c r="E71" s="30" t="s">
        <v>938</v>
      </c>
      <c r="F71" s="30"/>
      <c r="G71" s="30" t="s">
        <v>939</v>
      </c>
      <c r="H71" s="30" t="s">
        <v>940</v>
      </c>
      <c r="I71" s="30" t="s">
        <v>157</v>
      </c>
      <c r="J71" s="30" t="s">
        <v>158</v>
      </c>
      <c r="K71" s="30" t="s">
        <v>941</v>
      </c>
      <c r="L71" s="30" t="s">
        <v>525</v>
      </c>
      <c r="M71" s="30" t="s">
        <v>942</v>
      </c>
      <c r="N71" s="30"/>
      <c r="O71" s="30"/>
      <c r="P71" s="30"/>
      <c r="Q71" s="30" t="s">
        <v>943</v>
      </c>
      <c r="R71" s="30" t="s">
        <v>941</v>
      </c>
      <c r="S71" s="30" t="s">
        <v>944</v>
      </c>
      <c r="T71" s="30" t="s">
        <v>162</v>
      </c>
      <c r="U71" s="30" t="s">
        <v>945</v>
      </c>
      <c r="V71" s="30" t="s">
        <v>387</v>
      </c>
      <c r="W71" s="30" t="s">
        <v>165</v>
      </c>
      <c r="X71" s="30" t="s">
        <v>158</v>
      </c>
      <c r="Y71" s="30" t="s">
        <v>245</v>
      </c>
      <c r="Z71" s="30" t="s">
        <v>946</v>
      </c>
      <c r="AA71" s="30" t="s">
        <v>947</v>
      </c>
      <c r="AB71" s="31" t="s">
        <v>943</v>
      </c>
      <c r="AC71" s="30">
        <v>5698344</v>
      </c>
      <c r="AD71" s="30" t="s">
        <v>9</v>
      </c>
      <c r="AE71" s="30" t="s">
        <v>948</v>
      </c>
      <c r="AF71" s="30" t="s">
        <v>941</v>
      </c>
      <c r="AG71" s="30" t="s">
        <v>949</v>
      </c>
      <c r="AH71" s="33" t="s">
        <v>85</v>
      </c>
      <c r="AI71" s="30"/>
      <c r="AJ71" s="30"/>
      <c r="AK71" s="30" t="s">
        <v>171</v>
      </c>
      <c r="AL71" s="30" t="s">
        <v>157</v>
      </c>
      <c r="AM71" s="30">
        <v>6350</v>
      </c>
      <c r="AN71" s="30" t="s">
        <v>172</v>
      </c>
      <c r="AO71" s="30" t="s">
        <v>157</v>
      </c>
      <c r="AP71" s="30" t="s">
        <v>201</v>
      </c>
      <c r="AQ71" s="30" t="s">
        <v>174</v>
      </c>
      <c r="AR71" s="30"/>
      <c r="AS71" s="30" t="s">
        <v>950</v>
      </c>
      <c r="AT71" s="30"/>
      <c r="AU71" s="30"/>
      <c r="AV71" s="30"/>
      <c r="AW71" s="30" t="s">
        <v>951</v>
      </c>
      <c r="AX71" s="30"/>
      <c r="AY71" s="30"/>
      <c r="AZ71" s="30"/>
      <c r="BA71" s="30"/>
      <c r="BB71" s="30">
        <v>69944517</v>
      </c>
      <c r="BC71" s="30" t="s">
        <v>180</v>
      </c>
      <c r="BD71" s="30" t="s">
        <v>255</v>
      </c>
      <c r="BE71" s="30" t="s">
        <v>182</v>
      </c>
      <c r="BF71" s="30" t="s">
        <v>183</v>
      </c>
      <c r="BG71" s="30"/>
      <c r="BH71" s="30" t="s">
        <v>184</v>
      </c>
      <c r="BI71" s="30" t="s">
        <v>180</v>
      </c>
      <c r="BJ71" s="30" t="s">
        <v>157</v>
      </c>
      <c r="BK71" s="30"/>
      <c r="BL71" s="30"/>
      <c r="BM71" s="30"/>
      <c r="BN71" s="30" t="s">
        <v>186</v>
      </c>
      <c r="BO71" s="30"/>
    </row>
    <row r="72" spans="1:67" s="3" customFormat="1" hidden="1">
      <c r="A72" s="30">
        <v>130</v>
      </c>
      <c r="B72" s="30" t="s">
        <v>152</v>
      </c>
      <c r="C72" s="30" t="s">
        <v>153</v>
      </c>
      <c r="D72" s="30" t="s">
        <v>952</v>
      </c>
      <c r="E72" s="30" t="s">
        <v>953</v>
      </c>
      <c r="F72" s="30" t="s">
        <v>954</v>
      </c>
      <c r="G72" s="30" t="s">
        <v>955</v>
      </c>
      <c r="H72" s="30" t="s">
        <v>956</v>
      </c>
      <c r="I72" s="30" t="s">
        <v>157</v>
      </c>
      <c r="J72" s="30" t="s">
        <v>330</v>
      </c>
      <c r="K72" s="30" t="s">
        <v>9</v>
      </c>
      <c r="L72" s="30" t="s">
        <v>313</v>
      </c>
      <c r="M72" s="30" t="s">
        <v>957</v>
      </c>
      <c r="N72" s="30" t="s">
        <v>157</v>
      </c>
      <c r="O72" s="30"/>
      <c r="P72" s="30"/>
      <c r="Q72" s="30" t="s">
        <v>958</v>
      </c>
      <c r="R72" s="30" t="s">
        <v>9</v>
      </c>
      <c r="S72" s="30" t="s">
        <v>959</v>
      </c>
      <c r="T72" s="30" t="s">
        <v>217</v>
      </c>
      <c r="U72" s="30" t="s">
        <v>960</v>
      </c>
      <c r="V72" s="30" t="s">
        <v>164</v>
      </c>
      <c r="W72" s="30" t="s">
        <v>244</v>
      </c>
      <c r="X72" s="30" t="s">
        <v>330</v>
      </c>
      <c r="Y72" s="30" t="s">
        <v>166</v>
      </c>
      <c r="Z72" s="30" t="s">
        <v>961</v>
      </c>
      <c r="AA72" s="30" t="s">
        <v>364</v>
      </c>
      <c r="AB72" s="30" t="s">
        <v>958</v>
      </c>
      <c r="AC72" s="30">
        <v>5665020</v>
      </c>
      <c r="AD72" s="30" t="s">
        <v>9</v>
      </c>
      <c r="AE72" s="30" t="s">
        <v>962</v>
      </c>
      <c r="AF72" s="30" t="s">
        <v>9</v>
      </c>
      <c r="AG72" s="30" t="s">
        <v>963</v>
      </c>
      <c r="AH72" s="33" t="s">
        <v>88</v>
      </c>
      <c r="AI72" s="30" t="s">
        <v>964</v>
      </c>
      <c r="AJ72" s="30" t="s">
        <v>512</v>
      </c>
      <c r="AK72" s="30" t="s">
        <v>171</v>
      </c>
      <c r="AL72" s="30" t="s">
        <v>157</v>
      </c>
      <c r="AM72" s="30">
        <v>9450</v>
      </c>
      <c r="AN72" s="30"/>
      <c r="AO72" s="30" t="s">
        <v>157</v>
      </c>
      <c r="AP72" s="30" t="s">
        <v>369</v>
      </c>
      <c r="AQ72" s="30" t="s">
        <v>225</v>
      </c>
      <c r="AR72" s="30"/>
      <c r="AS72" s="30" t="s">
        <v>965</v>
      </c>
      <c r="AT72" s="30"/>
      <c r="AU72" s="30" t="s">
        <v>295</v>
      </c>
      <c r="AV72" s="30"/>
      <c r="AW72" s="30" t="s">
        <v>966</v>
      </c>
      <c r="AX72" s="30"/>
      <c r="AY72" s="30"/>
      <c r="AZ72" s="30"/>
      <c r="BA72" s="30" t="s">
        <v>397</v>
      </c>
      <c r="BB72" s="30">
        <v>86961059</v>
      </c>
      <c r="BC72" s="30" t="s">
        <v>258</v>
      </c>
      <c r="BD72" s="30" t="s">
        <v>255</v>
      </c>
      <c r="BE72" s="30" t="s">
        <v>256</v>
      </c>
      <c r="BF72" s="30" t="s">
        <v>229</v>
      </c>
      <c r="BG72" s="30" t="s">
        <v>230</v>
      </c>
      <c r="BH72" s="30" t="s">
        <v>184</v>
      </c>
      <c r="BI72" s="30" t="s">
        <v>258</v>
      </c>
      <c r="BJ72" s="30" t="s">
        <v>157</v>
      </c>
      <c r="BK72" s="30"/>
      <c r="BL72" s="30"/>
      <c r="BM72" s="30">
        <v>111109782</v>
      </c>
      <c r="BN72" s="30" t="s">
        <v>186</v>
      </c>
      <c r="BO72" s="30" t="s">
        <v>817</v>
      </c>
    </row>
    <row r="73" spans="1:67" s="3" customFormat="1" hidden="1">
      <c r="A73" s="30">
        <v>131</v>
      </c>
      <c r="B73" s="30" t="s">
        <v>152</v>
      </c>
      <c r="C73" s="30" t="s">
        <v>153</v>
      </c>
      <c r="D73" s="30" t="s">
        <v>952</v>
      </c>
      <c r="E73" s="30" t="s">
        <v>953</v>
      </c>
      <c r="F73" s="30" t="s">
        <v>954</v>
      </c>
      <c r="G73" s="30" t="s">
        <v>955</v>
      </c>
      <c r="H73" s="30" t="s">
        <v>956</v>
      </c>
      <c r="I73" s="30" t="s">
        <v>157</v>
      </c>
      <c r="J73" s="30" t="s">
        <v>330</v>
      </c>
      <c r="K73" s="30" t="s">
        <v>9</v>
      </c>
      <c r="L73" s="30" t="s">
        <v>313</v>
      </c>
      <c r="M73" s="30" t="s">
        <v>957</v>
      </c>
      <c r="N73" s="30" t="s">
        <v>157</v>
      </c>
      <c r="O73" s="30"/>
      <c r="P73" s="30"/>
      <c r="Q73" s="30" t="s">
        <v>958</v>
      </c>
      <c r="R73" s="30" t="s">
        <v>9</v>
      </c>
      <c r="S73" s="30" t="s">
        <v>959</v>
      </c>
      <c r="T73" s="30" t="s">
        <v>217</v>
      </c>
      <c r="U73" s="30" t="s">
        <v>960</v>
      </c>
      <c r="V73" s="30" t="s">
        <v>164</v>
      </c>
      <c r="W73" s="30" t="s">
        <v>244</v>
      </c>
      <c r="X73" s="30" t="s">
        <v>330</v>
      </c>
      <c r="Y73" s="30" t="s">
        <v>166</v>
      </c>
      <c r="Z73" s="30" t="s">
        <v>961</v>
      </c>
      <c r="AA73" s="30" t="s">
        <v>364</v>
      </c>
      <c r="AB73" s="30" t="s">
        <v>958</v>
      </c>
      <c r="AC73" s="30">
        <v>5665020</v>
      </c>
      <c r="AD73" s="30" t="s">
        <v>9</v>
      </c>
      <c r="AE73" s="30" t="s">
        <v>962</v>
      </c>
      <c r="AF73" s="30" t="s">
        <v>9</v>
      </c>
      <c r="AG73" s="30" t="s">
        <v>963</v>
      </c>
      <c r="AH73" s="33" t="s">
        <v>83</v>
      </c>
      <c r="AI73" s="30" t="s">
        <v>967</v>
      </c>
      <c r="AJ73" s="30" t="s">
        <v>415</v>
      </c>
      <c r="AK73" s="30" t="s">
        <v>171</v>
      </c>
      <c r="AL73" s="30" t="s">
        <v>157</v>
      </c>
      <c r="AM73" s="30">
        <v>47100</v>
      </c>
      <c r="AN73" s="30"/>
      <c r="AO73" s="30" t="s">
        <v>157</v>
      </c>
      <c r="AP73" s="30" t="s">
        <v>369</v>
      </c>
      <c r="AQ73" s="30" t="s">
        <v>225</v>
      </c>
      <c r="AR73" s="30"/>
      <c r="AS73" s="30" t="s">
        <v>965</v>
      </c>
      <c r="AT73" s="30"/>
      <c r="AU73" s="30" t="s">
        <v>295</v>
      </c>
      <c r="AV73" s="30"/>
      <c r="AW73" s="30" t="s">
        <v>966</v>
      </c>
      <c r="AX73" s="30"/>
      <c r="AY73" s="30"/>
      <c r="AZ73" s="30"/>
      <c r="BA73" s="30"/>
      <c r="BB73" s="30">
        <v>86961059</v>
      </c>
      <c r="BC73" s="30" t="s">
        <v>180</v>
      </c>
      <c r="BD73" s="30" t="s">
        <v>255</v>
      </c>
      <c r="BE73" s="30" t="s">
        <v>256</v>
      </c>
      <c r="BF73" s="30" t="s">
        <v>229</v>
      </c>
      <c r="BG73" s="30" t="s">
        <v>230</v>
      </c>
      <c r="BH73" s="30" t="s">
        <v>184</v>
      </c>
      <c r="BI73" s="30" t="s">
        <v>258</v>
      </c>
      <c r="BJ73" s="30" t="s">
        <v>157</v>
      </c>
      <c r="BK73" s="30"/>
      <c r="BL73" s="30"/>
      <c r="BM73" s="30">
        <v>111109782</v>
      </c>
      <c r="BN73" s="30" t="s">
        <v>186</v>
      </c>
      <c r="BO73" s="30" t="s">
        <v>817</v>
      </c>
    </row>
    <row r="74" spans="1:67" s="3" customFormat="1" hidden="1">
      <c r="A74" s="30">
        <v>129</v>
      </c>
      <c r="B74" s="30" t="s">
        <v>152</v>
      </c>
      <c r="C74" s="30" t="s">
        <v>153</v>
      </c>
      <c r="D74" s="30" t="s">
        <v>968</v>
      </c>
      <c r="E74" s="30" t="s">
        <v>969</v>
      </c>
      <c r="F74" s="30" t="s">
        <v>403</v>
      </c>
      <c r="G74" s="30" t="s">
        <v>970</v>
      </c>
      <c r="H74" s="30" t="s">
        <v>971</v>
      </c>
      <c r="I74" s="30"/>
      <c r="J74" s="30" t="s">
        <v>330</v>
      </c>
      <c r="K74" s="30" t="s">
        <v>9</v>
      </c>
      <c r="L74" s="30" t="s">
        <v>212</v>
      </c>
      <c r="M74" s="30" t="s">
        <v>240</v>
      </c>
      <c r="N74" s="30" t="s">
        <v>406</v>
      </c>
      <c r="O74" s="30"/>
      <c r="P74" s="30"/>
      <c r="Q74" s="30" t="s">
        <v>968</v>
      </c>
      <c r="R74" s="30" t="s">
        <v>9</v>
      </c>
      <c r="S74" s="30" t="s">
        <v>972</v>
      </c>
      <c r="T74" s="30" t="s">
        <v>162</v>
      </c>
      <c r="U74" s="30" t="s">
        <v>973</v>
      </c>
      <c r="V74" s="30" t="s">
        <v>164</v>
      </c>
      <c r="W74" s="30" t="s">
        <v>267</v>
      </c>
      <c r="X74" s="30" t="s">
        <v>330</v>
      </c>
      <c r="Y74" s="30" t="s">
        <v>974</v>
      </c>
      <c r="Z74" s="30" t="s">
        <v>975</v>
      </c>
      <c r="AA74" s="30" t="s">
        <v>257</v>
      </c>
      <c r="AB74" s="30" t="s">
        <v>968</v>
      </c>
      <c r="AC74" s="30">
        <v>5690839</v>
      </c>
      <c r="AD74" s="30" t="s">
        <v>9</v>
      </c>
      <c r="AE74" s="30" t="s">
        <v>976</v>
      </c>
      <c r="AF74" s="30" t="s">
        <v>9</v>
      </c>
      <c r="AG74" s="30" t="s">
        <v>977</v>
      </c>
      <c r="AH74" s="33" t="s">
        <v>83</v>
      </c>
      <c r="AI74" s="30" t="s">
        <v>978</v>
      </c>
      <c r="AJ74" s="30" t="s">
        <v>415</v>
      </c>
      <c r="AK74" s="30" t="s">
        <v>171</v>
      </c>
      <c r="AL74" s="30" t="s">
        <v>157</v>
      </c>
      <c r="AM74" s="30">
        <v>8000</v>
      </c>
      <c r="AN74" s="30"/>
      <c r="AO74" s="30" t="s">
        <v>403</v>
      </c>
      <c r="AP74" s="30" t="s">
        <v>173</v>
      </c>
      <c r="AQ74" s="30" t="s">
        <v>225</v>
      </c>
      <c r="AR74" s="30"/>
      <c r="AS74" s="30" t="s">
        <v>979</v>
      </c>
      <c r="AT74" s="30"/>
      <c r="AU74" s="30" t="s">
        <v>295</v>
      </c>
      <c r="AV74" s="30"/>
      <c r="AW74" s="30" t="s">
        <v>980</v>
      </c>
      <c r="AX74" s="30"/>
      <c r="AY74" s="30"/>
      <c r="AZ74" s="30"/>
      <c r="BA74" s="30"/>
      <c r="BB74" s="30">
        <v>63566151</v>
      </c>
      <c r="BC74" s="30" t="s">
        <v>180</v>
      </c>
      <c r="BD74" s="30" t="s">
        <v>255</v>
      </c>
      <c r="BE74" s="30" t="s">
        <v>297</v>
      </c>
      <c r="BF74" s="30" t="s">
        <v>298</v>
      </c>
      <c r="BG74" s="30" t="s">
        <v>230</v>
      </c>
      <c r="BH74" s="30" t="s">
        <v>231</v>
      </c>
      <c r="BI74" s="30" t="s">
        <v>258</v>
      </c>
      <c r="BJ74" s="30" t="s">
        <v>157</v>
      </c>
      <c r="BK74" s="30"/>
      <c r="BL74" s="30"/>
      <c r="BM74" s="30"/>
      <c r="BN74" s="30" t="s">
        <v>186</v>
      </c>
      <c r="BO74" s="30" t="s">
        <v>240</v>
      </c>
    </row>
    <row r="75" spans="1:67" s="3" customFormat="1" hidden="1">
      <c r="A75" s="30">
        <v>74</v>
      </c>
      <c r="B75" s="30" t="s">
        <v>152</v>
      </c>
      <c r="C75" s="30" t="s">
        <v>153</v>
      </c>
      <c r="D75" s="30" t="s">
        <v>981</v>
      </c>
      <c r="E75" s="30" t="s">
        <v>982</v>
      </c>
      <c r="F75" s="30" t="s">
        <v>877</v>
      </c>
      <c r="G75" s="30" t="s">
        <v>983</v>
      </c>
      <c r="H75" s="30" t="s">
        <v>984</v>
      </c>
      <c r="I75" s="30"/>
      <c r="J75" s="30" t="s">
        <v>330</v>
      </c>
      <c r="K75" s="30" t="s">
        <v>9</v>
      </c>
      <c r="L75" s="30" t="s">
        <v>212</v>
      </c>
      <c r="M75" s="30" t="s">
        <v>240</v>
      </c>
      <c r="N75" s="30" t="s">
        <v>880</v>
      </c>
      <c r="O75" s="30"/>
      <c r="P75" s="30"/>
      <c r="Q75" s="30" t="s">
        <v>981</v>
      </c>
      <c r="R75" s="30" t="s">
        <v>9</v>
      </c>
      <c r="S75" s="30" t="s">
        <v>985</v>
      </c>
      <c r="T75" s="30" t="s">
        <v>162</v>
      </c>
      <c r="U75" s="30" t="s">
        <v>986</v>
      </c>
      <c r="V75" s="30" t="s">
        <v>164</v>
      </c>
      <c r="W75" s="30" t="s">
        <v>244</v>
      </c>
      <c r="X75" s="30" t="s">
        <v>330</v>
      </c>
      <c r="Y75" s="30" t="s">
        <v>987</v>
      </c>
      <c r="Z75" s="30" t="s">
        <v>335</v>
      </c>
      <c r="AA75" s="30" t="s">
        <v>988</v>
      </c>
      <c r="AB75" s="30" t="s">
        <v>981</v>
      </c>
      <c r="AC75" s="30">
        <v>5730069</v>
      </c>
      <c r="AD75" s="30" t="s">
        <v>9</v>
      </c>
      <c r="AE75" s="30" t="s">
        <v>989</v>
      </c>
      <c r="AF75" s="30" t="s">
        <v>9</v>
      </c>
      <c r="AG75" s="30" t="s">
        <v>990</v>
      </c>
      <c r="AH75" s="33" t="s">
        <v>83</v>
      </c>
      <c r="AI75" s="30" t="s">
        <v>991</v>
      </c>
      <c r="AJ75" s="30" t="s">
        <v>415</v>
      </c>
      <c r="AK75" s="30" t="s">
        <v>171</v>
      </c>
      <c r="AL75" s="30" t="s">
        <v>157</v>
      </c>
      <c r="AM75" s="30">
        <v>9000</v>
      </c>
      <c r="AN75" s="30"/>
      <c r="AO75" s="30" t="s">
        <v>877</v>
      </c>
      <c r="AP75" s="30" t="s">
        <v>173</v>
      </c>
      <c r="AQ75" s="30" t="s">
        <v>225</v>
      </c>
      <c r="AR75" s="30"/>
      <c r="AS75" s="30" t="s">
        <v>992</v>
      </c>
      <c r="AT75" s="30"/>
      <c r="AU75" s="30" t="s">
        <v>253</v>
      </c>
      <c r="AV75" s="30"/>
      <c r="AW75" s="30" t="s">
        <v>993</v>
      </c>
      <c r="AX75" s="30"/>
      <c r="AY75" s="30"/>
      <c r="AZ75" s="30"/>
      <c r="BA75" s="30"/>
      <c r="BB75" s="30">
        <v>85972134</v>
      </c>
      <c r="BC75" s="30" t="s">
        <v>180</v>
      </c>
      <c r="BD75" s="30" t="s">
        <v>255</v>
      </c>
      <c r="BE75" s="30" t="s">
        <v>256</v>
      </c>
      <c r="BF75" s="30" t="s">
        <v>994</v>
      </c>
      <c r="BG75" s="30" t="s">
        <v>230</v>
      </c>
      <c r="BH75" s="30" t="s">
        <v>184</v>
      </c>
      <c r="BI75" s="30" t="s">
        <v>258</v>
      </c>
      <c r="BJ75" s="30" t="s">
        <v>157</v>
      </c>
      <c r="BK75" s="30"/>
      <c r="BL75" s="30"/>
      <c r="BM75" s="30"/>
      <c r="BN75" s="30" t="s">
        <v>186</v>
      </c>
      <c r="BO75" s="30" t="s">
        <v>240</v>
      </c>
    </row>
    <row r="76" spans="1:67" s="3" customFormat="1" hidden="1">
      <c r="A76" s="30">
        <v>78</v>
      </c>
      <c r="B76" s="30" t="s">
        <v>152</v>
      </c>
      <c r="C76" s="30" t="s">
        <v>153</v>
      </c>
      <c r="D76" s="30" t="s">
        <v>354</v>
      </c>
      <c r="E76" s="30" t="s">
        <v>995</v>
      </c>
      <c r="F76" s="30" t="s">
        <v>438</v>
      </c>
      <c r="G76" s="30" t="s">
        <v>996</v>
      </c>
      <c r="H76" s="30" t="s">
        <v>997</v>
      </c>
      <c r="I76" s="30" t="s">
        <v>157</v>
      </c>
      <c r="J76" s="30" t="s">
        <v>158</v>
      </c>
      <c r="K76" s="30" t="s">
        <v>9</v>
      </c>
      <c r="L76" s="30" t="s">
        <v>746</v>
      </c>
      <c r="M76" s="30" t="s">
        <v>998</v>
      </c>
      <c r="N76" s="30" t="s">
        <v>157</v>
      </c>
      <c r="O76" s="30"/>
      <c r="P76" s="30"/>
      <c r="Q76" s="30" t="s">
        <v>999</v>
      </c>
      <c r="R76" s="30" t="s">
        <v>9</v>
      </c>
      <c r="S76" s="30" t="s">
        <v>1000</v>
      </c>
      <c r="T76" s="30" t="s">
        <v>217</v>
      </c>
      <c r="U76" s="30" t="s">
        <v>1001</v>
      </c>
      <c r="V76" s="30" t="s">
        <v>164</v>
      </c>
      <c r="W76" s="30" t="s">
        <v>690</v>
      </c>
      <c r="X76" s="30" t="s">
        <v>158</v>
      </c>
      <c r="Y76" s="30" t="s">
        <v>1002</v>
      </c>
      <c r="Z76" s="30" t="s">
        <v>1003</v>
      </c>
      <c r="AA76" s="30" t="s">
        <v>1004</v>
      </c>
      <c r="AB76" s="30" t="s">
        <v>999</v>
      </c>
      <c r="AC76" s="30">
        <v>5575371</v>
      </c>
      <c r="AD76" s="30" t="s">
        <v>9</v>
      </c>
      <c r="AE76" s="30" t="s">
        <v>1005</v>
      </c>
      <c r="AF76" s="30" t="s">
        <v>9</v>
      </c>
      <c r="AG76" s="30" t="s">
        <v>1006</v>
      </c>
      <c r="AH76" s="33" t="s">
        <v>85</v>
      </c>
      <c r="AI76" s="30" t="s">
        <v>1007</v>
      </c>
      <c r="AJ76" s="30" t="s">
        <v>1008</v>
      </c>
      <c r="AK76" s="30" t="s">
        <v>171</v>
      </c>
      <c r="AL76" s="30" t="s">
        <v>157</v>
      </c>
      <c r="AM76" s="30">
        <v>13962.8</v>
      </c>
      <c r="AN76" s="30"/>
      <c r="AO76" s="30" t="s">
        <v>157</v>
      </c>
      <c r="AP76" s="30" t="s">
        <v>369</v>
      </c>
      <c r="AQ76" s="30" t="s">
        <v>225</v>
      </c>
      <c r="AR76" s="30" t="s">
        <v>777</v>
      </c>
      <c r="AS76" s="30" t="s">
        <v>1009</v>
      </c>
      <c r="AT76" s="30" t="s">
        <v>1010</v>
      </c>
      <c r="AU76" s="30" t="s">
        <v>253</v>
      </c>
      <c r="AV76" s="30"/>
      <c r="AW76" s="30" t="s">
        <v>1011</v>
      </c>
      <c r="AX76" s="30"/>
      <c r="AY76" s="30"/>
      <c r="AZ76" s="30"/>
      <c r="BA76" s="30"/>
      <c r="BB76" s="30">
        <v>45801905</v>
      </c>
      <c r="BC76" s="30" t="s">
        <v>180</v>
      </c>
      <c r="BD76" s="30" t="s">
        <v>181</v>
      </c>
      <c r="BE76" s="30" t="s">
        <v>1012</v>
      </c>
      <c r="BF76" s="30" t="s">
        <v>994</v>
      </c>
      <c r="BG76" s="30"/>
      <c r="BH76" s="30" t="s">
        <v>231</v>
      </c>
      <c r="BI76" s="30" t="s">
        <v>258</v>
      </c>
      <c r="BJ76" s="30" t="s">
        <v>157</v>
      </c>
      <c r="BK76" s="30"/>
      <c r="BL76" s="30" t="s">
        <v>848</v>
      </c>
      <c r="BM76" s="30"/>
      <c r="BN76" s="30" t="s">
        <v>186</v>
      </c>
      <c r="BO76" s="30" t="s">
        <v>233</v>
      </c>
    </row>
    <row r="77" spans="1:67" s="3" customFormat="1" hidden="1">
      <c r="A77" s="30">
        <v>79</v>
      </c>
      <c r="B77" s="30" t="s">
        <v>152</v>
      </c>
      <c r="C77" s="30" t="s">
        <v>153</v>
      </c>
      <c r="D77" s="30" t="s">
        <v>354</v>
      </c>
      <c r="E77" s="30" t="s">
        <v>995</v>
      </c>
      <c r="F77" s="30" t="s">
        <v>438</v>
      </c>
      <c r="G77" s="30" t="s">
        <v>996</v>
      </c>
      <c r="H77" s="30" t="s">
        <v>997</v>
      </c>
      <c r="I77" s="30" t="s">
        <v>157</v>
      </c>
      <c r="J77" s="30" t="s">
        <v>158</v>
      </c>
      <c r="K77" s="30" t="s">
        <v>9</v>
      </c>
      <c r="L77" s="30" t="s">
        <v>746</v>
      </c>
      <c r="M77" s="30" t="s">
        <v>998</v>
      </c>
      <c r="N77" s="30" t="s">
        <v>157</v>
      </c>
      <c r="O77" s="30"/>
      <c r="P77" s="30"/>
      <c r="Q77" s="30" t="s">
        <v>999</v>
      </c>
      <c r="R77" s="30" t="s">
        <v>9</v>
      </c>
      <c r="S77" s="30" t="s">
        <v>1000</v>
      </c>
      <c r="T77" s="30" t="s">
        <v>217</v>
      </c>
      <c r="U77" s="30" t="s">
        <v>1001</v>
      </c>
      <c r="V77" s="30" t="s">
        <v>164</v>
      </c>
      <c r="W77" s="30" t="s">
        <v>690</v>
      </c>
      <c r="X77" s="30" t="s">
        <v>158</v>
      </c>
      <c r="Y77" s="30" t="s">
        <v>1002</v>
      </c>
      <c r="Z77" s="30" t="s">
        <v>1003</v>
      </c>
      <c r="AA77" s="30" t="s">
        <v>1004</v>
      </c>
      <c r="AB77" s="30" t="s">
        <v>999</v>
      </c>
      <c r="AC77" s="30">
        <v>5575371</v>
      </c>
      <c r="AD77" s="30" t="s">
        <v>9</v>
      </c>
      <c r="AE77" s="30" t="s">
        <v>1005</v>
      </c>
      <c r="AF77" s="30" t="s">
        <v>9</v>
      </c>
      <c r="AG77" s="30" t="s">
        <v>1006</v>
      </c>
      <c r="AH77" s="33" t="s">
        <v>85</v>
      </c>
      <c r="AI77" s="30" t="s">
        <v>1013</v>
      </c>
      <c r="AJ77" s="30" t="s">
        <v>1014</v>
      </c>
      <c r="AK77" s="30" t="s">
        <v>171</v>
      </c>
      <c r="AL77" s="30" t="s">
        <v>157</v>
      </c>
      <c r="AM77" s="30">
        <v>1337.2</v>
      </c>
      <c r="AN77" s="30"/>
      <c r="AO77" s="30" t="s">
        <v>157</v>
      </c>
      <c r="AP77" s="30" t="s">
        <v>369</v>
      </c>
      <c r="AQ77" s="30" t="s">
        <v>225</v>
      </c>
      <c r="AR77" s="30" t="s">
        <v>777</v>
      </c>
      <c r="AS77" s="30" t="s">
        <v>1009</v>
      </c>
      <c r="AT77" s="30" t="s">
        <v>1015</v>
      </c>
      <c r="AU77" s="30" t="s">
        <v>253</v>
      </c>
      <c r="AV77" s="30"/>
      <c r="AW77" s="30" t="s">
        <v>1011</v>
      </c>
      <c r="AX77" s="30"/>
      <c r="AY77" s="30"/>
      <c r="AZ77" s="30"/>
      <c r="BA77" s="30"/>
      <c r="BB77" s="30">
        <v>45801905</v>
      </c>
      <c r="BC77" s="30" t="s">
        <v>180</v>
      </c>
      <c r="BD77" s="30" t="s">
        <v>181</v>
      </c>
      <c r="BE77" s="30" t="s">
        <v>1012</v>
      </c>
      <c r="BF77" s="30" t="s">
        <v>994</v>
      </c>
      <c r="BG77" s="30"/>
      <c r="BH77" s="30" t="s">
        <v>231</v>
      </c>
      <c r="BI77" s="30" t="s">
        <v>258</v>
      </c>
      <c r="BJ77" s="30" t="s">
        <v>157</v>
      </c>
      <c r="BK77" s="30"/>
      <c r="BL77" s="30" t="s">
        <v>848</v>
      </c>
      <c r="BM77" s="30"/>
      <c r="BN77" s="30" t="s">
        <v>186</v>
      </c>
      <c r="BO77" s="30" t="s">
        <v>233</v>
      </c>
    </row>
    <row r="78" spans="1:67" s="3" customFormat="1" hidden="1">
      <c r="A78" s="30">
        <v>13</v>
      </c>
      <c r="B78" s="30" t="s">
        <v>152</v>
      </c>
      <c r="C78" s="30" t="s">
        <v>153</v>
      </c>
      <c r="D78" s="30"/>
      <c r="E78" s="30" t="s">
        <v>1016</v>
      </c>
      <c r="F78" s="30"/>
      <c r="G78" s="30" t="s">
        <v>1017</v>
      </c>
      <c r="H78" s="30" t="s">
        <v>1018</v>
      </c>
      <c r="I78" s="30" t="s">
        <v>157</v>
      </c>
      <c r="J78" s="30" t="s">
        <v>158</v>
      </c>
      <c r="K78" s="30" t="s">
        <v>9</v>
      </c>
      <c r="L78" s="30" t="s">
        <v>525</v>
      </c>
      <c r="M78" s="30" t="s">
        <v>1019</v>
      </c>
      <c r="N78" s="30"/>
      <c r="O78" s="30"/>
      <c r="P78" s="30"/>
      <c r="Q78" s="30" t="s">
        <v>1020</v>
      </c>
      <c r="R78" s="30" t="s">
        <v>9</v>
      </c>
      <c r="S78" s="30" t="s">
        <v>1021</v>
      </c>
      <c r="T78" s="30" t="s">
        <v>162</v>
      </c>
      <c r="U78" s="30" t="s">
        <v>1022</v>
      </c>
      <c r="V78" s="30" t="s">
        <v>164</v>
      </c>
      <c r="W78" s="30" t="s">
        <v>165</v>
      </c>
      <c r="X78" s="30" t="s">
        <v>158</v>
      </c>
      <c r="Y78" s="30" t="s">
        <v>245</v>
      </c>
      <c r="Z78" s="30" t="s">
        <v>946</v>
      </c>
      <c r="AA78" s="30" t="s">
        <v>1023</v>
      </c>
      <c r="AB78" s="30" t="s">
        <v>1020</v>
      </c>
      <c r="AC78" s="30">
        <v>5698324</v>
      </c>
      <c r="AD78" s="30" t="s">
        <v>9</v>
      </c>
      <c r="AE78" s="30" t="s">
        <v>1024</v>
      </c>
      <c r="AF78" s="30" t="s">
        <v>9</v>
      </c>
      <c r="AG78" s="30" t="s">
        <v>1024</v>
      </c>
      <c r="AH78" s="33" t="s">
        <v>85</v>
      </c>
      <c r="AI78" s="30" t="s">
        <v>169</v>
      </c>
      <c r="AJ78" s="30" t="s">
        <v>170</v>
      </c>
      <c r="AK78" s="30" t="s">
        <v>171</v>
      </c>
      <c r="AL78" s="30" t="s">
        <v>157</v>
      </c>
      <c r="AM78" s="30">
        <v>9000</v>
      </c>
      <c r="AN78" s="30" t="s">
        <v>172</v>
      </c>
      <c r="AO78" s="30" t="s">
        <v>157</v>
      </c>
      <c r="AP78" s="30" t="s">
        <v>173</v>
      </c>
      <c r="AQ78" s="30" t="s">
        <v>174</v>
      </c>
      <c r="AR78" s="30" t="s">
        <v>175</v>
      </c>
      <c r="AS78" s="30" t="s">
        <v>1025</v>
      </c>
      <c r="AT78" s="30" t="s">
        <v>1026</v>
      </c>
      <c r="AU78" s="30" t="s">
        <v>178</v>
      </c>
      <c r="AV78" s="30"/>
      <c r="AW78" s="30" t="s">
        <v>1027</v>
      </c>
      <c r="AX78" s="30"/>
      <c r="AY78" s="30"/>
      <c r="AZ78" s="30"/>
      <c r="BA78" s="30"/>
      <c r="BB78" s="30">
        <v>81748797</v>
      </c>
      <c r="BC78" s="30" t="s">
        <v>180</v>
      </c>
      <c r="BD78" s="30" t="s">
        <v>181</v>
      </c>
      <c r="BE78" s="30" t="s">
        <v>1028</v>
      </c>
      <c r="BF78" s="30" t="s">
        <v>1029</v>
      </c>
      <c r="BG78" s="30"/>
      <c r="BH78" s="30" t="s">
        <v>184</v>
      </c>
      <c r="BI78" s="30" t="s">
        <v>180</v>
      </c>
      <c r="BJ78" s="30" t="s">
        <v>157</v>
      </c>
      <c r="BK78" s="30"/>
      <c r="BL78" s="30" t="s">
        <v>185</v>
      </c>
      <c r="BM78" s="30"/>
      <c r="BN78" s="30" t="s">
        <v>186</v>
      </c>
      <c r="BO78" s="30"/>
    </row>
    <row r="79" spans="1:67" s="3" customFormat="1" hidden="1">
      <c r="A79" s="30">
        <v>132</v>
      </c>
      <c r="B79" s="30" t="s">
        <v>152</v>
      </c>
      <c r="C79" s="30" t="s">
        <v>153</v>
      </c>
      <c r="D79" s="30" t="s">
        <v>1030</v>
      </c>
      <c r="E79" s="30" t="s">
        <v>1031</v>
      </c>
      <c r="F79" s="30" t="s">
        <v>877</v>
      </c>
      <c r="G79" s="30" t="s">
        <v>1032</v>
      </c>
      <c r="H79" s="30" t="s">
        <v>1033</v>
      </c>
      <c r="I79" s="30"/>
      <c r="J79" s="30" t="s">
        <v>330</v>
      </c>
      <c r="K79" s="30" t="s">
        <v>9</v>
      </c>
      <c r="L79" s="30" t="s">
        <v>212</v>
      </c>
      <c r="M79" s="30" t="s">
        <v>240</v>
      </c>
      <c r="N79" s="30" t="s">
        <v>880</v>
      </c>
      <c r="O79" s="30"/>
      <c r="P79" s="30"/>
      <c r="Q79" s="30" t="s">
        <v>1030</v>
      </c>
      <c r="R79" s="30" t="s">
        <v>9</v>
      </c>
      <c r="S79" s="30" t="s">
        <v>1034</v>
      </c>
      <c r="T79" s="30" t="s">
        <v>162</v>
      </c>
      <c r="U79" s="30" t="s">
        <v>1035</v>
      </c>
      <c r="V79" s="30" t="s">
        <v>164</v>
      </c>
      <c r="W79" s="30" t="s">
        <v>244</v>
      </c>
      <c r="X79" s="30" t="s">
        <v>330</v>
      </c>
      <c r="Y79" s="30" t="s">
        <v>268</v>
      </c>
      <c r="Z79" s="30" t="s">
        <v>1036</v>
      </c>
      <c r="AA79" s="30" t="s">
        <v>1037</v>
      </c>
      <c r="AB79" s="30" t="s">
        <v>1030</v>
      </c>
      <c r="AC79" s="30">
        <v>5664663</v>
      </c>
      <c r="AD79" s="30" t="s">
        <v>9</v>
      </c>
      <c r="AE79" s="30" t="s">
        <v>1038</v>
      </c>
      <c r="AF79" s="30" t="s">
        <v>9</v>
      </c>
      <c r="AG79" s="30" t="s">
        <v>1039</v>
      </c>
      <c r="AH79" s="33" t="s">
        <v>83</v>
      </c>
      <c r="AI79" s="30" t="s">
        <v>1040</v>
      </c>
      <c r="AJ79" s="30" t="s">
        <v>415</v>
      </c>
      <c r="AK79" s="30" t="s">
        <v>171</v>
      </c>
      <c r="AL79" s="30" t="s">
        <v>157</v>
      </c>
      <c r="AM79" s="30">
        <v>5100</v>
      </c>
      <c r="AN79" s="30"/>
      <c r="AO79" s="30" t="s">
        <v>877</v>
      </c>
      <c r="AP79" s="30" t="s">
        <v>173</v>
      </c>
      <c r="AQ79" s="30" t="s">
        <v>225</v>
      </c>
      <c r="AR79" s="30"/>
      <c r="AS79" s="30" t="s">
        <v>1041</v>
      </c>
      <c r="AT79" s="30"/>
      <c r="AU79" s="30" t="s">
        <v>295</v>
      </c>
      <c r="AV79" s="30"/>
      <c r="AW79" s="30" t="s">
        <v>1042</v>
      </c>
      <c r="AX79" s="30"/>
      <c r="AY79" s="30"/>
      <c r="AZ79" s="30"/>
      <c r="BA79" s="30"/>
      <c r="BB79" s="30">
        <v>68854313</v>
      </c>
      <c r="BC79" s="30" t="s">
        <v>180</v>
      </c>
      <c r="BD79" s="30" t="s">
        <v>255</v>
      </c>
      <c r="BE79" s="30" t="s">
        <v>256</v>
      </c>
      <c r="BF79" s="30" t="s">
        <v>257</v>
      </c>
      <c r="BG79" s="30" t="s">
        <v>230</v>
      </c>
      <c r="BH79" s="30" t="s">
        <v>280</v>
      </c>
      <c r="BI79" s="30" t="s">
        <v>258</v>
      </c>
      <c r="BJ79" s="30" t="s">
        <v>157</v>
      </c>
      <c r="BK79" s="30"/>
      <c r="BL79" s="30"/>
      <c r="BM79" s="30"/>
      <c r="BN79" s="30" t="s">
        <v>186</v>
      </c>
      <c r="BO79" s="30" t="s">
        <v>240</v>
      </c>
    </row>
    <row r="80" spans="1:67" s="3" customFormat="1" hidden="1">
      <c r="A80" s="30">
        <v>122</v>
      </c>
      <c r="B80" s="30" t="s">
        <v>152</v>
      </c>
      <c r="C80" s="30" t="s">
        <v>153</v>
      </c>
      <c r="D80" s="30" t="s">
        <v>1043</v>
      </c>
      <c r="E80" s="30" t="s">
        <v>1044</v>
      </c>
      <c r="F80" s="30" t="s">
        <v>283</v>
      </c>
      <c r="G80" s="30" t="s">
        <v>1045</v>
      </c>
      <c r="H80" s="30" t="s">
        <v>1046</v>
      </c>
      <c r="I80" s="30"/>
      <c r="J80" s="30" t="s">
        <v>330</v>
      </c>
      <c r="K80" s="30" t="s">
        <v>9</v>
      </c>
      <c r="L80" s="30" t="s">
        <v>212</v>
      </c>
      <c r="M80" s="30" t="s">
        <v>240</v>
      </c>
      <c r="N80" s="30" t="s">
        <v>286</v>
      </c>
      <c r="O80" s="30"/>
      <c r="P80" s="30"/>
      <c r="Q80" s="30" t="s">
        <v>1043</v>
      </c>
      <c r="R80" s="30" t="s">
        <v>9</v>
      </c>
      <c r="S80" s="30" t="s">
        <v>1047</v>
      </c>
      <c r="T80" s="30" t="s">
        <v>162</v>
      </c>
      <c r="U80" s="30" t="s">
        <v>1048</v>
      </c>
      <c r="V80" s="30" t="s">
        <v>164</v>
      </c>
      <c r="W80" s="30" t="s">
        <v>244</v>
      </c>
      <c r="X80" s="30" t="s">
        <v>330</v>
      </c>
      <c r="Y80" s="30" t="s">
        <v>597</v>
      </c>
      <c r="Z80" s="30" t="s">
        <v>1049</v>
      </c>
      <c r="AA80" s="30" t="s">
        <v>1050</v>
      </c>
      <c r="AB80" s="30" t="s">
        <v>1043</v>
      </c>
      <c r="AC80" s="30">
        <v>5691427</v>
      </c>
      <c r="AD80" s="30" t="s">
        <v>9</v>
      </c>
      <c r="AE80" s="30" t="s">
        <v>1051</v>
      </c>
      <c r="AF80" s="30" t="s">
        <v>9</v>
      </c>
      <c r="AG80" s="30" t="s">
        <v>1052</v>
      </c>
      <c r="AH80" s="33" t="s">
        <v>83</v>
      </c>
      <c r="AI80" s="30" t="s">
        <v>1053</v>
      </c>
      <c r="AJ80" s="30" t="s">
        <v>415</v>
      </c>
      <c r="AK80" s="30" t="s">
        <v>171</v>
      </c>
      <c r="AL80" s="30" t="s">
        <v>157</v>
      </c>
      <c r="AM80" s="30">
        <v>8500</v>
      </c>
      <c r="AN80" s="30"/>
      <c r="AO80" s="30" t="s">
        <v>283</v>
      </c>
      <c r="AP80" s="30" t="s">
        <v>173</v>
      </c>
      <c r="AQ80" s="30" t="s">
        <v>225</v>
      </c>
      <c r="AR80" s="30"/>
      <c r="AS80" s="30" t="s">
        <v>1054</v>
      </c>
      <c r="AT80" s="30"/>
      <c r="AU80" s="30" t="s">
        <v>325</v>
      </c>
      <c r="AV80" s="30"/>
      <c r="AW80" s="30" t="s">
        <v>1055</v>
      </c>
      <c r="AX80" s="30"/>
      <c r="AY80" s="30"/>
      <c r="AZ80" s="30"/>
      <c r="BA80" s="30"/>
      <c r="BB80" s="30">
        <v>64618455</v>
      </c>
      <c r="BC80" s="30" t="s">
        <v>180</v>
      </c>
      <c r="BD80" s="30" t="s">
        <v>255</v>
      </c>
      <c r="BE80" s="30" t="s">
        <v>256</v>
      </c>
      <c r="BF80" s="30" t="s">
        <v>994</v>
      </c>
      <c r="BG80" s="30" t="s">
        <v>230</v>
      </c>
      <c r="BH80" s="30" t="s">
        <v>280</v>
      </c>
      <c r="BI80" s="30" t="s">
        <v>258</v>
      </c>
      <c r="BJ80" s="30" t="s">
        <v>157</v>
      </c>
      <c r="BK80" s="30"/>
      <c r="BL80" s="30"/>
      <c r="BM80" s="30"/>
      <c r="BN80" s="30" t="s">
        <v>186</v>
      </c>
      <c r="BO80" s="30" t="s">
        <v>240</v>
      </c>
    </row>
    <row r="81" spans="1:67" s="3" customFormat="1" hidden="1">
      <c r="A81" s="30">
        <v>30</v>
      </c>
      <c r="B81" s="30" t="s">
        <v>152</v>
      </c>
      <c r="C81" s="30" t="s">
        <v>153</v>
      </c>
      <c r="D81" s="30"/>
      <c r="E81" s="30" t="s">
        <v>1056</v>
      </c>
      <c r="F81" s="30"/>
      <c r="G81" s="30" t="s">
        <v>1057</v>
      </c>
      <c r="H81" s="30" t="s">
        <v>1058</v>
      </c>
      <c r="I81" s="30" t="s">
        <v>1059</v>
      </c>
      <c r="J81" s="30" t="s">
        <v>354</v>
      </c>
      <c r="K81" s="30" t="s">
        <v>9</v>
      </c>
      <c r="L81" s="30" t="s">
        <v>423</v>
      </c>
      <c r="M81" s="30" t="s">
        <v>424</v>
      </c>
      <c r="N81" s="30"/>
      <c r="O81" s="30"/>
      <c r="P81" s="30"/>
      <c r="Q81" s="30" t="s">
        <v>1060</v>
      </c>
      <c r="R81" s="30" t="s">
        <v>9</v>
      </c>
      <c r="S81" s="30" t="s">
        <v>1061</v>
      </c>
      <c r="T81" s="30" t="s">
        <v>162</v>
      </c>
      <c r="U81" s="30" t="s">
        <v>1062</v>
      </c>
      <c r="V81" s="30" t="s">
        <v>164</v>
      </c>
      <c r="W81" s="30" t="s">
        <v>267</v>
      </c>
      <c r="X81" s="30" t="s">
        <v>330</v>
      </c>
      <c r="Y81" s="30" t="s">
        <v>1063</v>
      </c>
      <c r="Z81" s="30" t="s">
        <v>623</v>
      </c>
      <c r="AA81" s="30" t="s">
        <v>222</v>
      </c>
      <c r="AB81" s="30" t="s">
        <v>1060</v>
      </c>
      <c r="AC81" s="30">
        <v>5709811</v>
      </c>
      <c r="AD81" s="30" t="s">
        <v>9</v>
      </c>
      <c r="AE81" s="30" t="s">
        <v>1062</v>
      </c>
      <c r="AF81" s="30" t="s">
        <v>337</v>
      </c>
      <c r="AG81" s="30" t="s">
        <v>1062</v>
      </c>
      <c r="AH81" s="33" t="s">
        <v>83</v>
      </c>
      <c r="AI81" s="30" t="s">
        <v>1064</v>
      </c>
      <c r="AJ81" s="30" t="s">
        <v>415</v>
      </c>
      <c r="AK81" s="30"/>
      <c r="AL81" s="30" t="s">
        <v>157</v>
      </c>
      <c r="AM81" s="30">
        <v>-11600</v>
      </c>
      <c r="AN81" s="30"/>
      <c r="AO81" s="30" t="s">
        <v>157</v>
      </c>
      <c r="AP81" s="30"/>
      <c r="AQ81" s="30" t="s">
        <v>274</v>
      </c>
      <c r="AR81" s="30"/>
      <c r="AS81" s="30" t="s">
        <v>1065</v>
      </c>
      <c r="AT81" s="30"/>
      <c r="AU81" s="30" t="s">
        <v>724</v>
      </c>
      <c r="AV81" s="30"/>
      <c r="AW81" s="30" t="s">
        <v>1066</v>
      </c>
      <c r="AX81" s="30"/>
      <c r="AY81" s="30"/>
      <c r="AZ81" s="30"/>
      <c r="BA81" s="30"/>
      <c r="BB81" s="30">
        <v>83898131</v>
      </c>
      <c r="BC81" s="30" t="s">
        <v>180</v>
      </c>
      <c r="BD81" s="30" t="s">
        <v>255</v>
      </c>
      <c r="BE81" s="30" t="s">
        <v>278</v>
      </c>
      <c r="BF81" s="30" t="s">
        <v>279</v>
      </c>
      <c r="BG81" s="30"/>
      <c r="BH81" s="30" t="s">
        <v>231</v>
      </c>
      <c r="BI81" s="30" t="s">
        <v>180</v>
      </c>
      <c r="BJ81" s="30"/>
      <c r="BK81" s="30"/>
      <c r="BL81" s="30"/>
      <c r="BM81" s="30"/>
      <c r="BN81" s="30"/>
      <c r="BO81" s="30"/>
    </row>
    <row r="82" spans="1:67" s="3" customFormat="1" hidden="1">
      <c r="A82" s="30">
        <v>31</v>
      </c>
      <c r="B82" s="30" t="s">
        <v>152</v>
      </c>
      <c r="C82" s="30" t="s">
        <v>153</v>
      </c>
      <c r="D82" s="30"/>
      <c r="E82" s="30" t="s">
        <v>1056</v>
      </c>
      <c r="F82" s="30"/>
      <c r="G82" s="30" t="s">
        <v>1057</v>
      </c>
      <c r="H82" s="30" t="s">
        <v>1058</v>
      </c>
      <c r="I82" s="30" t="s">
        <v>1059</v>
      </c>
      <c r="J82" s="30" t="s">
        <v>354</v>
      </c>
      <c r="K82" s="30" t="s">
        <v>9</v>
      </c>
      <c r="L82" s="30" t="s">
        <v>423</v>
      </c>
      <c r="M82" s="30" t="s">
        <v>424</v>
      </c>
      <c r="N82" s="30"/>
      <c r="O82" s="30"/>
      <c r="P82" s="30"/>
      <c r="Q82" s="30" t="s">
        <v>1060</v>
      </c>
      <c r="R82" s="30" t="s">
        <v>9</v>
      </c>
      <c r="S82" s="30" t="s">
        <v>1061</v>
      </c>
      <c r="T82" s="30" t="s">
        <v>162</v>
      </c>
      <c r="U82" s="30" t="s">
        <v>1062</v>
      </c>
      <c r="V82" s="30" t="s">
        <v>164</v>
      </c>
      <c r="W82" s="30" t="s">
        <v>267</v>
      </c>
      <c r="X82" s="30" t="s">
        <v>330</v>
      </c>
      <c r="Y82" s="30" t="s">
        <v>1063</v>
      </c>
      <c r="Z82" s="30" t="s">
        <v>623</v>
      </c>
      <c r="AA82" s="30" t="s">
        <v>222</v>
      </c>
      <c r="AB82" s="30" t="s">
        <v>1060</v>
      </c>
      <c r="AC82" s="30">
        <v>5709811</v>
      </c>
      <c r="AD82" s="30" t="s">
        <v>9</v>
      </c>
      <c r="AE82" s="30" t="s">
        <v>1062</v>
      </c>
      <c r="AF82" s="30" t="s">
        <v>337</v>
      </c>
      <c r="AG82" s="30" t="s">
        <v>1062</v>
      </c>
      <c r="AH82" s="33" t="s">
        <v>83</v>
      </c>
      <c r="AI82" s="30" t="s">
        <v>1067</v>
      </c>
      <c r="AJ82" s="30" t="s">
        <v>464</v>
      </c>
      <c r="AK82" s="30"/>
      <c r="AL82" s="30" t="s">
        <v>157</v>
      </c>
      <c r="AM82" s="30">
        <v>9900</v>
      </c>
      <c r="AN82" s="30"/>
      <c r="AO82" s="30" t="s">
        <v>157</v>
      </c>
      <c r="AP82" s="30"/>
      <c r="AQ82" s="30" t="s">
        <v>274</v>
      </c>
      <c r="AR82" s="30"/>
      <c r="AS82" s="30" t="s">
        <v>1065</v>
      </c>
      <c r="AT82" s="30"/>
      <c r="AU82" s="30" t="s">
        <v>724</v>
      </c>
      <c r="AV82" s="30"/>
      <c r="AW82" s="30" t="s">
        <v>1066</v>
      </c>
      <c r="AX82" s="30"/>
      <c r="AY82" s="30"/>
      <c r="AZ82" s="30"/>
      <c r="BA82" s="30"/>
      <c r="BB82" s="30">
        <v>83898131</v>
      </c>
      <c r="BC82" s="30" t="s">
        <v>180</v>
      </c>
      <c r="BD82" s="30" t="s">
        <v>255</v>
      </c>
      <c r="BE82" s="30" t="s">
        <v>278</v>
      </c>
      <c r="BF82" s="30" t="s">
        <v>279</v>
      </c>
      <c r="BG82" s="30"/>
      <c r="BH82" s="30" t="s">
        <v>231</v>
      </c>
      <c r="BI82" s="30" t="s">
        <v>180</v>
      </c>
      <c r="BJ82" s="30"/>
      <c r="BK82" s="30"/>
      <c r="BL82" s="30"/>
      <c r="BM82" s="30"/>
      <c r="BN82" s="30"/>
      <c r="BO82" s="30"/>
    </row>
    <row r="83" spans="1:67" s="3" customFormat="1" hidden="1">
      <c r="A83" s="30">
        <v>25</v>
      </c>
      <c r="B83" s="30" t="s">
        <v>152</v>
      </c>
      <c r="C83" s="30" t="s">
        <v>153</v>
      </c>
      <c r="D83" s="30" t="s">
        <v>354</v>
      </c>
      <c r="E83" s="30" t="s">
        <v>1068</v>
      </c>
      <c r="F83" s="30" t="s">
        <v>521</v>
      </c>
      <c r="G83" s="30" t="s">
        <v>1069</v>
      </c>
      <c r="H83" s="30" t="s">
        <v>1070</v>
      </c>
      <c r="I83" s="30" t="s">
        <v>1071</v>
      </c>
      <c r="J83" s="30" t="s">
        <v>354</v>
      </c>
      <c r="K83" s="30" t="s">
        <v>9</v>
      </c>
      <c r="L83" s="30" t="s">
        <v>525</v>
      </c>
      <c r="M83" s="30" t="s">
        <v>942</v>
      </c>
      <c r="N83" s="30" t="s">
        <v>157</v>
      </c>
      <c r="O83" s="30"/>
      <c r="P83" s="30"/>
      <c r="Q83" s="30" t="s">
        <v>1072</v>
      </c>
      <c r="R83" s="30" t="s">
        <v>9</v>
      </c>
      <c r="S83" s="30" t="s">
        <v>1073</v>
      </c>
      <c r="T83" s="30" t="s">
        <v>217</v>
      </c>
      <c r="U83" s="30" t="s">
        <v>1074</v>
      </c>
      <c r="V83" s="30" t="s">
        <v>164</v>
      </c>
      <c r="W83" s="30" t="s">
        <v>1075</v>
      </c>
      <c r="X83" s="30" t="s">
        <v>86</v>
      </c>
      <c r="Y83" s="30" t="s">
        <v>1076</v>
      </c>
      <c r="Z83" s="30" t="s">
        <v>1077</v>
      </c>
      <c r="AA83" s="30" t="s">
        <v>257</v>
      </c>
      <c r="AB83" s="30" t="s">
        <v>1072</v>
      </c>
      <c r="AC83" s="30">
        <v>5664573</v>
      </c>
      <c r="AD83" s="30" t="s">
        <v>9</v>
      </c>
      <c r="AE83" s="30" t="s">
        <v>1078</v>
      </c>
      <c r="AF83" s="30" t="s">
        <v>9</v>
      </c>
      <c r="AG83" s="30" t="s">
        <v>1079</v>
      </c>
      <c r="AH83" s="33" t="s">
        <v>88</v>
      </c>
      <c r="AI83" s="30" t="s">
        <v>1080</v>
      </c>
      <c r="AJ83" s="30" t="s">
        <v>1081</v>
      </c>
      <c r="AK83" s="30" t="s">
        <v>171</v>
      </c>
      <c r="AL83" s="30" t="s">
        <v>157</v>
      </c>
      <c r="AM83" s="30">
        <v>19125</v>
      </c>
      <c r="AN83" s="30"/>
      <c r="AO83" s="30" t="s">
        <v>157</v>
      </c>
      <c r="AP83" s="30" t="s">
        <v>369</v>
      </c>
      <c r="AQ83" s="30" t="s">
        <v>174</v>
      </c>
      <c r="AR83" s="30"/>
      <c r="AS83" s="30"/>
      <c r="AT83" s="30"/>
      <c r="AU83" s="30" t="s">
        <v>1082</v>
      </c>
      <c r="AV83" s="30"/>
      <c r="AW83" s="30" t="s">
        <v>1083</v>
      </c>
      <c r="AX83" s="30"/>
      <c r="AY83" s="30"/>
      <c r="AZ83" s="30"/>
      <c r="BA83" s="30" t="s">
        <v>397</v>
      </c>
      <c r="BB83" s="30">
        <v>86565652</v>
      </c>
      <c r="BC83" s="30" t="s">
        <v>258</v>
      </c>
      <c r="BD83" s="30" t="s">
        <v>181</v>
      </c>
      <c r="BE83" s="30" t="s">
        <v>1084</v>
      </c>
      <c r="BF83" s="30" t="s">
        <v>257</v>
      </c>
      <c r="BG83" s="30" t="s">
        <v>230</v>
      </c>
      <c r="BH83" s="30" t="s">
        <v>231</v>
      </c>
      <c r="BI83" s="30" t="s">
        <v>180</v>
      </c>
      <c r="BJ83" s="30" t="s">
        <v>157</v>
      </c>
      <c r="BK83" s="30"/>
      <c r="BL83" s="30"/>
      <c r="BM83" s="30">
        <v>103528874</v>
      </c>
      <c r="BN83" s="30"/>
      <c r="BO83" s="30" t="s">
        <v>1085</v>
      </c>
    </row>
    <row r="84" spans="1:67" s="3" customFormat="1" hidden="1">
      <c r="A84" s="30">
        <v>26</v>
      </c>
      <c r="B84" s="30" t="s">
        <v>152</v>
      </c>
      <c r="C84" s="30" t="s">
        <v>153</v>
      </c>
      <c r="D84" s="30" t="s">
        <v>354</v>
      </c>
      <c r="E84" s="30" t="s">
        <v>1068</v>
      </c>
      <c r="F84" s="30" t="s">
        <v>521</v>
      </c>
      <c r="G84" s="30" t="s">
        <v>1069</v>
      </c>
      <c r="H84" s="30" t="s">
        <v>1070</v>
      </c>
      <c r="I84" s="30" t="s">
        <v>1071</v>
      </c>
      <c r="J84" s="30" t="s">
        <v>354</v>
      </c>
      <c r="K84" s="30" t="s">
        <v>9</v>
      </c>
      <c r="L84" s="30" t="s">
        <v>525</v>
      </c>
      <c r="M84" s="30" t="s">
        <v>942</v>
      </c>
      <c r="N84" s="30" t="s">
        <v>157</v>
      </c>
      <c r="O84" s="30"/>
      <c r="P84" s="30"/>
      <c r="Q84" s="30" t="s">
        <v>1072</v>
      </c>
      <c r="R84" s="30" t="s">
        <v>9</v>
      </c>
      <c r="S84" s="30" t="s">
        <v>1073</v>
      </c>
      <c r="T84" s="30" t="s">
        <v>217</v>
      </c>
      <c r="U84" s="30" t="s">
        <v>1074</v>
      </c>
      <c r="V84" s="30" t="s">
        <v>164</v>
      </c>
      <c r="W84" s="30" t="s">
        <v>1075</v>
      </c>
      <c r="X84" s="30" t="s">
        <v>86</v>
      </c>
      <c r="Y84" s="30" t="s">
        <v>1076</v>
      </c>
      <c r="Z84" s="30" t="s">
        <v>1077</v>
      </c>
      <c r="AA84" s="30" t="s">
        <v>257</v>
      </c>
      <c r="AB84" s="30" t="s">
        <v>1072</v>
      </c>
      <c r="AC84" s="30">
        <v>5664573</v>
      </c>
      <c r="AD84" s="30" t="s">
        <v>9</v>
      </c>
      <c r="AE84" s="30" t="s">
        <v>1078</v>
      </c>
      <c r="AF84" s="30" t="s">
        <v>9</v>
      </c>
      <c r="AG84" s="30" t="s">
        <v>1079</v>
      </c>
      <c r="AH84" s="33" t="s">
        <v>88</v>
      </c>
      <c r="AI84" s="30" t="s">
        <v>1086</v>
      </c>
      <c r="AJ84" s="30" t="s">
        <v>1087</v>
      </c>
      <c r="AK84" s="30" t="s">
        <v>171</v>
      </c>
      <c r="AL84" s="30" t="s">
        <v>157</v>
      </c>
      <c r="AM84" s="30">
        <v>1809.4</v>
      </c>
      <c r="AN84" s="30"/>
      <c r="AO84" s="30" t="s">
        <v>157</v>
      </c>
      <c r="AP84" s="30" t="s">
        <v>369</v>
      </c>
      <c r="AQ84" s="30" t="s">
        <v>174</v>
      </c>
      <c r="AR84" s="30"/>
      <c r="AS84" s="30"/>
      <c r="AT84" s="30"/>
      <c r="AU84" s="30" t="s">
        <v>1082</v>
      </c>
      <c r="AV84" s="30"/>
      <c r="AW84" s="30" t="s">
        <v>1083</v>
      </c>
      <c r="AX84" s="30"/>
      <c r="AY84" s="30"/>
      <c r="AZ84" s="30"/>
      <c r="BA84" s="30" t="s">
        <v>1088</v>
      </c>
      <c r="BB84" s="30">
        <v>86565652</v>
      </c>
      <c r="BC84" s="30" t="s">
        <v>258</v>
      </c>
      <c r="BD84" s="30" t="s">
        <v>181</v>
      </c>
      <c r="BE84" s="30" t="s">
        <v>1084</v>
      </c>
      <c r="BF84" s="30" t="s">
        <v>257</v>
      </c>
      <c r="BG84" s="30" t="s">
        <v>230</v>
      </c>
      <c r="BH84" s="30" t="s">
        <v>231</v>
      </c>
      <c r="BI84" s="30" t="s">
        <v>180</v>
      </c>
      <c r="BJ84" s="30" t="s">
        <v>157</v>
      </c>
      <c r="BK84" s="30"/>
      <c r="BL84" s="30"/>
      <c r="BM84" s="30">
        <v>103528874</v>
      </c>
      <c r="BN84" s="30"/>
      <c r="BO84" s="30" t="s">
        <v>1085</v>
      </c>
    </row>
    <row r="85" spans="1:67" s="3" customFormat="1" hidden="1">
      <c r="A85" s="30">
        <v>117</v>
      </c>
      <c r="B85" s="30" t="s">
        <v>152</v>
      </c>
      <c r="C85" s="30" t="s">
        <v>153</v>
      </c>
      <c r="D85" s="30" t="s">
        <v>1089</v>
      </c>
      <c r="E85" s="30" t="s">
        <v>1090</v>
      </c>
      <c r="F85" s="30" t="s">
        <v>545</v>
      </c>
      <c r="G85" s="30" t="s">
        <v>1091</v>
      </c>
      <c r="H85" s="30" t="s">
        <v>1092</v>
      </c>
      <c r="I85" s="30"/>
      <c r="J85" s="30" t="s">
        <v>548</v>
      </c>
      <c r="K85" s="30" t="s">
        <v>16</v>
      </c>
      <c r="L85" s="30" t="s">
        <v>212</v>
      </c>
      <c r="M85" s="30" t="s">
        <v>240</v>
      </c>
      <c r="N85" s="30" t="s">
        <v>549</v>
      </c>
      <c r="O85" s="30"/>
      <c r="P85" s="30"/>
      <c r="Q85" s="30" t="s">
        <v>1089</v>
      </c>
      <c r="R85" s="30" t="s">
        <v>16</v>
      </c>
      <c r="S85" s="30" t="s">
        <v>1093</v>
      </c>
      <c r="T85" s="30" t="s">
        <v>162</v>
      </c>
      <c r="U85" s="30" t="s">
        <v>1094</v>
      </c>
      <c r="V85" s="30" t="s">
        <v>164</v>
      </c>
      <c r="W85" s="30" t="s">
        <v>1095</v>
      </c>
      <c r="X85" s="30" t="s">
        <v>548</v>
      </c>
      <c r="Y85" s="30" t="s">
        <v>1096</v>
      </c>
      <c r="Z85" s="30" t="s">
        <v>1097</v>
      </c>
      <c r="AA85" s="30" t="s">
        <v>1098</v>
      </c>
      <c r="AB85" s="30" t="s">
        <v>1089</v>
      </c>
      <c r="AC85" s="30">
        <v>5665945</v>
      </c>
      <c r="AD85" s="30" t="s">
        <v>16</v>
      </c>
      <c r="AE85" s="30" t="s">
        <v>1099</v>
      </c>
      <c r="AF85" s="30" t="s">
        <v>16</v>
      </c>
      <c r="AG85" s="30" t="s">
        <v>1100</v>
      </c>
      <c r="AH85" s="33" t="s">
        <v>87</v>
      </c>
      <c r="AI85" s="30" t="s">
        <v>1101</v>
      </c>
      <c r="AJ85" s="30" t="s">
        <v>627</v>
      </c>
      <c r="AK85" s="30" t="s">
        <v>171</v>
      </c>
      <c r="AL85" s="30" t="s">
        <v>157</v>
      </c>
      <c r="AM85" s="30">
        <v>29500</v>
      </c>
      <c r="AN85" s="30"/>
      <c r="AO85" s="30" t="s">
        <v>545</v>
      </c>
      <c r="AP85" s="30" t="s">
        <v>173</v>
      </c>
      <c r="AQ85" s="30" t="s">
        <v>225</v>
      </c>
      <c r="AR85" s="30"/>
      <c r="AS85" s="30" t="s">
        <v>1102</v>
      </c>
      <c r="AT85" s="30"/>
      <c r="AU85" s="30" t="s">
        <v>342</v>
      </c>
      <c r="AV85" s="30"/>
      <c r="AW85" s="30" t="s">
        <v>1103</v>
      </c>
      <c r="AX85" s="30"/>
      <c r="AY85" s="30"/>
      <c r="AZ85" s="30"/>
      <c r="BA85" s="30"/>
      <c r="BB85" s="30">
        <v>60134074</v>
      </c>
      <c r="BC85" s="30" t="s">
        <v>180</v>
      </c>
      <c r="BD85" s="30" t="s">
        <v>563</v>
      </c>
      <c r="BE85" s="30" t="s">
        <v>1104</v>
      </c>
      <c r="BF85" s="30" t="s">
        <v>157</v>
      </c>
      <c r="BG85" s="30"/>
      <c r="BH85" s="30" t="s">
        <v>539</v>
      </c>
      <c r="BI85" s="30" t="s">
        <v>258</v>
      </c>
      <c r="BJ85" s="30" t="s">
        <v>157</v>
      </c>
      <c r="BK85" s="30"/>
      <c r="BL85" s="30"/>
      <c r="BM85" s="30"/>
      <c r="BN85" s="30" t="s">
        <v>232</v>
      </c>
      <c r="BO85" s="30" t="s">
        <v>240</v>
      </c>
    </row>
    <row r="86" spans="1:67" s="3" customFormat="1" hidden="1">
      <c r="A86" s="30">
        <v>118</v>
      </c>
      <c r="B86" s="30" t="s">
        <v>152</v>
      </c>
      <c r="C86" s="30" t="s">
        <v>153</v>
      </c>
      <c r="D86" s="30" t="s">
        <v>1089</v>
      </c>
      <c r="E86" s="30" t="s">
        <v>1090</v>
      </c>
      <c r="F86" s="30" t="s">
        <v>545</v>
      </c>
      <c r="G86" s="30" t="s">
        <v>1091</v>
      </c>
      <c r="H86" s="30" t="s">
        <v>1092</v>
      </c>
      <c r="I86" s="30"/>
      <c r="J86" s="30" t="s">
        <v>548</v>
      </c>
      <c r="K86" s="30" t="s">
        <v>16</v>
      </c>
      <c r="L86" s="30" t="s">
        <v>212</v>
      </c>
      <c r="M86" s="30" t="s">
        <v>240</v>
      </c>
      <c r="N86" s="30" t="s">
        <v>549</v>
      </c>
      <c r="O86" s="30"/>
      <c r="P86" s="30"/>
      <c r="Q86" s="30" t="s">
        <v>1089</v>
      </c>
      <c r="R86" s="30" t="s">
        <v>16</v>
      </c>
      <c r="S86" s="30" t="s">
        <v>1093</v>
      </c>
      <c r="T86" s="30" t="s">
        <v>162</v>
      </c>
      <c r="U86" s="30" t="s">
        <v>1094</v>
      </c>
      <c r="V86" s="30" t="s">
        <v>164</v>
      </c>
      <c r="W86" s="30" t="s">
        <v>1095</v>
      </c>
      <c r="X86" s="30" t="s">
        <v>548</v>
      </c>
      <c r="Y86" s="30" t="s">
        <v>1096</v>
      </c>
      <c r="Z86" s="30" t="s">
        <v>1097</v>
      </c>
      <c r="AA86" s="30" t="s">
        <v>1098</v>
      </c>
      <c r="AB86" s="30" t="s">
        <v>1089</v>
      </c>
      <c r="AC86" s="30">
        <v>5665945</v>
      </c>
      <c r="AD86" s="30" t="s">
        <v>16</v>
      </c>
      <c r="AE86" s="30" t="s">
        <v>1099</v>
      </c>
      <c r="AF86" s="30" t="s">
        <v>16</v>
      </c>
      <c r="AG86" s="30" t="s">
        <v>1100</v>
      </c>
      <c r="AH86" s="33" t="s">
        <v>87</v>
      </c>
      <c r="AI86" s="30" t="s">
        <v>1105</v>
      </c>
      <c r="AJ86" s="30" t="s">
        <v>627</v>
      </c>
      <c r="AK86" s="30" t="s">
        <v>171</v>
      </c>
      <c r="AL86" s="30" t="s">
        <v>157</v>
      </c>
      <c r="AM86" s="30">
        <v>29500</v>
      </c>
      <c r="AN86" s="30"/>
      <c r="AO86" s="30" t="s">
        <v>545</v>
      </c>
      <c r="AP86" s="30" t="s">
        <v>173</v>
      </c>
      <c r="AQ86" s="30" t="s">
        <v>225</v>
      </c>
      <c r="AR86" s="30"/>
      <c r="AS86" s="30" t="s">
        <v>1102</v>
      </c>
      <c r="AT86" s="30"/>
      <c r="AU86" s="30" t="s">
        <v>342</v>
      </c>
      <c r="AV86" s="30"/>
      <c r="AW86" s="30" t="s">
        <v>1103</v>
      </c>
      <c r="AX86" s="30"/>
      <c r="AY86" s="30"/>
      <c r="AZ86" s="30"/>
      <c r="BA86" s="30"/>
      <c r="BB86" s="30">
        <v>60134074</v>
      </c>
      <c r="BC86" s="30" t="s">
        <v>180</v>
      </c>
      <c r="BD86" s="30" t="s">
        <v>563</v>
      </c>
      <c r="BE86" s="30" t="s">
        <v>1104</v>
      </c>
      <c r="BF86" s="30" t="s">
        <v>157</v>
      </c>
      <c r="BG86" s="30"/>
      <c r="BH86" s="30" t="s">
        <v>539</v>
      </c>
      <c r="BI86" s="30" t="s">
        <v>258</v>
      </c>
      <c r="BJ86" s="30" t="s">
        <v>157</v>
      </c>
      <c r="BK86" s="30"/>
      <c r="BL86" s="30"/>
      <c r="BM86" s="30"/>
      <c r="BN86" s="30" t="s">
        <v>232</v>
      </c>
      <c r="BO86" s="30" t="s">
        <v>240</v>
      </c>
    </row>
    <row r="87" spans="1:67" s="3" customFormat="1" hidden="1">
      <c r="A87" s="30">
        <v>19</v>
      </c>
      <c r="B87" s="30" t="s">
        <v>152</v>
      </c>
      <c r="C87" s="30" t="s">
        <v>153</v>
      </c>
      <c r="D87" s="30" t="s">
        <v>354</v>
      </c>
      <c r="E87" s="30" t="s">
        <v>1106</v>
      </c>
      <c r="F87" s="30" t="s">
        <v>420</v>
      </c>
      <c r="G87" s="30" t="s">
        <v>1107</v>
      </c>
      <c r="H87" s="30" t="s">
        <v>1108</v>
      </c>
      <c r="I87" s="30" t="s">
        <v>1109</v>
      </c>
      <c r="J87" s="30" t="s">
        <v>86</v>
      </c>
      <c r="K87" s="30" t="s">
        <v>16</v>
      </c>
      <c r="L87" s="30" t="s">
        <v>423</v>
      </c>
      <c r="M87" s="30" t="s">
        <v>424</v>
      </c>
      <c r="N87" s="30" t="s">
        <v>157</v>
      </c>
      <c r="O87" s="30"/>
      <c r="P87" s="30"/>
      <c r="Q87" s="30" t="s">
        <v>1110</v>
      </c>
      <c r="R87" s="30" t="s">
        <v>16</v>
      </c>
      <c r="S87" s="30" t="s">
        <v>1111</v>
      </c>
      <c r="T87" s="30" t="s">
        <v>217</v>
      </c>
      <c r="U87" s="30" t="s">
        <v>1112</v>
      </c>
      <c r="V87" s="30" t="s">
        <v>164</v>
      </c>
      <c r="W87" s="30" t="s">
        <v>388</v>
      </c>
      <c r="X87" s="30" t="s">
        <v>86</v>
      </c>
      <c r="Y87" s="30" t="s">
        <v>1113</v>
      </c>
      <c r="Z87" s="30" t="s">
        <v>86</v>
      </c>
      <c r="AA87" s="30" t="s">
        <v>86</v>
      </c>
      <c r="AB87" s="30" t="s">
        <v>1110</v>
      </c>
      <c r="AC87" s="30">
        <v>5666203</v>
      </c>
      <c r="AD87" s="30" t="s">
        <v>16</v>
      </c>
      <c r="AE87" s="30" t="s">
        <v>1114</v>
      </c>
      <c r="AF87" s="30" t="s">
        <v>16</v>
      </c>
      <c r="AG87" s="30" t="s">
        <v>1115</v>
      </c>
      <c r="AH87" s="33" t="s">
        <v>88</v>
      </c>
      <c r="AI87" s="30" t="s">
        <v>1116</v>
      </c>
      <c r="AJ87" s="30" t="s">
        <v>1117</v>
      </c>
      <c r="AK87" s="30" t="s">
        <v>171</v>
      </c>
      <c r="AL87" s="30" t="s">
        <v>157</v>
      </c>
      <c r="AM87" s="30">
        <v>8781.4</v>
      </c>
      <c r="AN87" s="30"/>
      <c r="AO87" s="30" t="s">
        <v>157</v>
      </c>
      <c r="AP87" s="30" t="s">
        <v>369</v>
      </c>
      <c r="AQ87" s="30" t="s">
        <v>174</v>
      </c>
      <c r="AR87" s="30"/>
      <c r="AS87" s="30"/>
      <c r="AT87" s="30"/>
      <c r="AU87" s="30" t="s">
        <v>1118</v>
      </c>
      <c r="AV87" s="30"/>
      <c r="AW87" s="30" t="s">
        <v>1119</v>
      </c>
      <c r="AX87" s="30"/>
      <c r="AY87" s="30"/>
      <c r="AZ87" s="30"/>
      <c r="BA87" s="30" t="s">
        <v>1088</v>
      </c>
      <c r="BB87" s="30">
        <v>86787226</v>
      </c>
      <c r="BC87" s="30" t="s">
        <v>258</v>
      </c>
      <c r="BD87" s="30" t="s">
        <v>181</v>
      </c>
      <c r="BE87" s="30" t="s">
        <v>398</v>
      </c>
      <c r="BF87" s="30" t="s">
        <v>229</v>
      </c>
      <c r="BG87" s="30" t="s">
        <v>230</v>
      </c>
      <c r="BH87" s="30" t="s">
        <v>231</v>
      </c>
      <c r="BI87" s="30" t="s">
        <v>180</v>
      </c>
      <c r="BJ87" s="30" t="s">
        <v>157</v>
      </c>
      <c r="BK87" s="30"/>
      <c r="BL87" s="30"/>
      <c r="BM87" s="30">
        <v>111126639</v>
      </c>
      <c r="BN87" s="30"/>
      <c r="BO87" s="30" t="s">
        <v>1120</v>
      </c>
    </row>
    <row r="88" spans="1:67" s="3" customFormat="1" hidden="1">
      <c r="A88" s="30">
        <v>14</v>
      </c>
      <c r="B88" s="30" t="s">
        <v>152</v>
      </c>
      <c r="C88" s="30" t="s">
        <v>153</v>
      </c>
      <c r="D88" s="30"/>
      <c r="E88" s="30" t="s">
        <v>1121</v>
      </c>
      <c r="F88" s="30"/>
      <c r="G88" s="30" t="s">
        <v>1122</v>
      </c>
      <c r="H88" s="30" t="s">
        <v>1123</v>
      </c>
      <c r="I88" s="30" t="s">
        <v>1124</v>
      </c>
      <c r="J88" s="30" t="s">
        <v>158</v>
      </c>
      <c r="K88" s="30" t="s">
        <v>16</v>
      </c>
      <c r="L88" s="30" t="s">
        <v>423</v>
      </c>
      <c r="M88" s="30" t="s">
        <v>1125</v>
      </c>
      <c r="N88" s="30"/>
      <c r="O88" s="30"/>
      <c r="P88" s="30"/>
      <c r="Q88" s="30" t="s">
        <v>1126</v>
      </c>
      <c r="R88" s="30" t="s">
        <v>16</v>
      </c>
      <c r="S88" s="30" t="s">
        <v>1127</v>
      </c>
      <c r="T88" s="30" t="s">
        <v>162</v>
      </c>
      <c r="U88" s="30" t="s">
        <v>1128</v>
      </c>
      <c r="V88" s="30" t="s">
        <v>164</v>
      </c>
      <c r="W88" s="30" t="s">
        <v>165</v>
      </c>
      <c r="X88" s="30" t="s">
        <v>158</v>
      </c>
      <c r="Y88" s="30" t="s">
        <v>362</v>
      </c>
      <c r="Z88" s="30" t="s">
        <v>290</v>
      </c>
      <c r="AA88" s="30" t="s">
        <v>168</v>
      </c>
      <c r="AB88" s="30" t="s">
        <v>1126</v>
      </c>
      <c r="AC88" s="30">
        <v>5694809</v>
      </c>
      <c r="AD88" s="30" t="s">
        <v>16</v>
      </c>
      <c r="AE88" s="30" t="s">
        <v>1128</v>
      </c>
      <c r="AF88" s="30" t="s">
        <v>16</v>
      </c>
      <c r="AG88" s="30" t="s">
        <v>1129</v>
      </c>
      <c r="AH88" s="33" t="s">
        <v>85</v>
      </c>
      <c r="AI88" s="30" t="s">
        <v>169</v>
      </c>
      <c r="AJ88" s="30" t="s">
        <v>170</v>
      </c>
      <c r="AK88" s="30" t="s">
        <v>171</v>
      </c>
      <c r="AL88" s="30" t="s">
        <v>157</v>
      </c>
      <c r="AM88" s="30">
        <v>9000</v>
      </c>
      <c r="AN88" s="30" t="s">
        <v>172</v>
      </c>
      <c r="AO88" s="30" t="s">
        <v>157</v>
      </c>
      <c r="AP88" s="30" t="s">
        <v>173</v>
      </c>
      <c r="AQ88" s="30" t="s">
        <v>174</v>
      </c>
      <c r="AR88" s="30" t="s">
        <v>175</v>
      </c>
      <c r="AS88" s="30" t="s">
        <v>1130</v>
      </c>
      <c r="AT88" s="30" t="s">
        <v>1131</v>
      </c>
      <c r="AU88" s="30" t="s">
        <v>178</v>
      </c>
      <c r="AV88" s="30"/>
      <c r="AW88" s="30" t="s">
        <v>1132</v>
      </c>
      <c r="AX88" s="30"/>
      <c r="AY88" s="30"/>
      <c r="AZ88" s="30"/>
      <c r="BA88" s="30"/>
      <c r="BB88" s="30">
        <v>84997321</v>
      </c>
      <c r="BC88" s="30" t="s">
        <v>180</v>
      </c>
      <c r="BD88" s="30" t="s">
        <v>181</v>
      </c>
      <c r="BE88" s="30" t="s">
        <v>1028</v>
      </c>
      <c r="BF88" s="30" t="s">
        <v>183</v>
      </c>
      <c r="BG88" s="30"/>
      <c r="BH88" s="30" t="s">
        <v>231</v>
      </c>
      <c r="BI88" s="30" t="s">
        <v>180</v>
      </c>
      <c r="BJ88" s="30" t="s">
        <v>157</v>
      </c>
      <c r="BK88" s="30"/>
      <c r="BL88" s="30" t="s">
        <v>185</v>
      </c>
      <c r="BM88" s="30"/>
      <c r="BN88" s="30" t="s">
        <v>186</v>
      </c>
      <c r="BO88" s="30"/>
    </row>
    <row r="89" spans="1:67" s="3" customFormat="1" hidden="1">
      <c r="A89" s="30">
        <v>3</v>
      </c>
      <c r="B89" s="30" t="s">
        <v>152</v>
      </c>
      <c r="C89" s="30" t="s">
        <v>153</v>
      </c>
      <c r="D89" s="30" t="s">
        <v>1133</v>
      </c>
      <c r="E89" s="30" t="s">
        <v>1134</v>
      </c>
      <c r="F89" s="30" t="s">
        <v>1135</v>
      </c>
      <c r="G89" s="30" t="s">
        <v>1136</v>
      </c>
      <c r="H89" s="30" t="s">
        <v>1137</v>
      </c>
      <c r="I89" s="30"/>
      <c r="J89" s="30" t="s">
        <v>330</v>
      </c>
      <c r="K89" s="30" t="s">
        <v>16</v>
      </c>
      <c r="L89" s="30" t="s">
        <v>212</v>
      </c>
      <c r="M89" s="30" t="s">
        <v>240</v>
      </c>
      <c r="N89" s="30" t="s">
        <v>1138</v>
      </c>
      <c r="O89" s="30"/>
      <c r="P89" s="30"/>
      <c r="Q89" s="30" t="s">
        <v>1133</v>
      </c>
      <c r="R89" s="30" t="s">
        <v>16</v>
      </c>
      <c r="S89" s="30" t="s">
        <v>1139</v>
      </c>
      <c r="T89" s="30" t="s">
        <v>162</v>
      </c>
      <c r="U89" s="30" t="s">
        <v>1140</v>
      </c>
      <c r="V89" s="30" t="s">
        <v>164</v>
      </c>
      <c r="W89" s="30" t="s">
        <v>244</v>
      </c>
      <c r="X89" s="30" t="s">
        <v>330</v>
      </c>
      <c r="Y89" s="30" t="s">
        <v>1141</v>
      </c>
      <c r="Z89" s="30" t="s">
        <v>1142</v>
      </c>
      <c r="AA89" s="30" t="s">
        <v>1142</v>
      </c>
      <c r="AB89" s="30" t="s">
        <v>1133</v>
      </c>
      <c r="AC89" s="30">
        <v>5739210</v>
      </c>
      <c r="AD89" s="30" t="s">
        <v>16</v>
      </c>
      <c r="AE89" s="30" t="s">
        <v>1143</v>
      </c>
      <c r="AF89" s="30" t="s">
        <v>16</v>
      </c>
      <c r="AG89" s="30" t="s">
        <v>1144</v>
      </c>
      <c r="AH89" s="33" t="s">
        <v>83</v>
      </c>
      <c r="AI89" s="30" t="s">
        <v>1145</v>
      </c>
      <c r="AJ89" s="30" t="s">
        <v>1146</v>
      </c>
      <c r="AK89" s="30" t="s">
        <v>171</v>
      </c>
      <c r="AL89" s="30" t="s">
        <v>157</v>
      </c>
      <c r="AM89" s="30">
        <v>1400</v>
      </c>
      <c r="AN89" s="30"/>
      <c r="AO89" s="30" t="s">
        <v>1135</v>
      </c>
      <c r="AP89" s="30" t="s">
        <v>173</v>
      </c>
      <c r="AQ89" s="30" t="s">
        <v>225</v>
      </c>
      <c r="AR89" s="30"/>
      <c r="AS89" s="30" t="s">
        <v>1147</v>
      </c>
      <c r="AT89" s="30"/>
      <c r="AU89" s="30" t="s">
        <v>466</v>
      </c>
      <c r="AV89" s="30"/>
      <c r="AW89" s="30" t="s">
        <v>1148</v>
      </c>
      <c r="AX89" s="30"/>
      <c r="AY89" s="30"/>
      <c r="AZ89" s="30"/>
      <c r="BA89" s="30"/>
      <c r="BB89" s="30">
        <v>60533082</v>
      </c>
      <c r="BC89" s="30" t="s">
        <v>180</v>
      </c>
      <c r="BD89" s="30" t="s">
        <v>255</v>
      </c>
      <c r="BE89" s="30" t="s">
        <v>256</v>
      </c>
      <c r="BF89" s="30" t="s">
        <v>257</v>
      </c>
      <c r="BG89" s="30" t="s">
        <v>230</v>
      </c>
      <c r="BH89" s="30" t="s">
        <v>184</v>
      </c>
      <c r="BI89" s="30" t="s">
        <v>258</v>
      </c>
      <c r="BJ89" s="30" t="s">
        <v>157</v>
      </c>
      <c r="BK89" s="30"/>
      <c r="BL89" s="30"/>
      <c r="BM89" s="30"/>
      <c r="BN89" s="30" t="s">
        <v>186</v>
      </c>
      <c r="BO89" s="30" t="s">
        <v>240</v>
      </c>
    </row>
    <row r="90" spans="1:67" s="3" customFormat="1" hidden="1">
      <c r="A90" s="30">
        <v>4</v>
      </c>
      <c r="B90" s="30" t="s">
        <v>152</v>
      </c>
      <c r="C90" s="30" t="s">
        <v>153</v>
      </c>
      <c r="D90" s="30" t="s">
        <v>1133</v>
      </c>
      <c r="E90" s="30" t="s">
        <v>1134</v>
      </c>
      <c r="F90" s="30" t="s">
        <v>1135</v>
      </c>
      <c r="G90" s="30" t="s">
        <v>1136</v>
      </c>
      <c r="H90" s="30" t="s">
        <v>1137</v>
      </c>
      <c r="I90" s="30"/>
      <c r="J90" s="30" t="s">
        <v>330</v>
      </c>
      <c r="K90" s="30" t="s">
        <v>16</v>
      </c>
      <c r="L90" s="30" t="s">
        <v>212</v>
      </c>
      <c r="M90" s="30" t="s">
        <v>240</v>
      </c>
      <c r="N90" s="30" t="s">
        <v>1138</v>
      </c>
      <c r="O90" s="30"/>
      <c r="P90" s="30"/>
      <c r="Q90" s="30" t="s">
        <v>1133</v>
      </c>
      <c r="R90" s="30" t="s">
        <v>16</v>
      </c>
      <c r="S90" s="30" t="s">
        <v>1139</v>
      </c>
      <c r="T90" s="30" t="s">
        <v>162</v>
      </c>
      <c r="U90" s="30" t="s">
        <v>1140</v>
      </c>
      <c r="V90" s="30" t="s">
        <v>164</v>
      </c>
      <c r="W90" s="30" t="s">
        <v>244</v>
      </c>
      <c r="X90" s="30" t="s">
        <v>330</v>
      </c>
      <c r="Y90" s="30" t="s">
        <v>1141</v>
      </c>
      <c r="Z90" s="30" t="s">
        <v>1142</v>
      </c>
      <c r="AA90" s="30" t="s">
        <v>1142</v>
      </c>
      <c r="AB90" s="30" t="s">
        <v>1133</v>
      </c>
      <c r="AC90" s="30">
        <v>5739210</v>
      </c>
      <c r="AD90" s="30" t="s">
        <v>16</v>
      </c>
      <c r="AE90" s="30" t="s">
        <v>1143</v>
      </c>
      <c r="AF90" s="30" t="s">
        <v>16</v>
      </c>
      <c r="AG90" s="30" t="s">
        <v>1144</v>
      </c>
      <c r="AH90" s="33" t="s">
        <v>85</v>
      </c>
      <c r="AI90" s="30" t="s">
        <v>1149</v>
      </c>
      <c r="AJ90" s="30" t="s">
        <v>469</v>
      </c>
      <c r="AK90" s="30" t="s">
        <v>171</v>
      </c>
      <c r="AL90" s="30" t="s">
        <v>157</v>
      </c>
      <c r="AM90" s="30">
        <v>7200</v>
      </c>
      <c r="AN90" s="30"/>
      <c r="AO90" s="30" t="s">
        <v>1135</v>
      </c>
      <c r="AP90" s="30" t="s">
        <v>173</v>
      </c>
      <c r="AQ90" s="30" t="s">
        <v>225</v>
      </c>
      <c r="AR90" s="30"/>
      <c r="AS90" s="30" t="s">
        <v>1147</v>
      </c>
      <c r="AT90" s="30"/>
      <c r="AU90" s="30" t="s">
        <v>466</v>
      </c>
      <c r="AV90" s="30"/>
      <c r="AW90" s="30" t="s">
        <v>1148</v>
      </c>
      <c r="AX90" s="30"/>
      <c r="AY90" s="30"/>
      <c r="AZ90" s="30"/>
      <c r="BA90" s="30"/>
      <c r="BB90" s="30">
        <v>60533082</v>
      </c>
      <c r="BC90" s="30" t="s">
        <v>180</v>
      </c>
      <c r="BD90" s="30" t="s">
        <v>255</v>
      </c>
      <c r="BE90" s="30" t="s">
        <v>256</v>
      </c>
      <c r="BF90" s="30" t="s">
        <v>257</v>
      </c>
      <c r="BG90" s="30" t="s">
        <v>230</v>
      </c>
      <c r="BH90" s="30" t="s">
        <v>184</v>
      </c>
      <c r="BI90" s="30" t="s">
        <v>258</v>
      </c>
      <c r="BJ90" s="30" t="s">
        <v>157</v>
      </c>
      <c r="BK90" s="30"/>
      <c r="BL90" s="30"/>
      <c r="BM90" s="30"/>
      <c r="BN90" s="30" t="s">
        <v>186</v>
      </c>
      <c r="BO90" s="30" t="s">
        <v>240</v>
      </c>
    </row>
    <row r="91" spans="1:67" s="3" customFormat="1" hidden="1">
      <c r="A91" s="30">
        <v>34</v>
      </c>
      <c r="B91" s="30" t="s">
        <v>152</v>
      </c>
      <c r="C91" s="30" t="s">
        <v>153</v>
      </c>
      <c r="D91" s="30"/>
      <c r="E91" s="30" t="s">
        <v>1150</v>
      </c>
      <c r="F91" s="30"/>
      <c r="G91" s="30" t="s">
        <v>1151</v>
      </c>
      <c r="H91" s="30" t="s">
        <v>1152</v>
      </c>
      <c r="I91" s="30"/>
      <c r="J91" s="30" t="s">
        <v>330</v>
      </c>
      <c r="K91" s="30" t="s">
        <v>16</v>
      </c>
      <c r="L91" s="30" t="s">
        <v>212</v>
      </c>
      <c r="M91" s="30" t="s">
        <v>240</v>
      </c>
      <c r="N91" s="30"/>
      <c r="O91" s="30"/>
      <c r="P91" s="30"/>
      <c r="Q91" s="30" t="s">
        <v>1133</v>
      </c>
      <c r="R91" s="30" t="s">
        <v>16</v>
      </c>
      <c r="S91" s="30" t="s">
        <v>1153</v>
      </c>
      <c r="T91" s="30" t="s">
        <v>162</v>
      </c>
      <c r="U91" s="30" t="s">
        <v>1154</v>
      </c>
      <c r="V91" s="30" t="s">
        <v>164</v>
      </c>
      <c r="W91" s="30" t="s">
        <v>244</v>
      </c>
      <c r="X91" s="30" t="s">
        <v>330</v>
      </c>
      <c r="Y91" s="30" t="s">
        <v>1141</v>
      </c>
      <c r="Z91" s="30" t="s">
        <v>1142</v>
      </c>
      <c r="AA91" s="30" t="s">
        <v>1142</v>
      </c>
      <c r="AB91" s="30" t="s">
        <v>1133</v>
      </c>
      <c r="AC91" s="30">
        <v>5691935</v>
      </c>
      <c r="AD91" s="30" t="s">
        <v>16</v>
      </c>
      <c r="AE91" s="30" t="s">
        <v>1154</v>
      </c>
      <c r="AF91" s="30" t="s">
        <v>337</v>
      </c>
      <c r="AG91" s="30" t="s">
        <v>1154</v>
      </c>
      <c r="AH91" s="33" t="s">
        <v>85</v>
      </c>
      <c r="AI91" s="30" t="s">
        <v>1155</v>
      </c>
      <c r="AJ91" s="30" t="s">
        <v>1156</v>
      </c>
      <c r="AK91" s="30"/>
      <c r="AL91" s="30" t="s">
        <v>157</v>
      </c>
      <c r="AM91" s="30">
        <v>-4500</v>
      </c>
      <c r="AN91" s="30"/>
      <c r="AO91" s="30" t="s">
        <v>157</v>
      </c>
      <c r="AP91" s="30"/>
      <c r="AQ91" s="30" t="s">
        <v>274</v>
      </c>
      <c r="AR91" s="30"/>
      <c r="AS91" s="30" t="s">
        <v>1147</v>
      </c>
      <c r="AT91" s="30"/>
      <c r="AU91" s="30" t="s">
        <v>342</v>
      </c>
      <c r="AV91" s="30"/>
      <c r="AW91" s="30" t="s">
        <v>1157</v>
      </c>
      <c r="AX91" s="30"/>
      <c r="AY91" s="30"/>
      <c r="AZ91" s="30"/>
      <c r="BA91" s="30"/>
      <c r="BB91" s="30">
        <v>60533082</v>
      </c>
      <c r="BC91" s="30" t="s">
        <v>180</v>
      </c>
      <c r="BD91" s="30" t="s">
        <v>255</v>
      </c>
      <c r="BE91" s="30" t="s">
        <v>256</v>
      </c>
      <c r="BF91" s="30" t="s">
        <v>1158</v>
      </c>
      <c r="BG91" s="30"/>
      <c r="BH91" s="30" t="s">
        <v>184</v>
      </c>
      <c r="BI91" s="30" t="s">
        <v>180</v>
      </c>
      <c r="BJ91" s="30"/>
      <c r="BK91" s="30"/>
      <c r="BL91" s="30"/>
      <c r="BM91" s="30"/>
      <c r="BN91" s="30"/>
      <c r="BO91" s="30"/>
    </row>
    <row r="92" spans="1:67" s="3" customFormat="1" hidden="1">
      <c r="A92" s="30">
        <v>35</v>
      </c>
      <c r="B92" s="30" t="s">
        <v>152</v>
      </c>
      <c r="C92" s="30" t="s">
        <v>153</v>
      </c>
      <c r="D92" s="30"/>
      <c r="E92" s="30" t="s">
        <v>1150</v>
      </c>
      <c r="F92" s="30"/>
      <c r="G92" s="30" t="s">
        <v>1151</v>
      </c>
      <c r="H92" s="30" t="s">
        <v>1152</v>
      </c>
      <c r="I92" s="30"/>
      <c r="J92" s="30" t="s">
        <v>330</v>
      </c>
      <c r="K92" s="30" t="s">
        <v>16</v>
      </c>
      <c r="L92" s="30" t="s">
        <v>212</v>
      </c>
      <c r="M92" s="30" t="s">
        <v>240</v>
      </c>
      <c r="N92" s="30"/>
      <c r="O92" s="30"/>
      <c r="P92" s="30"/>
      <c r="Q92" s="30" t="s">
        <v>1133</v>
      </c>
      <c r="R92" s="30" t="s">
        <v>16</v>
      </c>
      <c r="S92" s="30" t="s">
        <v>1153</v>
      </c>
      <c r="T92" s="30" t="s">
        <v>162</v>
      </c>
      <c r="U92" s="30" t="s">
        <v>1154</v>
      </c>
      <c r="V92" s="30" t="s">
        <v>164</v>
      </c>
      <c r="W92" s="30" t="s">
        <v>244</v>
      </c>
      <c r="X92" s="30" t="s">
        <v>330</v>
      </c>
      <c r="Y92" s="30" t="s">
        <v>1141</v>
      </c>
      <c r="Z92" s="30" t="s">
        <v>1142</v>
      </c>
      <c r="AA92" s="30" t="s">
        <v>1142</v>
      </c>
      <c r="AB92" s="30" t="s">
        <v>1133</v>
      </c>
      <c r="AC92" s="30">
        <v>5691935</v>
      </c>
      <c r="AD92" s="30" t="s">
        <v>16</v>
      </c>
      <c r="AE92" s="30" t="s">
        <v>1154</v>
      </c>
      <c r="AF92" s="30" t="s">
        <v>337</v>
      </c>
      <c r="AG92" s="30" t="s">
        <v>1154</v>
      </c>
      <c r="AH92" s="33" t="s">
        <v>85</v>
      </c>
      <c r="AI92" s="30" t="s">
        <v>1159</v>
      </c>
      <c r="AJ92" s="30" t="s">
        <v>644</v>
      </c>
      <c r="AK92" s="30"/>
      <c r="AL92" s="30" t="s">
        <v>157</v>
      </c>
      <c r="AM92" s="30">
        <v>4200</v>
      </c>
      <c r="AN92" s="30"/>
      <c r="AO92" s="30" t="s">
        <v>157</v>
      </c>
      <c r="AP92" s="30"/>
      <c r="AQ92" s="30" t="s">
        <v>274</v>
      </c>
      <c r="AR92" s="30"/>
      <c r="AS92" s="30" t="s">
        <v>1147</v>
      </c>
      <c r="AT92" s="30"/>
      <c r="AU92" s="30" t="s">
        <v>342</v>
      </c>
      <c r="AV92" s="30"/>
      <c r="AW92" s="30" t="s">
        <v>1157</v>
      </c>
      <c r="AX92" s="30"/>
      <c r="AY92" s="30"/>
      <c r="AZ92" s="30"/>
      <c r="BA92" s="30"/>
      <c r="BB92" s="30">
        <v>60533082</v>
      </c>
      <c r="BC92" s="30" t="s">
        <v>180</v>
      </c>
      <c r="BD92" s="30" t="s">
        <v>255</v>
      </c>
      <c r="BE92" s="30" t="s">
        <v>256</v>
      </c>
      <c r="BF92" s="30" t="s">
        <v>1158</v>
      </c>
      <c r="BG92" s="30"/>
      <c r="BH92" s="30" t="s">
        <v>184</v>
      </c>
      <c r="BI92" s="30" t="s">
        <v>180</v>
      </c>
      <c r="BJ92" s="30"/>
      <c r="BK92" s="30"/>
      <c r="BL92" s="30"/>
      <c r="BM92" s="30"/>
      <c r="BN92" s="30"/>
      <c r="BO92" s="30"/>
    </row>
    <row r="93" spans="1:67" s="3" customFormat="1" hidden="1">
      <c r="A93" s="30">
        <v>41</v>
      </c>
      <c r="B93" s="30" t="s">
        <v>152</v>
      </c>
      <c r="C93" s="30" t="s">
        <v>153</v>
      </c>
      <c r="D93" s="30" t="s">
        <v>1160</v>
      </c>
      <c r="E93" s="30" t="s">
        <v>1161</v>
      </c>
      <c r="F93" s="30" t="s">
        <v>1162</v>
      </c>
      <c r="G93" s="30" t="s">
        <v>1163</v>
      </c>
      <c r="H93" s="30" t="s">
        <v>1164</v>
      </c>
      <c r="I93" s="30"/>
      <c r="J93" s="30" t="s">
        <v>330</v>
      </c>
      <c r="K93" s="30" t="s">
        <v>9</v>
      </c>
      <c r="L93" s="30" t="s">
        <v>212</v>
      </c>
      <c r="M93" s="30" t="s">
        <v>240</v>
      </c>
      <c r="N93" s="30" t="s">
        <v>1165</v>
      </c>
      <c r="O93" s="30"/>
      <c r="P93" s="30"/>
      <c r="Q93" s="30" t="s">
        <v>1160</v>
      </c>
      <c r="R93" s="30" t="s">
        <v>9</v>
      </c>
      <c r="S93" s="30" t="s">
        <v>1166</v>
      </c>
      <c r="T93" s="30" t="s">
        <v>162</v>
      </c>
      <c r="U93" s="30" t="s">
        <v>1167</v>
      </c>
      <c r="V93" s="30" t="s">
        <v>164</v>
      </c>
      <c r="W93" s="30" t="s">
        <v>267</v>
      </c>
      <c r="X93" s="30" t="s">
        <v>330</v>
      </c>
      <c r="Y93" s="30" t="s">
        <v>268</v>
      </c>
      <c r="Z93" s="30" t="s">
        <v>753</v>
      </c>
      <c r="AA93" s="30" t="s">
        <v>1168</v>
      </c>
      <c r="AB93" s="30" t="s">
        <v>1160</v>
      </c>
      <c r="AC93" s="30">
        <v>5713623</v>
      </c>
      <c r="AD93" s="30" t="s">
        <v>9</v>
      </c>
      <c r="AE93" s="30" t="s">
        <v>1169</v>
      </c>
      <c r="AF93" s="30" t="s">
        <v>9</v>
      </c>
      <c r="AG93" s="30" t="s">
        <v>1170</v>
      </c>
      <c r="AH93" s="33" t="s">
        <v>85</v>
      </c>
      <c r="AI93" s="30" t="s">
        <v>1171</v>
      </c>
      <c r="AJ93" s="30" t="s">
        <v>340</v>
      </c>
      <c r="AK93" s="30" t="s">
        <v>171</v>
      </c>
      <c r="AL93" s="30" t="s">
        <v>157</v>
      </c>
      <c r="AM93" s="30">
        <v>10700</v>
      </c>
      <c r="AN93" s="30"/>
      <c r="AO93" s="30" t="s">
        <v>1162</v>
      </c>
      <c r="AP93" s="30" t="s">
        <v>173</v>
      </c>
      <c r="AQ93" s="30" t="s">
        <v>225</v>
      </c>
      <c r="AR93" s="30"/>
      <c r="AS93" s="30" t="s">
        <v>1172</v>
      </c>
      <c r="AT93" s="30"/>
      <c r="AU93" s="30" t="s">
        <v>646</v>
      </c>
      <c r="AV93" s="30"/>
      <c r="AW93" s="30" t="s">
        <v>1173</v>
      </c>
      <c r="AX93" s="30"/>
      <c r="AY93" s="30"/>
      <c r="AZ93" s="30"/>
      <c r="BA93" s="30"/>
      <c r="BB93" s="30">
        <v>51610475</v>
      </c>
      <c r="BC93" s="30" t="s">
        <v>180</v>
      </c>
      <c r="BD93" s="30" t="s">
        <v>255</v>
      </c>
      <c r="BE93" s="30" t="s">
        <v>297</v>
      </c>
      <c r="BF93" s="30" t="s">
        <v>257</v>
      </c>
      <c r="BG93" s="30" t="s">
        <v>230</v>
      </c>
      <c r="BH93" s="30" t="s">
        <v>280</v>
      </c>
      <c r="BI93" s="30" t="s">
        <v>258</v>
      </c>
      <c r="BJ93" s="30" t="s">
        <v>157</v>
      </c>
      <c r="BK93" s="30"/>
      <c r="BL93" s="30"/>
      <c r="BM93" s="30"/>
      <c r="BN93" s="30" t="s">
        <v>186</v>
      </c>
      <c r="BO93" s="30" t="s">
        <v>240</v>
      </c>
    </row>
    <row r="94" spans="1:67" s="3" customFormat="1" hidden="1">
      <c r="A94" s="30">
        <v>1</v>
      </c>
      <c r="B94" s="30" t="s">
        <v>152</v>
      </c>
      <c r="C94" s="30" t="s">
        <v>153</v>
      </c>
      <c r="D94" s="30" t="s">
        <v>1174</v>
      </c>
      <c r="E94" s="30" t="s">
        <v>1175</v>
      </c>
      <c r="F94" s="30" t="s">
        <v>283</v>
      </c>
      <c r="G94" s="30" t="s">
        <v>1176</v>
      </c>
      <c r="H94" s="30" t="s">
        <v>1177</v>
      </c>
      <c r="I94" s="30"/>
      <c r="J94" s="30" t="s">
        <v>330</v>
      </c>
      <c r="K94" s="30" t="s">
        <v>9</v>
      </c>
      <c r="L94" s="30" t="s">
        <v>212</v>
      </c>
      <c r="M94" s="30" t="s">
        <v>240</v>
      </c>
      <c r="N94" s="30" t="s">
        <v>286</v>
      </c>
      <c r="O94" s="30"/>
      <c r="P94" s="30"/>
      <c r="Q94" s="30" t="s">
        <v>1174</v>
      </c>
      <c r="R94" s="30" t="s">
        <v>9</v>
      </c>
      <c r="S94" s="30" t="s">
        <v>1178</v>
      </c>
      <c r="T94" s="30" t="s">
        <v>162</v>
      </c>
      <c r="U94" s="30" t="s">
        <v>1179</v>
      </c>
      <c r="V94" s="30" t="s">
        <v>164</v>
      </c>
      <c r="W94" s="30" t="s">
        <v>244</v>
      </c>
      <c r="X94" s="30" t="s">
        <v>330</v>
      </c>
      <c r="Y94" s="30" t="s">
        <v>1180</v>
      </c>
      <c r="Z94" s="30" t="s">
        <v>1181</v>
      </c>
      <c r="AA94" s="30" t="s">
        <v>1181</v>
      </c>
      <c r="AB94" s="30" t="s">
        <v>1174</v>
      </c>
      <c r="AC94" s="30">
        <v>5739515</v>
      </c>
      <c r="AD94" s="30" t="s">
        <v>9</v>
      </c>
      <c r="AE94" s="30" t="s">
        <v>1182</v>
      </c>
      <c r="AF94" s="30" t="s">
        <v>9</v>
      </c>
      <c r="AG94" s="30" t="s">
        <v>1183</v>
      </c>
      <c r="AH94" s="33" t="s">
        <v>83</v>
      </c>
      <c r="AI94" s="30" t="s">
        <v>1184</v>
      </c>
      <c r="AJ94" s="30" t="s">
        <v>415</v>
      </c>
      <c r="AK94" s="30" t="s">
        <v>171</v>
      </c>
      <c r="AL94" s="30" t="s">
        <v>157</v>
      </c>
      <c r="AM94" s="30">
        <v>3400</v>
      </c>
      <c r="AN94" s="30"/>
      <c r="AO94" s="30" t="s">
        <v>283</v>
      </c>
      <c r="AP94" s="30" t="s">
        <v>173</v>
      </c>
      <c r="AQ94" s="30" t="s">
        <v>225</v>
      </c>
      <c r="AR94" s="30"/>
      <c r="AS94" s="30" t="s">
        <v>1185</v>
      </c>
      <c r="AT94" s="30"/>
      <c r="AU94" s="30" t="s">
        <v>646</v>
      </c>
      <c r="AV94" s="30"/>
      <c r="AW94" s="30" t="s">
        <v>1186</v>
      </c>
      <c r="AX94" s="30"/>
      <c r="AY94" s="30"/>
      <c r="AZ94" s="30"/>
      <c r="BA94" s="30"/>
      <c r="BB94" s="30">
        <v>85923249</v>
      </c>
      <c r="BC94" s="30" t="s">
        <v>180</v>
      </c>
      <c r="BD94" s="30" t="s">
        <v>255</v>
      </c>
      <c r="BE94" s="30" t="s">
        <v>256</v>
      </c>
      <c r="BF94" s="30" t="s">
        <v>257</v>
      </c>
      <c r="BG94" s="30" t="s">
        <v>230</v>
      </c>
      <c r="BH94" s="30" t="s">
        <v>184</v>
      </c>
      <c r="BI94" s="30" t="s">
        <v>258</v>
      </c>
      <c r="BJ94" s="30" t="s">
        <v>157</v>
      </c>
      <c r="BK94" s="30"/>
      <c r="BL94" s="30"/>
      <c r="BM94" s="30"/>
      <c r="BN94" s="30" t="s">
        <v>186</v>
      </c>
      <c r="BO94" s="30" t="s">
        <v>240</v>
      </c>
    </row>
    <row r="95" spans="1:67" s="3" customFormat="1" hidden="1">
      <c r="A95" s="30">
        <v>51</v>
      </c>
      <c r="B95" s="30" t="s">
        <v>152</v>
      </c>
      <c r="C95" s="30" t="s">
        <v>153</v>
      </c>
      <c r="D95" s="30" t="s">
        <v>1187</v>
      </c>
      <c r="E95" s="30" t="s">
        <v>1188</v>
      </c>
      <c r="F95" s="30" t="s">
        <v>283</v>
      </c>
      <c r="G95" s="30" t="s">
        <v>1189</v>
      </c>
      <c r="H95" s="30" t="s">
        <v>1190</v>
      </c>
      <c r="I95" s="30"/>
      <c r="J95" s="30" t="s">
        <v>86</v>
      </c>
      <c r="K95" s="30" t="s">
        <v>9</v>
      </c>
      <c r="L95" s="30" t="s">
        <v>212</v>
      </c>
      <c r="M95" s="30" t="s">
        <v>240</v>
      </c>
      <c r="N95" s="30" t="s">
        <v>286</v>
      </c>
      <c r="O95" s="30"/>
      <c r="P95" s="30"/>
      <c r="Q95" s="30" t="s">
        <v>1187</v>
      </c>
      <c r="R95" s="30" t="s">
        <v>9</v>
      </c>
      <c r="S95" s="30" t="s">
        <v>1191</v>
      </c>
      <c r="T95" s="30" t="s">
        <v>162</v>
      </c>
      <c r="U95" s="30" t="s">
        <v>1192</v>
      </c>
      <c r="V95" s="30" t="s">
        <v>164</v>
      </c>
      <c r="W95" s="30" t="s">
        <v>244</v>
      </c>
      <c r="X95" s="30" t="s">
        <v>86</v>
      </c>
      <c r="Y95" s="30" t="s">
        <v>597</v>
      </c>
      <c r="Z95" s="30" t="s">
        <v>1049</v>
      </c>
      <c r="AA95" s="30" t="s">
        <v>1050</v>
      </c>
      <c r="AB95" s="30" t="s">
        <v>1187</v>
      </c>
      <c r="AC95" s="30">
        <v>5577456</v>
      </c>
      <c r="AD95" s="30" t="s">
        <v>9</v>
      </c>
      <c r="AE95" s="30" t="s">
        <v>1193</v>
      </c>
      <c r="AF95" s="30" t="s">
        <v>9</v>
      </c>
      <c r="AG95" s="30" t="s">
        <v>1193</v>
      </c>
      <c r="AH95" s="33" t="s">
        <v>83</v>
      </c>
      <c r="AI95" s="30" t="s">
        <v>1194</v>
      </c>
      <c r="AJ95" s="30" t="s">
        <v>415</v>
      </c>
      <c r="AK95" s="30" t="s">
        <v>171</v>
      </c>
      <c r="AL95" s="30" t="s">
        <v>157</v>
      </c>
      <c r="AM95" s="30">
        <v>1800</v>
      </c>
      <c r="AN95" s="30"/>
      <c r="AO95" s="30" t="s">
        <v>283</v>
      </c>
      <c r="AP95" s="30" t="s">
        <v>173</v>
      </c>
      <c r="AQ95" s="30" t="s">
        <v>225</v>
      </c>
      <c r="AR95" s="30"/>
      <c r="AS95" s="30" t="s">
        <v>1195</v>
      </c>
      <c r="AT95" s="30"/>
      <c r="AU95" s="30" t="s">
        <v>1196</v>
      </c>
      <c r="AV95" s="30"/>
      <c r="AW95" s="30" t="s">
        <v>1197</v>
      </c>
      <c r="AX95" s="30"/>
      <c r="AY95" s="30"/>
      <c r="AZ95" s="30"/>
      <c r="BA95" s="30"/>
      <c r="BB95" s="30">
        <v>87883690</v>
      </c>
      <c r="BC95" s="30" t="s">
        <v>180</v>
      </c>
      <c r="BD95" s="30" t="s">
        <v>255</v>
      </c>
      <c r="BE95" s="30" t="s">
        <v>256</v>
      </c>
      <c r="BF95" s="30" t="s">
        <v>683</v>
      </c>
      <c r="BG95" s="30" t="s">
        <v>230</v>
      </c>
      <c r="BH95" s="30" t="s">
        <v>280</v>
      </c>
      <c r="BI95" s="30" t="s">
        <v>258</v>
      </c>
      <c r="BJ95" s="30" t="s">
        <v>157</v>
      </c>
      <c r="BK95" s="30"/>
      <c r="BL95" s="30"/>
      <c r="BM95" s="30"/>
      <c r="BN95" s="30"/>
      <c r="BO95" s="30" t="s">
        <v>240</v>
      </c>
    </row>
    <row r="96" spans="1:67" s="3" customFormat="1" hidden="1">
      <c r="A96" s="30">
        <v>55</v>
      </c>
      <c r="B96" s="30" t="s">
        <v>152</v>
      </c>
      <c r="C96" s="30" t="s">
        <v>153</v>
      </c>
      <c r="D96" s="30" t="s">
        <v>1198</v>
      </c>
      <c r="E96" s="30" t="s">
        <v>1199</v>
      </c>
      <c r="F96" s="30" t="s">
        <v>1200</v>
      </c>
      <c r="G96" s="30" t="s">
        <v>1201</v>
      </c>
      <c r="H96" s="30" t="s">
        <v>1202</v>
      </c>
      <c r="I96" s="30" t="s">
        <v>1203</v>
      </c>
      <c r="J96" s="30"/>
      <c r="K96" s="30" t="s">
        <v>1204</v>
      </c>
      <c r="L96" s="30" t="s">
        <v>485</v>
      </c>
      <c r="M96" s="30" t="s">
        <v>1205</v>
      </c>
      <c r="N96" s="30" t="s">
        <v>157</v>
      </c>
      <c r="O96" s="30" t="s">
        <v>1204</v>
      </c>
      <c r="P96" s="30" t="s">
        <v>1206</v>
      </c>
      <c r="Q96" s="30" t="s">
        <v>1187</v>
      </c>
      <c r="R96" s="30" t="s">
        <v>9</v>
      </c>
      <c r="S96" s="30" t="s">
        <v>1207</v>
      </c>
      <c r="T96" s="30" t="s">
        <v>217</v>
      </c>
      <c r="U96" s="30" t="s">
        <v>1208</v>
      </c>
      <c r="V96" s="30" t="s">
        <v>164</v>
      </c>
      <c r="W96" s="30" t="s">
        <v>244</v>
      </c>
      <c r="X96" s="30" t="s">
        <v>86</v>
      </c>
      <c r="Y96" s="30" t="s">
        <v>597</v>
      </c>
      <c r="Z96" s="30" t="s">
        <v>1049</v>
      </c>
      <c r="AA96" s="30" t="s">
        <v>1050</v>
      </c>
      <c r="AB96" s="30" t="s">
        <v>1187</v>
      </c>
      <c r="AC96" s="30">
        <v>5707971</v>
      </c>
      <c r="AD96" s="30" t="s">
        <v>9</v>
      </c>
      <c r="AE96" s="30" t="s">
        <v>1209</v>
      </c>
      <c r="AF96" s="30" t="s">
        <v>9</v>
      </c>
      <c r="AG96" s="30" t="s">
        <v>1210</v>
      </c>
      <c r="AH96" s="33" t="s">
        <v>83</v>
      </c>
      <c r="AI96" s="30" t="s">
        <v>1211</v>
      </c>
      <c r="AJ96" s="30" t="s">
        <v>415</v>
      </c>
      <c r="AK96" s="30" t="s">
        <v>171</v>
      </c>
      <c r="AL96" s="30" t="s">
        <v>157</v>
      </c>
      <c r="AM96" s="30">
        <v>1800</v>
      </c>
      <c r="AN96" s="30"/>
      <c r="AO96" s="30" t="s">
        <v>157</v>
      </c>
      <c r="AP96" s="30" t="s">
        <v>369</v>
      </c>
      <c r="AQ96" s="30" t="s">
        <v>225</v>
      </c>
      <c r="AR96" s="30"/>
      <c r="AS96" s="30" t="s">
        <v>1195</v>
      </c>
      <c r="AT96" s="30"/>
      <c r="AU96" s="30" t="s">
        <v>493</v>
      </c>
      <c r="AV96" s="30"/>
      <c r="AW96" s="30" t="s">
        <v>1212</v>
      </c>
      <c r="AX96" s="30"/>
      <c r="AY96" s="30"/>
      <c r="AZ96" s="30"/>
      <c r="BA96" s="30"/>
      <c r="BB96" s="30">
        <v>87883690</v>
      </c>
      <c r="BC96" s="30" t="s">
        <v>180</v>
      </c>
      <c r="BD96" s="30" t="s">
        <v>255</v>
      </c>
      <c r="BE96" s="30" t="s">
        <v>256</v>
      </c>
      <c r="BF96" s="30" t="s">
        <v>683</v>
      </c>
      <c r="BG96" s="30" t="s">
        <v>230</v>
      </c>
      <c r="BH96" s="30" t="s">
        <v>280</v>
      </c>
      <c r="BI96" s="30" t="s">
        <v>258</v>
      </c>
      <c r="BJ96" s="30" t="s">
        <v>157</v>
      </c>
      <c r="BK96" s="30"/>
      <c r="BL96" s="30"/>
      <c r="BM96" s="30"/>
      <c r="BN96" s="30"/>
      <c r="BO96" s="30" t="s">
        <v>540</v>
      </c>
    </row>
    <row r="97" spans="1:67" s="3" customFormat="1" hidden="1">
      <c r="A97" s="30">
        <v>87</v>
      </c>
      <c r="B97" s="30" t="s">
        <v>152</v>
      </c>
      <c r="C97" s="30" t="s">
        <v>153</v>
      </c>
      <c r="D97" s="30" t="s">
        <v>1213</v>
      </c>
      <c r="E97" s="30" t="s">
        <v>1214</v>
      </c>
      <c r="F97" s="30" t="s">
        <v>1215</v>
      </c>
      <c r="G97" s="30" t="s">
        <v>1216</v>
      </c>
      <c r="H97" s="30" t="s">
        <v>1217</v>
      </c>
      <c r="I97" s="30" t="s">
        <v>1218</v>
      </c>
      <c r="J97" s="30" t="s">
        <v>354</v>
      </c>
      <c r="K97" s="30" t="s">
        <v>16</v>
      </c>
      <c r="L97" s="30" t="s">
        <v>313</v>
      </c>
      <c r="M97" s="30" t="s">
        <v>314</v>
      </c>
      <c r="N97" s="30" t="s">
        <v>157</v>
      </c>
      <c r="O97" s="30"/>
      <c r="P97" s="30"/>
      <c r="Q97" s="30" t="s">
        <v>1219</v>
      </c>
      <c r="R97" s="30" t="s">
        <v>16</v>
      </c>
      <c r="S97" s="30" t="s">
        <v>1220</v>
      </c>
      <c r="T97" s="30" t="s">
        <v>217</v>
      </c>
      <c r="U97" s="30" t="s">
        <v>1221</v>
      </c>
      <c r="V97" s="30" t="s">
        <v>164</v>
      </c>
      <c r="W97" s="30" t="s">
        <v>244</v>
      </c>
      <c r="X97" s="30" t="s">
        <v>330</v>
      </c>
      <c r="Y97" s="30" t="s">
        <v>166</v>
      </c>
      <c r="Z97" s="30" t="s">
        <v>1222</v>
      </c>
      <c r="AA97" s="30" t="s">
        <v>1223</v>
      </c>
      <c r="AB97" s="30" t="s">
        <v>1219</v>
      </c>
      <c r="AC97" s="30">
        <v>5702637</v>
      </c>
      <c r="AD97" s="30" t="s">
        <v>16</v>
      </c>
      <c r="AE97" s="30" t="s">
        <v>1224</v>
      </c>
      <c r="AF97" s="30" t="s">
        <v>16</v>
      </c>
      <c r="AG97" s="30" t="s">
        <v>1225</v>
      </c>
      <c r="AH97" s="33" t="s">
        <v>83</v>
      </c>
      <c r="AI97" s="30" t="s">
        <v>1226</v>
      </c>
      <c r="AJ97" s="30" t="s">
        <v>415</v>
      </c>
      <c r="AK97" s="30" t="s">
        <v>171</v>
      </c>
      <c r="AL97" s="30" t="s">
        <v>157</v>
      </c>
      <c r="AM97" s="30">
        <v>9000</v>
      </c>
      <c r="AN97" s="30"/>
      <c r="AO97" s="30" t="s">
        <v>157</v>
      </c>
      <c r="AP97" s="30" t="s">
        <v>369</v>
      </c>
      <c r="AQ97" s="30" t="s">
        <v>225</v>
      </c>
      <c r="AR97" s="30"/>
      <c r="AS97" s="30" t="s">
        <v>1227</v>
      </c>
      <c r="AT97" s="30"/>
      <c r="AU97" s="30" t="s">
        <v>612</v>
      </c>
      <c r="AV97" s="30"/>
      <c r="AW97" s="30" t="s">
        <v>1228</v>
      </c>
      <c r="AX97" s="30"/>
      <c r="AY97" s="30"/>
      <c r="AZ97" s="30"/>
      <c r="BA97" s="30"/>
      <c r="BB97" s="30">
        <v>87452223</v>
      </c>
      <c r="BC97" s="30" t="s">
        <v>180</v>
      </c>
      <c r="BD97" s="30" t="s">
        <v>255</v>
      </c>
      <c r="BE97" s="30" t="s">
        <v>256</v>
      </c>
      <c r="BF97" s="30" t="s">
        <v>257</v>
      </c>
      <c r="BG97" s="30" t="s">
        <v>230</v>
      </c>
      <c r="BH97" s="30" t="s">
        <v>184</v>
      </c>
      <c r="BI97" s="30" t="s">
        <v>258</v>
      </c>
      <c r="BJ97" s="30" t="s">
        <v>157</v>
      </c>
      <c r="BK97" s="30"/>
      <c r="BL97" s="30"/>
      <c r="BM97" s="30"/>
      <c r="BN97" s="30" t="s">
        <v>186</v>
      </c>
      <c r="BO97" s="30" t="s">
        <v>314</v>
      </c>
    </row>
    <row r="98" spans="1:67" s="3" customFormat="1" hidden="1">
      <c r="A98" s="30">
        <v>94</v>
      </c>
      <c r="B98" s="30" t="s">
        <v>152</v>
      </c>
      <c r="C98" s="30" t="s">
        <v>153</v>
      </c>
      <c r="D98" s="30" t="s">
        <v>1229</v>
      </c>
      <c r="E98" s="30" t="s">
        <v>1230</v>
      </c>
      <c r="F98" s="30" t="s">
        <v>420</v>
      </c>
      <c r="G98" s="30" t="s">
        <v>1231</v>
      </c>
      <c r="H98" s="30" t="s">
        <v>1232</v>
      </c>
      <c r="I98" s="30" t="s">
        <v>157</v>
      </c>
      <c r="J98" s="30" t="s">
        <v>158</v>
      </c>
      <c r="K98" s="30" t="s">
        <v>1233</v>
      </c>
      <c r="L98" s="30" t="s">
        <v>423</v>
      </c>
      <c r="M98" s="30" t="s">
        <v>424</v>
      </c>
      <c r="N98" s="30"/>
      <c r="O98" s="30"/>
      <c r="P98" s="30"/>
      <c r="Q98" s="30" t="s">
        <v>1234</v>
      </c>
      <c r="R98" s="30" t="s">
        <v>1233</v>
      </c>
      <c r="S98" s="30" t="s">
        <v>1235</v>
      </c>
      <c r="T98" s="30" t="s">
        <v>217</v>
      </c>
      <c r="U98" s="30" t="s">
        <v>1236</v>
      </c>
      <c r="V98" s="30" t="s">
        <v>164</v>
      </c>
      <c r="W98" s="30" t="s">
        <v>1237</v>
      </c>
      <c r="X98" s="30" t="s">
        <v>158</v>
      </c>
      <c r="Y98" s="30" t="s">
        <v>362</v>
      </c>
      <c r="Z98" s="30" t="s">
        <v>1238</v>
      </c>
      <c r="AA98" s="30" t="s">
        <v>1239</v>
      </c>
      <c r="AB98" s="31" t="s">
        <v>1234</v>
      </c>
      <c r="AC98" s="30">
        <v>5573912</v>
      </c>
      <c r="AD98" s="30" t="s">
        <v>21</v>
      </c>
      <c r="AE98" s="30" t="s">
        <v>1240</v>
      </c>
      <c r="AF98" s="30" t="s">
        <v>1233</v>
      </c>
      <c r="AG98" s="30" t="s">
        <v>1241</v>
      </c>
      <c r="AH98" s="33" t="s">
        <v>85</v>
      </c>
      <c r="AI98" s="30"/>
      <c r="AJ98" s="30"/>
      <c r="AK98" s="30" t="s">
        <v>171</v>
      </c>
      <c r="AL98" s="30" t="s">
        <v>157</v>
      </c>
      <c r="AM98" s="30">
        <v>16150</v>
      </c>
      <c r="AN98" s="30"/>
      <c r="AO98" s="30" t="s">
        <v>157</v>
      </c>
      <c r="AP98" s="30" t="s">
        <v>201</v>
      </c>
      <c r="AQ98" s="30" t="s">
        <v>225</v>
      </c>
      <c r="AR98" s="30"/>
      <c r="AS98" s="30" t="s">
        <v>1242</v>
      </c>
      <c r="AT98" s="30"/>
      <c r="AU98" s="30"/>
      <c r="AV98" s="30"/>
      <c r="AW98" s="30" t="s">
        <v>1243</v>
      </c>
      <c r="AX98" s="30"/>
      <c r="AY98" s="30"/>
      <c r="AZ98" s="30"/>
      <c r="BA98" s="30"/>
      <c r="BB98" s="30">
        <v>44433929</v>
      </c>
      <c r="BC98" s="30" t="s">
        <v>180</v>
      </c>
      <c r="BD98" s="30" t="s">
        <v>181</v>
      </c>
      <c r="BE98" s="30" t="s">
        <v>1244</v>
      </c>
      <c r="BF98" s="30" t="s">
        <v>229</v>
      </c>
      <c r="BG98" s="30" t="s">
        <v>1245</v>
      </c>
      <c r="BH98" s="30" t="s">
        <v>231</v>
      </c>
      <c r="BI98" s="30" t="s">
        <v>180</v>
      </c>
      <c r="BJ98" s="30" t="s">
        <v>157</v>
      </c>
      <c r="BK98" s="30"/>
      <c r="BL98" s="30"/>
      <c r="BM98" s="30"/>
      <c r="BN98" s="30" t="s">
        <v>186</v>
      </c>
      <c r="BO98" s="30" t="s">
        <v>817</v>
      </c>
    </row>
    <row r="99" spans="1:67" s="3" customFormat="1" hidden="1">
      <c r="A99" s="30">
        <v>61</v>
      </c>
      <c r="B99" s="30" t="s">
        <v>152</v>
      </c>
      <c r="C99" s="30" t="s">
        <v>153</v>
      </c>
      <c r="D99" s="30" t="s">
        <v>1246</v>
      </c>
      <c r="E99" s="30" t="s">
        <v>1247</v>
      </c>
      <c r="F99" s="30" t="s">
        <v>283</v>
      </c>
      <c r="G99" s="30" t="s">
        <v>1248</v>
      </c>
      <c r="H99" s="30" t="s">
        <v>919</v>
      </c>
      <c r="I99" s="30"/>
      <c r="J99" s="30" t="s">
        <v>330</v>
      </c>
      <c r="K99" s="30" t="s">
        <v>16</v>
      </c>
      <c r="L99" s="30" t="s">
        <v>212</v>
      </c>
      <c r="M99" s="30" t="s">
        <v>240</v>
      </c>
      <c r="N99" s="30" t="s">
        <v>286</v>
      </c>
      <c r="O99" s="30"/>
      <c r="P99" s="30"/>
      <c r="Q99" s="30" t="s">
        <v>1246</v>
      </c>
      <c r="R99" s="30" t="s">
        <v>16</v>
      </c>
      <c r="S99" s="30" t="s">
        <v>1249</v>
      </c>
      <c r="T99" s="30" t="s">
        <v>162</v>
      </c>
      <c r="U99" s="30" t="s">
        <v>1250</v>
      </c>
      <c r="V99" s="30" t="s">
        <v>164</v>
      </c>
      <c r="W99" s="30" t="s">
        <v>244</v>
      </c>
      <c r="X99" s="30" t="s">
        <v>330</v>
      </c>
      <c r="Y99" s="30" t="s">
        <v>334</v>
      </c>
      <c r="Z99" s="30" t="s">
        <v>335</v>
      </c>
      <c r="AA99" s="30" t="s">
        <v>168</v>
      </c>
      <c r="AB99" s="30" t="s">
        <v>1246</v>
      </c>
      <c r="AC99" s="30">
        <v>5733033</v>
      </c>
      <c r="AD99" s="30" t="s">
        <v>16</v>
      </c>
      <c r="AE99" s="30" t="s">
        <v>1251</v>
      </c>
      <c r="AF99" s="30" t="s">
        <v>16</v>
      </c>
      <c r="AG99" s="30" t="s">
        <v>1252</v>
      </c>
      <c r="AH99" s="33" t="s">
        <v>83</v>
      </c>
      <c r="AI99" s="30" t="s">
        <v>1253</v>
      </c>
      <c r="AJ99" s="30" t="s">
        <v>415</v>
      </c>
      <c r="AK99" s="30" t="s">
        <v>171</v>
      </c>
      <c r="AL99" s="30" t="s">
        <v>157</v>
      </c>
      <c r="AM99" s="30">
        <v>7800</v>
      </c>
      <c r="AN99" s="30"/>
      <c r="AO99" s="30" t="s">
        <v>283</v>
      </c>
      <c r="AP99" s="30" t="s">
        <v>173</v>
      </c>
      <c r="AQ99" s="30" t="s">
        <v>225</v>
      </c>
      <c r="AR99" s="30"/>
      <c r="AS99" s="30" t="s">
        <v>1254</v>
      </c>
      <c r="AT99" s="30"/>
      <c r="AU99" s="30" t="s">
        <v>814</v>
      </c>
      <c r="AV99" s="30"/>
      <c r="AW99" s="30" t="s">
        <v>1255</v>
      </c>
      <c r="AX99" s="30"/>
      <c r="AY99" s="30"/>
      <c r="AZ99" s="30"/>
      <c r="BA99" s="30"/>
      <c r="BB99" s="30">
        <v>59931709</v>
      </c>
      <c r="BC99" s="30" t="s">
        <v>180</v>
      </c>
      <c r="BD99" s="30" t="s">
        <v>255</v>
      </c>
      <c r="BE99" s="30" t="s">
        <v>256</v>
      </c>
      <c r="BF99" s="30" t="s">
        <v>257</v>
      </c>
      <c r="BG99" s="30" t="s">
        <v>230</v>
      </c>
      <c r="BH99" s="30" t="s">
        <v>231</v>
      </c>
      <c r="BI99" s="30" t="s">
        <v>258</v>
      </c>
      <c r="BJ99" s="30" t="s">
        <v>157</v>
      </c>
      <c r="BK99" s="30"/>
      <c r="BL99" s="30"/>
      <c r="BM99" s="30"/>
      <c r="BN99" s="30" t="s">
        <v>186</v>
      </c>
      <c r="BO99" s="30" t="s">
        <v>240</v>
      </c>
    </row>
    <row r="100" spans="1:67" s="3" customFormat="1" hidden="1">
      <c r="A100" s="30">
        <v>68</v>
      </c>
      <c r="B100" s="30" t="s">
        <v>152</v>
      </c>
      <c r="C100" s="30" t="s">
        <v>153</v>
      </c>
      <c r="D100" s="30" t="s">
        <v>206</v>
      </c>
      <c r="E100" s="30" t="s">
        <v>1256</v>
      </c>
      <c r="F100" s="30" t="s">
        <v>484</v>
      </c>
      <c r="G100" s="30" t="s">
        <v>1257</v>
      </c>
      <c r="H100" s="30" t="s">
        <v>157</v>
      </c>
      <c r="I100" s="30" t="s">
        <v>157</v>
      </c>
      <c r="J100" s="30" t="s">
        <v>354</v>
      </c>
      <c r="K100" s="30" t="s">
        <v>9</v>
      </c>
      <c r="L100" s="30" t="s">
        <v>746</v>
      </c>
      <c r="M100" s="30" t="s">
        <v>1258</v>
      </c>
      <c r="N100" s="30" t="s">
        <v>157</v>
      </c>
      <c r="O100" s="30"/>
      <c r="P100" s="30"/>
      <c r="Q100" s="30" t="s">
        <v>1259</v>
      </c>
      <c r="R100" s="30" t="s">
        <v>9</v>
      </c>
      <c r="S100" s="30" t="s">
        <v>1260</v>
      </c>
      <c r="T100" s="30" t="s">
        <v>217</v>
      </c>
      <c r="U100" s="30" t="s">
        <v>1261</v>
      </c>
      <c r="V100" s="30" t="s">
        <v>164</v>
      </c>
      <c r="W100" s="30" t="s">
        <v>244</v>
      </c>
      <c r="X100" s="30" t="s">
        <v>330</v>
      </c>
      <c r="Y100" s="30" t="s">
        <v>622</v>
      </c>
      <c r="Z100" s="30" t="s">
        <v>623</v>
      </c>
      <c r="AA100" s="30" t="s">
        <v>1262</v>
      </c>
      <c r="AB100" s="30" t="s">
        <v>1259</v>
      </c>
      <c r="AC100" s="30">
        <v>5576125</v>
      </c>
      <c r="AD100" s="30" t="s">
        <v>9</v>
      </c>
      <c r="AE100" s="30" t="s">
        <v>1263</v>
      </c>
      <c r="AF100" s="30" t="s">
        <v>9</v>
      </c>
      <c r="AG100" s="30" t="s">
        <v>1264</v>
      </c>
      <c r="AH100" s="33" t="s">
        <v>83</v>
      </c>
      <c r="AI100" s="30" t="s">
        <v>1265</v>
      </c>
      <c r="AJ100" s="30" t="s">
        <v>464</v>
      </c>
      <c r="AK100" s="30" t="s">
        <v>171</v>
      </c>
      <c r="AL100" s="30" t="s">
        <v>157</v>
      </c>
      <c r="AM100" s="30">
        <v>11500</v>
      </c>
      <c r="AN100" s="30"/>
      <c r="AO100" s="30" t="s">
        <v>157</v>
      </c>
      <c r="AP100" s="30" t="s">
        <v>369</v>
      </c>
      <c r="AQ100" s="30" t="s">
        <v>225</v>
      </c>
      <c r="AR100" s="30"/>
      <c r="AS100" s="30" t="s">
        <v>1266</v>
      </c>
      <c r="AT100" s="30"/>
      <c r="AU100" s="30" t="s">
        <v>308</v>
      </c>
      <c r="AV100" s="30"/>
      <c r="AW100" s="30" t="s">
        <v>1267</v>
      </c>
      <c r="AX100" s="30"/>
      <c r="AY100" s="30"/>
      <c r="AZ100" s="30"/>
      <c r="BA100" s="30"/>
      <c r="BB100" s="30">
        <v>74100131</v>
      </c>
      <c r="BC100" s="30" t="s">
        <v>180</v>
      </c>
      <c r="BD100" s="30" t="s">
        <v>255</v>
      </c>
      <c r="BE100" s="30" t="s">
        <v>256</v>
      </c>
      <c r="BF100" s="30" t="s">
        <v>257</v>
      </c>
      <c r="BG100" s="30" t="s">
        <v>230</v>
      </c>
      <c r="BH100" s="30" t="s">
        <v>916</v>
      </c>
      <c r="BI100" s="30" t="s">
        <v>258</v>
      </c>
      <c r="BJ100" s="30" t="s">
        <v>157</v>
      </c>
      <c r="BK100" s="30"/>
      <c r="BL100" s="30"/>
      <c r="BM100" s="30"/>
      <c r="BN100" s="30" t="s">
        <v>205</v>
      </c>
      <c r="BO100" s="30" t="s">
        <v>233</v>
      </c>
    </row>
    <row r="101" spans="1:67" s="3" customFormat="1" hidden="1">
      <c r="A101" s="30">
        <v>69</v>
      </c>
      <c r="B101" s="30" t="s">
        <v>152</v>
      </c>
      <c r="C101" s="30" t="s">
        <v>153</v>
      </c>
      <c r="D101" s="30" t="s">
        <v>1268</v>
      </c>
      <c r="E101" s="30" t="s">
        <v>1269</v>
      </c>
      <c r="F101" s="30" t="s">
        <v>1270</v>
      </c>
      <c r="G101" s="30" t="s">
        <v>1271</v>
      </c>
      <c r="H101" s="30" t="s">
        <v>1272</v>
      </c>
      <c r="I101" s="30"/>
      <c r="J101" s="30" t="s">
        <v>330</v>
      </c>
      <c r="K101" s="30" t="s">
        <v>16</v>
      </c>
      <c r="L101" s="30" t="s">
        <v>212</v>
      </c>
      <c r="M101" s="30" t="s">
        <v>240</v>
      </c>
      <c r="N101" s="30" t="s">
        <v>1273</v>
      </c>
      <c r="O101" s="30"/>
      <c r="P101" s="30"/>
      <c r="Q101" s="30" t="s">
        <v>1268</v>
      </c>
      <c r="R101" s="30" t="s">
        <v>16</v>
      </c>
      <c r="S101" s="30" t="s">
        <v>1274</v>
      </c>
      <c r="T101" s="30" t="s">
        <v>162</v>
      </c>
      <c r="U101" s="30" t="s">
        <v>1275</v>
      </c>
      <c r="V101" s="30" t="s">
        <v>164</v>
      </c>
      <c r="W101" s="30" t="s">
        <v>244</v>
      </c>
      <c r="X101" s="30" t="s">
        <v>330</v>
      </c>
      <c r="Y101" s="30" t="s">
        <v>1276</v>
      </c>
      <c r="Z101" s="30" t="s">
        <v>1277</v>
      </c>
      <c r="AA101" s="30" t="s">
        <v>1278</v>
      </c>
      <c r="AB101" s="30" t="s">
        <v>1268</v>
      </c>
      <c r="AC101" s="30">
        <v>5731484</v>
      </c>
      <c r="AD101" s="30" t="s">
        <v>16</v>
      </c>
      <c r="AE101" s="30" t="s">
        <v>1279</v>
      </c>
      <c r="AF101" s="30" t="s">
        <v>16</v>
      </c>
      <c r="AG101" s="30" t="s">
        <v>1280</v>
      </c>
      <c r="AH101" s="33" t="s">
        <v>84</v>
      </c>
      <c r="AI101" s="30" t="s">
        <v>1281</v>
      </c>
      <c r="AJ101" s="30" t="s">
        <v>1282</v>
      </c>
      <c r="AK101" s="30" t="s">
        <v>171</v>
      </c>
      <c r="AL101" s="30" t="s">
        <v>157</v>
      </c>
      <c r="AM101" s="30">
        <v>4800</v>
      </c>
      <c r="AN101" s="30"/>
      <c r="AO101" s="30" t="s">
        <v>1270</v>
      </c>
      <c r="AP101" s="30" t="s">
        <v>173</v>
      </c>
      <c r="AQ101" s="30" t="s">
        <v>225</v>
      </c>
      <c r="AR101" s="30"/>
      <c r="AS101" s="30" t="s">
        <v>1283</v>
      </c>
      <c r="AT101" s="30"/>
      <c r="AU101" s="30" t="s">
        <v>1284</v>
      </c>
      <c r="AV101" s="30"/>
      <c r="AW101" s="30" t="s">
        <v>1285</v>
      </c>
      <c r="AX101" s="30"/>
      <c r="AY101" s="30"/>
      <c r="AZ101" s="30"/>
      <c r="BA101" s="30"/>
      <c r="BB101" s="30">
        <v>61991830</v>
      </c>
      <c r="BC101" s="30" t="s">
        <v>180</v>
      </c>
      <c r="BD101" s="30" t="s">
        <v>255</v>
      </c>
      <c r="BE101" s="30" t="s">
        <v>256</v>
      </c>
      <c r="BF101" s="30" t="s">
        <v>257</v>
      </c>
      <c r="BG101" s="30" t="s">
        <v>230</v>
      </c>
      <c r="BH101" s="30" t="s">
        <v>231</v>
      </c>
      <c r="BI101" s="30" t="s">
        <v>258</v>
      </c>
      <c r="BJ101" s="30" t="s">
        <v>157</v>
      </c>
      <c r="BK101" s="30"/>
      <c r="BL101" s="30"/>
      <c r="BM101" s="30"/>
      <c r="BN101" s="30" t="s">
        <v>517</v>
      </c>
      <c r="BO101" s="30" t="s">
        <v>240</v>
      </c>
    </row>
    <row r="102" spans="1:67" s="3" customFormat="1" hidden="1">
      <c r="A102" s="30">
        <v>80</v>
      </c>
      <c r="B102" s="30" t="s">
        <v>152</v>
      </c>
      <c r="C102" s="30" t="s">
        <v>153</v>
      </c>
      <c r="D102" s="30" t="s">
        <v>1286</v>
      </c>
      <c r="E102" s="30" t="s">
        <v>1287</v>
      </c>
      <c r="F102" s="30" t="s">
        <v>1200</v>
      </c>
      <c r="G102" s="30" t="s">
        <v>1288</v>
      </c>
      <c r="H102" s="30" t="s">
        <v>1289</v>
      </c>
      <c r="I102" s="30" t="s">
        <v>1203</v>
      </c>
      <c r="J102" s="30"/>
      <c r="K102" s="30" t="s">
        <v>1204</v>
      </c>
      <c r="L102" s="30" t="s">
        <v>485</v>
      </c>
      <c r="M102" s="30" t="s">
        <v>1205</v>
      </c>
      <c r="N102" s="30" t="s">
        <v>157</v>
      </c>
      <c r="O102" s="30" t="s">
        <v>1204</v>
      </c>
      <c r="P102" s="30" t="s">
        <v>1290</v>
      </c>
      <c r="Q102" s="30" t="s">
        <v>1291</v>
      </c>
      <c r="R102" s="30" t="s">
        <v>16</v>
      </c>
      <c r="S102" s="30" t="s">
        <v>1292</v>
      </c>
      <c r="T102" s="30" t="s">
        <v>217</v>
      </c>
      <c r="U102" s="30" t="s">
        <v>1293</v>
      </c>
      <c r="V102" s="30" t="s">
        <v>164</v>
      </c>
      <c r="W102" s="30" t="s">
        <v>267</v>
      </c>
      <c r="X102" s="30" t="s">
        <v>548</v>
      </c>
      <c r="Y102" s="30" t="s">
        <v>1294</v>
      </c>
      <c r="Z102" s="30" t="s">
        <v>578</v>
      </c>
      <c r="AA102" s="30" t="s">
        <v>1295</v>
      </c>
      <c r="AB102" s="30" t="s">
        <v>1291</v>
      </c>
      <c r="AC102" s="30">
        <v>5729855</v>
      </c>
      <c r="AD102" s="30" t="s">
        <v>16</v>
      </c>
      <c r="AE102" s="30" t="s">
        <v>1296</v>
      </c>
      <c r="AF102" s="30" t="s">
        <v>16</v>
      </c>
      <c r="AG102" s="30" t="s">
        <v>1297</v>
      </c>
      <c r="AH102" s="33" t="s">
        <v>83</v>
      </c>
      <c r="AI102" s="30" t="s">
        <v>1298</v>
      </c>
      <c r="AJ102" s="30" t="s">
        <v>1299</v>
      </c>
      <c r="AK102" s="30" t="s">
        <v>171</v>
      </c>
      <c r="AL102" s="30" t="s">
        <v>157</v>
      </c>
      <c r="AM102" s="30">
        <v>10300</v>
      </c>
      <c r="AN102" s="30"/>
      <c r="AO102" s="30" t="s">
        <v>157</v>
      </c>
      <c r="AP102" s="30" t="s">
        <v>369</v>
      </c>
      <c r="AQ102" s="30" t="s">
        <v>225</v>
      </c>
      <c r="AR102" s="30"/>
      <c r="AS102" s="30" t="s">
        <v>1300</v>
      </c>
      <c r="AT102" s="30"/>
      <c r="AU102" s="30" t="s">
        <v>513</v>
      </c>
      <c r="AV102" s="30"/>
      <c r="AW102" s="30" t="s">
        <v>1301</v>
      </c>
      <c r="AX102" s="30"/>
      <c r="AY102" s="30"/>
      <c r="AZ102" s="30"/>
      <c r="BA102" s="30"/>
      <c r="BB102" s="30">
        <v>87535475</v>
      </c>
      <c r="BC102" s="30" t="s">
        <v>180</v>
      </c>
      <c r="BD102" s="30" t="s">
        <v>255</v>
      </c>
      <c r="BE102" s="30" t="s">
        <v>297</v>
      </c>
      <c r="BF102" s="30" t="s">
        <v>298</v>
      </c>
      <c r="BG102" s="30" t="s">
        <v>230</v>
      </c>
      <c r="BH102" s="30" t="s">
        <v>184</v>
      </c>
      <c r="BI102" s="30" t="s">
        <v>258</v>
      </c>
      <c r="BJ102" s="30" t="s">
        <v>157</v>
      </c>
      <c r="BK102" s="30"/>
      <c r="BL102" s="30"/>
      <c r="BM102" s="30"/>
      <c r="BN102" s="30" t="s">
        <v>186</v>
      </c>
      <c r="BO102" s="30" t="s">
        <v>540</v>
      </c>
    </row>
    <row r="103" spans="1:67" s="3" customFormat="1" hidden="1">
      <c r="A103" s="30">
        <v>9</v>
      </c>
      <c r="B103" s="30" t="s">
        <v>152</v>
      </c>
      <c r="C103" s="30" t="s">
        <v>153</v>
      </c>
      <c r="D103" s="30"/>
      <c r="E103" s="30" t="s">
        <v>1302</v>
      </c>
      <c r="F103" s="30"/>
      <c r="G103" s="30" t="s">
        <v>1303</v>
      </c>
      <c r="H103" s="30" t="s">
        <v>1304</v>
      </c>
      <c r="I103" s="30" t="s">
        <v>1305</v>
      </c>
      <c r="J103" s="30" t="s">
        <v>158</v>
      </c>
      <c r="K103" s="30" t="s">
        <v>16</v>
      </c>
      <c r="L103" s="30" t="s">
        <v>485</v>
      </c>
      <c r="M103" s="30" t="s">
        <v>486</v>
      </c>
      <c r="N103" s="30"/>
      <c r="O103" s="30"/>
      <c r="P103" s="30"/>
      <c r="Q103" s="30" t="s">
        <v>1306</v>
      </c>
      <c r="R103" s="30" t="s">
        <v>16</v>
      </c>
      <c r="S103" s="30" t="s">
        <v>1307</v>
      </c>
      <c r="T103" s="30" t="s">
        <v>162</v>
      </c>
      <c r="U103" s="30" t="s">
        <v>1308</v>
      </c>
      <c r="V103" s="30" t="s">
        <v>164</v>
      </c>
      <c r="W103" s="30" t="s">
        <v>165</v>
      </c>
      <c r="X103" s="30" t="s">
        <v>158</v>
      </c>
      <c r="Y103" s="30" t="s">
        <v>553</v>
      </c>
      <c r="Z103" s="30" t="s">
        <v>1309</v>
      </c>
      <c r="AA103" s="30" t="s">
        <v>1310</v>
      </c>
      <c r="AB103" s="30" t="s">
        <v>1306</v>
      </c>
      <c r="AC103" s="30">
        <v>5729274</v>
      </c>
      <c r="AD103" s="30" t="s">
        <v>16</v>
      </c>
      <c r="AE103" s="30" t="s">
        <v>1311</v>
      </c>
      <c r="AF103" s="30" t="s">
        <v>16</v>
      </c>
      <c r="AG103" s="30" t="s">
        <v>1312</v>
      </c>
      <c r="AH103" s="33" t="s">
        <v>85</v>
      </c>
      <c r="AI103" s="30" t="s">
        <v>1313</v>
      </c>
      <c r="AJ103" s="30" t="s">
        <v>273</v>
      </c>
      <c r="AK103" s="30" t="s">
        <v>171</v>
      </c>
      <c r="AL103" s="30" t="s">
        <v>157</v>
      </c>
      <c r="AM103" s="30">
        <v>3000</v>
      </c>
      <c r="AN103" s="30"/>
      <c r="AO103" s="30" t="s">
        <v>157</v>
      </c>
      <c r="AP103" s="30" t="s">
        <v>173</v>
      </c>
      <c r="AQ103" s="30" t="s">
        <v>174</v>
      </c>
      <c r="AR103" s="30"/>
      <c r="AS103" s="30" t="s">
        <v>1314</v>
      </c>
      <c r="AT103" s="30"/>
      <c r="AU103" s="30" t="s">
        <v>561</v>
      </c>
      <c r="AV103" s="30"/>
      <c r="AW103" s="30" t="s">
        <v>1315</v>
      </c>
      <c r="AX103" s="30"/>
      <c r="AY103" s="30"/>
      <c r="AZ103" s="30"/>
      <c r="BA103" s="30"/>
      <c r="BB103" s="30">
        <v>85262416</v>
      </c>
      <c r="BC103" s="30" t="s">
        <v>180</v>
      </c>
      <c r="BD103" s="30" t="s">
        <v>181</v>
      </c>
      <c r="BE103" s="30" t="s">
        <v>204</v>
      </c>
      <c r="BF103" s="30" t="s">
        <v>229</v>
      </c>
      <c r="BG103" s="30"/>
      <c r="BH103" s="30" t="s">
        <v>184</v>
      </c>
      <c r="BI103" s="30" t="s">
        <v>180</v>
      </c>
      <c r="BJ103" s="30" t="s">
        <v>157</v>
      </c>
      <c r="BK103" s="30"/>
      <c r="BL103" s="30"/>
      <c r="BM103" s="30"/>
      <c r="BN103" s="30" t="s">
        <v>205</v>
      </c>
      <c r="BO103" s="30"/>
    </row>
    <row r="104" spans="1:67" s="3" customFormat="1" hidden="1">
      <c r="A104" s="30">
        <v>5</v>
      </c>
      <c r="B104" s="30" t="s">
        <v>152</v>
      </c>
      <c r="C104" s="30" t="s">
        <v>153</v>
      </c>
      <c r="D104" s="30" t="s">
        <v>354</v>
      </c>
      <c r="E104" s="30" t="s">
        <v>1316</v>
      </c>
      <c r="F104" s="30" t="s">
        <v>208</v>
      </c>
      <c r="G104" s="30" t="s">
        <v>1317</v>
      </c>
      <c r="H104" s="30" t="s">
        <v>1318</v>
      </c>
      <c r="I104" s="30" t="s">
        <v>157</v>
      </c>
      <c r="J104" s="30" t="s">
        <v>330</v>
      </c>
      <c r="K104" s="30" t="s">
        <v>16</v>
      </c>
      <c r="L104" s="30" t="s">
        <v>591</v>
      </c>
      <c r="M104" s="30" t="s">
        <v>592</v>
      </c>
      <c r="N104" s="30" t="s">
        <v>157</v>
      </c>
      <c r="O104" s="30"/>
      <c r="P104" s="30"/>
      <c r="Q104" s="30" t="s">
        <v>1319</v>
      </c>
      <c r="R104" s="30" t="s">
        <v>16</v>
      </c>
      <c r="S104" s="30" t="s">
        <v>1320</v>
      </c>
      <c r="T104" s="30" t="s">
        <v>217</v>
      </c>
      <c r="U104" s="30" t="s">
        <v>1321</v>
      </c>
      <c r="V104" s="30" t="s">
        <v>164</v>
      </c>
      <c r="W104" s="30" t="s">
        <v>388</v>
      </c>
      <c r="X104" s="30" t="s">
        <v>330</v>
      </c>
      <c r="Y104" s="30" t="s">
        <v>1322</v>
      </c>
      <c r="Z104" s="30" t="s">
        <v>1323</v>
      </c>
      <c r="AA104" s="30" t="s">
        <v>1324</v>
      </c>
      <c r="AB104" s="30" t="s">
        <v>1319</v>
      </c>
      <c r="AC104" s="30">
        <v>5757743</v>
      </c>
      <c r="AD104" s="30" t="s">
        <v>16</v>
      </c>
      <c r="AE104" s="30" t="s">
        <v>1325</v>
      </c>
      <c r="AF104" s="30" t="s">
        <v>16</v>
      </c>
      <c r="AG104" s="30" t="s">
        <v>1325</v>
      </c>
      <c r="AH104" s="33" t="s">
        <v>88</v>
      </c>
      <c r="AI104" s="30" t="s">
        <v>1326</v>
      </c>
      <c r="AJ104" s="30" t="s">
        <v>1327</v>
      </c>
      <c r="AK104" s="30" t="s">
        <v>171</v>
      </c>
      <c r="AL104" s="30" t="s">
        <v>157</v>
      </c>
      <c r="AM104" s="30">
        <v>5400</v>
      </c>
      <c r="AN104" s="30"/>
      <c r="AO104" s="30" t="s">
        <v>157</v>
      </c>
      <c r="AP104" s="30" t="s">
        <v>369</v>
      </c>
      <c r="AQ104" s="30" t="s">
        <v>174</v>
      </c>
      <c r="AR104" s="30"/>
      <c r="AS104" s="30"/>
      <c r="AT104" s="30"/>
      <c r="AU104" s="30" t="s">
        <v>724</v>
      </c>
      <c r="AV104" s="30"/>
      <c r="AW104" s="30" t="s">
        <v>1328</v>
      </c>
      <c r="AX104" s="30"/>
      <c r="AY104" s="30"/>
      <c r="AZ104" s="30"/>
      <c r="BA104" s="30" t="s">
        <v>397</v>
      </c>
      <c r="BB104" s="30">
        <v>88011685</v>
      </c>
      <c r="BC104" s="30" t="s">
        <v>258</v>
      </c>
      <c r="BD104" s="30" t="s">
        <v>181</v>
      </c>
      <c r="BE104" s="30" t="s">
        <v>1329</v>
      </c>
      <c r="BF104" s="30" t="s">
        <v>298</v>
      </c>
      <c r="BG104" s="30" t="s">
        <v>230</v>
      </c>
      <c r="BH104" s="30" t="s">
        <v>1330</v>
      </c>
      <c r="BI104" s="30" t="s">
        <v>180</v>
      </c>
      <c r="BJ104" s="30" t="s">
        <v>157</v>
      </c>
      <c r="BK104" s="30"/>
      <c r="BL104" s="30"/>
      <c r="BM104" s="30">
        <v>80064849</v>
      </c>
      <c r="BN104" s="30" t="s">
        <v>205</v>
      </c>
      <c r="BO104" s="30" t="s">
        <v>233</v>
      </c>
    </row>
    <row r="105" spans="1:67" s="3" customFormat="1" hidden="1">
      <c r="A105" s="30">
        <v>115</v>
      </c>
      <c r="B105" s="30" t="s">
        <v>152</v>
      </c>
      <c r="C105" s="30" t="s">
        <v>153</v>
      </c>
      <c r="D105" s="30" t="s">
        <v>1331</v>
      </c>
      <c r="E105" s="30" t="s">
        <v>1332</v>
      </c>
      <c r="F105" s="30" t="s">
        <v>1333</v>
      </c>
      <c r="G105" s="30" t="s">
        <v>1334</v>
      </c>
      <c r="H105" s="30" t="s">
        <v>1335</v>
      </c>
      <c r="I105" s="30"/>
      <c r="J105" s="30" t="s">
        <v>330</v>
      </c>
      <c r="K105" s="30" t="s">
        <v>21</v>
      </c>
      <c r="L105" s="30" t="s">
        <v>212</v>
      </c>
      <c r="M105" s="30" t="s">
        <v>240</v>
      </c>
      <c r="N105" s="30" t="s">
        <v>1336</v>
      </c>
      <c r="O105" s="30"/>
      <c r="P105" s="30"/>
      <c r="Q105" s="30" t="s">
        <v>1331</v>
      </c>
      <c r="R105" s="30" t="s">
        <v>21</v>
      </c>
      <c r="S105" s="30" t="s">
        <v>1337</v>
      </c>
      <c r="T105" s="30" t="s">
        <v>162</v>
      </c>
      <c r="U105" s="30" t="s">
        <v>1338</v>
      </c>
      <c r="V105" s="30" t="s">
        <v>164</v>
      </c>
      <c r="W105" s="30" t="s">
        <v>244</v>
      </c>
      <c r="X105" s="30" t="s">
        <v>330</v>
      </c>
      <c r="Y105" s="30" t="s">
        <v>1339</v>
      </c>
      <c r="Z105" s="30" t="s">
        <v>1340</v>
      </c>
      <c r="AA105" s="30" t="s">
        <v>1341</v>
      </c>
      <c r="AB105" s="30" t="s">
        <v>1331</v>
      </c>
      <c r="AC105" s="30">
        <v>5692631</v>
      </c>
      <c r="AD105" s="30" t="s">
        <v>21</v>
      </c>
      <c r="AE105" s="30" t="s">
        <v>1342</v>
      </c>
      <c r="AF105" s="30" t="s">
        <v>21</v>
      </c>
      <c r="AG105" s="30" t="s">
        <v>1343</v>
      </c>
      <c r="AH105" s="33" t="s">
        <v>83</v>
      </c>
      <c r="AI105" s="30" t="s">
        <v>1344</v>
      </c>
      <c r="AJ105" s="30" t="s">
        <v>307</v>
      </c>
      <c r="AK105" s="30" t="s">
        <v>171</v>
      </c>
      <c r="AL105" s="30" t="s">
        <v>157</v>
      </c>
      <c r="AM105" s="30">
        <v>6000</v>
      </c>
      <c r="AN105" s="30"/>
      <c r="AO105" s="30" t="s">
        <v>1333</v>
      </c>
      <c r="AP105" s="30" t="s">
        <v>173</v>
      </c>
      <c r="AQ105" s="30" t="s">
        <v>225</v>
      </c>
      <c r="AR105" s="30"/>
      <c r="AS105" s="30" t="s">
        <v>1345</v>
      </c>
      <c r="AT105" s="30"/>
      <c r="AU105" s="30" t="s">
        <v>178</v>
      </c>
      <c r="AV105" s="30"/>
      <c r="AW105" s="30" t="s">
        <v>1346</v>
      </c>
      <c r="AX105" s="30"/>
      <c r="AY105" s="30"/>
      <c r="AZ105" s="30"/>
      <c r="BA105" s="30"/>
      <c r="BB105" s="30">
        <v>49619970</v>
      </c>
      <c r="BC105" s="30" t="s">
        <v>180</v>
      </c>
      <c r="BD105" s="30" t="s">
        <v>255</v>
      </c>
      <c r="BE105" s="30" t="s">
        <v>256</v>
      </c>
      <c r="BF105" s="30" t="s">
        <v>1347</v>
      </c>
      <c r="BG105" s="30" t="s">
        <v>230</v>
      </c>
      <c r="BH105" s="30" t="s">
        <v>231</v>
      </c>
      <c r="BI105" s="30" t="s">
        <v>258</v>
      </c>
      <c r="BJ105" s="30" t="s">
        <v>157</v>
      </c>
      <c r="BK105" s="30"/>
      <c r="BL105" s="30"/>
      <c r="BM105" s="30"/>
      <c r="BN105" s="30" t="s">
        <v>186</v>
      </c>
      <c r="BO105" s="30" t="s">
        <v>240</v>
      </c>
    </row>
    <row r="106" spans="1:67" s="3" customFormat="1" hidden="1">
      <c r="A106" s="30">
        <v>113</v>
      </c>
      <c r="B106" s="30" t="s">
        <v>152</v>
      </c>
      <c r="C106" s="30" t="s">
        <v>153</v>
      </c>
      <c r="D106" s="30" t="s">
        <v>1348</v>
      </c>
      <c r="E106" s="30" t="s">
        <v>1349</v>
      </c>
      <c r="F106" s="30" t="s">
        <v>1350</v>
      </c>
      <c r="G106" s="30" t="s">
        <v>1351</v>
      </c>
      <c r="H106" s="30" t="s">
        <v>1352</v>
      </c>
      <c r="I106" s="30"/>
      <c r="J106" s="30" t="s">
        <v>445</v>
      </c>
      <c r="K106" s="30" t="s">
        <v>9</v>
      </c>
      <c r="L106" s="30" t="s">
        <v>212</v>
      </c>
      <c r="M106" s="30" t="s">
        <v>240</v>
      </c>
      <c r="N106" s="30" t="s">
        <v>1353</v>
      </c>
      <c r="O106" s="30"/>
      <c r="P106" s="30"/>
      <c r="Q106" s="30" t="s">
        <v>1348</v>
      </c>
      <c r="R106" s="30" t="s">
        <v>9</v>
      </c>
      <c r="S106" s="30" t="s">
        <v>1354</v>
      </c>
      <c r="T106" s="30" t="s">
        <v>162</v>
      </c>
      <c r="U106" s="30" t="s">
        <v>1355</v>
      </c>
      <c r="V106" s="30" t="s">
        <v>164</v>
      </c>
      <c r="W106" s="30" t="s">
        <v>1356</v>
      </c>
      <c r="X106" s="30" t="s">
        <v>445</v>
      </c>
      <c r="Y106" s="30" t="s">
        <v>1357</v>
      </c>
      <c r="Z106" s="30" t="s">
        <v>1358</v>
      </c>
      <c r="AA106" s="30" t="s">
        <v>1359</v>
      </c>
      <c r="AB106" s="30" t="s">
        <v>1348</v>
      </c>
      <c r="AC106" s="30">
        <v>5572608</v>
      </c>
      <c r="AD106" s="30" t="s">
        <v>9</v>
      </c>
      <c r="AE106" s="30" t="s">
        <v>1360</v>
      </c>
      <c r="AF106" s="30" t="s">
        <v>9</v>
      </c>
      <c r="AG106" s="30" t="s">
        <v>1361</v>
      </c>
      <c r="AH106" s="33" t="s">
        <v>87</v>
      </c>
      <c r="AI106" s="30" t="s">
        <v>1362</v>
      </c>
      <c r="AJ106" s="30" t="s">
        <v>1363</v>
      </c>
      <c r="AK106" s="30" t="s">
        <v>171</v>
      </c>
      <c r="AL106" s="30" t="s">
        <v>157</v>
      </c>
      <c r="AM106" s="30">
        <v>34500</v>
      </c>
      <c r="AN106" s="30"/>
      <c r="AO106" s="30" t="s">
        <v>1350</v>
      </c>
      <c r="AP106" s="30" t="s">
        <v>173</v>
      </c>
      <c r="AQ106" s="30" t="s">
        <v>225</v>
      </c>
      <c r="AR106" s="30"/>
      <c r="AS106" s="30" t="s">
        <v>1364</v>
      </c>
      <c r="AT106" s="30"/>
      <c r="AU106" s="30" t="s">
        <v>1365</v>
      </c>
      <c r="AV106" s="30"/>
      <c r="AW106" s="30" t="s">
        <v>1366</v>
      </c>
      <c r="AX106" s="30"/>
      <c r="AY106" s="30"/>
      <c r="AZ106" s="30"/>
      <c r="BA106" s="30"/>
      <c r="BB106" s="30">
        <v>74065871</v>
      </c>
      <c r="BC106" s="30" t="s">
        <v>180</v>
      </c>
      <c r="BD106" s="30" t="s">
        <v>1367</v>
      </c>
      <c r="BE106" s="30" t="s">
        <v>1104</v>
      </c>
      <c r="BF106" s="30" t="s">
        <v>157</v>
      </c>
      <c r="BG106" s="30"/>
      <c r="BH106" s="30" t="s">
        <v>184</v>
      </c>
      <c r="BI106" s="30" t="s">
        <v>258</v>
      </c>
      <c r="BJ106" s="30" t="s">
        <v>157</v>
      </c>
      <c r="BK106" s="30"/>
      <c r="BL106" s="30"/>
      <c r="BM106" s="30"/>
      <c r="BN106" s="30" t="s">
        <v>186</v>
      </c>
      <c r="BO106" s="30" t="s">
        <v>240</v>
      </c>
    </row>
    <row r="107" spans="1:67" s="3" customFormat="1" hidden="1">
      <c r="A107" s="30">
        <v>108</v>
      </c>
      <c r="B107" s="30" t="s">
        <v>152</v>
      </c>
      <c r="C107" s="30" t="s">
        <v>153</v>
      </c>
      <c r="D107" s="30" t="s">
        <v>1368</v>
      </c>
      <c r="E107" s="30" t="s">
        <v>1369</v>
      </c>
      <c r="F107" s="30" t="s">
        <v>1370</v>
      </c>
      <c r="G107" s="30" t="s">
        <v>1371</v>
      </c>
      <c r="H107" s="30" t="s">
        <v>1372</v>
      </c>
      <c r="I107" s="30"/>
      <c r="J107" s="30" t="s">
        <v>239</v>
      </c>
      <c r="K107" s="30" t="s">
        <v>16</v>
      </c>
      <c r="L107" s="30" t="s">
        <v>212</v>
      </c>
      <c r="M107" s="30" t="s">
        <v>240</v>
      </c>
      <c r="N107" s="30" t="s">
        <v>1373</v>
      </c>
      <c r="O107" s="30"/>
      <c r="P107" s="30"/>
      <c r="Q107" s="30" t="s">
        <v>1368</v>
      </c>
      <c r="R107" s="30" t="s">
        <v>16</v>
      </c>
      <c r="S107" s="30" t="s">
        <v>1374</v>
      </c>
      <c r="T107" s="30" t="s">
        <v>162</v>
      </c>
      <c r="U107" s="30" t="s">
        <v>1375</v>
      </c>
      <c r="V107" s="30" t="s">
        <v>387</v>
      </c>
      <c r="W107" s="30" t="s">
        <v>267</v>
      </c>
      <c r="X107" s="30" t="s">
        <v>239</v>
      </c>
      <c r="Y107" s="30" t="s">
        <v>1376</v>
      </c>
      <c r="Z107" s="30" t="s">
        <v>1377</v>
      </c>
      <c r="AA107" s="30" t="s">
        <v>1378</v>
      </c>
      <c r="AB107" s="30" t="s">
        <v>1368</v>
      </c>
      <c r="AC107" s="30">
        <v>5572953</v>
      </c>
      <c r="AD107" s="30" t="s">
        <v>16</v>
      </c>
      <c r="AE107" s="30" t="s">
        <v>1379</v>
      </c>
      <c r="AF107" s="30" t="s">
        <v>16</v>
      </c>
      <c r="AG107" s="30" t="s">
        <v>1380</v>
      </c>
      <c r="AH107" s="33" t="s">
        <v>85</v>
      </c>
      <c r="AI107" s="30" t="s">
        <v>1381</v>
      </c>
      <c r="AJ107" s="30" t="s">
        <v>644</v>
      </c>
      <c r="AK107" s="30" t="s">
        <v>171</v>
      </c>
      <c r="AL107" s="30" t="s">
        <v>157</v>
      </c>
      <c r="AM107" s="30">
        <v>1400</v>
      </c>
      <c r="AN107" s="30"/>
      <c r="AO107" s="30" t="s">
        <v>1370</v>
      </c>
      <c r="AP107" s="30" t="s">
        <v>173</v>
      </c>
      <c r="AQ107" s="30" t="s">
        <v>225</v>
      </c>
      <c r="AR107" s="30"/>
      <c r="AS107" s="30" t="s">
        <v>1382</v>
      </c>
      <c r="AT107" s="30"/>
      <c r="AU107" s="30" t="s">
        <v>346</v>
      </c>
      <c r="AV107" s="30"/>
      <c r="AW107" s="30" t="s">
        <v>1383</v>
      </c>
      <c r="AX107" s="30"/>
      <c r="AY107" s="30"/>
      <c r="AZ107" s="30"/>
      <c r="BA107" s="30"/>
      <c r="BB107" s="30">
        <v>79798893</v>
      </c>
      <c r="BC107" s="30" t="s">
        <v>180</v>
      </c>
      <c r="BD107" s="30" t="s">
        <v>255</v>
      </c>
      <c r="BE107" s="30" t="s">
        <v>297</v>
      </c>
      <c r="BF107" s="30" t="s">
        <v>298</v>
      </c>
      <c r="BG107" s="30" t="s">
        <v>230</v>
      </c>
      <c r="BH107" s="30" t="s">
        <v>184</v>
      </c>
      <c r="BI107" s="30" t="s">
        <v>258</v>
      </c>
      <c r="BJ107" s="30" t="s">
        <v>157</v>
      </c>
      <c r="BK107" s="30"/>
      <c r="BL107" s="30"/>
      <c r="BM107" s="30"/>
      <c r="BN107" s="30"/>
      <c r="BO107" s="30" t="s">
        <v>240</v>
      </c>
    </row>
    <row r="108" spans="1:67" s="3" customFormat="1" hidden="1">
      <c r="A108" s="30">
        <v>88</v>
      </c>
      <c r="B108" s="30" t="s">
        <v>152</v>
      </c>
      <c r="C108" s="30" t="s">
        <v>153</v>
      </c>
      <c r="D108" s="30" t="s">
        <v>1384</v>
      </c>
      <c r="E108" s="30" t="s">
        <v>1385</v>
      </c>
      <c r="F108" s="30" t="s">
        <v>877</v>
      </c>
      <c r="G108" s="30" t="s">
        <v>1386</v>
      </c>
      <c r="H108" s="30" t="s">
        <v>1387</v>
      </c>
      <c r="I108" s="30"/>
      <c r="J108" s="30" t="s">
        <v>330</v>
      </c>
      <c r="K108" s="30" t="s">
        <v>9</v>
      </c>
      <c r="L108" s="30" t="s">
        <v>212</v>
      </c>
      <c r="M108" s="30" t="s">
        <v>240</v>
      </c>
      <c r="N108" s="30" t="s">
        <v>880</v>
      </c>
      <c r="O108" s="30"/>
      <c r="P108" s="30"/>
      <c r="Q108" s="30" t="s">
        <v>1384</v>
      </c>
      <c r="R108" s="30" t="s">
        <v>9</v>
      </c>
      <c r="S108" s="30" t="s">
        <v>1388</v>
      </c>
      <c r="T108" s="30" t="s">
        <v>162</v>
      </c>
      <c r="U108" s="30" t="s">
        <v>1389</v>
      </c>
      <c r="V108" s="30" t="s">
        <v>164</v>
      </c>
      <c r="W108" s="30" t="s">
        <v>244</v>
      </c>
      <c r="X108" s="30" t="s">
        <v>330</v>
      </c>
      <c r="Y108" s="30" t="s">
        <v>318</v>
      </c>
      <c r="Z108" s="30" t="s">
        <v>290</v>
      </c>
      <c r="AA108" s="30" t="s">
        <v>168</v>
      </c>
      <c r="AB108" s="30" t="s">
        <v>1384</v>
      </c>
      <c r="AC108" s="30">
        <v>5702421</v>
      </c>
      <c r="AD108" s="30" t="s">
        <v>9</v>
      </c>
      <c r="AE108" s="30" t="s">
        <v>1390</v>
      </c>
      <c r="AF108" s="30" t="s">
        <v>9</v>
      </c>
      <c r="AG108" s="30" t="s">
        <v>1391</v>
      </c>
      <c r="AH108" s="33" t="s">
        <v>83</v>
      </c>
      <c r="AI108" s="30" t="s">
        <v>1392</v>
      </c>
      <c r="AJ108" s="30" t="s">
        <v>464</v>
      </c>
      <c r="AK108" s="30" t="s">
        <v>171</v>
      </c>
      <c r="AL108" s="30" t="s">
        <v>157</v>
      </c>
      <c r="AM108" s="30">
        <v>10000</v>
      </c>
      <c r="AN108" s="30"/>
      <c r="AO108" s="30" t="s">
        <v>877</v>
      </c>
      <c r="AP108" s="30" t="s">
        <v>173</v>
      </c>
      <c r="AQ108" s="30" t="s">
        <v>225</v>
      </c>
      <c r="AR108" s="30"/>
      <c r="AS108" s="30" t="s">
        <v>1393</v>
      </c>
      <c r="AT108" s="30"/>
      <c r="AU108" s="30" t="s">
        <v>612</v>
      </c>
      <c r="AV108" s="30"/>
      <c r="AW108" s="30" t="s">
        <v>1394</v>
      </c>
      <c r="AX108" s="30"/>
      <c r="AY108" s="30"/>
      <c r="AZ108" s="30"/>
      <c r="BA108" s="30"/>
      <c r="BB108" s="30">
        <v>49013179</v>
      </c>
      <c r="BC108" s="30" t="s">
        <v>180</v>
      </c>
      <c r="BD108" s="30" t="s">
        <v>255</v>
      </c>
      <c r="BE108" s="30" t="s">
        <v>256</v>
      </c>
      <c r="BF108" s="30" t="s">
        <v>994</v>
      </c>
      <c r="BG108" s="30" t="s">
        <v>230</v>
      </c>
      <c r="BH108" s="30" t="s">
        <v>231</v>
      </c>
      <c r="BI108" s="30" t="s">
        <v>258</v>
      </c>
      <c r="BJ108" s="30" t="s">
        <v>157</v>
      </c>
      <c r="BK108" s="30"/>
      <c r="BL108" s="30"/>
      <c r="BM108" s="30"/>
      <c r="BN108" s="30" t="s">
        <v>186</v>
      </c>
      <c r="BO108" s="30" t="s">
        <v>240</v>
      </c>
    </row>
    <row r="109" spans="1:67" s="3" customFormat="1" hidden="1">
      <c r="A109" s="30">
        <v>89</v>
      </c>
      <c r="B109" s="30" t="s">
        <v>152</v>
      </c>
      <c r="C109" s="30" t="s">
        <v>153</v>
      </c>
      <c r="D109" s="30" t="s">
        <v>1384</v>
      </c>
      <c r="E109" s="30" t="s">
        <v>1385</v>
      </c>
      <c r="F109" s="30" t="s">
        <v>877</v>
      </c>
      <c r="G109" s="30" t="s">
        <v>1386</v>
      </c>
      <c r="H109" s="30" t="s">
        <v>1387</v>
      </c>
      <c r="I109" s="30"/>
      <c r="J109" s="30" t="s">
        <v>330</v>
      </c>
      <c r="K109" s="30" t="s">
        <v>9</v>
      </c>
      <c r="L109" s="30" t="s">
        <v>212</v>
      </c>
      <c r="M109" s="30" t="s">
        <v>240</v>
      </c>
      <c r="N109" s="30" t="s">
        <v>880</v>
      </c>
      <c r="O109" s="30"/>
      <c r="P109" s="30"/>
      <c r="Q109" s="30" t="s">
        <v>1384</v>
      </c>
      <c r="R109" s="30" t="s">
        <v>9</v>
      </c>
      <c r="S109" s="30" t="s">
        <v>1388</v>
      </c>
      <c r="T109" s="30" t="s">
        <v>162</v>
      </c>
      <c r="U109" s="30" t="s">
        <v>1389</v>
      </c>
      <c r="V109" s="30" t="s">
        <v>164</v>
      </c>
      <c r="W109" s="30" t="s">
        <v>244</v>
      </c>
      <c r="X109" s="30" t="s">
        <v>330</v>
      </c>
      <c r="Y109" s="30" t="s">
        <v>318</v>
      </c>
      <c r="Z109" s="30" t="s">
        <v>290</v>
      </c>
      <c r="AA109" s="30" t="s">
        <v>168</v>
      </c>
      <c r="AB109" s="30" t="s">
        <v>1384</v>
      </c>
      <c r="AC109" s="30">
        <v>5702421</v>
      </c>
      <c r="AD109" s="30" t="s">
        <v>9</v>
      </c>
      <c r="AE109" s="30" t="s">
        <v>1390</v>
      </c>
      <c r="AF109" s="30" t="s">
        <v>9</v>
      </c>
      <c r="AG109" s="30" t="s">
        <v>1391</v>
      </c>
      <c r="AH109" s="33" t="s">
        <v>83</v>
      </c>
      <c r="AI109" s="30" t="s">
        <v>1395</v>
      </c>
      <c r="AJ109" s="30" t="s">
        <v>464</v>
      </c>
      <c r="AK109" s="30" t="s">
        <v>171</v>
      </c>
      <c r="AL109" s="30" t="s">
        <v>157</v>
      </c>
      <c r="AM109" s="30">
        <v>10000</v>
      </c>
      <c r="AN109" s="30"/>
      <c r="AO109" s="30" t="s">
        <v>877</v>
      </c>
      <c r="AP109" s="30" t="s">
        <v>173</v>
      </c>
      <c r="AQ109" s="30" t="s">
        <v>225</v>
      </c>
      <c r="AR109" s="30"/>
      <c r="AS109" s="30" t="s">
        <v>1393</v>
      </c>
      <c r="AT109" s="30"/>
      <c r="AU109" s="30" t="s">
        <v>612</v>
      </c>
      <c r="AV109" s="30"/>
      <c r="AW109" s="30" t="s">
        <v>1394</v>
      </c>
      <c r="AX109" s="30"/>
      <c r="AY109" s="30"/>
      <c r="AZ109" s="30"/>
      <c r="BA109" s="30"/>
      <c r="BB109" s="30">
        <v>49013179</v>
      </c>
      <c r="BC109" s="30" t="s">
        <v>180</v>
      </c>
      <c r="BD109" s="30" t="s">
        <v>255</v>
      </c>
      <c r="BE109" s="30" t="s">
        <v>256</v>
      </c>
      <c r="BF109" s="30" t="s">
        <v>994</v>
      </c>
      <c r="BG109" s="30" t="s">
        <v>230</v>
      </c>
      <c r="BH109" s="30" t="s">
        <v>231</v>
      </c>
      <c r="BI109" s="30" t="s">
        <v>258</v>
      </c>
      <c r="BJ109" s="30" t="s">
        <v>157</v>
      </c>
      <c r="BK109" s="30"/>
      <c r="BL109" s="30"/>
      <c r="BM109" s="30"/>
      <c r="BN109" s="30" t="s">
        <v>186</v>
      </c>
      <c r="BO109" s="30" t="s">
        <v>240</v>
      </c>
    </row>
    <row r="110" spans="1:67" s="3" customFormat="1" hidden="1">
      <c r="A110" s="30">
        <v>20</v>
      </c>
      <c r="B110" s="30" t="s">
        <v>152</v>
      </c>
      <c r="C110" s="30" t="s">
        <v>153</v>
      </c>
      <c r="D110" s="30"/>
      <c r="E110" s="30" t="s">
        <v>1396</v>
      </c>
      <c r="F110" s="30"/>
      <c r="G110" s="30" t="s">
        <v>1397</v>
      </c>
      <c r="H110" s="30" t="s">
        <v>1398</v>
      </c>
      <c r="I110" s="30"/>
      <c r="J110" s="30"/>
      <c r="K110" s="30" t="s">
        <v>9</v>
      </c>
      <c r="L110" s="30" t="s">
        <v>591</v>
      </c>
      <c r="M110" s="30" t="s">
        <v>592</v>
      </c>
      <c r="N110" s="30"/>
      <c r="O110" s="30"/>
      <c r="P110" s="30"/>
      <c r="Q110" s="30" t="s">
        <v>1399</v>
      </c>
      <c r="R110" s="30" t="s">
        <v>9</v>
      </c>
      <c r="S110" s="30" t="s">
        <v>1400</v>
      </c>
      <c r="T110" s="30" t="s">
        <v>162</v>
      </c>
      <c r="U110" s="30" t="s">
        <v>1401</v>
      </c>
      <c r="V110" s="30" t="s">
        <v>164</v>
      </c>
      <c r="W110" s="30" t="s">
        <v>244</v>
      </c>
      <c r="X110" s="30" t="s">
        <v>330</v>
      </c>
      <c r="Y110" s="30" t="s">
        <v>1402</v>
      </c>
      <c r="Z110" s="30" t="s">
        <v>1403</v>
      </c>
      <c r="AA110" s="30" t="s">
        <v>1404</v>
      </c>
      <c r="AB110" s="30" t="s">
        <v>1399</v>
      </c>
      <c r="AC110" s="30">
        <v>5692036</v>
      </c>
      <c r="AD110" s="30" t="s">
        <v>9</v>
      </c>
      <c r="AE110" s="30" t="s">
        <v>1405</v>
      </c>
      <c r="AF110" s="30" t="s">
        <v>9</v>
      </c>
      <c r="AG110" s="30" t="s">
        <v>1405</v>
      </c>
      <c r="AH110" s="33" t="s">
        <v>88</v>
      </c>
      <c r="AI110" s="30" t="s">
        <v>1406</v>
      </c>
      <c r="AJ110" s="30" t="s">
        <v>1407</v>
      </c>
      <c r="AK110" s="30" t="s">
        <v>171</v>
      </c>
      <c r="AL110" s="30" t="s">
        <v>157</v>
      </c>
      <c r="AM110" s="30">
        <v>4950</v>
      </c>
      <c r="AN110" s="30"/>
      <c r="AO110" s="30" t="s">
        <v>157</v>
      </c>
      <c r="AP110" s="30" t="s">
        <v>173</v>
      </c>
      <c r="AQ110" s="30" t="s">
        <v>174</v>
      </c>
      <c r="AR110" s="30"/>
      <c r="AS110" s="30"/>
      <c r="AT110" s="30"/>
      <c r="AU110" s="30" t="s">
        <v>342</v>
      </c>
      <c r="AV110" s="30"/>
      <c r="AW110" s="30" t="s">
        <v>1408</v>
      </c>
      <c r="AX110" s="30"/>
      <c r="AY110" s="30"/>
      <c r="AZ110" s="30"/>
      <c r="BA110" s="30" t="s">
        <v>397</v>
      </c>
      <c r="BB110" s="30">
        <v>51102661</v>
      </c>
      <c r="BC110" s="30" t="s">
        <v>258</v>
      </c>
      <c r="BD110" s="30" t="s">
        <v>255</v>
      </c>
      <c r="BE110" s="30" t="s">
        <v>256</v>
      </c>
      <c r="BF110" s="30" t="s">
        <v>683</v>
      </c>
      <c r="BG110" s="30"/>
      <c r="BH110" s="30" t="s">
        <v>280</v>
      </c>
      <c r="BI110" s="30" t="s">
        <v>180</v>
      </c>
      <c r="BJ110" s="30" t="s">
        <v>157</v>
      </c>
      <c r="BK110" s="30"/>
      <c r="BL110" s="30"/>
      <c r="BM110" s="30">
        <v>100806138</v>
      </c>
      <c r="BN110" s="30" t="s">
        <v>186</v>
      </c>
      <c r="BO110" s="30"/>
    </row>
    <row r="111" spans="1:67" s="3" customFormat="1" hidden="1">
      <c r="A111" s="30">
        <v>81</v>
      </c>
      <c r="B111" s="30" t="s">
        <v>152</v>
      </c>
      <c r="C111" s="30" t="s">
        <v>153</v>
      </c>
      <c r="D111" s="30" t="s">
        <v>1409</v>
      </c>
      <c r="E111" s="30" t="s">
        <v>1410</v>
      </c>
      <c r="F111" s="30" t="s">
        <v>283</v>
      </c>
      <c r="G111" s="30" t="s">
        <v>1411</v>
      </c>
      <c r="H111" s="30" t="s">
        <v>1412</v>
      </c>
      <c r="I111" s="30"/>
      <c r="J111" s="30" t="s">
        <v>239</v>
      </c>
      <c r="K111" s="30" t="s">
        <v>16</v>
      </c>
      <c r="L111" s="30" t="s">
        <v>212</v>
      </c>
      <c r="M111" s="30" t="s">
        <v>240</v>
      </c>
      <c r="N111" s="30" t="s">
        <v>286</v>
      </c>
      <c r="O111" s="30"/>
      <c r="P111" s="30"/>
      <c r="Q111" s="30" t="s">
        <v>1409</v>
      </c>
      <c r="R111" s="30" t="s">
        <v>16</v>
      </c>
      <c r="S111" s="30" t="s">
        <v>1413</v>
      </c>
      <c r="T111" s="30" t="s">
        <v>162</v>
      </c>
      <c r="U111" s="30" t="s">
        <v>1414</v>
      </c>
      <c r="V111" s="30" t="s">
        <v>164</v>
      </c>
      <c r="W111" s="30" t="s">
        <v>1415</v>
      </c>
      <c r="X111" s="30" t="s">
        <v>239</v>
      </c>
      <c r="Y111" s="30" t="s">
        <v>1416</v>
      </c>
      <c r="Z111" s="30" t="s">
        <v>1417</v>
      </c>
      <c r="AA111" s="30" t="s">
        <v>1418</v>
      </c>
      <c r="AB111" s="30" t="s">
        <v>1409</v>
      </c>
      <c r="AC111" s="30">
        <v>5729642</v>
      </c>
      <c r="AD111" s="30" t="s">
        <v>16</v>
      </c>
      <c r="AE111" s="30" t="s">
        <v>1419</v>
      </c>
      <c r="AF111" s="30" t="s">
        <v>16</v>
      </c>
      <c r="AG111" s="30" t="s">
        <v>1419</v>
      </c>
      <c r="AH111" s="33" t="s">
        <v>83</v>
      </c>
      <c r="AI111" s="30" t="s">
        <v>1420</v>
      </c>
      <c r="AJ111" s="30" t="s">
        <v>415</v>
      </c>
      <c r="AK111" s="30" t="s">
        <v>171</v>
      </c>
      <c r="AL111" s="30" t="s">
        <v>157</v>
      </c>
      <c r="AM111" s="30">
        <v>3400</v>
      </c>
      <c r="AN111" s="30"/>
      <c r="AO111" s="30" t="s">
        <v>283</v>
      </c>
      <c r="AP111" s="30" t="s">
        <v>369</v>
      </c>
      <c r="AQ111" s="30" t="s">
        <v>225</v>
      </c>
      <c r="AR111" s="30"/>
      <c r="AS111" s="30" t="s">
        <v>1421</v>
      </c>
      <c r="AT111" s="30"/>
      <c r="AU111" s="30" t="s">
        <v>513</v>
      </c>
      <c r="AV111" s="30"/>
      <c r="AW111" s="30" t="s">
        <v>1422</v>
      </c>
      <c r="AX111" s="30"/>
      <c r="AY111" s="30"/>
      <c r="AZ111" s="30"/>
      <c r="BA111" s="30"/>
      <c r="BB111" s="30">
        <v>45293324</v>
      </c>
      <c r="BC111" s="30" t="s">
        <v>180</v>
      </c>
      <c r="BD111" s="30" t="s">
        <v>255</v>
      </c>
      <c r="BE111" s="30" t="s">
        <v>256</v>
      </c>
      <c r="BF111" s="30" t="s">
        <v>257</v>
      </c>
      <c r="BG111" s="30" t="s">
        <v>230</v>
      </c>
      <c r="BH111" s="30" t="s">
        <v>231</v>
      </c>
      <c r="BI111" s="30" t="s">
        <v>258</v>
      </c>
      <c r="BJ111" s="30" t="s">
        <v>157</v>
      </c>
      <c r="BK111" s="30"/>
      <c r="BL111" s="30"/>
      <c r="BM111" s="30"/>
      <c r="BN111" s="30"/>
      <c r="BO111" s="30" t="s">
        <v>240</v>
      </c>
    </row>
    <row r="112" spans="1:67" s="3" customFormat="1">
      <c r="A112" s="30">
        <v>59</v>
      </c>
      <c r="B112" s="30" t="s">
        <v>152</v>
      </c>
      <c r="C112" s="30" t="s">
        <v>153</v>
      </c>
      <c r="D112" s="30"/>
      <c r="E112" s="30" t="s">
        <v>1423</v>
      </c>
      <c r="F112" s="30"/>
      <c r="G112" s="30" t="s">
        <v>1424</v>
      </c>
      <c r="H112" s="30" t="s">
        <v>1425</v>
      </c>
      <c r="I112" s="30" t="s">
        <v>157</v>
      </c>
      <c r="J112" s="30" t="s">
        <v>330</v>
      </c>
      <c r="K112" s="30" t="s">
        <v>16</v>
      </c>
      <c r="L112" s="30" t="s">
        <v>212</v>
      </c>
      <c r="M112" s="30" t="s">
        <v>213</v>
      </c>
      <c r="N112" s="30"/>
      <c r="O112" s="30"/>
      <c r="P112" s="30"/>
      <c r="Q112" s="30" t="s">
        <v>1426</v>
      </c>
      <c r="R112" s="30" t="s">
        <v>16</v>
      </c>
      <c r="S112" s="30" t="s">
        <v>1427</v>
      </c>
      <c r="T112" s="30" t="s">
        <v>162</v>
      </c>
      <c r="U112" s="30" t="s">
        <v>1428</v>
      </c>
      <c r="V112" s="30" t="s">
        <v>164</v>
      </c>
      <c r="W112" s="30" t="s">
        <v>690</v>
      </c>
      <c r="X112" s="30" t="s">
        <v>158</v>
      </c>
      <c r="Y112" s="30" t="s">
        <v>691</v>
      </c>
      <c r="Z112" s="30" t="s">
        <v>1429</v>
      </c>
      <c r="AA112" s="30" t="s">
        <v>1430</v>
      </c>
      <c r="AB112" s="30" t="s">
        <v>1426</v>
      </c>
      <c r="AC112" s="30">
        <v>5576908</v>
      </c>
      <c r="AD112" s="30" t="s">
        <v>16</v>
      </c>
      <c r="AE112" s="30" t="s">
        <v>1431</v>
      </c>
      <c r="AF112" s="30" t="s">
        <v>16</v>
      </c>
      <c r="AG112" s="30" t="s">
        <v>1432</v>
      </c>
      <c r="AH112" s="33" t="s">
        <v>85</v>
      </c>
      <c r="AI112" s="30" t="s">
        <v>1433</v>
      </c>
      <c r="AJ112" s="30" t="s">
        <v>697</v>
      </c>
      <c r="AK112" s="30" t="s">
        <v>171</v>
      </c>
      <c r="AL112" s="30" t="s">
        <v>157</v>
      </c>
      <c r="AM112" s="30">
        <v>0</v>
      </c>
      <c r="AN112" s="30"/>
      <c r="AO112" s="30" t="s">
        <v>687</v>
      </c>
      <c r="AP112" s="30" t="s">
        <v>173</v>
      </c>
      <c r="AQ112" s="30" t="s">
        <v>225</v>
      </c>
      <c r="AR112" s="30"/>
      <c r="AS112" s="30" t="s">
        <v>1434</v>
      </c>
      <c r="AT112" s="30"/>
      <c r="AU112" s="30" t="s">
        <v>493</v>
      </c>
      <c r="AV112" s="30"/>
      <c r="AW112" s="30" t="s">
        <v>1435</v>
      </c>
      <c r="AX112" s="30"/>
      <c r="AY112" s="30"/>
      <c r="AZ112" s="30"/>
      <c r="BA112" s="30"/>
      <c r="BB112" s="30">
        <v>30795044</v>
      </c>
      <c r="BC112" s="30" t="s">
        <v>180</v>
      </c>
      <c r="BD112" s="30" t="s">
        <v>255</v>
      </c>
      <c r="BE112" s="30" t="s">
        <v>1436</v>
      </c>
      <c r="BF112" s="30" t="s">
        <v>1158</v>
      </c>
      <c r="BG112" s="30"/>
      <c r="BH112" s="30" t="s">
        <v>184</v>
      </c>
      <c r="BI112" s="30" t="s">
        <v>258</v>
      </c>
      <c r="BJ112" s="30" t="s">
        <v>157</v>
      </c>
      <c r="BK112" s="30"/>
      <c r="BL112" s="30"/>
      <c r="BM112" s="30"/>
      <c r="BN112" s="30" t="s">
        <v>205</v>
      </c>
      <c r="BO112" s="30"/>
    </row>
    <row r="113" spans="1:67" s="3" customFormat="1" hidden="1">
      <c r="A113" s="30">
        <v>21</v>
      </c>
      <c r="B113" s="30" t="s">
        <v>152</v>
      </c>
      <c r="C113" s="30" t="s">
        <v>153</v>
      </c>
      <c r="D113" s="30" t="s">
        <v>1437</v>
      </c>
      <c r="E113" s="30" t="s">
        <v>1438</v>
      </c>
      <c r="F113" s="30" t="s">
        <v>470</v>
      </c>
      <c r="G113" s="30" t="s">
        <v>1439</v>
      </c>
      <c r="H113" s="30" t="s">
        <v>1440</v>
      </c>
      <c r="I113" s="30"/>
      <c r="J113" s="30" t="s">
        <v>548</v>
      </c>
      <c r="K113" s="30" t="s">
        <v>16</v>
      </c>
      <c r="L113" s="30" t="s">
        <v>212</v>
      </c>
      <c r="M113" s="30" t="s">
        <v>240</v>
      </c>
      <c r="N113" s="30" t="s">
        <v>471</v>
      </c>
      <c r="O113" s="30"/>
      <c r="P113" s="30"/>
      <c r="Q113" s="30" t="s">
        <v>1437</v>
      </c>
      <c r="R113" s="30" t="s">
        <v>16</v>
      </c>
      <c r="S113" s="30" t="s">
        <v>1441</v>
      </c>
      <c r="T113" s="30" t="s">
        <v>162</v>
      </c>
      <c r="U113" s="30" t="s">
        <v>1442</v>
      </c>
      <c r="V113" s="30" t="s">
        <v>164</v>
      </c>
      <c r="W113" s="30" t="s">
        <v>1443</v>
      </c>
      <c r="X113" s="30" t="s">
        <v>548</v>
      </c>
      <c r="Y113" s="30" t="s">
        <v>1444</v>
      </c>
      <c r="Z113" s="30" t="s">
        <v>335</v>
      </c>
      <c r="AA113" s="30" t="s">
        <v>1445</v>
      </c>
      <c r="AB113" s="30" t="s">
        <v>1437</v>
      </c>
      <c r="AC113" s="30">
        <v>5691644</v>
      </c>
      <c r="AD113" s="30" t="s">
        <v>16</v>
      </c>
      <c r="AE113" s="30" t="s">
        <v>1442</v>
      </c>
      <c r="AF113" s="30" t="s">
        <v>16</v>
      </c>
      <c r="AG113" s="30" t="s">
        <v>1446</v>
      </c>
      <c r="AH113" s="33" t="s">
        <v>85</v>
      </c>
      <c r="AI113" s="30" t="s">
        <v>1447</v>
      </c>
      <c r="AJ113" s="30" t="s">
        <v>1448</v>
      </c>
      <c r="AK113" s="30" t="s">
        <v>171</v>
      </c>
      <c r="AL113" s="30" t="s">
        <v>157</v>
      </c>
      <c r="AM113" s="30">
        <v>9400</v>
      </c>
      <c r="AN113" s="30" t="s">
        <v>172</v>
      </c>
      <c r="AO113" s="30" t="s">
        <v>470</v>
      </c>
      <c r="AP113" s="30" t="s">
        <v>173</v>
      </c>
      <c r="AQ113" s="30" t="s">
        <v>174</v>
      </c>
      <c r="AR113" s="30" t="s">
        <v>1449</v>
      </c>
      <c r="AS113" s="30" t="s">
        <v>1450</v>
      </c>
      <c r="AT113" s="30" t="s">
        <v>1451</v>
      </c>
      <c r="AU113" s="30" t="s">
        <v>325</v>
      </c>
      <c r="AV113" s="30"/>
      <c r="AW113" s="30" t="s">
        <v>1452</v>
      </c>
      <c r="AX113" s="30"/>
      <c r="AY113" s="30"/>
      <c r="AZ113" s="30"/>
      <c r="BA113" s="30"/>
      <c r="BB113" s="30">
        <v>44495810</v>
      </c>
      <c r="BC113" s="30" t="s">
        <v>180</v>
      </c>
      <c r="BD113" s="30" t="s">
        <v>181</v>
      </c>
      <c r="BE113" s="30" t="s">
        <v>157</v>
      </c>
      <c r="BF113" s="30" t="s">
        <v>157</v>
      </c>
      <c r="BG113" s="30" t="s">
        <v>230</v>
      </c>
      <c r="BH113" s="30" t="s">
        <v>231</v>
      </c>
      <c r="BI113" s="30" t="s">
        <v>180</v>
      </c>
      <c r="BJ113" s="30" t="s">
        <v>157</v>
      </c>
      <c r="BK113" s="30"/>
      <c r="BL113" s="30" t="s">
        <v>848</v>
      </c>
      <c r="BM113" s="30"/>
      <c r="BN113" s="30" t="s">
        <v>186</v>
      </c>
      <c r="BO113" s="30" t="s">
        <v>240</v>
      </c>
    </row>
    <row r="114" spans="1:67" s="3" customFormat="1" hidden="1">
      <c r="A114" s="30">
        <v>23</v>
      </c>
      <c r="B114" s="30" t="s">
        <v>152</v>
      </c>
      <c r="C114" s="30" t="s">
        <v>153</v>
      </c>
      <c r="D114" s="30" t="s">
        <v>1453</v>
      </c>
      <c r="E114" s="30" t="s">
        <v>1454</v>
      </c>
      <c r="F114" s="30" t="s">
        <v>633</v>
      </c>
      <c r="G114" s="30" t="s">
        <v>1455</v>
      </c>
      <c r="H114" s="30" t="s">
        <v>1456</v>
      </c>
      <c r="I114" s="30"/>
      <c r="J114" s="30" t="s">
        <v>330</v>
      </c>
      <c r="K114" s="30" t="s">
        <v>9</v>
      </c>
      <c r="L114" s="30" t="s">
        <v>212</v>
      </c>
      <c r="M114" s="30" t="s">
        <v>240</v>
      </c>
      <c r="N114" s="30" t="s">
        <v>636</v>
      </c>
      <c r="O114" s="30"/>
      <c r="P114" s="30"/>
      <c r="Q114" s="30" t="s">
        <v>1453</v>
      </c>
      <c r="R114" s="30" t="s">
        <v>9</v>
      </c>
      <c r="S114" s="30" t="s">
        <v>1457</v>
      </c>
      <c r="T114" s="30" t="s">
        <v>162</v>
      </c>
      <c r="U114" s="30" t="s">
        <v>1458</v>
      </c>
      <c r="V114" s="30" t="s">
        <v>164</v>
      </c>
      <c r="W114" s="30" t="s">
        <v>267</v>
      </c>
      <c r="X114" s="30" t="s">
        <v>330</v>
      </c>
      <c r="Y114" s="30" t="s">
        <v>166</v>
      </c>
      <c r="Z114" s="30" t="s">
        <v>1459</v>
      </c>
      <c r="AA114" s="30" t="s">
        <v>1460</v>
      </c>
      <c r="AB114" s="30" t="s">
        <v>1453</v>
      </c>
      <c r="AC114" s="30">
        <v>5664723</v>
      </c>
      <c r="AD114" s="30" t="s">
        <v>9</v>
      </c>
      <c r="AE114" s="30" t="s">
        <v>1461</v>
      </c>
      <c r="AF114" s="30" t="s">
        <v>9</v>
      </c>
      <c r="AG114" s="30" t="s">
        <v>1462</v>
      </c>
      <c r="AH114" s="33" t="s">
        <v>85</v>
      </c>
      <c r="AI114" s="30" t="s">
        <v>1463</v>
      </c>
      <c r="AJ114" s="30" t="s">
        <v>1464</v>
      </c>
      <c r="AK114" s="30" t="s">
        <v>171</v>
      </c>
      <c r="AL114" s="30" t="s">
        <v>157</v>
      </c>
      <c r="AM114" s="30">
        <v>6000</v>
      </c>
      <c r="AN114" s="30"/>
      <c r="AO114" s="30" t="s">
        <v>633</v>
      </c>
      <c r="AP114" s="30" t="s">
        <v>173</v>
      </c>
      <c r="AQ114" s="30" t="s">
        <v>225</v>
      </c>
      <c r="AR114" s="30"/>
      <c r="AS114" s="30" t="s">
        <v>1465</v>
      </c>
      <c r="AT114" s="30"/>
      <c r="AU114" s="30" t="s">
        <v>295</v>
      </c>
      <c r="AV114" s="30"/>
      <c r="AW114" s="30" t="s">
        <v>1466</v>
      </c>
      <c r="AX114" s="30"/>
      <c r="AY114" s="30"/>
      <c r="AZ114" s="30"/>
      <c r="BA114" s="30"/>
      <c r="BB114" s="30">
        <v>63521113</v>
      </c>
      <c r="BC114" s="30" t="s">
        <v>180</v>
      </c>
      <c r="BD114" s="30" t="s">
        <v>255</v>
      </c>
      <c r="BE114" s="30" t="s">
        <v>297</v>
      </c>
      <c r="BF114" s="30" t="s">
        <v>298</v>
      </c>
      <c r="BG114" s="30" t="s">
        <v>230</v>
      </c>
      <c r="BH114" s="30" t="s">
        <v>184</v>
      </c>
      <c r="BI114" s="30" t="s">
        <v>258</v>
      </c>
      <c r="BJ114" s="30" t="s">
        <v>157</v>
      </c>
      <c r="BK114" s="30"/>
      <c r="BL114" s="30"/>
      <c r="BM114" s="30"/>
      <c r="BN114" s="30" t="s">
        <v>186</v>
      </c>
      <c r="BO114" s="30" t="s">
        <v>240</v>
      </c>
    </row>
    <row r="115" spans="1:67" s="3" customFormat="1" hidden="1">
      <c r="A115" s="30">
        <v>12</v>
      </c>
      <c r="B115" s="30" t="s">
        <v>152</v>
      </c>
      <c r="C115" s="30" t="s">
        <v>153</v>
      </c>
      <c r="D115" s="30"/>
      <c r="E115" s="30" t="s">
        <v>1467</v>
      </c>
      <c r="F115" s="30"/>
      <c r="G115" s="30" t="s">
        <v>1468</v>
      </c>
      <c r="H115" s="30" t="s">
        <v>1469</v>
      </c>
      <c r="I115" s="30"/>
      <c r="J115" s="30" t="s">
        <v>354</v>
      </c>
      <c r="K115" s="30" t="s">
        <v>16</v>
      </c>
      <c r="L115" s="30" t="s">
        <v>525</v>
      </c>
      <c r="M115" s="30" t="s">
        <v>526</v>
      </c>
      <c r="N115" s="30"/>
      <c r="O115" s="30"/>
      <c r="P115" s="30"/>
      <c r="Q115" s="30" t="s">
        <v>1470</v>
      </c>
      <c r="R115" s="30" t="s">
        <v>16</v>
      </c>
      <c r="S115" s="30" t="s">
        <v>1471</v>
      </c>
      <c r="T115" s="30" t="s">
        <v>162</v>
      </c>
      <c r="U115" s="30" t="s">
        <v>1472</v>
      </c>
      <c r="V115" s="30" t="s">
        <v>164</v>
      </c>
      <c r="W115" s="30" t="s">
        <v>1473</v>
      </c>
      <c r="X115" s="30" t="s">
        <v>158</v>
      </c>
      <c r="Y115" s="30" t="s">
        <v>622</v>
      </c>
      <c r="Z115" s="30" t="s">
        <v>1474</v>
      </c>
      <c r="AA115" s="30" t="s">
        <v>1475</v>
      </c>
      <c r="AB115" s="30" t="s">
        <v>1470</v>
      </c>
      <c r="AC115" s="30">
        <v>5698705</v>
      </c>
      <c r="AD115" s="30" t="s">
        <v>16</v>
      </c>
      <c r="AE115" s="30" t="s">
        <v>1472</v>
      </c>
      <c r="AF115" s="30" t="s">
        <v>16</v>
      </c>
      <c r="AG115" s="30" t="s">
        <v>1472</v>
      </c>
      <c r="AH115" s="33" t="s">
        <v>85</v>
      </c>
      <c r="AI115" s="30" t="s">
        <v>1476</v>
      </c>
      <c r="AJ115" s="30" t="s">
        <v>775</v>
      </c>
      <c r="AK115" s="30" t="s">
        <v>171</v>
      </c>
      <c r="AL115" s="30" t="s">
        <v>157</v>
      </c>
      <c r="AM115" s="30">
        <v>9000</v>
      </c>
      <c r="AN115" s="30" t="s">
        <v>172</v>
      </c>
      <c r="AO115" s="30" t="s">
        <v>157</v>
      </c>
      <c r="AP115" s="30" t="s">
        <v>173</v>
      </c>
      <c r="AQ115" s="30" t="s">
        <v>174</v>
      </c>
      <c r="AR115" s="30" t="s">
        <v>777</v>
      </c>
      <c r="AS115" s="30" t="s">
        <v>1477</v>
      </c>
      <c r="AT115" s="30" t="s">
        <v>1478</v>
      </c>
      <c r="AU115" s="30" t="s">
        <v>178</v>
      </c>
      <c r="AV115" s="30"/>
      <c r="AW115" s="30" t="s">
        <v>1479</v>
      </c>
      <c r="AX115" s="30"/>
      <c r="AY115" s="30"/>
      <c r="AZ115" s="30"/>
      <c r="BA115" s="30"/>
      <c r="BB115" s="30">
        <v>67243088</v>
      </c>
      <c r="BC115" s="30" t="s">
        <v>180</v>
      </c>
      <c r="BD115" s="30" t="s">
        <v>181</v>
      </c>
      <c r="BE115" s="30" t="s">
        <v>1480</v>
      </c>
      <c r="BF115" s="30" t="s">
        <v>183</v>
      </c>
      <c r="BG115" s="30"/>
      <c r="BH115" s="30" t="s">
        <v>630</v>
      </c>
      <c r="BI115" s="30" t="s">
        <v>180</v>
      </c>
      <c r="BJ115" s="30" t="s">
        <v>157</v>
      </c>
      <c r="BK115" s="30"/>
      <c r="BL115" s="30" t="s">
        <v>185</v>
      </c>
      <c r="BM115" s="30"/>
      <c r="BN115" s="30" t="s">
        <v>205</v>
      </c>
      <c r="BO115" s="30"/>
    </row>
    <row r="116" spans="1:67" s="3" customFormat="1" hidden="1">
      <c r="A116" s="30">
        <v>123</v>
      </c>
      <c r="B116" s="30" t="s">
        <v>152</v>
      </c>
      <c r="C116" s="30" t="s">
        <v>153</v>
      </c>
      <c r="D116" s="30" t="s">
        <v>1481</v>
      </c>
      <c r="E116" s="30" t="s">
        <v>1482</v>
      </c>
      <c r="F116" s="30" t="s">
        <v>742</v>
      </c>
      <c r="G116" s="30" t="s">
        <v>1483</v>
      </c>
      <c r="H116" s="30" t="s">
        <v>1484</v>
      </c>
      <c r="I116" s="30" t="s">
        <v>745</v>
      </c>
      <c r="J116" s="30"/>
      <c r="K116" s="30" t="s">
        <v>1204</v>
      </c>
      <c r="L116" s="30" t="s">
        <v>746</v>
      </c>
      <c r="M116" s="30" t="s">
        <v>1485</v>
      </c>
      <c r="N116" s="30" t="s">
        <v>157</v>
      </c>
      <c r="O116" s="30" t="s">
        <v>1204</v>
      </c>
      <c r="P116" s="30" t="s">
        <v>1486</v>
      </c>
      <c r="Q116" s="30" t="s">
        <v>1487</v>
      </c>
      <c r="R116" s="30" t="s">
        <v>9</v>
      </c>
      <c r="S116" s="30" t="s">
        <v>1488</v>
      </c>
      <c r="T116" s="30" t="s">
        <v>162</v>
      </c>
      <c r="U116" s="30" t="s">
        <v>1489</v>
      </c>
      <c r="V116" s="30" t="s">
        <v>164</v>
      </c>
      <c r="W116" s="30" t="s">
        <v>244</v>
      </c>
      <c r="X116" s="30" t="s">
        <v>239</v>
      </c>
      <c r="Y116" s="30" t="s">
        <v>1490</v>
      </c>
      <c r="Z116" s="30" t="s">
        <v>1049</v>
      </c>
      <c r="AA116" s="30" t="s">
        <v>1491</v>
      </c>
      <c r="AB116" s="30" t="s">
        <v>1487</v>
      </c>
      <c r="AC116" s="30">
        <v>5691379</v>
      </c>
      <c r="AD116" s="30" t="s">
        <v>9</v>
      </c>
      <c r="AE116" s="30" t="s">
        <v>1492</v>
      </c>
      <c r="AF116" s="30" t="s">
        <v>9</v>
      </c>
      <c r="AG116" s="30" t="s">
        <v>1493</v>
      </c>
      <c r="AH116" s="33" t="s">
        <v>83</v>
      </c>
      <c r="AI116" s="30" t="s">
        <v>1494</v>
      </c>
      <c r="AJ116" s="30" t="s">
        <v>415</v>
      </c>
      <c r="AK116" s="30" t="s">
        <v>171</v>
      </c>
      <c r="AL116" s="30" t="s">
        <v>157</v>
      </c>
      <c r="AM116" s="30">
        <v>3600</v>
      </c>
      <c r="AN116" s="30"/>
      <c r="AO116" s="30" t="s">
        <v>157</v>
      </c>
      <c r="AP116" s="30" t="s">
        <v>173</v>
      </c>
      <c r="AQ116" s="30" t="s">
        <v>225</v>
      </c>
      <c r="AR116" s="30"/>
      <c r="AS116" s="30" t="s">
        <v>1495</v>
      </c>
      <c r="AT116" s="30"/>
      <c r="AU116" s="30" t="s">
        <v>325</v>
      </c>
      <c r="AV116" s="30"/>
      <c r="AW116" s="30" t="s">
        <v>1496</v>
      </c>
      <c r="AX116" s="30"/>
      <c r="AY116" s="30"/>
      <c r="AZ116" s="30"/>
      <c r="BA116" s="30"/>
      <c r="BB116" s="30">
        <v>37927240</v>
      </c>
      <c r="BC116" s="30" t="s">
        <v>180</v>
      </c>
      <c r="BD116" s="30" t="s">
        <v>255</v>
      </c>
      <c r="BE116" s="30" t="s">
        <v>256</v>
      </c>
      <c r="BF116" s="30" t="s">
        <v>683</v>
      </c>
      <c r="BG116" s="30" t="s">
        <v>1245</v>
      </c>
      <c r="BH116" s="30" t="s">
        <v>231</v>
      </c>
      <c r="BI116" s="30" t="s">
        <v>258</v>
      </c>
      <c r="BJ116" s="30" t="s">
        <v>157</v>
      </c>
      <c r="BK116" s="30"/>
      <c r="BL116" s="30"/>
      <c r="BM116" s="30"/>
      <c r="BN116" s="30"/>
      <c r="BO116" s="30" t="s">
        <v>761</v>
      </c>
    </row>
    <row r="117" spans="1:67" s="3" customFormat="1" hidden="1">
      <c r="A117" s="30">
        <v>106</v>
      </c>
      <c r="B117" s="30" t="s">
        <v>152</v>
      </c>
      <c r="C117" s="30" t="s">
        <v>153</v>
      </c>
      <c r="D117" s="30" t="s">
        <v>1497</v>
      </c>
      <c r="E117" s="30" t="s">
        <v>1498</v>
      </c>
      <c r="F117" s="30" t="s">
        <v>403</v>
      </c>
      <c r="G117" s="30" t="s">
        <v>1499</v>
      </c>
      <c r="H117" s="30" t="s">
        <v>1500</v>
      </c>
      <c r="I117" s="30"/>
      <c r="J117" s="30" t="s">
        <v>330</v>
      </c>
      <c r="K117" s="30" t="s">
        <v>1501</v>
      </c>
      <c r="L117" s="30" t="s">
        <v>212</v>
      </c>
      <c r="M117" s="30" t="s">
        <v>240</v>
      </c>
      <c r="N117" s="30" t="s">
        <v>406</v>
      </c>
      <c r="O117" s="30"/>
      <c r="P117" s="30"/>
      <c r="Q117" s="30" t="s">
        <v>1497</v>
      </c>
      <c r="R117" s="30" t="s">
        <v>1501</v>
      </c>
      <c r="S117" s="30" t="s">
        <v>1502</v>
      </c>
      <c r="T117" s="30" t="s">
        <v>162</v>
      </c>
      <c r="U117" s="30" t="s">
        <v>1503</v>
      </c>
      <c r="V117" s="30" t="s">
        <v>164</v>
      </c>
      <c r="W117" s="30" t="s">
        <v>361</v>
      </c>
      <c r="X117" s="30" t="s">
        <v>330</v>
      </c>
      <c r="Y117" s="30" t="s">
        <v>1376</v>
      </c>
      <c r="Z117" s="30" t="s">
        <v>1504</v>
      </c>
      <c r="AA117" s="30" t="s">
        <v>1505</v>
      </c>
      <c r="AB117" s="31" t="s">
        <v>1497</v>
      </c>
      <c r="AC117" s="30">
        <v>5573379</v>
      </c>
      <c r="AD117" s="30" t="s">
        <v>16</v>
      </c>
      <c r="AE117" s="30" t="s">
        <v>1506</v>
      </c>
      <c r="AF117" s="30" t="s">
        <v>1501</v>
      </c>
      <c r="AG117" s="30" t="s">
        <v>1507</v>
      </c>
      <c r="AH117" s="33" t="s">
        <v>83</v>
      </c>
      <c r="AI117" s="30"/>
      <c r="AJ117" s="30"/>
      <c r="AK117" s="30" t="s">
        <v>171</v>
      </c>
      <c r="AL117" s="30" t="s">
        <v>157</v>
      </c>
      <c r="AM117" s="30">
        <v>3000</v>
      </c>
      <c r="AN117" s="30"/>
      <c r="AO117" s="30" t="s">
        <v>403</v>
      </c>
      <c r="AP117" s="30" t="s">
        <v>201</v>
      </c>
      <c r="AQ117" s="30" t="s">
        <v>225</v>
      </c>
      <c r="AR117" s="30"/>
      <c r="AS117" s="30" t="s">
        <v>1508</v>
      </c>
      <c r="AT117" s="30"/>
      <c r="AU117" s="30"/>
      <c r="AV117" s="30"/>
      <c r="AW117" s="30" t="s">
        <v>1509</v>
      </c>
      <c r="AX117" s="30"/>
      <c r="AY117" s="30"/>
      <c r="AZ117" s="30"/>
      <c r="BA117" s="30"/>
      <c r="BB117" s="30">
        <v>53338111</v>
      </c>
      <c r="BC117" s="30" t="s">
        <v>180</v>
      </c>
      <c r="BD117" s="30" t="s">
        <v>255</v>
      </c>
      <c r="BE117" s="30" t="s">
        <v>297</v>
      </c>
      <c r="BF117" s="30" t="s">
        <v>298</v>
      </c>
      <c r="BG117" s="30" t="s">
        <v>230</v>
      </c>
      <c r="BH117" s="30" t="s">
        <v>184</v>
      </c>
      <c r="BI117" s="30" t="s">
        <v>180</v>
      </c>
      <c r="BJ117" s="30" t="s">
        <v>157</v>
      </c>
      <c r="BK117" s="30"/>
      <c r="BL117" s="30"/>
      <c r="BM117" s="30"/>
      <c r="BN117" s="30" t="s">
        <v>186</v>
      </c>
      <c r="BO117" s="30" t="s">
        <v>240</v>
      </c>
    </row>
    <row r="118" spans="1:67" s="3" customFormat="1" hidden="1">
      <c r="A118" s="30">
        <v>90</v>
      </c>
      <c r="B118" s="30" t="s">
        <v>152</v>
      </c>
      <c r="C118" s="30" t="s">
        <v>153</v>
      </c>
      <c r="D118" s="30" t="s">
        <v>1510</v>
      </c>
      <c r="E118" s="30" t="s">
        <v>1511</v>
      </c>
      <c r="F118" s="30" t="s">
        <v>1512</v>
      </c>
      <c r="G118" s="30" t="s">
        <v>1513</v>
      </c>
      <c r="H118" s="30" t="s">
        <v>1514</v>
      </c>
      <c r="I118" s="30" t="s">
        <v>1515</v>
      </c>
      <c r="J118" s="30"/>
      <c r="K118" s="30" t="s">
        <v>16</v>
      </c>
      <c r="L118" s="30" t="s">
        <v>313</v>
      </c>
      <c r="M118" s="30" t="s">
        <v>1516</v>
      </c>
      <c r="N118" s="30" t="s">
        <v>157</v>
      </c>
      <c r="O118" s="30"/>
      <c r="P118" s="30"/>
      <c r="Q118" s="30" t="s">
        <v>1517</v>
      </c>
      <c r="R118" s="30" t="s">
        <v>16</v>
      </c>
      <c r="S118" s="30" t="s">
        <v>1518</v>
      </c>
      <c r="T118" s="30" t="s">
        <v>217</v>
      </c>
      <c r="U118" s="30" t="s">
        <v>1519</v>
      </c>
      <c r="V118" s="30" t="s">
        <v>164</v>
      </c>
      <c r="W118" s="30" t="s">
        <v>690</v>
      </c>
      <c r="X118" s="30" t="s">
        <v>158</v>
      </c>
      <c r="Y118" s="30" t="s">
        <v>771</v>
      </c>
      <c r="Z118" s="30" t="s">
        <v>1520</v>
      </c>
      <c r="AA118" s="30" t="s">
        <v>1521</v>
      </c>
      <c r="AB118" s="30" t="s">
        <v>1517</v>
      </c>
      <c r="AC118" s="30">
        <v>5697080</v>
      </c>
      <c r="AD118" s="30" t="s">
        <v>16</v>
      </c>
      <c r="AE118" s="30" t="s">
        <v>1522</v>
      </c>
      <c r="AF118" s="30" t="s">
        <v>16</v>
      </c>
      <c r="AG118" s="30" t="s">
        <v>1522</v>
      </c>
      <c r="AH118" s="33" t="s">
        <v>85</v>
      </c>
      <c r="AI118" s="30" t="s">
        <v>1523</v>
      </c>
      <c r="AJ118" s="30" t="s">
        <v>1524</v>
      </c>
      <c r="AK118" s="30" t="s">
        <v>171</v>
      </c>
      <c r="AL118" s="30" t="s">
        <v>157</v>
      </c>
      <c r="AM118" s="30">
        <v>1459.9</v>
      </c>
      <c r="AN118" s="30"/>
      <c r="AO118" s="30" t="s">
        <v>157</v>
      </c>
      <c r="AP118" s="30" t="s">
        <v>369</v>
      </c>
      <c r="AQ118" s="30" t="s">
        <v>225</v>
      </c>
      <c r="AR118" s="30" t="s">
        <v>1525</v>
      </c>
      <c r="AS118" s="30" t="s">
        <v>1526</v>
      </c>
      <c r="AT118" s="30" t="s">
        <v>1527</v>
      </c>
      <c r="AU118" s="30" t="s">
        <v>276</v>
      </c>
      <c r="AV118" s="30"/>
      <c r="AW118" s="30" t="s">
        <v>1528</v>
      </c>
      <c r="AX118" s="30"/>
      <c r="AY118" s="30"/>
      <c r="AZ118" s="30"/>
      <c r="BA118" s="30"/>
      <c r="BB118" s="30">
        <v>85104676</v>
      </c>
      <c r="BC118" s="30" t="s">
        <v>180</v>
      </c>
      <c r="BD118" s="30" t="s">
        <v>181</v>
      </c>
      <c r="BE118" s="30" t="s">
        <v>1012</v>
      </c>
      <c r="BF118" s="30" t="s">
        <v>229</v>
      </c>
      <c r="BG118" s="30" t="s">
        <v>230</v>
      </c>
      <c r="BH118" s="30" t="s">
        <v>231</v>
      </c>
      <c r="BI118" s="30" t="s">
        <v>258</v>
      </c>
      <c r="BJ118" s="30" t="s">
        <v>157</v>
      </c>
      <c r="BK118" s="30"/>
      <c r="BL118" s="30" t="s">
        <v>848</v>
      </c>
      <c r="BM118" s="30"/>
      <c r="BN118" s="30" t="s">
        <v>186</v>
      </c>
      <c r="BO118" s="30" t="s">
        <v>1529</v>
      </c>
    </row>
    <row r="119" spans="1:67" s="3" customFormat="1" hidden="1">
      <c r="A119" s="30">
        <v>91</v>
      </c>
      <c r="B119" s="30" t="s">
        <v>152</v>
      </c>
      <c r="C119" s="30" t="s">
        <v>153</v>
      </c>
      <c r="D119" s="30" t="s">
        <v>1510</v>
      </c>
      <c r="E119" s="30" t="s">
        <v>1511</v>
      </c>
      <c r="F119" s="30" t="s">
        <v>1512</v>
      </c>
      <c r="G119" s="30" t="s">
        <v>1513</v>
      </c>
      <c r="H119" s="30" t="s">
        <v>1514</v>
      </c>
      <c r="I119" s="30" t="s">
        <v>1515</v>
      </c>
      <c r="J119" s="30"/>
      <c r="K119" s="30" t="s">
        <v>16</v>
      </c>
      <c r="L119" s="30" t="s">
        <v>313</v>
      </c>
      <c r="M119" s="30" t="s">
        <v>1516</v>
      </c>
      <c r="N119" s="30" t="s">
        <v>157</v>
      </c>
      <c r="O119" s="30"/>
      <c r="P119" s="30"/>
      <c r="Q119" s="30" t="s">
        <v>1517</v>
      </c>
      <c r="R119" s="30" t="s">
        <v>16</v>
      </c>
      <c r="S119" s="30" t="s">
        <v>1518</v>
      </c>
      <c r="T119" s="30" t="s">
        <v>217</v>
      </c>
      <c r="U119" s="30" t="s">
        <v>1519</v>
      </c>
      <c r="V119" s="30" t="s">
        <v>164</v>
      </c>
      <c r="W119" s="30" t="s">
        <v>690</v>
      </c>
      <c r="X119" s="30" t="s">
        <v>158</v>
      </c>
      <c r="Y119" s="30" t="s">
        <v>771</v>
      </c>
      <c r="Z119" s="30" t="s">
        <v>1520</v>
      </c>
      <c r="AA119" s="30" t="s">
        <v>1521</v>
      </c>
      <c r="AB119" s="30" t="s">
        <v>1517</v>
      </c>
      <c r="AC119" s="30">
        <v>5697080</v>
      </c>
      <c r="AD119" s="30" t="s">
        <v>16</v>
      </c>
      <c r="AE119" s="30" t="s">
        <v>1522</v>
      </c>
      <c r="AF119" s="30" t="s">
        <v>16</v>
      </c>
      <c r="AG119" s="30" t="s">
        <v>1522</v>
      </c>
      <c r="AH119" s="33" t="s">
        <v>85</v>
      </c>
      <c r="AI119" s="30" t="s">
        <v>1530</v>
      </c>
      <c r="AJ119" s="30" t="s">
        <v>1531</v>
      </c>
      <c r="AK119" s="30" t="s">
        <v>171</v>
      </c>
      <c r="AL119" s="30" t="s">
        <v>157</v>
      </c>
      <c r="AM119" s="30">
        <v>10805</v>
      </c>
      <c r="AN119" s="30"/>
      <c r="AO119" s="30" t="s">
        <v>157</v>
      </c>
      <c r="AP119" s="30" t="s">
        <v>369</v>
      </c>
      <c r="AQ119" s="30" t="s">
        <v>225</v>
      </c>
      <c r="AR119" s="30" t="s">
        <v>1525</v>
      </c>
      <c r="AS119" s="30" t="s">
        <v>1526</v>
      </c>
      <c r="AT119" s="30" t="s">
        <v>1532</v>
      </c>
      <c r="AU119" s="30" t="s">
        <v>276</v>
      </c>
      <c r="AV119" s="30"/>
      <c r="AW119" s="30" t="s">
        <v>1528</v>
      </c>
      <c r="AX119" s="30"/>
      <c r="AY119" s="30"/>
      <c r="AZ119" s="30"/>
      <c r="BA119" s="30"/>
      <c r="BB119" s="30">
        <v>85104676</v>
      </c>
      <c r="BC119" s="30" t="s">
        <v>180</v>
      </c>
      <c r="BD119" s="30" t="s">
        <v>181</v>
      </c>
      <c r="BE119" s="30" t="s">
        <v>1012</v>
      </c>
      <c r="BF119" s="30" t="s">
        <v>229</v>
      </c>
      <c r="BG119" s="30" t="s">
        <v>230</v>
      </c>
      <c r="BH119" s="30" t="s">
        <v>231</v>
      </c>
      <c r="BI119" s="30" t="s">
        <v>258</v>
      </c>
      <c r="BJ119" s="30" t="s">
        <v>157</v>
      </c>
      <c r="BK119" s="30"/>
      <c r="BL119" s="30" t="s">
        <v>848</v>
      </c>
      <c r="BM119" s="30"/>
      <c r="BN119" s="30" t="s">
        <v>186</v>
      </c>
      <c r="BO119" s="30" t="s">
        <v>1529</v>
      </c>
    </row>
    <row r="120" spans="1:67" s="3" customFormat="1" hidden="1">
      <c r="A120" s="30">
        <v>92</v>
      </c>
      <c r="B120" s="30" t="s">
        <v>152</v>
      </c>
      <c r="C120" s="30" t="s">
        <v>153</v>
      </c>
      <c r="D120" s="30" t="s">
        <v>1510</v>
      </c>
      <c r="E120" s="30" t="s">
        <v>1511</v>
      </c>
      <c r="F120" s="30" t="s">
        <v>1512</v>
      </c>
      <c r="G120" s="30" t="s">
        <v>1513</v>
      </c>
      <c r="H120" s="30" t="s">
        <v>1514</v>
      </c>
      <c r="I120" s="30" t="s">
        <v>1515</v>
      </c>
      <c r="J120" s="30"/>
      <c r="K120" s="30" t="s">
        <v>16</v>
      </c>
      <c r="L120" s="30" t="s">
        <v>313</v>
      </c>
      <c r="M120" s="30" t="s">
        <v>1516</v>
      </c>
      <c r="N120" s="30" t="s">
        <v>157</v>
      </c>
      <c r="O120" s="30"/>
      <c r="P120" s="30"/>
      <c r="Q120" s="30" t="s">
        <v>1517</v>
      </c>
      <c r="R120" s="30" t="s">
        <v>16</v>
      </c>
      <c r="S120" s="30" t="s">
        <v>1518</v>
      </c>
      <c r="T120" s="30" t="s">
        <v>217</v>
      </c>
      <c r="U120" s="30" t="s">
        <v>1519</v>
      </c>
      <c r="V120" s="30" t="s">
        <v>164</v>
      </c>
      <c r="W120" s="30" t="s">
        <v>690</v>
      </c>
      <c r="X120" s="30" t="s">
        <v>158</v>
      </c>
      <c r="Y120" s="30" t="s">
        <v>771</v>
      </c>
      <c r="Z120" s="30" t="s">
        <v>1520</v>
      </c>
      <c r="AA120" s="30" t="s">
        <v>1521</v>
      </c>
      <c r="AB120" s="30" t="s">
        <v>1517</v>
      </c>
      <c r="AC120" s="30">
        <v>5697080</v>
      </c>
      <c r="AD120" s="30" t="s">
        <v>16</v>
      </c>
      <c r="AE120" s="30" t="s">
        <v>1522</v>
      </c>
      <c r="AF120" s="30" t="s">
        <v>16</v>
      </c>
      <c r="AG120" s="30" t="s">
        <v>1522</v>
      </c>
      <c r="AH120" s="33" t="s">
        <v>85</v>
      </c>
      <c r="AI120" s="30" t="s">
        <v>1533</v>
      </c>
      <c r="AJ120" s="30" t="s">
        <v>1534</v>
      </c>
      <c r="AK120" s="30" t="s">
        <v>171</v>
      </c>
      <c r="AL120" s="30" t="s">
        <v>157</v>
      </c>
      <c r="AM120" s="30">
        <v>1460.2</v>
      </c>
      <c r="AN120" s="30"/>
      <c r="AO120" s="30" t="s">
        <v>157</v>
      </c>
      <c r="AP120" s="30" t="s">
        <v>369</v>
      </c>
      <c r="AQ120" s="30" t="s">
        <v>225</v>
      </c>
      <c r="AR120" s="30" t="s">
        <v>1525</v>
      </c>
      <c r="AS120" s="30" t="s">
        <v>1526</v>
      </c>
      <c r="AT120" s="30" t="s">
        <v>1535</v>
      </c>
      <c r="AU120" s="30" t="s">
        <v>276</v>
      </c>
      <c r="AV120" s="30"/>
      <c r="AW120" s="30" t="s">
        <v>1528</v>
      </c>
      <c r="AX120" s="30"/>
      <c r="AY120" s="30"/>
      <c r="AZ120" s="30"/>
      <c r="BA120" s="30"/>
      <c r="BB120" s="30">
        <v>85104676</v>
      </c>
      <c r="BC120" s="30" t="s">
        <v>180</v>
      </c>
      <c r="BD120" s="30" t="s">
        <v>181</v>
      </c>
      <c r="BE120" s="30" t="s">
        <v>1012</v>
      </c>
      <c r="BF120" s="30" t="s">
        <v>229</v>
      </c>
      <c r="BG120" s="30" t="s">
        <v>230</v>
      </c>
      <c r="BH120" s="30" t="s">
        <v>231</v>
      </c>
      <c r="BI120" s="30" t="s">
        <v>258</v>
      </c>
      <c r="BJ120" s="30" t="s">
        <v>157</v>
      </c>
      <c r="BK120" s="30"/>
      <c r="BL120" s="30" t="s">
        <v>848</v>
      </c>
      <c r="BM120" s="30"/>
      <c r="BN120" s="30" t="s">
        <v>186</v>
      </c>
      <c r="BO120" s="30" t="s">
        <v>1529</v>
      </c>
    </row>
    <row r="121" spans="1:67" s="3" customFormat="1" hidden="1">
      <c r="A121" s="30">
        <v>93</v>
      </c>
      <c r="B121" s="30" t="s">
        <v>152</v>
      </c>
      <c r="C121" s="30" t="s">
        <v>153</v>
      </c>
      <c r="D121" s="30" t="s">
        <v>1510</v>
      </c>
      <c r="E121" s="30" t="s">
        <v>1511</v>
      </c>
      <c r="F121" s="30" t="s">
        <v>1512</v>
      </c>
      <c r="G121" s="30" t="s">
        <v>1513</v>
      </c>
      <c r="H121" s="30" t="s">
        <v>1514</v>
      </c>
      <c r="I121" s="30" t="s">
        <v>1515</v>
      </c>
      <c r="J121" s="30"/>
      <c r="K121" s="30" t="s">
        <v>16</v>
      </c>
      <c r="L121" s="30" t="s">
        <v>313</v>
      </c>
      <c r="M121" s="30" t="s">
        <v>1516</v>
      </c>
      <c r="N121" s="30" t="s">
        <v>157</v>
      </c>
      <c r="O121" s="30"/>
      <c r="P121" s="30"/>
      <c r="Q121" s="30" t="s">
        <v>1517</v>
      </c>
      <c r="R121" s="30" t="s">
        <v>16</v>
      </c>
      <c r="S121" s="30" t="s">
        <v>1518</v>
      </c>
      <c r="T121" s="30" t="s">
        <v>217</v>
      </c>
      <c r="U121" s="30" t="s">
        <v>1519</v>
      </c>
      <c r="V121" s="30" t="s">
        <v>164</v>
      </c>
      <c r="W121" s="30" t="s">
        <v>690</v>
      </c>
      <c r="X121" s="30" t="s">
        <v>158</v>
      </c>
      <c r="Y121" s="30" t="s">
        <v>771</v>
      </c>
      <c r="Z121" s="30" t="s">
        <v>1520</v>
      </c>
      <c r="AA121" s="30" t="s">
        <v>1521</v>
      </c>
      <c r="AB121" s="30" t="s">
        <v>1517</v>
      </c>
      <c r="AC121" s="30">
        <v>5697080</v>
      </c>
      <c r="AD121" s="30" t="s">
        <v>16</v>
      </c>
      <c r="AE121" s="30" t="s">
        <v>1522</v>
      </c>
      <c r="AF121" s="30" t="s">
        <v>16</v>
      </c>
      <c r="AG121" s="30" t="s">
        <v>1522</v>
      </c>
      <c r="AH121" s="33" t="s">
        <v>85</v>
      </c>
      <c r="AI121" s="30" t="s">
        <v>1536</v>
      </c>
      <c r="AJ121" s="30" t="s">
        <v>1537</v>
      </c>
      <c r="AK121" s="30" t="s">
        <v>171</v>
      </c>
      <c r="AL121" s="30" t="s">
        <v>157</v>
      </c>
      <c r="AM121" s="30">
        <v>9574.9</v>
      </c>
      <c r="AN121" s="30"/>
      <c r="AO121" s="30" t="s">
        <v>157</v>
      </c>
      <c r="AP121" s="30" t="s">
        <v>369</v>
      </c>
      <c r="AQ121" s="30" t="s">
        <v>225</v>
      </c>
      <c r="AR121" s="30" t="s">
        <v>1525</v>
      </c>
      <c r="AS121" s="30" t="s">
        <v>1526</v>
      </c>
      <c r="AT121" s="30" t="s">
        <v>1538</v>
      </c>
      <c r="AU121" s="30" t="s">
        <v>276</v>
      </c>
      <c r="AV121" s="30"/>
      <c r="AW121" s="30" t="s">
        <v>1528</v>
      </c>
      <c r="AX121" s="30"/>
      <c r="AY121" s="30"/>
      <c r="AZ121" s="30"/>
      <c r="BA121" s="30"/>
      <c r="BB121" s="30">
        <v>85104676</v>
      </c>
      <c r="BC121" s="30" t="s">
        <v>180</v>
      </c>
      <c r="BD121" s="30" t="s">
        <v>181</v>
      </c>
      <c r="BE121" s="30" t="s">
        <v>1012</v>
      </c>
      <c r="BF121" s="30" t="s">
        <v>229</v>
      </c>
      <c r="BG121" s="30" t="s">
        <v>230</v>
      </c>
      <c r="BH121" s="30" t="s">
        <v>231</v>
      </c>
      <c r="BI121" s="30" t="s">
        <v>258</v>
      </c>
      <c r="BJ121" s="30" t="s">
        <v>157</v>
      </c>
      <c r="BK121" s="30"/>
      <c r="BL121" s="30" t="s">
        <v>848</v>
      </c>
      <c r="BM121" s="30"/>
      <c r="BN121" s="30" t="s">
        <v>186</v>
      </c>
      <c r="BO121" s="30" t="s">
        <v>1529</v>
      </c>
    </row>
    <row r="122" spans="1:67" s="3" customFormat="1" hidden="1">
      <c r="A122" s="30">
        <v>22</v>
      </c>
      <c r="B122" s="30" t="s">
        <v>152</v>
      </c>
      <c r="C122" s="30" t="s">
        <v>153</v>
      </c>
      <c r="D122" s="30" t="s">
        <v>1539</v>
      </c>
      <c r="E122" s="30" t="s">
        <v>1540</v>
      </c>
      <c r="F122" s="30" t="s">
        <v>403</v>
      </c>
      <c r="G122" s="30" t="s">
        <v>1541</v>
      </c>
      <c r="H122" s="30" t="s">
        <v>1542</v>
      </c>
      <c r="I122" s="30"/>
      <c r="J122" s="30" t="s">
        <v>330</v>
      </c>
      <c r="K122" s="30" t="s">
        <v>16</v>
      </c>
      <c r="L122" s="30" t="s">
        <v>212</v>
      </c>
      <c r="M122" s="30" t="s">
        <v>240</v>
      </c>
      <c r="N122" s="30" t="s">
        <v>406</v>
      </c>
      <c r="O122" s="30"/>
      <c r="P122" s="30"/>
      <c r="Q122" s="30" t="s">
        <v>1539</v>
      </c>
      <c r="R122" s="30" t="s">
        <v>16</v>
      </c>
      <c r="S122" s="30" t="s">
        <v>1543</v>
      </c>
      <c r="T122" s="30" t="s">
        <v>162</v>
      </c>
      <c r="U122" s="30" t="s">
        <v>1544</v>
      </c>
      <c r="V122" s="30" t="s">
        <v>164</v>
      </c>
      <c r="W122" s="30" t="s">
        <v>244</v>
      </c>
      <c r="X122" s="30" t="s">
        <v>330</v>
      </c>
      <c r="Y122" s="30" t="s">
        <v>597</v>
      </c>
      <c r="Z122" s="30" t="s">
        <v>335</v>
      </c>
      <c r="AA122" s="30" t="s">
        <v>168</v>
      </c>
      <c r="AB122" s="30" t="s">
        <v>1539</v>
      </c>
      <c r="AC122" s="30">
        <v>5691157</v>
      </c>
      <c r="AD122" s="30" t="s">
        <v>16</v>
      </c>
      <c r="AE122" s="30" t="s">
        <v>1545</v>
      </c>
      <c r="AF122" s="30" t="s">
        <v>16</v>
      </c>
      <c r="AG122" s="30" t="s">
        <v>1546</v>
      </c>
      <c r="AH122" s="33" t="s">
        <v>83</v>
      </c>
      <c r="AI122" s="30" t="s">
        <v>1547</v>
      </c>
      <c r="AJ122" s="30" t="s">
        <v>415</v>
      </c>
      <c r="AK122" s="30" t="s">
        <v>171</v>
      </c>
      <c r="AL122" s="30" t="s">
        <v>157</v>
      </c>
      <c r="AM122" s="30">
        <v>1700</v>
      </c>
      <c r="AN122" s="30"/>
      <c r="AO122" s="30" t="s">
        <v>403</v>
      </c>
      <c r="AP122" s="30" t="s">
        <v>173</v>
      </c>
      <c r="AQ122" s="30" t="s">
        <v>274</v>
      </c>
      <c r="AR122" s="30"/>
      <c r="AS122" s="30" t="s">
        <v>1548</v>
      </c>
      <c r="AT122" s="30"/>
      <c r="AU122" s="30" t="s">
        <v>295</v>
      </c>
      <c r="AV122" s="30"/>
      <c r="AW122" s="30" t="s">
        <v>1549</v>
      </c>
      <c r="AX122" s="30"/>
      <c r="AY122" s="30"/>
      <c r="AZ122" s="30"/>
      <c r="BA122" s="30"/>
      <c r="BB122" s="30">
        <v>66742087</v>
      </c>
      <c r="BC122" s="30" t="s">
        <v>180</v>
      </c>
      <c r="BD122" s="30" t="s">
        <v>255</v>
      </c>
      <c r="BE122" s="30" t="s">
        <v>256</v>
      </c>
      <c r="BF122" s="30" t="s">
        <v>257</v>
      </c>
      <c r="BG122" s="30" t="s">
        <v>230</v>
      </c>
      <c r="BH122" s="30" t="s">
        <v>280</v>
      </c>
      <c r="BI122" s="30" t="s">
        <v>180</v>
      </c>
      <c r="BJ122" s="30" t="s">
        <v>157</v>
      </c>
      <c r="BK122" s="30"/>
      <c r="BL122" s="30"/>
      <c r="BM122" s="30"/>
      <c r="BN122" s="30" t="s">
        <v>186</v>
      </c>
      <c r="BO122" s="30" t="s">
        <v>240</v>
      </c>
    </row>
    <row r="123" spans="1:67" s="3" customFormat="1" hidden="1">
      <c r="A123" s="30">
        <v>50</v>
      </c>
      <c r="B123" s="30" t="s">
        <v>152</v>
      </c>
      <c r="C123" s="30" t="s">
        <v>153</v>
      </c>
      <c r="D123" s="30" t="s">
        <v>1539</v>
      </c>
      <c r="E123" s="30" t="s">
        <v>1550</v>
      </c>
      <c r="F123" s="30" t="s">
        <v>403</v>
      </c>
      <c r="G123" s="30" t="s">
        <v>1551</v>
      </c>
      <c r="H123" s="30" t="s">
        <v>1552</v>
      </c>
      <c r="I123" s="30"/>
      <c r="J123" s="30" t="s">
        <v>330</v>
      </c>
      <c r="K123" s="30" t="s">
        <v>16</v>
      </c>
      <c r="L123" s="30" t="s">
        <v>212</v>
      </c>
      <c r="M123" s="30" t="s">
        <v>240</v>
      </c>
      <c r="N123" s="30" t="s">
        <v>406</v>
      </c>
      <c r="O123" s="30"/>
      <c r="P123" s="30"/>
      <c r="Q123" s="30" t="s">
        <v>1539</v>
      </c>
      <c r="R123" s="30" t="s">
        <v>16</v>
      </c>
      <c r="S123" s="30" t="s">
        <v>1553</v>
      </c>
      <c r="T123" s="30" t="s">
        <v>162</v>
      </c>
      <c r="U123" s="30" t="s">
        <v>1554</v>
      </c>
      <c r="V123" s="30" t="s">
        <v>164</v>
      </c>
      <c r="W123" s="30" t="s">
        <v>244</v>
      </c>
      <c r="X123" s="30" t="s">
        <v>330</v>
      </c>
      <c r="Y123" s="30" t="s">
        <v>597</v>
      </c>
      <c r="Z123" s="30" t="s">
        <v>335</v>
      </c>
      <c r="AA123" s="30" t="s">
        <v>168</v>
      </c>
      <c r="AB123" s="30" t="s">
        <v>1539</v>
      </c>
      <c r="AC123" s="30">
        <v>5709422</v>
      </c>
      <c r="AD123" s="30" t="s">
        <v>16</v>
      </c>
      <c r="AE123" s="30" t="s">
        <v>1555</v>
      </c>
      <c r="AF123" s="30" t="s">
        <v>16</v>
      </c>
      <c r="AG123" s="30" t="s">
        <v>1556</v>
      </c>
      <c r="AH123" s="33" t="s">
        <v>83</v>
      </c>
      <c r="AI123" s="30" t="s">
        <v>1557</v>
      </c>
      <c r="AJ123" s="30" t="s">
        <v>415</v>
      </c>
      <c r="AK123" s="30" t="s">
        <v>171</v>
      </c>
      <c r="AL123" s="30" t="s">
        <v>157</v>
      </c>
      <c r="AM123" s="30">
        <v>3400</v>
      </c>
      <c r="AN123" s="30"/>
      <c r="AO123" s="30" t="s">
        <v>403</v>
      </c>
      <c r="AP123" s="30" t="s">
        <v>173</v>
      </c>
      <c r="AQ123" s="30" t="s">
        <v>225</v>
      </c>
      <c r="AR123" s="30"/>
      <c r="AS123" s="30" t="s">
        <v>1548</v>
      </c>
      <c r="AT123" s="30"/>
      <c r="AU123" s="30" t="s">
        <v>1196</v>
      </c>
      <c r="AV123" s="30"/>
      <c r="AW123" s="30" t="s">
        <v>1558</v>
      </c>
      <c r="AX123" s="30"/>
      <c r="AY123" s="30"/>
      <c r="AZ123" s="30"/>
      <c r="BA123" s="30"/>
      <c r="BB123" s="30">
        <v>66742087</v>
      </c>
      <c r="BC123" s="30" t="s">
        <v>180</v>
      </c>
      <c r="BD123" s="30" t="s">
        <v>255</v>
      </c>
      <c r="BE123" s="30" t="s">
        <v>256</v>
      </c>
      <c r="BF123" s="30" t="s">
        <v>683</v>
      </c>
      <c r="BG123" s="30" t="s">
        <v>230</v>
      </c>
      <c r="BH123" s="30" t="s">
        <v>280</v>
      </c>
      <c r="BI123" s="30" t="s">
        <v>258</v>
      </c>
      <c r="BJ123" s="30" t="s">
        <v>157</v>
      </c>
      <c r="BK123" s="30"/>
      <c r="BL123" s="30"/>
      <c r="BM123" s="30"/>
      <c r="BN123" s="30" t="s">
        <v>186</v>
      </c>
      <c r="BO123" s="30" t="s">
        <v>240</v>
      </c>
    </row>
    <row r="124" spans="1:67" s="3" customFormat="1" hidden="1">
      <c r="A124" s="30">
        <v>70</v>
      </c>
      <c r="B124" s="30" t="s">
        <v>152</v>
      </c>
      <c r="C124" s="30" t="s">
        <v>153</v>
      </c>
      <c r="D124" s="30" t="s">
        <v>1559</v>
      </c>
      <c r="E124" s="30" t="s">
        <v>1560</v>
      </c>
      <c r="F124" s="30" t="s">
        <v>403</v>
      </c>
      <c r="G124" s="30" t="s">
        <v>1561</v>
      </c>
      <c r="H124" s="30" t="s">
        <v>1562</v>
      </c>
      <c r="I124" s="30"/>
      <c r="J124" s="30" t="s">
        <v>239</v>
      </c>
      <c r="K124" s="30" t="s">
        <v>16</v>
      </c>
      <c r="L124" s="30" t="s">
        <v>212</v>
      </c>
      <c r="M124" s="30" t="s">
        <v>240</v>
      </c>
      <c r="N124" s="30" t="s">
        <v>406</v>
      </c>
      <c r="O124" s="30"/>
      <c r="P124" s="30"/>
      <c r="Q124" s="30" t="s">
        <v>1559</v>
      </c>
      <c r="R124" s="30" t="s">
        <v>16</v>
      </c>
      <c r="S124" s="30" t="s">
        <v>1563</v>
      </c>
      <c r="T124" s="30" t="s">
        <v>162</v>
      </c>
      <c r="U124" s="30" t="s">
        <v>1564</v>
      </c>
      <c r="V124" s="30" t="s">
        <v>164</v>
      </c>
      <c r="W124" s="30" t="s">
        <v>244</v>
      </c>
      <c r="X124" s="30" t="s">
        <v>239</v>
      </c>
      <c r="Y124" s="30" t="s">
        <v>460</v>
      </c>
      <c r="Z124" s="30" t="s">
        <v>461</v>
      </c>
      <c r="AA124" s="30" t="s">
        <v>462</v>
      </c>
      <c r="AB124" s="30" t="s">
        <v>1559</v>
      </c>
      <c r="AC124" s="30">
        <v>5730555</v>
      </c>
      <c r="AD124" s="30" t="s">
        <v>16</v>
      </c>
      <c r="AE124" s="30" t="s">
        <v>1565</v>
      </c>
      <c r="AF124" s="30" t="s">
        <v>16</v>
      </c>
      <c r="AG124" s="30" t="s">
        <v>1566</v>
      </c>
      <c r="AH124" s="33" t="s">
        <v>83</v>
      </c>
      <c r="AI124" s="30" t="s">
        <v>1567</v>
      </c>
      <c r="AJ124" s="30" t="s">
        <v>415</v>
      </c>
      <c r="AK124" s="30" t="s">
        <v>171</v>
      </c>
      <c r="AL124" s="30" t="s">
        <v>157</v>
      </c>
      <c r="AM124" s="30">
        <v>3200</v>
      </c>
      <c r="AN124" s="30"/>
      <c r="AO124" s="30" t="s">
        <v>403</v>
      </c>
      <c r="AP124" s="30" t="s">
        <v>173</v>
      </c>
      <c r="AQ124" s="30" t="s">
        <v>225</v>
      </c>
      <c r="AR124" s="30"/>
      <c r="AS124" s="30" t="s">
        <v>1568</v>
      </c>
      <c r="AT124" s="30"/>
      <c r="AU124" s="30" t="s">
        <v>433</v>
      </c>
      <c r="AV124" s="30"/>
      <c r="AW124" s="30" t="s">
        <v>1569</v>
      </c>
      <c r="AX124" s="30"/>
      <c r="AY124" s="30"/>
      <c r="AZ124" s="30"/>
      <c r="BA124" s="30"/>
      <c r="BB124" s="30">
        <v>68417998</v>
      </c>
      <c r="BC124" s="30" t="s">
        <v>180</v>
      </c>
      <c r="BD124" s="30" t="s">
        <v>255</v>
      </c>
      <c r="BE124" s="30" t="s">
        <v>256</v>
      </c>
      <c r="BF124" s="30" t="s">
        <v>257</v>
      </c>
      <c r="BG124" s="30" t="s">
        <v>230</v>
      </c>
      <c r="BH124" s="30" t="s">
        <v>231</v>
      </c>
      <c r="BI124" s="30" t="s">
        <v>258</v>
      </c>
      <c r="BJ124" s="30" t="s">
        <v>157</v>
      </c>
      <c r="BK124" s="30"/>
      <c r="BL124" s="30"/>
      <c r="BM124" s="30"/>
      <c r="BN124" s="30"/>
      <c r="BO124" s="30" t="s">
        <v>240</v>
      </c>
    </row>
    <row r="125" spans="1:67" s="3" customFormat="1" hidden="1">
      <c r="A125" s="30">
        <v>76</v>
      </c>
      <c r="B125" s="30" t="s">
        <v>152</v>
      </c>
      <c r="C125" s="30" t="s">
        <v>153</v>
      </c>
      <c r="D125" s="30" t="s">
        <v>1570</v>
      </c>
      <c r="E125" s="30" t="s">
        <v>1571</v>
      </c>
      <c r="F125" s="30" t="s">
        <v>283</v>
      </c>
      <c r="G125" s="30" t="s">
        <v>1572</v>
      </c>
      <c r="H125" s="30" t="s">
        <v>1190</v>
      </c>
      <c r="I125" s="30"/>
      <c r="J125" s="30" t="s">
        <v>239</v>
      </c>
      <c r="K125" s="30" t="s">
        <v>9</v>
      </c>
      <c r="L125" s="30" t="s">
        <v>212</v>
      </c>
      <c r="M125" s="30" t="s">
        <v>240</v>
      </c>
      <c r="N125" s="30" t="s">
        <v>286</v>
      </c>
      <c r="O125" s="30"/>
      <c r="P125" s="30"/>
      <c r="Q125" s="30" t="s">
        <v>1570</v>
      </c>
      <c r="R125" s="30" t="s">
        <v>9</v>
      </c>
      <c r="S125" s="30" t="s">
        <v>1573</v>
      </c>
      <c r="T125" s="30" t="s">
        <v>162</v>
      </c>
      <c r="U125" s="30" t="s">
        <v>1574</v>
      </c>
      <c r="V125" s="30" t="s">
        <v>164</v>
      </c>
      <c r="W125" s="30" t="s">
        <v>244</v>
      </c>
      <c r="X125" s="30" t="s">
        <v>239</v>
      </c>
      <c r="Y125" s="30" t="s">
        <v>1575</v>
      </c>
      <c r="Z125" s="30" t="s">
        <v>1576</v>
      </c>
      <c r="AA125" s="30" t="s">
        <v>1577</v>
      </c>
      <c r="AB125" s="30" t="s">
        <v>1570</v>
      </c>
      <c r="AC125" s="30">
        <v>5704273</v>
      </c>
      <c r="AD125" s="30" t="s">
        <v>9</v>
      </c>
      <c r="AE125" s="30" t="s">
        <v>1578</v>
      </c>
      <c r="AF125" s="30" t="s">
        <v>9</v>
      </c>
      <c r="AG125" s="30" t="s">
        <v>1579</v>
      </c>
      <c r="AH125" s="33" t="s">
        <v>83</v>
      </c>
      <c r="AI125" s="30" t="s">
        <v>1580</v>
      </c>
      <c r="AJ125" s="30" t="s">
        <v>415</v>
      </c>
      <c r="AK125" s="30" t="s">
        <v>171</v>
      </c>
      <c r="AL125" s="30" t="s">
        <v>157</v>
      </c>
      <c r="AM125" s="30">
        <v>6150</v>
      </c>
      <c r="AN125" s="30"/>
      <c r="AO125" s="30" t="s">
        <v>283</v>
      </c>
      <c r="AP125" s="30" t="s">
        <v>173</v>
      </c>
      <c r="AQ125" s="30" t="s">
        <v>225</v>
      </c>
      <c r="AR125" s="30"/>
      <c r="AS125" s="30" t="s">
        <v>1581</v>
      </c>
      <c r="AT125" s="30"/>
      <c r="AU125" s="30" t="s">
        <v>253</v>
      </c>
      <c r="AV125" s="30"/>
      <c r="AW125" s="30" t="s">
        <v>1582</v>
      </c>
      <c r="AX125" s="30"/>
      <c r="AY125" s="30"/>
      <c r="AZ125" s="30"/>
      <c r="BA125" s="30"/>
      <c r="BB125" s="30">
        <v>80754759</v>
      </c>
      <c r="BC125" s="30" t="s">
        <v>180</v>
      </c>
      <c r="BD125" s="30" t="s">
        <v>255</v>
      </c>
      <c r="BE125" s="30" t="s">
        <v>256</v>
      </c>
      <c r="BF125" s="30" t="s">
        <v>257</v>
      </c>
      <c r="BG125" s="30" t="s">
        <v>230</v>
      </c>
      <c r="BH125" s="30" t="s">
        <v>184</v>
      </c>
      <c r="BI125" s="30" t="s">
        <v>258</v>
      </c>
      <c r="BJ125" s="30" t="s">
        <v>157</v>
      </c>
      <c r="BK125" s="30"/>
      <c r="BL125" s="30"/>
      <c r="BM125" s="30"/>
      <c r="BN125" s="30"/>
      <c r="BO125" s="30" t="s">
        <v>240</v>
      </c>
    </row>
    <row r="126" spans="1:67" s="3" customFormat="1" hidden="1">
      <c r="A126" s="30">
        <v>77</v>
      </c>
      <c r="B126" s="30" t="s">
        <v>152</v>
      </c>
      <c r="C126" s="30" t="s">
        <v>153</v>
      </c>
      <c r="D126" s="30" t="s">
        <v>1570</v>
      </c>
      <c r="E126" s="30" t="s">
        <v>1571</v>
      </c>
      <c r="F126" s="30" t="s">
        <v>283</v>
      </c>
      <c r="G126" s="30" t="s">
        <v>1572</v>
      </c>
      <c r="H126" s="30" t="s">
        <v>1190</v>
      </c>
      <c r="I126" s="30"/>
      <c r="J126" s="30" t="s">
        <v>239</v>
      </c>
      <c r="K126" s="30" t="s">
        <v>9</v>
      </c>
      <c r="L126" s="30" t="s">
        <v>212</v>
      </c>
      <c r="M126" s="30" t="s">
        <v>240</v>
      </c>
      <c r="N126" s="30" t="s">
        <v>286</v>
      </c>
      <c r="O126" s="30"/>
      <c r="P126" s="30"/>
      <c r="Q126" s="30" t="s">
        <v>1570</v>
      </c>
      <c r="R126" s="30" t="s">
        <v>9</v>
      </c>
      <c r="S126" s="30" t="s">
        <v>1573</v>
      </c>
      <c r="T126" s="30" t="s">
        <v>162</v>
      </c>
      <c r="U126" s="30" t="s">
        <v>1574</v>
      </c>
      <c r="V126" s="30" t="s">
        <v>164</v>
      </c>
      <c r="W126" s="30" t="s">
        <v>244</v>
      </c>
      <c r="X126" s="30" t="s">
        <v>239</v>
      </c>
      <c r="Y126" s="30" t="s">
        <v>1575</v>
      </c>
      <c r="Z126" s="30" t="s">
        <v>1576</v>
      </c>
      <c r="AA126" s="30" t="s">
        <v>1577</v>
      </c>
      <c r="AB126" s="31" t="s">
        <v>1570</v>
      </c>
      <c r="AC126" s="30">
        <v>5575456</v>
      </c>
      <c r="AD126" s="30" t="s">
        <v>16</v>
      </c>
      <c r="AE126" s="30" t="s">
        <v>1578</v>
      </c>
      <c r="AF126" s="30" t="s">
        <v>9</v>
      </c>
      <c r="AG126" s="30" t="s">
        <v>1579</v>
      </c>
      <c r="AH126" s="33" t="s">
        <v>83</v>
      </c>
      <c r="AI126" s="30"/>
      <c r="AJ126" s="30"/>
      <c r="AK126" s="30" t="s">
        <v>171</v>
      </c>
      <c r="AL126" s="30" t="s">
        <v>157</v>
      </c>
      <c r="AM126" s="30">
        <v>6150</v>
      </c>
      <c r="AN126" s="30"/>
      <c r="AO126" s="30" t="s">
        <v>283</v>
      </c>
      <c r="AP126" s="30" t="s">
        <v>201</v>
      </c>
      <c r="AQ126" s="30" t="s">
        <v>225</v>
      </c>
      <c r="AR126" s="30"/>
      <c r="AS126" s="30" t="s">
        <v>1581</v>
      </c>
      <c r="AT126" s="30"/>
      <c r="AU126" s="30"/>
      <c r="AV126" s="30"/>
      <c r="AW126" s="30" t="s">
        <v>1582</v>
      </c>
      <c r="AX126" s="30"/>
      <c r="AY126" s="30"/>
      <c r="AZ126" s="30"/>
      <c r="BA126" s="30"/>
      <c r="BB126" s="30">
        <v>80754759</v>
      </c>
      <c r="BC126" s="30" t="s">
        <v>180</v>
      </c>
      <c r="BD126" s="30" t="s">
        <v>255</v>
      </c>
      <c r="BE126" s="30" t="s">
        <v>256</v>
      </c>
      <c r="BF126" s="30" t="s">
        <v>257</v>
      </c>
      <c r="BG126" s="30" t="s">
        <v>230</v>
      </c>
      <c r="BH126" s="30" t="s">
        <v>184</v>
      </c>
      <c r="BI126" s="30" t="s">
        <v>180</v>
      </c>
      <c r="BJ126" s="30" t="s">
        <v>157</v>
      </c>
      <c r="BK126" s="30"/>
      <c r="BL126" s="30"/>
      <c r="BM126" s="30"/>
      <c r="BN126" s="30"/>
      <c r="BO126" s="30" t="s">
        <v>240</v>
      </c>
    </row>
    <row r="127" spans="1:67" s="3" customFormat="1" hidden="1">
      <c r="A127" s="30">
        <v>116</v>
      </c>
      <c r="B127" s="30" t="s">
        <v>152</v>
      </c>
      <c r="C127" s="30" t="s">
        <v>153</v>
      </c>
      <c r="D127" s="30" t="s">
        <v>1583</v>
      </c>
      <c r="E127" s="30" t="s">
        <v>1584</v>
      </c>
      <c r="F127" s="30" t="s">
        <v>283</v>
      </c>
      <c r="G127" s="30" t="s">
        <v>1585</v>
      </c>
      <c r="H127" s="30" t="s">
        <v>1586</v>
      </c>
      <c r="I127" s="30"/>
      <c r="J127" s="30" t="s">
        <v>239</v>
      </c>
      <c r="K127" s="30" t="s">
        <v>9</v>
      </c>
      <c r="L127" s="30" t="s">
        <v>212</v>
      </c>
      <c r="M127" s="30" t="s">
        <v>240</v>
      </c>
      <c r="N127" s="30" t="s">
        <v>286</v>
      </c>
      <c r="O127" s="30"/>
      <c r="P127" s="30"/>
      <c r="Q127" s="30" t="s">
        <v>1583</v>
      </c>
      <c r="R127" s="30" t="s">
        <v>9</v>
      </c>
      <c r="S127" s="30" t="s">
        <v>1587</v>
      </c>
      <c r="T127" s="30" t="s">
        <v>162</v>
      </c>
      <c r="U127" s="30" t="s">
        <v>1588</v>
      </c>
      <c r="V127" s="30" t="s">
        <v>164</v>
      </c>
      <c r="W127" s="30" t="s">
        <v>244</v>
      </c>
      <c r="X127" s="30" t="s">
        <v>239</v>
      </c>
      <c r="Y127" s="30" t="s">
        <v>1589</v>
      </c>
      <c r="Z127" s="30" t="s">
        <v>1590</v>
      </c>
      <c r="AA127" s="30" t="s">
        <v>1591</v>
      </c>
      <c r="AB127" s="30" t="s">
        <v>1583</v>
      </c>
      <c r="AC127" s="30">
        <v>5666494</v>
      </c>
      <c r="AD127" s="30" t="s">
        <v>9</v>
      </c>
      <c r="AE127" s="30" t="s">
        <v>1592</v>
      </c>
      <c r="AF127" s="30" t="s">
        <v>9</v>
      </c>
      <c r="AG127" s="30" t="s">
        <v>1593</v>
      </c>
      <c r="AH127" s="33" t="s">
        <v>83</v>
      </c>
      <c r="AI127" s="30" t="s">
        <v>1594</v>
      </c>
      <c r="AJ127" s="30" t="s">
        <v>464</v>
      </c>
      <c r="AK127" s="30" t="s">
        <v>171</v>
      </c>
      <c r="AL127" s="30" t="s">
        <v>157</v>
      </c>
      <c r="AM127" s="30">
        <v>13200</v>
      </c>
      <c r="AN127" s="30"/>
      <c r="AO127" s="30" t="s">
        <v>283</v>
      </c>
      <c r="AP127" s="30" t="s">
        <v>173</v>
      </c>
      <c r="AQ127" s="30" t="s">
        <v>225</v>
      </c>
      <c r="AR127" s="30"/>
      <c r="AS127" s="30" t="s">
        <v>1595</v>
      </c>
      <c r="AT127" s="30"/>
      <c r="AU127" s="30" t="s">
        <v>178</v>
      </c>
      <c r="AV127" s="30"/>
      <c r="AW127" s="30" t="s">
        <v>1596</v>
      </c>
      <c r="AX127" s="30"/>
      <c r="AY127" s="30"/>
      <c r="AZ127" s="30"/>
      <c r="BA127" s="30"/>
      <c r="BB127" s="30">
        <v>47066009</v>
      </c>
      <c r="BC127" s="30" t="s">
        <v>180</v>
      </c>
      <c r="BD127" s="30" t="s">
        <v>255</v>
      </c>
      <c r="BE127" s="30" t="s">
        <v>256</v>
      </c>
      <c r="BF127" s="30" t="s">
        <v>257</v>
      </c>
      <c r="BG127" s="30" t="s">
        <v>230</v>
      </c>
      <c r="BH127" s="30" t="s">
        <v>630</v>
      </c>
      <c r="BI127" s="30" t="s">
        <v>258</v>
      </c>
      <c r="BJ127" s="30" t="s">
        <v>157</v>
      </c>
      <c r="BK127" s="30"/>
      <c r="BL127" s="30"/>
      <c r="BM127" s="30"/>
      <c r="BN127" s="30"/>
      <c r="BO127" s="30" t="s">
        <v>240</v>
      </c>
    </row>
    <row r="128" spans="1:67" s="3" customFormat="1" hidden="1">
      <c r="A128" s="30">
        <v>33</v>
      </c>
      <c r="B128" s="30" t="s">
        <v>152</v>
      </c>
      <c r="C128" s="30" t="s">
        <v>153</v>
      </c>
      <c r="D128" s="30" t="s">
        <v>1597</v>
      </c>
      <c r="E128" s="30" t="s">
        <v>1598</v>
      </c>
      <c r="F128" s="30" t="s">
        <v>877</v>
      </c>
      <c r="G128" s="30" t="s">
        <v>1599</v>
      </c>
      <c r="H128" s="30" t="s">
        <v>1600</v>
      </c>
      <c r="I128" s="30"/>
      <c r="J128" s="30" t="s">
        <v>86</v>
      </c>
      <c r="K128" s="30" t="s">
        <v>16</v>
      </c>
      <c r="L128" s="30" t="s">
        <v>212</v>
      </c>
      <c r="M128" s="30" t="s">
        <v>240</v>
      </c>
      <c r="N128" s="30" t="s">
        <v>880</v>
      </c>
      <c r="O128" s="30"/>
      <c r="P128" s="30"/>
      <c r="Q128" s="30" t="s">
        <v>1597</v>
      </c>
      <c r="R128" s="30" t="s">
        <v>16</v>
      </c>
      <c r="S128" s="30" t="s">
        <v>1601</v>
      </c>
      <c r="T128" s="30" t="s">
        <v>162</v>
      </c>
      <c r="U128" s="30" t="s">
        <v>1602</v>
      </c>
      <c r="V128" s="30" t="s">
        <v>164</v>
      </c>
      <c r="W128" s="30" t="s">
        <v>244</v>
      </c>
      <c r="X128" s="30" t="s">
        <v>86</v>
      </c>
      <c r="Y128" s="30" t="s">
        <v>1603</v>
      </c>
      <c r="Z128" s="30" t="s">
        <v>1604</v>
      </c>
      <c r="AA128" s="30" t="s">
        <v>1605</v>
      </c>
      <c r="AB128" s="30" t="s">
        <v>1597</v>
      </c>
      <c r="AC128" s="30">
        <v>5666408</v>
      </c>
      <c r="AD128" s="30" t="s">
        <v>16</v>
      </c>
      <c r="AE128" s="30" t="s">
        <v>1606</v>
      </c>
      <c r="AF128" s="30"/>
      <c r="AG128" s="30"/>
      <c r="AH128" s="33" t="s">
        <v>83</v>
      </c>
      <c r="AI128" s="30" t="s">
        <v>1607</v>
      </c>
      <c r="AJ128" s="30" t="s">
        <v>415</v>
      </c>
      <c r="AK128" s="30"/>
      <c r="AL128" s="30" t="s">
        <v>157</v>
      </c>
      <c r="AM128" s="30">
        <v>3400</v>
      </c>
      <c r="AN128" s="30"/>
      <c r="AO128" s="30" t="s">
        <v>877</v>
      </c>
      <c r="AP128" s="30" t="s">
        <v>173</v>
      </c>
      <c r="AQ128" s="30" t="s">
        <v>274</v>
      </c>
      <c r="AR128" s="30"/>
      <c r="AS128" s="30" t="s">
        <v>1608</v>
      </c>
      <c r="AT128" s="30"/>
      <c r="AU128" s="30" t="s">
        <v>1118</v>
      </c>
      <c r="AV128" s="30"/>
      <c r="AW128" s="30" t="s">
        <v>1609</v>
      </c>
      <c r="AX128" s="30"/>
      <c r="AY128" s="30"/>
      <c r="AZ128" s="30"/>
      <c r="BA128" s="30"/>
      <c r="BB128" s="30">
        <v>71056417</v>
      </c>
      <c r="BC128" s="30" t="s">
        <v>180</v>
      </c>
      <c r="BD128" s="30" t="s">
        <v>255</v>
      </c>
      <c r="BE128" s="30" t="s">
        <v>256</v>
      </c>
      <c r="BF128" s="30" t="s">
        <v>229</v>
      </c>
      <c r="BG128" s="30" t="s">
        <v>230</v>
      </c>
      <c r="BH128" s="30" t="s">
        <v>280</v>
      </c>
      <c r="BI128" s="30" t="s">
        <v>180</v>
      </c>
      <c r="BJ128" s="30"/>
      <c r="BK128" s="30"/>
      <c r="BL128" s="30"/>
      <c r="BM128" s="30"/>
      <c r="BN128" s="30"/>
      <c r="BO128" s="30" t="s">
        <v>240</v>
      </c>
    </row>
    <row r="129" spans="1:67" s="3" customFormat="1" hidden="1">
      <c r="A129" s="30">
        <v>112</v>
      </c>
      <c r="B129" s="30" t="s">
        <v>152</v>
      </c>
      <c r="C129" s="30" t="s">
        <v>153</v>
      </c>
      <c r="D129" s="30" t="s">
        <v>1610</v>
      </c>
      <c r="E129" s="30" t="s">
        <v>1611</v>
      </c>
      <c r="F129" s="30" t="s">
        <v>283</v>
      </c>
      <c r="G129" s="30" t="s">
        <v>1612</v>
      </c>
      <c r="H129" s="30" t="s">
        <v>1613</v>
      </c>
      <c r="I129" s="30"/>
      <c r="J129" s="30" t="s">
        <v>86</v>
      </c>
      <c r="K129" s="30" t="s">
        <v>16</v>
      </c>
      <c r="L129" s="30" t="s">
        <v>212</v>
      </c>
      <c r="M129" s="30" t="s">
        <v>240</v>
      </c>
      <c r="N129" s="30" t="s">
        <v>286</v>
      </c>
      <c r="O129" s="30"/>
      <c r="P129" s="30"/>
      <c r="Q129" s="30" t="s">
        <v>1610</v>
      </c>
      <c r="R129" s="30" t="s">
        <v>16</v>
      </c>
      <c r="S129" s="30" t="s">
        <v>1614</v>
      </c>
      <c r="T129" s="30" t="s">
        <v>162</v>
      </c>
      <c r="U129" s="30" t="s">
        <v>1615</v>
      </c>
      <c r="V129" s="30" t="s">
        <v>164</v>
      </c>
      <c r="W129" s="30" t="s">
        <v>244</v>
      </c>
      <c r="X129" s="30" t="s">
        <v>86</v>
      </c>
      <c r="Y129" s="30" t="s">
        <v>553</v>
      </c>
      <c r="Z129" s="30" t="s">
        <v>554</v>
      </c>
      <c r="AA129" s="30" t="s">
        <v>555</v>
      </c>
      <c r="AB129" s="30" t="s">
        <v>1610</v>
      </c>
      <c r="AC129" s="30">
        <v>5667208</v>
      </c>
      <c r="AD129" s="30" t="s">
        <v>16</v>
      </c>
      <c r="AE129" s="30" t="s">
        <v>1616</v>
      </c>
      <c r="AF129" s="30" t="s">
        <v>16</v>
      </c>
      <c r="AG129" s="30" t="s">
        <v>1617</v>
      </c>
      <c r="AH129" s="33" t="s">
        <v>83</v>
      </c>
      <c r="AI129" s="30" t="s">
        <v>1618</v>
      </c>
      <c r="AJ129" s="30" t="s">
        <v>464</v>
      </c>
      <c r="AK129" s="30" t="s">
        <v>171</v>
      </c>
      <c r="AL129" s="30" t="s">
        <v>157</v>
      </c>
      <c r="AM129" s="30">
        <v>29400</v>
      </c>
      <c r="AN129" s="30"/>
      <c r="AO129" s="30" t="s">
        <v>283</v>
      </c>
      <c r="AP129" s="30" t="s">
        <v>173</v>
      </c>
      <c r="AQ129" s="30" t="s">
        <v>225</v>
      </c>
      <c r="AR129" s="30"/>
      <c r="AS129" s="30" t="s">
        <v>1619</v>
      </c>
      <c r="AT129" s="30"/>
      <c r="AU129" s="30" t="s">
        <v>1365</v>
      </c>
      <c r="AV129" s="30"/>
      <c r="AW129" s="30" t="s">
        <v>1620</v>
      </c>
      <c r="AX129" s="30"/>
      <c r="AY129" s="30"/>
      <c r="AZ129" s="30"/>
      <c r="BA129" s="30"/>
      <c r="BB129" s="30">
        <v>65119367</v>
      </c>
      <c r="BC129" s="30" t="s">
        <v>180</v>
      </c>
      <c r="BD129" s="30" t="s">
        <v>255</v>
      </c>
      <c r="BE129" s="30" t="s">
        <v>256</v>
      </c>
      <c r="BF129" s="30" t="s">
        <v>683</v>
      </c>
      <c r="BG129" s="30" t="s">
        <v>230</v>
      </c>
      <c r="BH129" s="30" t="s">
        <v>184</v>
      </c>
      <c r="BI129" s="30" t="s">
        <v>258</v>
      </c>
      <c r="BJ129" s="30" t="s">
        <v>157</v>
      </c>
      <c r="BK129" s="30"/>
      <c r="BL129" s="30"/>
      <c r="BM129" s="30"/>
      <c r="BN129" s="30"/>
      <c r="BO129" s="30" t="s">
        <v>240</v>
      </c>
    </row>
    <row r="130" spans="1:67" s="3" customFormat="1" hidden="1">
      <c r="A130" s="30">
        <v>114</v>
      </c>
      <c r="B130" s="30" t="s">
        <v>152</v>
      </c>
      <c r="C130" s="30" t="s">
        <v>153</v>
      </c>
      <c r="D130" s="30" t="s">
        <v>354</v>
      </c>
      <c r="E130" s="30" t="s">
        <v>1621</v>
      </c>
      <c r="F130" s="30" t="s">
        <v>208</v>
      </c>
      <c r="G130" s="30" t="s">
        <v>1622</v>
      </c>
      <c r="H130" s="30" t="s">
        <v>1318</v>
      </c>
      <c r="I130" s="30" t="s">
        <v>157</v>
      </c>
      <c r="J130" s="30" t="s">
        <v>330</v>
      </c>
      <c r="K130" s="30" t="s">
        <v>16</v>
      </c>
      <c r="L130" s="30" t="s">
        <v>212</v>
      </c>
      <c r="M130" s="30" t="s">
        <v>441</v>
      </c>
      <c r="N130" s="30" t="s">
        <v>1318</v>
      </c>
      <c r="O130" s="30"/>
      <c r="P130" s="30"/>
      <c r="Q130" s="30" t="s">
        <v>1623</v>
      </c>
      <c r="R130" s="30" t="s">
        <v>16</v>
      </c>
      <c r="S130" s="30" t="s">
        <v>1624</v>
      </c>
      <c r="T130" s="30" t="s">
        <v>162</v>
      </c>
      <c r="U130" s="30" t="s">
        <v>1615</v>
      </c>
      <c r="V130" s="30" t="s">
        <v>164</v>
      </c>
      <c r="W130" s="30" t="s">
        <v>244</v>
      </c>
      <c r="X130" s="30" t="s">
        <v>330</v>
      </c>
      <c r="Y130" s="30" t="s">
        <v>334</v>
      </c>
      <c r="Z130" s="30" t="s">
        <v>1625</v>
      </c>
      <c r="AA130" s="30" t="s">
        <v>1142</v>
      </c>
      <c r="AB130" s="30" t="s">
        <v>1623</v>
      </c>
      <c r="AC130" s="30">
        <v>5572541</v>
      </c>
      <c r="AD130" s="30" t="s">
        <v>16</v>
      </c>
      <c r="AE130" s="30" t="s">
        <v>1626</v>
      </c>
      <c r="AF130" s="30" t="s">
        <v>16</v>
      </c>
      <c r="AG130" s="30" t="s">
        <v>1627</v>
      </c>
      <c r="AH130" s="33" t="s">
        <v>83</v>
      </c>
      <c r="AI130" s="30" t="s">
        <v>1628</v>
      </c>
      <c r="AJ130" s="30" t="s">
        <v>415</v>
      </c>
      <c r="AK130" s="30" t="s">
        <v>171</v>
      </c>
      <c r="AL130" s="30" t="s">
        <v>157</v>
      </c>
      <c r="AM130" s="30">
        <v>9000</v>
      </c>
      <c r="AN130" s="30"/>
      <c r="AO130" s="30" t="s">
        <v>1318</v>
      </c>
      <c r="AP130" s="30" t="s">
        <v>173</v>
      </c>
      <c r="AQ130" s="30" t="s">
        <v>225</v>
      </c>
      <c r="AR130" s="30"/>
      <c r="AS130" s="30" t="s">
        <v>1629</v>
      </c>
      <c r="AT130" s="30"/>
      <c r="AU130" s="30" t="s">
        <v>1365</v>
      </c>
      <c r="AV130" s="30"/>
      <c r="AW130" s="30" t="s">
        <v>1630</v>
      </c>
      <c r="AX130" s="30"/>
      <c r="AY130" s="30"/>
      <c r="AZ130" s="30"/>
      <c r="BA130" s="30"/>
      <c r="BB130" s="30">
        <v>49614893</v>
      </c>
      <c r="BC130" s="30" t="s">
        <v>180</v>
      </c>
      <c r="BD130" s="30" t="s">
        <v>255</v>
      </c>
      <c r="BE130" s="30" t="s">
        <v>256</v>
      </c>
      <c r="BF130" s="30" t="s">
        <v>229</v>
      </c>
      <c r="BG130" s="30" t="s">
        <v>230</v>
      </c>
      <c r="BH130" s="30" t="s">
        <v>231</v>
      </c>
      <c r="BI130" s="30" t="s">
        <v>258</v>
      </c>
      <c r="BJ130" s="30" t="s">
        <v>157</v>
      </c>
      <c r="BK130" s="30"/>
      <c r="BL130" s="30"/>
      <c r="BM130" s="30"/>
      <c r="BN130" s="30" t="s">
        <v>186</v>
      </c>
      <c r="BO130" s="30" t="s">
        <v>233</v>
      </c>
    </row>
    <row r="131" spans="1:67" s="3" customFormat="1" hidden="1">
      <c r="A131" s="30">
        <v>24</v>
      </c>
      <c r="B131" s="30" t="s">
        <v>152</v>
      </c>
      <c r="C131" s="30" t="s">
        <v>153</v>
      </c>
      <c r="D131" s="30"/>
      <c r="E131" s="30" t="s">
        <v>1631</v>
      </c>
      <c r="F131" s="30"/>
      <c r="G131" s="30" t="s">
        <v>1632</v>
      </c>
      <c r="H131" s="30" t="s">
        <v>1633</v>
      </c>
      <c r="I131" s="30"/>
      <c r="J131" s="30" t="s">
        <v>354</v>
      </c>
      <c r="K131" s="30" t="s">
        <v>16</v>
      </c>
      <c r="L131" s="30" t="s">
        <v>525</v>
      </c>
      <c r="M131" s="30" t="s">
        <v>1019</v>
      </c>
      <c r="N131" s="30"/>
      <c r="O131" s="30"/>
      <c r="P131" s="30"/>
      <c r="Q131" s="30" t="s">
        <v>1634</v>
      </c>
      <c r="R131" s="30" t="s">
        <v>16</v>
      </c>
      <c r="S131" s="30" t="s">
        <v>1635</v>
      </c>
      <c r="T131" s="30" t="s">
        <v>162</v>
      </c>
      <c r="U131" s="30" t="s">
        <v>1636</v>
      </c>
      <c r="V131" s="30" t="s">
        <v>164</v>
      </c>
      <c r="W131" s="30" t="s">
        <v>1473</v>
      </c>
      <c r="X131" s="30" t="s">
        <v>158</v>
      </c>
      <c r="Y131" s="30" t="s">
        <v>622</v>
      </c>
      <c r="Z131" s="30" t="s">
        <v>719</v>
      </c>
      <c r="AA131" s="30" t="s">
        <v>720</v>
      </c>
      <c r="AB131" s="30" t="s">
        <v>1634</v>
      </c>
      <c r="AC131" s="30">
        <v>5692540</v>
      </c>
      <c r="AD131" s="30" t="s">
        <v>16</v>
      </c>
      <c r="AE131" s="30" t="s">
        <v>1636</v>
      </c>
      <c r="AF131" s="30" t="s">
        <v>16</v>
      </c>
      <c r="AG131" s="30" t="s">
        <v>1636</v>
      </c>
      <c r="AH131" s="33" t="s">
        <v>85</v>
      </c>
      <c r="AI131" s="30" t="s">
        <v>849</v>
      </c>
      <c r="AJ131" s="30" t="s">
        <v>850</v>
      </c>
      <c r="AK131" s="30" t="s">
        <v>171</v>
      </c>
      <c r="AL131" s="30" t="s">
        <v>157</v>
      </c>
      <c r="AM131" s="30">
        <v>3891.1</v>
      </c>
      <c r="AN131" s="30" t="s">
        <v>172</v>
      </c>
      <c r="AO131" s="30" t="s">
        <v>157</v>
      </c>
      <c r="AP131" s="30" t="s">
        <v>173</v>
      </c>
      <c r="AQ131" s="30" t="s">
        <v>174</v>
      </c>
      <c r="AR131" s="30" t="s">
        <v>175</v>
      </c>
      <c r="AS131" s="30" t="s">
        <v>1637</v>
      </c>
      <c r="AT131" s="30" t="s">
        <v>1638</v>
      </c>
      <c r="AU131" s="30" t="s">
        <v>1082</v>
      </c>
      <c r="AV131" s="30"/>
      <c r="AW131" s="30" t="s">
        <v>1639</v>
      </c>
      <c r="AX131" s="30"/>
      <c r="AY131" s="30"/>
      <c r="AZ131" s="30"/>
      <c r="BA131" s="30"/>
      <c r="BB131" s="30">
        <v>67848549</v>
      </c>
      <c r="BC131" s="30" t="s">
        <v>180</v>
      </c>
      <c r="BD131" s="30" t="s">
        <v>255</v>
      </c>
      <c r="BE131" s="30" t="s">
        <v>1640</v>
      </c>
      <c r="BF131" s="30" t="s">
        <v>1641</v>
      </c>
      <c r="BG131" s="30"/>
      <c r="BH131" s="30" t="s">
        <v>630</v>
      </c>
      <c r="BI131" s="30" t="s">
        <v>180</v>
      </c>
      <c r="BJ131" s="30" t="s">
        <v>157</v>
      </c>
      <c r="BK131" s="30"/>
      <c r="BL131" s="30" t="s">
        <v>185</v>
      </c>
      <c r="BM131" s="30"/>
      <c r="BN131" s="30" t="s">
        <v>186</v>
      </c>
      <c r="BO131" s="30"/>
    </row>
    <row r="132" spans="1:67" s="3" customFormat="1" hidden="1">
      <c r="A132" s="30">
        <v>124</v>
      </c>
      <c r="B132" s="30" t="s">
        <v>152</v>
      </c>
      <c r="C132" s="30" t="s">
        <v>153</v>
      </c>
      <c r="D132" s="30" t="s">
        <v>1642</v>
      </c>
      <c r="E132" s="30" t="s">
        <v>1643</v>
      </c>
      <c r="F132" s="30" t="s">
        <v>1644</v>
      </c>
      <c r="G132" s="30" t="s">
        <v>1645</v>
      </c>
      <c r="H132" s="30" t="s">
        <v>1646</v>
      </c>
      <c r="I132" s="30"/>
      <c r="J132" s="30" t="s">
        <v>239</v>
      </c>
      <c r="K132" s="30" t="s">
        <v>9</v>
      </c>
      <c r="L132" s="30" t="s">
        <v>212</v>
      </c>
      <c r="M132" s="30" t="s">
        <v>240</v>
      </c>
      <c r="N132" s="30" t="s">
        <v>1647</v>
      </c>
      <c r="O132" s="30"/>
      <c r="P132" s="30"/>
      <c r="Q132" s="30" t="s">
        <v>1642</v>
      </c>
      <c r="R132" s="30" t="s">
        <v>9</v>
      </c>
      <c r="S132" s="30" t="s">
        <v>1648</v>
      </c>
      <c r="T132" s="30" t="s">
        <v>162</v>
      </c>
      <c r="U132" s="30" t="s">
        <v>1649</v>
      </c>
      <c r="V132" s="30" t="s">
        <v>164</v>
      </c>
      <c r="W132" s="30" t="s">
        <v>244</v>
      </c>
      <c r="X132" s="30" t="s">
        <v>239</v>
      </c>
      <c r="Y132" s="30" t="s">
        <v>622</v>
      </c>
      <c r="Z132" s="30" t="s">
        <v>1650</v>
      </c>
      <c r="AA132" s="30" t="s">
        <v>1651</v>
      </c>
      <c r="AB132" s="30" t="s">
        <v>1642</v>
      </c>
      <c r="AC132" s="30">
        <v>5571761</v>
      </c>
      <c r="AD132" s="30" t="s">
        <v>9</v>
      </c>
      <c r="AE132" s="30" t="s">
        <v>1652</v>
      </c>
      <c r="AF132" s="30" t="s">
        <v>9</v>
      </c>
      <c r="AG132" s="30" t="s">
        <v>1653</v>
      </c>
      <c r="AH132" s="33" t="s">
        <v>85</v>
      </c>
      <c r="AI132" s="30" t="s">
        <v>1654</v>
      </c>
      <c r="AJ132" s="30" t="s">
        <v>340</v>
      </c>
      <c r="AK132" s="30" t="s">
        <v>171</v>
      </c>
      <c r="AL132" s="30" t="s">
        <v>157</v>
      </c>
      <c r="AM132" s="30">
        <v>5400</v>
      </c>
      <c r="AN132" s="30"/>
      <c r="AO132" s="30" t="s">
        <v>1644</v>
      </c>
      <c r="AP132" s="30" t="s">
        <v>173</v>
      </c>
      <c r="AQ132" s="30" t="s">
        <v>225</v>
      </c>
      <c r="AR132" s="30"/>
      <c r="AS132" s="30" t="s">
        <v>1655</v>
      </c>
      <c r="AT132" s="30"/>
      <c r="AU132" s="30" t="s">
        <v>325</v>
      </c>
      <c r="AV132" s="30"/>
      <c r="AW132" s="30" t="s">
        <v>1656</v>
      </c>
      <c r="AX132" s="30"/>
      <c r="AY132" s="30"/>
      <c r="AZ132" s="30"/>
      <c r="BA132" s="30"/>
      <c r="BB132" s="30">
        <v>50562573</v>
      </c>
      <c r="BC132" s="30" t="s">
        <v>180</v>
      </c>
      <c r="BD132" s="30" t="s">
        <v>255</v>
      </c>
      <c r="BE132" s="30" t="s">
        <v>256</v>
      </c>
      <c r="BF132" s="30" t="s">
        <v>257</v>
      </c>
      <c r="BG132" s="30" t="s">
        <v>230</v>
      </c>
      <c r="BH132" s="30" t="s">
        <v>916</v>
      </c>
      <c r="BI132" s="30" t="s">
        <v>258</v>
      </c>
      <c r="BJ132" s="30" t="s">
        <v>157</v>
      </c>
      <c r="BK132" s="30"/>
      <c r="BL132" s="30"/>
      <c r="BM132" s="30"/>
      <c r="BN132" s="30"/>
      <c r="BO132" s="30" t="s">
        <v>240</v>
      </c>
    </row>
    <row r="133" spans="1:67" s="3" customFormat="1" hidden="1">
      <c r="A133" s="30">
        <v>71</v>
      </c>
      <c r="B133" s="30" t="s">
        <v>152</v>
      </c>
      <c r="C133" s="30" t="s">
        <v>153</v>
      </c>
      <c r="D133" s="30" t="s">
        <v>1657</v>
      </c>
      <c r="E133" s="30" t="s">
        <v>1658</v>
      </c>
      <c r="F133" s="30" t="s">
        <v>283</v>
      </c>
      <c r="G133" s="30" t="s">
        <v>1659</v>
      </c>
      <c r="H133" s="30" t="s">
        <v>1660</v>
      </c>
      <c r="I133" s="30"/>
      <c r="J133" s="30" t="s">
        <v>330</v>
      </c>
      <c r="K133" s="30" t="s">
        <v>21</v>
      </c>
      <c r="L133" s="30" t="s">
        <v>212</v>
      </c>
      <c r="M133" s="30" t="s">
        <v>240</v>
      </c>
      <c r="N133" s="30" t="s">
        <v>286</v>
      </c>
      <c r="O133" s="30"/>
      <c r="P133" s="30"/>
      <c r="Q133" s="30" t="s">
        <v>1657</v>
      </c>
      <c r="R133" s="30" t="s">
        <v>21</v>
      </c>
      <c r="S133" s="30" t="s">
        <v>1661</v>
      </c>
      <c r="T133" s="30" t="s">
        <v>162</v>
      </c>
      <c r="U133" s="30" t="s">
        <v>1662</v>
      </c>
      <c r="V133" s="30" t="s">
        <v>164</v>
      </c>
      <c r="W133" s="30" t="s">
        <v>1663</v>
      </c>
      <c r="X133" s="30" t="s">
        <v>330</v>
      </c>
      <c r="Y133" s="30" t="s">
        <v>1664</v>
      </c>
      <c r="Z133" s="30" t="s">
        <v>363</v>
      </c>
      <c r="AA133" s="30" t="s">
        <v>1665</v>
      </c>
      <c r="AB133" s="30" t="s">
        <v>1657</v>
      </c>
      <c r="AC133" s="30">
        <v>5704727</v>
      </c>
      <c r="AD133" s="30" t="s">
        <v>21</v>
      </c>
      <c r="AE133" s="30" t="s">
        <v>1666</v>
      </c>
      <c r="AF133" s="30" t="s">
        <v>21</v>
      </c>
      <c r="AG133" s="30" t="s">
        <v>1667</v>
      </c>
      <c r="AH133" s="33" t="s">
        <v>83</v>
      </c>
      <c r="AI133" s="30" t="s">
        <v>1668</v>
      </c>
      <c r="AJ133" s="30" t="s">
        <v>415</v>
      </c>
      <c r="AK133" s="30" t="s">
        <v>171</v>
      </c>
      <c r="AL133" s="30" t="s">
        <v>157</v>
      </c>
      <c r="AM133" s="30">
        <v>5100</v>
      </c>
      <c r="AN133" s="30"/>
      <c r="AO133" s="30" t="s">
        <v>283</v>
      </c>
      <c r="AP133" s="30" t="s">
        <v>173</v>
      </c>
      <c r="AQ133" s="30" t="s">
        <v>225</v>
      </c>
      <c r="AR133" s="30"/>
      <c r="AS133" s="30" t="s">
        <v>1669</v>
      </c>
      <c r="AT133" s="30"/>
      <c r="AU133" s="30" t="s">
        <v>433</v>
      </c>
      <c r="AV133" s="30"/>
      <c r="AW133" s="30" t="s">
        <v>1670</v>
      </c>
      <c r="AX133" s="30"/>
      <c r="AY133" s="30"/>
      <c r="AZ133" s="30"/>
      <c r="BA133" s="30"/>
      <c r="BB133" s="30">
        <v>84671282</v>
      </c>
      <c r="BC133" s="30" t="s">
        <v>180</v>
      </c>
      <c r="BD133" s="30" t="s">
        <v>255</v>
      </c>
      <c r="BE133" s="30" t="s">
        <v>256</v>
      </c>
      <c r="BF133" s="30" t="s">
        <v>257</v>
      </c>
      <c r="BG133" s="30" t="s">
        <v>230</v>
      </c>
      <c r="BH133" s="30" t="s">
        <v>184</v>
      </c>
      <c r="BI133" s="30" t="s">
        <v>258</v>
      </c>
      <c r="BJ133" s="30" t="s">
        <v>157</v>
      </c>
      <c r="BK133" s="30"/>
      <c r="BL133" s="30"/>
      <c r="BM133" s="30"/>
      <c r="BN133" s="30" t="s">
        <v>186</v>
      </c>
      <c r="BO133" s="30" t="s">
        <v>240</v>
      </c>
    </row>
    <row r="134" spans="1:67" s="3" customFormat="1" hidden="1">
      <c r="A134" s="30">
        <v>57</v>
      </c>
      <c r="B134" s="30" t="s">
        <v>152</v>
      </c>
      <c r="C134" s="30" t="s">
        <v>153</v>
      </c>
      <c r="D134" s="30" t="s">
        <v>1671</v>
      </c>
      <c r="E134" s="30" t="s">
        <v>1672</v>
      </c>
      <c r="F134" s="30" t="s">
        <v>1673</v>
      </c>
      <c r="G134" s="30" t="s">
        <v>1674</v>
      </c>
      <c r="H134" s="30" t="s">
        <v>1675</v>
      </c>
      <c r="I134" s="30"/>
      <c r="J134" s="30" t="s">
        <v>330</v>
      </c>
      <c r="K134" s="30" t="s">
        <v>9</v>
      </c>
      <c r="L134" s="30" t="s">
        <v>212</v>
      </c>
      <c r="M134" s="30" t="s">
        <v>240</v>
      </c>
      <c r="N134" s="30" t="s">
        <v>1676</v>
      </c>
      <c r="O134" s="30"/>
      <c r="P134" s="30"/>
      <c r="Q134" s="30" t="s">
        <v>1671</v>
      </c>
      <c r="R134" s="30" t="s">
        <v>9</v>
      </c>
      <c r="S134" s="30" t="s">
        <v>1677</v>
      </c>
      <c r="T134" s="30" t="s">
        <v>162</v>
      </c>
      <c r="U134" s="30" t="s">
        <v>1678</v>
      </c>
      <c r="V134" s="30" t="s">
        <v>164</v>
      </c>
      <c r="W134" s="30" t="s">
        <v>244</v>
      </c>
      <c r="X134" s="30" t="s">
        <v>330</v>
      </c>
      <c r="Y134" s="30" t="s">
        <v>1679</v>
      </c>
      <c r="Z134" s="30" t="s">
        <v>1680</v>
      </c>
      <c r="AA134" s="30" t="s">
        <v>720</v>
      </c>
      <c r="AB134" s="30" t="s">
        <v>1671</v>
      </c>
      <c r="AC134" s="30">
        <v>5707793</v>
      </c>
      <c r="AD134" s="30" t="s">
        <v>9</v>
      </c>
      <c r="AE134" s="30" t="s">
        <v>1681</v>
      </c>
      <c r="AF134" s="30" t="s">
        <v>9</v>
      </c>
      <c r="AG134" s="30" t="s">
        <v>1682</v>
      </c>
      <c r="AH134" s="33" t="s">
        <v>85</v>
      </c>
      <c r="AI134" s="30" t="s">
        <v>1683</v>
      </c>
      <c r="AJ134" s="30" t="s">
        <v>1156</v>
      </c>
      <c r="AK134" s="30" t="s">
        <v>171</v>
      </c>
      <c r="AL134" s="30" t="s">
        <v>157</v>
      </c>
      <c r="AM134" s="30">
        <v>23000</v>
      </c>
      <c r="AN134" s="30"/>
      <c r="AO134" s="30" t="s">
        <v>1673</v>
      </c>
      <c r="AP134" s="30" t="s">
        <v>173</v>
      </c>
      <c r="AQ134" s="30" t="s">
        <v>225</v>
      </c>
      <c r="AR134" s="30"/>
      <c r="AS134" s="30" t="s">
        <v>1684</v>
      </c>
      <c r="AT134" s="30"/>
      <c r="AU134" s="30" t="s">
        <v>493</v>
      </c>
      <c r="AV134" s="30"/>
      <c r="AW134" s="30" t="s">
        <v>1685</v>
      </c>
      <c r="AX134" s="30"/>
      <c r="AY134" s="30"/>
      <c r="AZ134" s="30"/>
      <c r="BA134" s="30"/>
      <c r="BB134" s="30">
        <v>62712654</v>
      </c>
      <c r="BC134" s="30" t="s">
        <v>180</v>
      </c>
      <c r="BD134" s="30" t="s">
        <v>255</v>
      </c>
      <c r="BE134" s="30" t="s">
        <v>256</v>
      </c>
      <c r="BF134" s="30" t="s">
        <v>257</v>
      </c>
      <c r="BG134" s="30" t="s">
        <v>230</v>
      </c>
      <c r="BH134" s="30" t="s">
        <v>539</v>
      </c>
      <c r="BI134" s="30" t="s">
        <v>258</v>
      </c>
      <c r="BJ134" s="30" t="s">
        <v>157</v>
      </c>
      <c r="BK134" s="30"/>
      <c r="BL134" s="30"/>
      <c r="BM134" s="30"/>
      <c r="BN134" s="30" t="s">
        <v>186</v>
      </c>
      <c r="BO134" s="30" t="s">
        <v>240</v>
      </c>
    </row>
    <row r="135" spans="1:67" s="3" customFormat="1" hidden="1">
      <c r="A135" s="30">
        <v>58</v>
      </c>
      <c r="B135" s="30" t="s">
        <v>152</v>
      </c>
      <c r="C135" s="30" t="s">
        <v>153</v>
      </c>
      <c r="D135" s="30" t="s">
        <v>1671</v>
      </c>
      <c r="E135" s="30" t="s">
        <v>1672</v>
      </c>
      <c r="F135" s="30" t="s">
        <v>1673</v>
      </c>
      <c r="G135" s="30" t="s">
        <v>1674</v>
      </c>
      <c r="H135" s="30" t="s">
        <v>1675</v>
      </c>
      <c r="I135" s="30"/>
      <c r="J135" s="30" t="s">
        <v>330</v>
      </c>
      <c r="K135" s="30" t="s">
        <v>9</v>
      </c>
      <c r="L135" s="30" t="s">
        <v>212</v>
      </c>
      <c r="M135" s="30" t="s">
        <v>240</v>
      </c>
      <c r="N135" s="30" t="s">
        <v>1676</v>
      </c>
      <c r="O135" s="30"/>
      <c r="P135" s="30"/>
      <c r="Q135" s="30" t="s">
        <v>1671</v>
      </c>
      <c r="R135" s="30" t="s">
        <v>9</v>
      </c>
      <c r="S135" s="30" t="s">
        <v>1677</v>
      </c>
      <c r="T135" s="30" t="s">
        <v>162</v>
      </c>
      <c r="U135" s="30" t="s">
        <v>1678</v>
      </c>
      <c r="V135" s="30" t="s">
        <v>164</v>
      </c>
      <c r="W135" s="30" t="s">
        <v>244</v>
      </c>
      <c r="X135" s="30" t="s">
        <v>330</v>
      </c>
      <c r="Y135" s="30" t="s">
        <v>1679</v>
      </c>
      <c r="Z135" s="30" t="s">
        <v>1680</v>
      </c>
      <c r="AA135" s="30" t="s">
        <v>720</v>
      </c>
      <c r="AB135" s="30" t="s">
        <v>1671</v>
      </c>
      <c r="AC135" s="30">
        <v>5707793</v>
      </c>
      <c r="AD135" s="30" t="s">
        <v>9</v>
      </c>
      <c r="AE135" s="30" t="s">
        <v>1681</v>
      </c>
      <c r="AF135" s="30" t="s">
        <v>9</v>
      </c>
      <c r="AG135" s="30" t="s">
        <v>1682</v>
      </c>
      <c r="AH135" s="33" t="s">
        <v>85</v>
      </c>
      <c r="AI135" s="30" t="s">
        <v>1686</v>
      </c>
      <c r="AJ135" s="30" t="s">
        <v>1687</v>
      </c>
      <c r="AK135" s="30" t="s">
        <v>171</v>
      </c>
      <c r="AL135" s="30" t="s">
        <v>157</v>
      </c>
      <c r="AM135" s="30">
        <v>17000</v>
      </c>
      <c r="AN135" s="30"/>
      <c r="AO135" s="30" t="s">
        <v>1673</v>
      </c>
      <c r="AP135" s="30" t="s">
        <v>173</v>
      </c>
      <c r="AQ135" s="30" t="s">
        <v>225</v>
      </c>
      <c r="AR135" s="30"/>
      <c r="AS135" s="30" t="s">
        <v>1684</v>
      </c>
      <c r="AT135" s="30"/>
      <c r="AU135" s="30" t="s">
        <v>493</v>
      </c>
      <c r="AV135" s="30"/>
      <c r="AW135" s="30" t="s">
        <v>1685</v>
      </c>
      <c r="AX135" s="30"/>
      <c r="AY135" s="30"/>
      <c r="AZ135" s="30"/>
      <c r="BA135" s="30"/>
      <c r="BB135" s="30">
        <v>62712654</v>
      </c>
      <c r="BC135" s="30" t="s">
        <v>180</v>
      </c>
      <c r="BD135" s="30" t="s">
        <v>255</v>
      </c>
      <c r="BE135" s="30" t="s">
        <v>256</v>
      </c>
      <c r="BF135" s="30" t="s">
        <v>257</v>
      </c>
      <c r="BG135" s="30" t="s">
        <v>230</v>
      </c>
      <c r="BH135" s="30" t="s">
        <v>539</v>
      </c>
      <c r="BI135" s="30" t="s">
        <v>258</v>
      </c>
      <c r="BJ135" s="30" t="s">
        <v>157</v>
      </c>
      <c r="BK135" s="30"/>
      <c r="BL135" s="30"/>
      <c r="BM135" s="30"/>
      <c r="BN135" s="30" t="s">
        <v>186</v>
      </c>
      <c r="BO135" s="30" t="s">
        <v>240</v>
      </c>
    </row>
    <row r="136" spans="1:67" s="3" customFormat="1" hidden="1">
      <c r="A136" s="30">
        <v>83</v>
      </c>
      <c r="B136" s="30" t="s">
        <v>152</v>
      </c>
      <c r="C136" s="30" t="s">
        <v>153</v>
      </c>
      <c r="D136" s="30" t="s">
        <v>1688</v>
      </c>
      <c r="E136" s="30" t="s">
        <v>1689</v>
      </c>
      <c r="F136" s="30" t="s">
        <v>1690</v>
      </c>
      <c r="G136" s="30" t="s">
        <v>1691</v>
      </c>
      <c r="H136" s="30" t="s">
        <v>1692</v>
      </c>
      <c r="I136" s="30" t="s">
        <v>157</v>
      </c>
      <c r="J136" s="30" t="s">
        <v>239</v>
      </c>
      <c r="K136" s="30" t="s">
        <v>16</v>
      </c>
      <c r="L136" s="30" t="s">
        <v>159</v>
      </c>
      <c r="M136" s="30" t="s">
        <v>159</v>
      </c>
      <c r="N136" s="30" t="s">
        <v>157</v>
      </c>
      <c r="O136" s="30"/>
      <c r="P136" s="30"/>
      <c r="Q136" s="30" t="s">
        <v>1688</v>
      </c>
      <c r="R136" s="30" t="s">
        <v>16</v>
      </c>
      <c r="S136" s="30" t="s">
        <v>1693</v>
      </c>
      <c r="T136" s="30" t="s">
        <v>217</v>
      </c>
      <c r="U136" s="30" t="s">
        <v>1694</v>
      </c>
      <c r="V136" s="30" t="s">
        <v>164</v>
      </c>
      <c r="W136" s="30" t="s">
        <v>1695</v>
      </c>
      <c r="X136" s="30" t="s">
        <v>239</v>
      </c>
      <c r="Y136" s="30" t="s">
        <v>530</v>
      </c>
      <c r="Z136" s="30" t="s">
        <v>1696</v>
      </c>
      <c r="AA136" s="30" t="s">
        <v>1697</v>
      </c>
      <c r="AB136" s="30" t="s">
        <v>1688</v>
      </c>
      <c r="AC136" s="30">
        <v>5702762</v>
      </c>
      <c r="AD136" s="30" t="s">
        <v>16</v>
      </c>
      <c r="AE136" s="30" t="s">
        <v>1698</v>
      </c>
      <c r="AF136" s="30" t="s">
        <v>16</v>
      </c>
      <c r="AG136" s="30" t="s">
        <v>1699</v>
      </c>
      <c r="AH136" s="33" t="s">
        <v>86</v>
      </c>
      <c r="AI136" s="30" t="s">
        <v>1700</v>
      </c>
      <c r="AJ136" s="30" t="s">
        <v>1701</v>
      </c>
      <c r="AK136" s="30" t="s">
        <v>171</v>
      </c>
      <c r="AL136" s="30" t="s">
        <v>157</v>
      </c>
      <c r="AM136" s="30">
        <v>65300</v>
      </c>
      <c r="AN136" s="30"/>
      <c r="AO136" s="30" t="s">
        <v>157</v>
      </c>
      <c r="AP136" s="30" t="s">
        <v>369</v>
      </c>
      <c r="AQ136" s="30" t="s">
        <v>225</v>
      </c>
      <c r="AR136" s="30"/>
      <c r="AS136" s="30" t="s">
        <v>1702</v>
      </c>
      <c r="AT136" s="30"/>
      <c r="AU136" s="30" t="s">
        <v>561</v>
      </c>
      <c r="AV136" s="30"/>
      <c r="AW136" s="30" t="s">
        <v>1703</v>
      </c>
      <c r="AX136" s="30"/>
      <c r="AY136" s="30"/>
      <c r="AZ136" s="30"/>
      <c r="BA136" s="30"/>
      <c r="BB136" s="30">
        <v>87515202</v>
      </c>
      <c r="BC136" s="30" t="s">
        <v>180</v>
      </c>
      <c r="BD136" s="30" t="s">
        <v>255</v>
      </c>
      <c r="BE136" s="30" t="s">
        <v>1704</v>
      </c>
      <c r="BF136" s="30" t="s">
        <v>399</v>
      </c>
      <c r="BG136" s="30"/>
      <c r="BH136" s="30" t="s">
        <v>539</v>
      </c>
      <c r="BI136" s="30" t="s">
        <v>258</v>
      </c>
      <c r="BJ136" s="30" t="s">
        <v>157</v>
      </c>
      <c r="BK136" s="30"/>
      <c r="BL136" s="30"/>
      <c r="BM136" s="30"/>
      <c r="BN136" s="30"/>
      <c r="BO136" s="30" t="s">
        <v>233</v>
      </c>
    </row>
    <row r="137" spans="1:67" s="3" customFormat="1" hidden="1">
      <c r="A137" s="30">
        <v>52</v>
      </c>
      <c r="B137" s="30" t="s">
        <v>152</v>
      </c>
      <c r="C137" s="30" t="s">
        <v>153</v>
      </c>
      <c r="D137" s="30" t="s">
        <v>354</v>
      </c>
      <c r="E137" s="30" t="s">
        <v>1705</v>
      </c>
      <c r="F137" s="30" t="s">
        <v>208</v>
      </c>
      <c r="G137" s="30" t="s">
        <v>1706</v>
      </c>
      <c r="H137" s="30" t="s">
        <v>1707</v>
      </c>
      <c r="I137" s="30" t="s">
        <v>157</v>
      </c>
      <c r="J137" s="30" t="s">
        <v>330</v>
      </c>
      <c r="K137" s="30" t="s">
        <v>16</v>
      </c>
      <c r="L137" s="30" t="s">
        <v>212</v>
      </c>
      <c r="M137" s="30" t="s">
        <v>441</v>
      </c>
      <c r="N137" s="30" t="s">
        <v>1708</v>
      </c>
      <c r="O137" s="30"/>
      <c r="P137" s="30"/>
      <c r="Q137" s="30" t="s">
        <v>1709</v>
      </c>
      <c r="R137" s="30" t="s">
        <v>16</v>
      </c>
      <c r="S137" s="30" t="s">
        <v>1710</v>
      </c>
      <c r="T137" s="30" t="s">
        <v>217</v>
      </c>
      <c r="U137" s="30" t="s">
        <v>1711</v>
      </c>
      <c r="V137" s="30" t="s">
        <v>164</v>
      </c>
      <c r="W137" s="30" t="s">
        <v>1356</v>
      </c>
      <c r="X137" s="30" t="s">
        <v>445</v>
      </c>
      <c r="Y137" s="30" t="s">
        <v>245</v>
      </c>
      <c r="Z137" s="30" t="s">
        <v>946</v>
      </c>
      <c r="AA137" s="30" t="s">
        <v>199</v>
      </c>
      <c r="AB137" s="30" t="s">
        <v>1709</v>
      </c>
      <c r="AC137" s="30">
        <v>5733774</v>
      </c>
      <c r="AD137" s="30" t="s">
        <v>16</v>
      </c>
      <c r="AE137" s="30" t="s">
        <v>1712</v>
      </c>
      <c r="AF137" s="30" t="s">
        <v>16</v>
      </c>
      <c r="AG137" s="30" t="s">
        <v>1713</v>
      </c>
      <c r="AH137" s="33" t="s">
        <v>87</v>
      </c>
      <c r="AI137" s="30" t="s">
        <v>1714</v>
      </c>
      <c r="AJ137" s="30" t="s">
        <v>1715</v>
      </c>
      <c r="AK137" s="30" t="s">
        <v>171</v>
      </c>
      <c r="AL137" s="30" t="s">
        <v>157</v>
      </c>
      <c r="AM137" s="30">
        <v>1495</v>
      </c>
      <c r="AN137" s="30"/>
      <c r="AO137" s="30" t="s">
        <v>1708</v>
      </c>
      <c r="AP137" s="30" t="s">
        <v>369</v>
      </c>
      <c r="AQ137" s="30" t="s">
        <v>225</v>
      </c>
      <c r="AR137" s="30" t="s">
        <v>842</v>
      </c>
      <c r="AS137" s="30" t="s">
        <v>1716</v>
      </c>
      <c r="AT137" s="30" t="s">
        <v>1717</v>
      </c>
      <c r="AU137" s="30" t="s">
        <v>493</v>
      </c>
      <c r="AV137" s="30"/>
      <c r="AW137" s="30" t="s">
        <v>1718</v>
      </c>
      <c r="AX137" s="30"/>
      <c r="AY137" s="30"/>
      <c r="AZ137" s="30"/>
      <c r="BA137" s="30"/>
      <c r="BB137" s="30">
        <v>87873140</v>
      </c>
      <c r="BC137" s="30" t="s">
        <v>180</v>
      </c>
      <c r="BD137" s="30" t="s">
        <v>1719</v>
      </c>
      <c r="BE137" s="30" t="s">
        <v>1715</v>
      </c>
      <c r="BF137" s="30" t="s">
        <v>157</v>
      </c>
      <c r="BG137" s="30"/>
      <c r="BH137" s="30" t="s">
        <v>184</v>
      </c>
      <c r="BI137" s="30" t="s">
        <v>258</v>
      </c>
      <c r="BJ137" s="30" t="s">
        <v>157</v>
      </c>
      <c r="BK137" s="30"/>
      <c r="BL137" s="30" t="s">
        <v>848</v>
      </c>
      <c r="BM137" s="30"/>
      <c r="BN137" s="30" t="s">
        <v>186</v>
      </c>
      <c r="BO137" s="30" t="s">
        <v>233</v>
      </c>
    </row>
    <row r="138" spans="1:67" s="3" customFormat="1" hidden="1">
      <c r="A138" s="30">
        <v>53</v>
      </c>
      <c r="B138" s="30" t="s">
        <v>152</v>
      </c>
      <c r="C138" s="30" t="s">
        <v>153</v>
      </c>
      <c r="D138" s="30" t="s">
        <v>1720</v>
      </c>
      <c r="E138" s="30" t="s">
        <v>1721</v>
      </c>
      <c r="F138" s="30" t="s">
        <v>877</v>
      </c>
      <c r="G138" s="30" t="s">
        <v>1722</v>
      </c>
      <c r="H138" s="30" t="s">
        <v>1723</v>
      </c>
      <c r="I138" s="30"/>
      <c r="J138" s="30" t="s">
        <v>330</v>
      </c>
      <c r="K138" s="30" t="s">
        <v>9</v>
      </c>
      <c r="L138" s="30" t="s">
        <v>212</v>
      </c>
      <c r="M138" s="30" t="s">
        <v>240</v>
      </c>
      <c r="N138" s="30" t="s">
        <v>880</v>
      </c>
      <c r="O138" s="30"/>
      <c r="P138" s="30"/>
      <c r="Q138" s="30" t="s">
        <v>1720</v>
      </c>
      <c r="R138" s="30" t="s">
        <v>9</v>
      </c>
      <c r="S138" s="30" t="s">
        <v>1724</v>
      </c>
      <c r="T138" s="30" t="s">
        <v>162</v>
      </c>
      <c r="U138" s="30" t="s">
        <v>1725</v>
      </c>
      <c r="V138" s="30" t="s">
        <v>164</v>
      </c>
      <c r="W138" s="30" t="s">
        <v>244</v>
      </c>
      <c r="X138" s="30" t="s">
        <v>330</v>
      </c>
      <c r="Y138" s="30" t="s">
        <v>334</v>
      </c>
      <c r="Z138" s="30" t="s">
        <v>1726</v>
      </c>
      <c r="AA138" s="30" t="s">
        <v>1460</v>
      </c>
      <c r="AB138" s="30" t="s">
        <v>1720</v>
      </c>
      <c r="AC138" s="30">
        <v>5733442</v>
      </c>
      <c r="AD138" s="30" t="s">
        <v>9</v>
      </c>
      <c r="AE138" s="30" t="s">
        <v>1727</v>
      </c>
      <c r="AF138" s="30" t="s">
        <v>9</v>
      </c>
      <c r="AG138" s="30" t="s">
        <v>1728</v>
      </c>
      <c r="AH138" s="33" t="s">
        <v>83</v>
      </c>
      <c r="AI138" s="30" t="s">
        <v>1729</v>
      </c>
      <c r="AJ138" s="30" t="s">
        <v>415</v>
      </c>
      <c r="AK138" s="30" t="s">
        <v>171</v>
      </c>
      <c r="AL138" s="30" t="s">
        <v>157</v>
      </c>
      <c r="AM138" s="30">
        <v>3200</v>
      </c>
      <c r="AN138" s="30"/>
      <c r="AO138" s="30" t="s">
        <v>877</v>
      </c>
      <c r="AP138" s="30" t="s">
        <v>173</v>
      </c>
      <c r="AQ138" s="30" t="s">
        <v>225</v>
      </c>
      <c r="AR138" s="30"/>
      <c r="AS138" s="30" t="s">
        <v>1730</v>
      </c>
      <c r="AT138" s="30"/>
      <c r="AU138" s="30" t="s">
        <v>493</v>
      </c>
      <c r="AV138" s="30"/>
      <c r="AW138" s="30" t="s">
        <v>1731</v>
      </c>
      <c r="AX138" s="30"/>
      <c r="AY138" s="30"/>
      <c r="AZ138" s="30"/>
      <c r="BA138" s="30"/>
      <c r="BB138" s="30">
        <v>58499929</v>
      </c>
      <c r="BC138" s="30" t="s">
        <v>180</v>
      </c>
      <c r="BD138" s="30" t="s">
        <v>181</v>
      </c>
      <c r="BE138" s="30" t="s">
        <v>256</v>
      </c>
      <c r="BF138" s="30" t="s">
        <v>229</v>
      </c>
      <c r="BG138" s="30" t="s">
        <v>230</v>
      </c>
      <c r="BH138" s="30" t="s">
        <v>231</v>
      </c>
      <c r="BI138" s="30" t="s">
        <v>258</v>
      </c>
      <c r="BJ138" s="30" t="s">
        <v>157</v>
      </c>
      <c r="BK138" s="30"/>
      <c r="BL138" s="30"/>
      <c r="BM138" s="30"/>
      <c r="BN138" s="30" t="s">
        <v>186</v>
      </c>
      <c r="BO138" s="30" t="s">
        <v>240</v>
      </c>
    </row>
    <row r="139" spans="1:67" s="3" customFormat="1" hidden="1">
      <c r="A139" s="30">
        <v>119</v>
      </c>
      <c r="B139" s="30" t="s">
        <v>152</v>
      </c>
      <c r="C139" s="30" t="s">
        <v>153</v>
      </c>
      <c r="D139" s="30" t="s">
        <v>1732</v>
      </c>
      <c r="E139" s="30" t="s">
        <v>1733</v>
      </c>
      <c r="F139" s="30" t="s">
        <v>521</v>
      </c>
      <c r="G139" s="30" t="s">
        <v>1734</v>
      </c>
      <c r="H139" s="30" t="s">
        <v>1735</v>
      </c>
      <c r="I139" s="30" t="s">
        <v>524</v>
      </c>
      <c r="J139" s="30"/>
      <c r="K139" s="30" t="s">
        <v>21</v>
      </c>
      <c r="L139" s="30" t="s">
        <v>525</v>
      </c>
      <c r="M139" s="30" t="s">
        <v>526</v>
      </c>
      <c r="N139" s="30" t="s">
        <v>157</v>
      </c>
      <c r="O139" s="30"/>
      <c r="P139" s="30"/>
      <c r="Q139" s="30" t="s">
        <v>1736</v>
      </c>
      <c r="R139" s="30" t="s">
        <v>21</v>
      </c>
      <c r="S139" s="30" t="s">
        <v>1737</v>
      </c>
      <c r="T139" s="30" t="s">
        <v>217</v>
      </c>
      <c r="U139" s="30" t="s">
        <v>1738</v>
      </c>
      <c r="V139" s="30" t="s">
        <v>164</v>
      </c>
      <c r="W139" s="30" t="s">
        <v>244</v>
      </c>
      <c r="X139" s="30" t="s">
        <v>239</v>
      </c>
      <c r="Y139" s="30" t="s">
        <v>362</v>
      </c>
      <c r="Z139" s="30" t="s">
        <v>1739</v>
      </c>
      <c r="AA139" s="30" t="s">
        <v>1740</v>
      </c>
      <c r="AB139" s="30" t="s">
        <v>1736</v>
      </c>
      <c r="AC139" s="30">
        <v>5691513</v>
      </c>
      <c r="AD139" s="30" t="s">
        <v>21</v>
      </c>
      <c r="AE139" s="30" t="s">
        <v>1741</v>
      </c>
      <c r="AF139" s="30" t="s">
        <v>21</v>
      </c>
      <c r="AG139" s="30" t="s">
        <v>1742</v>
      </c>
      <c r="AH139" s="33" t="s">
        <v>88</v>
      </c>
      <c r="AI139" s="30" t="s">
        <v>1743</v>
      </c>
      <c r="AJ139" s="30" t="s">
        <v>512</v>
      </c>
      <c r="AK139" s="30" t="s">
        <v>171</v>
      </c>
      <c r="AL139" s="30" t="s">
        <v>157</v>
      </c>
      <c r="AM139" s="30">
        <v>9450</v>
      </c>
      <c r="AN139" s="30"/>
      <c r="AO139" s="30" t="s">
        <v>157</v>
      </c>
      <c r="AP139" s="30" t="s">
        <v>369</v>
      </c>
      <c r="AQ139" s="30" t="s">
        <v>225</v>
      </c>
      <c r="AR139" s="30"/>
      <c r="AS139" s="30" t="s">
        <v>1744</v>
      </c>
      <c r="AT139" s="30"/>
      <c r="AU139" s="30" t="s">
        <v>325</v>
      </c>
      <c r="AV139" s="30"/>
      <c r="AW139" s="30" t="s">
        <v>1745</v>
      </c>
      <c r="AX139" s="30"/>
      <c r="AY139" s="30"/>
      <c r="AZ139" s="30"/>
      <c r="BA139" s="30" t="s">
        <v>397</v>
      </c>
      <c r="BB139" s="30">
        <v>86940013</v>
      </c>
      <c r="BC139" s="30" t="s">
        <v>258</v>
      </c>
      <c r="BD139" s="30" t="s">
        <v>255</v>
      </c>
      <c r="BE139" s="30" t="s">
        <v>256</v>
      </c>
      <c r="BF139" s="30" t="s">
        <v>797</v>
      </c>
      <c r="BG139" s="30" t="s">
        <v>230</v>
      </c>
      <c r="BH139" s="30" t="s">
        <v>231</v>
      </c>
      <c r="BI139" s="30" t="s">
        <v>258</v>
      </c>
      <c r="BJ139" s="30" t="s">
        <v>157</v>
      </c>
      <c r="BK139" s="30"/>
      <c r="BL139" s="30"/>
      <c r="BM139" s="30">
        <v>72410881</v>
      </c>
      <c r="BN139" s="30"/>
      <c r="BO139" s="30" t="s">
        <v>540</v>
      </c>
    </row>
    <row r="140" spans="1:67" s="3" customFormat="1" hidden="1">
      <c r="A140" s="30">
        <v>120</v>
      </c>
      <c r="B140" s="30" t="s">
        <v>152</v>
      </c>
      <c r="C140" s="30" t="s">
        <v>153</v>
      </c>
      <c r="D140" s="30" t="s">
        <v>1732</v>
      </c>
      <c r="E140" s="30" t="s">
        <v>1733</v>
      </c>
      <c r="F140" s="30" t="s">
        <v>521</v>
      </c>
      <c r="G140" s="30" t="s">
        <v>1734</v>
      </c>
      <c r="H140" s="30" t="s">
        <v>1735</v>
      </c>
      <c r="I140" s="30" t="s">
        <v>524</v>
      </c>
      <c r="J140" s="30"/>
      <c r="K140" s="30" t="s">
        <v>21</v>
      </c>
      <c r="L140" s="30" t="s">
        <v>525</v>
      </c>
      <c r="M140" s="30" t="s">
        <v>526</v>
      </c>
      <c r="N140" s="30" t="s">
        <v>157</v>
      </c>
      <c r="O140" s="30"/>
      <c r="P140" s="30"/>
      <c r="Q140" s="30" t="s">
        <v>1736</v>
      </c>
      <c r="R140" s="30" t="s">
        <v>21</v>
      </c>
      <c r="S140" s="30" t="s">
        <v>1737</v>
      </c>
      <c r="T140" s="30" t="s">
        <v>217</v>
      </c>
      <c r="U140" s="30" t="s">
        <v>1738</v>
      </c>
      <c r="V140" s="30" t="s">
        <v>164</v>
      </c>
      <c r="W140" s="30" t="s">
        <v>244</v>
      </c>
      <c r="X140" s="30" t="s">
        <v>239</v>
      </c>
      <c r="Y140" s="30" t="s">
        <v>362</v>
      </c>
      <c r="Z140" s="30" t="s">
        <v>1739</v>
      </c>
      <c r="AA140" s="30" t="s">
        <v>1740</v>
      </c>
      <c r="AB140" s="30" t="s">
        <v>1736</v>
      </c>
      <c r="AC140" s="30">
        <v>5691513</v>
      </c>
      <c r="AD140" s="30" t="s">
        <v>21</v>
      </c>
      <c r="AE140" s="30" t="s">
        <v>1741</v>
      </c>
      <c r="AF140" s="30" t="s">
        <v>21</v>
      </c>
      <c r="AG140" s="30" t="s">
        <v>1742</v>
      </c>
      <c r="AH140" s="33" t="s">
        <v>83</v>
      </c>
      <c r="AI140" s="30" t="s">
        <v>1746</v>
      </c>
      <c r="AJ140" s="30" t="s">
        <v>415</v>
      </c>
      <c r="AK140" s="30" t="s">
        <v>171</v>
      </c>
      <c r="AL140" s="30" t="s">
        <v>157</v>
      </c>
      <c r="AM140" s="30">
        <v>18000</v>
      </c>
      <c r="AN140" s="30"/>
      <c r="AO140" s="30" t="s">
        <v>157</v>
      </c>
      <c r="AP140" s="30" t="s">
        <v>369</v>
      </c>
      <c r="AQ140" s="30" t="s">
        <v>225</v>
      </c>
      <c r="AR140" s="30"/>
      <c r="AS140" s="30" t="s">
        <v>1744</v>
      </c>
      <c r="AT140" s="30"/>
      <c r="AU140" s="30" t="s">
        <v>325</v>
      </c>
      <c r="AV140" s="30"/>
      <c r="AW140" s="30" t="s">
        <v>1745</v>
      </c>
      <c r="AX140" s="30"/>
      <c r="AY140" s="30"/>
      <c r="AZ140" s="30"/>
      <c r="BA140" s="30"/>
      <c r="BB140" s="30">
        <v>86940013</v>
      </c>
      <c r="BC140" s="30" t="s">
        <v>180</v>
      </c>
      <c r="BD140" s="30" t="s">
        <v>255</v>
      </c>
      <c r="BE140" s="30" t="s">
        <v>256</v>
      </c>
      <c r="BF140" s="30" t="s">
        <v>797</v>
      </c>
      <c r="BG140" s="30" t="s">
        <v>230</v>
      </c>
      <c r="BH140" s="30" t="s">
        <v>231</v>
      </c>
      <c r="BI140" s="30" t="s">
        <v>258</v>
      </c>
      <c r="BJ140" s="30" t="s">
        <v>157</v>
      </c>
      <c r="BK140" s="30"/>
      <c r="BL140" s="30"/>
      <c r="BM140" s="30">
        <v>72410881</v>
      </c>
      <c r="BN140" s="30"/>
      <c r="BO140" s="30" t="s">
        <v>540</v>
      </c>
    </row>
    <row r="141" spans="1:67" s="3" customFormat="1" hidden="1">
      <c r="A141" s="30">
        <v>54</v>
      </c>
      <c r="B141" s="30" t="s">
        <v>152</v>
      </c>
      <c r="C141" s="30" t="s">
        <v>153</v>
      </c>
      <c r="D141" s="30" t="s">
        <v>1747</v>
      </c>
      <c r="E141" s="30" t="s">
        <v>1748</v>
      </c>
      <c r="F141" s="30" t="s">
        <v>954</v>
      </c>
      <c r="G141" s="30" t="s">
        <v>1749</v>
      </c>
      <c r="H141" s="30" t="s">
        <v>1750</v>
      </c>
      <c r="I141" s="30" t="s">
        <v>157</v>
      </c>
      <c r="J141" s="30" t="s">
        <v>330</v>
      </c>
      <c r="K141" s="30" t="s">
        <v>21</v>
      </c>
      <c r="L141" s="30" t="s">
        <v>313</v>
      </c>
      <c r="M141" s="30" t="s">
        <v>957</v>
      </c>
      <c r="N141" s="30" t="s">
        <v>157</v>
      </c>
      <c r="O141" s="30"/>
      <c r="P141" s="30"/>
      <c r="Q141" s="30" t="s">
        <v>1751</v>
      </c>
      <c r="R141" s="30" t="s">
        <v>21</v>
      </c>
      <c r="S141" s="30" t="s">
        <v>1752</v>
      </c>
      <c r="T141" s="30" t="s">
        <v>217</v>
      </c>
      <c r="U141" s="30" t="s">
        <v>1753</v>
      </c>
      <c r="V141" s="30" t="s">
        <v>164</v>
      </c>
      <c r="W141" s="30" t="s">
        <v>244</v>
      </c>
      <c r="X141" s="30" t="s">
        <v>330</v>
      </c>
      <c r="Y141" s="30" t="s">
        <v>245</v>
      </c>
      <c r="Z141" s="30" t="s">
        <v>1754</v>
      </c>
      <c r="AA141" s="30" t="s">
        <v>925</v>
      </c>
      <c r="AB141" s="30" t="s">
        <v>1751</v>
      </c>
      <c r="AC141" s="30">
        <v>5733412</v>
      </c>
      <c r="AD141" s="30" t="s">
        <v>21</v>
      </c>
      <c r="AE141" s="30" t="s">
        <v>1755</v>
      </c>
      <c r="AF141" s="30" t="s">
        <v>21</v>
      </c>
      <c r="AG141" s="30" t="s">
        <v>1756</v>
      </c>
      <c r="AH141" s="33" t="s">
        <v>83</v>
      </c>
      <c r="AI141" s="30" t="s">
        <v>1757</v>
      </c>
      <c r="AJ141" s="30" t="s">
        <v>415</v>
      </c>
      <c r="AK141" s="30" t="s">
        <v>171</v>
      </c>
      <c r="AL141" s="30" t="s">
        <v>157</v>
      </c>
      <c r="AM141" s="30">
        <v>9000</v>
      </c>
      <c r="AN141" s="30"/>
      <c r="AO141" s="30" t="s">
        <v>157</v>
      </c>
      <c r="AP141" s="30" t="s">
        <v>369</v>
      </c>
      <c r="AQ141" s="30" t="s">
        <v>225</v>
      </c>
      <c r="AR141" s="30"/>
      <c r="AS141" s="30" t="s">
        <v>1758</v>
      </c>
      <c r="AT141" s="30"/>
      <c r="AU141" s="30" t="s">
        <v>493</v>
      </c>
      <c r="AV141" s="30"/>
      <c r="AW141" s="30" t="s">
        <v>1759</v>
      </c>
      <c r="AX141" s="30"/>
      <c r="AY141" s="30"/>
      <c r="AZ141" s="30"/>
      <c r="BA141" s="30"/>
      <c r="BB141" s="30">
        <v>87663718</v>
      </c>
      <c r="BC141" s="30" t="s">
        <v>180</v>
      </c>
      <c r="BD141" s="30" t="s">
        <v>255</v>
      </c>
      <c r="BE141" s="30" t="s">
        <v>256</v>
      </c>
      <c r="BF141" s="30" t="s">
        <v>994</v>
      </c>
      <c r="BG141" s="30" t="s">
        <v>230</v>
      </c>
      <c r="BH141" s="30" t="s">
        <v>184</v>
      </c>
      <c r="BI141" s="30" t="s">
        <v>180</v>
      </c>
      <c r="BJ141" s="30" t="s">
        <v>157</v>
      </c>
      <c r="BK141" s="30"/>
      <c r="BL141" s="30"/>
      <c r="BM141" s="30"/>
      <c r="BN141" s="30" t="s">
        <v>186</v>
      </c>
      <c r="BO141" s="30" t="s">
        <v>817</v>
      </c>
    </row>
  </sheetData>
  <sheetProtection formatCells="0" insertHyperlinks="0" autoFilter="0"/>
  <autoFilter ref="A9:BO141" xr:uid="{00000000-0009-0000-0000-000002000000}">
    <filterColumn colId="12">
      <filters>
        <filter val="顾问转介绍-其他(不返现)"/>
      </filters>
    </filterColumn>
  </autoFilter>
  <phoneticPr fontId="2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6"/>
  <sheetViews>
    <sheetView workbookViewId="0">
      <selection activeCell="AD17" sqref="AD17"/>
    </sheetView>
  </sheetViews>
  <sheetFormatPr defaultColWidth="9.1328125" defaultRowHeight="14.25"/>
  <cols>
    <col min="6" max="26" width="9.1328125" hidden="1" customWidth="1"/>
    <col min="30" max="30" width="14.86328125" customWidth="1"/>
    <col min="36" max="36" width="13.19921875" customWidth="1"/>
    <col min="37" max="37" width="12.19921875" customWidth="1"/>
  </cols>
  <sheetData>
    <row r="1" spans="1:37" s="3" customFormat="1" ht="15">
      <c r="A1" s="16" t="s">
        <v>1760</v>
      </c>
      <c r="B1" s="16" t="s">
        <v>1761</v>
      </c>
      <c r="C1" s="16" t="s">
        <v>1762</v>
      </c>
      <c r="D1" s="16" t="s">
        <v>1763</v>
      </c>
      <c r="E1" s="16" t="s">
        <v>1764</v>
      </c>
      <c r="F1" s="16" t="s">
        <v>1765</v>
      </c>
      <c r="G1" s="16" t="s">
        <v>1766</v>
      </c>
      <c r="H1" s="16" t="s">
        <v>1767</v>
      </c>
      <c r="I1" s="16" t="s">
        <v>1768</v>
      </c>
      <c r="J1" s="16" t="s">
        <v>1769</v>
      </c>
      <c r="K1" s="16" t="s">
        <v>1770</v>
      </c>
      <c r="L1" s="16" t="s">
        <v>1771</v>
      </c>
      <c r="M1" s="16" t="s">
        <v>1772</v>
      </c>
      <c r="N1" s="16" t="s">
        <v>1773</v>
      </c>
      <c r="O1" s="16" t="s">
        <v>1774</v>
      </c>
      <c r="P1" s="16" t="s">
        <v>1775</v>
      </c>
      <c r="Q1" s="16" t="s">
        <v>1776</v>
      </c>
      <c r="R1" s="16" t="s">
        <v>1777</v>
      </c>
      <c r="S1" s="16" t="s">
        <v>1778</v>
      </c>
      <c r="T1" s="16" t="s">
        <v>1779</v>
      </c>
      <c r="U1" s="16" t="s">
        <v>90</v>
      </c>
      <c r="V1" s="16" t="s">
        <v>1780</v>
      </c>
      <c r="W1" s="16" t="s">
        <v>1781</v>
      </c>
      <c r="X1" s="16" t="s">
        <v>113</v>
      </c>
      <c r="Y1" s="16" t="s">
        <v>1782</v>
      </c>
      <c r="Z1" s="16" t="s">
        <v>1783</v>
      </c>
      <c r="AA1" s="16" t="s">
        <v>1784</v>
      </c>
      <c r="AB1" s="16" t="s">
        <v>1785</v>
      </c>
      <c r="AC1" s="16" t="s">
        <v>1786</v>
      </c>
      <c r="AD1" s="16" t="s">
        <v>135</v>
      </c>
      <c r="AE1" s="16" t="s">
        <v>1787</v>
      </c>
      <c r="AF1" s="16" t="s">
        <v>1788</v>
      </c>
      <c r="AG1" s="16" t="s">
        <v>1789</v>
      </c>
      <c r="AH1" s="16" t="s">
        <v>1790</v>
      </c>
      <c r="AI1" s="16" t="s">
        <v>1791</v>
      </c>
      <c r="AJ1" s="16" t="s">
        <v>1792</v>
      </c>
      <c r="AK1" s="16" t="s">
        <v>1792</v>
      </c>
    </row>
    <row r="2" spans="1:37" s="3" customFormat="1" ht="15">
      <c r="A2" s="16" t="s">
        <v>1793</v>
      </c>
      <c r="B2" s="16" t="s">
        <v>1794</v>
      </c>
      <c r="C2" s="16" t="s">
        <v>1795</v>
      </c>
      <c r="D2" s="16"/>
      <c r="E2" s="17" t="s">
        <v>1796</v>
      </c>
      <c r="F2" s="16"/>
      <c r="G2" s="16" t="s">
        <v>314</v>
      </c>
      <c r="H2" s="16" t="s">
        <v>1797</v>
      </c>
      <c r="I2" s="16" t="s">
        <v>1798</v>
      </c>
      <c r="J2" s="16" t="s">
        <v>1799</v>
      </c>
      <c r="K2" s="16" t="s">
        <v>1800</v>
      </c>
      <c r="L2" s="16"/>
      <c r="M2" s="16"/>
      <c r="N2" s="16"/>
      <c r="O2" s="16"/>
      <c r="P2" s="16" t="s">
        <v>1801</v>
      </c>
      <c r="Q2" s="16" t="s">
        <v>1802</v>
      </c>
      <c r="R2" s="16"/>
      <c r="S2" s="16"/>
      <c r="T2" s="16" t="s">
        <v>295</v>
      </c>
      <c r="U2" s="16" t="s">
        <v>318</v>
      </c>
      <c r="V2" s="16" t="s">
        <v>1142</v>
      </c>
      <c r="W2" s="16" t="s">
        <v>158</v>
      </c>
      <c r="X2" s="16" t="s">
        <v>1803</v>
      </c>
      <c r="Y2" s="16" t="s">
        <v>1804</v>
      </c>
      <c r="Z2" s="16" t="s">
        <v>1795</v>
      </c>
      <c r="AA2" s="16" t="s">
        <v>1805</v>
      </c>
      <c r="AB2" s="16" t="s">
        <v>315</v>
      </c>
      <c r="AC2" s="16" t="s">
        <v>323</v>
      </c>
      <c r="AD2" s="18">
        <v>80000</v>
      </c>
      <c r="AE2" s="16" t="s">
        <v>1806</v>
      </c>
      <c r="AF2" s="16" t="s">
        <v>1807</v>
      </c>
      <c r="AG2" s="16"/>
      <c r="AH2" s="16"/>
      <c r="AI2" s="16" t="s">
        <v>1808</v>
      </c>
      <c r="AJ2" s="16"/>
      <c r="AK2" s="16"/>
    </row>
    <row r="3" spans="1:37" s="3" customFormat="1" ht="15">
      <c r="A3" s="16" t="s">
        <v>1809</v>
      </c>
      <c r="B3" s="16" t="s">
        <v>1810</v>
      </c>
      <c r="C3" s="16" t="s">
        <v>1811</v>
      </c>
      <c r="D3" s="16"/>
      <c r="E3" s="17" t="s">
        <v>1796</v>
      </c>
      <c r="F3" s="16"/>
      <c r="G3" s="16" t="s">
        <v>1205</v>
      </c>
      <c r="H3" s="16" t="s">
        <v>1812</v>
      </c>
      <c r="I3" s="16"/>
      <c r="J3" s="16" t="s">
        <v>1813</v>
      </c>
      <c r="K3" s="16"/>
      <c r="L3" s="16" t="s">
        <v>1814</v>
      </c>
      <c r="M3" s="16"/>
      <c r="N3" s="16" t="s">
        <v>1815</v>
      </c>
      <c r="O3" s="16"/>
      <c r="P3" s="16" t="s">
        <v>1816</v>
      </c>
      <c r="Q3" s="16"/>
      <c r="R3" s="16"/>
      <c r="S3" s="16"/>
      <c r="T3" s="16" t="s">
        <v>417</v>
      </c>
      <c r="U3" s="16" t="s">
        <v>1817</v>
      </c>
      <c r="V3" s="16" t="s">
        <v>808</v>
      </c>
      <c r="W3" s="16" t="s">
        <v>1818</v>
      </c>
      <c r="X3" s="16" t="s">
        <v>555</v>
      </c>
      <c r="Y3" s="16" t="s">
        <v>1804</v>
      </c>
      <c r="Z3" s="16" t="s">
        <v>1811</v>
      </c>
      <c r="AA3" s="16" t="s">
        <v>1819</v>
      </c>
      <c r="AB3" s="16" t="s">
        <v>1820</v>
      </c>
      <c r="AC3" s="16" t="s">
        <v>1821</v>
      </c>
      <c r="AD3" s="18">
        <v>16900</v>
      </c>
      <c r="AE3" s="16" t="s">
        <v>1822</v>
      </c>
      <c r="AF3" s="16" t="s">
        <v>1823</v>
      </c>
      <c r="AG3" s="16"/>
      <c r="AH3" s="16"/>
      <c r="AI3" s="16" t="s">
        <v>1808</v>
      </c>
      <c r="AJ3" s="16"/>
      <c r="AK3" s="16"/>
    </row>
    <row r="4" spans="1:37" s="3" customFormat="1" ht="15">
      <c r="A4" s="16"/>
      <c r="B4" s="16"/>
      <c r="C4" s="16"/>
      <c r="D4" s="16"/>
      <c r="E4" s="1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21">
        <f>SUM(AD2:AD3)</f>
        <v>96900</v>
      </c>
      <c r="AE4" s="16"/>
      <c r="AF4" s="16"/>
      <c r="AG4" s="16"/>
      <c r="AH4" s="16"/>
      <c r="AI4" s="16"/>
      <c r="AJ4" s="16"/>
      <c r="AK4" s="16"/>
    </row>
    <row r="5" spans="1:37" s="3" customFormat="1" ht="15">
      <c r="A5" s="16" t="s">
        <v>1824</v>
      </c>
      <c r="B5" s="16" t="s">
        <v>1825</v>
      </c>
      <c r="C5" s="16" t="s">
        <v>1826</v>
      </c>
      <c r="D5" s="16"/>
      <c r="E5" s="17" t="s">
        <v>1827</v>
      </c>
      <c r="F5" s="16"/>
      <c r="G5" s="16" t="s">
        <v>424</v>
      </c>
      <c r="H5" s="16" t="s">
        <v>1828</v>
      </c>
      <c r="I5" s="16"/>
      <c r="J5" s="16" t="s">
        <v>1813</v>
      </c>
      <c r="K5" s="16"/>
      <c r="L5" s="16" t="s">
        <v>1814</v>
      </c>
      <c r="M5" s="16"/>
      <c r="N5" s="16" t="s">
        <v>1815</v>
      </c>
      <c r="O5" s="16"/>
      <c r="P5" s="16" t="s">
        <v>1829</v>
      </c>
      <c r="Q5" s="16"/>
      <c r="R5" s="16"/>
      <c r="S5" s="16"/>
      <c r="T5" s="16" t="s">
        <v>1830</v>
      </c>
      <c r="U5" s="16" t="s">
        <v>1831</v>
      </c>
      <c r="V5" s="16" t="s">
        <v>1832</v>
      </c>
      <c r="W5" s="16" t="s">
        <v>86</v>
      </c>
      <c r="X5" s="16" t="s">
        <v>1833</v>
      </c>
      <c r="Y5" s="16" t="s">
        <v>1804</v>
      </c>
      <c r="Z5" s="16" t="s">
        <v>1826</v>
      </c>
      <c r="AA5" s="16" t="s">
        <v>1819</v>
      </c>
      <c r="AB5" s="16" t="s">
        <v>1834</v>
      </c>
      <c r="AC5" s="16" t="s">
        <v>1835</v>
      </c>
      <c r="AD5" s="16">
        <v>0</v>
      </c>
      <c r="AE5" s="16" t="s">
        <v>1836</v>
      </c>
      <c r="AF5" s="16" t="s">
        <v>1837</v>
      </c>
      <c r="AG5" s="16"/>
      <c r="AH5" s="16"/>
      <c r="AI5" s="16" t="s">
        <v>1808</v>
      </c>
      <c r="AJ5" s="16" t="s">
        <v>1838</v>
      </c>
      <c r="AK5" s="18">
        <v>3712.1</v>
      </c>
    </row>
    <row r="6" spans="1:37" s="3" customFormat="1" ht="15">
      <c r="A6" s="16" t="s">
        <v>1839</v>
      </c>
      <c r="B6" s="16"/>
      <c r="C6" s="16" t="s">
        <v>1840</v>
      </c>
      <c r="D6" s="16"/>
      <c r="E6" s="17" t="s">
        <v>1827</v>
      </c>
      <c r="F6" s="16"/>
      <c r="G6" s="16" t="s">
        <v>1019</v>
      </c>
      <c r="H6" s="16" t="s">
        <v>1828</v>
      </c>
      <c r="I6" s="16"/>
      <c r="J6" s="16"/>
      <c r="K6" s="16"/>
      <c r="L6" s="16"/>
      <c r="M6" s="16"/>
      <c r="N6" s="16"/>
      <c r="O6" s="16"/>
      <c r="P6" s="16"/>
      <c r="Q6" s="16"/>
      <c r="R6" s="18">
        <v>3891.1</v>
      </c>
      <c r="S6" s="16" t="s">
        <v>1841</v>
      </c>
      <c r="T6" s="16" t="s">
        <v>1082</v>
      </c>
      <c r="U6" s="16"/>
      <c r="V6" s="16"/>
      <c r="W6" s="16"/>
      <c r="X6" s="16"/>
      <c r="Y6" s="16" t="s">
        <v>1842</v>
      </c>
      <c r="Z6" s="16" t="s">
        <v>1840</v>
      </c>
      <c r="AA6" s="16"/>
      <c r="AB6" s="16" t="s">
        <v>1634</v>
      </c>
      <c r="AC6" s="16" t="s">
        <v>1637</v>
      </c>
      <c r="AD6" s="16">
        <f>R6</f>
        <v>3891.1</v>
      </c>
      <c r="AE6" s="16" t="s">
        <v>1839</v>
      </c>
      <c r="AF6" s="16" t="s">
        <v>1843</v>
      </c>
      <c r="AG6" s="16"/>
      <c r="AH6" s="16"/>
      <c r="AI6" s="16" t="s">
        <v>1808</v>
      </c>
      <c r="AJ6" s="16"/>
      <c r="AK6" s="16"/>
    </row>
    <row r="7" spans="1:37" s="3" customFormat="1" ht="15">
      <c r="A7" s="16" t="s">
        <v>1822</v>
      </c>
      <c r="B7" s="16" t="s">
        <v>1844</v>
      </c>
      <c r="C7" s="16" t="s">
        <v>403</v>
      </c>
      <c r="D7" s="16"/>
      <c r="E7" s="17" t="s">
        <v>1827</v>
      </c>
      <c r="F7" s="16"/>
      <c r="G7" s="16" t="s">
        <v>240</v>
      </c>
      <c r="H7" s="16" t="s">
        <v>1845</v>
      </c>
      <c r="I7" s="16"/>
      <c r="J7" s="16" t="s">
        <v>1799</v>
      </c>
      <c r="K7" s="16" t="s">
        <v>1846</v>
      </c>
      <c r="L7" s="16"/>
      <c r="M7" s="16"/>
      <c r="N7" s="16"/>
      <c r="O7" s="16"/>
      <c r="P7" s="16" t="s">
        <v>1847</v>
      </c>
      <c r="Q7" s="16"/>
      <c r="R7" s="16"/>
      <c r="S7" s="16"/>
      <c r="T7" s="16" t="s">
        <v>276</v>
      </c>
      <c r="U7" s="16" t="s">
        <v>1848</v>
      </c>
      <c r="V7" s="16" t="s">
        <v>1849</v>
      </c>
      <c r="W7" s="16" t="s">
        <v>158</v>
      </c>
      <c r="X7" s="16" t="s">
        <v>1142</v>
      </c>
      <c r="Y7" s="16" t="s">
        <v>1804</v>
      </c>
      <c r="Z7" s="16" t="s">
        <v>403</v>
      </c>
      <c r="AA7" s="16" t="s">
        <v>1819</v>
      </c>
      <c r="AB7" s="16" t="s">
        <v>1850</v>
      </c>
      <c r="AC7" s="16" t="s">
        <v>1851</v>
      </c>
      <c r="AD7" s="18">
        <v>18000</v>
      </c>
      <c r="AE7" s="16" t="s">
        <v>1852</v>
      </c>
      <c r="AF7" s="16" t="s">
        <v>1853</v>
      </c>
      <c r="AG7" s="16"/>
      <c r="AH7" s="16"/>
      <c r="AI7" s="16" t="s">
        <v>1808</v>
      </c>
      <c r="AJ7" s="16"/>
      <c r="AK7" s="16"/>
    </row>
    <row r="8" spans="1:37" s="3" customFormat="1" ht="15">
      <c r="A8" s="16" t="s">
        <v>1854</v>
      </c>
      <c r="B8" s="16" t="s">
        <v>1855</v>
      </c>
      <c r="C8" s="16" t="s">
        <v>1840</v>
      </c>
      <c r="D8" s="16"/>
      <c r="E8" s="17" t="s">
        <v>1827</v>
      </c>
      <c r="F8" s="16"/>
      <c r="G8" s="16" t="s">
        <v>441</v>
      </c>
      <c r="H8" s="16" t="s">
        <v>1828</v>
      </c>
      <c r="I8" s="16"/>
      <c r="J8" s="16" t="s">
        <v>1813</v>
      </c>
      <c r="K8" s="16"/>
      <c r="L8" s="16" t="s">
        <v>1814</v>
      </c>
      <c r="M8" s="16"/>
      <c r="N8" s="16" t="s">
        <v>1815</v>
      </c>
      <c r="O8" s="16"/>
      <c r="P8" s="16" t="s">
        <v>1856</v>
      </c>
      <c r="Q8" s="16"/>
      <c r="R8" s="16"/>
      <c r="S8" s="16"/>
      <c r="T8" s="16" t="s">
        <v>516</v>
      </c>
      <c r="U8" s="16" t="s">
        <v>389</v>
      </c>
      <c r="V8" s="16" t="s">
        <v>1857</v>
      </c>
      <c r="W8" s="16" t="s">
        <v>158</v>
      </c>
      <c r="X8" s="16" t="s">
        <v>1858</v>
      </c>
      <c r="Y8" s="16" t="s">
        <v>1804</v>
      </c>
      <c r="Z8" s="16" t="s">
        <v>1840</v>
      </c>
      <c r="AA8" s="16" t="s">
        <v>1819</v>
      </c>
      <c r="AB8" s="16" t="s">
        <v>1859</v>
      </c>
      <c r="AC8" s="16" t="s">
        <v>1860</v>
      </c>
      <c r="AD8" s="18">
        <v>42857</v>
      </c>
      <c r="AE8" s="16" t="s">
        <v>1854</v>
      </c>
      <c r="AF8" s="16" t="s">
        <v>1861</v>
      </c>
      <c r="AG8" s="16"/>
      <c r="AH8" s="16"/>
      <c r="AI8" s="16" t="s">
        <v>1808</v>
      </c>
      <c r="AJ8" s="16"/>
      <c r="AK8" s="16"/>
    </row>
    <row r="9" spans="1:37" s="3" customFormat="1" ht="15">
      <c r="A9" s="16" t="s">
        <v>1854</v>
      </c>
      <c r="B9" s="16" t="s">
        <v>1862</v>
      </c>
      <c r="C9" s="16" t="s">
        <v>1840</v>
      </c>
      <c r="D9" s="16"/>
      <c r="E9" s="17" t="s">
        <v>1827</v>
      </c>
      <c r="F9" s="16"/>
      <c r="G9" s="16" t="s">
        <v>441</v>
      </c>
      <c r="H9" s="16" t="s">
        <v>1828</v>
      </c>
      <c r="I9" s="16"/>
      <c r="J9" s="16" t="s">
        <v>1813</v>
      </c>
      <c r="K9" s="16"/>
      <c r="L9" s="16" t="s">
        <v>1814</v>
      </c>
      <c r="M9" s="16"/>
      <c r="N9" s="16" t="s">
        <v>1815</v>
      </c>
      <c r="O9" s="16"/>
      <c r="P9" s="16" t="s">
        <v>1863</v>
      </c>
      <c r="Q9" s="16"/>
      <c r="R9" s="16"/>
      <c r="S9" s="16"/>
      <c r="T9" s="16" t="s">
        <v>516</v>
      </c>
      <c r="U9" s="16" t="s">
        <v>389</v>
      </c>
      <c r="V9" s="16" t="s">
        <v>1864</v>
      </c>
      <c r="W9" s="16" t="s">
        <v>158</v>
      </c>
      <c r="X9" s="16" t="s">
        <v>364</v>
      </c>
      <c r="Y9" s="16" t="s">
        <v>1804</v>
      </c>
      <c r="Z9" s="16" t="s">
        <v>1840</v>
      </c>
      <c r="AA9" s="16" t="s">
        <v>1819</v>
      </c>
      <c r="AB9" s="16" t="s">
        <v>1865</v>
      </c>
      <c r="AC9" s="16" t="s">
        <v>1866</v>
      </c>
      <c r="AD9" s="18">
        <v>3988.8</v>
      </c>
      <c r="AE9" s="16" t="s">
        <v>1854</v>
      </c>
      <c r="AF9" s="16" t="s">
        <v>1867</v>
      </c>
      <c r="AG9" s="16"/>
      <c r="AH9" s="16"/>
      <c r="AI9" s="16" t="s">
        <v>1808</v>
      </c>
      <c r="AJ9" s="16"/>
      <c r="AK9" s="16"/>
    </row>
    <row r="10" spans="1:37" s="3" customFormat="1" ht="15">
      <c r="A10" s="16" t="s">
        <v>1868</v>
      </c>
      <c r="B10" s="16" t="s">
        <v>1869</v>
      </c>
      <c r="C10" s="16" t="s">
        <v>669</v>
      </c>
      <c r="D10" s="16"/>
      <c r="E10" s="17" t="s">
        <v>1827</v>
      </c>
      <c r="F10" s="16"/>
      <c r="G10" s="16" t="s">
        <v>1205</v>
      </c>
      <c r="H10" s="16" t="s">
        <v>1870</v>
      </c>
      <c r="I10" s="16"/>
      <c r="J10" s="16" t="s">
        <v>1813</v>
      </c>
      <c r="K10" s="16"/>
      <c r="L10" s="16" t="s">
        <v>1871</v>
      </c>
      <c r="M10" s="16"/>
      <c r="N10" s="16"/>
      <c r="O10" s="16"/>
      <c r="P10" s="16" t="s">
        <v>1872</v>
      </c>
      <c r="Q10" s="16"/>
      <c r="R10" s="16"/>
      <c r="S10" s="16"/>
      <c r="T10" s="16" t="s">
        <v>1196</v>
      </c>
      <c r="U10" s="16" t="s">
        <v>506</v>
      </c>
      <c r="V10" s="16" t="s">
        <v>1873</v>
      </c>
      <c r="W10" s="16" t="s">
        <v>330</v>
      </c>
      <c r="X10" s="16" t="s">
        <v>1874</v>
      </c>
      <c r="Y10" s="16" t="s">
        <v>1804</v>
      </c>
      <c r="Z10" s="16" t="s">
        <v>669</v>
      </c>
      <c r="AA10" s="16" t="s">
        <v>1819</v>
      </c>
      <c r="AB10" s="16" t="s">
        <v>1875</v>
      </c>
      <c r="AC10" s="16" t="s">
        <v>1876</v>
      </c>
      <c r="AD10" s="18">
        <f t="shared" ref="AD10:AD12" si="0">AK10/2</f>
        <v>2880</v>
      </c>
      <c r="AE10" s="16" t="s">
        <v>1877</v>
      </c>
      <c r="AF10" s="16" t="s">
        <v>1878</v>
      </c>
      <c r="AG10" s="16"/>
      <c r="AH10" s="16"/>
      <c r="AI10" s="16" t="s">
        <v>1808</v>
      </c>
      <c r="AJ10" s="16" t="s">
        <v>1879</v>
      </c>
      <c r="AK10" s="18">
        <v>5760</v>
      </c>
    </row>
    <row r="11" spans="1:37" s="3" customFormat="1" ht="15">
      <c r="A11" s="16" t="s">
        <v>1868</v>
      </c>
      <c r="B11" s="16" t="s">
        <v>1880</v>
      </c>
      <c r="C11" s="16" t="s">
        <v>669</v>
      </c>
      <c r="D11" s="16"/>
      <c r="E11" s="17" t="s">
        <v>1827</v>
      </c>
      <c r="F11" s="16"/>
      <c r="G11" s="16" t="s">
        <v>1205</v>
      </c>
      <c r="H11" s="16" t="s">
        <v>1870</v>
      </c>
      <c r="I11" s="16"/>
      <c r="J11" s="16" t="s">
        <v>1813</v>
      </c>
      <c r="K11" s="16"/>
      <c r="L11" s="16" t="s">
        <v>1871</v>
      </c>
      <c r="M11" s="16"/>
      <c r="N11" s="16"/>
      <c r="O11" s="16"/>
      <c r="P11" s="16" t="s">
        <v>1881</v>
      </c>
      <c r="Q11" s="16"/>
      <c r="R11" s="16"/>
      <c r="S11" s="16"/>
      <c r="T11" s="16" t="s">
        <v>1196</v>
      </c>
      <c r="U11" s="16" t="s">
        <v>506</v>
      </c>
      <c r="V11" s="16" t="s">
        <v>1873</v>
      </c>
      <c r="W11" s="16" t="s">
        <v>330</v>
      </c>
      <c r="X11" s="16" t="s">
        <v>1874</v>
      </c>
      <c r="Y11" s="16" t="s">
        <v>1804</v>
      </c>
      <c r="Z11" s="16" t="s">
        <v>669</v>
      </c>
      <c r="AA11" s="16" t="s">
        <v>1819</v>
      </c>
      <c r="AB11" s="16" t="s">
        <v>1875</v>
      </c>
      <c r="AC11" s="16" t="s">
        <v>1876</v>
      </c>
      <c r="AD11" s="18">
        <f t="shared" si="0"/>
        <v>3315.35</v>
      </c>
      <c r="AE11" s="16" t="s">
        <v>1877</v>
      </c>
      <c r="AF11" s="16" t="s">
        <v>1878</v>
      </c>
      <c r="AG11" s="16"/>
      <c r="AH11" s="16"/>
      <c r="AI11" s="16" t="s">
        <v>1808</v>
      </c>
      <c r="AJ11" s="16"/>
      <c r="AK11" s="18">
        <v>6630.7</v>
      </c>
    </row>
    <row r="12" spans="1:37" s="3" customFormat="1" ht="15">
      <c r="A12" s="16" t="s">
        <v>1882</v>
      </c>
      <c r="B12" s="16" t="s">
        <v>1883</v>
      </c>
      <c r="C12" s="16" t="s">
        <v>669</v>
      </c>
      <c r="D12" s="16"/>
      <c r="E12" s="17" t="s">
        <v>1827</v>
      </c>
      <c r="F12" s="16"/>
      <c r="G12" s="16" t="s">
        <v>1205</v>
      </c>
      <c r="H12" s="16" t="s">
        <v>1884</v>
      </c>
      <c r="I12" s="16"/>
      <c r="J12" s="16" t="s">
        <v>1813</v>
      </c>
      <c r="K12" s="16"/>
      <c r="L12" s="16" t="s">
        <v>1871</v>
      </c>
      <c r="M12" s="16"/>
      <c r="N12" s="16"/>
      <c r="O12" s="16"/>
      <c r="P12" s="16" t="s">
        <v>1881</v>
      </c>
      <c r="Q12" s="16"/>
      <c r="R12" s="16"/>
      <c r="S12" s="16"/>
      <c r="T12" s="16" t="s">
        <v>724</v>
      </c>
      <c r="U12" s="16" t="s">
        <v>506</v>
      </c>
      <c r="V12" s="16" t="s">
        <v>1873</v>
      </c>
      <c r="W12" s="16" t="s">
        <v>330</v>
      </c>
      <c r="X12" s="16" t="s">
        <v>1874</v>
      </c>
      <c r="Y12" s="16" t="s">
        <v>1804</v>
      </c>
      <c r="Z12" s="16" t="s">
        <v>669</v>
      </c>
      <c r="AA12" s="16" t="s">
        <v>1819</v>
      </c>
      <c r="AB12" s="16" t="s">
        <v>1875</v>
      </c>
      <c r="AC12" s="16" t="s">
        <v>1876</v>
      </c>
      <c r="AD12" s="18">
        <f t="shared" si="0"/>
        <v>3260.65</v>
      </c>
      <c r="AE12" s="16" t="s">
        <v>1877</v>
      </c>
      <c r="AF12" s="16" t="s">
        <v>1885</v>
      </c>
      <c r="AG12" s="16"/>
      <c r="AH12" s="16"/>
      <c r="AI12" s="16" t="s">
        <v>1808</v>
      </c>
      <c r="AJ12" s="16"/>
      <c r="AK12" s="18">
        <v>6521.3</v>
      </c>
    </row>
    <row r="13" spans="1:37" s="3" customFormat="1" ht="15">
      <c r="A13" s="16"/>
      <c r="B13" s="16"/>
      <c r="C13" s="16"/>
      <c r="D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9" t="s">
        <v>1886</v>
      </c>
      <c r="AB13" s="20" t="s">
        <v>160</v>
      </c>
      <c r="AC13" s="22" t="s">
        <v>160</v>
      </c>
      <c r="AD13" s="23">
        <v>9000</v>
      </c>
      <c r="AE13" s="16"/>
      <c r="AF13" s="16"/>
      <c r="AG13" s="16"/>
      <c r="AH13" s="16"/>
      <c r="AI13" s="16"/>
      <c r="AJ13" s="16"/>
      <c r="AK13" s="16"/>
    </row>
    <row r="14" spans="1:37" s="3" customFormat="1" ht="15">
      <c r="A14" s="16"/>
      <c r="B14" s="16"/>
      <c r="C14" s="16"/>
      <c r="D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9" t="s">
        <v>1886</v>
      </c>
      <c r="AB14" s="20" t="s">
        <v>1126</v>
      </c>
      <c r="AC14" s="22" t="s">
        <v>1126</v>
      </c>
      <c r="AD14" s="23">
        <v>9000</v>
      </c>
      <c r="AE14" s="16"/>
      <c r="AF14" s="16"/>
      <c r="AG14" s="16"/>
      <c r="AH14" s="16"/>
      <c r="AI14" s="16"/>
      <c r="AJ14" s="16"/>
      <c r="AK14" s="16"/>
    </row>
    <row r="15" spans="1:37" s="3" customFormat="1" ht="15">
      <c r="A15" s="16"/>
      <c r="B15" s="16"/>
      <c r="C15" s="16"/>
      <c r="D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9" t="s">
        <v>1886</v>
      </c>
      <c r="AB15" s="20" t="s">
        <v>1470</v>
      </c>
      <c r="AC15" s="22" t="s">
        <v>1470</v>
      </c>
      <c r="AD15" s="23">
        <v>9000</v>
      </c>
      <c r="AE15" s="16"/>
      <c r="AF15" s="16"/>
      <c r="AG15" s="16"/>
      <c r="AH15" s="16"/>
      <c r="AI15" s="16"/>
      <c r="AJ15" s="16"/>
      <c r="AK15" s="16"/>
    </row>
    <row r="16" spans="1:37" s="3" customFormat="1" ht="15">
      <c r="A16" s="16"/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1">
        <f>SUM(AD5:AD15)</f>
        <v>105192.9</v>
      </c>
      <c r="AE16" s="16"/>
      <c r="AF16" s="16"/>
      <c r="AG16" s="16"/>
      <c r="AH16" s="16"/>
      <c r="AI16" s="16"/>
      <c r="AJ16" s="16"/>
      <c r="AK16" s="16"/>
    </row>
    <row r="17" spans="1:37" s="3" customFormat="1" ht="20" customHeight="1">
      <c r="A17" s="16" t="s">
        <v>1836</v>
      </c>
      <c r="B17" s="16" t="s">
        <v>1887</v>
      </c>
      <c r="C17" s="16" t="s">
        <v>1811</v>
      </c>
      <c r="D17" s="16"/>
      <c r="E17" s="17" t="s">
        <v>9</v>
      </c>
      <c r="F17" s="16"/>
      <c r="G17" s="16" t="s">
        <v>240</v>
      </c>
      <c r="H17" s="16" t="s">
        <v>1812</v>
      </c>
      <c r="I17" s="16"/>
      <c r="J17" s="16" t="s">
        <v>1799</v>
      </c>
      <c r="K17" s="16" t="s">
        <v>1888</v>
      </c>
      <c r="L17" s="16"/>
      <c r="M17" s="16" t="s">
        <v>1889</v>
      </c>
      <c r="N17" s="16"/>
      <c r="O17" s="16"/>
      <c r="P17" s="16" t="s">
        <v>1890</v>
      </c>
      <c r="Q17" s="16"/>
      <c r="R17" s="16"/>
      <c r="S17" s="16"/>
      <c r="T17" s="16" t="s">
        <v>656</v>
      </c>
      <c r="U17" s="16" t="s">
        <v>1891</v>
      </c>
      <c r="V17" s="16" t="s">
        <v>1892</v>
      </c>
      <c r="W17" s="16" t="s">
        <v>1893</v>
      </c>
      <c r="X17" s="16" t="s">
        <v>1894</v>
      </c>
      <c r="Y17" s="16" t="s">
        <v>1804</v>
      </c>
      <c r="Z17" s="16" t="s">
        <v>1811</v>
      </c>
      <c r="AA17" s="16" t="s">
        <v>1819</v>
      </c>
      <c r="AB17" s="16" t="s">
        <v>1895</v>
      </c>
      <c r="AC17" s="16" t="s">
        <v>1896</v>
      </c>
      <c r="AD17" s="18">
        <v>15800</v>
      </c>
      <c r="AE17" s="16" t="s">
        <v>1836</v>
      </c>
      <c r="AF17" s="16" t="s">
        <v>1897</v>
      </c>
      <c r="AG17" s="16"/>
      <c r="AH17" s="16"/>
      <c r="AI17" s="16" t="s">
        <v>1808</v>
      </c>
      <c r="AJ17" s="16"/>
      <c r="AK17" s="16"/>
    </row>
    <row r="18" spans="1:37" s="3" customFormat="1" ht="15">
      <c r="A18" s="16" t="s">
        <v>1809</v>
      </c>
      <c r="B18" s="16" t="s">
        <v>1898</v>
      </c>
      <c r="C18" s="16" t="s">
        <v>1899</v>
      </c>
      <c r="D18" s="16"/>
      <c r="E18" s="17" t="s">
        <v>9</v>
      </c>
      <c r="F18" s="16"/>
      <c r="G18" s="16" t="s">
        <v>240</v>
      </c>
      <c r="H18" s="16" t="s">
        <v>1900</v>
      </c>
      <c r="I18" s="16"/>
      <c r="J18" s="16" t="s">
        <v>1813</v>
      </c>
      <c r="K18" s="16"/>
      <c r="L18" s="16" t="s">
        <v>1814</v>
      </c>
      <c r="M18" s="16"/>
      <c r="N18" s="16" t="s">
        <v>1901</v>
      </c>
      <c r="O18" s="16"/>
      <c r="P18" s="16" t="s">
        <v>1902</v>
      </c>
      <c r="Q18" s="16"/>
      <c r="R18" s="16"/>
      <c r="S18" s="16"/>
      <c r="T18" s="16" t="s">
        <v>417</v>
      </c>
      <c r="U18" s="16" t="s">
        <v>334</v>
      </c>
      <c r="V18" s="16" t="s">
        <v>335</v>
      </c>
      <c r="W18" s="16" t="s">
        <v>1903</v>
      </c>
      <c r="X18" s="16" t="s">
        <v>1904</v>
      </c>
      <c r="Y18" s="16" t="s">
        <v>1804</v>
      </c>
      <c r="Z18" s="16" t="s">
        <v>1899</v>
      </c>
      <c r="AA18" s="16" t="s">
        <v>1819</v>
      </c>
      <c r="AB18" s="16" t="s">
        <v>1905</v>
      </c>
      <c r="AC18" s="16" t="s">
        <v>1906</v>
      </c>
      <c r="AD18" s="18">
        <v>2300</v>
      </c>
      <c r="AE18" s="16" t="s">
        <v>1822</v>
      </c>
      <c r="AF18" s="16" t="s">
        <v>1907</v>
      </c>
      <c r="AG18" s="16"/>
      <c r="AH18" s="16"/>
      <c r="AI18" s="16" t="s">
        <v>1808</v>
      </c>
      <c r="AJ18" s="16"/>
      <c r="AK18" s="16"/>
    </row>
    <row r="19" spans="1:37" s="3" customFormat="1" ht="15">
      <c r="A19" s="16" t="s">
        <v>1908</v>
      </c>
      <c r="B19" s="16" t="s">
        <v>1909</v>
      </c>
      <c r="C19" s="16" t="s">
        <v>1270</v>
      </c>
      <c r="D19" s="16"/>
      <c r="E19" s="17" t="s">
        <v>9</v>
      </c>
      <c r="F19" s="16"/>
      <c r="G19" s="16" t="s">
        <v>703</v>
      </c>
      <c r="H19" s="16" t="s">
        <v>1884</v>
      </c>
      <c r="I19" s="16"/>
      <c r="J19" s="16" t="s">
        <v>1799</v>
      </c>
      <c r="K19" s="16" t="s">
        <v>1846</v>
      </c>
      <c r="L19" s="16"/>
      <c r="M19" s="16"/>
      <c r="N19" s="16"/>
      <c r="O19" s="16"/>
      <c r="P19" s="16" t="s">
        <v>1910</v>
      </c>
      <c r="Q19" s="16"/>
      <c r="R19" s="16"/>
      <c r="S19" s="16"/>
      <c r="T19" s="16" t="s">
        <v>1911</v>
      </c>
      <c r="U19" s="16" t="s">
        <v>974</v>
      </c>
      <c r="V19" s="16" t="s">
        <v>1912</v>
      </c>
      <c r="W19" s="16" t="s">
        <v>158</v>
      </c>
      <c r="X19" s="16" t="s">
        <v>1913</v>
      </c>
      <c r="Y19" s="16" t="s">
        <v>1804</v>
      </c>
      <c r="Z19" s="16" t="s">
        <v>1270</v>
      </c>
      <c r="AA19" s="16" t="s">
        <v>1819</v>
      </c>
      <c r="AB19" s="16" t="s">
        <v>1914</v>
      </c>
      <c r="AC19" s="16" t="s">
        <v>1915</v>
      </c>
      <c r="AD19" s="18">
        <v>20300</v>
      </c>
      <c r="AE19" s="16" t="s">
        <v>1916</v>
      </c>
      <c r="AF19" s="16" t="s">
        <v>1917</v>
      </c>
      <c r="AG19" s="16"/>
      <c r="AH19" s="16"/>
      <c r="AI19" s="16" t="s">
        <v>1808</v>
      </c>
      <c r="AJ19" s="16"/>
      <c r="AK19" s="16"/>
    </row>
    <row r="20" spans="1:37" s="3" customFormat="1" ht="15">
      <c r="A20" s="16" t="s">
        <v>1908</v>
      </c>
      <c r="B20" s="16" t="s">
        <v>1918</v>
      </c>
      <c r="C20" s="16" t="s">
        <v>1919</v>
      </c>
      <c r="D20" s="16"/>
      <c r="E20" s="17" t="s">
        <v>9</v>
      </c>
      <c r="F20" s="16"/>
      <c r="G20" s="16" t="s">
        <v>703</v>
      </c>
      <c r="H20" s="16" t="s">
        <v>1870</v>
      </c>
      <c r="I20" s="16"/>
      <c r="J20" s="16" t="s">
        <v>1799</v>
      </c>
      <c r="K20" s="16" t="s">
        <v>1846</v>
      </c>
      <c r="L20" s="16"/>
      <c r="M20" s="16"/>
      <c r="N20" s="16"/>
      <c r="O20" s="16"/>
      <c r="P20" s="16" t="s">
        <v>1920</v>
      </c>
      <c r="Q20" s="16"/>
      <c r="R20" s="16"/>
      <c r="S20" s="16"/>
      <c r="T20" s="16" t="s">
        <v>1911</v>
      </c>
      <c r="U20" s="16" t="s">
        <v>974</v>
      </c>
      <c r="V20" s="16" t="s">
        <v>1912</v>
      </c>
      <c r="W20" s="16" t="s">
        <v>158</v>
      </c>
      <c r="X20" s="16" t="s">
        <v>1921</v>
      </c>
      <c r="Y20" s="16" t="s">
        <v>1804</v>
      </c>
      <c r="Z20" s="16" t="s">
        <v>1919</v>
      </c>
      <c r="AA20" s="16" t="s">
        <v>1819</v>
      </c>
      <c r="AB20" s="16" t="s">
        <v>1914</v>
      </c>
      <c r="AC20" s="16" t="s">
        <v>1915</v>
      </c>
      <c r="AD20" s="18">
        <v>20000</v>
      </c>
      <c r="AE20" s="16" t="s">
        <v>1852</v>
      </c>
      <c r="AF20" s="16" t="s">
        <v>1917</v>
      </c>
      <c r="AG20" s="16"/>
      <c r="AH20" s="16"/>
      <c r="AI20" s="16" t="s">
        <v>1808</v>
      </c>
      <c r="AJ20" s="16"/>
      <c r="AK20" s="16"/>
    </row>
    <row r="21" spans="1:37" s="3" customFormat="1" ht="15">
      <c r="A21" s="16" t="s">
        <v>1922</v>
      </c>
      <c r="B21" s="16" t="s">
        <v>1923</v>
      </c>
      <c r="C21" s="16" t="s">
        <v>633</v>
      </c>
      <c r="D21" s="16"/>
      <c r="E21" s="17" t="s">
        <v>9</v>
      </c>
      <c r="F21" s="16"/>
      <c r="G21" s="16" t="s">
        <v>424</v>
      </c>
      <c r="H21" s="16" t="s">
        <v>1924</v>
      </c>
      <c r="I21" s="16"/>
      <c r="J21" s="16" t="s">
        <v>1813</v>
      </c>
      <c r="K21" s="16"/>
      <c r="L21" s="16" t="s">
        <v>1814</v>
      </c>
      <c r="M21" s="16"/>
      <c r="N21" s="16" t="s">
        <v>1815</v>
      </c>
      <c r="O21" s="16"/>
      <c r="P21" s="16" t="s">
        <v>1925</v>
      </c>
      <c r="Q21" s="16"/>
      <c r="R21" s="16"/>
      <c r="S21" s="16"/>
      <c r="T21" s="16" t="s">
        <v>1118</v>
      </c>
      <c r="U21" s="16" t="s">
        <v>1926</v>
      </c>
      <c r="V21" s="16" t="s">
        <v>1926</v>
      </c>
      <c r="W21" s="16" t="s">
        <v>86</v>
      </c>
      <c r="X21" s="16" t="s">
        <v>1926</v>
      </c>
      <c r="Y21" s="16" t="s">
        <v>1804</v>
      </c>
      <c r="Z21" s="16" t="s">
        <v>633</v>
      </c>
      <c r="AA21" s="16" t="s">
        <v>1819</v>
      </c>
      <c r="AB21" s="16" t="s">
        <v>1927</v>
      </c>
      <c r="AC21" s="16" t="s">
        <v>1928</v>
      </c>
      <c r="AD21" s="18">
        <v>4486.7</v>
      </c>
      <c r="AE21" s="16" t="s">
        <v>1929</v>
      </c>
      <c r="AF21" s="16" t="s">
        <v>1930</v>
      </c>
      <c r="AG21" s="16"/>
      <c r="AH21" s="16"/>
      <c r="AI21" s="16" t="s">
        <v>1808</v>
      </c>
      <c r="AJ21" s="16"/>
      <c r="AK21" s="16"/>
    </row>
    <row r="22" spans="1:37" s="3" customFormat="1" ht="15">
      <c r="A22" s="16" t="s">
        <v>1931</v>
      </c>
      <c r="B22" s="16" t="s">
        <v>1932</v>
      </c>
      <c r="C22" s="16" t="s">
        <v>1933</v>
      </c>
      <c r="D22" s="16"/>
      <c r="E22" s="17" t="s">
        <v>9</v>
      </c>
      <c r="F22" s="16"/>
      <c r="G22" s="16" t="s">
        <v>424</v>
      </c>
      <c r="H22" s="16" t="s">
        <v>1828</v>
      </c>
      <c r="I22" s="16"/>
      <c r="J22" s="16" t="s">
        <v>1813</v>
      </c>
      <c r="K22" s="16"/>
      <c r="L22" s="16" t="s">
        <v>1814</v>
      </c>
      <c r="M22" s="16"/>
      <c r="N22" s="16" t="s">
        <v>1815</v>
      </c>
      <c r="O22" s="16"/>
      <c r="P22" s="16" t="s">
        <v>1934</v>
      </c>
      <c r="Q22" s="16"/>
      <c r="R22" s="16"/>
      <c r="S22" s="16"/>
      <c r="T22" s="16" t="s">
        <v>612</v>
      </c>
      <c r="U22" s="16" t="s">
        <v>883</v>
      </c>
      <c r="V22" s="16" t="s">
        <v>1142</v>
      </c>
      <c r="W22" s="16" t="s">
        <v>86</v>
      </c>
      <c r="X22" s="16" t="s">
        <v>1142</v>
      </c>
      <c r="Y22" s="16" t="s">
        <v>1804</v>
      </c>
      <c r="Z22" s="16" t="s">
        <v>1933</v>
      </c>
      <c r="AA22" s="16" t="s">
        <v>1819</v>
      </c>
      <c r="AB22" s="16" t="s">
        <v>1927</v>
      </c>
      <c r="AC22" s="16" t="s">
        <v>1928</v>
      </c>
      <c r="AD22" s="18">
        <v>2967.8</v>
      </c>
      <c r="AE22" s="16" t="s">
        <v>1935</v>
      </c>
      <c r="AF22" s="16" t="s">
        <v>1936</v>
      </c>
      <c r="AG22" s="16" t="s">
        <v>470</v>
      </c>
      <c r="AH22" s="16"/>
      <c r="AI22" s="16" t="s">
        <v>1808</v>
      </c>
      <c r="AJ22" s="16"/>
      <c r="AK22" s="16"/>
    </row>
    <row r="23" spans="1:37" s="3" customFormat="1" ht="15">
      <c r="A23" s="16" t="s">
        <v>1931</v>
      </c>
      <c r="B23" s="16" t="s">
        <v>1937</v>
      </c>
      <c r="C23" s="16" t="s">
        <v>1933</v>
      </c>
      <c r="D23" s="16"/>
      <c r="E23" s="17" t="s">
        <v>9</v>
      </c>
      <c r="F23" s="16"/>
      <c r="G23" s="16" t="s">
        <v>424</v>
      </c>
      <c r="H23" s="16" t="s">
        <v>1828</v>
      </c>
      <c r="I23" s="16"/>
      <c r="J23" s="16" t="s">
        <v>1813</v>
      </c>
      <c r="K23" s="16"/>
      <c r="L23" s="16" t="s">
        <v>1814</v>
      </c>
      <c r="M23" s="16"/>
      <c r="N23" s="16" t="s">
        <v>1815</v>
      </c>
      <c r="O23" s="16"/>
      <c r="P23" s="16" t="s">
        <v>1934</v>
      </c>
      <c r="Q23" s="16"/>
      <c r="R23" s="16"/>
      <c r="S23" s="16"/>
      <c r="T23" s="16" t="s">
        <v>612</v>
      </c>
      <c r="U23" s="16" t="s">
        <v>883</v>
      </c>
      <c r="V23" s="16" t="s">
        <v>1142</v>
      </c>
      <c r="W23" s="16" t="s">
        <v>86</v>
      </c>
      <c r="X23" s="16" t="s">
        <v>1142</v>
      </c>
      <c r="Y23" s="16" t="s">
        <v>1804</v>
      </c>
      <c r="Z23" s="16" t="s">
        <v>1933</v>
      </c>
      <c r="AA23" s="16" t="s">
        <v>1819</v>
      </c>
      <c r="AB23" s="16" t="s">
        <v>1927</v>
      </c>
      <c r="AC23" s="16" t="s">
        <v>1928</v>
      </c>
      <c r="AD23" s="18">
        <v>3298.8</v>
      </c>
      <c r="AE23" s="16" t="s">
        <v>1935</v>
      </c>
      <c r="AF23" s="16" t="s">
        <v>1936</v>
      </c>
      <c r="AG23" s="16"/>
      <c r="AH23" s="16"/>
      <c r="AI23" s="16" t="s">
        <v>1808</v>
      </c>
      <c r="AJ23" s="16"/>
      <c r="AK23" s="16"/>
    </row>
    <row r="24" spans="1:37" s="3" customFormat="1" ht="15">
      <c r="A24" s="16" t="s">
        <v>1931</v>
      </c>
      <c r="B24" s="16" t="s">
        <v>1938</v>
      </c>
      <c r="C24" s="16" t="s">
        <v>1933</v>
      </c>
      <c r="D24" s="16"/>
      <c r="E24" s="17" t="s">
        <v>9</v>
      </c>
      <c r="F24" s="16"/>
      <c r="G24" s="16" t="s">
        <v>424</v>
      </c>
      <c r="H24" s="16" t="s">
        <v>1828</v>
      </c>
      <c r="I24" s="16"/>
      <c r="J24" s="16" t="s">
        <v>1813</v>
      </c>
      <c r="K24" s="16"/>
      <c r="L24" s="16" t="s">
        <v>1814</v>
      </c>
      <c r="M24" s="16"/>
      <c r="N24" s="16" t="s">
        <v>1815</v>
      </c>
      <c r="O24" s="16"/>
      <c r="P24" s="16" t="s">
        <v>1934</v>
      </c>
      <c r="Q24" s="16"/>
      <c r="R24" s="16"/>
      <c r="S24" s="16"/>
      <c r="T24" s="16" t="s">
        <v>612</v>
      </c>
      <c r="U24" s="16" t="s">
        <v>883</v>
      </c>
      <c r="V24" s="16" t="s">
        <v>1142</v>
      </c>
      <c r="W24" s="16" t="s">
        <v>86</v>
      </c>
      <c r="X24" s="16" t="s">
        <v>1142</v>
      </c>
      <c r="Y24" s="16" t="s">
        <v>1804</v>
      </c>
      <c r="Z24" s="16" t="s">
        <v>1933</v>
      </c>
      <c r="AA24" s="16" t="s">
        <v>1819</v>
      </c>
      <c r="AB24" s="16" t="s">
        <v>1927</v>
      </c>
      <c r="AC24" s="16" t="s">
        <v>1928</v>
      </c>
      <c r="AD24" s="18">
        <v>1592.3</v>
      </c>
      <c r="AE24" s="16" t="s">
        <v>1935</v>
      </c>
      <c r="AF24" s="16" t="s">
        <v>1936</v>
      </c>
      <c r="AG24" s="16"/>
      <c r="AH24" s="16"/>
      <c r="AI24" s="16" t="s">
        <v>1808</v>
      </c>
      <c r="AJ24" s="16"/>
      <c r="AK24" s="16"/>
    </row>
    <row r="25" spans="1:37" s="3" customFormat="1" ht="15">
      <c r="A25" s="16" t="s">
        <v>1931</v>
      </c>
      <c r="B25" s="16" t="s">
        <v>1939</v>
      </c>
      <c r="C25" s="16" t="s">
        <v>1933</v>
      </c>
      <c r="D25" s="16"/>
      <c r="E25" s="17" t="s">
        <v>9</v>
      </c>
      <c r="F25" s="16"/>
      <c r="G25" s="16" t="s">
        <v>424</v>
      </c>
      <c r="H25" s="16" t="s">
        <v>1828</v>
      </c>
      <c r="I25" s="16"/>
      <c r="J25" s="16" t="s">
        <v>1813</v>
      </c>
      <c r="K25" s="16"/>
      <c r="L25" s="16" t="s">
        <v>1814</v>
      </c>
      <c r="M25" s="16"/>
      <c r="N25" s="16" t="s">
        <v>1815</v>
      </c>
      <c r="O25" s="16"/>
      <c r="P25" s="16" t="s">
        <v>1934</v>
      </c>
      <c r="Q25" s="16"/>
      <c r="R25" s="16"/>
      <c r="S25" s="16"/>
      <c r="T25" s="16" t="s">
        <v>612</v>
      </c>
      <c r="U25" s="16" t="s">
        <v>883</v>
      </c>
      <c r="V25" s="16" t="s">
        <v>1142</v>
      </c>
      <c r="W25" s="16" t="s">
        <v>86</v>
      </c>
      <c r="X25" s="16" t="s">
        <v>1142</v>
      </c>
      <c r="Y25" s="16" t="s">
        <v>1804</v>
      </c>
      <c r="Z25" s="16" t="s">
        <v>1933</v>
      </c>
      <c r="AA25" s="16" t="s">
        <v>1819</v>
      </c>
      <c r="AB25" s="16" t="s">
        <v>1927</v>
      </c>
      <c r="AC25" s="16" t="s">
        <v>1928</v>
      </c>
      <c r="AD25" s="18">
        <v>5341.1</v>
      </c>
      <c r="AE25" s="16" t="s">
        <v>1935</v>
      </c>
      <c r="AF25" s="16" t="s">
        <v>1936</v>
      </c>
      <c r="AG25" s="16"/>
      <c r="AH25" s="16"/>
      <c r="AI25" s="16" t="s">
        <v>1808</v>
      </c>
      <c r="AJ25" s="16"/>
      <c r="AK25" s="16"/>
    </row>
    <row r="26" spans="1:37" s="3" customFormat="1" ht="15">
      <c r="A26" s="16" t="s">
        <v>1931</v>
      </c>
      <c r="B26" s="16" t="s">
        <v>1940</v>
      </c>
      <c r="C26" s="16" t="s">
        <v>1933</v>
      </c>
      <c r="D26" s="16"/>
      <c r="E26" s="17" t="s">
        <v>9</v>
      </c>
      <c r="F26" s="16"/>
      <c r="G26" s="16" t="s">
        <v>424</v>
      </c>
      <c r="H26" s="16" t="s">
        <v>1828</v>
      </c>
      <c r="I26" s="16"/>
      <c r="J26" s="16" t="s">
        <v>1813</v>
      </c>
      <c r="K26" s="16"/>
      <c r="L26" s="16" t="s">
        <v>1814</v>
      </c>
      <c r="M26" s="16"/>
      <c r="N26" s="16" t="s">
        <v>1815</v>
      </c>
      <c r="O26" s="16"/>
      <c r="P26" s="16" t="s">
        <v>1934</v>
      </c>
      <c r="Q26" s="16"/>
      <c r="R26" s="16"/>
      <c r="S26" s="16"/>
      <c r="T26" s="16" t="s">
        <v>612</v>
      </c>
      <c r="U26" s="16" t="s">
        <v>883</v>
      </c>
      <c r="V26" s="16" t="s">
        <v>1142</v>
      </c>
      <c r="W26" s="16" t="s">
        <v>86</v>
      </c>
      <c r="X26" s="16" t="s">
        <v>1142</v>
      </c>
      <c r="Y26" s="16" t="s">
        <v>1804</v>
      </c>
      <c r="Z26" s="16" t="s">
        <v>1933</v>
      </c>
      <c r="AA26" s="16" t="s">
        <v>1819</v>
      </c>
      <c r="AB26" s="16" t="s">
        <v>1927</v>
      </c>
      <c r="AC26" s="16" t="s">
        <v>1928</v>
      </c>
      <c r="AD26" s="18">
        <v>3770.2</v>
      </c>
      <c r="AE26" s="16" t="s">
        <v>1935</v>
      </c>
      <c r="AF26" s="16" t="s">
        <v>1936</v>
      </c>
      <c r="AG26" s="16"/>
      <c r="AH26" s="16"/>
      <c r="AI26" s="16" t="s">
        <v>1808</v>
      </c>
      <c r="AJ26" s="16"/>
      <c r="AK26" s="16"/>
    </row>
    <row r="27" spans="1:37" s="3" customFormat="1" ht="15">
      <c r="A27" s="16" t="s">
        <v>1931</v>
      </c>
      <c r="B27" s="16" t="s">
        <v>1941</v>
      </c>
      <c r="C27" s="16" t="s">
        <v>1933</v>
      </c>
      <c r="D27" s="16"/>
      <c r="E27" s="17" t="s">
        <v>9</v>
      </c>
      <c r="F27" s="16"/>
      <c r="G27" s="16" t="s">
        <v>424</v>
      </c>
      <c r="H27" s="16" t="s">
        <v>1828</v>
      </c>
      <c r="I27" s="16"/>
      <c r="J27" s="16" t="s">
        <v>1813</v>
      </c>
      <c r="K27" s="16"/>
      <c r="L27" s="16" t="s">
        <v>1814</v>
      </c>
      <c r="M27" s="16"/>
      <c r="N27" s="16" t="s">
        <v>1815</v>
      </c>
      <c r="O27" s="16"/>
      <c r="P27" s="16" t="s">
        <v>1934</v>
      </c>
      <c r="Q27" s="16"/>
      <c r="R27" s="16"/>
      <c r="S27" s="16"/>
      <c r="T27" s="16" t="s">
        <v>612</v>
      </c>
      <c r="U27" s="16" t="s">
        <v>883</v>
      </c>
      <c r="V27" s="16" t="s">
        <v>1142</v>
      </c>
      <c r="W27" s="16" t="s">
        <v>86</v>
      </c>
      <c r="X27" s="16" t="s">
        <v>1142</v>
      </c>
      <c r="Y27" s="16" t="s">
        <v>1804</v>
      </c>
      <c r="Z27" s="16" t="s">
        <v>1933</v>
      </c>
      <c r="AA27" s="16" t="s">
        <v>1819</v>
      </c>
      <c r="AB27" s="16" t="s">
        <v>1927</v>
      </c>
      <c r="AC27" s="16" t="s">
        <v>1928</v>
      </c>
      <c r="AD27" s="18">
        <v>3112.6</v>
      </c>
      <c r="AE27" s="16" t="s">
        <v>1935</v>
      </c>
      <c r="AF27" s="16" t="s">
        <v>1936</v>
      </c>
      <c r="AG27" s="16"/>
      <c r="AH27" s="16"/>
      <c r="AI27" s="16" t="s">
        <v>1808</v>
      </c>
      <c r="AJ27" s="16"/>
      <c r="AK27" s="16"/>
    </row>
    <row r="28" spans="1:37" s="3" customFormat="1" ht="15">
      <c r="A28" s="16" t="s">
        <v>1931</v>
      </c>
      <c r="B28" s="16" t="s">
        <v>1942</v>
      </c>
      <c r="C28" s="16" t="s">
        <v>1933</v>
      </c>
      <c r="D28" s="16"/>
      <c r="E28" s="17" t="s">
        <v>9</v>
      </c>
      <c r="F28" s="16"/>
      <c r="G28" s="16" t="s">
        <v>424</v>
      </c>
      <c r="H28" s="16" t="s">
        <v>1828</v>
      </c>
      <c r="I28" s="16"/>
      <c r="J28" s="16" t="s">
        <v>1813</v>
      </c>
      <c r="K28" s="16"/>
      <c r="L28" s="16" t="s">
        <v>1814</v>
      </c>
      <c r="M28" s="16"/>
      <c r="N28" s="16" t="s">
        <v>1815</v>
      </c>
      <c r="O28" s="16"/>
      <c r="P28" s="16" t="s">
        <v>1934</v>
      </c>
      <c r="Q28" s="16"/>
      <c r="R28" s="16"/>
      <c r="S28" s="16"/>
      <c r="T28" s="16" t="s">
        <v>612</v>
      </c>
      <c r="U28" s="16" t="s">
        <v>883</v>
      </c>
      <c r="V28" s="16" t="s">
        <v>1142</v>
      </c>
      <c r="W28" s="16" t="s">
        <v>86</v>
      </c>
      <c r="X28" s="16" t="s">
        <v>1142</v>
      </c>
      <c r="Y28" s="16" t="s">
        <v>1804</v>
      </c>
      <c r="Z28" s="16" t="s">
        <v>1933</v>
      </c>
      <c r="AA28" s="16" t="s">
        <v>1819</v>
      </c>
      <c r="AB28" s="16" t="s">
        <v>1927</v>
      </c>
      <c r="AC28" s="16" t="s">
        <v>1928</v>
      </c>
      <c r="AD28" s="18">
        <v>0</v>
      </c>
      <c r="AE28" s="16" t="s">
        <v>1935</v>
      </c>
      <c r="AF28" s="16" t="s">
        <v>1943</v>
      </c>
      <c r="AG28" s="16"/>
      <c r="AH28" s="16"/>
      <c r="AI28" s="16" t="s">
        <v>1808</v>
      </c>
      <c r="AJ28" s="16"/>
      <c r="AK28" s="16"/>
    </row>
    <row r="29" spans="1:37" s="3" customFormat="1" ht="15">
      <c r="A29" s="16" t="s">
        <v>1931</v>
      </c>
      <c r="B29" s="16" t="s">
        <v>1944</v>
      </c>
      <c r="C29" s="16" t="s">
        <v>1933</v>
      </c>
      <c r="D29" s="16"/>
      <c r="E29" s="17" t="s">
        <v>9</v>
      </c>
      <c r="F29" s="16"/>
      <c r="G29" s="16" t="s">
        <v>424</v>
      </c>
      <c r="H29" s="16" t="s">
        <v>1828</v>
      </c>
      <c r="I29" s="16"/>
      <c r="J29" s="16" t="s">
        <v>1813</v>
      </c>
      <c r="K29" s="16"/>
      <c r="L29" s="16" t="s">
        <v>1814</v>
      </c>
      <c r="M29" s="16"/>
      <c r="N29" s="16" t="s">
        <v>1815</v>
      </c>
      <c r="O29" s="16"/>
      <c r="P29" s="16" t="s">
        <v>1934</v>
      </c>
      <c r="Q29" s="16"/>
      <c r="R29" s="16"/>
      <c r="S29" s="16"/>
      <c r="T29" s="16" t="s">
        <v>612</v>
      </c>
      <c r="U29" s="16" t="s">
        <v>883</v>
      </c>
      <c r="V29" s="16" t="s">
        <v>1142</v>
      </c>
      <c r="W29" s="16" t="s">
        <v>330</v>
      </c>
      <c r="X29" s="16" t="s">
        <v>1142</v>
      </c>
      <c r="Y29" s="16" t="s">
        <v>1804</v>
      </c>
      <c r="Z29" s="16" t="s">
        <v>1933</v>
      </c>
      <c r="AA29" s="16" t="s">
        <v>1819</v>
      </c>
      <c r="AB29" s="16" t="s">
        <v>1927</v>
      </c>
      <c r="AC29" s="16" t="s">
        <v>1928</v>
      </c>
      <c r="AD29" s="18">
        <v>0</v>
      </c>
      <c r="AE29" s="16" t="s">
        <v>1935</v>
      </c>
      <c r="AF29" s="16" t="s">
        <v>1943</v>
      </c>
      <c r="AG29" s="16"/>
      <c r="AH29" s="16"/>
      <c r="AI29" s="16" t="s">
        <v>1808</v>
      </c>
      <c r="AJ29" s="16"/>
      <c r="AK29" s="16"/>
    </row>
    <row r="30" spans="1:37" s="3" customFormat="1" ht="15">
      <c r="A30" s="16" t="s">
        <v>1931</v>
      </c>
      <c r="B30" s="16" t="s">
        <v>1945</v>
      </c>
      <c r="C30" s="16" t="s">
        <v>1933</v>
      </c>
      <c r="D30" s="16"/>
      <c r="E30" s="17" t="s">
        <v>9</v>
      </c>
      <c r="F30" s="16"/>
      <c r="G30" s="16" t="s">
        <v>424</v>
      </c>
      <c r="H30" s="16" t="s">
        <v>1828</v>
      </c>
      <c r="I30" s="16"/>
      <c r="J30" s="16" t="s">
        <v>1813</v>
      </c>
      <c r="K30" s="16"/>
      <c r="L30" s="16" t="s">
        <v>1814</v>
      </c>
      <c r="M30" s="16"/>
      <c r="N30" s="16" t="s">
        <v>1815</v>
      </c>
      <c r="O30" s="16"/>
      <c r="P30" s="16" t="s">
        <v>1934</v>
      </c>
      <c r="Q30" s="16"/>
      <c r="R30" s="16"/>
      <c r="S30" s="16"/>
      <c r="T30" s="16" t="s">
        <v>612</v>
      </c>
      <c r="U30" s="16" t="s">
        <v>883</v>
      </c>
      <c r="V30" s="16" t="s">
        <v>1142</v>
      </c>
      <c r="W30" s="16" t="s">
        <v>86</v>
      </c>
      <c r="X30" s="16" t="s">
        <v>1142</v>
      </c>
      <c r="Y30" s="16" t="s">
        <v>1804</v>
      </c>
      <c r="Z30" s="16" t="s">
        <v>1933</v>
      </c>
      <c r="AA30" s="16" t="s">
        <v>1819</v>
      </c>
      <c r="AB30" s="16" t="s">
        <v>1927</v>
      </c>
      <c r="AC30" s="16" t="s">
        <v>1928</v>
      </c>
      <c r="AD30" s="18">
        <v>0</v>
      </c>
      <c r="AE30" s="16" t="s">
        <v>1935</v>
      </c>
      <c r="AF30" s="16" t="s">
        <v>1943</v>
      </c>
      <c r="AG30" s="16"/>
      <c r="AH30" s="16"/>
      <c r="AI30" s="16" t="s">
        <v>1808</v>
      </c>
      <c r="AJ30" s="16"/>
      <c r="AK30" s="16"/>
    </row>
    <row r="31" spans="1:37" s="3" customFormat="1" ht="15">
      <c r="A31" s="16" t="s">
        <v>1931</v>
      </c>
      <c r="B31" s="16" t="s">
        <v>1946</v>
      </c>
      <c r="C31" s="16" t="s">
        <v>1947</v>
      </c>
      <c r="D31" s="16"/>
      <c r="E31" s="17" t="s">
        <v>9</v>
      </c>
      <c r="F31" s="16"/>
      <c r="G31" s="16" t="s">
        <v>441</v>
      </c>
      <c r="H31" s="16" t="s">
        <v>1948</v>
      </c>
      <c r="I31" s="16"/>
      <c r="J31" s="16" t="s">
        <v>1813</v>
      </c>
      <c r="K31" s="16"/>
      <c r="L31" s="16" t="s">
        <v>1871</v>
      </c>
      <c r="M31" s="16"/>
      <c r="N31" s="16"/>
      <c r="O31" s="16"/>
      <c r="P31" s="16" t="s">
        <v>1949</v>
      </c>
      <c r="Q31" s="16"/>
      <c r="R31" s="16"/>
      <c r="S31" s="16"/>
      <c r="T31" s="16" t="s">
        <v>612</v>
      </c>
      <c r="U31" s="16" t="s">
        <v>362</v>
      </c>
      <c r="V31" s="16" t="s">
        <v>363</v>
      </c>
      <c r="W31" s="16" t="s">
        <v>445</v>
      </c>
      <c r="X31" s="16" t="s">
        <v>1950</v>
      </c>
      <c r="Y31" s="16" t="s">
        <v>1804</v>
      </c>
      <c r="Z31" s="16" t="s">
        <v>1947</v>
      </c>
      <c r="AA31" s="16" t="s">
        <v>1819</v>
      </c>
      <c r="AB31" s="16" t="s">
        <v>1951</v>
      </c>
      <c r="AC31" s="16" t="s">
        <v>1952</v>
      </c>
      <c r="AD31" s="18">
        <v>3692</v>
      </c>
      <c r="AE31" s="16" t="s">
        <v>1953</v>
      </c>
      <c r="AF31" s="16" t="s">
        <v>1954</v>
      </c>
      <c r="AG31" s="16"/>
      <c r="AH31" s="16"/>
      <c r="AI31" s="16" t="s">
        <v>1808</v>
      </c>
      <c r="AJ31" s="16"/>
      <c r="AK31" s="16"/>
    </row>
    <row r="32" spans="1:37" s="3" customFormat="1" ht="15">
      <c r="A32" s="16" t="s">
        <v>1852</v>
      </c>
      <c r="B32" s="16" t="s">
        <v>1955</v>
      </c>
      <c r="C32" s="16" t="s">
        <v>1270</v>
      </c>
      <c r="D32" s="16"/>
      <c r="E32" s="17" t="s">
        <v>9</v>
      </c>
      <c r="F32" s="16"/>
      <c r="G32" s="16" t="s">
        <v>703</v>
      </c>
      <c r="H32" s="16" t="s">
        <v>1956</v>
      </c>
      <c r="I32" s="16"/>
      <c r="J32" s="16" t="s">
        <v>1799</v>
      </c>
      <c r="K32" s="16" t="s">
        <v>1846</v>
      </c>
      <c r="L32" s="16"/>
      <c r="M32" s="16"/>
      <c r="N32" s="16"/>
      <c r="O32" s="16"/>
      <c r="P32" s="16" t="s">
        <v>1957</v>
      </c>
      <c r="Q32" s="16"/>
      <c r="R32" s="16"/>
      <c r="S32" s="16"/>
      <c r="T32" s="16" t="s">
        <v>433</v>
      </c>
      <c r="U32" s="16" t="s">
        <v>974</v>
      </c>
      <c r="V32" s="16" t="s">
        <v>1912</v>
      </c>
      <c r="W32" s="16" t="s">
        <v>158</v>
      </c>
      <c r="X32" s="16" t="s">
        <v>1913</v>
      </c>
      <c r="Y32" s="16" t="s">
        <v>1804</v>
      </c>
      <c r="Z32" s="16" t="s">
        <v>1270</v>
      </c>
      <c r="AA32" s="16" t="s">
        <v>1819</v>
      </c>
      <c r="AB32" s="16" t="s">
        <v>1914</v>
      </c>
      <c r="AC32" s="16" t="s">
        <v>1915</v>
      </c>
      <c r="AD32" s="18">
        <v>25500</v>
      </c>
      <c r="AE32" s="16" t="s">
        <v>1958</v>
      </c>
      <c r="AF32" s="16" t="s">
        <v>1959</v>
      </c>
      <c r="AG32" s="16"/>
      <c r="AH32" s="16"/>
      <c r="AI32" s="16" t="s">
        <v>1808</v>
      </c>
      <c r="AJ32" s="16"/>
      <c r="AK32" s="16"/>
    </row>
    <row r="33" spans="1:37" s="3" customFormat="1" ht="15">
      <c r="A33" s="16" t="s">
        <v>1960</v>
      </c>
      <c r="B33" s="16" t="s">
        <v>1961</v>
      </c>
      <c r="C33" s="16" t="s">
        <v>1811</v>
      </c>
      <c r="D33" s="16"/>
      <c r="E33" s="17" t="s">
        <v>9</v>
      </c>
      <c r="F33" s="16"/>
      <c r="G33" s="16" t="s">
        <v>1962</v>
      </c>
      <c r="H33" s="16" t="s">
        <v>1845</v>
      </c>
      <c r="I33" s="16"/>
      <c r="J33" s="16" t="s">
        <v>1813</v>
      </c>
      <c r="K33" s="16"/>
      <c r="L33" s="16" t="s">
        <v>1871</v>
      </c>
      <c r="M33" s="16"/>
      <c r="N33" s="16"/>
      <c r="O33" s="16"/>
      <c r="P33" s="16" t="s">
        <v>1963</v>
      </c>
      <c r="Q33" s="16"/>
      <c r="R33" s="16"/>
      <c r="S33" s="16"/>
      <c r="T33" s="16" t="s">
        <v>1284</v>
      </c>
      <c r="U33" s="16" t="s">
        <v>1964</v>
      </c>
      <c r="V33" s="16" t="s">
        <v>1965</v>
      </c>
      <c r="W33" s="16" t="s">
        <v>1818</v>
      </c>
      <c r="X33" s="16" t="s">
        <v>1966</v>
      </c>
      <c r="Y33" s="16" t="s">
        <v>1804</v>
      </c>
      <c r="Z33" s="16" t="s">
        <v>1811</v>
      </c>
      <c r="AA33" s="16" t="s">
        <v>1819</v>
      </c>
      <c r="AB33" s="16" t="s">
        <v>1967</v>
      </c>
      <c r="AC33" s="16" t="s">
        <v>1968</v>
      </c>
      <c r="AD33" s="18">
        <v>11700</v>
      </c>
      <c r="AE33" s="16" t="s">
        <v>1960</v>
      </c>
      <c r="AF33" s="16" t="s">
        <v>1969</v>
      </c>
      <c r="AG33" s="16"/>
      <c r="AH33" s="16"/>
      <c r="AI33" s="16" t="s">
        <v>1808</v>
      </c>
      <c r="AJ33" s="16"/>
      <c r="AK33" s="16"/>
    </row>
    <row r="34" spans="1:37" s="3" customFormat="1" ht="15">
      <c r="A34" s="16" t="s">
        <v>1958</v>
      </c>
      <c r="B34" s="16" t="s">
        <v>1970</v>
      </c>
      <c r="C34" s="16" t="s">
        <v>1811</v>
      </c>
      <c r="D34" s="16" t="s">
        <v>1808</v>
      </c>
      <c r="E34" s="17" t="s">
        <v>9</v>
      </c>
      <c r="F34" s="16"/>
      <c r="G34" s="16" t="s">
        <v>240</v>
      </c>
      <c r="H34" s="16" t="s">
        <v>1845</v>
      </c>
      <c r="I34" s="16"/>
      <c r="J34" s="16" t="s">
        <v>1799</v>
      </c>
      <c r="K34" s="16" t="s">
        <v>1846</v>
      </c>
      <c r="L34" s="16"/>
      <c r="M34" s="16"/>
      <c r="N34" s="16"/>
      <c r="O34" s="16"/>
      <c r="P34" s="16" t="s">
        <v>1971</v>
      </c>
      <c r="Q34" s="16"/>
      <c r="R34" s="16"/>
      <c r="S34" s="16"/>
      <c r="T34" s="16" t="s">
        <v>395</v>
      </c>
      <c r="U34" s="16" t="s">
        <v>334</v>
      </c>
      <c r="V34" s="16" t="s">
        <v>335</v>
      </c>
      <c r="W34" s="16" t="s">
        <v>1972</v>
      </c>
      <c r="X34" s="16" t="s">
        <v>1904</v>
      </c>
      <c r="Y34" s="16" t="s">
        <v>1804</v>
      </c>
      <c r="Z34" s="16" t="s">
        <v>1811</v>
      </c>
      <c r="AA34" s="16" t="s">
        <v>1819</v>
      </c>
      <c r="AB34" s="16" t="s">
        <v>1905</v>
      </c>
      <c r="AC34" s="16" t="s">
        <v>1906</v>
      </c>
      <c r="AD34" s="18">
        <v>95500</v>
      </c>
      <c r="AE34" s="16" t="s">
        <v>1958</v>
      </c>
      <c r="AF34" s="16" t="s">
        <v>1973</v>
      </c>
      <c r="AG34" s="16"/>
      <c r="AH34" s="16"/>
      <c r="AI34" s="16" t="s">
        <v>1808</v>
      </c>
      <c r="AJ34" s="16"/>
      <c r="AK34" s="16"/>
    </row>
    <row r="35" spans="1:37" s="3" customFormat="1" ht="15">
      <c r="A35" s="16" t="s">
        <v>1974</v>
      </c>
      <c r="B35" s="16" t="s">
        <v>1975</v>
      </c>
      <c r="C35" s="16" t="s">
        <v>470</v>
      </c>
      <c r="D35" s="16"/>
      <c r="E35" s="17" t="s">
        <v>9</v>
      </c>
      <c r="F35" s="16"/>
      <c r="G35" s="16" t="s">
        <v>314</v>
      </c>
      <c r="H35" s="16" t="s">
        <v>1828</v>
      </c>
      <c r="I35" s="16"/>
      <c r="J35" s="16" t="s">
        <v>1813</v>
      </c>
      <c r="K35" s="16"/>
      <c r="L35" s="16" t="s">
        <v>1814</v>
      </c>
      <c r="M35" s="16"/>
      <c r="N35" s="16" t="s">
        <v>1815</v>
      </c>
      <c r="O35" s="16"/>
      <c r="P35" s="16" t="s">
        <v>1976</v>
      </c>
      <c r="Q35" s="16"/>
      <c r="R35" s="16"/>
      <c r="S35" s="16"/>
      <c r="T35" s="16" t="s">
        <v>814</v>
      </c>
      <c r="U35" s="16" t="s">
        <v>245</v>
      </c>
      <c r="V35" s="16" t="s">
        <v>1977</v>
      </c>
      <c r="W35" s="16" t="s">
        <v>330</v>
      </c>
      <c r="X35" s="16" t="s">
        <v>1977</v>
      </c>
      <c r="Y35" s="16" t="s">
        <v>1804</v>
      </c>
      <c r="Z35" s="16" t="s">
        <v>470</v>
      </c>
      <c r="AA35" s="16" t="s">
        <v>1819</v>
      </c>
      <c r="AB35" s="16" t="s">
        <v>1978</v>
      </c>
      <c r="AC35" s="16" t="s">
        <v>1979</v>
      </c>
      <c r="AD35" s="18">
        <v>518.20000000000005</v>
      </c>
      <c r="AE35" s="16" t="s">
        <v>1882</v>
      </c>
      <c r="AF35" s="16" t="s">
        <v>1980</v>
      </c>
      <c r="AG35" s="16"/>
      <c r="AH35" s="16"/>
      <c r="AI35" s="16" t="s">
        <v>1808</v>
      </c>
      <c r="AJ35" s="16"/>
      <c r="AK35" s="16"/>
    </row>
    <row r="36" spans="1:37" s="3" customFormat="1" ht="15">
      <c r="A36" s="16" t="s">
        <v>1974</v>
      </c>
      <c r="B36" s="16" t="s">
        <v>1981</v>
      </c>
      <c r="C36" s="16" t="s">
        <v>470</v>
      </c>
      <c r="D36" s="16"/>
      <c r="E36" s="17" t="s">
        <v>9</v>
      </c>
      <c r="F36" s="16"/>
      <c r="G36" s="16" t="s">
        <v>314</v>
      </c>
      <c r="H36" s="16" t="s">
        <v>1828</v>
      </c>
      <c r="I36" s="16"/>
      <c r="J36" s="16" t="s">
        <v>1813</v>
      </c>
      <c r="K36" s="16"/>
      <c r="L36" s="16" t="s">
        <v>1814</v>
      </c>
      <c r="M36" s="16"/>
      <c r="N36" s="16" t="s">
        <v>1815</v>
      </c>
      <c r="O36" s="16"/>
      <c r="P36" s="16" t="s">
        <v>1976</v>
      </c>
      <c r="Q36" s="16"/>
      <c r="R36" s="16"/>
      <c r="S36" s="16"/>
      <c r="T36" s="16" t="s">
        <v>814</v>
      </c>
      <c r="U36" s="16" t="s">
        <v>245</v>
      </c>
      <c r="V36" s="16" t="s">
        <v>1982</v>
      </c>
      <c r="W36" s="16" t="s">
        <v>330</v>
      </c>
      <c r="X36" s="16" t="s">
        <v>1982</v>
      </c>
      <c r="Y36" s="16" t="s">
        <v>1804</v>
      </c>
      <c r="Z36" s="16" t="s">
        <v>470</v>
      </c>
      <c r="AA36" s="16" t="s">
        <v>1819</v>
      </c>
      <c r="AB36" s="16" t="s">
        <v>1978</v>
      </c>
      <c r="AC36" s="16" t="s">
        <v>1979</v>
      </c>
      <c r="AD36" s="18">
        <v>800</v>
      </c>
      <c r="AE36" s="16" t="s">
        <v>1882</v>
      </c>
      <c r="AF36" s="16" t="s">
        <v>1980</v>
      </c>
      <c r="AG36" s="16"/>
      <c r="AH36" s="16"/>
      <c r="AI36" s="16" t="s">
        <v>1808</v>
      </c>
      <c r="AJ36" s="16"/>
      <c r="AK36" s="16"/>
    </row>
    <row r="37" spans="1:37" s="3" customFormat="1" ht="15">
      <c r="A37" s="16" t="s">
        <v>1935</v>
      </c>
      <c r="B37" s="16" t="s">
        <v>1983</v>
      </c>
      <c r="C37" s="16" t="s">
        <v>1899</v>
      </c>
      <c r="D37" s="16" t="s">
        <v>1808</v>
      </c>
      <c r="E37" s="17" t="s">
        <v>9</v>
      </c>
      <c r="F37" s="16"/>
      <c r="G37" s="16" t="s">
        <v>441</v>
      </c>
      <c r="H37" s="16" t="s">
        <v>1900</v>
      </c>
      <c r="I37" s="16"/>
      <c r="J37" s="16" t="s">
        <v>1813</v>
      </c>
      <c r="K37" s="16"/>
      <c r="L37" s="16" t="s">
        <v>1814</v>
      </c>
      <c r="M37" s="16"/>
      <c r="N37" s="16" t="s">
        <v>1901</v>
      </c>
      <c r="O37" s="16"/>
      <c r="P37" s="16" t="s">
        <v>1984</v>
      </c>
      <c r="Q37" s="16"/>
      <c r="R37" s="16"/>
      <c r="S37" s="16"/>
      <c r="T37" s="16" t="s">
        <v>1985</v>
      </c>
      <c r="U37" s="16" t="s">
        <v>1986</v>
      </c>
      <c r="V37" s="16" t="s">
        <v>1986</v>
      </c>
      <c r="W37" s="16" t="s">
        <v>548</v>
      </c>
      <c r="X37" s="16" t="s">
        <v>1986</v>
      </c>
      <c r="Y37" s="16" t="s">
        <v>1804</v>
      </c>
      <c r="Z37" s="16" t="s">
        <v>1899</v>
      </c>
      <c r="AA37" s="16" t="s">
        <v>1819</v>
      </c>
      <c r="AB37" s="16" t="s">
        <v>1987</v>
      </c>
      <c r="AC37" s="16" t="s">
        <v>1988</v>
      </c>
      <c r="AD37" s="18">
        <v>10600</v>
      </c>
      <c r="AE37" s="16" t="s">
        <v>1935</v>
      </c>
      <c r="AF37" s="16" t="s">
        <v>1989</v>
      </c>
      <c r="AG37" s="16"/>
      <c r="AH37" s="16"/>
      <c r="AI37" s="16" t="s">
        <v>1808</v>
      </c>
      <c r="AJ37" s="16"/>
      <c r="AK37" s="16"/>
    </row>
    <row r="38" spans="1:37" s="3" customFormat="1" ht="15">
      <c r="A38" s="16" t="s">
        <v>1935</v>
      </c>
      <c r="B38" s="16" t="s">
        <v>1990</v>
      </c>
      <c r="C38" s="16" t="s">
        <v>1991</v>
      </c>
      <c r="D38" s="16"/>
      <c r="E38" s="17" t="s">
        <v>9</v>
      </c>
      <c r="F38" s="16"/>
      <c r="G38" s="16" t="s">
        <v>526</v>
      </c>
      <c r="H38" s="16" t="s">
        <v>1924</v>
      </c>
      <c r="I38" s="16"/>
      <c r="J38" s="16" t="s">
        <v>1799</v>
      </c>
      <c r="K38" s="16" t="s">
        <v>1846</v>
      </c>
      <c r="L38" s="16"/>
      <c r="M38" s="16"/>
      <c r="N38" s="16"/>
      <c r="O38" s="16"/>
      <c r="P38" s="16" t="s">
        <v>1992</v>
      </c>
      <c r="Q38" s="16"/>
      <c r="R38" s="16"/>
      <c r="S38" s="16"/>
      <c r="T38" s="16" t="s">
        <v>1985</v>
      </c>
      <c r="U38" s="16" t="s">
        <v>1339</v>
      </c>
      <c r="V38" s="16" t="s">
        <v>1993</v>
      </c>
      <c r="W38" s="16" t="s">
        <v>158</v>
      </c>
      <c r="X38" s="16" t="s">
        <v>1994</v>
      </c>
      <c r="Y38" s="16" t="s">
        <v>1804</v>
      </c>
      <c r="Z38" s="16" t="s">
        <v>1991</v>
      </c>
      <c r="AA38" s="16" t="s">
        <v>1819</v>
      </c>
      <c r="AB38" s="16" t="s">
        <v>1995</v>
      </c>
      <c r="AC38" s="16" t="s">
        <v>1996</v>
      </c>
      <c r="AD38" s="18">
        <v>21000</v>
      </c>
      <c r="AE38" s="16" t="s">
        <v>1882</v>
      </c>
      <c r="AF38" s="16" t="s">
        <v>1997</v>
      </c>
      <c r="AG38" s="16"/>
      <c r="AH38" s="16"/>
      <c r="AI38" s="16" t="s">
        <v>1808</v>
      </c>
      <c r="AJ38" s="16"/>
      <c r="AK38" s="16"/>
    </row>
    <row r="39" spans="1:37" s="3" customFormat="1" ht="15">
      <c r="A39" s="16" t="s">
        <v>1868</v>
      </c>
      <c r="B39" s="16" t="s">
        <v>1869</v>
      </c>
      <c r="C39" s="16" t="s">
        <v>669</v>
      </c>
      <c r="D39" s="16"/>
      <c r="E39" s="17" t="s">
        <v>9</v>
      </c>
      <c r="F39" s="16"/>
      <c r="G39" s="16" t="s">
        <v>1205</v>
      </c>
      <c r="H39" s="16" t="s">
        <v>1870</v>
      </c>
      <c r="I39" s="16"/>
      <c r="J39" s="16" t="s">
        <v>1813</v>
      </c>
      <c r="K39" s="16"/>
      <c r="L39" s="16" t="s">
        <v>1871</v>
      </c>
      <c r="M39" s="16"/>
      <c r="N39" s="16"/>
      <c r="O39" s="16"/>
      <c r="P39" s="16" t="s">
        <v>1872</v>
      </c>
      <c r="Q39" s="16"/>
      <c r="R39" s="16"/>
      <c r="S39" s="16"/>
      <c r="T39" s="16" t="s">
        <v>1196</v>
      </c>
      <c r="U39" s="16" t="s">
        <v>506</v>
      </c>
      <c r="V39" s="16" t="s">
        <v>1873</v>
      </c>
      <c r="W39" s="16" t="s">
        <v>330</v>
      </c>
      <c r="X39" s="16" t="s">
        <v>1874</v>
      </c>
      <c r="Y39" s="16" t="s">
        <v>1804</v>
      </c>
      <c r="Z39" s="16" t="s">
        <v>669</v>
      </c>
      <c r="AA39" s="16" t="s">
        <v>1819</v>
      </c>
      <c r="AB39" s="16" t="s">
        <v>1875</v>
      </c>
      <c r="AC39" s="16" t="s">
        <v>1876</v>
      </c>
      <c r="AD39" s="18">
        <f t="shared" ref="AD39:AD41" si="1">AK39/2</f>
        <v>2880</v>
      </c>
      <c r="AE39" s="16" t="s">
        <v>1877</v>
      </c>
      <c r="AF39" s="16" t="s">
        <v>1878</v>
      </c>
      <c r="AG39" s="16"/>
      <c r="AH39" s="16"/>
      <c r="AI39" s="16" t="s">
        <v>1808</v>
      </c>
      <c r="AJ39" s="16" t="s">
        <v>1879</v>
      </c>
      <c r="AK39" s="18">
        <v>5760</v>
      </c>
    </row>
    <row r="40" spans="1:37" s="3" customFormat="1" ht="15">
      <c r="A40" s="16" t="s">
        <v>1868</v>
      </c>
      <c r="B40" s="16" t="s">
        <v>1880</v>
      </c>
      <c r="C40" s="16" t="s">
        <v>669</v>
      </c>
      <c r="D40" s="16"/>
      <c r="E40" s="17" t="s">
        <v>9</v>
      </c>
      <c r="F40" s="16"/>
      <c r="G40" s="16" t="s">
        <v>1205</v>
      </c>
      <c r="H40" s="16" t="s">
        <v>1870</v>
      </c>
      <c r="I40" s="16"/>
      <c r="J40" s="16" t="s">
        <v>1813</v>
      </c>
      <c r="K40" s="16"/>
      <c r="L40" s="16" t="s">
        <v>1871</v>
      </c>
      <c r="M40" s="16"/>
      <c r="N40" s="16"/>
      <c r="O40" s="16"/>
      <c r="P40" s="16" t="s">
        <v>1881</v>
      </c>
      <c r="Q40" s="16"/>
      <c r="R40" s="16"/>
      <c r="S40" s="16"/>
      <c r="T40" s="16" t="s">
        <v>1196</v>
      </c>
      <c r="U40" s="16" t="s">
        <v>506</v>
      </c>
      <c r="V40" s="16" t="s">
        <v>1873</v>
      </c>
      <c r="W40" s="16" t="s">
        <v>330</v>
      </c>
      <c r="X40" s="16" t="s">
        <v>1874</v>
      </c>
      <c r="Y40" s="16" t="s">
        <v>1804</v>
      </c>
      <c r="Z40" s="16" t="s">
        <v>669</v>
      </c>
      <c r="AA40" s="16" t="s">
        <v>1819</v>
      </c>
      <c r="AB40" s="16" t="s">
        <v>1875</v>
      </c>
      <c r="AC40" s="16" t="s">
        <v>1876</v>
      </c>
      <c r="AD40" s="18">
        <f t="shared" si="1"/>
        <v>3315.35</v>
      </c>
      <c r="AE40" s="16" t="s">
        <v>1877</v>
      </c>
      <c r="AF40" s="16" t="s">
        <v>1878</v>
      </c>
      <c r="AG40" s="16"/>
      <c r="AH40" s="16"/>
      <c r="AI40" s="16" t="s">
        <v>1808</v>
      </c>
      <c r="AJ40" s="16"/>
      <c r="AK40" s="18">
        <v>6630.7</v>
      </c>
    </row>
    <row r="41" spans="1:37" s="3" customFormat="1" ht="15">
      <c r="A41" s="16" t="s">
        <v>1882</v>
      </c>
      <c r="B41" s="16" t="s">
        <v>1883</v>
      </c>
      <c r="C41" s="16" t="s">
        <v>669</v>
      </c>
      <c r="D41" s="16"/>
      <c r="E41" s="17" t="s">
        <v>9</v>
      </c>
      <c r="F41" s="16"/>
      <c r="G41" s="16" t="s">
        <v>1205</v>
      </c>
      <c r="H41" s="16" t="s">
        <v>1884</v>
      </c>
      <c r="I41" s="16"/>
      <c r="J41" s="16" t="s">
        <v>1813</v>
      </c>
      <c r="K41" s="16"/>
      <c r="L41" s="16" t="s">
        <v>1871</v>
      </c>
      <c r="M41" s="16"/>
      <c r="N41" s="16"/>
      <c r="O41" s="16"/>
      <c r="P41" s="16" t="s">
        <v>1881</v>
      </c>
      <c r="Q41" s="16"/>
      <c r="R41" s="16"/>
      <c r="S41" s="16"/>
      <c r="T41" s="16" t="s">
        <v>724</v>
      </c>
      <c r="U41" s="16" t="s">
        <v>506</v>
      </c>
      <c r="V41" s="16" t="s">
        <v>1873</v>
      </c>
      <c r="W41" s="16" t="s">
        <v>330</v>
      </c>
      <c r="X41" s="16" t="s">
        <v>1874</v>
      </c>
      <c r="Y41" s="16" t="s">
        <v>1804</v>
      </c>
      <c r="Z41" s="16" t="s">
        <v>669</v>
      </c>
      <c r="AA41" s="16" t="s">
        <v>1819</v>
      </c>
      <c r="AB41" s="16" t="s">
        <v>1875</v>
      </c>
      <c r="AC41" s="16" t="s">
        <v>1876</v>
      </c>
      <c r="AD41" s="18">
        <f t="shared" si="1"/>
        <v>3260.65</v>
      </c>
      <c r="AE41" s="16" t="s">
        <v>1877</v>
      </c>
      <c r="AF41" s="16" t="s">
        <v>1885</v>
      </c>
      <c r="AG41" s="16"/>
      <c r="AH41" s="16"/>
      <c r="AI41" s="16" t="s">
        <v>1808</v>
      </c>
      <c r="AJ41" s="16"/>
      <c r="AK41" s="18">
        <v>6521.3</v>
      </c>
    </row>
    <row r="42" spans="1:37" s="3" customFormat="1" ht="15">
      <c r="A42" s="16" t="s">
        <v>1877</v>
      </c>
      <c r="B42" s="16" t="s">
        <v>1998</v>
      </c>
      <c r="C42" s="16" t="s">
        <v>669</v>
      </c>
      <c r="D42" s="16"/>
      <c r="E42" s="17" t="s">
        <v>9</v>
      </c>
      <c r="F42" s="16"/>
      <c r="G42" s="16" t="s">
        <v>240</v>
      </c>
      <c r="H42" s="16" t="s">
        <v>1884</v>
      </c>
      <c r="I42" s="16"/>
      <c r="J42" s="16" t="s">
        <v>1813</v>
      </c>
      <c r="K42" s="16"/>
      <c r="L42" s="16" t="s">
        <v>1871</v>
      </c>
      <c r="M42" s="16"/>
      <c r="N42" s="16"/>
      <c r="O42" s="16"/>
      <c r="P42" s="16" t="s">
        <v>1999</v>
      </c>
      <c r="Q42" s="16"/>
      <c r="R42" s="16"/>
      <c r="S42" s="16"/>
      <c r="T42" s="16" t="s">
        <v>2000</v>
      </c>
      <c r="U42" s="16" t="s">
        <v>675</v>
      </c>
      <c r="V42" s="16" t="s">
        <v>676</v>
      </c>
      <c r="W42" s="16" t="s">
        <v>330</v>
      </c>
      <c r="X42" s="16" t="s">
        <v>677</v>
      </c>
      <c r="Y42" s="16" t="s">
        <v>1804</v>
      </c>
      <c r="Z42" s="16" t="s">
        <v>669</v>
      </c>
      <c r="AA42" s="16" t="s">
        <v>1819</v>
      </c>
      <c r="AB42" s="16" t="s">
        <v>667</v>
      </c>
      <c r="AC42" s="16" t="s">
        <v>681</v>
      </c>
      <c r="AD42" s="18">
        <v>7004.8</v>
      </c>
      <c r="AE42" s="16" t="s">
        <v>2001</v>
      </c>
      <c r="AF42" s="16" t="s">
        <v>2002</v>
      </c>
      <c r="AG42" s="16"/>
      <c r="AH42" s="16"/>
      <c r="AI42" s="16" t="s">
        <v>1808</v>
      </c>
      <c r="AJ42" s="16"/>
      <c r="AK42" s="16"/>
    </row>
    <row r="43" spans="1:37" s="3" customFormat="1" ht="15">
      <c r="A43" s="16" t="s">
        <v>1877</v>
      </c>
      <c r="B43" s="16" t="s">
        <v>2003</v>
      </c>
      <c r="C43" s="16" t="s">
        <v>669</v>
      </c>
      <c r="D43" s="16"/>
      <c r="E43" s="17" t="s">
        <v>9</v>
      </c>
      <c r="F43" s="16"/>
      <c r="G43" s="16" t="s">
        <v>240</v>
      </c>
      <c r="H43" s="16" t="s">
        <v>1884</v>
      </c>
      <c r="I43" s="16"/>
      <c r="J43" s="16" t="s">
        <v>1813</v>
      </c>
      <c r="K43" s="16"/>
      <c r="L43" s="16" t="s">
        <v>1871</v>
      </c>
      <c r="M43" s="16"/>
      <c r="N43" s="16"/>
      <c r="O43" s="16"/>
      <c r="P43" s="16" t="s">
        <v>2004</v>
      </c>
      <c r="Q43" s="16"/>
      <c r="R43" s="16"/>
      <c r="S43" s="16"/>
      <c r="T43" s="16" t="s">
        <v>2000</v>
      </c>
      <c r="U43" s="16" t="s">
        <v>675</v>
      </c>
      <c r="V43" s="16" t="s">
        <v>676</v>
      </c>
      <c r="W43" s="16" t="s">
        <v>330</v>
      </c>
      <c r="X43" s="16" t="s">
        <v>677</v>
      </c>
      <c r="Y43" s="16" t="s">
        <v>1804</v>
      </c>
      <c r="Z43" s="16" t="s">
        <v>669</v>
      </c>
      <c r="AA43" s="16" t="s">
        <v>1819</v>
      </c>
      <c r="AB43" s="16" t="s">
        <v>667</v>
      </c>
      <c r="AC43" s="16" t="s">
        <v>681</v>
      </c>
      <c r="AD43" s="18">
        <v>5440</v>
      </c>
      <c r="AE43" s="16" t="s">
        <v>2001</v>
      </c>
      <c r="AF43" s="16" t="s">
        <v>2002</v>
      </c>
      <c r="AG43" s="16"/>
      <c r="AH43" s="16"/>
      <c r="AI43" s="16" t="s">
        <v>1808</v>
      </c>
      <c r="AJ43" s="16"/>
      <c r="AK43" s="16"/>
    </row>
    <row r="44" spans="1:37" s="3" customFormat="1" ht="15">
      <c r="A44" s="16" t="s">
        <v>2001</v>
      </c>
      <c r="B44" s="16" t="s">
        <v>2005</v>
      </c>
      <c r="C44" s="16" t="s">
        <v>1811</v>
      </c>
      <c r="D44" s="16"/>
      <c r="E44" s="17" t="s">
        <v>9</v>
      </c>
      <c r="F44" s="16"/>
      <c r="G44" s="16" t="s">
        <v>240</v>
      </c>
      <c r="H44" s="16" t="s">
        <v>1845</v>
      </c>
      <c r="I44" s="16"/>
      <c r="J44" s="16" t="s">
        <v>1813</v>
      </c>
      <c r="K44" s="16"/>
      <c r="L44" s="16" t="s">
        <v>1814</v>
      </c>
      <c r="M44" s="16"/>
      <c r="N44" s="16" t="s">
        <v>2006</v>
      </c>
      <c r="O44" s="16"/>
      <c r="P44" s="16" t="s">
        <v>2007</v>
      </c>
      <c r="Q44" s="16"/>
      <c r="R44" s="16"/>
      <c r="S44" s="16"/>
      <c r="T44" s="16" t="s">
        <v>476</v>
      </c>
      <c r="U44" s="16" t="s">
        <v>389</v>
      </c>
      <c r="V44" s="16" t="s">
        <v>2008</v>
      </c>
      <c r="W44" s="16" t="s">
        <v>1818</v>
      </c>
      <c r="X44" s="16" t="s">
        <v>247</v>
      </c>
      <c r="Y44" s="16" t="s">
        <v>1804</v>
      </c>
      <c r="Z44" s="16" t="s">
        <v>1811</v>
      </c>
      <c r="AA44" s="16" t="s">
        <v>1819</v>
      </c>
      <c r="AB44" s="16" t="s">
        <v>2009</v>
      </c>
      <c r="AC44" s="16" t="s">
        <v>2010</v>
      </c>
      <c r="AD44" s="18">
        <v>27300</v>
      </c>
      <c r="AE44" s="16" t="s">
        <v>2001</v>
      </c>
      <c r="AF44" s="16" t="s">
        <v>2011</v>
      </c>
      <c r="AG44" s="16"/>
      <c r="AH44" s="16"/>
      <c r="AI44" s="16"/>
      <c r="AJ44" s="16"/>
      <c r="AK44" s="16"/>
    </row>
    <row r="45" spans="1:37" s="3" customFormat="1" ht="15">
      <c r="E45" s="17" t="s">
        <v>9</v>
      </c>
      <c r="AA45" s="24" t="s">
        <v>1886</v>
      </c>
      <c r="AB45" s="22" t="s">
        <v>1020</v>
      </c>
      <c r="AC45" s="16"/>
      <c r="AD45" s="26">
        <v>10000</v>
      </c>
    </row>
    <row r="46" spans="1:37" s="3" customFormat="1" ht="15">
      <c r="E46" s="17" t="s">
        <v>9</v>
      </c>
      <c r="AA46" s="24" t="s">
        <v>1886</v>
      </c>
      <c r="AB46" s="22" t="s">
        <v>784</v>
      </c>
      <c r="AC46" s="16"/>
      <c r="AD46" s="26">
        <v>9000</v>
      </c>
    </row>
    <row r="47" spans="1:37" s="3" customFormat="1" ht="15">
      <c r="E47" s="17" t="s">
        <v>9</v>
      </c>
      <c r="AA47" s="24" t="s">
        <v>1886</v>
      </c>
      <c r="AB47" s="22" t="s">
        <v>1020</v>
      </c>
      <c r="AC47" s="16"/>
      <c r="AD47" s="26">
        <v>9000</v>
      </c>
    </row>
    <row r="48" spans="1:37" s="3" customFormat="1" ht="15">
      <c r="AB48" s="25" t="s">
        <v>943</v>
      </c>
      <c r="AC48" s="16"/>
      <c r="AD48" s="16">
        <v>6350</v>
      </c>
    </row>
    <row r="49" spans="5:30" s="3" customFormat="1" ht="15">
      <c r="AD49" s="27">
        <f>SUM(AD17:AD48)</f>
        <v>335830.5</v>
      </c>
    </row>
    <row r="50" spans="5:30" s="3" customFormat="1">
      <c r="E50" s="3" t="s">
        <v>1796</v>
      </c>
      <c r="AC50" s="28" t="s">
        <v>2012</v>
      </c>
      <c r="AD50" s="28">
        <v>13950</v>
      </c>
    </row>
    <row r="51" spans="5:30">
      <c r="E51" s="3" t="s">
        <v>1796</v>
      </c>
      <c r="AC51" s="28" t="s">
        <v>2013</v>
      </c>
      <c r="AD51" s="28">
        <v>9450</v>
      </c>
    </row>
    <row r="52" spans="5:30">
      <c r="E52" s="3" t="s">
        <v>1796</v>
      </c>
      <c r="AC52" s="28" t="s">
        <v>2014</v>
      </c>
      <c r="AD52" s="28">
        <v>3866.45</v>
      </c>
    </row>
    <row r="53" spans="5:30">
      <c r="E53" t="s">
        <v>2015</v>
      </c>
      <c r="AD53">
        <f>SUM(AD50:AD52)</f>
        <v>27266.45</v>
      </c>
    </row>
    <row r="54" spans="5:30">
      <c r="E54" t="s">
        <v>1827</v>
      </c>
      <c r="AC54" s="28" t="s">
        <v>2016</v>
      </c>
      <c r="AD54" s="28">
        <v>100</v>
      </c>
    </row>
    <row r="55" spans="5:30">
      <c r="E55" t="s">
        <v>1827</v>
      </c>
      <c r="AC55" s="28" t="s">
        <v>2017</v>
      </c>
      <c r="AD55">
        <v>100</v>
      </c>
    </row>
    <row r="56" spans="5:30">
      <c r="E56" t="s">
        <v>9</v>
      </c>
      <c r="AC56" s="28" t="s">
        <v>2018</v>
      </c>
      <c r="AD56">
        <v>100</v>
      </c>
    </row>
  </sheetData>
  <sheetProtection formatCells="0" insertHyperlinks="0" autoFilter="0"/>
  <phoneticPr fontId="2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6"/>
  <sheetViews>
    <sheetView workbookViewId="0">
      <selection activeCell="V4" sqref="V4"/>
    </sheetView>
  </sheetViews>
  <sheetFormatPr defaultColWidth="9.1328125" defaultRowHeight="14.25"/>
  <cols>
    <col min="4" max="4" width="15" customWidth="1"/>
  </cols>
  <sheetData>
    <row r="2" spans="2:24" ht="15">
      <c r="B2" s="118" t="s">
        <v>19</v>
      </c>
      <c r="C2" s="119"/>
      <c r="D2" s="120"/>
      <c r="E2" s="121" t="s">
        <v>212</v>
      </c>
      <c r="F2" s="121"/>
      <c r="G2" s="121"/>
      <c r="H2" s="121"/>
      <c r="I2" s="122"/>
      <c r="J2" s="121"/>
      <c r="K2" s="121"/>
      <c r="L2" s="123" t="s">
        <v>47</v>
      </c>
      <c r="M2" s="123"/>
      <c r="N2" s="123"/>
      <c r="O2" s="123"/>
      <c r="P2" s="123"/>
      <c r="Q2" s="123"/>
      <c r="R2" s="123"/>
      <c r="S2" s="124" t="s">
        <v>2019</v>
      </c>
      <c r="T2" s="124"/>
      <c r="U2" s="124"/>
      <c r="V2" s="124"/>
      <c r="W2" s="124"/>
      <c r="X2" s="124"/>
    </row>
    <row r="3" spans="2:24" ht="15">
      <c r="B3" s="7" t="s">
        <v>1</v>
      </c>
      <c r="C3" s="7" t="s">
        <v>1764</v>
      </c>
      <c r="D3" s="7" t="s">
        <v>7</v>
      </c>
      <c r="E3" s="7" t="s">
        <v>2020</v>
      </c>
      <c r="F3" s="7" t="s">
        <v>2021</v>
      </c>
      <c r="G3" s="7" t="s">
        <v>44</v>
      </c>
      <c r="H3" s="7" t="s">
        <v>2022</v>
      </c>
      <c r="I3" s="11" t="s">
        <v>2023</v>
      </c>
      <c r="J3" s="7" t="s">
        <v>44</v>
      </c>
      <c r="K3" s="7" t="s">
        <v>2024</v>
      </c>
      <c r="L3" s="12" t="s">
        <v>2025</v>
      </c>
      <c r="M3" s="12" t="s">
        <v>2026</v>
      </c>
      <c r="N3" s="12" t="s">
        <v>2027</v>
      </c>
      <c r="O3" s="12" t="s">
        <v>2028</v>
      </c>
      <c r="P3" s="12" t="s">
        <v>2029</v>
      </c>
      <c r="Q3" s="12" t="s">
        <v>2027</v>
      </c>
      <c r="R3" s="12" t="s">
        <v>2024</v>
      </c>
      <c r="S3" s="15" t="s">
        <v>2030</v>
      </c>
      <c r="T3" s="15" t="s">
        <v>2031</v>
      </c>
      <c r="U3" s="15" t="s">
        <v>2024</v>
      </c>
      <c r="V3" s="15" t="s">
        <v>2032</v>
      </c>
      <c r="W3" s="15" t="s">
        <v>2024</v>
      </c>
      <c r="X3" s="15" t="s">
        <v>45</v>
      </c>
    </row>
    <row r="4" spans="2:24" ht="15">
      <c r="B4" s="8">
        <v>238256</v>
      </c>
      <c r="C4" s="9" t="s">
        <v>9</v>
      </c>
      <c r="D4" s="9"/>
      <c r="E4" s="9">
        <v>6</v>
      </c>
      <c r="F4" s="9">
        <v>2</v>
      </c>
      <c r="G4" s="10">
        <f t="shared" ref="G4:G6" si="0">F4/E4</f>
        <v>0.33333333333333331</v>
      </c>
      <c r="H4" s="9">
        <v>5</v>
      </c>
      <c r="I4" s="13">
        <v>0</v>
      </c>
      <c r="J4" s="10">
        <f t="shared" ref="J4:J6" si="1">I4/H4</f>
        <v>0</v>
      </c>
      <c r="K4" s="14">
        <v>0.3</v>
      </c>
      <c r="L4" s="14">
        <v>0.25</v>
      </c>
      <c r="M4" s="14">
        <v>0.55000000000000004</v>
      </c>
      <c r="N4" s="9" t="s">
        <v>2033</v>
      </c>
      <c r="O4" s="14">
        <v>0.1</v>
      </c>
      <c r="P4" s="14">
        <v>0.36</v>
      </c>
      <c r="Q4" s="9" t="s">
        <v>2033</v>
      </c>
      <c r="R4" s="14">
        <v>0.4</v>
      </c>
      <c r="S4" s="10">
        <v>0.3</v>
      </c>
      <c r="T4" s="14">
        <v>0.45</v>
      </c>
      <c r="U4" s="10">
        <v>0.2</v>
      </c>
      <c r="V4" s="9" t="s">
        <v>2034</v>
      </c>
      <c r="W4" s="14">
        <v>0.1</v>
      </c>
      <c r="X4" s="9">
        <v>20</v>
      </c>
    </row>
    <row r="5" spans="2:24" ht="15">
      <c r="B5" s="8">
        <v>404905</v>
      </c>
      <c r="C5" s="9" t="s">
        <v>21</v>
      </c>
      <c r="D5" s="9" t="s">
        <v>2035</v>
      </c>
      <c r="E5" s="9">
        <v>4</v>
      </c>
      <c r="F5" s="9">
        <v>1</v>
      </c>
      <c r="G5" s="10">
        <f t="shared" si="0"/>
        <v>0.25</v>
      </c>
      <c r="H5" s="9">
        <v>4</v>
      </c>
      <c r="I5" s="13">
        <v>0</v>
      </c>
      <c r="J5" s="10">
        <f t="shared" si="1"/>
        <v>0</v>
      </c>
      <c r="K5" s="14">
        <v>0.3</v>
      </c>
      <c r="L5" s="14">
        <v>0.1</v>
      </c>
      <c r="M5" s="14">
        <v>0.2</v>
      </c>
      <c r="N5" s="9" t="s">
        <v>2033</v>
      </c>
      <c r="O5" s="14">
        <v>0.1</v>
      </c>
      <c r="P5" s="14">
        <v>0.17</v>
      </c>
      <c r="Q5" s="9" t="s">
        <v>2033</v>
      </c>
      <c r="R5" s="14">
        <v>0.4</v>
      </c>
      <c r="S5" s="10">
        <v>0.3</v>
      </c>
      <c r="T5" s="14">
        <v>0.51</v>
      </c>
      <c r="U5" s="10">
        <v>0.2</v>
      </c>
      <c r="V5" s="9" t="s">
        <v>2034</v>
      </c>
      <c r="W5" s="14">
        <v>0.1</v>
      </c>
      <c r="X5" s="9">
        <f>U5*100+10</f>
        <v>30</v>
      </c>
    </row>
    <row r="6" spans="2:24" ht="15">
      <c r="B6" s="8">
        <v>341422</v>
      </c>
      <c r="C6" s="9" t="s">
        <v>16</v>
      </c>
      <c r="D6" s="9" t="s">
        <v>2036</v>
      </c>
      <c r="E6" s="9">
        <v>6</v>
      </c>
      <c r="F6" s="9">
        <v>3</v>
      </c>
      <c r="G6" s="10">
        <f t="shared" si="0"/>
        <v>0.5</v>
      </c>
      <c r="H6" s="9">
        <v>5</v>
      </c>
      <c r="I6" s="13">
        <v>4.2450000000000001</v>
      </c>
      <c r="J6" s="10">
        <f t="shared" si="1"/>
        <v>0.84899999999999998</v>
      </c>
      <c r="K6" s="14">
        <v>0.3</v>
      </c>
      <c r="L6" s="14">
        <v>0.25</v>
      </c>
      <c r="M6" s="14">
        <v>0.62</v>
      </c>
      <c r="N6" s="9" t="s">
        <v>2033</v>
      </c>
      <c r="O6" s="14">
        <v>0.1</v>
      </c>
      <c r="P6" s="14">
        <v>0.22</v>
      </c>
      <c r="Q6" s="9" t="s">
        <v>2033</v>
      </c>
      <c r="R6" s="14">
        <v>0.4</v>
      </c>
      <c r="S6" s="10">
        <v>0.3</v>
      </c>
      <c r="T6" s="14">
        <v>0.89</v>
      </c>
      <c r="U6" s="10">
        <v>0.2</v>
      </c>
      <c r="V6" s="9" t="s">
        <v>2034</v>
      </c>
      <c r="W6" s="14">
        <v>0.1</v>
      </c>
      <c r="X6" s="9">
        <f>U6*100+10</f>
        <v>30</v>
      </c>
    </row>
  </sheetData>
  <sheetProtection formatCells="0" insertHyperlinks="0" autoFilter="0"/>
  <mergeCells count="4">
    <mergeCell ref="B2:D2"/>
    <mergeCell ref="E2:K2"/>
    <mergeCell ref="L2:R2"/>
    <mergeCell ref="S2:X2"/>
  </mergeCells>
  <phoneticPr fontId="2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7"/>
  <sheetViews>
    <sheetView workbookViewId="0">
      <selection activeCell="J15" sqref="J15"/>
    </sheetView>
  </sheetViews>
  <sheetFormatPr defaultColWidth="9.1328125" defaultRowHeight="14.25"/>
  <cols>
    <col min="8" max="8" width="25.86328125" customWidth="1"/>
    <col min="9" max="9" width="19.46484375" customWidth="1"/>
    <col min="10" max="10" width="22.1328125" customWidth="1"/>
    <col min="11" max="11" width="14.53125" customWidth="1"/>
    <col min="12" max="12" width="19.19921875" customWidth="1"/>
  </cols>
  <sheetData>
    <row r="2" spans="2:12" ht="15.75">
      <c r="B2" s="127" t="s">
        <v>0</v>
      </c>
      <c r="C2" s="127" t="s">
        <v>2037</v>
      </c>
      <c r="D2" s="127" t="s">
        <v>3</v>
      </c>
      <c r="E2" s="127" t="s">
        <v>1</v>
      </c>
      <c r="F2" s="127" t="s">
        <v>2</v>
      </c>
      <c r="G2" s="127" t="s">
        <v>4</v>
      </c>
      <c r="H2" s="125" t="s">
        <v>2038</v>
      </c>
      <c r="I2" s="125"/>
      <c r="J2" s="125"/>
      <c r="K2" s="125"/>
      <c r="L2" s="125"/>
    </row>
    <row r="3" spans="2:12" ht="14.65">
      <c r="B3" s="127"/>
      <c r="C3" s="127"/>
      <c r="D3" s="127"/>
      <c r="E3" s="127"/>
      <c r="F3" s="127"/>
      <c r="G3" s="127"/>
      <c r="H3" s="4" t="s">
        <v>2039</v>
      </c>
      <c r="I3" s="1" t="s">
        <v>2040</v>
      </c>
      <c r="J3" s="1" t="s">
        <v>2041</v>
      </c>
      <c r="K3" s="1" t="s">
        <v>2042</v>
      </c>
      <c r="L3" s="1" t="s">
        <v>2043</v>
      </c>
    </row>
    <row r="4" spans="2:12">
      <c r="B4" s="2">
        <v>1</v>
      </c>
      <c r="C4" s="2">
        <v>202512</v>
      </c>
      <c r="D4" s="128" t="s">
        <v>2044</v>
      </c>
      <c r="E4" s="2">
        <v>238256</v>
      </c>
      <c r="F4" s="2" t="s">
        <v>9</v>
      </c>
      <c r="G4" s="128" t="s">
        <v>11</v>
      </c>
      <c r="H4" s="2" t="s">
        <v>2045</v>
      </c>
      <c r="I4" s="2" t="s">
        <v>2046</v>
      </c>
      <c r="J4" s="2" t="s">
        <v>2047</v>
      </c>
      <c r="K4" s="5">
        <v>0.35</v>
      </c>
      <c r="L4" s="2" t="s">
        <v>2048</v>
      </c>
    </row>
    <row r="5" spans="2:12">
      <c r="B5" s="2">
        <v>2</v>
      </c>
      <c r="C5" s="2">
        <v>202512</v>
      </c>
      <c r="D5" s="129"/>
      <c r="E5" s="2">
        <v>341422</v>
      </c>
      <c r="F5" s="2" t="s">
        <v>16</v>
      </c>
      <c r="G5" s="129"/>
      <c r="H5" s="2" t="s">
        <v>2049</v>
      </c>
      <c r="I5" s="2" t="s">
        <v>2046</v>
      </c>
      <c r="J5" s="2" t="s">
        <v>2047</v>
      </c>
      <c r="K5" s="5">
        <v>0.35</v>
      </c>
      <c r="L5" s="2" t="s">
        <v>2048</v>
      </c>
    </row>
    <row r="6" spans="2:12">
      <c r="B6" s="2">
        <v>3</v>
      </c>
      <c r="C6" s="2">
        <v>202512</v>
      </c>
      <c r="D6" s="130"/>
      <c r="E6" s="2">
        <v>404905</v>
      </c>
      <c r="F6" s="2" t="s">
        <v>21</v>
      </c>
      <c r="G6" s="130"/>
      <c r="H6" s="2" t="s">
        <v>2050</v>
      </c>
      <c r="I6" s="2" t="s">
        <v>2051</v>
      </c>
      <c r="J6" s="2" t="s">
        <v>2047</v>
      </c>
      <c r="K6" s="5">
        <v>0.35</v>
      </c>
      <c r="L6" s="2" t="s">
        <v>2048</v>
      </c>
    </row>
    <row r="7" spans="2:12" ht="15.75">
      <c r="B7" s="3"/>
      <c r="C7" s="3"/>
      <c r="D7" s="3"/>
      <c r="E7" s="3"/>
      <c r="F7" s="3"/>
      <c r="G7" s="3"/>
      <c r="H7" s="3"/>
      <c r="I7" s="6" t="s">
        <v>2052</v>
      </c>
      <c r="J7" s="6" t="s">
        <v>2053</v>
      </c>
      <c r="K7" s="126" t="s">
        <v>2053</v>
      </c>
      <c r="L7" s="126"/>
    </row>
  </sheetData>
  <sheetProtection formatCells="0" insertHyperlinks="0" autoFilter="0"/>
  <mergeCells count="10">
    <mergeCell ref="H2:L2"/>
    <mergeCell ref="K7:L7"/>
    <mergeCell ref="B2:B3"/>
    <mergeCell ref="C2:C3"/>
    <mergeCell ref="D2:D3"/>
    <mergeCell ref="D4:D6"/>
    <mergeCell ref="E2:E3"/>
    <mergeCell ref="F2:F3"/>
    <mergeCell ref="G2:G3"/>
    <mergeCell ref="G4:G6"/>
  </mergeCells>
  <phoneticPr fontId="2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1"/>
  <pixelatorList sheetStid="4"/>
  <pixelatorList sheetStid="3"/>
  <pixelatorList sheetStid="6"/>
  <pixelatorList sheetStid="7"/>
  <pixelatorList sheetStid="8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3" updateTime="-1" sourceDataDirty="0"/>
      </pivotTables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核算模版</vt:lpstr>
      <vt:lpstr>签约明细</vt:lpstr>
      <vt:lpstr>退费明细</vt:lpstr>
      <vt:lpstr>11月绩效核算</vt:lpstr>
      <vt:lpstr>12月绩效目标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依琳 李</cp:lastModifiedBy>
  <dcterms:created xsi:type="dcterms:W3CDTF">2025-12-03T07:02:00Z</dcterms:created>
  <dcterms:modified xsi:type="dcterms:W3CDTF">2026-06-30T06:22:17Z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ECA5088609C98628C1F42F6943CA87CC_43</vt:lpwstr>
  </property>
</Properties>
</file>