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yaqin/Documents/四六级项目-北京中心-FY26（独立后）/绩效方案/月度绩效-四六级项目/6月/"/>
    </mc:Choice>
  </mc:AlternateContent>
  <xr:revisionPtr revIDLastSave="0" documentId="13_ncr:1_{14B19A7A-656A-E04C-B64F-44021FA1655F}" xr6:coauthVersionLast="47" xr6:coauthVersionMax="47" xr10:uidLastSave="{00000000-0000-0000-0000-000000000000}"/>
  <bookViews>
    <workbookView xWindow="2280" yWindow="500" windowWidth="25740" windowHeight="15560" tabRatio="956" activeTab="1" xr2:uid="{00000000-000D-0000-FFFF-FFFF00000000}"/>
  </bookViews>
  <sheets>
    <sheet name="业绩奖金" sheetId="6" r:id="rId1"/>
    <sheet name="季度绩效-刘文君" sheetId="11" r:id="rId2"/>
    <sheet name="业绩核算明细" sheetId="5" r:id="rId3"/>
    <sheet name="顾问6月签约明细" sheetId="3" r:id="rId4"/>
    <sheet name="绩效明细" sheetId="2" r:id="rId5"/>
    <sheet name="退费数据 四六级" sheetId="1" r:id="rId6"/>
    <sheet name="考研业绩退费" sheetId="10" r:id="rId7"/>
  </sheets>
  <definedNames>
    <definedName name="_xlnm._FilterDatabase" localSheetId="3" hidden="1">顾问6月签约明细!$A$1:$BN$325</definedName>
    <definedName name="_xlnm._FilterDatabase" localSheetId="5" hidden="1">'退费数据 四六级'!$A$1:$S$13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1" l="1"/>
  <c r="F5" i="11"/>
  <c r="E5" i="11"/>
  <c r="G3" i="11"/>
  <c r="D5" i="11"/>
  <c r="C5" i="11"/>
  <c r="B5" i="11"/>
  <c r="E2" i="10"/>
  <c r="S6" i="2"/>
  <c r="P6" i="2"/>
  <c r="O6" i="2"/>
  <c r="N6" i="2"/>
  <c r="J6" i="2"/>
  <c r="S5" i="2"/>
  <c r="P5" i="2"/>
  <c r="O5" i="2"/>
  <c r="N5" i="2"/>
  <c r="K5" i="2"/>
  <c r="J5" i="2"/>
  <c r="S4" i="2"/>
  <c r="P4" i="2"/>
  <c r="O4" i="2"/>
  <c r="N4" i="2"/>
  <c r="K4" i="2"/>
  <c r="J4" i="2"/>
  <c r="S3" i="2"/>
  <c r="P3" i="2"/>
  <c r="N3" i="2"/>
  <c r="K3" i="2"/>
  <c r="J3" i="2"/>
  <c r="T23" i="5"/>
  <c r="I21" i="5"/>
  <c r="H21" i="5"/>
  <c r="G21" i="5"/>
  <c r="F21" i="5"/>
  <c r="D21" i="5"/>
  <c r="T20" i="5"/>
  <c r="R20" i="5"/>
  <c r="I20" i="5"/>
  <c r="F20" i="5"/>
  <c r="I19" i="5"/>
  <c r="F19" i="5"/>
  <c r="T18" i="5"/>
  <c r="S18" i="5"/>
  <c r="R18" i="5"/>
  <c r="Q18" i="5"/>
  <c r="P18" i="5"/>
  <c r="I18" i="5"/>
  <c r="F18" i="5"/>
  <c r="T17" i="5"/>
  <c r="R17" i="5"/>
  <c r="I17" i="5"/>
  <c r="F17" i="5"/>
  <c r="K12" i="5"/>
  <c r="I12" i="5"/>
  <c r="H12" i="5"/>
  <c r="G12" i="5"/>
  <c r="F12" i="5"/>
  <c r="E12" i="5"/>
  <c r="D12" i="5"/>
  <c r="M11" i="5"/>
  <c r="K11" i="5"/>
  <c r="I11" i="5"/>
  <c r="H11" i="5"/>
  <c r="K10" i="5"/>
  <c r="I10" i="5"/>
  <c r="H10" i="5"/>
  <c r="M9" i="5"/>
  <c r="K9" i="5"/>
  <c r="I9" i="5"/>
  <c r="H9" i="5"/>
  <c r="K8" i="5"/>
  <c r="I8" i="5"/>
  <c r="H8" i="5"/>
  <c r="K7" i="5"/>
  <c r="I7" i="5"/>
  <c r="H7" i="5"/>
  <c r="M6" i="5"/>
  <c r="K6" i="5"/>
  <c r="I6" i="5"/>
  <c r="H6" i="5"/>
  <c r="K5" i="5"/>
  <c r="I5" i="5"/>
  <c r="H5" i="5"/>
  <c r="M4" i="5"/>
  <c r="K4" i="5"/>
  <c r="I4" i="5"/>
  <c r="H4" i="5"/>
  <c r="H31" i="6"/>
</calcChain>
</file>

<file path=xl/sharedStrings.xml><?xml version="1.0" encoding="utf-8"?>
<sst xmlns="http://schemas.openxmlformats.org/spreadsheetml/2006/main" count="16700" uniqueCount="3720">
  <si>
    <t>业绩奖金表（一人可多条，需写清类别）</t>
  </si>
  <si>
    <t>序号</t>
  </si>
  <si>
    <t>机构</t>
  </si>
  <si>
    <t>年月</t>
  </si>
  <si>
    <t>工号</t>
  </si>
  <si>
    <t>姓名</t>
  </si>
  <si>
    <t>部门</t>
  </si>
  <si>
    <t>薪资项目</t>
  </si>
  <si>
    <t>金额</t>
  </si>
  <si>
    <t>备注</t>
  </si>
  <si>
    <t>北京中心</t>
  </si>
  <si>
    <t>刘文君</t>
  </si>
  <si>
    <t>B级学习顾问</t>
  </si>
  <si>
    <t>管理绩效</t>
  </si>
  <si>
    <t>岗位补贴</t>
  </si>
  <si>
    <t>004192</t>
  </si>
  <si>
    <t>刘晓娟</t>
  </si>
  <si>
    <t>月度绩效</t>
  </si>
  <si>
    <t>顾问签约奖金</t>
  </si>
  <si>
    <t>其它奖金</t>
  </si>
  <si>
    <t>过渡性补贴2000</t>
  </si>
  <si>
    <t>徐健坤</t>
  </si>
  <si>
    <t>房国超</t>
  </si>
  <si>
    <t>李政</t>
  </si>
  <si>
    <t>宋增辉</t>
  </si>
  <si>
    <t>新人第二个月，打满</t>
  </si>
  <si>
    <t>田一禾</t>
  </si>
  <si>
    <t>张博奥</t>
  </si>
  <si>
    <t>黄智超</t>
  </si>
  <si>
    <t>新人第一个月，打满</t>
  </si>
  <si>
    <t>保障性收入</t>
  </si>
  <si>
    <t>保障性收入部分：入职次月即第一个完整的考勤月，额外发放3000元保薪提成。</t>
  </si>
  <si>
    <t>合计</t>
  </si>
  <si>
    <t>此张表格中的绩效奖金包含提成奖金、月度绩效、季度绩效、其他业绩奖金</t>
  </si>
  <si>
    <t>国内顾问业绩汇总（6月）</t>
  </si>
  <si>
    <t>排名</t>
  </si>
  <si>
    <t>组别</t>
  </si>
  <si>
    <t>顾问</t>
  </si>
  <si>
    <t>月度数据</t>
  </si>
  <si>
    <t>本月目标</t>
  </si>
  <si>
    <t>总进账</t>
  </si>
  <si>
    <t>线下退费</t>
  </si>
  <si>
    <t>手动减</t>
  </si>
  <si>
    <t>综合业绩</t>
  </si>
  <si>
    <t>月度完成率</t>
  </si>
  <si>
    <t>对应提点</t>
  </si>
  <si>
    <t>提点奖金</t>
  </si>
  <si>
    <t>四六级</t>
  </si>
  <si>
    <t>小组合计</t>
  </si>
  <si>
    <t>5月月度数据</t>
  </si>
  <si>
    <t>考研提点奖金</t>
  </si>
  <si>
    <t>退费扣除金额</t>
  </si>
  <si>
    <t>考研净奖金</t>
  </si>
  <si>
    <t>考研</t>
  </si>
  <si>
    <t>/</t>
  </si>
  <si>
    <t>学校</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</si>
  <si>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</si>
  <si>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</si>
  <si>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</si>
  <si>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</si>
  <si>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</si>
  <si>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</si>
  <si>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</si>
  <si>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</si>
  <si>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</si>
  <si>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</si>
  <si>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</si>
  <si>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</si>
  <si>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</si>
  <si>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</si>
  <si>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</si>
  <si>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</si>
  <si>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</si>
  <si>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</si>
  <si>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</si>
  <si>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</si>
  <si>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</si>
  <si>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</si>
  <si>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专业</t>
  </si>
  <si>
    <t>签约学生姓名</t>
  </si>
  <si>
    <t>签约单ID</t>
  </si>
  <si>
    <t>签约单录入人</t>
  </si>
  <si>
    <t>签约单录入时间</t>
  </si>
  <si>
    <t>签约单更新人</t>
  </si>
  <si>
    <t>签约单更新时间</t>
  </si>
  <si>
    <t>班号</t>
  </si>
  <si>
    <t>班级名称</t>
  </si>
  <si>
    <t>面询表类型</t>
  </si>
  <si>
    <t>订金</t>
  </si>
  <si>
    <t>学费</t>
  </si>
  <si>
    <t>续费类型</t>
  </si>
  <si>
    <t>推荐人</t>
  </si>
  <si>
    <t>类型</t>
  </si>
  <si>
    <t>是否交接</t>
  </si>
  <si>
    <t>操作人编号</t>
  </si>
  <si>
    <t>学员号</t>
  </si>
  <si>
    <t>听课证号</t>
  </si>
  <si>
    <t>报班日期</t>
  </si>
  <si>
    <t>学员状态</t>
  </si>
  <si>
    <t>回访记录</t>
  </si>
  <si>
    <t>新老生类型</t>
  </si>
  <si>
    <t>退费金额</t>
  </si>
  <si>
    <t>退费日期</t>
  </si>
  <si>
    <t>课程类型</t>
  </si>
  <si>
    <t>客户ID</t>
  </si>
  <si>
    <t>是否新东方在线签约</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</si>
  <si>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</si>
  <si>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</si>
  <si>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</si>
  <si>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</si>
  <si>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</si>
  <si>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</si>
  <si>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</si>
  <si>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</si>
  <si>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</si>
  <si>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</si>
  <si>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</si>
  <si>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</si>
  <si>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</si>
  <si>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</si>
  <si>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同学</t>
  </si>
  <si>
    <t>114344091</t>
  </si>
  <si>
    <t>段同飞</t>
  </si>
  <si>
    <t>2025-06-14 16:17:31</t>
  </si>
  <si>
    <t>知春路直访咨询六级
徐健坤老师接待(资源备注人:段同飞;资源备注时间:2025-06-14 16:31)</t>
  </si>
  <si>
    <t/>
  </si>
  <si>
    <t>大一</t>
  </si>
  <si>
    <t>直访</t>
  </si>
  <si>
    <t>杨睿涵</t>
  </si>
  <si>
    <t>28336013</t>
  </si>
  <si>
    <t>正常工单</t>
  </si>
  <si>
    <t>2025-06-14 16:59</t>
  </si>
  <si>
    <t>A（六个月内有报课意向工单）</t>
  </si>
  <si>
    <t>六级</t>
  </si>
  <si>
    <t>北京航空航天大学</t>
  </si>
  <si>
    <t>计算机学院</t>
  </si>
  <si>
    <t>计算机科学与技术1</t>
  </si>
  <si>
    <t>2025-07-01 22:50</t>
  </si>
  <si>
    <t>WYSJ25033</t>
  </si>
  <si>
    <t>六级无忧计划</t>
  </si>
  <si>
    <t>国内考试</t>
  </si>
  <si>
    <t>5180.00</t>
  </si>
  <si>
    <t>新签</t>
  </si>
  <si>
    <t>已交接</t>
  </si>
  <si>
    <t>WebReg</t>
  </si>
  <si>
    <t>BJWY7493688636</t>
  </si>
  <si>
    <t>WYSJ250330037</t>
  </si>
  <si>
    <t>2025-06-30</t>
  </si>
  <si>
    <t>回访人：徐健坤，回访时间：2025-06-22 20:02，回访内容：要等孩子下周考完试；|回访人：徐健坤，回访时间：2025-07-01 22:50，回访内容：签约</t>
  </si>
  <si>
    <t>否</t>
  </si>
  <si>
    <t>25下考季</t>
  </si>
  <si>
    <t>国内高校-985</t>
  </si>
  <si>
    <t>是</t>
  </si>
  <si>
    <t>报名</t>
  </si>
  <si>
    <t>本地人本地大学(常规)</t>
  </si>
  <si>
    <t>客服</t>
  </si>
  <si>
    <t>家长</t>
  </si>
  <si>
    <t>116612399</t>
  </si>
  <si>
    <t>曹伟杰2</t>
  </si>
  <si>
    <t>2025-06-29 13:38:30</t>
  </si>
  <si>
    <t>孩子高一，家长意向8月4- 8月16四级，加微信联系，备注曹老师推荐【张志威公众号】</t>
  </si>
  <si>
    <t>高一</t>
  </si>
  <si>
    <t>线上运营-私域中台</t>
  </si>
  <si>
    <t>公众号</t>
  </si>
  <si>
    <t>王洛欢</t>
  </si>
  <si>
    <t>28632260</t>
  </si>
  <si>
    <t>2025-06-29 17:16</t>
  </si>
  <si>
    <t>B（需长时间跟单或只需要规划）</t>
  </si>
  <si>
    <t>四级</t>
  </si>
  <si>
    <t>询问未告知</t>
  </si>
  <si>
    <t>2025-06-30 16:02</t>
  </si>
  <si>
    <t>2025-06-30 23:40</t>
  </si>
  <si>
    <t>YKF25003</t>
  </si>
  <si>
    <t>四级无忧计划（新大一专属）</t>
  </si>
  <si>
    <t>4880.00</t>
  </si>
  <si>
    <t>BJWY24032w1g8X</t>
  </si>
  <si>
    <t>BJWY7022979955</t>
  </si>
  <si>
    <t>YKF250030002</t>
  </si>
  <si>
    <t>回访人：田一禾，回访时间：2025-06-29 17:16，回访内容：微信后联系，电话，孩子刚上高一，7月初还在上学，看8月份的课程，了解得比较详细。；|回访人：田一禾，回访时间：2025-06-30 16:02，回访内容：今日签约，8月4号四级英语，高一</t>
  </si>
  <si>
    <t>四级无忧计划</t>
  </si>
  <si>
    <t>普通学校-普高</t>
  </si>
  <si>
    <t>市场</t>
  </si>
  <si>
    <t>无</t>
  </si>
  <si>
    <t>116706793</t>
  </si>
  <si>
    <t>程远</t>
  </si>
  <si>
    <t>2025-06-30 10:41:17</t>
  </si>
  <si>
    <t>孙学智+sunxuezhi@xdf.cn+ 410571+培训学校-北京学校-高中一对一部-西南区-公主坟分中心，黄智超；</t>
  </si>
  <si>
    <t>高三</t>
  </si>
  <si>
    <t>转介绍</t>
  </si>
  <si>
    <t>内部员工推荐</t>
  </si>
  <si>
    <t>孙学智+sunxuezhi@xdf.cn+ 410571+培训学校-北京学校-高中一对一部-西南区-公主坟分中心</t>
  </si>
  <si>
    <t>翟培越</t>
  </si>
  <si>
    <t>28722066</t>
  </si>
  <si>
    <t>2025-06-30 10:56</t>
  </si>
  <si>
    <t>四级,大学预科</t>
  </si>
  <si>
    <t>询问学校未告知</t>
  </si>
  <si>
    <t>询问院系未告知</t>
  </si>
  <si>
    <t>询问专业未告知</t>
  </si>
  <si>
    <t>2025-06-30 20:44</t>
  </si>
  <si>
    <t>2025-06-30 22:41</t>
  </si>
  <si>
    <t>YKFJ25001</t>
  </si>
  <si>
    <t>四级无忧计划（线上优享/新大一专属）</t>
  </si>
  <si>
    <t>BJWY7484451181</t>
  </si>
  <si>
    <t>YKFJ250010030</t>
  </si>
  <si>
    <t>回访人：黄智超，回访时间：2025-06-30 10:56，回访内容：家长上午报志愿呢 下午3点以后确定 建议报名四级线上班 看看四级的难度 开课前也可以转到六级线上班去；|回访人：黄智超，回访时间：2025-06-30 20:44，回访内容：签约</t>
  </si>
  <si>
    <t>外地人外地大学(常规)</t>
  </si>
  <si>
    <t>鱼</t>
  </si>
  <si>
    <t>116661584</t>
  </si>
  <si>
    <t>王朝群</t>
  </si>
  <si>
    <t>2025-06-30 08:54:02</t>
  </si>
  <si>
    <t>【王朝群】咨询四六级暑期班，高三毕业生</t>
  </si>
  <si>
    <t>线上运营-小红书</t>
  </si>
  <si>
    <t>小红书</t>
  </si>
  <si>
    <t>李梓妍</t>
  </si>
  <si>
    <t>28721741</t>
  </si>
  <si>
    <t>2025-06-30 10:37</t>
  </si>
  <si>
    <t>2025-06-30 18:46</t>
  </si>
  <si>
    <t>YKF25004</t>
  </si>
  <si>
    <t>四级精英计划（新大一专属）</t>
  </si>
  <si>
    <t>BJWY9542200862</t>
  </si>
  <si>
    <t>YKF250040012</t>
  </si>
  <si>
    <t>回访人：黄智超，回访时间：2025-06-30 10:37，回访内容：家长意向挺高的 介绍推荐了大预四级小班 晚上给答复；|回访人：黄智超，回访时间：2025-06-30 18:46，回访内容：已签约</t>
  </si>
  <si>
    <t>孙含昱</t>
  </si>
  <si>
    <t>115469969</t>
  </si>
  <si>
    <t>王鹤曈</t>
  </si>
  <si>
    <t>2025-06-20 19:07:36</t>
  </si>
  <si>
    <t>资源姓名：孙含昱
资源描述：首师，大一，咨询四级暑假课程，8点联系</t>
  </si>
  <si>
    <t>京内会销/讲座</t>
  </si>
  <si>
    <t>28488277</t>
  </si>
  <si>
    <t>2025-06-20 20:05</t>
  </si>
  <si>
    <t>首都师范大学</t>
  </si>
  <si>
    <t>音乐学院</t>
  </si>
  <si>
    <t>音乐学</t>
  </si>
  <si>
    <t>2025-06-30 14:51</t>
  </si>
  <si>
    <t>04691802264</t>
  </si>
  <si>
    <t>【返学费】四级暑期直通车【2025年12考季】</t>
  </si>
  <si>
    <t>无须交接</t>
  </si>
  <si>
    <t>回访人：李政，回访时间：2025-06-25 18:07，回访内容：学生考虑新东方在线，还要和家长商量；|回访人：李政，回访时间：2025-06-29 17:55，回访内容：无回复；|回访人：李政，回访时间：2025-06-30 14:51，回访内容：签约在线</t>
  </si>
  <si>
    <t>长期班</t>
  </si>
  <si>
    <t>国内高校-双一流(非985/211)</t>
  </si>
  <si>
    <t>外地人本地大学(常规)</t>
  </si>
  <si>
    <t>艾沛沛</t>
  </si>
  <si>
    <t>116531988</t>
  </si>
  <si>
    <t>2025-06-28 15:49:00</t>
  </si>
  <si>
    <t>【王朝群】咨询大学预科班</t>
  </si>
  <si>
    <t>2026财年第1财月小红书</t>
  </si>
  <si>
    <t>张妙然</t>
  </si>
  <si>
    <t>28694627</t>
  </si>
  <si>
    <t>2025-06-29 12:07</t>
  </si>
  <si>
    <t>中央民族大学附属中学</t>
  </si>
  <si>
    <t>2025-06-30 13:20</t>
  </si>
  <si>
    <t>未交接</t>
  </si>
  <si>
    <t>BJWY2101498uW2</t>
  </si>
  <si>
    <t>BJWY5808049009</t>
  </si>
  <si>
    <t>YKFJ250010027</t>
  </si>
  <si>
    <t>回访人：刘晓娟，回访时间：2025-06-29 12:07，回访内容：孩子母亲咨询，孩子刚高中毕业，学音乐的，美声，想看看四六级的课程，倾向于线上，介绍，说了月底的优惠，促单；|回访人：刘晓娟，回访时间：2025-06-30 13:20，回访内容：报名</t>
  </si>
  <si>
    <t>北京市2447</t>
  </si>
  <si>
    <t>116687889</t>
  </si>
  <si>
    <t>杨俊42(国内)</t>
  </si>
  <si>
    <t>2025-06-30 19:09:47</t>
  </si>
  <si>
    <t xml:space="preserve">AI-37815-01a 2025-06-30 19:04:53_x000D_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2025-06-30 19:04:55_x000D_
您是想咨询【考研走读班】【考研集训营】【考研规划】还是【在职考研】呢？_x000D_
_x000D_
01000000037815128147940530052447 2025-06-30 19:05:28_x000D_
四六级线下在哪里上课_x000D_
_x000D_
AI-37815-01a 2025-06-30 19:05:32_x000D_
我们在全国32个城市都有校区，您这边在哪个地区上课方便呢。_x000D_
_x000D_
AI-37815-01a 2025-06-30 19:06:09_x000D_
您好，能看到我的对话吗？如有疑问，可以在此留电咨询！_x000D_
_x000D_
AI-37815-01a 2025-06-30 19:06:29_x000D_
如果您现在不方便，您可以留下您的【姓名电话方便接听电话的时间】，我们会安排老师第一时间为您回电免费咨询！_x000D_
_x000D_
AI-37815-01a 2025-06-30 19:07:29_x000D_
同学您好，目前处于咨询的高峰期，您可以留下您的【姓名电话方便接听电话的时间】，我们会安排老师第一时间为您回电免费咨询！_x000D_
_x000D_
AI-37815-01a 2025-06-30 19:08:29_x000D_
同学您好呀，请问还有什么课程方面的内容可以帮助到您的吗？_x000D_
_x000D_
01000000037815128147940530052447 2025-06-30 19:08:46_x000D_
13911828162_x000D_
_x000D_
AI-37815-01a 2025-06-30 19:08:50_x000D_
好的，确认一下你的号码是否正确呢~_x000D_
_x000D_
01000000037815128147940530052447 2025-06-30 19:09:20_x000D_
没问题_x000D_
_x000D_
AI-37815-01a 2025-06-30 19:09:23_x000D_
这个手机号是您的微信吗？如果不是您可以留一下您的微信号_x000D_
_x000D_
01000000037815128147940530052447 2025-06-30 19:09:32_x000D_
是微信_x000D_
_x000D_
AI-37815-01a 2025-06-30 19:09:36_x000D_
同学怎么称呼呢？_x000D_
_x000D_
</t>
  </si>
  <si>
    <t>2026财年第1财月百度投放新东方官网小程序</t>
  </si>
  <si>
    <t>徐利霞</t>
  </si>
  <si>
    <t>新东方官网</t>
  </si>
  <si>
    <t>新东方官网小程序</t>
  </si>
  <si>
    <t>2025-06-30 20:51:18</t>
  </si>
  <si>
    <t>高靖淇</t>
  </si>
  <si>
    <t>28741425</t>
  </si>
  <si>
    <t>2025-06-30 21:14</t>
  </si>
  <si>
    <t>北京市第四中学</t>
  </si>
  <si>
    <t>2025-07-01 22:14</t>
  </si>
  <si>
    <t>YKF25001</t>
  </si>
  <si>
    <t>BJWY8253848251</t>
  </si>
  <si>
    <t>YKF250010024</t>
  </si>
  <si>
    <t>回访人：徐健坤，回访时间：2025-06-30 21:14，回访内容：高考英语110左右 选择四级 理科 家长在考虑已申请加微信发送课程资料；|回访人：徐健坤，回访时间：2025-07-01 22:14，回访内容：签约</t>
  </si>
  <si>
    <t>26下考季</t>
  </si>
  <si>
    <t>百度投放</t>
  </si>
  <si>
    <t>詹佳楠</t>
  </si>
  <si>
    <t>108587552</t>
  </si>
  <si>
    <t>北京国内管理员</t>
  </si>
  <si>
    <t>2025-06-04 18:44:37</t>
  </si>
  <si>
    <t>来源:北京学校;【FY25已报名】金额：66.00元，报了【FY25高端/一对一】</t>
  </si>
  <si>
    <t>【2025-CRM高三资源】-北京大学部</t>
  </si>
  <si>
    <t>徐树萌</t>
  </si>
  <si>
    <t>毛坯数据</t>
  </si>
  <si>
    <t>2025-06-25 17:11:04</t>
  </si>
  <si>
    <t>28615708</t>
  </si>
  <si>
    <t>2025-06-25 20:16</t>
  </si>
  <si>
    <t>询问院校未告知</t>
  </si>
  <si>
    <t>2025-06-29 17:46</t>
  </si>
  <si>
    <t>2025-06-29 17:47</t>
  </si>
  <si>
    <t>YKSJ25001</t>
  </si>
  <si>
    <t>六级无忧计划（线上优享/新大一专属）</t>
  </si>
  <si>
    <t>BJWY2011wXCx1W</t>
  </si>
  <si>
    <t>BJWY6366188627</t>
  </si>
  <si>
    <t>YKSJ250010008</t>
  </si>
  <si>
    <t>2025-06-29</t>
  </si>
  <si>
    <t>回访人：张博奥，回访时间：2025-06-25 20:16，回访内容：家长加微信咨询线上和线下的四级课程，持续跟进；|回访人：张博奥，回访时间：2025-06-26 23:39，回访内容：家长加微信咨询线上和线下的四级课程，持续跟进，邀约了线上试听课；|回访人：张博奥，回访时间：2025-06-29 17:46，回访内容：已报名</t>
  </si>
  <si>
    <t>国内高校-双非</t>
  </si>
  <si>
    <t>请学管老师尽快联系</t>
  </si>
  <si>
    <t>新CRM</t>
  </si>
  <si>
    <t>清新怡然</t>
  </si>
  <si>
    <t>116616515</t>
  </si>
  <si>
    <t>杨钰杰</t>
  </si>
  <si>
    <t>2025-06-29 11:15:38</t>
  </si>
  <si>
    <t>电话</t>
  </si>
  <si>
    <t>大客服呼入</t>
  </si>
  <si>
    <t>2025-06-29 11:21:01</t>
  </si>
  <si>
    <t>景瑜</t>
  </si>
  <si>
    <t>28694452</t>
  </si>
  <si>
    <t>2025-06-29 11:53</t>
  </si>
  <si>
    <t>2025-06-29 23:36</t>
  </si>
  <si>
    <t>BJWY25030q8UPI</t>
  </si>
  <si>
    <t>BJWY5987904154</t>
  </si>
  <si>
    <t>YKFJ250010022</t>
  </si>
  <si>
    <t>回访人：张博奥，回访时间：2025-06-29 11:53，回访内容：家长意向英数连报线上网课，强调了月底优惠力度，持续跟进；|回访人：张博奥，回访时间：2025-06-29 23:36，回访内容：已报名</t>
  </si>
  <si>
    <t>YKMJ25001</t>
  </si>
  <si>
    <t>大学预科数学（线上优享/新大一专属）</t>
  </si>
  <si>
    <t>YKMJ250010010</t>
  </si>
  <si>
    <t>116615203</t>
  </si>
  <si>
    <t>2025-06-29 10:43:42</t>
  </si>
  <si>
    <t xml:space="preserve">渠道录入来源：SCRM-客服推送
商机ID：5009140101
商机编码：XSJ20250629007934
针对人群：大学
学生学校：不详
咨询课程：英语
创建人邮箱：guositong@xdf.cn
创建时间：2025-06-29 10:43:38
资源类型：单个资源
跟进记录：商机备注：新大一，咨询针对北二外入学英语面试;接触点：直访；
</t>
  </si>
  <si>
    <t>徐若熙</t>
  </si>
  <si>
    <t>28713350</t>
  </si>
  <si>
    <t>2025-06-29 12:10</t>
  </si>
  <si>
    <t>英语,大学预科</t>
  </si>
  <si>
    <t>山西高中</t>
  </si>
  <si>
    <t>2025-06-29 13:10</t>
  </si>
  <si>
    <t>2025-06-29 15:43</t>
  </si>
  <si>
    <t>LP17511738001926</t>
  </si>
  <si>
    <t>四级一对一伴学班</t>
  </si>
  <si>
    <t>BJWY4728783792</t>
  </si>
  <si>
    <t xml:space="preserve">回访人：黄智超，回访时间：2025-06-29 12:10，回访内容：家长给孩子咨询开学口语的测试内容 推荐了一对一 尽快排课；|回访人：黄智超，回访时间：2025-06-29 16:36，回访内容：见面沟通家长 孩子惧怕考试 没有高考毕业生 只能花钱去想办法和渠道去解决问题 </t>
  </si>
  <si>
    <t>SCRM-客服推送</t>
  </si>
  <si>
    <t>闫靖瑄</t>
  </si>
  <si>
    <t>115068689</t>
  </si>
  <si>
    <t>杨沫</t>
  </si>
  <si>
    <t>2025-06-18 14:21:53</t>
  </si>
  <si>
    <t>陶艳芹+taoyanqin@xdf.cn+275802+培训学校-北京学校-高中一对一部-西南区-海淀东分中心
黄智超</t>
  </si>
  <si>
    <t>陶艳芹+taoyanqin@xdf.cn+275802+培训学校-北京学校-高中一对一部-西南区-海淀东分中心</t>
  </si>
  <si>
    <t>28433385</t>
  </si>
  <si>
    <t>2025-06-18 14:27</t>
  </si>
  <si>
    <t>109中学</t>
  </si>
  <si>
    <t>2025-06-28 10:36</t>
  </si>
  <si>
    <t>2025-06-30 21:02</t>
  </si>
  <si>
    <t>BJWY2306SVFgG7</t>
  </si>
  <si>
    <t>BJWY9555779812</t>
  </si>
  <si>
    <t>YKFJ250010014</t>
  </si>
  <si>
    <t>2025-06-28</t>
  </si>
  <si>
    <t>回访人：黄智超，回访时间：2025-06-20 11:10，回访内容：家长电话未接 微信邀约了线上的试听课 孩子在外边没有电脑 告知手机就可以学习 家长发给孩子；|回访人：黄智超，回访时间：2025-06-20 19:14，回访内容：邀约试听课 晚点沟通看看反馈；|回访人：黄智超，回访时间：2025-06-21 14:47，回访内容：家长反馈孩子看了试听课，要下周三回来跟孩子沟通一下 直播间互动得了奖 持续联系；|回访人：黄智超，回访时间：2025-06-26 11:44，回访内容：打电话多次呼转，给家长发了直播间中的礼品，再持续联系下；|回访人：黄智超，回访时间：2025-06-28 10:36，回访内容：签约</t>
  </si>
  <si>
    <t>张静怡</t>
  </si>
  <si>
    <t>115848875</t>
  </si>
  <si>
    <t>徐岩</t>
  </si>
  <si>
    <t>2025-06-23 15:28:26</t>
  </si>
  <si>
    <t>续费原因：六级线上视频课咨询；该学生为保护期外续费，原顾问部门：国内大学部</t>
  </si>
  <si>
    <t>大二</t>
  </si>
  <si>
    <t>学管续费推荐</t>
  </si>
  <si>
    <t>徐岩xuyan91@xdf.cn</t>
  </si>
  <si>
    <t>28563358</t>
  </si>
  <si>
    <t>续费工单</t>
  </si>
  <si>
    <t>2025-06-23 17:12</t>
  </si>
  <si>
    <t>北京大学</t>
  </si>
  <si>
    <t>化学与分子工程学院</t>
  </si>
  <si>
    <t>化学</t>
  </si>
  <si>
    <t>2025-06-26 17:01</t>
  </si>
  <si>
    <t>85316929299</t>
  </si>
  <si>
    <t>【返学费】六级暑期直通车【2025年12考季】</t>
  </si>
  <si>
    <t>续班</t>
  </si>
  <si>
    <t>2025-06-26</t>
  </si>
  <si>
    <t>回访人：刘晓娟，回访时间：2025-06-23 17:12，回访内容：之前六级报的线上的直通车，家长咨询，上的特别好，现在还想了解这个，介绍；|回访人：刘晓娟，回访时间：2025-06-26 17:01，回访内容：报名</t>
  </si>
  <si>
    <t>国内高校-C9</t>
  </si>
  <si>
    <t>学员</t>
  </si>
  <si>
    <t>114446740</t>
  </si>
  <si>
    <t>北京客服部</t>
  </si>
  <si>
    <t>2025-06-15 13:29:01</t>
  </si>
  <si>
    <t>18932628093   17325670568 咨询课程    英语四级  刚刚高考完，平时英语110-120分  河北省廊坊市霸州市  请问是线下课程还是线上课程       咨询新东方</t>
  </si>
  <si>
    <t>2026财年第1财月代理商</t>
  </si>
  <si>
    <t>乔文娇</t>
  </si>
  <si>
    <t>线上运营-商务合作</t>
  </si>
  <si>
    <t>坦途网</t>
  </si>
  <si>
    <t>2025-06-15 13:45:07</t>
  </si>
  <si>
    <t>陈恩宇</t>
  </si>
  <si>
    <t>28497695</t>
  </si>
  <si>
    <t>2025-06-19 20:27</t>
  </si>
  <si>
    <t>河北省廊坊市霸州市第一中学</t>
  </si>
  <si>
    <t>2025-06-22 11:31</t>
  </si>
  <si>
    <t>33428686631</t>
  </si>
  <si>
    <t>六级暑期直通车PLUS【2025年12考季】</t>
  </si>
  <si>
    <t>2025-06-21</t>
  </si>
  <si>
    <t>回访人：徐健坤，回访时间：2025-06-19 20:27，回访内容：孩子英语基础还可以，110到120，但是家长比较考虑六级，找根据讲解最后选择的四级，但是时间会有冲突，可能会比较考虑线上课程报名，周五的线上时间以及周；|回访人：徐健坤，回访时间：2025-06-22 11:31，回访内容：签约</t>
  </si>
  <si>
    <t>线下代理商</t>
  </si>
  <si>
    <t>屈珂仪</t>
  </si>
  <si>
    <t>114369469</t>
  </si>
  <si>
    <t>2025-06-14 14:08:20</t>
  </si>
  <si>
    <t>老带新</t>
  </si>
  <si>
    <t>顾问转介绍-老带新</t>
  </si>
  <si>
    <t>徐健坤xujiankun1@xdf.cn</t>
  </si>
  <si>
    <t>28299086</t>
  </si>
  <si>
    <t>2025-06-14 18:03</t>
  </si>
  <si>
    <t>六级,大学预科</t>
  </si>
  <si>
    <t>内蒙古鄂尔多斯市第一中学</t>
  </si>
  <si>
    <t>2025-06-14 22:07</t>
  </si>
  <si>
    <t>2025-06-15 12:39</t>
  </si>
  <si>
    <t>YKS25001</t>
  </si>
  <si>
    <t>六级无忧计划（新大一专属）</t>
  </si>
  <si>
    <t>BJWY6737802707</t>
  </si>
  <si>
    <t>YKS250010001</t>
  </si>
  <si>
    <t>2025-06-14</t>
  </si>
  <si>
    <t>回访人：徐健坤，回访时间：2025-06-14 18:03，回访内容：搜同学推荐大学预科三块钱报团报英语基础一百四十分左右还不错；|回访人：徐健坤，回访时间：2025-06-14 22:07，回访内容：签约</t>
  </si>
  <si>
    <t>YKM25001</t>
  </si>
  <si>
    <t>大学预科数学（新大一专属）</t>
  </si>
  <si>
    <t>YKM250010002</t>
  </si>
  <si>
    <t>YK25001</t>
  </si>
  <si>
    <t>大学口语特训营</t>
  </si>
  <si>
    <t>YK250010001</t>
  </si>
  <si>
    <t>91750279</t>
  </si>
  <si>
    <t>2024-12-28 17:42:06</t>
  </si>
  <si>
    <t>续费原因：学生二战咨询课程，英政数三 班课和集训营都了解下；该学生为保护期内续费，原顾问：国内大学部-刘晓娟(liuxiaojuan@xdf.cn)</t>
  </si>
  <si>
    <t>大三</t>
  </si>
  <si>
    <t>刘加隆</t>
  </si>
  <si>
    <t>28256032</t>
  </si>
  <si>
    <t>2025-06-10 14:33</t>
  </si>
  <si>
    <t>考研专业课,考研无忧计划</t>
  </si>
  <si>
    <t>大学已毕业</t>
  </si>
  <si>
    <t>北京物资学院</t>
  </si>
  <si>
    <t>商学院</t>
  </si>
  <si>
    <t>金融</t>
  </si>
  <si>
    <t>WYE26028</t>
  </si>
  <si>
    <t>考研英语无忧计划（26考研/英二强化）</t>
  </si>
  <si>
    <t>同科续费</t>
  </si>
  <si>
    <t>BJWY22035556hl</t>
  </si>
  <si>
    <t>BJWY9975719936</t>
  </si>
  <si>
    <t>WYE260280064</t>
  </si>
  <si>
    <t>2025-06-10</t>
  </si>
  <si>
    <t>回访人：刘晓娟，回访时间：2025-06-10 14:33，回访内容：转班；|回访人：刘晓娟，回访时间：2025-06-10 14:33，回访内容：转班</t>
  </si>
  <si>
    <t>26考季</t>
  </si>
  <si>
    <t>无忧计划-啄木鸟</t>
  </si>
  <si>
    <t>英语,政治,数学,专业课300</t>
  </si>
  <si>
    <t>转出</t>
  </si>
  <si>
    <t>WYE26029</t>
  </si>
  <si>
    <t>考研英语无忧计划（26考研/英二冲刺）</t>
  </si>
  <si>
    <t>WYE260290064</t>
  </si>
  <si>
    <t>佘佳仪</t>
  </si>
  <si>
    <t>103633788</t>
  </si>
  <si>
    <t>2025-05-24 12:38:46</t>
  </si>
  <si>
    <t>张宇萌+zhangyumeng30@xdf.cn+434005+产业机构-国际教育培训事业部-国际教育北京中心-英联邦部-英研班课项目，徐健坤；</t>
  </si>
  <si>
    <t>张宇萌+zhangyumeng30@xdf.cn+434005+产业机构-国际教育培训事业部-国际教育北京中心-英联邦部-英研班课项目</t>
  </si>
  <si>
    <t>27939089</t>
  </si>
  <si>
    <t>2025-06-01 08:23</t>
  </si>
  <si>
    <t>长春工业大学</t>
  </si>
  <si>
    <t>经济管理学院</t>
  </si>
  <si>
    <t>金融学</t>
  </si>
  <si>
    <t>2025-06-05 10:10</t>
  </si>
  <si>
    <t>2025-06-20 10:48</t>
  </si>
  <si>
    <t>LP1749089402430</t>
  </si>
  <si>
    <t>BJWY2440146832</t>
  </si>
  <si>
    <t>2025-06-05</t>
  </si>
  <si>
    <t>回访人：徐健坤，回访时间：2025-06-01 20:09，回访内容：现在在开会 明天会回电；|回访人：徐健坤，回访时间：2025-06-02 21:53，回访内容：确定课时 5节课10小时；|回访人：徐健坤，回访时间：2025-06-03 20:59，回访内容：感觉价格贵 告诉有优惠 并体现时间紧迫性 无回复 电话拒接；|回访人：徐健坤，回访时间：2025-06-04 21:14，回访内容：始终通话中</t>
  </si>
  <si>
    <t>25上考季</t>
  </si>
  <si>
    <t>四级一对一</t>
  </si>
  <si>
    <t>本地人外地大学(归巢)</t>
  </si>
  <si>
    <t>61377533</t>
  </si>
  <si>
    <t>2023-10-24 10:54:24</t>
  </si>
  <si>
    <t>市场人员：唐龙
意向等级：高
备注：了解新东方各种课程及价格 方便微信联系 手机号就是微信号</t>
  </si>
  <si>
    <t>2024财年第5财月91校代系统资源活动</t>
  </si>
  <si>
    <t>在职</t>
  </si>
  <si>
    <t>校代</t>
  </si>
  <si>
    <t>线下校代</t>
  </si>
  <si>
    <t>龚美静贤</t>
  </si>
  <si>
    <t>28099241</t>
  </si>
  <si>
    <t>2025-06-04 09:54</t>
  </si>
  <si>
    <t>线上考研产品</t>
  </si>
  <si>
    <t>长沙医学院</t>
  </si>
  <si>
    <t>护理学院</t>
  </si>
  <si>
    <t>护理学</t>
  </si>
  <si>
    <t>2025-06-04 09:56</t>
  </si>
  <si>
    <t>52037955724</t>
  </si>
  <si>
    <t>2026考研英语全程班 6班</t>
  </si>
  <si>
    <t>2025-06-04</t>
  </si>
  <si>
    <t>回访人：刘晓娟，回访时间：2025-06-04 09:54，回访内容：续费；|回访人：刘晓娟，回访时间：2025-06-04 09:54，回访内容：报名</t>
  </si>
  <si>
    <t>线上全程班</t>
  </si>
  <si>
    <t>英语</t>
  </si>
  <si>
    <t>王钰菲</t>
  </si>
  <si>
    <t>108151112</t>
  </si>
  <si>
    <t>王天义</t>
  </si>
  <si>
    <t>2025-06-04 11:17:16</t>
  </si>
  <si>
    <t>续费原因：已上岸，准备四六级；该学生为保护期外续费，原顾问部门：国内大学部</t>
  </si>
  <si>
    <t>大四</t>
  </si>
  <si>
    <t>王天义wangtianyi56@xdf.cn</t>
  </si>
  <si>
    <t>28100992</t>
  </si>
  <si>
    <t>2025-06-04 12:33</t>
  </si>
  <si>
    <t>四级,考研复试班</t>
  </si>
  <si>
    <t>北京工商大学</t>
  </si>
  <si>
    <t>传媒与设计学院</t>
  </si>
  <si>
    <t>数字媒体艺术</t>
  </si>
  <si>
    <t>2025-06-04 15:04</t>
  </si>
  <si>
    <t>2025-06-07 14:25</t>
  </si>
  <si>
    <t>LP17490206552074</t>
  </si>
  <si>
    <t>BJWY8819678260</t>
  </si>
  <si>
    <t>回访人：张博奥，回访时间：2025-06-04 12:33，回访内容：学生意向很高，预计近期报名</t>
  </si>
  <si>
    <t>艺术设计</t>
  </si>
  <si>
    <t>邓立清</t>
  </si>
  <si>
    <t>107410521</t>
  </si>
  <si>
    <t>2025-06-01 13:55:02</t>
  </si>
  <si>
    <t>资源录入来源：小表单
城市：锡林郭勒盟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备注：来源:小表单;姓名:邓立清;意向课程: 【课程】考研、四六级、专升本、成人英语/北京/北京; 新老生: 新生; 提交链接:pages/index/index.html?scene=81512,,Lh8FwYc8;地理位置:内蒙古自治区锡林郭勒盟西乌珠穆沁旗巴拉嘎尔高勒镇柴达木路西乌珠穆沁旗好运来旅店;渠道:新媒体运营/公众号-品牌号</t>
  </si>
  <si>
    <t>2026财年小表单-新东方集团官微【新东方】资源</t>
  </si>
  <si>
    <t>未知</t>
  </si>
  <si>
    <t>2025-06-01 15:55:13</t>
  </si>
  <si>
    <t>邓一頔</t>
  </si>
  <si>
    <t>28140357</t>
  </si>
  <si>
    <t>2025-06-01 16:30</t>
  </si>
  <si>
    <t>贵州财经大学</t>
  </si>
  <si>
    <t>会计学院</t>
  </si>
  <si>
    <t>会计学1</t>
  </si>
  <si>
    <t>2025-06-01 20:21</t>
  </si>
  <si>
    <t>2025-06-09 11:02</t>
  </si>
  <si>
    <t>ZVVB26001</t>
  </si>
  <si>
    <t>六级暑假集训营（24H冲刺直播）</t>
  </si>
  <si>
    <t>BJWY8459557991</t>
  </si>
  <si>
    <t>ZVVB260010015</t>
  </si>
  <si>
    <t>2025-06-01</t>
  </si>
  <si>
    <t>回访人：徐健坤，回访时间：2025-06-01 16:30，回访内容：家长帮孩子咨询 孩子同意上课  然后之前四级考试425分 今年二月份报过六级的小班 想要让孩子再重新学习一下 因为孩子自律性比较差；|回访人：徐健坤，回访时间：2025-06-01 20:21，回访内容：签约；|回访人：徐健坤，回访时间：2025-06-01 20:43，回访内容：补充首次联系记录</t>
  </si>
  <si>
    <t>集训营</t>
  </si>
  <si>
    <t>小表单</t>
  </si>
  <si>
    <t>107384055</t>
  </si>
  <si>
    <t>王静静</t>
  </si>
  <si>
    <t>2025-06-01 08:38:54</t>
  </si>
  <si>
    <t>九月份升本，备考四级，打算12月考试，想了解下辅导，方便回电</t>
  </si>
  <si>
    <t>2025-06-01 09:15:17</t>
  </si>
  <si>
    <t>张文静</t>
  </si>
  <si>
    <t>28138437</t>
  </si>
  <si>
    <t>2025-06-01 10:44</t>
  </si>
  <si>
    <t>河北医科大学临床学院</t>
  </si>
  <si>
    <t>临床学院</t>
  </si>
  <si>
    <t>临床医学</t>
  </si>
  <si>
    <t>2025-06-01 19:12</t>
  </si>
  <si>
    <t>2025-06-01 19:26</t>
  </si>
  <si>
    <t>32159996379</t>
  </si>
  <si>
    <t>回访人：徐健坤，回访时间：2025-06-01 10:44，回访内容：学生自律性还可以 主要是想要了解十二月份的四级考试 今年成人高考然后 英语基础一般 推荐了线上直播班 暑期 说到价格5980感觉价格比较贵 然后比较考虑新东方在线网课 然后今天下午可以报名</t>
  </si>
  <si>
    <t>四级线上网课</t>
  </si>
  <si>
    <t>张女士</t>
  </si>
  <si>
    <t>116275296</t>
  </si>
  <si>
    <t>商若轩</t>
  </si>
  <si>
    <t>2025-06-26 11:07:21</t>
  </si>
  <si>
    <t>高招会家长，给孩子咨询四级线上课程，现在方便电话沟通</t>
  </si>
  <si>
    <t>陈芝合</t>
  </si>
  <si>
    <t>28649575</t>
  </si>
  <si>
    <t>2025-06-26 11:15</t>
  </si>
  <si>
    <t>北京铁路第三中学</t>
  </si>
  <si>
    <t>2025-06-30 13:24</t>
  </si>
  <si>
    <t>BJWY1841495482</t>
  </si>
  <si>
    <t>YKFJ250010028</t>
  </si>
  <si>
    <t>回访人：刘晓娟，回访时间：2025-06-26 11:15，回访内容：接通电话了，孩子母亲咨询，想看看四级线上的课程安排，让市场老师推我微信，添加微信发送课程介绍；|回访人：刘晓娟，回访时间：2025-06-28 18:32，回访内容：微信留言，确认意向；|回访人：刘晓娟，回访时间：2025-06-30 13:24，回访内容：报名</t>
  </si>
  <si>
    <t>刘姝含</t>
  </si>
  <si>
    <t>108460426</t>
  </si>
  <si>
    <t>2025-06-04 17:01:48</t>
  </si>
  <si>
    <t>来源:北京学校;【FY25已报名】金额：20932.00元，报了【FY25高端/一对一】</t>
  </si>
  <si>
    <t>2025-06-28 19:24:43</t>
  </si>
  <si>
    <t>28718502</t>
  </si>
  <si>
    <t>2025-06-29 17:53</t>
  </si>
  <si>
    <t>清华附中柳芳分校</t>
  </si>
  <si>
    <t>2025-06-29 21:29</t>
  </si>
  <si>
    <t>BJWY9505825825</t>
  </si>
  <si>
    <t>YKFJ250010024</t>
  </si>
  <si>
    <t>回访人：黄智超，回访时间：2025-06-29 17:47，回访内容：电话未接通 微信已建立沟通；|回访人：刘晓娟，回访时间：2025-06-29 17:57，回访内容：孩子母亲咨询，孩子刚高考完，成绩106分，想看看四级线上的课程，介绍；|回访人：刘晓娟，回访时间：2025-06-29 21:29，回访内容：报名</t>
  </si>
  <si>
    <t>114440409</t>
  </si>
  <si>
    <t>2025-06-15 11:20:28</t>
  </si>
  <si>
    <t>死单激活，房国超；</t>
  </si>
  <si>
    <t>线上运营-投放</t>
  </si>
  <si>
    <t>韩晓</t>
  </si>
  <si>
    <t>28361709</t>
  </si>
  <si>
    <t>2025-06-15 11:39</t>
  </si>
  <si>
    <t>青海师范大学</t>
  </si>
  <si>
    <t>数学与统计学院</t>
  </si>
  <si>
    <t>金融数学</t>
  </si>
  <si>
    <t>2025-06-28 21:13</t>
  </si>
  <si>
    <t>79036353790</t>
  </si>
  <si>
    <t xml:space="preserve">回访人：房国超，回访时间：2025-06-19 17:55，回访内容：打算报名 200多的网课， 要月末再说；|回访人：房国超，回访时间：2025-06-26 23:15，回访内容：微信邀约试听课；|回访人：房国超，回访时间：2025-06-28 20:57，回访内容：要报网课  200的那个 </t>
  </si>
  <si>
    <t>张瑶</t>
  </si>
  <si>
    <t>116187271</t>
  </si>
  <si>
    <t>罗志勇</t>
  </si>
  <si>
    <t>2025-06-26 09:27:39</t>
  </si>
  <si>
    <t>续费原因：大学课程 续费1h；该学生为保护期内续费，原顾问：国内大学部-刘晓娟(liuxiaojuan@xdf.cn)</t>
  </si>
  <si>
    <t>罗志勇luozhiyong1@xdf.cn</t>
  </si>
  <si>
    <t>28652100</t>
  </si>
  <si>
    <t>2025-06-26 14:18</t>
  </si>
  <si>
    <t>大学学科辅导</t>
  </si>
  <si>
    <t>机械工程及自动化学院</t>
  </si>
  <si>
    <t>机械工程1</t>
  </si>
  <si>
    <t>2025-06-26 14:56</t>
  </si>
  <si>
    <t>LP17509209611424</t>
  </si>
  <si>
    <t>大学课程一对一伴学班（其它）</t>
  </si>
  <si>
    <t>BJWY0761840508</t>
  </si>
  <si>
    <t>回访人：刘晓娟，回访时间：2025-06-26 14:18，回访内容：续费一小时</t>
  </si>
  <si>
    <t>专业课</t>
  </si>
  <si>
    <t>116146844</t>
  </si>
  <si>
    <t>2025-06-25 13:19:03</t>
  </si>
  <si>
    <t>续费原因：大学课程 续费 1v1；2h；该学生为保护期内续费，原顾问：国内大学部-刘晓娟(liuxiaojuan@xdf.cn)</t>
  </si>
  <si>
    <t>28592449</t>
  </si>
  <si>
    <t>2025-06-25 14:23</t>
  </si>
  <si>
    <t>2025-06-25 14:25</t>
  </si>
  <si>
    <t>LP17508327021308</t>
  </si>
  <si>
    <t>2025-06-25</t>
  </si>
  <si>
    <t>回访人：刘晓娟，回访时间：2025-06-25 14:23，回访内容：一对一</t>
  </si>
  <si>
    <t>107156125</t>
  </si>
  <si>
    <t>2025-05-31 11:51:07</t>
  </si>
  <si>
    <t>学员想要线上学习，专升本方面，麻烦老师联系</t>
  </si>
  <si>
    <t>2025财年第12财月代理商</t>
  </si>
  <si>
    <t>91搜课网</t>
  </si>
  <si>
    <t>2025-05-31 12:03:00</t>
  </si>
  <si>
    <t>李相汶</t>
  </si>
  <si>
    <t>28082431</t>
  </si>
  <si>
    <t>2025-05-31 12:14</t>
  </si>
  <si>
    <t>专升本</t>
  </si>
  <si>
    <t>北京网络职业学院</t>
  </si>
  <si>
    <t>计算机</t>
  </si>
  <si>
    <t>2025-06-22 10:00</t>
  </si>
  <si>
    <t>54421036825</t>
  </si>
  <si>
    <t>26通用专升本慧学班-英语</t>
  </si>
  <si>
    <t>2025-06-22</t>
  </si>
  <si>
    <t>回访人：刘晓娟，回访时间：2025-06-19 16:23，回访内容：活动促单，周六再跟一下；|回访人：刘晓娟，回访时间：2025-06-21 10:37，回访内容：要再等等，肯定报，但是不说原因</t>
  </si>
  <si>
    <t>专升本全科全程班,专升本VIP</t>
  </si>
  <si>
    <t>国内高校-大专</t>
  </si>
  <si>
    <t>103581753</t>
  </si>
  <si>
    <t>2025-05-24 16:25:58</t>
  </si>
  <si>
    <t>续费原因：再续费1节物理1对1，辛苦分配原顾问刘晓娟老师；该学生为保护期内续费，原顾问：国内大学部-刘晓娟(liuxiaojuan@xdf.cn)</t>
  </si>
  <si>
    <t>李奇霖</t>
  </si>
  <si>
    <t>28115255</t>
  </si>
  <si>
    <t>2025-06-05 10:43</t>
  </si>
  <si>
    <t>北京工业大学</t>
  </si>
  <si>
    <t>理学部</t>
  </si>
  <si>
    <t>数学与应用数学</t>
  </si>
  <si>
    <t>2025-06-05 10:48</t>
  </si>
  <si>
    <t>LP1749091699737</t>
  </si>
  <si>
    <t>大学数学一对一伴学班（定制）</t>
  </si>
  <si>
    <t>BJWY9604668618</t>
  </si>
  <si>
    <t>回访人：刘晓娟，回访时间：2025-06-05 10:43，回访内容：转班</t>
  </si>
  <si>
    <t>国内高校-211</t>
  </si>
  <si>
    <t>爆帅版小学生</t>
  </si>
  <si>
    <t>107971566</t>
  </si>
  <si>
    <t>2025-06-04 09:06:44</t>
  </si>
  <si>
    <t>【王朝群】咨询四六级暑期班【微信联系，不方便电话】</t>
  </si>
  <si>
    <t>孟佳慧</t>
  </si>
  <si>
    <t>28152472</t>
  </si>
  <si>
    <t>2025-06-04 10:57</t>
  </si>
  <si>
    <t>山东外事职业大学</t>
  </si>
  <si>
    <t>管理学院</t>
  </si>
  <si>
    <t>现代物流管理</t>
  </si>
  <si>
    <t>2025-06-04 11:14</t>
  </si>
  <si>
    <t>94431466018</t>
  </si>
  <si>
    <t>回访人：刘晓娟，回访时间：2025-06-04 10:57，回访内容：本人咨询，大一，山东外事职业大学，12月考四级，想了解四级暑假线上的课程，介绍四级无忧</t>
  </si>
  <si>
    <t>100365583</t>
  </si>
  <si>
    <t>2025-04-22 09:33:58</t>
  </si>
  <si>
    <t>续费原因：充值6h；该学生为保护期内续费，原顾问：国内大学部-刘晓娟(liuxiaojuan@xdf.cn)</t>
  </si>
  <si>
    <t>28109880</t>
  </si>
  <si>
    <t>2025-06-03 12:25</t>
  </si>
  <si>
    <t>系统管理员</t>
  </si>
  <si>
    <t>LP1745289823524</t>
  </si>
  <si>
    <t>六级一对一伴学班</t>
  </si>
  <si>
    <t>2025-06-03</t>
  </si>
  <si>
    <t>回访人：系统管理员，回访时间：2025-06-03 12:25，回访内容：学生转产品转入，创建续费工单。</t>
  </si>
  <si>
    <t>六级一对一</t>
  </si>
  <si>
    <t>LP17489246361044</t>
  </si>
  <si>
    <t>崔嘉禾</t>
  </si>
  <si>
    <t>103783427</t>
  </si>
  <si>
    <t>2025-05-26 13:29:28</t>
  </si>
  <si>
    <t>内部员工推荐给徐建坤老师</t>
  </si>
  <si>
    <t>许赢丹+xuyingdan@xdf.cn+303877+培训学校-北京学校-智慧学习部-门店运营中心-线上东区</t>
  </si>
  <si>
    <t>28047879</t>
  </si>
  <si>
    <t>2025-06-29 21:44</t>
  </si>
  <si>
    <t>中国人民大学附属中学分校（人大附中分校）</t>
  </si>
  <si>
    <t>2025-06-30 23:03</t>
  </si>
  <si>
    <t>2025-07-01 14:37</t>
  </si>
  <si>
    <t>BJWY7797848267</t>
  </si>
  <si>
    <t>YKFJ250010032</t>
  </si>
  <si>
    <t>回访人：徐健坤，回访时间：2025-06-21 19:32，回访内容：拒接 1；|回访人：徐健坤，回访时间：2025-06-25 20:59，回访内容：拒接了 微信留言；|回访人：徐健坤，回访时间：2025-06-27 23:05，回访内容：一直不回复了 电话一直拒接 3；|回访人：吴凯龙，回访时间：2025-06-29 21:44，回访内容：吴凯龙恢复工单, 系统自动生成回访记录!；|回访人：徐健坤，回访时间：2025-06-29 21:51，回访内容：最后要报四级网课；|回访人：徐健坤，回访时间：2025-06-30 23:03，回访内容：签约</t>
  </si>
  <si>
    <t>袁帅</t>
  </si>
  <si>
    <t>115895161</t>
  </si>
  <si>
    <t>2025-06-23 19:43:21</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</si>
  <si>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备注：来源:小表单;姓名:袁帅;意向课程: 【课程】考研、四六级、专升本、成人英语/北京/北京; 新老生: 流失老生; 提交链接:pages/index/index.html?scene=81512,,Lh8FwYc8;地理位置:-;渠道:新媒体运营/公众号-品牌号</t>
  </si>
  <si>
    <t>2025-06-23 19:49:37</t>
  </si>
  <si>
    <t>28657362</t>
  </si>
  <si>
    <t>2025-06-26 18:16</t>
  </si>
  <si>
    <t>北京城市学院</t>
  </si>
  <si>
    <t>生物医药学部</t>
  </si>
  <si>
    <t>中药学</t>
  </si>
  <si>
    <t>2025-06-30 21:21</t>
  </si>
  <si>
    <t>BJWY6531619540</t>
  </si>
  <si>
    <t>YKF250030001</t>
  </si>
  <si>
    <t>回访人：刘晓娟，回访时间：2025-06-26 18:16，回访内容：家长咨询，这几天特别忙，暑假要去顺义住，高考英语80多分，想看看四级，介绍了四级的各种班型，家长问问孩子，月中旬要出国玩；|回访人：刘晓娟，回访时间：2025-06-28 15:07，回访内容：微信留言，确认意向，等回复；|回访人：刘晓娟，回访时间：2025-06-30 21:21，回访内容：报名</t>
  </si>
  <si>
    <t>毕昊烨</t>
  </si>
  <si>
    <t>114343921</t>
  </si>
  <si>
    <t>2025-06-14 16:09:36</t>
  </si>
  <si>
    <t xml:space="preserve">渠道录入来源：SCRM-客服推送
商机ID：5009067721
商机编码：XSJ20250614030460
针对人群：大学
学员号：BJ2300032
学生学校：不详
咨询课程：英语
创建人邮箱：wangyue328@xdf.cn
创建时间：2025-06-14 16:09:29
资源类型：单个资源
跟进记录：商机备注：本人来电，大三，咨询六级，首考380+，想上线上课，辛苦老师联系介绍;接触点：呼入；
</t>
  </si>
  <si>
    <t>新东方PC官网</t>
  </si>
  <si>
    <t>28356837</t>
  </si>
  <si>
    <t>2025-06-14 16:53</t>
  </si>
  <si>
    <t>2025-06-30 18:53</t>
  </si>
  <si>
    <t>2025-06-30 22:38</t>
  </si>
  <si>
    <t>分单</t>
  </si>
  <si>
    <t>BJWY1094907632</t>
  </si>
  <si>
    <t>回访人：房国超，回访时间：2025-06-21 20:27，回访内容：微信留言 告知了最大优惠；|回访人：房国超，回访时间：2025-06-22 20:57，回访内容：电话无人接听，微信留言未回；|回访人：房国超，回访时间：2025-06-23 17:52，回访内容：家长问了集训营安排，  ；|回访人：房国超，回访时间：2025-06-24 22:26，回访内容：微信告知了 最大优惠 ；|回访人：房国超，回访时间：2025-06-25 18:12，回访内容：电话无人接，微信留言 ；|回访人：房国超，回访时间：2025-06-27 17:05，回访内容：电话无人接，微信留言未回；|回访人：房国超，回访时间：2025-06-30 18:53，回访内容：报名集训营</t>
  </si>
  <si>
    <t>江</t>
  </si>
  <si>
    <t>114480959</t>
  </si>
  <si>
    <t>2025-06-15 17:48:02</t>
  </si>
  <si>
    <t>卢嘉雯+lujiawen3@xdf.cn+213598+培训学校-北京学校-高中一对一部-西北区-知春路分中心，房国超；</t>
  </si>
  <si>
    <t>卢嘉雯+lujiawen3@xdf.cn+213598+培训学校-北京学校-高中一对一部-西北区-知春路分中心</t>
  </si>
  <si>
    <t>江卓霖</t>
  </si>
  <si>
    <t>28302784</t>
  </si>
  <si>
    <t>2025-06-15 18:07</t>
  </si>
  <si>
    <t>广东广雅中学</t>
  </si>
  <si>
    <t>2025-06-30 20:09</t>
  </si>
  <si>
    <t>BJWY2819580427</t>
  </si>
  <si>
    <t>回访人：房国超，回访时间：2025-06-26 23:13，回访内容：微信发送 志愿通维护 ；|回访人：房国超，回访时间：2025-06-28 20:59，回访内容：微信留言 集训营安排，优惠逼单；|回访人：房国超，回访时间：2025-06-30 20:09，回访内容：报名集训营课程</t>
  </si>
  <si>
    <t>暑假六级集训营</t>
  </si>
  <si>
    <t>ZVVB260010029</t>
  </si>
  <si>
    <t>房桂明</t>
  </si>
  <si>
    <t>116351412</t>
  </si>
  <si>
    <t>2025-06-26 16:53:39</t>
  </si>
  <si>
    <t>家长咨询六级课程，及介绍完了，跟孩子商量一下，顾问老师联系我</t>
  </si>
  <si>
    <t>社群、虚拟人</t>
  </si>
  <si>
    <t>于梓涵</t>
  </si>
  <si>
    <t>28656793</t>
  </si>
  <si>
    <t>2025-06-26 17:48</t>
  </si>
  <si>
    <t>2025-06-30 16:46</t>
  </si>
  <si>
    <t>2025-06-30 18:56</t>
  </si>
  <si>
    <t>BJWY2811408401</t>
  </si>
  <si>
    <t>WYSJ250330036</t>
  </si>
  <si>
    <t>回访人：李政，回访时间：2025-06-26 17:48，回访内容：意向大班，预算比较低，先和孩子商量商量再说；|回访人：李政，回访时间：2025-06-29 14:53，回访内容：孩子在飞机上，不方便沟通，回北京再联系；|回访人：李政，回访时间：2025-06-30 10:42，回访内容：孩子没那么多时间不想学习；|回访人：李政，回访时间：2025-06-30 16:46，回访内容：签约</t>
  </si>
  <si>
    <t>北京市5055</t>
  </si>
  <si>
    <t>116636736</t>
  </si>
  <si>
    <t>张亚男</t>
  </si>
  <si>
    <t>2025-06-30 08:58:53</t>
  </si>
  <si>
    <t>渠道录入来源：集团百度投放-易聊
意向城市：北京市
访客省/城市：北京市
qq: 
访客静态ID：01000000037815295909281538835055
接待分组ID：51266
搜索引擎：
搜索词：
关键词：
设备类型：pc
访客IP：161.207.5.11
对话详细内容：AI-KvNH7xJ0CD 2025-06-30 08:57:41_x000D_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2025-06-30 08:57:43_x000D_
您是想咨询【考研走读班】【考研集训营】【考研规划】还是【在职考研】呢？_x000D_
_x000D_
01000000034718124496997725415669 2025-06-30 08:57:58_x000D_
四六级考试_x000D_
_x000D_
AI-KvNH7xJ0CD 2025-06-30 08:58:02_x000D_
您目前在学的院校是哪所呢？_x000D_
_x000D_
01000000034718124496997725415669 2025-06-30 08:58:19_x000D_
东北石油大学_x000D_
_x000D_
AI-KvNH7xJ0CD 2025-06-30 08:58:22_x000D_
您目前英语基础如何呢？_x000D_
_x000D_
01000000034718124496997725415669 2025-06-30 08:58:35_x000D_
四级未过_x000D_
_x000D_
AI-KvNH7xJ0CD 2025-06-30 08:58:39_x000D_
这样，您微信还是电话方便呢？我安排四六级老师联系您，将课程的详细内容介绍给您_x000D_
_x000D_
01000000034718124496997725415669 2025-06-30 08:58:52_x000D_
18345505377_x000D_
_x000D_
来源页：https://lingxi.xdf.cn/siliujixdf?utm_source=jituan_searchengine_baidu__PC_baidu_PP&amp;utm_medium=CPD&amp;utm_campaign=jituanpinjuheye&amp;utm_term=toutu_yignyuliuji
备注：</t>
  </si>
  <si>
    <t>2026财年第1财月百度投放总部-百度投放</t>
  </si>
  <si>
    <t>总部-百度投放</t>
  </si>
  <si>
    <t>方原</t>
  </si>
  <si>
    <t>28736978</t>
  </si>
  <si>
    <t>2025-06-30 15:41</t>
  </si>
  <si>
    <t>文法学部</t>
  </si>
  <si>
    <t>法学</t>
  </si>
  <si>
    <t>2025-06-30 16:15</t>
  </si>
  <si>
    <t>WYS25032</t>
  </si>
  <si>
    <t>六级精英计划</t>
  </si>
  <si>
    <t>BJWY7557453936</t>
  </si>
  <si>
    <t>WYS250320012</t>
  </si>
  <si>
    <t>回访人：刘晓娟，回访时间：2025-06-30 15:41，回访内容：六级小班，报名，一会补充内容；|回访人：刘晓娟，回访时间：2025-06-30 15:47，回访内容：孩子母亲咨询，家在东直门，四级考试刚过，六级没考，建议六级小班，家长跟孩子商量下；|回访人：刘晓娟，回访时间：2025-06-30 16:15，回访内容：报名</t>
  </si>
  <si>
    <t>俞越</t>
  </si>
  <si>
    <t>115432639</t>
  </si>
  <si>
    <t>李雪68</t>
  </si>
  <si>
    <t>2025-06-20 14:42:23</t>
  </si>
  <si>
    <t xml:space="preserve">任哲+renzhe3@xdf.cn+162089+产业机构-国际教育培训事业部-国际教育北京中心-运营管理部-中学区域运营中心三区-崇文中学分中心
</t>
  </si>
  <si>
    <t>任哲+renzhe3@xdf.cn+162089+产业机构-国际教育培训事业部-国际教育北京中心-运营管理部-中学区域运营中心三区-崇文中学分中心</t>
  </si>
  <si>
    <t>28502131</t>
  </si>
  <si>
    <t>2025-06-20 14:45</t>
  </si>
  <si>
    <t>北京市广渠门中学</t>
  </si>
  <si>
    <t>2025-06-30 14:14</t>
  </si>
  <si>
    <t>2025-06-30 20:00</t>
  </si>
  <si>
    <t>BJWY8257381081</t>
  </si>
  <si>
    <t>YKF250040008</t>
  </si>
  <si>
    <t>回访人：房国超，回访时间：2025-06-22 15:57，回访内容：学生不在家，出去玩去了，  还未和孩子商量；|回访人：房国超，回访时间：2025-06-27 18:12，回访内容：微信发送 志愿通维护  ；|回访人：房国超，回访时间：2025-06-30 00:36，回访内容：等待储值缴费；|回访人：房国超，回访时间：2025-06-30 14:14，回访内容：已报名四级预科小班</t>
  </si>
  <si>
    <t>116458007</t>
  </si>
  <si>
    <t>关秋冬</t>
  </si>
  <si>
    <t>2025-06-27 18:35:32</t>
  </si>
  <si>
    <t>咨询六级
IP：北京
搜索词：北京英语六级辅导机构</t>
  </si>
  <si>
    <t>刘泓博</t>
  </si>
  <si>
    <t>28682109</t>
  </si>
  <si>
    <t>2025-06-27 20:31</t>
  </si>
  <si>
    <t>首都医科大学</t>
  </si>
  <si>
    <t>临床医学院</t>
  </si>
  <si>
    <t>2025-06-30 11:23</t>
  </si>
  <si>
    <t>BJWY1983472198</t>
  </si>
  <si>
    <t>WYSJ250330032</t>
  </si>
  <si>
    <t>回访人：刘晓娟，回访时间：2025-06-27 20:31，回访内容：家长咨询给孩子了解6级的课程，家在通中孩子7月7号到8月1号实习倾向于考虑大班介绍了六级无忧计划的课程，家长跟孩子商量一下；|回访人：刘晓娟，回访时间：2025-06-29 15:28，回访内容：家长说孩子回来实习，太累了，但是又想让孩子学习，介绍六级线上的课程，明天晚上有一场考试，9:00结束，建议家长先给孩子报上，不上的话开课前全额退班的，家长看看，明天上午回北京，考虑下要不要考；|回访人：刘晓娟，回访时间：2025-06-30 11:23，回访内容：报名</t>
  </si>
  <si>
    <t>116159206</t>
  </si>
  <si>
    <t>2025-06-25 15:21:25</t>
  </si>
  <si>
    <t>咨询暑期四六级北京的集训营，现在方便回电</t>
  </si>
  <si>
    <t>2025-06-25 15:25:37</t>
  </si>
  <si>
    <t>王佑鑫</t>
  </si>
  <si>
    <t>28643502</t>
  </si>
  <si>
    <t>2025-06-25 16:02</t>
  </si>
  <si>
    <t>上海工程技术大学</t>
  </si>
  <si>
    <t>纺织设计与工程</t>
  </si>
  <si>
    <t>服装设计与工程</t>
  </si>
  <si>
    <t>2025-06-30 10:46</t>
  </si>
  <si>
    <t>BJWY3957995162</t>
  </si>
  <si>
    <t>ZVVB260010028</t>
  </si>
  <si>
    <t>回访人：刘晓娟，回访时间：2025-06-25 16:02，回访内容：本人咨询，上海上学，刚考了四级，还没出成绩，现在再北京，介绍了六级暑假集训营，考虑下；|回访人：刘晓娟，回访时间：2025-06-27 14:59，回访内容：签完协议了，就差缴费了，收单；|回访人：刘晓娟，回访时间：2025-06-29 15:30，回访内容：已经发了账号，让家长汇款；|回访人：刘晓娟，回访时间：2025-06-30 10:46，回访内容：报名</t>
  </si>
  <si>
    <t>四级暑假集训营</t>
  </si>
  <si>
    <t>小郭</t>
  </si>
  <si>
    <t>105623071</t>
  </si>
  <si>
    <t>2025-05-30 06:54:30</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</si>
  <si>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备注：来源:小表单;姓名:小郭;意向课程: 【课程】考研、四六级、专升本、成人英语/北京/北京; 新老生: 流失老生; 提交链接:pages/index/index.html?scene=81512,,Lh8FwYc8;地理位置:北京市海淀区八里庄街道北洼路46号院北洼路44号院;渠道:新媒体运营/公众号-品牌号</t>
  </si>
  <si>
    <t>2025财年小表单-新东方集团官微【新东方】资源</t>
  </si>
  <si>
    <t>杨欢欢</t>
  </si>
  <si>
    <t>2025-05-30 09:26:06</t>
  </si>
  <si>
    <t>李子涵</t>
  </si>
  <si>
    <t>28069556</t>
  </si>
  <si>
    <t>2025-05-30 10:27</t>
  </si>
  <si>
    <t>北京交通运输职业学院</t>
  </si>
  <si>
    <t>城市轨道交通学院</t>
  </si>
  <si>
    <t>通信信号专业</t>
  </si>
  <si>
    <t>2025-06-30 22:31</t>
  </si>
  <si>
    <t>2025-06-30 22:36</t>
  </si>
  <si>
    <t>LP17512938629009</t>
  </si>
  <si>
    <t>大学课程一对一畅学班（其它/50H）</t>
  </si>
  <si>
    <t>BJWY2995526461</t>
  </si>
  <si>
    <t>回访人：宋增辉，回访时间：2025-06-22 11:06，回访内容：昨日孩子过来听试听课，对课程和老师感知还不错，回去要和家里商量规划了50小时。院考前30小时。市考前20小时，29号之前给准确答复；|回访人：宋增辉，回访时间：2025-06-26 11:06，回访内容：孩子试听课听完了，还没有和家长沟通，家长说要和孩子沟通，27号给具体答复；|回访人：宋增辉，回访时间：2025-06-28 22:41，回访内容：电话未接，微信留言未回复
总结：客户询问下午方便的时间，提到孩子希望今天与其沟通。
下次回访建议：确认具体时间后，及时安排与孩子的沟通，确保沟通顺畅，并记录沟通内容以便后续跟进。；|回访人：宋增辉，回访时间：2025-06-29 17:02，回访内容：和孩子沟通，还是在纠结，这两天决定；|回访人：宋增辉，回访时间：2025-06-30 16:43，回访内容：孩子比较纠结，不太愿意去学，自己要再劝劝自己，纠结纠结；|回访人：宋增辉，回访时间：2025-06-30 22:34，回访内容：已经报名</t>
  </si>
  <si>
    <t>专升本VIP</t>
  </si>
  <si>
    <t>吴咏心</t>
  </si>
  <si>
    <t>113731583</t>
  </si>
  <si>
    <t>陈自强</t>
  </si>
  <si>
    <t>2025-06-11 15:19:06</t>
  </si>
  <si>
    <t>高三家长资源，按毛坯数据话术回访即可，重点沟通大学预科以及四六级课程暑期学习重要性，引导了解</t>
  </si>
  <si>
    <t>批量导入-京内-渠道推荐-高三-陈自强-250611</t>
  </si>
  <si>
    <t>2025-06-19 16:49:28</t>
  </si>
  <si>
    <t>28478185</t>
  </si>
  <si>
    <t>2025-06-19 19:43</t>
  </si>
  <si>
    <t>大学预科</t>
  </si>
  <si>
    <t>北京师范大学附属中学</t>
  </si>
  <si>
    <t>2025-06-30 21:24</t>
  </si>
  <si>
    <t>YK25002</t>
  </si>
  <si>
    <t>BJWY0877119311</t>
  </si>
  <si>
    <t>YK250020001</t>
  </si>
  <si>
    <t>回访人：刘晓娟，回访时间：2025-06-21 14:41，回访内容：微信联系，确认试听没；|回访人：刘晓娟，回访时间：2025-06-26 14:32，回访内容：这几天报志愿，看看报哪个学校，再确定报名的科目，邀约周六的讲座；|回访人：刘晓娟，回访时间：2025-06-28 15:30，回访内容：有可能上中外合作办学的院校，现在在学托福呢，四六级先等等，确定院校再说；|回访人：刘晓娟，回访时间：2025-06-30 21:24，回访内容：报名</t>
  </si>
  <si>
    <t>YKM250010020</t>
  </si>
  <si>
    <t>116753808</t>
  </si>
  <si>
    <t>董锦川</t>
  </si>
  <si>
    <t>2025-06-30 15:26:39</t>
  </si>
  <si>
    <t>市场人员：王鹤曈
意向等级：高
备注：咨询四级线上课程，现在联系</t>
  </si>
  <si>
    <t>2026财年第1财月91校代系统资源活动</t>
  </si>
  <si>
    <t>王元琦</t>
  </si>
  <si>
    <t>28727278</t>
  </si>
  <si>
    <t>2025-06-30 16:28</t>
  </si>
  <si>
    <t>北京石油化工学院</t>
  </si>
  <si>
    <t>人文社科学院</t>
  </si>
  <si>
    <t>人力资源管理</t>
  </si>
  <si>
    <t>2025-06-30 21:22</t>
  </si>
  <si>
    <t>WYFJ25033</t>
  </si>
  <si>
    <t>BJWY2609703314</t>
  </si>
  <si>
    <t>WYFJ250330024</t>
  </si>
  <si>
    <t>回访人：房国超，回访时间：2025-06-30 16:28，回访内容：家长咨询，学生升大二， 6月考试不太行，想暑假学习， 之前高中英语90多，比较薄弱，推荐小班学，  学生倾向直播课，告知了月底优惠；|回访人：房国超，回访时间：2025-06-30 21:22，回访内容：已报名大班直播</t>
  </si>
  <si>
    <t>新东方91校园大使</t>
  </si>
  <si>
    <t>洁</t>
  </si>
  <si>
    <t>116576051</t>
  </si>
  <si>
    <t>2025-06-28 20:27:33</t>
  </si>
  <si>
    <t>家长咨询四级课程，明天（29号）上午联系【张志威公众号】</t>
  </si>
  <si>
    <t>王仁可</t>
  </si>
  <si>
    <t>28712616</t>
  </si>
  <si>
    <t>2025-06-29 11:25</t>
  </si>
  <si>
    <t>2025-06-30 21:18</t>
  </si>
  <si>
    <t>BJWY2934499878</t>
  </si>
  <si>
    <t>YKSJ250010009</t>
  </si>
  <si>
    <t>回访人：刘晓娟，回访时间：2025-06-29 11:25，回访内容：家长咨询，孩子钢三毕业，高考英语135，想看看四六级线上的课程，介绍六级线上的课程；|回访人：刘晓娟，回访时间：2025-06-30 21:18，回访内容：报名</t>
  </si>
  <si>
    <t>116573627</t>
  </si>
  <si>
    <t>吕猛</t>
  </si>
  <si>
    <t>2025-06-28 19:08:48</t>
  </si>
  <si>
    <t>咨询四级课程
新东方(考研四六级 国贸校区)</t>
  </si>
  <si>
    <t>线上运营-本地生活平台</t>
  </si>
  <si>
    <t>阿里本地通</t>
  </si>
  <si>
    <t>齐裕雯</t>
  </si>
  <si>
    <t>28692161</t>
  </si>
  <si>
    <t>2025-06-28 21:44</t>
  </si>
  <si>
    <t>2025-06-30 21:15</t>
  </si>
  <si>
    <t>BJWY2224034249</t>
  </si>
  <si>
    <t>YKFJ250010031</t>
  </si>
  <si>
    <t>回访人：李政，回访时间：2025-06-28 21:44，回访内容：咨询意向数学和英语一起学习家住在国贸，想要报线上的，因为距离比较远，30号在回电话；|回访人：李政，回访时间：2025-06-29 17:33，回访内容：没商量，要等明天再说，微信不通过；|回访人：李政，回访时间：2025-06-30 21:15，回访内容：签约</t>
  </si>
  <si>
    <t>四级无忧计划,数学预科</t>
  </si>
  <si>
    <t>YKMJ250010013</t>
  </si>
  <si>
    <t>苗女士</t>
  </si>
  <si>
    <t>115506667</t>
  </si>
  <si>
    <t>2025-06-21 09:08:48</t>
  </si>
  <si>
    <t xml:space="preserve">渠道录入来源：SCRM-客服推送
商机ID：5009100099
商机编码：XSJ20250621000671
针对人群：大学
学生学校：不详
咨询课程：英语
创建人邮箱：caoqian11@xdf.cn
创建时间：2025-06-21 09:08:32
资源类型：单个资源
跟进记录：商机备注：大学六级   四级440+   现在要考六级   今年考   内蒙古学员     一共四个学员    四个学英语   两个上数学   辛苦老师联系    ;接触点：呼入；
</t>
  </si>
  <si>
    <t>王彦智</t>
  </si>
  <si>
    <t>28508573</t>
  </si>
  <si>
    <t>2025-06-21 10:28</t>
  </si>
  <si>
    <t>内蒙古大学</t>
  </si>
  <si>
    <t>数学科学学院</t>
  </si>
  <si>
    <t>2025-06-30 20:07</t>
  </si>
  <si>
    <t>2025-06-30 21:12</t>
  </si>
  <si>
    <t>WYS25035</t>
  </si>
  <si>
    <t>BJWY1519759679</t>
  </si>
  <si>
    <t>WYS250350019</t>
  </si>
  <si>
    <t>回访人：房国超，回访时间：2025-06-21 10:28，回访内容：家长咨询， 内蒙古，四级450左右，  说有四个孩子 想一起学， 两个男孩  两个女孩，  有个北航的，   想学六级， 和数学补课， ；|回访人：房国超，回访时间：2025-06-22 15:19，回访内容：要等孩子 下周五考完试再说；|回访人：房国超，回访时间：2025-06-28 14:48，回访内容：告知了家长月底 最后优惠，  说和同学 和孩子商量 ；|回访人：房国超，回访时间：2025-06-29 16:43，回访内容：明天来北京，校区详细面谈</t>
  </si>
  <si>
    <t>LP17512852386905</t>
  </si>
  <si>
    <t>大学数学一对一伴学班</t>
  </si>
  <si>
    <t>ZVVB260010030</t>
  </si>
  <si>
    <t>霍一达</t>
  </si>
  <si>
    <t>116642891</t>
  </si>
  <si>
    <t>2025-06-30 10:04:30</t>
  </si>
  <si>
    <t xml:space="preserve">渠道录入来源：SCRM-客服推送
商机ID：5009185297
商机编码：XSJ20250630007712
针对人群：大学
学生学校：不详
咨询课程：工程力学
创建人邮箱：wangguibing@xdf.cn
创建时间：2025-06-30 10:04:23
资源类型：单个资源
跟进记录：商机备注：学员妈妈来电，升大三，六级，咨询学习，考虑集训营，7.10日可以学习，需要时间沟通，;接触点：呼入；
</t>
  </si>
  <si>
    <t>28733608</t>
  </si>
  <si>
    <t>2025-06-30 11:34</t>
  </si>
  <si>
    <t>山西警察学院</t>
  </si>
  <si>
    <t>法学院</t>
  </si>
  <si>
    <t>2025-06-30 18:33</t>
  </si>
  <si>
    <t>2025-06-30 18:35</t>
  </si>
  <si>
    <t>BJWY8623523724</t>
  </si>
  <si>
    <t>ZVVB260010031</t>
  </si>
  <si>
    <t>回访人：宋增辉，回访时间：2025-06-30 11:34，回访内容：孩子妈妈咨询，然后对课程做了简单介绍妈妈意向，小班和集训营，有考研六级有高分需求；|回访人：宋增辉，回访时间：2025-06-30 18:33，回访内容：已报名
总结：张仙是北京新东方的增辉老师，负责多种国内考试的咨询，包括大学预科、专升本、四六级等。她提供了自己的联系方式，并邀请推荐朋友或亲戚咨询相关考试。在与霍一达妈妈的对话中，张仙详细解释了四六级集训营的转退班制度，并协助完成了报名和缴费流程。
下次回访建议：建议在集训营开始前，再次确认霍一达的课程安排和住宿情况，确保一切准备就绪。同时，可以在集训过程中定期跟进学习进度，提供必要的支持和辅导，确保学习效果。此外，可以询问霍一达妈妈是否有其他需求或问题，以便及时解决。</t>
  </si>
  <si>
    <t>北京市1266</t>
  </si>
  <si>
    <t>115640671</t>
  </si>
  <si>
    <t>2025-06-22 09:42:54</t>
  </si>
  <si>
    <t>渠道录入来源：新东方PC官网-客服
意向城市：北京访客省/城市：北京市
访客静态ID：01000000034659055620955480191266
接待分组ID：70447
搜索引擎：www.baidu.com
搜索词：
关键词：
设备类型：pc
访客IP：222.129.54.61
对话详细内容：AI-Lbo0rDBXCyBY 2025-06-22 09:36:50_x000D_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2025-06-22 09:36:53_x000D_
您是想咨询【线下课程】【线上课程】【考研规划】还是【在职考研】呢？**【线下课程】#  **【线上课程】#**【考研规划】#**【在职考研】#_x000D_
_x000D_
01000000034659055620955480191266 2025-06-22 09:38:10_x000D_
您好_x000D_
_x000D_
AI-Lbo0rDBXCyBY 2025-06-22 09:38:14_x000D_
同学，你现在是在校还是在职呢？_x000D_
_x000D_
01000000034659055620955480191266 2025-06-22 09:38:37_x000D_
高考刚结束，上大学前_x000D_
_x000D_
AI-Lbo0rDBXCyBY 2025-06-22 09:38:40_x000D_
具体是想报考什么学校和专业呢？_x000D_
_x000D_
01000000034659055620955480191266 2025-06-22 09:39:11_x000D_
四、六级的吧，就是大于高考难度的，高考英语130分左右_x000D_
_x000D_
AI-Lbo0rDBXCyBY 2025-06-22 09:39:15_x000D_
考研对四六级一般没有明确要求，个别学校可能会单独规定需要四级/六级成绩。_x000D_
_x000D_
AI-Lbo0rDBXCyBY 2025-06-22 09:39:16_x000D_
您目前在学的院校是哪所呢？_x000D_
_x000D_
01000000034659055620955480191266 2025-06-22 09:39:52_x000D_
内蒙古呼和浩特上的高中，准备来北京上大学，目标中国农业大学_x000D_
_x000D_
AI-Lbo0rDBXCyBY 2025-06-22 09:39:56_x000D_
您目前英语基础如何呢？_x000D_
_x000D_
01000000034659055620955480191266 2025-06-22 09:40:03_x000D_
暑期想参加一个英语培训课程_x000D_
_x000D_
AI-Lbo0rDBXCyBY 2025-06-22 09:40:06_x000D_
这样，您微信还是电话方便呢？我安排四六级老师联系您，将课程的详细内容介绍给您_x000D_
_x000D_
01000000034659055620955480191266 2025-06-22 09:40:10_x000D_
高考英语130分左右_x000D_
_x000D_
AI-Lbo0rDBXCyBY 2025-06-22 09:40:13_x000D_
嗯嗯  好的那同学稍后方便接听电话吗？我这边可以立刻安排专业老师给您回电呢_x000D_
_x000D_
AI-Lbo0rDBXCyBY 2025-06-22 09:40:50_x000D_
您好，能看到我的对话吗？如有疑问，可以在此留电咨询！_x000D_
_x000D_
01000000034659055620955480191266 2025-06-22 09:40:53_x000D_
加我微信吧，我是给一个好朋友孩子考察，暑期的版，我微信18611603099_x000D_
_x000D_
AI-Lbo0rDBXCyBY 2025-06-22 09:40:57_x000D_
好的，确认一下您的号码是否正确呢？_x000D_
_x000D_
01000000034659055620955480191266 2025-06-22 09:41:28_x000D_
没有问题_x000D_
_x000D_
AI-Lbo0rDBXCyBY 2025-06-22 09:41:32_x000D_
同学怎么称呼呢？_x000D_
_x000D_
01000000034659055620955480191266 2025-06-22 09:41:49_x000D_
杨女士_x000D_
_x000D_
AI-Lbo0rDBXCyBY 2025-06-22 09:41:52_x000D_
这边马上安排顾问老师联系您，预计半个小时左右给您回电请注意接听~_x000D_
_x000D_
01000000034659055620955480191266 2025-06-22 09:41:59_x000D_
好的_x000D_
_x000D_
AI-Lbo0rDBXCyBY 2025-06-22 09:42:03_x000D_
嗯嗯_x000D_
_x000D_
来源页：https://www.baidu.com/link?url=shXLNsM0Hs7OQ7zhOyx3yaAk_tL9ra_-d81B6aQwX20sNzLLq_52Tz2spukCVdz6c_tbHMhjzcNOpsdTxBlDTq&amp;wd=&amp;eqid=83f6b3a300031a6d0000000268575e22
备注：</t>
  </si>
  <si>
    <t>2026财年第1财月易聊新东方PC官网</t>
  </si>
  <si>
    <t>曹健</t>
  </si>
  <si>
    <t>2025-06-22 09:54:34</t>
  </si>
  <si>
    <t>苗荟</t>
  </si>
  <si>
    <t>28452110</t>
  </si>
  <si>
    <t>2025-06-22 19:51</t>
  </si>
  <si>
    <t>内蒙古呼和浩特市第二中学</t>
  </si>
  <si>
    <t>2025-06-30 18:03</t>
  </si>
  <si>
    <t>BJWY3262972972</t>
  </si>
  <si>
    <t>ZVVB260010027</t>
  </si>
  <si>
    <t>回访人：徐健坤，回访时间：2025-06-22 19:51，回访内容：家长帮孩子了解大学英语46级的问题，以及产那个课程，然后孩子基础还可以，130左右找听力和口语比较差，找也想要找一对一的方式去进行学习，然后发试题；|回访人：徐健坤，回访时间：2025-06-25 19:59，回访内容：还没有回复 等回复；|回访人：徐健坤，回访时间：2025-06-27 21:32，回访内容：要和孩子商量下；|回访人：徐健坤，回访时间：2025-06-28 20:04，回访内容：还要再考虑下；|回访人：徐健坤，回访时间：2025-06-30 18:03，回访内容：签约</t>
  </si>
  <si>
    <t>新东方官网-易聊</t>
  </si>
  <si>
    <t>68555356</t>
  </si>
  <si>
    <t>2024-04-08 10:03:21</t>
  </si>
  <si>
    <t xml:space="preserve">【考研】家长给孩子咨询，北邮在读，大三，跨考计算机，学硕专硕家长不懂，咨询北京面授辅导，公共课专业课都需要了解，中午12点后方便电话联系； 孙女士   13780876738  给孩子咨询考研 孩子在北京海淀上大学  </t>
  </si>
  <si>
    <t>马伯宁资源</t>
  </si>
  <si>
    <t>百教网</t>
  </si>
  <si>
    <t>葛元昊</t>
  </si>
  <si>
    <t>26886240</t>
  </si>
  <si>
    <t>2025-02-28 10:15</t>
  </si>
  <si>
    <t>考研专业课,考研集训营</t>
  </si>
  <si>
    <t>北京邮电大学</t>
  </si>
  <si>
    <t>电子商务</t>
  </si>
  <si>
    <t>2025-06-30 17:51</t>
  </si>
  <si>
    <t>KYJS25011</t>
  </si>
  <si>
    <t>26考研数学半年集训营（基础/七月）</t>
  </si>
  <si>
    <t>BJWY0123079511</t>
  </si>
  <si>
    <t>KYJS250110045</t>
  </si>
  <si>
    <t>回访人：刘晓娟，回访时间：2025-06-23 10:38，回访内容：孩子答辩完了，正在商量；|回访人：刘晓娟，回访时间：2025-06-30 16:40，回访内容：发了账号和协议，一会回单位缴费；|回访人：刘晓娟，回访时间：2025-06-30 17:51，回访内容：报名</t>
  </si>
  <si>
    <t>半年集训营,考研专业课150</t>
  </si>
  <si>
    <t>英语,政治,数学,专业课150</t>
  </si>
  <si>
    <t>其他</t>
  </si>
  <si>
    <t>KYJZ25011</t>
  </si>
  <si>
    <t>26考研政治半年集训营（基础/七月）</t>
  </si>
  <si>
    <t>KYJZ250110045</t>
  </si>
  <si>
    <t>KYJY25011</t>
  </si>
  <si>
    <t>26考研英语半年集训营（基础/七月）</t>
  </si>
  <si>
    <t>KYJY250110045</t>
  </si>
  <si>
    <t>KYZ25012</t>
  </si>
  <si>
    <t>26考研半年集训营（住宿费/七月）</t>
  </si>
  <si>
    <t>KYZ250120046</t>
  </si>
  <si>
    <t>KYJS25011A</t>
  </si>
  <si>
    <t>26考研数学半年集训营（强冲）</t>
  </si>
  <si>
    <t>KYJS25011A0045</t>
  </si>
  <si>
    <t>KYJZ25012A</t>
  </si>
  <si>
    <t>26考研政治半年集训营（强冲）</t>
  </si>
  <si>
    <t>KYJZ25012A0041</t>
  </si>
  <si>
    <t>KYJY25012A</t>
  </si>
  <si>
    <t>26考研英语半年集训营（强冲/英语二）</t>
  </si>
  <si>
    <t>KYJY25012A0039</t>
  </si>
  <si>
    <t>LP17512765945186</t>
  </si>
  <si>
    <t>考研初试专业课一对一（26考研/集训30小时）</t>
  </si>
  <si>
    <t>「似水流年」</t>
  </si>
  <si>
    <t>116382590</t>
  </si>
  <si>
    <t>2025-06-26 20:40:22</t>
  </si>
  <si>
    <t>【王朝群】咨询四六级暑期班</t>
  </si>
  <si>
    <t>万安</t>
  </si>
  <si>
    <t>28659769</t>
  </si>
  <si>
    <t>2025-06-27 10:05</t>
  </si>
  <si>
    <t>北京市第五十七中学上庄分校</t>
  </si>
  <si>
    <t>2025-06-30 16:55</t>
  </si>
  <si>
    <t>2025-06-30 21:31</t>
  </si>
  <si>
    <t>BJWY1137030877</t>
  </si>
  <si>
    <t>YKFJ250010029</t>
  </si>
  <si>
    <t>回访人：刘晓娟，回访时间：2025-06-27 10:05，回访内容：学生本人咨询，高考刚结束，成绩一百出头，想看看四级的课程，介绍了线上和线下的课程安排；|回访人：刘晓娟，回访时间：2025-06-29 16:48，回访内容：报名，发了电子协议；|回访人：刘晓娟，回访时间：2025-06-30 16:21，回访内容：发了协议和支付码，问问什么时候支付；|回访人：刘晓娟，回访时间：2025-06-30 16:55，回访内容：报名</t>
  </si>
  <si>
    <t>刘济诚</t>
  </si>
  <si>
    <t>116443810</t>
  </si>
  <si>
    <t>2025-06-27 15:35:23</t>
  </si>
  <si>
    <t>王莹莹+wangyingying63@xdf.cn+ID+王莹莹63(新东方教育科技集团有限公司-培训学校-北京学校-高中一对一部-西北区-北太平庄分中心 | 课程顾问)
刘晓娟</t>
  </si>
  <si>
    <t>王莹莹+wangyingying63@xdf.cn+ID+王莹莹63(新东方教育科技集团有限公司-培训学校-北京学校-高中一对一部-西北区-北太平庄分中心 | 课程顾问)</t>
  </si>
  <si>
    <t>28665612</t>
  </si>
  <si>
    <t>2025-06-27 15:40</t>
  </si>
  <si>
    <t>北京首师大附属丽泽中学</t>
  </si>
  <si>
    <t>2025-06-30 13:22</t>
  </si>
  <si>
    <t>BJWY7466736896</t>
  </si>
  <si>
    <t>YKMJ250010012</t>
  </si>
  <si>
    <t>回访人：刘晓娟，回访时间：2025-06-27 15:40，回访内容：孩子母亲咨询，高考106，刚高中毕业，想看看数学和四级的课程，介绍；|回访人：刘晓娟，回访时间：2025-06-29 15:40，回访内容：微信留言，优惠促班；|回访人：刘晓娟，回访时间：2025-06-30 13:22，回访内容：报名</t>
  </si>
  <si>
    <t>116669751</t>
  </si>
  <si>
    <t>2025-06-30 10:42:04</t>
  </si>
  <si>
    <t>刘晓娟；</t>
  </si>
  <si>
    <t>李同</t>
  </si>
  <si>
    <t>谢婧萌</t>
  </si>
  <si>
    <t>28633968</t>
  </si>
  <si>
    <t>2025-06-30 10:44</t>
  </si>
  <si>
    <t>山东省济南市平阴县孝直中学</t>
  </si>
  <si>
    <t>2025-06-30 13:17</t>
  </si>
  <si>
    <t>ZVVA26001</t>
  </si>
  <si>
    <t>四级暑假集训营（24H冲刺直播）</t>
  </si>
  <si>
    <t>BJWY5198257089</t>
  </si>
  <si>
    <t>ZVVA260010025</t>
  </si>
  <si>
    <t>回访人：刘晓娟，回访时间：2025-06-30 10:44，回访内容：报名；|回访人：刘晓娟，回访时间：2025-06-30 10:56，回访内容：跟高艺术宸一起报名，四级暑假集训营，详细介绍了情况，报名；|回访人：刘晓娟，回访时间：2025-06-30 13:17，回访内容：报名</t>
  </si>
  <si>
    <t>雷同学</t>
  </si>
  <si>
    <t>103729073</t>
  </si>
  <si>
    <t>2025-05-26 17:01:07</t>
  </si>
  <si>
    <t xml:space="preserve">渠道录入来源：SCRM-客服推送
商机ID：5008886471
商机编码：XSJ20250526014523
针对人群：在职
咨询课程：英语
创建人邮箱：liziyun@xdf.cn
创建时间：2025-05-26 17:01:04
资源类型：单个资源
跟进记录：商机备注：【北京课程】高考毕业，咨询大学英语四级，小班精品课，地点双井国贸，基础薄弱，暑假上课，预算不限，最好的老师，辛苦老师尽快联系，谢谢;接触点：企点-环信；
</t>
  </si>
  <si>
    <t>合作</t>
  </si>
  <si>
    <t>集团资源</t>
  </si>
  <si>
    <t>王欣</t>
  </si>
  <si>
    <t>28050358</t>
  </si>
  <si>
    <t>2025-05-26 17:20</t>
  </si>
  <si>
    <t>北京市第三中学</t>
  </si>
  <si>
    <t>2025-06-30 13:14</t>
  </si>
  <si>
    <t>2025-06-30 15:08</t>
  </si>
  <si>
    <t>WYF25032</t>
  </si>
  <si>
    <t>四级精英计划</t>
  </si>
  <si>
    <t>BJWY5242133294</t>
  </si>
  <si>
    <t>WYF250320010</t>
  </si>
  <si>
    <t>回访人：李政，回访时间：2025-06-22 10:40，回访内容：活动优惠本月结束；|回访人：李政，回访时间：2025-06-25 16:49，回访内容：还要再考虑考虑；|回访人：李政，回访时间：2025-06-29 19:06，回访内容：明天商量；|回访人：李政，回访时间：2025-06-30 13:14，回访内容：签约</t>
  </si>
  <si>
    <t>116349372</t>
  </si>
  <si>
    <t>2025-06-26 16:31:29</t>
  </si>
  <si>
    <t>新大一， 高考英语87分，学四级</t>
  </si>
  <si>
    <t>2025-06-26 16:37:07</t>
  </si>
  <si>
    <t>顾雨涵</t>
  </si>
  <si>
    <t>28619268</t>
  </si>
  <si>
    <t>2025-06-26 17:07</t>
  </si>
  <si>
    <t>北京市石景山中学</t>
  </si>
  <si>
    <t>2025-06-30 10:20</t>
  </si>
  <si>
    <t>BJWY6589289284</t>
  </si>
  <si>
    <t>YKF250040009</t>
  </si>
  <si>
    <t>回访人：刘晓娟，回访时间：2025-06-26 17:07，回访内容：之前新东方的学员，顾雨涵妈妈，孩子高考英语87分，介绍四级的课程，家在五棵松，建议小班，魏公村的；|回访人：刘晓娟，回访时间：2025-06-28 15:09，回访内容：昨天线上试听了，效果还不错，纠结新大一的班级，不想上6个小时的额，又觉得4个小时的太远；|回访人：刘晓娟，回访时间：2025-06-30 10:20，回访内容：报名</t>
  </si>
  <si>
    <t>吴思胜</t>
  </si>
  <si>
    <t>108539418</t>
  </si>
  <si>
    <t>2025-06-04 18:25:03</t>
  </si>
  <si>
    <t>来源:北京学校;【FY25已报名】金额：111384.00元，报了【FY25高端/一对一】</t>
  </si>
  <si>
    <t>2025-06-16 15:10:37</t>
  </si>
  <si>
    <t>28486429</t>
  </si>
  <si>
    <t>2025-06-20 17:39</t>
  </si>
  <si>
    <t>北京市东直门中学</t>
  </si>
  <si>
    <t>2025-06-30 22:34</t>
  </si>
  <si>
    <t>2025-07-01 12:10</t>
  </si>
  <si>
    <t>BJWY9298918589</t>
  </si>
  <si>
    <t>YKF250040013</t>
  </si>
  <si>
    <t>回访人：田一禾，回访时间：2025-06-21 14:54，回访内容：发送试听课，同步直播链接，想拿真题册，之后帮助邮寄。家长询问了分班考的事情，试听课全听完回收。；|回访人：田一禾，回访时间：2025-06-23 19:05，回访内容：家长不太接受小班6个小时学习方案，选择4个小时方案，但是4个小时方案无法三科联报时间冲突。目前需要解决卡点再再次处理东西异议。；|回访人：田一禾，回访时间：2025-06-23 20:31，回访内容：补6.23面访记录，规划了学习方案和时间，考完再确定。；|回访人：田一禾，回访时间：2025-06-26 17:24，回访内容：日常问候，询问方案是否合适，再次跟进，最近等待处理完院校回复；|回访人：田一禾，回访时间：2025-06-28 21:42，回访内容：月底再联系一次，志愿填完催小班，报价团报优惠；|回访人：田一禾，回访时间：2025-06-29 22:00，回访内容：询问促单不回复，最近填报志愿，很难跟进；|回访人：田一禾，回访时间：2025-06-30 22:34，回访内容：今日签约小班课加数学</t>
  </si>
  <si>
    <t>YKM250010021</t>
  </si>
  <si>
    <t>Melody</t>
  </si>
  <si>
    <t>114884171</t>
  </si>
  <si>
    <t>2025-06-17 18:33:14</t>
  </si>
  <si>
    <t>【王朝群】咨询四六级14人班</t>
  </si>
  <si>
    <t>张乐天</t>
  </si>
  <si>
    <t>28416704</t>
  </si>
  <si>
    <t>2025-06-17 18:49</t>
  </si>
  <si>
    <t>北京垡上中学</t>
  </si>
  <si>
    <t>2025-06-30 21:41</t>
  </si>
  <si>
    <t>BJWY6583515173</t>
  </si>
  <si>
    <t>YKF250040011</t>
  </si>
  <si>
    <t>回访人：房国超，回访时间：2025-06-24 22:47，回访内容：电话无人接，微信发送了上次试听课回放 ；|回访人：房国超，回访时间：2025-06-27 18:06，回访内容：电话无人接，微信留言志愿通；|回访人：房国超，回访时间：2025-06-30 21:41，回访内容：已报名四级预科小班</t>
  </si>
  <si>
    <t>116649188</t>
  </si>
  <si>
    <t>2025-06-29 16:46:07</t>
  </si>
  <si>
    <t>2025-06-29 16:54:44</t>
  </si>
  <si>
    <t>高艺宸</t>
  </si>
  <si>
    <t>28718039</t>
  </si>
  <si>
    <t>2025-06-29 17:20</t>
  </si>
  <si>
    <t>山东省济南市历城区华山中学</t>
  </si>
  <si>
    <t>2025-06-30 13:13</t>
  </si>
  <si>
    <t>BJWY8160047425</t>
  </si>
  <si>
    <t>ZVVA260010024</t>
  </si>
  <si>
    <t>回访人：刘晓娟，回访时间：2025-06-29 17:20，回访内容：孩子母亲咨询，四级暑假集训营，想了解下，详细介绍，想要优惠；|回访人：刘晓娟，回访时间：2025-06-30 13:13，回访内容：报名</t>
  </si>
  <si>
    <t>叶亦轩妈妈</t>
  </si>
  <si>
    <t>116335933</t>
  </si>
  <si>
    <t>2025-06-27 18:17:02</t>
  </si>
  <si>
    <t>知春路校区高考志愿填报讲座，家长咨询四级小班，黄智超老师接待，辛苦分配黄智超，占一条顺序。
周慧敏+zhouhuimin6@xdf.cn+ID+培训学校-培训学校-北京学校-高中一对一部-教学项目中心-高中化学项目</t>
  </si>
  <si>
    <t>周慧敏+zhouhuimin6@xdf.cn+ID+培训学校-培训学校-北京学校-高中一对一部-教学项目中心-高中化学项目</t>
  </si>
  <si>
    <t>叶亦轩</t>
  </si>
  <si>
    <t>28624867</t>
  </si>
  <si>
    <t>2025-06-27 20:20</t>
  </si>
  <si>
    <t>四级,考研无忧计划</t>
  </si>
  <si>
    <t>北京市海淀区清华附中志新学校</t>
  </si>
  <si>
    <t>2025-06-30 11:02</t>
  </si>
  <si>
    <t>2025-06-30 20:27</t>
  </si>
  <si>
    <t>BJWY4324193342</t>
  </si>
  <si>
    <t>YKF250040010</t>
  </si>
  <si>
    <t>回访人：黄智超，回访时间：2025-06-27 20:20，回访内容：面谈沟通，孩子100分出头，家长非常让孩子学小班，回家研究一下，月底前尽可能收进来；|回访人：黄智超，回访时间：2025-06-29 14:05，回访内容：电话沟通 家长说考虑一下 明天最终确认下答复；|回访人：黄智超，回访时间：2025-06-30 11:02，回访内容：家长报名课程 签约</t>
  </si>
  <si>
    <t>姚</t>
  </si>
  <si>
    <t>115831333</t>
  </si>
  <si>
    <t>2025-06-23 15:21:19</t>
  </si>
  <si>
    <t>王磊+wanglei9@xdf.cn+ID+培训学校-北京学校-高中班级部-教学中心-英语组，按顺序分；
了解英语四级英语
辛苦老师建单</t>
  </si>
  <si>
    <t>王磊+wanglei9@xdf.cn+ID+培训学校-北京学校-高中班级部-教学中心-英语组</t>
  </si>
  <si>
    <t>姚秉昕</t>
  </si>
  <si>
    <t>28562182</t>
  </si>
  <si>
    <t>2025-06-23 16:10</t>
  </si>
  <si>
    <t>北师大朝阳附中</t>
  </si>
  <si>
    <t>2025-06-29 20:43</t>
  </si>
  <si>
    <t>BJWY1818412584</t>
  </si>
  <si>
    <t>YKFJ250010021</t>
  </si>
  <si>
    <t>回访人：刘晓娟，回访时间：2025-06-23 16:10，回访内容：高考，平时成绩115，线上学习四级，介绍四级无忧，稍后通过微信；|回访人：刘晓娟，回访时间：2025-06-24 16:09，回访内容：基本确定要上，想过几天再报，促单；|回访人：刘晓娟，回访时间：2025-06-27 16:12，回访内容：邀约讲座；|回访人：刘晓娟，回访时间：2025-06-29 20:43，回访内容：报名</t>
  </si>
  <si>
    <t>严紫轩</t>
  </si>
  <si>
    <t>108325496</t>
  </si>
  <si>
    <t>2025-06-04 14:52:51</t>
  </si>
  <si>
    <t>2025-06-27 16:21:35</t>
  </si>
  <si>
    <t>28624939</t>
  </si>
  <si>
    <t>2025-06-27 20:49</t>
  </si>
  <si>
    <t>四级,其他,大学预科</t>
  </si>
  <si>
    <t>2025-06-29 20:24</t>
  </si>
  <si>
    <t>BJWY8566501947</t>
  </si>
  <si>
    <t>YKFJ250010019</t>
  </si>
  <si>
    <t>回访人：宋增辉，回访时间：2025-06-27 20:49，回访内容：家长微信沟通咨询大学预课，想要线下去听，孩子有距离比较远；|回访人：宋增辉，回访时间：2025-06-29 20:24，回访内容：已报名</t>
  </si>
  <si>
    <t>YKMJ250010008</t>
  </si>
  <si>
    <t>王小齐</t>
  </si>
  <si>
    <t>116146875</t>
  </si>
  <si>
    <t>2025-06-25 13:23:52</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</si>
  <si>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备注：来源:小表单;姓名:王小齐;意向课程: 【课程】考研、四六级、专升本、成人英语/北京/北京; 新老生: 流失老生; 提交链接:pages/index/index.html?scene=81512,,Lh8FwYc8;地理位置:北京市海淀区燕园街道北京大学;渠道:新媒体运营/公众号-品牌号</t>
  </si>
  <si>
    <t>2025-06-25 14:10:55</t>
  </si>
  <si>
    <t>王知宜</t>
  </si>
  <si>
    <t>28592464</t>
  </si>
  <si>
    <t>（首都师范大学附属中学）首师大附中</t>
  </si>
  <si>
    <t>2025-06-29 19:17</t>
  </si>
  <si>
    <t>2025-06-29 19:18</t>
  </si>
  <si>
    <t>BJWY1811713999</t>
  </si>
  <si>
    <t>YKS250010012</t>
  </si>
  <si>
    <t>回访人：徐健坤，回访时间：2025-06-25 14:23，回访内容：家长帮孩子咨询孩子，高考英语成绩一百四十分左右，基础，很ok，然后，建议学习，六级数学，不太考虑，然后，已已经要求加微信发送各个时间段的班型等微信通过，并且邀约试听课；|回访人：徐健坤，回访时间：2025-06-27 21:25，回访内容：参加了试听课 在和孩子商量中；|回访人：徐健坤，回访时间：2025-06-29 19:17，回访内容：签约</t>
  </si>
  <si>
    <t>女家长</t>
  </si>
  <si>
    <t>116584681</t>
  </si>
  <si>
    <t>2025-06-28 12:43:51</t>
  </si>
  <si>
    <t xml:space="preserve">渠道录入来源：SCRM-客服推送
商机ID：5009119744
商机编码：XSJ20250628016670
针对人群：高中
学生学校：不详
咨询课程：英语,数学
创建人邮箱：zhuyehong1@xdf.cn
创建时间：2025-06-28 12:43:33
资源类型：单个资源
跟进记录：商机备注：目前高三毕业，准大一，高考英语：140左右，英语基础很好，想直接准备四六级，甚至直接学六级水平，推荐了大学预科，口语和语法稍弱，听力和阅读比较强，大学数学也学习一下，孩子准备报大数据方向专业，提前做准备，在海淀体育大学附近，手机号就是微信号，辛苦老师及时跟进联系。;接触点：呼入；
</t>
  </si>
  <si>
    <t>刘桁序</t>
  </si>
  <si>
    <t>28686217</t>
  </si>
  <si>
    <t>2025-06-28 14:28</t>
  </si>
  <si>
    <t>清华附中上地学校（北京上地中学）</t>
  </si>
  <si>
    <t>2025-06-29 19:14</t>
  </si>
  <si>
    <t>BJWY0115774865</t>
  </si>
  <si>
    <t>YKS250010011</t>
  </si>
  <si>
    <t>回访人：徐健坤，回访时间：2025-06-28 14:28，回访内容：家长帮孩子咨询大学的英语，数学和口语，孩子英语140，数学的话110分左右，然后邀约试听课已经到店参观；|回访人：徐健坤，回访时间：2025-06-28 20:19，回访内容：储值了；|回访人：徐健坤，回访时间：2025-06-29 19:14，回访内容：签约</t>
  </si>
  <si>
    <t>YKM250010016</t>
  </si>
  <si>
    <t>YK250010012</t>
  </si>
  <si>
    <t>王女士</t>
  </si>
  <si>
    <t>116282223</t>
  </si>
  <si>
    <t>2025-06-26 14:47:58</t>
  </si>
  <si>
    <t>高三毕业，高考120分，咨询四级暑期课程</t>
  </si>
  <si>
    <t>王美琪</t>
  </si>
  <si>
    <t>28659334</t>
  </si>
  <si>
    <t>2025-06-26 22:36</t>
  </si>
  <si>
    <t>北京市丰台区第二中学</t>
  </si>
  <si>
    <t>2025-06-29 19:13</t>
  </si>
  <si>
    <t>BJWY6250044765</t>
  </si>
  <si>
    <t>YKF250010019</t>
  </si>
  <si>
    <t>回访人：徐健坤，回访时间：2025-06-26 22:36，回访内容：伟杰在沟通找合适机会让我拉群；|回访人：徐健坤，回访时间：2025-06-29 19:13，回访内容：签约</t>
  </si>
  <si>
    <t>周轩正</t>
  </si>
  <si>
    <t>116621984</t>
  </si>
  <si>
    <t>赵秋侠</t>
  </si>
  <si>
    <t>2025-06-29 15:38:18</t>
  </si>
  <si>
    <t>谢嘉睿</t>
  </si>
  <si>
    <t>28697220</t>
  </si>
  <si>
    <t>2025-06-29 15:40</t>
  </si>
  <si>
    <t>人大附中本部</t>
  </si>
  <si>
    <t>2025-06-29 16:55</t>
  </si>
  <si>
    <t>2025-06-29 16:56</t>
  </si>
  <si>
    <t>BJWY3795700171</t>
  </si>
  <si>
    <t>YKF250040006</t>
  </si>
  <si>
    <t>回访人：宋增辉，回访时间：2025-06-29 15:40，回访内容：家长推荐，沟通后决定学习小班；|回访人：宋增辉，回访时间：2025-06-29 16:55，回访内容：已经报名
总结：北京新东方增辉老师负责多种国内考试咨询，包括四六级、考研等。学生周轩正报名了14人的大学英语预科班，课程时间为7月18日至8月16日。增辉老师提供了课程协议，详细说明了转退班制度，并确认了报名和缴费。
下次回访建议：在课程开始前，确认周轩正的入班情况，并提醒家长和学生关注课程安排。课程进行中，定期跟进学习进度，了解学生适应情况，及时提供帮助。课程结束后，收集反馈，评估学习效果，为后续学习规划提供建议。</t>
  </si>
  <si>
    <t>115765240</t>
  </si>
  <si>
    <t>2025-06-23 22:01:19</t>
  </si>
  <si>
    <t xml:space="preserve">渠道录入来源：大众点评
事件名称：预约免费试听课
大众点评门店名称：新东方考研四六级(中关村总部)
店铺绑定的校区：临时教学校区
店铺管理员邮箱：lvmeng2@xdf.cn
备注：2025-06-23 22:01:17用户在大众点评预约试听课
</t>
  </si>
  <si>
    <t>2026财年第1财月大众点评在线咨询</t>
  </si>
  <si>
    <t>大众点评</t>
  </si>
  <si>
    <t>徐梓隽</t>
  </si>
  <si>
    <t>28569086</t>
  </si>
  <si>
    <t>2025-06-24 12:45</t>
  </si>
  <si>
    <t>中国音乐学院附中</t>
  </si>
  <si>
    <t>2025-06-29 14:26</t>
  </si>
  <si>
    <t>BJWY2963044299</t>
  </si>
  <si>
    <t>YKF250040005</t>
  </si>
  <si>
    <t>回访人：房国超，回访时间：2025-06-24 12:45，回访内容：家长咨询，学生高三，英语基础薄弱 90左右，  有跟外教学， 词汇有，但是语法不行， 推荐小班和一对一搭配学， 可能有转介绍，邀约线下试听；|回访人：房国超，回访时间：2025-06-26 22:22，回访内容：邀约试听课，  线下试听，已预约， 志愿通维护；|回访人：房国超，回访时间：2025-06-28 21:20，回访内容：家长纠结 北二外，  另一个是担心孩子跟不上， 想开课时候试听一节课，再报；|回访人：房国超，回访时间：2025-06-29 14:26，回访内容：报名小班</t>
  </si>
  <si>
    <t>新媒体管家-点评</t>
  </si>
  <si>
    <t>昂的</t>
  </si>
  <si>
    <t>114763412</t>
  </si>
  <si>
    <t>2025-06-17 11:03:37</t>
  </si>
  <si>
    <t>屈莉，家长咨询暑期四级课，之前录错渠道，应为【内部员工推荐】辛苦老师不占顺序分给原顾问 徐建坤，合并工单</t>
  </si>
  <si>
    <t>吕玉珠+lvyuzhu1@xdf.cn+444957+培训学校-北京学校-高中一对一部-增长中心-线上社群组</t>
  </si>
  <si>
    <t>张雨宸</t>
  </si>
  <si>
    <t>28440836</t>
  </si>
  <si>
    <t>2025-06-19 21:57</t>
  </si>
  <si>
    <t>北京联合大学</t>
  </si>
  <si>
    <t>工商管理</t>
  </si>
  <si>
    <t>2025-06-29 13:45</t>
  </si>
  <si>
    <t>2025-06-29 13:46</t>
  </si>
  <si>
    <t>BJWY1711281323</t>
  </si>
  <si>
    <t>WYS250350013</t>
  </si>
  <si>
    <t>回访人：徐健坤，回访时间：2025-06-20 17:17，回访内容：之前合并工单 以放置等待工单  电话不接 微信不回；|回访人：徐健坤，回访时间：2025-06-29 13:45，回访内容：签约</t>
  </si>
  <si>
    <t>张爱平</t>
  </si>
  <si>
    <t>108371690</t>
  </si>
  <si>
    <t>2025-06-04 14:38:27</t>
  </si>
  <si>
    <t>来源:北京学校;【FY25已报名】金额：161594.00元，报了【FY25高端/一对一】</t>
  </si>
  <si>
    <t>2025-06-15 20:13:42</t>
  </si>
  <si>
    <t>28369359</t>
  </si>
  <si>
    <t>2025-06-16 10:08</t>
  </si>
  <si>
    <t>北京大成学校</t>
  </si>
  <si>
    <t>2025-06-29 13:15</t>
  </si>
  <si>
    <t>2025-06-29 13:23</t>
  </si>
  <si>
    <t>BJWY8883481893</t>
  </si>
  <si>
    <t>YKF250010018</t>
  </si>
  <si>
    <t>回访人：宋增辉，回访时间：2025-06-21 18:31，回访内容：电话确认明天来，大概1点就能到，明天面聊；|回访人：宋增辉，回访时间：2025-06-22 15:33，回访内容：邀约来线下试听课
今天下午原计划的试听课因学校模拟志愿填报而推迟至明天下午，地点改为国际大厦。由于位置不明确，客户到达后会发消息通知，届时会有老师接应。同时，客户被告知如有时间可观看线上直播课程。
下次回访建议：确认客户是否顺利到达国际大厦并参加试听课，询问孩子对线上直播课程的反馈，以及是否有其他问题或需求。；|回访人：宋增辉，回访时间：2025-06-22 18:56，回访内容：确定要去学的科目和价格，要回去和孩子爸爸确认一下，另外要等高中部把之前报名的钱退出来，再来这边去学交报名费；|回访人：宋增辉，回访时间：2025-06-24 10:36，回访内容：家长老师利用高中老师推荐，走内推工单，直接告诉最优惠的价格，看家长反馈；|回访人：宋增辉，回访时间：2025-06-27 18:18，回访内容：等高中老师退费，然后再入班
总结：客户已与高中老师沟通，但尚未收到回复。上次的团已入班，客户表示如果有机会愿意报3科。目前高中部还未回复，客户请求帮忙留意是否有新的团。明天下午有试听课，可能会凑齐人数，届时会电话联系客户。
下次回访建议：在明天下午试听课后，及时联系客户确认是否有新的团，并跟进高中部的回复情况。同时，询问客户是否对试听课满意，是否有进一步报名的意向。；|回访人：宋增辉，回访时间：2025-06-28 17:08，回访内容：晚上报名，现在图书馆，不方便电话沟通；|回访人：宋增辉，回访时间：2025-06-29 13:15，回访内容：已经报名
总结：客户张爱平为孩子报名了新东方的大学英语/数学预科班，并已签署服务协议和支付12000元学费。客户关注了试听课的时间、内容和形式，并确认了有直播和回放。客户还询问了转退班制度，了解了退费规则。
下次回访建议：确认孩子是否参加了试听课，并了解孩子的反馈。跟进孩子的学习进展，提供必要的学习支持。提醒客户关注课程安排和注意事项，确保孩子顺利学习。如有任何问题或需求，及时沟通解决。</t>
  </si>
  <si>
    <t>麻烦老师尽快联系孩子给发导学课内容，家长明确要求数学放到最后，因为不确定孩子专业是否有数学内容的学习，麻烦数学课开始之前，调整到YKM25002   2期07月28日这期学习</t>
  </si>
  <si>
    <t>YKM250010014</t>
  </si>
  <si>
    <t>YK250010011</t>
  </si>
  <si>
    <t>倪昊越</t>
  </si>
  <si>
    <t>116525212</t>
  </si>
  <si>
    <t>2025-06-28 10:12:34</t>
  </si>
  <si>
    <t xml:space="preserve">谢嘉睿妈妈推荐，新带新组团报名
</t>
  </si>
  <si>
    <t>顾问转介绍-新带新</t>
  </si>
  <si>
    <t>28625416</t>
  </si>
  <si>
    <t>2025-06-28 10:30</t>
  </si>
  <si>
    <t>北京人大附中本部</t>
  </si>
  <si>
    <t>2025-06-29 13:11</t>
  </si>
  <si>
    <t>2025-06-29 13:12</t>
  </si>
  <si>
    <t>BJWY7142051109</t>
  </si>
  <si>
    <t>YKS250010010</t>
  </si>
  <si>
    <t>回访人：宋增辉，回访时间：2025-06-28 10:30，回访内容：已经沟通，和孩子确认了，学习英语六级和高数，转介绍；|回访人：宋增辉，回访时间：2025-06-29 13:11，回访内容：已报名；|回访人：宋增辉，回访时间：2025-06-29 13:53，回访内容：昊越，同步课程回放，以及学习安排</t>
  </si>
  <si>
    <t>YKM250010013</t>
  </si>
  <si>
    <t>116509524</t>
  </si>
  <si>
    <t>2025-06-28 09:26:56</t>
  </si>
  <si>
    <t xml:space="preserve">咨询六级线下课程
渠道录入来源：大众点评
事件名称：400电话
大众点评门店名称：新东方考研四六级(国贸校区)
店铺绑定的校区：临时教学校区
店铺管理员邮箱：lvmeng2@xdf.cn
备注：2025-06-28 09:26:54,用户在大众点评新东方考研四六级(国贸校区)呼入400电话 已接
</t>
  </si>
  <si>
    <t>刘一祎</t>
  </si>
  <si>
    <t>28629245</t>
  </si>
  <si>
    <t>2025-06-28 21:43</t>
  </si>
  <si>
    <t>中央美术学院</t>
  </si>
  <si>
    <t>设计学院</t>
  </si>
  <si>
    <t>艺术设计（工业设计）</t>
  </si>
  <si>
    <t>2025-06-29 23:27</t>
  </si>
  <si>
    <t>BJWY9266863503</t>
  </si>
  <si>
    <t>WYS250350014</t>
  </si>
  <si>
    <t>回访人：徐健坤，回访时间：2025-06-28 21:43，回访内容：家长帮孩子需求 有勘验需求 四级479 基础还不错 家长想让孩子考到500以上 推荐小班 要和孩子商量下~；|回访人：徐健坤，回访时间：2025-06-29 23:27，回访内容：签约</t>
  </si>
  <si>
    <t>胡博铖同学</t>
  </si>
  <si>
    <t>114332569</t>
  </si>
  <si>
    <t>2025-06-14 11:24:58</t>
  </si>
  <si>
    <t>内部员工推荐给徐健坤老师</t>
  </si>
  <si>
    <t>商昌建+shangchangjian@xdf.cn+296744+培训学校-北京学校-高中一对一部-西北区-知春路分中心</t>
  </si>
  <si>
    <t>胡博铖</t>
  </si>
  <si>
    <t>28339108</t>
  </si>
  <si>
    <t>2025-06-14 20:48</t>
  </si>
  <si>
    <t>北京第一六六中学（166中学）</t>
  </si>
  <si>
    <t>2025-06-29 21:43</t>
  </si>
  <si>
    <t>BJWY5208150575</t>
  </si>
  <si>
    <t>YKFJ250010025</t>
  </si>
  <si>
    <t>回访人：徐健坤，回访时间：2025-06-20 20:54，回访内容：在拼团中；|回访人：徐健坤，回访时间：2025-06-23 21:21，回访内容：课程已经确认 等成绩中；|回访人：徐健坤，回访时间：2025-06-29 21:43，回访内容：签约</t>
  </si>
  <si>
    <t>26上考季</t>
  </si>
  <si>
    <t>北京市2729</t>
  </si>
  <si>
    <t>116647178</t>
  </si>
  <si>
    <t>2025-06-29 16:21:10</t>
  </si>
  <si>
    <t xml:space="preserve">AI-37815-01a 2025-06-29 16:18:14_x000D_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2025-06-29 16:18:16_x000D_
您是想咨询【考研走读班】【考研集训营】【考研规划】还是【在职考研】呢？_x000D_
_x000D_
01000000037815118507024234722729 2025-06-29 16:18:39_x000D_
英语四级_x000D_
_x000D_
AI-37815-01a 2025-06-29 16:18:42_x000D_
考研对四六级一般没有明确要求，个别学校可能会单独规定需要四级/六级成绩。_x000D_
_x000D_
AI-37815-01a 2025-06-29 16:18:43_x000D_
您目前在学的院校是哪所呢？_x000D_
_x000D_
01000000037815118507024234722729 2025-06-29 16:19:00_x000D_
还没有_x000D_
_x000D_
AI-37815-01a 2025-06-29 16:19:04_x000D_
您目前英语基础如何呢？_x000D_
_x000D_
01000000037815118507024234722729 2025-06-29 16:19:27_x000D_
不是考研，就是英语四级培训_x000D_
_x000D_
AI-37815-01a 2025-06-29 16:19:31_x000D_
这样，您微信还是电话方便呢？我安排四六级老师联系您，将课程的详细内容介绍给您_x000D_
_x000D_
01000000037815118507024234722729 2025-06-29 16:19:44_x000D_
好的，都可以_x000D_
_x000D_
AI-37815-01a 2025-06-29 16:19:48_x000D_
您可以留下您的姓名和电话，我这边可以立刻安排对应校区顾问老师给您回电！_x000D_
_x000D_
01000000037815118507024234722729 2025-06-29 16:20:09_x000D_
13683273981，孟女生_x000D_
_x000D_
AI-37815-01a 2025-06-29 16:20:12_x000D_
好的，确认一下你的号码是否正确呢~_x000D_
_x000D_
</t>
  </si>
  <si>
    <t>2025-06-29 16:26:32</t>
  </si>
  <si>
    <t>李怡萱</t>
  </si>
  <si>
    <t>28698494</t>
  </si>
  <si>
    <t>2025-06-29 16:57</t>
  </si>
  <si>
    <t>北京市王平中学</t>
  </si>
  <si>
    <t>2025-06-29 21:36</t>
  </si>
  <si>
    <t>BJWY8972464898</t>
  </si>
  <si>
    <t>YKF250010023</t>
  </si>
  <si>
    <t>回访人：李政，回访时间：2025-06-29 16:57，回访内容：家长咨询，想了解所有的班型，微信已经添加；|回访人：李政，回访时间：2025-06-29 21:36，回访内容：签约</t>
  </si>
  <si>
    <t>温沛</t>
  </si>
  <si>
    <t>116600614</t>
  </si>
  <si>
    <t>2025-06-28 22:55:11</t>
  </si>
  <si>
    <t>【王朝群】咨询四六级暑期班，在大兴</t>
  </si>
  <si>
    <t>张继中</t>
  </si>
  <si>
    <t>28631106</t>
  </si>
  <si>
    <t>2025-06-29 14:49</t>
  </si>
  <si>
    <t>人大附中北京经济技术开发区学校</t>
  </si>
  <si>
    <t>2025-06-29 20:32</t>
  </si>
  <si>
    <t>2025-06-29 21:56</t>
  </si>
  <si>
    <t>BJWY2473867563</t>
  </si>
  <si>
    <t>YKF250040007</t>
  </si>
  <si>
    <t>回访人：黄智超，回访时间：2025-06-29 14:49，回访内容：家长今天在报考 需要晚点沟通联系确定 家长意向还不错 争取今天明天收进来；|回访人：黄智超，回访时间：2025-06-29 20:32，回访内容：家长确定给孩子报名小班课程 已签约</t>
  </si>
  <si>
    <t>刘禹童</t>
  </si>
  <si>
    <t>116647300</t>
  </si>
  <si>
    <t>2025-06-29 16:24:07</t>
  </si>
  <si>
    <t>初三</t>
  </si>
  <si>
    <t>张婉扬</t>
  </si>
  <si>
    <t>28698054</t>
  </si>
  <si>
    <t>2025-06-29 16:29</t>
  </si>
  <si>
    <t>北京市第十五中学初中部</t>
  </si>
  <si>
    <t>2025-06-29 18:25</t>
  </si>
  <si>
    <t>YKF25005</t>
  </si>
  <si>
    <t>BJWY9356354001</t>
  </si>
  <si>
    <t>YKF250050005</t>
  </si>
  <si>
    <t>回访人：徐健坤，回访时间：2025-06-29 16:29，回访内容：张婉扬推荐过来要一起学习；|回访人：徐健坤，回访时间：2025-06-29 18:25，回访内容：签约</t>
  </si>
  <si>
    <t>29下考季</t>
  </si>
  <si>
    <t>李</t>
  </si>
  <si>
    <t>116625507</t>
  </si>
  <si>
    <t>2025-06-29 17:28:39</t>
  </si>
  <si>
    <t>李俊衡</t>
  </si>
  <si>
    <t>陈一豪+chenyihao1@xdf.cn+ID+培训学校-北京学校-高中一对一部-教学项目中心-高中物理项目</t>
  </si>
  <si>
    <t>28632408</t>
  </si>
  <si>
    <t>2025-06-29 17:33</t>
  </si>
  <si>
    <t>2025-06-29 17:34</t>
  </si>
  <si>
    <t>2025-06-30 11:56</t>
  </si>
  <si>
    <t>BJWY7470092965</t>
  </si>
  <si>
    <t>YKFJ250010023</t>
  </si>
  <si>
    <t>回访人：黄智超，回访时间：2025-06-29 17:33，回访内容：见面沟通家长 意向比较高 推荐报名数学和四级的线上直播课程联报。；|回访人：黄智超，回访时间：2025-06-29 17:34，回访内容：签约 明天去知春路校区给送资料和礼物</t>
  </si>
  <si>
    <t>YKMJ250010011</t>
  </si>
  <si>
    <t>王家长</t>
  </si>
  <si>
    <t>115445300</t>
  </si>
  <si>
    <t>2025-06-20 14:22:24</t>
  </si>
  <si>
    <t>孩子9月上高中，英语底子好，没有合适的培训班，咨询英语四级小班，【在上班，加微信联系】张志威老师公众号</t>
  </si>
  <si>
    <t>28502354</t>
  </si>
  <si>
    <t>2025-06-20 14:56</t>
  </si>
  <si>
    <t>2025-06-29 15:49</t>
  </si>
  <si>
    <t>2025-06-30 10:43</t>
  </si>
  <si>
    <t>BJWY8952302640</t>
  </si>
  <si>
    <t>YKF250050004</t>
  </si>
  <si>
    <t>回访人：徐健坤，回访时间：2025-06-20 14:56，回访内容：家长帮孩子咨询 孩子初三 英语成绩还不错 但是也有点担心能不能跟上四级课程 所以选择小班 然后介绍了一个在知春路一个在魏公村的小班课程 家长认为知春路的那个时间还可以 但是暑假不能出去玩 对我发一下认为魏公村的小班时间太过于紧凑了 担心孩子会不会太累 邀约试听课的时间拒绝参加 因为快中考了；|回访人：徐健坤，回访时间：2025-06-27 21:26，回访内容：周日下午4点面访；|回访人：徐健坤，回访时间：2025-06-29 15:49，回访内容：签约</t>
  </si>
  <si>
    <t>北京市4722</t>
  </si>
  <si>
    <t>116541700</t>
  </si>
  <si>
    <t>2025-06-29 10:29:22</t>
  </si>
  <si>
    <t xml:space="preserve">AI-37815-01a 2025-06-29 10:26:05_x000D_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2025-06-29 10:26:07_x000D_
您是想咨询【考研走读班】【考研集训营】【考研规划】还是【在职考研】呢？_x000D_
_x000D_
01000000037815116394091639194722 2025-06-29 10:26:17_x000D_
四六级_x000D_
_x000D_
AI-37815-01a 2025-06-29 10:26:21_x000D_
您目前在学的院校是哪所呢？_x000D_
_x000D_
01000000037815116394091639194722 2025-06-29 10:26:57_x000D_
高三毕业准备先学学英语_x000D_
_x000D_
AI-37815-01a 2025-06-29 10:27:01_x000D_
您目前英语基础如何呢？_x000D_
_x000D_
01000000037815116394091639194722 2025-06-29 10:27:16_x000D_
高考分数109_x000D_
_x000D_
AI-37815-01a 2025-06-29 10:27:20_x000D_
25考季考研分数预计在2025.2下旬出，方便留一下您的联系方式么？我让老师拉个群，先统一发您一些复试和调剂的相关资料_x000D_
_x000D_
AI-37815-01a 2025-06-29 10:27:57_x000D_
您好，能看到我的对话吗？如有疑问，可以在此留电咨询！_x000D_
_x000D_
AI-37815-01a 2025-06-29 10:28:17_x000D_
如果您现在不方便，您可以留下您的【姓名电话方便接听电话的时间】，我们会安排老师第一时间为您回电免费咨询！_x000D_
_x000D_
01000000037815116394091639194722 2025-06-29 10:28:21_x000D_
13691419032王_x000D_
_x000D_
AI-37815-01a 2025-06-29 10:28:24_x000D_
好的，确认一下你的号码是否正确呢~_x000D_
_x000D_
01000000037815116394091639194722 2025-06-29 10:28:34_x000D_
正确_x000D_
_x000D_
AI-37815-01a 2025-06-29 10:28:38_x000D_
这个手机号是您的微信吗？如果不是您可以留一下您的微信号_x000D_
_x000D_
01000000037815116394091639194722 2025-06-29 10:28:44_x000D_
是_x000D_
_x000D_
AI-37815-01a 2025-06-29 10:28:47_x000D_
同学怎么称呼呢？_x000D_
_x000D_
01000000037815116394091639194722 2025-06-29 10:29:11_x000D_
王_x000D_
_x000D_
AI-37815-01a 2025-06-29 10:29:15_x000D_
这边马上安排顾问老师联系您，预计半个小时左右给您回电请注意接听~_x000D_
_x000D_
</t>
  </si>
  <si>
    <t>2025-06-29 11:36:29</t>
  </si>
  <si>
    <t>吴蕴桐</t>
  </si>
  <si>
    <t>28630413</t>
  </si>
  <si>
    <t>2025-06-29 12:19</t>
  </si>
  <si>
    <t>北京西城区裕中中学</t>
  </si>
  <si>
    <t>2025-06-29 15:07</t>
  </si>
  <si>
    <t>2025-06-29 21:06</t>
  </si>
  <si>
    <t>BJWY9486331449</t>
  </si>
  <si>
    <t>YKF250010020</t>
  </si>
  <si>
    <t>回访人：刘晓娟，回访时间：2025-06-29 12:19，回访内容：孩子母亲咨询，孩子刚高考完，高考成绩109，想看看四六级的课程，介绍四级的课程，线上和线下的，问问孩子；|回访人：刘晓娟，回访时间：2025-06-29 15:07，回访内容：报名</t>
  </si>
  <si>
    <t>于嘉麒</t>
  </si>
  <si>
    <t>108447374</t>
  </si>
  <si>
    <t>2025-06-04 16:35:34</t>
  </si>
  <si>
    <t>来源:北京学校;【FY25已报名】金额：22680.00元，报了【FY25高端/一对一】</t>
  </si>
  <si>
    <t>2025-06-27 16:48:14</t>
  </si>
  <si>
    <t>28704487</t>
  </si>
  <si>
    <t>2025-06-28 13:53</t>
  </si>
  <si>
    <t>北京市第十九中学</t>
  </si>
  <si>
    <t>2025-06-29 14:09</t>
  </si>
  <si>
    <t>BJWY1900688395</t>
  </si>
  <si>
    <t>YKMJ250010009</t>
  </si>
  <si>
    <t>回访人：刘晓娟，回访时间：2025-06-28 13:53，回访内容：孩子家长咨询，孩子刚高考完，数学138英语133，想看看线上的课程，介绍英语和数学，跟孩子商量下；|回访人：刘晓娟，回访时间：2025-06-29 14:09，回访内容：报名</t>
  </si>
  <si>
    <t>北京市3810</t>
  </si>
  <si>
    <t>116616852</t>
  </si>
  <si>
    <t>2025-06-29 11:30:05</t>
  </si>
  <si>
    <t xml:space="preserve">AI-37815-492 2025-06-29 11:26:54_x000D_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2025-06-29 11:26:56_x000D_
您是想咨询【考研走读班】【考研集训营】【考研规划】还是【在职考研】呢？_x000D_
_x000D_
01000000037815116741684042913810 2025-06-29 11:27:32_x000D_
六级考试_x000D_
_x000D_
AI-37815-492 2025-06-29 11:27:35_x000D_
您目前在学的院校是哪所呢？_x000D_
_x000D_
01000000037815116741684042913810 2025-06-29 11:28:02_x000D_
新东方有网课吗_x000D_
_x000D_
AI-37815-492 2025-06-29 11:28:06_x000D_
您目前英语基础如何呢？_x000D_
_x000D_
01000000037815116741684042913810 2025-06-29 11:28:40_x000D_
北京中医药大学，基础还可以_x000D_
_x000D_
AI-37815-492 2025-06-29 11:28:43_x000D_
这样，您微信还是电话方便呢？我安排四六级老师联系您，将课程的详细内容介绍给您_x000D_
_x000D_
01000000037815116741684042913810 2025-06-29 11:29:02_x000D_
13801393283_x000D_
_x000D_
AI-37815-492 2025-06-29 11:29:06_x000D_
好的，确认一下你的号码是否正确呢~_x000D_
_x000D_
01000000037815116741684042913810 2025-06-29 11:29:19_x000D_
正确_x000D_
_x000D_
AI-37815-492 2025-06-29 11:29:23_x000D_
这个手机号是您的微信吗？如果不是您可以留一下您的微信号_x000D_
_x000D_
01000000037815116741684042913810 2025-06-29 11:29:32_x000D_
是_x000D_
_x000D_
AI-37815-492 2025-06-29 11:29:36_x000D_
同学怎么称呼呢？_x000D_
_x000D_
01000000037815116741684042913810 2025-06-29 11:29:48_x000D_
刘宇轩_x000D_
_x000D_
AI-37815-492 2025-06-29 11:29:51_x000D_
这边马上安排顾问老师联系您，预计半个小时左右给您回电请注意接听~_x000D_
_x000D_
01000000037815116741684042913810 2025-06-29 11:30:02_x000D_
👌_x000D_
_x000D_
</t>
  </si>
  <si>
    <t>2025-06-29 12:00:53</t>
  </si>
  <si>
    <t>刘宇轩</t>
  </si>
  <si>
    <t>28714299</t>
  </si>
  <si>
    <t>2025-06-29 13:26</t>
  </si>
  <si>
    <t>北京中医药大学</t>
  </si>
  <si>
    <t>中医学院</t>
  </si>
  <si>
    <t>中医学</t>
  </si>
  <si>
    <t>2025-06-29 14:04</t>
  </si>
  <si>
    <t>BJWY3770497939</t>
  </si>
  <si>
    <t>WYSJ250330030</t>
  </si>
  <si>
    <t>回访人：刘晓娟，回访时间：2025-06-29 13:26，回访内容：家长咨询，六级线上的课程安排，介绍，家长跟孩子商量下，介绍了本月的优惠；|回访人：刘晓娟，回访时间：2025-06-29 14:04，回访内容：报名</t>
  </si>
  <si>
    <t>马宇畅</t>
  </si>
  <si>
    <t>114264182</t>
  </si>
  <si>
    <t>2025-06-14 13:48:22</t>
  </si>
  <si>
    <t>孩子妈妈咨询暑期高数班【TMK合作徐树萌老师】</t>
  </si>
  <si>
    <t>TMK合作</t>
  </si>
  <si>
    <t>2025-06-14 14:05:21</t>
  </si>
  <si>
    <t>28335750</t>
  </si>
  <si>
    <t>2025-06-14 16:45</t>
  </si>
  <si>
    <t>北京市同仁中学</t>
  </si>
  <si>
    <t>2025-06-29 14:02</t>
  </si>
  <si>
    <t>BJWY8310793285</t>
  </si>
  <si>
    <t>YKM250010015</t>
  </si>
  <si>
    <t>回访人：李政，回访时间：2025-06-21 19:04，回访内容：试听课不参加；|回访人：李政，回访时间：2025-06-23 17:16，回访内容：电话拒接；|回访人：李政，回访时间：2025-06-28 15:08，回访内容：只要简单了解一下内容，微信已沟通；|回访人：李政，回访时间：2025-06-29 14:02，回访内容：签约</t>
  </si>
  <si>
    <t>陈松乔</t>
  </si>
  <si>
    <t>115894866</t>
  </si>
  <si>
    <t>吴凯龙</t>
  </si>
  <si>
    <t>2025-06-23 19:03:36</t>
  </si>
  <si>
    <t>薛小刚+运营管理部+304901+xuexiaogang@xdf.cn（TMK主管分配TMK）</t>
  </si>
  <si>
    <t>薛小刚+运营管理部+304901+xuexiaogang@xdf.cn</t>
  </si>
  <si>
    <t>2025-06-23 19:04:25</t>
  </si>
  <si>
    <t>28455936</t>
  </si>
  <si>
    <t>2025-06-23 19:27</t>
  </si>
  <si>
    <t>六级,考研专业课,考研无忧计划</t>
  </si>
  <si>
    <t>北京语言大学</t>
  </si>
  <si>
    <t>信息科学学院</t>
  </si>
  <si>
    <t>计算机科学与技术</t>
  </si>
  <si>
    <t>2025-06-29 13:51</t>
  </si>
  <si>
    <t>BJWY0772435935</t>
  </si>
  <si>
    <t>WYS250350011</t>
  </si>
  <si>
    <t>回访人：刘晓娟，回访时间：2025-06-23 19:27，回访内容：孩子父亲咨询孩子想考计算机，但是没确定考408还是自主命题的明年考研规划的无忧。全科打算周六或者周日过来面谈。；|回访人：刘晓娟，回访时间：2025-06-28 15:14，回访内容：孩子在考试，等考完试和孩子一起过来面谈；|回访人：刘晓娟，回访时间：2025-06-29 13:51，回访内容：报名</t>
  </si>
  <si>
    <t>27考季</t>
  </si>
  <si>
    <t>无忧计划-啄木鸟,考研专业课300,六级无忧计划</t>
  </si>
  <si>
    <t>计算机,英语,政治,数学</t>
  </si>
  <si>
    <t>WYM27002</t>
  </si>
  <si>
    <t>考研数学无忧计划（27考研/强化）</t>
  </si>
  <si>
    <t>WYM270020021</t>
  </si>
  <si>
    <t>WYP27001</t>
  </si>
  <si>
    <t>考研政治无忧计划（27考研/基础）</t>
  </si>
  <si>
    <t>WYP270010038</t>
  </si>
  <si>
    <t>WYE27002</t>
  </si>
  <si>
    <t>考研英语无忧计划（27考研/英一强化）</t>
  </si>
  <si>
    <t>WYE270020032</t>
  </si>
  <si>
    <t>WYP27003</t>
  </si>
  <si>
    <t>考研政治无忧计划（27考研/冲刺）</t>
  </si>
  <si>
    <t>WYP270030038</t>
  </si>
  <si>
    <t>WYP27002</t>
  </si>
  <si>
    <t>考研政治无忧计划（27考研/强化）</t>
  </si>
  <si>
    <t>WYP270020038</t>
  </si>
  <si>
    <t>WYE27025</t>
  </si>
  <si>
    <t>考研英语无忧计划（27考研/英一冲刺）</t>
  </si>
  <si>
    <t>WYE270250015</t>
  </si>
  <si>
    <t>WYC27001</t>
  </si>
  <si>
    <t>考研专业课无忧计划（27考研/408计算机）</t>
  </si>
  <si>
    <t>WYC270010014</t>
  </si>
  <si>
    <t>WYM27001</t>
  </si>
  <si>
    <t>考研数学无忧计划（27考研/基础）</t>
  </si>
  <si>
    <t>WYM270010021</t>
  </si>
  <si>
    <t>WYM27010</t>
  </si>
  <si>
    <t>考研数学无忧计划（27考研/冲刺）</t>
  </si>
  <si>
    <t>WYM270100011</t>
  </si>
  <si>
    <t>马一伊</t>
  </si>
  <si>
    <t>116556187</t>
  </si>
  <si>
    <t>2025-06-28 11:04:29</t>
  </si>
  <si>
    <t>28683836</t>
  </si>
  <si>
    <t>2025-06-28 11:08</t>
  </si>
  <si>
    <t>2025-06-29 13:07</t>
  </si>
  <si>
    <t>BJWY0650681029</t>
  </si>
  <si>
    <t>YKSJ250010007</t>
  </si>
  <si>
    <t>回访人：宋增辉，回访时间：2025-06-28 11:08，回访内容：成绩不错，想让孩子线上去学，今天下午来线下试听，试听后结束定；|回访人：宋增辉，回访时间：2025-06-28 21:19，回访内容：已报名
总结：北京新东方增辉老师负责大学预科、专升本、四六级、学位英语、专四专八、托业、同等学力申硕、pets3级、考研考博等国内考试咨询。通过家长推荐，增辉老师与学生家长进行了详细沟通，了解到学生高考英语成绩为130分，基础较好，建议直接学习六级，因为六级内容包含四级，且学生大一第一学期可通过四级，明年六月可考六级。增辉老师提供了线上和线下班型选择，并安排了试听课。家长最终选择线上学习，并签署了服务协议。
下次回访建议：1. 确认学生试听课后的反馈和学习意愿；2. 跟进学生线上学习进度和效果；3. 提醒家长关注学生身体健康，特别是久坐学习导致的腰病问题；4. 提供更多学习资源和建议，帮助学生顺利通过四六级考试。；|回访人：宋增辉，回访时间：2025-06-28 22:38，回访内容：宋增辉进行了退单操作!(本条回访记录由系统自动记录)；|回访人：宋增辉，回访时间：2025-06-28 22:44，回访内容：已经确认，报名学习
总结：晶老师是北京新东方增辉老师，负责大学预科、专升本、四六级、学位英语、专四专八、托业、同等学力申硕、pets3级、考研考博等国内考试咨询。她为家长和孩子提供了详细的四六级学习建议，并根据孩子的高考英语成绩（130分）推荐直接学习六级，因为六级内容涵盖四级。晶老师还介绍了线上和线下的班型、试听课安排、团报优惠以及课程协议的相关内容，包括转退班制度。家长最终决定让孩子参加线上六级学习，并完成了服务协议的签署。
下次回访建议：1. 确认孩子对试听课的感受和学习意愿，进一步了解孩子的学习需求。2. 跟进孩子的学习进度，及时提供学习资源和辅导建议。3. 提醒家长注意孩子的身体健康，鼓励孩子在学习之余多运动。4. 确认孩子是否已成功注册并开始线上课程，确保学习顺利进行。5. 提供后续的优惠活动信息，鼓励家长推荐更多学生参与。；|回访人：宋增辉，回访时间：2025-06-29 13:07，回访内容：已报名
总结：北京新东方增辉老师负责大学预科、专升本、四六级等国内考试咨询。根据孩子高考英语成绩（119分），建议直接学习六级课程，因为六级内容包含四级，且孩子基础较好。课程最早一期从7月12日开始，提供线上和线下两种班型，价格相同。线上课程有录播和回放功能，线下课程也有课后语音共享。报名后，孩子需先通过四级考试，再参加六级考试。试听课可线上或线下进行，主要体验老师上课风格和氛围。家长已为孩子报名线上六级课程，并签署了服务协议。
下次回访建议：1. 确认孩子对试听课的反馈，了解其对课程内容和老师风格的接受程度。2. 询问孩子在课程学习中的进展，是否有遇到困难或需要额外帮助。3. 提醒家长关注孩子的身体健康，建议适当运动和调整学习姿势，预防久坐带来的健康问题。4. 确认家长对协议内容的理解，特别是转退班制度，确保家长了解相关政策和流程。5. 提供后续课程安排和考试准备建议，帮助孩子更好地规划学习时间和策略。</t>
  </si>
  <si>
    <t>王泽彬</t>
  </si>
  <si>
    <t>115646113</t>
  </si>
  <si>
    <t>2025-06-22 11:12:07</t>
  </si>
  <si>
    <t xml:space="preserve">渠道录入来源：SCRM-客服推送
商机ID：5009102889
商机编码：XSJ20250622009841
针对人群：高中
学生学校：不详
咨询课程：英语
创建人邮箱：wangmeng63@xdf.cn
创建时间：2025-06-22 11:12:02
资源类型：单个资源
跟进记录：商机备注：学员妈妈咨询，职高，要上大专，英语不好，想提高英语能力，背单词抵触，从小英语不好，暑假加强，后期考英语二级，咨询线下;接触点：呼入；
</t>
  </si>
  <si>
    <t>28529968</t>
  </si>
  <si>
    <t>2025-06-22 11:42</t>
  </si>
  <si>
    <t>求实职业学校</t>
  </si>
  <si>
    <t>2025-06-29 12:45</t>
  </si>
  <si>
    <t>2025-06-30 13:55</t>
  </si>
  <si>
    <t>LP17511723251760</t>
  </si>
  <si>
    <t>大学课程一对一畅学班（其它/80H）</t>
  </si>
  <si>
    <t>BJWY1253328048</t>
  </si>
  <si>
    <t>回访人：田一禾，回访时间：2025-06-22 11:42，回访内容：孩子是职高，英语水平很弱。之前的一对一老师没有针对性提升，讲完之后效果不好。这次的话有深造的打算，所以必须要提升英语的成绩和英语的效果。下周约的面谈。；|回访人：田一禾，回访时间：2025-06-27 18:44，回访内容：约定周日知春路面谈，先发试听课看看；|回访人：田一禾，回访时间：2025-06-28 16:53，回访内容：约定周日上午面谈</t>
  </si>
  <si>
    <t>孩子目前专业英语二级水平，职高，基础不好，选择的万晴老师，下周三开始上课预计，尽量选上午，孩子基础不好，辛苦从单词入手，优先保证专升本英语单词技巧稳定提升</t>
  </si>
  <si>
    <t>魏宇辉</t>
  </si>
  <si>
    <t>108180754</t>
  </si>
  <si>
    <t>2025-06-04 11:45:19</t>
  </si>
  <si>
    <t>来源:北京学校;【FY25已报名】金额：92800.00元，报了【FY25高端/一对一】</t>
  </si>
  <si>
    <t>2025-06-13 16:53:28</t>
  </si>
  <si>
    <t>28359621</t>
  </si>
  <si>
    <t>2025-06-14 20:43</t>
  </si>
  <si>
    <t>2025-06-29 21:45</t>
  </si>
  <si>
    <t>XDF072330210017608</t>
  </si>
  <si>
    <t>YKFJ250010026</t>
  </si>
  <si>
    <t>回访人：徐健坤，回访时间：2025-06-20 20:57，回访内容：在看课程中；|回访人：徐健坤，回访时间：2025-06-24 20:02，回访内容：跟另一个家长沟通 周日确定；|回访人：徐健坤，回访时间：2025-06-29 21:45，回访内容：签约</t>
  </si>
  <si>
    <t>116603706</t>
  </si>
  <si>
    <t>2025-06-29 09:13:04</t>
  </si>
  <si>
    <t>准大一，咨询四级课程</t>
  </si>
  <si>
    <t>梁圆</t>
  </si>
  <si>
    <t>28629972</t>
  </si>
  <si>
    <t>2025-06-29 11:19</t>
  </si>
  <si>
    <t>北京市第十八中学</t>
  </si>
  <si>
    <t>BJWY5479277177</t>
  </si>
  <si>
    <t>YKF250010022</t>
  </si>
  <si>
    <t>回访人：宋增辉，回访时间：2025-06-29 11:19，回访内容：电话沟通在忙，下午来魏公村校区去当面沟通，；|回访人：宋增辉，回访时间：2025-06-29 15:30，回访内容：已经报名，储值未入班；|回访人：宋增辉，回访时间：2025-06-29 21:29，回访内容：已报名</t>
  </si>
  <si>
    <t>朱同学</t>
  </si>
  <si>
    <t>116207539</t>
  </si>
  <si>
    <t>2025-06-25 17:02:16</t>
  </si>
  <si>
    <t>袁琳+yuanlin9@xdf.cn+157118+培训学校-北京学校-高中一对一部-西北区-远大路分中心</t>
  </si>
  <si>
    <t>朱泓骥</t>
  </si>
  <si>
    <t>28645334</t>
  </si>
  <si>
    <t>2025-06-25 17:25</t>
  </si>
  <si>
    <t>北京市第一六六中学（灯市口校区）</t>
  </si>
  <si>
    <t>2025-06-29 20:09</t>
  </si>
  <si>
    <t>BJWY8934983058</t>
  </si>
  <si>
    <t>YKFJ250010020</t>
  </si>
  <si>
    <t>回访人：黄智超，回访时间：2025-06-25 17:26，回访内容：电话沟通了家长，给孩子咨询暑假的四级课程安排，需要沟通孩子想法 发送了试听课的链接 邀约周六来听试听课；|回访人：黄智超，回访时间：2025-06-28 10:35，回访内容：朱同学妈妈 反馈试听课程规划内容比较多 再看看其他老师的纯课程试听；|回访人：黄智超，回访时间：2025-06-29 14:42，回访内容：电话沟通家长 线上还是线下 确定一下 今明天给答复；|回访人：黄智超，回访时间：2025-06-29 20:09，回访内容：确定报名线上课程 5680元 签约</t>
  </si>
  <si>
    <t>Mitxosh</t>
  </si>
  <si>
    <t>116594690</t>
  </si>
  <si>
    <t>2025-06-28 17:27:58</t>
  </si>
  <si>
    <t>苗雅晴</t>
  </si>
  <si>
    <t>28709049</t>
  </si>
  <si>
    <t>2025-06-28 18:04</t>
  </si>
  <si>
    <t>产品设计</t>
  </si>
  <si>
    <t>2025-06-29 19:49</t>
  </si>
  <si>
    <t>2025-06-29 19:52</t>
  </si>
  <si>
    <t>LP17511977935441</t>
  </si>
  <si>
    <t>四级一对一（30H）</t>
  </si>
  <si>
    <t>BJWY2158108275</t>
  </si>
  <si>
    <t>回访人：房国超，回访时间：2025-06-28 18:04，回访内容：学生咨询， 6月考试感觉不稳， 基础薄弱，单词记不住，住房山，  推荐小班和一对一，；|回访人：房国超，回访时间：2025-06-29 15:15，回访内容：电话无人接，微信留言</t>
  </si>
  <si>
    <t>115558478</t>
  </si>
  <si>
    <t>2025-06-22 19:43:47</t>
  </si>
  <si>
    <t>家长咨询四级课程【张志威公众号】</t>
  </si>
  <si>
    <t>张佳硕</t>
  </si>
  <si>
    <t>28452558</t>
  </si>
  <si>
    <t>2025-06-23 10:08</t>
  </si>
  <si>
    <t>北京第二外国语学院中瑞酒店管理学院</t>
  </si>
  <si>
    <t>中瑞酒店管理学院</t>
  </si>
  <si>
    <t>财务管理</t>
  </si>
  <si>
    <t>2025-06-29 17:15</t>
  </si>
  <si>
    <t>BJWY4072559208</t>
  </si>
  <si>
    <t>WYFJ250330021</t>
  </si>
  <si>
    <t>回访人：宋增辉，回访时间：2025-06-23 10:08，回访内容：家长给孩子咨询，现在大二，想要过四级，之前没有考过，家长在上班，微信联系，介绍了班型和内容；|回访人：宋增辉，回访时间：2025-06-26 14:42，回访内容：确认周六报名，周五或者周六让孩子预约试听课，周六下午跟进报名；|回访人：宋增辉，回访时间：2025-06-28 17:19，回访内容：要等和孩子在确认，再去商量一下；|回访人：宋增辉，回访时间：2025-06-29 17:15，回访内容：已报名</t>
  </si>
  <si>
    <t>116509594</t>
  </si>
  <si>
    <t>2025-06-28 09:30:11</t>
  </si>
  <si>
    <t xml:space="preserve">李灏晨+lihaochen@xdf.cn+075892+产业机构-国际教育培训事业部-国际教育北京中心-运营管理部-中学区域运营中心二区-国贸中学分中心
</t>
  </si>
  <si>
    <t>杨晓超</t>
  </si>
  <si>
    <t>李灏晨+lihaochen@xdf.cn+075892+产业机构-国际教育培训事业部-国际教育北京中心-运营管理部-中学区域运营中心二区-国贸中学分中心</t>
  </si>
  <si>
    <t>周哲轩</t>
  </si>
  <si>
    <t>28625347</t>
  </si>
  <si>
    <t>2025-06-28 10:21</t>
  </si>
  <si>
    <t>2025-06-29 16:27</t>
  </si>
  <si>
    <t>2025-06-30 11:16</t>
  </si>
  <si>
    <t>BJWY6993449492</t>
  </si>
  <si>
    <t xml:space="preserve">回访人：杨晓超，回访时间：2025-06-28 10:21，回访内容：微信沟通 ，明天参加试听课 ；|回访人：杨晓超，回访时间：2025-06-29 16:27，回访内容：签约 </t>
  </si>
  <si>
    <t>琳琳</t>
  </si>
  <si>
    <t>115559514</t>
  </si>
  <si>
    <t>2025-06-22 20:58:31</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</si>
  <si>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备注：来源:小表单;姓名:琳琳;意向课程: 【课程】考研、四六级、专升本、成人英语/北京/北京; 新老生: 流失老生; 提交链接:pages/index/index.html?scene=81512,,Lh8FwYc8;地理位置:-;渠道:新媒体运营/公众号-品牌号</t>
  </si>
  <si>
    <t>2025-06-22 21:08:12</t>
  </si>
  <si>
    <t>熊晟源</t>
  </si>
  <si>
    <t>28556790</t>
  </si>
  <si>
    <t>2025-06-23 10:05</t>
  </si>
  <si>
    <t>北京市第一五六中学</t>
  </si>
  <si>
    <t>2025-06-28 19:53</t>
  </si>
  <si>
    <t>BJWY2545661711</t>
  </si>
  <si>
    <t>YKF250040004</t>
  </si>
  <si>
    <t>回访人：刘晓娟，回访时间：2025-06-23 10:05，回访内容：孩子母亲咨询，孩子高三，刚高考完，平时英语成绩60-70左右，想看看四级的课程，家在鼓楼附近，介绍四级线下和线上的课程，家长有计划报完志愿出去，考虑下时间；|回访人：刘晓娟，回访时间：2025-06-25 16:36，回访内容：邀约讲座；|回访人：刘晓娟，回访时间：2025-06-26 14:17，回访内容：周六过来报名；|回访人：刘晓娟，回访时间：2025-06-28 19:53，回访内容：报名</t>
  </si>
  <si>
    <t>侯家长</t>
  </si>
  <si>
    <t>114650377</t>
  </si>
  <si>
    <t>曹义鹏</t>
  </si>
  <si>
    <t>2025-06-16 16:27:31</t>
  </si>
  <si>
    <t>学员转推荐，推荐大学预科学习</t>
  </si>
  <si>
    <t>耿浩然</t>
  </si>
  <si>
    <t>28404572</t>
  </si>
  <si>
    <t>2025-06-16 16:33</t>
  </si>
  <si>
    <t>2025-06-28 21:45</t>
  </si>
  <si>
    <t>BJWY1192432485</t>
  </si>
  <si>
    <t>YKF250010015</t>
  </si>
  <si>
    <t>回访人：李政，回访时间：2025-06-22 16:23，回访内容：孩子时间不确定，不报名；|回访人：李政，回访时间：2025-06-26 19:13，回访内容：等待入班，已经缴费；|回访人：李政，回访时间：2025-06-28 21:45，回访内容：签约</t>
  </si>
  <si>
    <t>沈阳市2601</t>
  </si>
  <si>
    <t>113494512</t>
  </si>
  <si>
    <t>2025-06-09 20:04:47</t>
  </si>
  <si>
    <t>渠道录入来源：新东方官网M站-客服
意向城市：北京访客省/城市：沈阳市
访客静态ID：01000003465900947041845475982601
接待分组ID：70455
搜索引擎：
搜索词：
关键词：
设备类型：phone
访客IP：39.144.59.6
对话详细内容：AI-Lbo0rDBXCyBY 2025-06-09 20:00:20_x000D_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2025-06-09 20:00:23_x000D_
您是想咨询【线下课程】【线上课程】【考研规划】还是【在职考研】呢？**【线下课程】#  **【线上课程】#**【考研规划】#**【在职考研】#_x000D_
_x000D_
01000003465900947041845475982601 2025-06-09 20:01:28_x000D_
你好，请问北京市顺义区有线下四／六级课程吗？还是有线上的？_x000D_
_x000D_
AI-Lbo0rDBXCyBY 2025-06-09 20:01:32_x000D_
您目前在学的院校是哪所呢？_x000D_
_x000D_
01000003465900947041845475982601 2025-06-09 20:01:52_x000D_
刚刚参加完高考_x000D_
_x000D_
AI-Lbo0rDBXCyBY 2025-06-09 20:01:56_x000D_
您目前英语基础如何呢？_x000D_
_x000D_
01000003465900947041845475982601 2025-06-09 20:02:15_x000D_
挺好的，_x000D_
_x000D_
AI-Lbo0rDBXCyBY 2025-06-09 20:02:19_x000D_
这样，您微信还是电话方便呢？我安排四六级老师联系您，将课程的详细内容介绍给您_x000D_
_x000D_
01000003465900947041845475982601 2025-06-09 20:02:46_x000D_
你把13801173777_x000D_
_x000D_
AI-Lbo0rDBXCyBY 2025-06-09 20:02:50_x000D_
好的，确认一下你的号码是否正确呢~_x000D_
_x000D_
01000003465900947041845475982601 2025-06-09 20:03:05_x000D_
正确_x000D_
_x000D_
AI-Lbo0rDBXCyBY 2025-06-09 20:03:08_x000D_
同学怎么称呼呢？_x000D_
_x000D_
01000003465900947041845475982601 2025-06-09 20:03:22_x000D_
贺女士_x000D_
_x000D_
AI-Lbo0rDBXCyBY 2025-06-09 20:03:25_x000D_
这边马上安排顾问老师联系您，预计半个小时左右给您回电请注意接听~_x000D_
_x000D_
01000003465900947041845475982601 2025-06-09 20:03:29_x000D_
什么时候打？_x000D_
_x000D_
AI-Lbo0rDBXCyBY 2025-06-09 20:03:32_x000D_
好的，这个也是您的微信号吗？_x000D_
_x000D_
01000003465900947041845475982601 2025-06-09 20:03:41_x000D_
是的_x000D_
_x000D_
AI-Lbo0rDBXCyBY 2025-06-09 20:03:44_x000D_
稍后老师会联系哈_x000D_
_x000D_
01000003465900947041845475982601 2025-06-09 20:03:51_x000D_
好的👌_x000D_
_x000D_
AI-Lbo0rDBXCyBY 2025-06-09 20:03:54_x000D_
好的，请问还有其他问题需要咨询吗？_x000D_
_x000D_
来源页：https://group-live2.easyliao.com/live/chat.do?c=34659&amp;g=70455&amp;config=102466
备注：</t>
  </si>
  <si>
    <t>2026财年第1财月易聊新东方官网M站</t>
  </si>
  <si>
    <t>新东方官网M站</t>
  </si>
  <si>
    <t>2025-06-09 20:24:28</t>
  </si>
  <si>
    <t>贺龄逸</t>
  </si>
  <si>
    <t>28232233</t>
  </si>
  <si>
    <t>2025-06-09 21:04</t>
  </si>
  <si>
    <t>北京市第五十四中学</t>
  </si>
  <si>
    <t>2025-06-28 21:27</t>
  </si>
  <si>
    <t>2025-06-29 11:57</t>
  </si>
  <si>
    <t>BJWY3242942486</t>
  </si>
  <si>
    <t>YKFJ250010017</t>
  </si>
  <si>
    <t>回访人：宋增辉，回访时间：2025-06-20 14:23，回访内容：电话无人接听，微信留言，再邀约一下周末的试听课；|回访人：宋增辉，回访时间：2025-06-20 14:32，回访内容：家长要等孩子志愿报好时间定下来决定
总结：客户表示目前较忙，孩子在试听课方面参与度不高。客户计划在孩子志愿填报结束后确定上课时间，并会主动联系。客户对报志愿的免费服务表示兴趣，但暂时不需要。
下次回访建议：在孩子志愿填报结束后，主动联系客户确认上课时间安排。同时，询问客户是否需要报志愿的免费服务，提供相关支持和帮助。；|回访人：宋增辉，回访时间：2025-06-24 18:04，回访内容：要等出分，再和孩子沟通确认
总结：客户期待孩子考试出分，并表示会及时沟通需求。
下次回访建议：出分后及时跟进，了解孩子成绩情况，询问是否需要进一步帮助或支持。；|回访人：宋增辉，回访时间：2025-06-28 21:27，回访内容：已报名</t>
  </si>
  <si>
    <t>116338061</t>
  </si>
  <si>
    <t>2025-06-27 19:51:36</t>
  </si>
  <si>
    <t xml:space="preserve">渠道录入来源：SCRM-客服推送
商机ID：5009136210
商机编码：XSJ20250627067146
针对人群：高中
学生学校：不详
咨询课程：英语
创建人邮箱：zhangzhe24@xdf.cn
创建时间：2025-06-27 19:51:30
资源类型：单个资源
跟进记录：商机备注：【呼入组+57640860】妈妈来电，高三年级，高考英语100，咨询四级，辛苦老师跟进;接触点：呼入；
</t>
  </si>
  <si>
    <t>28682070</t>
  </si>
  <si>
    <t>2025-06-27 20:24</t>
  </si>
  <si>
    <t>四级,英语,大学预科</t>
  </si>
  <si>
    <t>2025-06-28 21:23</t>
  </si>
  <si>
    <t>2025-06-29 11:51</t>
  </si>
  <si>
    <t>BJWY4953934740</t>
  </si>
  <si>
    <t>YKFJ250010018</t>
  </si>
  <si>
    <t>回访人：宋增辉，回访时间：2025-06-27 20:24，回访内容：7月初来线下参观，家长想要让孩子去学，孩子咨询线上；|回访人：宋增辉，回访时间：2025-06-27 21:38，回访内容：拒绝+1；|回访人：宋增辉，回访时间：2025-06-28 21:23，回访内容：已报名
总结：谢嘉睿妈妈与新东方增辉老师进行了沟通，增辉老师介绍了其负责的课程范围，包括大学预科、专升本、四六级等，并提供了联系方式。增辉老师还提到团报优惠，并建议谢嘉睿妈妈在家长群中询问是否有一起团报的需求。增辉老师发送了线上直播试听链接，并提醒谢嘉睿妈妈签署服务协议，特别是关注转退班制度。谢嘉睿妈妈表示会询问家长群，如果没有团报需求，计划7月初自行报名。
下次回访建议：建议在7月初前再次联系谢嘉睿妈妈，确认其报名情况，并提醒她签署班级协议。同时，可以询问是否有其他家长对课程感兴趣，以便提供更多团报优惠信息。此外，可以发送课程的最新动态或优惠活动，以保持沟通和增加报名机会。</t>
  </si>
  <si>
    <t>李蔚融</t>
  </si>
  <si>
    <t>108195882</t>
  </si>
  <si>
    <t>2025-06-04 11:56:25</t>
  </si>
  <si>
    <t>来源:北京学校;【FY25已报名】金额：22000.00元，报了【FY25高端/一对一】</t>
  </si>
  <si>
    <t>2025-06-26 16:20:02</t>
  </si>
  <si>
    <t>28607179</t>
  </si>
  <si>
    <t>首都师范大学附属中学本部</t>
  </si>
  <si>
    <t>2025-06-28 21:22</t>
  </si>
  <si>
    <t>2025-06-29 11:36</t>
  </si>
  <si>
    <t>XDF6663483747</t>
  </si>
  <si>
    <t>YKS250010008</t>
  </si>
  <si>
    <t>回访人：宋增辉，回访时间：2025-06-26 17:02，回访内容：家长微信通过，先发了一下课程内容；|回访人：宋增辉，回访时间：2025-06-28 21:22，回访内容：已报名</t>
  </si>
  <si>
    <t>YKM250010012</t>
  </si>
  <si>
    <t>乔乔</t>
  </si>
  <si>
    <t>116244463</t>
  </si>
  <si>
    <t>2025-06-25 23:36:43</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</si>
  <si>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备注：来源:小表单;姓名:乔乔;意向课程: 【课程】考研、四六级、专升本、成人英语/北京/北京; 新老生: 流失老生; 提交链接:pages/index/index.html?scene=81512,,Lh8FwYc8;地理位置:北京市西城区白纸坊街道白纸坊东街小区;渠道:新媒体运营/公众号-品牌号</t>
  </si>
  <si>
    <t>2025-06-26 12:45:53</t>
  </si>
  <si>
    <t>28610495</t>
  </si>
  <si>
    <t>2025-06-26 22:38</t>
  </si>
  <si>
    <t>北京市丰台第八中学</t>
  </si>
  <si>
    <t>2025-06-28 21:07</t>
  </si>
  <si>
    <t>BJWY2959328915</t>
  </si>
  <si>
    <t>YKSJ250010006</t>
  </si>
  <si>
    <t>回访人：徐健坤，回访时间：2025-06-26 22:38，回访内容：孩子基础还可以 了解线上英数 因为最近腿受伤了 只能线上形式 一对一感觉价格不合适；|回访人：徐健坤，回访时间：2025-06-28 21:07，回访内容：签约</t>
  </si>
  <si>
    <t>YKM250010010</t>
  </si>
  <si>
    <t>116427073</t>
  </si>
  <si>
    <t>2025-06-27 17:21:13</t>
  </si>
  <si>
    <t xml:space="preserve">家长咨询四级，孩子准高一，已告知四级是什么内容，家长坚持学习，咨询四级暑假大班课
渠道录入来源：大众点评
事件名称：400电话
大众点评门店名称：新东方考研四六级(中关村总部)
店铺绑定的校区：临时教学校区
店铺管理员邮箱：lvmeng2@xdf.cn
备注：2025-06-27 17:21:11,用户在大众点评新东方考研四六级(中关村总部)呼入400电话 已接
</t>
  </si>
  <si>
    <t>唐琬舒</t>
  </si>
  <si>
    <t>28680351</t>
  </si>
  <si>
    <t>2025-06-27 17:49</t>
  </si>
  <si>
    <t>人大附中石景山学校</t>
  </si>
  <si>
    <t>2025-06-28 20:07</t>
  </si>
  <si>
    <t>BJWY9761800489</t>
  </si>
  <si>
    <t>YKF250010017</t>
  </si>
  <si>
    <t>回访人：刘晓娟，回访时间：2025-06-27 17:49，回访内容：孩子母亲咨询，马上升高一，基础还可以，已经把高中的单词都背了，想看看线下四级的大班，介绍，大概率7.21的花园桥的课程；|回访人：刘晓娟，回访时间：2025-06-28 20:07，回访内容：报名</t>
  </si>
  <si>
    <t>116527195</t>
  </si>
  <si>
    <t>2025-06-28 11:05:36</t>
  </si>
  <si>
    <t>激活</t>
  </si>
  <si>
    <t>杨浦</t>
  </si>
  <si>
    <t>28625756</t>
  </si>
  <si>
    <t>2025-06-28 11:14</t>
  </si>
  <si>
    <t>2025-06-28 19:56</t>
  </si>
  <si>
    <t>2025-06-28 19:57</t>
  </si>
  <si>
    <t>BJWY8038848898</t>
  </si>
  <si>
    <t>YKFJ250010016</t>
  </si>
  <si>
    <t>回访人：张博奥，回访时间：2025-06-28 11:14，回访内容：死单激活，家长意向四级线上课程；|回访人：张博奥，回访时间：2025-06-28 19:56，回访内容：已报名</t>
  </si>
  <si>
    <t>请学管老师尽早联系学生</t>
  </si>
  <si>
    <t>北京市8156</t>
  </si>
  <si>
    <t>116484321</t>
  </si>
  <si>
    <t>2025-06-27 22:24:37</t>
  </si>
  <si>
    <t>渠道录入来源：新东方官网M站-客服
意向城市：北京访客省/城市：北京市
访客静态ID：01000003465900103407734783888156
接待分组ID：70455
搜索引擎：
搜索词：
关键词：
设备类型：phone
访客IP：36.112.206.139
对话详细内容：AI-Lbo0rDBXCyBY 2025-06-27 22:21:18_x000D_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2025-06-27 22:21:21_x000D_
您是想咨询【线下课程】【线上课程】【考研规划】还是【在职考研】呢？**【线下课程】#  **【线上课程】#**【考研规划】#**【在职考研】#_x000D_
_x000D_
01000003465900103407734783888156 2025-06-27 22:21:27_x000D_
【线下课程】_x000D_
_x000D_
01000003465900103407734783888156 2025-06-27 22:21:28_x000D_
【四/六级课程】_x000D_
_x000D_
AI-Lbo0rDBXCyBY 2025-06-27 22:21:32_x000D_
您目前在学的院校是哪所呢？_x000D_
_x000D_
01000003465900103407734783888156 2025-06-27 22:21:45_x000D_
北京化工_x000D_
_x000D_
AI-Lbo0rDBXCyBY 2025-06-27 22:21:49_x000D_
您目前英语基础如何呢？_x000D_
_x000D_
01000003465900103407734783888156 2025-06-27 22:22:04_x000D_
极差&amp;lt;img width=&amp;quot;18&amp;quot; class=&amp;quot;jesong_emojiIcon&amp;quot; src=&amp;quot;https://views-cdn.easyliao.com/view/live-view/v1.8.0.9/images/emoticon/14.png&amp;quot; border=&amp;quot;0&amp;quot;&amp;gt;_x000D_
_x000D_
AI-Lbo0rDBXCyBY 2025-06-27 22:22:07_x000D_
这样，您微信还是电话方便呢？我安排四六级老师联系您，将课程的详细内容介绍给您_x000D_
_x000D_
01000003465900103407734783888156 2025-06-27 22:22:19_x000D_
都可以_x000D_
_x000D_
AI-Lbo0rDBXCyBY 2025-06-27 22:22:23_x000D_
嗯，那您联系方式是多少呢？_x000D_
_x000D_
01000003465900103407734783888156 2025-06-27 22:22:35_x000D_
15209966689_x000D_
_x000D_
AI-Lbo0rDBXCyBY 2025-06-27 22:22:39_x000D_
好的，确认一下你的号码是否正确呢~_x000D_
_x000D_
01000003465900103407734783888156 2025-06-27 22:23:17_x000D_
&amp;lt;img width=&amp;quot;18&amp;quot; class=&amp;quot;jesong_emojiIcon&amp;quot; src=&amp;quot;https://views-cdn.easyliao.com/view/live-view/v1.8.0.9/images/emoticon/08.png&amp;quot; border=&amp;quot;0&amp;quot;&amp;gt;&amp;lt;img width=&amp;quot;18&amp;quot; class=&amp;quot;jesong_emojiIcon&amp;quot; src=&amp;quot;https://views-cdn.easyliao.com/view/live-view/v1.8.0.9/images/emoticon/01.png&amp;quot; border=&amp;quot;0&amp;quot;&amp;gt;_x000D_
_x000D_
AI-Lbo0rDBXCyBY 2025-06-27 22:23:21_x000D_
同学怎么称呼呢？_x000D_
_x000D_
01000003465900103407734783888156 2025-06-27 22:23:27_x000D_
王子淇_x000D_
_x000D_
AI-Lbo0rDBXCyBY 2025-06-27 22:23:30_x000D_
好的，由于今天课程规划老师已经下班了，这边安排老师明天上午9点后给您回电请注意接听~_x000D_
_x000D_
01000003465900103407734783888156 2025-06-27 22:23:36_x000D_
好的_x000D_
_x000D_
AI-Lbo0rDBXCyBY 2025-06-27 22:23:40_x000D_
好的，这个也是您的微信号吗？_x000D_
_x000D_
01000003465900103407734783888156 2025-06-27 22:23:47_x000D_
不是_x000D_
_x000D_
AI-Lbo0rDBXCyBY 2025-06-27 22:23:51_x000D_
好的，那您正确的联系方式是多少呢？_x000D_
_x000D_
01000003465900103407734783888156 2025-06-27 22:24:05_x000D_
wzq20060718_x000D_
_x000D_
AI-Lbo0rDBXCyBY 2025-06-27 22:24:09_x000D_
方便提供一下您的微信吗？到时候微信给您转发资料_x000D_
_x000D_
01000003465900103407734783888156 2025-06-27 22:24:24_x000D_
微信号：wzq20060718_x000D_
_x000D_
AI-Lbo0rDBXCyBY 2025-06-27 22:24:27_x000D_
稍后老师会联系哈_x000D_
_x000D_
来源页：http://m.xdf.cn/city/
备注：</t>
  </si>
  <si>
    <t>2025-06-28 09:38:53</t>
  </si>
  <si>
    <t>王子淇</t>
  </si>
  <si>
    <t>28625598</t>
  </si>
  <si>
    <t>2025-06-28 10:55</t>
  </si>
  <si>
    <t>北京化工大学</t>
  </si>
  <si>
    <t>生命科学与技术学院</t>
  </si>
  <si>
    <t>绿色化工与生物医药</t>
  </si>
  <si>
    <t>2025-06-28 19:44</t>
  </si>
  <si>
    <t>2025-06-28 19:45</t>
  </si>
  <si>
    <t>BJWY1193400422</t>
  </si>
  <si>
    <t>ZVVA260010021</t>
  </si>
  <si>
    <t>回访人：黄智超，回访时间：2025-06-28 10:55，回访内容：电话沟通介绍了集训课程 邀约下午试听课和面谈；|回访人：黄智超，回访时间：2025-06-28 19:44，回访内容：签约</t>
  </si>
  <si>
    <t>116560068</t>
  </si>
  <si>
    <t>2025-06-28 12:51:01</t>
  </si>
  <si>
    <t>邯郸市3744,   13503308441,  咨询四级，高三毕业，只考虑北京 
总部-百度投放</t>
  </si>
  <si>
    <t>白肖然</t>
  </si>
  <si>
    <t>28704057</t>
  </si>
  <si>
    <t>2025-06-28 12:59</t>
  </si>
  <si>
    <t>河北省衡水市滏运中学</t>
  </si>
  <si>
    <t>2025-06-28 18:13</t>
  </si>
  <si>
    <t>2025-06-28 18:14</t>
  </si>
  <si>
    <t>BJWY3127550688</t>
  </si>
  <si>
    <t>YKF250050003</t>
  </si>
  <si>
    <t>回访人：房国超，回访时间：2025-06-28 12:59，回访内容：家长咨询， 学生高中英语90多，邯郸地区的， 在北京有住的地方， 推荐小班学习， 微信详聊；|回访人：房国超，回访时间：2025-06-28 18:13，回访内容：报名小班</t>
  </si>
  <si>
    <t>114447980</t>
  </si>
  <si>
    <t>2025-06-15 14:29:17</t>
  </si>
  <si>
    <t>2025-06-15 14:34:00</t>
  </si>
  <si>
    <t>李宇辰</t>
  </si>
  <si>
    <t>28374075</t>
  </si>
  <si>
    <t>2025-06-15 15:26</t>
  </si>
  <si>
    <t>北京二中朝阳学校</t>
  </si>
  <si>
    <t>2025-06-28 14:17</t>
  </si>
  <si>
    <t>2025-06-28 15:40</t>
  </si>
  <si>
    <t>BJWY5925348128</t>
  </si>
  <si>
    <t>YKF250010012</t>
  </si>
  <si>
    <t>回访人：房国超，回访时间：2025-06-19 18:06，回访内容：估计信号有点卡，家长那边不听你说啥，   说要看孩子自己考虑，   想要紧凑的上课时间，   未留下次联系时间；|回访人：房国超，回访时间：2025-06-26 23:14，回访内容：微信看孩子 上次的试听课回放看了不；|回访人：房国超，回访时间：2025-06-27 17:24，回访内容：微信发送   志愿通 维护；|回访人：房国超，回访时间：2025-06-28 14:17，回访内容：已报名</t>
  </si>
  <si>
    <t>116274427</t>
  </si>
  <si>
    <t>2025-06-26 10:53:34</t>
  </si>
  <si>
    <t>刘晓娟的内部员工推荐工单</t>
  </si>
  <si>
    <t>侯晓帅+houxiaoshuai@xdf.cn+ID+侯晓帅(新东方教育科技集团有限公司-培训学校-北京学校-高中一对一部-东北区-望京分中心 | 课程顾问)</t>
  </si>
  <si>
    <t>郭元涛</t>
  </si>
  <si>
    <t>28610375</t>
  </si>
  <si>
    <t>2025-06-26 21:43</t>
  </si>
  <si>
    <t>北京第六十二中学</t>
  </si>
  <si>
    <t>2025-06-28 13:01</t>
  </si>
  <si>
    <t>BJWY9902266703</t>
  </si>
  <si>
    <t>回访人：刘晓娟，回访时间：2025-06-26 21:43，回访内容：家长给孩子咨询四级线上的课程刚高考完接上无忧的课程；|回访人：刘晓娟，回访时间：2025-06-27 11:37，回访内容：正在填报支援，等填报完就报；|回访人：刘晓娟，回访时间：2025-06-28 13:01，回访内容：报名</t>
  </si>
  <si>
    <t>YKFJ250010012</t>
  </si>
  <si>
    <t>胡若辉</t>
  </si>
  <si>
    <t>116343356</t>
  </si>
  <si>
    <t>梁小东</t>
  </si>
  <si>
    <t>2025-06-26 15:13:29</t>
  </si>
  <si>
    <t>续费原因：学生了解报名六级一对一辛苦老师介绍；该学生为保护期内续费，原顾问：国内大学部-刘文君(liuwenjun6@xdf.cn)</t>
  </si>
  <si>
    <t>梁小东liangxiaodong2@xdf.cn</t>
  </si>
  <si>
    <t>28654167</t>
  </si>
  <si>
    <t>2025-06-26 15:52</t>
  </si>
  <si>
    <t>轻工科学技术学院</t>
  </si>
  <si>
    <t>香料香精技术与工程</t>
  </si>
  <si>
    <t>2025-06-28 10:03</t>
  </si>
  <si>
    <t>2025-06-28 10:27</t>
  </si>
  <si>
    <t>LP1751076198417</t>
  </si>
  <si>
    <t>六级一对一（30H）</t>
  </si>
  <si>
    <t>BJWY6803566765</t>
  </si>
  <si>
    <t>回访人：刘晓娟，回访时间：2025-06-26 15:52，回访内容：六级一对一，本人咨询，暑假想补习，大概7.10开始可以上课，介绍一对一的安排，考虑下</t>
  </si>
  <si>
    <t>朱海润</t>
  </si>
  <si>
    <t>115649238</t>
  </si>
  <si>
    <t>李玉迪</t>
  </si>
  <si>
    <t>2025-06-22 13:21:32</t>
  </si>
  <si>
    <t>续费原因：四级考完续费六级；该学生为保护期内续费，原顾问：国内大学部-刘晓娟(liuxiaojuan@xdf.cn)</t>
  </si>
  <si>
    <t>李玉迪liyudi1@xdf.cn</t>
  </si>
  <si>
    <t>28531211</t>
  </si>
  <si>
    <t>2025-06-22 13:39</t>
  </si>
  <si>
    <t>考研VIP</t>
  </si>
  <si>
    <t>北方工业大学</t>
  </si>
  <si>
    <t>电气与控制工程学院</t>
  </si>
  <si>
    <t>自动化</t>
  </si>
  <si>
    <t>2025-06-28 17:49</t>
  </si>
  <si>
    <t>2025-06-28 17:52</t>
  </si>
  <si>
    <t>LP17511041413451</t>
  </si>
  <si>
    <t>考研一对一伴学班（26考季）</t>
  </si>
  <si>
    <t>BJWY2454733004</t>
  </si>
  <si>
    <t>回访人：刘晓娟，回访时间：2025-06-22 13:39，回访内容：下周六过来面谈，需要全面再规划一下，周六下午16:00</t>
  </si>
  <si>
    <t>VIP - 伴学</t>
  </si>
  <si>
    <t>英语,政治,数学</t>
  </si>
  <si>
    <t>呆瓜</t>
  </si>
  <si>
    <t>115982582</t>
  </si>
  <si>
    <t>2025-06-25 11:08:00</t>
  </si>
  <si>
    <t>逯雅鹏+luyapeng@xdf.cn+342337+产业机构-国际教育培训事业部-国际教育北京中心-运营管理部-中学区域运营中心一区-中关村中学分中心二部
房国超</t>
  </si>
  <si>
    <t>逯雅鹏+luyapeng@xdf.cn+342337+产业机构-国际教育培训事业部-国际教育北京中心-运营管理部-中学区域运营中心一区-中关村中学分中心二部</t>
  </si>
  <si>
    <t>刘祖贺</t>
  </si>
  <si>
    <t>28589822</t>
  </si>
  <si>
    <t>2025-06-25 11:17</t>
  </si>
  <si>
    <t>北京信息职业技术学院</t>
  </si>
  <si>
    <t>电子与信息学院</t>
  </si>
  <si>
    <t>网络安全</t>
  </si>
  <si>
    <t>2025-06-28 16:45</t>
  </si>
  <si>
    <t>BJWY5182847055</t>
  </si>
  <si>
    <t>YKF250040003</t>
  </si>
  <si>
    <t>回访人：房国超，回访时间：2025-06-25 11:17，回访内容：学生咨询， 专升本，先备考校考英语， 1011月考试，推荐一对一 ，嫌贵，后推荐四级小班学习，说要和家长商量；|回访人：房国超，回访时间：2025-06-26 21:04，回访内容：说已经和家长商量好，  四级暑假小班，等这周回家和家长再商量 ；|回访人：房国超，回访时间：2025-06-28 16:45，回访内容：已报名四级小班</t>
  </si>
  <si>
    <t>Sherry</t>
  </si>
  <si>
    <t>115682011</t>
  </si>
  <si>
    <t>2025-06-22 23:01:16</t>
  </si>
  <si>
    <t>张雨白</t>
  </si>
  <si>
    <t>28563171</t>
  </si>
  <si>
    <t>2025-06-23 17:01</t>
  </si>
  <si>
    <t>2025-06-28 16:43</t>
  </si>
  <si>
    <t>2025-06-28 22:43</t>
  </si>
  <si>
    <t>BJWY6774392790</t>
  </si>
  <si>
    <t>YKM250010011</t>
  </si>
  <si>
    <t>回访人：黄智超，回访时间：2025-06-23 17:01，回访内容：电话沟通了家长 目前孩子在学车 主要是时间问题 孩子不知道孩子什么时间学完 预计8月10号后 家长还需要再考虑一下时间 发送微信验证暂未通过；|回访人：黄智超，回访时间：2025-06-27 15:22，回访内容：邀约了明天的试听课，已经报名，明天过来试听课；|回访人：黄智超，回访时间：2025-06-28 16:43，回访内容：签约</t>
  </si>
  <si>
    <t>YKF250010016</t>
  </si>
  <si>
    <t>YK250010010</t>
  </si>
  <si>
    <t>116359573</t>
  </si>
  <si>
    <t>2025-06-26 19:49:34</t>
  </si>
  <si>
    <t>线上四级</t>
  </si>
  <si>
    <t>2025-06-26 20:00:26</t>
  </si>
  <si>
    <t>王钧浩</t>
  </si>
  <si>
    <t>28609991</t>
  </si>
  <si>
    <t>2025-06-26 20:22</t>
  </si>
  <si>
    <t>2025-06-28 12:14</t>
  </si>
  <si>
    <t>BJWY5992971962</t>
  </si>
  <si>
    <t>YKSJ250010005</t>
  </si>
  <si>
    <t>回访人：刘晓娟，回访时间：2025-06-26 20:22，回访内容：孩子母亲咨询刚高考完，成绩大概在130~140左右。想了解四六级线上的课程介绍6级线上无忧计划，再让跟孩子商量一下，然后口语也介绍了一下，可以考虑。；|回访人：刘晓娟，回访时间：2025-06-28 12:14，回访内容：报名</t>
  </si>
  <si>
    <t>北京市7400</t>
  </si>
  <si>
    <t>115754434</t>
  </si>
  <si>
    <t>2025-06-23 12:58:54</t>
  </si>
  <si>
    <t xml:space="preserve">AI-37815-01a 2025-06-23 12:56:10_x000D_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AI-37815-01a 2025-06-23 12:56:12_x000D_
您是想咨询【考研走读班】【考研集训营】【考研规划】还是【在职考研】呢？_x000D_
_x000D_
01000000037815065455710369437400 2025-06-23 12:56:38_x000D_
高三刚毕业，想用暑假提前备考4级_x000D_
_x000D_
AI-37815-01a 2025-06-23 12:56:41_x000D_
您目前在学的院校是哪所呢？_x000D_
_x000D_
01000000037815065455710369437400 2025-06-23 12:57:02_x000D_
没学，考完正在放暑假_x000D_
_x000D_
AI-37815-01a 2025-06-23 12:57:06_x000D_
您目前英语基础如何呢？_x000D_
_x000D_
01000000037815065455710369437400 2025-06-23 12:57:17_x000D_
120分以上_x000D_
_x000D_
AI-37815-01a 2025-06-23 12:57:21_x000D_
这样，您微信还是电话方便呢？我安排四六级老师联系您，将课程的详细内容介绍给您_x000D_
_x000D_
01000000037815065455710369437400 2025-06-23 12:57:37_x000D_
有网页吗？我自己看一下_x000D_
_x000D_
AI-37815-01a 2025-06-23 12:57:41_x000D_
您可以留下您的姓名和电话，我这边可以立刻安排对应校区顾问老师给您回电！_x000D_
_x000D_
01000000037815065455710369437400 2025-06-23 12:57:53_x000D_
13671006142_x000D_
_x000D_
AI-37815-01a 2025-06-23 12:57:57_x000D_
好的，确认一下你的号码是否正确呢~_x000D_
_x000D_
01000000037815065455710369437400 2025-06-23 12:57:59_x000D_
下午2点后_x000D_
_x000D_
AI-37815-01a 2025-06-23 12:58:02_x000D_
这个手机号是您的微信吗？如果不是您可以留一下您的微信号_x000D_
_x000D_
01000000037815065455710369437400 2025-06-23 12:58:21_x000D_
不是微信_x000D_
_x000D_
AI-37815-01a 2025-06-23 12:58:24_x000D_
同学怎么称呼呢？_x000D_
_x000D_
01000000037815065455710369437400 2025-06-23 12:58:45_x000D_
冯同学_x000D_
_x000D_
AI-37815-01a 2025-06-23 12:58:49_x000D_
这边马上安排顾问老师联系您，预计半个小时左右给您回电请注意接听~_x000D_
_x000D_
</t>
  </si>
  <si>
    <t>2025-06-23 14:19:34</t>
  </si>
  <si>
    <t>冯逸帆</t>
  </si>
  <si>
    <t>28542270</t>
  </si>
  <si>
    <t>2025-06-23 15:04</t>
  </si>
  <si>
    <t>北京刘家河中学</t>
  </si>
  <si>
    <t>2025-06-28 15:25</t>
  </si>
  <si>
    <t>BJWY5059755700</t>
  </si>
  <si>
    <t>YKFJ250010015</t>
  </si>
  <si>
    <t>回访人：刘晓娟，回访时间：2025-06-23 15:04，回访内容：孩子母亲哲学学生刚高考完，平时成绩大概120分多一点。家在刘家窑想要了解4级线下的课程，介绍了大班和小班。感觉会有一点远又介绍了一对一的课程，一对一是可以线上的。邀约了本周末的试听课大概率过不来，觉得太远了，家长再考虑一下。；|回访人：刘晓娟，回访时间：2025-06-25 16:29，回访内容：这几天报志愿，有点忙，等报完志愿再说；|回访人：刘晓娟，回访时间：2025-06-28 15:25，回访内容：报名</t>
  </si>
  <si>
    <t>114562873</t>
  </si>
  <si>
    <t>2025-06-16 12:52:41</t>
  </si>
  <si>
    <t xml:space="preserve">咨询四级和大学预科，下午2点以后联系
渠道录入来源：大众点评
事件名称：400电话
大众点评门店名称：新东方考研四六级(知春路校区)
店铺绑定的校区：知春路校区
店铺管理员邮箱：lvmeng2@xdf.cn
备注：2025-06-16 12:52:39,用户在大众点评新东方考研四六级(知春路校区)呼入400电话 已接
</t>
  </si>
  <si>
    <t>程韵文</t>
  </si>
  <si>
    <t>28382828</t>
  </si>
  <si>
    <t>2025-06-16 14:54</t>
  </si>
  <si>
    <t>2025-06-28 14:01</t>
  </si>
  <si>
    <t>2025-06-28 14:10</t>
  </si>
  <si>
    <t>BJWY0945230283</t>
  </si>
  <si>
    <t>YKF250010014</t>
  </si>
  <si>
    <t>回访人：田一禾，回访时间：2025-06-21 12:01，回访内容：邀约试听课未回复，试听课结束后询问感受也未回复。现在暂时无法判断具体意向；|回访人：田一禾，回访时间：2025-06-23 19:03，回访内容：微信介绍各个校区大班授课方案，介绍师资班型，今日让孩子看试听，推进了解进度；|回访人：田一禾，回访时间：2025-06-25 16:28，回访内容：解决价格卡点，优惠卡点，英语成绩128；推荐四级夯实基础，需要提升信任度。；|回访人：田一禾，回访时间：2025-06-28 14:01，回访内容：今日签约，</t>
  </si>
  <si>
    <t>93965734</t>
  </si>
  <si>
    <t>2025-02-06 14:50:51</t>
  </si>
  <si>
    <t>孟祥桐</t>
  </si>
  <si>
    <t>28480386</t>
  </si>
  <si>
    <t>2025-06-20 11:23</t>
  </si>
  <si>
    <t>考研无忧计划</t>
  </si>
  <si>
    <t>北京信息科技大学</t>
  </si>
  <si>
    <t>机电工程学院</t>
  </si>
  <si>
    <t>机器人工程</t>
  </si>
  <si>
    <t>2025-06-28 13:46</t>
  </si>
  <si>
    <t>2025-06-28 13:47</t>
  </si>
  <si>
    <t>WYFE26023</t>
  </si>
  <si>
    <t>考研英语无忧计划蜂鸟（26考研/英二强化）</t>
  </si>
  <si>
    <t>肖信淳</t>
  </si>
  <si>
    <t>BJWY5448403778</t>
  </si>
  <si>
    <t>WYFE260230003</t>
  </si>
  <si>
    <t>回访人：刘晓娟，回访时间：2025-06-20 11:23，回访内容：续费；|回访人：刘晓娟，回访时间：2025-06-20 11:24，回访内容：下个月报英语，插班知春路的，强化和冲刺；|回访人：刘晓娟，回访时间：2025-06-27 15:58，回访内容：周六知春路前台报名；|回访人：刘晓娟，回访时间：2025-06-28 13:46，回访内容：报名</t>
  </si>
  <si>
    <t>数学</t>
  </si>
  <si>
    <t>WYFE26024</t>
  </si>
  <si>
    <t>考研英语无忧计划蜂鸟（26考研/英二冲刺）</t>
  </si>
  <si>
    <t>WYFE260240003</t>
  </si>
  <si>
    <t>uwuu</t>
  </si>
  <si>
    <t>102999096</t>
  </si>
  <si>
    <t>2025-05-19 20:49:36</t>
  </si>
  <si>
    <t>2025财年第12财月小红书</t>
  </si>
  <si>
    <t>何筱璟</t>
  </si>
  <si>
    <t>27962085</t>
  </si>
  <si>
    <t>2025-05-20 18:37</t>
  </si>
  <si>
    <t>对外经济贸易大学</t>
  </si>
  <si>
    <t>国际商学院</t>
  </si>
  <si>
    <t>市场营销</t>
  </si>
  <si>
    <t>2025-06-28 13:49</t>
  </si>
  <si>
    <t>BJWY5797541769</t>
  </si>
  <si>
    <t>WYS250350010</t>
  </si>
  <si>
    <t>回访人：刘晓娟，回访时间：2025-06-24 16:24，回访内容：同步老带新；|回访人：刘晓娟，回访时间：2025-06-28 13:34，回访内容：7.16班级，想报这个，满班了，建议7.28的班级；|回访人：刘晓娟，回访时间：2025-06-28 13:46，回访内容：报名</t>
  </si>
  <si>
    <t>michael</t>
  </si>
  <si>
    <t>103660521</t>
  </si>
  <si>
    <t>2025-05-24 21:53:52</t>
  </si>
  <si>
    <t>晁亦菲</t>
  </si>
  <si>
    <t>28010851</t>
  </si>
  <si>
    <t>2025-05-25 10:13</t>
  </si>
  <si>
    <t>河南师范大学</t>
  </si>
  <si>
    <t>体育学院</t>
  </si>
  <si>
    <t>体育运动</t>
  </si>
  <si>
    <t>2025-06-28 12:19</t>
  </si>
  <si>
    <t>2025-06-28 12:21</t>
  </si>
  <si>
    <t>BJWY3879195130</t>
  </si>
  <si>
    <t>WYF250320009</t>
  </si>
  <si>
    <t>回访人：张博奥，回访时间：2025-06-24 18:07，回访内容：电话未接通，孩子母亲这边没回消息，暂缓跟进，长期维护；|回访人：张博奥，回访时间：2025-06-28 12:19，回访内容：已付款</t>
  </si>
  <si>
    <t>家长和孩子比较着急先拿到40小时先导课，麻烦学管老师尽快联系</t>
  </si>
  <si>
    <t>高子雄妈妈</t>
  </si>
  <si>
    <t>116390387</t>
  </si>
  <si>
    <t>2025-06-27 09:29:14</t>
  </si>
  <si>
    <t>刘洪政+liuhongzheng@xdf.cn+培训学校-西安学校-高中一对一部-一对一部-北区
今年高考毕业咨询大学四六级</t>
  </si>
  <si>
    <t>刘洪政+liuhongzheng@xdf.cn+培训学校-西安学校-高中一对一部-一对一部-北区</t>
  </si>
  <si>
    <t>高子雄</t>
  </si>
  <si>
    <t>28660991</t>
  </si>
  <si>
    <t>2025-06-27 11:10</t>
  </si>
  <si>
    <t>2025-06-28 11:57</t>
  </si>
  <si>
    <t>2025-06-28 15:23</t>
  </si>
  <si>
    <t>XDF022317204751333</t>
  </si>
  <si>
    <t>YKFJ250010013</t>
  </si>
  <si>
    <t>回访人：黄智超，回访时间：2025-06-27 11:10，回访内容：家长给孩子规划，推荐了全科，家长想让孩子学，目前接受四六级和高数线上学，口语线下学，需要晚点沟通孩子的想法；|回访人：黄智超，回访时间：2025-06-28 11:57，回访内容：签约</t>
  </si>
  <si>
    <t>YKMJ250010007</t>
  </si>
  <si>
    <t>YK250010009</t>
  </si>
  <si>
    <t>曹可心</t>
  </si>
  <si>
    <t>116523681</t>
  </si>
  <si>
    <t>2025-06-28 09:33:30</t>
  </si>
  <si>
    <t xml:space="preserve">陈婷+chenting30@xdf.cn+ID+培训学校-北京学校-高中一对一部-西北区-知春路分中心
</t>
  </si>
  <si>
    <t>陈婷+chenting30@xdf.cn+ID+培训学校-北京学校-高中一对一部-西北区-知春路分中心</t>
  </si>
  <si>
    <t>曹可欣</t>
  </si>
  <si>
    <t>28672317</t>
  </si>
  <si>
    <t>2025-06-28 11:02</t>
  </si>
  <si>
    <t>门头沟区大峪中学</t>
  </si>
  <si>
    <t>2025-06-28 11:56</t>
  </si>
  <si>
    <t>2025-06-29 18:17</t>
  </si>
  <si>
    <t>BJWY0863704463</t>
  </si>
  <si>
    <t>YKF250010013</t>
  </si>
  <si>
    <t>回访人：黄智超，回访时间：2025-06-28 11:02，回访内容：家长意向报名大预暑假四级2班，花园桥校区，看看优惠 老学员了争取一下；|回访人：黄智超，回访时间：2025-06-28 11:56，回访内容：签约</t>
  </si>
  <si>
    <t>孩子先入到魏公村四级1班 一班开课前要转到花园桥的四级2班 （班号：YKF25002）辛苦老师</t>
  </si>
  <si>
    <t>程家长</t>
  </si>
  <si>
    <t>116401579</t>
  </si>
  <si>
    <t>2025-06-27 11:35:51</t>
  </si>
  <si>
    <t>辛苦老师私信我</t>
  </si>
  <si>
    <t>学管转介绍</t>
  </si>
  <si>
    <t>黄小妹huangxiaomei7@xdf.cn</t>
  </si>
  <si>
    <t>张嘉懿</t>
  </si>
  <si>
    <t>28662402</t>
  </si>
  <si>
    <t>2025-06-27 12:22</t>
  </si>
  <si>
    <t>西安市西城中学</t>
  </si>
  <si>
    <t>2025-06-28 11:55</t>
  </si>
  <si>
    <t>黄小妹</t>
  </si>
  <si>
    <t>BJWY7254640234</t>
  </si>
  <si>
    <t>YKF250040002</t>
  </si>
  <si>
    <t>回访人：刘晓娟，回访时间：2025-06-27 12:22，回访内容：新大一，的四级小班，介绍师资，比较关心，介绍师资的情况，母亲咨询，介绍月底的优惠；|回访人：刘晓娟，回访时间：2025-06-28 11:55，回访内容：报名</t>
  </si>
  <si>
    <t>刘雨璐</t>
  </si>
  <si>
    <t>115859556</t>
  </si>
  <si>
    <t>刘畅</t>
  </si>
  <si>
    <t>2025-06-23 17:32:53</t>
  </si>
  <si>
    <t>续费原因：学生了解六级线上暑假班【要求微信联系】【流转原顾问】；该学生为保护期外续费，原顾问部门：国内大学部</t>
  </si>
  <si>
    <t>刘畅liuchang778@xdf.cn</t>
  </si>
  <si>
    <t>28573488</t>
  </si>
  <si>
    <t>2025-06-24 17:16</t>
  </si>
  <si>
    <t>2025-06-28 10:29</t>
  </si>
  <si>
    <t>BJWY3672853625</t>
  </si>
  <si>
    <t>WYSJ250330027</t>
  </si>
  <si>
    <t>回访人：刘晓娟，回访时间：2025-06-24 17:16，回访内容：学生本人咨询，六级线上的课程，想了解下，介绍线上的课程安排，晚上看看；|回访人：刘晓娟，回访时间：2025-06-27 15:25，回访内容：微信留言，确认意向；|回访人：刘晓娟，回访时间：2025-06-28 10:29，回访内容：报名</t>
  </si>
  <si>
    <t>牛佳玥</t>
  </si>
  <si>
    <t>116397662</t>
  </si>
  <si>
    <t>2025-06-27 10:50:07</t>
  </si>
  <si>
    <t>续费原因：续费六级班课；该学生为保护期外续费，原顾问部门：国内大学部</t>
  </si>
  <si>
    <t>28620889</t>
  </si>
  <si>
    <t>2025-06-27 10:53</t>
  </si>
  <si>
    <t>信息学部</t>
  </si>
  <si>
    <t>物联网工程</t>
  </si>
  <si>
    <t>BJWY3187277756</t>
  </si>
  <si>
    <t>WYSJ250330026</t>
  </si>
  <si>
    <t>2025-06-27</t>
  </si>
  <si>
    <t>回访人：刘晓娟，回访时间：2025-06-27 10:53，回访内容：六级，老生，报名</t>
  </si>
  <si>
    <t>116378947</t>
  </si>
  <si>
    <t>2025-06-26 18:05:24</t>
  </si>
  <si>
    <t xml:space="preserve">咨询六级线下班
渠道录入来源：大众点评
事件名称：400电话
大众点评门店名称：新东方考研四六级(知春路校区)
店铺绑定的校区：知春路校区
店铺管理员邮箱：lvmeng2@xdf.cn
备注：2025-06-26 18:05:23,用户在大众点评新东方考研四六级(知春路校区)呼入400电话 已接
</t>
  </si>
  <si>
    <t>张鹤严</t>
  </si>
  <si>
    <t>28609146</t>
  </si>
  <si>
    <t>2025-06-26 18:41</t>
  </si>
  <si>
    <t>信息与计算科学</t>
  </si>
  <si>
    <t>2025-06-27 10:26</t>
  </si>
  <si>
    <t>BJWY7320424450</t>
  </si>
  <si>
    <t>WYS250350003</t>
  </si>
  <si>
    <t>回访人：刘晓娟，回访时间：2025-06-26 18:41，回访内容：孩子母亲咨询，自己再网上看了六级暑假的课程，想了解大班和小班的安排好和区别，介绍；|回访人：刘晓娟，回访时间：2025-06-27 10:26，回访内容：报名</t>
  </si>
  <si>
    <t>王翔宇</t>
  </si>
  <si>
    <t>116457240</t>
  </si>
  <si>
    <t>2025-06-27 18:17:20</t>
  </si>
  <si>
    <t>黄智超；</t>
  </si>
  <si>
    <t>陈南西</t>
  </si>
  <si>
    <t>28669942</t>
  </si>
  <si>
    <t>2025-06-27 19:20</t>
  </si>
  <si>
    <t>艺术学院</t>
  </si>
  <si>
    <t>视觉传达设计</t>
  </si>
  <si>
    <t>2025-06-27 20:37</t>
  </si>
  <si>
    <t>WYF25031</t>
  </si>
  <si>
    <t>BJWY2524523846</t>
  </si>
  <si>
    <t>WYF250310032</t>
  </si>
  <si>
    <t xml:space="preserve">回访人：黄智超，回访时间：2025-06-27 19:20，回访内容：签约；|回访人：黄智超，回访时间：2025-06-28 18:08，回访内容：已经缴费 发送赠送课程进行学习 </t>
  </si>
  <si>
    <t>114217589</t>
  </si>
  <si>
    <t>2025-06-13 14:24:02</t>
  </si>
  <si>
    <t>家长，孩子大二，想暑假学习下四级辅导，问下线下地址，方便回电</t>
  </si>
  <si>
    <t>2025-06-13 15:01:11</t>
  </si>
  <si>
    <t>28325379</t>
  </si>
  <si>
    <t>2025-06-13 15:53</t>
  </si>
  <si>
    <t>2025-06-27 19:04</t>
  </si>
  <si>
    <t>2025-06-27 19:05</t>
  </si>
  <si>
    <t>BJWY9039935995</t>
  </si>
  <si>
    <t>WYF250310031</t>
  </si>
  <si>
    <t>回访人：黄智超，回访时间：2025-06-20 11:32，回访内容：家长暂未接听电话，昨晚发了试听课让孩子听 ；|回访人：黄智超，回访时间：2025-06-21 10:34，回访内容：电话无人接听 微信沟通暂未回复；|回访人：黄智超，回访时间：2025-06-21 17:10，回访内容：电话未接；|回访人：黄智超，回访时间：2025-06-22 19:05，回访内容：家长未回复试听课的反馈 后续继续跟进看看；|回访人：黄智超，回访时间：2025-06-26 13:05，回访内容：给家长介绍了课程的整体内容，时间，校区位置，家长再沟通一下孩子的想法；|回访人：黄智超，回访时间：2025-06-27 18:30，回访内容：签约；|回访人：黄智超，回访时间：2025-06-27 18:36，回访内容：黄智超进行了退单操作!(本条回访记录由系统自动记录)；|回访人：黄智超，回访时间：2025-06-27 19:04，回访内容：签约</t>
  </si>
  <si>
    <t>北京市8508</t>
  </si>
  <si>
    <t>116192703</t>
  </si>
  <si>
    <t>2025-06-26 13:31:52</t>
  </si>
  <si>
    <t>渠道录入来源：新东方官网M站-客服
意向城市：北京访客省/城市：北京市
访客静态ID：01000000034659091557390469628508
接待分组ID：70455
搜索引擎：
搜索词：
关键词：
设备类型：phone
访客IP：221.222.21.243
对话详细内容：AI-Lbo0rDBXCyBY 2025-06-26 13:26:15_x000D_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2025-06-26 13:26:18_x000D_
您是想咨询【线下课程】【线上课程】【考研规划】还是【在职考研】呢？**【线下课程】#  **【线上课程】#**【考研规划】#**【在职考研】#_x000D_
_x000D_
01000000034659091557390469628508 2025-06-26 13:26:38_x000D_
您好，咱们有大学英语四级线下辅导班吗_x000D_
_x000D_
AI-Lbo0rDBXCyBY 2025-06-26 13:26:42_x000D_
考研对四六级一般没有明确要求，个别学校可能会单独规定需要四级/六级成绩。_x000D_
_x000D_
AI-Lbo0rDBXCyBY 2025-06-26 13:26:43_x000D_
您目前在学的院校是哪所呢？_x000D_
_x000D_
01000000034659091557390469628508 2025-06-26 13:27:18_x000D_
我是帮一个朋友的孩子问的，您这儿有相关老师的联系方式吗，孩子现在是想过四级_x000D_
_x000D_
AI-Lbo0rDBXCyBY 2025-06-26 13:27:21_x000D_
这边是在线客服，可以留下你的电话，我们立刻回复您，你号码多少呢？_x000D_
_x000D_
01000000034659091557390469628508 2025-06-26 13:27:44_x000D_
我问问孩子。我让孩子直接跟您联系_x000D_
_x000D_
AI-Lbo0rDBXCyBY 2025-06-26 13:27:48_x000D_
这样，您微信还是电话方便呢？我安排四六级老师联系您，将课程的详细内容介绍给您_x000D_
_x000D_
AI-Lbo0rDBXCyBY 2025-06-26 13:28:25_x000D_
您好，能看到我的对话吗？如有疑问，可以在此留电咨询！_x000D_
_x000D_
AI-Lbo0rDBXCyBY 2025-06-26 13:28:45_x000D_
如果打字不方便，可以在此输入电话或者微信，这边安排老师与您联系，为您详细解答！_x000D_
_x000D_
01000000034659091557390469628508 2025-06-26 13:28:55_x000D_
您稍等，我刚问孩子电话_x000D_
_x000D_
AI-Lbo0rDBXCyBY 2025-06-26 13:28:59_x000D_
同学，我这边是总部咨询，你说一下你的联系方式，我这边安排老师跟您联系呢~_x000D_
_x000D_
AI-Lbo0rDBXCyBY 2025-06-26 13:29:36_x000D_
您好，能看到我的对话吗？如有疑问，可以在此留电咨询！_x000D_
_x000D_
01000000034659091557390469628508 2025-06-26 13:29:50_x000D_
微信号：zhk2468841168_x000D_
_x000D_
AI-Lbo0rDBXCyBY 2025-06-26 13:29:53_x000D_
好的，确认一下您的号码是否正确呢？_x000D_
_x000D_
01000000034659091557390469628508 2025-06-26 13:30:06_x000D_
这是微信号_x000D_
_x000D_
AI-Lbo0rDBXCyBY 2025-06-26 13:30:10_x000D_
同学怎么称呼呢？_x000D_
_x000D_
01000000034659091557390469628508 2025-06-26 13:30:21_x000D_
姓张_x000D_
_x000D_
AI-Lbo0rDBXCyBY 2025-06-26 13:30:24_x000D_
这边马上安排顾问老师联系您，预计半个小时左右给您回电请注意接听~_x000D_
_x000D_
01000000034659091557390469628508 2025-06-26 13:30:27_x000D_
张洪恺_x000D_
_x000D_
AI-Lbo0rDBXCyBY 2025-06-26 13:30:31_x000D_
好的，请问还有其他问题需要咨询吗？_x000D_
_x000D_
01000000034659091557390469628508 2025-06-26 13:30:39_x000D_
暂时没有了_x000D_
_x000D_
AI-Lbo0rDBXCyBY 2025-06-26 13:30:42_x000D_
好的，稍后与您取得联系，请耐心等待。感谢您的访问 祝您生活愉快！_x000D_
_x000D_
_x000D_
来源页：https://click.xdf.cn/
备注：</t>
  </si>
  <si>
    <t>2025-06-26 17:27:35</t>
  </si>
  <si>
    <t>张洪恺</t>
  </si>
  <si>
    <t>28609355</t>
  </si>
  <si>
    <t>2025-06-26 18:57</t>
  </si>
  <si>
    <t>食品与健康学院</t>
  </si>
  <si>
    <t>食品质量与安全</t>
  </si>
  <si>
    <t>2025-06-27 14:15</t>
  </si>
  <si>
    <t>2025-06-27 14:16</t>
  </si>
  <si>
    <t>BJWY7659128171</t>
  </si>
  <si>
    <t>WYF250310030</t>
  </si>
  <si>
    <t>回访人：刘晓娟，回访时间：2025-06-26 18:57，回访内容：本人咨询，基础一般，想了解四级线下的课程，预算2万，一对一，建议班课和一对一结合，考虑下；|回访人：刘晓娟，回访时间：2025-06-27 14:15，回访内容：报名</t>
  </si>
  <si>
    <t>28674741</t>
  </si>
  <si>
    <t>2025-06-27 13:39</t>
  </si>
  <si>
    <t>WYS25031</t>
  </si>
  <si>
    <t>WYS250310054</t>
  </si>
  <si>
    <t>回访人：刘晓娟，回访时间：2025-06-27 13:39，回访内容：转班；|回访人：刘晓娟，回访时间：2025-06-27 13:39，回访内容：转班</t>
  </si>
  <si>
    <t>李卓凡家长</t>
  </si>
  <si>
    <t>116218681</t>
  </si>
  <si>
    <t>曹晗曦</t>
  </si>
  <si>
    <t>2025-06-25 18:16:56</t>
  </si>
  <si>
    <t>【tmk合作徐利霞】家长咨询暑期六级提高班，在北京，要小班，一对一觉得贵，加微信介绍</t>
  </si>
  <si>
    <t>2025-06-25 18:30:23</t>
  </si>
  <si>
    <t>李卓凡</t>
  </si>
  <si>
    <t>28647031</t>
  </si>
  <si>
    <t>2025-06-25 19:31</t>
  </si>
  <si>
    <t>中国人民警察大学</t>
  </si>
  <si>
    <t>公安学系</t>
  </si>
  <si>
    <t>涉外警务</t>
  </si>
  <si>
    <t>2025-06-27 14:25</t>
  </si>
  <si>
    <t>2025-06-27 17:09</t>
  </si>
  <si>
    <t>BJWY8823602177</t>
  </si>
  <si>
    <t>WYS250350005</t>
  </si>
  <si>
    <t>回访人：黄智超，回访时间：2025-06-25 19:31，回访内容：家长比较重视孩子的学习 孩子现在在大学考试呢 需要沟通孩子的想法 介绍了暑假的六级大班和小班 孩子沟通一下孩子；|回访人：黄智超，回访时间：2025-06-26 17:10，回访内容：给卓凡妈妈打了电话 目前比较纠结的2个点是：1大班课程人数多 2小班课程时间长 目前孩子还在考试（期末考试周） 需要沟通孩子想法 给家长发了六级二班的具体信息 家长再给孩子渗透渗透；|回访人：黄智超，回访时间：2025-06-27 14:25，回访内容：签约</t>
  </si>
  <si>
    <t>赵女士</t>
  </si>
  <si>
    <t>116254301</t>
  </si>
  <si>
    <t>2025-06-25 22:41:51</t>
  </si>
  <si>
    <t>大一家长咨询四级暑期线下，介绍完了，今晚确定，顾问老师收到资源后可以先不用联系【张志威公众号】</t>
  </si>
  <si>
    <t>曹航嘉</t>
  </si>
  <si>
    <t>28605874</t>
  </si>
  <si>
    <t>2025-06-26 16:21</t>
  </si>
  <si>
    <t>上海体育学院</t>
  </si>
  <si>
    <t>体育新闻传播与外语学院</t>
  </si>
  <si>
    <t>新闻学</t>
  </si>
  <si>
    <t>2025-06-27 13:27</t>
  </si>
  <si>
    <t>2025-06-27 13:29</t>
  </si>
  <si>
    <t>BJWY5222606260</t>
  </si>
  <si>
    <t>WYF250310029</t>
  </si>
  <si>
    <t>回访人：房国超，回访时间：2025-06-26 16:21，回访内容：已和家长发了暑假课程介绍，要等孩子晚上回来商量；|回访人：房国超，回访时间：2025-06-27 13:27，回访内容：已报名四级走读大班</t>
  </si>
  <si>
    <t>吴雨珩</t>
  </si>
  <si>
    <t>107967530</t>
  </si>
  <si>
    <t>2025-06-04 08:41:59</t>
  </si>
  <si>
    <t>来源:北京百学汇;【FY25已报名】金额：28800.00元，报了【FY25高端/一对一】</t>
  </si>
  <si>
    <t>2025-06-17 19:17:51</t>
  </si>
  <si>
    <t>28424220</t>
  </si>
  <si>
    <t>2025-06-18 16:49</t>
  </si>
  <si>
    <t>北京市第五十五中学</t>
  </si>
  <si>
    <t>2025-06-27 13:15</t>
  </si>
  <si>
    <t>2025-06-28 14:15</t>
  </si>
  <si>
    <t>BJWY3637507615</t>
  </si>
  <si>
    <t>YKF250050002</t>
  </si>
  <si>
    <t>回访人：房国超，回访时间：2025-06-18 16:49，回访内容：家长咨询 高三，  由于脱托福雅思 和 四六级课程安排，   发了四六级课程介绍，微信详聊；|回访人：房国超，回访时间：2025-06-20 19:16，回访内容：邀约试听  未回复 ；|回访人：房国超，回访时间：2025-06-22 21:08，回访内容：微信留言 看回放看了不 ；|回访人：房国超，回访时间：2025-06-26 22:56，回访内容：微信 语音，家长想补英语口语和听力 ，学生要去中外合办的院校上课 ；|回访人：房国超，回访时间：2025-06-27 13:15，回访内容：报名 小班和高数班</t>
  </si>
  <si>
    <t>四级小班和高数联报， 英语110左右，数学120左右</t>
  </si>
  <si>
    <t>YKM250010009</t>
  </si>
  <si>
    <t>朱林祺</t>
  </si>
  <si>
    <t>108456553</t>
  </si>
  <si>
    <t>2025-06-04 16:53:30</t>
  </si>
  <si>
    <t>来源:北京学校;</t>
  </si>
  <si>
    <t>2025-06-26 16:43:26</t>
  </si>
  <si>
    <t>宁从心</t>
  </si>
  <si>
    <t>28656221</t>
  </si>
  <si>
    <t>2025-06-26 17:22</t>
  </si>
  <si>
    <t>北京市第二十中学</t>
  </si>
  <si>
    <t>2025-06-26 19:50</t>
  </si>
  <si>
    <t>BJWY3979239866</t>
  </si>
  <si>
    <t>YKFJ250010011</t>
  </si>
  <si>
    <t>回访人：房国超，回访时间：2025-06-26 17:22，回访内容：学生咨询， 高考英语113， 7到8月有出去玩打算， 倾向于直播课，微信详聊；|回访人：房国超，回访时间：2025-06-26 19:50，回访内容：已报名</t>
  </si>
  <si>
    <t>116189654</t>
  </si>
  <si>
    <t>2025-06-26 10:25:31</t>
  </si>
  <si>
    <t>刘洁   13520679203   英语四级补习班   北京海淀清河</t>
  </si>
  <si>
    <t>2025-06-26 12:08:16</t>
  </si>
  <si>
    <t>高玥</t>
  </si>
  <si>
    <t>28652431</t>
  </si>
  <si>
    <t>2025-06-26 14:38</t>
  </si>
  <si>
    <t>2025-06-26 15:37</t>
  </si>
  <si>
    <t>BJWY7220512022</t>
  </si>
  <si>
    <t>WYSJ250330025</t>
  </si>
  <si>
    <t>回访人：李政，回访时间：2025-06-26 14:38，回访内容：了解班课，住清河，家长意向大班，要问孩子的意见
没有人一起学习；|回访人：李政，回访时间：2025-06-26 15:37，回访内容：签约</t>
  </si>
  <si>
    <t>曹圣依</t>
  </si>
  <si>
    <t>116299572</t>
  </si>
  <si>
    <t>2025-06-26 13:06:51</t>
  </si>
  <si>
    <t>李政79的内部员工推荐工单</t>
  </si>
  <si>
    <t>唐雅楠+tangyanan5@xdf.cn+372934+产业机构-国际教育培训事业部-国际教育北京中心-运营管理部-中学区域运营中心一区-中关村中学分中心二部</t>
  </si>
  <si>
    <t>28651392</t>
  </si>
  <si>
    <t>2025-06-26 13:09</t>
  </si>
  <si>
    <t>机器人学院</t>
  </si>
  <si>
    <t>电子信息工程</t>
  </si>
  <si>
    <t>2025-06-26 13:37</t>
  </si>
  <si>
    <t>2025-06-26 14:02</t>
  </si>
  <si>
    <t>BJWY0002906494</t>
  </si>
  <si>
    <t>WYS250350001</t>
  </si>
  <si>
    <t>回访人：李政，回访时间：2025-06-26 13:09，回访内容：签约；|回访人：李政，回访时间：2025-06-26 13:37，回访内容：签约</t>
  </si>
  <si>
    <t>何莹</t>
  </si>
  <si>
    <t>115986081</t>
  </si>
  <si>
    <t>2025-06-24 12:02:17</t>
  </si>
  <si>
    <t>家长咨询暑期四级线下班【张志威公众号】</t>
  </si>
  <si>
    <t>李俊豪</t>
  </si>
  <si>
    <t>28550250</t>
  </si>
  <si>
    <t>2025-06-24 12:18</t>
  </si>
  <si>
    <t>公共管理学部</t>
  </si>
  <si>
    <t>2025-06-26 19:07</t>
  </si>
  <si>
    <t>2025-06-26 19:08</t>
  </si>
  <si>
    <t>BJWY5031873359</t>
  </si>
  <si>
    <t>WYFJ250330019</t>
  </si>
  <si>
    <t>回访人：刘晓娟，回访时间：2025-06-24 12:18，回访内容：母亲咨询，孩子在北城上学，家在五道口，高考英语100来分，6月没考四级，介绍四级小班；|回访人：刘晓娟，回访时间：2025-06-26 16:08，回访内容：确认是否过来试听，等回复；|回访人：刘晓娟，回访时间：2025-06-26 19:07，回访内容：报名</t>
  </si>
  <si>
    <t>靳炫文同学</t>
  </si>
  <si>
    <t>116296820</t>
  </si>
  <si>
    <t>2025-06-26 11:19:48</t>
  </si>
  <si>
    <t>知春路直访，家长留完联系方式就走了</t>
  </si>
  <si>
    <t>靳炫文</t>
  </si>
  <si>
    <t>28650044</t>
  </si>
  <si>
    <t>2025-06-26 11:38</t>
  </si>
  <si>
    <t>北京市师达中学</t>
  </si>
  <si>
    <t>2025-06-26 16:00</t>
  </si>
  <si>
    <t>2025-06-26 16:11</t>
  </si>
  <si>
    <t>LP17509248481721</t>
  </si>
  <si>
    <t>四级一对一畅学班（50H）</t>
  </si>
  <si>
    <t>BJWY7039177526</t>
  </si>
  <si>
    <t>回访人：李政，回访时间：2025-06-26 11:38，回访内容：家长咨询，意向一对一，加微信发课程详细内容，孩子时间比较有限，推荐50小时；|回访人：李政，回访时间：2025-06-26 16:11，回访内容：签约</t>
  </si>
  <si>
    <t>jessie</t>
  </si>
  <si>
    <t>114710214</t>
  </si>
  <si>
    <t>2025-06-16 20:38:10</t>
  </si>
  <si>
    <t>【王朝群】咨询六级一对一</t>
  </si>
  <si>
    <t>宫骏</t>
  </si>
  <si>
    <t>28408183</t>
  </si>
  <si>
    <t>2025-06-17 10:03</t>
  </si>
  <si>
    <t>中国人民大学</t>
  </si>
  <si>
    <t>统计学院</t>
  </si>
  <si>
    <t>统计学</t>
  </si>
  <si>
    <t>2025-06-26 15:29</t>
  </si>
  <si>
    <t>LP17509229621592</t>
  </si>
  <si>
    <t>六级一对一（定制30H）</t>
  </si>
  <si>
    <t>BJWY7210563803</t>
  </si>
  <si>
    <t>回访人：宋增辉，回访时间：2025-06-17 10:04，回访内容：家长住昌平，孩子暑假时间不定，意向一对一，更偏向于定制老师，想来校区参观具体时间不定，让孩子做一下六级题测试一下，看一下孩子情况怎么样；|回访人：宋增辉，回访时间：2025-06-21 19:25，回访内容：要看孩子做题情况，选择学习哪些内容和课时
总结：家长确认收到信息，并表示等孩子有时间完成题目后再联系。同时，家长提到孩子在周末是否有做题，并询问关于一对一课程体系和安排的信息，表示会重新发送相关材料。
下次回访建议：在下次联系时，可以确认孩子是否已经完成题目，并询问家长对一对一课程体系和安排的看法或疑问，进一步了解家长的需求和期望，以便提供更个性化的服务。；|回访人：宋增辉，回访时间：2025-06-24 14:14，回访内容：六级一对一，模拟卷做了，规划了20小时一对一，今天家长不方便沟通，约好明天下午电话沟通
总结：孩子目前的英语六级水平总分为564分，听力表现较好，写作和翻译存在一些语法问题，阅读部分需要加强，特别是在长难句理解和选项匹配方面。建议通过20小时的课程来提升，其中12小时专注于阅读，8小时用于听力、写作和翻译的训练。课程可以灵活安排线上进行。
下次回访建议：在下次回访时，可以详细讨论孩子的具体学习进度和课程安排，确保课程内容针对性强，同时关注孩子在阅读和语法方面的改进情况。此外，确认孩子对线上课程的适应情况，并根据实际效果调整教学计划。；|回访人：宋增辉，回访时间：2025-06-25 13:42，回访内容：家长要求定制vip老师一对一，明确要求时间8.5号以后，可以报名；|回访人：宋增辉，回访时间：2025-06-26 15:04，回访内容：已报名；|回访人：宋增辉，回访时间：2025-06-26 15:04，回访内容：宋增辉进行了退单操作!(本条回访记录由系统自动记录)；|回访人：宋增辉，回访时间：2025-06-26 15:36，回访内容：已报名
总结：宫骏在英语学习中表现不错，尤其是主观题和听力部分，但阅读和语法方面需要加强。建议通过20小时的课程（12小时阅读，8小时听力、写作和翻译）来提高成绩，目标分数为620分。课程可以线上进行，时间灵活。已签署培训协议，费用为33500元，包含1000元优惠。课程从8月5日开始，具体时间安排将由学管老师通知。
下次回访建议：1. 确认课程安排和时间表是否合适；2. 询问宫骏对课程的初步反馈，特别是阅读部分的进展；3. 确认是否需要调整课程内容或更换老师；4. 提醒家长注意转退班制度的具体条款。</t>
  </si>
  <si>
    <t>张语瞳同学</t>
  </si>
  <si>
    <t>116253781</t>
  </si>
  <si>
    <t>2025-06-25 21:52:36</t>
  </si>
  <si>
    <t>杨晓超的内部员工推荐工单</t>
  </si>
  <si>
    <t>张越越+zhangyueyue9@xdf.cn+341756+产业机构-国际教育培训事业部-国际教育北京中心-运营管理部-大学区域运营中心-水清大学分中心</t>
  </si>
  <si>
    <t>张语瞳</t>
  </si>
  <si>
    <t>28599642</t>
  </si>
  <si>
    <t>2025-06-26 10:09</t>
  </si>
  <si>
    <t>其他院校未告知</t>
  </si>
  <si>
    <t>其他院系未告知</t>
  </si>
  <si>
    <t>其他专业未告知</t>
  </si>
  <si>
    <t>2025-06-26 14:49</t>
  </si>
  <si>
    <t>2025-06-26 20:35</t>
  </si>
  <si>
    <t>BJWY9093550918</t>
  </si>
  <si>
    <t xml:space="preserve">回访人：杨晓超，回访时间：2025-06-26 10:09，回访内容：六级课程沟通 ；|回访人：杨晓超，回访时间：2025-06-26 14:49，回访内容：签约 </t>
  </si>
  <si>
    <t>马伊诺</t>
  </si>
  <si>
    <t>108948667</t>
  </si>
  <si>
    <t>2025-06-05 07:36:28</t>
  </si>
  <si>
    <t>来源:北京学校;【FY25已报名】金额：7412.00元，报了【FY25高端/一对一】</t>
  </si>
  <si>
    <t>2025-06-17 17:22:27</t>
  </si>
  <si>
    <t>28535888</t>
  </si>
  <si>
    <t>2025-06-22 18:10</t>
  </si>
  <si>
    <t>2025-06-25 15:52</t>
  </si>
  <si>
    <t>2025-06-25 15:54</t>
  </si>
  <si>
    <t>BJWY6880863458</t>
  </si>
  <si>
    <t>YKF250010011</t>
  </si>
  <si>
    <t>回访人：张博奥，回访时间：2025-06-22 18:10，回访内容：今日与孩子家长在电话中取得了有效联系，孩子家长意向暑假预科四级大班课，持续跟进；|回访人：张博奥，回访时间：2025-06-25 15:52，回访内容：已缴费</t>
  </si>
  <si>
    <t>学生报的是YKF25002第二期花园桥校区7.21-8.2的四级预科，请学管老师安排入班</t>
  </si>
  <si>
    <t>王艺霏</t>
  </si>
  <si>
    <t>114871245</t>
  </si>
  <si>
    <t>2025-06-17 21:28:31</t>
  </si>
  <si>
    <t>家长咨询四级暑期课</t>
  </si>
  <si>
    <t>28426707</t>
  </si>
  <si>
    <t>2025-06-18 19:25</t>
  </si>
  <si>
    <t>2025-06-25 13:36</t>
  </si>
  <si>
    <t>BJWY6664634220</t>
  </si>
  <si>
    <t>YKF250010009</t>
  </si>
  <si>
    <t>回访人：李政，回访时间：2025-06-18 19:25，回访内容：孩子不想学习太久，推荐大班，试听课已经邀约，家长看时间参加
微信已经添加
先自己听听看再带新人一起来
；|回访人：李政，回访时间：2025-06-22 17:14，回访内容：没参加试听课，发送回放没看；|回访人：李政，回访时间：2025-06-23 16:05，回访内容：考虑考虑，不想多沟通直接挂了；|回访人：李政，回访时间：2025-06-25 13:36，回访内容：签约</t>
  </si>
  <si>
    <t>胡家任</t>
  </si>
  <si>
    <t>114759509</t>
  </si>
  <si>
    <t>2025-06-17 10:16:35</t>
  </si>
  <si>
    <t>家长咨询暑期四级</t>
  </si>
  <si>
    <t>胡柄泽</t>
  </si>
  <si>
    <t>28389809</t>
  </si>
  <si>
    <t>2025-06-17 11:28</t>
  </si>
  <si>
    <t>北京市朝阳外国语学校（高中部）</t>
  </si>
  <si>
    <t>2025-06-25 12:07</t>
  </si>
  <si>
    <t>BJWY4351104708</t>
  </si>
  <si>
    <t>YKFJ250010008</t>
  </si>
  <si>
    <t>回访人：房国超，回访时间：2025-06-17 11:29，回访内容：家长咨询，预科，高三， 之前英语110~126波动， 学生不喜欢学习英语， 微信详聊；|回访人：房国超，回访时间：2025-06-19 18:48，回访内容：家长说已经找了 3人啦，  想凑齐5个人 报名， ；|回访人：房国超，回访时间：2025-06-22 21:05，回访内容：已储值4880，等待5人团；|回访人：房国超，回访时间：2025-06-25 12:07，回访内容：已签约</t>
  </si>
  <si>
    <t>李先生</t>
  </si>
  <si>
    <t>113460855</t>
  </si>
  <si>
    <t>2025-06-09 17:46:08</t>
  </si>
  <si>
    <t xml:space="preserve">渠道录入来源：SCRM-客服推送
商机ID：5008989453
商机编码：XSJ20250609016581
咨询课程：英语
创建人邮箱：qinlulu@xdf.cn
创建时间：2025-06-09 17:46:04
资源类型：单个资源
跟进记录：商机备注：【外呼组+个人微信】家长咨询六级课程，9月份大二，辛苦老师联系，微信号changshanlilf，谢谢;接触点：微信；
</t>
  </si>
  <si>
    <t>秦璐璐qinlulu@xdf.cn</t>
  </si>
  <si>
    <t>李鸿阳</t>
  </si>
  <si>
    <t>28238450</t>
  </si>
  <si>
    <t>2025-06-10 17:28</t>
  </si>
  <si>
    <t>上海财经大学</t>
  </si>
  <si>
    <t>2025-06-25 10:51</t>
  </si>
  <si>
    <t>秦璐璐</t>
  </si>
  <si>
    <t>BJWY1344002987</t>
  </si>
  <si>
    <t>ZVVB260010025</t>
  </si>
  <si>
    <t>回访人：房国超，回访时间：2025-06-16 18:12，回访内容：电话无人接 微信留言 课程意向和 考试情况 ；|回访人：房国超，回访时间：2025-06-20 18:57，回访内容：告知了 家长最大优惠， 邀约线下试听  ；|回访人：房国超，回访时间：2025-06-22 15:43，回访内容：在考虑集训营， 问了课程安排 ，要和孩子商量，；|回访人：房国超，回访时间：2025-06-24 22:13，回访内容：电话无人接，微信联系，明日继续回访；|回访人：房国超，回访时间：2025-06-25 10:51，回访内容：已报名</t>
  </si>
  <si>
    <t>六级暑假集训营</t>
  </si>
  <si>
    <t>柯昀汐</t>
  </si>
  <si>
    <t>108308136</t>
  </si>
  <si>
    <t>2025-06-04 14:05:46</t>
  </si>
  <si>
    <t>来源:北京学校;【FY25已报名】金额：66168.00元，报了【FY25高端/一对一】</t>
  </si>
  <si>
    <t>2025-06-16 17:50:02</t>
  </si>
  <si>
    <t>28407560</t>
  </si>
  <si>
    <t>2025-06-16 21:21</t>
  </si>
  <si>
    <t>北京市第六十五中学</t>
  </si>
  <si>
    <t>2025-06-25 16:21</t>
  </si>
  <si>
    <t>2025-06-25 16:22</t>
  </si>
  <si>
    <t>BJWY3803822750</t>
  </si>
  <si>
    <t>YKM250010008</t>
  </si>
  <si>
    <t>回访人：徐健坤，回访时间：2025-06-16 21:21，回访内容：按照家长要求已经通过短信的形式加更常用资料这些东西通过短信的形式发送给家长微信搜索不到只能通过电话或者是短信进行沟通交流；|回访人：徐健坤，回访时间：2025-06-20 20:41，回访内容：要求明天沟通；|回访人：徐健坤，回访时间：2025-06-21 19:15，回访内容：家长还没有问孩子然后比较考虑数学课程等问完之后再回复；|回访人：徐健坤，回访时间：2025-06-22 21:56，回访内容：补；|回访人：徐健坤，回访时间：2025-06-25 16:21，回访内容：签约</t>
  </si>
  <si>
    <t>YKF250010010</t>
  </si>
  <si>
    <t>顾嘉原</t>
  </si>
  <si>
    <t>115695072</t>
  </si>
  <si>
    <t>2025-06-22 19:21:13</t>
  </si>
  <si>
    <t>28536835</t>
  </si>
  <si>
    <t>2025-06-22 19:26</t>
  </si>
  <si>
    <t>2025-06-25 12:09</t>
  </si>
  <si>
    <t>2025-06-25 18:44</t>
  </si>
  <si>
    <t>BJWY2534228704</t>
  </si>
  <si>
    <t>YKFJ250010010</t>
  </si>
  <si>
    <t>回访人：房国超，回访时间：2025-06-22 19:26，回访内容：线上的直播课；|回访人：房国超，回访时间：2025-06-22 22:48，回访内容：学生高三， 高中英语120，住朝阳区，线下课不考虑，嫌远，倾向于线上，介绍过来的；|回访人：房国超，回访时间：2025-06-23 17:04，回访内容：已储值4880 ，等待5人团；|回访人：房国超，回访时间：2025-06-25 12:09，回访内容：已报名</t>
  </si>
  <si>
    <t>韩先生</t>
  </si>
  <si>
    <t>115032410</t>
  </si>
  <si>
    <t>2025-06-18 10:59:05</t>
  </si>
  <si>
    <t>家长咨询暑期四级、大学预科课程【张志威公众号】</t>
  </si>
  <si>
    <t>韩明轩</t>
  </si>
  <si>
    <t>28419496</t>
  </si>
  <si>
    <t>2025-06-18 11:33</t>
  </si>
  <si>
    <t>清华大学附属中学</t>
  </si>
  <si>
    <t>2025-06-25 13:31</t>
  </si>
  <si>
    <t>2025-06-25 13:32</t>
  </si>
  <si>
    <t>BJWY6308568833</t>
  </si>
  <si>
    <t>YK250010008</t>
  </si>
  <si>
    <t>回访人：李政，回访时间：2025-06-18 11:33，回访内容：家长咨询，理科生，不透露更多信息，要加微信看下所有的课程安排
推荐数学+英语+口语班
没有人一起学习
不诺访；|回访人：李政，回访时间：2025-06-22 16:28，回访内容：已报名缴费，等待入班；|回访人：李政，回访时间：2025-06-25 13:31，回访内容：签约</t>
  </si>
  <si>
    <t>四级无忧计划,大学预科数学</t>
  </si>
  <si>
    <t>YKM250010007</t>
  </si>
  <si>
    <t>YKF250010008</t>
  </si>
  <si>
    <t>114781085</t>
  </si>
  <si>
    <t>2025-06-17 15:05:24</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</si>
  <si>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备注：来源:小表单;姓名:王女士;意向课程: 【课程】考研、四六级、专升本、成人英语/北京/北京; 新老生: 流失老生; 提交链接:pages/index/index.html?scene=81512,,Lh8FwYc8;地理位置:-;渠道:新媒体运营/公众号-品牌号</t>
  </si>
  <si>
    <t>2025-06-17 15:14:33</t>
  </si>
  <si>
    <t>严悦城</t>
  </si>
  <si>
    <t>28310352</t>
  </si>
  <si>
    <t>2025-06-17 16:19</t>
  </si>
  <si>
    <t>北京市第十三中学分校</t>
  </si>
  <si>
    <t>2025-06-25 10:16</t>
  </si>
  <si>
    <t>BJWY5002435758</t>
  </si>
  <si>
    <t>YKS250010006</t>
  </si>
  <si>
    <t>回访人：刘晓娟，回访时间：2025-06-17 16:19，回访内容：孩子妈妈咨询，孩子刚高考完，北京考生，高考英语130左右，介绍大学预科，数学不需要，主要是六级和口语，线下，倾向小班；|回访人：刘晓娟，回访时间：2025-06-19 11:20，回访内容：问问家长和孩子商量没，周六过来试听吗，等回复；|回访人：刘晓娟，回访时间：2025-06-25 10:16，回访内容：报名</t>
  </si>
  <si>
    <t>YK250010007</t>
  </si>
  <si>
    <t>赵亦楠</t>
  </si>
  <si>
    <t>96352181</t>
  </si>
  <si>
    <t>杨俊</t>
  </si>
  <si>
    <t>2025-03-06 10:22:49</t>
  </si>
  <si>
    <t>北京学校2月19日数据，预估为大一</t>
  </si>
  <si>
    <t>批量导入-批量导入-北京学校往期数据外呼（2024.9-2025.6可能大二或大三）2</t>
  </si>
  <si>
    <t>2025-04-16 17:18:35</t>
  </si>
  <si>
    <t>27567548</t>
  </si>
  <si>
    <t>2025-04-17 10:50</t>
  </si>
  <si>
    <t>食品科学与工程</t>
  </si>
  <si>
    <t>2025-06-24 11:06</t>
  </si>
  <si>
    <t>BJWY8969534080</t>
  </si>
  <si>
    <t>WYSJ250330022</t>
  </si>
  <si>
    <t>2025-06-24</t>
  </si>
  <si>
    <t>回访人：刘晓娟，回访时间：2025-06-16 17:32，回访内容：邀约试听；|回访人：刘晓娟，回访时间：2025-06-23 10:45，回访内容：给孩子发微信没有回复，给家长沟通下，看看目前怎么考虑的，介绍月底前的优惠，促单。。。；|回访人：刘晓娟，回访时间：2025-06-24 11:06，回访内容：报名</t>
  </si>
  <si>
    <t>115553728</t>
  </si>
  <si>
    <t>2025-06-22 14:57:05</t>
  </si>
  <si>
    <t>首医大学大一，咨询四六级
IP：北京
搜索词：新东方考研培训班2025价格表</t>
  </si>
  <si>
    <t>佟鸿峤</t>
  </si>
  <si>
    <t>28521441</t>
  </si>
  <si>
    <t>2025-06-22 15:25</t>
  </si>
  <si>
    <t>燕京医学院</t>
  </si>
  <si>
    <t>医学影像技术</t>
  </si>
  <si>
    <t>2025-06-24 19:33</t>
  </si>
  <si>
    <t>BJWY3485843951</t>
  </si>
  <si>
    <t>WYFJ250330018</t>
  </si>
  <si>
    <t>回访人：李政，回访时间：2025-06-22 15:25，回访内容：孩子暑期在实习，时间不多，想要先看看，优惠活动最后一天已经介绍了，晚上再联系
电话里说没有人和孩子一起学习；|回访人：李政，回访时间：2025-06-24 19:33，回访内容：签约</t>
  </si>
  <si>
    <t>115875216</t>
  </si>
  <si>
    <t>2025-06-23 19:18:34</t>
  </si>
  <si>
    <t>咨询暑假六级线上课</t>
  </si>
  <si>
    <t>2025-06-23 19:24:48</t>
  </si>
  <si>
    <t>辛雨哲</t>
  </si>
  <si>
    <t>28565563</t>
  </si>
  <si>
    <t>2025-06-23 20:05</t>
  </si>
  <si>
    <t>信息学院</t>
  </si>
  <si>
    <t>2025-06-23 21:37</t>
  </si>
  <si>
    <t>2025-06-24 11:26</t>
  </si>
  <si>
    <t>BJWY5054914956</t>
  </si>
  <si>
    <t>WYS250310052</t>
  </si>
  <si>
    <t>回访人：黄智超，回访时间：2025-06-23 20:05，回访内容：家长咨询了暑假的六级课程安排 告知了线上和线下的区别和价格 添加微信 发送具体课程介绍；|回访人：黄智超，回访时间：2025-06-23 21:37，回访内容：签约</t>
  </si>
  <si>
    <t>卢女士</t>
  </si>
  <si>
    <t>96388171</t>
  </si>
  <si>
    <t>2025-03-06 18:01:15</t>
  </si>
  <si>
    <t>2025-06-23 19:33:28</t>
  </si>
  <si>
    <t>付金雨</t>
  </si>
  <si>
    <t>28546774</t>
  </si>
  <si>
    <t>2025-06-23 19:37</t>
  </si>
  <si>
    <t>河南中医药大学</t>
  </si>
  <si>
    <t>医学院</t>
  </si>
  <si>
    <t>2025-06-23 20:08</t>
  </si>
  <si>
    <t>2025-06-24 13:36</t>
  </si>
  <si>
    <t>BJWY5654676354</t>
  </si>
  <si>
    <t>WYFJ250330017</t>
  </si>
  <si>
    <t>2025-06-23</t>
  </si>
  <si>
    <t>回访人：房国超，回访时间：2025-06-23 19:37，回访内容：咨询四级直播课；|回访人：房国超，回访时间：2025-06-23 20:08，回访内容：报名四级直播课</t>
  </si>
  <si>
    <t>ZFF</t>
  </si>
  <si>
    <t>114971395</t>
  </si>
  <si>
    <t>2025-06-18 09:58:29</t>
  </si>
  <si>
    <t>【王朝群】咨询四六级暑期班，已报大概价格，线下线上都想了解</t>
  </si>
  <si>
    <t>刘沐凡</t>
  </si>
  <si>
    <t>28398732</t>
  </si>
  <si>
    <t>2025-06-18 10:48</t>
  </si>
  <si>
    <t>信息与通信工程学院</t>
  </si>
  <si>
    <t>通信工程</t>
  </si>
  <si>
    <t>2025-06-23 16:32</t>
  </si>
  <si>
    <t>BJWY9672514962</t>
  </si>
  <si>
    <t>WYSJ250330021</t>
  </si>
  <si>
    <t>回访人：黄智超，回访时间：2025-06-18 10:48，回访内容：给孩子咨询暑假四级课程，介绍了四级和六级的班课，家长和孩子更倾向线上网课，也对比了新东方在线，回去考虑一下。；|回访人：黄智超，回访时间：2025-06-19 16:18，回访内容：电话无人接听；|回访人：黄智超，回访时间：2025-06-20 10:16，回访内容：孩子现在在练车 预计一周内能练完 沟通了家长提前报名的优惠活动 家长思考一下再给答复；|回访人：黄智超，回访时间：2025-06-23 16:32，回访内容：签约</t>
  </si>
  <si>
    <t>四级线上优享</t>
  </si>
  <si>
    <t>114476192</t>
  </si>
  <si>
    <t>2025-06-15 16:06:51</t>
  </si>
  <si>
    <t>周芳</t>
  </si>
  <si>
    <t>周子渊</t>
  </si>
  <si>
    <t>28366195</t>
  </si>
  <si>
    <t>2025-06-15 17:09</t>
  </si>
  <si>
    <t>研究生以上</t>
  </si>
  <si>
    <t>艺术设计（产品设计）</t>
  </si>
  <si>
    <t>2025-06-23 10:18</t>
  </si>
  <si>
    <t>2025-06-23 10:19</t>
  </si>
  <si>
    <t>BJWY0321634509</t>
  </si>
  <si>
    <t>WYSJ250330020</t>
  </si>
  <si>
    <t>回访人：刘晓娟，回访时间：2025-06-15 17:09，回访内容：学员本人咨询，研究生二年级，之前四级过了，考研是英语二50多分，明年打算考央美的博士，想提前准备起来，让自己保持一个学习的状态，倾向于线上，介绍六级线上无忧；|回访人：刘晓娟，回访时间：2025-06-19 15:07，回访内容：不着急，最近比较忙，想等放假再商量，介绍了本周末的活动优惠，总共优惠800，商量下；|回访人：刘晓娟，回访时间：2025-06-23 10:18，回访内容：报名</t>
  </si>
  <si>
    <t>115559499</t>
  </si>
  <si>
    <t>2025-06-22 20:55:23</t>
  </si>
  <si>
    <t>崔子鸣</t>
  </si>
  <si>
    <t>28537391</t>
  </si>
  <si>
    <t>2025-06-22 20:57</t>
  </si>
  <si>
    <t>机械与材料工程学院</t>
  </si>
  <si>
    <t>工业设计</t>
  </si>
  <si>
    <t>2025-06-23 18:18</t>
  </si>
  <si>
    <t>2025-06-23 18:19</t>
  </si>
  <si>
    <t>BJWY4452584764</t>
  </si>
  <si>
    <t>WYF250310028</t>
  </si>
  <si>
    <t>回访人：刘晓娟，回访时间：2025-06-22 20:57，回访内容：孩子父亲咨询孩子大一基础一般想要看看四级线下的课程，介绍了四级线下的大班和小班倾向于大班。；|回访人：刘晓娟，回访时间：2025-06-23 18:18，回访内容：报名</t>
  </si>
  <si>
    <t>叶锦霓同学</t>
  </si>
  <si>
    <t>114868314</t>
  </si>
  <si>
    <t>2025-06-17 20:17:06</t>
  </si>
  <si>
    <t>徐健坤老师内部员工推荐工单</t>
  </si>
  <si>
    <t>王爽+wangshuang37@xdf.cn+157712+培训学校-北京学校-高中班级部-门店运营中心-西城</t>
  </si>
  <si>
    <t>叶锦霓</t>
  </si>
  <si>
    <t>28417357</t>
  </si>
  <si>
    <t>2025-06-17 20:43</t>
  </si>
  <si>
    <t>北京市海淀区教师进修附属实验香山分校</t>
  </si>
  <si>
    <t>2025-06-22 21:39</t>
  </si>
  <si>
    <t>XDF112219134611681</t>
  </si>
  <si>
    <t>YKF250010006</t>
  </si>
  <si>
    <t>回访人：徐健坤，回访时间：2025-06-17 20:43，回访内容：家长帮孩子咨询孩子高三刚毕业全文科英语成绩一百一到一百二基础还可以选择四级了解了线上和线下已经申请微信等着通过发送科研资料有电话说明要约试听课；|回访人：徐健坤，回访时间：2025-06-20 20:38，回访内容：询问课程时间；|回访人：徐健坤，回访时间：2025-06-22 21:39，回访内容：签约</t>
  </si>
  <si>
    <t>113050237</t>
  </si>
  <si>
    <t>2025-06-07 14:52:32</t>
  </si>
  <si>
    <t>咨询暑假六级课程</t>
  </si>
  <si>
    <t>地图标点</t>
  </si>
  <si>
    <t>朱丹彤</t>
  </si>
  <si>
    <t>28206040</t>
  </si>
  <si>
    <t>2025-06-07 15:20</t>
  </si>
  <si>
    <t>国学院</t>
  </si>
  <si>
    <t>国学</t>
  </si>
  <si>
    <t>2025-06-22 16:06</t>
  </si>
  <si>
    <t>BJWY0992070055</t>
  </si>
  <si>
    <t>WYSJ250330019</t>
  </si>
  <si>
    <t>回访人：刘晓娟，回访时间：2025-06-15 15:47，回访内容：孩子在考试，没放假，等放假再商量；|回访人：刘晓娟，回访时间：2025-06-22 16:06，回访内容：报名</t>
  </si>
  <si>
    <t>学习使我快乐</t>
  </si>
  <si>
    <t>114906055</t>
  </si>
  <si>
    <t>2025-06-17 21:49:11</t>
  </si>
  <si>
    <t>郭子辉</t>
  </si>
  <si>
    <t>28398206</t>
  </si>
  <si>
    <t>2025-06-18 10:10</t>
  </si>
  <si>
    <t>2025-06-22 10:25</t>
  </si>
  <si>
    <t>BJWY0951130564</t>
  </si>
  <si>
    <t>WYS250320009</t>
  </si>
  <si>
    <t>回访人：刘晓娟，回访时间：2025-06-18 10:10，回访内容：本人咨询，四级一次过线，六级考了两次，一个410多，一次刚考，北工商上学，介绍六级线下和线上的课程，家就在海淀，一会回去跟家里商量下；|回访人：刘晓娟，回访时间：2025-06-20 13:38，回访内容：今晚线上试听，明天也过来线下试听；|回访人：刘晓娟，回访时间：2025-06-21 19:42，回访内容：刚打完电话，回去考虑小班还是大班；|回访人：刘晓娟，回访时间：2025-06-22 10:25，回访内容：报名</t>
  </si>
  <si>
    <t>王瑞涵</t>
  </si>
  <si>
    <t>115515909</t>
  </si>
  <si>
    <t>2025-06-21 12:01:53</t>
  </si>
  <si>
    <t xml:space="preserve">渠道录入来源：SCRM-客服推送
商机ID：5009083732
商机编码：XSJ20250621014611
针对人群：大学
学员号：BJ2599491
学生学校：不详
咨询课程：英语
创建人邮箱：lilei87@xdf.cn
创建时间：2025-06-21 12:01:48
资源类型：单个资源
跟进记录：商机备注：线上咨询，学生高考毕业，想要咨询大学四级的学习，线上和线下都了解，高中成绩：120多，电话微信都可以，辛苦老师跟进介绍，谢谢;接触点：企点-环信；
</t>
  </si>
  <si>
    <t>28491772</t>
  </si>
  <si>
    <t>2025-06-21 13:09</t>
  </si>
  <si>
    <t>2025-06-22 22:14</t>
  </si>
  <si>
    <t>BJWY1819930429</t>
  </si>
  <si>
    <t>YKF250010005</t>
  </si>
  <si>
    <t>回访人：张博奥，回访时间：2025-06-21 13:09，回访内容：微信待通过，电话咨询四级和线上班课，孩子英语基础还不错，需要和孩子商量一下时间；|回访人：张博奥，回访时间：2025-06-22 22:14，回访内容：已报名</t>
  </si>
  <si>
    <t>舒荟霖</t>
  </si>
  <si>
    <t>115645654</t>
  </si>
  <si>
    <t>2025-06-22 11:04:23</t>
  </si>
  <si>
    <t>徐健坤的顾问转介绍工单</t>
  </si>
  <si>
    <t>28519539</t>
  </si>
  <si>
    <t>2025-06-22 12:53</t>
  </si>
  <si>
    <t>2025-06-22 21:41</t>
  </si>
  <si>
    <t>BJWY1951336500</t>
  </si>
  <si>
    <t>YKF250010007</t>
  </si>
  <si>
    <t>回访人：徐健坤，回访时间：2025-06-22 12:53，回访内容：家长推荐过来 需要单线联系；|回访人：徐健坤，回访时间：2025-06-22 21:41，回访内容：签约</t>
  </si>
  <si>
    <t>李伊然</t>
  </si>
  <si>
    <t>115106171</t>
  </si>
  <si>
    <t>2025-06-18 17:23:14</t>
  </si>
  <si>
    <t xml:space="preserve">渠道录入来源：SCRM-客服推送
商机ID：5009094057
商机编码：XSJ20250618047371
针对人群：高中
学生学校：不详
咨询课程：英语
创建人邮箱：zhaowenjing6@xdf.cn
创建时间：2025-06-18 17:23:09
资源类型：单个资源
跟进记录：商机备注：【呼入组+82611818】新大一，咨询暑假四六级，海淀，辛苦老师联系;接触点：呼入；
</t>
  </si>
  <si>
    <t>28425635</t>
  </si>
  <si>
    <t>2025-06-18 17:55</t>
  </si>
  <si>
    <t>天津市武清区杨村第一中学</t>
  </si>
  <si>
    <t>2025-06-22 19:05</t>
  </si>
  <si>
    <t>2025-06-23 10:24</t>
  </si>
  <si>
    <t>BJWY6831352125</t>
  </si>
  <si>
    <t>ZVVB260010023</t>
  </si>
  <si>
    <t>回访人：刘晓娟，回访时间：2025-06-18 17:55，回访内容：孩子本人咨询，刚高考完，高考成绩大概120左右，杨村一中上的，介绍六级线下的走读和住宿的课程，考虑下；|回访人：刘晓娟，回访时间：2025-06-22 11:08，回访内容：上，晚上缴费，已经发了支付码和电子协议；|回访人：刘晓娟，回访时间：2025-06-22 19:05，回访内容：报名</t>
  </si>
  <si>
    <t>六级无忧计划,六级暑假集训营</t>
  </si>
  <si>
    <t>tily</t>
  </si>
  <si>
    <t>101575794</t>
  </si>
  <si>
    <t>2025-05-08 14:39:25</t>
  </si>
  <si>
    <t>【王朝群】咨询四六级暑期班，走读和集训都要了解一下</t>
  </si>
  <si>
    <t>李庆康</t>
  </si>
  <si>
    <t>27833553</t>
  </si>
  <si>
    <t>2025-05-08 14:59</t>
  </si>
  <si>
    <t>河北大学</t>
  </si>
  <si>
    <t>经济学院</t>
  </si>
  <si>
    <t>经济学</t>
  </si>
  <si>
    <t>2025-06-22 14:31</t>
  </si>
  <si>
    <t>BJWY0914229665</t>
  </si>
  <si>
    <t>ZVVA260010019</t>
  </si>
  <si>
    <t>回访人：刘晓娟，回访时间：2025-06-17 17:37，回访内容：讲座邀约；|回访人：刘晓娟，回访时间：2025-06-22 14:31，回访内容：报名</t>
  </si>
  <si>
    <t>115566282</t>
  </si>
  <si>
    <t>2025-06-21 14:09:07</t>
  </si>
  <si>
    <t>15846173632  英语四级  北京  咨询新东方</t>
  </si>
  <si>
    <t>2025-06-21 17:22:14</t>
  </si>
  <si>
    <t>田谨睿</t>
  </si>
  <si>
    <t>28526060</t>
  </si>
  <si>
    <t>2025-06-21 17:44</t>
  </si>
  <si>
    <t>黑龙江省大庆市铁人中学</t>
  </si>
  <si>
    <t>2025-06-22 10:01</t>
  </si>
  <si>
    <t>BJWY5207562563</t>
  </si>
  <si>
    <t>YKF250010004</t>
  </si>
  <si>
    <t>回访人：刘晓娟，回访时间：2025-06-21 17:44，回访内容：母亲咨询，孩子高中刚毕业，好一点的话100分，差一点的80多，想了解四级的线下走读班，介绍大班和小班；|回访人：刘晓娟，回访时间：2025-06-22 10:01，回访内容：报名</t>
  </si>
  <si>
    <t>张敏</t>
  </si>
  <si>
    <t>114433928</t>
  </si>
  <si>
    <t>2025-06-15 08:39:28</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</si>
  <si>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备注：来源:小表单;姓名:张敏;意向课程: 【课程】考研、四六级、专升本、成人英语/北京/北京; 新老生: 新生; 提交链接:pages/index/index.html?scene=81512,,Lh8FwYc8;地理位置:-;渠道:新媒体运营/公众号-品牌号</t>
  </si>
  <si>
    <t>2025-06-15 10:16:23</t>
  </si>
  <si>
    <t>张哲伟</t>
  </si>
  <si>
    <t>28340611</t>
  </si>
  <si>
    <t>2025-06-15 10:54</t>
  </si>
  <si>
    <t>天津财经大学</t>
  </si>
  <si>
    <t>2025-06-22 15:28</t>
  </si>
  <si>
    <t>BJWY7589400266</t>
  </si>
  <si>
    <t>WYS250310050</t>
  </si>
  <si>
    <t>回访人：宋增辉，回访时间：2025-06-15 10:54，回访内容：家长很看重提升孩子口语能力，但是坚决不考虑一对一，推荐了六级大班课，和孩子商量去了，人在天津；|回访人：宋增辉，回访时间：2025-06-17 21:34，回访内容：电话未接通，微信你在忙稍后联系；|回访人：宋增辉，回访时间：2025-06-20 17:59，回访内容：协议签了等报名，在忙；|回访人：宋增辉，回访时间：2025-06-22 14:59，回访内容：已报名；|回访人：宋增辉，回访时间：2025-06-22 15:00，回访内容：宋增辉进行了退单操作!(本条回访记录由系统自动记录)；|回访人：宋增辉，回访时间：2025-06-22 15:05，回访内容：已报名；|回访人：宋增辉，回访时间：2025-06-22 15:05，回访内容：宋增辉进行了退单操作!(本条回访记录由系统自动记录)；|回访人：宋增辉，回访时间：2025-06-22 15:28，回访内容：已报名</t>
  </si>
  <si>
    <t>115022051</t>
  </si>
  <si>
    <t>2025-06-18 11:47:31</t>
  </si>
  <si>
    <t>魏公村四六级直访</t>
  </si>
  <si>
    <t>巨金</t>
  </si>
  <si>
    <t>28420609</t>
  </si>
  <si>
    <t>2025-06-18 13:09</t>
  </si>
  <si>
    <t>吉林财经大学</t>
  </si>
  <si>
    <t>金融学院</t>
  </si>
  <si>
    <t>保险学</t>
  </si>
  <si>
    <t>2025-06-22 14:35</t>
  </si>
  <si>
    <t>WYS25039</t>
  </si>
  <si>
    <t>BJWY2442971470</t>
  </si>
  <si>
    <t>WYS250390001</t>
  </si>
  <si>
    <t>回访人：刘晓娟，回访时间：2025-06-18 13:09，回访内容：老生，面谈，六级，小班加一对一，或者全程一对一，上次401，这次考的一般，听力不行，翻译还没答完；|回访人：刘晓娟，回访时间：2025-06-21 19:24，回访内容：孩子爸爸缴费，交好了告诉我；|回访人：刘晓娟，回访时间：2025-06-22 11:19，回访内容：问问家长支付完没，等回复；|回访人：刘晓娟，回访时间：2025-06-22 14:35，回访内容：报名</t>
  </si>
  <si>
    <t>吴若兮妈妈</t>
  </si>
  <si>
    <t>115384657</t>
  </si>
  <si>
    <t>2025-06-19 22:09:46</t>
  </si>
  <si>
    <t>新大一，家长咨询大学预科英语</t>
  </si>
  <si>
    <t>吴若兮</t>
  </si>
  <si>
    <t>28441055</t>
  </si>
  <si>
    <t>2025-06-20 10:17</t>
  </si>
  <si>
    <t>北京市大峪中学</t>
  </si>
  <si>
    <t>2025-06-22 10:31</t>
  </si>
  <si>
    <t>2025-06-24 14:55</t>
  </si>
  <si>
    <t>BJWY5924384359</t>
  </si>
  <si>
    <t>ZVVA260010018</t>
  </si>
  <si>
    <t>回访人：李政，回访时间：2025-06-20 10:17，回访内容：孩子比较听话，家长说怎么学都行，家长意向集训营多一些，优惠已经通知到
暂时没有人一起学习，老带新已经介绍
最近参加高招会，先不来试听课
；|回访人：李政，回访时间：2025-06-21 18:36，回访内容：预约明天付款；|回访人：李政，回访时间：2025-06-22 10:31，回访内容：签约</t>
  </si>
  <si>
    <t>四级集训营</t>
  </si>
  <si>
    <t>安祐闻</t>
  </si>
  <si>
    <t>113773691</t>
  </si>
  <si>
    <t>2025-06-11 16:34:55</t>
  </si>
  <si>
    <t>李相+lixiang241@xdf.cn+440811+产业机构-国际教育培训事业部-国际教育北京中心-英联邦部-服务管理中心南区-英本全程班学科组，房国超；</t>
  </si>
  <si>
    <t>李相+lixiang241@xdf.cn+440811+产业机构-国际教育培训事业部-国际教育北京中心-英联邦部-服务管理中心南区-英本全程班学科组</t>
  </si>
  <si>
    <t>28285690</t>
  </si>
  <si>
    <t>2025-06-11 16:42</t>
  </si>
  <si>
    <t>2025-06-21 17:37</t>
  </si>
  <si>
    <t>2025-06-21 17:38</t>
  </si>
  <si>
    <t>BJWY5972463653</t>
  </si>
  <si>
    <t>WYF250310025</t>
  </si>
  <si>
    <t>回访人：房国超，回访时间：2025-06-18 18:00，回访内容：电话无人接听，  微信邀约试听 ；|回访人：房国超，回访时间：2025-06-20 18:58，回访内容：最大优惠逼单， 意向大班 ，打算推小班 ，邀约试听， ；|回访人：房国超，回访时间：2025-06-21 11:09，回访内容：邀约试听，；|回访人：房国超，回访时间：2025-06-21 17:37，回访内容：签约班课</t>
  </si>
  <si>
    <t>常同学</t>
  </si>
  <si>
    <t>102683015</t>
  </si>
  <si>
    <t>刘子奇</t>
  </si>
  <si>
    <t>2025-05-16 10:30:35</t>
  </si>
  <si>
    <t>【TMK合作徐利霞 微信联系】咨询六级辅导，微信联系</t>
  </si>
  <si>
    <t>2025-05-16 10:54:46</t>
  </si>
  <si>
    <t>常云欢</t>
  </si>
  <si>
    <t>27877799</t>
  </si>
  <si>
    <t>2025-05-16 11:13</t>
  </si>
  <si>
    <t>哲学学院</t>
  </si>
  <si>
    <t>哲学</t>
  </si>
  <si>
    <t>2025-06-21 20:17</t>
  </si>
  <si>
    <t>BJWY9458340173</t>
  </si>
  <si>
    <t>WYSJ250330018</t>
  </si>
  <si>
    <t>回访人：房国超，回访时间：2025-06-12 18:24，回访内容：微信发送 冲刺资料， 等暑假安排出来；|回访人：房国超，回访时间：2025-06-15 21:57，回访内容：询问 六级考试咋样， 看下意愿度，  ；|回访人：房国超，回访时间：2025-06-17 21:16，回访内容：电话拒接微信未回；|回访人：房国超，回访时间：2025-06-19 15:46，回访内容：电话无人接，已2次，微信留言未回过；|回访人：房国超，回访时间：2025-06-20 15:48，回访内容：电话无人接听，  已3次， 微信不回消息；|回访人：房国超，回访时间：2025-06-21 19:18，回访内容：要报直播课；|回访人：房国超，回访时间：2025-06-21 20:17，回访内容：报名</t>
  </si>
  <si>
    <t>115497795</t>
  </si>
  <si>
    <t>2025-06-21 10:29:00</t>
  </si>
  <si>
    <t>王莹莹+wangyingying@xdf.cn+ID+新东方教育科技集团有限公司-培训学校-北京学校-高中一对一部-西北区-北太平庄分中心 | 课程顾问</t>
  </si>
  <si>
    <t>张梓岚</t>
  </si>
  <si>
    <t>28524034</t>
  </si>
  <si>
    <t>2025-06-21 15:55</t>
  </si>
  <si>
    <t>北京市第二中学</t>
  </si>
  <si>
    <t>2025-06-21 16:40</t>
  </si>
  <si>
    <t>2025-06-21 16:41</t>
  </si>
  <si>
    <t>BJWY9174132788</t>
  </si>
  <si>
    <t>回访人：刘晓娟，回访时间：2025-06-21 15:55，回访内容：四级；|回访人：刘晓娟，回访时间：2025-06-21 16:40，回访内容：北京二中上学，高中英语不到100，四级，介绍四级小班，家在东单，报名</t>
  </si>
  <si>
    <t>YKF250050001</t>
  </si>
  <si>
    <t>115341785</t>
  </si>
  <si>
    <t>2025-06-20 14:40:32</t>
  </si>
  <si>
    <t>黄景</t>
  </si>
  <si>
    <t>28482787</t>
  </si>
  <si>
    <t>2025-06-20 14:44</t>
  </si>
  <si>
    <t>青海大学</t>
  </si>
  <si>
    <t>麻醉学</t>
  </si>
  <si>
    <t>2025-06-21 14:59</t>
  </si>
  <si>
    <t>2025-06-21 15:54</t>
  </si>
  <si>
    <t>BJWY7489982728</t>
  </si>
  <si>
    <t>WYF250310024</t>
  </si>
  <si>
    <t>回访人：李政，回访时间：2025-06-20 14:44，回访内容：代他人咨询，意向魏公村大班，约了周五的试听课；|回访人：李政，回访时间：2025-06-21 14:59，回访内容：签约</t>
  </si>
  <si>
    <t>花夏</t>
  </si>
  <si>
    <t>114356666</t>
  </si>
  <si>
    <t>2025-06-14 19:53:01</t>
  </si>
  <si>
    <t>【王朝群】咨询六级暑期班</t>
  </si>
  <si>
    <t>刘熙</t>
  </si>
  <si>
    <t>28359712</t>
  </si>
  <si>
    <t>2025-06-14 21:13</t>
  </si>
  <si>
    <t>2025-06-21 23:22</t>
  </si>
  <si>
    <t>BJWY3235689901</t>
  </si>
  <si>
    <t>WYS250310049</t>
  </si>
  <si>
    <t>回访人：房国超，回访时间：2025-06-14 21:13，回访内容：学生咨询， 六级想冲高分， 四级之前是刚过线， 今天刚考完， 感觉不行，  咨询线上课程和走读大班，；|回访人：房国超，回访时间：2025-06-15 17:04，回访内容：询问课程意向，  家长想等孩子 回家后商量，询问时间未回复；|回访人：房国超，回访时间：2025-06-21 20:50，回访内容：沟通说要报名  线下走读大班；|回访人：房国超，回访时间：2025-06-21 23:22，回访内容：报名</t>
  </si>
  <si>
    <t>马家长</t>
  </si>
  <si>
    <t>114541798</t>
  </si>
  <si>
    <t>2025-06-16 11:09:49</t>
  </si>
  <si>
    <t>家长微信咨询四级一对一，线上四级，再学考研</t>
  </si>
  <si>
    <t>2025-06-16 16:39:16</t>
  </si>
  <si>
    <t>雷子昂</t>
  </si>
  <si>
    <t>28387714</t>
  </si>
  <si>
    <t>2025-06-16 21:00</t>
  </si>
  <si>
    <t>北京第二外国语学院</t>
  </si>
  <si>
    <t>2025-06-21 20:30</t>
  </si>
  <si>
    <t>2025-06-21 20:33</t>
  </si>
  <si>
    <t>LP17505090343074</t>
  </si>
  <si>
    <t>BJWY0907806277</t>
  </si>
  <si>
    <t>回访人：房国超，回访时间：2025-06-16 21:00，回访内容：家长咨询，大一，住大兴， 校区远点， 高中英语90左右， 自己有刷题， 学的财务管理，  想考研 好上岸 ， 不考数学的专业  和学校，   想找类似的服务指导，  知道一对一的价格，  后面等学生放假  ，约时间来校区面谈 ；|回访人：房国超，回访时间：2025-06-24 21:15，回访内容：已拉群，群内老师督学</t>
  </si>
  <si>
    <t>刘昊阳</t>
  </si>
  <si>
    <t>108531399</t>
  </si>
  <si>
    <t>2025-06-04 18:14:18</t>
  </si>
  <si>
    <t>来源:北京学校;【FY25已报名】金额：20372.00元，报了【FY25高端/一对一】</t>
  </si>
  <si>
    <t>2025-06-11 16:54:39</t>
  </si>
  <si>
    <t>28247679</t>
  </si>
  <si>
    <t>2025-06-11 17:19</t>
  </si>
  <si>
    <t>2025-06-21 19:45</t>
  </si>
  <si>
    <t>2025-06-21 22:40</t>
  </si>
  <si>
    <t>YKS25004</t>
  </si>
  <si>
    <t>六级精英计划（新大一专属）</t>
  </si>
  <si>
    <t>BJWY5526467904</t>
  </si>
  <si>
    <t>YKS250040002</t>
  </si>
  <si>
    <t>回访人：刘晓娟，回访时间：2025-06-17 15:44，回访内容：家长说孩子在外面旅游呢，这周听不了试听课，等孩子回来商量完再联系我；|回访人：刘晓娟，回访时间：2025-06-21 19:45，回访内容：报名</t>
  </si>
  <si>
    <t>115547603</t>
  </si>
  <si>
    <t>2025-06-21 19:25:36</t>
  </si>
  <si>
    <t>续费原因：续费大学课程 1v1  辛苦对接刘晓娟老师；该学生为保护期内续费，原顾问：国内大学部-刘晓娟(liuxiaojuan@xdf.cn)</t>
  </si>
  <si>
    <t>28527434</t>
  </si>
  <si>
    <t>2025-06-21 19:35</t>
  </si>
  <si>
    <t>2025-06-21 19:41</t>
  </si>
  <si>
    <t>2025-06-21 22:38</t>
  </si>
  <si>
    <t>LP17505061032956</t>
  </si>
  <si>
    <t>回访人：刘晓娟，回访时间：2025-06-21 19:35，回访内容：报名</t>
  </si>
  <si>
    <t>梁先生</t>
  </si>
  <si>
    <t>114796904</t>
  </si>
  <si>
    <t>2025-06-17 15:43:33</t>
  </si>
  <si>
    <t xml:space="preserve">渠道录入来源：SCRM-客服推送
商机ID：5009091045
商机编码：XSJ20250617028494
针对人群：大学
学生学校：不详
咨询课程：英语
创建人邮箱：wangmeng63@xdf.cn
创建时间：2025-06-17 15:43:29
资源类型：单个资源
跟进记录：商机备注：学员爸爸咨询，学员大三，咨询六级，在北京，四级通过高了几十分，去年年底六级水了一下没通过，想年底再考一次，想加强培训一下，看看六级班课时间段，时间不行再考一对一;接触点：呼入；
</t>
  </si>
  <si>
    <t>梁好</t>
  </si>
  <si>
    <t>28440040</t>
  </si>
  <si>
    <t>2025-06-19 17:55</t>
  </si>
  <si>
    <t>北京建筑大学</t>
  </si>
  <si>
    <t>建筑与城市规划学院</t>
  </si>
  <si>
    <t>建筑学</t>
  </si>
  <si>
    <t>2025-06-21 18:33</t>
  </si>
  <si>
    <t>2025-06-21 18:36</t>
  </si>
  <si>
    <t>WYFE26017</t>
  </si>
  <si>
    <t>考研英语无忧计划蜂鸟（26考研/英一强化）</t>
  </si>
  <si>
    <t>BJWY4821923897</t>
  </si>
  <si>
    <t>WYFE260170001</t>
  </si>
  <si>
    <t>回访人：田一禾，回访时间：2025-06-19 17:55，回访内容：咨询考研冲刺，四六级冲刺；|回访人：田一禾，回访时间：2025-06-20 11:23，回访内容：补充：
咨询考研冲刺，四六级冲刺,最近先联系了考研老师，然后12月再考虑英语冲刺，家长不加微信，之后需要让孩子加；|回访人：田一禾，回访时间：2025-06-21 18:33，回访内容：今日签约</t>
  </si>
  <si>
    <t>WYFP26010</t>
  </si>
  <si>
    <t>考研政治无忧计划蜂鸟（26考研/冲刺）</t>
  </si>
  <si>
    <t>WYFP260100001</t>
  </si>
  <si>
    <t>WYFM26010</t>
  </si>
  <si>
    <t>考研数学无忧计划蜂鸟（26考研/冲刺）</t>
  </si>
  <si>
    <t>WYFM260100002</t>
  </si>
  <si>
    <t>WYFP26009</t>
  </si>
  <si>
    <t>考研政治无忧计划蜂鸟（26考研/强化）</t>
  </si>
  <si>
    <t>WYFP260090001</t>
  </si>
  <si>
    <t>WYFM26009</t>
  </si>
  <si>
    <t>考研数学无忧计划蜂鸟（26考研/强化）</t>
  </si>
  <si>
    <t>WYFM260090002</t>
  </si>
  <si>
    <t>WYFE26018</t>
  </si>
  <si>
    <t>考研英语无忧计划蜂鸟（26考研/英一冲刺）</t>
  </si>
  <si>
    <t>WYFE260180001</t>
  </si>
  <si>
    <t>115517975</t>
  </si>
  <si>
    <t>2025-06-21 14:39:00</t>
  </si>
  <si>
    <t>2025-06-21 14:41:56</t>
  </si>
  <si>
    <t>王杰生</t>
  </si>
  <si>
    <t>28525393</t>
  </si>
  <si>
    <t>2025-06-21 17:09</t>
  </si>
  <si>
    <t>信息安全（实验班）</t>
  </si>
  <si>
    <t>2025-06-21 17:23</t>
  </si>
  <si>
    <t>2025-06-21 17:24</t>
  </si>
  <si>
    <t>BJWY6576932258</t>
  </si>
  <si>
    <t>WYS250320008</t>
  </si>
  <si>
    <t>回访人：刘晓娟，回访时间：2025-06-21 17:09，回访内容：北工大，四级463分，准备考六级，希望550以上，母亲咨询，六级小班；|回访人：刘晓娟，回访时间：2025-06-21 17:23，回访内容：报名</t>
  </si>
  <si>
    <t>北京市5905</t>
  </si>
  <si>
    <t>114778354</t>
  </si>
  <si>
    <t>2025-06-17 14:26:52</t>
  </si>
  <si>
    <t>渠道录入来源：新东方PC官网-客服
意向城市：北京访客省/城市：北京市
访客静态ID：01000000034659014132134222235905
接待分组ID：70447
搜索引擎：
搜索词：
关键词：
设备类型：pc
访客IP：117.129.70.197
对话详细内容：AI-Lbo0rDBXCyBY 2025-06-17 14:22:02_x000D_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2025-06-17 14:22:05_x000D_
您是想咨询【线下课程】【线上课程】【考研规划】还是【在职考研】呢？**【线下课程】#  **【线上课程】#**【考研规划】#**【在职考研】#_x000D_
_x000D_
01000000034659014132134222235905 2025-06-17 14:22:08_x000D_
【四/六级课程】_x000D_
_x000D_
AI-Lbo0rDBXCyBY 2025-06-17 14:22:11_x000D_
您目前在学的院校是哪所呢？_x000D_
_x000D_
01000000034659014132134222235905 2025-06-17 14:22:22_x000D_
【线下课程】_x000D_
_x000D_
AI-Lbo0rDBXCyBY 2025-06-17 14:22:26_x000D_
您目前英语基础如何呢？_x000D_
_x000D_
01000000034659014132134222235905 2025-06-17 14:22:50_x000D_
高三学生，刚结束高考_x000D_
_x000D_
AI-Lbo0rDBXCyBY 2025-06-17 14:22:54_x000D_
这样，您微信还是电话方便呢？我安排四六级老师联系您，将课程的详细内容介绍给您_x000D_
_x000D_
01000000034659014132134222235905 2025-06-17 14:23:11_x000D_
微信会比较好_x000D_
_x000D_
AI-Lbo0rDBXCyBY 2025-06-17 14:23:15_x000D_
嗯嗯  好的那同学稍后方便接听电话吗？我这边可以立刻安排专业老师给您回电呢_x000D_
_x000D_
01000000034659014132134222235905 2025-06-17 14:23:34_x000D_
可以_x000D_
_x000D_
AI-Lbo0rDBXCyBY 2025-06-17 14:23:38_x000D_
嗯，那您联系方式是多少呢？_x000D_
_x000D_
AI-Lbo0rDBXCyBY 2025-06-17 14:24:15_x000D_
您好，能看到我的对话吗？如有疑问，可以在此留电咨询！_x000D_
_x000D_
01000000034659014132134222235905 2025-06-17 14:24:25_x000D_
能安排一个对花园桥校区比较熟悉的人吗_x000D_
_x000D_
AI-Lbo0rDBXCyBY 2025-06-17 14:24:29_x000D_
这样，您电话多少，我安排考研部的老师联系您，将课程的详细内容介绍给您_x000D_
_x000D_
01000000034659014132134222235905 2025-06-17 14:24:51_x000D_
18701061621_x000D_
_x000D_
AI-Lbo0rDBXCyBY 2025-06-17 14:24:54_x000D_
好的，确认一下你的号码是否正确呢~_x000D_
_x000D_
01000000034659014132134222235905 2025-06-17 14:25:08_x000D_
没问题_x000D_
_x000D_
AI-Lbo0rDBXCyBY 2025-06-17 14:25:12_x000D_
同学怎么称呼呢？_x000D_
_x000D_
01000000034659014132134222235905 2025-06-17 14:25:23_x000D_
王牧心_x000D_
_x000D_
AI-Lbo0rDBXCyBY 2025-06-17 14:25:26_x000D_
这边马上安排顾问老师联系您，预计半个小时左右给您回电请注意接听~_x000D_
_x000D_
01000000034659014132134222235905 2025-06-17 14:25:37_x000D_
好_x000D_
_x000D_
AI-Lbo0rDBXCyBY 2025-06-17 14:25:41_x000D_
好的，这个也是您的微信号吗？_x000D_
_x000D_
01000000034659014132134222235905 2025-06-17 14:26:17_x000D_
额不是，这是我是在新东方的官方网站上找到的_x000D_
_x000D_
AI-Lbo0rDBXCyBY 2025-06-17 14:26:22_x000D_
方便提供一下您的微信吗？到时候微信给您转发资料_x000D_
_x000D_
来源页：https://www.xdf.cn/market/zhuanti/index.html?wd=%E6%96%B0%E4%B8%9C%E6%96%B9&amp;utm_source=jituan_searchengine_Baidu_PC_BaiduPP&amp;utm_medium=CPD&amp;utm_campaign=Jituan_baidu_pp_pc_CPP_yayun&amp;utm_term=tupian&amp;utm_1st_id=7&amp;utm_2nd_id=63&amp;xdf_source_channel_code=e17bfaaa1ce034cc7baff480977a74c0
备注：</t>
  </si>
  <si>
    <t>2025-06-17 14:45:10</t>
  </si>
  <si>
    <t>王牧心</t>
  </si>
  <si>
    <t>28392214</t>
  </si>
  <si>
    <t>2025-06-17 14:55</t>
  </si>
  <si>
    <t>北京理工大学附属中学</t>
  </si>
  <si>
    <t>2025-06-21 17:12</t>
  </si>
  <si>
    <t>2025-06-21 17:16</t>
  </si>
  <si>
    <t>BJWY8089990756</t>
  </si>
  <si>
    <t>回访人：宋增辉，回访时间：2025-06-17 14:55，回访内容：高三想了解花园桥校区的课程，先加微信发课程信息，高数和英语四级；|回访人：宋增辉，回访时间：2025-06-19 15:41，回访内容：周六线下试听，听完收单，；|回访人：宋增辉，回访时间：2025-06-21 16:59，回访内容：已报名；|回访人：宋增辉，回访时间：2025-06-21 17:07，回访内容：宋增辉进行了退单操作!(本条回访记录由系统自动记录)；|回访人：宋增辉，回访时间：2025-06-21 17:12，回访内容：已报名</t>
  </si>
  <si>
    <t>YKF250010003</t>
  </si>
  <si>
    <t>北京市8004</t>
  </si>
  <si>
    <t>114732570</t>
  </si>
  <si>
    <t>2025-06-16 23:54:40</t>
  </si>
  <si>
    <t>渠道录入来源：新东方官网APP-客服
意向城市：北京访客省/城市：北京市
访客静态ID：01000000034659008900459857928004
接待分组ID：70458
搜索引擎：
搜索词：
关键词：
设备类型：phone
访客IP：111.199.144.147
对话详细内容：AI-Lbo0rDBXCyBY 2025-06-16 23:50:05_x000D_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2025-06-16 23:50:08_x000D_
您是想咨询【线下课程】【线上课程】【考研规划】还是【在职考研】呢？**【线下课程】#  **【线上课程】#**【考研规划】#**【在职考研】#_x000D_
_x000D_
01000000034659008900459857928004 2025-06-16 23:50:41_x000D_
准大一新生，四级考试方面的培训_x000D_
_x000D_
AI-Lbo0rDBXCyBY 2025-06-16 23:50:44_x000D_
您目前在学的院校是哪所呢？_x000D_
_x000D_
AI-Lbo0rDBXCyBY 2025-06-16 23:51:21_x000D_
您好，能看到我的对话吗？如有疑问，可以在此留电咨询！_x000D_
_x000D_
01000000034659008900459857928004 2025-06-16 23:51:28_x000D_
还没出录取结果，估计就是农学院、城市学院这样的学校_x000D_
_x000D_
AI-Lbo0rDBXCyBY 2025-06-16 23:51:31_x000D_
您目前英语基础如何呢？_x000D_
_x000D_
01000000034659008900459857928004 2025-06-16 23:52:08_x000D_
一般，高考英语及格线上下_x000D_
_x000D_
AI-Lbo0rDBXCyBY 2025-06-16 23:52:12_x000D_
这样，您微信还是电话方便呢？我安排四六级老师联系您，将课程的详细内容介绍给您_x000D_
_x000D_
01000000034659008900459857928004 2025-06-16 23:52:26_x000D_
微信方便_x000D_
_x000D_
AI-Lbo0rDBXCyBY 2025-06-16 23:52:29_x000D_
可以的，您的微信号码是~_x000D_
_x000D_
01000000034659008900459857928004 2025-06-16 23:52:37_x000D_
18611229286_x000D_
_x000D_
AI-Lbo0rDBXCyBY 2025-06-16 23:52:41_x000D_
好的，确认一下你的号码是否正确呢~_x000D_
_x000D_
01000000034659008900459857928004 2025-06-16 23:52:55_x000D_
正确_x000D_
_x000D_
AI-Lbo0rDBXCyBY 2025-06-16 23:52:59_x000D_
同学怎么称呼呢？_x000D_
_x000D_
01000000034659008900459857928004 2025-06-16 23:53:20_x000D_
叫我王女士吧，我是学员妈妈_x000D_
_x000D_
AI-Lbo0rDBXCyBY 2025-06-16 23:53:23_x000D_
好的，由于今天课程规划老师已经下班了，这边安排老师明天上午9点后给您回电请注意接听~_x000D_
_x000D_
01000000034659008900459857928004 2025-06-16 23:53:55_x000D_
好_x000D_
_x000D_
AI-Lbo0rDBXCyBY 2025-06-16 23:53:58_x000D_
好的，这个也是您的微信号吗？_x000D_
_x000D_
01000000034659008900459857928004 2025-06-16 23:54:03_x000D_
对_x000D_
_x000D_
AI-Lbo0rDBXCyBY 2025-06-16 23:54:06_x000D_
稍后老师会联系哈_x000D_
_x000D_
01000000034659008900459857928004 2025-06-16 23:54:11_x000D_
好_x000D_
_x000D_
AI-Lbo0rDBXCyBY 2025-06-16 23:54:15_x000D_
好的，请问还有其他问题需要咨询吗？_x000D_
_x000D_
01000000034659008900459857928004 2025-06-16 23:54:22_x000D_
没了_x000D_
_x000D_
AI-Lbo0rDBXCyBY 2025-06-16 23:54:25_x000D_
联系方式已收到，第二天上午9点后与您联系的，感谢您的访问 祝您生活愉快！您可以关闭对话早点休息了。晚安~_x000D_
_x000D_
_x000D_
01000000034659008900459857928004 2025-06-16 23:54:33_x000D_
好_x000D_
_x000D_
AI-Lbo0rDBXCyBY 2025-06-16 23:54:36_x000D_
嗯嗯，我们会尽快跟您联系_x000D_
_x000D_
来源页：https://www.xdf.cn/
备注：</t>
  </si>
  <si>
    <t>2026财年第1财月易聊新东方官网APP</t>
  </si>
  <si>
    <t>新东方官网APP</t>
  </si>
  <si>
    <t>2025-06-17 09:56:47</t>
  </si>
  <si>
    <t>黄乐容</t>
  </si>
  <si>
    <t>28310169</t>
  </si>
  <si>
    <t>2025-06-17 15:58</t>
  </si>
  <si>
    <t>北京市第三十一中学</t>
  </si>
  <si>
    <t>2025-06-21 15:51</t>
  </si>
  <si>
    <t>BJWY9725876002</t>
  </si>
  <si>
    <t>ZVVA260010017</t>
  </si>
  <si>
    <t>回访人：李政，回访时间：2025-06-17 15:58，回访内容：家长咨询，孩子自制力一般，不能吃苦，英语基础不好，想要暑假补习
集训营觉得强度太大，想要走读班
要和孩子商量
没有人一起学习
不诺访；|回访人：李政，回访时间：2025-06-21 15:51，回访内容：签约</t>
  </si>
  <si>
    <t>小鱼丸子</t>
  </si>
  <si>
    <t>115246554</t>
  </si>
  <si>
    <t>2025-06-19 15:53:47</t>
  </si>
  <si>
    <t>【王朝群】咨询四六级暑期班【只提供微信】</t>
  </si>
  <si>
    <t>于秀冉</t>
  </si>
  <si>
    <t>28509045</t>
  </si>
  <si>
    <t>2025-06-21 11:01</t>
  </si>
  <si>
    <t>北京西城区月坛中学</t>
  </si>
  <si>
    <t>2025-06-21 12:38</t>
  </si>
  <si>
    <t>BJWY9356395346</t>
  </si>
  <si>
    <t>YKFJ250010007</t>
  </si>
  <si>
    <t>回访人：刘晓娟，回访时间：2025-06-21 11:01，回访内容：没考过四级，高中基础，平时成绩114左右，想咨询四级线上的课程，介绍四级无忧；|回访人：刘晓娟，回访时间：2025-06-21 12:38，回访内容：报名</t>
  </si>
  <si>
    <t>114562918</t>
  </si>
  <si>
    <t>2025-06-16 12:59:59</t>
  </si>
  <si>
    <t>【王朝群】咨询四级线上班</t>
  </si>
  <si>
    <t>朱子玥</t>
  </si>
  <si>
    <t>28371798</t>
  </si>
  <si>
    <t>2025-06-16 13:21</t>
  </si>
  <si>
    <t>北京市和平街第一中学</t>
  </si>
  <si>
    <t>2025-06-20 14:57</t>
  </si>
  <si>
    <t>2025-06-20 15:48</t>
  </si>
  <si>
    <t>BJWY0416721923</t>
  </si>
  <si>
    <t>YKFJ250010004</t>
  </si>
  <si>
    <t>2025-06-20</t>
  </si>
  <si>
    <t>回访人：宋增辉，回访时间：2025-06-16 13:21，回访内容：学生本人来咨询，   高三学生选课是纯文，大学部不涉及数学，推荐了四级和口语，家长支持，有希望和朋友一起来；|回访人：宋增辉，回访时间：2025-06-17 11:56，回访内容：孩子爸爸说下午6点来知春路校区，参观，看一下环境，孩子小红书咨询，家长不太放心，要看看；|回访人：宋增辉，回访时间：2025-06-17 19:19，回访内容：已报名，等待团报入班；|回访人：宋增辉，回访时间：2025-06-20 14:57，回访内容：已报名</t>
  </si>
  <si>
    <t>114330124</t>
  </si>
  <si>
    <t>2025-06-14 10:03:33</t>
  </si>
  <si>
    <t>咨询四级课程，微信联系</t>
  </si>
  <si>
    <t>王祺超</t>
  </si>
  <si>
    <t>28352450</t>
  </si>
  <si>
    <t>2025-06-14 11:51</t>
  </si>
  <si>
    <t>2025-06-20 19:58</t>
  </si>
  <si>
    <t>扩科续费</t>
  </si>
  <si>
    <t>BJWY4382110369</t>
  </si>
  <si>
    <t>ZVVB260010021</t>
  </si>
  <si>
    <t>回访人：李政，回访时间：2025-06-14 11:51，回访内容：家住永丰，想找离永丰最近的，孩子英语比较差，之前学过四级线上，看看有没有合适的线下班级
没有人一起学习
不诺访；|回访人：李政，回访时间：2025-06-18 11:53，回访内容：试听课确认是否到场；|回访人：李政，回访时间：2025-06-20 19:58，回访内容：签约</t>
  </si>
  <si>
    <t>六级集训营</t>
  </si>
  <si>
    <t>28423111</t>
  </si>
  <si>
    <t>2025-06-18 15:52</t>
  </si>
  <si>
    <t>2025-06-20 11:22</t>
  </si>
  <si>
    <t>2025-06-20 11:31</t>
  </si>
  <si>
    <t>WYM26030</t>
  </si>
  <si>
    <t>考研数学无忧计划（26考研/冲刺）</t>
  </si>
  <si>
    <t>WYM260300033</t>
  </si>
  <si>
    <t>回访人：刘晓娟，回访时间：2025-06-18 15:52，回访内容：考研咨询；|回访人：刘晓娟，回访时间：2025-06-18 16:07，回访内容：咨询考研，四级上过了，想准备考研，介绍无忧计划，秋季的时间可能不行，确认下时间；|回访人：刘晓娟，回访时间：2025-06-20 11:22，回访内容：报名</t>
  </si>
  <si>
    <t>WYM26028</t>
  </si>
  <si>
    <t>考研数学无忧计划（26考研/基础）</t>
  </si>
  <si>
    <t>WYM260280033</t>
  </si>
  <si>
    <t>WYM26029</t>
  </si>
  <si>
    <t>考研数学无忧计划（26考研/强化）</t>
  </si>
  <si>
    <t>WYM260290033</t>
  </si>
  <si>
    <t>张嘉会</t>
  </si>
  <si>
    <t>107935536</t>
  </si>
  <si>
    <t>2025-06-04 08:53:33</t>
  </si>
  <si>
    <t xml:space="preserve">渠道录入来源：SCRM-客服推送
商机ID：5008974239
商机编码：XSJ20250604000126
针对人群：高中
学员号：BJ2737772
学生学校：不详
咨询课程：专业英语
创建人邮箱：zhangjianhua5@xdf.cn
创建时间：2025-06-04 08:53:30
资源类型：单个资源
跟进记录：商机备注：咨询四六级。辛苦交接老师回复，谢谢;接触点：微信；
</t>
  </si>
  <si>
    <t>28164419</t>
  </si>
  <si>
    <t>2025-06-04 17:18</t>
  </si>
  <si>
    <t>2025-06-20 22:44</t>
  </si>
  <si>
    <t>2025-06-29 18:48</t>
  </si>
  <si>
    <t>BJWY9158446648</t>
  </si>
  <si>
    <t>YKMJ250010005</t>
  </si>
  <si>
    <t>回访人：李政，回访时间：2025-06-12 16:59，回访内容：试听课邀约二次确认，电话沟通14分钟，孩子是小男生，英语基础一般，想要集训营或者是线上课程，暑期的安排没确定，想先看看孩子的时间安排。；|回访人：李政，回访时间：2025-06-14 17:45，回访内容：家长觉得英语问题不大，想要学学数学，做了大学生涯的简单规划。；|回访人：李政，回访时间：2025-06-18 15:05，回访内容：报名参加周五的试听课；|回访人：李政，回访时间：2025-06-20 22:44，回访内容：签约签约</t>
  </si>
  <si>
    <t>北京市9537</t>
  </si>
  <si>
    <t>114375220</t>
  </si>
  <si>
    <t>2025-06-14 16:02:08</t>
  </si>
  <si>
    <t>渠道录入来源：新东方官网PC资讯站-客服
意向城市：北京访客省/城市：北京市
访客静态ID：01000000034659988785586042379537
接待分组ID：70456
搜索引擎：www.baidu.com
搜索词：
关键词：
设备类型：pc
访客IP：114.244.196.31
对话详细内容：AI-Lbo0rDBXCyBY 2025-06-14 15:57:37_x000D_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2025-06-14 15:57:39_x000D_
您是想咨询【线下课程】【线上课程】【考研规划】还是【在职考研】呢？**【线下课程】#  **【线上课程】#**【考研规划】#**【在职考研】#_x000D_
_x000D_
01000000034659988785586042379537 2025-06-14 15:59:49_x000D_
线上四六级辅导课什么时间开课，收费如何？_x000D_
_x000D_
AI-Lbo0rDBXCyBY 2025-06-14 15:59:53_x000D_
不同的课程、班型学费都不一样的，由于班型较多，老师把报价发到你手机上，方便你查看，你手机号是多少？_x000D_
_x000D_
01000000034659988785586042379537 2025-06-14 16:00:07_x000D_
13661173428_x000D_
_x000D_
AI-Lbo0rDBXCyBY 2025-06-14 16:00:11_x000D_
好的，确认一下你的号码是否正确呢~_x000D_
_x000D_
01000000034659988785586042379537 2025-06-14 16:00:44_x000D_
怎样确认？_x000D_
_x000D_
AI-Lbo0rDBXCyBY 2025-06-14 16:00:47_x000D_
同学怎么称呼呢？_x000D_
_x000D_
01000000034659988785586042379537 2025-06-14 16:00:57_x000D_
是为孩子报的_x000D_
_x000D_
AI-Lbo0rDBXCyBY 2025-06-14 16:01:01_x000D_
这边马上安排顾问老师联系您，预计半个小时左右给您回电请注意接听~_x000D_
_x000D_
01000000034659988785586042379537 2025-06-14 16:01:15_x000D_
你这是机器人值班吗？_x000D_
_x000D_
AI-Lbo0rDBXCyBY 2025-06-14 16:01:18_x000D_
好的，这个也是您的微信号吗？_x000D_
_x000D_
来源页：https://www.baidu.com/link?url=7B_AwsDmcZQz1Rk2Wj9IGUmaIIf9-WOl28clRvbmcAS&amp;wd=&amp;eqid=f9a030dd0005dd4b00000002684d2b5e
备注：</t>
  </si>
  <si>
    <t>2026财年第1财月易聊新东方官网PC资讯站</t>
  </si>
  <si>
    <t>新东方官网PC资讯站</t>
  </si>
  <si>
    <t>2025-06-14 16:12:36</t>
  </si>
  <si>
    <t>郝俊文</t>
  </si>
  <si>
    <t>28356917</t>
  </si>
  <si>
    <t>2025-06-14 16:56</t>
  </si>
  <si>
    <t>2025-06-20 21:00</t>
  </si>
  <si>
    <t>2025-06-21 13:28</t>
  </si>
  <si>
    <t>BJWY2619944023</t>
  </si>
  <si>
    <t>YKMJ250010006</t>
  </si>
  <si>
    <t>回访人：宋增辉，回访时间：2025-06-14 16:56，回访内容：家长要等孩子成绩出来，如果是可以进去中外合作学校，就培训雅思，如果是国内高校就是四六级，先发四级真题，让孩子去做一下，看一下情况；|回访人：宋增辉，回访时间：2025-06-16 18:01，回访内容：家长要等孩子高考成绩出来，先和家长资料维护；|回访人：宋增辉，回访时间：2025-06-20 20:39，回访内容：已经报名；|回访人：宋增辉，回访时间：2025-06-20 20:54，回访内容：宋增辉进行了退单操作!(本条回访记录由系统自动记录)；|回访人：宋增辉，回访时间：2025-06-20 20:57，回访内容：报名；|回访人：宋增辉，回访时间：2025-06-20 20:59，回访内容：宋增辉进行了退单操作!(本条回访记录由系统自动记录)；|回访人：宋增辉，回访时间：2025-06-20 21:00，回访内容：已报名</t>
  </si>
  <si>
    <t>YKFJ250010006</t>
  </si>
  <si>
    <t>103152036</t>
  </si>
  <si>
    <t>2025-05-20 17:59:51</t>
  </si>
  <si>
    <t>咨询四级课程</t>
  </si>
  <si>
    <t>孙乐怡</t>
  </si>
  <si>
    <t>27962024</t>
  </si>
  <si>
    <t>2025-05-20 18:27</t>
  </si>
  <si>
    <t>北京市高井中学</t>
  </si>
  <si>
    <t>2025-06-20 20:27</t>
  </si>
  <si>
    <t>XDF4917257706</t>
  </si>
  <si>
    <t>WYF250310023</t>
  </si>
  <si>
    <t>回访人：李政，回访时间：2025-06-13 10:04，回访内容：试听课确认邀约，家长可能时间不多没办法参加，询问了走读班的详细信息；|回访人：李政，回访时间：2025-06-16 12:02，回访内容：发送试听课回放，无回复，长期跟进；|回访人：李政，回访时间：2025-06-20 11:58，回访内容：要优惠，说要全款支付以后就不回复了；|回访人：李政，回访时间：2025-06-20 20:27，回访内容：签约</t>
  </si>
  <si>
    <t>高同学</t>
  </si>
  <si>
    <t>113666495</t>
  </si>
  <si>
    <t>2025-06-11 11:20:01</t>
  </si>
  <si>
    <t xml:space="preserve">渠道录入来源：SCRM-客服推送
商机ID：5009036496
商机编码：XSJ20250611010872
针对人群：高中
学生学校：不详
咨询课程：英语
创建人邮箱：zhuyehong1@xdf.cn
创建时间：2025-06-11 11:18:36
资源类型：单个资源
跟进记录：商机备注：今年高考，不浪费暑假的安排，英语方面做一些提前准备，了解大学四六级，推荐了大学预科，家长在玉泉路附近，辛苦老师及时回电联系。;接触点：呼入；
</t>
  </si>
  <si>
    <t>28243178</t>
  </si>
  <si>
    <t>2025-06-11 12:05</t>
  </si>
  <si>
    <t>首都师范大学大兴附属中学</t>
  </si>
  <si>
    <t>2025-06-20 17:10</t>
  </si>
  <si>
    <t>BJWY9349929394</t>
  </si>
  <si>
    <t>YKFJ250010005</t>
  </si>
  <si>
    <t>回访人：李政，回访时间：2025-06-11 12:05，回访内容：家长咨询，孩子高考120分，距离小区太远，考虑线上，数学、口语、都不考虑，邀请试听课
没有人一起学习
不诺访；|回访人：李政，回访时间：2025-06-12 16:50，回访内容：试听课邀约确认，提醒周五的试听课有空可以来参加；|回访人：李政，回访时间：2025-06-15 18:55，回访内容：无回复2；|回访人：李政，回访时间：2025-06-18 15:39，回访内容：对比其他家，问了最低价；|回访人：李政，回访时间：2025-06-20 17:10，回访内容：签约</t>
  </si>
  <si>
    <t>115179227</t>
  </si>
  <si>
    <t>2025-06-19 09:49:07</t>
  </si>
  <si>
    <t>暑假学习六级</t>
  </si>
  <si>
    <t>2025-06-19 09:52:30</t>
  </si>
  <si>
    <t>王宜悦</t>
  </si>
  <si>
    <t>28428527</t>
  </si>
  <si>
    <t>2025-06-19 10:48</t>
  </si>
  <si>
    <t>经济与管理学院</t>
  </si>
  <si>
    <t>2025-06-19 11:38</t>
  </si>
  <si>
    <t>2025-06-19 11:39</t>
  </si>
  <si>
    <t>BJWY4832621491</t>
  </si>
  <si>
    <t>WYSJ250330017</t>
  </si>
  <si>
    <t>2025-06-19</t>
  </si>
  <si>
    <t>回访人：宋增辉，回访时间：2025-06-19 10:48，回访内容：家长没问题，马上报名；|回访人：宋增辉，回访时间：2025-06-19 11:38，回访内容：已报名</t>
  </si>
  <si>
    <t>王文涵</t>
  </si>
  <si>
    <t>114383185</t>
  </si>
  <si>
    <t>2025-06-14 17:35:51</t>
  </si>
  <si>
    <t>徐健坤老师老带新</t>
  </si>
  <si>
    <t>28359667</t>
  </si>
  <si>
    <t>2025-06-14 20:54</t>
  </si>
  <si>
    <t>经济管理学部</t>
  </si>
  <si>
    <t>文化产业管理</t>
  </si>
  <si>
    <t>2025-06-19 21:46</t>
  </si>
  <si>
    <t>XDF1928799125</t>
  </si>
  <si>
    <t>WYF250320007</t>
  </si>
  <si>
    <t>回访人：徐健坤，回访时间：2025-06-14 20:54，回访内容：英语基础不是很好跟刘东一一起咨询当时电话的时候也在旁边然后了解大班小班和一对二的价格；|回访人：徐健坤，回访时间：2025-06-17 22:12，回访内容：小班已经储值；|回访人：徐健坤，回访时间：2025-06-18 23:48，回访内容：明天入班；|回访人：徐健坤，回访时间：2025-06-19 21:46，回访内容：签约</t>
  </si>
  <si>
    <t>李雨桐</t>
  </si>
  <si>
    <t>110166645</t>
  </si>
  <si>
    <t>2025-06-05 14:27:14</t>
  </si>
  <si>
    <t>系统回收顾问工单，流转曹健激活分配刘文君老师</t>
  </si>
  <si>
    <t>2025-06-05 15:00:59</t>
  </si>
  <si>
    <t>28170235</t>
  </si>
  <si>
    <t>2025-06-05 15:32</t>
  </si>
  <si>
    <t>北京舞蹈学院</t>
  </si>
  <si>
    <t>人文学院</t>
  </si>
  <si>
    <t>花样滑冰</t>
  </si>
  <si>
    <t>2025-06-19 19:16</t>
  </si>
  <si>
    <t>2025-06-19 19:17</t>
  </si>
  <si>
    <t>BJWY8320039473</t>
  </si>
  <si>
    <t>WYS250310047</t>
  </si>
  <si>
    <t>回访人：李政，回访时间：2025-06-14 17:26，回访内容：周二回访；|回访人：李政，回访时间：2025-06-17 18:54，回访内容：电话沟通明天晚上校区面谈；|回访人：李政，回访时间：2025-06-18 18:45，回访内容：天气原因未到场；|回访人：李政，回访时间：2025-06-19 19:16，回访内容：签约</t>
  </si>
  <si>
    <t>史一民</t>
  </si>
  <si>
    <t>114549785</t>
  </si>
  <si>
    <t>2025-06-16 11:24:05</t>
  </si>
  <si>
    <t xml:space="preserve">孩子刚高考完，在山西。想要暑假上大学预科的课程。初次意向是集训，但是集训没有针对新大一的课程。推荐了魏公村第一套大学预科全科班，家长表示价格、时间都可以，但是考虑到住宿的问题，还在犹豫是上走读还是线上。现在和孩子在沟通一下。顾问老师不用联系，我来和孩子沟通完，具体情况互通就行。
</t>
  </si>
  <si>
    <t>李小龙lixiaolong25@xdf.cn</t>
  </si>
  <si>
    <t>28380514</t>
  </si>
  <si>
    <t>2025-06-16 11:30</t>
  </si>
  <si>
    <t>山西省运城市康杰中学</t>
  </si>
  <si>
    <t>2025-06-19 16:22</t>
  </si>
  <si>
    <t>2025-06-19 16:23</t>
  </si>
  <si>
    <t>李小龙</t>
  </si>
  <si>
    <t>BJWY8219033671</t>
  </si>
  <si>
    <t>YKSJ250010004</t>
  </si>
  <si>
    <t>回访人：李政，回访时间：2025-06-16 11:31，回访内容：学管老师已经沟通，孩子刚高考完，在山西。想要暑假上大学预科的课程。初次意向是集训，但是集训没有针对新大一的课程。推荐了魏公村第一套大学预科全科班，家长表示价格、时间都可以，但是考虑到住宿的问题，还在犹豫是上走读还是线上，稍后贴图；|回访人：李政，回访时间：2025-06-16 11:35，回访内容：补上一条沟通记录；|回访人：李政，回访时间：2025-06-17 19:20，回访内容：家长在找附近的房子；|回访人：李政，回访时间：2025-06-19 16:22，回访内容：签约</t>
  </si>
  <si>
    <t>YKMJ250010004</t>
  </si>
  <si>
    <t>YK250010006</t>
  </si>
  <si>
    <t>江雨峰</t>
  </si>
  <si>
    <t>115114018</t>
  </si>
  <si>
    <t>2025-06-18 15:40:39</t>
  </si>
  <si>
    <t>续费原因：咨询六级集训营，之前六级集训营退费了 这次考的不好 问问有没有优惠活动 辛苦沟通；该学生为保护期外续费，原顾问部门：国内大学部</t>
  </si>
  <si>
    <t>28469089</t>
  </si>
  <si>
    <t>2025-06-19 10:46</t>
  </si>
  <si>
    <t>吉林大学</t>
  </si>
  <si>
    <t>计算机科学与技术学院</t>
  </si>
  <si>
    <t>2025-06-19 14:45</t>
  </si>
  <si>
    <t>2025-06-19 17:10</t>
  </si>
  <si>
    <t>BJWY8315344217</t>
  </si>
  <si>
    <t>ZVVB260010018</t>
  </si>
  <si>
    <t>回访人：田一禾，回访时间：2025-06-19 10:46，回访内容：之前一直没报上，最近大三又没有考过，今日预报名，谈妥；|回访人：田一禾，回访时间：2025-06-19 14:45，回访内容：今日签约</t>
  </si>
  <si>
    <t>北京市4599</t>
  </si>
  <si>
    <t>115108879</t>
  </si>
  <si>
    <t>2025-06-18 18:37:15</t>
  </si>
  <si>
    <t>渠道录入来源：新东方PC官网-客服
意向城市：北京访客省/城市：北京市
访客静态ID：01000000034659024251935860804599
接待分组ID：70447
搜索引擎：
搜索词：
关键词：
设备类型：pc
访客IP：111.192.241.3
对话详细内容：AI-Lbo0rDBXCyBY 2025-06-18 18:28:37_x000D_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2025-06-18 18:28:41_x000D_
您是想咨询【线下课程】【线上课程】【考研规划】还是【在职考研】呢？**【线下课程】#  **【线上课程】#**【考研规划】#**【在职考研】#_x000D_
_x000D_
01000000034659024251935860804599 2025-06-18 18:32:56_x000D_
【线下课程】_x000D_
_x000D_
AI-Lbo0rDBXCyBY 2025-06-18 18:33:00_x000D_
同学，你现在是在校还是在职呢？_x000D_
_x000D_
01000000034659024251935860804599 2025-06-18 18:33:11_x000D_
在校_x000D_
_x000D_
AI-Lbo0rDBXCyBY 2025-06-18 18:33:15_x000D_
具体是想报考什么学校和专业呢？_x000D_
_x000D_
01000000034659024251935860804599 2025-06-18 18:33:46_x000D_
六级考试。_x000D_
_x000D_
AI-Lbo0rDBXCyBY 2025-06-18 18:33:50_x000D_
您目前在学的院校是哪所呢？_x000D_
_x000D_
01000000034659024251935860804599 2025-06-18 18:34:12_x000D_
北京二外，大一。_x000D_
_x000D_
AI-Lbo0rDBXCyBY 2025-06-18 18:34:16_x000D_
您目前英语基础如何呢？_x000D_
_x000D_
01000000034659024251935860804599 2025-06-18 18:34:38_x000D_
刚过四级。_x000D_
_x000D_
AI-Lbo0rDBXCyBY 2025-06-18 18:34:42_x000D_
这样，您微信还是电话方便呢？我安排四六级老师联系您，将课程的详细内容介绍给您_x000D_
_x000D_
01000000034659024251935860804599 2025-06-18 18:35:14_x000D_
电话：13651273571._x000D_
_x000D_
AI-Lbo0rDBXCyBY 2025-06-18 18:35:18_x000D_
好的，确认一下你的号码是否正确呢~_x000D_
_x000D_
01000000034659024251935860804599 2025-06-18 18:35:38_x000D_
正确_x000D_
_x000D_
AI-Lbo0rDBXCyBY 2025-06-18 18:35:41_x000D_
同学怎么称呼呢？_x000D_
_x000D_
01000000034659024251935860804599 2025-06-18 18:35:57_x000D_
于同学。_x000D_
_x000D_
AI-Lbo0rDBXCyBY 2025-06-18 18:36:01_x000D_
这边马上安排顾问老师联系您，预计半个小时左右给您回电请注意接听~_x000D_
_x000D_
01000000034659024251935860804599 2025-06-18 18:36:09_x000D_
好_x000D_
_x000D_
AI-Lbo0rDBXCyBY 2025-06-18 18:36:12_x000D_
好的，这个也是您的微信号吗？_x000D_
_x000D_
01000000034659024251935860804599 2025-06-18 18:36:21_x000D_
是的_x000D_
_x000D_
AI-Lbo0rDBXCyBY 2025-06-18 18:36:25_x000D_
稍后老师会联系哈_x000D_
_x000D_
01000000034659024251935860804599 2025-06-18 18:36:39_x000D_
&amp;lt;img width=&amp;quot;18&amp;quot; class=&amp;quot;jesong_emojiIcon&amp;quot; src=&amp;quot;https://views-cdn.easyliao.com/view/ROOT-view/v1.7.9.15/src/assets/images/emoticon/39.png&amp;quot;&amp;gt;_x000D_
_x000D_
AI-Lbo0rDBXCyBY 2025-06-18 18:36:42_x000D_
不好意思，我这边平台是加密对话，没办法接收、发送图片和文件，您微信多少？我加下您详细聊吧。_x000D_
_x000D_
_x000D_
01000000034659024251935860804599 2025-06-18 18:37:07_x000D_
同手机。_x000D_
_x000D_
AI-Lbo0rDBXCyBY 2025-06-18 18:37:11_x000D_
好的，请问还有其他问题需要咨询吗？_x000D_
_x000D_
来源页：https://www.xdf.cn/beijing/
备注：</t>
  </si>
  <si>
    <t>2025-06-18 18:51:12</t>
  </si>
  <si>
    <t>于尤赫</t>
  </si>
  <si>
    <t>28467187</t>
  </si>
  <si>
    <t>2025-06-18 19:14</t>
  </si>
  <si>
    <t>旅游科学学院</t>
  </si>
  <si>
    <t>旅游管理</t>
  </si>
  <si>
    <t>2025-06-19 10:08</t>
  </si>
  <si>
    <t>2025-06-19 10:18</t>
  </si>
  <si>
    <t>BJWY4295906096</t>
  </si>
  <si>
    <t>WYS250310046</t>
  </si>
  <si>
    <t>回访人：刘晓娟，回访时间：2025-06-18 19:14，回访内容：刚考完四级，父亲咨询，四级应该是能过，想看看六级线下的课程，介绍大班和小班，商量下；|回访人：刘晓娟，回访时间：2025-06-19 10:08，回访内容：报名</t>
  </si>
  <si>
    <t>刘心怡</t>
  </si>
  <si>
    <t>114385978</t>
  </si>
  <si>
    <t>2025-06-14 18:32:19</t>
  </si>
  <si>
    <t>续费原因：了解暑假六级；该学生为保护期内续费，原顾问：国内大学部-徐健坤(xujiankun1@xdf.cn)</t>
  </si>
  <si>
    <t>28358828</t>
  </si>
  <si>
    <t>2025-06-14 18:52</t>
  </si>
  <si>
    <t>口腔医学</t>
  </si>
  <si>
    <t>2025-06-18 23:20</t>
  </si>
  <si>
    <t>BJWY5521385848</t>
  </si>
  <si>
    <t>WYSJ250330016</t>
  </si>
  <si>
    <t>2025-06-18</t>
  </si>
  <si>
    <t>回访人：徐健坤，回访时间：2025-06-14 18:52，回访内容：四级考试后主动问六级的暑期课程 ；|回访人：徐健坤，回访时间：2025-06-18 23:20，回访内容：签约</t>
  </si>
  <si>
    <t>黄俊杰</t>
  </si>
  <si>
    <t>115096972</t>
  </si>
  <si>
    <t>2025-06-18 15:44:58</t>
  </si>
  <si>
    <t>续费原因：续费四六级；该学生为保护期内续费，原顾问：国内大学部-刘晓娟(liuxiaojuan@xdf.cn)</t>
  </si>
  <si>
    <t>28465059</t>
  </si>
  <si>
    <t>2025-06-18 17:12</t>
  </si>
  <si>
    <t>六级,数学</t>
  </si>
  <si>
    <t>新闻传播学院</t>
  </si>
  <si>
    <t>2025-06-18 18:31</t>
  </si>
  <si>
    <t>2025-06-20 12:33</t>
  </si>
  <si>
    <t>LP17502426704170</t>
  </si>
  <si>
    <t>六级一对一伴学班（定制）</t>
  </si>
  <si>
    <t>BJWY7255636583</t>
  </si>
  <si>
    <t>回访人：刘晓娟，回访时间：2025-06-18 17:12，回访内容：六级一对一30小时</t>
  </si>
  <si>
    <t>114268438</t>
  </si>
  <si>
    <t>2025-06-14 16:24:49</t>
  </si>
  <si>
    <t xml:space="preserve">咨询四级暑假线下课程，微信联系：yyyyydddddllllll
渠道录入来源：大众点评
事件名称：400电话
大众点评门店名称：新东方考研四六级(中关村总部)
店铺绑定的校区：临时教学校区
店铺管理员邮箱：lvmeng2@xdf.cn
备注：2025-06-14 16:24:46,用户在大众点评新东方考研四六级(中关村总部)呼入400电话 已接
</t>
  </si>
  <si>
    <t>刘东熠</t>
  </si>
  <si>
    <t>28336730</t>
  </si>
  <si>
    <t>2025-06-14 17:32</t>
  </si>
  <si>
    <t>城市轨道交通与物流学院</t>
  </si>
  <si>
    <t>电气工程及其自动化</t>
  </si>
  <si>
    <t>2025-06-18 21:18</t>
  </si>
  <si>
    <t>BJWY0362994456</t>
  </si>
  <si>
    <t>WYF250320006</t>
  </si>
  <si>
    <t>回访人：徐健坤，回访时间：2025-06-14 17:32，回访内容：学生本人咨询 英语基础不太好，高考英语八十到九十分左右，然后基础较为薄弱，想要提前了解一下四级课程，12月份考试，主推的是小班和异地一；|回访人：徐健坤，回访时间：2025-06-16 20:17，回访内容：询问课程意向；|回访人：徐健坤，回访时间：2025-06-18 21:18，回访内容：签约</t>
  </si>
  <si>
    <t>115108244</t>
  </si>
  <si>
    <t>2025-06-18 18:13:50</t>
  </si>
  <si>
    <t>续费原因：大学一对一课程 ，顾问刘晓娟老师；该学生为保护期内续费，原顾问：国内大学部-刘晓娟(liuxiaojuan@xdf.cn)</t>
  </si>
  <si>
    <t>28426052</t>
  </si>
  <si>
    <t>2025-06-18 18:19</t>
  </si>
  <si>
    <t>2025-06-18 18:24</t>
  </si>
  <si>
    <t>2025-06-18 18:57</t>
  </si>
  <si>
    <t>LP17502422394118</t>
  </si>
  <si>
    <t>回访人：刘晓娟，回访时间：2025-06-18 18:19，回访内容：一对一政治</t>
  </si>
  <si>
    <t>113699724</t>
  </si>
  <si>
    <t>2025-06-11 17:59:27</t>
  </si>
  <si>
    <t xml:space="preserve">咨询四级课程，10分钟后到校魏公村区咨询，尽快联系
渠道录入来源：大众点评
事件名称：400电话
大众点评门店名称：新东方考研四六级(中关村总部)
店铺绑定的校区：临时教学校区
店铺管理员邮箱：lvmeng2@xdf.cn
备注：2025-06-11 17:59:25,用户在大众点评新东方考研四六级(中关村总部)呼入400电话 已接
</t>
  </si>
  <si>
    <t>刘玥谌</t>
  </si>
  <si>
    <t>28249399</t>
  </si>
  <si>
    <t>2025-06-11 18:57</t>
  </si>
  <si>
    <t>清华附中朝阳学校</t>
  </si>
  <si>
    <t>2025-06-18 17:08</t>
  </si>
  <si>
    <t>BJWY9206197694</t>
  </si>
  <si>
    <t>YKF250010002</t>
  </si>
  <si>
    <t>回访人：刘晓娟，回访时间：2025-06-11 18:57，回访内容：高三，本人过来咨询的，高中英语110多分，清华附中的学生，咨询四级，线下大班，回去跟家里商量下，大学预科目前不考虑；|回访人：刘晓娟，回访时间：2025-06-15 15:43，回访内容：家长给孩子报，但是有事没过来，促单，先看看要不出个电子协议；|回访人：刘晓娟，回访时间：2025-06-18 17:08，回访内容：报名</t>
  </si>
  <si>
    <t>北京市6516</t>
  </si>
  <si>
    <t>114945431</t>
  </si>
  <si>
    <t>2025-06-18 09:39:24</t>
  </si>
  <si>
    <t>渠道录入来源：新东方官网APP-客服
意向城市：北京访客省/城市：北京市
访客静态ID：01000000034659021056307881726516
接待分组ID：70458
搜索引擎：
搜索词：
关键词：
设备类型：phone
访客IP：223.104.42.209
对话详细内容：AI-Lbo0rDBXCyBY 2025-06-18 09:36:04_x000D_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2025-06-18 09:36:07_x000D_
您是想咨询【线下课程】【线上课程】【考研规划】还是【在职考研】呢？**【线下课程】#  **【线上课程】#**【考研规划】#**【在职考研】#_x000D_
_x000D_
01000000034659021056307881726516 2025-06-18 09:36:25_x000D_
【线下课程】_x000D_
_x000D_
AI-Lbo0rDBXCyBY 2025-06-18 09:36:30_x000D_
同学，你现在是在校还是在职呢？_x000D_
_x000D_
AI-Lbo0rDBXCyBY 2025-06-18 09:37:06_x000D_
您好，能看到我的对话吗？如有疑问，可以在此留电咨询！_x000D_
_x000D_
01000000034659021056307881726516 2025-06-18 09:37:15_x000D_
在职读了一个在职研究生，今年8月底开学_x000D_
_x000D_
AI-Lbo0rDBXCyBY 2025-06-18 09:37:19_x000D_
具体是想报考什么学校和专业呢？_x000D_
_x000D_
01000000034659021056307881726516 2025-06-18 09:37:23_x000D_
13520611222_x000D_
_x000D_
AI-Lbo0rDBXCyBY 2025-06-18 09:37:27_x000D_
好的，确认一下你的号码是否正确呢~_x000D_
_x000D_
01000000034659021056307881726516 2025-06-18 09:37:34_x000D_
我想报四六级_x000D_
_x000D_
AI-Lbo0rDBXCyBY 2025-06-18 09:37:38_x000D_
同学怎么称呼呢？_x000D_
_x000D_
01000000034659021056307881726516 2025-06-18 09:38:09_x000D_
在职研究生两年期间，希望把四六级都考过_x000D_
_x000D_
AI-Lbo0rDBXCyBY 2025-06-18 09:38:12_x000D_
这边马上安排顾问老师联系您，预计半个小时左右给您回电请注意接听~_x000D_
_x000D_
01000000034659021056307881726516 2025-06-18 09:38:13_x000D_
钟勤_x000D_
_x000D_
AI-Lbo0rDBXCyBY 2025-06-18 09:38:16_x000D_
好的，这个也是您的微信号吗？_x000D_
_x000D_
01000000034659021056307881726516 2025-06-18 09:38:22_x000D_
在上班_x000D_
_x000D_
AI-Lbo0rDBXCyBY 2025-06-18 09:38:26_x000D_
好的，稍后加您微信，您记得通过_x000D_
_x000D_
01000000034659021056307881726516 2025-06-18 09:38:30_x000D_
不便电话_x000D_
_x000D_
AI-Lbo0rDBXCyBY 2025-06-18 09:38:34_x000D_
稍后老师会联系哈_x000D_
_x000D_
01000000034659021056307881726516 2025-06-18 09:38:39_x000D_
13520611222_x000D_
_x000D_
AI-Lbo0rDBXCyBY 2025-06-18 09:38:43_x000D_
好的，请问还有其他问题需要咨询吗？_x000D_
_x000D_
来源页：https://www.xdf.cn/
备注：</t>
  </si>
  <si>
    <t>2025-06-18 10:19:46</t>
  </si>
  <si>
    <t>蔡勤</t>
  </si>
  <si>
    <t>28399368</t>
  </si>
  <si>
    <t>2025-06-18 11:21</t>
  </si>
  <si>
    <t>光华管理学院</t>
  </si>
  <si>
    <t>2025-06-18 16:42</t>
  </si>
  <si>
    <t>BJWY7756219640</t>
  </si>
  <si>
    <t>WYFJ250330015</t>
  </si>
  <si>
    <t>回访人：刘晓娟，回访时间：2025-06-18 11:21，回访内容：在职，考的背景大学的EMBA，想考四级，介绍四级的线上课程和一对一，考虑下；|回访人：刘晓娟，回访时间：2025-06-18 16:42，回访内容：报名</t>
  </si>
  <si>
    <t>杨婉晨</t>
  </si>
  <si>
    <t>115102492</t>
  </si>
  <si>
    <t>2025-06-18 17:00:00</t>
  </si>
  <si>
    <t>续费原因：学员了解六级课程；该学生为保护期外续费，原顾问部门：国内大学部</t>
  </si>
  <si>
    <t>28425870</t>
  </si>
  <si>
    <t>2025-06-18 18:08</t>
  </si>
  <si>
    <t>中国矿业大学</t>
  </si>
  <si>
    <t>环境与测绘学院</t>
  </si>
  <si>
    <t>环境科学与工程</t>
  </si>
  <si>
    <t>2025-06-18 20:23</t>
  </si>
  <si>
    <t>2025-06-19 10:16</t>
  </si>
  <si>
    <t>BJWY5283280715</t>
  </si>
  <si>
    <t>WYS250310045</t>
  </si>
  <si>
    <t>回访人：刘晓娟，回访时间：2025-06-18 18:08，回访内容：咨询六级线上和线下的课程安排，介绍优惠；|回访人：刘晓娟，回访时间：2025-06-18 20:23，回访内容：报名</t>
  </si>
  <si>
    <t>北京市1511</t>
  </si>
  <si>
    <t>114516595</t>
  </si>
  <si>
    <t>2025-06-15 20:43:36</t>
  </si>
  <si>
    <t>渠道录入来源：新东方官网M站-客服
意向城市：北京访客省/城市：北京市
访客静态ID：01000003465900999117217347581511
接待分组ID：70455
搜索引擎：
搜索词：
关键词：
设备类型：phone
访客IP：120.245.70.206
对话详细内容：AI-Lbo0rDBXCyBY 2025-06-15 20:39:33_x000D_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2025-06-15 20:39:36_x000D_
您是想咨询【线下课程】【线上课程】【考研规划】还是【在职考研】呢？**【线下课程】#  **【线上课程】#**【考研规划】#**【在职考研】#_x000D_
_x000D_
01000003465900999117217347581511 2025-06-15 20:39:45_x000D_
【线下课程】_x000D_
_x000D_
01000003465900999117217347581511 2025-06-15 20:39:47_x000D_
【四/六级课程】_x000D_
_x000D_
AI-Lbo0rDBXCyBY 2025-06-15 20:39:50_x000D_
您目前在学的院校是哪所呢？_x000D_
_x000D_
01000003465900999117217347581511 2025-06-15 20:40:16_x000D_
北京市电子科技职业学院_x000D_
_x000D_
AI-Lbo0rDBXCyBY 2025-06-15 20:40:19_x000D_
您目前英语基础如何呢？_x000D_
_x000D_
AI-Lbo0rDBXCyBY 2025-06-15 20:40:56_x000D_
您好，能看到我的对话吗？如有疑问，可以在此留电咨询！_x000D_
_x000D_
01000003465900999117217347581511 2025-06-15 20:41:03_x000D_
已通过高职高专英语A级_x000D_
_x000D_
AI-Lbo0rDBXCyBY 2025-06-15 20:41:06_x000D_
这样，您微信还是电话方便呢？我安排四六级老师联系您，将课程的详细内容介绍给您_x000D_
_x000D_
01000003465900999117217347581511 2025-06-15 20:41:18_x000D_
微信_x000D_
_x000D_
AI-Lbo0rDBXCyBY 2025-06-15 20:41:22_x000D_
可以的，您的微信号码是~_x000D_
_x000D_
01000003465900999117217347581511 2025-06-15 20:41:34_x000D_
13683372495_x000D_
_x000D_
AI-Lbo0rDBXCyBY 2025-06-15 20:41:38_x000D_
好的，确认一下您的号码是否正确呢？_x000D_
_x000D_
AI-Lbo0rDBXCyBY 2025-06-15 20:43:35_x000D_
同学您好，目前处于咨询的高峰期，如需咨询25/26考研【复习规划、择校择专业】【课程详情】等问题，您可以留下您的【姓名电话方便接听电话的时间】，我们会安排老师第一时间为您回电免费咨询！_x000D_
_x000D_
来源页：https://m.xdf.cn/city/110100
备注：</t>
  </si>
  <si>
    <t>2025-06-16 10:44:49</t>
  </si>
  <si>
    <t>葛思翔</t>
  </si>
  <si>
    <t>28372284</t>
  </si>
  <si>
    <t>2025-06-16 14:13</t>
  </si>
  <si>
    <t>北京科技职业学院</t>
  </si>
  <si>
    <t>环境设计</t>
  </si>
  <si>
    <t>环境艺术设计</t>
  </si>
  <si>
    <t>2025-06-18 15:43</t>
  </si>
  <si>
    <t>2025-06-18 15:44</t>
  </si>
  <si>
    <t>20300.0</t>
  </si>
  <si>
    <t>BJWY6613764570</t>
  </si>
  <si>
    <t>WYF250320005</t>
  </si>
  <si>
    <t>回访人：田一禾，回访时间：2025-06-16 14:13，回访内容：我回家让孩子试听一下，征求一下他的意见，孩子刚考过三级，目前基础不算特别好；|回访人：田一禾，回访时间：2025-06-17 10:15，回访内容：家长昨天表示今天让孩子回去看试听课，今日询问感受，未回复；|回访人：田一禾，回访时间：2025-06-18 15:43，回访内容：今日签约</t>
  </si>
  <si>
    <t>四级线上网课,四级无忧计划</t>
  </si>
  <si>
    <t>斌斌</t>
  </si>
  <si>
    <t>103589900</t>
  </si>
  <si>
    <t>2025-05-25 12:35:38</t>
  </si>
  <si>
    <t xml:space="preserve">渠道录入来源：SCRM-客服推送
商机ID：5008910696
商机编码：XSJ20250525022692
针对人群：大学
学生学校：不详
咨询课程：英语
创建人邮箱：zhaowenjing6@xdf.cn
创建时间：2025-05-25 12:35:33
资源类型：单个资源
跟进记录：商机备注：【外呼组+雅思新题邀约】同学爸爸接听，咨询暑假的六级课程，辛苦老师联系;接触点：呼出；
</t>
  </si>
  <si>
    <t>王薪源</t>
  </si>
  <si>
    <t>28012253</t>
  </si>
  <si>
    <t>2025-05-25 13:29</t>
  </si>
  <si>
    <t>六级,英语</t>
  </si>
  <si>
    <t>2025-06-17 20:40</t>
  </si>
  <si>
    <t>BJWY0230020462</t>
  </si>
  <si>
    <t>WYS250310044</t>
  </si>
  <si>
    <t>2025-06-17</t>
  </si>
  <si>
    <t>回访人：宋增辉，回访时间：2025-06-08 10:39，回访内容：沟通后孩子喜欢大班课，实则家长顾虑价格，询问是否还有优惠，尝试发协议，看能签不；|回访人：宋增辉，回访时间：2025-06-08 14:08，回访内容：已发了邀请填写的班级协议，未回复，电话无人接听；|回访人：宋增辉，回访时间：2025-06-08 15:35，回访内容：电话未接，微信有回复，要看孩子自己；|回访人：宋增辉，回访时间：2025-06-09 12:01，回访内容：无人接听，微信联系；|回访人：宋增辉，回访时间：2025-06-10 11:29，回访内容：电话拒接，和孩子没沟通上，之前提供一半的学生信息；|回访人：宋增辉，回访时间：2025-06-14 10:48，回访内容：电话未接，微信提醒考试时间；|回访人：宋增辉，回访时间：2025-06-15 14:07，回访内容：电话无人接听，微信留言，等孩子消息；|回访人：宋增辉，回访时间：2025-06-16 15:21，回访内容：无人接听，消息不回；|回访人：宋增辉，回访时间：2025-06-17 20:40，回访内容：已报名</t>
  </si>
  <si>
    <t>暑假集训营</t>
  </si>
  <si>
    <t>梁玉晗</t>
  </si>
  <si>
    <t>114357521</t>
  </si>
  <si>
    <t>2025-06-14 20:59:53</t>
  </si>
  <si>
    <t>资源录入来源：小表单-官网
市场活动id：844374
市场活动名称：新东方集团官网【新东方】资源
活动所属学校id：10000
活动所属学校名称：总公司
线索接收人邮箱：dxbj_kf@xdf.cn
线索接受人类型：自定义
表单信息：表单id161805、表单名(对内)：新东方集团官网【新东方】资源、表单名（对外）：新东方课程咨询、创建人邮箱：caian@xdf.cn、表单链接：https://m.souke.xdf.cn/item/110100-108-WYS25032.html
备注：来源:官网;姓名:梁玉晗;意向课程: 考研|四六级|专升本|成人英语|教资财会/B北京/北京; 新老生: 新生;渠道:官网/新东方小程序/小程序班级详情页;来源页：【https://m.souke.xdf.cn/item/110100-108-WYS25032.html】</t>
  </si>
  <si>
    <t>2026财年小表单-官网-新东方集团官网【新东方】资源</t>
  </si>
  <si>
    <t>2025-06-15 17:07:06</t>
  </si>
  <si>
    <t>28377386</t>
  </si>
  <si>
    <t>2025-06-15 18:32</t>
  </si>
  <si>
    <t>宁夏大学</t>
  </si>
  <si>
    <t>机械工程学院</t>
  </si>
  <si>
    <t>机械工程（大类培养）</t>
  </si>
  <si>
    <t>2025-06-17 18:46</t>
  </si>
  <si>
    <t>2025-06-17 18:47</t>
  </si>
  <si>
    <t>BJWY3765134442</t>
  </si>
  <si>
    <t>ZVVB260010017</t>
  </si>
  <si>
    <t>回访人：田一禾，回访时间：2025-06-15 18:32，回访内容：住宿，四级刚考完，准备考6级，新大二，2个孩子一起，另外一个考研究生也要学六级；|回访人：田一禾，回访时间：2025-06-16 16:07，回访内容：今日发送优惠详情适当逼单，问另一个孩子信息，家长未说，再尝试；|回访人：田一禾，回访时间：2025-06-17 15:14，回访内容：另一个孩子要咨询考研。给推荐了。今天让这个孩子对先签协议入班，目前没回复。；|回访人：田一禾，回访时间：2025-06-17 18:46，回访内容：今日签约</t>
  </si>
  <si>
    <t>小表单-官网</t>
  </si>
  <si>
    <t>李思晨</t>
  </si>
  <si>
    <t>114853500</t>
  </si>
  <si>
    <t>2025-06-17 16:06:08</t>
  </si>
  <si>
    <t>续费原因：续费1课时【微信联系】；该学生为保护期内续费，原顾问：国内大学部-李政(lizheng79@xdf.cn)</t>
  </si>
  <si>
    <t>28310567</t>
  </si>
  <si>
    <t>2025-06-17 16:44</t>
  </si>
  <si>
    <t>英语学习</t>
  </si>
  <si>
    <t>2025-06-17 16:50</t>
  </si>
  <si>
    <t>2025-06-17 16:52</t>
  </si>
  <si>
    <t>LP17501502372870</t>
  </si>
  <si>
    <t>BJWY3399386490</t>
  </si>
  <si>
    <t>回访人：李政，回访时间：2025-06-17 16:44，回访内容：签约</t>
  </si>
  <si>
    <t>112797301</t>
  </si>
  <si>
    <t>2025-06-06 18:02:16</t>
  </si>
  <si>
    <t xml:space="preserve">研一在读，咨询四级线下课程，微信联系，电话就可以加到微信
渠道录入来源：大众点评
事件名称：在线咨询
大众点评门店名称：新东方考研四六级(中关村总部)
店铺绑定的校区：临时教学校区
店铺管理员邮箱：lvmeng2@xdf.cn
备注：2025-06-06 18:02:14,用户在大众点评新东方考研四六级(中关村总部)在线咨询
</t>
  </si>
  <si>
    <t>朱沫霖</t>
  </si>
  <si>
    <t>28202993</t>
  </si>
  <si>
    <t>2025-06-07 10:17</t>
  </si>
  <si>
    <t>2025-06-17 19:11</t>
  </si>
  <si>
    <t>BJWY4677138768</t>
  </si>
  <si>
    <t>WYF250320004</t>
  </si>
  <si>
    <t>回访人：房国超，回访时间：2025-06-08 15:06，回访内容：电话无人接， 微信说  周末再联系；|回访人：房国超，回访时间：2025-06-15 13:15，回访内容：暂定暑假小班，要看周一和学校沟通；|回访人：房国超，回访时间：2025-06-16 14:24，回访内容：已储值19300，  等待优惠入班；|回访人：房国超，回访时间：2025-06-17 19:11，回访内容：签约</t>
  </si>
  <si>
    <t>北京市1434</t>
  </si>
  <si>
    <t>113174050</t>
  </si>
  <si>
    <t>2025-06-08 10:22:57</t>
  </si>
  <si>
    <t>渠道录入来源：新东方官网M站-客服
意向城市：北京访客省/城市：北京市
访客静态ID：01000003465900093477846494201434
接待分组ID：70455
搜索引擎：
搜索词：
关键词：
设备类型：phone
访客IP：114.241.33.226
对话详细内容：AI-Lbo0rDBXCyBY 2025-06-08 09:56:25_x000D_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2025-06-08 09:56:28_x000D_
您是想咨询【线下课程】【线上课程】【考研规划】还是【在职考研】呢？**【线下课程】#  **【线上课程】#**【考研规划】#**【在职考研】#_x000D_
_x000D_
01000003465900093477846494201434 2025-06-08 09:58:59_x000D_
【线下课程】_x000D_
_x000D_
AI-Lbo0rDBXCyBY 2025-06-08 09:59:03_x000D_
同学，你现在是在校还是在职呢？_x000D_
_x000D_
01000003465900093477846494201434 2025-06-08 09:59:13_x000D_
在校_x000D_
_x000D_
AI-Lbo0rDBXCyBY 2025-06-08 09:59:16_x000D_
具体是想报考什么学校和专业呢？_x000D_
_x000D_
01000003465900093477846494201434 2025-06-08 09:59:22_x000D_
准备考六级_x000D_
_x000D_
AI-Lbo0rDBXCyBY 2025-06-08 09:59:25_x000D_
您目前在学的院校是哪所呢？_x000D_
_x000D_
01000003465900093477846494201434 2025-06-08 09:59:30_x000D_
【四/六级课程】_x000D_
_x000D_
AI-Lbo0rDBXCyBY 2025-06-08 09:59:33_x000D_
您目前英语基础如何呢？_x000D_
_x000D_
01000003465900093477846494201434 2025-06-08 09:59:51_x000D_
大一四级524分_x000D_
_x000D_
AI-Lbo0rDBXCyBY 2025-06-08 09:59:55_x000D_
这样，您微信还是电话方便呢？我安排四六级老师联系您，将课程的详细内容介绍给您_x000D_
_x000D_
01000003465900093477846494201434 2025-06-08 10:00:28_x000D_
六级知春校区的老师水平如何_x000D_
_x000D_
AI-Lbo0rDBXCyBY 2025-06-08 10:00:32_x000D_
嗯嗯  好的那同学稍后方便接听电话吗？我这边可以立刻安排专业老师给您回电呢_x000D_
_x000D_
01000003465900093477846494201434 2025-06-08 10:00:42_x000D_
推荐哪位_x000D_
_x000D_
AI-Lbo0rDBXCyBY 2025-06-08 10:00:46_x000D_
这样，您电话多少，我安排考研部的老师联系您，将课程的详细内容介绍给您_x000D_
_x000D_
01000003465900093477846494201434 2025-06-08 10:00:55_x000D_
考研？_x000D_
_x000D_
AI-Lbo0rDBXCyBY 2025-06-08 10:00:58_x000D_
这个可以具体安排老师跟您联系一下，同学这边觉得电话方便还是微信方便呢~_x000D_
_x000D_
AI-Lbo0rDBXCyBY 2025-06-08 10:01:35_x000D_
您好，能看到我的对话吗？如有疑问，可以在此留电咨询！_x000D_
_x000D_
AI-Lbo0rDBXCyBY 2025-06-08 10:01:55_x000D_
如果打字不方便，可以在此输入电话或者微信，这边安排老师与您联系，为您详细解答！_x000D_
_x000D_
AI-Lbo0rDBXCyBY 2025-06-08 10:02:55_x000D_
同学您好，目前处于咨询的高峰期，如需咨询25/26考研【复习规划、择校择专业】【课程详情】等问题，您可以留下您的【姓名电话方便接听电话的时间】，我们会安排老师第一时间为您回电免费咨询！_x000D_
_x000D_
AI-Lbo0rDBXCyBY 2025-06-08 10:03:55_x000D_
同学您好呀，请问还有什么课程方面的内容可以帮助到您的吗？_x000D_
_x000D_
AI-Lbo0rDBXCyBY 2025-06-08 10:05:55_x000D_
您好！如果没有其他问题，此次回话即将结束。欢迎再次咨询，祝您生活愉快！_x000D_
_x000D_
来源页：https://m.xdf.cn/
备注：</t>
  </si>
  <si>
    <t>2025-06-08 11:13:22</t>
  </si>
  <si>
    <t>顾珈睿</t>
  </si>
  <si>
    <t>28211377</t>
  </si>
  <si>
    <t>2025-06-08 12:21</t>
  </si>
  <si>
    <t>2025-06-17 20:45</t>
  </si>
  <si>
    <t>BJWY7628153245</t>
  </si>
  <si>
    <t>WYS250320007</t>
  </si>
  <si>
    <t>回访人：宋增辉，回访时间：2025-06-08 12:21，回访内容：北京工业大学，有保研需求孩子只能考一次六级，过来不能刷分，孩子爸爸和妈妈一起问的，介绍了小班和一对一，报课意向比较高，要问孩子看那种学习模式，邀约明天早上10点魏公村面访；|回访人：宋增辉，回访时间：2025-06-09 11:12，回访内容：课程已经了解差不多了，基本定下来是小班课，套餐班要和孩子最后再确认一下，晚上回收单；|回访人：宋增辉，回访时间：2025-06-09 16:28，回访内容：回家后和孩子没有见面，还没有沟通，晚上沟通后给答复；|回访人：宋增辉，回访时间：2025-06-10 17:00，回访内容：要等孩子自己决定，这两天给答复；|回访人：宋增辉，回访时间：2025-06-10 17:16，回访内容：孩子再考虑选择什么授课形式，等孩子回复选择；|回访人：宋增辉，回访时间：2025-06-13 19:21，回访内容：电话未接，这几天孩子期末考试，等孩子选择哪种学习模式；|回访人：宋增辉，回访时间：2025-06-14 16:27，回访内容：电话未接，微信留言，卡点是孩子犹豫没有定下来学习模式；|回访人：宋增辉，回访时间：2025-06-15 19:44，回访内容：孩子爸爸决定学习小班，先出协议，今天说他很忙，出了班级协议转发给孩子妈妈；|回访人：宋增辉，回访时间：2025-06-16 17:54，回访内容：孩子爸爸比较忙，协议发给了妈妈，妈妈这边还没有签，孩子没有问题，爸爸妈妈也觉得小班可以，报名时间给说的是这两天；|回访人：宋增辉，回访时间：2025-06-17 20:45，回访内容：已报名</t>
  </si>
  <si>
    <t>张何崑</t>
  </si>
  <si>
    <t>114783445</t>
  </si>
  <si>
    <t>2025-06-17 10:12:45</t>
  </si>
  <si>
    <t>续费原因：补800特批入班；该学生为保护期外续费，原顾问部门：国内大学部</t>
  </si>
  <si>
    <t>28394594</t>
  </si>
  <si>
    <t>2025-06-17 16:49</t>
  </si>
  <si>
    <t>历史学院</t>
  </si>
  <si>
    <t>历史学</t>
  </si>
  <si>
    <t>2025-06-17 17:09</t>
  </si>
  <si>
    <t>BJWY7925884211</t>
  </si>
  <si>
    <t>WYFJ250330014</t>
  </si>
  <si>
    <t>回访人：刘晓娟，回访时间：2025-06-17 16:49，回访内容：报名</t>
  </si>
  <si>
    <t>王若溪</t>
  </si>
  <si>
    <t>113608157</t>
  </si>
  <si>
    <t>2025-06-10 19:55:16</t>
  </si>
  <si>
    <t xml:space="preserve">张雪瑞+zhangxuerui@xdf.cn+ID+产业机构-国际教育培训事业部-国际教育北京中心-运营管理部-大学区域运营中心-魏公村大学分中心
</t>
  </si>
  <si>
    <t>钱雪冰</t>
  </si>
  <si>
    <t>张雪瑞+zhangxuerui@xdf.cn+ID+产业机构-国际教育培训事业部-国际教育北京中心-运营管理部-大学区域运营中心-魏公村大学分中心</t>
  </si>
  <si>
    <t>28132641</t>
  </si>
  <si>
    <t>2025-06-16 20:23</t>
  </si>
  <si>
    <t>北京汇文中学</t>
  </si>
  <si>
    <t>2025-06-16 21:18</t>
  </si>
  <si>
    <t>2025-06-17 00:14</t>
  </si>
  <si>
    <t>BJWY4977714103</t>
  </si>
  <si>
    <t>YKF250010001</t>
  </si>
  <si>
    <t>2025-06-16</t>
  </si>
  <si>
    <t>回访人：钱雪冰，回访时间：2025-06-10 20:01，回访内容：咨询大学四级，家长在东城住，发送了介绍，考虑一下。邀约校区见面沟通。；|回访人：钱雪冰，回访时间：2025-06-13 15:46，回访内容：问问家长跟孩子沟通的怎么样。邀约面谈。；|回访人：张博奥，回访时间：2025-06-16 21:14，回访内容：已报名；|回访人：张博奥，回访时间：2025-06-16 21:17，回访内容：张博奥进行了退单操作!(本条回访记录由系统自动记录)；|回访人：张博奥，回访时间：2025-06-16 21:18，回访内容：已报名</t>
  </si>
  <si>
    <t>YKM250010006</t>
  </si>
  <si>
    <t>YK250010005</t>
  </si>
  <si>
    <t>王子墨</t>
  </si>
  <si>
    <t>113477435</t>
  </si>
  <si>
    <t>2025-06-10 13:23:29</t>
  </si>
  <si>
    <t xml:space="preserve">渠道录入来源：SCRM-客服推送
商机ID：5009034166
商机编码：XSJ20250610033708
针对人群：高中
学员号：BJ2677354
学生学校：北京广渠门中学（龙潭中学）
咨询课程：工程力学
创建人邮箱：wangguibing@xdf.cn
创建时间：2025-06-10 13:23:23
资源类型：单个资源
跟进记录：商机备注：学员妈妈来电，新大一，东城学员，平常成绩120左右，咨询新大一的衔接学习，辛苦老师跟进下;接触点：呼入；
</t>
  </si>
  <si>
    <t>28255546</t>
  </si>
  <si>
    <t>2025-06-10 13:56</t>
  </si>
  <si>
    <t>北京广渠门中学（龙潭中学）</t>
  </si>
  <si>
    <t>2025-06-16 20:12</t>
  </si>
  <si>
    <t>2025-06-16 21:37</t>
  </si>
  <si>
    <t>BJWY8443201728</t>
  </si>
  <si>
    <t>YKS250010005</t>
  </si>
  <si>
    <t>回访人：徐健坤，回访时间：2025-06-10 13:56，回访内容：基础还不错 在高考之前 之前模拟中平均分英语是在一百一十分左右 高考选择的是物化地 偏理科方向 然后推荐了数学四级禾口语的预科的内容 花园桥校区；|回访人：徐健坤，回访时间：2025-06-12 17:05，回访内容：等高中部钱退回来进行报名；|回访人：徐健坤，回访时间：2025-06-13 20:02，回访内容：高中部已经处理退费流程；|回访人：徐健坤，回访时间：2025-06-15 22:16，回访内容：明天回访；|回访人：徐健坤，回访时间：2025-06-16 18:36，回访内容：微信留言；|回访人：徐健坤，回访时间：2025-06-16 20:12，回访内容：签约</t>
  </si>
  <si>
    <t>YKM250010005</t>
  </si>
  <si>
    <t>YK250010004</t>
  </si>
  <si>
    <t>北京市5310</t>
  </si>
  <si>
    <t>114704401</t>
  </si>
  <si>
    <t>2025-06-16 18:38:21</t>
  </si>
  <si>
    <t>渠道录入来源：集团百度投放-易聊
意向城市：北京市
访客省/城市：北京市
qq: 
访客静态ID：01000000034718007010456280115310
接待分组ID：51266
搜索引擎：
搜索词：
关键词：
设备类型：phone
访客IP：223.104.41.110
对话详细内容：AI-KvNH7xJ0CD 2025-06-16 18:35:06_x000D_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2025-06-16 18:35:08_x000D_
您是想咨询【考研走读班】【考研集训营】【考研规划】还是【在职考研】呢？_x000D_
_x000D_
01000000034718007010456280115310 2025-06-16 18:35:25_x000D_
六级考试_x000D_
_x000D_
AI-KvNH7xJ0CD 2025-06-16 18:35:28_x000D_
您目前在学的院校是哪所呢？_x000D_
_x000D_
01000000034718007010456280115310 2025-06-16 18:35:40_x000D_
大连理工_x000D_
_x000D_
AI-KvNH7xJ0CD 2025-06-16 18:35:44_x000D_
您目前英语基础如何呢？_x000D_
_x000D_
01000000034718007010456280115310 2025-06-16 18:36:11_x000D_
北京有短期的线下培训吗？_x000D_
_x000D_
AI-KvNH7xJ0CD 2025-06-16 18:36:15_x000D_
这样，您微信还是电话方便呢？我安排四六级老师联系您，将课程的详细内容介绍给您_x000D_
_x000D_
01000000034718007010456280115310 2025-06-16 18:36:40_x000D_
电话吧_x000D_
_x000D_
AI-KvNH7xJ0CD 2025-06-16 18:36:44_x000D_
可以的，麻烦同学这边留一下您的联系方式，我这边安排老师联系你_x000D_
_x000D_
AI-KvNH7xJ0CD 2025-06-16 18:37:21_x000D_
您好，能看到我的对话吗？如有疑问，可以在此留电咨询！_x000D_
_x000D_
AI-KvNH7xJ0CD 2025-06-16 18:37:41_x000D_
如果您现在不方便，您可以留下您的【姓名电话方便接听电话的时间】，我们会安排老师第一时间为您回电免费咨询！_x000D_
_x000D_
01000000034718007010456280115310 2025-06-16 18:38:20_x000D_
李同学15010553161_x000D_
_x000D_
来源页：https://click.xdf.cn/
备注：</t>
  </si>
  <si>
    <t>李宗翰</t>
  </si>
  <si>
    <t>28406880</t>
  </si>
  <si>
    <t>2025-06-16 19:04</t>
  </si>
  <si>
    <t>大连理工大学</t>
  </si>
  <si>
    <t>过程装备与控制工程专业</t>
  </si>
  <si>
    <t>2025-06-16 19:20</t>
  </si>
  <si>
    <t>BJWY9362966271</t>
  </si>
  <si>
    <t>WYSJ250330014</t>
  </si>
  <si>
    <t>回访人：黄智超，回访时间：2025-06-16 19:04，回访内容：学生自己咨询六级课程 介绍了大班 小班 时间不方便 更适合线上优享课程的时间 添加微信沟通 发送详细信息；|回访人：黄智超，回访时间：2025-06-16 19:20，回访内容：签约</t>
  </si>
  <si>
    <t>lrr</t>
  </si>
  <si>
    <t>113929320</t>
  </si>
  <si>
    <t>2025-06-12 13:32:14</t>
  </si>
  <si>
    <t>李伯洋</t>
  </si>
  <si>
    <t>28288822</t>
  </si>
  <si>
    <t>2025-06-12 14:02</t>
  </si>
  <si>
    <t>城市建设学部</t>
  </si>
  <si>
    <t>交通工程</t>
  </si>
  <si>
    <t>2025-06-16 16:09</t>
  </si>
  <si>
    <t>2025-06-16 16:10</t>
  </si>
  <si>
    <t>BJWY8296495988</t>
  </si>
  <si>
    <t>WYFJ250330013</t>
  </si>
  <si>
    <t>回访人：刘晓娟，回访时间：2025-06-12 14:02，回访内容：孩子母亲咨询，孩子大一，高考英语120分左右，可能觉得心理没底，让家长给了解下四级线上的课程，介绍四级无忧；|回访人：刘晓娟，回访时间：2025-06-15 15:40，回访内容：孩子6.19考完试，打算等考完试再报名，先出电子协议，家长先看看协议；|回访人：刘晓娟，回访时间：2025-06-16 16:09，回访内容：报名</t>
  </si>
  <si>
    <t>郝伊霖</t>
  </si>
  <si>
    <t>114120580</t>
  </si>
  <si>
    <t>2025-06-13 09:48:16</t>
  </si>
  <si>
    <t xml:space="preserve">渠道录入来源：SCRM-客服推送
商机ID：5009062690
商机编码：XSJ20250613002610
针对人群：大学
学生学校：不详
咨询课程：英语
创建人邮箱：liuruman@xdf.cn
创建时间：2025-06-13 09:48:11
资源类型：单个资源
跟进记录：商机备注：【呼入组+57640847】【四级课程】明年6月份四级考试 咨询四级课程 辛苦老师尽快联系;接触点：呼入；
</t>
  </si>
  <si>
    <t>28321604</t>
  </si>
  <si>
    <t>2025-06-13 11:07</t>
  </si>
  <si>
    <t>2025-06-16 14:48</t>
  </si>
  <si>
    <t>BJWY5027271013</t>
  </si>
  <si>
    <t>WYF250310021</t>
  </si>
  <si>
    <t>回访人：宋增辉，回访时间：2025-06-13 11:07，回访内容：学生大一，大二下半学期才能考试，有考研打算，要和孩子沟通一下，确认上课形式，一对一价格有点不好接受，推荐学习套餐班；|回访人：宋增辉，回访时间：2025-06-14 15:52，回访内容：家长和孩子沟通，孩子暑假有实习，但是时间重叠没办法上课，给家长已经说了，要和孩子确认；|回访人：宋增辉，回访时间：2025-06-15 18:49，回访内容：要去申请员工优惠，明天决定；|回访人：宋增辉，回访时间：2025-06-16 14:48，回访内容：已报名</t>
  </si>
  <si>
    <t>范博然</t>
  </si>
  <si>
    <t>53955590</t>
  </si>
  <si>
    <t>2023-06-02 18:06:21</t>
  </si>
  <si>
    <t>【2023-CRM高三资源】-北京大学部</t>
  </si>
  <si>
    <t>2025-05-23 15:24:24</t>
  </si>
  <si>
    <t>27937197</t>
  </si>
  <si>
    <t>2025-05-23 15:57</t>
  </si>
  <si>
    <t>北京劳动保障职业学院</t>
  </si>
  <si>
    <t>设计</t>
  </si>
  <si>
    <t>2025-06-16 14:55</t>
  </si>
  <si>
    <t>WYE27013</t>
  </si>
  <si>
    <t>考研英语无忧计划（27考研/基础）</t>
  </si>
  <si>
    <t>BJWY9346068215</t>
  </si>
  <si>
    <t>WYE270130034</t>
  </si>
  <si>
    <t>回访人：刘晓娟，回访时间：2025-06-07 14:33，回访内容：又想学习雅思了，介绍雅思的老师对接；|回访人：刘晓娟，回访时间：2025-06-14 15:17，回访内容：沟通了，考研的课程，推荐的农学和图书情报，倾向于图书情报，英语和管综，介绍了27考研的课程，家长跟孩子商量下，也介绍了优惠；|回访人：刘晓娟，回访时间：2025-06-16 14:55，回访内容：报名</t>
  </si>
  <si>
    <t>英语,政治</t>
  </si>
  <si>
    <t>WYE27016</t>
  </si>
  <si>
    <t>考研英语无忧计划（27考研/英二强化）</t>
  </si>
  <si>
    <t>WYE270160021</t>
  </si>
  <si>
    <t>WYE27030</t>
  </si>
  <si>
    <t>考研英语无忧计划（27考研/英二冲刺）</t>
  </si>
  <si>
    <t>WYE270300008</t>
  </si>
  <si>
    <t>WYP27011</t>
  </si>
  <si>
    <t>WYP270110029</t>
  </si>
  <si>
    <t>WYP27010</t>
  </si>
  <si>
    <t>WYP270100029</t>
  </si>
  <si>
    <t>WYP27012</t>
  </si>
  <si>
    <t>WYP270120029</t>
  </si>
  <si>
    <t>乌海市2601</t>
  </si>
  <si>
    <t>114115604</t>
  </si>
  <si>
    <t>2025-06-13 08:13:03</t>
  </si>
  <si>
    <t>渠道录入来源：新东方官网M资讯站-客服
意向城市：北京访客省/城市：乌海市
访客静态ID：01000000034659977334999149462601
接待分组ID：70457
搜索引擎：www.baidu.com
搜索词：
关键词：
设备类型：phone
访客IP：58.18.67.79
对话详细内容：AI-Lbo0rDBXCyBY 2025-06-13 08:09:11_x000D_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2025-06-13 08:09:14_x000D_
您是想咨询【线下课程】【线上课程】【考研规划】还是【在职考研】呢？**【线下课程】#  **【线上课程】#**【考研规划】#**【在职考研】#_x000D_
_x000D_
01000000034659977334999149462601 2025-06-13 08:09:17_x000D_
【线上课程】_x000D_
_x000D_
AI-Lbo0rDBXCyBY 2025-06-13 08:09:21_x000D_
同学，你现在是在校还是在职呢？_x000D_
_x000D_
01000000034659977334999149462601 2025-06-13 08:09:33_x000D_
高中毕业_x000D_
_x000D_
AI-Lbo0rDBXCyBY 2025-06-13 08:09:37_x000D_
具体是想报考什么学校和专业呢？_x000D_
_x000D_
01000000034659977334999149462601 2025-06-13 08:09:58_x000D_
英语四级考试_x000D_
_x000D_
AI-Lbo0rDBXCyBY 2025-06-13 08:10:03_x000D_
考研对四六级一般没有明确要求，个别学校可能会单独规定需要四级/六级成绩。_x000D_
_x000D_
AI-Lbo0rDBXCyBY 2025-06-13 08:10:04_x000D_
您目前在学的院校是哪所呢？_x000D_
_x000D_
01000000034659977334999149462601 2025-06-13 08:10:23_x000D_
高中毕业_x000D_
_x000D_
AI-Lbo0rDBXCyBY 2025-06-13 08:10:26_x000D_
您目前英语基础如何呢？_x000D_
_x000D_
01000000034659977334999149462601 2025-06-13 08:10:33_x000D_
很好_x000D_
_x000D_
AI-Lbo0rDBXCyBY 2025-06-13 08:10:37_x000D_
这样，您微信还是电话方便呢？我安排四六级老师联系您，将课程的详细内容介绍给您_x000D_
_x000D_
01000000034659977334999149462601 2025-06-13 08:10:48_x000D_
好的_x000D_
_x000D_
AI-Lbo0rDBXCyBY 2025-06-13 08:10:52_x000D_
嗯，那您联系方式是多少呢？_x000D_
_x000D_
01000000034659977334999149462601 2025-06-13 08:11:01_x000D_
13848345139_x000D_
_x000D_
AI-Lbo0rDBXCyBY 2025-06-13 08:11:04_x000D_
好的，确认一下你的号码是否正确呢~_x000D_
_x000D_
01000000034659977334999149462601 2025-06-13 08:11:18_x000D_
正确_x000D_
_x000D_
AI-Lbo0rDBXCyBY 2025-06-13 08:11:21_x000D_
同学怎么称呼呢？_x000D_
_x000D_
来源页：http://m.baidu.com/from=1020761f/bd_page_type=1/ssid=0/uid=0/pu=usm%400%2Csz%401320_1001%2Cta%40iphone_2_13.0_19_24.8/baiduid=B71CDA6744553D22BFE1F9B64B3A2782/w=0_10_/t=iphone/l=1/tc?clk_type=1&amp;vit=osres&amp;l=1&amp;baiduid=B71CDA6744553D22BFE1F9B64B3A2782&amp;t=iphone&amp;ref=www_iphone&amp;from=1020761f&amp;ssid=0&amp;lid=6948862411267312651&amp;bd_page_type=1&amp;pu=usm%400%2Csz%401320_1001%2Cta%40iphone_2_13.0_19_24.8&amp;order=6&amp;fm=alop&amp;extra=%7B%22auth_s%22%3A%222%22%7D&amp;isAtom=1&amp;waplogo=1&amp;clk_info=%7B%22tplname%22%3A%22www_index%22%2C%22srcid%22%3A1599%2C%22jumpType%22%3A%22%22%2C%22urlsign%22%3A%2210070664532682566507%22%2C%22t%22%3A1749773343046%2C%22xpath%22%3A%22div-div-article(sc_ala)-section-div-div(title)-div-div-p-span-span-span-em%22%7D&amp;dict=-1&amp;otn=1&amp;is_baidu=0&amp;tj=www_index_6_0_10_title&amp;m=8&amp;cltj=normal_title&amp;asres=1&amp;phoneos=bd_search_iphone&amp;title=%E6%96%B0%E4%B8%9C%E6%96%B9%E8%80%83%E7%A0%94%E5%8F%8A%E7%9B%B8%E5%85%B3%E4%B8%9A%E5%8A%A1%E7%9A%84%E5%AE%98%E6%96%B9%E5%92%A8%E8%AF%A2%E7%94%B5%E8%AF%9D%E6%B1%87%E6%80%BB(2025%E5%B9%B46%E6%9C%88%E6%9B%B4%E6%96%B0)-%E6%96%B0%E4%B8%9C%E6%96%B9%E7%BD%91&amp;wd=&amp;eqid=606f518be0a70c0b10000003684b6b46&amp;w_qd=IlPT2AEptyoA_ykzqhAd5xyuCVxVp-kaxEUXmPPS8BsrYvY5NkJnwWHhkOltpa1Tzua&amp;bdver=2_1&amp;tcplug=1&amp;sec=4248&amp;di=6f8eb76a2d312347&amp;bdenc=1&amp;nsrc=lMCOzHesDoaO24DE868dVnRoFvqUtOoq2bD1LgE0PKD3QzRYz2VnTktI1DlP9m%2B%2B%2FRgLkZTahUk8F8tjmTKo%2Fgvby1pMDp3xXYnqql5vTzETM0PVzAM%2BRKhgwof9a9AA&amp;ck0=561&amp;ck1=151&amp;ck2=86&amp;ck3=371&amp;ck6=14&amp;ck7=272&amp;ala_anti=ck0%40561%2Cck1%40151%2Cck7%40272
备注：</t>
  </si>
  <si>
    <t>2026财年第1财月易聊新东方官网M资讯站</t>
  </si>
  <si>
    <t>新东方官网M资讯站</t>
  </si>
  <si>
    <t>2025-06-13 10:00:09</t>
  </si>
  <si>
    <t>梁鸿翔</t>
  </si>
  <si>
    <t>28282141</t>
  </si>
  <si>
    <t>2025-06-13 10:47</t>
  </si>
  <si>
    <t>2025-06-15 21:53</t>
  </si>
  <si>
    <t>2025-06-16 10:26</t>
  </si>
  <si>
    <t>BJWY4628805820</t>
  </si>
  <si>
    <t>YKSJ250010001</t>
  </si>
  <si>
    <t>2025-06-15</t>
  </si>
  <si>
    <t>回访人：徐健坤，回访时间：2025-06-13 10:47，回访内容：家长帮孩子咨询孩子高考英语130，数学120分左右，整体基础不错，建议推建议学习六级，然后考虑六级的集训营，六级的线上课程以及大学数学的线上课程，然后晚上参加试听课；|回访人：徐健坤，回访时间：2025-06-14 21:10，回访内容：明天试听课确认；|回访人：徐健坤，回访时间：2025-06-15 21:53，回访内容：签约</t>
  </si>
  <si>
    <t>YKMJ250010002</t>
  </si>
  <si>
    <t>郭姝君</t>
  </si>
  <si>
    <t>114262185</t>
  </si>
  <si>
    <t>2025-06-14 10:43:57</t>
  </si>
  <si>
    <t>徐健坤老师顾问转介绍</t>
  </si>
  <si>
    <t>28296093</t>
  </si>
  <si>
    <t>2025-06-14 10:46</t>
  </si>
  <si>
    <t>2025-06-15 12:38</t>
  </si>
  <si>
    <t>BJWY7400912126</t>
  </si>
  <si>
    <t>YKS250010003</t>
  </si>
  <si>
    <t>回访人：徐健坤，回访时间：2025-06-14 10:46，回访内容：复配着家长的推荐的学生意向跟苏菲者意向一起学习稍后联系完进行反馈重新更新；|回访人：徐健坤，回访时间：2025-06-14 21:48，回访内容：晚上11点左右缴费；|回访人：徐健坤，回访时间：2025-06-15 12:38，回访内容：签约</t>
  </si>
  <si>
    <t>YK250010003</t>
  </si>
  <si>
    <t>YKM250010004</t>
  </si>
  <si>
    <t>113698207</t>
  </si>
  <si>
    <t>2025-06-11 17:00:38</t>
  </si>
  <si>
    <t>家长接听，对预科数学比较感兴趣，考虑线上，报了课程原价4980，让微信发一下课程介绍，手机号即微信号；来源:北京学校;【FY25已报名】金额：74384.00元，报了【FY25高端/一对一】 外呼主题：【2025-CRM高三资源】-北京大学部</t>
  </si>
  <si>
    <t>李海斌</t>
  </si>
  <si>
    <t>28735159</t>
  </si>
  <si>
    <t>2025-06-30 14:01</t>
  </si>
  <si>
    <t>密云区第二中学（密云二中）</t>
  </si>
  <si>
    <t>2025-06-30 15:07</t>
  </si>
  <si>
    <t>2025-06-30 15:13</t>
  </si>
  <si>
    <t>BJWY9933530209</t>
  </si>
  <si>
    <t>YKM250010001</t>
  </si>
  <si>
    <t>回访人：宋增辉，回访时间：2025-06-30 14:01，回访内容：已报名；|回访人：宋增辉，回访时间：2025-06-30 15:07，回访内容：已报名</t>
  </si>
  <si>
    <t>邓思源</t>
  </si>
  <si>
    <t>113402663</t>
  </si>
  <si>
    <t>2025-06-09 10:21:26</t>
  </si>
  <si>
    <t>陈岳+chenyue2@xdf.cn+ID+新东方教育科技集团有限公司-培训学校-北京学校-高中班级部-门店运营中心-西城 | 课程顾问</t>
  </si>
  <si>
    <t>28126447</t>
  </si>
  <si>
    <t>2025-06-09 10:31</t>
  </si>
  <si>
    <t>北师大附属实验中学顺义学校</t>
  </si>
  <si>
    <t>2025-06-14 14:48</t>
  </si>
  <si>
    <t>BJWY3788492423</t>
  </si>
  <si>
    <t>YKFJ250010002</t>
  </si>
  <si>
    <t>回访人：刘晓娟，回访时间：2025-06-09 10:31，回访内容：孩子母亲咨询，高三，孩子让妈妈咨询的，高考英语120以上，介绍大学预科，其他的不学习，只学习四级或者六级，建议六级，孩子是想问四级，家长跟孩子商量下，小班；|回访人：刘晓娟，回访时间：2025-06-09 18:15，回访内容：邀约面谈；|回访人：刘晓娟，回访时间：2025-06-11 15:48，回访内容：邀约讲座；|回访人：刘晓娟，回访时间：2025-06-14 14:48，回访内容：报名</t>
  </si>
  <si>
    <t>BIG HERO</t>
  </si>
  <si>
    <t>113604802</t>
  </si>
  <si>
    <t>2025-06-10 18:19:47</t>
  </si>
  <si>
    <t>张嘉麒</t>
  </si>
  <si>
    <t>28260111</t>
  </si>
  <si>
    <t>2025-06-10 19:05</t>
  </si>
  <si>
    <t>2025-06-14 23:09</t>
  </si>
  <si>
    <t>2025-06-14 23:10</t>
  </si>
  <si>
    <t>BJWY3747484443</t>
  </si>
  <si>
    <t>YKS250040001</t>
  </si>
  <si>
    <t>回访人：李政，回访时间：2025-06-10 19:05，回访内容：家长代替咨询，孩子学习比较好，目标北邮，高考英语130分
意向小班课魏公村7.16
没有人一起学习
不诺访；|回访人：李政，回访时间：2025-06-11 17:36，回访内容：试听课邀约，问问孩子的情况再预约试听课，周六周日没时间，周五可以。；|回访人：李政，回访时间：2025-06-13 18:20，回访内容：确认和孩子一起参加今晚试听课，试听课结束后压单，；|回访人：李政，回访时间：2025-06-14 17:57，回访内容：已报名，班级名额没有了，明日入班；|回访人：李政，回访时间：2025-06-14 23:09，回访内容：签约</t>
  </si>
  <si>
    <t>易女士</t>
  </si>
  <si>
    <t>108118956</t>
  </si>
  <si>
    <t>2025-06-04 10:51:36</t>
  </si>
  <si>
    <t>郭子奇</t>
  </si>
  <si>
    <t>28112968</t>
  </si>
  <si>
    <t>2025-06-04 13:54</t>
  </si>
  <si>
    <t>机械设计制造及其自动化</t>
  </si>
  <si>
    <t>2025-06-14 21:25</t>
  </si>
  <si>
    <t>BJWY2760165930</t>
  </si>
  <si>
    <t>WYS250310038</t>
  </si>
  <si>
    <t>回访人：房国超，回访时间：2025-06-06 15:57，回访内容：电话无人接，  微信沟通  学生倾向于 大班课，  告知了早报优惠，询问要报上不，未回复；|回访人：房国超，回访时间：2025-06-08 14:42，回访内容：电话拒接，已2次，微信留言未回；|回访人：房国超，回访时间：2025-06-10 11:13，回访内容：电话拒接， 已三次，微信留言未回；|回访人：房国超，回访时间：2025-06-11 21:40，回访内容：暑假有社会实践，要考虑下安排；|回访人：房国超，回访时间：2025-06-14 21:25，回访内容：报名暑假大班</t>
  </si>
  <si>
    <t>108518337</t>
  </si>
  <si>
    <t>2025-06-04 17:44:17</t>
  </si>
  <si>
    <t>来源:北京学校;【FY25已报名】金额：74384.00元，报了【FY25高端/一对一】</t>
  </si>
  <si>
    <t>28247657</t>
  </si>
  <si>
    <t>2025-06-11 17:18</t>
  </si>
  <si>
    <t>2025-06-14 19:47</t>
  </si>
  <si>
    <t>2025-06-14 19:48</t>
  </si>
  <si>
    <t>YKMJ250010001</t>
  </si>
  <si>
    <t>回访人：宋增辉，回访时间：2025-06-11 17:18，回访内容：家长只是想了解一下，一直重复到时候再说，简单介绍一下大学预科，加微信再沟通；|回访人：宋增辉，回访时间：2025-06-13 14:59，回访内容：只想让孩子去学习数学预科，四级不考虑，微信沟通；|回访人：宋增辉，回访时间：2025-06-14 15:06，回访内容：邀情家长发学生信息，生成班级协议，等回复；|回访人：宋增辉，回访时间：2025-06-14 17:59，回访内容：已报名；|回访人：宋增辉，回访时间：2025-06-14 18:14，回访内容：宋增辉进行了退单操作!(本条回访记录由系统自动记录)；|回访人：宋增辉，回访时间：2025-06-14 19:47，回访内容：已报名</t>
  </si>
  <si>
    <t>苏</t>
  </si>
  <si>
    <t>114257058</t>
  </si>
  <si>
    <t>2025-06-13 20:39:13</t>
  </si>
  <si>
    <t>王鑫+wangxin327@xdf.cn+451751+培训学校-北京学校-高中一对一部-西北区-远大路分中心，徐健坤；</t>
  </si>
  <si>
    <t>王鑫+wangxin327@xdf.cn+451751+培训学校-北京学校-高中一对一部-西北区-远大路分中心</t>
  </si>
  <si>
    <t>苏沛喆</t>
  </si>
  <si>
    <t>28295634</t>
  </si>
  <si>
    <t>2025-06-13 21:01</t>
  </si>
  <si>
    <t>2025-06-14 22:04</t>
  </si>
  <si>
    <t>BJWY7279246322</t>
  </si>
  <si>
    <t>YKS250010002</t>
  </si>
  <si>
    <t>回访人：徐健坤，回访时间：2025-06-13 21:01，回访内容：家长帮孩子咨询孩子高中英语一百四十分左右平时学习自主性很高也有其他同学想要一起学考虑大学的六级数学口语三科连报然后打算在就近租房子；|回访人：徐健坤，回访时间：2025-06-14 22:03，回访内容：邀约参加试听课；|回访人：徐健坤，回访时间：2025-06-14 22:03，回访内容：确认预科全科；|回访人：徐健坤，回访时间：2025-06-14 22:04，回访内容：签约</t>
  </si>
  <si>
    <t>YKM250010003</t>
  </si>
  <si>
    <t>YK250010002</t>
  </si>
  <si>
    <t>113479061</t>
  </si>
  <si>
    <t>2025-06-10 14:15:33</t>
  </si>
  <si>
    <t>房国超老师内部员工推荐工单</t>
  </si>
  <si>
    <t>刘佳宁+liujianing16@xdf.cn+358042+产业机构-国际教育培训事业部-国际教育北京中心-运营管理部-中学区域运营中心一区-中关村中学分中心二部</t>
  </si>
  <si>
    <t>朱泽惠</t>
  </si>
  <si>
    <t>28255853</t>
  </si>
  <si>
    <t>2025-06-10 14:20</t>
  </si>
  <si>
    <t>2025-06-14 13:43</t>
  </si>
  <si>
    <t>2025-06-14 13:44</t>
  </si>
  <si>
    <t>BJWY2084451570</t>
  </si>
  <si>
    <t>WYSJ250330012</t>
  </si>
  <si>
    <t>回访人：房国超，回访时间：2025-06-10 14:20，回访内容：家长帮孩子咨询，之前四级考过了 ，家长不知道具体分，说光知道高分， 让添加微信 发送课程详情介绍；|回访人：房国超，回访时间：2025-06-10 14:48，回访内容：学生7 8月份 有其他安排，有冲突，  周末学生回来  看时间安排  商量课程安排 ；|回访人：房国超，回访时间：2025-06-14 13:43，回访内容：报名直播课</t>
  </si>
  <si>
    <t>113818735</t>
  </si>
  <si>
    <t>2025-06-11 19:06:08</t>
  </si>
  <si>
    <t>家长来电咨询大学数学辅导，应对期末考试</t>
  </si>
  <si>
    <t>2025-06-11 19:11:06</t>
  </si>
  <si>
    <t>边琦</t>
  </si>
  <si>
    <t>28287345</t>
  </si>
  <si>
    <t>2025-06-11 21:21</t>
  </si>
  <si>
    <t>北京印刷学院</t>
  </si>
  <si>
    <t>新闻出版学院</t>
  </si>
  <si>
    <t>2025-06-12 14:34</t>
  </si>
  <si>
    <t>2025-06-13 15:01</t>
  </si>
  <si>
    <t>LP17497100701336</t>
  </si>
  <si>
    <t>BJWY6248988742</t>
  </si>
  <si>
    <t>2025-06-12</t>
  </si>
  <si>
    <t>回访人：黄智超，回访时间：2025-06-11 21:21，回访内容：孩子印刷学院大一下学期 准备期末高数考试和四六级 都需要进行整体的提升，需要等孩子实验结束后沟通孩子的想法后再决定报名的课时，目前适合的课程只有一对一，规划了大课时包，但是意向不足，可能会报小课时，冲刺期末考试；|回访人：黄智超，回访时间：2025-06-12 10:24，回访内容：先报名2小时高数课，后续觉得可以再续费；|回访人：黄智超，回访时间：2025-06-12 10:31，回访内容：黄智超进行了退单操作!(本条回访记录由系统自动记录)；|回访人：黄智超，回访时间：2025-06-12 18:12，回访内容：孩子周六考四级 沟通了孩子可排课时间，尽可能在考前安排一节线上四级点拨课程；|回访人：黄智超，回访时间：2025-06-17 21:15，回访内容：询问了孩子听课情况，询问了是否续费加课意向，暂未回复</t>
  </si>
  <si>
    <t>北京市2296</t>
  </si>
  <si>
    <t>107405331</t>
  </si>
  <si>
    <t>2025-06-01 02:35:29</t>
  </si>
  <si>
    <t xml:space="preserve">AI-37815-492 2025-06-01 02:32:44_x000D_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2025-06-01 02:32:46_x000D_
您是想咨询【考研走读班】【考研集训营】【考研规划】还是【在职考研】呢？_x000D_
_x000D_
01000000037815871636334087942296 2025-06-01 02:33:13_x000D_
四六级_x000D_
_x000D_
AI-37815-492 2025-06-01 02:33:17_x000D_
您目前在学的院校是哪所呢？_x000D_
_x000D_
01000000037815871636334087942296 2025-06-01 02:33:29_x000D_
北京交通大学_x000D_
_x000D_
AI-37815-492 2025-06-01 02:33:33_x000D_
您目前英语基础如何呢？_x000D_
_x000D_
01000000037815871636334087942296 2025-06-01 02:33:44_x000D_
不好_x000D_
_x000D_
AI-37815-492 2025-06-01 02:33:50_x000D_
这样，您微信还是电话方便呢？我安排四六级老师联系您，将课程的详细内容介绍给您_x000D_
_x000D_
AI-37815-492 2025-06-01 02:34:25_x000D_
您好，能看到我的对话吗？如有疑问，可以在此留电咨询！_x000D_
_x000D_
01000000037815871636334087942296 2025-06-01 02:34:28_x000D_
15829718780_x000D_
_x000D_
AI-37815-492 2025-06-01 02:34:31_x000D_
好的，确认一下你的号码是否正确呢~_x000D_
_x000D_
01000000037815871636334087942296 2025-06-01 02:34:41_x000D_
正确_x000D_
_x000D_
AI-37815-492 2025-06-01 02:34:44_x000D_
这个手机号是您的微信吗？如果不是您可以留一下您的微信号_x000D_
_x000D_
01000000037815871636334087942296 2025-06-01 02:34:50_x000D_
是_x000D_
_x000D_
AI-37815-492 2025-06-01 02:34:53_x000D_
同学怎么称呼呢？_x000D_
_x000D_
01000000037815871636334087942296 2025-06-01 02:35:00_x000D_
秋_x000D_
_x000D_
AI-37815-492 2025-06-01 02:35:04_x000D_
好的，由于顾问老师是白天九点上班，这边安排老师上午9点后给您回电请注意接听~_x000D_
_x000D_
</t>
  </si>
  <si>
    <t>2025-06-01 11:47:45</t>
  </si>
  <si>
    <t>秋清耀</t>
  </si>
  <si>
    <t>28086796</t>
  </si>
  <si>
    <t>2025-06-01 14:52</t>
  </si>
  <si>
    <t>北京交通大学</t>
  </si>
  <si>
    <t>土木建筑工程学院</t>
  </si>
  <si>
    <t>土木工程</t>
  </si>
  <si>
    <t>2025-06-12 18:41</t>
  </si>
  <si>
    <t>6180.00</t>
  </si>
  <si>
    <t>BJWY5355250935</t>
  </si>
  <si>
    <t>WYS250310036</t>
  </si>
  <si>
    <t>回访人：刘晓娟，回访时间：2025-06-03 11:21，回访内容：电话联系，转语音了，微信留言，确认意向，等回复；|回访人：刘晓娟，回访时间：2025-06-09 16:10，回访内容：时间冲突，介绍7.28的班级，看看是否可以；|回访人：刘晓娟，回访时间：2025-06-12 18:41，回访内容：报名</t>
  </si>
  <si>
    <t>is</t>
  </si>
  <si>
    <t>113935652</t>
  </si>
  <si>
    <t>2025-06-12 15:00:33</t>
  </si>
  <si>
    <t>【王朝群】咨询四级一对一，这次考试【微信联系，不方便电话】</t>
  </si>
  <si>
    <t>赵梓宇</t>
  </si>
  <si>
    <t>28316667</t>
  </si>
  <si>
    <t>2025-06-12 16:26</t>
  </si>
  <si>
    <t>2025-06-12 17:15</t>
  </si>
  <si>
    <t>2025-06-12 17:19</t>
  </si>
  <si>
    <t>LP17497197332092</t>
  </si>
  <si>
    <t>3600.00</t>
  </si>
  <si>
    <t>BJWY7717562906</t>
  </si>
  <si>
    <t>回访人：刘晓娟，回访时间：2025-06-12 16:26，回访内容：四级一对一，之前408,6月考，介绍张晶晶老师，明天4个小时，不提供院校</t>
  </si>
  <si>
    <t>kk</t>
  </si>
  <si>
    <t>113879591</t>
  </si>
  <si>
    <t>2025-06-12 10:02:59</t>
  </si>
  <si>
    <t>【王朝群】咨询四六级一对一</t>
  </si>
  <si>
    <t>郑橼</t>
  </si>
  <si>
    <t>28272556</t>
  </si>
  <si>
    <t>2025-06-12 11:19</t>
  </si>
  <si>
    <t>2025-06-12 11:35</t>
  </si>
  <si>
    <t>2025-06-12 11:39</t>
  </si>
  <si>
    <t>LP1749699305696</t>
  </si>
  <si>
    <t>1800.00</t>
  </si>
  <si>
    <t>BJWY3576424707</t>
  </si>
  <si>
    <t>回访人：刘晓娟，回访时间：2025-06-12 11:19，回访内容：六级一对一</t>
  </si>
  <si>
    <t>柳州市3467</t>
  </si>
  <si>
    <t>113570697</t>
  </si>
  <si>
    <t>2025-06-10 15:08:15</t>
  </si>
  <si>
    <t>渠道录入来源：新东方官网M站-客服
意向城市：北京访客省/城市：柳州市
访客静态ID：01000000034659953901459998563467
接待分组ID：70455
搜索引擎：
搜索词：
关键词：
设备类型：phone
访客IP：222.216.146.18
对话详细内容：AI-Lbo0rDBXCyBY 2025-06-10 15:03:42_x000D_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2025-06-10 15:03:45_x000D_
您是想咨询【线下课程】【线上课程】【考研规划】还是【在职考研】呢？**【线下课程】#  **【线上课程】#**【考研规划】#**【在职考研】#_x000D_
_x000D_
01000000034659953901459998563467 2025-06-10 15:04:17_x000D_
老师您好，请问英语46级有线上班吗？_x000D_
_x000D_
AI-Lbo0rDBXCyBY 2025-06-10 15:04:20_x000D_
考研对四六级一般没有明确要求，个别学校可能会单独规定需要四级/六级成绩。_x000D_
_x000D_
AI-Lbo0rDBXCyBY 2025-06-10 15:04:21_x000D_
您目前在学的院校是哪所呢？_x000D_
_x000D_
01000000034659953901459998563467 2025-06-10 15:04:39_x000D_
老师，我是刚刚高考完的同学_x000D_
_x000D_
AI-Lbo0rDBXCyBY 2025-06-10 15:04:43_x000D_
您目前英语基础如何呢？_x000D_
_x000D_
01000000034659953901459998563467 2025-06-10 15:04:54_x000D_
想提前学英语46级_x000D_
_x000D_
AI-Lbo0rDBXCyBY 2025-06-10 15:04:58_x000D_
这样，您微信还是电话方便呢？我安排四六级老师联系您，将课程的详细内容介绍给您_x000D_
_x000D_
01000000034659953901459998563467 2025-06-10 15:05:08_x000D_
115～125_x000D_
_x000D_
AI-Lbo0rDBXCyBY 2025-06-10 15:05:12_x000D_
嗯嗯  好的那同学稍后方便接听电话吗？我这边可以立刻安排专业老师给您回电呢_x000D_
_x000D_
01000000034659953901459998563467 2025-06-10 15:05:47_x000D_
请问是新东方英语吗？英语我们只认新东方_x000D_
_x000D_
AI-Lbo0rDBXCyBY 2025-06-10 15:05:50_x000D_
是的，我们是新东方学校哈，官方正规的，您放心哦_x000D_
_x000D_
AI-Lbo0rDBXCyBY 2025-06-10 15:05:51_x000D_
这样，您电话多少，我安排考研部的老师联系您，将课程的详细内容介绍给您_x000D_
_x000D_
01000000034659953901459998563467 2025-06-10 15:06:12_x000D_
18907826744_x000D_
_x000D_
AI-Lbo0rDBXCyBY 2025-06-10 15:06:15_x000D_
好的，确认一下你的号码是否正确呢~_x000D_
_x000D_
01000000034659953901459998563467 2025-06-10 15:06:47_x000D_
对的_x000D_
_x000D_
AI-Lbo0rDBXCyBY 2025-06-10 15:06:51_x000D_
同学怎么称呼呢？_x000D_
_x000D_
01000000034659953901459998563467 2025-06-10 15:07:21_x000D_
我是家长_x000D_
_x000D_
AI-Lbo0rDBXCyBY 2025-06-10 15:07:25_x000D_
这边马上安排顾问老师联系您，预计半个小时左右给您回电请注意接听~_x000D_
_x000D_
01000000034659953901459998563467 2025-06-10 15:07:45_x000D_
请问广西招生吗？_x000D_
_x000D_
AI-Lbo0rDBXCyBY 2025-06-10 15:07:49_x000D_
好的，这个也是您的微信号吗？_x000D_
_x000D_
来源页：https://m.xdf.cn/city/110100
备注：</t>
  </si>
  <si>
    <t>2025-06-10 15:18:51</t>
  </si>
  <si>
    <t>黄子雄</t>
  </si>
  <si>
    <t>28237238</t>
  </si>
  <si>
    <t>2025-06-10 16:17</t>
  </si>
  <si>
    <t>2025-06-11 21:47</t>
  </si>
  <si>
    <t>2025-06-14 11:23</t>
  </si>
  <si>
    <t>5680.00</t>
  </si>
  <si>
    <t>BJWY8611443135</t>
  </si>
  <si>
    <t>YKFJ250010001</t>
  </si>
  <si>
    <t>2025-06-11</t>
  </si>
  <si>
    <t>回访人：田一禾，回访时间：2025-06-10 16:17，回访内容：115-125 孩子上网课没有问题，家长认可，谈妥；|回访人：田一禾，回访时间：2025-06-11 15:45，回访内容：已缴费未出协议，无法入吧，今日发老带新，资料维护；|回访人：田一禾，回访时间：2025-06-11 21:47，回访内容：今日缴费入班</t>
  </si>
  <si>
    <t>家长着急让孩子看赠课，辛苦老师交接后尽快教孩子怎么下载app，怎么找赠课学习</t>
  </si>
  <si>
    <t>周芷萱</t>
  </si>
  <si>
    <t>113211121</t>
  </si>
  <si>
    <t>2025-06-08 15:35:11</t>
  </si>
  <si>
    <t>续费原因：家长了解暑期六级走读班，辛苦老师跟进介绍一下；该学生为保护期内续费，原顾问：国内大学部-刘晓娟(liuxiaojuan@xdf.cn)</t>
  </si>
  <si>
    <t>28216782</t>
  </si>
  <si>
    <t>2025-06-09 11:17</t>
  </si>
  <si>
    <t>2025-06-11 10:54</t>
  </si>
  <si>
    <t>2025-06-11 11:19</t>
  </si>
  <si>
    <t>BJWY0370252667</t>
  </si>
  <si>
    <t>WYS250310035</t>
  </si>
  <si>
    <t>回访人：刘晓娟，回访时间：2025-06-09 11:17，回访内容：孩子母亲咨询，孩子在外地上学还没回来，想给孩子了解暑假六级的课程，孩子这段时间在考试，大概7月中回来，不着急，先了解下，介绍了7.16和28的班级，发送给家长，家长等孩子考完试再商量下；|回访人：刘晓娟，回访时间：2025-06-11 10:54，回访内容：报名</t>
  </si>
  <si>
    <t>姚瀚林</t>
  </si>
  <si>
    <t>113524964</t>
  </si>
  <si>
    <t>2025-06-09 22:11:34</t>
  </si>
  <si>
    <t>续费原因：续费2节课 考前上阅读+写作；该学生为保护期外续费，原顾问部门：国内大学部</t>
  </si>
  <si>
    <t>28254420</t>
  </si>
  <si>
    <t>2025-06-10 11:28</t>
  </si>
  <si>
    <t>四级,保研</t>
  </si>
  <si>
    <t>艺术管理</t>
  </si>
  <si>
    <t>2025-06-10 11:56</t>
  </si>
  <si>
    <t>2025-06-10 17:31</t>
  </si>
  <si>
    <t>LP1749527764956</t>
  </si>
  <si>
    <t>BJWY2384048496</t>
  </si>
  <si>
    <t>回访人：田一禾，回访时间：2025-06-10 11:28，回访内容：续费办理，直接入班</t>
  </si>
  <si>
    <t>乔同学</t>
  </si>
  <si>
    <t>107555514</t>
  </si>
  <si>
    <t>唐亦心</t>
  </si>
  <si>
    <t>2025-06-03 09:54:42</t>
  </si>
  <si>
    <t>市场人员：王鹤曈
意向等级：高
备注：咨询六级暑假课程</t>
  </si>
  <si>
    <t>乔胤硕</t>
  </si>
  <si>
    <t>28093056</t>
  </si>
  <si>
    <t>2025-06-03 10:21</t>
  </si>
  <si>
    <t>金融工程</t>
  </si>
  <si>
    <t>2025-06-10 10:11</t>
  </si>
  <si>
    <t>BJWY0448005529</t>
  </si>
  <si>
    <t>WYS250310034</t>
  </si>
  <si>
    <t>回访人：张博奥，回访时间：2025-06-03 10:21，回访内容：学生意向小班，但是八月初有事，不能连续学习怕和其他课有冲突，持续跟进中；|回访人：张博奥，回访时间：2025-06-08 18:44，回访内容：微信不回，持续跟进，长期维护；|回访人：张博奥，回访时间：2025-06-10 10:11，回访内容：缴费</t>
  </si>
  <si>
    <t>杨家长</t>
  </si>
  <si>
    <t>108348435</t>
  </si>
  <si>
    <t>2025-06-04 15:41:40</t>
  </si>
  <si>
    <t>咨询四级暑假集训营
新东方考研四六级-中关村总部(方正国际大厦)</t>
  </si>
  <si>
    <t>杨景皓</t>
  </si>
  <si>
    <t>28163226</t>
  </si>
  <si>
    <t>2025-06-04 16:06</t>
  </si>
  <si>
    <t>湖北医药学院</t>
  </si>
  <si>
    <t>公共卫生与健康学院</t>
  </si>
  <si>
    <t>健康服务与管理</t>
  </si>
  <si>
    <t>2025-06-10 18:31</t>
  </si>
  <si>
    <t>2025-06-11 09:53</t>
  </si>
  <si>
    <t>16000.00</t>
  </si>
  <si>
    <t>BJWY1460067272</t>
  </si>
  <si>
    <t>ZVVA260010016</t>
  </si>
  <si>
    <t>回访人：刘晓娟，回访时间：2025-06-04 16:06，回访内容：父亲咨询，孩子在湖北上学，高考英语90来分，基础一般，想看看暑假集训的课程，介绍四级暑假集训营；|回访人：刘晓娟，回访时间：2025-06-09 15:39，回访内容：电话联系，无人，微信留言，确认意向；|回访人：刘晓娟，回访时间：2025-06-10 18:31，回访内容：报名</t>
  </si>
  <si>
    <t>刘彦希</t>
  </si>
  <si>
    <t>113469475</t>
  </si>
  <si>
    <t>2025-06-09 22:05:14</t>
  </si>
  <si>
    <t>续费原因：加1节章老师课 6.10 19-21 上课；该学生为保护期内续费，原顾问：国内大学部-刘文君(liuwenjun6@xdf.cn)</t>
  </si>
  <si>
    <t>28253522</t>
  </si>
  <si>
    <t>2025-06-10 10:09</t>
  </si>
  <si>
    <t>山西中医药大学</t>
  </si>
  <si>
    <t>基础医学院</t>
  </si>
  <si>
    <t>生物技术</t>
  </si>
  <si>
    <t>2025-06-10 14:26</t>
  </si>
  <si>
    <t>2025-06-10 14:30</t>
  </si>
  <si>
    <t>LP17495368681487</t>
  </si>
  <si>
    <t>1500.00</t>
  </si>
  <si>
    <t>BJWY0321203837</t>
  </si>
  <si>
    <t>回访人：宋增辉，回访时间：2025-06-10 10:09，回访内容：和学管已经沟通，等待缴费，六级一对一续费；|回访人：宋增辉，回访时间：2025-06-10 14:26，回访内容：学员续费</t>
  </si>
  <si>
    <t>罗义彰</t>
  </si>
  <si>
    <t>113463317</t>
  </si>
  <si>
    <t>2025-06-09 13:56:18</t>
  </si>
  <si>
    <t>续费原因：续费4h   1v1四级；该学生为保护期外续费，原顾问部门：国内大学部</t>
  </si>
  <si>
    <t>28228500</t>
  </si>
  <si>
    <t>2025-06-09 15:16</t>
  </si>
  <si>
    <t>2025-06-09 18:52</t>
  </si>
  <si>
    <t>2025-06-09 18:56</t>
  </si>
  <si>
    <t>LP17494663222659</t>
  </si>
  <si>
    <t>3400.00</t>
  </si>
  <si>
    <t>BJWY7468588695</t>
  </si>
  <si>
    <t>2025-06-09</t>
  </si>
  <si>
    <t>回访人：李政，回访时间：2025-06-09 15:16，回访内容：续费4h</t>
  </si>
  <si>
    <t>辛苦罗志勇老师交接</t>
  </si>
  <si>
    <t>伏均泽</t>
  </si>
  <si>
    <t>113259856</t>
  </si>
  <si>
    <t>2025-06-08 19:00:37</t>
  </si>
  <si>
    <t>续费原因：咨询阅读一对一；该学生为保护期内续费，原顾问：国内大学部-房国超(fangguochao@xdf.cn)</t>
  </si>
  <si>
    <t>28214998</t>
  </si>
  <si>
    <t>2025-06-08 19:08</t>
  </si>
  <si>
    <t>2025-06-09 12:51</t>
  </si>
  <si>
    <t>2025-06-09 12:52</t>
  </si>
  <si>
    <t>LP17494446821724</t>
  </si>
  <si>
    <t>BJWY2553587270</t>
  </si>
  <si>
    <t>回访人：房国超，回访时间：2025-06-08 19:08，回访内容：学生想要 阅读 板块 再学学 ，针对性讲讲课；|回访人：房国超，回访时间：2025-06-09 12:52，回访内容：签约2小时一对一</t>
  </si>
  <si>
    <t>洛阳市3158</t>
  </si>
  <si>
    <t>107561655</t>
  </si>
  <si>
    <t>2025-06-03 10:27:22</t>
  </si>
  <si>
    <t>渠道录入来源：新东方官网M站-客服
意向城市：北京访客省/城市：洛阳市
访客静态ID：01000000034659891742382134013158
接待分组ID：70455
搜索引擎：
搜索词：
关键词：
设备类型：phone
访客IP：117.159.194.73
对话详细内容：AI-Lbo0rDBXCyBY 2025-06-03 10:23:45_x000D_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2025-06-03 10:23:48_x000D_
您是想咨询【线下课程】【线上课程】【考研规划】还是【在职考研】呢？**【线下课程】#  **【线上课程】#**【考研规划】#**【在职考研】#_x000D_
_x000D_
01000000034659891742382134013158 2025-06-03 10:23:59_x000D_
线下_x000D_
_x000D_
AI-Lbo0rDBXCyBY 2025-06-03 10:24:03_x000D_
同学，你现在是在校还是在职呢？_x000D_
_x000D_
01000000034659891742382134013158 2025-06-03 10:24:11_x000D_
在校_x000D_
_x000D_
AI-Lbo0rDBXCyBY 2025-06-03 10:24:15_x000D_
具体是想报考什么学校和专业呢？_x000D_
_x000D_
01000000034659891742382134013158 2025-06-03 10:24:36_x000D_
四级住宿_x000D_
_x000D_
AI-Lbo0rDBXCyBY 2025-06-03 10:24:40_x000D_
您目前在学的院校是哪所呢？_x000D_
_x000D_
01000000034659891742382134013158 2025-06-03 10:24:48_x000D_
高二_x000D_
_x000D_
AI-Lbo0rDBXCyBY 2025-06-03 10:24:52_x000D_
您目前英语基础如何呢？_x000D_
_x000D_
01000000034659891742382134013158 2025-06-03 10:25:01_x000D_
110分_x000D_
_x000D_
AI-Lbo0rDBXCyBY 2025-06-03 10:25:05_x000D_
这样，您微信还是电话方便呢？我安排四六级老师联系您，将课程的详细内容介绍给您_x000D_
_x000D_
01000000034659891742382134013158 2025-06-03 10:25:21_x000D_
18338831171_x000D_
_x000D_
AI-Lbo0rDBXCyBY 2025-06-03 10:25:24_x000D_
好的，确认一下你的号码是否正确呢~_x000D_
_x000D_
01000000034659891742382134013158 2025-06-03 10:25:31_x000D_
北京住宿班_x000D_
_x000D_
AI-Lbo0rDBXCyBY 2025-06-03 10:25:34_x000D_
同学怎么称呼呢？_x000D_
_x000D_
01000000034659891742382134013158 2025-06-03 10:25:51_x000D_
有高考英话吗_x000D_
_x000D_
AI-Lbo0rDBXCyBY 2025-06-03 10:25:54_x000D_
这边马上安排顾问老师联系您，预计半个小时左右给您回电请注意接听~_x000D_
_x000D_
01000000034659891742382134013158 2025-06-03 10:26:14_x000D_
住宿班_x000D_
_x000D_
AI-Lbo0rDBXCyBY 2025-06-03 10:26:17_x000D_
好的，这个也是您的微信号吗？_x000D_
_x000D_
01000000034659891742382134013158 2025-06-03 10:26:25_x000D_
去北京的_x000D_
_x000D_
AI-Lbo0rDBXCyBY 2025-06-03 10:26:28_x000D_
稍后老师会联系哈_x000D_
_x000D_
来源页：https://click.xdf.cn/
备注：</t>
  </si>
  <si>
    <t>2025-06-03 10:46:54</t>
  </si>
  <si>
    <t>牛圣茵</t>
  </si>
  <si>
    <t>28146356</t>
  </si>
  <si>
    <t>2025-06-03 11:02</t>
  </si>
  <si>
    <t>高二</t>
  </si>
  <si>
    <t>2025-06-08 10:57</t>
  </si>
  <si>
    <t>2025-06-19 17:09</t>
  </si>
  <si>
    <t>BJWY1313130061</t>
  </si>
  <si>
    <t>ZVVA260010015</t>
  </si>
  <si>
    <t>2025-06-08</t>
  </si>
  <si>
    <t>回访人：刘晓娟，回访时间：2025-06-03 11:02，回访内容：河南洛阳家长，孩子高二，想暑假7月份上四级集训营，主要辅导英语，孩子平时英语考110多分，想提高一下，介绍四级暑假集训营；|回访人：刘晓娟，回访时间：2025-06-05 11:41，回访内容：电话接通了，家长现在在忙，没时间，微信留言，确认意向，等回复；|回访人：刘晓娟，回访时间：2025-06-08 10:57，回访内容：报名</t>
  </si>
  <si>
    <t>魏丽媛</t>
  </si>
  <si>
    <t>108050633</t>
  </si>
  <si>
    <t>2025-06-04 11:07:56</t>
  </si>
  <si>
    <t>逯雅鹏+luyapeng@xdf.cn+342337+产业机构-国际教育培训事业部-国际教育北京中心-运营管理部-中学区域运营中心一区-中关村中学分中心二部，房国超；</t>
  </si>
  <si>
    <t>魏莉媛</t>
  </si>
  <si>
    <t>28100150</t>
  </si>
  <si>
    <t>2025-06-04 11:16</t>
  </si>
  <si>
    <t>北京师范大学</t>
  </si>
  <si>
    <t>文学院</t>
  </si>
  <si>
    <t>汉语言文学</t>
  </si>
  <si>
    <t>2025-06-08 18:56</t>
  </si>
  <si>
    <t>2025-06-08 19:17</t>
  </si>
  <si>
    <t>LP17493802154748</t>
  </si>
  <si>
    <t>BJWY6133149174</t>
  </si>
  <si>
    <t>回访人：房国超，回访时间：2025-06-04 11:16，回访内容：家长在湖北，学生之前考过几次，没过线，都是400出头，  家长劝学，考前补补，下周3  4  5 都可以上课，想考前补补， 微信详聊 ；|回访人：房国超，回访时间：2025-06-04 19:04，回访内容：推荐了 金牌老师  和优秀主讲，  需要让孩子 看试听 课程，  选下老师风格，  稍晚给答复；|回访人：房国超，回访时间：2025-06-05 19:46，回访内容：电话无人接，  考研课程倾向于暑假英  政班，家长和孩子商量；|回访人：房国超，回访时间：2025-06-06 11:41，回访内容：学生这两天比较忙， 还未和家长说 哪个老师；|回访人：房国超，回访时间：2025-06-08 14:44，回访内容：学生最近很忙，写论文呢，  老师还没看好， 家长也在等</t>
  </si>
  <si>
    <t>米振华</t>
  </si>
  <si>
    <t>98450709</t>
  </si>
  <si>
    <t>2025-03-29 15:32:16</t>
  </si>
  <si>
    <t>续费原因：学员有续费的意向，辛苦流转刘文君老师跟进；该学生为保护期内续费，原顾问：国内大学部-刘文君(liuwenjun6@xdf.cn)</t>
  </si>
  <si>
    <t>王秋雨</t>
  </si>
  <si>
    <t>27385977</t>
  </si>
  <si>
    <t>2025-03-31 15:58</t>
  </si>
  <si>
    <t>北京理工大学</t>
  </si>
  <si>
    <t>2025-06-07 12:32</t>
  </si>
  <si>
    <t>2025-06-07 14:46</t>
  </si>
  <si>
    <t>BJWY4477429592</t>
  </si>
  <si>
    <t>回访人：王秋雨，回访时间：2025-05-29 17:35，回访内容：31号答辩  6月初家长过来；|回访人：王秋雨，回访时间：2025-06-03 10:23，回访内容：孩子家长最近来北京面谈考研英语课程；|回访人：王秋雨，回访时间：2025-06-07 12:32，回访内容：签约</t>
  </si>
  <si>
    <t>e</t>
  </si>
  <si>
    <t>107419920</t>
  </si>
  <si>
    <t>2025-06-02 08:49:06</t>
  </si>
  <si>
    <t>死单激活</t>
  </si>
  <si>
    <t>周敬轩</t>
  </si>
  <si>
    <t>28088957</t>
  </si>
  <si>
    <t>2025-06-07 17:11</t>
  </si>
  <si>
    <t>社会学系</t>
  </si>
  <si>
    <t>社会学</t>
  </si>
  <si>
    <t>2025-06-07 18:06</t>
  </si>
  <si>
    <t>2025-06-07 18:15</t>
  </si>
  <si>
    <t>LP17492907894370</t>
  </si>
  <si>
    <t>四级一对一伴学班（定制）</t>
  </si>
  <si>
    <t>BJWY5719606395</t>
  </si>
  <si>
    <t>2025-06-07</t>
  </si>
  <si>
    <t>回访人：刘文君，回访时间：2025-06-02 09:28，回访内容：四级考前冲刺 时间还算充裕 看看推荐老师；|回访人：刘文君，回访时间：2025-06-02 20:31，回访内容：周三期末考试 看了老师试听 打算考完再说 确认是否提前安排；|回访人：刘文君，回访时间：2025-06-05 10:21，回访内容：确认考试忙完的情况 看看试听反馈；|回访人：张博奥，回访时间：2025-06-07 18:10，回访内容：学生已付款，已发凭证</t>
  </si>
  <si>
    <t>请徐岩老师对接 孙炜明老师上课，请建群拉我，时间紧迫，周一就开始学习，14号考试，阅读和听力，目标考过</t>
  </si>
  <si>
    <t>109350813</t>
  </si>
  <si>
    <t>2025-06-05 11:37:08</t>
  </si>
  <si>
    <t xml:space="preserve">咨询六级线下课程
渠道录入来源：大众点评
事件名称：在线咨询
大众点评门店名称：新东方考研四六级(惠新东街校区)
店铺绑定的校区：临时教学校区
店铺管理员邮箱：lvmeng2@xdf.cn
备注：2025-06-05 11:37:07,用户在大众点评新东方考研四六级(惠新东街校区)在线咨询
</t>
  </si>
  <si>
    <t>詹雨辰</t>
  </si>
  <si>
    <t>28168432</t>
  </si>
  <si>
    <t>2025-06-05 13:02</t>
  </si>
  <si>
    <t>研三</t>
  </si>
  <si>
    <t>美术学</t>
  </si>
  <si>
    <t>2025-06-07 17:20</t>
  </si>
  <si>
    <t>2025-06-07 17:21</t>
  </si>
  <si>
    <t>BJWY4216152239</t>
  </si>
  <si>
    <t>WYS250310033</t>
  </si>
  <si>
    <t>回访人：徐健坤，回访时间：2025-06-05 13:02，回访内容：英语基础薄弱 一直没有背单词 上次考四级成绩四百五十分 中央美术学院 研三 有考博打算 六级通过就可以 根据四级六级成绩换算标准他的成绩到六级通过线会差六十至八十分左右 推荐小班和大班 家长支持报班；|回访人：徐健坤，回访时间：2025-06-06 20:01，回访内容：无人接听 电话不回；|回访人：徐健坤，回访时间：2025-06-07 17:20，回访内容：签约</t>
  </si>
  <si>
    <t>阿义斯</t>
  </si>
  <si>
    <t>103671682</t>
  </si>
  <si>
    <t>2025-05-25 13:40:46</t>
  </si>
  <si>
    <t>老带新系统学管</t>
  </si>
  <si>
    <t>郝琨haokun@xdf.cn</t>
  </si>
  <si>
    <t>2025-05-25 13:43:11</t>
  </si>
  <si>
    <t>28018970</t>
  </si>
  <si>
    <t>2025-06-07 13:26</t>
  </si>
  <si>
    <t>新疆师范大学</t>
  </si>
  <si>
    <t>教育科学学院</t>
  </si>
  <si>
    <t>小学教育</t>
  </si>
  <si>
    <t>2025-06-07 16:50</t>
  </si>
  <si>
    <t>2025-06-07 16:52</t>
  </si>
  <si>
    <t>郝琨</t>
  </si>
  <si>
    <t>BJWY8074105618</t>
  </si>
  <si>
    <t>WYFJ250330012</t>
  </si>
  <si>
    <t>回访人：系统管理员，回访时间：2025-06-05 07:37，回访内容：逾期未回访自动回收；|回访人：刘晓娟，回访时间：2025-06-07 16:16，回访内容：已经储值了，等老带新海报，再入班；|回访人：刘晓娟，回访时间：2025-06-07 16:49，回访内容：报名</t>
  </si>
  <si>
    <t>张奕佳</t>
  </si>
  <si>
    <t>112733776</t>
  </si>
  <si>
    <t>2025-06-06 16:16:42</t>
  </si>
  <si>
    <t>28178458</t>
  </si>
  <si>
    <t>2025-06-06 16:32</t>
  </si>
  <si>
    <t>首都体育学院</t>
  </si>
  <si>
    <t>体育教育训练学院</t>
  </si>
  <si>
    <t>体育教育</t>
  </si>
  <si>
    <t>2025-06-07 15:23</t>
  </si>
  <si>
    <t>2025-06-07 15:28</t>
  </si>
  <si>
    <t>LP17492810022948</t>
  </si>
  <si>
    <t>BJWY0348300167</t>
  </si>
  <si>
    <t>回访人：房国超，回访时间：2025-06-06 16:32，回访内容：学生去年报过大班课， 考前想补一节一对一课程，解决下目前遇到的问题，打算周天上课；|回访人：房国超，回访时间：2025-06-06 19:48，回访内容：学生去年报过大班课， 考前想补一节一对一课程，解决下目前遇到的问题，打算周天上课 ；|回访人：房国超，回访时间：2025-06-08 15:25，回访内容：已报名</t>
  </si>
  <si>
    <t>109360433</t>
  </si>
  <si>
    <t>2025-06-05 11:18:03</t>
  </si>
  <si>
    <t>续费原因：高数 1v1；该学生为保护期内续费，原顾问：国内大学部-刘晓娟(liuxiaojuan@xdf.cn)</t>
  </si>
  <si>
    <t>28208602</t>
  </si>
  <si>
    <t>2025-06-07 18:40</t>
  </si>
  <si>
    <t>2025-06-07 18:42</t>
  </si>
  <si>
    <t>2025-06-07 18:43</t>
  </si>
  <si>
    <t>LP17492929604679</t>
  </si>
  <si>
    <t>回访人：刘晓娟，回访时间：2025-06-07 18:40，回访内容：续费</t>
  </si>
  <si>
    <t>80027560</t>
  </si>
  <si>
    <t>2024-07-16 08:47:26</t>
  </si>
  <si>
    <t>在校，考计算机专业，211
IP：北京
搜索词：文都考研</t>
  </si>
  <si>
    <t>陈洪锋</t>
  </si>
  <si>
    <t>27906524</t>
  </si>
  <si>
    <t>2025-05-17 09:35</t>
  </si>
  <si>
    <t>2025-06-07 10:04</t>
  </si>
  <si>
    <t>2025-06-07 13:18</t>
  </si>
  <si>
    <t>KYJZ25008</t>
  </si>
  <si>
    <t>26考研政治半年集训营（基础/六月）</t>
  </si>
  <si>
    <t>BJWY7406967293</t>
  </si>
  <si>
    <t>KYJZ250080062</t>
  </si>
  <si>
    <t>2025-06-06</t>
  </si>
  <si>
    <t>回访人：刘晓娟，回访时间：2025-05-29 16:49，回访内容：咨询住宿条件，介绍；|回访人：刘晓娟，回访时间：2025-06-05 15:21，回访内容：孩子母亲电话详细沟通，介绍半年营的安排；|回访人：刘晓娟，回访时间：2025-06-07 10:04，回访内容：报名</t>
  </si>
  <si>
    <t>考研专业课150,半年集训营</t>
  </si>
  <si>
    <t>英语,政治,数学,计算机</t>
  </si>
  <si>
    <t>KYJS25008A</t>
  </si>
  <si>
    <t>KYJS25008A0062</t>
  </si>
  <si>
    <t>KYZ25008</t>
  </si>
  <si>
    <t>26考研半年集训营（住宿费/六月）</t>
  </si>
  <si>
    <t>KYZ250080062</t>
  </si>
  <si>
    <t>KYJY25008A</t>
  </si>
  <si>
    <t>26考研英语半年集训营（强冲/英语一）</t>
  </si>
  <si>
    <t>KYJY25008A0041</t>
  </si>
  <si>
    <t>KYJJS2501</t>
  </si>
  <si>
    <t>26考研408计算机半年集训营</t>
  </si>
  <si>
    <t>KYJJS25010042</t>
  </si>
  <si>
    <t>KYJS25008</t>
  </si>
  <si>
    <t>26考研数学半年集训营（基础/六月）</t>
  </si>
  <si>
    <t>KYJS250080062</t>
  </si>
  <si>
    <t>KYJZ25008A</t>
  </si>
  <si>
    <t>KYJZ25008A0041</t>
  </si>
  <si>
    <t>KYJY25008</t>
  </si>
  <si>
    <t>26考研英语半年集训营（基础/六月）</t>
  </si>
  <si>
    <t>KYJY250080062</t>
  </si>
  <si>
    <t>常德市8572</t>
  </si>
  <si>
    <t>101553743</t>
  </si>
  <si>
    <t>2025-05-07 20:09:44</t>
  </si>
  <si>
    <t>渠道录入来源：新东方官网M资讯站-客服
意向城市：北京访客省/城市：常德市
访客静态ID：01000000034659661942361332358572
接待分组ID：70457
搜索引擎：
搜索词：
关键词：
设备类型：phone
访客IP：223.151.17.12
对话详细内容：AI-Lbo0rDBXCyBY 2025-05-07 20:04:20_x000D_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2025-05-07 20:04:23_x000D_
您是想咨询【线下课程】【线上课程】【考研规划】还是【在职考研】呢？**【线下课程】#  **【线上课程】#**【考研规划】#**【在职考研】#_x000D_
_x000D_
01000000034659661942361332358572 2025-05-07 20:04:54_x000D_
【线上课程】_x000D_
_x000D_
AI-Lbo0rDBXCyBY 2025-05-07 20:04:58_x000D_
同学，你现在是在校还是在职呢？_x000D_
_x000D_
01000000034659661942361332358572 2025-05-07 20:05:07_x000D_
在校_x000D_
_x000D_
AI-Lbo0rDBXCyBY 2025-05-07 20:05:11_x000D_
具体是想报考什么学校和专业呢？_x000D_
_x000D_
01000000034659661942361332358572 2025-05-07 20:05:20_x000D_
四级_x000D_
_x000D_
AI-Lbo0rDBXCyBY 2025-05-07 20:05:23_x000D_
您目前在学的院校是哪所呢？_x000D_
_x000D_
01000000034659661942361332358572 2025-05-07 20:05:56_x000D_
暑期回湖南学习_x000D_
_x000D_
AI-Lbo0rDBXCyBY 2025-05-07 20:05:59_x000D_
您目前英语基础如何呢？_x000D_
_x000D_
01000000034659661942361332358572 2025-05-07 20:06:10_x000D_
中等_x000D_
_x000D_
AI-Lbo0rDBXCyBY 2025-05-07 20:06:15_x000D_
这样，您微信还是电话方便呢？我安排四六级老师联系您，将课程的详细内容介绍给您_x000D_
_x000D_
AI-Lbo0rDBXCyBY 2025-05-07 20:06:51_x000D_
您好，能看到我的对话吗？如有疑问，可以在此留电咨询！_x000D_
_x000D_
01000000034659661942361332358572 2025-05-07 20:07:08_x000D_
微信方便_x000D_
_x000D_
AI-Lbo0rDBXCyBY 2025-05-07 20:07:14_x000D_
可以的，您的微信号码是~_x000D_
_x000D_
01000000034659661942361332358572 2025-05-07 20:07:41_x000D_
加13875167949_x000D_
_x000D_
AI-Lbo0rDBXCyBY 2025-05-07 20:07:44_x000D_
好的，确认一下你的号码是否正确呢~_x000D_
_x000D_
01000000034659661942361332358572 2025-05-07 20:07:54_x000D_
正确_x000D_
_x000D_
AI-Lbo0rDBXCyBY 2025-05-07 20:07:58_x000D_
同学怎么称呼呢？_x000D_
_x000D_
01000000034659661942361332358572 2025-05-07 20:08:11_x000D_
苏同学_x000D_
_x000D_
AI-Lbo0rDBXCyBY 2025-05-07 20:08:15_x000D_
这边马上安排顾问老师联系您，预计半个小时左右给您回电请注意接听~_x000D_
_x000D_
来源页：https://cet4-6.xdf.cn/
备注：</t>
  </si>
  <si>
    <t>2025财年第12财月易聊新东方官网M资讯站</t>
  </si>
  <si>
    <t>2025-05-07 20:55:42</t>
  </si>
  <si>
    <t>苏思锐</t>
  </si>
  <si>
    <t>27840239</t>
  </si>
  <si>
    <t>2025-05-09 16:33</t>
  </si>
  <si>
    <t>湖南师范大学</t>
  </si>
  <si>
    <t>2025-06-06 10:13</t>
  </si>
  <si>
    <t>BJWY1114358876</t>
  </si>
  <si>
    <t>WYFJ250330009</t>
  </si>
  <si>
    <t>回访人：李政，回访时间：2025-06-03 14:32，回访内容：沟通了课程及价格 已经发送报名链接 等待缴费（四级线上优享，优惠后5680元）；|回访人：李政，回访时间：2025-06-05 22:40，回访内容：已签合同付款，明上午入班；|回访人：李政，回访时间：2025-06-06 10:13，回访内容：签约入班</t>
  </si>
  <si>
    <t>代紫旭</t>
  </si>
  <si>
    <t>112474755</t>
  </si>
  <si>
    <t>2025-06-06 10:21:06</t>
  </si>
  <si>
    <t>续费原因：学员续费四小时，辛苦老师流转；该学生为保护期内续费，原顾问：国内大学部-房国超(fangguochao@xdf.cn)</t>
  </si>
  <si>
    <t>28196170</t>
  </si>
  <si>
    <t>2025-06-06 10:45</t>
  </si>
  <si>
    <t>中国农业大学</t>
  </si>
  <si>
    <t>汉语言</t>
  </si>
  <si>
    <t>2025-06-06 14:31</t>
  </si>
  <si>
    <t>2025-06-06 14:34</t>
  </si>
  <si>
    <t>LP17491914881402</t>
  </si>
  <si>
    <t>BJWY3719583990</t>
  </si>
  <si>
    <t>回访人：房国超，回访时间：2025-06-06 10:45，回访内容：续费4小时；|回访人：房国超，回访时间：2025-06-08 15:26，回访内容：已报名</t>
  </si>
  <si>
    <t>清远市2876</t>
  </si>
  <si>
    <t>112655118</t>
  </si>
  <si>
    <t>2025-06-06 13:41:01</t>
  </si>
  <si>
    <t>渠道录入来源：新东方官网M站-客服
意向城市：北京访客省/城市：清远市
访客静态ID：01000003465900918824297298492876
接待分组ID：70455
搜索引擎：
搜索词：
关键词：
设备类型：phone
访客IP：223.104.72.177
对话详细内容：AI-Lbo0rDBXCyBY 2025-06-06 13:37:25_x000D_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2025-06-06 13:37:28_x000D_
您是想咨询【线下课程】【线上课程】【考研规划】还是【在职考研】呢？**【线下课程】#  **【线上课程】#**【考研规划】#**【在职考研】#_x000D_
_x000D_
01000003465900918824297298492876 2025-06-06 13:37:56_x000D_
【四/六级课程】_x000D_
_x000D_
AI-Lbo0rDBXCyBY 2025-06-06 13:37:59_x000D_
您目前在学的院校是哪所呢？_x000D_
_x000D_
01000003465900918824297298492876 2025-06-06 13:38:16_x000D_
华南师范大学_x000D_
_x000D_
AI-Lbo0rDBXCyBY 2025-06-06 13:38:20_x000D_
您目前英语基础如何呢？_x000D_
_x000D_
01000003465900918824297298492876 2025-06-06 13:38:33_x000D_
高考118_x000D_
_x000D_
AI-Lbo0rDBXCyBY 2025-06-06 13:38:39_x000D_
这样，您微信还是电话方便呢？我安排四六级老师联系您，将课程的详细内容介绍给您_x000D_
_x000D_
01000003465900918824297298492876 2025-06-06 13:38:58_x000D_
杨小姐，13650379646_x000D_
_x000D_
AI-Lbo0rDBXCyBY 2025-06-06 13:39:01_x000D_
好的，确认一下你的号码是否正确呢~_x000D_
_x000D_
01000003465900918824297298492876 2025-06-06 13:39:43_x000D_
因为家在清远，所以想报个暑假班网课_x000D_
_x000D_
AI-Lbo0rDBXCyBY 2025-06-06 13:39:47_x000D_
同学怎么称呼呢？_x000D_
_x000D_
01000003465900918824297298492876 2025-06-06 13:39:54_x000D_
吴文轩_x000D_
_x000D_
AI-Lbo0rDBXCyBY 2025-06-06 13:39:57_x000D_
这边马上安排顾问老师联系您，预计半个小时左右给您回电请注意接听~_x000D_
_x000D_
01000003465900918824297298492876 2025-06-06 13:40:07_x000D_
好的，谢谢_x000D_
_x000D_
AI-Lbo0rDBXCyBY 2025-06-06 13:40:11_x000D_
好的，这个也是您的微信号吗？_x000D_
_x000D_
01000003465900918824297298492876 2025-06-06 13:40:49_x000D_
我是孩子妈妈杨小姐，微信号 yang13650379646_x000D_
_x000D_
AI-Lbo0rDBXCyBY 2025-06-06 13:40:55_x000D_
稍后老师会联系哈_x000D_
_x000D_
来源页：https://click.xdf.cn/?utm_source=jituan_searchengine_Baidu_M_BaiduPP&amp;utm_medium=CPD&amp;utm_campaign=Jituan_baidu_pp_m_CPP_pinpai&amp;utm_term=zhubiaoti&amp;utm_1st_id=7&amp;utm_2nd_id=63&amp;xdf_source_channel_code=238a46ef577ed365c8f18326bd5defa4&amp;redirect_url=https%3A%2F%2Fmtoutiao.xdf.cn%2Fwww%2Fmarket%2Fzhuanti%2Findex.html
备注：</t>
  </si>
  <si>
    <t>2025-06-06 15:39:36</t>
  </si>
  <si>
    <t>吴文轩</t>
  </si>
  <si>
    <t>28178889</t>
  </si>
  <si>
    <t>2025-06-06 17:08</t>
  </si>
  <si>
    <t>华南师范大学</t>
  </si>
  <si>
    <t>电子科学与工程学院</t>
  </si>
  <si>
    <t>集成电路设计</t>
  </si>
  <si>
    <t>2025-06-06 19:28</t>
  </si>
  <si>
    <t>2025-06-06 19:29</t>
  </si>
  <si>
    <t>BJWY0333152891</t>
  </si>
  <si>
    <t>WYFJ250330010</t>
  </si>
  <si>
    <t>回访人：宋增辉，回访时间：2025-06-06 17:08，回访内容：外地人外地大学，想要大班课，没有一对一需求，孩子妈妈意向挺高，孩子大一不让四级考试，12月打算考试，有考研打算，家长和孩子沟通过，家长让老师和学生再电话沟通一下；|回访人：宋增辉，回访时间：2025-06-06 19:28，回访内容：报名成单</t>
  </si>
  <si>
    <t>请学管老师尽快联系，安排学习导学课内容</t>
  </si>
  <si>
    <t>28168704</t>
  </si>
  <si>
    <t>2025-06-05 13:44</t>
  </si>
  <si>
    <t>2025-06-05 13:46</t>
  </si>
  <si>
    <t>2025-06-05 13:58</t>
  </si>
  <si>
    <t>LP17491023921437</t>
  </si>
  <si>
    <t>回访人：刘晓娟，回访时间：2025-06-05 13:44，回访内容：线性代数</t>
  </si>
  <si>
    <t>先生</t>
  </si>
  <si>
    <t>104046634</t>
  </si>
  <si>
    <t>2025-05-28 16:26:28</t>
  </si>
  <si>
    <t>知春路四级直访
北大附中，类似2+4，现在学习的是新高一的英语，家长认为学生英语更不上进度，所以想针对性集中补习，无论你们是否可以带，给家长发个短信，联系一下</t>
  </si>
  <si>
    <t>李端牧</t>
  </si>
  <si>
    <t>27948991</t>
  </si>
  <si>
    <t>2025-05-28 16:54</t>
  </si>
  <si>
    <t>北大附中</t>
  </si>
  <si>
    <t>2025-06-05 10:51</t>
  </si>
  <si>
    <t>2025-06-05 10:58</t>
  </si>
  <si>
    <t>LP1749091911750</t>
  </si>
  <si>
    <t>BJWY5622055890</t>
  </si>
  <si>
    <t>回访人：田一禾，回访时间：2025-05-28 16:54，回访内容：新高一，想提升英语能力悟透水平，目前规划集中上一周时间一对一，还需要再了解再考虑，有电话记录；|回访人：田一禾，回访时间：2025-05-29 10:49，回访内容：目前电话了解，孩子年龄还太小，家长对一对一价格有些顾虑，觉得不是小数目，回复频率也不够高，目前预计发送一些学习计划，再沟通；|回访人：田一禾，回访时间：2025-06-02 17:56，回访内容：需求：语言的本质 单词词性 应用 词义词性 词组（带听力20分钟，提升语感） 高中方向 被推着走 4个小时（早上来）上午下午两小时 对老师要求：教研断开（风格和孩子不匹配）老师水平跟孩子不契合 5级别 应试能力应试强  考试时间多（毕业考分班考）7月7-7月31  日期：7-11 14-18 
；|回访人：田一禾，回访时间：2025-06-03 15:22，回访内容：今日询问是否看老师，表示没有今晚看，目前等晚上孩子看完选老师后推进，明日再联系；|回访人：田一禾，回访时间：2025-06-04 14:27，回访内容：家长选了张子凌老师，约定过两天来线下操作缴费</t>
  </si>
  <si>
    <t>28上考季</t>
  </si>
  <si>
    <t>107676838</t>
  </si>
  <si>
    <t>2025-06-03 14:33:43</t>
  </si>
  <si>
    <t>资讯暑假六级
IP：北京
搜索词：无</t>
  </si>
  <si>
    <t>李昀蔚</t>
  </si>
  <si>
    <t>28095653</t>
  </si>
  <si>
    <t>2025-06-03 15:23</t>
  </si>
  <si>
    <t>信息工程</t>
  </si>
  <si>
    <t>2025-06-04 13:40</t>
  </si>
  <si>
    <t>2025-06-04 15:26</t>
  </si>
  <si>
    <t>BJWY5806568003</t>
  </si>
  <si>
    <t>WYS250310032</t>
  </si>
  <si>
    <t>回访人：张博奥，回访时间：2025-06-03 15:23，回访内容：孩子今年大一六月份考四级，开学大二，12月份考六级，咨询暑假六级课程，意向大班，持续跟进；|回访人：张博奥，回访时间：2025-06-04 13:40，回访内容：孩子家长已完成协议签署和缴费</t>
  </si>
  <si>
    <t>石家庄市6259</t>
  </si>
  <si>
    <t>107421457</t>
  </si>
  <si>
    <t>2025-06-02 09:39:16</t>
  </si>
  <si>
    <t>渠道录入来源：新东方官网APP-客服
意向城市：北京访客省/城市：石家庄市
访客静态ID：01000000034659882807842043166259
接待分组ID：70458
搜索引擎：
搜索词：
关键词：
设备类型：phone
访客IP：36.143.106.211
对话详细内容：AI-Lbo0rDBXCyBY 2025-06-02 09:34:40_x000D_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2025-06-02 09:34:43_x000D_
您是想咨询【线下课程】【线上课程】【考研规划】还是【在职考研】呢？**【线下课程】#  **【线上课程】#**【考研规划】#**【在职考研】#_x000D_
_x000D_
01000000034659882807842043166259 2025-06-02 09:34:57_x000D_
【线上课程】_x000D_
_x000D_
AI-Lbo0rDBXCyBY 2025-06-02 09:35:01_x000D_
同学，你现在是在校还是在职呢？_x000D_
_x000D_
01000000034659882807842043166259 2025-06-02 09:35:12_x000D_
在校_x000D_
_x000D_
AI-Lbo0rDBXCyBY 2025-06-02 09:35:15_x000D_
具体是想报考什么学校和专业呢？_x000D_
_x000D_
01000000034659882807842043166259 2025-06-02 09:35:34_x000D_
考四级_x000D_
_x000D_
AI-Lbo0rDBXCyBY 2025-06-02 09:35:37_x000D_
您目前在学的院校是哪所呢？_x000D_
_x000D_
01000000034659882807842043166259 2025-06-02 09:35:48_x000D_
北化_x000D_
_x000D_
AI-Lbo0rDBXCyBY 2025-06-02 09:35:51_x000D_
您目前英语基础如何呢？_x000D_
_x000D_
01000000034659882807842043166259 2025-06-02 09:36:03_x000D_
还行吧_x000D_
_x000D_
AI-Lbo0rDBXCyBY 2025-06-02 09:36:08_x000D_
这样，您微信还是电话方便呢？我安排四六级老师联系您，将课程的详细内容介绍给您_x000D_
_x000D_
01000000034659882807842043166259 2025-06-02 09:36:34_x000D_
我想问课程可以回放不_x000D_
_x000D_
AI-Lbo0rDBXCyBY 2025-06-02 09:36:41_x000D_
嗯嗯  好的那同学稍后方便接听电话吗？我这边可以立刻安排专业老师给您回电呢_x000D_
_x000D_
01000000034659882807842043166259 2025-06-02 09:36:56_x000D_
我是孩子妈妈_x000D_
_x000D_
AI-Lbo0rDBXCyBY 2025-06-02 09:37:01_x000D_
这样，您电话多少，我安排考研部的老师联系您，将课程的详细内容介绍给您_x000D_
_x000D_
01000000034659882807842043166259 2025-06-02 09:37:14_x000D_
13832104927_x000D_
_x000D_
AI-Lbo0rDBXCyBY 2025-06-02 09:37:18_x000D_
好的，确认一下你的号码是否正确呢~_x000D_
_x000D_
01000000034659882807842043166259 2025-06-02 09:37:29_x000D_
√_x000D_
_x000D_
AI-Lbo0rDBXCyBY 2025-06-02 09:37:32_x000D_
同学怎么称呼呢？_x000D_
_x000D_
01000000034659882807842043166259 2025-06-02 09:38:03_x000D_
张同学_x000D_
_x000D_
AI-Lbo0rDBXCyBY 2025-06-02 09:38:06_x000D_
这边马上安排顾问老师联系您，预计半个小时左右给您回电请注意接听~_x000D_
_x000D_
01000000034659882807842043166259 2025-06-02 09:38:15_x000D_
好的_x000D_
_x000D_
AI-Lbo0rDBXCyBY 2025-06-02 09:38:18_x000D_
好的，这个也是您的微信号吗？_x000D_
_x000D_
01000000034659882807842043166259 2025-06-02 09:38:26_x000D_
√_x000D_
_x000D_
AI-Lbo0rDBXCyBY 2025-06-02 09:38:30_x000D_
稍后老师会联系哈_x000D_
_x000D_
来源页：https://m.souke.xdf.cn/item/110100-108-WYFJ25033.html
备注：</t>
  </si>
  <si>
    <t>2025-06-02 09:52:29</t>
  </si>
  <si>
    <t>张云迪</t>
  </si>
  <si>
    <t>28107843</t>
  </si>
  <si>
    <t>2025-06-02 10:30</t>
  </si>
  <si>
    <t>材料科学与工程学院</t>
  </si>
  <si>
    <t>高分子材料与工程</t>
  </si>
  <si>
    <t>2025-06-04 17:29</t>
  </si>
  <si>
    <t>2025-06-04 17:32</t>
  </si>
  <si>
    <t>BJWY6456160164</t>
  </si>
  <si>
    <t>WYSJ250330010</t>
  </si>
  <si>
    <t>回访人：田一禾，回访时间：2025-06-02 10:30，回访内容：大一英语130，孩子在北京，推荐六级课程，一对一认为价格偏高，目前需要看孩子时间；|回访人：田一禾，回访时间：2025-06-03 15:40，回访内容：孩子这两天考试，最近看不了试听课，后天再次询问；|回访人：田一禾，回访时间：2025-06-04 17:29，回访内容：今日签约。</t>
  </si>
  <si>
    <t>107969395</t>
  </si>
  <si>
    <t>2025-06-04 08:54:31</t>
  </si>
  <si>
    <t>【大学高数】家长，说是大一上在这上过高数，现在想学习下大一下，方便电话</t>
  </si>
  <si>
    <t>2025-06-04 09:15:05</t>
  </si>
  <si>
    <t>郭屹</t>
  </si>
  <si>
    <t>28152341</t>
  </si>
  <si>
    <t>2025-06-04 10:45</t>
  </si>
  <si>
    <t>2025-06-04 15:03</t>
  </si>
  <si>
    <t>2025-06-04 15:07</t>
  </si>
  <si>
    <t>LP17490206252072</t>
  </si>
  <si>
    <t>BJWY1875085043</t>
  </si>
  <si>
    <t>回访人：刘晓娟，回访时间：2025-06-04 10:45，回访内容：6.16考试，我的老生，高数下补习，王耿丽老师，确认时间发家长</t>
  </si>
  <si>
    <t>马云霏</t>
  </si>
  <si>
    <t>103039985</t>
  </si>
  <si>
    <t>2025-05-19 19:47:13</t>
  </si>
  <si>
    <t>咨询1对1，房国超老师保护期内资源</t>
  </si>
  <si>
    <t>27957126</t>
  </si>
  <si>
    <t>2025-05-19 19:54</t>
  </si>
  <si>
    <t>音乐学和舞蹈学</t>
  </si>
  <si>
    <t>2025-06-02 20:24</t>
  </si>
  <si>
    <t>2025-06-02 20:26</t>
  </si>
  <si>
    <t>LP17488670874449</t>
  </si>
  <si>
    <t>BJWY8630002030</t>
  </si>
  <si>
    <t>2025-06-02</t>
  </si>
  <si>
    <t>回访人：房国超，回访时间：2025-05-26 11:17，回访内容：看看哪个申博英语 是啥时候准备，大概得暑假后了</t>
  </si>
  <si>
    <t>陈同学</t>
  </si>
  <si>
    <t>103887042</t>
  </si>
  <si>
    <t>2025-05-27 16:47:29</t>
  </si>
  <si>
    <t xml:space="preserve">渠道录入来源：SCRM-客服推送
商机ID：5008914027
商机编码：XSJ20250527028193
针对人群：大学
学生学校：不详
咨询课程：英语
创建人邮箱：zhangjing44@xdf.cn
创建时间：2025-05-27 16:47:26
资源类型：单个资源
跟进记录：商机备注：大二，咨询大学四级课程，辛苦老师尽快回复;接触点：直访；
</t>
  </si>
  <si>
    <t>高天成</t>
  </si>
  <si>
    <t>28034477</t>
  </si>
  <si>
    <t>2025-05-28 10:34</t>
  </si>
  <si>
    <t>生物工程</t>
  </si>
  <si>
    <t>2025-06-02 18:47</t>
  </si>
  <si>
    <t>2025-06-02 18:48</t>
  </si>
  <si>
    <t>BJWY8674398678</t>
  </si>
  <si>
    <t>WYF250310020</t>
  </si>
  <si>
    <t>回访人：刘晓娟，回访时间：2025-05-28 10:34，回访内容：孩子母亲咨询，孩子大二，贯通的，3+2，考了三级，但是不知道是什么三级，是在学校里考的，家在海淀，介绍暑假四级线上和线下的课程安排，家长问问孩子；|回访人：刘晓娟，回访时间：2025-05-30 10:41，回访内容：微信留言，确认意向；|回访人：刘晓娟，回访时间：2025-06-02 18:47，回访内容：报名</t>
  </si>
  <si>
    <t>小虎</t>
  </si>
  <si>
    <t>102869195</t>
  </si>
  <si>
    <t>2025-05-18 06:49:06</t>
  </si>
  <si>
    <t>销售主管分配TMK主管</t>
  </si>
  <si>
    <t>2025财年第11财月代理商</t>
  </si>
  <si>
    <t>2025-05-20 15:44:56</t>
  </si>
  <si>
    <t>虎葆霖</t>
  </si>
  <si>
    <t>27985064</t>
  </si>
  <si>
    <t>2025-05-20 15:58</t>
  </si>
  <si>
    <t>中央民族大学</t>
  </si>
  <si>
    <t>信息工程学院</t>
  </si>
  <si>
    <t>2025-06-02 14:03</t>
  </si>
  <si>
    <t>BJWY9727135037</t>
  </si>
  <si>
    <t>WYS250310029</t>
  </si>
  <si>
    <t>回访人：宋增辉，回访时间：2025-05-24 11:29，回访内容：孩子军训时间通知没下来，孩子说下周给通知，约定下周五定课程；|回访人：宋增辉，回访时间：2025-05-30 13:45，回访内容：电话微信，微信留言询问情况；|回访人：宋增辉，回访时间：2025-05-31 11:59，回访内容：确认好了，等待家长发报课信息；|回访人：宋增辉，回访时间：2025-06-01 10:49，回访内容：拒接，微信留言+1；|回访人：宋增辉，回访时间：2025-06-02 11:03，回访内容：住宿问题孩子和学校老师沟通，等回复；|回访人：宋增辉，回访时间：2025-06-02 14:03，回访内容：签约</t>
  </si>
  <si>
    <t>103770568</t>
  </si>
  <si>
    <t>2025-05-26 14:41:30</t>
  </si>
  <si>
    <t>家长接听，问有没有高数的辅导，孩子在房山上学，大一，想了解辅导之后能达到什么水平，让孩子能及格就行，让先加微信，有时间跟老师再约电话沟通。微信联系，同手机号；北京学校2月19日数据，预估为大一 外呼主题：批量导入-批量导入-北京学校往期数据外呼（2024.9-2025.6可能大二或大三）2</t>
  </si>
  <si>
    <t>路宇涵</t>
  </si>
  <si>
    <t>28144389</t>
  </si>
  <si>
    <t>2025-06-02 17:20</t>
  </si>
  <si>
    <t>数据科学与大数据技术</t>
  </si>
  <si>
    <t>2025-06-02 17:24</t>
  </si>
  <si>
    <t>2025-06-03 10:11</t>
  </si>
  <si>
    <t>LP17488562433679</t>
  </si>
  <si>
    <t>XDF072129151525750</t>
  </si>
  <si>
    <t>回访人：刘晓娟，回访时间：2025-06-02 17:20，回访内容：续费</t>
  </si>
  <si>
    <t>资源处理时效（10）</t>
  </si>
  <si>
    <t>老带新签约人头（30）</t>
  </si>
  <si>
    <t>6月新增资源签约率（60）</t>
  </si>
  <si>
    <t>合计得分</t>
  </si>
  <si>
    <t>发放比例</t>
  </si>
  <si>
    <t>月度绩效标准</t>
  </si>
  <si>
    <t>月绩效应发</t>
  </si>
  <si>
    <t>目标</t>
  </si>
  <si>
    <t>数据</t>
  </si>
  <si>
    <t>完成率</t>
  </si>
  <si>
    <t>得分</t>
  </si>
  <si>
    <t>完成</t>
  </si>
  <si>
    <t>完成情况</t>
  </si>
  <si>
    <t>60min</t>
  </si>
  <si>
    <t>新人第二个月保护期打满</t>
  </si>
  <si>
    <t>新人第一个月保护期打满</t>
  </si>
  <si>
    <t>提交日期</t>
  </si>
  <si>
    <t>您所办理的业务类型</t>
  </si>
  <si>
    <t>OA流水号</t>
  </si>
  <si>
    <t>学管姓名</t>
  </si>
  <si>
    <t>学管是否代办</t>
  </si>
  <si>
    <t>顾问姓名</t>
  </si>
  <si>
    <t>顾问是否代办</t>
  </si>
  <si>
    <t>91系统-最新报名二级渠道</t>
  </si>
  <si>
    <t>原班所属项目</t>
  </si>
  <si>
    <t>转班金额（请学管填写所在班级实际金额）</t>
  </si>
  <si>
    <t>转班详细原因说明</t>
  </si>
  <si>
    <t>提交时间</t>
  </si>
  <si>
    <t>提交人</t>
  </si>
  <si>
    <t>退费类型</t>
  </si>
  <si>
    <t>学员姓名</t>
  </si>
  <si>
    <t>学员编码</t>
  </si>
  <si>
    <t>办理日期-客服</t>
  </si>
  <si>
    <t>总退转金额</t>
  </si>
  <si>
    <t>2025/05/30</t>
  </si>
  <si>
    <t>退费</t>
  </si>
  <si>
    <t>2025052100094</t>
  </si>
  <si>
    <t>张子晗67-张子晗</t>
  </si>
  <si>
    <t>虚拟人</t>
  </si>
  <si>
    <t>四六级项目</t>
  </si>
  <si>
    <t>2025-05-30</t>
  </si>
  <si>
    <t>真实产生的退费</t>
  </si>
  <si>
    <t>金立威</t>
  </si>
  <si>
    <t>BJWY0665091701</t>
  </si>
  <si>
    <t>2025/06/01</t>
  </si>
  <si>
    <t>2025/06/10</t>
  </si>
  <si>
    <t>转班</t>
  </si>
  <si>
    <t>无忧项目</t>
  </si>
  <si>
    <t>姓名：刘加隆
电话：13141074310
学员编号：BJWY9975719936
转班原因：学生定好专业院校，考英二  英一转英二
转班信息：WYE26026、WYE26027转WYE26028、WYE26029
已登记表格，辛苦老师办理</t>
  </si>
  <si>
    <t>2025060300113</t>
  </si>
  <si>
    <t>李玉迪1-李玉迪</t>
  </si>
  <si>
    <t>吴越</t>
  </si>
  <si>
    <t>BJWY3961126498</t>
  </si>
  <si>
    <t>2025/06/11</t>
  </si>
  <si>
    <t>2025/06/16</t>
  </si>
  <si>
    <t>18706517</t>
  </si>
  <si>
    <t>张雪涵2-张雪涵</t>
  </si>
  <si>
    <t>集训营项目</t>
  </si>
  <si>
    <t>王晗羽</t>
  </si>
  <si>
    <t>BJWY9149917092</t>
  </si>
  <si>
    <t>2025/06/24</t>
  </si>
  <si>
    <t>18706641</t>
  </si>
  <si>
    <t>18706618</t>
  </si>
  <si>
    <t>18706571</t>
  </si>
  <si>
    <t>2025/06/27</t>
  </si>
  <si>
    <t>李小龙25-李小龙</t>
  </si>
  <si>
    <t>学员想在知春路上课</t>
  </si>
  <si>
    <t>2025/06/28</t>
  </si>
  <si>
    <t>NO.2025062302472</t>
  </si>
  <si>
    <t>谢仕为1-谢仕为</t>
  </si>
  <si>
    <t>2025/06/14</t>
  </si>
  <si>
    <t>边鑫博</t>
  </si>
  <si>
    <t>TRUE</t>
  </si>
  <si>
    <t>京内毛坯数据</t>
  </si>
  <si>
    <t xml:space="preserve">因为报班班级编码写错了，现在已报入：YKM25001   用户要报线上优享大学预科数学：YKMJ25001，
麻烦老师转班到线上大学预科高数：YKMJ25001  </t>
  </si>
  <si>
    <t>2025/06/03</t>
  </si>
  <si>
    <t>2025060301379</t>
  </si>
  <si>
    <t>李润基</t>
  </si>
  <si>
    <t>地推</t>
  </si>
  <si>
    <t>VIP项目</t>
  </si>
  <si>
    <t>张艺璇</t>
  </si>
  <si>
    <t>BJWY0321441887</t>
  </si>
  <si>
    <t>2025/06/06</t>
  </si>
  <si>
    <t>2025/06/09</t>
  </si>
  <si>
    <t>NO.18684693</t>
  </si>
  <si>
    <t>罗志勇1-罗志勇</t>
  </si>
  <si>
    <t>徐健坤1-徐健坤</t>
  </si>
  <si>
    <t>2025/06/13</t>
  </si>
  <si>
    <t>金立威、张艺璇：离职学管问题，不算退费</t>
  </si>
  <si>
    <t>首次报名时间</t>
  </si>
  <si>
    <t>当月提点</t>
  </si>
  <si>
    <t>扣除金额</t>
  </si>
  <si>
    <t>刘加隆：转班学员，不算进账和退费</t>
  </si>
  <si>
    <t>季度绩效</t>
    <phoneticPr fontId="28" type="noConversion"/>
  </si>
  <si>
    <t>现金</t>
    <phoneticPr fontId="28" type="noConversion"/>
  </si>
  <si>
    <t>4月</t>
    <phoneticPr fontId="28" type="noConversion"/>
  </si>
  <si>
    <t>5月</t>
    <phoneticPr fontId="28" type="noConversion"/>
  </si>
  <si>
    <t>汇总</t>
    <phoneticPr fontId="28" type="noConversion"/>
  </si>
  <si>
    <t>现金完成率</t>
    <phoneticPr fontId="28" type="noConversion"/>
  </si>
  <si>
    <t>占比</t>
    <phoneticPr fontId="28" type="noConversion"/>
  </si>
  <si>
    <t>得分</t>
    <phoneticPr fontId="28" type="noConversion"/>
  </si>
  <si>
    <t>总签约率</t>
    <phoneticPr fontId="28" type="noConversion"/>
  </si>
  <si>
    <t>此项得分</t>
    <phoneticPr fontId="28" type="noConversion"/>
  </si>
  <si>
    <t>目标</t>
    <phoneticPr fontId="28" type="noConversion"/>
  </si>
  <si>
    <t>完成</t>
    <phoneticPr fontId="28" type="noConversion"/>
  </si>
  <si>
    <t>完成率</t>
    <phoneticPr fontId="28" type="noConversion"/>
  </si>
  <si>
    <t>月份</t>
    <phoneticPr fontId="28" type="noConversion"/>
  </si>
  <si>
    <t>转介绍</t>
    <phoneticPr fontId="28" type="noConversion"/>
  </si>
  <si>
    <t>顾问转介绍完成率</t>
    <phoneticPr fontId="28" type="noConversion"/>
  </si>
  <si>
    <t>绩效得分</t>
    <phoneticPr fontId="28" type="noConversion"/>
  </si>
  <si>
    <t>12000*2/3=8000</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</si>
</sst>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80" formatCode="0_ "/>
    <numFmt numFmtId="181" formatCode="0.0%"/>
    <numFmt numFmtId="182" formatCode="0.00_ "/>
    <numFmt numFmtId="183" formatCode="0_);[Red]\(0\)"/>
  </numFmts>
  <fonts count="30">
    <font>
      <sz val="11"/>
      <color theme="1"/>
      <name val="宋体"/>
      <charset val="134"/>
      <scheme val="minor"/>
    </font>
    <font>
      <sz val="12"/>
      <color theme="1"/>
      <name val="宋体"/>
      <family val="3"/>
      <charset val="134"/>
      <scheme val="minor"/>
    </font>
    <font>
      <sz val="11"/>
      <color rgb="FF000000"/>
      <name val="等线"/>
      <family val="4"/>
      <charset val="134"/>
    </font>
    <font>
      <sz val="11"/>
      <color theme="1"/>
      <name val="微软雅黑"/>
      <family val="2"/>
      <charset val="134"/>
    </font>
    <font>
      <sz val="9"/>
      <color rgb="FF222222"/>
      <name val="宋体"/>
      <family val="3"/>
      <charset val="134"/>
      <scheme val="minor"/>
    </font>
    <font>
      <sz val="11"/>
      <color rgb="FFFF0000"/>
      <name val="等线"/>
      <family val="4"/>
      <charset val="134"/>
    </font>
    <font>
      <sz val="11"/>
      <color indexed="8"/>
      <name val="宋体"/>
      <family val="3"/>
      <charset val="134"/>
      <scheme val="minor"/>
    </font>
    <font>
      <sz val="12"/>
      <color theme="1"/>
      <name val="微软雅黑"/>
      <family val="2"/>
      <charset val="134"/>
    </font>
    <font>
      <sz val="12"/>
      <color theme="0"/>
      <name val="微软雅黑"/>
      <family val="2"/>
      <charset val="134"/>
    </font>
    <font>
      <b/>
      <sz val="12"/>
      <color theme="0"/>
      <name val="微软雅黑"/>
      <family val="2"/>
      <charset val="134"/>
    </font>
    <font>
      <sz val="12"/>
      <name val="微软雅黑"/>
      <family val="2"/>
      <charset val="134"/>
    </font>
    <font>
      <sz val="12"/>
      <color rgb="FF000000"/>
      <name val="微软雅黑"/>
      <family val="2"/>
      <charset val="134"/>
    </font>
    <font>
      <b/>
      <sz val="12"/>
      <color rgb="FFC00000"/>
      <name val="微软雅黑"/>
      <family val="2"/>
      <charset val="134"/>
    </font>
    <font>
      <b/>
      <sz val="12"/>
      <color theme="1"/>
      <name val="微软雅黑"/>
      <family val="2"/>
      <charset val="134"/>
    </font>
    <font>
      <b/>
      <sz val="10"/>
      <name val="宋体"/>
      <family val="3"/>
      <charset val="134"/>
    </font>
    <font>
      <sz val="10"/>
      <name val="Calibri"/>
      <family val="2"/>
    </font>
    <font>
      <sz val="10"/>
      <name val="宋体-简"/>
      <family val="1"/>
      <charset val="134"/>
    </font>
    <font>
      <b/>
      <sz val="12"/>
      <color rgb="FF000000"/>
      <name val="微软雅黑"/>
      <family val="2"/>
      <charset val="134"/>
    </font>
    <font>
      <sz val="11"/>
      <color rgb="FFFFFFFF"/>
      <name val="微软雅黑"/>
      <family val="2"/>
      <charset val="134"/>
    </font>
    <font>
      <b/>
      <sz val="11"/>
      <color rgb="FFFFFFFF"/>
      <name val="微软雅黑"/>
      <family val="2"/>
      <charset val="134"/>
    </font>
    <font>
      <b/>
      <sz val="10"/>
      <color rgb="FFFFFFFF"/>
      <name val="微软雅黑"/>
      <family val="2"/>
      <charset val="134"/>
    </font>
    <font>
      <sz val="16"/>
      <color rgb="FF000000"/>
      <name val="微软雅黑"/>
      <family val="2"/>
      <charset val="134"/>
    </font>
    <font>
      <sz val="11"/>
      <color rgb="FF000000"/>
      <name val="微软雅黑"/>
      <family val="2"/>
      <charset val="134"/>
    </font>
    <font>
      <sz val="10"/>
      <name val="微软雅黑"/>
      <family val="2"/>
      <charset val="134"/>
    </font>
    <font>
      <sz val="10"/>
      <color rgb="FF000000"/>
      <name val="微软雅黑"/>
      <family val="2"/>
      <charset val="134"/>
    </font>
    <font>
      <b/>
      <sz val="10"/>
      <color rgb="FF000000"/>
      <name val="微软雅黑"/>
      <family val="2"/>
      <charset val="134"/>
    </font>
    <font>
      <sz val="11"/>
      <color theme="1"/>
      <name val="宋体"/>
      <family val="3"/>
      <charset val="134"/>
      <scheme val="minor"/>
    </font>
    <font>
      <sz val="11"/>
      <color theme="1"/>
      <name val="宋体"/>
      <family val="3"/>
      <charset val="134"/>
      <scheme val="minor"/>
    </font>
    <font>
      <sz val="9"/>
      <name val="宋体"/>
      <family val="3"/>
      <charset val="134"/>
      <scheme val="minor"/>
    </font>
    <font>
      <b/>
      <sz val="11"/>
      <color theme="0"/>
      <name val="微软雅黑"/>
      <family val="2"/>
      <charset val="134"/>
    </font>
  </fonts>
  <fills count="22">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49C0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59999389629810485"/>
        <bgColor indexed="64"/>
      </patternFill>
    </fill>
    <fill>
      <patternFill patternType="solid">
        <fgColor theme="5" tint="0.39988402966399123"/>
        <bgColor indexed="64"/>
      </patternFill>
    </fill>
    <fill>
      <patternFill patternType="solid">
        <fgColor rgb="FFF4B183"/>
        <bgColor indexed="64"/>
      </patternFill>
    </fill>
    <fill>
      <patternFill patternType="solid">
        <fgColor indexed="31"/>
        <bgColor indexed="64"/>
      </patternFill>
    </fill>
    <fill>
      <patternFill patternType="solid">
        <fgColor rgb="FFFF0000"/>
        <bgColor indexed="64"/>
      </patternFill>
    </fill>
    <fill>
      <patternFill patternType="solid">
        <fgColor rgb="FF016C5E"/>
        <bgColor indexed="64"/>
      </patternFill>
    </fill>
    <fill>
      <patternFill patternType="solid">
        <fgColor rgb="FFFFFFFF"/>
        <bgColor indexed="64"/>
      </patternFill>
    </fill>
    <fill>
      <patternFill patternType="solid">
        <fgColor rgb="FFFFC000"/>
        <bgColor indexed="64"/>
      </patternFill>
    </fill>
    <fill>
      <patternFill patternType="solid">
        <fgColor rgb="FFFBE5D6"/>
        <bgColor indexed="64"/>
      </patternFill>
    </fill>
    <fill>
      <patternFill patternType="solid">
        <fgColor rgb="FFDAE3F3"/>
        <bgColor indexed="64"/>
      </patternFill>
    </fill>
    <fill>
      <patternFill patternType="solid">
        <fgColor theme="6"/>
        <bgColor indexed="64"/>
      </patternFill>
    </fill>
    <fill>
      <patternFill patternType="solid">
        <fgColor rgb="FFBFBFBF"/>
        <bgColor indexed="64"/>
      </patternFill>
    </fill>
    <fill>
      <patternFill patternType="solid">
        <fgColor theme="5"/>
        <bgColor indexed="64"/>
      </patternFill>
    </fill>
    <fill>
      <patternFill patternType="solid">
        <fgColor theme="8"/>
        <bgColor indexed="64"/>
      </patternFill>
    </fill>
    <fill>
      <patternFill patternType="solid">
        <fgColor rgb="FF009193"/>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9" fontId="27" fillId="0" borderId="0" applyFont="0" applyFill="0" applyBorder="0" applyAlignment="0" applyProtection="0">
      <alignment vertical="center"/>
    </xf>
  </cellStyleXfs>
  <cellXfs count="144">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1" xfId="0" applyFont="1" applyBorder="1">
      <alignment vertical="center"/>
    </xf>
    <xf numFmtId="14" fontId="4" fillId="0" borderId="0" xfId="0" applyNumberFormat="1" applyFont="1">
      <alignment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3" fillId="0" borderId="0" xfId="0" applyFont="1">
      <alignment vertical="center"/>
    </xf>
    <xf numFmtId="0" fontId="2" fillId="0" borderId="5" xfId="0" applyFont="1" applyBorder="1" applyAlignment="1">
      <alignment horizontal="center" vertical="center"/>
    </xf>
    <xf numFmtId="0" fontId="2" fillId="2" borderId="5" xfId="0" applyFont="1" applyFill="1" applyBorder="1" applyAlignment="1">
      <alignment horizontal="center" vertical="center"/>
    </xf>
    <xf numFmtId="0" fontId="2" fillId="3" borderId="5" xfId="0" applyFont="1" applyFill="1" applyBorder="1" applyAlignment="1">
      <alignment horizontal="center" vertical="center"/>
    </xf>
    <xf numFmtId="0" fontId="5" fillId="0" borderId="5" xfId="0" applyFont="1" applyBorder="1" applyAlignment="1">
      <alignment horizontal="center" vertical="center"/>
    </xf>
    <xf numFmtId="0" fontId="5" fillId="2" borderId="5" xfId="0" applyFont="1" applyFill="1" applyBorder="1" applyAlignment="1">
      <alignment horizontal="center" vertical="center"/>
    </xf>
    <xf numFmtId="0" fontId="6" fillId="0" borderId="0" xfId="0" applyFont="1">
      <alignment vertical="center"/>
    </xf>
    <xf numFmtId="0" fontId="2" fillId="0" borderId="5" xfId="0" applyFont="1" applyBorder="1" applyAlignment="1">
      <alignment horizontal="center" vertical="center" wrapText="1"/>
    </xf>
    <xf numFmtId="0" fontId="7" fillId="0" borderId="0" xfId="0" applyFont="1" applyAlignment="1">
      <alignment horizontal="center"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7" fillId="0" borderId="1" xfId="0" applyFont="1" applyBorder="1" applyAlignment="1">
      <alignment horizontal="center" vertical="center"/>
    </xf>
    <xf numFmtId="0" fontId="10" fillId="2"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7" fillId="2" borderId="1" xfId="0" applyFont="1" applyFill="1" applyBorder="1" applyAlignment="1">
      <alignment horizontal="center" vertical="center"/>
    </xf>
    <xf numFmtId="0" fontId="7" fillId="5" borderId="9" xfId="0" applyFont="1" applyFill="1" applyBorder="1" applyAlignment="1">
      <alignment horizontal="center" vertical="center"/>
    </xf>
    <xf numFmtId="0" fontId="10" fillId="6" borderId="1" xfId="0" applyFont="1" applyFill="1" applyBorder="1" applyAlignment="1">
      <alignment horizontal="center" vertical="center"/>
    </xf>
    <xf numFmtId="180"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0" fillId="6" borderId="2" xfId="0" applyFont="1" applyFill="1" applyBorder="1" applyAlignment="1">
      <alignment horizontal="center" vertical="center"/>
    </xf>
    <xf numFmtId="9" fontId="10" fillId="0" borderId="2" xfId="1" applyFont="1" applyFill="1" applyBorder="1" applyAlignment="1">
      <alignment horizontal="center" vertical="center"/>
    </xf>
    <xf numFmtId="9" fontId="7" fillId="0" borderId="1" xfId="0" applyNumberFormat="1" applyFont="1" applyBorder="1" applyAlignment="1">
      <alignment horizontal="center" vertical="center"/>
    </xf>
    <xf numFmtId="0" fontId="7" fillId="7" borderId="1" xfId="0" applyFont="1" applyFill="1" applyBorder="1" applyAlignment="1">
      <alignment horizontal="center" vertical="center"/>
    </xf>
    <xf numFmtId="180" fontId="7" fillId="0" borderId="1" xfId="0" applyNumberFormat="1" applyFont="1" applyBorder="1" applyAlignment="1">
      <alignment horizontal="center" vertical="center"/>
    </xf>
    <xf numFmtId="0" fontId="8" fillId="4" borderId="9" xfId="0" applyFont="1" applyFill="1" applyBorder="1" applyAlignment="1">
      <alignment horizontal="center" vertical="center"/>
    </xf>
    <xf numFmtId="10" fontId="10" fillId="6" borderId="2" xfId="0" applyNumberFormat="1" applyFont="1" applyFill="1" applyBorder="1" applyAlignment="1">
      <alignment horizontal="center" vertical="center"/>
    </xf>
    <xf numFmtId="1" fontId="11" fillId="9" borderId="1" xfId="0" applyNumberFormat="1" applyFont="1" applyFill="1" applyBorder="1" applyAlignment="1">
      <alignment horizontal="center" vertical="center"/>
    </xf>
    <xf numFmtId="9" fontId="7" fillId="0" borderId="2" xfId="1" applyFont="1" applyFill="1" applyBorder="1" applyAlignment="1">
      <alignment horizontal="center" vertical="center"/>
    </xf>
    <xf numFmtId="9" fontId="11" fillId="9" borderId="1" xfId="0" applyNumberFormat="1" applyFont="1" applyFill="1" applyBorder="1" applyAlignment="1">
      <alignment horizontal="center" vertical="center"/>
    </xf>
    <xf numFmtId="1" fontId="7" fillId="0" borderId="1" xfId="0" applyNumberFormat="1" applyFont="1" applyBorder="1" applyAlignment="1">
      <alignment horizontal="center" vertical="center"/>
    </xf>
    <xf numFmtId="0" fontId="14" fillId="10" borderId="1" xfId="0" applyFont="1" applyFill="1" applyBorder="1" applyAlignment="1">
      <alignment horizontal="center" vertical="center" wrapText="1"/>
    </xf>
    <xf numFmtId="0" fontId="15" fillId="0" borderId="0" xfId="0" applyFont="1" applyAlignment="1"/>
    <xf numFmtId="0" fontId="16" fillId="11" borderId="0" xfId="0" applyFont="1" applyFill="1" applyAlignment="1"/>
    <xf numFmtId="0" fontId="14" fillId="2" borderId="1" xfId="0" applyFont="1" applyFill="1" applyBorder="1" applyAlignment="1">
      <alignment horizontal="center" vertical="center" wrapText="1"/>
    </xf>
    <xf numFmtId="0" fontId="15" fillId="2" borderId="0" xfId="0" applyFont="1" applyFill="1" applyAlignment="1"/>
    <xf numFmtId="0" fontId="16" fillId="0" borderId="0" xfId="0" applyFont="1" applyAlignment="1"/>
    <xf numFmtId="0" fontId="15" fillId="0" borderId="0" xfId="0" applyFont="1" applyAlignment="1">
      <alignment horizontal="center"/>
    </xf>
    <xf numFmtId="0" fontId="20" fillId="12" borderId="5" xfId="0" applyFont="1" applyFill="1" applyBorder="1" applyAlignment="1">
      <alignment horizontal="center" vertical="center"/>
    </xf>
    <xf numFmtId="0" fontId="22" fillId="2" borderId="5" xfId="0" applyFont="1" applyFill="1" applyBorder="1" applyAlignment="1">
      <alignment horizontal="center" vertical="center"/>
    </xf>
    <xf numFmtId="0" fontId="23" fillId="0" borderId="5" xfId="0" applyFont="1" applyBorder="1" applyAlignment="1">
      <alignment horizontal="center" vertical="center"/>
    </xf>
    <xf numFmtId="0" fontId="22" fillId="2" borderId="16" xfId="0" applyFont="1" applyFill="1" applyBorder="1" applyAlignment="1">
      <alignment horizontal="center" vertical="center"/>
    </xf>
    <xf numFmtId="0" fontId="24" fillId="0" borderId="5" xfId="0" applyFont="1" applyBorder="1" applyAlignment="1">
      <alignment horizontal="center" vertical="center"/>
    </xf>
    <xf numFmtId="0" fontId="25" fillId="14" borderId="5" xfId="0" applyFont="1" applyFill="1" applyBorder="1" applyAlignment="1">
      <alignment horizontal="center" vertical="center"/>
    </xf>
    <xf numFmtId="0" fontId="25" fillId="15" borderId="14" xfId="0" applyFont="1" applyFill="1" applyBorder="1" applyAlignment="1">
      <alignment horizontal="center" vertical="center"/>
    </xf>
    <xf numFmtId="180" fontId="24" fillId="13" borderId="5" xfId="0" applyNumberFormat="1" applyFont="1" applyFill="1" applyBorder="1" applyAlignment="1">
      <alignment horizontal="center" vertical="center"/>
    </xf>
    <xf numFmtId="0" fontId="24" fillId="2" borderId="5" xfId="0" applyFont="1" applyFill="1" applyBorder="1" applyAlignment="1">
      <alignment horizontal="center" vertical="center"/>
    </xf>
    <xf numFmtId="180" fontId="24" fillId="0" borderId="5" xfId="0" applyNumberFormat="1" applyFont="1" applyBorder="1" applyAlignment="1">
      <alignment horizontal="center" vertical="center"/>
    </xf>
    <xf numFmtId="180" fontId="25" fillId="14" borderId="5" xfId="0" applyNumberFormat="1" applyFont="1" applyFill="1" applyBorder="1" applyAlignment="1">
      <alignment horizontal="center" vertical="center"/>
    </xf>
    <xf numFmtId="0" fontId="25" fillId="15" borderId="5" xfId="0" applyFont="1" applyFill="1" applyBorder="1" applyAlignment="1">
      <alignment horizontal="center" vertical="center"/>
    </xf>
    <xf numFmtId="0" fontId="25" fillId="16" borderId="5" xfId="0" applyFont="1" applyFill="1" applyBorder="1" applyAlignment="1">
      <alignment horizontal="center" vertical="center"/>
    </xf>
    <xf numFmtId="0" fontId="20" fillId="14" borderId="5" xfId="0" applyFont="1" applyFill="1" applyBorder="1" applyAlignment="1">
      <alignment horizontal="center" vertical="center"/>
    </xf>
    <xf numFmtId="1" fontId="23" fillId="13" borderId="5" xfId="0" applyNumberFormat="1" applyFont="1" applyFill="1" applyBorder="1" applyAlignment="1">
      <alignment horizontal="center" vertical="center"/>
    </xf>
    <xf numFmtId="1" fontId="24" fillId="0" borderId="5" xfId="0" applyNumberFormat="1" applyFont="1" applyBorder="1" applyAlignment="1">
      <alignment horizontal="center" vertical="center"/>
    </xf>
    <xf numFmtId="0" fontId="25" fillId="16" borderId="14" xfId="0" applyFont="1" applyFill="1" applyBorder="1" applyAlignment="1">
      <alignment horizontal="center" vertical="center"/>
    </xf>
    <xf numFmtId="9" fontId="24" fillId="0" borderId="5" xfId="0" applyNumberFormat="1" applyFont="1" applyBorder="1" applyAlignment="1">
      <alignment horizontal="center" vertical="center"/>
    </xf>
    <xf numFmtId="0" fontId="7" fillId="0" borderId="18" xfId="0" applyFont="1" applyBorder="1" applyAlignment="1">
      <alignment horizontal="center" vertical="center"/>
    </xf>
    <xf numFmtId="181" fontId="24" fillId="0" borderId="5" xfId="0" applyNumberFormat="1" applyFont="1" applyBorder="1" applyAlignment="1">
      <alignment horizontal="center" vertical="center"/>
    </xf>
    <xf numFmtId="0" fontId="7" fillId="0" borderId="19" xfId="0" applyFont="1" applyBorder="1" applyAlignment="1">
      <alignment horizontal="center" vertical="center"/>
    </xf>
    <xf numFmtId="0" fontId="13" fillId="17" borderId="19" xfId="0" applyFont="1" applyFill="1" applyBorder="1" applyAlignment="1">
      <alignment horizontal="center" vertical="center"/>
    </xf>
    <xf numFmtId="0" fontId="17" fillId="0" borderId="11" xfId="0" applyFont="1" applyBorder="1">
      <alignment vertical="center"/>
    </xf>
    <xf numFmtId="0" fontId="19" fillId="12" borderId="17" xfId="0" applyFont="1" applyFill="1" applyBorder="1">
      <alignment vertical="center"/>
    </xf>
    <xf numFmtId="9" fontId="20" fillId="14" borderId="5" xfId="0" applyNumberFormat="1" applyFont="1" applyFill="1" applyBorder="1" applyAlignment="1">
      <alignment horizontal="center" vertical="center"/>
    </xf>
    <xf numFmtId="10" fontId="20" fillId="12" borderId="5" xfId="0" applyNumberFormat="1" applyFont="1" applyFill="1" applyBorder="1" applyAlignment="1">
      <alignment horizontal="center" vertical="center"/>
    </xf>
    <xf numFmtId="181" fontId="24" fillId="0" borderId="5" xfId="1" applyNumberFormat="1" applyFont="1" applyFill="1" applyBorder="1" applyAlignment="1" applyProtection="1">
      <alignment horizontal="center" vertical="center"/>
    </xf>
    <xf numFmtId="9" fontId="25" fillId="0" borderId="5" xfId="0" applyNumberFormat="1" applyFont="1" applyBorder="1" applyAlignment="1">
      <alignment horizontal="center" vertical="center"/>
    </xf>
    <xf numFmtId="180" fontId="1" fillId="0" borderId="0" xfId="0" applyNumberFormat="1" applyFont="1">
      <alignment vertical="center"/>
    </xf>
    <xf numFmtId="1" fontId="24" fillId="13" borderId="5" xfId="0" applyNumberFormat="1" applyFont="1" applyFill="1" applyBorder="1" applyAlignment="1">
      <alignment horizontal="center" vertical="center"/>
    </xf>
    <xf numFmtId="180" fontId="1" fillId="2" borderId="0" xfId="0" applyNumberFormat="1" applyFont="1" applyFill="1">
      <alignment vertical="center"/>
    </xf>
    <xf numFmtId="0" fontId="11" fillId="0" borderId="0" xfId="0" applyFont="1" applyAlignment="1"/>
    <xf numFmtId="0" fontId="11" fillId="0" borderId="0" xfId="0" applyFont="1" applyAlignment="1">
      <alignment horizontal="center"/>
    </xf>
    <xf numFmtId="0" fontId="11" fillId="18" borderId="5" xfId="0" applyFont="1" applyFill="1" applyBorder="1" applyAlignment="1">
      <alignment horizontal="center" vertical="center"/>
    </xf>
    <xf numFmtId="0" fontId="11" fillId="0" borderId="5" xfId="0" applyFont="1" applyBorder="1" applyAlignment="1">
      <alignment horizontal="center" vertical="center"/>
    </xf>
    <xf numFmtId="182" fontId="11" fillId="0" borderId="5" xfId="0" applyNumberFormat="1" applyFont="1" applyBorder="1" applyAlignment="1">
      <alignment horizontal="center" vertical="center"/>
    </xf>
    <xf numFmtId="0" fontId="3" fillId="0" borderId="1" xfId="0" applyFont="1" applyBorder="1" applyAlignment="1">
      <alignment horizontal="center" vertical="center"/>
    </xf>
    <xf numFmtId="0" fontId="11" fillId="2" borderId="5" xfId="0" applyFont="1" applyFill="1" applyBorder="1" applyAlignment="1">
      <alignment horizontal="center" vertical="center"/>
    </xf>
    <xf numFmtId="1" fontId="11" fillId="0" borderId="5" xfId="0" applyNumberFormat="1" applyFont="1" applyBorder="1" applyAlignment="1">
      <alignment horizontal="center" vertical="center"/>
    </xf>
    <xf numFmtId="183" fontId="11" fillId="0" borderId="5" xfId="0" applyNumberFormat="1" applyFont="1" applyBorder="1" applyAlignment="1">
      <alignment horizontal="center" vertical="center"/>
    </xf>
    <xf numFmtId="0" fontId="11" fillId="0" borderId="20" xfId="0" applyFont="1" applyBorder="1" applyAlignment="1">
      <alignment horizontal="left"/>
    </xf>
    <xf numFmtId="0" fontId="11" fillId="0" borderId="21" xfId="0" applyFont="1" applyBorder="1" applyAlignment="1">
      <alignment horizontal="left"/>
    </xf>
    <xf numFmtId="0" fontId="11" fillId="0" borderId="5" xfId="0" quotePrefix="1" applyFont="1" applyBorder="1" applyAlignment="1">
      <alignment horizontal="center" vertical="center"/>
    </xf>
    <xf numFmtId="0" fontId="7" fillId="0" borderId="1" xfId="0" quotePrefix="1" applyFont="1" applyBorder="1" applyAlignment="1">
      <alignment horizontal="center" vertical="center"/>
    </xf>
    <xf numFmtId="0" fontId="11" fillId="0" borderId="0" xfId="0" applyFont="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9" fillId="12" borderId="13" xfId="0" applyFont="1" applyFill="1" applyBorder="1" applyAlignment="1">
      <alignment horizontal="center" vertical="center"/>
    </xf>
    <xf numFmtId="0" fontId="19" fillId="12" borderId="17" xfId="0" applyFont="1" applyFill="1" applyBorder="1" applyAlignment="1">
      <alignment horizontal="center" vertical="center"/>
    </xf>
    <xf numFmtId="0" fontId="19" fillId="12" borderId="15" xfId="0" applyFont="1" applyFill="1" applyBorder="1" applyAlignment="1">
      <alignment horizontal="center" vertical="center"/>
    </xf>
    <xf numFmtId="0" fontId="19" fillId="12" borderId="0" xfId="0" applyFont="1" applyFill="1" applyAlignment="1">
      <alignment horizontal="center" vertical="center"/>
    </xf>
    <xf numFmtId="0" fontId="18" fillId="12" borderId="12" xfId="0" applyFont="1" applyFill="1" applyBorder="1" applyAlignment="1">
      <alignment horizontal="center" vertical="center"/>
    </xf>
    <xf numFmtId="0" fontId="18" fillId="12" borderId="14" xfId="0" applyFont="1" applyFill="1" applyBorder="1" applyAlignment="1">
      <alignment horizontal="center" vertical="center"/>
    </xf>
    <xf numFmtId="0" fontId="18" fillId="12" borderId="7" xfId="0" applyFont="1" applyFill="1" applyBorder="1" applyAlignment="1">
      <alignment horizontal="center" vertical="center"/>
    </xf>
    <xf numFmtId="0" fontId="21" fillId="13" borderId="15" xfId="0" applyFont="1" applyFill="1" applyBorder="1" applyAlignment="1">
      <alignment horizontal="center" vertical="center" wrapText="1"/>
    </xf>
    <xf numFmtId="0" fontId="21" fillId="13" borderId="7" xfId="0" applyFont="1" applyFill="1" applyBorder="1" applyAlignment="1">
      <alignment horizontal="center" vertical="center" wrapText="1"/>
    </xf>
    <xf numFmtId="0" fontId="21" fillId="0" borderId="15" xfId="0" applyFont="1" applyBorder="1" applyAlignment="1">
      <alignment horizontal="center" vertical="center" wrapText="1"/>
    </xf>
    <xf numFmtId="0" fontId="21" fillId="0" borderId="7" xfId="0" applyFont="1" applyBorder="1" applyAlignment="1">
      <alignment horizontal="center" vertical="center" wrapText="1"/>
    </xf>
    <xf numFmtId="0" fontId="21" fillId="13" borderId="13" xfId="0" applyFont="1" applyFill="1" applyBorder="1" applyAlignment="1">
      <alignment horizontal="center" vertical="center" wrapText="1"/>
    </xf>
    <xf numFmtId="0" fontId="21" fillId="13" borderId="8"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4" borderId="9" xfId="0" applyFont="1" applyFill="1" applyBorder="1" applyAlignment="1">
      <alignment horizontal="center" vertical="center"/>
    </xf>
    <xf numFmtId="0" fontId="7" fillId="0" borderId="1" xfId="0" applyFont="1" applyBorder="1" applyAlignment="1">
      <alignment horizontal="center" vertical="center"/>
    </xf>
    <xf numFmtId="0" fontId="12" fillId="8"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2" fillId="0" borderId="1" xfId="0" applyFont="1" applyBorder="1" applyAlignment="1">
      <alignment horizontal="center" vertical="center"/>
    </xf>
    <xf numFmtId="14" fontId="4" fillId="0" borderId="1" xfId="0" applyNumberFormat="1" applyFont="1" applyBorder="1" applyAlignment="1">
      <alignment horizontal="center" vertical="center"/>
    </xf>
    <xf numFmtId="9" fontId="2" fillId="0" borderId="2" xfId="0" applyNumberFormat="1" applyFont="1" applyBorder="1" applyAlignment="1">
      <alignment horizontal="center" vertical="center"/>
    </xf>
    <xf numFmtId="9" fontId="2" fillId="0" borderId="3" xfId="0" applyNumberFormat="1" applyFont="1" applyBorder="1" applyAlignment="1">
      <alignment horizontal="center" vertical="center"/>
    </xf>
    <xf numFmtId="9" fontId="2" fillId="0" borderId="4" xfId="0" applyNumberFormat="1"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6" fillId="0" borderId="0" xfId="0" applyFont="1">
      <alignment vertical="center"/>
    </xf>
    <xf numFmtId="9" fontId="0" fillId="0" borderId="0" xfId="0" applyNumberFormat="1">
      <alignment vertical="center"/>
    </xf>
    <xf numFmtId="9" fontId="3" fillId="0" borderId="1" xfId="0" applyNumberFormat="1" applyFont="1" applyBorder="1" applyAlignment="1">
      <alignment horizontal="center" vertical="center"/>
    </xf>
    <xf numFmtId="9" fontId="3" fillId="0" borderId="1" xfId="1" applyFont="1" applyBorder="1" applyAlignment="1">
      <alignment horizontal="center" vertical="center"/>
    </xf>
    <xf numFmtId="0" fontId="3" fillId="0" borderId="9"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20" borderId="1" xfId="0" applyFont="1" applyFill="1" applyBorder="1" applyAlignment="1">
      <alignment horizontal="center" vertical="center"/>
    </xf>
    <xf numFmtId="0" fontId="3" fillId="20" borderId="1" xfId="0" applyFont="1" applyFill="1" applyBorder="1" applyAlignment="1">
      <alignment horizontal="center" vertical="center"/>
    </xf>
    <xf numFmtId="0" fontId="3" fillId="19" borderId="9" xfId="0" applyFont="1" applyFill="1" applyBorder="1" applyAlignment="1">
      <alignment horizontal="center" vertical="center"/>
    </xf>
    <xf numFmtId="0" fontId="3" fillId="19" borderId="22" xfId="0" applyFont="1" applyFill="1" applyBorder="1" applyAlignment="1">
      <alignment horizontal="center" vertical="center"/>
    </xf>
    <xf numFmtId="0" fontId="3" fillId="19" borderId="23" xfId="0" applyFont="1" applyFill="1" applyBorder="1" applyAlignment="1">
      <alignment horizontal="center" vertical="center"/>
    </xf>
    <xf numFmtId="0" fontId="3" fillId="19" borderId="1" xfId="0" applyFont="1" applyFill="1" applyBorder="1" applyAlignment="1">
      <alignment horizontal="center" vertical="center"/>
    </xf>
    <xf numFmtId="0" fontId="29" fillId="21" borderId="1" xfId="0" applyFont="1" applyFill="1" applyBorder="1" applyAlignment="1">
      <alignment horizontal="center" vertical="center"/>
    </xf>
    <xf numFmtId="9" fontId="29" fillId="21" borderId="1" xfId="1" applyFont="1" applyFill="1" applyBorder="1" applyAlignment="1">
      <alignment horizontal="center" vertical="center"/>
    </xf>
    <xf numFmtId="0" fontId="29" fillId="21" borderId="1" xfId="0" applyFont="1" applyFill="1" applyBorder="1" applyAlignment="1">
      <alignment horizontal="center" vertical="center" wrapText="1"/>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0"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cellXfs>
  <cellStyles count="2">
    <cellStyle name="百分比" xfId="1" builtinId="5"/>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009193"/>
      <color rgb="FFFF0000"/>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13</xdr:row>
      <xdr:rowOff>0</xdr:rowOff>
    </xdr:from>
    <xdr:to>
      <xdr:col>8</xdr:col>
      <xdr:colOff>569595</xdr:colOff>
      <xdr:row>30</xdr:row>
      <xdr:rowOff>154940</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2700" y="2905760"/>
          <a:ext cx="8034655" cy="3954780"/>
        </a:xfrm>
        <a:prstGeom prst="rect">
          <a:avLst/>
        </a:prstGeom>
        <a:noFill/>
        <a:ln w="9525">
          <a:noFill/>
        </a:ln>
      </xdr:spPr>
    </xdr:pic>
    <xdr:clientData/>
  </xdr:twoCellAnchor>
  <xdr:twoCellAnchor editAs="oneCell">
    <xdr:from>
      <xdr:col>8</xdr:col>
      <xdr:colOff>836930</xdr:colOff>
      <xdr:row>13</xdr:row>
      <xdr:rowOff>0</xdr:rowOff>
    </xdr:from>
    <xdr:to>
      <xdr:col>18</xdr:col>
      <xdr:colOff>112395</xdr:colOff>
      <xdr:row>30</xdr:row>
      <xdr:rowOff>163195</xdr:rowOff>
    </xdr:to>
    <xdr:pic>
      <xdr:nvPicPr>
        <xdr:cNvPr id="3" name="图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8314690" y="2905760"/>
          <a:ext cx="8684895" cy="396303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I39"/>
  <sheetViews>
    <sheetView zoomScale="91" zoomScaleNormal="91" workbookViewId="0">
      <selection activeCell="I5" sqref="I5"/>
    </sheetView>
  </sheetViews>
  <sheetFormatPr baseColWidth="10" defaultColWidth="9.1640625" defaultRowHeight="18"/>
  <cols>
    <col min="1" max="1" width="12.5" style="76" customWidth="1"/>
    <col min="2" max="3" width="15.83203125" style="76" customWidth="1"/>
    <col min="4" max="4" width="13.5" style="76" customWidth="1"/>
    <col min="5" max="5" width="17.5" style="76" customWidth="1"/>
    <col min="6" max="6" width="20.1640625" style="76" customWidth="1"/>
    <col min="7" max="7" width="21.33203125" style="76" customWidth="1"/>
    <col min="8" max="8" width="14.83203125" style="77" customWidth="1"/>
    <col min="9" max="9" width="84.5" style="77" customWidth="1"/>
    <col min="10" max="16384" width="9.1640625" style="1"/>
  </cols>
  <sheetData>
    <row r="1" spans="1:9">
      <c r="A1" s="89" t="s">
        <v>0</v>
      </c>
      <c r="B1" s="89"/>
      <c r="C1" s="89"/>
      <c r="D1" s="89"/>
      <c r="E1" s="89"/>
      <c r="F1" s="89"/>
      <c r="G1" s="89"/>
      <c r="H1" s="89"/>
    </row>
    <row r="2" spans="1:9">
      <c r="A2" s="78" t="s">
        <v>1</v>
      </c>
      <c r="B2" s="78" t="s">
        <v>2</v>
      </c>
      <c r="C2" s="78" t="s">
        <v>3</v>
      </c>
      <c r="D2" s="78" t="s">
        <v>4</v>
      </c>
      <c r="E2" s="78" t="s">
        <v>5</v>
      </c>
      <c r="F2" s="78" t="s">
        <v>6</v>
      </c>
      <c r="G2" s="78" t="s">
        <v>7</v>
      </c>
      <c r="H2" s="78" t="s">
        <v>8</v>
      </c>
      <c r="I2" s="78" t="s">
        <v>9</v>
      </c>
    </row>
    <row r="3" spans="1:9">
      <c r="A3" s="79">
        <v>1</v>
      </c>
      <c r="B3" s="79" t="s">
        <v>10</v>
      </c>
      <c r="C3" s="80">
        <v>2025.06</v>
      </c>
      <c r="D3" s="79">
        <v>258756</v>
      </c>
      <c r="E3" s="82" t="s">
        <v>11</v>
      </c>
      <c r="F3" s="79" t="s">
        <v>12</v>
      </c>
      <c r="G3" s="79" t="s">
        <v>13</v>
      </c>
      <c r="H3" s="83">
        <v>4000</v>
      </c>
      <c r="I3" s="85"/>
    </row>
    <row r="4" spans="1:9">
      <c r="A4" s="79">
        <v>2</v>
      </c>
      <c r="B4" s="79" t="s">
        <v>10</v>
      </c>
      <c r="C4" s="80">
        <v>2025.06</v>
      </c>
      <c r="D4" s="79">
        <v>258756</v>
      </c>
      <c r="E4" s="82" t="s">
        <v>11</v>
      </c>
      <c r="F4" s="79" t="s">
        <v>12</v>
      </c>
      <c r="G4" s="79" t="s">
        <v>14</v>
      </c>
      <c r="H4" s="83">
        <v>4000</v>
      </c>
      <c r="I4" s="86"/>
    </row>
    <row r="5" spans="1:9">
      <c r="A5" s="79"/>
      <c r="B5" s="79" t="s">
        <v>10</v>
      </c>
      <c r="C5" s="80">
        <v>2025.06</v>
      </c>
      <c r="D5" s="79">
        <v>258756</v>
      </c>
      <c r="E5" s="82" t="s">
        <v>11</v>
      </c>
      <c r="F5" s="79" t="s">
        <v>12</v>
      </c>
      <c r="G5" s="79" t="s">
        <v>3702</v>
      </c>
      <c r="H5" s="83">
        <v>8000</v>
      </c>
      <c r="I5" s="86" t="s">
        <v>3719</v>
      </c>
    </row>
    <row r="6" spans="1:9">
      <c r="A6" s="79">
        <v>3</v>
      </c>
      <c r="B6" s="79" t="s">
        <v>10</v>
      </c>
      <c r="C6" s="80">
        <v>2025.06</v>
      </c>
      <c r="D6" s="87" t="s">
        <v>15</v>
      </c>
      <c r="E6" s="82" t="s">
        <v>16</v>
      </c>
      <c r="F6" s="79" t="s">
        <v>12</v>
      </c>
      <c r="G6" s="79" t="s">
        <v>17</v>
      </c>
      <c r="H6" s="83">
        <v>1660</v>
      </c>
      <c r="I6" s="86"/>
    </row>
    <row r="7" spans="1:9">
      <c r="A7" s="79">
        <v>4</v>
      </c>
      <c r="B7" s="79" t="s">
        <v>10</v>
      </c>
      <c r="C7" s="80">
        <v>2025.06</v>
      </c>
      <c r="D7" s="87" t="s">
        <v>15</v>
      </c>
      <c r="E7" s="82" t="s">
        <v>16</v>
      </c>
      <c r="F7" s="79" t="s">
        <v>12</v>
      </c>
      <c r="G7" s="79" t="s">
        <v>18</v>
      </c>
      <c r="H7" s="83">
        <v>38984</v>
      </c>
      <c r="I7" s="86"/>
    </row>
    <row r="8" spans="1:9">
      <c r="A8" s="79">
        <v>5</v>
      </c>
      <c r="B8" s="79" t="s">
        <v>10</v>
      </c>
      <c r="C8" s="80">
        <v>2025.06</v>
      </c>
      <c r="D8" s="87" t="s">
        <v>15</v>
      </c>
      <c r="E8" s="82" t="s">
        <v>16</v>
      </c>
      <c r="F8" s="79" t="s">
        <v>12</v>
      </c>
      <c r="G8" s="79" t="s">
        <v>19</v>
      </c>
      <c r="H8" s="83">
        <v>2000</v>
      </c>
      <c r="I8" s="86" t="s">
        <v>20</v>
      </c>
    </row>
    <row r="9" spans="1:9">
      <c r="A9" s="79">
        <v>9</v>
      </c>
      <c r="B9" s="79" t="s">
        <v>10</v>
      </c>
      <c r="C9" s="80">
        <v>2025.06</v>
      </c>
      <c r="D9" s="79">
        <v>590299</v>
      </c>
      <c r="E9" s="82" t="s">
        <v>21</v>
      </c>
      <c r="F9" s="79" t="s">
        <v>12</v>
      </c>
      <c r="G9" s="79" t="s">
        <v>17</v>
      </c>
      <c r="H9" s="83">
        <v>1500</v>
      </c>
      <c r="I9" s="86"/>
    </row>
    <row r="10" spans="1:9">
      <c r="A10" s="79">
        <v>10</v>
      </c>
      <c r="B10" s="79" t="s">
        <v>10</v>
      </c>
      <c r="C10" s="80">
        <v>2025.06</v>
      </c>
      <c r="D10" s="79">
        <v>590299</v>
      </c>
      <c r="E10" s="82" t="s">
        <v>21</v>
      </c>
      <c r="F10" s="79" t="s">
        <v>12</v>
      </c>
      <c r="G10" s="79" t="s">
        <v>18</v>
      </c>
      <c r="H10" s="83">
        <v>5377</v>
      </c>
      <c r="I10" s="86"/>
    </row>
    <row r="11" spans="1:9">
      <c r="A11" s="79">
        <v>11</v>
      </c>
      <c r="B11" s="79" t="s">
        <v>10</v>
      </c>
      <c r="C11" s="80">
        <v>2025.06</v>
      </c>
      <c r="D11" s="79">
        <v>590299</v>
      </c>
      <c r="E11" s="82" t="s">
        <v>21</v>
      </c>
      <c r="F11" s="79" t="s">
        <v>12</v>
      </c>
      <c r="G11" s="79" t="s">
        <v>19</v>
      </c>
      <c r="H11" s="83">
        <v>2000</v>
      </c>
      <c r="I11" s="86" t="s">
        <v>20</v>
      </c>
    </row>
    <row r="12" spans="1:9">
      <c r="A12" s="79">
        <v>12</v>
      </c>
      <c r="B12" s="79" t="s">
        <v>10</v>
      </c>
      <c r="C12" s="80">
        <v>2025.06</v>
      </c>
      <c r="D12" s="79">
        <v>594606</v>
      </c>
      <c r="E12" s="82" t="s">
        <v>22</v>
      </c>
      <c r="F12" s="79" t="s">
        <v>12</v>
      </c>
      <c r="G12" s="79" t="s">
        <v>17</v>
      </c>
      <c r="H12" s="83">
        <v>0</v>
      </c>
      <c r="I12" s="86"/>
    </row>
    <row r="13" spans="1:9">
      <c r="A13" s="79">
        <v>13</v>
      </c>
      <c r="B13" s="79" t="s">
        <v>10</v>
      </c>
      <c r="C13" s="80">
        <v>2025.06</v>
      </c>
      <c r="D13" s="79">
        <v>594606</v>
      </c>
      <c r="E13" s="82" t="s">
        <v>22</v>
      </c>
      <c r="F13" s="79" t="s">
        <v>12</v>
      </c>
      <c r="G13" s="79" t="s">
        <v>18</v>
      </c>
      <c r="H13" s="83">
        <v>5634</v>
      </c>
      <c r="I13" s="86"/>
    </row>
    <row r="14" spans="1:9">
      <c r="A14" s="79">
        <v>14</v>
      </c>
      <c r="B14" s="79" t="s">
        <v>10</v>
      </c>
      <c r="C14" s="80">
        <v>2025.06</v>
      </c>
      <c r="D14" s="79">
        <v>594606</v>
      </c>
      <c r="E14" s="82" t="s">
        <v>22</v>
      </c>
      <c r="F14" s="79" t="s">
        <v>12</v>
      </c>
      <c r="G14" s="79" t="s">
        <v>19</v>
      </c>
      <c r="H14" s="83">
        <v>2000</v>
      </c>
      <c r="I14" s="86" t="s">
        <v>20</v>
      </c>
    </row>
    <row r="15" spans="1:9">
      <c r="A15" s="79">
        <v>17</v>
      </c>
      <c r="B15" s="79" t="s">
        <v>10</v>
      </c>
      <c r="C15" s="80">
        <v>2025.06</v>
      </c>
      <c r="D15" s="79">
        <v>594605</v>
      </c>
      <c r="E15" s="82" t="s">
        <v>23</v>
      </c>
      <c r="F15" s="79" t="s">
        <v>12</v>
      </c>
      <c r="G15" s="79" t="s">
        <v>17</v>
      </c>
      <c r="H15" s="83">
        <v>0</v>
      </c>
      <c r="I15" s="86"/>
    </row>
    <row r="16" spans="1:9">
      <c r="A16" s="79">
        <v>18</v>
      </c>
      <c r="B16" s="79" t="s">
        <v>10</v>
      </c>
      <c r="C16" s="80">
        <v>2025.06</v>
      </c>
      <c r="D16" s="79">
        <v>594605</v>
      </c>
      <c r="E16" s="82" t="s">
        <v>23</v>
      </c>
      <c r="F16" s="79" t="s">
        <v>12</v>
      </c>
      <c r="G16" s="79" t="s">
        <v>18</v>
      </c>
      <c r="H16" s="83">
        <v>2019</v>
      </c>
      <c r="I16" s="86"/>
    </row>
    <row r="17" spans="1:9">
      <c r="A17" s="79">
        <v>19</v>
      </c>
      <c r="B17" s="79" t="s">
        <v>10</v>
      </c>
      <c r="C17" s="80">
        <v>2025.06</v>
      </c>
      <c r="D17" s="79">
        <v>594605</v>
      </c>
      <c r="E17" s="82" t="s">
        <v>23</v>
      </c>
      <c r="F17" s="79" t="s">
        <v>12</v>
      </c>
      <c r="G17" s="79" t="s">
        <v>19</v>
      </c>
      <c r="H17" s="83">
        <v>2000</v>
      </c>
      <c r="I17" s="86" t="s">
        <v>20</v>
      </c>
    </row>
    <row r="18" spans="1:9">
      <c r="A18" s="79">
        <v>20</v>
      </c>
      <c r="B18" s="79" t="s">
        <v>10</v>
      </c>
      <c r="C18" s="80">
        <v>2025.06</v>
      </c>
      <c r="D18" s="79">
        <v>608630</v>
      </c>
      <c r="E18" s="82" t="s">
        <v>24</v>
      </c>
      <c r="F18" s="79" t="s">
        <v>12</v>
      </c>
      <c r="G18" s="79" t="s">
        <v>17</v>
      </c>
      <c r="H18" s="84">
        <v>2000</v>
      </c>
      <c r="I18" s="86" t="s">
        <v>25</v>
      </c>
    </row>
    <row r="19" spans="1:9">
      <c r="A19" s="79">
        <v>21</v>
      </c>
      <c r="B19" s="79" t="s">
        <v>10</v>
      </c>
      <c r="C19" s="80">
        <v>2025.06</v>
      </c>
      <c r="D19" s="79">
        <v>608630</v>
      </c>
      <c r="E19" s="82" t="s">
        <v>24</v>
      </c>
      <c r="F19" s="79" t="s">
        <v>12</v>
      </c>
      <c r="G19" s="79" t="s">
        <v>18</v>
      </c>
      <c r="H19" s="84">
        <v>9581</v>
      </c>
      <c r="I19" s="86"/>
    </row>
    <row r="20" spans="1:9">
      <c r="A20" s="79">
        <v>22</v>
      </c>
      <c r="B20" s="79" t="s">
        <v>10</v>
      </c>
      <c r="C20" s="80">
        <v>2025.06</v>
      </c>
      <c r="D20" s="79">
        <v>608630</v>
      </c>
      <c r="E20" s="82" t="s">
        <v>24</v>
      </c>
      <c r="F20" s="79" t="s">
        <v>12</v>
      </c>
      <c r="G20" s="79" t="s">
        <v>19</v>
      </c>
      <c r="H20" s="84">
        <v>2000</v>
      </c>
      <c r="I20" s="86" t="s">
        <v>20</v>
      </c>
    </row>
    <row r="21" spans="1:9">
      <c r="A21" s="79">
        <v>24</v>
      </c>
      <c r="B21" s="79" t="s">
        <v>10</v>
      </c>
      <c r="C21" s="80">
        <v>2025.06</v>
      </c>
      <c r="D21" s="79">
        <v>608617</v>
      </c>
      <c r="E21" s="22" t="s">
        <v>26</v>
      </c>
      <c r="F21" s="79" t="s">
        <v>12</v>
      </c>
      <c r="G21" s="79" t="s">
        <v>17</v>
      </c>
      <c r="H21" s="84">
        <v>2000</v>
      </c>
      <c r="I21" s="86" t="s">
        <v>25</v>
      </c>
    </row>
    <row r="22" spans="1:9">
      <c r="A22" s="79">
        <v>25</v>
      </c>
      <c r="B22" s="79" t="s">
        <v>10</v>
      </c>
      <c r="C22" s="80">
        <v>2025.06</v>
      </c>
      <c r="D22" s="79">
        <v>608617</v>
      </c>
      <c r="E22" s="22" t="s">
        <v>26</v>
      </c>
      <c r="F22" s="79" t="s">
        <v>12</v>
      </c>
      <c r="G22" s="79" t="s">
        <v>18</v>
      </c>
      <c r="H22" s="84">
        <v>3326</v>
      </c>
      <c r="I22" s="86"/>
    </row>
    <row r="23" spans="1:9">
      <c r="A23" s="79">
        <v>26</v>
      </c>
      <c r="B23" s="79" t="s">
        <v>10</v>
      </c>
      <c r="C23" s="80">
        <v>2025.06</v>
      </c>
      <c r="D23" s="79">
        <v>608617</v>
      </c>
      <c r="E23" s="22" t="s">
        <v>26</v>
      </c>
      <c r="F23" s="79" t="s">
        <v>12</v>
      </c>
      <c r="G23" s="79" t="s">
        <v>19</v>
      </c>
      <c r="H23" s="84">
        <v>2000</v>
      </c>
      <c r="I23" s="86" t="s">
        <v>20</v>
      </c>
    </row>
    <row r="24" spans="1:9">
      <c r="A24" s="79">
        <v>28</v>
      </c>
      <c r="B24" s="79" t="s">
        <v>10</v>
      </c>
      <c r="C24" s="80">
        <v>2025.06</v>
      </c>
      <c r="D24" s="79">
        <v>608681</v>
      </c>
      <c r="E24" s="22" t="s">
        <v>27</v>
      </c>
      <c r="F24" s="79" t="s">
        <v>12</v>
      </c>
      <c r="G24" s="79" t="s">
        <v>17</v>
      </c>
      <c r="H24" s="84">
        <v>2000</v>
      </c>
      <c r="I24" s="86" t="s">
        <v>25</v>
      </c>
    </row>
    <row r="25" spans="1:9">
      <c r="A25" s="79">
        <v>29</v>
      </c>
      <c r="B25" s="79" t="s">
        <v>10</v>
      </c>
      <c r="C25" s="80">
        <v>2025.06</v>
      </c>
      <c r="D25" s="79">
        <v>608681</v>
      </c>
      <c r="E25" s="22" t="s">
        <v>27</v>
      </c>
      <c r="F25" s="79" t="s">
        <v>12</v>
      </c>
      <c r="G25" s="79" t="s">
        <v>18</v>
      </c>
      <c r="H25" s="84">
        <v>0</v>
      </c>
      <c r="I25" s="86"/>
    </row>
    <row r="26" spans="1:9">
      <c r="A26" s="79">
        <v>30</v>
      </c>
      <c r="B26" s="79" t="s">
        <v>10</v>
      </c>
      <c r="C26" s="80">
        <v>2025.06</v>
      </c>
      <c r="D26" s="79">
        <v>608681</v>
      </c>
      <c r="E26" s="22" t="s">
        <v>27</v>
      </c>
      <c r="F26" s="79" t="s">
        <v>12</v>
      </c>
      <c r="G26" s="79" t="s">
        <v>19</v>
      </c>
      <c r="H26" s="84">
        <v>2000</v>
      </c>
      <c r="I26" s="86" t="s">
        <v>20</v>
      </c>
    </row>
    <row r="27" spans="1:9">
      <c r="A27" s="79">
        <v>33</v>
      </c>
      <c r="B27" s="79" t="s">
        <v>10</v>
      </c>
      <c r="C27" s="80">
        <v>2025.06</v>
      </c>
      <c r="D27" s="81">
        <v>343549</v>
      </c>
      <c r="E27" s="22" t="s">
        <v>28</v>
      </c>
      <c r="F27" s="79" t="s">
        <v>12</v>
      </c>
      <c r="G27" s="79" t="s">
        <v>17</v>
      </c>
      <c r="H27" s="84">
        <v>2000</v>
      </c>
      <c r="I27" s="86" t="s">
        <v>29</v>
      </c>
    </row>
    <row r="28" spans="1:9">
      <c r="A28" s="79">
        <v>34</v>
      </c>
      <c r="B28" s="79" t="s">
        <v>10</v>
      </c>
      <c r="C28" s="80">
        <v>2025.06</v>
      </c>
      <c r="D28" s="81">
        <v>343549</v>
      </c>
      <c r="E28" s="22" t="s">
        <v>28</v>
      </c>
      <c r="F28" s="79" t="s">
        <v>12</v>
      </c>
      <c r="G28" s="79" t="s">
        <v>18</v>
      </c>
      <c r="H28" s="84">
        <v>9411</v>
      </c>
      <c r="I28" s="86"/>
    </row>
    <row r="29" spans="1:9">
      <c r="A29" s="79">
        <v>35</v>
      </c>
      <c r="B29" s="79" t="s">
        <v>10</v>
      </c>
      <c r="C29" s="80">
        <v>2025.06</v>
      </c>
      <c r="D29" s="81">
        <v>343549</v>
      </c>
      <c r="E29" s="22" t="s">
        <v>28</v>
      </c>
      <c r="F29" s="79" t="s">
        <v>12</v>
      </c>
      <c r="G29" s="79" t="s">
        <v>19</v>
      </c>
      <c r="H29" s="84">
        <v>2000</v>
      </c>
      <c r="I29" s="86" t="s">
        <v>20</v>
      </c>
    </row>
    <row r="30" spans="1:9">
      <c r="A30" s="79">
        <v>36</v>
      </c>
      <c r="B30" s="79" t="s">
        <v>10</v>
      </c>
      <c r="C30" s="80">
        <v>2025.06</v>
      </c>
      <c r="D30" s="81">
        <v>343549</v>
      </c>
      <c r="E30" s="22" t="s">
        <v>28</v>
      </c>
      <c r="F30" s="79" t="s">
        <v>12</v>
      </c>
      <c r="G30" s="79" t="s">
        <v>30</v>
      </c>
      <c r="H30" s="84">
        <v>3000</v>
      </c>
      <c r="I30" s="86" t="s">
        <v>31</v>
      </c>
    </row>
    <row r="31" spans="1:9">
      <c r="A31" s="79">
        <v>37</v>
      </c>
      <c r="B31" s="79" t="s">
        <v>10</v>
      </c>
      <c r="C31" s="80">
        <v>2025.06</v>
      </c>
      <c r="D31" s="79" t="s">
        <v>32</v>
      </c>
      <c r="E31" s="79"/>
      <c r="F31" s="79"/>
      <c r="G31" s="79"/>
      <c r="H31" s="84">
        <f>SUM(H3:H30)</f>
        <v>120492</v>
      </c>
      <c r="I31" s="86"/>
    </row>
    <row r="33" spans="1:9">
      <c r="A33" s="76" t="s">
        <v>9</v>
      </c>
    </row>
    <row r="34" spans="1:9">
      <c r="A34" s="76" t="s">
        <v>33</v>
      </c>
    </row>
    <row r="36" spans="1:9">
      <c r="H36" s="76"/>
      <c r="I36" s="76"/>
    </row>
    <row r="37" spans="1:9">
      <c r="H37" s="76"/>
      <c r="I37" s="76"/>
    </row>
    <row r="38" spans="1:9">
      <c r="H38" s="76"/>
      <c r="I38" s="76"/>
    </row>
    <row r="39" spans="1:9">
      <c r="H39" s="76"/>
      <c r="I39" s="76"/>
    </row>
  </sheetData>
  <mergeCells count="1">
    <mergeCell ref="A1:H1"/>
  </mergeCells>
  <phoneticPr fontId="2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B0EE-4FD5-8B48-9644-D82663E0342E}">
  <sheetPr>
    <tabColor rgb="FFFFFF00"/>
  </sheetPr>
  <dimension ref="A1:G16"/>
  <sheetViews>
    <sheetView tabSelected="1" workbookViewId="0">
      <selection activeCell="F26" sqref="F26"/>
    </sheetView>
  </sheetViews>
  <sheetFormatPr baseColWidth="10" defaultRowHeight="14"/>
  <sheetData>
    <row r="1" spans="1:7" ht="17">
      <c r="A1" s="126" t="s">
        <v>3703</v>
      </c>
      <c r="B1" s="126"/>
      <c r="C1" s="126"/>
      <c r="D1" s="126"/>
      <c r="E1" s="128" t="s">
        <v>3716</v>
      </c>
      <c r="F1" s="129"/>
      <c r="G1" s="130"/>
    </row>
    <row r="2" spans="1:7" ht="17">
      <c r="A2" s="127" t="s">
        <v>3715</v>
      </c>
      <c r="B2" s="127" t="s">
        <v>3712</v>
      </c>
      <c r="C2" s="127" t="s">
        <v>3713</v>
      </c>
      <c r="D2" s="127" t="s">
        <v>3714</v>
      </c>
      <c r="E2" s="131" t="s">
        <v>3712</v>
      </c>
      <c r="F2" s="131" t="s">
        <v>3713</v>
      </c>
      <c r="G2" s="131" t="s">
        <v>3714</v>
      </c>
    </row>
    <row r="3" spans="1:7" ht="17">
      <c r="A3" s="81" t="s">
        <v>3704</v>
      </c>
      <c r="B3" s="81">
        <v>725000</v>
      </c>
      <c r="C3" s="81">
        <v>623227</v>
      </c>
      <c r="D3" s="121">
        <v>0.86</v>
      </c>
      <c r="E3" s="81">
        <v>2</v>
      </c>
      <c r="F3" s="81">
        <v>3</v>
      </c>
      <c r="G3" s="122">
        <f>F3/E3</f>
        <v>1.5</v>
      </c>
    </row>
    <row r="4" spans="1:7" ht="17">
      <c r="A4" s="81" t="s">
        <v>3705</v>
      </c>
      <c r="B4" s="81">
        <v>1359000</v>
      </c>
      <c r="C4" s="81">
        <v>1327185</v>
      </c>
      <c r="D4" s="121">
        <v>0.96</v>
      </c>
      <c r="E4" s="81">
        <v>3</v>
      </c>
      <c r="F4" s="81">
        <v>6</v>
      </c>
      <c r="G4" s="121">
        <v>2</v>
      </c>
    </row>
    <row r="5" spans="1:7" ht="17">
      <c r="A5" s="132" t="s">
        <v>3706</v>
      </c>
      <c r="B5" s="132">
        <f>SUM(B3:B4)</f>
        <v>2084000</v>
      </c>
      <c r="C5" s="132">
        <f>SUM(C3:C4)</f>
        <v>1950412</v>
      </c>
      <c r="D5" s="133">
        <f>C5/B5</f>
        <v>0.93589827255278313</v>
      </c>
      <c r="E5" s="134">
        <f>SUM(E3:E4)</f>
        <v>5</v>
      </c>
      <c r="F5" s="132">
        <f>SUM(F3:F4)</f>
        <v>9</v>
      </c>
      <c r="G5" s="133">
        <f>F5/E5</f>
        <v>1.8</v>
      </c>
    </row>
    <row r="6" spans="1:7" ht="17">
      <c r="A6" s="81"/>
      <c r="B6" s="81"/>
      <c r="C6" s="81"/>
      <c r="D6" s="81"/>
      <c r="E6" s="81"/>
      <c r="F6" s="81"/>
      <c r="G6" s="81"/>
    </row>
    <row r="7" spans="1:7" ht="17">
      <c r="A7" s="81"/>
      <c r="B7" s="81"/>
      <c r="C7" s="81"/>
      <c r="D7" s="81"/>
      <c r="E7" s="81"/>
      <c r="F7" s="81"/>
      <c r="G7" s="81"/>
    </row>
    <row r="8" spans="1:7" ht="17">
      <c r="A8" s="81"/>
      <c r="B8" s="81"/>
      <c r="C8" s="81"/>
      <c r="D8" s="81"/>
      <c r="E8" s="81"/>
      <c r="F8" s="81"/>
      <c r="G8" s="81"/>
    </row>
    <row r="9" spans="1:7" ht="17">
      <c r="A9" s="81" t="s">
        <v>3707</v>
      </c>
      <c r="B9" s="81" t="s">
        <v>3708</v>
      </c>
      <c r="C9" s="81" t="s">
        <v>3709</v>
      </c>
      <c r="D9" s="81" t="s">
        <v>3711</v>
      </c>
      <c r="E9" s="123" t="s">
        <v>3718</v>
      </c>
      <c r="F9" s="124"/>
      <c r="G9" s="125"/>
    </row>
    <row r="10" spans="1:7" ht="17">
      <c r="A10" s="121">
        <v>0.94</v>
      </c>
      <c r="B10" s="121">
        <v>0.5</v>
      </c>
      <c r="C10" s="81">
        <v>96</v>
      </c>
      <c r="D10" s="81">
        <v>48</v>
      </c>
      <c r="E10" s="135">
        <v>95.5</v>
      </c>
      <c r="F10" s="136"/>
      <c r="G10" s="137"/>
    </row>
    <row r="11" spans="1:7" ht="17">
      <c r="A11" s="81" t="s">
        <v>3710</v>
      </c>
      <c r="B11" s="81" t="s">
        <v>3708</v>
      </c>
      <c r="C11" s="81" t="s">
        <v>3709</v>
      </c>
      <c r="D11" s="81" t="s">
        <v>3711</v>
      </c>
      <c r="E11" s="138"/>
      <c r="F11" s="139"/>
      <c r="G11" s="140"/>
    </row>
    <row r="12" spans="1:7" ht="17">
      <c r="A12" s="121">
        <v>0.27</v>
      </c>
      <c r="B12" s="121">
        <v>0.25</v>
      </c>
      <c r="C12" s="81">
        <v>90</v>
      </c>
      <c r="D12" s="81">
        <v>22.5</v>
      </c>
      <c r="E12" s="138"/>
      <c r="F12" s="139"/>
      <c r="G12" s="140"/>
    </row>
    <row r="13" spans="1:7" ht="17">
      <c r="A13" s="81" t="s">
        <v>3717</v>
      </c>
      <c r="B13" s="81" t="s">
        <v>3708</v>
      </c>
      <c r="C13" s="81" t="s">
        <v>3709</v>
      </c>
      <c r="D13" s="81" t="s">
        <v>3711</v>
      </c>
      <c r="E13" s="138"/>
      <c r="F13" s="139"/>
      <c r="G13" s="140"/>
    </row>
    <row r="14" spans="1:7" ht="17">
      <c r="A14" s="121">
        <v>1.8</v>
      </c>
      <c r="B14" s="121">
        <v>0.25</v>
      </c>
      <c r="C14" s="81">
        <v>100</v>
      </c>
      <c r="D14" s="81">
        <v>25</v>
      </c>
      <c r="E14" s="141"/>
      <c r="F14" s="142"/>
      <c r="G14" s="143"/>
    </row>
    <row r="15" spans="1:7">
      <c r="A15" s="119"/>
      <c r="B15" s="119"/>
    </row>
    <row r="16" spans="1:7">
      <c r="A16" s="120"/>
    </row>
  </sheetData>
  <mergeCells count="4">
    <mergeCell ref="A1:D1"/>
    <mergeCell ref="E1:G1"/>
    <mergeCell ref="E9:G9"/>
    <mergeCell ref="E10:G14"/>
  </mergeCells>
  <phoneticPr fontId="2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T25"/>
  <sheetViews>
    <sheetView zoomScale="91" zoomScaleNormal="91" workbookViewId="0">
      <selection activeCell="A15" sqref="A15:I21"/>
    </sheetView>
  </sheetViews>
  <sheetFormatPr baseColWidth="10" defaultColWidth="12.6640625" defaultRowHeight="15"/>
  <cols>
    <col min="1" max="1" width="6.6640625" style="1" customWidth="1"/>
    <col min="2" max="2" width="7.6640625" style="1" customWidth="1"/>
    <col min="3" max="4" width="12.6640625" style="1"/>
    <col min="5" max="5" width="13.83203125" style="1"/>
    <col min="6" max="6" width="15" style="1" customWidth="1"/>
    <col min="7" max="7" width="17" style="1" customWidth="1"/>
    <col min="8" max="8" width="13" style="1"/>
    <col min="9" max="9" width="13.83203125" style="1" customWidth="1"/>
    <col min="10" max="13" width="12.6640625" style="1"/>
    <col min="14" max="14" width="9.6640625" style="1" customWidth="1"/>
    <col min="15" max="16384" width="12.6640625" style="1"/>
  </cols>
  <sheetData>
    <row r="1" spans="1:20" ht="16.75" customHeight="1">
      <c r="A1" s="90" t="s">
        <v>34</v>
      </c>
      <c r="B1" s="91"/>
      <c r="C1" s="91"/>
      <c r="D1" s="91"/>
      <c r="E1" s="91"/>
      <c r="F1" s="91"/>
      <c r="G1" s="91"/>
      <c r="H1" s="91"/>
      <c r="I1" s="91"/>
      <c r="J1" s="67"/>
      <c r="K1" s="67"/>
    </row>
    <row r="2" spans="1:20" ht="16.75" customHeight="1">
      <c r="A2" s="96" t="s">
        <v>35</v>
      </c>
      <c r="B2" s="96" t="s">
        <v>36</v>
      </c>
      <c r="C2" s="98" t="s">
        <v>37</v>
      </c>
      <c r="D2" s="92" t="s">
        <v>38</v>
      </c>
      <c r="E2" s="93"/>
      <c r="F2" s="93"/>
      <c r="G2" s="93"/>
      <c r="H2" s="93"/>
      <c r="I2" s="93"/>
      <c r="J2" s="68"/>
      <c r="K2" s="68"/>
    </row>
    <row r="3" spans="1:20" ht="16.75" customHeight="1">
      <c r="A3" s="97"/>
      <c r="B3" s="97"/>
      <c r="C3" s="98"/>
      <c r="D3" s="45" t="s">
        <v>39</v>
      </c>
      <c r="E3" s="56" t="s">
        <v>40</v>
      </c>
      <c r="F3" s="56" t="s">
        <v>41</v>
      </c>
      <c r="G3" s="57" t="s">
        <v>42</v>
      </c>
      <c r="H3" s="58" t="s">
        <v>43</v>
      </c>
      <c r="I3" s="69" t="s">
        <v>44</v>
      </c>
      <c r="J3" s="70" t="s">
        <v>45</v>
      </c>
      <c r="K3" s="70" t="s">
        <v>46</v>
      </c>
    </row>
    <row r="4" spans="1:20" ht="17.5" customHeight="1">
      <c r="A4" s="99" t="s">
        <v>47</v>
      </c>
      <c r="B4" s="100"/>
      <c r="C4" s="46" t="s">
        <v>16</v>
      </c>
      <c r="D4" s="47">
        <v>360000</v>
      </c>
      <c r="E4" s="59">
        <v>589576</v>
      </c>
      <c r="F4" s="49">
        <v>15428</v>
      </c>
      <c r="G4" s="60">
        <v>0</v>
      </c>
      <c r="H4" s="60">
        <f>E4-F4</f>
        <v>574148</v>
      </c>
      <c r="I4" s="62">
        <f t="shared" ref="I4:I12" si="0">H4/D4</f>
        <v>1.5948555555555599</v>
      </c>
      <c r="J4" s="62">
        <v>0.05</v>
      </c>
      <c r="K4" s="54">
        <f>H4*J4</f>
        <v>28707.4</v>
      </c>
      <c r="M4" s="73">
        <f>K4+I17</f>
        <v>38984.447999999997</v>
      </c>
    </row>
    <row r="5" spans="1:20" ht="17.5" customHeight="1">
      <c r="A5" s="101"/>
      <c r="B5" s="102"/>
      <c r="C5" s="46" t="s">
        <v>21</v>
      </c>
      <c r="D5" s="47">
        <v>360000</v>
      </c>
      <c r="E5" s="59">
        <v>299220</v>
      </c>
      <c r="F5" s="49">
        <v>500</v>
      </c>
      <c r="G5" s="49">
        <v>0</v>
      </c>
      <c r="H5" s="60">
        <f>E5-F5-G5</f>
        <v>298720</v>
      </c>
      <c r="I5" s="62">
        <f t="shared" si="0"/>
        <v>0.82977777777777795</v>
      </c>
      <c r="J5" s="64">
        <v>1.7999999999999999E-2</v>
      </c>
      <c r="K5" s="54">
        <f>H5*J5</f>
        <v>5376.96</v>
      </c>
      <c r="M5" s="73"/>
    </row>
    <row r="6" spans="1:20" ht="17.5" customHeight="1">
      <c r="A6" s="101"/>
      <c r="B6" s="102"/>
      <c r="C6" s="46" t="s">
        <v>22</v>
      </c>
      <c r="D6" s="47">
        <v>360000</v>
      </c>
      <c r="E6" s="59">
        <v>300860</v>
      </c>
      <c r="F6" s="49">
        <v>0</v>
      </c>
      <c r="G6" s="49">
        <v>0</v>
      </c>
      <c r="H6" s="60">
        <f t="shared" ref="H6:H11" si="1">E6-F6</f>
        <v>300860</v>
      </c>
      <c r="I6" s="62">
        <f t="shared" si="0"/>
        <v>0.83572222222222203</v>
      </c>
      <c r="J6" s="64">
        <v>1.7999999999999999E-2</v>
      </c>
      <c r="K6" s="54">
        <f t="shared" ref="K6:K11" si="2">H6*J6</f>
        <v>5415.48</v>
      </c>
      <c r="M6" s="73">
        <f>K6+I18</f>
        <v>5634.18</v>
      </c>
    </row>
    <row r="7" spans="1:20" ht="17.5" customHeight="1">
      <c r="A7" s="101"/>
      <c r="B7" s="102"/>
      <c r="C7" s="46" t="s">
        <v>23</v>
      </c>
      <c r="D7" s="47">
        <v>360000</v>
      </c>
      <c r="E7" s="59">
        <v>252420</v>
      </c>
      <c r="F7" s="49">
        <v>0</v>
      </c>
      <c r="G7" s="49">
        <v>0</v>
      </c>
      <c r="H7" s="60">
        <f t="shared" si="1"/>
        <v>252420</v>
      </c>
      <c r="I7" s="62">
        <f t="shared" si="0"/>
        <v>0.70116666666666705</v>
      </c>
      <c r="J7" s="71">
        <v>8.0000000000000002E-3</v>
      </c>
      <c r="K7" s="54">
        <f t="shared" si="2"/>
        <v>2019.36</v>
      </c>
      <c r="M7" s="73"/>
    </row>
    <row r="8" spans="1:20" ht="17.5" customHeight="1">
      <c r="A8" s="101"/>
      <c r="B8" s="102"/>
      <c r="C8" s="48" t="s">
        <v>24</v>
      </c>
      <c r="D8" s="49">
        <v>180000</v>
      </c>
      <c r="E8" s="49">
        <v>244200</v>
      </c>
      <c r="F8" s="49">
        <v>4680</v>
      </c>
      <c r="G8" s="49">
        <v>0</v>
      </c>
      <c r="H8" s="60">
        <f t="shared" si="1"/>
        <v>239520</v>
      </c>
      <c r="I8" s="62">
        <f t="shared" si="0"/>
        <v>1.33066666666667</v>
      </c>
      <c r="J8" s="62">
        <v>0.04</v>
      </c>
      <c r="K8" s="54">
        <f t="shared" si="2"/>
        <v>9580.7999999999993</v>
      </c>
      <c r="M8" s="73"/>
    </row>
    <row r="9" spans="1:20" ht="17.5" customHeight="1">
      <c r="A9" s="101"/>
      <c r="B9" s="102"/>
      <c r="C9" s="48" t="s">
        <v>26</v>
      </c>
      <c r="D9" s="49">
        <v>180000</v>
      </c>
      <c r="E9" s="49">
        <v>170300</v>
      </c>
      <c r="F9" s="49">
        <v>0</v>
      </c>
      <c r="G9" s="49">
        <v>0</v>
      </c>
      <c r="H9" s="60">
        <f t="shared" si="1"/>
        <v>170300</v>
      </c>
      <c r="I9" s="62">
        <f t="shared" si="0"/>
        <v>0.94611111111111101</v>
      </c>
      <c r="J9" s="64">
        <v>1.7999999999999999E-2</v>
      </c>
      <c r="K9" s="54">
        <f t="shared" si="2"/>
        <v>3065.4</v>
      </c>
      <c r="M9" s="73">
        <f>K9+I19</f>
        <v>3326.4</v>
      </c>
    </row>
    <row r="10" spans="1:20" ht="17.5" customHeight="1">
      <c r="A10" s="101"/>
      <c r="B10" s="102"/>
      <c r="C10" s="48" t="s">
        <v>27</v>
      </c>
      <c r="D10" s="49">
        <v>180000</v>
      </c>
      <c r="E10" s="49">
        <v>92620</v>
      </c>
      <c r="F10" s="49">
        <v>0</v>
      </c>
      <c r="G10" s="49">
        <v>0</v>
      </c>
      <c r="H10" s="60">
        <f t="shared" si="1"/>
        <v>92620</v>
      </c>
      <c r="I10" s="62">
        <f t="shared" si="0"/>
        <v>0.51455555555555599</v>
      </c>
      <c r="J10" s="62">
        <v>0</v>
      </c>
      <c r="K10" s="54">
        <f t="shared" si="2"/>
        <v>0</v>
      </c>
      <c r="M10" s="73"/>
    </row>
    <row r="11" spans="1:20" ht="17.5" customHeight="1">
      <c r="A11" s="101"/>
      <c r="B11" s="102"/>
      <c r="C11" s="48" t="s">
        <v>28</v>
      </c>
      <c r="D11" s="49">
        <v>56000</v>
      </c>
      <c r="E11" s="49">
        <v>173087</v>
      </c>
      <c r="F11" s="49"/>
      <c r="G11" s="49"/>
      <c r="H11" s="60">
        <f t="shared" si="1"/>
        <v>173087</v>
      </c>
      <c r="I11" s="62">
        <f t="shared" si="0"/>
        <v>3.0908392857142899</v>
      </c>
      <c r="J11" s="64">
        <v>0.05</v>
      </c>
      <c r="K11" s="54">
        <f t="shared" si="2"/>
        <v>8654.35</v>
      </c>
      <c r="M11" s="73">
        <f>K11+I20</f>
        <v>9411.0429999999997</v>
      </c>
    </row>
    <row r="12" spans="1:20" ht="17.5" customHeight="1">
      <c r="A12" s="103"/>
      <c r="B12" s="104"/>
      <c r="C12" s="50" t="s">
        <v>48</v>
      </c>
      <c r="D12" s="50">
        <f>SUM(D4:D11)</f>
        <v>2036000</v>
      </c>
      <c r="E12" s="50">
        <f>SUM(E4:E11)</f>
        <v>2122283</v>
      </c>
      <c r="F12" s="50">
        <f>SUM(F4:F11)</f>
        <v>20608</v>
      </c>
      <c r="G12" s="50">
        <f>SUM(G4:G7)</f>
        <v>0</v>
      </c>
      <c r="H12" s="50">
        <f>SUM(H4:H11)</f>
        <v>2101675</v>
      </c>
      <c r="I12" s="72">
        <f t="shared" si="0"/>
        <v>1.0322568762279001</v>
      </c>
      <c r="J12" s="72"/>
      <c r="K12" s="54">
        <f>SUM(K4:K11)</f>
        <v>62819.75</v>
      </c>
      <c r="M12" s="73"/>
    </row>
    <row r="15" spans="1:20" ht="16.75" customHeight="1">
      <c r="A15" s="96" t="s">
        <v>35</v>
      </c>
      <c r="B15" s="96" t="s">
        <v>36</v>
      </c>
      <c r="C15" s="98" t="s">
        <v>37</v>
      </c>
      <c r="D15" s="94" t="s">
        <v>38</v>
      </c>
      <c r="E15" s="95"/>
      <c r="F15" s="95"/>
      <c r="G15" s="95"/>
      <c r="H15" s="95"/>
      <c r="I15" s="95"/>
      <c r="M15" s="96" t="s">
        <v>35</v>
      </c>
      <c r="N15" s="96" t="s">
        <v>36</v>
      </c>
      <c r="O15" s="98" t="s">
        <v>37</v>
      </c>
      <c r="P15" s="92" t="s">
        <v>49</v>
      </c>
      <c r="Q15" s="93"/>
      <c r="R15" s="93"/>
      <c r="S15" s="93"/>
      <c r="T15" s="93"/>
    </row>
    <row r="16" spans="1:20" ht="16.75" customHeight="1">
      <c r="A16" s="97"/>
      <c r="B16" s="97"/>
      <c r="C16" s="98"/>
      <c r="D16" s="51" t="s">
        <v>40</v>
      </c>
      <c r="E16" s="51" t="s">
        <v>45</v>
      </c>
      <c r="F16" s="61" t="s">
        <v>50</v>
      </c>
      <c r="G16" s="61" t="s">
        <v>51</v>
      </c>
      <c r="H16" s="61" t="s">
        <v>42</v>
      </c>
      <c r="I16" s="61" t="s">
        <v>52</v>
      </c>
      <c r="M16" s="97"/>
      <c r="N16" s="97"/>
      <c r="O16" s="98"/>
      <c r="P16" s="56" t="s">
        <v>40</v>
      </c>
      <c r="Q16" s="56" t="s">
        <v>45</v>
      </c>
      <c r="R16" s="57" t="s">
        <v>50</v>
      </c>
      <c r="S16" s="57" t="s">
        <v>51</v>
      </c>
      <c r="T16" s="57" t="s">
        <v>52</v>
      </c>
    </row>
    <row r="17" spans="1:20" ht="17.5" hidden="1" customHeight="1">
      <c r="A17" s="99" t="s">
        <v>53</v>
      </c>
      <c r="B17" s="100"/>
      <c r="C17" s="46" t="s">
        <v>16</v>
      </c>
      <c r="D17" s="52">
        <v>457590.6</v>
      </c>
      <c r="E17" s="62">
        <v>0.03</v>
      </c>
      <c r="F17" s="54">
        <f>D17*E17</f>
        <v>13727.718000000001</v>
      </c>
      <c r="G17" s="60">
        <v>2143.67</v>
      </c>
      <c r="H17" s="63">
        <v>1307</v>
      </c>
      <c r="I17" s="54">
        <f>F17-G17-H17</f>
        <v>10277.048000000001</v>
      </c>
      <c r="M17" s="99" t="s">
        <v>53</v>
      </c>
      <c r="N17" s="100"/>
      <c r="O17" s="46" t="s">
        <v>16</v>
      </c>
      <c r="P17" s="74">
        <v>130660.5</v>
      </c>
      <c r="Q17" s="62">
        <v>0.04</v>
      </c>
      <c r="R17" s="54">
        <f>P17*Q17</f>
        <v>5226.42</v>
      </c>
      <c r="S17" s="60">
        <v>0</v>
      </c>
      <c r="T17" s="54">
        <f>R17-S17</f>
        <v>5226.42</v>
      </c>
    </row>
    <row r="18" spans="1:20" ht="17.5" hidden="1" customHeight="1">
      <c r="A18" s="101"/>
      <c r="B18" s="102"/>
      <c r="C18" s="53" t="s">
        <v>22</v>
      </c>
      <c r="D18" s="54">
        <v>12150</v>
      </c>
      <c r="E18" s="64">
        <v>1.7999999999999999E-2</v>
      </c>
      <c r="F18" s="54">
        <f>D18*E18</f>
        <v>218.7</v>
      </c>
      <c r="G18" s="49">
        <v>0</v>
      </c>
      <c r="H18" s="65" t="s">
        <v>54</v>
      </c>
      <c r="I18" s="54">
        <f>F18</f>
        <v>218.7</v>
      </c>
      <c r="M18" s="103"/>
      <c r="N18" s="104"/>
      <c r="O18" s="50" t="s">
        <v>48</v>
      </c>
      <c r="P18" s="50">
        <f t="shared" ref="P18:T18" si="3">SUM(P17:P17)</f>
        <v>130660.5</v>
      </c>
      <c r="Q18" s="50">
        <f t="shared" si="3"/>
        <v>0.04</v>
      </c>
      <c r="R18" s="50">
        <f t="shared" si="3"/>
        <v>5226.42</v>
      </c>
      <c r="S18" s="50">
        <f t="shared" si="3"/>
        <v>0</v>
      </c>
      <c r="T18" s="55">
        <f t="shared" si="3"/>
        <v>5226.42</v>
      </c>
    </row>
    <row r="19" spans="1:20" ht="17.5" customHeight="1">
      <c r="A19" s="101"/>
      <c r="B19" s="102"/>
      <c r="C19" s="53" t="s">
        <v>26</v>
      </c>
      <c r="D19" s="54">
        <v>14500</v>
      </c>
      <c r="E19" s="64">
        <v>1.7999999999999999E-2</v>
      </c>
      <c r="F19" s="54">
        <f>D19*E19</f>
        <v>261</v>
      </c>
      <c r="G19" s="49">
        <v>0</v>
      </c>
      <c r="H19" s="65" t="s">
        <v>54</v>
      </c>
      <c r="I19" s="54">
        <f>F19</f>
        <v>261</v>
      </c>
    </row>
    <row r="20" spans="1:20" ht="17.5" hidden="1" customHeight="1">
      <c r="A20" s="101"/>
      <c r="B20" s="102"/>
      <c r="C20" s="53" t="s">
        <v>28</v>
      </c>
      <c r="D20" s="54">
        <v>25223.1</v>
      </c>
      <c r="E20" s="62">
        <v>0.03</v>
      </c>
      <c r="F20" s="54">
        <f>D20*E20</f>
        <v>756.69299999999998</v>
      </c>
      <c r="G20" s="49">
        <v>0</v>
      </c>
      <c r="H20" s="65" t="s">
        <v>54</v>
      </c>
      <c r="I20" s="54">
        <f>F20</f>
        <v>756.69299999999998</v>
      </c>
      <c r="P20" s="74">
        <v>130660.5</v>
      </c>
      <c r="Q20" s="62">
        <v>0.03</v>
      </c>
      <c r="R20" s="54">
        <f>P20*Q20</f>
        <v>3919.8150000000001</v>
      </c>
      <c r="S20" s="60">
        <v>0</v>
      </c>
      <c r="T20" s="54">
        <f>R20-S20</f>
        <v>3919.8150000000001</v>
      </c>
    </row>
    <row r="21" spans="1:20" ht="17.5" hidden="1" customHeight="1">
      <c r="A21" s="103"/>
      <c r="B21" s="104"/>
      <c r="C21" s="50" t="s">
        <v>48</v>
      </c>
      <c r="D21" s="55">
        <f>SUM(D17:D20)</f>
        <v>509463.7</v>
      </c>
      <c r="E21" s="50"/>
      <c r="F21" s="55">
        <f>SUM(F17:F20)</f>
        <v>14964.111000000001</v>
      </c>
      <c r="G21" s="55">
        <f>SUM(G17:G17)</f>
        <v>2143.67</v>
      </c>
      <c r="H21" s="66">
        <f>SUM(H17:H20)</f>
        <v>1307</v>
      </c>
      <c r="I21" s="55">
        <f>SUM(I17:I20)</f>
        <v>11513.441000000001</v>
      </c>
    </row>
    <row r="23" spans="1:20">
      <c r="B23" s="13"/>
      <c r="T23" s="75">
        <f>T17-T20</f>
        <v>1306.605</v>
      </c>
    </row>
    <row r="24" spans="1:20">
      <c r="B24" s="13"/>
    </row>
    <row r="25" spans="1:20">
      <c r="B25" s="13"/>
    </row>
  </sheetData>
  <mergeCells count="16">
    <mergeCell ref="M17:N18"/>
    <mergeCell ref="A17:B21"/>
    <mergeCell ref="A1:I1"/>
    <mergeCell ref="D2:I2"/>
    <mergeCell ref="D15:I15"/>
    <mergeCell ref="P15:T15"/>
    <mergeCell ref="A2:A3"/>
    <mergeCell ref="A15:A16"/>
    <mergeCell ref="B2:B3"/>
    <mergeCell ref="B15:B16"/>
    <mergeCell ref="C2:C3"/>
    <mergeCell ref="C15:C16"/>
    <mergeCell ref="M15:M16"/>
    <mergeCell ref="N15:N16"/>
    <mergeCell ref="O15:O16"/>
    <mergeCell ref="A4:B12"/>
  </mergeCells>
  <phoneticPr fontId="28" type="noConversion"/>
  <conditionalFormatting sqref="I4:I12">
    <cfRule type="colorScale" priority="1">
      <colorScale>
        <cfvo type="min"/>
        <cfvo type="percentile" val="50"/>
        <cfvo type="max"/>
        <color rgb="FFF9686A"/>
        <color rgb="FFEDC97E"/>
        <color rgb="FF62BF7A"/>
      </colorScale>
    </cfRule>
    <cfRule type="colorScale" priority="2">
      <colorScale>
        <cfvo type="min"/>
        <cfvo type="percentile" val="50"/>
        <cfvo type="max"/>
        <color rgb="FFF9686A"/>
        <color rgb="FFEDC97E"/>
        <color rgb="FF62BF7A"/>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FF00"/>
  </sheetPr>
  <dimension ref="A1:BN325"/>
  <sheetViews>
    <sheetView topLeftCell="W1" workbookViewId="0">
      <selection activeCell="AD331" sqref="AD331"/>
    </sheetView>
  </sheetViews>
  <sheetFormatPr baseColWidth="10" defaultColWidth="9" defaultRowHeight="14"/>
  <cols>
    <col min="1" max="6" width="9" style="13"/>
    <col min="7" max="7" width="19.33203125" style="13" customWidth="1"/>
    <col min="8" max="20" width="9" style="13"/>
    <col min="21" max="21" width="21.1640625" style="13" customWidth="1"/>
    <col min="22" max="28" width="9" style="13"/>
    <col min="29" max="29" width="9.1640625" style="13"/>
    <col min="30" max="30" width="17.6640625" style="13" customWidth="1"/>
    <col min="31" max="31" width="21" style="13" customWidth="1"/>
    <col min="32" max="32" width="9" style="13"/>
    <col min="33" max="33" width="26.1640625" style="13" customWidth="1"/>
    <col min="34" max="34" width="9" style="13"/>
    <col min="35" max="35" width="29.1640625" style="13" customWidth="1"/>
    <col min="36" max="37" width="9" style="13"/>
    <col min="38" max="38" width="9.1640625" style="13"/>
    <col min="39" max="52" width="9" style="13"/>
    <col min="53" max="53" width="10.33203125" style="13"/>
    <col min="54" max="55" width="9" style="13"/>
    <col min="56" max="56" width="19.1640625" style="13" customWidth="1"/>
    <col min="57" max="16384" width="9" style="13"/>
  </cols>
  <sheetData>
    <row r="1" spans="1:66" ht="14" customHeight="1">
      <c r="A1" s="38" t="s">
        <v>1</v>
      </c>
      <c r="B1" s="38" t="s">
        <v>55</v>
      </c>
      <c r="C1" s="38" t="s">
        <v>6</v>
      </c>
      <c r="D1" s="38" t="s">
        <v>56</v>
      </c>
      <c r="E1" s="38" t="s">
        <v>57</v>
      </c>
      <c r="F1" s="38" t="s">
        <v>58</v>
      </c>
      <c r="G1" s="38" t="s">
        <v>59</v>
      </c>
      <c r="H1" s="38" t="s">
        <v>60</v>
      </c>
      <c r="I1" s="38" t="s">
        <v>61</v>
      </c>
      <c r="J1" s="38" t="s">
        <v>62</v>
      </c>
      <c r="K1" s="38" t="s">
        <v>63</v>
      </c>
      <c r="L1" s="38" t="s">
        <v>64</v>
      </c>
      <c r="M1" s="38" t="s">
        <v>65</v>
      </c>
      <c r="N1" s="38" t="s">
        <v>66</v>
      </c>
      <c r="O1" s="38" t="s">
        <v>67</v>
      </c>
      <c r="P1" s="38" t="s">
        <v>68</v>
      </c>
      <c r="Q1" s="38" t="s">
        <v>69</v>
      </c>
      <c r="R1" s="38" t="s">
        <v>70</v>
      </c>
      <c r="S1" s="38" t="s">
        <v>71</v>
      </c>
      <c r="T1" s="38" t="s">
        <v>72</v>
      </c>
      <c r="U1" s="38" t="s">
        <v>73</v>
      </c>
      <c r="V1" s="38" t="s">
        <v>74</v>
      </c>
      <c r="W1" s="38" t="s">
        <v>75</v>
      </c>
      <c r="X1" s="38" t="s">
        <v>76</v>
      </c>
      <c r="Y1" s="38" t="s">
        <v>55</v>
      </c>
      <c r="Z1" s="38" t="s">
        <v>77</v>
      </c>
      <c r="AA1" s="38" t="s">
        <v>78</v>
      </c>
      <c r="AB1" s="38" t="s">
        <v>79</v>
      </c>
      <c r="AC1" s="38" t="s">
        <v>80</v>
      </c>
      <c r="AD1" s="41" t="s">
        <v>81</v>
      </c>
      <c r="AE1" s="38" t="s">
        <v>82</v>
      </c>
      <c r="AF1" s="38" t="s">
        <v>83</v>
      </c>
      <c r="AG1" s="38" t="s">
        <v>84</v>
      </c>
      <c r="AH1" s="38" t="s">
        <v>85</v>
      </c>
      <c r="AI1" s="38" t="s">
        <v>86</v>
      </c>
      <c r="AJ1" s="38" t="s">
        <v>87</v>
      </c>
      <c r="AK1" s="38" t="s">
        <v>88</v>
      </c>
      <c r="AL1" s="38" t="s">
        <v>89</v>
      </c>
      <c r="AM1" s="38" t="s">
        <v>90</v>
      </c>
      <c r="AN1" s="38" t="s">
        <v>91</v>
      </c>
      <c r="AO1" s="38" t="s">
        <v>92</v>
      </c>
      <c r="AP1" s="38" t="s">
        <v>93</v>
      </c>
      <c r="AQ1" s="38" t="s">
        <v>94</v>
      </c>
      <c r="AR1" s="38" t="s">
        <v>95</v>
      </c>
      <c r="AS1" s="38" t="s">
        <v>96</v>
      </c>
      <c r="AT1" s="38" t="s">
        <v>97</v>
      </c>
      <c r="AU1" s="38" t="s">
        <v>98</v>
      </c>
      <c r="AV1" s="38" t="s">
        <v>99</v>
      </c>
      <c r="AW1" s="38" t="s">
        <v>100</v>
      </c>
      <c r="AX1" s="38" t="s">
        <v>101</v>
      </c>
      <c r="AY1" s="38" t="s">
        <v>102</v>
      </c>
      <c r="AZ1" s="38" t="s">
        <v>103</v>
      </c>
      <c r="BA1" s="38" t="s">
        <v>104</v>
      </c>
      <c r="BB1" s="38" t="s">
        <v>105</v>
      </c>
      <c r="BC1" s="38" t="s">
        <v>106</v>
      </c>
      <c r="BD1" s="38" t="s">
        <v>107</v>
      </c>
      <c r="BE1" s="38" t="s">
        <v>108</v>
      </c>
      <c r="BF1" s="38" t="s">
        <v>109</v>
      </c>
      <c r="BG1" s="38" t="s">
        <v>110</v>
      </c>
      <c r="BH1" s="38" t="s">
        <v>111</v>
      </c>
      <c r="BI1" s="38" t="s">
        <v>112</v>
      </c>
      <c r="BJ1" s="38" t="s">
        <v>113</v>
      </c>
      <c r="BK1" s="38" t="s">
        <v>114</v>
      </c>
      <c r="BL1" s="38" t="s">
        <v>115</v>
      </c>
      <c r="BM1" s="38" t="s">
        <v>116</v>
      </c>
      <c r="BN1" s="38" t="s">
        <v>117</v>
      </c>
    </row>
    <row r="2" spans="1:66" hidden="1">
      <c r="A2" s="39">
        <v>1</v>
      </c>
      <c r="B2" s="39" t="s">
        <v>118</v>
      </c>
      <c r="C2" s="39" t="s">
        <v>119</v>
      </c>
      <c r="D2" s="39" t="s">
        <v>120</v>
      </c>
      <c r="E2" s="39" t="s">
        <v>121</v>
      </c>
      <c r="F2" s="39" t="s">
        <v>122</v>
      </c>
      <c r="G2" s="39" t="s">
        <v>123</v>
      </c>
      <c r="H2" s="39" t="s">
        <v>124</v>
      </c>
      <c r="I2" s="39" t="s">
        <v>125</v>
      </c>
      <c r="J2" s="39" t="s">
        <v>126</v>
      </c>
      <c r="K2" s="39" t="s">
        <v>21</v>
      </c>
      <c r="L2" s="39" t="s">
        <v>127</v>
      </c>
      <c r="M2" s="39" t="s">
        <v>127</v>
      </c>
      <c r="N2" s="39"/>
      <c r="O2" s="39"/>
      <c r="P2" s="39"/>
      <c r="Q2" s="39" t="s">
        <v>128</v>
      </c>
      <c r="R2" s="39" t="s">
        <v>21</v>
      </c>
      <c r="S2" s="39" t="s">
        <v>129</v>
      </c>
      <c r="T2" s="39" t="s">
        <v>130</v>
      </c>
      <c r="U2" s="39" t="s">
        <v>131</v>
      </c>
      <c r="V2" s="39" t="s">
        <v>132</v>
      </c>
      <c r="W2" s="39" t="s">
        <v>133</v>
      </c>
      <c r="X2" s="39" t="s">
        <v>126</v>
      </c>
      <c r="Y2" s="39" t="s">
        <v>134</v>
      </c>
      <c r="Z2" s="39" t="s">
        <v>135</v>
      </c>
      <c r="AA2" s="39" t="s">
        <v>136</v>
      </c>
      <c r="AB2" s="39" t="s">
        <v>128</v>
      </c>
      <c r="AC2" s="39">
        <v>5463989</v>
      </c>
      <c r="AD2" s="39" t="s">
        <v>21</v>
      </c>
      <c r="AE2" s="39" t="s">
        <v>137</v>
      </c>
      <c r="AF2" s="39" t="s">
        <v>21</v>
      </c>
      <c r="AG2" s="39" t="s">
        <v>137</v>
      </c>
      <c r="AH2" s="39" t="s">
        <v>138</v>
      </c>
      <c r="AI2" s="39" t="s">
        <v>139</v>
      </c>
      <c r="AJ2" s="39" t="s">
        <v>140</v>
      </c>
      <c r="AK2" s="39" t="s">
        <v>125</v>
      </c>
      <c r="AL2" s="39" t="s">
        <v>141</v>
      </c>
      <c r="AM2" s="39"/>
      <c r="AN2" s="39" t="s">
        <v>125</v>
      </c>
      <c r="AO2" s="39" t="s">
        <v>142</v>
      </c>
      <c r="AP2" s="39" t="s">
        <v>143</v>
      </c>
      <c r="AQ2" s="39" t="s">
        <v>144</v>
      </c>
      <c r="AR2" s="39" t="s">
        <v>145</v>
      </c>
      <c r="AS2" s="39" t="s">
        <v>146</v>
      </c>
      <c r="AT2" s="39" t="s">
        <v>147</v>
      </c>
      <c r="AU2" s="39"/>
      <c r="AV2" s="39" t="s">
        <v>148</v>
      </c>
      <c r="AW2" s="39"/>
      <c r="AX2" s="39"/>
      <c r="AY2" s="39"/>
      <c r="AZ2" s="39"/>
      <c r="BA2" s="39">
        <v>56633455</v>
      </c>
      <c r="BB2" s="39" t="s">
        <v>149</v>
      </c>
      <c r="BC2" s="39" t="s">
        <v>150</v>
      </c>
      <c r="BD2" s="39" t="s">
        <v>139</v>
      </c>
      <c r="BE2" s="39" t="s">
        <v>125</v>
      </c>
      <c r="BF2" s="39"/>
      <c r="BG2" s="39" t="s">
        <v>151</v>
      </c>
      <c r="BH2" s="39" t="s">
        <v>152</v>
      </c>
      <c r="BI2" s="39" t="s">
        <v>125</v>
      </c>
      <c r="BJ2" s="39"/>
      <c r="BK2" s="39" t="s">
        <v>153</v>
      </c>
      <c r="BL2" s="39"/>
      <c r="BM2" s="39" t="s">
        <v>154</v>
      </c>
      <c r="BN2" s="39" t="s">
        <v>155</v>
      </c>
    </row>
    <row r="3" spans="1:66" hidden="1">
      <c r="A3" s="39">
        <v>2</v>
      </c>
      <c r="B3" s="39" t="s">
        <v>118</v>
      </c>
      <c r="C3" s="39" t="s">
        <v>119</v>
      </c>
      <c r="D3" s="39" t="s">
        <v>156</v>
      </c>
      <c r="E3" s="39" t="s">
        <v>157</v>
      </c>
      <c r="F3" s="39" t="s">
        <v>158</v>
      </c>
      <c r="G3" s="39" t="s">
        <v>159</v>
      </c>
      <c r="H3" s="39" t="s">
        <v>160</v>
      </c>
      <c r="I3" s="39" t="s">
        <v>125</v>
      </c>
      <c r="J3" s="39" t="s">
        <v>161</v>
      </c>
      <c r="K3" s="39" t="s">
        <v>26</v>
      </c>
      <c r="L3" s="39" t="s">
        <v>162</v>
      </c>
      <c r="M3" s="39" t="s">
        <v>163</v>
      </c>
      <c r="N3" s="39" t="s">
        <v>125</v>
      </c>
      <c r="O3" s="39"/>
      <c r="P3" s="39"/>
      <c r="Q3" s="39" t="s">
        <v>164</v>
      </c>
      <c r="R3" s="39" t="s">
        <v>26</v>
      </c>
      <c r="S3" s="39" t="s">
        <v>165</v>
      </c>
      <c r="T3" s="39" t="s">
        <v>130</v>
      </c>
      <c r="U3" s="39" t="s">
        <v>166</v>
      </c>
      <c r="V3" s="39" t="s">
        <v>167</v>
      </c>
      <c r="W3" s="39" t="s">
        <v>168</v>
      </c>
      <c r="X3" s="39" t="s">
        <v>161</v>
      </c>
      <c r="Y3" s="39" t="s">
        <v>169</v>
      </c>
      <c r="Z3" s="39" t="s">
        <v>169</v>
      </c>
      <c r="AA3" s="39" t="s">
        <v>169</v>
      </c>
      <c r="AB3" s="39" t="s">
        <v>164</v>
      </c>
      <c r="AC3" s="39">
        <v>5460962</v>
      </c>
      <c r="AD3" s="39" t="s">
        <v>26</v>
      </c>
      <c r="AE3" s="39" t="s">
        <v>170</v>
      </c>
      <c r="AF3" s="39" t="s">
        <v>26</v>
      </c>
      <c r="AG3" s="39" t="s">
        <v>171</v>
      </c>
      <c r="AH3" s="39" t="s">
        <v>172</v>
      </c>
      <c r="AI3" s="39" t="s">
        <v>173</v>
      </c>
      <c r="AJ3" s="39" t="s">
        <v>140</v>
      </c>
      <c r="AK3" s="39" t="s">
        <v>125</v>
      </c>
      <c r="AL3" s="39" t="s">
        <v>174</v>
      </c>
      <c r="AM3" s="39"/>
      <c r="AN3" s="39" t="s">
        <v>125</v>
      </c>
      <c r="AO3" s="39" t="s">
        <v>142</v>
      </c>
      <c r="AP3" s="39" t="s">
        <v>143</v>
      </c>
      <c r="AQ3" s="39" t="s">
        <v>175</v>
      </c>
      <c r="AR3" s="39" t="s">
        <v>176</v>
      </c>
      <c r="AS3" s="39" t="s">
        <v>177</v>
      </c>
      <c r="AT3" s="39" t="s">
        <v>147</v>
      </c>
      <c r="AU3" s="39"/>
      <c r="AV3" s="39" t="s">
        <v>178</v>
      </c>
      <c r="AW3" s="39"/>
      <c r="AX3" s="39"/>
      <c r="AY3" s="39"/>
      <c r="AZ3" s="39"/>
      <c r="BA3" s="39">
        <v>80712352</v>
      </c>
      <c r="BB3" s="39" t="s">
        <v>149</v>
      </c>
      <c r="BC3" s="39" t="s">
        <v>150</v>
      </c>
      <c r="BD3" s="39" t="s">
        <v>179</v>
      </c>
      <c r="BE3" s="39" t="s">
        <v>125</v>
      </c>
      <c r="BF3" s="39"/>
      <c r="BG3" s="39" t="s">
        <v>180</v>
      </c>
      <c r="BH3" s="39" t="s">
        <v>152</v>
      </c>
      <c r="BI3" s="39" t="s">
        <v>125</v>
      </c>
      <c r="BJ3" s="39"/>
      <c r="BK3" s="39" t="s">
        <v>153</v>
      </c>
      <c r="BL3" s="39"/>
      <c r="BM3" s="39"/>
      <c r="BN3" s="39" t="s">
        <v>181</v>
      </c>
    </row>
    <row r="4" spans="1:66" hidden="1">
      <c r="A4" s="39">
        <v>3</v>
      </c>
      <c r="B4" s="39" t="s">
        <v>118</v>
      </c>
      <c r="C4" s="39" t="s">
        <v>119</v>
      </c>
      <c r="D4" s="39" t="s">
        <v>182</v>
      </c>
      <c r="E4" s="39" t="s">
        <v>183</v>
      </c>
      <c r="F4" s="39" t="s">
        <v>184</v>
      </c>
      <c r="G4" s="39" t="s">
        <v>185</v>
      </c>
      <c r="H4" s="39" t="s">
        <v>186</v>
      </c>
      <c r="I4" s="39" t="s">
        <v>125</v>
      </c>
      <c r="J4" s="39" t="s">
        <v>187</v>
      </c>
      <c r="K4" s="39" t="s">
        <v>28</v>
      </c>
      <c r="L4" s="39" t="s">
        <v>188</v>
      </c>
      <c r="M4" s="39" t="s">
        <v>189</v>
      </c>
      <c r="N4" s="39" t="s">
        <v>190</v>
      </c>
      <c r="O4" s="39"/>
      <c r="P4" s="39"/>
      <c r="Q4" s="39" t="s">
        <v>191</v>
      </c>
      <c r="R4" s="39" t="s">
        <v>28</v>
      </c>
      <c r="S4" s="39" t="s">
        <v>192</v>
      </c>
      <c r="T4" s="39" t="s">
        <v>130</v>
      </c>
      <c r="U4" s="39" t="s">
        <v>193</v>
      </c>
      <c r="V4" s="39" t="s">
        <v>132</v>
      </c>
      <c r="W4" s="39" t="s">
        <v>194</v>
      </c>
      <c r="X4" s="39" t="s">
        <v>187</v>
      </c>
      <c r="Y4" s="39" t="s">
        <v>195</v>
      </c>
      <c r="Z4" s="39" t="s">
        <v>196</v>
      </c>
      <c r="AA4" s="39" t="s">
        <v>197</v>
      </c>
      <c r="AB4" s="39" t="s">
        <v>191</v>
      </c>
      <c r="AC4" s="39">
        <v>5433256</v>
      </c>
      <c r="AD4" s="39" t="s">
        <v>28</v>
      </c>
      <c r="AE4" s="39" t="s">
        <v>198</v>
      </c>
      <c r="AF4" s="39" t="s">
        <v>28</v>
      </c>
      <c r="AG4" s="39" t="s">
        <v>199</v>
      </c>
      <c r="AH4" s="39" t="s">
        <v>200</v>
      </c>
      <c r="AI4" s="39" t="s">
        <v>201</v>
      </c>
      <c r="AJ4" s="39" t="s">
        <v>140</v>
      </c>
      <c r="AK4" s="39" t="s">
        <v>125</v>
      </c>
      <c r="AL4" s="39">
        <v>5680</v>
      </c>
      <c r="AM4" s="39"/>
      <c r="AN4" s="39" t="s">
        <v>190</v>
      </c>
      <c r="AO4" s="39" t="s">
        <v>142</v>
      </c>
      <c r="AP4" s="39" t="s">
        <v>143</v>
      </c>
      <c r="AQ4" s="39" t="s">
        <v>144</v>
      </c>
      <c r="AR4" s="39" t="s">
        <v>202</v>
      </c>
      <c r="AS4" s="39" t="s">
        <v>203</v>
      </c>
      <c r="AT4" s="39" t="s">
        <v>147</v>
      </c>
      <c r="AU4" s="39"/>
      <c r="AV4" s="39" t="s">
        <v>204</v>
      </c>
      <c r="AW4" s="39"/>
      <c r="AX4" s="39"/>
      <c r="AY4" s="39"/>
      <c r="AZ4" s="39"/>
      <c r="BA4" s="39">
        <v>74696074</v>
      </c>
      <c r="BB4" s="39" t="s">
        <v>149</v>
      </c>
      <c r="BC4" s="39" t="s">
        <v>150</v>
      </c>
      <c r="BD4" s="39" t="s">
        <v>179</v>
      </c>
      <c r="BE4" s="39" t="s">
        <v>125</v>
      </c>
      <c r="BF4" s="39"/>
      <c r="BG4" s="39" t="s">
        <v>180</v>
      </c>
      <c r="BH4" s="39" t="s">
        <v>152</v>
      </c>
      <c r="BI4" s="39" t="s">
        <v>125</v>
      </c>
      <c r="BJ4" s="39"/>
      <c r="BK4" s="39" t="s">
        <v>153</v>
      </c>
      <c r="BL4" s="39"/>
      <c r="BM4" s="39" t="s">
        <v>205</v>
      </c>
      <c r="BN4" s="39" t="s">
        <v>155</v>
      </c>
    </row>
    <row r="5" spans="1:66" hidden="1">
      <c r="A5" s="39">
        <v>4</v>
      </c>
      <c r="B5" s="39" t="s">
        <v>118</v>
      </c>
      <c r="C5" s="39" t="s">
        <v>119</v>
      </c>
      <c r="D5" s="39" t="s">
        <v>206</v>
      </c>
      <c r="E5" s="39" t="s">
        <v>207</v>
      </c>
      <c r="F5" s="39" t="s">
        <v>208</v>
      </c>
      <c r="G5" s="39" t="s">
        <v>209</v>
      </c>
      <c r="H5" s="39" t="s">
        <v>210</v>
      </c>
      <c r="I5" s="39"/>
      <c r="J5" s="39" t="s">
        <v>187</v>
      </c>
      <c r="K5" s="39" t="s">
        <v>28</v>
      </c>
      <c r="L5" s="39" t="s">
        <v>211</v>
      </c>
      <c r="M5" s="39" t="s">
        <v>212</v>
      </c>
      <c r="N5" s="39" t="s">
        <v>125</v>
      </c>
      <c r="O5" s="39"/>
      <c r="P5" s="39"/>
      <c r="Q5" s="39" t="s">
        <v>213</v>
      </c>
      <c r="R5" s="39" t="s">
        <v>28</v>
      </c>
      <c r="S5" s="39" t="s">
        <v>214</v>
      </c>
      <c r="T5" s="39" t="s">
        <v>130</v>
      </c>
      <c r="U5" s="39" t="s">
        <v>215</v>
      </c>
      <c r="V5" s="39" t="s">
        <v>132</v>
      </c>
      <c r="W5" s="39" t="s">
        <v>194</v>
      </c>
      <c r="X5" s="39" t="s">
        <v>187</v>
      </c>
      <c r="Y5" s="39" t="s">
        <v>195</v>
      </c>
      <c r="Z5" s="39" t="s">
        <v>196</v>
      </c>
      <c r="AA5" s="39" t="s">
        <v>197</v>
      </c>
      <c r="AB5" s="39" t="s">
        <v>213</v>
      </c>
      <c r="AC5" s="39">
        <v>5432808</v>
      </c>
      <c r="AD5" s="39" t="s">
        <v>28</v>
      </c>
      <c r="AE5" s="39" t="s">
        <v>216</v>
      </c>
      <c r="AF5" s="39" t="s">
        <v>28</v>
      </c>
      <c r="AG5" s="39" t="s">
        <v>216</v>
      </c>
      <c r="AH5" s="39" t="s">
        <v>217</v>
      </c>
      <c r="AI5" s="39" t="s">
        <v>218</v>
      </c>
      <c r="AJ5" s="39" t="s">
        <v>140</v>
      </c>
      <c r="AK5" s="39" t="s">
        <v>125</v>
      </c>
      <c r="AL5" s="39">
        <v>19300</v>
      </c>
      <c r="AM5" s="39"/>
      <c r="AN5" s="39" t="s">
        <v>125</v>
      </c>
      <c r="AO5" s="39" t="s">
        <v>142</v>
      </c>
      <c r="AP5" s="39" t="s">
        <v>143</v>
      </c>
      <c r="AQ5" s="39" t="s">
        <v>144</v>
      </c>
      <c r="AR5" s="39" t="s">
        <v>219</v>
      </c>
      <c r="AS5" s="39" t="s">
        <v>220</v>
      </c>
      <c r="AT5" s="39" t="s">
        <v>147</v>
      </c>
      <c r="AU5" s="39"/>
      <c r="AV5" s="39" t="s">
        <v>221</v>
      </c>
      <c r="AW5" s="39"/>
      <c r="AX5" s="39"/>
      <c r="AY5" s="39"/>
      <c r="AZ5" s="39"/>
      <c r="BA5" s="39">
        <v>75011833</v>
      </c>
      <c r="BB5" s="39" t="s">
        <v>149</v>
      </c>
      <c r="BC5" s="39" t="s">
        <v>150</v>
      </c>
      <c r="BD5" s="39" t="s">
        <v>179</v>
      </c>
      <c r="BE5" s="39" t="s">
        <v>125</v>
      </c>
      <c r="BF5" s="39"/>
      <c r="BG5" s="39" t="s">
        <v>180</v>
      </c>
      <c r="BH5" s="39" t="s">
        <v>152</v>
      </c>
      <c r="BI5" s="39" t="s">
        <v>125</v>
      </c>
      <c r="BJ5" s="39"/>
      <c r="BK5" s="39" t="s">
        <v>153</v>
      </c>
      <c r="BL5" s="39"/>
      <c r="BM5" s="39"/>
      <c r="BN5" s="39" t="s">
        <v>181</v>
      </c>
    </row>
    <row r="6" spans="1:66" hidden="1">
      <c r="A6" s="39">
        <v>5</v>
      </c>
      <c r="B6" s="39" t="s">
        <v>118</v>
      </c>
      <c r="C6" s="39" t="s">
        <v>119</v>
      </c>
      <c r="D6" s="39" t="s">
        <v>222</v>
      </c>
      <c r="E6" s="39" t="s">
        <v>223</v>
      </c>
      <c r="F6" s="39" t="s">
        <v>224</v>
      </c>
      <c r="G6" s="39" t="s">
        <v>225</v>
      </c>
      <c r="H6" s="39" t="s">
        <v>226</v>
      </c>
      <c r="I6" s="39"/>
      <c r="J6" s="39" t="s">
        <v>126</v>
      </c>
      <c r="K6" s="39" t="s">
        <v>23</v>
      </c>
      <c r="L6" s="39" t="s">
        <v>61</v>
      </c>
      <c r="M6" s="39" t="s">
        <v>227</v>
      </c>
      <c r="N6" s="39" t="s">
        <v>125</v>
      </c>
      <c r="O6" s="39"/>
      <c r="P6" s="39"/>
      <c r="Q6" s="39" t="s">
        <v>222</v>
      </c>
      <c r="R6" s="39" t="s">
        <v>23</v>
      </c>
      <c r="S6" s="39" t="s">
        <v>228</v>
      </c>
      <c r="T6" s="39" t="s">
        <v>130</v>
      </c>
      <c r="U6" s="39" t="s">
        <v>229</v>
      </c>
      <c r="V6" s="39" t="s">
        <v>132</v>
      </c>
      <c r="W6" s="39" t="s">
        <v>168</v>
      </c>
      <c r="X6" s="39" t="s">
        <v>126</v>
      </c>
      <c r="Y6" s="39" t="s">
        <v>230</v>
      </c>
      <c r="Z6" s="39" t="s">
        <v>231</v>
      </c>
      <c r="AA6" s="39" t="s">
        <v>232</v>
      </c>
      <c r="AB6" s="39" t="s">
        <v>222</v>
      </c>
      <c r="AC6" s="39">
        <v>5431875</v>
      </c>
      <c r="AD6" s="39" t="s">
        <v>23</v>
      </c>
      <c r="AE6" s="39" t="s">
        <v>233</v>
      </c>
      <c r="AF6" s="39" t="s">
        <v>23</v>
      </c>
      <c r="AG6" s="39" t="s">
        <v>233</v>
      </c>
      <c r="AH6" s="39" t="s">
        <v>234</v>
      </c>
      <c r="AI6" s="39" t="s">
        <v>235</v>
      </c>
      <c r="AJ6" s="39" t="s">
        <v>140</v>
      </c>
      <c r="AK6" s="39" t="s">
        <v>125</v>
      </c>
      <c r="AL6" s="39">
        <v>279</v>
      </c>
      <c r="AM6" s="39"/>
      <c r="AN6" s="39" t="s">
        <v>125</v>
      </c>
      <c r="AO6" s="39" t="s">
        <v>142</v>
      </c>
      <c r="AP6" s="39" t="s">
        <v>236</v>
      </c>
      <c r="AQ6" s="39"/>
      <c r="AR6" s="39"/>
      <c r="AS6" s="39"/>
      <c r="AT6" s="39" t="s">
        <v>147</v>
      </c>
      <c r="AU6" s="39"/>
      <c r="AV6" s="39" t="s">
        <v>237</v>
      </c>
      <c r="AW6" s="39"/>
      <c r="AX6" s="39"/>
      <c r="AY6" s="39"/>
      <c r="AZ6" s="39" t="s">
        <v>238</v>
      </c>
      <c r="BA6" s="39">
        <v>80199976</v>
      </c>
      <c r="BB6" s="39" t="s">
        <v>152</v>
      </c>
      <c r="BC6" s="39" t="s">
        <v>150</v>
      </c>
      <c r="BD6" s="39" t="s">
        <v>179</v>
      </c>
      <c r="BE6" s="39" t="s">
        <v>125</v>
      </c>
      <c r="BF6" s="39"/>
      <c r="BG6" s="39" t="s">
        <v>239</v>
      </c>
      <c r="BH6" s="39" t="s">
        <v>149</v>
      </c>
      <c r="BI6" s="39" t="s">
        <v>125</v>
      </c>
      <c r="BJ6" s="39"/>
      <c r="BK6" s="39"/>
      <c r="BL6" s="39">
        <v>110460338</v>
      </c>
      <c r="BM6" s="39" t="s">
        <v>240</v>
      </c>
      <c r="BN6" s="39" t="s">
        <v>181</v>
      </c>
    </row>
    <row r="7" spans="1:66" hidden="1">
      <c r="A7" s="39">
        <v>6</v>
      </c>
      <c r="B7" s="39" t="s">
        <v>118</v>
      </c>
      <c r="C7" s="39" t="s">
        <v>119</v>
      </c>
      <c r="D7" s="39" t="s">
        <v>241</v>
      </c>
      <c r="E7" s="39" t="s">
        <v>242</v>
      </c>
      <c r="F7" s="39" t="s">
        <v>208</v>
      </c>
      <c r="G7" s="39" t="s">
        <v>243</v>
      </c>
      <c r="H7" s="39" t="s">
        <v>244</v>
      </c>
      <c r="I7" s="39" t="s">
        <v>245</v>
      </c>
      <c r="J7" s="39" t="s">
        <v>126</v>
      </c>
      <c r="K7" s="39" t="s">
        <v>16</v>
      </c>
      <c r="L7" s="39" t="s">
        <v>211</v>
      </c>
      <c r="M7" s="39" t="s">
        <v>212</v>
      </c>
      <c r="N7" s="39" t="s">
        <v>125</v>
      </c>
      <c r="O7" s="39"/>
      <c r="P7" s="39"/>
      <c r="Q7" s="39" t="s">
        <v>246</v>
      </c>
      <c r="R7" s="39" t="s">
        <v>16</v>
      </c>
      <c r="S7" s="39" t="s">
        <v>247</v>
      </c>
      <c r="T7" s="39" t="s">
        <v>130</v>
      </c>
      <c r="U7" s="39" t="s">
        <v>248</v>
      </c>
      <c r="V7" s="39" t="s">
        <v>132</v>
      </c>
      <c r="W7" s="39" t="s">
        <v>194</v>
      </c>
      <c r="X7" s="39" t="s">
        <v>187</v>
      </c>
      <c r="Y7" s="39" t="s">
        <v>249</v>
      </c>
      <c r="Z7" s="39" t="s">
        <v>196</v>
      </c>
      <c r="AA7" s="39" t="s">
        <v>197</v>
      </c>
      <c r="AB7" s="39" t="s">
        <v>246</v>
      </c>
      <c r="AC7" s="39">
        <v>5431677</v>
      </c>
      <c r="AD7" s="39" t="s">
        <v>16</v>
      </c>
      <c r="AE7" s="39" t="s">
        <v>250</v>
      </c>
      <c r="AF7" s="39" t="s">
        <v>16</v>
      </c>
      <c r="AG7" s="39" t="s">
        <v>250</v>
      </c>
      <c r="AH7" s="39" t="s">
        <v>200</v>
      </c>
      <c r="AI7" s="39" t="s">
        <v>201</v>
      </c>
      <c r="AJ7" s="39" t="s">
        <v>140</v>
      </c>
      <c r="AK7" s="39" t="s">
        <v>125</v>
      </c>
      <c r="AL7" s="39">
        <v>5180</v>
      </c>
      <c r="AM7" s="39"/>
      <c r="AN7" s="39" t="s">
        <v>125</v>
      </c>
      <c r="AO7" s="39" t="s">
        <v>142</v>
      </c>
      <c r="AP7" s="39" t="s">
        <v>251</v>
      </c>
      <c r="AQ7" s="39" t="s">
        <v>252</v>
      </c>
      <c r="AR7" s="39" t="s">
        <v>253</v>
      </c>
      <c r="AS7" s="39" t="s">
        <v>254</v>
      </c>
      <c r="AT7" s="39" t="s">
        <v>147</v>
      </c>
      <c r="AU7" s="39"/>
      <c r="AV7" s="39" t="s">
        <v>255</v>
      </c>
      <c r="AW7" s="39"/>
      <c r="AX7" s="39"/>
      <c r="AY7" s="39"/>
      <c r="AZ7" s="39"/>
      <c r="BA7" s="39">
        <v>56563373</v>
      </c>
      <c r="BB7" s="39" t="s">
        <v>149</v>
      </c>
      <c r="BC7" s="39" t="s">
        <v>150</v>
      </c>
      <c r="BD7" s="39" t="s">
        <v>179</v>
      </c>
      <c r="BE7" s="39" t="s">
        <v>125</v>
      </c>
      <c r="BF7" s="39"/>
      <c r="BG7" s="39" t="s">
        <v>180</v>
      </c>
      <c r="BH7" s="39" t="s">
        <v>149</v>
      </c>
      <c r="BI7" s="39" t="s">
        <v>125</v>
      </c>
      <c r="BJ7" s="39"/>
      <c r="BK7" s="39" t="s">
        <v>153</v>
      </c>
      <c r="BL7" s="39"/>
      <c r="BM7" s="39"/>
      <c r="BN7" s="39" t="s">
        <v>212</v>
      </c>
    </row>
    <row r="8" spans="1:66" hidden="1">
      <c r="A8" s="39">
        <v>7</v>
      </c>
      <c r="B8" s="39" t="s">
        <v>118</v>
      </c>
      <c r="C8" s="39" t="s">
        <v>119</v>
      </c>
      <c r="D8" s="39" t="s">
        <v>256</v>
      </c>
      <c r="E8" s="39" t="s">
        <v>257</v>
      </c>
      <c r="F8" s="39" t="s">
        <v>258</v>
      </c>
      <c r="G8" s="39" t="s">
        <v>259</v>
      </c>
      <c r="H8" s="39" t="s">
        <v>260</v>
      </c>
      <c r="I8" s="39" t="s">
        <v>261</v>
      </c>
      <c r="J8" s="39"/>
      <c r="K8" s="39" t="s">
        <v>262</v>
      </c>
      <c r="L8" s="39" t="s">
        <v>263</v>
      </c>
      <c r="M8" s="39" t="s">
        <v>264</v>
      </c>
      <c r="N8" s="39" t="s">
        <v>125</v>
      </c>
      <c r="O8" s="39" t="s">
        <v>262</v>
      </c>
      <c r="P8" s="39" t="s">
        <v>265</v>
      </c>
      <c r="Q8" s="39" t="s">
        <v>266</v>
      </c>
      <c r="R8" s="39" t="s">
        <v>21</v>
      </c>
      <c r="S8" s="39" t="s">
        <v>267</v>
      </c>
      <c r="T8" s="39" t="s">
        <v>130</v>
      </c>
      <c r="U8" s="39" t="s">
        <v>268</v>
      </c>
      <c r="V8" s="39" t="s">
        <v>132</v>
      </c>
      <c r="W8" s="39" t="s">
        <v>194</v>
      </c>
      <c r="X8" s="39" t="s">
        <v>187</v>
      </c>
      <c r="Y8" s="39" t="s">
        <v>269</v>
      </c>
      <c r="Z8" s="39" t="s">
        <v>196</v>
      </c>
      <c r="AA8" s="39" t="s">
        <v>197</v>
      </c>
      <c r="AB8" s="39" t="s">
        <v>266</v>
      </c>
      <c r="AC8" s="39">
        <v>5407212</v>
      </c>
      <c r="AD8" s="39" t="s">
        <v>21</v>
      </c>
      <c r="AE8" s="39" t="s">
        <v>270</v>
      </c>
      <c r="AF8" s="39" t="s">
        <v>21</v>
      </c>
      <c r="AG8" s="39" t="s">
        <v>270</v>
      </c>
      <c r="AH8" s="39" t="s">
        <v>271</v>
      </c>
      <c r="AI8" s="39" t="s">
        <v>173</v>
      </c>
      <c r="AJ8" s="39" t="s">
        <v>140</v>
      </c>
      <c r="AK8" s="39" t="s">
        <v>125</v>
      </c>
      <c r="AL8" s="39">
        <v>5180</v>
      </c>
      <c r="AM8" s="39"/>
      <c r="AN8" s="39" t="s">
        <v>125</v>
      </c>
      <c r="AO8" s="39" t="s">
        <v>142</v>
      </c>
      <c r="AP8" s="39" t="s">
        <v>143</v>
      </c>
      <c r="AQ8" s="39" t="s">
        <v>144</v>
      </c>
      <c r="AR8" s="39" t="s">
        <v>272</v>
      </c>
      <c r="AS8" s="39" t="s">
        <v>273</v>
      </c>
      <c r="AT8" s="39" t="s">
        <v>147</v>
      </c>
      <c r="AU8" s="39"/>
      <c r="AV8" s="39" t="s">
        <v>274</v>
      </c>
      <c r="AW8" s="39"/>
      <c r="AX8" s="39"/>
      <c r="AY8" s="39"/>
      <c r="AZ8" s="39"/>
      <c r="BA8" s="39">
        <v>80806891</v>
      </c>
      <c r="BB8" s="39" t="s">
        <v>149</v>
      </c>
      <c r="BC8" s="39" t="s">
        <v>275</v>
      </c>
      <c r="BD8" s="39" t="s">
        <v>179</v>
      </c>
      <c r="BE8" s="39" t="s">
        <v>125</v>
      </c>
      <c r="BF8" s="39"/>
      <c r="BG8" s="39" t="s">
        <v>180</v>
      </c>
      <c r="BH8" s="39" t="s">
        <v>152</v>
      </c>
      <c r="BI8" s="39" t="s">
        <v>125</v>
      </c>
      <c r="BJ8" s="39"/>
      <c r="BK8" s="39" t="s">
        <v>153</v>
      </c>
      <c r="BL8" s="39"/>
      <c r="BM8" s="39"/>
      <c r="BN8" s="39" t="s">
        <v>276</v>
      </c>
    </row>
    <row r="9" spans="1:66" hidden="1">
      <c r="A9" s="39">
        <v>8</v>
      </c>
      <c r="B9" s="39" t="s">
        <v>118</v>
      </c>
      <c r="C9" s="39" t="s">
        <v>119</v>
      </c>
      <c r="D9" s="39" t="s">
        <v>277</v>
      </c>
      <c r="E9" s="39" t="s">
        <v>278</v>
      </c>
      <c r="F9" s="39" t="s">
        <v>279</v>
      </c>
      <c r="G9" s="39" t="s">
        <v>280</v>
      </c>
      <c r="H9" s="39" t="s">
        <v>281</v>
      </c>
      <c r="I9" s="39" t="s">
        <v>282</v>
      </c>
      <c r="J9" s="39" t="s">
        <v>187</v>
      </c>
      <c r="K9" s="39" t="s">
        <v>283</v>
      </c>
      <c r="L9" s="39" t="s">
        <v>284</v>
      </c>
      <c r="M9" s="39" t="s">
        <v>284</v>
      </c>
      <c r="N9" s="39" t="s">
        <v>125</v>
      </c>
      <c r="O9" s="39" t="s">
        <v>283</v>
      </c>
      <c r="P9" s="39" t="s">
        <v>285</v>
      </c>
      <c r="Q9" s="39" t="s">
        <v>277</v>
      </c>
      <c r="R9" s="39" t="s">
        <v>27</v>
      </c>
      <c r="S9" s="39" t="s">
        <v>286</v>
      </c>
      <c r="T9" s="39" t="s">
        <v>130</v>
      </c>
      <c r="U9" s="39" t="s">
        <v>287</v>
      </c>
      <c r="V9" s="39" t="s">
        <v>132</v>
      </c>
      <c r="W9" s="39" t="s">
        <v>194</v>
      </c>
      <c r="X9" s="39" t="s">
        <v>187</v>
      </c>
      <c r="Y9" s="39" t="s">
        <v>288</v>
      </c>
      <c r="Z9" s="39" t="s">
        <v>196</v>
      </c>
      <c r="AA9" s="39" t="s">
        <v>197</v>
      </c>
      <c r="AB9" s="39" t="s">
        <v>277</v>
      </c>
      <c r="AC9" s="39">
        <v>5459270</v>
      </c>
      <c r="AD9" s="39" t="s">
        <v>27</v>
      </c>
      <c r="AE9" s="39" t="s">
        <v>289</v>
      </c>
      <c r="AF9" s="39" t="s">
        <v>27</v>
      </c>
      <c r="AG9" s="39" t="s">
        <v>290</v>
      </c>
      <c r="AH9" s="39" t="s">
        <v>291</v>
      </c>
      <c r="AI9" s="39" t="s">
        <v>292</v>
      </c>
      <c r="AJ9" s="39" t="s">
        <v>140</v>
      </c>
      <c r="AK9" s="39" t="s">
        <v>125</v>
      </c>
      <c r="AL9" s="39">
        <v>4880</v>
      </c>
      <c r="AM9" s="39"/>
      <c r="AN9" s="39" t="s">
        <v>125</v>
      </c>
      <c r="AO9" s="39" t="s">
        <v>142</v>
      </c>
      <c r="AP9" s="39" t="s">
        <v>143</v>
      </c>
      <c r="AQ9" s="39" t="s">
        <v>293</v>
      </c>
      <c r="AR9" s="39" t="s">
        <v>294</v>
      </c>
      <c r="AS9" s="39" t="s">
        <v>295</v>
      </c>
      <c r="AT9" s="39" t="s">
        <v>296</v>
      </c>
      <c r="AU9" s="39"/>
      <c r="AV9" s="39" t="s">
        <v>297</v>
      </c>
      <c r="AW9" s="39"/>
      <c r="AX9" s="39"/>
      <c r="AY9" s="39"/>
      <c r="AZ9" s="39"/>
      <c r="BA9" s="39">
        <v>59728981</v>
      </c>
      <c r="BB9" s="39" t="s">
        <v>149</v>
      </c>
      <c r="BC9" s="39" t="s">
        <v>150</v>
      </c>
      <c r="BD9" s="39" t="s">
        <v>179</v>
      </c>
      <c r="BE9" s="39" t="s">
        <v>125</v>
      </c>
      <c r="BF9" s="39"/>
      <c r="BG9" s="39" t="s">
        <v>298</v>
      </c>
      <c r="BH9" s="39" t="s">
        <v>152</v>
      </c>
      <c r="BI9" s="39" t="s">
        <v>299</v>
      </c>
      <c r="BJ9" s="39"/>
      <c r="BK9" s="39" t="s">
        <v>153</v>
      </c>
      <c r="BL9" s="39"/>
      <c r="BM9" s="39"/>
      <c r="BN9" s="39" t="s">
        <v>300</v>
      </c>
    </row>
    <row r="10" spans="1:66" hidden="1">
      <c r="A10" s="39">
        <v>9</v>
      </c>
      <c r="B10" s="39" t="s">
        <v>118</v>
      </c>
      <c r="C10" s="39" t="s">
        <v>119</v>
      </c>
      <c r="D10" s="39" t="s">
        <v>301</v>
      </c>
      <c r="E10" s="39" t="s">
        <v>302</v>
      </c>
      <c r="F10" s="39" t="s">
        <v>303</v>
      </c>
      <c r="G10" s="39" t="s">
        <v>304</v>
      </c>
      <c r="H10" s="39" t="s">
        <v>125</v>
      </c>
      <c r="I10" s="39" t="s">
        <v>125</v>
      </c>
      <c r="J10" s="39" t="s">
        <v>187</v>
      </c>
      <c r="K10" s="39" t="s">
        <v>303</v>
      </c>
      <c r="L10" s="39" t="s">
        <v>305</v>
      </c>
      <c r="M10" s="39" t="s">
        <v>306</v>
      </c>
      <c r="N10" s="39" t="s">
        <v>125</v>
      </c>
      <c r="O10" s="39" t="s">
        <v>303</v>
      </c>
      <c r="P10" s="39" t="s">
        <v>307</v>
      </c>
      <c r="Q10" s="39" t="s">
        <v>308</v>
      </c>
      <c r="R10" s="39" t="s">
        <v>27</v>
      </c>
      <c r="S10" s="39" t="s">
        <v>309</v>
      </c>
      <c r="T10" s="39" t="s">
        <v>130</v>
      </c>
      <c r="U10" s="39" t="s">
        <v>310</v>
      </c>
      <c r="V10" s="39" t="s">
        <v>132</v>
      </c>
      <c r="W10" s="39" t="s">
        <v>194</v>
      </c>
      <c r="X10" s="39" t="s">
        <v>187</v>
      </c>
      <c r="Y10" s="39" t="s">
        <v>288</v>
      </c>
      <c r="Z10" s="39" t="s">
        <v>196</v>
      </c>
      <c r="AA10" s="39" t="s">
        <v>197</v>
      </c>
      <c r="AB10" s="39" t="s">
        <v>308</v>
      </c>
      <c r="AC10" s="39">
        <v>5431169</v>
      </c>
      <c r="AD10" s="39" t="s">
        <v>27</v>
      </c>
      <c r="AE10" s="39" t="s">
        <v>311</v>
      </c>
      <c r="AF10" s="39" t="s">
        <v>27</v>
      </c>
      <c r="AG10" s="39" t="s">
        <v>311</v>
      </c>
      <c r="AH10" s="39" t="s">
        <v>200</v>
      </c>
      <c r="AI10" s="39" t="s">
        <v>201</v>
      </c>
      <c r="AJ10" s="39" t="s">
        <v>140</v>
      </c>
      <c r="AK10" s="39" t="s">
        <v>125</v>
      </c>
      <c r="AL10" s="39">
        <v>5434.3</v>
      </c>
      <c r="AM10" s="39"/>
      <c r="AN10" s="39" t="s">
        <v>125</v>
      </c>
      <c r="AO10" s="39" t="s">
        <v>142</v>
      </c>
      <c r="AP10" s="39" t="s">
        <v>143</v>
      </c>
      <c r="AQ10" s="39" t="s">
        <v>312</v>
      </c>
      <c r="AR10" s="39" t="s">
        <v>313</v>
      </c>
      <c r="AS10" s="39" t="s">
        <v>314</v>
      </c>
      <c r="AT10" s="39" t="s">
        <v>296</v>
      </c>
      <c r="AU10" s="39"/>
      <c r="AV10" s="39" t="s">
        <v>315</v>
      </c>
      <c r="AW10" s="39"/>
      <c r="AX10" s="39"/>
      <c r="AY10" s="39"/>
      <c r="AZ10" s="39"/>
      <c r="BA10" s="39">
        <v>74849387</v>
      </c>
      <c r="BB10" s="39" t="s">
        <v>149</v>
      </c>
      <c r="BC10" s="39" t="s">
        <v>150</v>
      </c>
      <c r="BD10" s="39" t="s">
        <v>179</v>
      </c>
      <c r="BE10" s="39" t="s">
        <v>125</v>
      </c>
      <c r="BF10" s="39"/>
      <c r="BG10" s="39" t="s">
        <v>180</v>
      </c>
      <c r="BH10" s="39" t="s">
        <v>152</v>
      </c>
      <c r="BI10" s="39" t="s">
        <v>299</v>
      </c>
      <c r="BJ10" s="39"/>
      <c r="BK10" s="39" t="s">
        <v>153</v>
      </c>
      <c r="BL10" s="39"/>
      <c r="BM10" s="39"/>
      <c r="BN10" s="39" t="s">
        <v>155</v>
      </c>
    </row>
    <row r="11" spans="1:66" hidden="1">
      <c r="A11" s="39">
        <v>10</v>
      </c>
      <c r="B11" s="39" t="s">
        <v>118</v>
      </c>
      <c r="C11" s="39" t="s">
        <v>119</v>
      </c>
      <c r="D11" s="39" t="s">
        <v>301</v>
      </c>
      <c r="E11" s="39" t="s">
        <v>302</v>
      </c>
      <c r="F11" s="39" t="s">
        <v>303</v>
      </c>
      <c r="G11" s="39" t="s">
        <v>304</v>
      </c>
      <c r="H11" s="39" t="s">
        <v>125</v>
      </c>
      <c r="I11" s="39" t="s">
        <v>125</v>
      </c>
      <c r="J11" s="39" t="s">
        <v>187</v>
      </c>
      <c r="K11" s="39" t="s">
        <v>303</v>
      </c>
      <c r="L11" s="39" t="s">
        <v>305</v>
      </c>
      <c r="M11" s="39" t="s">
        <v>306</v>
      </c>
      <c r="N11" s="39" t="s">
        <v>125</v>
      </c>
      <c r="O11" s="39" t="s">
        <v>303</v>
      </c>
      <c r="P11" s="39" t="s">
        <v>307</v>
      </c>
      <c r="Q11" s="39" t="s">
        <v>308</v>
      </c>
      <c r="R11" s="39" t="s">
        <v>27</v>
      </c>
      <c r="S11" s="39" t="s">
        <v>309</v>
      </c>
      <c r="T11" s="39" t="s">
        <v>130</v>
      </c>
      <c r="U11" s="39" t="s">
        <v>310</v>
      </c>
      <c r="V11" s="39" t="s">
        <v>132</v>
      </c>
      <c r="W11" s="39" t="s">
        <v>194</v>
      </c>
      <c r="X11" s="39" t="s">
        <v>187</v>
      </c>
      <c r="Y11" s="39" t="s">
        <v>288</v>
      </c>
      <c r="Z11" s="39" t="s">
        <v>196</v>
      </c>
      <c r="AA11" s="39" t="s">
        <v>197</v>
      </c>
      <c r="AB11" s="39" t="s">
        <v>308</v>
      </c>
      <c r="AC11" s="39">
        <v>5431169</v>
      </c>
      <c r="AD11" s="39" t="s">
        <v>27</v>
      </c>
      <c r="AE11" s="39" t="s">
        <v>311</v>
      </c>
      <c r="AF11" s="39" t="s">
        <v>27</v>
      </c>
      <c r="AG11" s="39" t="s">
        <v>311</v>
      </c>
      <c r="AH11" s="39" t="s">
        <v>316</v>
      </c>
      <c r="AI11" s="39" t="s">
        <v>317</v>
      </c>
      <c r="AJ11" s="39" t="s">
        <v>140</v>
      </c>
      <c r="AK11" s="39" t="s">
        <v>125</v>
      </c>
      <c r="AL11" s="39">
        <v>3725.7</v>
      </c>
      <c r="AM11" s="39"/>
      <c r="AN11" s="39" t="s">
        <v>125</v>
      </c>
      <c r="AO11" s="39" t="s">
        <v>142</v>
      </c>
      <c r="AP11" s="39" t="s">
        <v>143</v>
      </c>
      <c r="AQ11" s="39" t="s">
        <v>312</v>
      </c>
      <c r="AR11" s="39" t="s">
        <v>313</v>
      </c>
      <c r="AS11" s="39" t="s">
        <v>318</v>
      </c>
      <c r="AT11" s="39" t="s">
        <v>296</v>
      </c>
      <c r="AU11" s="39"/>
      <c r="AV11" s="39" t="s">
        <v>315</v>
      </c>
      <c r="AW11" s="39"/>
      <c r="AX11" s="39"/>
      <c r="AY11" s="39"/>
      <c r="AZ11" s="39"/>
      <c r="BA11" s="39">
        <v>74849387</v>
      </c>
      <c r="BB11" s="39" t="s">
        <v>149</v>
      </c>
      <c r="BC11" s="39" t="s">
        <v>150</v>
      </c>
      <c r="BD11" s="39" t="s">
        <v>179</v>
      </c>
      <c r="BE11" s="39" t="s">
        <v>125</v>
      </c>
      <c r="BF11" s="39"/>
      <c r="BG11" s="39" t="s">
        <v>180</v>
      </c>
      <c r="BH11" s="39" t="s">
        <v>152</v>
      </c>
      <c r="BI11" s="39" t="s">
        <v>299</v>
      </c>
      <c r="BJ11" s="39"/>
      <c r="BK11" s="39" t="s">
        <v>153</v>
      </c>
      <c r="BL11" s="39"/>
      <c r="BM11" s="39"/>
      <c r="BN11" s="39" t="s">
        <v>155</v>
      </c>
    </row>
    <row r="12" spans="1:66" hidden="1">
      <c r="A12" s="39">
        <v>11</v>
      </c>
      <c r="B12" s="39" t="s">
        <v>118</v>
      </c>
      <c r="C12" s="39" t="s">
        <v>119</v>
      </c>
      <c r="D12" s="39" t="s">
        <v>120</v>
      </c>
      <c r="E12" s="39" t="s">
        <v>319</v>
      </c>
      <c r="F12" s="39" t="s">
        <v>279</v>
      </c>
      <c r="G12" s="39" t="s">
        <v>320</v>
      </c>
      <c r="H12" s="39" t="s">
        <v>321</v>
      </c>
      <c r="I12" s="39"/>
      <c r="J12" s="39" t="s">
        <v>126</v>
      </c>
      <c r="K12" s="39" t="s">
        <v>28</v>
      </c>
      <c r="L12" s="39" t="s">
        <v>127</v>
      </c>
      <c r="M12" s="39" t="s">
        <v>127</v>
      </c>
      <c r="N12" s="39" t="s">
        <v>125</v>
      </c>
      <c r="O12" s="39"/>
      <c r="P12" s="39"/>
      <c r="Q12" s="39" t="s">
        <v>322</v>
      </c>
      <c r="R12" s="39" t="s">
        <v>28</v>
      </c>
      <c r="S12" s="39" t="s">
        <v>323</v>
      </c>
      <c r="T12" s="39" t="s">
        <v>130</v>
      </c>
      <c r="U12" s="39" t="s">
        <v>324</v>
      </c>
      <c r="V12" s="39" t="s">
        <v>132</v>
      </c>
      <c r="W12" s="39" t="s">
        <v>325</v>
      </c>
      <c r="X12" s="39" t="s">
        <v>187</v>
      </c>
      <c r="Y12" s="39" t="s">
        <v>326</v>
      </c>
      <c r="Z12" s="39" t="s">
        <v>196</v>
      </c>
      <c r="AA12" s="39" t="s">
        <v>197</v>
      </c>
      <c r="AB12" s="39" t="s">
        <v>322</v>
      </c>
      <c r="AC12" s="39">
        <v>5429829</v>
      </c>
      <c r="AD12" s="39" t="s">
        <v>28</v>
      </c>
      <c r="AE12" s="39" t="s">
        <v>327</v>
      </c>
      <c r="AF12" s="39" t="s">
        <v>28</v>
      </c>
      <c r="AG12" s="39" t="s">
        <v>328</v>
      </c>
      <c r="AH12" s="39" t="s">
        <v>329</v>
      </c>
      <c r="AI12" s="39" t="s">
        <v>330</v>
      </c>
      <c r="AJ12" s="39" t="s">
        <v>140</v>
      </c>
      <c r="AK12" s="39" t="s">
        <v>125</v>
      </c>
      <c r="AL12" s="39">
        <v>5400</v>
      </c>
      <c r="AM12" s="39"/>
      <c r="AN12" s="39" t="s">
        <v>125</v>
      </c>
      <c r="AO12" s="39" t="s">
        <v>142</v>
      </c>
      <c r="AP12" s="39" t="s">
        <v>143</v>
      </c>
      <c r="AQ12" s="39"/>
      <c r="AR12" s="39" t="s">
        <v>331</v>
      </c>
      <c r="AS12" s="39"/>
      <c r="AT12" s="39" t="s">
        <v>296</v>
      </c>
      <c r="AU12" s="39"/>
      <c r="AV12" s="39" t="s">
        <v>332</v>
      </c>
      <c r="AW12" s="39"/>
      <c r="AX12" s="39"/>
      <c r="AY12" s="39"/>
      <c r="AZ12" s="39"/>
      <c r="BA12" s="39">
        <v>80720923</v>
      </c>
      <c r="BB12" s="39" t="s">
        <v>149</v>
      </c>
      <c r="BC12" s="39"/>
      <c r="BD12" s="39" t="s">
        <v>125</v>
      </c>
      <c r="BE12" s="39" t="s">
        <v>125</v>
      </c>
      <c r="BF12" s="39"/>
      <c r="BG12" s="39" t="s">
        <v>180</v>
      </c>
      <c r="BH12" s="39" t="s">
        <v>152</v>
      </c>
      <c r="BI12" s="39" t="s">
        <v>125</v>
      </c>
      <c r="BJ12" s="39"/>
      <c r="BK12" s="39"/>
      <c r="BL12" s="39"/>
      <c r="BM12" s="39"/>
      <c r="BN12" s="39" t="s">
        <v>333</v>
      </c>
    </row>
    <row r="13" spans="1:66" hidden="1">
      <c r="A13" s="39">
        <v>12</v>
      </c>
      <c r="B13" s="39" t="s">
        <v>118</v>
      </c>
      <c r="C13" s="39" t="s">
        <v>119</v>
      </c>
      <c r="D13" s="39" t="s">
        <v>334</v>
      </c>
      <c r="E13" s="39" t="s">
        <v>335</v>
      </c>
      <c r="F13" s="39" t="s">
        <v>336</v>
      </c>
      <c r="G13" s="39" t="s">
        <v>337</v>
      </c>
      <c r="H13" s="39" t="s">
        <v>338</v>
      </c>
      <c r="I13" s="39" t="s">
        <v>125</v>
      </c>
      <c r="J13" s="39" t="s">
        <v>187</v>
      </c>
      <c r="K13" s="39" t="s">
        <v>28</v>
      </c>
      <c r="L13" s="39" t="s">
        <v>188</v>
      </c>
      <c r="M13" s="39" t="s">
        <v>189</v>
      </c>
      <c r="N13" s="39" t="s">
        <v>339</v>
      </c>
      <c r="O13" s="39"/>
      <c r="P13" s="39"/>
      <c r="Q13" s="39" t="s">
        <v>334</v>
      </c>
      <c r="R13" s="39" t="s">
        <v>28</v>
      </c>
      <c r="S13" s="39" t="s">
        <v>340</v>
      </c>
      <c r="T13" s="39" t="s">
        <v>130</v>
      </c>
      <c r="U13" s="39" t="s">
        <v>341</v>
      </c>
      <c r="V13" s="39" t="s">
        <v>167</v>
      </c>
      <c r="W13" s="39" t="s">
        <v>194</v>
      </c>
      <c r="X13" s="39" t="s">
        <v>187</v>
      </c>
      <c r="Y13" s="39" t="s">
        <v>342</v>
      </c>
      <c r="Z13" s="39" t="s">
        <v>196</v>
      </c>
      <c r="AA13" s="39" t="s">
        <v>197</v>
      </c>
      <c r="AB13" s="39" t="s">
        <v>334</v>
      </c>
      <c r="AC13" s="39">
        <v>5428168</v>
      </c>
      <c r="AD13" s="39" t="s">
        <v>28</v>
      </c>
      <c r="AE13" s="39" t="s">
        <v>343</v>
      </c>
      <c r="AF13" s="39" t="s">
        <v>28</v>
      </c>
      <c r="AG13" s="39" t="s">
        <v>344</v>
      </c>
      <c r="AH13" s="39" t="s">
        <v>200</v>
      </c>
      <c r="AI13" s="39" t="s">
        <v>201</v>
      </c>
      <c r="AJ13" s="39" t="s">
        <v>140</v>
      </c>
      <c r="AK13" s="39" t="s">
        <v>125</v>
      </c>
      <c r="AL13" s="39">
        <v>5180</v>
      </c>
      <c r="AM13" s="39"/>
      <c r="AN13" s="39" t="s">
        <v>339</v>
      </c>
      <c r="AO13" s="39" t="s">
        <v>142</v>
      </c>
      <c r="AP13" s="39" t="s">
        <v>143</v>
      </c>
      <c r="AQ13" s="39" t="s">
        <v>345</v>
      </c>
      <c r="AR13" s="39" t="s">
        <v>346</v>
      </c>
      <c r="AS13" s="39" t="s">
        <v>347</v>
      </c>
      <c r="AT13" s="39" t="s">
        <v>348</v>
      </c>
      <c r="AU13" s="39"/>
      <c r="AV13" s="39" t="s">
        <v>349</v>
      </c>
      <c r="AW13" s="39"/>
      <c r="AX13" s="39"/>
      <c r="AY13" s="39"/>
      <c r="AZ13" s="39"/>
      <c r="BA13" s="39">
        <v>74734748</v>
      </c>
      <c r="BB13" s="39" t="s">
        <v>149</v>
      </c>
      <c r="BC13" s="39" t="s">
        <v>150</v>
      </c>
      <c r="BD13" s="39" t="s">
        <v>179</v>
      </c>
      <c r="BE13" s="39" t="s">
        <v>125</v>
      </c>
      <c r="BF13" s="39"/>
      <c r="BG13" s="39" t="s">
        <v>180</v>
      </c>
      <c r="BH13" s="39" t="s">
        <v>152</v>
      </c>
      <c r="BI13" s="39" t="s">
        <v>125</v>
      </c>
      <c r="BJ13" s="39"/>
      <c r="BK13" s="39" t="s">
        <v>153</v>
      </c>
      <c r="BL13" s="39"/>
      <c r="BM13" s="39"/>
      <c r="BN13" s="39" t="s">
        <v>155</v>
      </c>
    </row>
    <row r="14" spans="1:66" hidden="1">
      <c r="A14" s="39">
        <v>13</v>
      </c>
      <c r="B14" s="39" t="s">
        <v>118</v>
      </c>
      <c r="C14" s="39" t="s">
        <v>119</v>
      </c>
      <c r="D14" s="39" t="s">
        <v>350</v>
      </c>
      <c r="E14" s="39" t="s">
        <v>351</v>
      </c>
      <c r="F14" s="39" t="s">
        <v>352</v>
      </c>
      <c r="G14" s="39" t="s">
        <v>353</v>
      </c>
      <c r="H14" s="39" t="s">
        <v>354</v>
      </c>
      <c r="I14" s="39"/>
      <c r="J14" s="39" t="s">
        <v>355</v>
      </c>
      <c r="K14" s="39" t="s">
        <v>16</v>
      </c>
      <c r="L14" s="39" t="s">
        <v>188</v>
      </c>
      <c r="M14" s="39" t="s">
        <v>356</v>
      </c>
      <c r="N14" s="39" t="s">
        <v>357</v>
      </c>
      <c r="O14" s="39"/>
      <c r="P14" s="39"/>
      <c r="Q14" s="39" t="s">
        <v>350</v>
      </c>
      <c r="R14" s="39" t="s">
        <v>16</v>
      </c>
      <c r="S14" s="39" t="s">
        <v>358</v>
      </c>
      <c r="T14" s="39" t="s">
        <v>359</v>
      </c>
      <c r="U14" s="39" t="s">
        <v>360</v>
      </c>
      <c r="V14" s="39" t="s">
        <v>132</v>
      </c>
      <c r="W14" s="39" t="s">
        <v>133</v>
      </c>
      <c r="X14" s="39" t="s">
        <v>355</v>
      </c>
      <c r="Y14" s="39" t="s">
        <v>361</v>
      </c>
      <c r="Z14" s="39" t="s">
        <v>362</v>
      </c>
      <c r="AA14" s="39" t="s">
        <v>363</v>
      </c>
      <c r="AB14" s="39" t="s">
        <v>350</v>
      </c>
      <c r="AC14" s="39">
        <v>5403628</v>
      </c>
      <c r="AD14" s="39" t="s">
        <v>16</v>
      </c>
      <c r="AE14" s="39" t="s">
        <v>364</v>
      </c>
      <c r="AF14" s="39" t="s">
        <v>16</v>
      </c>
      <c r="AG14" s="39" t="s">
        <v>364</v>
      </c>
      <c r="AH14" s="39" t="s">
        <v>365</v>
      </c>
      <c r="AI14" s="39" t="s">
        <v>366</v>
      </c>
      <c r="AJ14" s="39" t="s">
        <v>140</v>
      </c>
      <c r="AK14" s="39" t="s">
        <v>125</v>
      </c>
      <c r="AL14" s="39">
        <v>279</v>
      </c>
      <c r="AM14" s="39"/>
      <c r="AN14" s="39" t="s">
        <v>352</v>
      </c>
      <c r="AO14" s="39" t="s">
        <v>367</v>
      </c>
      <c r="AP14" s="39" t="s">
        <v>236</v>
      </c>
      <c r="AQ14" s="39"/>
      <c r="AR14" s="39"/>
      <c r="AS14" s="39"/>
      <c r="AT14" s="39" t="s">
        <v>368</v>
      </c>
      <c r="AU14" s="39"/>
      <c r="AV14" s="39" t="s">
        <v>369</v>
      </c>
      <c r="AW14" s="39"/>
      <c r="AX14" s="39"/>
      <c r="AY14" s="39"/>
      <c r="AZ14" s="39" t="s">
        <v>238</v>
      </c>
      <c r="BA14" s="39">
        <v>58958518</v>
      </c>
      <c r="BB14" s="39" t="s">
        <v>152</v>
      </c>
      <c r="BC14" s="39" t="s">
        <v>150</v>
      </c>
      <c r="BD14" s="39" t="s">
        <v>139</v>
      </c>
      <c r="BE14" s="39" t="s">
        <v>125</v>
      </c>
      <c r="BF14" s="39"/>
      <c r="BG14" s="39" t="s">
        <v>370</v>
      </c>
      <c r="BH14" s="39" t="s">
        <v>149</v>
      </c>
      <c r="BI14" s="39" t="s">
        <v>125</v>
      </c>
      <c r="BJ14" s="39"/>
      <c r="BK14" s="39"/>
      <c r="BL14" s="39">
        <v>108057382</v>
      </c>
      <c r="BM14" s="39" t="s">
        <v>154</v>
      </c>
      <c r="BN14" s="39" t="s">
        <v>356</v>
      </c>
    </row>
    <row r="15" spans="1:66" hidden="1">
      <c r="A15" s="39">
        <v>14</v>
      </c>
      <c r="B15" s="39" t="s">
        <v>118</v>
      </c>
      <c r="C15" s="39" t="s">
        <v>119</v>
      </c>
      <c r="D15" s="39" t="s">
        <v>371</v>
      </c>
      <c r="E15" s="39" t="s">
        <v>372</v>
      </c>
      <c r="F15" s="39" t="s">
        <v>373</v>
      </c>
      <c r="G15" s="39" t="s">
        <v>374</v>
      </c>
      <c r="H15" s="39" t="s">
        <v>375</v>
      </c>
      <c r="I15" s="39" t="s">
        <v>376</v>
      </c>
      <c r="J15" s="39"/>
      <c r="K15" s="39" t="s">
        <v>377</v>
      </c>
      <c r="L15" s="39" t="s">
        <v>378</v>
      </c>
      <c r="M15" s="39" t="s">
        <v>379</v>
      </c>
      <c r="N15" s="39" t="s">
        <v>125</v>
      </c>
      <c r="O15" s="39" t="s">
        <v>377</v>
      </c>
      <c r="P15" s="39" t="s">
        <v>380</v>
      </c>
      <c r="Q15" s="39" t="s">
        <v>381</v>
      </c>
      <c r="R15" s="39" t="s">
        <v>21</v>
      </c>
      <c r="S15" s="39" t="s">
        <v>382</v>
      </c>
      <c r="T15" s="39" t="s">
        <v>130</v>
      </c>
      <c r="U15" s="39" t="s">
        <v>383</v>
      </c>
      <c r="V15" s="39" t="s">
        <v>132</v>
      </c>
      <c r="W15" s="39" t="s">
        <v>168</v>
      </c>
      <c r="X15" s="39" t="s">
        <v>187</v>
      </c>
      <c r="Y15" s="39" t="s">
        <v>384</v>
      </c>
      <c r="Z15" s="39" t="s">
        <v>196</v>
      </c>
      <c r="AA15" s="39" t="s">
        <v>197</v>
      </c>
      <c r="AB15" s="39" t="s">
        <v>381</v>
      </c>
      <c r="AC15" s="39">
        <v>5361900</v>
      </c>
      <c r="AD15" s="39" t="s">
        <v>21</v>
      </c>
      <c r="AE15" s="39" t="s">
        <v>385</v>
      </c>
      <c r="AF15" s="39" t="s">
        <v>21</v>
      </c>
      <c r="AG15" s="39" t="s">
        <v>385</v>
      </c>
      <c r="AH15" s="39" t="s">
        <v>386</v>
      </c>
      <c r="AI15" s="39" t="s">
        <v>387</v>
      </c>
      <c r="AJ15" s="39" t="s">
        <v>140</v>
      </c>
      <c r="AK15" s="39" t="s">
        <v>125</v>
      </c>
      <c r="AL15" s="39">
        <v>1499</v>
      </c>
      <c r="AM15" s="39"/>
      <c r="AN15" s="39" t="s">
        <v>125</v>
      </c>
      <c r="AO15" s="39" t="s">
        <v>142</v>
      </c>
      <c r="AP15" s="39" t="s">
        <v>236</v>
      </c>
      <c r="AQ15" s="39"/>
      <c r="AR15" s="39"/>
      <c r="AS15" s="39"/>
      <c r="AT15" s="39" t="s">
        <v>388</v>
      </c>
      <c r="AU15" s="39"/>
      <c r="AV15" s="39" t="s">
        <v>389</v>
      </c>
      <c r="AW15" s="39"/>
      <c r="AX15" s="39"/>
      <c r="AY15" s="39"/>
      <c r="AZ15" s="39" t="s">
        <v>238</v>
      </c>
      <c r="BA15" s="39">
        <v>79753775</v>
      </c>
      <c r="BB15" s="39" t="s">
        <v>152</v>
      </c>
      <c r="BC15" s="39" t="s">
        <v>150</v>
      </c>
      <c r="BD15" s="39" t="s">
        <v>179</v>
      </c>
      <c r="BE15" s="39" t="s">
        <v>125</v>
      </c>
      <c r="BF15" s="39"/>
      <c r="BG15" s="39" t="s">
        <v>180</v>
      </c>
      <c r="BH15" s="39" t="s">
        <v>149</v>
      </c>
      <c r="BI15" s="39" t="s">
        <v>125</v>
      </c>
      <c r="BJ15" s="39"/>
      <c r="BK15" s="39"/>
      <c r="BL15" s="39">
        <v>110424942</v>
      </c>
      <c r="BM15" s="39"/>
      <c r="BN15" s="39" t="s">
        <v>390</v>
      </c>
    </row>
    <row r="16" spans="1:66" hidden="1">
      <c r="A16" s="39">
        <v>15</v>
      </c>
      <c r="B16" s="39" t="s">
        <v>118</v>
      </c>
      <c r="C16" s="39" t="s">
        <v>119</v>
      </c>
      <c r="D16" s="39" t="s">
        <v>391</v>
      </c>
      <c r="E16" s="39" t="s">
        <v>392</v>
      </c>
      <c r="F16" s="39" t="s">
        <v>122</v>
      </c>
      <c r="G16" s="39" t="s">
        <v>393</v>
      </c>
      <c r="H16" s="39" t="s">
        <v>394</v>
      </c>
      <c r="I16" s="39" t="s">
        <v>125</v>
      </c>
      <c r="J16" s="39" t="s">
        <v>187</v>
      </c>
      <c r="K16" s="39" t="s">
        <v>21</v>
      </c>
      <c r="L16" s="39" t="s">
        <v>188</v>
      </c>
      <c r="M16" s="39" t="s">
        <v>395</v>
      </c>
      <c r="N16" s="39" t="s">
        <v>396</v>
      </c>
      <c r="O16" s="39"/>
      <c r="P16" s="39"/>
      <c r="Q16" s="39" t="s">
        <v>391</v>
      </c>
      <c r="R16" s="39" t="s">
        <v>21</v>
      </c>
      <c r="S16" s="39" t="s">
        <v>397</v>
      </c>
      <c r="T16" s="39" t="s">
        <v>130</v>
      </c>
      <c r="U16" s="39" t="s">
        <v>398</v>
      </c>
      <c r="V16" s="39" t="s">
        <v>132</v>
      </c>
      <c r="W16" s="39" t="s">
        <v>399</v>
      </c>
      <c r="X16" s="39" t="s">
        <v>187</v>
      </c>
      <c r="Y16" s="39" t="s">
        <v>400</v>
      </c>
      <c r="Z16" s="39" t="s">
        <v>196</v>
      </c>
      <c r="AA16" s="39" t="s">
        <v>197</v>
      </c>
      <c r="AB16" s="39" t="s">
        <v>391</v>
      </c>
      <c r="AC16" s="39">
        <v>5398861</v>
      </c>
      <c r="AD16" s="39" t="s">
        <v>21</v>
      </c>
      <c r="AE16" s="39" t="s">
        <v>401</v>
      </c>
      <c r="AF16" s="39" t="s">
        <v>21</v>
      </c>
      <c r="AG16" s="39" t="s">
        <v>402</v>
      </c>
      <c r="AH16" s="39" t="s">
        <v>403</v>
      </c>
      <c r="AI16" s="39" t="s">
        <v>404</v>
      </c>
      <c r="AJ16" s="39" t="s">
        <v>140</v>
      </c>
      <c r="AK16" s="39" t="s">
        <v>125</v>
      </c>
      <c r="AL16" s="39">
        <v>4802</v>
      </c>
      <c r="AM16" s="39"/>
      <c r="AN16" s="39" t="s">
        <v>21</v>
      </c>
      <c r="AO16" s="39" t="s">
        <v>142</v>
      </c>
      <c r="AP16" s="39" t="s">
        <v>143</v>
      </c>
      <c r="AQ16" s="39" t="s">
        <v>144</v>
      </c>
      <c r="AR16" s="39" t="s">
        <v>405</v>
      </c>
      <c r="AS16" s="39" t="s">
        <v>406</v>
      </c>
      <c r="AT16" s="39" t="s">
        <v>407</v>
      </c>
      <c r="AU16" s="39"/>
      <c r="AV16" s="39" t="s">
        <v>408</v>
      </c>
      <c r="AW16" s="39"/>
      <c r="AX16" s="39"/>
      <c r="AY16" s="39"/>
      <c r="AZ16" s="39"/>
      <c r="BA16" s="39">
        <v>79730605</v>
      </c>
      <c r="BB16" s="39" t="s">
        <v>149</v>
      </c>
      <c r="BC16" s="39" t="s">
        <v>150</v>
      </c>
      <c r="BD16" s="39" t="s">
        <v>125</v>
      </c>
      <c r="BE16" s="39" t="s">
        <v>125</v>
      </c>
      <c r="BF16" s="39"/>
      <c r="BG16" s="39" t="s">
        <v>180</v>
      </c>
      <c r="BH16" s="39" t="s">
        <v>152</v>
      </c>
      <c r="BI16" s="39" t="s">
        <v>125</v>
      </c>
      <c r="BJ16" s="39"/>
      <c r="BK16" s="39" t="s">
        <v>153</v>
      </c>
      <c r="BL16" s="39"/>
      <c r="BM16" s="39"/>
      <c r="BN16" s="39" t="s">
        <v>155</v>
      </c>
    </row>
    <row r="17" spans="1:66" hidden="1">
      <c r="A17" s="39">
        <v>16</v>
      </c>
      <c r="B17" s="39" t="s">
        <v>118</v>
      </c>
      <c r="C17" s="39" t="s">
        <v>119</v>
      </c>
      <c r="D17" s="39" t="s">
        <v>391</v>
      </c>
      <c r="E17" s="39" t="s">
        <v>392</v>
      </c>
      <c r="F17" s="39" t="s">
        <v>122</v>
      </c>
      <c r="G17" s="39" t="s">
        <v>393</v>
      </c>
      <c r="H17" s="39" t="s">
        <v>394</v>
      </c>
      <c r="I17" s="39" t="s">
        <v>125</v>
      </c>
      <c r="J17" s="39" t="s">
        <v>187</v>
      </c>
      <c r="K17" s="39" t="s">
        <v>21</v>
      </c>
      <c r="L17" s="39" t="s">
        <v>188</v>
      </c>
      <c r="M17" s="39" t="s">
        <v>395</v>
      </c>
      <c r="N17" s="39" t="s">
        <v>396</v>
      </c>
      <c r="O17" s="39"/>
      <c r="P17" s="39"/>
      <c r="Q17" s="39" t="s">
        <v>391</v>
      </c>
      <c r="R17" s="39" t="s">
        <v>21</v>
      </c>
      <c r="S17" s="39" t="s">
        <v>397</v>
      </c>
      <c r="T17" s="39" t="s">
        <v>130</v>
      </c>
      <c r="U17" s="39" t="s">
        <v>398</v>
      </c>
      <c r="V17" s="39" t="s">
        <v>132</v>
      </c>
      <c r="W17" s="39" t="s">
        <v>399</v>
      </c>
      <c r="X17" s="39" t="s">
        <v>187</v>
      </c>
      <c r="Y17" s="39" t="s">
        <v>400</v>
      </c>
      <c r="Z17" s="39" t="s">
        <v>196</v>
      </c>
      <c r="AA17" s="39" t="s">
        <v>197</v>
      </c>
      <c r="AB17" s="39" t="s">
        <v>391</v>
      </c>
      <c r="AC17" s="39">
        <v>5398861</v>
      </c>
      <c r="AD17" s="39" t="s">
        <v>21</v>
      </c>
      <c r="AE17" s="39" t="s">
        <v>401</v>
      </c>
      <c r="AF17" s="39" t="s">
        <v>21</v>
      </c>
      <c r="AG17" s="39" t="s">
        <v>402</v>
      </c>
      <c r="AH17" s="39" t="s">
        <v>409</v>
      </c>
      <c r="AI17" s="39" t="s">
        <v>410</v>
      </c>
      <c r="AJ17" s="39" t="s">
        <v>140</v>
      </c>
      <c r="AK17" s="39" t="s">
        <v>125</v>
      </c>
      <c r="AL17" s="39">
        <v>3499</v>
      </c>
      <c r="AM17" s="39"/>
      <c r="AN17" s="39" t="s">
        <v>21</v>
      </c>
      <c r="AO17" s="39" t="s">
        <v>142</v>
      </c>
      <c r="AP17" s="39" t="s">
        <v>143</v>
      </c>
      <c r="AQ17" s="39" t="s">
        <v>144</v>
      </c>
      <c r="AR17" s="39" t="s">
        <v>405</v>
      </c>
      <c r="AS17" s="39" t="s">
        <v>411</v>
      </c>
      <c r="AT17" s="39" t="s">
        <v>407</v>
      </c>
      <c r="AU17" s="39"/>
      <c r="AV17" s="39" t="s">
        <v>408</v>
      </c>
      <c r="AW17" s="39"/>
      <c r="AX17" s="39"/>
      <c r="AY17" s="39"/>
      <c r="AZ17" s="39"/>
      <c r="BA17" s="39">
        <v>79730605</v>
      </c>
      <c r="BB17" s="39" t="s">
        <v>149</v>
      </c>
      <c r="BC17" s="39" t="s">
        <v>150</v>
      </c>
      <c r="BD17" s="39" t="s">
        <v>125</v>
      </c>
      <c r="BE17" s="39" t="s">
        <v>125</v>
      </c>
      <c r="BF17" s="39"/>
      <c r="BG17" s="39" t="s">
        <v>180</v>
      </c>
      <c r="BH17" s="39" t="s">
        <v>152</v>
      </c>
      <c r="BI17" s="39" t="s">
        <v>125</v>
      </c>
      <c r="BJ17" s="39"/>
      <c r="BK17" s="39" t="s">
        <v>153</v>
      </c>
      <c r="BL17" s="39"/>
      <c r="BM17" s="39"/>
      <c r="BN17" s="39" t="s">
        <v>155</v>
      </c>
    </row>
    <row r="18" spans="1:66" hidden="1">
      <c r="A18" s="39">
        <v>17</v>
      </c>
      <c r="B18" s="39" t="s">
        <v>118</v>
      </c>
      <c r="C18" s="39" t="s">
        <v>119</v>
      </c>
      <c r="D18" s="39" t="s">
        <v>391</v>
      </c>
      <c r="E18" s="39" t="s">
        <v>392</v>
      </c>
      <c r="F18" s="39" t="s">
        <v>122</v>
      </c>
      <c r="G18" s="39" t="s">
        <v>393</v>
      </c>
      <c r="H18" s="39" t="s">
        <v>394</v>
      </c>
      <c r="I18" s="39" t="s">
        <v>125</v>
      </c>
      <c r="J18" s="39" t="s">
        <v>187</v>
      </c>
      <c r="K18" s="39" t="s">
        <v>21</v>
      </c>
      <c r="L18" s="39" t="s">
        <v>188</v>
      </c>
      <c r="M18" s="39" t="s">
        <v>395</v>
      </c>
      <c r="N18" s="39" t="s">
        <v>396</v>
      </c>
      <c r="O18" s="39"/>
      <c r="P18" s="39"/>
      <c r="Q18" s="39" t="s">
        <v>391</v>
      </c>
      <c r="R18" s="39" t="s">
        <v>21</v>
      </c>
      <c r="S18" s="39" t="s">
        <v>397</v>
      </c>
      <c r="T18" s="39" t="s">
        <v>130</v>
      </c>
      <c r="U18" s="39" t="s">
        <v>398</v>
      </c>
      <c r="V18" s="39" t="s">
        <v>132</v>
      </c>
      <c r="W18" s="39" t="s">
        <v>399</v>
      </c>
      <c r="X18" s="39" t="s">
        <v>187</v>
      </c>
      <c r="Y18" s="39" t="s">
        <v>400</v>
      </c>
      <c r="Z18" s="39" t="s">
        <v>196</v>
      </c>
      <c r="AA18" s="39" t="s">
        <v>197</v>
      </c>
      <c r="AB18" s="39" t="s">
        <v>391</v>
      </c>
      <c r="AC18" s="39">
        <v>5398861</v>
      </c>
      <c r="AD18" s="39" t="s">
        <v>21</v>
      </c>
      <c r="AE18" s="39" t="s">
        <v>401</v>
      </c>
      <c r="AF18" s="39" t="s">
        <v>21</v>
      </c>
      <c r="AG18" s="39" t="s">
        <v>402</v>
      </c>
      <c r="AH18" s="39" t="s">
        <v>412</v>
      </c>
      <c r="AI18" s="39" t="s">
        <v>413</v>
      </c>
      <c r="AJ18" s="39" t="s">
        <v>140</v>
      </c>
      <c r="AK18" s="39" t="s">
        <v>125</v>
      </c>
      <c r="AL18" s="39">
        <v>3999</v>
      </c>
      <c r="AM18" s="39"/>
      <c r="AN18" s="39" t="s">
        <v>21</v>
      </c>
      <c r="AO18" s="39" t="s">
        <v>142</v>
      </c>
      <c r="AP18" s="39" t="s">
        <v>143</v>
      </c>
      <c r="AQ18" s="39" t="s">
        <v>144</v>
      </c>
      <c r="AR18" s="39" t="s">
        <v>405</v>
      </c>
      <c r="AS18" s="39" t="s">
        <v>414</v>
      </c>
      <c r="AT18" s="39" t="s">
        <v>407</v>
      </c>
      <c r="AU18" s="39"/>
      <c r="AV18" s="39" t="s">
        <v>408</v>
      </c>
      <c r="AW18" s="39"/>
      <c r="AX18" s="39"/>
      <c r="AY18" s="39"/>
      <c r="AZ18" s="39"/>
      <c r="BA18" s="39">
        <v>79730605</v>
      </c>
      <c r="BB18" s="39" t="s">
        <v>149</v>
      </c>
      <c r="BC18" s="39" t="s">
        <v>150</v>
      </c>
      <c r="BD18" s="39" t="s">
        <v>125</v>
      </c>
      <c r="BE18" s="39" t="s">
        <v>125</v>
      </c>
      <c r="BF18" s="39"/>
      <c r="BG18" s="39" t="s">
        <v>180</v>
      </c>
      <c r="BH18" s="39" t="s">
        <v>152</v>
      </c>
      <c r="BI18" s="39" t="s">
        <v>125</v>
      </c>
      <c r="BJ18" s="39"/>
      <c r="BK18" s="39" t="s">
        <v>153</v>
      </c>
      <c r="BL18" s="39"/>
      <c r="BM18" s="39"/>
      <c r="BN18" s="39" t="s">
        <v>155</v>
      </c>
    </row>
    <row r="19" spans="1:66" ht="16" hidden="1">
      <c r="A19" s="39">
        <v>18</v>
      </c>
      <c r="B19" s="39" t="s">
        <v>118</v>
      </c>
      <c r="C19" s="39" t="s">
        <v>119</v>
      </c>
      <c r="D19" s="39"/>
      <c r="E19" s="39" t="s">
        <v>415</v>
      </c>
      <c r="F19" s="39"/>
      <c r="G19" s="39" t="s">
        <v>416</v>
      </c>
      <c r="H19" s="39" t="s">
        <v>417</v>
      </c>
      <c r="I19" s="39"/>
      <c r="J19" s="39" t="s">
        <v>418</v>
      </c>
      <c r="K19" s="39" t="s">
        <v>16</v>
      </c>
      <c r="L19" s="39" t="s">
        <v>188</v>
      </c>
      <c r="M19" s="39" t="s">
        <v>356</v>
      </c>
      <c r="N19" s="39"/>
      <c r="O19" s="39"/>
      <c r="P19" s="39"/>
      <c r="Q19" s="39" t="s">
        <v>419</v>
      </c>
      <c r="R19" s="39" t="s">
        <v>16</v>
      </c>
      <c r="S19" s="39" t="s">
        <v>420</v>
      </c>
      <c r="T19" s="39" t="s">
        <v>359</v>
      </c>
      <c r="U19" s="39" t="s">
        <v>421</v>
      </c>
      <c r="V19" s="39" t="s">
        <v>132</v>
      </c>
      <c r="W19" s="39" t="s">
        <v>422</v>
      </c>
      <c r="X19" s="39" t="s">
        <v>423</v>
      </c>
      <c r="Y19" s="39" t="s">
        <v>424</v>
      </c>
      <c r="Z19" s="39" t="s">
        <v>425</v>
      </c>
      <c r="AA19" s="39" t="s">
        <v>426</v>
      </c>
      <c r="AB19" s="40" t="s">
        <v>419</v>
      </c>
      <c r="AC19" s="39">
        <v>5380545</v>
      </c>
      <c r="AD19" s="39" t="s">
        <v>16</v>
      </c>
      <c r="AE19" s="39" t="s">
        <v>421</v>
      </c>
      <c r="AF19" s="39" t="s">
        <v>16</v>
      </c>
      <c r="AG19" s="39" t="s">
        <v>421</v>
      </c>
      <c r="AH19" s="39" t="s">
        <v>427</v>
      </c>
      <c r="AI19" s="39" t="s">
        <v>428</v>
      </c>
      <c r="AJ19" s="39" t="s">
        <v>140</v>
      </c>
      <c r="AK19" s="39" t="s">
        <v>125</v>
      </c>
      <c r="AL19" s="39">
        <v>6672.4</v>
      </c>
      <c r="AM19" s="39" t="s">
        <v>429</v>
      </c>
      <c r="AN19" s="39" t="s">
        <v>125</v>
      </c>
      <c r="AO19" s="39" t="s">
        <v>367</v>
      </c>
      <c r="AP19" s="39" t="s">
        <v>236</v>
      </c>
      <c r="AQ19" s="39" t="s">
        <v>430</v>
      </c>
      <c r="AR19" s="39" t="s">
        <v>431</v>
      </c>
      <c r="AS19" s="39" t="s">
        <v>432</v>
      </c>
      <c r="AT19" s="39" t="s">
        <v>433</v>
      </c>
      <c r="AU19" s="39"/>
      <c r="AV19" s="39" t="s">
        <v>434</v>
      </c>
      <c r="AW19" s="39"/>
      <c r="AX19" s="39"/>
      <c r="AY19" s="39"/>
      <c r="AZ19" s="39"/>
      <c r="BA19" s="39">
        <v>59730192</v>
      </c>
      <c r="BB19" s="39" t="s">
        <v>149</v>
      </c>
      <c r="BC19" s="39" t="s">
        <v>435</v>
      </c>
      <c r="BD19" s="39" t="s">
        <v>436</v>
      </c>
      <c r="BE19" s="39" t="s">
        <v>437</v>
      </c>
      <c r="BF19" s="39"/>
      <c r="BG19" s="39" t="s">
        <v>151</v>
      </c>
      <c r="BH19" s="39" t="s">
        <v>149</v>
      </c>
      <c r="BI19" s="39" t="s">
        <v>125</v>
      </c>
      <c r="BJ19" s="39"/>
      <c r="BK19" s="39" t="s">
        <v>438</v>
      </c>
      <c r="BL19" s="39"/>
      <c r="BM19" s="39"/>
      <c r="BN19" s="39"/>
    </row>
    <row r="20" spans="1:66" ht="16" hidden="1">
      <c r="A20" s="39">
        <v>19</v>
      </c>
      <c r="B20" s="39" t="s">
        <v>118</v>
      </c>
      <c r="C20" s="39" t="s">
        <v>119</v>
      </c>
      <c r="D20" s="39"/>
      <c r="E20" s="39" t="s">
        <v>415</v>
      </c>
      <c r="F20" s="39"/>
      <c r="G20" s="39" t="s">
        <v>416</v>
      </c>
      <c r="H20" s="39" t="s">
        <v>417</v>
      </c>
      <c r="I20" s="39"/>
      <c r="J20" s="39" t="s">
        <v>418</v>
      </c>
      <c r="K20" s="39" t="s">
        <v>16</v>
      </c>
      <c r="L20" s="39" t="s">
        <v>188</v>
      </c>
      <c r="M20" s="39" t="s">
        <v>356</v>
      </c>
      <c r="N20" s="39"/>
      <c r="O20" s="39"/>
      <c r="P20" s="39"/>
      <c r="Q20" s="39" t="s">
        <v>419</v>
      </c>
      <c r="R20" s="39" t="s">
        <v>16</v>
      </c>
      <c r="S20" s="39" t="s">
        <v>420</v>
      </c>
      <c r="T20" s="39" t="s">
        <v>359</v>
      </c>
      <c r="U20" s="39" t="s">
        <v>421</v>
      </c>
      <c r="V20" s="39" t="s">
        <v>132</v>
      </c>
      <c r="W20" s="39" t="s">
        <v>422</v>
      </c>
      <c r="X20" s="39" t="s">
        <v>423</v>
      </c>
      <c r="Y20" s="39" t="s">
        <v>424</v>
      </c>
      <c r="Z20" s="39" t="s">
        <v>425</v>
      </c>
      <c r="AA20" s="39" t="s">
        <v>426</v>
      </c>
      <c r="AB20" s="40" t="s">
        <v>419</v>
      </c>
      <c r="AC20" s="39">
        <v>5380545</v>
      </c>
      <c r="AD20" s="39" t="s">
        <v>16</v>
      </c>
      <c r="AE20" s="39" t="s">
        <v>421</v>
      </c>
      <c r="AF20" s="39" t="s">
        <v>16</v>
      </c>
      <c r="AG20" s="39" t="s">
        <v>421</v>
      </c>
      <c r="AH20" s="39" t="s">
        <v>439</v>
      </c>
      <c r="AI20" s="39" t="s">
        <v>440</v>
      </c>
      <c r="AJ20" s="39" t="s">
        <v>140</v>
      </c>
      <c r="AK20" s="39" t="s">
        <v>125</v>
      </c>
      <c r="AL20" s="39">
        <v>3177.3</v>
      </c>
      <c r="AM20" s="39" t="s">
        <v>429</v>
      </c>
      <c r="AN20" s="39" t="s">
        <v>125</v>
      </c>
      <c r="AO20" s="39" t="s">
        <v>367</v>
      </c>
      <c r="AP20" s="39" t="s">
        <v>236</v>
      </c>
      <c r="AQ20" s="39" t="s">
        <v>430</v>
      </c>
      <c r="AR20" s="39" t="s">
        <v>431</v>
      </c>
      <c r="AS20" s="39" t="s">
        <v>441</v>
      </c>
      <c r="AT20" s="39" t="s">
        <v>433</v>
      </c>
      <c r="AU20" s="39"/>
      <c r="AV20" s="39" t="s">
        <v>434</v>
      </c>
      <c r="AW20" s="39"/>
      <c r="AX20" s="39"/>
      <c r="AY20" s="39"/>
      <c r="AZ20" s="39"/>
      <c r="BA20" s="39">
        <v>59730192</v>
      </c>
      <c r="BB20" s="39" t="s">
        <v>149</v>
      </c>
      <c r="BC20" s="39" t="s">
        <v>435</v>
      </c>
      <c r="BD20" s="39" t="s">
        <v>436</v>
      </c>
      <c r="BE20" s="39" t="s">
        <v>437</v>
      </c>
      <c r="BF20" s="39"/>
      <c r="BG20" s="39" t="s">
        <v>151</v>
      </c>
      <c r="BH20" s="39" t="s">
        <v>149</v>
      </c>
      <c r="BI20" s="39" t="s">
        <v>125</v>
      </c>
      <c r="BJ20" s="39"/>
      <c r="BK20" s="39" t="s">
        <v>438</v>
      </c>
      <c r="BL20" s="39"/>
      <c r="BM20" s="39"/>
      <c r="BN20" s="39"/>
    </row>
    <row r="21" spans="1:66" hidden="1">
      <c r="A21" s="39">
        <v>20</v>
      </c>
      <c r="B21" s="39" t="s">
        <v>118</v>
      </c>
      <c r="C21" s="39" t="s">
        <v>119</v>
      </c>
      <c r="D21" s="39" t="s">
        <v>442</v>
      </c>
      <c r="E21" s="39" t="s">
        <v>443</v>
      </c>
      <c r="F21" s="39" t="s">
        <v>184</v>
      </c>
      <c r="G21" s="39" t="s">
        <v>444</v>
      </c>
      <c r="H21" s="39" t="s">
        <v>445</v>
      </c>
      <c r="I21" s="39" t="s">
        <v>125</v>
      </c>
      <c r="J21" s="39" t="s">
        <v>418</v>
      </c>
      <c r="K21" s="39" t="s">
        <v>21</v>
      </c>
      <c r="L21" s="39" t="s">
        <v>188</v>
      </c>
      <c r="M21" s="39" t="s">
        <v>189</v>
      </c>
      <c r="N21" s="39" t="s">
        <v>446</v>
      </c>
      <c r="O21" s="39"/>
      <c r="P21" s="39"/>
      <c r="Q21" s="39" t="s">
        <v>442</v>
      </c>
      <c r="R21" s="39" t="s">
        <v>21</v>
      </c>
      <c r="S21" s="39" t="s">
        <v>447</v>
      </c>
      <c r="T21" s="39" t="s">
        <v>130</v>
      </c>
      <c r="U21" s="39" t="s">
        <v>448</v>
      </c>
      <c r="V21" s="39" t="s">
        <v>132</v>
      </c>
      <c r="W21" s="39" t="s">
        <v>168</v>
      </c>
      <c r="X21" s="39" t="s">
        <v>418</v>
      </c>
      <c r="Y21" s="39" t="s">
        <v>449</v>
      </c>
      <c r="Z21" s="39" t="s">
        <v>450</v>
      </c>
      <c r="AA21" s="39" t="s">
        <v>451</v>
      </c>
      <c r="AB21" s="39" t="s">
        <v>442</v>
      </c>
      <c r="AC21" s="39">
        <v>5275445</v>
      </c>
      <c r="AD21" s="39" t="s">
        <v>21</v>
      </c>
      <c r="AE21" s="39" t="s">
        <v>452</v>
      </c>
      <c r="AF21" s="39" t="s">
        <v>21</v>
      </c>
      <c r="AG21" s="39" t="s">
        <v>453</v>
      </c>
      <c r="AH21" s="39" t="s">
        <v>454</v>
      </c>
      <c r="AI21" s="39" t="s">
        <v>330</v>
      </c>
      <c r="AJ21" s="39" t="s">
        <v>140</v>
      </c>
      <c r="AK21" s="39" t="s">
        <v>125</v>
      </c>
      <c r="AL21" s="39">
        <v>8500</v>
      </c>
      <c r="AM21" s="39"/>
      <c r="AN21" s="39" t="s">
        <v>446</v>
      </c>
      <c r="AO21" s="39" t="s">
        <v>142</v>
      </c>
      <c r="AP21" s="39" t="s">
        <v>143</v>
      </c>
      <c r="AQ21" s="39"/>
      <c r="AR21" s="39" t="s">
        <v>455</v>
      </c>
      <c r="AS21" s="39"/>
      <c r="AT21" s="39" t="s">
        <v>456</v>
      </c>
      <c r="AU21" s="39"/>
      <c r="AV21" s="39" t="s">
        <v>457</v>
      </c>
      <c r="AW21" s="39"/>
      <c r="AX21" s="39"/>
      <c r="AY21" s="39"/>
      <c r="AZ21" s="39"/>
      <c r="BA21" s="39">
        <v>70898111</v>
      </c>
      <c r="BB21" s="39" t="s">
        <v>149</v>
      </c>
      <c r="BC21" s="39" t="s">
        <v>458</v>
      </c>
      <c r="BD21" s="39" t="s">
        <v>459</v>
      </c>
      <c r="BE21" s="39" t="s">
        <v>125</v>
      </c>
      <c r="BF21" s="39"/>
      <c r="BG21" s="39" t="s">
        <v>298</v>
      </c>
      <c r="BH21" s="39" t="s">
        <v>152</v>
      </c>
      <c r="BI21" s="39" t="s">
        <v>125</v>
      </c>
      <c r="BJ21" s="39"/>
      <c r="BK21" s="39"/>
      <c r="BL21" s="39"/>
      <c r="BM21" s="39" t="s">
        <v>460</v>
      </c>
      <c r="BN21" s="39" t="s">
        <v>155</v>
      </c>
    </row>
    <row r="22" spans="1:66" hidden="1">
      <c r="A22" s="39">
        <v>21</v>
      </c>
      <c r="B22" s="39" t="s">
        <v>118</v>
      </c>
      <c r="C22" s="39" t="s">
        <v>119</v>
      </c>
      <c r="D22" s="39"/>
      <c r="E22" s="39" t="s">
        <v>461</v>
      </c>
      <c r="F22" s="39"/>
      <c r="G22" s="39" t="s">
        <v>462</v>
      </c>
      <c r="H22" s="39" t="s">
        <v>463</v>
      </c>
      <c r="I22" s="39" t="s">
        <v>464</v>
      </c>
      <c r="J22" s="39" t="s">
        <v>465</v>
      </c>
      <c r="K22" s="39" t="s">
        <v>16</v>
      </c>
      <c r="L22" s="39" t="s">
        <v>466</v>
      </c>
      <c r="M22" s="39" t="s">
        <v>467</v>
      </c>
      <c r="N22" s="39"/>
      <c r="O22" s="39"/>
      <c r="P22" s="39"/>
      <c r="Q22" s="39" t="s">
        <v>468</v>
      </c>
      <c r="R22" s="39" t="s">
        <v>16</v>
      </c>
      <c r="S22" s="39" t="s">
        <v>469</v>
      </c>
      <c r="T22" s="39" t="s">
        <v>359</v>
      </c>
      <c r="U22" s="39" t="s">
        <v>470</v>
      </c>
      <c r="V22" s="39" t="s">
        <v>132</v>
      </c>
      <c r="W22" s="39" t="s">
        <v>471</v>
      </c>
      <c r="X22" s="39" t="s">
        <v>465</v>
      </c>
      <c r="Y22" s="39" t="s">
        <v>472</v>
      </c>
      <c r="Z22" s="39" t="s">
        <v>473</v>
      </c>
      <c r="AA22" s="39" t="s">
        <v>474</v>
      </c>
      <c r="AB22" s="39" t="s">
        <v>468</v>
      </c>
      <c r="AC22" s="39">
        <v>5375460</v>
      </c>
      <c r="AD22" s="39" t="s">
        <v>16</v>
      </c>
      <c r="AE22" s="39" t="s">
        <v>470</v>
      </c>
      <c r="AF22" s="39" t="s">
        <v>16</v>
      </c>
      <c r="AG22" s="39" t="s">
        <v>475</v>
      </c>
      <c r="AH22" s="39" t="s">
        <v>476</v>
      </c>
      <c r="AI22" s="39" t="s">
        <v>477</v>
      </c>
      <c r="AJ22" s="39" t="s">
        <v>140</v>
      </c>
      <c r="AK22" s="39" t="s">
        <v>125</v>
      </c>
      <c r="AL22" s="39">
        <v>967.5</v>
      </c>
      <c r="AM22" s="39"/>
      <c r="AN22" s="39" t="s">
        <v>125</v>
      </c>
      <c r="AO22" s="39" t="s">
        <v>367</v>
      </c>
      <c r="AP22" s="39" t="s">
        <v>236</v>
      </c>
      <c r="AQ22" s="39"/>
      <c r="AR22" s="39"/>
      <c r="AS22" s="39"/>
      <c r="AT22" s="39" t="s">
        <v>478</v>
      </c>
      <c r="AU22" s="39"/>
      <c r="AV22" s="39" t="s">
        <v>479</v>
      </c>
      <c r="AW22" s="39"/>
      <c r="AX22" s="39"/>
      <c r="AY22" s="39"/>
      <c r="AZ22" s="39" t="s">
        <v>238</v>
      </c>
      <c r="BA22" s="39">
        <v>49123532</v>
      </c>
      <c r="BB22" s="39" t="s">
        <v>152</v>
      </c>
      <c r="BC22" s="39" t="s">
        <v>435</v>
      </c>
      <c r="BD22" s="39" t="s">
        <v>480</v>
      </c>
      <c r="BE22" s="39" t="s">
        <v>481</v>
      </c>
      <c r="BF22" s="39"/>
      <c r="BG22" s="39" t="s">
        <v>298</v>
      </c>
      <c r="BH22" s="39" t="s">
        <v>149</v>
      </c>
      <c r="BI22" s="39" t="s">
        <v>125</v>
      </c>
      <c r="BJ22" s="39"/>
      <c r="BK22" s="39"/>
      <c r="BL22" s="39">
        <v>106362953</v>
      </c>
      <c r="BM22" s="39"/>
      <c r="BN22" s="39"/>
    </row>
    <row r="23" spans="1:66" hidden="1">
      <c r="A23" s="39">
        <v>22</v>
      </c>
      <c r="B23" s="39" t="s">
        <v>118</v>
      </c>
      <c r="C23" s="39" t="s">
        <v>119</v>
      </c>
      <c r="D23" s="39" t="s">
        <v>482</v>
      </c>
      <c r="E23" s="39" t="s">
        <v>483</v>
      </c>
      <c r="F23" s="39" t="s">
        <v>484</v>
      </c>
      <c r="G23" s="39" t="s">
        <v>485</v>
      </c>
      <c r="H23" s="39" t="s">
        <v>486</v>
      </c>
      <c r="I23" s="39"/>
      <c r="J23" s="39" t="s">
        <v>487</v>
      </c>
      <c r="K23" s="39" t="s">
        <v>27</v>
      </c>
      <c r="L23" s="39" t="s">
        <v>188</v>
      </c>
      <c r="M23" s="39" t="s">
        <v>356</v>
      </c>
      <c r="N23" s="39" t="s">
        <v>488</v>
      </c>
      <c r="O23" s="39"/>
      <c r="P23" s="39"/>
      <c r="Q23" s="39" t="s">
        <v>482</v>
      </c>
      <c r="R23" s="39" t="s">
        <v>27</v>
      </c>
      <c r="S23" s="39" t="s">
        <v>489</v>
      </c>
      <c r="T23" s="39" t="s">
        <v>359</v>
      </c>
      <c r="U23" s="39" t="s">
        <v>490</v>
      </c>
      <c r="V23" s="39" t="s">
        <v>132</v>
      </c>
      <c r="W23" s="39" t="s">
        <v>491</v>
      </c>
      <c r="X23" s="39" t="s">
        <v>487</v>
      </c>
      <c r="Y23" s="39" t="s">
        <v>492</v>
      </c>
      <c r="Z23" s="39" t="s">
        <v>493</v>
      </c>
      <c r="AA23" s="39" t="s">
        <v>494</v>
      </c>
      <c r="AB23" s="39" t="s">
        <v>482</v>
      </c>
      <c r="AC23" s="39">
        <v>5275258</v>
      </c>
      <c r="AD23" s="39" t="s">
        <v>27</v>
      </c>
      <c r="AE23" s="39" t="s">
        <v>495</v>
      </c>
      <c r="AF23" s="39" t="s">
        <v>27</v>
      </c>
      <c r="AG23" s="39" t="s">
        <v>496</v>
      </c>
      <c r="AH23" s="39" t="s">
        <v>497</v>
      </c>
      <c r="AI23" s="39" t="s">
        <v>330</v>
      </c>
      <c r="AJ23" s="39" t="s">
        <v>140</v>
      </c>
      <c r="AK23" s="39" t="s">
        <v>125</v>
      </c>
      <c r="AL23" s="39">
        <v>8500</v>
      </c>
      <c r="AM23" s="39"/>
      <c r="AN23" s="39" t="s">
        <v>484</v>
      </c>
      <c r="AO23" s="39" t="s">
        <v>367</v>
      </c>
      <c r="AP23" s="39" t="s">
        <v>143</v>
      </c>
      <c r="AQ23" s="39"/>
      <c r="AR23" s="39" t="s">
        <v>498</v>
      </c>
      <c r="AS23" s="39"/>
      <c r="AT23" s="39" t="s">
        <v>478</v>
      </c>
      <c r="AU23" s="39"/>
      <c r="AV23" s="39" t="s">
        <v>499</v>
      </c>
      <c r="AW23" s="39"/>
      <c r="AX23" s="39"/>
      <c r="AY23" s="39"/>
      <c r="AZ23" s="39"/>
      <c r="BA23" s="39">
        <v>68950122</v>
      </c>
      <c r="BB23" s="39" t="s">
        <v>149</v>
      </c>
      <c r="BC23" s="39" t="s">
        <v>458</v>
      </c>
      <c r="BD23" s="39" t="s">
        <v>459</v>
      </c>
      <c r="BE23" s="39" t="s">
        <v>481</v>
      </c>
      <c r="BF23" s="39" t="s">
        <v>500</v>
      </c>
      <c r="BG23" s="39" t="s">
        <v>298</v>
      </c>
      <c r="BH23" s="39" t="s">
        <v>152</v>
      </c>
      <c r="BI23" s="39" t="s">
        <v>125</v>
      </c>
      <c r="BJ23" s="39"/>
      <c r="BK23" s="39"/>
      <c r="BL23" s="39"/>
      <c r="BM23" s="39" t="s">
        <v>154</v>
      </c>
      <c r="BN23" s="39" t="s">
        <v>356</v>
      </c>
    </row>
    <row r="24" spans="1:66" hidden="1">
      <c r="A24" s="39">
        <v>23</v>
      </c>
      <c r="B24" s="39" t="s">
        <v>118</v>
      </c>
      <c r="C24" s="39" t="s">
        <v>119</v>
      </c>
      <c r="D24" s="39" t="s">
        <v>501</v>
      </c>
      <c r="E24" s="39" t="s">
        <v>502</v>
      </c>
      <c r="F24" s="39" t="s">
        <v>279</v>
      </c>
      <c r="G24" s="39" t="s">
        <v>503</v>
      </c>
      <c r="H24" s="39" t="s">
        <v>504</v>
      </c>
      <c r="I24" s="39" t="s">
        <v>505</v>
      </c>
      <c r="J24" s="39" t="s">
        <v>506</v>
      </c>
      <c r="K24" s="39" t="s">
        <v>303</v>
      </c>
      <c r="L24" s="39" t="s">
        <v>162</v>
      </c>
      <c r="M24" s="39" t="s">
        <v>163</v>
      </c>
      <c r="N24" s="39" t="s">
        <v>125</v>
      </c>
      <c r="O24" s="39" t="s">
        <v>303</v>
      </c>
      <c r="P24" s="39" t="s">
        <v>507</v>
      </c>
      <c r="Q24" s="39" t="s">
        <v>508</v>
      </c>
      <c r="R24" s="39" t="s">
        <v>21</v>
      </c>
      <c r="S24" s="39" t="s">
        <v>509</v>
      </c>
      <c r="T24" s="39" t="s">
        <v>359</v>
      </c>
      <c r="U24" s="39" t="s">
        <v>510</v>
      </c>
      <c r="V24" s="39" t="s">
        <v>132</v>
      </c>
      <c r="W24" s="39" t="s">
        <v>133</v>
      </c>
      <c r="X24" s="39" t="s">
        <v>355</v>
      </c>
      <c r="Y24" s="39" t="s">
        <v>511</v>
      </c>
      <c r="Z24" s="39" t="s">
        <v>512</v>
      </c>
      <c r="AA24" s="39" t="s">
        <v>513</v>
      </c>
      <c r="AB24" s="39" t="s">
        <v>508</v>
      </c>
      <c r="AC24" s="39">
        <v>5344944</v>
      </c>
      <c r="AD24" s="39" t="s">
        <v>21</v>
      </c>
      <c r="AE24" s="39" t="s">
        <v>514</v>
      </c>
      <c r="AF24" s="39" t="s">
        <v>21</v>
      </c>
      <c r="AG24" s="39" t="s">
        <v>515</v>
      </c>
      <c r="AH24" s="39" t="s">
        <v>516</v>
      </c>
      <c r="AI24" s="39" t="s">
        <v>517</v>
      </c>
      <c r="AJ24" s="39" t="s">
        <v>140</v>
      </c>
      <c r="AK24" s="39" t="s">
        <v>125</v>
      </c>
      <c r="AL24" s="39">
        <v>16000</v>
      </c>
      <c r="AM24" s="39" t="s">
        <v>429</v>
      </c>
      <c r="AN24" s="39" t="s">
        <v>125</v>
      </c>
      <c r="AO24" s="39" t="s">
        <v>367</v>
      </c>
      <c r="AP24" s="39" t="s">
        <v>143</v>
      </c>
      <c r="AQ24" s="39" t="s">
        <v>144</v>
      </c>
      <c r="AR24" s="39" t="s">
        <v>518</v>
      </c>
      <c r="AS24" s="39" t="s">
        <v>519</v>
      </c>
      <c r="AT24" s="39" t="s">
        <v>520</v>
      </c>
      <c r="AU24" s="39"/>
      <c r="AV24" s="39" t="s">
        <v>521</v>
      </c>
      <c r="AW24" s="39"/>
      <c r="AX24" s="39"/>
      <c r="AY24" s="39"/>
      <c r="AZ24" s="39"/>
      <c r="BA24" s="39">
        <v>59830249</v>
      </c>
      <c r="BB24" s="39" t="s">
        <v>149</v>
      </c>
      <c r="BC24" s="39" t="s">
        <v>150</v>
      </c>
      <c r="BD24" s="39" t="s">
        <v>522</v>
      </c>
      <c r="BE24" s="39" t="s">
        <v>125</v>
      </c>
      <c r="BF24" s="39"/>
      <c r="BG24" s="39" t="s">
        <v>298</v>
      </c>
      <c r="BH24" s="39" t="s">
        <v>152</v>
      </c>
      <c r="BI24" s="39" t="s">
        <v>125</v>
      </c>
      <c r="BJ24" s="39"/>
      <c r="BK24" s="39" t="s">
        <v>153</v>
      </c>
      <c r="BL24" s="39"/>
      <c r="BM24" s="39" t="s">
        <v>205</v>
      </c>
      <c r="BN24" s="39" t="s">
        <v>523</v>
      </c>
    </row>
    <row r="25" spans="1:66" hidden="1">
      <c r="A25" s="39">
        <v>24</v>
      </c>
      <c r="B25" s="39" t="s">
        <v>118</v>
      </c>
      <c r="C25" s="39" t="s">
        <v>119</v>
      </c>
      <c r="D25" s="39" t="s">
        <v>168</v>
      </c>
      <c r="E25" s="39" t="s">
        <v>524</v>
      </c>
      <c r="F25" s="39" t="s">
        <v>525</v>
      </c>
      <c r="G25" s="39" t="s">
        <v>526</v>
      </c>
      <c r="H25" s="39" t="s">
        <v>527</v>
      </c>
      <c r="I25" s="39" t="s">
        <v>125</v>
      </c>
      <c r="J25" s="39" t="s">
        <v>418</v>
      </c>
      <c r="K25" s="39" t="s">
        <v>525</v>
      </c>
      <c r="L25" s="39" t="s">
        <v>305</v>
      </c>
      <c r="M25" s="39" t="s">
        <v>306</v>
      </c>
      <c r="N25" s="39" t="s">
        <v>125</v>
      </c>
      <c r="O25" s="39" t="s">
        <v>525</v>
      </c>
      <c r="P25" s="39" t="s">
        <v>528</v>
      </c>
      <c r="Q25" s="39" t="s">
        <v>529</v>
      </c>
      <c r="R25" s="39" t="s">
        <v>21</v>
      </c>
      <c r="S25" s="39" t="s">
        <v>530</v>
      </c>
      <c r="T25" s="39" t="s">
        <v>130</v>
      </c>
      <c r="U25" s="39" t="s">
        <v>531</v>
      </c>
      <c r="V25" s="39" t="s">
        <v>132</v>
      </c>
      <c r="W25" s="39" t="s">
        <v>168</v>
      </c>
      <c r="X25" s="39" t="s">
        <v>423</v>
      </c>
      <c r="Y25" s="39" t="s">
        <v>532</v>
      </c>
      <c r="Z25" s="39" t="s">
        <v>533</v>
      </c>
      <c r="AA25" s="39" t="s">
        <v>534</v>
      </c>
      <c r="AB25" s="39" t="s">
        <v>529</v>
      </c>
      <c r="AC25" s="39">
        <v>5274341</v>
      </c>
      <c r="AD25" s="39" t="s">
        <v>21</v>
      </c>
      <c r="AE25" s="39" t="s">
        <v>535</v>
      </c>
      <c r="AF25" s="39" t="s">
        <v>21</v>
      </c>
      <c r="AG25" s="39" t="s">
        <v>536</v>
      </c>
      <c r="AH25" s="39" t="s">
        <v>537</v>
      </c>
      <c r="AI25" s="39" t="s">
        <v>235</v>
      </c>
      <c r="AJ25" s="39" t="s">
        <v>140</v>
      </c>
      <c r="AK25" s="39" t="s">
        <v>125</v>
      </c>
      <c r="AL25" s="39">
        <v>279</v>
      </c>
      <c r="AM25" s="39"/>
      <c r="AN25" s="39" t="s">
        <v>125</v>
      </c>
      <c r="AO25" s="39" t="s">
        <v>142</v>
      </c>
      <c r="AP25" s="39" t="s">
        <v>236</v>
      </c>
      <c r="AQ25" s="39"/>
      <c r="AR25" s="39"/>
      <c r="AS25" s="39"/>
      <c r="AT25" s="39" t="s">
        <v>520</v>
      </c>
      <c r="AU25" s="39"/>
      <c r="AV25" s="39" t="s">
        <v>538</v>
      </c>
      <c r="AW25" s="39"/>
      <c r="AX25" s="39"/>
      <c r="AY25" s="39"/>
      <c r="AZ25" s="39" t="s">
        <v>238</v>
      </c>
      <c r="BA25" s="39">
        <v>74060576</v>
      </c>
      <c r="BB25" s="39" t="s">
        <v>152</v>
      </c>
      <c r="BC25" s="39" t="s">
        <v>150</v>
      </c>
      <c r="BD25" s="39" t="s">
        <v>539</v>
      </c>
      <c r="BE25" s="39" t="s">
        <v>125</v>
      </c>
      <c r="BF25" s="39"/>
      <c r="BG25" s="39" t="s">
        <v>298</v>
      </c>
      <c r="BH25" s="39" t="s">
        <v>149</v>
      </c>
      <c r="BI25" s="39" t="s">
        <v>125</v>
      </c>
      <c r="BJ25" s="39"/>
      <c r="BK25" s="39"/>
      <c r="BL25" s="39">
        <v>110273764</v>
      </c>
      <c r="BM25" s="39"/>
      <c r="BN25" s="39" t="s">
        <v>155</v>
      </c>
    </row>
    <row r="26" spans="1:66" hidden="1">
      <c r="A26" s="39">
        <v>25</v>
      </c>
      <c r="B26" s="39" t="s">
        <v>118</v>
      </c>
      <c r="C26" s="39" t="s">
        <v>119</v>
      </c>
      <c r="D26" s="39" t="s">
        <v>540</v>
      </c>
      <c r="E26" s="39" t="s">
        <v>541</v>
      </c>
      <c r="F26" s="39" t="s">
        <v>542</v>
      </c>
      <c r="G26" s="39" t="s">
        <v>543</v>
      </c>
      <c r="H26" s="39" t="s">
        <v>544</v>
      </c>
      <c r="I26" s="39" t="s">
        <v>125</v>
      </c>
      <c r="J26" s="39" t="s">
        <v>187</v>
      </c>
      <c r="K26" s="39" t="s">
        <v>16</v>
      </c>
      <c r="L26" s="39" t="s">
        <v>61</v>
      </c>
      <c r="M26" s="39" t="s">
        <v>227</v>
      </c>
      <c r="N26" s="39" t="s">
        <v>125</v>
      </c>
      <c r="O26" s="39"/>
      <c r="P26" s="39"/>
      <c r="Q26" s="39" t="s">
        <v>545</v>
      </c>
      <c r="R26" s="39" t="s">
        <v>16</v>
      </c>
      <c r="S26" s="39" t="s">
        <v>546</v>
      </c>
      <c r="T26" s="39" t="s">
        <v>130</v>
      </c>
      <c r="U26" s="39" t="s">
        <v>547</v>
      </c>
      <c r="V26" s="39" t="s">
        <v>132</v>
      </c>
      <c r="W26" s="39" t="s">
        <v>194</v>
      </c>
      <c r="X26" s="39" t="s">
        <v>187</v>
      </c>
      <c r="Y26" s="39" t="s">
        <v>548</v>
      </c>
      <c r="Z26" s="39" t="s">
        <v>196</v>
      </c>
      <c r="AA26" s="39" t="s">
        <v>197</v>
      </c>
      <c r="AB26" s="39" t="s">
        <v>545</v>
      </c>
      <c r="AC26" s="39">
        <v>5431690</v>
      </c>
      <c r="AD26" s="39" t="s">
        <v>16</v>
      </c>
      <c r="AE26" s="39" t="s">
        <v>549</v>
      </c>
      <c r="AF26" s="39" t="s">
        <v>16</v>
      </c>
      <c r="AG26" s="39" t="s">
        <v>549</v>
      </c>
      <c r="AH26" s="39" t="s">
        <v>200</v>
      </c>
      <c r="AI26" s="39" t="s">
        <v>201</v>
      </c>
      <c r="AJ26" s="39" t="s">
        <v>140</v>
      </c>
      <c r="AK26" s="39" t="s">
        <v>125</v>
      </c>
      <c r="AL26" s="39">
        <v>5180</v>
      </c>
      <c r="AM26" s="39"/>
      <c r="AN26" s="39" t="s">
        <v>125</v>
      </c>
      <c r="AO26" s="39" t="s">
        <v>142</v>
      </c>
      <c r="AP26" s="39" t="s">
        <v>251</v>
      </c>
      <c r="AQ26" s="39" t="s">
        <v>252</v>
      </c>
      <c r="AR26" s="39" t="s">
        <v>550</v>
      </c>
      <c r="AS26" s="39" t="s">
        <v>551</v>
      </c>
      <c r="AT26" s="39" t="s">
        <v>147</v>
      </c>
      <c r="AU26" s="39"/>
      <c r="AV26" s="39" t="s">
        <v>552</v>
      </c>
      <c r="AW26" s="39"/>
      <c r="AX26" s="39"/>
      <c r="AY26" s="39"/>
      <c r="AZ26" s="39"/>
      <c r="BA26" s="39">
        <v>80580142</v>
      </c>
      <c r="BB26" s="39" t="s">
        <v>149</v>
      </c>
      <c r="BC26" s="39" t="s">
        <v>150</v>
      </c>
      <c r="BD26" s="39" t="s">
        <v>179</v>
      </c>
      <c r="BE26" s="39" t="s">
        <v>125</v>
      </c>
      <c r="BF26" s="39"/>
      <c r="BG26" s="39" t="s">
        <v>180</v>
      </c>
      <c r="BH26" s="39" t="s">
        <v>149</v>
      </c>
      <c r="BI26" s="39" t="s">
        <v>125</v>
      </c>
      <c r="BJ26" s="39"/>
      <c r="BK26" s="39" t="s">
        <v>153</v>
      </c>
      <c r="BL26" s="39"/>
      <c r="BM26" s="39"/>
      <c r="BN26" s="39" t="s">
        <v>181</v>
      </c>
    </row>
    <row r="27" spans="1:66" hidden="1">
      <c r="A27" s="39">
        <v>26</v>
      </c>
      <c r="B27" s="39" t="s">
        <v>118</v>
      </c>
      <c r="C27" s="39" t="s">
        <v>119</v>
      </c>
      <c r="D27" s="39" t="s">
        <v>553</v>
      </c>
      <c r="E27" s="39" t="s">
        <v>554</v>
      </c>
      <c r="F27" s="39" t="s">
        <v>279</v>
      </c>
      <c r="G27" s="39" t="s">
        <v>555</v>
      </c>
      <c r="H27" s="39" t="s">
        <v>556</v>
      </c>
      <c r="I27" s="39" t="s">
        <v>282</v>
      </c>
      <c r="J27" s="39" t="s">
        <v>187</v>
      </c>
      <c r="K27" s="39" t="s">
        <v>377</v>
      </c>
      <c r="L27" s="39" t="s">
        <v>284</v>
      </c>
      <c r="M27" s="39" t="s">
        <v>284</v>
      </c>
      <c r="N27" s="39" t="s">
        <v>125</v>
      </c>
      <c r="O27" s="39" t="s">
        <v>377</v>
      </c>
      <c r="P27" s="39" t="s">
        <v>557</v>
      </c>
      <c r="Q27" s="39" t="s">
        <v>553</v>
      </c>
      <c r="R27" s="39" t="s">
        <v>16</v>
      </c>
      <c r="S27" s="39" t="s">
        <v>558</v>
      </c>
      <c r="T27" s="39" t="s">
        <v>130</v>
      </c>
      <c r="U27" s="39" t="s">
        <v>559</v>
      </c>
      <c r="V27" s="39" t="s">
        <v>132</v>
      </c>
      <c r="W27" s="39" t="s">
        <v>194</v>
      </c>
      <c r="X27" s="39" t="s">
        <v>187</v>
      </c>
      <c r="Y27" s="39" t="s">
        <v>560</v>
      </c>
      <c r="Z27" s="39" t="s">
        <v>196</v>
      </c>
      <c r="AA27" s="39" t="s">
        <v>197</v>
      </c>
      <c r="AB27" s="39" t="s">
        <v>553</v>
      </c>
      <c r="AC27" s="39">
        <v>5459795</v>
      </c>
      <c r="AD27" s="39" t="s">
        <v>16</v>
      </c>
      <c r="AE27" s="39" t="s">
        <v>561</v>
      </c>
      <c r="AF27" s="39" t="s">
        <v>16</v>
      </c>
      <c r="AG27" s="39" t="s">
        <v>561</v>
      </c>
      <c r="AH27" s="39" t="s">
        <v>200</v>
      </c>
      <c r="AI27" s="39" t="s">
        <v>201</v>
      </c>
      <c r="AJ27" s="39"/>
      <c r="AK27" s="39" t="s">
        <v>125</v>
      </c>
      <c r="AL27" s="39">
        <v>4880</v>
      </c>
      <c r="AM27" s="39"/>
      <c r="AN27" s="39" t="s">
        <v>125</v>
      </c>
      <c r="AO27" s="39" t="s">
        <v>142</v>
      </c>
      <c r="AP27" s="39" t="s">
        <v>251</v>
      </c>
      <c r="AQ27" s="39" t="s">
        <v>312</v>
      </c>
      <c r="AR27" s="39" t="s">
        <v>562</v>
      </c>
      <c r="AS27" s="39" t="s">
        <v>563</v>
      </c>
      <c r="AT27" s="39" t="s">
        <v>296</v>
      </c>
      <c r="AU27" s="39"/>
      <c r="AV27" s="39" t="s">
        <v>564</v>
      </c>
      <c r="AW27" s="39"/>
      <c r="AX27" s="39"/>
      <c r="AY27" s="39"/>
      <c r="AZ27" s="39"/>
      <c r="BA27" s="39">
        <v>74461792</v>
      </c>
      <c r="BB27" s="39" t="s">
        <v>149</v>
      </c>
      <c r="BC27" s="39" t="s">
        <v>150</v>
      </c>
      <c r="BD27" s="39" t="s">
        <v>179</v>
      </c>
      <c r="BE27" s="39" t="s">
        <v>125</v>
      </c>
      <c r="BF27" s="39"/>
      <c r="BG27" s="39" t="s">
        <v>180</v>
      </c>
      <c r="BH27" s="39" t="s">
        <v>149</v>
      </c>
      <c r="BI27" s="39" t="s">
        <v>125</v>
      </c>
      <c r="BJ27" s="39"/>
      <c r="BK27" s="39" t="s">
        <v>153</v>
      </c>
      <c r="BL27" s="39"/>
      <c r="BM27" s="39"/>
      <c r="BN27" s="39" t="s">
        <v>300</v>
      </c>
    </row>
    <row r="28" spans="1:66" hidden="1">
      <c r="A28" s="39">
        <v>27</v>
      </c>
      <c r="B28" s="39" t="s">
        <v>118</v>
      </c>
      <c r="C28" s="39" t="s">
        <v>119</v>
      </c>
      <c r="D28" s="39" t="s">
        <v>182</v>
      </c>
      <c r="E28" s="39" t="s">
        <v>565</v>
      </c>
      <c r="F28" s="39" t="s">
        <v>184</v>
      </c>
      <c r="G28" s="39" t="s">
        <v>566</v>
      </c>
      <c r="H28" s="39" t="s">
        <v>567</v>
      </c>
      <c r="I28" s="39" t="s">
        <v>125</v>
      </c>
      <c r="J28" s="39" t="s">
        <v>465</v>
      </c>
      <c r="K28" s="39" t="s">
        <v>22</v>
      </c>
      <c r="L28" s="39" t="s">
        <v>568</v>
      </c>
      <c r="M28" s="39" t="s">
        <v>276</v>
      </c>
      <c r="N28" s="39" t="s">
        <v>125</v>
      </c>
      <c r="O28" s="39"/>
      <c r="P28" s="39"/>
      <c r="Q28" s="39" t="s">
        <v>569</v>
      </c>
      <c r="R28" s="39" t="s">
        <v>22</v>
      </c>
      <c r="S28" s="39" t="s">
        <v>570</v>
      </c>
      <c r="T28" s="39" t="s">
        <v>130</v>
      </c>
      <c r="U28" s="39" t="s">
        <v>571</v>
      </c>
      <c r="V28" s="39" t="s">
        <v>132</v>
      </c>
      <c r="W28" s="39" t="s">
        <v>133</v>
      </c>
      <c r="X28" s="39" t="s">
        <v>355</v>
      </c>
      <c r="Y28" s="39" t="s">
        <v>572</v>
      </c>
      <c r="Z28" s="39" t="s">
        <v>573</v>
      </c>
      <c r="AA28" s="39" t="s">
        <v>574</v>
      </c>
      <c r="AB28" s="39" t="s">
        <v>569</v>
      </c>
      <c r="AC28" s="39">
        <v>5458038</v>
      </c>
      <c r="AD28" s="39" t="s">
        <v>22</v>
      </c>
      <c r="AE28" s="39" t="s">
        <v>575</v>
      </c>
      <c r="AF28" s="39"/>
      <c r="AG28" s="39"/>
      <c r="AH28" s="39" t="s">
        <v>576</v>
      </c>
      <c r="AI28" s="39" t="s">
        <v>366</v>
      </c>
      <c r="AJ28" s="39"/>
      <c r="AK28" s="39" t="s">
        <v>125</v>
      </c>
      <c r="AL28" s="39">
        <v>279</v>
      </c>
      <c r="AM28" s="39"/>
      <c r="AN28" s="39" t="s">
        <v>125</v>
      </c>
      <c r="AO28" s="39" t="s">
        <v>142</v>
      </c>
      <c r="AP28" s="39" t="s">
        <v>251</v>
      </c>
      <c r="AQ28" s="39"/>
      <c r="AR28" s="39"/>
      <c r="AS28" s="39"/>
      <c r="AT28" s="39" t="s">
        <v>348</v>
      </c>
      <c r="AU28" s="39"/>
      <c r="AV28" s="39" t="s">
        <v>577</v>
      </c>
      <c r="AW28" s="39"/>
      <c r="AX28" s="39"/>
      <c r="AY28" s="39"/>
      <c r="AZ28" s="39" t="s">
        <v>238</v>
      </c>
      <c r="BA28" s="39">
        <v>59588583</v>
      </c>
      <c r="BB28" s="39" t="s">
        <v>152</v>
      </c>
      <c r="BC28" s="39" t="s">
        <v>150</v>
      </c>
      <c r="BD28" s="39" t="s">
        <v>139</v>
      </c>
      <c r="BE28" s="39" t="s">
        <v>125</v>
      </c>
      <c r="BF28" s="39"/>
      <c r="BG28" s="39" t="s">
        <v>298</v>
      </c>
      <c r="BH28" s="39" t="s">
        <v>149</v>
      </c>
      <c r="BI28" s="39"/>
      <c r="BJ28" s="39"/>
      <c r="BK28" s="39"/>
      <c r="BL28" s="39">
        <v>107825348</v>
      </c>
      <c r="BM28" s="39" t="s">
        <v>205</v>
      </c>
      <c r="BN28" s="39" t="s">
        <v>155</v>
      </c>
    </row>
    <row r="29" spans="1:66" hidden="1">
      <c r="A29" s="39">
        <v>28</v>
      </c>
      <c r="B29" s="39" t="s">
        <v>118</v>
      </c>
      <c r="C29" s="39" t="s">
        <v>119</v>
      </c>
      <c r="D29" s="39" t="s">
        <v>578</v>
      </c>
      <c r="E29" s="39" t="s">
        <v>579</v>
      </c>
      <c r="F29" s="39" t="s">
        <v>580</v>
      </c>
      <c r="G29" s="39" t="s">
        <v>581</v>
      </c>
      <c r="H29" s="39" t="s">
        <v>582</v>
      </c>
      <c r="I29" s="39"/>
      <c r="J29" s="39" t="s">
        <v>126</v>
      </c>
      <c r="K29" s="39" t="s">
        <v>16</v>
      </c>
      <c r="L29" s="39" t="s">
        <v>188</v>
      </c>
      <c r="M29" s="39" t="s">
        <v>356</v>
      </c>
      <c r="N29" s="39" t="s">
        <v>583</v>
      </c>
      <c r="O29" s="39"/>
      <c r="P29" s="39"/>
      <c r="Q29" s="39" t="s">
        <v>578</v>
      </c>
      <c r="R29" s="39" t="s">
        <v>16</v>
      </c>
      <c r="S29" s="39" t="s">
        <v>584</v>
      </c>
      <c r="T29" s="39" t="s">
        <v>359</v>
      </c>
      <c r="U29" s="39" t="s">
        <v>585</v>
      </c>
      <c r="V29" s="39" t="s">
        <v>132</v>
      </c>
      <c r="W29" s="39" t="s">
        <v>586</v>
      </c>
      <c r="X29" s="39" t="s">
        <v>126</v>
      </c>
      <c r="Y29" s="39" t="s">
        <v>134</v>
      </c>
      <c r="Z29" s="39" t="s">
        <v>587</v>
      </c>
      <c r="AA29" s="39" t="s">
        <v>588</v>
      </c>
      <c r="AB29" s="39" t="s">
        <v>578</v>
      </c>
      <c r="AC29" s="39">
        <v>5394901</v>
      </c>
      <c r="AD29" s="39" t="s">
        <v>16</v>
      </c>
      <c r="AE29" s="39" t="s">
        <v>589</v>
      </c>
      <c r="AF29" s="39"/>
      <c r="AG29" s="39"/>
      <c r="AH29" s="39" t="s">
        <v>590</v>
      </c>
      <c r="AI29" s="39" t="s">
        <v>591</v>
      </c>
      <c r="AJ29" s="39"/>
      <c r="AK29" s="39" t="s">
        <v>125</v>
      </c>
      <c r="AL29" s="39">
        <v>1500</v>
      </c>
      <c r="AM29" s="39"/>
      <c r="AN29" s="39" t="s">
        <v>580</v>
      </c>
      <c r="AO29" s="39" t="s">
        <v>367</v>
      </c>
      <c r="AP29" s="39" t="s">
        <v>251</v>
      </c>
      <c r="AQ29" s="39"/>
      <c r="AR29" s="39" t="s">
        <v>592</v>
      </c>
      <c r="AS29" s="39"/>
      <c r="AT29" s="39" t="s">
        <v>368</v>
      </c>
      <c r="AU29" s="39"/>
      <c r="AV29" s="39" t="s">
        <v>593</v>
      </c>
      <c r="AW29" s="39"/>
      <c r="AX29" s="39"/>
      <c r="AY29" s="39"/>
      <c r="AZ29" s="39"/>
      <c r="BA29" s="39">
        <v>61156493</v>
      </c>
      <c r="BB29" s="39" t="s">
        <v>149</v>
      </c>
      <c r="BC29" s="39" t="s">
        <v>458</v>
      </c>
      <c r="BD29" s="39" t="s">
        <v>586</v>
      </c>
      <c r="BE29" s="39" t="s">
        <v>594</v>
      </c>
      <c r="BF29" s="39"/>
      <c r="BG29" s="39" t="s">
        <v>151</v>
      </c>
      <c r="BH29" s="39" t="s">
        <v>149</v>
      </c>
      <c r="BI29" s="39"/>
      <c r="BJ29" s="39"/>
      <c r="BK29" s="39"/>
      <c r="BL29" s="39"/>
      <c r="BM29" s="39" t="s">
        <v>154</v>
      </c>
      <c r="BN29" s="39" t="s">
        <v>356</v>
      </c>
    </row>
    <row r="30" spans="1:66" hidden="1">
      <c r="A30" s="39">
        <v>29</v>
      </c>
      <c r="B30" s="39" t="s">
        <v>118</v>
      </c>
      <c r="C30" s="39" t="s">
        <v>119</v>
      </c>
      <c r="D30" s="39" t="s">
        <v>578</v>
      </c>
      <c r="E30" s="39" t="s">
        <v>595</v>
      </c>
      <c r="F30" s="39" t="s">
        <v>580</v>
      </c>
      <c r="G30" s="39" t="s">
        <v>596</v>
      </c>
      <c r="H30" s="39" t="s">
        <v>597</v>
      </c>
      <c r="I30" s="39"/>
      <c r="J30" s="39" t="s">
        <v>126</v>
      </c>
      <c r="K30" s="39" t="s">
        <v>16</v>
      </c>
      <c r="L30" s="39" t="s">
        <v>188</v>
      </c>
      <c r="M30" s="39" t="s">
        <v>356</v>
      </c>
      <c r="N30" s="39" t="s">
        <v>583</v>
      </c>
      <c r="O30" s="39"/>
      <c r="P30" s="39"/>
      <c r="Q30" s="39" t="s">
        <v>578</v>
      </c>
      <c r="R30" s="39" t="s">
        <v>16</v>
      </c>
      <c r="S30" s="39" t="s">
        <v>598</v>
      </c>
      <c r="T30" s="39" t="s">
        <v>359</v>
      </c>
      <c r="U30" s="39" t="s">
        <v>599</v>
      </c>
      <c r="V30" s="39" t="s">
        <v>132</v>
      </c>
      <c r="W30" s="39" t="s">
        <v>586</v>
      </c>
      <c r="X30" s="39" t="s">
        <v>126</v>
      </c>
      <c r="Y30" s="39" t="s">
        <v>134</v>
      </c>
      <c r="Z30" s="39" t="s">
        <v>587</v>
      </c>
      <c r="AA30" s="39" t="s">
        <v>588</v>
      </c>
      <c r="AB30" s="39" t="s">
        <v>578</v>
      </c>
      <c r="AC30" s="39">
        <v>5393830</v>
      </c>
      <c r="AD30" s="39" t="s">
        <v>16</v>
      </c>
      <c r="AE30" s="39" t="s">
        <v>600</v>
      </c>
      <c r="AF30" s="39"/>
      <c r="AG30" s="39"/>
      <c r="AH30" s="39" t="s">
        <v>601</v>
      </c>
      <c r="AI30" s="39" t="s">
        <v>591</v>
      </c>
      <c r="AJ30" s="39"/>
      <c r="AK30" s="39" t="s">
        <v>125</v>
      </c>
      <c r="AL30" s="39">
        <v>1500</v>
      </c>
      <c r="AM30" s="39"/>
      <c r="AN30" s="39" t="s">
        <v>580</v>
      </c>
      <c r="AO30" s="39" t="s">
        <v>367</v>
      </c>
      <c r="AP30" s="39" t="s">
        <v>251</v>
      </c>
      <c r="AQ30" s="39"/>
      <c r="AR30" s="39" t="s">
        <v>592</v>
      </c>
      <c r="AS30" s="39"/>
      <c r="AT30" s="39" t="s">
        <v>602</v>
      </c>
      <c r="AU30" s="39"/>
      <c r="AV30" s="39" t="s">
        <v>603</v>
      </c>
      <c r="AW30" s="39"/>
      <c r="AX30" s="39"/>
      <c r="AY30" s="39"/>
      <c r="AZ30" s="39"/>
      <c r="BA30" s="39">
        <v>61156493</v>
      </c>
      <c r="BB30" s="39" t="s">
        <v>149</v>
      </c>
      <c r="BC30" s="39" t="s">
        <v>458</v>
      </c>
      <c r="BD30" s="39" t="s">
        <v>586</v>
      </c>
      <c r="BE30" s="39" t="s">
        <v>594</v>
      </c>
      <c r="BF30" s="39"/>
      <c r="BG30" s="39" t="s">
        <v>151</v>
      </c>
      <c r="BH30" s="39" t="s">
        <v>149</v>
      </c>
      <c r="BI30" s="39"/>
      <c r="BJ30" s="39"/>
      <c r="BK30" s="39"/>
      <c r="BL30" s="39"/>
      <c r="BM30" s="39" t="s">
        <v>154</v>
      </c>
      <c r="BN30" s="39" t="s">
        <v>356</v>
      </c>
    </row>
    <row r="31" spans="1:66" hidden="1">
      <c r="A31" s="39">
        <v>30</v>
      </c>
      <c r="B31" s="39" t="s">
        <v>118</v>
      </c>
      <c r="C31" s="39" t="s">
        <v>119</v>
      </c>
      <c r="D31" s="39" t="s">
        <v>371</v>
      </c>
      <c r="E31" s="39" t="s">
        <v>604</v>
      </c>
      <c r="F31" s="39" t="s">
        <v>373</v>
      </c>
      <c r="G31" s="39" t="s">
        <v>605</v>
      </c>
      <c r="H31" s="39" t="s">
        <v>606</v>
      </c>
      <c r="I31" s="39" t="s">
        <v>607</v>
      </c>
      <c r="J31" s="39"/>
      <c r="K31" s="39" t="s">
        <v>525</v>
      </c>
      <c r="L31" s="39" t="s">
        <v>378</v>
      </c>
      <c r="M31" s="39" t="s">
        <v>608</v>
      </c>
      <c r="N31" s="39" t="s">
        <v>125</v>
      </c>
      <c r="O31" s="39" t="s">
        <v>525</v>
      </c>
      <c r="P31" s="39" t="s">
        <v>609</v>
      </c>
      <c r="Q31" s="39" t="s">
        <v>610</v>
      </c>
      <c r="R31" s="39" t="s">
        <v>16</v>
      </c>
      <c r="S31" s="39" t="s">
        <v>611</v>
      </c>
      <c r="T31" s="39" t="s">
        <v>130</v>
      </c>
      <c r="U31" s="39" t="s">
        <v>612</v>
      </c>
      <c r="V31" s="39" t="s">
        <v>132</v>
      </c>
      <c r="W31" s="39" t="s">
        <v>613</v>
      </c>
      <c r="X31" s="39" t="s">
        <v>355</v>
      </c>
      <c r="Y31" s="39" t="s">
        <v>614</v>
      </c>
      <c r="Z31" s="39" t="s">
        <v>615</v>
      </c>
      <c r="AA31" s="39" t="s">
        <v>615</v>
      </c>
      <c r="AB31" s="39" t="s">
        <v>610</v>
      </c>
      <c r="AC31" s="39">
        <v>5361785</v>
      </c>
      <c r="AD31" s="39" t="s">
        <v>16</v>
      </c>
      <c r="AE31" s="39" t="s">
        <v>616</v>
      </c>
      <c r="AF31" s="39"/>
      <c r="AG31" s="39"/>
      <c r="AH31" s="39" t="s">
        <v>617</v>
      </c>
      <c r="AI31" s="39" t="s">
        <v>618</v>
      </c>
      <c r="AJ31" s="39"/>
      <c r="AK31" s="39" t="s">
        <v>125</v>
      </c>
      <c r="AL31" s="39">
        <v>1999</v>
      </c>
      <c r="AM31" s="39"/>
      <c r="AN31" s="39"/>
      <c r="AO31" s="39" t="s">
        <v>142</v>
      </c>
      <c r="AP31" s="39" t="s">
        <v>251</v>
      </c>
      <c r="AQ31" s="39"/>
      <c r="AR31" s="39"/>
      <c r="AS31" s="39"/>
      <c r="AT31" s="39" t="s">
        <v>619</v>
      </c>
      <c r="AU31" s="39"/>
      <c r="AV31" s="39" t="s">
        <v>620</v>
      </c>
      <c r="AW31" s="39"/>
      <c r="AX31" s="39"/>
      <c r="AY31" s="39"/>
      <c r="AZ31" s="39" t="s">
        <v>238</v>
      </c>
      <c r="BA31" s="39">
        <v>73873120</v>
      </c>
      <c r="BB31" s="39" t="s">
        <v>152</v>
      </c>
      <c r="BC31" s="39" t="s">
        <v>435</v>
      </c>
      <c r="BD31" s="39" t="s">
        <v>621</v>
      </c>
      <c r="BE31" s="39" t="s">
        <v>481</v>
      </c>
      <c r="BF31" s="39"/>
      <c r="BG31" s="39" t="s">
        <v>622</v>
      </c>
      <c r="BH31" s="39" t="s">
        <v>149</v>
      </c>
      <c r="BI31" s="39"/>
      <c r="BJ31" s="39"/>
      <c r="BK31" s="39"/>
      <c r="BL31" s="39">
        <v>110267139</v>
      </c>
      <c r="BM31" s="39" t="s">
        <v>154</v>
      </c>
      <c r="BN31" s="39" t="s">
        <v>390</v>
      </c>
    </row>
    <row r="32" spans="1:66" hidden="1">
      <c r="A32" s="39">
        <v>31</v>
      </c>
      <c r="B32" s="39" t="s">
        <v>118</v>
      </c>
      <c r="C32" s="39" t="s">
        <v>119</v>
      </c>
      <c r="D32" s="39"/>
      <c r="E32" s="39" t="s">
        <v>623</v>
      </c>
      <c r="F32" s="39"/>
      <c r="G32" s="39" t="s">
        <v>624</v>
      </c>
      <c r="H32" s="39" t="s">
        <v>625</v>
      </c>
      <c r="I32" s="39"/>
      <c r="J32" s="39" t="s">
        <v>126</v>
      </c>
      <c r="K32" s="39" t="s">
        <v>16</v>
      </c>
      <c r="L32" s="39" t="s">
        <v>188</v>
      </c>
      <c r="M32" s="39" t="s">
        <v>356</v>
      </c>
      <c r="N32" s="39"/>
      <c r="O32" s="39"/>
      <c r="P32" s="39"/>
      <c r="Q32" s="39" t="s">
        <v>626</v>
      </c>
      <c r="R32" s="39" t="s">
        <v>16</v>
      </c>
      <c r="S32" s="39" t="s">
        <v>627</v>
      </c>
      <c r="T32" s="39" t="s">
        <v>359</v>
      </c>
      <c r="U32" s="39" t="s">
        <v>628</v>
      </c>
      <c r="V32" s="39" t="s">
        <v>132</v>
      </c>
      <c r="W32" s="39" t="s">
        <v>586</v>
      </c>
      <c r="X32" s="39" t="s">
        <v>126</v>
      </c>
      <c r="Y32" s="39" t="s">
        <v>629</v>
      </c>
      <c r="Z32" s="39" t="s">
        <v>630</v>
      </c>
      <c r="AA32" s="39" t="s">
        <v>631</v>
      </c>
      <c r="AB32" s="39" t="s">
        <v>626</v>
      </c>
      <c r="AC32" s="39">
        <v>5376315</v>
      </c>
      <c r="AD32" s="39" t="s">
        <v>16</v>
      </c>
      <c r="AE32" s="39" t="s">
        <v>632</v>
      </c>
      <c r="AF32" s="39"/>
      <c r="AG32" s="39"/>
      <c r="AH32" s="39" t="s">
        <v>633</v>
      </c>
      <c r="AI32" s="39" t="s">
        <v>634</v>
      </c>
      <c r="AJ32" s="39"/>
      <c r="AK32" s="39" t="s">
        <v>125</v>
      </c>
      <c r="AL32" s="39">
        <v>1800</v>
      </c>
      <c r="AM32" s="39"/>
      <c r="AN32" s="39" t="s">
        <v>125</v>
      </c>
      <c r="AO32" s="39" t="s">
        <v>367</v>
      </c>
      <c r="AP32" s="39" t="s">
        <v>251</v>
      </c>
      <c r="AQ32" s="39"/>
      <c r="AR32" s="39" t="s">
        <v>635</v>
      </c>
      <c r="AS32" s="39"/>
      <c r="AT32" s="39" t="s">
        <v>456</v>
      </c>
      <c r="AU32" s="39"/>
      <c r="AV32" s="39" t="s">
        <v>636</v>
      </c>
      <c r="AW32" s="39"/>
      <c r="AX32" s="39"/>
      <c r="AY32" s="39"/>
      <c r="AZ32" s="39"/>
      <c r="BA32" s="39">
        <v>56407982</v>
      </c>
      <c r="BB32" s="39" t="s">
        <v>149</v>
      </c>
      <c r="BC32" s="39" t="s">
        <v>458</v>
      </c>
      <c r="BD32" s="39" t="s">
        <v>586</v>
      </c>
      <c r="BE32" s="39" t="s">
        <v>594</v>
      </c>
      <c r="BF32" s="39"/>
      <c r="BG32" s="39" t="s">
        <v>637</v>
      </c>
      <c r="BH32" s="39" t="s">
        <v>149</v>
      </c>
      <c r="BI32" s="39"/>
      <c r="BJ32" s="39"/>
      <c r="BK32" s="39"/>
      <c r="BL32" s="39"/>
      <c r="BM32" s="39" t="s">
        <v>154</v>
      </c>
      <c r="BN32" s="39"/>
    </row>
    <row r="33" spans="1:66" hidden="1">
      <c r="A33" s="39">
        <v>32</v>
      </c>
      <c r="B33" s="39" t="s">
        <v>118</v>
      </c>
      <c r="C33" s="39" t="s">
        <v>119</v>
      </c>
      <c r="D33" s="39" t="s">
        <v>638</v>
      </c>
      <c r="E33" s="39" t="s">
        <v>639</v>
      </c>
      <c r="F33" s="39" t="s">
        <v>208</v>
      </c>
      <c r="G33" s="39" t="s">
        <v>640</v>
      </c>
      <c r="H33" s="39" t="s">
        <v>641</v>
      </c>
      <c r="I33" s="39" t="s">
        <v>245</v>
      </c>
      <c r="J33" s="39" t="s">
        <v>355</v>
      </c>
      <c r="K33" s="39" t="s">
        <v>16</v>
      </c>
      <c r="L33" s="39" t="s">
        <v>211</v>
      </c>
      <c r="M33" s="39" t="s">
        <v>212</v>
      </c>
      <c r="N33" s="39" t="s">
        <v>125</v>
      </c>
      <c r="O33" s="39"/>
      <c r="P33" s="39"/>
      <c r="Q33" s="39" t="s">
        <v>642</v>
      </c>
      <c r="R33" s="39" t="s">
        <v>16</v>
      </c>
      <c r="S33" s="39" t="s">
        <v>643</v>
      </c>
      <c r="T33" s="39" t="s">
        <v>130</v>
      </c>
      <c r="U33" s="39" t="s">
        <v>644</v>
      </c>
      <c r="V33" s="39" t="s">
        <v>132</v>
      </c>
      <c r="W33" s="39" t="s">
        <v>168</v>
      </c>
      <c r="X33" s="39" t="s">
        <v>126</v>
      </c>
      <c r="Y33" s="39" t="s">
        <v>645</v>
      </c>
      <c r="Z33" s="39" t="s">
        <v>646</v>
      </c>
      <c r="AA33" s="39" t="s">
        <v>647</v>
      </c>
      <c r="AB33" s="39" t="s">
        <v>642</v>
      </c>
      <c r="AC33" s="39">
        <v>5275147</v>
      </c>
      <c r="AD33" s="39" t="s">
        <v>16</v>
      </c>
      <c r="AE33" s="39" t="s">
        <v>648</v>
      </c>
      <c r="AF33" s="39"/>
      <c r="AG33" s="39"/>
      <c r="AH33" s="39" t="s">
        <v>649</v>
      </c>
      <c r="AI33" s="39" t="s">
        <v>235</v>
      </c>
      <c r="AJ33" s="39"/>
      <c r="AK33" s="39" t="s">
        <v>125</v>
      </c>
      <c r="AL33" s="39">
        <v>279</v>
      </c>
      <c r="AM33" s="39"/>
      <c r="AN33" s="39" t="s">
        <v>125</v>
      </c>
      <c r="AO33" s="39" t="s">
        <v>142</v>
      </c>
      <c r="AP33" s="39" t="s">
        <v>251</v>
      </c>
      <c r="AQ33" s="39"/>
      <c r="AR33" s="39"/>
      <c r="AS33" s="39"/>
      <c r="AT33" s="39" t="s">
        <v>478</v>
      </c>
      <c r="AU33" s="39"/>
      <c r="AV33" s="39" t="s">
        <v>650</v>
      </c>
      <c r="AW33" s="39"/>
      <c r="AX33" s="39"/>
      <c r="AY33" s="39"/>
      <c r="AZ33" s="39" t="s">
        <v>238</v>
      </c>
      <c r="BA33" s="39">
        <v>74507533</v>
      </c>
      <c r="BB33" s="39" t="s">
        <v>152</v>
      </c>
      <c r="BC33" s="39" t="s">
        <v>150</v>
      </c>
      <c r="BD33" s="39" t="s">
        <v>539</v>
      </c>
      <c r="BE33" s="39" t="s">
        <v>125</v>
      </c>
      <c r="BF33" s="39"/>
      <c r="BG33" s="39" t="s">
        <v>298</v>
      </c>
      <c r="BH33" s="39" t="s">
        <v>149</v>
      </c>
      <c r="BI33" s="39"/>
      <c r="BJ33" s="39"/>
      <c r="BK33" s="39"/>
      <c r="BL33" s="39">
        <v>110289345</v>
      </c>
      <c r="BM33" s="39" t="s">
        <v>205</v>
      </c>
      <c r="BN33" s="39" t="s">
        <v>212</v>
      </c>
    </row>
    <row r="34" spans="1:66" hidden="1">
      <c r="A34" s="39">
        <v>33</v>
      </c>
      <c r="B34" s="39" t="s">
        <v>118</v>
      </c>
      <c r="C34" s="39" t="s">
        <v>119</v>
      </c>
      <c r="D34" s="39"/>
      <c r="E34" s="39" t="s">
        <v>651</v>
      </c>
      <c r="F34" s="39"/>
      <c r="G34" s="39" t="s">
        <v>652</v>
      </c>
      <c r="H34" s="39" t="s">
        <v>653</v>
      </c>
      <c r="I34" s="39"/>
      <c r="J34" s="39" t="s">
        <v>126</v>
      </c>
      <c r="K34" s="39" t="s">
        <v>16</v>
      </c>
      <c r="L34" s="39" t="s">
        <v>188</v>
      </c>
      <c r="M34" s="39" t="s">
        <v>356</v>
      </c>
      <c r="N34" s="39"/>
      <c r="O34" s="39"/>
      <c r="P34" s="39"/>
      <c r="Q34" s="39" t="s">
        <v>578</v>
      </c>
      <c r="R34" s="39" t="s">
        <v>16</v>
      </c>
      <c r="S34" s="39" t="s">
        <v>654</v>
      </c>
      <c r="T34" s="39" t="s">
        <v>359</v>
      </c>
      <c r="U34" s="39" t="s">
        <v>655</v>
      </c>
      <c r="V34" s="39" t="s">
        <v>132</v>
      </c>
      <c r="W34" s="39" t="s">
        <v>133</v>
      </c>
      <c r="X34" s="39" t="s">
        <v>126</v>
      </c>
      <c r="Y34" s="39" t="s">
        <v>134</v>
      </c>
      <c r="Z34" s="39" t="s">
        <v>587</v>
      </c>
      <c r="AA34" s="39" t="s">
        <v>588</v>
      </c>
      <c r="AB34" s="39" t="s">
        <v>578</v>
      </c>
      <c r="AC34" s="39">
        <v>5274859</v>
      </c>
      <c r="AD34" s="39" t="s">
        <v>16</v>
      </c>
      <c r="AE34" s="39" t="s">
        <v>655</v>
      </c>
      <c r="AF34" s="39" t="s">
        <v>656</v>
      </c>
      <c r="AG34" s="39" t="s">
        <v>655</v>
      </c>
      <c r="AH34" s="39" t="s">
        <v>657</v>
      </c>
      <c r="AI34" s="39" t="s">
        <v>658</v>
      </c>
      <c r="AJ34" s="39"/>
      <c r="AK34" s="39" t="s">
        <v>125</v>
      </c>
      <c r="AL34" s="39">
        <v>-1700</v>
      </c>
      <c r="AM34" s="39"/>
      <c r="AN34" s="39" t="s">
        <v>125</v>
      </c>
      <c r="AO34" s="39"/>
      <c r="AP34" s="39" t="s">
        <v>251</v>
      </c>
      <c r="AQ34" s="39"/>
      <c r="AR34" s="39" t="s">
        <v>592</v>
      </c>
      <c r="AS34" s="39"/>
      <c r="AT34" s="39" t="s">
        <v>659</v>
      </c>
      <c r="AU34" s="39"/>
      <c r="AV34" s="39" t="s">
        <v>660</v>
      </c>
      <c r="AW34" s="39"/>
      <c r="AX34" s="39"/>
      <c r="AY34" s="39"/>
      <c r="AZ34" s="39"/>
      <c r="BA34" s="39">
        <v>61156493</v>
      </c>
      <c r="BB34" s="39" t="s">
        <v>149</v>
      </c>
      <c r="BC34" s="39" t="s">
        <v>458</v>
      </c>
      <c r="BD34" s="39" t="s">
        <v>661</v>
      </c>
      <c r="BE34" s="39" t="s">
        <v>125</v>
      </c>
      <c r="BF34" s="39"/>
      <c r="BG34" s="39" t="s">
        <v>151</v>
      </c>
      <c r="BH34" s="39" t="s">
        <v>149</v>
      </c>
      <c r="BI34" s="39"/>
      <c r="BJ34" s="39"/>
      <c r="BK34" s="39"/>
      <c r="BL34" s="39"/>
      <c r="BM34" s="39"/>
      <c r="BN34" s="39"/>
    </row>
    <row r="35" spans="1:66" hidden="1">
      <c r="A35" s="39">
        <v>34</v>
      </c>
      <c r="B35" s="39" t="s">
        <v>118</v>
      </c>
      <c r="C35" s="39" t="s">
        <v>119</v>
      </c>
      <c r="D35" s="39"/>
      <c r="E35" s="39" t="s">
        <v>651</v>
      </c>
      <c r="F35" s="39"/>
      <c r="G35" s="39" t="s">
        <v>652</v>
      </c>
      <c r="H35" s="39" t="s">
        <v>653</v>
      </c>
      <c r="I35" s="39"/>
      <c r="J35" s="39" t="s">
        <v>126</v>
      </c>
      <c r="K35" s="39" t="s">
        <v>16</v>
      </c>
      <c r="L35" s="39" t="s">
        <v>188</v>
      </c>
      <c r="M35" s="39" t="s">
        <v>356</v>
      </c>
      <c r="N35" s="39"/>
      <c r="O35" s="39"/>
      <c r="P35" s="39"/>
      <c r="Q35" s="39" t="s">
        <v>578</v>
      </c>
      <c r="R35" s="39" t="s">
        <v>16</v>
      </c>
      <c r="S35" s="39" t="s">
        <v>654</v>
      </c>
      <c r="T35" s="39" t="s">
        <v>359</v>
      </c>
      <c r="U35" s="39" t="s">
        <v>655</v>
      </c>
      <c r="V35" s="39" t="s">
        <v>132</v>
      </c>
      <c r="W35" s="39" t="s">
        <v>133</v>
      </c>
      <c r="X35" s="39" t="s">
        <v>126</v>
      </c>
      <c r="Y35" s="39" t="s">
        <v>134</v>
      </c>
      <c r="Z35" s="39" t="s">
        <v>587</v>
      </c>
      <c r="AA35" s="39" t="s">
        <v>588</v>
      </c>
      <c r="AB35" s="39" t="s">
        <v>578</v>
      </c>
      <c r="AC35" s="39">
        <v>5274859</v>
      </c>
      <c r="AD35" s="39" t="s">
        <v>16</v>
      </c>
      <c r="AE35" s="39" t="s">
        <v>655</v>
      </c>
      <c r="AF35" s="39" t="s">
        <v>656</v>
      </c>
      <c r="AG35" s="39" t="s">
        <v>655</v>
      </c>
      <c r="AH35" s="39" t="s">
        <v>662</v>
      </c>
      <c r="AI35" s="39" t="s">
        <v>591</v>
      </c>
      <c r="AJ35" s="39"/>
      <c r="AK35" s="39" t="s">
        <v>125</v>
      </c>
      <c r="AL35" s="39">
        <v>1700</v>
      </c>
      <c r="AM35" s="39"/>
      <c r="AN35" s="39" t="s">
        <v>125</v>
      </c>
      <c r="AO35" s="39"/>
      <c r="AP35" s="39" t="s">
        <v>251</v>
      </c>
      <c r="AQ35" s="39"/>
      <c r="AR35" s="39" t="s">
        <v>592</v>
      </c>
      <c r="AS35" s="39"/>
      <c r="AT35" s="39" t="s">
        <v>659</v>
      </c>
      <c r="AU35" s="39"/>
      <c r="AV35" s="39" t="s">
        <v>660</v>
      </c>
      <c r="AW35" s="39"/>
      <c r="AX35" s="39"/>
      <c r="AY35" s="39"/>
      <c r="AZ35" s="39"/>
      <c r="BA35" s="39">
        <v>61156493</v>
      </c>
      <c r="BB35" s="39" t="s">
        <v>149</v>
      </c>
      <c r="BC35" s="39" t="s">
        <v>458</v>
      </c>
      <c r="BD35" s="39" t="s">
        <v>661</v>
      </c>
      <c r="BE35" s="39" t="s">
        <v>125</v>
      </c>
      <c r="BF35" s="39"/>
      <c r="BG35" s="39" t="s">
        <v>151</v>
      </c>
      <c r="BH35" s="39" t="s">
        <v>149</v>
      </c>
      <c r="BI35" s="39"/>
      <c r="BJ35" s="39"/>
      <c r="BK35" s="39"/>
      <c r="BL35" s="39"/>
      <c r="BM35" s="39"/>
      <c r="BN35" s="39"/>
    </row>
    <row r="36" spans="1:66" hidden="1">
      <c r="A36" s="39">
        <v>35</v>
      </c>
      <c r="B36" s="39" t="s">
        <v>118</v>
      </c>
      <c r="C36" s="39" t="s">
        <v>119</v>
      </c>
      <c r="D36" s="39" t="s">
        <v>663</v>
      </c>
      <c r="E36" s="39" t="s">
        <v>664</v>
      </c>
      <c r="F36" s="39" t="s">
        <v>122</v>
      </c>
      <c r="G36" s="39" t="s">
        <v>665</v>
      </c>
      <c r="H36" s="39" t="s">
        <v>666</v>
      </c>
      <c r="I36" s="39" t="s">
        <v>125</v>
      </c>
      <c r="J36" s="39" t="s">
        <v>187</v>
      </c>
      <c r="K36" s="39" t="s">
        <v>21</v>
      </c>
      <c r="L36" s="39" t="s">
        <v>188</v>
      </c>
      <c r="M36" s="39" t="s">
        <v>189</v>
      </c>
      <c r="N36" s="39" t="s">
        <v>667</v>
      </c>
      <c r="O36" s="39"/>
      <c r="P36" s="39"/>
      <c r="Q36" s="39" t="s">
        <v>663</v>
      </c>
      <c r="R36" s="39" t="s">
        <v>21</v>
      </c>
      <c r="S36" s="39" t="s">
        <v>668</v>
      </c>
      <c r="T36" s="39" t="s">
        <v>130</v>
      </c>
      <c r="U36" s="39" t="s">
        <v>669</v>
      </c>
      <c r="V36" s="39" t="s">
        <v>132</v>
      </c>
      <c r="W36" s="39" t="s">
        <v>194</v>
      </c>
      <c r="X36" s="39" t="s">
        <v>126</v>
      </c>
      <c r="Y36" s="39" t="s">
        <v>670</v>
      </c>
      <c r="Z36" s="39" t="s">
        <v>196</v>
      </c>
      <c r="AA36" s="39" t="s">
        <v>197</v>
      </c>
      <c r="AB36" s="39" t="s">
        <v>663</v>
      </c>
      <c r="AC36" s="39">
        <v>5462692</v>
      </c>
      <c r="AD36" s="39" t="s">
        <v>21</v>
      </c>
      <c r="AE36" s="39" t="s">
        <v>671</v>
      </c>
      <c r="AF36" s="39" t="s">
        <v>21</v>
      </c>
      <c r="AG36" s="39" t="s">
        <v>672</v>
      </c>
      <c r="AH36" s="39" t="s">
        <v>200</v>
      </c>
      <c r="AI36" s="39" t="s">
        <v>201</v>
      </c>
      <c r="AJ36" s="39" t="s">
        <v>140</v>
      </c>
      <c r="AK36" s="39" t="s">
        <v>125</v>
      </c>
      <c r="AL36" s="39">
        <v>5180</v>
      </c>
      <c r="AM36" s="39"/>
      <c r="AN36" s="39" t="s">
        <v>667</v>
      </c>
      <c r="AO36" s="39" t="s">
        <v>142</v>
      </c>
      <c r="AP36" s="39" t="s">
        <v>143</v>
      </c>
      <c r="AQ36" s="39" t="s">
        <v>312</v>
      </c>
      <c r="AR36" s="39" t="s">
        <v>673</v>
      </c>
      <c r="AS36" s="39" t="s">
        <v>674</v>
      </c>
      <c r="AT36" s="39" t="s">
        <v>147</v>
      </c>
      <c r="AU36" s="39"/>
      <c r="AV36" s="39" t="s">
        <v>675</v>
      </c>
      <c r="AW36" s="39"/>
      <c r="AX36" s="39"/>
      <c r="AY36" s="39"/>
      <c r="AZ36" s="39"/>
      <c r="BA36" s="39">
        <v>53617744</v>
      </c>
      <c r="BB36" s="39" t="s">
        <v>149</v>
      </c>
      <c r="BC36" s="39" t="s">
        <v>150</v>
      </c>
      <c r="BD36" s="39" t="s">
        <v>179</v>
      </c>
      <c r="BE36" s="39" t="s">
        <v>125</v>
      </c>
      <c r="BF36" s="39"/>
      <c r="BG36" s="39" t="s">
        <v>180</v>
      </c>
      <c r="BH36" s="39" t="s">
        <v>152</v>
      </c>
      <c r="BI36" s="39" t="s">
        <v>125</v>
      </c>
      <c r="BJ36" s="39"/>
      <c r="BK36" s="39" t="s">
        <v>153</v>
      </c>
      <c r="BL36" s="39"/>
      <c r="BM36" s="39" t="s">
        <v>154</v>
      </c>
      <c r="BN36" s="39" t="s">
        <v>155</v>
      </c>
    </row>
    <row r="37" spans="1:66" hidden="1">
      <c r="A37" s="39">
        <v>36</v>
      </c>
      <c r="B37" s="39" t="s">
        <v>118</v>
      </c>
      <c r="C37" s="39" t="s">
        <v>119</v>
      </c>
      <c r="D37" s="39" t="s">
        <v>676</v>
      </c>
      <c r="E37" s="39" t="s">
        <v>677</v>
      </c>
      <c r="F37" s="39" t="s">
        <v>279</v>
      </c>
      <c r="G37" s="39" t="s">
        <v>678</v>
      </c>
      <c r="H37" s="39" t="s">
        <v>679</v>
      </c>
      <c r="I37" s="39" t="s">
        <v>505</v>
      </c>
      <c r="J37" s="39" t="s">
        <v>506</v>
      </c>
      <c r="K37" s="39" t="s">
        <v>262</v>
      </c>
      <c r="L37" s="39" t="s">
        <v>162</v>
      </c>
      <c r="M37" s="39" t="s">
        <v>163</v>
      </c>
      <c r="N37" s="39" t="s">
        <v>125</v>
      </c>
      <c r="O37" s="39" t="s">
        <v>262</v>
      </c>
      <c r="P37" s="39" t="s">
        <v>680</v>
      </c>
      <c r="Q37" s="39" t="s">
        <v>676</v>
      </c>
      <c r="R37" s="39" t="s">
        <v>16</v>
      </c>
      <c r="S37" s="39" t="s">
        <v>681</v>
      </c>
      <c r="T37" s="39" t="s">
        <v>130</v>
      </c>
      <c r="U37" s="39" t="s">
        <v>682</v>
      </c>
      <c r="V37" s="39" t="s">
        <v>132</v>
      </c>
      <c r="W37" s="39" t="s">
        <v>168</v>
      </c>
      <c r="X37" s="39" t="s">
        <v>355</v>
      </c>
      <c r="Y37" s="39" t="s">
        <v>683</v>
      </c>
      <c r="Z37" s="39" t="s">
        <v>684</v>
      </c>
      <c r="AA37" s="39" t="s">
        <v>685</v>
      </c>
      <c r="AB37" s="39" t="s">
        <v>676</v>
      </c>
      <c r="AC37" s="39">
        <v>5462240</v>
      </c>
      <c r="AD37" s="39" t="s">
        <v>16</v>
      </c>
      <c r="AE37" s="39" t="s">
        <v>686</v>
      </c>
      <c r="AF37" s="39" t="s">
        <v>16</v>
      </c>
      <c r="AG37" s="39" t="s">
        <v>686</v>
      </c>
      <c r="AH37" s="39" t="s">
        <v>172</v>
      </c>
      <c r="AI37" s="39" t="s">
        <v>173</v>
      </c>
      <c r="AJ37" s="39" t="s">
        <v>140</v>
      </c>
      <c r="AK37" s="39" t="s">
        <v>125</v>
      </c>
      <c r="AL37" s="39">
        <v>5180</v>
      </c>
      <c r="AM37" s="39"/>
      <c r="AN37" s="39" t="s">
        <v>125</v>
      </c>
      <c r="AO37" s="39" t="s">
        <v>142</v>
      </c>
      <c r="AP37" s="39" t="s">
        <v>143</v>
      </c>
      <c r="AQ37" s="39" t="s">
        <v>175</v>
      </c>
      <c r="AR37" s="39" t="s">
        <v>687</v>
      </c>
      <c r="AS37" s="39" t="s">
        <v>688</v>
      </c>
      <c r="AT37" s="39" t="s">
        <v>147</v>
      </c>
      <c r="AU37" s="39"/>
      <c r="AV37" s="39" t="s">
        <v>689</v>
      </c>
      <c r="AW37" s="39"/>
      <c r="AX37" s="39"/>
      <c r="AY37" s="39"/>
      <c r="AZ37" s="39"/>
      <c r="BA37" s="39">
        <v>56219336</v>
      </c>
      <c r="BB37" s="39" t="s">
        <v>149</v>
      </c>
      <c r="BC37" s="39" t="s">
        <v>150</v>
      </c>
      <c r="BD37" s="39" t="s">
        <v>179</v>
      </c>
      <c r="BE37" s="39" t="s">
        <v>125</v>
      </c>
      <c r="BF37" s="39"/>
      <c r="BG37" s="39" t="s">
        <v>298</v>
      </c>
      <c r="BH37" s="39" t="s">
        <v>152</v>
      </c>
      <c r="BI37" s="39" t="s">
        <v>125</v>
      </c>
      <c r="BJ37" s="39"/>
      <c r="BK37" s="39" t="s">
        <v>153</v>
      </c>
      <c r="BL37" s="39"/>
      <c r="BM37" s="39" t="s">
        <v>154</v>
      </c>
      <c r="BN37" s="39" t="s">
        <v>523</v>
      </c>
    </row>
    <row r="38" spans="1:66" hidden="1">
      <c r="A38" s="39">
        <v>37</v>
      </c>
      <c r="B38" s="39" t="s">
        <v>118</v>
      </c>
      <c r="C38" s="39" t="s">
        <v>119</v>
      </c>
      <c r="D38" s="39" t="s">
        <v>690</v>
      </c>
      <c r="E38" s="39" t="s">
        <v>691</v>
      </c>
      <c r="F38" s="39" t="s">
        <v>279</v>
      </c>
      <c r="G38" s="39" t="s">
        <v>692</v>
      </c>
      <c r="H38" s="39" t="s">
        <v>693</v>
      </c>
      <c r="I38" s="39"/>
      <c r="J38" s="39" t="s">
        <v>418</v>
      </c>
      <c r="K38" s="39" t="s">
        <v>22</v>
      </c>
      <c r="L38" s="39" t="s">
        <v>263</v>
      </c>
      <c r="M38" s="39" t="s">
        <v>694</v>
      </c>
      <c r="N38" s="39" t="s">
        <v>125</v>
      </c>
      <c r="O38" s="39"/>
      <c r="P38" s="39"/>
      <c r="Q38" s="39" t="s">
        <v>690</v>
      </c>
      <c r="R38" s="39" t="s">
        <v>22</v>
      </c>
      <c r="S38" s="39" t="s">
        <v>695</v>
      </c>
      <c r="T38" s="39" t="s">
        <v>130</v>
      </c>
      <c r="U38" s="39" t="s">
        <v>696</v>
      </c>
      <c r="V38" s="39" t="s">
        <v>132</v>
      </c>
      <c r="W38" s="39" t="s">
        <v>133</v>
      </c>
      <c r="X38" s="39" t="s">
        <v>418</v>
      </c>
      <c r="Y38" s="39" t="s">
        <v>288</v>
      </c>
      <c r="Z38" s="39" t="s">
        <v>196</v>
      </c>
      <c r="AA38" s="39" t="s">
        <v>197</v>
      </c>
      <c r="AB38" s="39" t="s">
        <v>690</v>
      </c>
      <c r="AC38" s="39">
        <v>5461966</v>
      </c>
      <c r="AD38" s="39" t="s">
        <v>23</v>
      </c>
      <c r="AE38" s="39" t="s">
        <v>697</v>
      </c>
      <c r="AF38" s="39" t="s">
        <v>22</v>
      </c>
      <c r="AG38" s="39" t="s">
        <v>698</v>
      </c>
      <c r="AH38" s="39"/>
      <c r="AI38" s="39"/>
      <c r="AJ38" s="39" t="s">
        <v>140</v>
      </c>
      <c r="AK38" s="39" t="s">
        <v>125</v>
      </c>
      <c r="AL38" s="39">
        <v>7500</v>
      </c>
      <c r="AM38" s="39"/>
      <c r="AN38" s="39" t="s">
        <v>125</v>
      </c>
      <c r="AO38" s="39" t="s">
        <v>699</v>
      </c>
      <c r="AP38" s="39" t="s">
        <v>143</v>
      </c>
      <c r="AQ38" s="39"/>
      <c r="AR38" s="39" t="s">
        <v>700</v>
      </c>
      <c r="AS38" s="39"/>
      <c r="AT38" s="39"/>
      <c r="AU38" s="39"/>
      <c r="AV38" s="39" t="s">
        <v>701</v>
      </c>
      <c r="AW38" s="39"/>
      <c r="AX38" s="39"/>
      <c r="AY38" s="39"/>
      <c r="AZ38" s="39"/>
      <c r="BA38" s="39">
        <v>30764393</v>
      </c>
      <c r="BB38" s="39" t="s">
        <v>149</v>
      </c>
      <c r="BC38" s="39" t="s">
        <v>150</v>
      </c>
      <c r="BD38" s="39" t="s">
        <v>139</v>
      </c>
      <c r="BE38" s="39" t="s">
        <v>125</v>
      </c>
      <c r="BF38" s="39"/>
      <c r="BG38" s="39" t="s">
        <v>298</v>
      </c>
      <c r="BH38" s="39" t="s">
        <v>149</v>
      </c>
      <c r="BI38" s="39" t="s">
        <v>125</v>
      </c>
      <c r="BJ38" s="39"/>
      <c r="BK38" s="39"/>
      <c r="BL38" s="39"/>
      <c r="BM38" s="39" t="s">
        <v>205</v>
      </c>
      <c r="BN38" s="39" t="s">
        <v>333</v>
      </c>
    </row>
    <row r="39" spans="1:66" hidden="1">
      <c r="A39" s="39">
        <v>38</v>
      </c>
      <c r="B39" s="39" t="s">
        <v>118</v>
      </c>
      <c r="C39" s="39" t="s">
        <v>119</v>
      </c>
      <c r="D39" s="39" t="s">
        <v>702</v>
      </c>
      <c r="E39" s="39" t="s">
        <v>703</v>
      </c>
      <c r="F39" s="39" t="s">
        <v>184</v>
      </c>
      <c r="G39" s="39" t="s">
        <v>704</v>
      </c>
      <c r="H39" s="39" t="s">
        <v>705</v>
      </c>
      <c r="I39" s="39" t="s">
        <v>125</v>
      </c>
      <c r="J39" s="39" t="s">
        <v>187</v>
      </c>
      <c r="K39" s="39" t="s">
        <v>22</v>
      </c>
      <c r="L39" s="39" t="s">
        <v>188</v>
      </c>
      <c r="M39" s="39" t="s">
        <v>189</v>
      </c>
      <c r="N39" s="39" t="s">
        <v>706</v>
      </c>
      <c r="O39" s="39"/>
      <c r="P39" s="39"/>
      <c r="Q39" s="39" t="s">
        <v>707</v>
      </c>
      <c r="R39" s="39" t="s">
        <v>22</v>
      </c>
      <c r="S39" s="39" t="s">
        <v>708</v>
      </c>
      <c r="T39" s="39" t="s">
        <v>130</v>
      </c>
      <c r="U39" s="39" t="s">
        <v>709</v>
      </c>
      <c r="V39" s="39" t="s">
        <v>132</v>
      </c>
      <c r="W39" s="39" t="s">
        <v>399</v>
      </c>
      <c r="X39" s="39" t="s">
        <v>187</v>
      </c>
      <c r="Y39" s="39" t="s">
        <v>710</v>
      </c>
      <c r="Z39" s="39" t="s">
        <v>196</v>
      </c>
      <c r="AA39" s="39" t="s">
        <v>197</v>
      </c>
      <c r="AB39" s="39" t="s">
        <v>707</v>
      </c>
      <c r="AC39" s="39">
        <v>5461960</v>
      </c>
      <c r="AD39" s="39" t="s">
        <v>23</v>
      </c>
      <c r="AE39" s="39" t="s">
        <v>711</v>
      </c>
      <c r="AF39" s="39" t="s">
        <v>22</v>
      </c>
      <c r="AG39" s="39" t="s">
        <v>711</v>
      </c>
      <c r="AH39" s="39"/>
      <c r="AI39" s="39"/>
      <c r="AJ39" s="39" t="s">
        <v>140</v>
      </c>
      <c r="AK39" s="39" t="s">
        <v>125</v>
      </c>
      <c r="AL39" s="39">
        <v>7500</v>
      </c>
      <c r="AM39" s="39"/>
      <c r="AN39" s="39" t="s">
        <v>706</v>
      </c>
      <c r="AO39" s="39" t="s">
        <v>699</v>
      </c>
      <c r="AP39" s="39" t="s">
        <v>143</v>
      </c>
      <c r="AQ39" s="39"/>
      <c r="AR39" s="39" t="s">
        <v>712</v>
      </c>
      <c r="AS39" s="39"/>
      <c r="AT39" s="39"/>
      <c r="AU39" s="39"/>
      <c r="AV39" s="39" t="s">
        <v>713</v>
      </c>
      <c r="AW39" s="39"/>
      <c r="AX39" s="39"/>
      <c r="AY39" s="39"/>
      <c r="AZ39" s="39"/>
      <c r="BA39" s="39">
        <v>75239696</v>
      </c>
      <c r="BB39" s="39" t="s">
        <v>149</v>
      </c>
      <c r="BC39" s="39" t="s">
        <v>150</v>
      </c>
      <c r="BD39" s="39" t="s">
        <v>714</v>
      </c>
      <c r="BE39" s="39" t="s">
        <v>125</v>
      </c>
      <c r="BF39" s="39"/>
      <c r="BG39" s="39" t="s">
        <v>180</v>
      </c>
      <c r="BH39" s="39" t="s">
        <v>149</v>
      </c>
      <c r="BI39" s="39" t="s">
        <v>125</v>
      </c>
      <c r="BJ39" s="39"/>
      <c r="BK39" s="39"/>
      <c r="BL39" s="39"/>
      <c r="BM39" s="39"/>
      <c r="BN39" s="39" t="s">
        <v>155</v>
      </c>
    </row>
    <row r="40" spans="1:66" hidden="1">
      <c r="A40" s="39">
        <v>39</v>
      </c>
      <c r="B40" s="39" t="s">
        <v>118</v>
      </c>
      <c r="C40" s="39" t="s">
        <v>119</v>
      </c>
      <c r="D40" s="39" t="s">
        <v>702</v>
      </c>
      <c r="E40" s="39" t="s">
        <v>703</v>
      </c>
      <c r="F40" s="39" t="s">
        <v>184</v>
      </c>
      <c r="G40" s="39" t="s">
        <v>704</v>
      </c>
      <c r="H40" s="39" t="s">
        <v>705</v>
      </c>
      <c r="I40" s="39" t="s">
        <v>125</v>
      </c>
      <c r="J40" s="39" t="s">
        <v>187</v>
      </c>
      <c r="K40" s="39" t="s">
        <v>22</v>
      </c>
      <c r="L40" s="39" t="s">
        <v>188</v>
      </c>
      <c r="M40" s="39" t="s">
        <v>189</v>
      </c>
      <c r="N40" s="39" t="s">
        <v>706</v>
      </c>
      <c r="O40" s="39"/>
      <c r="P40" s="39"/>
      <c r="Q40" s="39" t="s">
        <v>707</v>
      </c>
      <c r="R40" s="39" t="s">
        <v>22</v>
      </c>
      <c r="S40" s="39" t="s">
        <v>708</v>
      </c>
      <c r="T40" s="39" t="s">
        <v>130</v>
      </c>
      <c r="U40" s="39" t="s">
        <v>709</v>
      </c>
      <c r="V40" s="39" t="s">
        <v>132</v>
      </c>
      <c r="W40" s="39" t="s">
        <v>399</v>
      </c>
      <c r="X40" s="39" t="s">
        <v>187</v>
      </c>
      <c r="Y40" s="39" t="s">
        <v>710</v>
      </c>
      <c r="Z40" s="39" t="s">
        <v>196</v>
      </c>
      <c r="AA40" s="39" t="s">
        <v>197</v>
      </c>
      <c r="AB40" s="39" t="s">
        <v>707</v>
      </c>
      <c r="AC40" s="39">
        <v>5461959</v>
      </c>
      <c r="AD40" s="39" t="s">
        <v>22</v>
      </c>
      <c r="AE40" s="39" t="s">
        <v>711</v>
      </c>
      <c r="AF40" s="39" t="s">
        <v>22</v>
      </c>
      <c r="AG40" s="39" t="s">
        <v>711</v>
      </c>
      <c r="AH40" s="39" t="s">
        <v>516</v>
      </c>
      <c r="AI40" s="39" t="s">
        <v>517</v>
      </c>
      <c r="AJ40" s="39" t="s">
        <v>140</v>
      </c>
      <c r="AK40" s="39" t="s">
        <v>125</v>
      </c>
      <c r="AL40" s="39">
        <v>7500</v>
      </c>
      <c r="AM40" s="39"/>
      <c r="AN40" s="39" t="s">
        <v>706</v>
      </c>
      <c r="AO40" s="39" t="s">
        <v>142</v>
      </c>
      <c r="AP40" s="39" t="s">
        <v>143</v>
      </c>
      <c r="AQ40" s="39" t="s">
        <v>144</v>
      </c>
      <c r="AR40" s="39" t="s">
        <v>712</v>
      </c>
      <c r="AS40" s="39" t="s">
        <v>715</v>
      </c>
      <c r="AT40" s="39" t="s">
        <v>147</v>
      </c>
      <c r="AU40" s="39"/>
      <c r="AV40" s="39" t="s">
        <v>713</v>
      </c>
      <c r="AW40" s="39"/>
      <c r="AX40" s="39"/>
      <c r="AY40" s="39"/>
      <c r="AZ40" s="39"/>
      <c r="BA40" s="39">
        <v>75239696</v>
      </c>
      <c r="BB40" s="39" t="s">
        <v>149</v>
      </c>
      <c r="BC40" s="39" t="s">
        <v>150</v>
      </c>
      <c r="BD40" s="39" t="s">
        <v>714</v>
      </c>
      <c r="BE40" s="39" t="s">
        <v>125</v>
      </c>
      <c r="BF40" s="39"/>
      <c r="BG40" s="39" t="s">
        <v>180</v>
      </c>
      <c r="BH40" s="39" t="s">
        <v>152</v>
      </c>
      <c r="BI40" s="39" t="s">
        <v>125</v>
      </c>
      <c r="BJ40" s="39"/>
      <c r="BK40" s="39" t="s">
        <v>153</v>
      </c>
      <c r="BL40" s="39"/>
      <c r="BM40" s="39"/>
      <c r="BN40" s="39" t="s">
        <v>155</v>
      </c>
    </row>
    <row r="41" spans="1:66" hidden="1">
      <c r="A41" s="39">
        <v>40</v>
      </c>
      <c r="B41" s="39" t="s">
        <v>118</v>
      </c>
      <c r="C41" s="39" t="s">
        <v>119</v>
      </c>
      <c r="D41" s="39" t="s">
        <v>716</v>
      </c>
      <c r="E41" s="39" t="s">
        <v>717</v>
      </c>
      <c r="F41" s="39" t="s">
        <v>158</v>
      </c>
      <c r="G41" s="39" t="s">
        <v>718</v>
      </c>
      <c r="H41" s="39" t="s">
        <v>719</v>
      </c>
      <c r="I41" s="39" t="s">
        <v>125</v>
      </c>
      <c r="J41" s="39" t="s">
        <v>126</v>
      </c>
      <c r="K41" s="39" t="s">
        <v>23</v>
      </c>
      <c r="L41" s="39" t="s">
        <v>162</v>
      </c>
      <c r="M41" s="39" t="s">
        <v>720</v>
      </c>
      <c r="N41" s="39" t="s">
        <v>125</v>
      </c>
      <c r="O41" s="39"/>
      <c r="P41" s="39"/>
      <c r="Q41" s="39" t="s">
        <v>721</v>
      </c>
      <c r="R41" s="39" t="s">
        <v>23</v>
      </c>
      <c r="S41" s="39" t="s">
        <v>722</v>
      </c>
      <c r="T41" s="39" t="s">
        <v>130</v>
      </c>
      <c r="U41" s="39" t="s">
        <v>723</v>
      </c>
      <c r="V41" s="39" t="s">
        <v>132</v>
      </c>
      <c r="W41" s="39" t="s">
        <v>133</v>
      </c>
      <c r="X41" s="39" t="s">
        <v>126</v>
      </c>
      <c r="Y41" s="39" t="s">
        <v>288</v>
      </c>
      <c r="Z41" s="39" t="s">
        <v>196</v>
      </c>
      <c r="AA41" s="39" t="s">
        <v>197</v>
      </c>
      <c r="AB41" s="39" t="s">
        <v>721</v>
      </c>
      <c r="AC41" s="39">
        <v>5461115</v>
      </c>
      <c r="AD41" s="39" t="s">
        <v>23</v>
      </c>
      <c r="AE41" s="39" t="s">
        <v>724</v>
      </c>
      <c r="AF41" s="39" t="s">
        <v>23</v>
      </c>
      <c r="AG41" s="39" t="s">
        <v>725</v>
      </c>
      <c r="AH41" s="39" t="s">
        <v>138</v>
      </c>
      <c r="AI41" s="39" t="s">
        <v>139</v>
      </c>
      <c r="AJ41" s="39" t="s">
        <v>140</v>
      </c>
      <c r="AK41" s="39" t="s">
        <v>125</v>
      </c>
      <c r="AL41" s="39">
        <v>5180</v>
      </c>
      <c r="AM41" s="39"/>
      <c r="AN41" s="39" t="s">
        <v>125</v>
      </c>
      <c r="AO41" s="39" t="s">
        <v>142</v>
      </c>
      <c r="AP41" s="39" t="s">
        <v>143</v>
      </c>
      <c r="AQ41" s="39" t="s">
        <v>144</v>
      </c>
      <c r="AR41" s="39" t="s">
        <v>726</v>
      </c>
      <c r="AS41" s="39" t="s">
        <v>727</v>
      </c>
      <c r="AT41" s="39" t="s">
        <v>147</v>
      </c>
      <c r="AU41" s="39"/>
      <c r="AV41" s="39" t="s">
        <v>728</v>
      </c>
      <c r="AW41" s="39"/>
      <c r="AX41" s="39"/>
      <c r="AY41" s="39"/>
      <c r="AZ41" s="39"/>
      <c r="BA41" s="39">
        <v>56498228</v>
      </c>
      <c r="BB41" s="39" t="s">
        <v>149</v>
      </c>
      <c r="BC41" s="39" t="s">
        <v>150</v>
      </c>
      <c r="BD41" s="39" t="s">
        <v>139</v>
      </c>
      <c r="BE41" s="39" t="s">
        <v>125</v>
      </c>
      <c r="BF41" s="39"/>
      <c r="BG41" s="39" t="s">
        <v>298</v>
      </c>
      <c r="BH41" s="39" t="s">
        <v>152</v>
      </c>
      <c r="BI41" s="39" t="s">
        <v>125</v>
      </c>
      <c r="BJ41" s="39"/>
      <c r="BK41" s="39" t="s">
        <v>153</v>
      </c>
      <c r="BL41" s="39"/>
      <c r="BM41" s="39" t="s">
        <v>154</v>
      </c>
      <c r="BN41" s="39" t="s">
        <v>181</v>
      </c>
    </row>
    <row r="42" spans="1:66" hidden="1">
      <c r="A42" s="39">
        <v>41</v>
      </c>
      <c r="B42" s="39" t="s">
        <v>118</v>
      </c>
      <c r="C42" s="39" t="s">
        <v>119</v>
      </c>
      <c r="D42" s="39" t="s">
        <v>729</v>
      </c>
      <c r="E42" s="39" t="s">
        <v>730</v>
      </c>
      <c r="F42" s="39" t="s">
        <v>731</v>
      </c>
      <c r="G42" s="39" t="s">
        <v>732</v>
      </c>
      <c r="H42" s="39" t="s">
        <v>733</v>
      </c>
      <c r="I42" s="39" t="s">
        <v>734</v>
      </c>
      <c r="J42" s="39"/>
      <c r="K42" s="39" t="s">
        <v>16</v>
      </c>
      <c r="L42" s="39" t="s">
        <v>568</v>
      </c>
      <c r="M42" s="39" t="s">
        <v>735</v>
      </c>
      <c r="N42" s="39" t="s">
        <v>125</v>
      </c>
      <c r="O42" s="39"/>
      <c r="P42" s="39"/>
      <c r="Q42" s="39" t="s">
        <v>736</v>
      </c>
      <c r="R42" s="39" t="s">
        <v>16</v>
      </c>
      <c r="S42" s="39" t="s">
        <v>737</v>
      </c>
      <c r="T42" s="39" t="s">
        <v>130</v>
      </c>
      <c r="U42" s="39" t="s">
        <v>738</v>
      </c>
      <c r="V42" s="39" t="s">
        <v>132</v>
      </c>
      <c r="W42" s="39" t="s">
        <v>133</v>
      </c>
      <c r="X42" s="39" t="s">
        <v>418</v>
      </c>
      <c r="Y42" s="39" t="s">
        <v>629</v>
      </c>
      <c r="Z42" s="39" t="s">
        <v>739</v>
      </c>
      <c r="AA42" s="39" t="s">
        <v>740</v>
      </c>
      <c r="AB42" s="39" t="s">
        <v>736</v>
      </c>
      <c r="AC42" s="39">
        <v>5461008</v>
      </c>
      <c r="AD42" s="39" t="s">
        <v>16</v>
      </c>
      <c r="AE42" s="39" t="s">
        <v>741</v>
      </c>
      <c r="AF42" s="39" t="s">
        <v>16</v>
      </c>
      <c r="AG42" s="39" t="s">
        <v>741</v>
      </c>
      <c r="AH42" s="39" t="s">
        <v>742</v>
      </c>
      <c r="AI42" s="39" t="s">
        <v>743</v>
      </c>
      <c r="AJ42" s="39" t="s">
        <v>140</v>
      </c>
      <c r="AK42" s="39" t="s">
        <v>125</v>
      </c>
      <c r="AL42" s="39">
        <v>19300</v>
      </c>
      <c r="AM42" s="39"/>
      <c r="AN42" s="39" t="s">
        <v>125</v>
      </c>
      <c r="AO42" s="39" t="s">
        <v>142</v>
      </c>
      <c r="AP42" s="39" t="s">
        <v>143</v>
      </c>
      <c r="AQ42" s="39" t="s">
        <v>144</v>
      </c>
      <c r="AR42" s="39" t="s">
        <v>744</v>
      </c>
      <c r="AS42" s="39" t="s">
        <v>745</v>
      </c>
      <c r="AT42" s="39" t="s">
        <v>147</v>
      </c>
      <c r="AU42" s="39"/>
      <c r="AV42" s="39" t="s">
        <v>746</v>
      </c>
      <c r="AW42" s="39"/>
      <c r="AX42" s="39"/>
      <c r="AY42" s="39"/>
      <c r="AZ42" s="39"/>
      <c r="BA42" s="39">
        <v>80756773</v>
      </c>
      <c r="BB42" s="39" t="s">
        <v>149</v>
      </c>
      <c r="BC42" s="39" t="s">
        <v>150</v>
      </c>
      <c r="BD42" s="39" t="s">
        <v>139</v>
      </c>
      <c r="BE42" s="39" t="s">
        <v>125</v>
      </c>
      <c r="BF42" s="39"/>
      <c r="BG42" s="39" t="s">
        <v>637</v>
      </c>
      <c r="BH42" s="39" t="s">
        <v>152</v>
      </c>
      <c r="BI42" s="39" t="s">
        <v>125</v>
      </c>
      <c r="BJ42" s="39"/>
      <c r="BK42" s="39" t="s">
        <v>153</v>
      </c>
      <c r="BL42" s="39"/>
      <c r="BM42" s="39" t="s">
        <v>154</v>
      </c>
      <c r="BN42" s="39" t="s">
        <v>276</v>
      </c>
    </row>
    <row r="43" spans="1:66" hidden="1">
      <c r="A43" s="39">
        <v>42</v>
      </c>
      <c r="B43" s="39" t="s">
        <v>118</v>
      </c>
      <c r="C43" s="39" t="s">
        <v>119</v>
      </c>
      <c r="D43" s="39" t="s">
        <v>747</v>
      </c>
      <c r="E43" s="39" t="s">
        <v>748</v>
      </c>
      <c r="F43" s="39" t="s">
        <v>749</v>
      </c>
      <c r="G43" s="39" t="s">
        <v>750</v>
      </c>
      <c r="H43" s="39" t="s">
        <v>751</v>
      </c>
      <c r="I43" s="39" t="s">
        <v>125</v>
      </c>
      <c r="J43" s="39" t="s">
        <v>187</v>
      </c>
      <c r="K43" s="39" t="s">
        <v>22</v>
      </c>
      <c r="L43" s="39" t="s">
        <v>188</v>
      </c>
      <c r="M43" s="39" t="s">
        <v>189</v>
      </c>
      <c r="N43" s="39" t="s">
        <v>752</v>
      </c>
      <c r="O43" s="39"/>
      <c r="P43" s="39"/>
      <c r="Q43" s="39" t="s">
        <v>747</v>
      </c>
      <c r="R43" s="39" t="s">
        <v>22</v>
      </c>
      <c r="S43" s="39" t="s">
        <v>753</v>
      </c>
      <c r="T43" s="39" t="s">
        <v>130</v>
      </c>
      <c r="U43" s="39" t="s">
        <v>754</v>
      </c>
      <c r="V43" s="39" t="s">
        <v>132</v>
      </c>
      <c r="W43" s="39" t="s">
        <v>194</v>
      </c>
      <c r="X43" s="39" t="s">
        <v>187</v>
      </c>
      <c r="Y43" s="39" t="s">
        <v>755</v>
      </c>
      <c r="Z43" s="39" t="s">
        <v>196</v>
      </c>
      <c r="AA43" s="39" t="s">
        <v>197</v>
      </c>
      <c r="AB43" s="39" t="s">
        <v>747</v>
      </c>
      <c r="AC43" s="39">
        <v>5460582</v>
      </c>
      <c r="AD43" s="39" t="s">
        <v>22</v>
      </c>
      <c r="AE43" s="39" t="s">
        <v>756</v>
      </c>
      <c r="AF43" s="39" t="s">
        <v>22</v>
      </c>
      <c r="AG43" s="39" t="s">
        <v>757</v>
      </c>
      <c r="AH43" s="39" t="s">
        <v>217</v>
      </c>
      <c r="AI43" s="39" t="s">
        <v>218</v>
      </c>
      <c r="AJ43" s="39" t="s">
        <v>140</v>
      </c>
      <c r="AK43" s="39" t="s">
        <v>125</v>
      </c>
      <c r="AL43" s="39">
        <v>19300</v>
      </c>
      <c r="AM43" s="39"/>
      <c r="AN43" s="39" t="s">
        <v>752</v>
      </c>
      <c r="AO43" s="39" t="s">
        <v>142</v>
      </c>
      <c r="AP43" s="39" t="s">
        <v>143</v>
      </c>
      <c r="AQ43" s="39" t="s">
        <v>312</v>
      </c>
      <c r="AR43" s="39" t="s">
        <v>758</v>
      </c>
      <c r="AS43" s="39" t="s">
        <v>759</v>
      </c>
      <c r="AT43" s="39" t="s">
        <v>147</v>
      </c>
      <c r="AU43" s="39"/>
      <c r="AV43" s="39" t="s">
        <v>760</v>
      </c>
      <c r="AW43" s="39"/>
      <c r="AX43" s="39"/>
      <c r="AY43" s="39"/>
      <c r="AZ43" s="39"/>
      <c r="BA43" s="39">
        <v>74938785</v>
      </c>
      <c r="BB43" s="39" t="s">
        <v>149</v>
      </c>
      <c r="BC43" s="39" t="s">
        <v>150</v>
      </c>
      <c r="BD43" s="39" t="s">
        <v>179</v>
      </c>
      <c r="BE43" s="39" t="s">
        <v>125</v>
      </c>
      <c r="BF43" s="39"/>
      <c r="BG43" s="39" t="s">
        <v>180</v>
      </c>
      <c r="BH43" s="39" t="s">
        <v>152</v>
      </c>
      <c r="BI43" s="39" t="s">
        <v>125</v>
      </c>
      <c r="BJ43" s="39"/>
      <c r="BK43" s="39" t="s">
        <v>153</v>
      </c>
      <c r="BL43" s="39"/>
      <c r="BM43" s="39"/>
      <c r="BN43" s="39" t="s">
        <v>155</v>
      </c>
    </row>
    <row r="44" spans="1:66" hidden="1">
      <c r="A44" s="39">
        <v>43</v>
      </c>
      <c r="B44" s="39" t="s">
        <v>118</v>
      </c>
      <c r="C44" s="39" t="s">
        <v>119</v>
      </c>
      <c r="D44" s="39" t="s">
        <v>156</v>
      </c>
      <c r="E44" s="39" t="s">
        <v>761</v>
      </c>
      <c r="F44" s="39" t="s">
        <v>762</v>
      </c>
      <c r="G44" s="39" t="s">
        <v>763</v>
      </c>
      <c r="H44" s="39" t="s">
        <v>764</v>
      </c>
      <c r="I44" s="39"/>
      <c r="J44" s="39" t="s">
        <v>506</v>
      </c>
      <c r="K44" s="39" t="s">
        <v>16</v>
      </c>
      <c r="L44" s="39" t="s">
        <v>568</v>
      </c>
      <c r="M44" s="39" t="s">
        <v>276</v>
      </c>
      <c r="N44" s="39" t="s">
        <v>125</v>
      </c>
      <c r="O44" s="39"/>
      <c r="P44" s="39"/>
      <c r="Q44" s="39" t="s">
        <v>765</v>
      </c>
      <c r="R44" s="39" t="s">
        <v>16</v>
      </c>
      <c r="S44" s="39" t="s">
        <v>766</v>
      </c>
      <c r="T44" s="39" t="s">
        <v>130</v>
      </c>
      <c r="U44" s="39" t="s">
        <v>767</v>
      </c>
      <c r="V44" s="39" t="s">
        <v>132</v>
      </c>
      <c r="W44" s="39" t="s">
        <v>133</v>
      </c>
      <c r="X44" s="39" t="s">
        <v>355</v>
      </c>
      <c r="Y44" s="39" t="s">
        <v>768</v>
      </c>
      <c r="Z44" s="39" t="s">
        <v>769</v>
      </c>
      <c r="AA44" s="39" t="s">
        <v>534</v>
      </c>
      <c r="AB44" s="39" t="s">
        <v>765</v>
      </c>
      <c r="AC44" s="39">
        <v>5460210</v>
      </c>
      <c r="AD44" s="39" t="s">
        <v>16</v>
      </c>
      <c r="AE44" s="39" t="s">
        <v>770</v>
      </c>
      <c r="AF44" s="39" t="s">
        <v>16</v>
      </c>
      <c r="AG44" s="39" t="s">
        <v>770</v>
      </c>
      <c r="AH44" s="39" t="s">
        <v>138</v>
      </c>
      <c r="AI44" s="39" t="s">
        <v>139</v>
      </c>
      <c r="AJ44" s="39" t="s">
        <v>140</v>
      </c>
      <c r="AK44" s="39" t="s">
        <v>125</v>
      </c>
      <c r="AL44" s="39">
        <v>5180</v>
      </c>
      <c r="AM44" s="39"/>
      <c r="AN44" s="39" t="s">
        <v>125</v>
      </c>
      <c r="AO44" s="39" t="s">
        <v>142</v>
      </c>
      <c r="AP44" s="39" t="s">
        <v>143</v>
      </c>
      <c r="AQ44" s="39" t="s">
        <v>144</v>
      </c>
      <c r="AR44" s="39" t="s">
        <v>771</v>
      </c>
      <c r="AS44" s="39" t="s">
        <v>772</v>
      </c>
      <c r="AT44" s="39" t="s">
        <v>147</v>
      </c>
      <c r="AU44" s="39"/>
      <c r="AV44" s="39" t="s">
        <v>773</v>
      </c>
      <c r="AW44" s="39"/>
      <c r="AX44" s="39"/>
      <c r="AY44" s="39"/>
      <c r="AZ44" s="39"/>
      <c r="BA44" s="39">
        <v>80693760</v>
      </c>
      <c r="BB44" s="39" t="s">
        <v>149</v>
      </c>
      <c r="BC44" s="39" t="s">
        <v>150</v>
      </c>
      <c r="BD44" s="39" t="s">
        <v>139</v>
      </c>
      <c r="BE44" s="39" t="s">
        <v>125</v>
      </c>
      <c r="BF44" s="39"/>
      <c r="BG44" s="39" t="s">
        <v>298</v>
      </c>
      <c r="BH44" s="39" t="s">
        <v>152</v>
      </c>
      <c r="BI44" s="39" t="s">
        <v>125</v>
      </c>
      <c r="BJ44" s="39"/>
      <c r="BK44" s="39" t="s">
        <v>153</v>
      </c>
      <c r="BL44" s="39"/>
      <c r="BM44" s="39" t="s">
        <v>154</v>
      </c>
      <c r="BN44" s="39" t="s">
        <v>181</v>
      </c>
    </row>
    <row r="45" spans="1:66" hidden="1">
      <c r="A45" s="39">
        <v>44</v>
      </c>
      <c r="B45" s="39" t="s">
        <v>118</v>
      </c>
      <c r="C45" s="39" t="s">
        <v>119</v>
      </c>
      <c r="D45" s="39" t="s">
        <v>506</v>
      </c>
      <c r="E45" s="39" t="s">
        <v>774</v>
      </c>
      <c r="F45" s="39" t="s">
        <v>525</v>
      </c>
      <c r="G45" s="39" t="s">
        <v>775</v>
      </c>
      <c r="H45" s="39" t="s">
        <v>776</v>
      </c>
      <c r="I45" s="39" t="s">
        <v>125</v>
      </c>
      <c r="J45" s="39" t="s">
        <v>355</v>
      </c>
      <c r="K45" s="39" t="s">
        <v>525</v>
      </c>
      <c r="L45" s="39" t="s">
        <v>305</v>
      </c>
      <c r="M45" s="39" t="s">
        <v>306</v>
      </c>
      <c r="N45" s="39" t="s">
        <v>125</v>
      </c>
      <c r="O45" s="39" t="s">
        <v>525</v>
      </c>
      <c r="P45" s="39" t="s">
        <v>777</v>
      </c>
      <c r="Q45" s="39" t="s">
        <v>778</v>
      </c>
      <c r="R45" s="39" t="s">
        <v>16</v>
      </c>
      <c r="S45" s="39" t="s">
        <v>779</v>
      </c>
      <c r="T45" s="39" t="s">
        <v>130</v>
      </c>
      <c r="U45" s="39" t="s">
        <v>780</v>
      </c>
      <c r="V45" s="39" t="s">
        <v>132</v>
      </c>
      <c r="W45" s="39" t="s">
        <v>168</v>
      </c>
      <c r="X45" s="39" t="s">
        <v>355</v>
      </c>
      <c r="Y45" s="39" t="s">
        <v>781</v>
      </c>
      <c r="Z45" s="39" t="s">
        <v>782</v>
      </c>
      <c r="AA45" s="39" t="s">
        <v>783</v>
      </c>
      <c r="AB45" s="39" t="s">
        <v>778</v>
      </c>
      <c r="AC45" s="39">
        <v>5460119</v>
      </c>
      <c r="AD45" s="39" t="s">
        <v>16</v>
      </c>
      <c r="AE45" s="39" t="s">
        <v>784</v>
      </c>
      <c r="AF45" s="39" t="s">
        <v>16</v>
      </c>
      <c r="AG45" s="39" t="s">
        <v>784</v>
      </c>
      <c r="AH45" s="39" t="s">
        <v>516</v>
      </c>
      <c r="AI45" s="39" t="s">
        <v>517</v>
      </c>
      <c r="AJ45" s="39" t="s">
        <v>140</v>
      </c>
      <c r="AK45" s="39" t="s">
        <v>125</v>
      </c>
      <c r="AL45" s="39">
        <v>15000</v>
      </c>
      <c r="AM45" s="39"/>
      <c r="AN45" s="39" t="s">
        <v>125</v>
      </c>
      <c r="AO45" s="39" t="s">
        <v>142</v>
      </c>
      <c r="AP45" s="39" t="s">
        <v>143</v>
      </c>
      <c r="AQ45" s="39" t="s">
        <v>312</v>
      </c>
      <c r="AR45" s="39" t="s">
        <v>785</v>
      </c>
      <c r="AS45" s="39" t="s">
        <v>786</v>
      </c>
      <c r="AT45" s="39" t="s">
        <v>147</v>
      </c>
      <c r="AU45" s="39"/>
      <c r="AV45" s="39" t="s">
        <v>787</v>
      </c>
      <c r="AW45" s="39"/>
      <c r="AX45" s="39"/>
      <c r="AY45" s="39"/>
      <c r="AZ45" s="39"/>
      <c r="BA45" s="39">
        <v>80547952</v>
      </c>
      <c r="BB45" s="39" t="s">
        <v>149</v>
      </c>
      <c r="BC45" s="39" t="s">
        <v>150</v>
      </c>
      <c r="BD45" s="39" t="s">
        <v>788</v>
      </c>
      <c r="BE45" s="39" t="s">
        <v>125</v>
      </c>
      <c r="BF45" s="39"/>
      <c r="BG45" s="39" t="s">
        <v>298</v>
      </c>
      <c r="BH45" s="39" t="s">
        <v>152</v>
      </c>
      <c r="BI45" s="39" t="s">
        <v>125</v>
      </c>
      <c r="BJ45" s="39"/>
      <c r="BK45" s="39" t="s">
        <v>153</v>
      </c>
      <c r="BL45" s="39"/>
      <c r="BM45" s="39" t="s">
        <v>205</v>
      </c>
      <c r="BN45" s="39" t="s">
        <v>155</v>
      </c>
    </row>
    <row r="46" spans="1:66" hidden="1">
      <c r="A46" s="39">
        <v>45</v>
      </c>
      <c r="B46" s="39" t="s">
        <v>118</v>
      </c>
      <c r="C46" s="39" t="s">
        <v>119</v>
      </c>
      <c r="D46" s="39" t="s">
        <v>789</v>
      </c>
      <c r="E46" s="39" t="s">
        <v>790</v>
      </c>
      <c r="F46" s="39" t="s">
        <v>279</v>
      </c>
      <c r="G46" s="39" t="s">
        <v>791</v>
      </c>
      <c r="H46" s="39" t="s">
        <v>792</v>
      </c>
      <c r="I46" s="39" t="s">
        <v>793</v>
      </c>
      <c r="J46" s="39" t="s">
        <v>506</v>
      </c>
      <c r="K46" s="39" t="s">
        <v>794</v>
      </c>
      <c r="L46" s="39" t="s">
        <v>162</v>
      </c>
      <c r="M46" s="39" t="s">
        <v>163</v>
      </c>
      <c r="N46" s="39"/>
      <c r="O46" s="39" t="s">
        <v>794</v>
      </c>
      <c r="P46" s="39" t="s">
        <v>795</v>
      </c>
      <c r="Q46" s="39" t="s">
        <v>796</v>
      </c>
      <c r="R46" s="39" t="s">
        <v>24</v>
      </c>
      <c r="S46" s="39" t="s">
        <v>797</v>
      </c>
      <c r="T46" s="39" t="s">
        <v>130</v>
      </c>
      <c r="U46" s="39" t="s">
        <v>798</v>
      </c>
      <c r="V46" s="39" t="s">
        <v>132</v>
      </c>
      <c r="W46" s="39" t="s">
        <v>613</v>
      </c>
      <c r="X46" s="39" t="s">
        <v>355</v>
      </c>
      <c r="Y46" s="39" t="s">
        <v>799</v>
      </c>
      <c r="Z46" s="39" t="s">
        <v>800</v>
      </c>
      <c r="AA46" s="39" t="s">
        <v>801</v>
      </c>
      <c r="AB46" s="39" t="s">
        <v>796</v>
      </c>
      <c r="AC46" s="39">
        <v>5433649</v>
      </c>
      <c r="AD46" s="39" t="s">
        <v>24</v>
      </c>
      <c r="AE46" s="39" t="s">
        <v>802</v>
      </c>
      <c r="AF46" s="39" t="s">
        <v>24</v>
      </c>
      <c r="AG46" s="39" t="s">
        <v>803</v>
      </c>
      <c r="AH46" s="39" t="s">
        <v>804</v>
      </c>
      <c r="AI46" s="39" t="s">
        <v>805</v>
      </c>
      <c r="AJ46" s="39" t="s">
        <v>140</v>
      </c>
      <c r="AK46" s="39" t="s">
        <v>125</v>
      </c>
      <c r="AL46" s="39">
        <v>36500</v>
      </c>
      <c r="AM46" s="39"/>
      <c r="AN46" s="39" t="s">
        <v>125</v>
      </c>
      <c r="AO46" s="39" t="s">
        <v>142</v>
      </c>
      <c r="AP46" s="39" t="s">
        <v>143</v>
      </c>
      <c r="AQ46" s="39"/>
      <c r="AR46" s="39" t="s">
        <v>806</v>
      </c>
      <c r="AS46" s="39"/>
      <c r="AT46" s="39" t="s">
        <v>147</v>
      </c>
      <c r="AU46" s="39"/>
      <c r="AV46" s="39" t="s">
        <v>807</v>
      </c>
      <c r="AW46" s="39"/>
      <c r="AX46" s="39"/>
      <c r="AY46" s="39"/>
      <c r="AZ46" s="39"/>
      <c r="BA46" s="39">
        <v>72560132</v>
      </c>
      <c r="BB46" s="39" t="s">
        <v>149</v>
      </c>
      <c r="BC46" s="39" t="s">
        <v>435</v>
      </c>
      <c r="BD46" s="39" t="s">
        <v>808</v>
      </c>
      <c r="BE46" s="39" t="s">
        <v>481</v>
      </c>
      <c r="BF46" s="39"/>
      <c r="BG46" s="39" t="s">
        <v>622</v>
      </c>
      <c r="BH46" s="39" t="s">
        <v>152</v>
      </c>
      <c r="BI46" s="39" t="s">
        <v>125</v>
      </c>
      <c r="BJ46" s="39"/>
      <c r="BK46" s="39"/>
      <c r="BL46" s="39"/>
      <c r="BM46" s="39" t="s">
        <v>154</v>
      </c>
      <c r="BN46" s="39" t="s">
        <v>523</v>
      </c>
    </row>
    <row r="47" spans="1:66" hidden="1">
      <c r="A47" s="39">
        <v>46</v>
      </c>
      <c r="B47" s="39" t="s">
        <v>118</v>
      </c>
      <c r="C47" s="39" t="s">
        <v>119</v>
      </c>
      <c r="D47" s="39" t="s">
        <v>809</v>
      </c>
      <c r="E47" s="39" t="s">
        <v>810</v>
      </c>
      <c r="F47" s="39" t="s">
        <v>811</v>
      </c>
      <c r="G47" s="39" t="s">
        <v>812</v>
      </c>
      <c r="H47" s="39" t="s">
        <v>813</v>
      </c>
      <c r="I47" s="39" t="s">
        <v>814</v>
      </c>
      <c r="J47" s="39" t="s">
        <v>187</v>
      </c>
      <c r="K47" s="39" t="s">
        <v>303</v>
      </c>
      <c r="L47" s="39" t="s">
        <v>61</v>
      </c>
      <c r="M47" s="39" t="s">
        <v>227</v>
      </c>
      <c r="N47" s="39" t="s">
        <v>125</v>
      </c>
      <c r="O47" s="39" t="s">
        <v>303</v>
      </c>
      <c r="P47" s="39" t="s">
        <v>815</v>
      </c>
      <c r="Q47" s="39" t="s">
        <v>809</v>
      </c>
      <c r="R47" s="39" t="s">
        <v>16</v>
      </c>
      <c r="S47" s="39" t="s">
        <v>816</v>
      </c>
      <c r="T47" s="39" t="s">
        <v>130</v>
      </c>
      <c r="U47" s="39" t="s">
        <v>817</v>
      </c>
      <c r="V47" s="39" t="s">
        <v>132</v>
      </c>
      <c r="W47" s="39" t="s">
        <v>818</v>
      </c>
      <c r="X47" s="39" t="s">
        <v>187</v>
      </c>
      <c r="Y47" s="39" t="s">
        <v>819</v>
      </c>
      <c r="Z47" s="39" t="s">
        <v>196</v>
      </c>
      <c r="AA47" s="39" t="s">
        <v>197</v>
      </c>
      <c r="AB47" s="39" t="s">
        <v>809</v>
      </c>
      <c r="AC47" s="39">
        <v>5433409</v>
      </c>
      <c r="AD47" s="39" t="s">
        <v>16</v>
      </c>
      <c r="AE47" s="39" t="s">
        <v>820</v>
      </c>
      <c r="AF47" s="39" t="s">
        <v>16</v>
      </c>
      <c r="AG47" s="39" t="s">
        <v>820</v>
      </c>
      <c r="AH47" s="39" t="s">
        <v>821</v>
      </c>
      <c r="AI47" s="39" t="s">
        <v>413</v>
      </c>
      <c r="AJ47" s="39" t="s">
        <v>140</v>
      </c>
      <c r="AK47" s="39" t="s">
        <v>125</v>
      </c>
      <c r="AL47" s="39">
        <v>4480</v>
      </c>
      <c r="AM47" s="39"/>
      <c r="AN47" s="39" t="s">
        <v>125</v>
      </c>
      <c r="AO47" s="39" t="s">
        <v>142</v>
      </c>
      <c r="AP47" s="39" t="s">
        <v>143</v>
      </c>
      <c r="AQ47" s="39" t="s">
        <v>312</v>
      </c>
      <c r="AR47" s="39" t="s">
        <v>822</v>
      </c>
      <c r="AS47" s="39" t="s">
        <v>823</v>
      </c>
      <c r="AT47" s="39" t="s">
        <v>147</v>
      </c>
      <c r="AU47" s="39"/>
      <c r="AV47" s="39" t="s">
        <v>824</v>
      </c>
      <c r="AW47" s="39"/>
      <c r="AX47" s="39"/>
      <c r="AY47" s="39"/>
      <c r="AZ47" s="39"/>
      <c r="BA47" s="39">
        <v>79449409</v>
      </c>
      <c r="BB47" s="39" t="s">
        <v>149</v>
      </c>
      <c r="BC47" s="39"/>
      <c r="BD47" s="39" t="s">
        <v>125</v>
      </c>
      <c r="BE47" s="39" t="s">
        <v>125</v>
      </c>
      <c r="BF47" s="39"/>
      <c r="BG47" s="39" t="s">
        <v>180</v>
      </c>
      <c r="BH47" s="39" t="s">
        <v>152</v>
      </c>
      <c r="BI47" s="39" t="s">
        <v>125</v>
      </c>
      <c r="BJ47" s="39"/>
      <c r="BK47" s="39" t="s">
        <v>153</v>
      </c>
      <c r="BL47" s="39"/>
      <c r="BM47" s="39"/>
      <c r="BN47" s="39" t="s">
        <v>181</v>
      </c>
    </row>
    <row r="48" spans="1:66" hidden="1">
      <c r="A48" s="39">
        <v>47</v>
      </c>
      <c r="B48" s="39" t="s">
        <v>118</v>
      </c>
      <c r="C48" s="39" t="s">
        <v>119</v>
      </c>
      <c r="D48" s="39" t="s">
        <v>809</v>
      </c>
      <c r="E48" s="39" t="s">
        <v>810</v>
      </c>
      <c r="F48" s="39" t="s">
        <v>811</v>
      </c>
      <c r="G48" s="39" t="s">
        <v>812</v>
      </c>
      <c r="H48" s="39" t="s">
        <v>813</v>
      </c>
      <c r="I48" s="39" t="s">
        <v>814</v>
      </c>
      <c r="J48" s="39" t="s">
        <v>187</v>
      </c>
      <c r="K48" s="39" t="s">
        <v>303</v>
      </c>
      <c r="L48" s="39" t="s">
        <v>61</v>
      </c>
      <c r="M48" s="39" t="s">
        <v>227</v>
      </c>
      <c r="N48" s="39" t="s">
        <v>125</v>
      </c>
      <c r="O48" s="39" t="s">
        <v>303</v>
      </c>
      <c r="P48" s="39" t="s">
        <v>815</v>
      </c>
      <c r="Q48" s="39" t="s">
        <v>809</v>
      </c>
      <c r="R48" s="39" t="s">
        <v>16</v>
      </c>
      <c r="S48" s="39" t="s">
        <v>816</v>
      </c>
      <c r="T48" s="39" t="s">
        <v>130</v>
      </c>
      <c r="U48" s="39" t="s">
        <v>817</v>
      </c>
      <c r="V48" s="39" t="s">
        <v>132</v>
      </c>
      <c r="W48" s="39" t="s">
        <v>818</v>
      </c>
      <c r="X48" s="39" t="s">
        <v>187</v>
      </c>
      <c r="Y48" s="39" t="s">
        <v>819</v>
      </c>
      <c r="Z48" s="39" t="s">
        <v>196</v>
      </c>
      <c r="AA48" s="39" t="s">
        <v>197</v>
      </c>
      <c r="AB48" s="39" t="s">
        <v>809</v>
      </c>
      <c r="AC48" s="39">
        <v>5433409</v>
      </c>
      <c r="AD48" s="39" t="s">
        <v>16</v>
      </c>
      <c r="AE48" s="39" t="s">
        <v>820</v>
      </c>
      <c r="AF48" s="39" t="s">
        <v>16</v>
      </c>
      <c r="AG48" s="39" t="s">
        <v>820</v>
      </c>
      <c r="AH48" s="39" t="s">
        <v>409</v>
      </c>
      <c r="AI48" s="39" t="s">
        <v>410</v>
      </c>
      <c r="AJ48" s="39" t="s">
        <v>140</v>
      </c>
      <c r="AK48" s="39" t="s">
        <v>125</v>
      </c>
      <c r="AL48" s="39">
        <v>3680</v>
      </c>
      <c r="AM48" s="39"/>
      <c r="AN48" s="39" t="s">
        <v>125</v>
      </c>
      <c r="AO48" s="39" t="s">
        <v>142</v>
      </c>
      <c r="AP48" s="39" t="s">
        <v>143</v>
      </c>
      <c r="AQ48" s="39" t="s">
        <v>312</v>
      </c>
      <c r="AR48" s="39" t="s">
        <v>822</v>
      </c>
      <c r="AS48" s="39" t="s">
        <v>825</v>
      </c>
      <c r="AT48" s="39" t="s">
        <v>147</v>
      </c>
      <c r="AU48" s="39"/>
      <c r="AV48" s="39" t="s">
        <v>824</v>
      </c>
      <c r="AW48" s="39"/>
      <c r="AX48" s="39"/>
      <c r="AY48" s="39"/>
      <c r="AZ48" s="39"/>
      <c r="BA48" s="39">
        <v>79449409</v>
      </c>
      <c r="BB48" s="39" t="s">
        <v>149</v>
      </c>
      <c r="BC48" s="39"/>
      <c r="BD48" s="39" t="s">
        <v>125</v>
      </c>
      <c r="BE48" s="39" t="s">
        <v>125</v>
      </c>
      <c r="BF48" s="39"/>
      <c r="BG48" s="39" t="s">
        <v>180</v>
      </c>
      <c r="BH48" s="39" t="s">
        <v>152</v>
      </c>
      <c r="BI48" s="39" t="s">
        <v>125</v>
      </c>
      <c r="BJ48" s="39"/>
      <c r="BK48" s="39" t="s">
        <v>153</v>
      </c>
      <c r="BL48" s="39"/>
      <c r="BM48" s="39"/>
      <c r="BN48" s="39" t="s">
        <v>181</v>
      </c>
    </row>
    <row r="49" spans="1:66" hidden="1">
      <c r="A49" s="39">
        <v>48</v>
      </c>
      <c r="B49" s="39" t="s">
        <v>118</v>
      </c>
      <c r="C49" s="39" t="s">
        <v>119</v>
      </c>
      <c r="D49" s="39" t="s">
        <v>156</v>
      </c>
      <c r="E49" s="39" t="s">
        <v>826</v>
      </c>
      <c r="F49" s="39" t="s">
        <v>827</v>
      </c>
      <c r="G49" s="39" t="s">
        <v>828</v>
      </c>
      <c r="H49" s="39" t="s">
        <v>829</v>
      </c>
      <c r="I49" s="39" t="s">
        <v>830</v>
      </c>
      <c r="J49" s="39"/>
      <c r="K49" s="39" t="s">
        <v>22</v>
      </c>
      <c r="L49" s="39" t="s">
        <v>466</v>
      </c>
      <c r="M49" s="39" t="s">
        <v>467</v>
      </c>
      <c r="N49" s="39" t="s">
        <v>125</v>
      </c>
      <c r="O49" s="39"/>
      <c r="P49" s="39"/>
      <c r="Q49" s="39" t="s">
        <v>831</v>
      </c>
      <c r="R49" s="39" t="s">
        <v>22</v>
      </c>
      <c r="S49" s="39" t="s">
        <v>832</v>
      </c>
      <c r="T49" s="39" t="s">
        <v>130</v>
      </c>
      <c r="U49" s="39" t="s">
        <v>833</v>
      </c>
      <c r="V49" s="39" t="s">
        <v>132</v>
      </c>
      <c r="W49" s="39" t="s">
        <v>168</v>
      </c>
      <c r="X49" s="39" t="s">
        <v>126</v>
      </c>
      <c r="Y49" s="39" t="s">
        <v>834</v>
      </c>
      <c r="Z49" s="39" t="s">
        <v>835</v>
      </c>
      <c r="AA49" s="39" t="s">
        <v>836</v>
      </c>
      <c r="AB49" s="39" t="s">
        <v>831</v>
      </c>
      <c r="AC49" s="39">
        <v>5433394</v>
      </c>
      <c r="AD49" s="39" t="s">
        <v>22</v>
      </c>
      <c r="AE49" s="39" t="s">
        <v>837</v>
      </c>
      <c r="AF49" s="39" t="s">
        <v>22</v>
      </c>
      <c r="AG49" s="39" t="s">
        <v>837</v>
      </c>
      <c r="AH49" s="39" t="s">
        <v>838</v>
      </c>
      <c r="AI49" s="39" t="s">
        <v>179</v>
      </c>
      <c r="AJ49" s="39" t="s">
        <v>140</v>
      </c>
      <c r="AK49" s="39" t="s">
        <v>125</v>
      </c>
      <c r="AL49" s="39">
        <v>5180</v>
      </c>
      <c r="AM49" s="39"/>
      <c r="AN49" s="39" t="s">
        <v>125</v>
      </c>
      <c r="AO49" s="39" t="s">
        <v>142</v>
      </c>
      <c r="AP49" s="39" t="s">
        <v>143</v>
      </c>
      <c r="AQ49" s="39" t="s">
        <v>144</v>
      </c>
      <c r="AR49" s="39" t="s">
        <v>839</v>
      </c>
      <c r="AS49" s="39" t="s">
        <v>840</v>
      </c>
      <c r="AT49" s="39" t="s">
        <v>147</v>
      </c>
      <c r="AU49" s="39"/>
      <c r="AV49" s="39" t="s">
        <v>841</v>
      </c>
      <c r="AW49" s="39"/>
      <c r="AX49" s="39"/>
      <c r="AY49" s="39"/>
      <c r="AZ49" s="39"/>
      <c r="BA49" s="39">
        <v>67684980</v>
      </c>
      <c r="BB49" s="39" t="s">
        <v>149</v>
      </c>
      <c r="BC49" s="39" t="s">
        <v>150</v>
      </c>
      <c r="BD49" s="39" t="s">
        <v>179</v>
      </c>
      <c r="BE49" s="39" t="s">
        <v>125</v>
      </c>
      <c r="BF49" s="39"/>
      <c r="BG49" s="39" t="s">
        <v>298</v>
      </c>
      <c r="BH49" s="39" t="s">
        <v>152</v>
      </c>
      <c r="BI49" s="39" t="s">
        <v>125</v>
      </c>
      <c r="BJ49" s="39"/>
      <c r="BK49" s="39" t="s">
        <v>153</v>
      </c>
      <c r="BL49" s="39"/>
      <c r="BM49" s="39" t="s">
        <v>154</v>
      </c>
      <c r="BN49" s="39" t="s">
        <v>842</v>
      </c>
    </row>
    <row r="50" spans="1:66" hidden="1">
      <c r="A50" s="39">
        <v>49</v>
      </c>
      <c r="B50" s="39" t="s">
        <v>118</v>
      </c>
      <c r="C50" s="39" t="s">
        <v>119</v>
      </c>
      <c r="D50" s="39" t="s">
        <v>843</v>
      </c>
      <c r="E50" s="39" t="s">
        <v>844</v>
      </c>
      <c r="F50" s="39" t="s">
        <v>158</v>
      </c>
      <c r="G50" s="39" t="s">
        <v>845</v>
      </c>
      <c r="H50" s="39" t="s">
        <v>846</v>
      </c>
      <c r="I50" s="39" t="s">
        <v>125</v>
      </c>
      <c r="J50" s="39" t="s">
        <v>187</v>
      </c>
      <c r="K50" s="39" t="s">
        <v>16</v>
      </c>
      <c r="L50" s="39" t="s">
        <v>162</v>
      </c>
      <c r="M50" s="39" t="s">
        <v>163</v>
      </c>
      <c r="N50" s="39" t="s">
        <v>125</v>
      </c>
      <c r="O50" s="39"/>
      <c r="P50" s="39"/>
      <c r="Q50" s="39" t="s">
        <v>847</v>
      </c>
      <c r="R50" s="39" t="s">
        <v>16</v>
      </c>
      <c r="S50" s="39" t="s">
        <v>848</v>
      </c>
      <c r="T50" s="39" t="s">
        <v>130</v>
      </c>
      <c r="U50" s="39" t="s">
        <v>849</v>
      </c>
      <c r="V50" s="39" t="s">
        <v>132</v>
      </c>
      <c r="W50" s="39" t="s">
        <v>399</v>
      </c>
      <c r="X50" s="39" t="s">
        <v>187</v>
      </c>
      <c r="Y50" s="39" t="s">
        <v>548</v>
      </c>
      <c r="Z50" s="39" t="s">
        <v>196</v>
      </c>
      <c r="AA50" s="39" t="s">
        <v>197</v>
      </c>
      <c r="AB50" s="39" t="s">
        <v>847</v>
      </c>
      <c r="AC50" s="39">
        <v>5433371</v>
      </c>
      <c r="AD50" s="39" t="s">
        <v>16</v>
      </c>
      <c r="AE50" s="39" t="s">
        <v>850</v>
      </c>
      <c r="AF50" s="39" t="s">
        <v>16</v>
      </c>
      <c r="AG50" s="39" t="s">
        <v>850</v>
      </c>
      <c r="AH50" s="39" t="s">
        <v>291</v>
      </c>
      <c r="AI50" s="39" t="s">
        <v>292</v>
      </c>
      <c r="AJ50" s="39" t="s">
        <v>140</v>
      </c>
      <c r="AK50" s="39" t="s">
        <v>125</v>
      </c>
      <c r="AL50" s="39">
        <v>5180</v>
      </c>
      <c r="AM50" s="39"/>
      <c r="AN50" s="39" t="s">
        <v>125</v>
      </c>
      <c r="AO50" s="39" t="s">
        <v>142</v>
      </c>
      <c r="AP50" s="39" t="s">
        <v>143</v>
      </c>
      <c r="AQ50" s="39" t="s">
        <v>312</v>
      </c>
      <c r="AR50" s="39" t="s">
        <v>851</v>
      </c>
      <c r="AS50" s="39" t="s">
        <v>852</v>
      </c>
      <c r="AT50" s="39" t="s">
        <v>147</v>
      </c>
      <c r="AU50" s="39"/>
      <c r="AV50" s="39" t="s">
        <v>853</v>
      </c>
      <c r="AW50" s="39"/>
      <c r="AX50" s="39"/>
      <c r="AY50" s="39"/>
      <c r="AZ50" s="39"/>
      <c r="BA50" s="39">
        <v>80685602</v>
      </c>
      <c r="BB50" s="39" t="s">
        <v>149</v>
      </c>
      <c r="BC50" s="39" t="s">
        <v>150</v>
      </c>
      <c r="BD50" s="39" t="s">
        <v>139</v>
      </c>
      <c r="BE50" s="39" t="s">
        <v>125</v>
      </c>
      <c r="BF50" s="39"/>
      <c r="BG50" s="39" t="s">
        <v>180</v>
      </c>
      <c r="BH50" s="39" t="s">
        <v>152</v>
      </c>
      <c r="BI50" s="39" t="s">
        <v>125</v>
      </c>
      <c r="BJ50" s="39"/>
      <c r="BK50" s="39" t="s">
        <v>153</v>
      </c>
      <c r="BL50" s="39"/>
      <c r="BM50" s="39"/>
      <c r="BN50" s="39" t="s">
        <v>181</v>
      </c>
    </row>
    <row r="51" spans="1:66" hidden="1">
      <c r="A51" s="39">
        <v>50</v>
      </c>
      <c r="B51" s="39" t="s">
        <v>118</v>
      </c>
      <c r="C51" s="39" t="s">
        <v>119</v>
      </c>
      <c r="D51" s="39" t="s">
        <v>156</v>
      </c>
      <c r="E51" s="39" t="s">
        <v>854</v>
      </c>
      <c r="F51" s="39" t="s">
        <v>855</v>
      </c>
      <c r="G51" s="39" t="s">
        <v>856</v>
      </c>
      <c r="H51" s="39" t="s">
        <v>857</v>
      </c>
      <c r="I51" s="39" t="s">
        <v>125</v>
      </c>
      <c r="J51" s="39" t="s">
        <v>126</v>
      </c>
      <c r="K51" s="39" t="s">
        <v>23</v>
      </c>
      <c r="L51" s="39" t="s">
        <v>858</v>
      </c>
      <c r="M51" s="39" t="s">
        <v>859</v>
      </c>
      <c r="N51" s="39" t="s">
        <v>125</v>
      </c>
      <c r="O51" s="39"/>
      <c r="P51" s="39"/>
      <c r="Q51" s="39" t="s">
        <v>860</v>
      </c>
      <c r="R51" s="39" t="s">
        <v>23</v>
      </c>
      <c r="S51" s="39" t="s">
        <v>861</v>
      </c>
      <c r="T51" s="39" t="s">
        <v>130</v>
      </c>
      <c r="U51" s="39" t="s">
        <v>862</v>
      </c>
      <c r="V51" s="39" t="s">
        <v>132</v>
      </c>
      <c r="W51" s="39" t="s">
        <v>194</v>
      </c>
      <c r="X51" s="39" t="s">
        <v>187</v>
      </c>
      <c r="Y51" s="39" t="s">
        <v>269</v>
      </c>
      <c r="Z51" s="39" t="s">
        <v>196</v>
      </c>
      <c r="AA51" s="39" t="s">
        <v>197</v>
      </c>
      <c r="AB51" s="39" t="s">
        <v>860</v>
      </c>
      <c r="AC51" s="39">
        <v>5433358</v>
      </c>
      <c r="AD51" s="39" t="s">
        <v>23</v>
      </c>
      <c r="AE51" s="39" t="s">
        <v>863</v>
      </c>
      <c r="AF51" s="39" t="s">
        <v>23</v>
      </c>
      <c r="AG51" s="39" t="s">
        <v>863</v>
      </c>
      <c r="AH51" s="39" t="s">
        <v>200</v>
      </c>
      <c r="AI51" s="39" t="s">
        <v>201</v>
      </c>
      <c r="AJ51" s="39" t="s">
        <v>140</v>
      </c>
      <c r="AK51" s="39" t="s">
        <v>125</v>
      </c>
      <c r="AL51" s="39">
        <v>4634.3</v>
      </c>
      <c r="AM51" s="39"/>
      <c r="AN51" s="39" t="s">
        <v>125</v>
      </c>
      <c r="AO51" s="39" t="s">
        <v>142</v>
      </c>
      <c r="AP51" s="39" t="s">
        <v>143</v>
      </c>
      <c r="AQ51" s="39" t="s">
        <v>175</v>
      </c>
      <c r="AR51" s="39" t="s">
        <v>864</v>
      </c>
      <c r="AS51" s="39" t="s">
        <v>865</v>
      </c>
      <c r="AT51" s="39" t="s">
        <v>147</v>
      </c>
      <c r="AU51" s="39"/>
      <c r="AV51" s="39" t="s">
        <v>866</v>
      </c>
      <c r="AW51" s="39"/>
      <c r="AX51" s="39"/>
      <c r="AY51" s="39"/>
      <c r="AZ51" s="39"/>
      <c r="BA51" s="39">
        <v>80685065</v>
      </c>
      <c r="BB51" s="39" t="s">
        <v>149</v>
      </c>
      <c r="BC51" s="39" t="s">
        <v>150</v>
      </c>
      <c r="BD51" s="39" t="s">
        <v>867</v>
      </c>
      <c r="BE51" s="39" t="s">
        <v>125</v>
      </c>
      <c r="BF51" s="39"/>
      <c r="BG51" s="39" t="s">
        <v>298</v>
      </c>
      <c r="BH51" s="39" t="s">
        <v>152</v>
      </c>
      <c r="BI51" s="39" t="s">
        <v>125</v>
      </c>
      <c r="BJ51" s="39"/>
      <c r="BK51" s="39" t="s">
        <v>153</v>
      </c>
      <c r="BL51" s="39"/>
      <c r="BM51" s="39"/>
      <c r="BN51" s="39" t="s">
        <v>181</v>
      </c>
    </row>
    <row r="52" spans="1:66" hidden="1">
      <c r="A52" s="39">
        <v>51</v>
      </c>
      <c r="B52" s="39" t="s">
        <v>118</v>
      </c>
      <c r="C52" s="39" t="s">
        <v>119</v>
      </c>
      <c r="D52" s="39" t="s">
        <v>156</v>
      </c>
      <c r="E52" s="39" t="s">
        <v>854</v>
      </c>
      <c r="F52" s="39" t="s">
        <v>855</v>
      </c>
      <c r="G52" s="39" t="s">
        <v>856</v>
      </c>
      <c r="H52" s="39" t="s">
        <v>857</v>
      </c>
      <c r="I52" s="39" t="s">
        <v>125</v>
      </c>
      <c r="J52" s="39" t="s">
        <v>126</v>
      </c>
      <c r="K52" s="39" t="s">
        <v>23</v>
      </c>
      <c r="L52" s="39" t="s">
        <v>858</v>
      </c>
      <c r="M52" s="39" t="s">
        <v>859</v>
      </c>
      <c r="N52" s="39" t="s">
        <v>125</v>
      </c>
      <c r="O52" s="39"/>
      <c r="P52" s="39"/>
      <c r="Q52" s="39" t="s">
        <v>860</v>
      </c>
      <c r="R52" s="39" t="s">
        <v>23</v>
      </c>
      <c r="S52" s="39" t="s">
        <v>861</v>
      </c>
      <c r="T52" s="39" t="s">
        <v>130</v>
      </c>
      <c r="U52" s="39" t="s">
        <v>862</v>
      </c>
      <c r="V52" s="39" t="s">
        <v>132</v>
      </c>
      <c r="W52" s="39" t="s">
        <v>194</v>
      </c>
      <c r="X52" s="39" t="s">
        <v>187</v>
      </c>
      <c r="Y52" s="39" t="s">
        <v>269</v>
      </c>
      <c r="Z52" s="39" t="s">
        <v>196</v>
      </c>
      <c r="AA52" s="39" t="s">
        <v>197</v>
      </c>
      <c r="AB52" s="39" t="s">
        <v>860</v>
      </c>
      <c r="AC52" s="39">
        <v>5433358</v>
      </c>
      <c r="AD52" s="39" t="s">
        <v>23</v>
      </c>
      <c r="AE52" s="39" t="s">
        <v>863</v>
      </c>
      <c r="AF52" s="39" t="s">
        <v>23</v>
      </c>
      <c r="AG52" s="39" t="s">
        <v>863</v>
      </c>
      <c r="AH52" s="39" t="s">
        <v>316</v>
      </c>
      <c r="AI52" s="39" t="s">
        <v>317</v>
      </c>
      <c r="AJ52" s="39" t="s">
        <v>140</v>
      </c>
      <c r="AK52" s="39" t="s">
        <v>125</v>
      </c>
      <c r="AL52" s="39">
        <v>4525.7</v>
      </c>
      <c r="AM52" s="39"/>
      <c r="AN52" s="39" t="s">
        <v>125</v>
      </c>
      <c r="AO52" s="39" t="s">
        <v>142</v>
      </c>
      <c r="AP52" s="39" t="s">
        <v>143</v>
      </c>
      <c r="AQ52" s="39" t="s">
        <v>175</v>
      </c>
      <c r="AR52" s="39" t="s">
        <v>864</v>
      </c>
      <c r="AS52" s="39" t="s">
        <v>868</v>
      </c>
      <c r="AT52" s="39" t="s">
        <v>147</v>
      </c>
      <c r="AU52" s="39"/>
      <c r="AV52" s="39" t="s">
        <v>866</v>
      </c>
      <c r="AW52" s="39"/>
      <c r="AX52" s="39"/>
      <c r="AY52" s="39"/>
      <c r="AZ52" s="39"/>
      <c r="BA52" s="39">
        <v>80685065</v>
      </c>
      <c r="BB52" s="39" t="s">
        <v>149</v>
      </c>
      <c r="BC52" s="39" t="s">
        <v>150</v>
      </c>
      <c r="BD52" s="39" t="s">
        <v>867</v>
      </c>
      <c r="BE52" s="39" t="s">
        <v>125</v>
      </c>
      <c r="BF52" s="39"/>
      <c r="BG52" s="39" t="s">
        <v>298</v>
      </c>
      <c r="BH52" s="39" t="s">
        <v>152</v>
      </c>
      <c r="BI52" s="39" t="s">
        <v>125</v>
      </c>
      <c r="BJ52" s="39"/>
      <c r="BK52" s="39" t="s">
        <v>153</v>
      </c>
      <c r="BL52" s="39"/>
      <c r="BM52" s="39"/>
      <c r="BN52" s="39" t="s">
        <v>181</v>
      </c>
    </row>
    <row r="53" spans="1:66" hidden="1">
      <c r="A53" s="39">
        <v>52</v>
      </c>
      <c r="B53" s="39" t="s">
        <v>118</v>
      </c>
      <c r="C53" s="39" t="s">
        <v>119</v>
      </c>
      <c r="D53" s="39" t="s">
        <v>869</v>
      </c>
      <c r="E53" s="39" t="s">
        <v>870</v>
      </c>
      <c r="F53" s="39" t="s">
        <v>279</v>
      </c>
      <c r="G53" s="39" t="s">
        <v>871</v>
      </c>
      <c r="H53" s="39" t="s">
        <v>872</v>
      </c>
      <c r="I53" s="39"/>
      <c r="J53" s="39" t="s">
        <v>126</v>
      </c>
      <c r="K53" s="39" t="s">
        <v>22</v>
      </c>
      <c r="L53" s="39" t="s">
        <v>263</v>
      </c>
      <c r="M53" s="39" t="s">
        <v>694</v>
      </c>
      <c r="N53" s="39" t="s">
        <v>125</v>
      </c>
      <c r="O53" s="39"/>
      <c r="P53" s="39"/>
      <c r="Q53" s="39" t="s">
        <v>873</v>
      </c>
      <c r="R53" s="39" t="s">
        <v>22</v>
      </c>
      <c r="S53" s="39" t="s">
        <v>874</v>
      </c>
      <c r="T53" s="39" t="s">
        <v>130</v>
      </c>
      <c r="U53" s="39" t="s">
        <v>875</v>
      </c>
      <c r="V53" s="39" t="s">
        <v>132</v>
      </c>
      <c r="W53" s="39" t="s">
        <v>133</v>
      </c>
      <c r="X53" s="39" t="s">
        <v>126</v>
      </c>
      <c r="Y53" s="39" t="s">
        <v>876</v>
      </c>
      <c r="Z53" s="39" t="s">
        <v>877</v>
      </c>
      <c r="AA53" s="39" t="s">
        <v>631</v>
      </c>
      <c r="AB53" s="39" t="s">
        <v>873</v>
      </c>
      <c r="AC53" s="39">
        <v>5433114</v>
      </c>
      <c r="AD53" s="39" t="s">
        <v>22</v>
      </c>
      <c r="AE53" s="39" t="s">
        <v>878</v>
      </c>
      <c r="AF53" s="39" t="s">
        <v>22</v>
      </c>
      <c r="AG53" s="39" t="s">
        <v>879</v>
      </c>
      <c r="AH53" s="39" t="s">
        <v>880</v>
      </c>
      <c r="AI53" s="39" t="s">
        <v>139</v>
      </c>
      <c r="AJ53" s="39" t="s">
        <v>140</v>
      </c>
      <c r="AK53" s="39" t="s">
        <v>125</v>
      </c>
      <c r="AL53" s="39">
        <v>5680</v>
      </c>
      <c r="AM53" s="39"/>
      <c r="AN53" s="39" t="s">
        <v>125</v>
      </c>
      <c r="AO53" s="39" t="s">
        <v>142</v>
      </c>
      <c r="AP53" s="39" t="s">
        <v>143</v>
      </c>
      <c r="AQ53" s="39" t="s">
        <v>293</v>
      </c>
      <c r="AR53" s="39" t="s">
        <v>881</v>
      </c>
      <c r="AS53" s="39" t="s">
        <v>882</v>
      </c>
      <c r="AT53" s="39" t="s">
        <v>147</v>
      </c>
      <c r="AU53" s="39"/>
      <c r="AV53" s="39" t="s">
        <v>883</v>
      </c>
      <c r="AW53" s="39"/>
      <c r="AX53" s="39"/>
      <c r="AY53" s="39"/>
      <c r="AZ53" s="39"/>
      <c r="BA53" s="39">
        <v>80202882</v>
      </c>
      <c r="BB53" s="39" t="s">
        <v>149</v>
      </c>
      <c r="BC53" s="39" t="s">
        <v>150</v>
      </c>
      <c r="BD53" s="39" t="s">
        <v>139</v>
      </c>
      <c r="BE53" s="39" t="s">
        <v>125</v>
      </c>
      <c r="BF53" s="39"/>
      <c r="BG53" s="39" t="s">
        <v>637</v>
      </c>
      <c r="BH53" s="39" t="s">
        <v>152</v>
      </c>
      <c r="BI53" s="39" t="s">
        <v>125</v>
      </c>
      <c r="BJ53" s="39"/>
      <c r="BK53" s="39" t="s">
        <v>153</v>
      </c>
      <c r="BL53" s="39"/>
      <c r="BM53" s="39" t="s">
        <v>205</v>
      </c>
      <c r="BN53" s="39" t="s">
        <v>333</v>
      </c>
    </row>
    <row r="54" spans="1:66" hidden="1">
      <c r="A54" s="39">
        <v>53</v>
      </c>
      <c r="B54" s="39" t="s">
        <v>118</v>
      </c>
      <c r="C54" s="39" t="s">
        <v>119</v>
      </c>
      <c r="D54" s="39" t="s">
        <v>869</v>
      </c>
      <c r="E54" s="39" t="s">
        <v>870</v>
      </c>
      <c r="F54" s="39" t="s">
        <v>279</v>
      </c>
      <c r="G54" s="39" t="s">
        <v>871</v>
      </c>
      <c r="H54" s="39" t="s">
        <v>872</v>
      </c>
      <c r="I54" s="39"/>
      <c r="J54" s="39" t="s">
        <v>126</v>
      </c>
      <c r="K54" s="39" t="s">
        <v>22</v>
      </c>
      <c r="L54" s="39" t="s">
        <v>263</v>
      </c>
      <c r="M54" s="39" t="s">
        <v>694</v>
      </c>
      <c r="N54" s="39" t="s">
        <v>125</v>
      </c>
      <c r="O54" s="39"/>
      <c r="P54" s="39"/>
      <c r="Q54" s="39" t="s">
        <v>873</v>
      </c>
      <c r="R54" s="39" t="s">
        <v>22</v>
      </c>
      <c r="S54" s="39" t="s">
        <v>874</v>
      </c>
      <c r="T54" s="39" t="s">
        <v>130</v>
      </c>
      <c r="U54" s="39" t="s">
        <v>875</v>
      </c>
      <c r="V54" s="39" t="s">
        <v>132</v>
      </c>
      <c r="W54" s="39" t="s">
        <v>133</v>
      </c>
      <c r="X54" s="39" t="s">
        <v>126</v>
      </c>
      <c r="Y54" s="39" t="s">
        <v>876</v>
      </c>
      <c r="Z54" s="39" t="s">
        <v>877</v>
      </c>
      <c r="AA54" s="39" t="s">
        <v>631</v>
      </c>
      <c r="AB54" s="39" t="s">
        <v>873</v>
      </c>
      <c r="AC54" s="39">
        <v>5433114</v>
      </c>
      <c r="AD54" s="39" t="s">
        <v>22</v>
      </c>
      <c r="AE54" s="39" t="s">
        <v>878</v>
      </c>
      <c r="AF54" s="39" t="s">
        <v>22</v>
      </c>
      <c r="AG54" s="39" t="s">
        <v>879</v>
      </c>
      <c r="AH54" s="39" t="s">
        <v>884</v>
      </c>
      <c r="AI54" s="39" t="s">
        <v>885</v>
      </c>
      <c r="AJ54" s="39" t="s">
        <v>140</v>
      </c>
      <c r="AK54" s="39" t="s">
        <v>125</v>
      </c>
      <c r="AL54" s="39">
        <v>8500</v>
      </c>
      <c r="AM54" s="39"/>
      <c r="AN54" s="39" t="s">
        <v>125</v>
      </c>
      <c r="AO54" s="39" t="s">
        <v>142</v>
      </c>
      <c r="AP54" s="39" t="s">
        <v>143</v>
      </c>
      <c r="AQ54" s="39" t="s">
        <v>293</v>
      </c>
      <c r="AR54" s="39" t="s">
        <v>881</v>
      </c>
      <c r="AS54" s="39"/>
      <c r="AT54" s="39" t="s">
        <v>147</v>
      </c>
      <c r="AU54" s="39"/>
      <c r="AV54" s="39" t="s">
        <v>883</v>
      </c>
      <c r="AW54" s="39"/>
      <c r="AX54" s="39"/>
      <c r="AY54" s="39"/>
      <c r="AZ54" s="39"/>
      <c r="BA54" s="39">
        <v>80202882</v>
      </c>
      <c r="BB54" s="39" t="s">
        <v>149</v>
      </c>
      <c r="BC54" s="39" t="s">
        <v>150</v>
      </c>
      <c r="BD54" s="39" t="s">
        <v>139</v>
      </c>
      <c r="BE54" s="39" t="s">
        <v>125</v>
      </c>
      <c r="BF54" s="39"/>
      <c r="BG54" s="39" t="s">
        <v>637</v>
      </c>
      <c r="BH54" s="39" t="s">
        <v>152</v>
      </c>
      <c r="BI54" s="39" t="s">
        <v>125</v>
      </c>
      <c r="BJ54" s="39"/>
      <c r="BK54" s="39"/>
      <c r="BL54" s="39"/>
      <c r="BM54" s="39" t="s">
        <v>205</v>
      </c>
      <c r="BN54" s="39" t="s">
        <v>333</v>
      </c>
    </row>
    <row r="55" spans="1:66" hidden="1">
      <c r="A55" s="39">
        <v>54</v>
      </c>
      <c r="B55" s="39" t="s">
        <v>118</v>
      </c>
      <c r="C55" s="39" t="s">
        <v>119</v>
      </c>
      <c r="D55" s="39" t="s">
        <v>690</v>
      </c>
      <c r="E55" s="39" t="s">
        <v>691</v>
      </c>
      <c r="F55" s="39" t="s">
        <v>279</v>
      </c>
      <c r="G55" s="39" t="s">
        <v>692</v>
      </c>
      <c r="H55" s="39" t="s">
        <v>693</v>
      </c>
      <c r="I55" s="39"/>
      <c r="J55" s="39" t="s">
        <v>418</v>
      </c>
      <c r="K55" s="39" t="s">
        <v>22</v>
      </c>
      <c r="L55" s="39" t="s">
        <v>263</v>
      </c>
      <c r="M55" s="39" t="s">
        <v>694</v>
      </c>
      <c r="N55" s="39" t="s">
        <v>125</v>
      </c>
      <c r="O55" s="39"/>
      <c r="P55" s="39"/>
      <c r="Q55" s="39" t="s">
        <v>690</v>
      </c>
      <c r="R55" s="39" t="s">
        <v>22</v>
      </c>
      <c r="S55" s="39" t="s">
        <v>695</v>
      </c>
      <c r="T55" s="39" t="s">
        <v>130</v>
      </c>
      <c r="U55" s="39" t="s">
        <v>696</v>
      </c>
      <c r="V55" s="39" t="s">
        <v>132</v>
      </c>
      <c r="W55" s="39" t="s">
        <v>133</v>
      </c>
      <c r="X55" s="39" t="s">
        <v>418</v>
      </c>
      <c r="Y55" s="39" t="s">
        <v>288</v>
      </c>
      <c r="Z55" s="39" t="s">
        <v>196</v>
      </c>
      <c r="AA55" s="39" t="s">
        <v>197</v>
      </c>
      <c r="AB55" s="39" t="s">
        <v>690</v>
      </c>
      <c r="AC55" s="39">
        <v>5432834</v>
      </c>
      <c r="AD55" s="39" t="s">
        <v>22</v>
      </c>
      <c r="AE55" s="39" t="s">
        <v>697</v>
      </c>
      <c r="AF55" s="39" t="s">
        <v>22</v>
      </c>
      <c r="AG55" s="39" t="s">
        <v>698</v>
      </c>
      <c r="AH55" s="39" t="s">
        <v>516</v>
      </c>
      <c r="AI55" s="39" t="s">
        <v>517</v>
      </c>
      <c r="AJ55" s="39" t="s">
        <v>140</v>
      </c>
      <c r="AK55" s="39" t="s">
        <v>125</v>
      </c>
      <c r="AL55" s="39">
        <v>7500</v>
      </c>
      <c r="AM55" s="39"/>
      <c r="AN55" s="39" t="s">
        <v>125</v>
      </c>
      <c r="AO55" s="39" t="s">
        <v>142</v>
      </c>
      <c r="AP55" s="39" t="s">
        <v>143</v>
      </c>
      <c r="AQ55" s="39" t="s">
        <v>312</v>
      </c>
      <c r="AR55" s="39" t="s">
        <v>700</v>
      </c>
      <c r="AS55" s="39" t="s">
        <v>886</v>
      </c>
      <c r="AT55" s="39" t="s">
        <v>147</v>
      </c>
      <c r="AU55" s="39"/>
      <c r="AV55" s="39" t="s">
        <v>701</v>
      </c>
      <c r="AW55" s="39"/>
      <c r="AX55" s="39"/>
      <c r="AY55" s="39"/>
      <c r="AZ55" s="39"/>
      <c r="BA55" s="39">
        <v>30764393</v>
      </c>
      <c r="BB55" s="39" t="s">
        <v>149</v>
      </c>
      <c r="BC55" s="39" t="s">
        <v>150</v>
      </c>
      <c r="BD55" s="39" t="s">
        <v>139</v>
      </c>
      <c r="BE55" s="39" t="s">
        <v>125</v>
      </c>
      <c r="BF55" s="39"/>
      <c r="BG55" s="39" t="s">
        <v>298</v>
      </c>
      <c r="BH55" s="39" t="s">
        <v>152</v>
      </c>
      <c r="BI55" s="39" t="s">
        <v>125</v>
      </c>
      <c r="BJ55" s="39"/>
      <c r="BK55" s="39" t="s">
        <v>153</v>
      </c>
      <c r="BL55" s="39"/>
      <c r="BM55" s="39" t="s">
        <v>205</v>
      </c>
      <c r="BN55" s="39" t="s">
        <v>333</v>
      </c>
    </row>
    <row r="56" spans="1:66" hidden="1">
      <c r="A56" s="39">
        <v>55</v>
      </c>
      <c r="B56" s="39" t="s">
        <v>118</v>
      </c>
      <c r="C56" s="39" t="s">
        <v>119</v>
      </c>
      <c r="D56" s="39" t="s">
        <v>887</v>
      </c>
      <c r="E56" s="39" t="s">
        <v>888</v>
      </c>
      <c r="F56" s="39" t="s">
        <v>279</v>
      </c>
      <c r="G56" s="39" t="s">
        <v>889</v>
      </c>
      <c r="H56" s="39" t="s">
        <v>890</v>
      </c>
      <c r="I56" s="39"/>
      <c r="J56" s="39" t="s">
        <v>355</v>
      </c>
      <c r="K56" s="39" t="s">
        <v>24</v>
      </c>
      <c r="L56" s="39" t="s">
        <v>263</v>
      </c>
      <c r="M56" s="39" t="s">
        <v>694</v>
      </c>
      <c r="N56" s="39"/>
      <c r="O56" s="39"/>
      <c r="P56" s="39"/>
      <c r="Q56" s="39" t="s">
        <v>887</v>
      </c>
      <c r="R56" s="39" t="s">
        <v>24</v>
      </c>
      <c r="S56" s="39" t="s">
        <v>891</v>
      </c>
      <c r="T56" s="39" t="s">
        <v>130</v>
      </c>
      <c r="U56" s="39" t="s">
        <v>892</v>
      </c>
      <c r="V56" s="39" t="s">
        <v>132</v>
      </c>
      <c r="W56" s="39" t="s">
        <v>133</v>
      </c>
      <c r="X56" s="39" t="s">
        <v>355</v>
      </c>
      <c r="Y56" s="39" t="s">
        <v>893</v>
      </c>
      <c r="Z56" s="39" t="s">
        <v>894</v>
      </c>
      <c r="AA56" s="39" t="s">
        <v>740</v>
      </c>
      <c r="AB56" s="39" t="s">
        <v>887</v>
      </c>
      <c r="AC56" s="39">
        <v>5432752</v>
      </c>
      <c r="AD56" s="39" t="s">
        <v>24</v>
      </c>
      <c r="AE56" s="39" t="s">
        <v>895</v>
      </c>
      <c r="AF56" s="39" t="s">
        <v>24</v>
      </c>
      <c r="AG56" s="39" t="s">
        <v>896</v>
      </c>
      <c r="AH56" s="39" t="s">
        <v>516</v>
      </c>
      <c r="AI56" s="39" t="s">
        <v>517</v>
      </c>
      <c r="AJ56" s="39" t="s">
        <v>140</v>
      </c>
      <c r="AK56" s="39" t="s">
        <v>125</v>
      </c>
      <c r="AL56" s="39">
        <v>7500</v>
      </c>
      <c r="AM56" s="39"/>
      <c r="AN56" s="39" t="s">
        <v>125</v>
      </c>
      <c r="AO56" s="39" t="s">
        <v>142</v>
      </c>
      <c r="AP56" s="39" t="s">
        <v>143</v>
      </c>
      <c r="AQ56" s="39" t="s">
        <v>144</v>
      </c>
      <c r="AR56" s="39" t="s">
        <v>897</v>
      </c>
      <c r="AS56" s="39" t="s">
        <v>898</v>
      </c>
      <c r="AT56" s="39" t="s">
        <v>147</v>
      </c>
      <c r="AU56" s="39"/>
      <c r="AV56" s="39" t="s">
        <v>899</v>
      </c>
      <c r="AW56" s="39"/>
      <c r="AX56" s="39"/>
      <c r="AY56" s="39"/>
      <c r="AZ56" s="39"/>
      <c r="BA56" s="39">
        <v>80730659</v>
      </c>
      <c r="BB56" s="39" t="s">
        <v>149</v>
      </c>
      <c r="BC56" s="39" t="s">
        <v>150</v>
      </c>
      <c r="BD56" s="39" t="s">
        <v>139</v>
      </c>
      <c r="BE56" s="39" t="s">
        <v>125</v>
      </c>
      <c r="BF56" s="39"/>
      <c r="BG56" s="39" t="s">
        <v>298</v>
      </c>
      <c r="BH56" s="39" t="s">
        <v>152</v>
      </c>
      <c r="BI56" s="39" t="s">
        <v>125</v>
      </c>
      <c r="BJ56" s="39"/>
      <c r="BK56" s="39" t="s">
        <v>153</v>
      </c>
      <c r="BL56" s="39"/>
      <c r="BM56" s="39" t="s">
        <v>205</v>
      </c>
      <c r="BN56" s="39" t="s">
        <v>333</v>
      </c>
    </row>
    <row r="57" spans="1:66" hidden="1">
      <c r="A57" s="39">
        <v>56</v>
      </c>
      <c r="B57" s="39" t="s">
        <v>118</v>
      </c>
      <c r="C57" s="39" t="s">
        <v>119</v>
      </c>
      <c r="D57" s="39" t="s">
        <v>900</v>
      </c>
      <c r="E57" s="39" t="s">
        <v>901</v>
      </c>
      <c r="F57" s="39" t="s">
        <v>258</v>
      </c>
      <c r="G57" s="39" t="s">
        <v>902</v>
      </c>
      <c r="H57" s="39" t="s">
        <v>903</v>
      </c>
      <c r="I57" s="39" t="s">
        <v>904</v>
      </c>
      <c r="J57" s="39"/>
      <c r="K57" s="39" t="s">
        <v>905</v>
      </c>
      <c r="L57" s="39" t="s">
        <v>263</v>
      </c>
      <c r="M57" s="39" t="s">
        <v>694</v>
      </c>
      <c r="N57" s="39" t="s">
        <v>125</v>
      </c>
      <c r="O57" s="39" t="s">
        <v>905</v>
      </c>
      <c r="P57" s="39" t="s">
        <v>906</v>
      </c>
      <c r="Q57" s="39" t="s">
        <v>907</v>
      </c>
      <c r="R57" s="39" t="s">
        <v>21</v>
      </c>
      <c r="S57" s="39" t="s">
        <v>908</v>
      </c>
      <c r="T57" s="39" t="s">
        <v>130</v>
      </c>
      <c r="U57" s="39" t="s">
        <v>909</v>
      </c>
      <c r="V57" s="39" t="s">
        <v>132</v>
      </c>
      <c r="W57" s="39" t="s">
        <v>194</v>
      </c>
      <c r="X57" s="39" t="s">
        <v>187</v>
      </c>
      <c r="Y57" s="39" t="s">
        <v>910</v>
      </c>
      <c r="Z57" s="39" t="s">
        <v>196</v>
      </c>
      <c r="AA57" s="39" t="s">
        <v>197</v>
      </c>
      <c r="AB57" s="39" t="s">
        <v>907</v>
      </c>
      <c r="AC57" s="39">
        <v>5432588</v>
      </c>
      <c r="AD57" s="39" t="s">
        <v>21</v>
      </c>
      <c r="AE57" s="39" t="s">
        <v>911</v>
      </c>
      <c r="AF57" s="39" t="s">
        <v>21</v>
      </c>
      <c r="AG57" s="39" t="s">
        <v>911</v>
      </c>
      <c r="AH57" s="39" t="s">
        <v>516</v>
      </c>
      <c r="AI57" s="39" t="s">
        <v>517</v>
      </c>
      <c r="AJ57" s="39" t="s">
        <v>140</v>
      </c>
      <c r="AK57" s="39" t="s">
        <v>125</v>
      </c>
      <c r="AL57" s="39">
        <v>15000</v>
      </c>
      <c r="AM57" s="39"/>
      <c r="AN57" s="39" t="s">
        <v>125</v>
      </c>
      <c r="AO57" s="39" t="s">
        <v>142</v>
      </c>
      <c r="AP57" s="39" t="s">
        <v>143</v>
      </c>
      <c r="AQ57" s="39" t="s">
        <v>312</v>
      </c>
      <c r="AR57" s="39" t="s">
        <v>912</v>
      </c>
      <c r="AS57" s="39" t="s">
        <v>913</v>
      </c>
      <c r="AT57" s="39" t="s">
        <v>147</v>
      </c>
      <c r="AU57" s="39"/>
      <c r="AV57" s="39" t="s">
        <v>914</v>
      </c>
      <c r="AW57" s="39"/>
      <c r="AX57" s="39"/>
      <c r="AY57" s="39"/>
      <c r="AZ57" s="39"/>
      <c r="BA57" s="39">
        <v>80304871</v>
      </c>
      <c r="BB57" s="39" t="s">
        <v>149</v>
      </c>
      <c r="BC57" s="39" t="s">
        <v>150</v>
      </c>
      <c r="BD57" s="39" t="s">
        <v>522</v>
      </c>
      <c r="BE57" s="39" t="s">
        <v>125</v>
      </c>
      <c r="BF57" s="39"/>
      <c r="BG57" s="39" t="s">
        <v>180</v>
      </c>
      <c r="BH57" s="39" t="s">
        <v>152</v>
      </c>
      <c r="BI57" s="39" t="s">
        <v>125</v>
      </c>
      <c r="BJ57" s="39"/>
      <c r="BK57" s="39" t="s">
        <v>153</v>
      </c>
      <c r="BL57" s="39"/>
      <c r="BM57" s="39"/>
      <c r="BN57" s="39" t="s">
        <v>915</v>
      </c>
    </row>
    <row r="58" spans="1:66" hidden="1">
      <c r="A58" s="39">
        <v>57</v>
      </c>
      <c r="B58" s="39" t="s">
        <v>118</v>
      </c>
      <c r="C58" s="39" t="s">
        <v>119</v>
      </c>
      <c r="D58" s="39"/>
      <c r="E58" s="39" t="s">
        <v>916</v>
      </c>
      <c r="F58" s="39"/>
      <c r="G58" s="39" t="s">
        <v>917</v>
      </c>
      <c r="H58" s="39" t="s">
        <v>918</v>
      </c>
      <c r="I58" s="39" t="s">
        <v>919</v>
      </c>
      <c r="J58" s="39" t="s">
        <v>418</v>
      </c>
      <c r="K58" s="39" t="s">
        <v>16</v>
      </c>
      <c r="L58" s="39" t="s">
        <v>378</v>
      </c>
      <c r="M58" s="39" t="s">
        <v>920</v>
      </c>
      <c r="N58" s="39"/>
      <c r="O58" s="39"/>
      <c r="P58" s="39"/>
      <c r="Q58" s="39" t="s">
        <v>921</v>
      </c>
      <c r="R58" s="39" t="s">
        <v>16</v>
      </c>
      <c r="S58" s="39" t="s">
        <v>922</v>
      </c>
      <c r="T58" s="39" t="s">
        <v>359</v>
      </c>
      <c r="U58" s="39" t="s">
        <v>923</v>
      </c>
      <c r="V58" s="39" t="s">
        <v>132</v>
      </c>
      <c r="W58" s="39" t="s">
        <v>924</v>
      </c>
      <c r="X58" s="39" t="s">
        <v>487</v>
      </c>
      <c r="Y58" s="39" t="s">
        <v>925</v>
      </c>
      <c r="Z58" s="39" t="s">
        <v>926</v>
      </c>
      <c r="AA58" s="39" t="s">
        <v>926</v>
      </c>
      <c r="AB58" s="39" t="s">
        <v>921</v>
      </c>
      <c r="AC58" s="39">
        <v>5432525</v>
      </c>
      <c r="AD58" s="39" t="s">
        <v>16</v>
      </c>
      <c r="AE58" s="39" t="s">
        <v>927</v>
      </c>
      <c r="AF58" s="39" t="s">
        <v>16</v>
      </c>
      <c r="AG58" s="39" t="s">
        <v>927</v>
      </c>
      <c r="AH58" s="39" t="s">
        <v>928</v>
      </c>
      <c r="AI58" s="39" t="s">
        <v>929</v>
      </c>
      <c r="AJ58" s="39" t="s">
        <v>140</v>
      </c>
      <c r="AK58" s="39" t="s">
        <v>125</v>
      </c>
      <c r="AL58" s="39">
        <v>8100</v>
      </c>
      <c r="AM58" s="39"/>
      <c r="AN58" s="39" t="s">
        <v>125</v>
      </c>
      <c r="AO58" s="39" t="s">
        <v>367</v>
      </c>
      <c r="AP58" s="39" t="s">
        <v>143</v>
      </c>
      <c r="AQ58" s="39" t="s">
        <v>293</v>
      </c>
      <c r="AR58" s="39" t="s">
        <v>930</v>
      </c>
      <c r="AS58" s="39" t="s">
        <v>931</v>
      </c>
      <c r="AT58" s="39" t="s">
        <v>147</v>
      </c>
      <c r="AU58" s="39"/>
      <c r="AV58" s="39" t="s">
        <v>932</v>
      </c>
      <c r="AW58" s="39"/>
      <c r="AX58" s="39"/>
      <c r="AY58" s="39"/>
      <c r="AZ58" s="39"/>
      <c r="BA58" s="39">
        <v>52590475</v>
      </c>
      <c r="BB58" s="39" t="s">
        <v>149</v>
      </c>
      <c r="BC58" s="39" t="s">
        <v>435</v>
      </c>
      <c r="BD58" s="39" t="s">
        <v>933</v>
      </c>
      <c r="BE58" s="39" t="s">
        <v>934</v>
      </c>
      <c r="BF58" s="39" t="s">
        <v>935</v>
      </c>
      <c r="BG58" s="39" t="s">
        <v>637</v>
      </c>
      <c r="BH58" s="39" t="s">
        <v>152</v>
      </c>
      <c r="BI58" s="39" t="s">
        <v>125</v>
      </c>
      <c r="BJ58" s="39"/>
      <c r="BK58" s="39" t="s">
        <v>153</v>
      </c>
      <c r="BL58" s="39"/>
      <c r="BM58" s="39" t="s">
        <v>240</v>
      </c>
      <c r="BN58" s="39"/>
    </row>
    <row r="59" spans="1:66" hidden="1">
      <c r="A59" s="39">
        <v>58</v>
      </c>
      <c r="B59" s="39" t="s">
        <v>118</v>
      </c>
      <c r="C59" s="39" t="s">
        <v>119</v>
      </c>
      <c r="D59" s="39"/>
      <c r="E59" s="39" t="s">
        <v>916</v>
      </c>
      <c r="F59" s="39"/>
      <c r="G59" s="39" t="s">
        <v>917</v>
      </c>
      <c r="H59" s="39" t="s">
        <v>918</v>
      </c>
      <c r="I59" s="39" t="s">
        <v>919</v>
      </c>
      <c r="J59" s="39" t="s">
        <v>418</v>
      </c>
      <c r="K59" s="39" t="s">
        <v>16</v>
      </c>
      <c r="L59" s="39" t="s">
        <v>378</v>
      </c>
      <c r="M59" s="39" t="s">
        <v>920</v>
      </c>
      <c r="N59" s="39"/>
      <c r="O59" s="39"/>
      <c r="P59" s="39"/>
      <c r="Q59" s="39" t="s">
        <v>921</v>
      </c>
      <c r="R59" s="39" t="s">
        <v>16</v>
      </c>
      <c r="S59" s="39" t="s">
        <v>922</v>
      </c>
      <c r="T59" s="39" t="s">
        <v>359</v>
      </c>
      <c r="U59" s="39" t="s">
        <v>923</v>
      </c>
      <c r="V59" s="39" t="s">
        <v>132</v>
      </c>
      <c r="W59" s="39" t="s">
        <v>924</v>
      </c>
      <c r="X59" s="39" t="s">
        <v>487</v>
      </c>
      <c r="Y59" s="39" t="s">
        <v>925</v>
      </c>
      <c r="Z59" s="39" t="s">
        <v>926</v>
      </c>
      <c r="AA59" s="39" t="s">
        <v>926</v>
      </c>
      <c r="AB59" s="39" t="s">
        <v>921</v>
      </c>
      <c r="AC59" s="39">
        <v>5432525</v>
      </c>
      <c r="AD59" s="39" t="s">
        <v>16</v>
      </c>
      <c r="AE59" s="39" t="s">
        <v>927</v>
      </c>
      <c r="AF59" s="39" t="s">
        <v>16</v>
      </c>
      <c r="AG59" s="39" t="s">
        <v>927</v>
      </c>
      <c r="AH59" s="39" t="s">
        <v>936</v>
      </c>
      <c r="AI59" s="39" t="s">
        <v>937</v>
      </c>
      <c r="AJ59" s="39" t="s">
        <v>140</v>
      </c>
      <c r="AK59" s="39" t="s">
        <v>125</v>
      </c>
      <c r="AL59" s="39">
        <v>4864.6000000000004</v>
      </c>
      <c r="AM59" s="39"/>
      <c r="AN59" s="39" t="s">
        <v>125</v>
      </c>
      <c r="AO59" s="39" t="s">
        <v>367</v>
      </c>
      <c r="AP59" s="39" t="s">
        <v>143</v>
      </c>
      <c r="AQ59" s="39" t="s">
        <v>293</v>
      </c>
      <c r="AR59" s="39" t="s">
        <v>930</v>
      </c>
      <c r="AS59" s="39" t="s">
        <v>938</v>
      </c>
      <c r="AT59" s="39" t="s">
        <v>147</v>
      </c>
      <c r="AU59" s="39"/>
      <c r="AV59" s="39" t="s">
        <v>932</v>
      </c>
      <c r="AW59" s="39"/>
      <c r="AX59" s="39"/>
      <c r="AY59" s="39"/>
      <c r="AZ59" s="39"/>
      <c r="BA59" s="39">
        <v>52590475</v>
      </c>
      <c r="BB59" s="39" t="s">
        <v>149</v>
      </c>
      <c r="BC59" s="39" t="s">
        <v>435</v>
      </c>
      <c r="BD59" s="39" t="s">
        <v>933</v>
      </c>
      <c r="BE59" s="39" t="s">
        <v>934</v>
      </c>
      <c r="BF59" s="39" t="s">
        <v>935</v>
      </c>
      <c r="BG59" s="39" t="s">
        <v>637</v>
      </c>
      <c r="BH59" s="39" t="s">
        <v>152</v>
      </c>
      <c r="BI59" s="39" t="s">
        <v>125</v>
      </c>
      <c r="BJ59" s="39"/>
      <c r="BK59" s="39" t="s">
        <v>153</v>
      </c>
      <c r="BL59" s="39"/>
      <c r="BM59" s="39" t="s">
        <v>240</v>
      </c>
      <c r="BN59" s="39"/>
    </row>
    <row r="60" spans="1:66" hidden="1">
      <c r="A60" s="39">
        <v>59</v>
      </c>
      <c r="B60" s="39" t="s">
        <v>118</v>
      </c>
      <c r="C60" s="39" t="s">
        <v>119</v>
      </c>
      <c r="D60" s="39"/>
      <c r="E60" s="39" t="s">
        <v>916</v>
      </c>
      <c r="F60" s="39"/>
      <c r="G60" s="39" t="s">
        <v>917</v>
      </c>
      <c r="H60" s="39" t="s">
        <v>918</v>
      </c>
      <c r="I60" s="39" t="s">
        <v>919</v>
      </c>
      <c r="J60" s="39" t="s">
        <v>418</v>
      </c>
      <c r="K60" s="39" t="s">
        <v>16</v>
      </c>
      <c r="L60" s="39" t="s">
        <v>378</v>
      </c>
      <c r="M60" s="39" t="s">
        <v>920</v>
      </c>
      <c r="N60" s="39"/>
      <c r="O60" s="39"/>
      <c r="P60" s="39"/>
      <c r="Q60" s="39" t="s">
        <v>921</v>
      </c>
      <c r="R60" s="39" t="s">
        <v>16</v>
      </c>
      <c r="S60" s="39" t="s">
        <v>922</v>
      </c>
      <c r="T60" s="39" t="s">
        <v>359</v>
      </c>
      <c r="U60" s="39" t="s">
        <v>923</v>
      </c>
      <c r="V60" s="39" t="s">
        <v>132</v>
      </c>
      <c r="W60" s="39" t="s">
        <v>924</v>
      </c>
      <c r="X60" s="39" t="s">
        <v>487</v>
      </c>
      <c r="Y60" s="39" t="s">
        <v>925</v>
      </c>
      <c r="Z60" s="39" t="s">
        <v>926</v>
      </c>
      <c r="AA60" s="39" t="s">
        <v>926</v>
      </c>
      <c r="AB60" s="39" t="s">
        <v>921</v>
      </c>
      <c r="AC60" s="39">
        <v>5432525</v>
      </c>
      <c r="AD60" s="39" t="s">
        <v>16</v>
      </c>
      <c r="AE60" s="39" t="s">
        <v>927</v>
      </c>
      <c r="AF60" s="39" t="s">
        <v>16</v>
      </c>
      <c r="AG60" s="39" t="s">
        <v>927</v>
      </c>
      <c r="AH60" s="39" t="s">
        <v>939</v>
      </c>
      <c r="AI60" s="39" t="s">
        <v>940</v>
      </c>
      <c r="AJ60" s="39" t="s">
        <v>140</v>
      </c>
      <c r="AK60" s="39" t="s">
        <v>125</v>
      </c>
      <c r="AL60" s="39">
        <v>9724.2999999999993</v>
      </c>
      <c r="AM60" s="39"/>
      <c r="AN60" s="39" t="s">
        <v>125</v>
      </c>
      <c r="AO60" s="39" t="s">
        <v>367</v>
      </c>
      <c r="AP60" s="39" t="s">
        <v>143</v>
      </c>
      <c r="AQ60" s="39" t="s">
        <v>293</v>
      </c>
      <c r="AR60" s="39" t="s">
        <v>930</v>
      </c>
      <c r="AS60" s="39" t="s">
        <v>941</v>
      </c>
      <c r="AT60" s="39" t="s">
        <v>147</v>
      </c>
      <c r="AU60" s="39"/>
      <c r="AV60" s="39" t="s">
        <v>932</v>
      </c>
      <c r="AW60" s="39"/>
      <c r="AX60" s="39"/>
      <c r="AY60" s="39"/>
      <c r="AZ60" s="39"/>
      <c r="BA60" s="39">
        <v>52590475</v>
      </c>
      <c r="BB60" s="39" t="s">
        <v>149</v>
      </c>
      <c r="BC60" s="39" t="s">
        <v>435</v>
      </c>
      <c r="BD60" s="39" t="s">
        <v>933</v>
      </c>
      <c r="BE60" s="39" t="s">
        <v>934</v>
      </c>
      <c r="BF60" s="39" t="s">
        <v>935</v>
      </c>
      <c r="BG60" s="39" t="s">
        <v>637</v>
      </c>
      <c r="BH60" s="39" t="s">
        <v>152</v>
      </c>
      <c r="BI60" s="39" t="s">
        <v>125</v>
      </c>
      <c r="BJ60" s="39"/>
      <c r="BK60" s="39" t="s">
        <v>153</v>
      </c>
      <c r="BL60" s="39"/>
      <c r="BM60" s="39" t="s">
        <v>240</v>
      </c>
      <c r="BN60" s="39"/>
    </row>
    <row r="61" spans="1:66" hidden="1">
      <c r="A61" s="39">
        <v>60</v>
      </c>
      <c r="B61" s="39" t="s">
        <v>118</v>
      </c>
      <c r="C61" s="39" t="s">
        <v>119</v>
      </c>
      <c r="D61" s="39"/>
      <c r="E61" s="39" t="s">
        <v>916</v>
      </c>
      <c r="F61" s="39"/>
      <c r="G61" s="39" t="s">
        <v>917</v>
      </c>
      <c r="H61" s="39" t="s">
        <v>918</v>
      </c>
      <c r="I61" s="39" t="s">
        <v>919</v>
      </c>
      <c r="J61" s="39" t="s">
        <v>418</v>
      </c>
      <c r="K61" s="39" t="s">
        <v>16</v>
      </c>
      <c r="L61" s="39" t="s">
        <v>378</v>
      </c>
      <c r="M61" s="39" t="s">
        <v>920</v>
      </c>
      <c r="N61" s="39"/>
      <c r="O61" s="39"/>
      <c r="P61" s="39"/>
      <c r="Q61" s="39" t="s">
        <v>921</v>
      </c>
      <c r="R61" s="39" t="s">
        <v>16</v>
      </c>
      <c r="S61" s="39" t="s">
        <v>922</v>
      </c>
      <c r="T61" s="39" t="s">
        <v>359</v>
      </c>
      <c r="U61" s="39" t="s">
        <v>923</v>
      </c>
      <c r="V61" s="39" t="s">
        <v>132</v>
      </c>
      <c r="W61" s="39" t="s">
        <v>924</v>
      </c>
      <c r="X61" s="39" t="s">
        <v>487</v>
      </c>
      <c r="Y61" s="39" t="s">
        <v>925</v>
      </c>
      <c r="Z61" s="39" t="s">
        <v>926</v>
      </c>
      <c r="AA61" s="39" t="s">
        <v>926</v>
      </c>
      <c r="AB61" s="39" t="s">
        <v>921</v>
      </c>
      <c r="AC61" s="39">
        <v>5432525</v>
      </c>
      <c r="AD61" s="39" t="s">
        <v>16</v>
      </c>
      <c r="AE61" s="39" t="s">
        <v>927</v>
      </c>
      <c r="AF61" s="39" t="s">
        <v>16</v>
      </c>
      <c r="AG61" s="39" t="s">
        <v>927</v>
      </c>
      <c r="AH61" s="39" t="s">
        <v>942</v>
      </c>
      <c r="AI61" s="39" t="s">
        <v>943</v>
      </c>
      <c r="AJ61" s="39" t="s">
        <v>140</v>
      </c>
      <c r="AK61" s="39" t="s">
        <v>125</v>
      </c>
      <c r="AL61" s="39">
        <v>24800</v>
      </c>
      <c r="AM61" s="39"/>
      <c r="AN61" s="39" t="s">
        <v>125</v>
      </c>
      <c r="AO61" s="39" t="s">
        <v>367</v>
      </c>
      <c r="AP61" s="39" t="s">
        <v>143</v>
      </c>
      <c r="AQ61" s="39" t="s">
        <v>293</v>
      </c>
      <c r="AR61" s="39" t="s">
        <v>930</v>
      </c>
      <c r="AS61" s="39" t="s">
        <v>944</v>
      </c>
      <c r="AT61" s="39" t="s">
        <v>147</v>
      </c>
      <c r="AU61" s="39"/>
      <c r="AV61" s="39" t="s">
        <v>932</v>
      </c>
      <c r="AW61" s="39"/>
      <c r="AX61" s="39"/>
      <c r="AY61" s="39"/>
      <c r="AZ61" s="39"/>
      <c r="BA61" s="39">
        <v>52590475</v>
      </c>
      <c r="BB61" s="39" t="s">
        <v>149</v>
      </c>
      <c r="BC61" s="39" t="s">
        <v>435</v>
      </c>
      <c r="BD61" s="39" t="s">
        <v>933</v>
      </c>
      <c r="BE61" s="39" t="s">
        <v>934</v>
      </c>
      <c r="BF61" s="39" t="s">
        <v>935</v>
      </c>
      <c r="BG61" s="39" t="s">
        <v>637</v>
      </c>
      <c r="BH61" s="39" t="s">
        <v>152</v>
      </c>
      <c r="BI61" s="39" t="s">
        <v>125</v>
      </c>
      <c r="BJ61" s="39"/>
      <c r="BK61" s="39" t="s">
        <v>153</v>
      </c>
      <c r="BL61" s="39"/>
      <c r="BM61" s="39" t="s">
        <v>240</v>
      </c>
      <c r="BN61" s="39"/>
    </row>
    <row r="62" spans="1:66" hidden="1">
      <c r="A62" s="39">
        <v>61</v>
      </c>
      <c r="B62" s="39" t="s">
        <v>118</v>
      </c>
      <c r="C62" s="39" t="s">
        <v>119</v>
      </c>
      <c r="D62" s="39"/>
      <c r="E62" s="39" t="s">
        <v>916</v>
      </c>
      <c r="F62" s="39"/>
      <c r="G62" s="39" t="s">
        <v>917</v>
      </c>
      <c r="H62" s="39" t="s">
        <v>918</v>
      </c>
      <c r="I62" s="39" t="s">
        <v>919</v>
      </c>
      <c r="J62" s="39" t="s">
        <v>418</v>
      </c>
      <c r="K62" s="39" t="s">
        <v>16</v>
      </c>
      <c r="L62" s="39" t="s">
        <v>378</v>
      </c>
      <c r="M62" s="39" t="s">
        <v>920</v>
      </c>
      <c r="N62" s="39"/>
      <c r="O62" s="39"/>
      <c r="P62" s="39"/>
      <c r="Q62" s="39" t="s">
        <v>921</v>
      </c>
      <c r="R62" s="39" t="s">
        <v>16</v>
      </c>
      <c r="S62" s="39" t="s">
        <v>922</v>
      </c>
      <c r="T62" s="39" t="s">
        <v>359</v>
      </c>
      <c r="U62" s="39" t="s">
        <v>923</v>
      </c>
      <c r="V62" s="39" t="s">
        <v>132</v>
      </c>
      <c r="W62" s="39" t="s">
        <v>924</v>
      </c>
      <c r="X62" s="39" t="s">
        <v>487</v>
      </c>
      <c r="Y62" s="39" t="s">
        <v>925</v>
      </c>
      <c r="Z62" s="39" t="s">
        <v>926</v>
      </c>
      <c r="AA62" s="39" t="s">
        <v>926</v>
      </c>
      <c r="AB62" s="39" t="s">
        <v>921</v>
      </c>
      <c r="AC62" s="39">
        <v>5432525</v>
      </c>
      <c r="AD62" s="39" t="s">
        <v>16</v>
      </c>
      <c r="AE62" s="39" t="s">
        <v>927</v>
      </c>
      <c r="AF62" s="39" t="s">
        <v>16</v>
      </c>
      <c r="AG62" s="39" t="s">
        <v>927</v>
      </c>
      <c r="AH62" s="39" t="s">
        <v>945</v>
      </c>
      <c r="AI62" s="39" t="s">
        <v>946</v>
      </c>
      <c r="AJ62" s="39" t="s">
        <v>140</v>
      </c>
      <c r="AK62" s="39" t="s">
        <v>125</v>
      </c>
      <c r="AL62" s="39">
        <v>16900</v>
      </c>
      <c r="AM62" s="39"/>
      <c r="AN62" s="39" t="s">
        <v>125</v>
      </c>
      <c r="AO62" s="39" t="s">
        <v>367</v>
      </c>
      <c r="AP62" s="39" t="s">
        <v>143</v>
      </c>
      <c r="AQ62" s="39" t="s">
        <v>293</v>
      </c>
      <c r="AR62" s="39" t="s">
        <v>930</v>
      </c>
      <c r="AS62" s="39" t="s">
        <v>947</v>
      </c>
      <c r="AT62" s="39" t="s">
        <v>147</v>
      </c>
      <c r="AU62" s="39"/>
      <c r="AV62" s="39" t="s">
        <v>932</v>
      </c>
      <c r="AW62" s="39"/>
      <c r="AX62" s="39"/>
      <c r="AY62" s="39"/>
      <c r="AZ62" s="39"/>
      <c r="BA62" s="39">
        <v>52590475</v>
      </c>
      <c r="BB62" s="39" t="s">
        <v>149</v>
      </c>
      <c r="BC62" s="39" t="s">
        <v>435</v>
      </c>
      <c r="BD62" s="39" t="s">
        <v>933</v>
      </c>
      <c r="BE62" s="39" t="s">
        <v>934</v>
      </c>
      <c r="BF62" s="39" t="s">
        <v>935</v>
      </c>
      <c r="BG62" s="39" t="s">
        <v>637</v>
      </c>
      <c r="BH62" s="39" t="s">
        <v>152</v>
      </c>
      <c r="BI62" s="39" t="s">
        <v>125</v>
      </c>
      <c r="BJ62" s="39"/>
      <c r="BK62" s="39" t="s">
        <v>153</v>
      </c>
      <c r="BL62" s="39"/>
      <c r="BM62" s="39" t="s">
        <v>240</v>
      </c>
      <c r="BN62" s="39"/>
    </row>
    <row r="63" spans="1:66" hidden="1">
      <c r="A63" s="39">
        <v>62</v>
      </c>
      <c r="B63" s="39" t="s">
        <v>118</v>
      </c>
      <c r="C63" s="39" t="s">
        <v>119</v>
      </c>
      <c r="D63" s="39"/>
      <c r="E63" s="39" t="s">
        <v>916</v>
      </c>
      <c r="F63" s="39"/>
      <c r="G63" s="39" t="s">
        <v>917</v>
      </c>
      <c r="H63" s="39" t="s">
        <v>918</v>
      </c>
      <c r="I63" s="39" t="s">
        <v>919</v>
      </c>
      <c r="J63" s="39" t="s">
        <v>418</v>
      </c>
      <c r="K63" s="39" t="s">
        <v>16</v>
      </c>
      <c r="L63" s="39" t="s">
        <v>378</v>
      </c>
      <c r="M63" s="39" t="s">
        <v>920</v>
      </c>
      <c r="N63" s="39"/>
      <c r="O63" s="39"/>
      <c r="P63" s="39"/>
      <c r="Q63" s="39" t="s">
        <v>921</v>
      </c>
      <c r="R63" s="39" t="s">
        <v>16</v>
      </c>
      <c r="S63" s="39" t="s">
        <v>922</v>
      </c>
      <c r="T63" s="39" t="s">
        <v>359</v>
      </c>
      <c r="U63" s="39" t="s">
        <v>923</v>
      </c>
      <c r="V63" s="39" t="s">
        <v>132</v>
      </c>
      <c r="W63" s="39" t="s">
        <v>924</v>
      </c>
      <c r="X63" s="39" t="s">
        <v>487</v>
      </c>
      <c r="Y63" s="39" t="s">
        <v>925</v>
      </c>
      <c r="Z63" s="39" t="s">
        <v>926</v>
      </c>
      <c r="AA63" s="39" t="s">
        <v>926</v>
      </c>
      <c r="AB63" s="39" t="s">
        <v>921</v>
      </c>
      <c r="AC63" s="39">
        <v>5432525</v>
      </c>
      <c r="AD63" s="39" t="s">
        <v>16</v>
      </c>
      <c r="AE63" s="39" t="s">
        <v>927</v>
      </c>
      <c r="AF63" s="39" t="s">
        <v>16</v>
      </c>
      <c r="AG63" s="39" t="s">
        <v>927</v>
      </c>
      <c r="AH63" s="39" t="s">
        <v>948</v>
      </c>
      <c r="AI63" s="39" t="s">
        <v>949</v>
      </c>
      <c r="AJ63" s="39" t="s">
        <v>140</v>
      </c>
      <c r="AK63" s="39" t="s">
        <v>125</v>
      </c>
      <c r="AL63" s="39">
        <v>9685.2000000000007</v>
      </c>
      <c r="AM63" s="39"/>
      <c r="AN63" s="39" t="s">
        <v>125</v>
      </c>
      <c r="AO63" s="39" t="s">
        <v>367</v>
      </c>
      <c r="AP63" s="39" t="s">
        <v>143</v>
      </c>
      <c r="AQ63" s="39" t="s">
        <v>293</v>
      </c>
      <c r="AR63" s="39" t="s">
        <v>930</v>
      </c>
      <c r="AS63" s="39" t="s">
        <v>950</v>
      </c>
      <c r="AT63" s="39" t="s">
        <v>147</v>
      </c>
      <c r="AU63" s="39"/>
      <c r="AV63" s="39" t="s">
        <v>932</v>
      </c>
      <c r="AW63" s="39"/>
      <c r="AX63" s="39"/>
      <c r="AY63" s="39"/>
      <c r="AZ63" s="39"/>
      <c r="BA63" s="39">
        <v>52590475</v>
      </c>
      <c r="BB63" s="39" t="s">
        <v>149</v>
      </c>
      <c r="BC63" s="39" t="s">
        <v>435</v>
      </c>
      <c r="BD63" s="39" t="s">
        <v>933</v>
      </c>
      <c r="BE63" s="39" t="s">
        <v>934</v>
      </c>
      <c r="BF63" s="39" t="s">
        <v>935</v>
      </c>
      <c r="BG63" s="39" t="s">
        <v>637</v>
      </c>
      <c r="BH63" s="39" t="s">
        <v>152</v>
      </c>
      <c r="BI63" s="39" t="s">
        <v>125</v>
      </c>
      <c r="BJ63" s="39"/>
      <c r="BK63" s="39" t="s">
        <v>153</v>
      </c>
      <c r="BL63" s="39"/>
      <c r="BM63" s="39" t="s">
        <v>240</v>
      </c>
      <c r="BN63" s="39"/>
    </row>
    <row r="64" spans="1:66" hidden="1">
      <c r="A64" s="39">
        <v>63</v>
      </c>
      <c r="B64" s="39" t="s">
        <v>118</v>
      </c>
      <c r="C64" s="39" t="s">
        <v>119</v>
      </c>
      <c r="D64" s="39"/>
      <c r="E64" s="39" t="s">
        <v>916</v>
      </c>
      <c r="F64" s="39"/>
      <c r="G64" s="39" t="s">
        <v>917</v>
      </c>
      <c r="H64" s="39" t="s">
        <v>918</v>
      </c>
      <c r="I64" s="39" t="s">
        <v>919</v>
      </c>
      <c r="J64" s="39" t="s">
        <v>418</v>
      </c>
      <c r="K64" s="39" t="s">
        <v>16</v>
      </c>
      <c r="L64" s="39" t="s">
        <v>378</v>
      </c>
      <c r="M64" s="39" t="s">
        <v>920</v>
      </c>
      <c r="N64" s="39"/>
      <c r="O64" s="39"/>
      <c r="P64" s="39"/>
      <c r="Q64" s="39" t="s">
        <v>921</v>
      </c>
      <c r="R64" s="39" t="s">
        <v>16</v>
      </c>
      <c r="S64" s="39" t="s">
        <v>922</v>
      </c>
      <c r="T64" s="39" t="s">
        <v>359</v>
      </c>
      <c r="U64" s="39" t="s">
        <v>923</v>
      </c>
      <c r="V64" s="39" t="s">
        <v>132</v>
      </c>
      <c r="W64" s="39" t="s">
        <v>924</v>
      </c>
      <c r="X64" s="39" t="s">
        <v>487</v>
      </c>
      <c r="Y64" s="39" t="s">
        <v>925</v>
      </c>
      <c r="Z64" s="39" t="s">
        <v>926</v>
      </c>
      <c r="AA64" s="39" t="s">
        <v>926</v>
      </c>
      <c r="AB64" s="39" t="s">
        <v>921</v>
      </c>
      <c r="AC64" s="39">
        <v>5432525</v>
      </c>
      <c r="AD64" s="39" t="s">
        <v>16</v>
      </c>
      <c r="AE64" s="39" t="s">
        <v>927</v>
      </c>
      <c r="AF64" s="39" t="s">
        <v>16</v>
      </c>
      <c r="AG64" s="39" t="s">
        <v>927</v>
      </c>
      <c r="AH64" s="39" t="s">
        <v>951</v>
      </c>
      <c r="AI64" s="39" t="s">
        <v>952</v>
      </c>
      <c r="AJ64" s="39" t="s">
        <v>140</v>
      </c>
      <c r="AK64" s="39" t="s">
        <v>125</v>
      </c>
      <c r="AL64" s="39">
        <v>15325.9</v>
      </c>
      <c r="AM64" s="39"/>
      <c r="AN64" s="39" t="s">
        <v>125</v>
      </c>
      <c r="AO64" s="39" t="s">
        <v>367</v>
      </c>
      <c r="AP64" s="39" t="s">
        <v>143</v>
      </c>
      <c r="AQ64" s="39" t="s">
        <v>293</v>
      </c>
      <c r="AR64" s="39" t="s">
        <v>930</v>
      </c>
      <c r="AS64" s="39" t="s">
        <v>953</v>
      </c>
      <c r="AT64" s="39" t="s">
        <v>147</v>
      </c>
      <c r="AU64" s="39"/>
      <c r="AV64" s="39" t="s">
        <v>932</v>
      </c>
      <c r="AW64" s="39"/>
      <c r="AX64" s="39"/>
      <c r="AY64" s="39"/>
      <c r="AZ64" s="39"/>
      <c r="BA64" s="39">
        <v>52590475</v>
      </c>
      <c r="BB64" s="39" t="s">
        <v>149</v>
      </c>
      <c r="BC64" s="39" t="s">
        <v>435</v>
      </c>
      <c r="BD64" s="39" t="s">
        <v>933</v>
      </c>
      <c r="BE64" s="39" t="s">
        <v>934</v>
      </c>
      <c r="BF64" s="39" t="s">
        <v>935</v>
      </c>
      <c r="BG64" s="39" t="s">
        <v>637</v>
      </c>
      <c r="BH64" s="39" t="s">
        <v>152</v>
      </c>
      <c r="BI64" s="39" t="s">
        <v>125</v>
      </c>
      <c r="BJ64" s="39"/>
      <c r="BK64" s="39" t="s">
        <v>153</v>
      </c>
      <c r="BL64" s="39"/>
      <c r="BM64" s="39" t="s">
        <v>240</v>
      </c>
      <c r="BN64" s="39"/>
    </row>
    <row r="65" spans="1:66" hidden="1">
      <c r="A65" s="39">
        <v>64</v>
      </c>
      <c r="B65" s="39" t="s">
        <v>118</v>
      </c>
      <c r="C65" s="39" t="s">
        <v>119</v>
      </c>
      <c r="D65" s="39"/>
      <c r="E65" s="39" t="s">
        <v>916</v>
      </c>
      <c r="F65" s="39"/>
      <c r="G65" s="39" t="s">
        <v>917</v>
      </c>
      <c r="H65" s="39" t="s">
        <v>918</v>
      </c>
      <c r="I65" s="39" t="s">
        <v>919</v>
      </c>
      <c r="J65" s="39" t="s">
        <v>418</v>
      </c>
      <c r="K65" s="39" t="s">
        <v>16</v>
      </c>
      <c r="L65" s="39" t="s">
        <v>378</v>
      </c>
      <c r="M65" s="39" t="s">
        <v>920</v>
      </c>
      <c r="N65" s="39"/>
      <c r="O65" s="39"/>
      <c r="P65" s="39"/>
      <c r="Q65" s="39" t="s">
        <v>921</v>
      </c>
      <c r="R65" s="39" t="s">
        <v>16</v>
      </c>
      <c r="S65" s="39" t="s">
        <v>922</v>
      </c>
      <c r="T65" s="39" t="s">
        <v>359</v>
      </c>
      <c r="U65" s="39" t="s">
        <v>923</v>
      </c>
      <c r="V65" s="39" t="s">
        <v>132</v>
      </c>
      <c r="W65" s="39" t="s">
        <v>924</v>
      </c>
      <c r="X65" s="39" t="s">
        <v>487</v>
      </c>
      <c r="Y65" s="39" t="s">
        <v>925</v>
      </c>
      <c r="Z65" s="39" t="s">
        <v>926</v>
      </c>
      <c r="AA65" s="39" t="s">
        <v>926</v>
      </c>
      <c r="AB65" s="39" t="s">
        <v>921</v>
      </c>
      <c r="AC65" s="39">
        <v>5432525</v>
      </c>
      <c r="AD65" s="39" t="s">
        <v>16</v>
      </c>
      <c r="AE65" s="39" t="s">
        <v>927</v>
      </c>
      <c r="AF65" s="39" t="s">
        <v>16</v>
      </c>
      <c r="AG65" s="39" t="s">
        <v>927</v>
      </c>
      <c r="AH65" s="39" t="s">
        <v>954</v>
      </c>
      <c r="AI65" s="39" t="s">
        <v>955</v>
      </c>
      <c r="AJ65" s="39" t="s">
        <v>140</v>
      </c>
      <c r="AK65" s="39" t="s">
        <v>125</v>
      </c>
      <c r="AL65" s="39">
        <v>11300</v>
      </c>
      <c r="AM65" s="39"/>
      <c r="AN65" s="39" t="s">
        <v>125</v>
      </c>
      <c r="AO65" s="39" t="s">
        <v>367</v>
      </c>
      <c r="AP65" s="39" t="s">
        <v>143</v>
      </c>
      <c r="AQ65" s="39" t="s">
        <v>293</v>
      </c>
      <c r="AR65" s="39" t="s">
        <v>930</v>
      </c>
      <c r="AS65" s="39"/>
      <c r="AT65" s="39" t="s">
        <v>147</v>
      </c>
      <c r="AU65" s="39"/>
      <c r="AV65" s="39" t="s">
        <v>932</v>
      </c>
      <c r="AW65" s="39"/>
      <c r="AX65" s="39"/>
      <c r="AY65" s="39"/>
      <c r="AZ65" s="39"/>
      <c r="BA65" s="39">
        <v>52590475</v>
      </c>
      <c r="BB65" s="39" t="s">
        <v>149</v>
      </c>
      <c r="BC65" s="39" t="s">
        <v>435</v>
      </c>
      <c r="BD65" s="39" t="s">
        <v>933</v>
      </c>
      <c r="BE65" s="39" t="s">
        <v>934</v>
      </c>
      <c r="BF65" s="39" t="s">
        <v>935</v>
      </c>
      <c r="BG65" s="39" t="s">
        <v>637</v>
      </c>
      <c r="BH65" s="39" t="s">
        <v>152</v>
      </c>
      <c r="BI65" s="39" t="s">
        <v>125</v>
      </c>
      <c r="BJ65" s="39"/>
      <c r="BK65" s="39"/>
      <c r="BL65" s="39"/>
      <c r="BM65" s="39" t="s">
        <v>240</v>
      </c>
      <c r="BN65" s="39"/>
    </row>
    <row r="66" spans="1:66" hidden="1">
      <c r="A66" s="39">
        <v>65</v>
      </c>
      <c r="B66" s="39" t="s">
        <v>118</v>
      </c>
      <c r="C66" s="39" t="s">
        <v>119</v>
      </c>
      <c r="D66" s="39" t="s">
        <v>956</v>
      </c>
      <c r="E66" s="39" t="s">
        <v>957</v>
      </c>
      <c r="F66" s="39" t="s">
        <v>208</v>
      </c>
      <c r="G66" s="39" t="s">
        <v>958</v>
      </c>
      <c r="H66" s="39" t="s">
        <v>959</v>
      </c>
      <c r="I66" s="39" t="s">
        <v>245</v>
      </c>
      <c r="J66" s="39" t="s">
        <v>355</v>
      </c>
      <c r="K66" s="39" t="s">
        <v>16</v>
      </c>
      <c r="L66" s="39" t="s">
        <v>211</v>
      </c>
      <c r="M66" s="39" t="s">
        <v>212</v>
      </c>
      <c r="N66" s="39" t="s">
        <v>125</v>
      </c>
      <c r="O66" s="39"/>
      <c r="P66" s="39"/>
      <c r="Q66" s="39" t="s">
        <v>960</v>
      </c>
      <c r="R66" s="39" t="s">
        <v>16</v>
      </c>
      <c r="S66" s="39" t="s">
        <v>961</v>
      </c>
      <c r="T66" s="39" t="s">
        <v>130</v>
      </c>
      <c r="U66" s="39" t="s">
        <v>962</v>
      </c>
      <c r="V66" s="39" t="s">
        <v>132</v>
      </c>
      <c r="W66" s="39" t="s">
        <v>194</v>
      </c>
      <c r="X66" s="39" t="s">
        <v>187</v>
      </c>
      <c r="Y66" s="39" t="s">
        <v>963</v>
      </c>
      <c r="Z66" s="39" t="s">
        <v>288</v>
      </c>
      <c r="AA66" s="39" t="s">
        <v>197</v>
      </c>
      <c r="AB66" s="39" t="s">
        <v>960</v>
      </c>
      <c r="AC66" s="39">
        <v>5432286</v>
      </c>
      <c r="AD66" s="39" t="s">
        <v>16</v>
      </c>
      <c r="AE66" s="39" t="s">
        <v>964</v>
      </c>
      <c r="AF66" s="39" t="s">
        <v>16</v>
      </c>
      <c r="AG66" s="39" t="s">
        <v>965</v>
      </c>
      <c r="AH66" s="39" t="s">
        <v>200</v>
      </c>
      <c r="AI66" s="39" t="s">
        <v>201</v>
      </c>
      <c r="AJ66" s="39" t="s">
        <v>140</v>
      </c>
      <c r="AK66" s="39" t="s">
        <v>125</v>
      </c>
      <c r="AL66" s="39">
        <v>5680</v>
      </c>
      <c r="AM66" s="39"/>
      <c r="AN66" s="39" t="s">
        <v>125</v>
      </c>
      <c r="AO66" s="39" t="s">
        <v>142</v>
      </c>
      <c r="AP66" s="39" t="s">
        <v>143</v>
      </c>
      <c r="AQ66" s="39" t="s">
        <v>144</v>
      </c>
      <c r="AR66" s="39" t="s">
        <v>966</v>
      </c>
      <c r="AS66" s="39" t="s">
        <v>967</v>
      </c>
      <c r="AT66" s="39" t="s">
        <v>147</v>
      </c>
      <c r="AU66" s="39"/>
      <c r="AV66" s="39" t="s">
        <v>968</v>
      </c>
      <c r="AW66" s="39"/>
      <c r="AX66" s="39"/>
      <c r="AY66" s="39"/>
      <c r="AZ66" s="39"/>
      <c r="BA66" s="39">
        <v>80610535</v>
      </c>
      <c r="BB66" s="39" t="s">
        <v>149</v>
      </c>
      <c r="BC66" s="39" t="s">
        <v>150</v>
      </c>
      <c r="BD66" s="39" t="s">
        <v>179</v>
      </c>
      <c r="BE66" s="39" t="s">
        <v>125</v>
      </c>
      <c r="BF66" s="39"/>
      <c r="BG66" s="39" t="s">
        <v>180</v>
      </c>
      <c r="BH66" s="39" t="s">
        <v>152</v>
      </c>
      <c r="BI66" s="39" t="s">
        <v>125</v>
      </c>
      <c r="BJ66" s="39"/>
      <c r="BK66" s="39" t="s">
        <v>153</v>
      </c>
      <c r="BL66" s="39"/>
      <c r="BM66" s="39"/>
      <c r="BN66" s="39" t="s">
        <v>212</v>
      </c>
    </row>
    <row r="67" spans="1:66" hidden="1">
      <c r="A67" s="39">
        <v>66</v>
      </c>
      <c r="B67" s="39" t="s">
        <v>118</v>
      </c>
      <c r="C67" s="39" t="s">
        <v>119</v>
      </c>
      <c r="D67" s="39" t="s">
        <v>969</v>
      </c>
      <c r="E67" s="39" t="s">
        <v>970</v>
      </c>
      <c r="F67" s="39" t="s">
        <v>336</v>
      </c>
      <c r="G67" s="39" t="s">
        <v>971</v>
      </c>
      <c r="H67" s="39" t="s">
        <v>972</v>
      </c>
      <c r="I67" s="39" t="s">
        <v>125</v>
      </c>
      <c r="J67" s="39" t="s">
        <v>187</v>
      </c>
      <c r="K67" s="39" t="s">
        <v>16</v>
      </c>
      <c r="L67" s="39" t="s">
        <v>188</v>
      </c>
      <c r="M67" s="39" t="s">
        <v>189</v>
      </c>
      <c r="N67" s="39" t="s">
        <v>973</v>
      </c>
      <c r="O67" s="39"/>
      <c r="P67" s="39"/>
      <c r="Q67" s="39" t="s">
        <v>969</v>
      </c>
      <c r="R67" s="39" t="s">
        <v>16</v>
      </c>
      <c r="S67" s="39" t="s">
        <v>974</v>
      </c>
      <c r="T67" s="39" t="s">
        <v>130</v>
      </c>
      <c r="U67" s="39" t="s">
        <v>975</v>
      </c>
      <c r="V67" s="39" t="s">
        <v>132</v>
      </c>
      <c r="W67" s="39" t="s">
        <v>194</v>
      </c>
      <c r="X67" s="39" t="s">
        <v>187</v>
      </c>
      <c r="Y67" s="39" t="s">
        <v>976</v>
      </c>
      <c r="Z67" s="39" t="s">
        <v>196</v>
      </c>
      <c r="AA67" s="39" t="s">
        <v>197</v>
      </c>
      <c r="AB67" s="39" t="s">
        <v>969</v>
      </c>
      <c r="AC67" s="39">
        <v>5431682</v>
      </c>
      <c r="AD67" s="39" t="s">
        <v>16</v>
      </c>
      <c r="AE67" s="39" t="s">
        <v>977</v>
      </c>
      <c r="AF67" s="39" t="s">
        <v>16</v>
      </c>
      <c r="AG67" s="39" t="s">
        <v>977</v>
      </c>
      <c r="AH67" s="39" t="s">
        <v>316</v>
      </c>
      <c r="AI67" s="39" t="s">
        <v>317</v>
      </c>
      <c r="AJ67" s="39" t="s">
        <v>140</v>
      </c>
      <c r="AK67" s="39" t="s">
        <v>125</v>
      </c>
      <c r="AL67" s="39">
        <v>4180</v>
      </c>
      <c r="AM67" s="39"/>
      <c r="AN67" s="39" t="s">
        <v>973</v>
      </c>
      <c r="AO67" s="39" t="s">
        <v>142</v>
      </c>
      <c r="AP67" s="39" t="s">
        <v>143</v>
      </c>
      <c r="AQ67" s="39" t="s">
        <v>252</v>
      </c>
      <c r="AR67" s="39" t="s">
        <v>978</v>
      </c>
      <c r="AS67" s="39" t="s">
        <v>979</v>
      </c>
      <c r="AT67" s="39" t="s">
        <v>147</v>
      </c>
      <c r="AU67" s="39"/>
      <c r="AV67" s="39" t="s">
        <v>980</v>
      </c>
      <c r="AW67" s="39"/>
      <c r="AX67" s="39"/>
      <c r="AY67" s="39"/>
      <c r="AZ67" s="39"/>
      <c r="BA67" s="39">
        <v>75300506</v>
      </c>
      <c r="BB67" s="39" t="s">
        <v>149</v>
      </c>
      <c r="BC67" s="39" t="s">
        <v>150</v>
      </c>
      <c r="BD67" s="39" t="s">
        <v>179</v>
      </c>
      <c r="BE67" s="39" t="s">
        <v>125</v>
      </c>
      <c r="BF67" s="39"/>
      <c r="BG67" s="39" t="s">
        <v>180</v>
      </c>
      <c r="BH67" s="39" t="s">
        <v>152</v>
      </c>
      <c r="BI67" s="39" t="s">
        <v>125</v>
      </c>
      <c r="BJ67" s="39"/>
      <c r="BK67" s="39" t="s">
        <v>153</v>
      </c>
      <c r="BL67" s="39"/>
      <c r="BM67" s="39"/>
      <c r="BN67" s="39" t="s">
        <v>155</v>
      </c>
    </row>
    <row r="68" spans="1:66">
      <c r="A68" s="39">
        <v>67</v>
      </c>
      <c r="B68" s="39" t="s">
        <v>118</v>
      </c>
      <c r="C68" s="39" t="s">
        <v>119</v>
      </c>
      <c r="D68" s="39" t="s">
        <v>182</v>
      </c>
      <c r="E68" s="39" t="s">
        <v>981</v>
      </c>
      <c r="F68" s="39" t="s">
        <v>184</v>
      </c>
      <c r="G68" s="39" t="s">
        <v>982</v>
      </c>
      <c r="H68" s="39" t="s">
        <v>983</v>
      </c>
      <c r="I68" s="39" t="s">
        <v>125</v>
      </c>
      <c r="J68" s="39" t="s">
        <v>187</v>
      </c>
      <c r="K68" s="39" t="s">
        <v>16</v>
      </c>
      <c r="L68" s="39" t="s">
        <v>188</v>
      </c>
      <c r="M68" s="39" t="s">
        <v>395</v>
      </c>
      <c r="N68" s="39" t="s">
        <v>984</v>
      </c>
      <c r="O68" s="39"/>
      <c r="P68" s="39"/>
      <c r="Q68" s="39" t="s">
        <v>985</v>
      </c>
      <c r="R68" s="39" t="s">
        <v>16</v>
      </c>
      <c r="S68" s="39" t="s">
        <v>986</v>
      </c>
      <c r="T68" s="39" t="s">
        <v>130</v>
      </c>
      <c r="U68" s="39" t="s">
        <v>987</v>
      </c>
      <c r="V68" s="39" t="s">
        <v>132</v>
      </c>
      <c r="W68" s="39" t="s">
        <v>194</v>
      </c>
      <c r="X68" s="39" t="s">
        <v>187</v>
      </c>
      <c r="Y68" s="39" t="s">
        <v>988</v>
      </c>
      <c r="Z68" s="39" t="s">
        <v>196</v>
      </c>
      <c r="AA68" s="39" t="s">
        <v>197</v>
      </c>
      <c r="AB68" s="42" t="s">
        <v>985</v>
      </c>
      <c r="AC68" s="39">
        <v>5431672</v>
      </c>
      <c r="AD68" s="39" t="s">
        <v>16</v>
      </c>
      <c r="AE68" s="39" t="s">
        <v>989</v>
      </c>
      <c r="AF68" s="39" t="s">
        <v>16</v>
      </c>
      <c r="AG68" s="39" t="s">
        <v>989</v>
      </c>
      <c r="AH68" s="39" t="s">
        <v>990</v>
      </c>
      <c r="AI68" s="39" t="s">
        <v>991</v>
      </c>
      <c r="AJ68" s="39" t="s">
        <v>140</v>
      </c>
      <c r="AK68" s="39" t="s">
        <v>125</v>
      </c>
      <c r="AL68" s="39">
        <v>14800</v>
      </c>
      <c r="AM68" s="39"/>
      <c r="AN68" s="39" t="s">
        <v>984</v>
      </c>
      <c r="AO68" s="39" t="s">
        <v>142</v>
      </c>
      <c r="AP68" s="39" t="s">
        <v>143</v>
      </c>
      <c r="AQ68" s="39" t="s">
        <v>293</v>
      </c>
      <c r="AR68" s="39" t="s">
        <v>992</v>
      </c>
      <c r="AS68" s="39" t="s">
        <v>993</v>
      </c>
      <c r="AT68" s="39" t="s">
        <v>147</v>
      </c>
      <c r="AU68" s="39"/>
      <c r="AV68" s="39" t="s">
        <v>994</v>
      </c>
      <c r="AW68" s="39"/>
      <c r="AX68" s="39"/>
      <c r="AY68" s="39"/>
      <c r="AZ68" s="39"/>
      <c r="BA68" s="39">
        <v>80754252</v>
      </c>
      <c r="BB68" s="39" t="s">
        <v>149</v>
      </c>
      <c r="BC68" s="39" t="s">
        <v>150</v>
      </c>
      <c r="BD68" s="39" t="s">
        <v>788</v>
      </c>
      <c r="BE68" s="39" t="s">
        <v>125</v>
      </c>
      <c r="BF68" s="39"/>
      <c r="BG68" s="39" t="s">
        <v>180</v>
      </c>
      <c r="BH68" s="39" t="s">
        <v>152</v>
      </c>
      <c r="BI68" s="39" t="s">
        <v>125</v>
      </c>
      <c r="BJ68" s="39"/>
      <c r="BK68" s="39" t="s">
        <v>153</v>
      </c>
      <c r="BL68" s="39"/>
      <c r="BM68" s="39"/>
      <c r="BN68" s="39" t="s">
        <v>155</v>
      </c>
    </row>
    <row r="69" spans="1:66" hidden="1">
      <c r="A69" s="39">
        <v>68</v>
      </c>
      <c r="B69" s="39" t="s">
        <v>118</v>
      </c>
      <c r="C69" s="39" t="s">
        <v>119</v>
      </c>
      <c r="D69" s="39" t="s">
        <v>995</v>
      </c>
      <c r="E69" s="39" t="s">
        <v>996</v>
      </c>
      <c r="F69" s="39" t="s">
        <v>279</v>
      </c>
      <c r="G69" s="39" t="s">
        <v>997</v>
      </c>
      <c r="H69" s="39" t="s">
        <v>998</v>
      </c>
      <c r="I69" s="39"/>
      <c r="J69" s="39"/>
      <c r="K69" s="39" t="s">
        <v>23</v>
      </c>
      <c r="L69" s="39" t="s">
        <v>999</v>
      </c>
      <c r="M69" s="39" t="s">
        <v>1000</v>
      </c>
      <c r="N69" s="39" t="s">
        <v>125</v>
      </c>
      <c r="O69" s="39"/>
      <c r="P69" s="39"/>
      <c r="Q69" s="39" t="s">
        <v>1001</v>
      </c>
      <c r="R69" s="39" t="s">
        <v>23</v>
      </c>
      <c r="S69" s="39" t="s">
        <v>1002</v>
      </c>
      <c r="T69" s="39" t="s">
        <v>130</v>
      </c>
      <c r="U69" s="39" t="s">
        <v>1003</v>
      </c>
      <c r="V69" s="39" t="s">
        <v>132</v>
      </c>
      <c r="W69" s="39" t="s">
        <v>168</v>
      </c>
      <c r="X69" s="39" t="s">
        <v>187</v>
      </c>
      <c r="Y69" s="39" t="s">
        <v>1004</v>
      </c>
      <c r="Z69" s="39" t="s">
        <v>196</v>
      </c>
      <c r="AA69" s="39" t="s">
        <v>197</v>
      </c>
      <c r="AB69" s="39" t="s">
        <v>1001</v>
      </c>
      <c r="AC69" s="39">
        <v>5431670</v>
      </c>
      <c r="AD69" s="39" t="s">
        <v>23</v>
      </c>
      <c r="AE69" s="39" t="s">
        <v>1005</v>
      </c>
      <c r="AF69" s="39" t="s">
        <v>23</v>
      </c>
      <c r="AG69" s="39" t="s">
        <v>1006</v>
      </c>
      <c r="AH69" s="39" t="s">
        <v>1007</v>
      </c>
      <c r="AI69" s="39" t="s">
        <v>1008</v>
      </c>
      <c r="AJ69" s="39" t="s">
        <v>140</v>
      </c>
      <c r="AK69" s="39" t="s">
        <v>125</v>
      </c>
      <c r="AL69" s="39">
        <v>20300</v>
      </c>
      <c r="AM69" s="39"/>
      <c r="AN69" s="39" t="s">
        <v>125</v>
      </c>
      <c r="AO69" s="39" t="s">
        <v>142</v>
      </c>
      <c r="AP69" s="39" t="s">
        <v>143</v>
      </c>
      <c r="AQ69" s="39" t="s">
        <v>144</v>
      </c>
      <c r="AR69" s="39" t="s">
        <v>1009</v>
      </c>
      <c r="AS69" s="39" t="s">
        <v>1010</v>
      </c>
      <c r="AT69" s="39" t="s">
        <v>147</v>
      </c>
      <c r="AU69" s="39"/>
      <c r="AV69" s="39" t="s">
        <v>1011</v>
      </c>
      <c r="AW69" s="39"/>
      <c r="AX69" s="39"/>
      <c r="AY69" s="39"/>
      <c r="AZ69" s="39"/>
      <c r="BA69" s="39">
        <v>21140912</v>
      </c>
      <c r="BB69" s="39" t="s">
        <v>149</v>
      </c>
      <c r="BC69" s="39" t="s">
        <v>150</v>
      </c>
      <c r="BD69" s="39" t="s">
        <v>179</v>
      </c>
      <c r="BE69" s="39" t="s">
        <v>125</v>
      </c>
      <c r="BF69" s="39"/>
      <c r="BG69" s="39" t="s">
        <v>180</v>
      </c>
      <c r="BH69" s="39" t="s">
        <v>152</v>
      </c>
      <c r="BI69" s="39" t="s">
        <v>125</v>
      </c>
      <c r="BJ69" s="39"/>
      <c r="BK69" s="39" t="s">
        <v>153</v>
      </c>
      <c r="BL69" s="39"/>
      <c r="BM69" s="39"/>
      <c r="BN69" s="39" t="s">
        <v>333</v>
      </c>
    </row>
    <row r="70" spans="1:66" hidden="1">
      <c r="A70" s="39">
        <v>69</v>
      </c>
      <c r="B70" s="39" t="s">
        <v>118</v>
      </c>
      <c r="C70" s="39" t="s">
        <v>119</v>
      </c>
      <c r="D70" s="39" t="s">
        <v>156</v>
      </c>
      <c r="E70" s="39" t="s">
        <v>1012</v>
      </c>
      <c r="F70" s="39" t="s">
        <v>377</v>
      </c>
      <c r="G70" s="39" t="s">
        <v>1013</v>
      </c>
      <c r="H70" s="39" t="s">
        <v>1014</v>
      </c>
      <c r="I70" s="39" t="s">
        <v>125</v>
      </c>
      <c r="J70" s="39" t="s">
        <v>187</v>
      </c>
      <c r="K70" s="39" t="s">
        <v>377</v>
      </c>
      <c r="L70" s="39" t="s">
        <v>305</v>
      </c>
      <c r="M70" s="39" t="s">
        <v>306</v>
      </c>
      <c r="N70" s="39" t="s">
        <v>125</v>
      </c>
      <c r="O70" s="39" t="s">
        <v>377</v>
      </c>
      <c r="P70" s="39" t="s">
        <v>1015</v>
      </c>
      <c r="Q70" s="39" t="s">
        <v>1016</v>
      </c>
      <c r="R70" s="39" t="s">
        <v>16</v>
      </c>
      <c r="S70" s="39" t="s">
        <v>1017</v>
      </c>
      <c r="T70" s="39" t="s">
        <v>130</v>
      </c>
      <c r="U70" s="39" t="s">
        <v>1018</v>
      </c>
      <c r="V70" s="39" t="s">
        <v>132</v>
      </c>
      <c r="W70" s="39" t="s">
        <v>194</v>
      </c>
      <c r="X70" s="39" t="s">
        <v>187</v>
      </c>
      <c r="Y70" s="39" t="s">
        <v>1019</v>
      </c>
      <c r="Z70" s="39" t="s">
        <v>196</v>
      </c>
      <c r="AA70" s="39" t="s">
        <v>197</v>
      </c>
      <c r="AB70" s="39" t="s">
        <v>1016</v>
      </c>
      <c r="AC70" s="39">
        <v>5431333</v>
      </c>
      <c r="AD70" s="39" t="s">
        <v>16</v>
      </c>
      <c r="AE70" s="39" t="s">
        <v>1020</v>
      </c>
      <c r="AF70" s="39" t="s">
        <v>16</v>
      </c>
      <c r="AG70" s="39" t="s">
        <v>1020</v>
      </c>
      <c r="AH70" s="39" t="s">
        <v>217</v>
      </c>
      <c r="AI70" s="39" t="s">
        <v>218</v>
      </c>
      <c r="AJ70" s="39" t="s">
        <v>140</v>
      </c>
      <c r="AK70" s="39" t="s">
        <v>125</v>
      </c>
      <c r="AL70" s="39">
        <v>19300</v>
      </c>
      <c r="AM70" s="39"/>
      <c r="AN70" s="39" t="s">
        <v>125</v>
      </c>
      <c r="AO70" s="39" t="s">
        <v>142</v>
      </c>
      <c r="AP70" s="39" t="s">
        <v>143</v>
      </c>
      <c r="AQ70" s="39" t="s">
        <v>312</v>
      </c>
      <c r="AR70" s="39" t="s">
        <v>1021</v>
      </c>
      <c r="AS70" s="39" t="s">
        <v>1022</v>
      </c>
      <c r="AT70" s="39" t="s">
        <v>147</v>
      </c>
      <c r="AU70" s="39"/>
      <c r="AV70" s="39" t="s">
        <v>1023</v>
      </c>
      <c r="AW70" s="39"/>
      <c r="AX70" s="39"/>
      <c r="AY70" s="39"/>
      <c r="AZ70" s="39"/>
      <c r="BA70" s="39">
        <v>80586571</v>
      </c>
      <c r="BB70" s="39" t="s">
        <v>149</v>
      </c>
      <c r="BC70" s="39" t="s">
        <v>150</v>
      </c>
      <c r="BD70" s="39" t="s">
        <v>179</v>
      </c>
      <c r="BE70" s="39" t="s">
        <v>125</v>
      </c>
      <c r="BF70" s="39"/>
      <c r="BG70" s="39" t="s">
        <v>180</v>
      </c>
      <c r="BH70" s="39" t="s">
        <v>152</v>
      </c>
      <c r="BI70" s="39" t="s">
        <v>125</v>
      </c>
      <c r="BJ70" s="39"/>
      <c r="BK70" s="39" t="s">
        <v>153</v>
      </c>
      <c r="BL70" s="39"/>
      <c r="BM70" s="39"/>
      <c r="BN70" s="39" t="s">
        <v>155</v>
      </c>
    </row>
    <row r="71" spans="1:66" hidden="1">
      <c r="A71" s="39">
        <v>70</v>
      </c>
      <c r="B71" s="39" t="s">
        <v>118</v>
      </c>
      <c r="C71" s="39" t="s">
        <v>119</v>
      </c>
      <c r="D71" s="39" t="s">
        <v>1024</v>
      </c>
      <c r="E71" s="39" t="s">
        <v>1025</v>
      </c>
      <c r="F71" s="39" t="s">
        <v>279</v>
      </c>
      <c r="G71" s="39" t="s">
        <v>1026</v>
      </c>
      <c r="H71" s="39" t="s">
        <v>1027</v>
      </c>
      <c r="I71" s="39" t="s">
        <v>282</v>
      </c>
      <c r="J71" s="39" t="s">
        <v>187</v>
      </c>
      <c r="K71" s="39" t="s">
        <v>794</v>
      </c>
      <c r="L71" s="39" t="s">
        <v>284</v>
      </c>
      <c r="M71" s="39" t="s">
        <v>284</v>
      </c>
      <c r="N71" s="39" t="s">
        <v>125</v>
      </c>
      <c r="O71" s="39" t="s">
        <v>794</v>
      </c>
      <c r="P71" s="39" t="s">
        <v>1028</v>
      </c>
      <c r="Q71" s="39" t="s">
        <v>1024</v>
      </c>
      <c r="R71" s="39" t="s">
        <v>26</v>
      </c>
      <c r="S71" s="39" t="s">
        <v>1029</v>
      </c>
      <c r="T71" s="39" t="s">
        <v>130</v>
      </c>
      <c r="U71" s="39" t="s">
        <v>1030</v>
      </c>
      <c r="V71" s="39" t="s">
        <v>132</v>
      </c>
      <c r="W71" s="39" t="s">
        <v>194</v>
      </c>
      <c r="X71" s="39" t="s">
        <v>187</v>
      </c>
      <c r="Y71" s="39" t="s">
        <v>1031</v>
      </c>
      <c r="Z71" s="39" t="s">
        <v>196</v>
      </c>
      <c r="AA71" s="39" t="s">
        <v>197</v>
      </c>
      <c r="AB71" s="39" t="s">
        <v>1024</v>
      </c>
      <c r="AC71" s="39">
        <v>5406595</v>
      </c>
      <c r="AD71" s="39" t="s">
        <v>26</v>
      </c>
      <c r="AE71" s="39" t="s">
        <v>1032</v>
      </c>
      <c r="AF71" s="39" t="s">
        <v>26</v>
      </c>
      <c r="AG71" s="39" t="s">
        <v>1033</v>
      </c>
      <c r="AH71" s="39" t="s">
        <v>217</v>
      </c>
      <c r="AI71" s="39" t="s">
        <v>218</v>
      </c>
      <c r="AJ71" s="39" t="s">
        <v>140</v>
      </c>
      <c r="AK71" s="39" t="s">
        <v>125</v>
      </c>
      <c r="AL71" s="39">
        <v>19300</v>
      </c>
      <c r="AM71" s="39"/>
      <c r="AN71" s="39" t="s">
        <v>125</v>
      </c>
      <c r="AO71" s="39" t="s">
        <v>142</v>
      </c>
      <c r="AP71" s="39" t="s">
        <v>143</v>
      </c>
      <c r="AQ71" s="39" t="s">
        <v>252</v>
      </c>
      <c r="AR71" s="39" t="s">
        <v>1034</v>
      </c>
      <c r="AS71" s="39" t="s">
        <v>1035</v>
      </c>
      <c r="AT71" s="39" t="s">
        <v>147</v>
      </c>
      <c r="AU71" s="39"/>
      <c r="AV71" s="39" t="s">
        <v>1036</v>
      </c>
      <c r="AW71" s="39"/>
      <c r="AX71" s="39"/>
      <c r="AY71" s="39"/>
      <c r="AZ71" s="39"/>
      <c r="BA71" s="39">
        <v>74551829</v>
      </c>
      <c r="BB71" s="39" t="s">
        <v>149</v>
      </c>
      <c r="BC71" s="39" t="s">
        <v>150</v>
      </c>
      <c r="BD71" s="39" t="s">
        <v>179</v>
      </c>
      <c r="BE71" s="39" t="s">
        <v>125</v>
      </c>
      <c r="BF71" s="39"/>
      <c r="BG71" s="39" t="s">
        <v>180</v>
      </c>
      <c r="BH71" s="39" t="s">
        <v>152</v>
      </c>
      <c r="BI71" s="39" t="s">
        <v>125</v>
      </c>
      <c r="BJ71" s="39"/>
      <c r="BK71" s="39" t="s">
        <v>153</v>
      </c>
      <c r="BL71" s="39"/>
      <c r="BM71" s="39"/>
      <c r="BN71" s="39" t="s">
        <v>300</v>
      </c>
    </row>
    <row r="72" spans="1:66" hidden="1">
      <c r="A72" s="39">
        <v>71</v>
      </c>
      <c r="B72" s="39" t="s">
        <v>118</v>
      </c>
      <c r="C72" s="39" t="s">
        <v>119</v>
      </c>
      <c r="D72" s="39" t="s">
        <v>1024</v>
      </c>
      <c r="E72" s="39" t="s">
        <v>1025</v>
      </c>
      <c r="F72" s="39" t="s">
        <v>279</v>
      </c>
      <c r="G72" s="39" t="s">
        <v>1026</v>
      </c>
      <c r="H72" s="39" t="s">
        <v>1027</v>
      </c>
      <c r="I72" s="39" t="s">
        <v>282</v>
      </c>
      <c r="J72" s="39" t="s">
        <v>187</v>
      </c>
      <c r="K72" s="39" t="s">
        <v>794</v>
      </c>
      <c r="L72" s="39" t="s">
        <v>284</v>
      </c>
      <c r="M72" s="39" t="s">
        <v>284</v>
      </c>
      <c r="N72" s="39" t="s">
        <v>125</v>
      </c>
      <c r="O72" s="39" t="s">
        <v>794</v>
      </c>
      <c r="P72" s="39" t="s">
        <v>1028</v>
      </c>
      <c r="Q72" s="39" t="s">
        <v>1024</v>
      </c>
      <c r="R72" s="39" t="s">
        <v>26</v>
      </c>
      <c r="S72" s="39" t="s">
        <v>1029</v>
      </c>
      <c r="T72" s="39" t="s">
        <v>130</v>
      </c>
      <c r="U72" s="39" t="s">
        <v>1030</v>
      </c>
      <c r="V72" s="39" t="s">
        <v>132</v>
      </c>
      <c r="W72" s="39" t="s">
        <v>194</v>
      </c>
      <c r="X72" s="39" t="s">
        <v>187</v>
      </c>
      <c r="Y72" s="39" t="s">
        <v>1031</v>
      </c>
      <c r="Z72" s="39" t="s">
        <v>196</v>
      </c>
      <c r="AA72" s="39" t="s">
        <v>197</v>
      </c>
      <c r="AB72" s="39" t="s">
        <v>1024</v>
      </c>
      <c r="AC72" s="39">
        <v>5406595</v>
      </c>
      <c r="AD72" s="39" t="s">
        <v>26</v>
      </c>
      <c r="AE72" s="39" t="s">
        <v>1032</v>
      </c>
      <c r="AF72" s="39" t="s">
        <v>26</v>
      </c>
      <c r="AG72" s="39" t="s">
        <v>1033</v>
      </c>
      <c r="AH72" s="39" t="s">
        <v>409</v>
      </c>
      <c r="AI72" s="39" t="s">
        <v>410</v>
      </c>
      <c r="AJ72" s="39" t="s">
        <v>140</v>
      </c>
      <c r="AK72" s="39" t="s">
        <v>125</v>
      </c>
      <c r="AL72" s="39">
        <v>4680</v>
      </c>
      <c r="AM72" s="39"/>
      <c r="AN72" s="39" t="s">
        <v>125</v>
      </c>
      <c r="AO72" s="39" t="s">
        <v>142</v>
      </c>
      <c r="AP72" s="39" t="s">
        <v>143</v>
      </c>
      <c r="AQ72" s="39" t="s">
        <v>252</v>
      </c>
      <c r="AR72" s="39" t="s">
        <v>1034</v>
      </c>
      <c r="AS72" s="39" t="s">
        <v>1037</v>
      </c>
      <c r="AT72" s="39" t="s">
        <v>147</v>
      </c>
      <c r="AU72" s="39"/>
      <c r="AV72" s="39" t="s">
        <v>1036</v>
      </c>
      <c r="AW72" s="39"/>
      <c r="AX72" s="39"/>
      <c r="AY72" s="39"/>
      <c r="AZ72" s="39"/>
      <c r="BA72" s="39">
        <v>74551829</v>
      </c>
      <c r="BB72" s="39" t="s">
        <v>149</v>
      </c>
      <c r="BC72" s="39" t="s">
        <v>150</v>
      </c>
      <c r="BD72" s="39" t="s">
        <v>179</v>
      </c>
      <c r="BE72" s="39" t="s">
        <v>125</v>
      </c>
      <c r="BF72" s="39"/>
      <c r="BG72" s="39" t="s">
        <v>180</v>
      </c>
      <c r="BH72" s="39" t="s">
        <v>152</v>
      </c>
      <c r="BI72" s="39" t="s">
        <v>125</v>
      </c>
      <c r="BJ72" s="39"/>
      <c r="BK72" s="39" t="s">
        <v>153</v>
      </c>
      <c r="BL72" s="39"/>
      <c r="BM72" s="39"/>
      <c r="BN72" s="39" t="s">
        <v>300</v>
      </c>
    </row>
    <row r="73" spans="1:66" hidden="1">
      <c r="A73" s="39">
        <v>72</v>
      </c>
      <c r="B73" s="39" t="s">
        <v>118</v>
      </c>
      <c r="C73" s="39" t="s">
        <v>119</v>
      </c>
      <c r="D73" s="39" t="s">
        <v>1038</v>
      </c>
      <c r="E73" s="39" t="s">
        <v>1039</v>
      </c>
      <c r="F73" s="39" t="s">
        <v>208</v>
      </c>
      <c r="G73" s="39" t="s">
        <v>1040</v>
      </c>
      <c r="H73" s="39" t="s">
        <v>1041</v>
      </c>
      <c r="I73" s="39" t="s">
        <v>245</v>
      </c>
      <c r="J73" s="39" t="s">
        <v>355</v>
      </c>
      <c r="K73" s="39" t="s">
        <v>22</v>
      </c>
      <c r="L73" s="39" t="s">
        <v>211</v>
      </c>
      <c r="M73" s="39" t="s">
        <v>212</v>
      </c>
      <c r="N73" s="39" t="s">
        <v>125</v>
      </c>
      <c r="O73" s="39"/>
      <c r="P73" s="39"/>
      <c r="Q73" s="39" t="s">
        <v>1042</v>
      </c>
      <c r="R73" s="39" t="s">
        <v>22</v>
      </c>
      <c r="S73" s="39" t="s">
        <v>1043</v>
      </c>
      <c r="T73" s="39" t="s">
        <v>130</v>
      </c>
      <c r="U73" s="39" t="s">
        <v>1044</v>
      </c>
      <c r="V73" s="39" t="s">
        <v>132</v>
      </c>
      <c r="W73" s="39" t="s">
        <v>194</v>
      </c>
      <c r="X73" s="39" t="s">
        <v>187</v>
      </c>
      <c r="Y73" s="39" t="s">
        <v>1045</v>
      </c>
      <c r="Z73" s="39" t="s">
        <v>196</v>
      </c>
      <c r="AA73" s="39" t="s">
        <v>197</v>
      </c>
      <c r="AB73" s="39" t="s">
        <v>1042</v>
      </c>
      <c r="AC73" s="39">
        <v>5406503</v>
      </c>
      <c r="AD73" s="39" t="s">
        <v>22</v>
      </c>
      <c r="AE73" s="39" t="s">
        <v>1046</v>
      </c>
      <c r="AF73" s="39" t="s">
        <v>22</v>
      </c>
      <c r="AG73" s="39" t="s">
        <v>1046</v>
      </c>
      <c r="AH73" s="39" t="s">
        <v>217</v>
      </c>
      <c r="AI73" s="39" t="s">
        <v>218</v>
      </c>
      <c r="AJ73" s="39" t="s">
        <v>140</v>
      </c>
      <c r="AK73" s="39" t="s">
        <v>125</v>
      </c>
      <c r="AL73" s="39">
        <v>19300</v>
      </c>
      <c r="AM73" s="39"/>
      <c r="AN73" s="39" t="s">
        <v>125</v>
      </c>
      <c r="AO73" s="39" t="s">
        <v>142</v>
      </c>
      <c r="AP73" s="39" t="s">
        <v>143</v>
      </c>
      <c r="AQ73" s="39" t="s">
        <v>144</v>
      </c>
      <c r="AR73" s="39" t="s">
        <v>1047</v>
      </c>
      <c r="AS73" s="39" t="s">
        <v>1048</v>
      </c>
      <c r="AT73" s="39" t="s">
        <v>147</v>
      </c>
      <c r="AU73" s="39"/>
      <c r="AV73" s="39" t="s">
        <v>1049</v>
      </c>
      <c r="AW73" s="39"/>
      <c r="AX73" s="39"/>
      <c r="AY73" s="39"/>
      <c r="AZ73" s="39"/>
      <c r="BA73" s="39">
        <v>59757924</v>
      </c>
      <c r="BB73" s="39" t="s">
        <v>149</v>
      </c>
      <c r="BC73" s="39" t="s">
        <v>150</v>
      </c>
      <c r="BD73" s="39" t="s">
        <v>179</v>
      </c>
      <c r="BE73" s="39" t="s">
        <v>125</v>
      </c>
      <c r="BF73" s="39"/>
      <c r="BG73" s="39" t="s">
        <v>180</v>
      </c>
      <c r="BH73" s="39" t="s">
        <v>152</v>
      </c>
      <c r="BI73" s="39" t="s">
        <v>125</v>
      </c>
      <c r="BJ73" s="39"/>
      <c r="BK73" s="39" t="s">
        <v>153</v>
      </c>
      <c r="BL73" s="39"/>
      <c r="BM73" s="39"/>
      <c r="BN73" s="39" t="s">
        <v>212</v>
      </c>
    </row>
    <row r="74" spans="1:66" hidden="1">
      <c r="A74" s="39">
        <v>73</v>
      </c>
      <c r="B74" s="39" t="s">
        <v>118</v>
      </c>
      <c r="C74" s="39" t="s">
        <v>119</v>
      </c>
      <c r="D74" s="39" t="s">
        <v>156</v>
      </c>
      <c r="E74" s="39" t="s">
        <v>1050</v>
      </c>
      <c r="F74" s="39" t="s">
        <v>303</v>
      </c>
      <c r="G74" s="39" t="s">
        <v>1051</v>
      </c>
      <c r="H74" s="39" t="s">
        <v>125</v>
      </c>
      <c r="I74" s="39" t="s">
        <v>125</v>
      </c>
      <c r="J74" s="39" t="s">
        <v>126</v>
      </c>
      <c r="K74" s="39" t="s">
        <v>303</v>
      </c>
      <c r="L74" s="39" t="s">
        <v>305</v>
      </c>
      <c r="M74" s="39" t="s">
        <v>306</v>
      </c>
      <c r="N74" s="39" t="s">
        <v>125</v>
      </c>
      <c r="O74" s="39" t="s">
        <v>303</v>
      </c>
      <c r="P74" s="39" t="s">
        <v>1052</v>
      </c>
      <c r="Q74" s="39" t="s">
        <v>1053</v>
      </c>
      <c r="R74" s="39" t="s">
        <v>16</v>
      </c>
      <c r="S74" s="39" t="s">
        <v>1054</v>
      </c>
      <c r="T74" s="39" t="s">
        <v>130</v>
      </c>
      <c r="U74" s="39" t="s">
        <v>1055</v>
      </c>
      <c r="V74" s="39" t="s">
        <v>132</v>
      </c>
      <c r="W74" s="39" t="s">
        <v>194</v>
      </c>
      <c r="X74" s="39" t="s">
        <v>187</v>
      </c>
      <c r="Y74" s="39" t="s">
        <v>1056</v>
      </c>
      <c r="Z74" s="39" t="s">
        <v>196</v>
      </c>
      <c r="AA74" s="39" t="s">
        <v>197</v>
      </c>
      <c r="AB74" s="39" t="s">
        <v>1053</v>
      </c>
      <c r="AC74" s="39">
        <v>5405824</v>
      </c>
      <c r="AD74" s="39" t="s">
        <v>16</v>
      </c>
      <c r="AE74" s="39" t="s">
        <v>1057</v>
      </c>
      <c r="AF74" s="39" t="s">
        <v>16</v>
      </c>
      <c r="AG74" s="39" t="s">
        <v>1057</v>
      </c>
      <c r="AH74" s="39" t="s">
        <v>990</v>
      </c>
      <c r="AI74" s="39" t="s">
        <v>991</v>
      </c>
      <c r="AJ74" s="39" t="s">
        <v>140</v>
      </c>
      <c r="AK74" s="39" t="s">
        <v>125</v>
      </c>
      <c r="AL74" s="39">
        <v>14800</v>
      </c>
      <c r="AM74" s="39"/>
      <c r="AN74" s="39" t="s">
        <v>125</v>
      </c>
      <c r="AO74" s="39" t="s">
        <v>142</v>
      </c>
      <c r="AP74" s="39" t="s">
        <v>143</v>
      </c>
      <c r="AQ74" s="39" t="s">
        <v>293</v>
      </c>
      <c r="AR74" s="39" t="s">
        <v>1058</v>
      </c>
      <c r="AS74" s="39" t="s">
        <v>1059</v>
      </c>
      <c r="AT74" s="39" t="s">
        <v>147</v>
      </c>
      <c r="AU74" s="39"/>
      <c r="AV74" s="39" t="s">
        <v>1060</v>
      </c>
      <c r="AW74" s="39"/>
      <c r="AX74" s="39"/>
      <c r="AY74" s="39"/>
      <c r="AZ74" s="39"/>
      <c r="BA74" s="39">
        <v>80746238</v>
      </c>
      <c r="BB74" s="39" t="s">
        <v>149</v>
      </c>
      <c r="BC74" s="39" t="s">
        <v>150</v>
      </c>
      <c r="BD74" s="39" t="s">
        <v>788</v>
      </c>
      <c r="BE74" s="39" t="s">
        <v>125</v>
      </c>
      <c r="BF74" s="39"/>
      <c r="BG74" s="39" t="s">
        <v>180</v>
      </c>
      <c r="BH74" s="39" t="s">
        <v>152</v>
      </c>
      <c r="BI74" s="39" t="s">
        <v>125</v>
      </c>
      <c r="BJ74" s="39"/>
      <c r="BK74" s="39" t="s">
        <v>153</v>
      </c>
      <c r="BL74" s="39"/>
      <c r="BM74" s="39"/>
      <c r="BN74" s="39" t="s">
        <v>155</v>
      </c>
    </row>
    <row r="75" spans="1:66" hidden="1">
      <c r="A75" s="39">
        <v>74</v>
      </c>
      <c r="B75" s="39" t="s">
        <v>118</v>
      </c>
      <c r="C75" s="39" t="s">
        <v>119</v>
      </c>
      <c r="D75" s="39" t="s">
        <v>1061</v>
      </c>
      <c r="E75" s="39" t="s">
        <v>1062</v>
      </c>
      <c r="F75" s="39" t="s">
        <v>158</v>
      </c>
      <c r="G75" s="39" t="s">
        <v>1063</v>
      </c>
      <c r="H75" s="39" t="s">
        <v>1064</v>
      </c>
      <c r="I75" s="39" t="s">
        <v>125</v>
      </c>
      <c r="J75" s="39" t="s">
        <v>187</v>
      </c>
      <c r="K75" s="39" t="s">
        <v>28</v>
      </c>
      <c r="L75" s="39" t="s">
        <v>188</v>
      </c>
      <c r="M75" s="39" t="s">
        <v>189</v>
      </c>
      <c r="N75" s="39" t="s">
        <v>1065</v>
      </c>
      <c r="O75" s="39"/>
      <c r="P75" s="39"/>
      <c r="Q75" s="39" t="s">
        <v>1066</v>
      </c>
      <c r="R75" s="39" t="s">
        <v>28</v>
      </c>
      <c r="S75" s="39" t="s">
        <v>1067</v>
      </c>
      <c r="T75" s="39" t="s">
        <v>130</v>
      </c>
      <c r="U75" s="39" t="s">
        <v>1068</v>
      </c>
      <c r="V75" s="39" t="s">
        <v>132</v>
      </c>
      <c r="W75" s="39" t="s">
        <v>1069</v>
      </c>
      <c r="X75" s="39" t="s">
        <v>187</v>
      </c>
      <c r="Y75" s="39" t="s">
        <v>1070</v>
      </c>
      <c r="Z75" s="39" t="s">
        <v>196</v>
      </c>
      <c r="AA75" s="39" t="s">
        <v>197</v>
      </c>
      <c r="AB75" s="39" t="s">
        <v>1066</v>
      </c>
      <c r="AC75" s="39">
        <v>5405697</v>
      </c>
      <c r="AD75" s="39" t="s">
        <v>28</v>
      </c>
      <c r="AE75" s="39" t="s">
        <v>1071</v>
      </c>
      <c r="AF75" s="39" t="s">
        <v>28</v>
      </c>
      <c r="AG75" s="39" t="s">
        <v>1072</v>
      </c>
      <c r="AH75" s="39" t="s">
        <v>217</v>
      </c>
      <c r="AI75" s="39" t="s">
        <v>218</v>
      </c>
      <c r="AJ75" s="39" t="s">
        <v>140</v>
      </c>
      <c r="AK75" s="39" t="s">
        <v>125</v>
      </c>
      <c r="AL75" s="39">
        <v>19300</v>
      </c>
      <c r="AM75" s="39"/>
      <c r="AN75" s="39" t="s">
        <v>1065</v>
      </c>
      <c r="AO75" s="39" t="s">
        <v>142</v>
      </c>
      <c r="AP75" s="39" t="s">
        <v>143</v>
      </c>
      <c r="AQ75" s="39" t="s">
        <v>144</v>
      </c>
      <c r="AR75" s="39" t="s">
        <v>1073</v>
      </c>
      <c r="AS75" s="39" t="s">
        <v>1074</v>
      </c>
      <c r="AT75" s="39" t="s">
        <v>147</v>
      </c>
      <c r="AU75" s="39"/>
      <c r="AV75" s="39" t="s">
        <v>1075</v>
      </c>
      <c r="AW75" s="39"/>
      <c r="AX75" s="39"/>
      <c r="AY75" s="39"/>
      <c r="AZ75" s="39"/>
      <c r="BA75" s="39">
        <v>74717176</v>
      </c>
      <c r="BB75" s="39" t="s">
        <v>149</v>
      </c>
      <c r="BC75" s="39" t="s">
        <v>150</v>
      </c>
      <c r="BD75" s="39" t="s">
        <v>179</v>
      </c>
      <c r="BE75" s="39" t="s">
        <v>125</v>
      </c>
      <c r="BF75" s="39"/>
      <c r="BG75" s="39" t="s">
        <v>180</v>
      </c>
      <c r="BH75" s="39" t="s">
        <v>152</v>
      </c>
      <c r="BI75" s="39" t="s">
        <v>125</v>
      </c>
      <c r="BJ75" s="39"/>
      <c r="BK75" s="39" t="s">
        <v>153</v>
      </c>
      <c r="BL75" s="39"/>
      <c r="BM75" s="39"/>
      <c r="BN75" s="39" t="s">
        <v>181</v>
      </c>
    </row>
    <row r="76" spans="1:66" hidden="1">
      <c r="A76" s="39">
        <v>75</v>
      </c>
      <c r="B76" s="39" t="s">
        <v>118</v>
      </c>
      <c r="C76" s="39" t="s">
        <v>119</v>
      </c>
      <c r="D76" s="39" t="s">
        <v>1076</v>
      </c>
      <c r="E76" s="39" t="s">
        <v>1077</v>
      </c>
      <c r="F76" s="39" t="s">
        <v>184</v>
      </c>
      <c r="G76" s="39" t="s">
        <v>1078</v>
      </c>
      <c r="H76" s="39" t="s">
        <v>1079</v>
      </c>
      <c r="I76" s="39" t="s">
        <v>125</v>
      </c>
      <c r="J76" s="39" t="s">
        <v>187</v>
      </c>
      <c r="K76" s="39" t="s">
        <v>16</v>
      </c>
      <c r="L76" s="39" t="s">
        <v>188</v>
      </c>
      <c r="M76" s="39" t="s">
        <v>189</v>
      </c>
      <c r="N76" s="39" t="s">
        <v>1080</v>
      </c>
      <c r="O76" s="39"/>
      <c r="P76" s="39"/>
      <c r="Q76" s="39" t="s">
        <v>1081</v>
      </c>
      <c r="R76" s="39" t="s">
        <v>16</v>
      </c>
      <c r="S76" s="39" t="s">
        <v>1082</v>
      </c>
      <c r="T76" s="39" t="s">
        <v>130</v>
      </c>
      <c r="U76" s="39" t="s">
        <v>1083</v>
      </c>
      <c r="V76" s="39" t="s">
        <v>132</v>
      </c>
      <c r="W76" s="39" t="s">
        <v>194</v>
      </c>
      <c r="X76" s="39" t="s">
        <v>187</v>
      </c>
      <c r="Y76" s="39" t="s">
        <v>1084</v>
      </c>
      <c r="Z76" s="39" t="s">
        <v>196</v>
      </c>
      <c r="AA76" s="39" t="s">
        <v>197</v>
      </c>
      <c r="AB76" s="39" t="s">
        <v>1081</v>
      </c>
      <c r="AC76" s="39">
        <v>5459726</v>
      </c>
      <c r="AD76" s="39" t="s">
        <v>16</v>
      </c>
      <c r="AE76" s="39" t="s">
        <v>1085</v>
      </c>
      <c r="AF76" s="39" t="s">
        <v>16</v>
      </c>
      <c r="AG76" s="39" t="s">
        <v>1085</v>
      </c>
      <c r="AH76" s="39" t="s">
        <v>200</v>
      </c>
      <c r="AI76" s="39" t="s">
        <v>201</v>
      </c>
      <c r="AJ76" s="39" t="s">
        <v>140</v>
      </c>
      <c r="AK76" s="39" t="s">
        <v>125</v>
      </c>
      <c r="AL76" s="39">
        <v>5180</v>
      </c>
      <c r="AM76" s="39"/>
      <c r="AN76" s="39" t="s">
        <v>1080</v>
      </c>
      <c r="AO76" s="39" t="s">
        <v>142</v>
      </c>
      <c r="AP76" s="39" t="s">
        <v>143</v>
      </c>
      <c r="AQ76" s="39" t="s">
        <v>312</v>
      </c>
      <c r="AR76" s="39" t="s">
        <v>1086</v>
      </c>
      <c r="AS76" s="39" t="s">
        <v>1087</v>
      </c>
      <c r="AT76" s="39" t="s">
        <v>296</v>
      </c>
      <c r="AU76" s="39"/>
      <c r="AV76" s="39" t="s">
        <v>1088</v>
      </c>
      <c r="AW76" s="39"/>
      <c r="AX76" s="39"/>
      <c r="AY76" s="39"/>
      <c r="AZ76" s="39"/>
      <c r="BA76" s="39">
        <v>74502176</v>
      </c>
      <c r="BB76" s="39" t="s">
        <v>149</v>
      </c>
      <c r="BC76" s="39" t="s">
        <v>150</v>
      </c>
      <c r="BD76" s="39" t="s">
        <v>179</v>
      </c>
      <c r="BE76" s="39" t="s">
        <v>125</v>
      </c>
      <c r="BF76" s="39"/>
      <c r="BG76" s="39" t="s">
        <v>180</v>
      </c>
      <c r="BH76" s="39" t="s">
        <v>152</v>
      </c>
      <c r="BI76" s="39" t="s">
        <v>125</v>
      </c>
      <c r="BJ76" s="39"/>
      <c r="BK76" s="39" t="s">
        <v>153</v>
      </c>
      <c r="BL76" s="39"/>
      <c r="BM76" s="39"/>
      <c r="BN76" s="39" t="s">
        <v>155</v>
      </c>
    </row>
    <row r="77" spans="1:66" hidden="1">
      <c r="A77" s="39">
        <v>76</v>
      </c>
      <c r="B77" s="39" t="s">
        <v>118</v>
      </c>
      <c r="C77" s="39" t="s">
        <v>119</v>
      </c>
      <c r="D77" s="39" t="s">
        <v>1089</v>
      </c>
      <c r="E77" s="39" t="s">
        <v>1090</v>
      </c>
      <c r="F77" s="39" t="s">
        <v>279</v>
      </c>
      <c r="G77" s="39" t="s">
        <v>1091</v>
      </c>
      <c r="H77" s="39" t="s">
        <v>281</v>
      </c>
      <c r="I77" s="39" t="s">
        <v>282</v>
      </c>
      <c r="J77" s="39" t="s">
        <v>187</v>
      </c>
      <c r="K77" s="39" t="s">
        <v>377</v>
      </c>
      <c r="L77" s="39" t="s">
        <v>284</v>
      </c>
      <c r="M77" s="39" t="s">
        <v>284</v>
      </c>
      <c r="N77" s="39" t="s">
        <v>125</v>
      </c>
      <c r="O77" s="39" t="s">
        <v>377</v>
      </c>
      <c r="P77" s="39" t="s">
        <v>1092</v>
      </c>
      <c r="Q77" s="39" t="s">
        <v>1089</v>
      </c>
      <c r="R77" s="39" t="s">
        <v>24</v>
      </c>
      <c r="S77" s="39" t="s">
        <v>1093</v>
      </c>
      <c r="T77" s="39" t="s">
        <v>130</v>
      </c>
      <c r="U77" s="39" t="s">
        <v>1094</v>
      </c>
      <c r="V77" s="39" t="s">
        <v>132</v>
      </c>
      <c r="W77" s="39" t="s">
        <v>1095</v>
      </c>
      <c r="X77" s="39" t="s">
        <v>187</v>
      </c>
      <c r="Y77" s="39" t="s">
        <v>819</v>
      </c>
      <c r="Z77" s="39" t="s">
        <v>196</v>
      </c>
      <c r="AA77" s="39" t="s">
        <v>197</v>
      </c>
      <c r="AB77" s="39" t="s">
        <v>1089</v>
      </c>
      <c r="AC77" s="39">
        <v>5459701</v>
      </c>
      <c r="AD77" s="39" t="s">
        <v>24</v>
      </c>
      <c r="AE77" s="39" t="s">
        <v>1096</v>
      </c>
      <c r="AF77" s="39" t="s">
        <v>24</v>
      </c>
      <c r="AG77" s="39" t="s">
        <v>1096</v>
      </c>
      <c r="AH77" s="39" t="s">
        <v>200</v>
      </c>
      <c r="AI77" s="39" t="s">
        <v>201</v>
      </c>
      <c r="AJ77" s="39" t="s">
        <v>140</v>
      </c>
      <c r="AK77" s="39" t="s">
        <v>125</v>
      </c>
      <c r="AL77" s="39">
        <v>4634.3</v>
      </c>
      <c r="AM77" s="39"/>
      <c r="AN77" s="39" t="s">
        <v>125</v>
      </c>
      <c r="AO77" s="39" t="s">
        <v>142</v>
      </c>
      <c r="AP77" s="39" t="s">
        <v>143</v>
      </c>
      <c r="AQ77" s="39" t="s">
        <v>293</v>
      </c>
      <c r="AR77" s="39" t="s">
        <v>1097</v>
      </c>
      <c r="AS77" s="39" t="s">
        <v>1098</v>
      </c>
      <c r="AT77" s="39" t="s">
        <v>296</v>
      </c>
      <c r="AU77" s="39"/>
      <c r="AV77" s="39" t="s">
        <v>1099</v>
      </c>
      <c r="AW77" s="39"/>
      <c r="AX77" s="39"/>
      <c r="AY77" s="39"/>
      <c r="AZ77" s="39"/>
      <c r="BA77" s="39">
        <v>59728964</v>
      </c>
      <c r="BB77" s="39" t="s">
        <v>149</v>
      </c>
      <c r="BC77" s="39" t="s">
        <v>150</v>
      </c>
      <c r="BD77" s="39" t="s">
        <v>179</v>
      </c>
      <c r="BE77" s="39" t="s">
        <v>125</v>
      </c>
      <c r="BF77" s="39"/>
      <c r="BG77" s="39" t="s">
        <v>180</v>
      </c>
      <c r="BH77" s="39" t="s">
        <v>152</v>
      </c>
      <c r="BI77" s="39" t="s">
        <v>125</v>
      </c>
      <c r="BJ77" s="39"/>
      <c r="BK77" s="39" t="s">
        <v>153</v>
      </c>
      <c r="BL77" s="39"/>
      <c r="BM77" s="39"/>
      <c r="BN77" s="39" t="s">
        <v>300</v>
      </c>
    </row>
    <row r="78" spans="1:66" hidden="1">
      <c r="A78" s="39">
        <v>77</v>
      </c>
      <c r="B78" s="39" t="s">
        <v>118</v>
      </c>
      <c r="C78" s="39" t="s">
        <v>119</v>
      </c>
      <c r="D78" s="39" t="s">
        <v>1089</v>
      </c>
      <c r="E78" s="39" t="s">
        <v>1090</v>
      </c>
      <c r="F78" s="39" t="s">
        <v>279</v>
      </c>
      <c r="G78" s="39" t="s">
        <v>1091</v>
      </c>
      <c r="H78" s="39" t="s">
        <v>281</v>
      </c>
      <c r="I78" s="39" t="s">
        <v>282</v>
      </c>
      <c r="J78" s="39" t="s">
        <v>187</v>
      </c>
      <c r="K78" s="39" t="s">
        <v>377</v>
      </c>
      <c r="L78" s="39" t="s">
        <v>284</v>
      </c>
      <c r="M78" s="39" t="s">
        <v>284</v>
      </c>
      <c r="N78" s="39" t="s">
        <v>125</v>
      </c>
      <c r="O78" s="39" t="s">
        <v>377</v>
      </c>
      <c r="P78" s="39" t="s">
        <v>1092</v>
      </c>
      <c r="Q78" s="39" t="s">
        <v>1089</v>
      </c>
      <c r="R78" s="39" t="s">
        <v>24</v>
      </c>
      <c r="S78" s="39" t="s">
        <v>1093</v>
      </c>
      <c r="T78" s="39" t="s">
        <v>130</v>
      </c>
      <c r="U78" s="39" t="s">
        <v>1094</v>
      </c>
      <c r="V78" s="39" t="s">
        <v>132</v>
      </c>
      <c r="W78" s="39" t="s">
        <v>1095</v>
      </c>
      <c r="X78" s="39" t="s">
        <v>187</v>
      </c>
      <c r="Y78" s="39" t="s">
        <v>819</v>
      </c>
      <c r="Z78" s="39" t="s">
        <v>196</v>
      </c>
      <c r="AA78" s="39" t="s">
        <v>197</v>
      </c>
      <c r="AB78" s="39" t="s">
        <v>1089</v>
      </c>
      <c r="AC78" s="39">
        <v>5459701</v>
      </c>
      <c r="AD78" s="39" t="s">
        <v>24</v>
      </c>
      <c r="AE78" s="39" t="s">
        <v>1096</v>
      </c>
      <c r="AF78" s="39" t="s">
        <v>24</v>
      </c>
      <c r="AG78" s="39" t="s">
        <v>1096</v>
      </c>
      <c r="AH78" s="39" t="s">
        <v>316</v>
      </c>
      <c r="AI78" s="39" t="s">
        <v>317</v>
      </c>
      <c r="AJ78" s="39" t="s">
        <v>140</v>
      </c>
      <c r="AK78" s="39" t="s">
        <v>125</v>
      </c>
      <c r="AL78" s="39">
        <v>4525.7</v>
      </c>
      <c r="AM78" s="39"/>
      <c r="AN78" s="39" t="s">
        <v>125</v>
      </c>
      <c r="AO78" s="39" t="s">
        <v>142</v>
      </c>
      <c r="AP78" s="39" t="s">
        <v>143</v>
      </c>
      <c r="AQ78" s="39" t="s">
        <v>293</v>
      </c>
      <c r="AR78" s="39" t="s">
        <v>1097</v>
      </c>
      <c r="AS78" s="39" t="s">
        <v>1100</v>
      </c>
      <c r="AT78" s="39" t="s">
        <v>296</v>
      </c>
      <c r="AU78" s="39"/>
      <c r="AV78" s="39" t="s">
        <v>1099</v>
      </c>
      <c r="AW78" s="39"/>
      <c r="AX78" s="39"/>
      <c r="AY78" s="39"/>
      <c r="AZ78" s="39"/>
      <c r="BA78" s="39">
        <v>59728964</v>
      </c>
      <c r="BB78" s="39" t="s">
        <v>149</v>
      </c>
      <c r="BC78" s="39" t="s">
        <v>150</v>
      </c>
      <c r="BD78" s="39" t="s">
        <v>179</v>
      </c>
      <c r="BE78" s="39" t="s">
        <v>125</v>
      </c>
      <c r="BF78" s="39"/>
      <c r="BG78" s="39" t="s">
        <v>180</v>
      </c>
      <c r="BH78" s="39" t="s">
        <v>152</v>
      </c>
      <c r="BI78" s="39" t="s">
        <v>125</v>
      </c>
      <c r="BJ78" s="39"/>
      <c r="BK78" s="39" t="s">
        <v>153</v>
      </c>
      <c r="BL78" s="39"/>
      <c r="BM78" s="39"/>
      <c r="BN78" s="39" t="s">
        <v>300</v>
      </c>
    </row>
    <row r="79" spans="1:66" hidden="1">
      <c r="A79" s="39">
        <v>78</v>
      </c>
      <c r="B79" s="39" t="s">
        <v>118</v>
      </c>
      <c r="C79" s="39" t="s">
        <v>119</v>
      </c>
      <c r="D79" s="39" t="s">
        <v>1101</v>
      </c>
      <c r="E79" s="39" t="s">
        <v>1102</v>
      </c>
      <c r="F79" s="39" t="s">
        <v>279</v>
      </c>
      <c r="G79" s="39" t="s">
        <v>1103</v>
      </c>
      <c r="H79" s="39" t="s">
        <v>1104</v>
      </c>
      <c r="I79" s="39" t="s">
        <v>505</v>
      </c>
      <c r="J79" s="39" t="s">
        <v>506</v>
      </c>
      <c r="K79" s="39" t="s">
        <v>303</v>
      </c>
      <c r="L79" s="39" t="s">
        <v>162</v>
      </c>
      <c r="M79" s="39" t="s">
        <v>163</v>
      </c>
      <c r="N79" s="39" t="s">
        <v>125</v>
      </c>
      <c r="O79" s="39" t="s">
        <v>303</v>
      </c>
      <c r="P79" s="39" t="s">
        <v>1105</v>
      </c>
      <c r="Q79" s="39" t="s">
        <v>1106</v>
      </c>
      <c r="R79" s="39" t="s">
        <v>21</v>
      </c>
      <c r="S79" s="39" t="s">
        <v>1107</v>
      </c>
      <c r="T79" s="39" t="s">
        <v>130</v>
      </c>
      <c r="U79" s="39" t="s">
        <v>599</v>
      </c>
      <c r="V79" s="39" t="s">
        <v>132</v>
      </c>
      <c r="W79" s="39" t="s">
        <v>399</v>
      </c>
      <c r="X79" s="39" t="s">
        <v>187</v>
      </c>
      <c r="Y79" s="39" t="s">
        <v>1108</v>
      </c>
      <c r="Z79" s="39" t="s">
        <v>196</v>
      </c>
      <c r="AA79" s="39" t="s">
        <v>197</v>
      </c>
      <c r="AB79" s="39" t="s">
        <v>1106</v>
      </c>
      <c r="AC79" s="39">
        <v>5459556</v>
      </c>
      <c r="AD79" s="39" t="s">
        <v>21</v>
      </c>
      <c r="AE79" s="39" t="s">
        <v>1109</v>
      </c>
      <c r="AF79" s="39" t="s">
        <v>21</v>
      </c>
      <c r="AG79" s="39" t="s">
        <v>1110</v>
      </c>
      <c r="AH79" s="39" t="s">
        <v>403</v>
      </c>
      <c r="AI79" s="39" t="s">
        <v>404</v>
      </c>
      <c r="AJ79" s="39" t="s">
        <v>140</v>
      </c>
      <c r="AK79" s="39" t="s">
        <v>125</v>
      </c>
      <c r="AL79" s="39">
        <v>4880</v>
      </c>
      <c r="AM79" s="39"/>
      <c r="AN79" s="39" t="s">
        <v>125</v>
      </c>
      <c r="AO79" s="39" t="s">
        <v>142</v>
      </c>
      <c r="AP79" s="39" t="s">
        <v>143</v>
      </c>
      <c r="AQ79" s="39" t="s">
        <v>312</v>
      </c>
      <c r="AR79" s="39" t="s">
        <v>1111</v>
      </c>
      <c r="AS79" s="39" t="s">
        <v>1112</v>
      </c>
      <c r="AT79" s="39" t="s">
        <v>296</v>
      </c>
      <c r="AU79" s="39"/>
      <c r="AV79" s="39" t="s">
        <v>1113</v>
      </c>
      <c r="AW79" s="39"/>
      <c r="AX79" s="39"/>
      <c r="AY79" s="39"/>
      <c r="AZ79" s="39"/>
      <c r="BA79" s="39">
        <v>80544237</v>
      </c>
      <c r="BB79" s="39" t="s">
        <v>149</v>
      </c>
      <c r="BC79" s="39" t="s">
        <v>150</v>
      </c>
      <c r="BD79" s="39" t="s">
        <v>139</v>
      </c>
      <c r="BE79" s="39" t="s">
        <v>125</v>
      </c>
      <c r="BF79" s="39"/>
      <c r="BG79" s="39" t="s">
        <v>180</v>
      </c>
      <c r="BH79" s="39" t="s">
        <v>152</v>
      </c>
      <c r="BI79" s="39" t="s">
        <v>125</v>
      </c>
      <c r="BJ79" s="39"/>
      <c r="BK79" s="39" t="s">
        <v>153</v>
      </c>
      <c r="BL79" s="39"/>
      <c r="BM79" s="39"/>
      <c r="BN79" s="39" t="s">
        <v>523</v>
      </c>
    </row>
    <row r="80" spans="1:66" hidden="1">
      <c r="A80" s="39">
        <v>79</v>
      </c>
      <c r="B80" s="39" t="s">
        <v>118</v>
      </c>
      <c r="C80" s="39" t="s">
        <v>119</v>
      </c>
      <c r="D80" s="39" t="s">
        <v>1114</v>
      </c>
      <c r="E80" s="39" t="s">
        <v>1115</v>
      </c>
      <c r="F80" s="39" t="s">
        <v>279</v>
      </c>
      <c r="G80" s="39" t="s">
        <v>1116</v>
      </c>
      <c r="H80" s="39" t="s">
        <v>1117</v>
      </c>
      <c r="I80" s="39"/>
      <c r="J80" s="39" t="s">
        <v>187</v>
      </c>
      <c r="K80" s="39" t="s">
        <v>21</v>
      </c>
      <c r="L80" s="39" t="s">
        <v>263</v>
      </c>
      <c r="M80" s="39" t="s">
        <v>694</v>
      </c>
      <c r="N80" s="39"/>
      <c r="O80" s="39"/>
      <c r="P80" s="39"/>
      <c r="Q80" s="39" t="s">
        <v>1118</v>
      </c>
      <c r="R80" s="39" t="s">
        <v>21</v>
      </c>
      <c r="S80" s="39" t="s">
        <v>1119</v>
      </c>
      <c r="T80" s="39" t="s">
        <v>130</v>
      </c>
      <c r="U80" s="39" t="s">
        <v>1120</v>
      </c>
      <c r="V80" s="39" t="s">
        <v>132</v>
      </c>
      <c r="W80" s="39" t="s">
        <v>399</v>
      </c>
      <c r="X80" s="39" t="s">
        <v>187</v>
      </c>
      <c r="Y80" s="39" t="s">
        <v>1121</v>
      </c>
      <c r="Z80" s="39" t="s">
        <v>196</v>
      </c>
      <c r="AA80" s="39" t="s">
        <v>197</v>
      </c>
      <c r="AB80" s="39" t="s">
        <v>1118</v>
      </c>
      <c r="AC80" s="39">
        <v>5459550</v>
      </c>
      <c r="AD80" s="39" t="s">
        <v>21</v>
      </c>
      <c r="AE80" s="39" t="s">
        <v>1122</v>
      </c>
      <c r="AF80" s="39" t="s">
        <v>21</v>
      </c>
      <c r="AG80" s="39" t="s">
        <v>1122</v>
      </c>
      <c r="AH80" s="39" t="s">
        <v>403</v>
      </c>
      <c r="AI80" s="39" t="s">
        <v>404</v>
      </c>
      <c r="AJ80" s="39" t="s">
        <v>140</v>
      </c>
      <c r="AK80" s="39" t="s">
        <v>125</v>
      </c>
      <c r="AL80" s="39">
        <v>4002</v>
      </c>
      <c r="AM80" s="39"/>
      <c r="AN80" s="39" t="s">
        <v>125</v>
      </c>
      <c r="AO80" s="39" t="s">
        <v>142</v>
      </c>
      <c r="AP80" s="39" t="s">
        <v>143</v>
      </c>
      <c r="AQ80" s="39" t="s">
        <v>312</v>
      </c>
      <c r="AR80" s="39" t="s">
        <v>1123</v>
      </c>
      <c r="AS80" s="39" t="s">
        <v>1124</v>
      </c>
      <c r="AT80" s="39" t="s">
        <v>296</v>
      </c>
      <c r="AU80" s="39"/>
      <c r="AV80" s="39" t="s">
        <v>1125</v>
      </c>
      <c r="AW80" s="39"/>
      <c r="AX80" s="39"/>
      <c r="AY80" s="39"/>
      <c r="AZ80" s="39"/>
      <c r="BA80" s="39">
        <v>80702002</v>
      </c>
      <c r="BB80" s="39" t="s">
        <v>149</v>
      </c>
      <c r="BC80" s="39" t="s">
        <v>150</v>
      </c>
      <c r="BD80" s="39" t="s">
        <v>125</v>
      </c>
      <c r="BE80" s="39" t="s">
        <v>125</v>
      </c>
      <c r="BF80" s="39"/>
      <c r="BG80" s="39" t="s">
        <v>180</v>
      </c>
      <c r="BH80" s="39" t="s">
        <v>152</v>
      </c>
      <c r="BI80" s="39" t="s">
        <v>125</v>
      </c>
      <c r="BJ80" s="39"/>
      <c r="BK80" s="39" t="s">
        <v>153</v>
      </c>
      <c r="BL80" s="39"/>
      <c r="BM80" s="39"/>
      <c r="BN80" s="39" t="s">
        <v>333</v>
      </c>
    </row>
    <row r="81" spans="1:66" hidden="1">
      <c r="A81" s="39">
        <v>80</v>
      </c>
      <c r="B81" s="39" t="s">
        <v>118</v>
      </c>
      <c r="C81" s="39" t="s">
        <v>119</v>
      </c>
      <c r="D81" s="39" t="s">
        <v>1114</v>
      </c>
      <c r="E81" s="39" t="s">
        <v>1115</v>
      </c>
      <c r="F81" s="39" t="s">
        <v>279</v>
      </c>
      <c r="G81" s="39" t="s">
        <v>1116</v>
      </c>
      <c r="H81" s="39" t="s">
        <v>1117</v>
      </c>
      <c r="I81" s="39"/>
      <c r="J81" s="39" t="s">
        <v>187</v>
      </c>
      <c r="K81" s="39" t="s">
        <v>21</v>
      </c>
      <c r="L81" s="39" t="s">
        <v>263</v>
      </c>
      <c r="M81" s="39" t="s">
        <v>694</v>
      </c>
      <c r="N81" s="39"/>
      <c r="O81" s="39"/>
      <c r="P81" s="39"/>
      <c r="Q81" s="39" t="s">
        <v>1118</v>
      </c>
      <c r="R81" s="39" t="s">
        <v>21</v>
      </c>
      <c r="S81" s="39" t="s">
        <v>1119</v>
      </c>
      <c r="T81" s="39" t="s">
        <v>130</v>
      </c>
      <c r="U81" s="39" t="s">
        <v>1120</v>
      </c>
      <c r="V81" s="39" t="s">
        <v>132</v>
      </c>
      <c r="W81" s="39" t="s">
        <v>399</v>
      </c>
      <c r="X81" s="39" t="s">
        <v>187</v>
      </c>
      <c r="Y81" s="39" t="s">
        <v>1121</v>
      </c>
      <c r="Z81" s="39" t="s">
        <v>196</v>
      </c>
      <c r="AA81" s="39" t="s">
        <v>197</v>
      </c>
      <c r="AB81" s="39" t="s">
        <v>1118</v>
      </c>
      <c r="AC81" s="39">
        <v>5459550</v>
      </c>
      <c r="AD81" s="39" t="s">
        <v>21</v>
      </c>
      <c r="AE81" s="39" t="s">
        <v>1122</v>
      </c>
      <c r="AF81" s="39" t="s">
        <v>21</v>
      </c>
      <c r="AG81" s="39" t="s">
        <v>1122</v>
      </c>
      <c r="AH81" s="39" t="s">
        <v>409</v>
      </c>
      <c r="AI81" s="39" t="s">
        <v>410</v>
      </c>
      <c r="AJ81" s="39" t="s">
        <v>140</v>
      </c>
      <c r="AK81" s="39" t="s">
        <v>125</v>
      </c>
      <c r="AL81" s="39">
        <v>3999</v>
      </c>
      <c r="AM81" s="39"/>
      <c r="AN81" s="39" t="s">
        <v>125</v>
      </c>
      <c r="AO81" s="39" t="s">
        <v>142</v>
      </c>
      <c r="AP81" s="39" t="s">
        <v>143</v>
      </c>
      <c r="AQ81" s="39" t="s">
        <v>312</v>
      </c>
      <c r="AR81" s="39" t="s">
        <v>1123</v>
      </c>
      <c r="AS81" s="39" t="s">
        <v>1126</v>
      </c>
      <c r="AT81" s="39" t="s">
        <v>296</v>
      </c>
      <c r="AU81" s="39"/>
      <c r="AV81" s="39" t="s">
        <v>1125</v>
      </c>
      <c r="AW81" s="39"/>
      <c r="AX81" s="39"/>
      <c r="AY81" s="39"/>
      <c r="AZ81" s="39"/>
      <c r="BA81" s="39">
        <v>80702002</v>
      </c>
      <c r="BB81" s="39" t="s">
        <v>149</v>
      </c>
      <c r="BC81" s="39" t="s">
        <v>150</v>
      </c>
      <c r="BD81" s="39" t="s">
        <v>125</v>
      </c>
      <c r="BE81" s="39" t="s">
        <v>125</v>
      </c>
      <c r="BF81" s="39"/>
      <c r="BG81" s="39" t="s">
        <v>180</v>
      </c>
      <c r="BH81" s="39" t="s">
        <v>152</v>
      </c>
      <c r="BI81" s="39" t="s">
        <v>125</v>
      </c>
      <c r="BJ81" s="39"/>
      <c r="BK81" s="39" t="s">
        <v>153</v>
      </c>
      <c r="BL81" s="39"/>
      <c r="BM81" s="39"/>
      <c r="BN81" s="39" t="s">
        <v>333</v>
      </c>
    </row>
    <row r="82" spans="1:66" hidden="1">
      <c r="A82" s="39">
        <v>81</v>
      </c>
      <c r="B82" s="39" t="s">
        <v>118</v>
      </c>
      <c r="C82" s="39" t="s">
        <v>119</v>
      </c>
      <c r="D82" s="39" t="s">
        <v>1114</v>
      </c>
      <c r="E82" s="39" t="s">
        <v>1115</v>
      </c>
      <c r="F82" s="39" t="s">
        <v>279</v>
      </c>
      <c r="G82" s="39" t="s">
        <v>1116</v>
      </c>
      <c r="H82" s="39" t="s">
        <v>1117</v>
      </c>
      <c r="I82" s="39"/>
      <c r="J82" s="39" t="s">
        <v>187</v>
      </c>
      <c r="K82" s="39" t="s">
        <v>21</v>
      </c>
      <c r="L82" s="39" t="s">
        <v>263</v>
      </c>
      <c r="M82" s="39" t="s">
        <v>694</v>
      </c>
      <c r="N82" s="39"/>
      <c r="O82" s="39"/>
      <c r="P82" s="39"/>
      <c r="Q82" s="39" t="s">
        <v>1118</v>
      </c>
      <c r="R82" s="39" t="s">
        <v>21</v>
      </c>
      <c r="S82" s="39" t="s">
        <v>1119</v>
      </c>
      <c r="T82" s="39" t="s">
        <v>130</v>
      </c>
      <c r="U82" s="39" t="s">
        <v>1120</v>
      </c>
      <c r="V82" s="39" t="s">
        <v>132</v>
      </c>
      <c r="W82" s="39" t="s">
        <v>399</v>
      </c>
      <c r="X82" s="39" t="s">
        <v>187</v>
      </c>
      <c r="Y82" s="39" t="s">
        <v>1121</v>
      </c>
      <c r="Z82" s="39" t="s">
        <v>196</v>
      </c>
      <c r="AA82" s="39" t="s">
        <v>197</v>
      </c>
      <c r="AB82" s="39" t="s">
        <v>1118</v>
      </c>
      <c r="AC82" s="39">
        <v>5459550</v>
      </c>
      <c r="AD82" s="39" t="s">
        <v>21</v>
      </c>
      <c r="AE82" s="39" t="s">
        <v>1122</v>
      </c>
      <c r="AF82" s="39" t="s">
        <v>21</v>
      </c>
      <c r="AG82" s="39" t="s">
        <v>1122</v>
      </c>
      <c r="AH82" s="39" t="s">
        <v>412</v>
      </c>
      <c r="AI82" s="39" t="s">
        <v>413</v>
      </c>
      <c r="AJ82" s="39" t="s">
        <v>140</v>
      </c>
      <c r="AK82" s="39" t="s">
        <v>125</v>
      </c>
      <c r="AL82" s="39">
        <v>3999</v>
      </c>
      <c r="AM82" s="39"/>
      <c r="AN82" s="39" t="s">
        <v>125</v>
      </c>
      <c r="AO82" s="39" t="s">
        <v>142</v>
      </c>
      <c r="AP82" s="39" t="s">
        <v>143</v>
      </c>
      <c r="AQ82" s="39" t="s">
        <v>312</v>
      </c>
      <c r="AR82" s="39" t="s">
        <v>1123</v>
      </c>
      <c r="AS82" s="39" t="s">
        <v>1127</v>
      </c>
      <c r="AT82" s="39" t="s">
        <v>296</v>
      </c>
      <c r="AU82" s="39"/>
      <c r="AV82" s="39" t="s">
        <v>1125</v>
      </c>
      <c r="AW82" s="39"/>
      <c r="AX82" s="39"/>
      <c r="AY82" s="39"/>
      <c r="AZ82" s="39"/>
      <c r="BA82" s="39">
        <v>80702002</v>
      </c>
      <c r="BB82" s="39" t="s">
        <v>149</v>
      </c>
      <c r="BC82" s="39" t="s">
        <v>150</v>
      </c>
      <c r="BD82" s="39" t="s">
        <v>125</v>
      </c>
      <c r="BE82" s="39" t="s">
        <v>125</v>
      </c>
      <c r="BF82" s="39"/>
      <c r="BG82" s="39" t="s">
        <v>180</v>
      </c>
      <c r="BH82" s="39" t="s">
        <v>152</v>
      </c>
      <c r="BI82" s="39" t="s">
        <v>125</v>
      </c>
      <c r="BJ82" s="39"/>
      <c r="BK82" s="39" t="s">
        <v>153</v>
      </c>
      <c r="BL82" s="39"/>
      <c r="BM82" s="39"/>
      <c r="BN82" s="39" t="s">
        <v>333</v>
      </c>
    </row>
    <row r="83" spans="1:66" hidden="1">
      <c r="A83" s="39">
        <v>82</v>
      </c>
      <c r="B83" s="39" t="s">
        <v>118</v>
      </c>
      <c r="C83" s="39" t="s">
        <v>119</v>
      </c>
      <c r="D83" s="39" t="s">
        <v>1128</v>
      </c>
      <c r="E83" s="39" t="s">
        <v>1129</v>
      </c>
      <c r="F83" s="39" t="s">
        <v>158</v>
      </c>
      <c r="G83" s="39" t="s">
        <v>1130</v>
      </c>
      <c r="H83" s="39" t="s">
        <v>1131</v>
      </c>
      <c r="I83" s="39" t="s">
        <v>125</v>
      </c>
      <c r="J83" s="39" t="s">
        <v>187</v>
      </c>
      <c r="K83" s="39" t="s">
        <v>21</v>
      </c>
      <c r="L83" s="39" t="s">
        <v>162</v>
      </c>
      <c r="M83" s="39" t="s">
        <v>720</v>
      </c>
      <c r="N83" s="39" t="s">
        <v>125</v>
      </c>
      <c r="O83" s="39"/>
      <c r="P83" s="39"/>
      <c r="Q83" s="39" t="s">
        <v>1132</v>
      </c>
      <c r="R83" s="39" t="s">
        <v>21</v>
      </c>
      <c r="S83" s="39" t="s">
        <v>1133</v>
      </c>
      <c r="T83" s="39" t="s">
        <v>130</v>
      </c>
      <c r="U83" s="39" t="s">
        <v>1134</v>
      </c>
      <c r="V83" s="39" t="s">
        <v>167</v>
      </c>
      <c r="W83" s="39" t="s">
        <v>194</v>
      </c>
      <c r="X83" s="39" t="s">
        <v>187</v>
      </c>
      <c r="Y83" s="39" t="s">
        <v>1135</v>
      </c>
      <c r="Z83" s="39" t="s">
        <v>196</v>
      </c>
      <c r="AA83" s="39" t="s">
        <v>197</v>
      </c>
      <c r="AB83" s="39" t="s">
        <v>1132</v>
      </c>
      <c r="AC83" s="39">
        <v>5459544</v>
      </c>
      <c r="AD83" s="39" t="s">
        <v>21</v>
      </c>
      <c r="AE83" s="39" t="s">
        <v>1136</v>
      </c>
      <c r="AF83" s="39" t="s">
        <v>21</v>
      </c>
      <c r="AG83" s="39" t="s">
        <v>1136</v>
      </c>
      <c r="AH83" s="39" t="s">
        <v>271</v>
      </c>
      <c r="AI83" s="39" t="s">
        <v>173</v>
      </c>
      <c r="AJ83" s="39" t="s">
        <v>140</v>
      </c>
      <c r="AK83" s="39" t="s">
        <v>125</v>
      </c>
      <c r="AL83" s="39">
        <v>4880</v>
      </c>
      <c r="AM83" s="39"/>
      <c r="AN83" s="39" t="s">
        <v>125</v>
      </c>
      <c r="AO83" s="39" t="s">
        <v>142</v>
      </c>
      <c r="AP83" s="39" t="s">
        <v>143</v>
      </c>
      <c r="AQ83" s="39" t="s">
        <v>312</v>
      </c>
      <c r="AR83" s="39" t="s">
        <v>1137</v>
      </c>
      <c r="AS83" s="39" t="s">
        <v>1138</v>
      </c>
      <c r="AT83" s="39" t="s">
        <v>296</v>
      </c>
      <c r="AU83" s="39"/>
      <c r="AV83" s="39" t="s">
        <v>1139</v>
      </c>
      <c r="AW83" s="39"/>
      <c r="AX83" s="39"/>
      <c r="AY83" s="39"/>
      <c r="AZ83" s="39"/>
      <c r="BA83" s="39">
        <v>75289126</v>
      </c>
      <c r="BB83" s="39" t="s">
        <v>149</v>
      </c>
      <c r="BC83" s="39" t="s">
        <v>150</v>
      </c>
      <c r="BD83" s="39" t="s">
        <v>179</v>
      </c>
      <c r="BE83" s="39" t="s">
        <v>125</v>
      </c>
      <c r="BF83" s="39"/>
      <c r="BG83" s="39" t="s">
        <v>180</v>
      </c>
      <c r="BH83" s="39" t="s">
        <v>152</v>
      </c>
      <c r="BI83" s="39" t="s">
        <v>125</v>
      </c>
      <c r="BJ83" s="39"/>
      <c r="BK83" s="39" t="s">
        <v>153</v>
      </c>
      <c r="BL83" s="39"/>
      <c r="BM83" s="39"/>
      <c r="BN83" s="39" t="s">
        <v>181</v>
      </c>
    </row>
    <row r="84" spans="1:66" hidden="1">
      <c r="A84" s="39">
        <v>83</v>
      </c>
      <c r="B84" s="39" t="s">
        <v>118</v>
      </c>
      <c r="C84" s="39" t="s">
        <v>119</v>
      </c>
      <c r="D84" s="39" t="s">
        <v>1140</v>
      </c>
      <c r="E84" s="39" t="s">
        <v>1141</v>
      </c>
      <c r="F84" s="39" t="s">
        <v>1142</v>
      </c>
      <c r="G84" s="39" t="s">
        <v>1143</v>
      </c>
      <c r="H84" s="39" t="s">
        <v>125</v>
      </c>
      <c r="I84" s="39" t="s">
        <v>125</v>
      </c>
      <c r="J84" s="39" t="s">
        <v>187</v>
      </c>
      <c r="K84" s="39" t="s">
        <v>24</v>
      </c>
      <c r="L84" s="39" t="s">
        <v>188</v>
      </c>
      <c r="M84" s="39" t="s">
        <v>395</v>
      </c>
      <c r="N84" s="39" t="s">
        <v>1144</v>
      </c>
      <c r="O84" s="39"/>
      <c r="P84" s="39"/>
      <c r="Q84" s="39" t="s">
        <v>1140</v>
      </c>
      <c r="R84" s="39" t="s">
        <v>24</v>
      </c>
      <c r="S84" s="39" t="s">
        <v>1145</v>
      </c>
      <c r="T84" s="39" t="s">
        <v>130</v>
      </c>
      <c r="U84" s="39" t="s">
        <v>1146</v>
      </c>
      <c r="V84" s="39" t="s">
        <v>132</v>
      </c>
      <c r="W84" s="39" t="s">
        <v>194</v>
      </c>
      <c r="X84" s="39" t="s">
        <v>187</v>
      </c>
      <c r="Y84" s="39" t="s">
        <v>1147</v>
      </c>
      <c r="Z84" s="39" t="s">
        <v>196</v>
      </c>
      <c r="AA84" s="39" t="s">
        <v>197</v>
      </c>
      <c r="AB84" s="39" t="s">
        <v>1140</v>
      </c>
      <c r="AC84" s="39">
        <v>5459140</v>
      </c>
      <c r="AD84" s="39" t="s">
        <v>24</v>
      </c>
      <c r="AE84" s="39" t="s">
        <v>1148</v>
      </c>
      <c r="AF84" s="39" t="s">
        <v>24</v>
      </c>
      <c r="AG84" s="39" t="s">
        <v>1149</v>
      </c>
      <c r="AH84" s="39" t="s">
        <v>217</v>
      </c>
      <c r="AI84" s="39" t="s">
        <v>218</v>
      </c>
      <c r="AJ84" s="39" t="s">
        <v>140</v>
      </c>
      <c r="AK84" s="39" t="s">
        <v>125</v>
      </c>
      <c r="AL84" s="39">
        <v>19300</v>
      </c>
      <c r="AM84" s="39"/>
      <c r="AN84" s="39" t="s">
        <v>1144</v>
      </c>
      <c r="AO84" s="39" t="s">
        <v>142</v>
      </c>
      <c r="AP84" s="39" t="s">
        <v>143</v>
      </c>
      <c r="AQ84" s="39" t="s">
        <v>144</v>
      </c>
      <c r="AR84" s="39" t="s">
        <v>1150</v>
      </c>
      <c r="AS84" s="39" t="s">
        <v>1151</v>
      </c>
      <c r="AT84" s="39" t="s">
        <v>296</v>
      </c>
      <c r="AU84" s="39"/>
      <c r="AV84" s="39" t="s">
        <v>1152</v>
      </c>
      <c r="AW84" s="39"/>
      <c r="AX84" s="39"/>
      <c r="AY84" s="39"/>
      <c r="AZ84" s="39"/>
      <c r="BA84" s="39">
        <v>80723864</v>
      </c>
      <c r="BB84" s="39" t="s">
        <v>149</v>
      </c>
      <c r="BC84" s="39" t="s">
        <v>150</v>
      </c>
      <c r="BD84" s="39" t="s">
        <v>179</v>
      </c>
      <c r="BE84" s="39" t="s">
        <v>125</v>
      </c>
      <c r="BF84" s="39"/>
      <c r="BG84" s="39" t="s">
        <v>298</v>
      </c>
      <c r="BH84" s="39" t="s">
        <v>152</v>
      </c>
      <c r="BI84" s="39" t="s">
        <v>125</v>
      </c>
      <c r="BJ84" s="39"/>
      <c r="BK84" s="39" t="s">
        <v>153</v>
      </c>
      <c r="BL84" s="39"/>
      <c r="BM84" s="39"/>
      <c r="BN84" s="39" t="s">
        <v>155</v>
      </c>
    </row>
    <row r="85" spans="1:66" hidden="1">
      <c r="A85" s="39">
        <v>84</v>
      </c>
      <c r="B85" s="39" t="s">
        <v>118</v>
      </c>
      <c r="C85" s="39" t="s">
        <v>119</v>
      </c>
      <c r="D85" s="39" t="s">
        <v>506</v>
      </c>
      <c r="E85" s="39" t="s">
        <v>1153</v>
      </c>
      <c r="F85" s="39" t="s">
        <v>855</v>
      </c>
      <c r="G85" s="39" t="s">
        <v>1154</v>
      </c>
      <c r="H85" s="39" t="s">
        <v>1155</v>
      </c>
      <c r="I85" s="39" t="s">
        <v>1156</v>
      </c>
      <c r="J85" s="39"/>
      <c r="K85" s="39" t="s">
        <v>22</v>
      </c>
      <c r="L85" s="39" t="s">
        <v>858</v>
      </c>
      <c r="M85" s="39" t="s">
        <v>1157</v>
      </c>
      <c r="N85" s="39" t="s">
        <v>125</v>
      </c>
      <c r="O85" s="39"/>
      <c r="P85" s="39"/>
      <c r="Q85" s="39" t="s">
        <v>1158</v>
      </c>
      <c r="R85" s="39" t="s">
        <v>22</v>
      </c>
      <c r="S85" s="39" t="s">
        <v>1159</v>
      </c>
      <c r="T85" s="39" t="s">
        <v>130</v>
      </c>
      <c r="U85" s="39" t="s">
        <v>1160</v>
      </c>
      <c r="V85" s="39" t="s">
        <v>132</v>
      </c>
      <c r="W85" s="39" t="s">
        <v>194</v>
      </c>
      <c r="X85" s="39" t="s">
        <v>187</v>
      </c>
      <c r="Y85" s="39" t="s">
        <v>1161</v>
      </c>
      <c r="Z85" s="39" t="s">
        <v>196</v>
      </c>
      <c r="AA85" s="39" t="s">
        <v>197</v>
      </c>
      <c r="AB85" s="39" t="s">
        <v>1158</v>
      </c>
      <c r="AC85" s="39">
        <v>5458773</v>
      </c>
      <c r="AD85" s="39" t="s">
        <v>22</v>
      </c>
      <c r="AE85" s="39" t="s">
        <v>1162</v>
      </c>
      <c r="AF85" s="39" t="s">
        <v>22</v>
      </c>
      <c r="AG85" s="39" t="s">
        <v>1162</v>
      </c>
      <c r="AH85" s="39" t="s">
        <v>217</v>
      </c>
      <c r="AI85" s="39" t="s">
        <v>218</v>
      </c>
      <c r="AJ85" s="39" t="s">
        <v>140</v>
      </c>
      <c r="AK85" s="39" t="s">
        <v>125</v>
      </c>
      <c r="AL85" s="39">
        <v>19300</v>
      </c>
      <c r="AM85" s="39"/>
      <c r="AN85" s="39" t="s">
        <v>125</v>
      </c>
      <c r="AO85" s="39" t="s">
        <v>142</v>
      </c>
      <c r="AP85" s="39" t="s">
        <v>143</v>
      </c>
      <c r="AQ85" s="39" t="s">
        <v>144</v>
      </c>
      <c r="AR85" s="39" t="s">
        <v>1163</v>
      </c>
      <c r="AS85" s="39" t="s">
        <v>1164</v>
      </c>
      <c r="AT85" s="39" t="s">
        <v>296</v>
      </c>
      <c r="AU85" s="39"/>
      <c r="AV85" s="39" t="s">
        <v>1165</v>
      </c>
      <c r="AW85" s="39"/>
      <c r="AX85" s="39"/>
      <c r="AY85" s="39"/>
      <c r="AZ85" s="39"/>
      <c r="BA85" s="39">
        <v>74781289</v>
      </c>
      <c r="BB85" s="39" t="s">
        <v>149</v>
      </c>
      <c r="BC85" s="39" t="s">
        <v>150</v>
      </c>
      <c r="BD85" s="39" t="s">
        <v>125</v>
      </c>
      <c r="BE85" s="39" t="s">
        <v>125</v>
      </c>
      <c r="BF85" s="39"/>
      <c r="BG85" s="39" t="s">
        <v>180</v>
      </c>
      <c r="BH85" s="39" t="s">
        <v>152</v>
      </c>
      <c r="BI85" s="39" t="s">
        <v>125</v>
      </c>
      <c r="BJ85" s="39"/>
      <c r="BK85" s="39" t="s">
        <v>153</v>
      </c>
      <c r="BL85" s="39"/>
      <c r="BM85" s="39"/>
      <c r="BN85" s="39" t="s">
        <v>1166</v>
      </c>
    </row>
    <row r="86" spans="1:66" hidden="1">
      <c r="A86" s="39">
        <v>85</v>
      </c>
      <c r="B86" s="39" t="s">
        <v>118</v>
      </c>
      <c r="C86" s="39" t="s">
        <v>119</v>
      </c>
      <c r="D86" s="39" t="s">
        <v>1167</v>
      </c>
      <c r="E86" s="39" t="s">
        <v>1168</v>
      </c>
      <c r="F86" s="39" t="s">
        <v>158</v>
      </c>
      <c r="G86" s="39" t="s">
        <v>1169</v>
      </c>
      <c r="H86" s="39" t="s">
        <v>1170</v>
      </c>
      <c r="I86" s="39" t="s">
        <v>125</v>
      </c>
      <c r="J86" s="39" t="s">
        <v>187</v>
      </c>
      <c r="K86" s="39" t="s">
        <v>21</v>
      </c>
      <c r="L86" s="39" t="s">
        <v>188</v>
      </c>
      <c r="M86" s="39" t="s">
        <v>189</v>
      </c>
      <c r="N86" s="39" t="s">
        <v>1171</v>
      </c>
      <c r="O86" s="39"/>
      <c r="P86" s="39"/>
      <c r="Q86" s="39" t="s">
        <v>1172</v>
      </c>
      <c r="R86" s="39" t="s">
        <v>21</v>
      </c>
      <c r="S86" s="39" t="s">
        <v>1173</v>
      </c>
      <c r="T86" s="39" t="s">
        <v>130</v>
      </c>
      <c r="U86" s="39" t="s">
        <v>1174</v>
      </c>
      <c r="V86" s="39" t="s">
        <v>132</v>
      </c>
      <c r="W86" s="39" t="s">
        <v>133</v>
      </c>
      <c r="X86" s="39" t="s">
        <v>355</v>
      </c>
      <c r="Y86" s="39" t="s">
        <v>1175</v>
      </c>
      <c r="Z86" s="39" t="s">
        <v>646</v>
      </c>
      <c r="AA86" s="39" t="s">
        <v>1176</v>
      </c>
      <c r="AB86" s="39" t="s">
        <v>1172</v>
      </c>
      <c r="AC86" s="39">
        <v>5458655</v>
      </c>
      <c r="AD86" s="39" t="s">
        <v>21</v>
      </c>
      <c r="AE86" s="39" t="s">
        <v>1177</v>
      </c>
      <c r="AF86" s="39" t="s">
        <v>21</v>
      </c>
      <c r="AG86" s="39" t="s">
        <v>1178</v>
      </c>
      <c r="AH86" s="39" t="s">
        <v>880</v>
      </c>
      <c r="AI86" s="39" t="s">
        <v>139</v>
      </c>
      <c r="AJ86" s="39" t="s">
        <v>140</v>
      </c>
      <c r="AK86" s="39" t="s">
        <v>125</v>
      </c>
      <c r="AL86" s="39">
        <v>5180</v>
      </c>
      <c r="AM86" s="39"/>
      <c r="AN86" s="39" t="s">
        <v>1171</v>
      </c>
      <c r="AO86" s="39" t="s">
        <v>142</v>
      </c>
      <c r="AP86" s="39" t="s">
        <v>143</v>
      </c>
      <c r="AQ86" s="39" t="s">
        <v>144</v>
      </c>
      <c r="AR86" s="39" t="s">
        <v>1179</v>
      </c>
      <c r="AS86" s="39" t="s">
        <v>1180</v>
      </c>
      <c r="AT86" s="39" t="s">
        <v>296</v>
      </c>
      <c r="AU86" s="39"/>
      <c r="AV86" s="39" t="s">
        <v>1181</v>
      </c>
      <c r="AW86" s="39"/>
      <c r="AX86" s="39"/>
      <c r="AY86" s="39"/>
      <c r="AZ86" s="39"/>
      <c r="BA86" s="39">
        <v>79936637</v>
      </c>
      <c r="BB86" s="39" t="s">
        <v>149</v>
      </c>
      <c r="BC86" s="39" t="s">
        <v>150</v>
      </c>
      <c r="BD86" s="39" t="s">
        <v>125</v>
      </c>
      <c r="BE86" s="39" t="s">
        <v>125</v>
      </c>
      <c r="BF86" s="39"/>
      <c r="BG86" s="39" t="s">
        <v>298</v>
      </c>
      <c r="BH86" s="39" t="s">
        <v>152</v>
      </c>
      <c r="BI86" s="39" t="s">
        <v>125</v>
      </c>
      <c r="BJ86" s="39"/>
      <c r="BK86" s="39" t="s">
        <v>153</v>
      </c>
      <c r="BL86" s="39"/>
      <c r="BM86" s="39" t="s">
        <v>154</v>
      </c>
      <c r="BN86" s="39" t="s">
        <v>181</v>
      </c>
    </row>
    <row r="87" spans="1:66" hidden="1">
      <c r="A87" s="39">
        <v>86</v>
      </c>
      <c r="B87" s="39" t="s">
        <v>118</v>
      </c>
      <c r="C87" s="39" t="s">
        <v>119</v>
      </c>
      <c r="D87" s="39" t="s">
        <v>1182</v>
      </c>
      <c r="E87" s="39" t="s">
        <v>1183</v>
      </c>
      <c r="F87" s="39" t="s">
        <v>279</v>
      </c>
      <c r="G87" s="39" t="s">
        <v>1184</v>
      </c>
      <c r="H87" s="39" t="s">
        <v>1185</v>
      </c>
      <c r="I87" s="39" t="s">
        <v>282</v>
      </c>
      <c r="J87" s="39" t="s">
        <v>187</v>
      </c>
      <c r="K87" s="39" t="s">
        <v>525</v>
      </c>
      <c r="L87" s="39" t="s">
        <v>284</v>
      </c>
      <c r="M87" s="39" t="s">
        <v>284</v>
      </c>
      <c r="N87" s="39" t="s">
        <v>125</v>
      </c>
      <c r="O87" s="39" t="s">
        <v>525</v>
      </c>
      <c r="P87" s="39" t="s">
        <v>1186</v>
      </c>
      <c r="Q87" s="39" t="s">
        <v>1182</v>
      </c>
      <c r="R87" s="39" t="s">
        <v>24</v>
      </c>
      <c r="S87" s="39" t="s">
        <v>1187</v>
      </c>
      <c r="T87" s="39" t="s">
        <v>130</v>
      </c>
      <c r="U87" s="39" t="s">
        <v>1188</v>
      </c>
      <c r="V87" s="39" t="s">
        <v>132</v>
      </c>
      <c r="W87" s="39" t="s">
        <v>194</v>
      </c>
      <c r="X87" s="39" t="s">
        <v>187</v>
      </c>
      <c r="Y87" s="39" t="s">
        <v>1189</v>
      </c>
      <c r="Z87" s="39" t="s">
        <v>196</v>
      </c>
      <c r="AA87" s="39" t="s">
        <v>197</v>
      </c>
      <c r="AB87" s="39" t="s">
        <v>1182</v>
      </c>
      <c r="AC87" s="39">
        <v>5458593</v>
      </c>
      <c r="AD87" s="39" t="s">
        <v>24</v>
      </c>
      <c r="AE87" s="39" t="s">
        <v>1190</v>
      </c>
      <c r="AF87" s="39" t="s">
        <v>24</v>
      </c>
      <c r="AG87" s="39" t="s">
        <v>1191</v>
      </c>
      <c r="AH87" s="39" t="s">
        <v>271</v>
      </c>
      <c r="AI87" s="39" t="s">
        <v>173</v>
      </c>
      <c r="AJ87" s="39" t="s">
        <v>140</v>
      </c>
      <c r="AK87" s="39" t="s">
        <v>125</v>
      </c>
      <c r="AL87" s="39">
        <v>4802</v>
      </c>
      <c r="AM87" s="39"/>
      <c r="AN87" s="39" t="s">
        <v>125</v>
      </c>
      <c r="AO87" s="39" t="s">
        <v>142</v>
      </c>
      <c r="AP87" s="39" t="s">
        <v>143</v>
      </c>
      <c r="AQ87" s="39" t="s">
        <v>293</v>
      </c>
      <c r="AR87" s="39" t="s">
        <v>1192</v>
      </c>
      <c r="AS87" s="39" t="s">
        <v>1193</v>
      </c>
      <c r="AT87" s="39" t="s">
        <v>296</v>
      </c>
      <c r="AU87" s="39"/>
      <c r="AV87" s="39" t="s">
        <v>1194</v>
      </c>
      <c r="AW87" s="39"/>
      <c r="AX87" s="39"/>
      <c r="AY87" s="39"/>
      <c r="AZ87" s="39"/>
      <c r="BA87" s="39">
        <v>74476197</v>
      </c>
      <c r="BB87" s="39" t="s">
        <v>149</v>
      </c>
      <c r="BC87" s="39" t="s">
        <v>150</v>
      </c>
      <c r="BD87" s="39" t="s">
        <v>179</v>
      </c>
      <c r="BE87" s="39" t="s">
        <v>125</v>
      </c>
      <c r="BF87" s="39"/>
      <c r="BG87" s="39" t="s">
        <v>298</v>
      </c>
      <c r="BH87" s="39" t="s">
        <v>152</v>
      </c>
      <c r="BI87" s="39" t="s">
        <v>1195</v>
      </c>
      <c r="BJ87" s="39"/>
      <c r="BK87" s="39" t="s">
        <v>153</v>
      </c>
      <c r="BL87" s="39"/>
      <c r="BM87" s="39"/>
      <c r="BN87" s="39" t="s">
        <v>300</v>
      </c>
    </row>
    <row r="88" spans="1:66" hidden="1">
      <c r="A88" s="39">
        <v>87</v>
      </c>
      <c r="B88" s="39" t="s">
        <v>118</v>
      </c>
      <c r="C88" s="39" t="s">
        <v>119</v>
      </c>
      <c r="D88" s="39" t="s">
        <v>1182</v>
      </c>
      <c r="E88" s="39" t="s">
        <v>1183</v>
      </c>
      <c r="F88" s="39" t="s">
        <v>279</v>
      </c>
      <c r="G88" s="39" t="s">
        <v>1184</v>
      </c>
      <c r="H88" s="39" t="s">
        <v>1185</v>
      </c>
      <c r="I88" s="39" t="s">
        <v>282</v>
      </c>
      <c r="J88" s="39" t="s">
        <v>187</v>
      </c>
      <c r="K88" s="39" t="s">
        <v>525</v>
      </c>
      <c r="L88" s="39" t="s">
        <v>284</v>
      </c>
      <c r="M88" s="39" t="s">
        <v>284</v>
      </c>
      <c r="N88" s="39" t="s">
        <v>125</v>
      </c>
      <c r="O88" s="39" t="s">
        <v>525</v>
      </c>
      <c r="P88" s="39" t="s">
        <v>1186</v>
      </c>
      <c r="Q88" s="39" t="s">
        <v>1182</v>
      </c>
      <c r="R88" s="39" t="s">
        <v>24</v>
      </c>
      <c r="S88" s="39" t="s">
        <v>1187</v>
      </c>
      <c r="T88" s="39" t="s">
        <v>130</v>
      </c>
      <c r="U88" s="39" t="s">
        <v>1188</v>
      </c>
      <c r="V88" s="39" t="s">
        <v>132</v>
      </c>
      <c r="W88" s="39" t="s">
        <v>194</v>
      </c>
      <c r="X88" s="39" t="s">
        <v>187</v>
      </c>
      <c r="Y88" s="39" t="s">
        <v>1189</v>
      </c>
      <c r="Z88" s="39" t="s">
        <v>196</v>
      </c>
      <c r="AA88" s="39" t="s">
        <v>197</v>
      </c>
      <c r="AB88" s="39" t="s">
        <v>1182</v>
      </c>
      <c r="AC88" s="39">
        <v>5458593</v>
      </c>
      <c r="AD88" s="39" t="s">
        <v>24</v>
      </c>
      <c r="AE88" s="39" t="s">
        <v>1190</v>
      </c>
      <c r="AF88" s="39" t="s">
        <v>24</v>
      </c>
      <c r="AG88" s="39" t="s">
        <v>1191</v>
      </c>
      <c r="AH88" s="39" t="s">
        <v>409</v>
      </c>
      <c r="AI88" s="39" t="s">
        <v>410</v>
      </c>
      <c r="AJ88" s="39" t="s">
        <v>140</v>
      </c>
      <c r="AK88" s="39" t="s">
        <v>125</v>
      </c>
      <c r="AL88" s="39">
        <v>3199</v>
      </c>
      <c r="AM88" s="39"/>
      <c r="AN88" s="39" t="s">
        <v>125</v>
      </c>
      <c r="AO88" s="39" t="s">
        <v>142</v>
      </c>
      <c r="AP88" s="39" t="s">
        <v>143</v>
      </c>
      <c r="AQ88" s="39" t="s">
        <v>293</v>
      </c>
      <c r="AR88" s="39" t="s">
        <v>1192</v>
      </c>
      <c r="AS88" s="39" t="s">
        <v>1196</v>
      </c>
      <c r="AT88" s="39" t="s">
        <v>296</v>
      </c>
      <c r="AU88" s="39"/>
      <c r="AV88" s="39" t="s">
        <v>1194</v>
      </c>
      <c r="AW88" s="39"/>
      <c r="AX88" s="39"/>
      <c r="AY88" s="39"/>
      <c r="AZ88" s="39"/>
      <c r="BA88" s="39">
        <v>74476197</v>
      </c>
      <c r="BB88" s="39" t="s">
        <v>149</v>
      </c>
      <c r="BC88" s="39" t="s">
        <v>150</v>
      </c>
      <c r="BD88" s="39" t="s">
        <v>179</v>
      </c>
      <c r="BE88" s="39" t="s">
        <v>125</v>
      </c>
      <c r="BF88" s="39"/>
      <c r="BG88" s="39" t="s">
        <v>298</v>
      </c>
      <c r="BH88" s="39" t="s">
        <v>152</v>
      </c>
      <c r="BI88" s="39" t="s">
        <v>1195</v>
      </c>
      <c r="BJ88" s="39"/>
      <c r="BK88" s="39" t="s">
        <v>153</v>
      </c>
      <c r="BL88" s="39"/>
      <c r="BM88" s="39"/>
      <c r="BN88" s="39" t="s">
        <v>300</v>
      </c>
    </row>
    <row r="89" spans="1:66" hidden="1">
      <c r="A89" s="39">
        <v>88</v>
      </c>
      <c r="B89" s="39" t="s">
        <v>118</v>
      </c>
      <c r="C89" s="39" t="s">
        <v>119</v>
      </c>
      <c r="D89" s="39" t="s">
        <v>1182</v>
      </c>
      <c r="E89" s="39" t="s">
        <v>1183</v>
      </c>
      <c r="F89" s="39" t="s">
        <v>279</v>
      </c>
      <c r="G89" s="39" t="s">
        <v>1184</v>
      </c>
      <c r="H89" s="39" t="s">
        <v>1185</v>
      </c>
      <c r="I89" s="39" t="s">
        <v>282</v>
      </c>
      <c r="J89" s="39" t="s">
        <v>187</v>
      </c>
      <c r="K89" s="39" t="s">
        <v>525</v>
      </c>
      <c r="L89" s="39" t="s">
        <v>284</v>
      </c>
      <c r="M89" s="39" t="s">
        <v>284</v>
      </c>
      <c r="N89" s="39" t="s">
        <v>125</v>
      </c>
      <c r="O89" s="39" t="s">
        <v>525</v>
      </c>
      <c r="P89" s="39" t="s">
        <v>1186</v>
      </c>
      <c r="Q89" s="39" t="s">
        <v>1182</v>
      </c>
      <c r="R89" s="39" t="s">
        <v>24</v>
      </c>
      <c r="S89" s="39" t="s">
        <v>1187</v>
      </c>
      <c r="T89" s="39" t="s">
        <v>130</v>
      </c>
      <c r="U89" s="39" t="s">
        <v>1188</v>
      </c>
      <c r="V89" s="39" t="s">
        <v>132</v>
      </c>
      <c r="W89" s="39" t="s">
        <v>194</v>
      </c>
      <c r="X89" s="39" t="s">
        <v>187</v>
      </c>
      <c r="Y89" s="39" t="s">
        <v>1189</v>
      </c>
      <c r="Z89" s="39" t="s">
        <v>196</v>
      </c>
      <c r="AA89" s="39" t="s">
        <v>197</v>
      </c>
      <c r="AB89" s="39" t="s">
        <v>1182</v>
      </c>
      <c r="AC89" s="39">
        <v>5458593</v>
      </c>
      <c r="AD89" s="39" t="s">
        <v>24</v>
      </c>
      <c r="AE89" s="39" t="s">
        <v>1190</v>
      </c>
      <c r="AF89" s="39" t="s">
        <v>24</v>
      </c>
      <c r="AG89" s="39" t="s">
        <v>1191</v>
      </c>
      <c r="AH89" s="39" t="s">
        <v>412</v>
      </c>
      <c r="AI89" s="39" t="s">
        <v>413</v>
      </c>
      <c r="AJ89" s="39" t="s">
        <v>140</v>
      </c>
      <c r="AK89" s="39" t="s">
        <v>125</v>
      </c>
      <c r="AL89" s="39">
        <v>3999</v>
      </c>
      <c r="AM89" s="39"/>
      <c r="AN89" s="39" t="s">
        <v>125</v>
      </c>
      <c r="AO89" s="39" t="s">
        <v>142</v>
      </c>
      <c r="AP89" s="39" t="s">
        <v>143</v>
      </c>
      <c r="AQ89" s="39" t="s">
        <v>293</v>
      </c>
      <c r="AR89" s="39" t="s">
        <v>1192</v>
      </c>
      <c r="AS89" s="39" t="s">
        <v>1197</v>
      </c>
      <c r="AT89" s="39" t="s">
        <v>296</v>
      </c>
      <c r="AU89" s="39"/>
      <c r="AV89" s="39" t="s">
        <v>1194</v>
      </c>
      <c r="AW89" s="39"/>
      <c r="AX89" s="39"/>
      <c r="AY89" s="39"/>
      <c r="AZ89" s="39"/>
      <c r="BA89" s="39">
        <v>74476197</v>
      </c>
      <c r="BB89" s="39" t="s">
        <v>149</v>
      </c>
      <c r="BC89" s="39" t="s">
        <v>150</v>
      </c>
      <c r="BD89" s="39" t="s">
        <v>179</v>
      </c>
      <c r="BE89" s="39" t="s">
        <v>125</v>
      </c>
      <c r="BF89" s="39"/>
      <c r="BG89" s="39" t="s">
        <v>298</v>
      </c>
      <c r="BH89" s="39" t="s">
        <v>152</v>
      </c>
      <c r="BI89" s="39" t="s">
        <v>1195</v>
      </c>
      <c r="BJ89" s="39"/>
      <c r="BK89" s="39" t="s">
        <v>153</v>
      </c>
      <c r="BL89" s="39"/>
      <c r="BM89" s="39"/>
      <c r="BN89" s="39" t="s">
        <v>300</v>
      </c>
    </row>
    <row r="90" spans="1:66" hidden="1">
      <c r="A90" s="39">
        <v>89</v>
      </c>
      <c r="B90" s="39" t="s">
        <v>118</v>
      </c>
      <c r="C90" s="39" t="s">
        <v>119</v>
      </c>
      <c r="D90" s="39" t="s">
        <v>1198</v>
      </c>
      <c r="E90" s="39" t="s">
        <v>1199</v>
      </c>
      <c r="F90" s="39" t="s">
        <v>749</v>
      </c>
      <c r="G90" s="39" t="s">
        <v>1200</v>
      </c>
      <c r="H90" s="39" t="s">
        <v>1201</v>
      </c>
      <c r="I90" s="39" t="s">
        <v>125</v>
      </c>
      <c r="J90" s="39" t="s">
        <v>506</v>
      </c>
      <c r="K90" s="39" t="s">
        <v>24</v>
      </c>
      <c r="L90" s="39" t="s">
        <v>188</v>
      </c>
      <c r="M90" s="39" t="s">
        <v>1202</v>
      </c>
      <c r="N90" s="39" t="s">
        <v>1144</v>
      </c>
      <c r="O90" s="39"/>
      <c r="P90" s="39"/>
      <c r="Q90" s="39" t="s">
        <v>1198</v>
      </c>
      <c r="R90" s="39" t="s">
        <v>24</v>
      </c>
      <c r="S90" s="39" t="s">
        <v>1203</v>
      </c>
      <c r="T90" s="39" t="s">
        <v>130</v>
      </c>
      <c r="U90" s="39" t="s">
        <v>1204</v>
      </c>
      <c r="V90" s="39" t="s">
        <v>132</v>
      </c>
      <c r="W90" s="39" t="s">
        <v>399</v>
      </c>
      <c r="X90" s="39" t="s">
        <v>187</v>
      </c>
      <c r="Y90" s="39" t="s">
        <v>1205</v>
      </c>
      <c r="Z90" s="39" t="s">
        <v>196</v>
      </c>
      <c r="AA90" s="39" t="s">
        <v>197</v>
      </c>
      <c r="AB90" s="39" t="s">
        <v>1198</v>
      </c>
      <c r="AC90" s="39">
        <v>5458586</v>
      </c>
      <c r="AD90" s="39" t="s">
        <v>24</v>
      </c>
      <c r="AE90" s="39" t="s">
        <v>1206</v>
      </c>
      <c r="AF90" s="39" t="s">
        <v>24</v>
      </c>
      <c r="AG90" s="39" t="s">
        <v>1207</v>
      </c>
      <c r="AH90" s="39" t="s">
        <v>403</v>
      </c>
      <c r="AI90" s="39" t="s">
        <v>404</v>
      </c>
      <c r="AJ90" s="39" t="s">
        <v>140</v>
      </c>
      <c r="AK90" s="39" t="s">
        <v>125</v>
      </c>
      <c r="AL90" s="39">
        <v>4634.3</v>
      </c>
      <c r="AM90" s="39"/>
      <c r="AN90" s="39" t="s">
        <v>1144</v>
      </c>
      <c r="AO90" s="39" t="s">
        <v>142</v>
      </c>
      <c r="AP90" s="39" t="s">
        <v>143</v>
      </c>
      <c r="AQ90" s="39" t="s">
        <v>293</v>
      </c>
      <c r="AR90" s="39" t="s">
        <v>1208</v>
      </c>
      <c r="AS90" s="39" t="s">
        <v>1209</v>
      </c>
      <c r="AT90" s="39" t="s">
        <v>296</v>
      </c>
      <c r="AU90" s="39"/>
      <c r="AV90" s="39" t="s">
        <v>1210</v>
      </c>
      <c r="AW90" s="39"/>
      <c r="AX90" s="39"/>
      <c r="AY90" s="39"/>
      <c r="AZ90" s="39"/>
      <c r="BA90" s="39">
        <v>80640544</v>
      </c>
      <c r="BB90" s="39" t="s">
        <v>149</v>
      </c>
      <c r="BC90" s="39" t="s">
        <v>150</v>
      </c>
      <c r="BD90" s="39" t="s">
        <v>139</v>
      </c>
      <c r="BE90" s="39" t="s">
        <v>125</v>
      </c>
      <c r="BF90" s="39"/>
      <c r="BG90" s="39" t="s">
        <v>180</v>
      </c>
      <c r="BH90" s="39" t="s">
        <v>152</v>
      </c>
      <c r="BI90" s="39" t="s">
        <v>125</v>
      </c>
      <c r="BJ90" s="39"/>
      <c r="BK90" s="39" t="s">
        <v>153</v>
      </c>
      <c r="BL90" s="39"/>
      <c r="BM90" s="39"/>
      <c r="BN90" s="39" t="s">
        <v>155</v>
      </c>
    </row>
    <row r="91" spans="1:66" hidden="1">
      <c r="A91" s="39">
        <v>90</v>
      </c>
      <c r="B91" s="39" t="s">
        <v>118</v>
      </c>
      <c r="C91" s="39" t="s">
        <v>119</v>
      </c>
      <c r="D91" s="39" t="s">
        <v>1198</v>
      </c>
      <c r="E91" s="39" t="s">
        <v>1199</v>
      </c>
      <c r="F91" s="39" t="s">
        <v>749</v>
      </c>
      <c r="G91" s="39" t="s">
        <v>1200</v>
      </c>
      <c r="H91" s="39" t="s">
        <v>1201</v>
      </c>
      <c r="I91" s="39" t="s">
        <v>125</v>
      </c>
      <c r="J91" s="39" t="s">
        <v>506</v>
      </c>
      <c r="K91" s="39" t="s">
        <v>24</v>
      </c>
      <c r="L91" s="39" t="s">
        <v>188</v>
      </c>
      <c r="M91" s="39" t="s">
        <v>1202</v>
      </c>
      <c r="N91" s="39" t="s">
        <v>1144</v>
      </c>
      <c r="O91" s="39"/>
      <c r="P91" s="39"/>
      <c r="Q91" s="39" t="s">
        <v>1198</v>
      </c>
      <c r="R91" s="39" t="s">
        <v>24</v>
      </c>
      <c r="S91" s="39" t="s">
        <v>1203</v>
      </c>
      <c r="T91" s="39" t="s">
        <v>130</v>
      </c>
      <c r="U91" s="39" t="s">
        <v>1204</v>
      </c>
      <c r="V91" s="39" t="s">
        <v>132</v>
      </c>
      <c r="W91" s="39" t="s">
        <v>399</v>
      </c>
      <c r="X91" s="39" t="s">
        <v>187</v>
      </c>
      <c r="Y91" s="39" t="s">
        <v>1205</v>
      </c>
      <c r="Z91" s="39" t="s">
        <v>196</v>
      </c>
      <c r="AA91" s="39" t="s">
        <v>197</v>
      </c>
      <c r="AB91" s="39" t="s">
        <v>1198</v>
      </c>
      <c r="AC91" s="39">
        <v>5458586</v>
      </c>
      <c r="AD91" s="39" t="s">
        <v>24</v>
      </c>
      <c r="AE91" s="39" t="s">
        <v>1206</v>
      </c>
      <c r="AF91" s="39" t="s">
        <v>24</v>
      </c>
      <c r="AG91" s="39" t="s">
        <v>1207</v>
      </c>
      <c r="AH91" s="39" t="s">
        <v>409</v>
      </c>
      <c r="AI91" s="39" t="s">
        <v>410</v>
      </c>
      <c r="AJ91" s="39" t="s">
        <v>140</v>
      </c>
      <c r="AK91" s="39" t="s">
        <v>125</v>
      </c>
      <c r="AL91" s="39">
        <v>4525.7</v>
      </c>
      <c r="AM91" s="39"/>
      <c r="AN91" s="39" t="s">
        <v>1144</v>
      </c>
      <c r="AO91" s="39" t="s">
        <v>142</v>
      </c>
      <c r="AP91" s="39" t="s">
        <v>143</v>
      </c>
      <c r="AQ91" s="39" t="s">
        <v>293</v>
      </c>
      <c r="AR91" s="39" t="s">
        <v>1208</v>
      </c>
      <c r="AS91" s="39" t="s">
        <v>1211</v>
      </c>
      <c r="AT91" s="39" t="s">
        <v>296</v>
      </c>
      <c r="AU91" s="39"/>
      <c r="AV91" s="39" t="s">
        <v>1210</v>
      </c>
      <c r="AW91" s="39"/>
      <c r="AX91" s="39"/>
      <c r="AY91" s="39"/>
      <c r="AZ91" s="39"/>
      <c r="BA91" s="39">
        <v>80640544</v>
      </c>
      <c r="BB91" s="39" t="s">
        <v>149</v>
      </c>
      <c r="BC91" s="39" t="s">
        <v>150</v>
      </c>
      <c r="BD91" s="39" t="s">
        <v>139</v>
      </c>
      <c r="BE91" s="39" t="s">
        <v>125</v>
      </c>
      <c r="BF91" s="39"/>
      <c r="BG91" s="39" t="s">
        <v>180</v>
      </c>
      <c r="BH91" s="39" t="s">
        <v>152</v>
      </c>
      <c r="BI91" s="39" t="s">
        <v>125</v>
      </c>
      <c r="BJ91" s="39"/>
      <c r="BK91" s="39" t="s">
        <v>153</v>
      </c>
      <c r="BL91" s="39"/>
      <c r="BM91" s="39"/>
      <c r="BN91" s="39" t="s">
        <v>155</v>
      </c>
    </row>
    <row r="92" spans="1:66" hidden="1">
      <c r="A92" s="39">
        <v>91</v>
      </c>
      <c r="B92" s="39" t="s">
        <v>118</v>
      </c>
      <c r="C92" s="39" t="s">
        <v>119</v>
      </c>
      <c r="D92" s="39" t="s">
        <v>506</v>
      </c>
      <c r="E92" s="39" t="s">
        <v>1212</v>
      </c>
      <c r="F92" s="39" t="s">
        <v>855</v>
      </c>
      <c r="G92" s="39" t="s">
        <v>1213</v>
      </c>
      <c r="H92" s="39" t="s">
        <v>1214</v>
      </c>
      <c r="I92" s="39" t="s">
        <v>1156</v>
      </c>
      <c r="J92" s="39" t="s">
        <v>506</v>
      </c>
      <c r="K92" s="39" t="s">
        <v>21</v>
      </c>
      <c r="L92" s="39" t="s">
        <v>858</v>
      </c>
      <c r="M92" s="39" t="s">
        <v>1157</v>
      </c>
      <c r="N92" s="39" t="s">
        <v>125</v>
      </c>
      <c r="O92" s="39"/>
      <c r="P92" s="39"/>
      <c r="Q92" s="39" t="s">
        <v>1215</v>
      </c>
      <c r="R92" s="39" t="s">
        <v>21</v>
      </c>
      <c r="S92" s="39" t="s">
        <v>1216</v>
      </c>
      <c r="T92" s="39" t="s">
        <v>130</v>
      </c>
      <c r="U92" s="39" t="s">
        <v>1217</v>
      </c>
      <c r="V92" s="39" t="s">
        <v>132</v>
      </c>
      <c r="W92" s="39" t="s">
        <v>133</v>
      </c>
      <c r="X92" s="39" t="s">
        <v>355</v>
      </c>
      <c r="Y92" s="39" t="s">
        <v>1218</v>
      </c>
      <c r="Z92" s="39" t="s">
        <v>1219</v>
      </c>
      <c r="AA92" s="39" t="s">
        <v>1220</v>
      </c>
      <c r="AB92" s="39" t="s">
        <v>1215</v>
      </c>
      <c r="AC92" s="39">
        <v>5431162</v>
      </c>
      <c r="AD92" s="39" t="s">
        <v>21</v>
      </c>
      <c r="AE92" s="39" t="s">
        <v>1221</v>
      </c>
      <c r="AF92" s="39" t="s">
        <v>21</v>
      </c>
      <c r="AG92" s="39" t="s">
        <v>1221</v>
      </c>
      <c r="AH92" s="39" t="s">
        <v>880</v>
      </c>
      <c r="AI92" s="39" t="s">
        <v>139</v>
      </c>
      <c r="AJ92" s="39" t="s">
        <v>140</v>
      </c>
      <c r="AK92" s="39" t="s">
        <v>125</v>
      </c>
      <c r="AL92" s="39">
        <v>6180</v>
      </c>
      <c r="AM92" s="39"/>
      <c r="AN92" s="39" t="s">
        <v>125</v>
      </c>
      <c r="AO92" s="39" t="s">
        <v>142</v>
      </c>
      <c r="AP92" s="39" t="s">
        <v>143</v>
      </c>
      <c r="AQ92" s="39" t="s">
        <v>144</v>
      </c>
      <c r="AR92" s="39" t="s">
        <v>1222</v>
      </c>
      <c r="AS92" s="39" t="s">
        <v>1223</v>
      </c>
      <c r="AT92" s="39" t="s">
        <v>296</v>
      </c>
      <c r="AU92" s="39"/>
      <c r="AV92" s="39" t="s">
        <v>1224</v>
      </c>
      <c r="AW92" s="39"/>
      <c r="AX92" s="39"/>
      <c r="AY92" s="39"/>
      <c r="AZ92" s="39"/>
      <c r="BA92" s="39">
        <v>80698668</v>
      </c>
      <c r="BB92" s="39" t="s">
        <v>149</v>
      </c>
      <c r="BC92" s="39" t="s">
        <v>150</v>
      </c>
      <c r="BD92" s="39" t="s">
        <v>139</v>
      </c>
      <c r="BE92" s="39" t="s">
        <v>125</v>
      </c>
      <c r="BF92" s="39"/>
      <c r="BG92" s="39" t="s">
        <v>239</v>
      </c>
      <c r="BH92" s="39" t="s">
        <v>152</v>
      </c>
      <c r="BI92" s="39" t="s">
        <v>125</v>
      </c>
      <c r="BJ92" s="39"/>
      <c r="BK92" s="39" t="s">
        <v>153</v>
      </c>
      <c r="BL92" s="39"/>
      <c r="BM92" s="39" t="s">
        <v>154</v>
      </c>
      <c r="BN92" s="39" t="s">
        <v>1166</v>
      </c>
    </row>
    <row r="93" spans="1:66" hidden="1">
      <c r="A93" s="39">
        <v>92</v>
      </c>
      <c r="B93" s="39" t="s">
        <v>118</v>
      </c>
      <c r="C93" s="39" t="s">
        <v>119</v>
      </c>
      <c r="D93" s="39" t="s">
        <v>1225</v>
      </c>
      <c r="E93" s="39" t="s">
        <v>1226</v>
      </c>
      <c r="F93" s="39" t="s">
        <v>122</v>
      </c>
      <c r="G93" s="39" t="s">
        <v>1227</v>
      </c>
      <c r="H93" s="39" t="s">
        <v>1228</v>
      </c>
      <c r="I93" s="39" t="s">
        <v>125</v>
      </c>
      <c r="J93" s="39" t="s">
        <v>187</v>
      </c>
      <c r="K93" s="39" t="s">
        <v>21</v>
      </c>
      <c r="L93" s="39" t="s">
        <v>188</v>
      </c>
      <c r="M93" s="39" t="s">
        <v>189</v>
      </c>
      <c r="N93" s="39" t="s">
        <v>1229</v>
      </c>
      <c r="O93" s="39"/>
      <c r="P93" s="39"/>
      <c r="Q93" s="39" t="s">
        <v>1230</v>
      </c>
      <c r="R93" s="39" t="s">
        <v>21</v>
      </c>
      <c r="S93" s="39" t="s">
        <v>1231</v>
      </c>
      <c r="T93" s="39" t="s">
        <v>130</v>
      </c>
      <c r="U93" s="39" t="s">
        <v>1232</v>
      </c>
      <c r="V93" s="39" t="s">
        <v>132</v>
      </c>
      <c r="W93" s="39" t="s">
        <v>194</v>
      </c>
      <c r="X93" s="39" t="s">
        <v>187</v>
      </c>
      <c r="Y93" s="39" t="s">
        <v>1233</v>
      </c>
      <c r="Z93" s="39" t="s">
        <v>196</v>
      </c>
      <c r="AA93" s="39" t="s">
        <v>197</v>
      </c>
      <c r="AB93" s="39" t="s">
        <v>1230</v>
      </c>
      <c r="AC93" s="39">
        <v>5431031</v>
      </c>
      <c r="AD93" s="39" t="s">
        <v>21</v>
      </c>
      <c r="AE93" s="39" t="s">
        <v>1234</v>
      </c>
      <c r="AF93" s="39" t="s">
        <v>21</v>
      </c>
      <c r="AG93" s="39" t="s">
        <v>1234</v>
      </c>
      <c r="AH93" s="39" t="s">
        <v>200</v>
      </c>
      <c r="AI93" s="39" t="s">
        <v>201</v>
      </c>
      <c r="AJ93" s="39" t="s">
        <v>140</v>
      </c>
      <c r="AK93" s="39" t="s">
        <v>125</v>
      </c>
      <c r="AL93" s="39">
        <v>4880</v>
      </c>
      <c r="AM93" s="39"/>
      <c r="AN93" s="39" t="s">
        <v>1229</v>
      </c>
      <c r="AO93" s="39" t="s">
        <v>142</v>
      </c>
      <c r="AP93" s="39" t="s">
        <v>143</v>
      </c>
      <c r="AQ93" s="39" t="s">
        <v>312</v>
      </c>
      <c r="AR93" s="39" t="s">
        <v>1235</v>
      </c>
      <c r="AS93" s="39" t="s">
        <v>1236</v>
      </c>
      <c r="AT93" s="39" t="s">
        <v>296</v>
      </c>
      <c r="AU93" s="39"/>
      <c r="AV93" s="39" t="s">
        <v>1237</v>
      </c>
      <c r="AW93" s="39"/>
      <c r="AX93" s="39"/>
      <c r="AY93" s="39"/>
      <c r="AZ93" s="39"/>
      <c r="BA93" s="39">
        <v>74726318</v>
      </c>
      <c r="BB93" s="39" t="s">
        <v>149</v>
      </c>
      <c r="BC93" s="39" t="s">
        <v>1238</v>
      </c>
      <c r="BD93" s="39" t="s">
        <v>125</v>
      </c>
      <c r="BE93" s="39" t="s">
        <v>125</v>
      </c>
      <c r="BF93" s="39"/>
      <c r="BG93" s="39" t="s">
        <v>180</v>
      </c>
      <c r="BH93" s="39" t="s">
        <v>152</v>
      </c>
      <c r="BI93" s="39" t="s">
        <v>125</v>
      </c>
      <c r="BJ93" s="39"/>
      <c r="BK93" s="39" t="s">
        <v>153</v>
      </c>
      <c r="BL93" s="39"/>
      <c r="BM93" s="39"/>
      <c r="BN93" s="39" t="s">
        <v>155</v>
      </c>
    </row>
    <row r="94" spans="1:66" hidden="1">
      <c r="A94" s="39">
        <v>93</v>
      </c>
      <c r="B94" s="39" t="s">
        <v>118</v>
      </c>
      <c r="C94" s="39" t="s">
        <v>119</v>
      </c>
      <c r="D94" s="39" t="s">
        <v>1239</v>
      </c>
      <c r="E94" s="39" t="s">
        <v>1240</v>
      </c>
      <c r="F94" s="39" t="s">
        <v>258</v>
      </c>
      <c r="G94" s="39" t="s">
        <v>1241</v>
      </c>
      <c r="H94" s="39" t="s">
        <v>1242</v>
      </c>
      <c r="I94" s="39" t="s">
        <v>261</v>
      </c>
      <c r="J94" s="39"/>
      <c r="K94" s="39" t="s">
        <v>905</v>
      </c>
      <c r="L94" s="39" t="s">
        <v>263</v>
      </c>
      <c r="M94" s="39" t="s">
        <v>264</v>
      </c>
      <c r="N94" s="39" t="s">
        <v>125</v>
      </c>
      <c r="O94" s="39" t="s">
        <v>905</v>
      </c>
      <c r="P94" s="39" t="s">
        <v>1243</v>
      </c>
      <c r="Q94" s="39" t="s">
        <v>1244</v>
      </c>
      <c r="R94" s="39" t="s">
        <v>23</v>
      </c>
      <c r="S94" s="39" t="s">
        <v>1245</v>
      </c>
      <c r="T94" s="39" t="s">
        <v>130</v>
      </c>
      <c r="U94" s="39" t="s">
        <v>1246</v>
      </c>
      <c r="V94" s="39" t="s">
        <v>132</v>
      </c>
      <c r="W94" s="39" t="s">
        <v>194</v>
      </c>
      <c r="X94" s="39" t="s">
        <v>187</v>
      </c>
      <c r="Y94" s="39" t="s">
        <v>1247</v>
      </c>
      <c r="Z94" s="39" t="s">
        <v>196</v>
      </c>
      <c r="AA94" s="39" t="s">
        <v>197</v>
      </c>
      <c r="AB94" s="39" t="s">
        <v>1244</v>
      </c>
      <c r="AC94" s="39">
        <v>5431019</v>
      </c>
      <c r="AD94" s="39" t="s">
        <v>23</v>
      </c>
      <c r="AE94" s="39" t="s">
        <v>1248</v>
      </c>
      <c r="AF94" s="39" t="s">
        <v>23</v>
      </c>
      <c r="AG94" s="39" t="s">
        <v>1248</v>
      </c>
      <c r="AH94" s="39" t="s">
        <v>271</v>
      </c>
      <c r="AI94" s="39" t="s">
        <v>173</v>
      </c>
      <c r="AJ94" s="39" t="s">
        <v>140</v>
      </c>
      <c r="AK94" s="39" t="s">
        <v>125</v>
      </c>
      <c r="AL94" s="39">
        <v>5180</v>
      </c>
      <c r="AM94" s="39"/>
      <c r="AN94" s="39" t="s">
        <v>125</v>
      </c>
      <c r="AO94" s="39" t="s">
        <v>142</v>
      </c>
      <c r="AP94" s="39" t="s">
        <v>143</v>
      </c>
      <c r="AQ94" s="39" t="s">
        <v>312</v>
      </c>
      <c r="AR94" s="39" t="s">
        <v>1249</v>
      </c>
      <c r="AS94" s="39" t="s">
        <v>1250</v>
      </c>
      <c r="AT94" s="39" t="s">
        <v>296</v>
      </c>
      <c r="AU94" s="39"/>
      <c r="AV94" s="39" t="s">
        <v>1251</v>
      </c>
      <c r="AW94" s="39"/>
      <c r="AX94" s="39"/>
      <c r="AY94" s="39"/>
      <c r="AZ94" s="39"/>
      <c r="BA94" s="39">
        <v>80714683</v>
      </c>
      <c r="BB94" s="39" t="s">
        <v>149</v>
      </c>
      <c r="BC94" s="39" t="s">
        <v>150</v>
      </c>
      <c r="BD94" s="39" t="s">
        <v>179</v>
      </c>
      <c r="BE94" s="39" t="s">
        <v>125</v>
      </c>
      <c r="BF94" s="39"/>
      <c r="BG94" s="39" t="s">
        <v>180</v>
      </c>
      <c r="BH94" s="39" t="s">
        <v>152</v>
      </c>
      <c r="BI94" s="39" t="s">
        <v>125</v>
      </c>
      <c r="BJ94" s="39"/>
      <c r="BK94" s="39" t="s">
        <v>153</v>
      </c>
      <c r="BL94" s="39"/>
      <c r="BM94" s="39"/>
      <c r="BN94" s="39" t="s">
        <v>276</v>
      </c>
    </row>
    <row r="95" spans="1:66" hidden="1">
      <c r="A95" s="39">
        <v>94</v>
      </c>
      <c r="B95" s="39" t="s">
        <v>118</v>
      </c>
      <c r="C95" s="39" t="s">
        <v>119</v>
      </c>
      <c r="D95" s="39" t="s">
        <v>1252</v>
      </c>
      <c r="E95" s="39" t="s">
        <v>1253</v>
      </c>
      <c r="F95" s="39" t="s">
        <v>208</v>
      </c>
      <c r="G95" s="39" t="s">
        <v>1254</v>
      </c>
      <c r="H95" s="39" t="s">
        <v>1255</v>
      </c>
      <c r="I95" s="39" t="s">
        <v>245</v>
      </c>
      <c r="J95" s="39" t="s">
        <v>355</v>
      </c>
      <c r="K95" s="39" t="s">
        <v>28</v>
      </c>
      <c r="L95" s="39" t="s">
        <v>211</v>
      </c>
      <c r="M95" s="39" t="s">
        <v>212</v>
      </c>
      <c r="N95" s="39" t="s">
        <v>125</v>
      </c>
      <c r="O95" s="39"/>
      <c r="P95" s="39"/>
      <c r="Q95" s="39" t="s">
        <v>1256</v>
      </c>
      <c r="R95" s="39" t="s">
        <v>28</v>
      </c>
      <c r="S95" s="39" t="s">
        <v>1257</v>
      </c>
      <c r="T95" s="39" t="s">
        <v>130</v>
      </c>
      <c r="U95" s="39" t="s">
        <v>1258</v>
      </c>
      <c r="V95" s="39" t="s">
        <v>132</v>
      </c>
      <c r="W95" s="39" t="s">
        <v>194</v>
      </c>
      <c r="X95" s="39" t="s">
        <v>187</v>
      </c>
      <c r="Y95" s="39" t="s">
        <v>1259</v>
      </c>
      <c r="Z95" s="39" t="s">
        <v>196</v>
      </c>
      <c r="AA95" s="39" t="s">
        <v>197</v>
      </c>
      <c r="AB95" s="39" t="s">
        <v>1256</v>
      </c>
      <c r="AC95" s="39">
        <v>5430890</v>
      </c>
      <c r="AD95" s="39" t="s">
        <v>28</v>
      </c>
      <c r="AE95" s="39" t="s">
        <v>1260</v>
      </c>
      <c r="AF95" s="39" t="s">
        <v>28</v>
      </c>
      <c r="AG95" s="39" t="s">
        <v>1261</v>
      </c>
      <c r="AH95" s="39" t="s">
        <v>217</v>
      </c>
      <c r="AI95" s="39" t="s">
        <v>218</v>
      </c>
      <c r="AJ95" s="39" t="s">
        <v>140</v>
      </c>
      <c r="AK95" s="39" t="s">
        <v>125</v>
      </c>
      <c r="AL95" s="39">
        <v>19300</v>
      </c>
      <c r="AM95" s="39"/>
      <c r="AN95" s="39" t="s">
        <v>125</v>
      </c>
      <c r="AO95" s="39" t="s">
        <v>142</v>
      </c>
      <c r="AP95" s="39" t="s">
        <v>143</v>
      </c>
      <c r="AQ95" s="39" t="s">
        <v>144</v>
      </c>
      <c r="AR95" s="39" t="s">
        <v>1262</v>
      </c>
      <c r="AS95" s="39" t="s">
        <v>1263</v>
      </c>
      <c r="AT95" s="39" t="s">
        <v>296</v>
      </c>
      <c r="AU95" s="39"/>
      <c r="AV95" s="39" t="s">
        <v>1264</v>
      </c>
      <c r="AW95" s="39"/>
      <c r="AX95" s="39"/>
      <c r="AY95" s="39"/>
      <c r="AZ95" s="39"/>
      <c r="BA95" s="39">
        <v>80707188</v>
      </c>
      <c r="BB95" s="39" t="s">
        <v>149</v>
      </c>
      <c r="BC95" s="39" t="s">
        <v>150</v>
      </c>
      <c r="BD95" s="39" t="s">
        <v>179</v>
      </c>
      <c r="BE95" s="39" t="s">
        <v>125</v>
      </c>
      <c r="BF95" s="39"/>
      <c r="BG95" s="39" t="s">
        <v>180</v>
      </c>
      <c r="BH95" s="39" t="s">
        <v>152</v>
      </c>
      <c r="BI95" s="39" t="s">
        <v>125</v>
      </c>
      <c r="BJ95" s="39"/>
      <c r="BK95" s="39" t="s">
        <v>153</v>
      </c>
      <c r="BL95" s="39"/>
      <c r="BM95" s="39"/>
      <c r="BN95" s="39" t="s">
        <v>212</v>
      </c>
    </row>
    <row r="96" spans="1:66" hidden="1">
      <c r="A96" s="39">
        <v>95</v>
      </c>
      <c r="B96" s="39" t="s">
        <v>118</v>
      </c>
      <c r="C96" s="39" t="s">
        <v>119</v>
      </c>
      <c r="D96" s="39" t="s">
        <v>1265</v>
      </c>
      <c r="E96" s="39" t="s">
        <v>1266</v>
      </c>
      <c r="F96" s="39" t="s">
        <v>1142</v>
      </c>
      <c r="G96" s="39" t="s">
        <v>1267</v>
      </c>
      <c r="H96" s="39" t="s">
        <v>125</v>
      </c>
      <c r="I96" s="39" t="s">
        <v>125</v>
      </c>
      <c r="J96" s="39" t="s">
        <v>1268</v>
      </c>
      <c r="K96" s="39" t="s">
        <v>21</v>
      </c>
      <c r="L96" s="39" t="s">
        <v>188</v>
      </c>
      <c r="M96" s="39" t="s">
        <v>395</v>
      </c>
      <c r="N96" s="39" t="s">
        <v>1269</v>
      </c>
      <c r="O96" s="39"/>
      <c r="P96" s="39"/>
      <c r="Q96" s="39" t="s">
        <v>1265</v>
      </c>
      <c r="R96" s="39" t="s">
        <v>21</v>
      </c>
      <c r="S96" s="39" t="s">
        <v>1270</v>
      </c>
      <c r="T96" s="39" t="s">
        <v>130</v>
      </c>
      <c r="U96" s="39" t="s">
        <v>1271</v>
      </c>
      <c r="V96" s="39" t="s">
        <v>132</v>
      </c>
      <c r="W96" s="39" t="s">
        <v>194</v>
      </c>
      <c r="X96" s="39" t="s">
        <v>1268</v>
      </c>
      <c r="Y96" s="39" t="s">
        <v>1272</v>
      </c>
      <c r="Z96" s="39" t="s">
        <v>196</v>
      </c>
      <c r="AA96" s="39" t="s">
        <v>197</v>
      </c>
      <c r="AB96" s="39" t="s">
        <v>1265</v>
      </c>
      <c r="AC96" s="39">
        <v>5430595</v>
      </c>
      <c r="AD96" s="39" t="s">
        <v>21</v>
      </c>
      <c r="AE96" s="39" t="s">
        <v>1273</v>
      </c>
      <c r="AF96" s="39" t="s">
        <v>21</v>
      </c>
      <c r="AG96" s="39" t="s">
        <v>1273</v>
      </c>
      <c r="AH96" s="39" t="s">
        <v>1274</v>
      </c>
      <c r="AI96" s="39" t="s">
        <v>218</v>
      </c>
      <c r="AJ96" s="39" t="s">
        <v>140</v>
      </c>
      <c r="AK96" s="39" t="s">
        <v>125</v>
      </c>
      <c r="AL96" s="39">
        <v>19100</v>
      </c>
      <c r="AM96" s="39"/>
      <c r="AN96" s="39" t="s">
        <v>1269</v>
      </c>
      <c r="AO96" s="39" t="s">
        <v>142</v>
      </c>
      <c r="AP96" s="39" t="s">
        <v>143</v>
      </c>
      <c r="AQ96" s="39" t="s">
        <v>144</v>
      </c>
      <c r="AR96" s="39" t="s">
        <v>1275</v>
      </c>
      <c r="AS96" s="39" t="s">
        <v>1276</v>
      </c>
      <c r="AT96" s="39" t="s">
        <v>296</v>
      </c>
      <c r="AU96" s="39"/>
      <c r="AV96" s="39" t="s">
        <v>1277</v>
      </c>
      <c r="AW96" s="39"/>
      <c r="AX96" s="39"/>
      <c r="AY96" s="39"/>
      <c r="AZ96" s="39"/>
      <c r="BA96" s="39">
        <v>80714710</v>
      </c>
      <c r="BB96" s="39" t="s">
        <v>149</v>
      </c>
      <c r="BC96" s="39" t="s">
        <v>1278</v>
      </c>
      <c r="BD96" s="39" t="s">
        <v>179</v>
      </c>
      <c r="BE96" s="39" t="s">
        <v>125</v>
      </c>
      <c r="BF96" s="39"/>
      <c r="BG96" s="39" t="s">
        <v>180</v>
      </c>
      <c r="BH96" s="39" t="s">
        <v>152</v>
      </c>
      <c r="BI96" s="39" t="s">
        <v>125</v>
      </c>
      <c r="BJ96" s="39"/>
      <c r="BK96" s="39" t="s">
        <v>153</v>
      </c>
      <c r="BL96" s="39"/>
      <c r="BM96" s="39"/>
      <c r="BN96" s="39" t="s">
        <v>155</v>
      </c>
    </row>
    <row r="97" spans="1:66" hidden="1">
      <c r="A97" s="39">
        <v>96</v>
      </c>
      <c r="B97" s="39" t="s">
        <v>118</v>
      </c>
      <c r="C97" s="39" t="s">
        <v>119</v>
      </c>
      <c r="D97" s="39" t="s">
        <v>1279</v>
      </c>
      <c r="E97" s="39" t="s">
        <v>1280</v>
      </c>
      <c r="F97" s="39" t="s">
        <v>1142</v>
      </c>
      <c r="G97" s="39" t="s">
        <v>1281</v>
      </c>
      <c r="H97" s="39" t="s">
        <v>1282</v>
      </c>
      <c r="I97" s="39" t="s">
        <v>125</v>
      </c>
      <c r="J97" s="39" t="s">
        <v>187</v>
      </c>
      <c r="K97" s="39" t="s">
        <v>28</v>
      </c>
      <c r="L97" s="39" t="s">
        <v>188</v>
      </c>
      <c r="M97" s="39" t="s">
        <v>189</v>
      </c>
      <c r="N97" s="39" t="s">
        <v>1283</v>
      </c>
      <c r="O97" s="39"/>
      <c r="P97" s="39"/>
      <c r="Q97" s="39" t="s">
        <v>1282</v>
      </c>
      <c r="R97" s="39" t="s">
        <v>28</v>
      </c>
      <c r="S97" s="39" t="s">
        <v>1284</v>
      </c>
      <c r="T97" s="39" t="s">
        <v>130</v>
      </c>
      <c r="U97" s="39" t="s">
        <v>1285</v>
      </c>
      <c r="V97" s="39" t="s">
        <v>132</v>
      </c>
      <c r="W97" s="39" t="s">
        <v>194</v>
      </c>
      <c r="X97" s="39" t="s">
        <v>187</v>
      </c>
      <c r="Y97" s="39" t="s">
        <v>269</v>
      </c>
      <c r="Z97" s="39" t="s">
        <v>196</v>
      </c>
      <c r="AA97" s="39" t="s">
        <v>197</v>
      </c>
      <c r="AB97" s="39" t="s">
        <v>1282</v>
      </c>
      <c r="AC97" s="39">
        <v>5430440</v>
      </c>
      <c r="AD97" s="39" t="s">
        <v>28</v>
      </c>
      <c r="AE97" s="39" t="s">
        <v>1286</v>
      </c>
      <c r="AF97" s="39" t="s">
        <v>28</v>
      </c>
      <c r="AG97" s="39" t="s">
        <v>1287</v>
      </c>
      <c r="AH97" s="39" t="s">
        <v>200</v>
      </c>
      <c r="AI97" s="39" t="s">
        <v>201</v>
      </c>
      <c r="AJ97" s="39" t="s">
        <v>140</v>
      </c>
      <c r="AK97" s="39" t="s">
        <v>125</v>
      </c>
      <c r="AL97" s="39">
        <v>5434.3</v>
      </c>
      <c r="AM97" s="39"/>
      <c r="AN97" s="39" t="s">
        <v>1283</v>
      </c>
      <c r="AO97" s="39" t="s">
        <v>142</v>
      </c>
      <c r="AP97" s="39" t="s">
        <v>143</v>
      </c>
      <c r="AQ97" s="39" t="s">
        <v>312</v>
      </c>
      <c r="AR97" s="39" t="s">
        <v>1288</v>
      </c>
      <c r="AS97" s="39" t="s">
        <v>1289</v>
      </c>
      <c r="AT97" s="39" t="s">
        <v>296</v>
      </c>
      <c r="AU97" s="39"/>
      <c r="AV97" s="39" t="s">
        <v>1290</v>
      </c>
      <c r="AW97" s="39"/>
      <c r="AX97" s="39"/>
      <c r="AY97" s="39"/>
      <c r="AZ97" s="39"/>
      <c r="BA97" s="39">
        <v>74853572</v>
      </c>
      <c r="BB97" s="39" t="s">
        <v>149</v>
      </c>
      <c r="BC97" s="39" t="s">
        <v>150</v>
      </c>
      <c r="BD97" s="39" t="s">
        <v>179</v>
      </c>
      <c r="BE97" s="39" t="s">
        <v>125</v>
      </c>
      <c r="BF97" s="39"/>
      <c r="BG97" s="39" t="s">
        <v>180</v>
      </c>
      <c r="BH97" s="39" t="s">
        <v>152</v>
      </c>
      <c r="BI97" s="39" t="s">
        <v>125</v>
      </c>
      <c r="BJ97" s="39"/>
      <c r="BK97" s="39" t="s">
        <v>153</v>
      </c>
      <c r="BL97" s="39"/>
      <c r="BM97" s="39"/>
      <c r="BN97" s="39" t="s">
        <v>155</v>
      </c>
    </row>
    <row r="98" spans="1:66" hidden="1">
      <c r="A98" s="39">
        <v>97</v>
      </c>
      <c r="B98" s="39" t="s">
        <v>118</v>
      </c>
      <c r="C98" s="39" t="s">
        <v>119</v>
      </c>
      <c r="D98" s="39" t="s">
        <v>1279</v>
      </c>
      <c r="E98" s="39" t="s">
        <v>1280</v>
      </c>
      <c r="F98" s="39" t="s">
        <v>1142</v>
      </c>
      <c r="G98" s="39" t="s">
        <v>1281</v>
      </c>
      <c r="H98" s="39" t="s">
        <v>1282</v>
      </c>
      <c r="I98" s="39" t="s">
        <v>125</v>
      </c>
      <c r="J98" s="39" t="s">
        <v>187</v>
      </c>
      <c r="K98" s="39" t="s">
        <v>28</v>
      </c>
      <c r="L98" s="39" t="s">
        <v>188</v>
      </c>
      <c r="M98" s="39" t="s">
        <v>189</v>
      </c>
      <c r="N98" s="39" t="s">
        <v>1283</v>
      </c>
      <c r="O98" s="39"/>
      <c r="P98" s="39"/>
      <c r="Q98" s="39" t="s">
        <v>1282</v>
      </c>
      <c r="R98" s="39" t="s">
        <v>28</v>
      </c>
      <c r="S98" s="39" t="s">
        <v>1284</v>
      </c>
      <c r="T98" s="39" t="s">
        <v>130</v>
      </c>
      <c r="U98" s="39" t="s">
        <v>1285</v>
      </c>
      <c r="V98" s="39" t="s">
        <v>132</v>
      </c>
      <c r="W98" s="39" t="s">
        <v>194</v>
      </c>
      <c r="X98" s="39" t="s">
        <v>187</v>
      </c>
      <c r="Y98" s="39" t="s">
        <v>269</v>
      </c>
      <c r="Z98" s="39" t="s">
        <v>196</v>
      </c>
      <c r="AA98" s="39" t="s">
        <v>197</v>
      </c>
      <c r="AB98" s="39" t="s">
        <v>1282</v>
      </c>
      <c r="AC98" s="39">
        <v>5430440</v>
      </c>
      <c r="AD98" s="39" t="s">
        <v>28</v>
      </c>
      <c r="AE98" s="39" t="s">
        <v>1286</v>
      </c>
      <c r="AF98" s="39" t="s">
        <v>28</v>
      </c>
      <c r="AG98" s="39" t="s">
        <v>1287</v>
      </c>
      <c r="AH98" s="39" t="s">
        <v>316</v>
      </c>
      <c r="AI98" s="39" t="s">
        <v>317</v>
      </c>
      <c r="AJ98" s="39" t="s">
        <v>140</v>
      </c>
      <c r="AK98" s="39" t="s">
        <v>125</v>
      </c>
      <c r="AL98" s="39">
        <v>3725.7</v>
      </c>
      <c r="AM98" s="39"/>
      <c r="AN98" s="39" t="s">
        <v>1283</v>
      </c>
      <c r="AO98" s="39" t="s">
        <v>142</v>
      </c>
      <c r="AP98" s="39" t="s">
        <v>143</v>
      </c>
      <c r="AQ98" s="39" t="s">
        <v>312</v>
      </c>
      <c r="AR98" s="39" t="s">
        <v>1288</v>
      </c>
      <c r="AS98" s="39" t="s">
        <v>1291</v>
      </c>
      <c r="AT98" s="39" t="s">
        <v>296</v>
      </c>
      <c r="AU98" s="39"/>
      <c r="AV98" s="39" t="s">
        <v>1290</v>
      </c>
      <c r="AW98" s="39"/>
      <c r="AX98" s="39"/>
      <c r="AY98" s="39"/>
      <c r="AZ98" s="39"/>
      <c r="BA98" s="39">
        <v>74853572</v>
      </c>
      <c r="BB98" s="39" t="s">
        <v>149</v>
      </c>
      <c r="BC98" s="39" t="s">
        <v>150</v>
      </c>
      <c r="BD98" s="39" t="s">
        <v>179</v>
      </c>
      <c r="BE98" s="39" t="s">
        <v>125</v>
      </c>
      <c r="BF98" s="39"/>
      <c r="BG98" s="39" t="s">
        <v>180</v>
      </c>
      <c r="BH98" s="39" t="s">
        <v>152</v>
      </c>
      <c r="BI98" s="39" t="s">
        <v>125</v>
      </c>
      <c r="BJ98" s="39"/>
      <c r="BK98" s="39" t="s">
        <v>153</v>
      </c>
      <c r="BL98" s="39"/>
      <c r="BM98" s="39"/>
      <c r="BN98" s="39" t="s">
        <v>155</v>
      </c>
    </row>
    <row r="99" spans="1:66" hidden="1">
      <c r="A99" s="39">
        <v>98</v>
      </c>
      <c r="B99" s="39" t="s">
        <v>118</v>
      </c>
      <c r="C99" s="39" t="s">
        <v>119</v>
      </c>
      <c r="D99" s="39" t="s">
        <v>1292</v>
      </c>
      <c r="E99" s="39" t="s">
        <v>1293</v>
      </c>
      <c r="F99" s="39" t="s">
        <v>158</v>
      </c>
      <c r="G99" s="39" t="s">
        <v>1294</v>
      </c>
      <c r="H99" s="39" t="s">
        <v>1295</v>
      </c>
      <c r="I99" s="39" t="s">
        <v>125</v>
      </c>
      <c r="J99" s="39" t="s">
        <v>1268</v>
      </c>
      <c r="K99" s="39" t="s">
        <v>21</v>
      </c>
      <c r="L99" s="39" t="s">
        <v>162</v>
      </c>
      <c r="M99" s="39" t="s">
        <v>163</v>
      </c>
      <c r="N99" s="39" t="s">
        <v>125</v>
      </c>
      <c r="O99" s="39"/>
      <c r="P99" s="39"/>
      <c r="Q99" s="39" t="s">
        <v>1269</v>
      </c>
      <c r="R99" s="39" t="s">
        <v>21</v>
      </c>
      <c r="S99" s="39" t="s">
        <v>1296</v>
      </c>
      <c r="T99" s="39" t="s">
        <v>130</v>
      </c>
      <c r="U99" s="39" t="s">
        <v>1297</v>
      </c>
      <c r="V99" s="39" t="s">
        <v>132</v>
      </c>
      <c r="W99" s="39" t="s">
        <v>194</v>
      </c>
      <c r="X99" s="39" t="s">
        <v>1268</v>
      </c>
      <c r="Y99" s="39" t="s">
        <v>1272</v>
      </c>
      <c r="Z99" s="39" t="s">
        <v>196</v>
      </c>
      <c r="AA99" s="39" t="s">
        <v>197</v>
      </c>
      <c r="AB99" s="39" t="s">
        <v>1269</v>
      </c>
      <c r="AC99" s="39">
        <v>5430184</v>
      </c>
      <c r="AD99" s="39" t="s">
        <v>21</v>
      </c>
      <c r="AE99" s="39" t="s">
        <v>1298</v>
      </c>
      <c r="AF99" s="39" t="s">
        <v>21</v>
      </c>
      <c r="AG99" s="39" t="s">
        <v>1299</v>
      </c>
      <c r="AH99" s="39" t="s">
        <v>1274</v>
      </c>
      <c r="AI99" s="39" t="s">
        <v>218</v>
      </c>
      <c r="AJ99" s="39" t="s">
        <v>140</v>
      </c>
      <c r="AK99" s="39" t="s">
        <v>125</v>
      </c>
      <c r="AL99" s="39">
        <v>19300</v>
      </c>
      <c r="AM99" s="39"/>
      <c r="AN99" s="39" t="s">
        <v>125</v>
      </c>
      <c r="AO99" s="39" t="s">
        <v>142</v>
      </c>
      <c r="AP99" s="39" t="s">
        <v>143</v>
      </c>
      <c r="AQ99" s="39" t="s">
        <v>312</v>
      </c>
      <c r="AR99" s="39" t="s">
        <v>1300</v>
      </c>
      <c r="AS99" s="39" t="s">
        <v>1301</v>
      </c>
      <c r="AT99" s="39" t="s">
        <v>296</v>
      </c>
      <c r="AU99" s="39"/>
      <c r="AV99" s="39" t="s">
        <v>1302</v>
      </c>
      <c r="AW99" s="39"/>
      <c r="AX99" s="39"/>
      <c r="AY99" s="39"/>
      <c r="AZ99" s="39"/>
      <c r="BA99" s="39">
        <v>80187596</v>
      </c>
      <c r="BB99" s="39" t="s">
        <v>149</v>
      </c>
      <c r="BC99" s="39" t="s">
        <v>1278</v>
      </c>
      <c r="BD99" s="39" t="s">
        <v>179</v>
      </c>
      <c r="BE99" s="39" t="s">
        <v>125</v>
      </c>
      <c r="BF99" s="39"/>
      <c r="BG99" s="39" t="s">
        <v>180</v>
      </c>
      <c r="BH99" s="39" t="s">
        <v>152</v>
      </c>
      <c r="BI99" s="39" t="s">
        <v>125</v>
      </c>
      <c r="BJ99" s="39"/>
      <c r="BK99" s="39" t="s">
        <v>153</v>
      </c>
      <c r="BL99" s="39"/>
      <c r="BM99" s="39"/>
      <c r="BN99" s="39" t="s">
        <v>181</v>
      </c>
    </row>
    <row r="100" spans="1:66" hidden="1">
      <c r="A100" s="39">
        <v>99</v>
      </c>
      <c r="B100" s="39" t="s">
        <v>118</v>
      </c>
      <c r="C100" s="39" t="s">
        <v>119</v>
      </c>
      <c r="D100" s="39" t="s">
        <v>1303</v>
      </c>
      <c r="E100" s="39" t="s">
        <v>1304</v>
      </c>
      <c r="F100" s="39" t="s">
        <v>258</v>
      </c>
      <c r="G100" s="39" t="s">
        <v>1305</v>
      </c>
      <c r="H100" s="39" t="s">
        <v>1306</v>
      </c>
      <c r="I100" s="39" t="s">
        <v>261</v>
      </c>
      <c r="J100" s="39"/>
      <c r="K100" s="39" t="s">
        <v>794</v>
      </c>
      <c r="L100" s="39" t="s">
        <v>263</v>
      </c>
      <c r="M100" s="39" t="s">
        <v>264</v>
      </c>
      <c r="N100" s="39" t="s">
        <v>125</v>
      </c>
      <c r="O100" s="39" t="s">
        <v>794</v>
      </c>
      <c r="P100" s="39" t="s">
        <v>1307</v>
      </c>
      <c r="Q100" s="39" t="s">
        <v>1308</v>
      </c>
      <c r="R100" s="39" t="s">
        <v>16</v>
      </c>
      <c r="S100" s="39" t="s">
        <v>1309</v>
      </c>
      <c r="T100" s="39" t="s">
        <v>130</v>
      </c>
      <c r="U100" s="39" t="s">
        <v>1310</v>
      </c>
      <c r="V100" s="39" t="s">
        <v>132</v>
      </c>
      <c r="W100" s="39" t="s">
        <v>194</v>
      </c>
      <c r="X100" s="39" t="s">
        <v>187</v>
      </c>
      <c r="Y100" s="39" t="s">
        <v>1311</v>
      </c>
      <c r="Z100" s="39" t="s">
        <v>196</v>
      </c>
      <c r="AA100" s="39" t="s">
        <v>197</v>
      </c>
      <c r="AB100" s="39" t="s">
        <v>1308</v>
      </c>
      <c r="AC100" s="39">
        <v>5430096</v>
      </c>
      <c r="AD100" s="39" t="s">
        <v>16</v>
      </c>
      <c r="AE100" s="39" t="s">
        <v>1312</v>
      </c>
      <c r="AF100" s="39" t="s">
        <v>16</v>
      </c>
      <c r="AG100" s="39" t="s">
        <v>1313</v>
      </c>
      <c r="AH100" s="39" t="s">
        <v>271</v>
      </c>
      <c r="AI100" s="39" t="s">
        <v>173</v>
      </c>
      <c r="AJ100" s="39" t="s">
        <v>140</v>
      </c>
      <c r="AK100" s="39" t="s">
        <v>125</v>
      </c>
      <c r="AL100" s="39">
        <v>4880</v>
      </c>
      <c r="AM100" s="39"/>
      <c r="AN100" s="39" t="s">
        <v>125</v>
      </c>
      <c r="AO100" s="39" t="s">
        <v>142</v>
      </c>
      <c r="AP100" s="39" t="s">
        <v>143</v>
      </c>
      <c r="AQ100" s="39" t="s">
        <v>312</v>
      </c>
      <c r="AR100" s="39" t="s">
        <v>1314</v>
      </c>
      <c r="AS100" s="39" t="s">
        <v>1315</v>
      </c>
      <c r="AT100" s="39" t="s">
        <v>296</v>
      </c>
      <c r="AU100" s="39"/>
      <c r="AV100" s="39" t="s">
        <v>1316</v>
      </c>
      <c r="AW100" s="39"/>
      <c r="AX100" s="39"/>
      <c r="AY100" s="39"/>
      <c r="AZ100" s="39"/>
      <c r="BA100" s="39">
        <v>80647799</v>
      </c>
      <c r="BB100" s="39" t="s">
        <v>149</v>
      </c>
      <c r="BC100" s="39" t="s">
        <v>150</v>
      </c>
      <c r="BD100" s="39" t="s">
        <v>179</v>
      </c>
      <c r="BE100" s="39" t="s">
        <v>125</v>
      </c>
      <c r="BF100" s="39"/>
      <c r="BG100" s="39" t="s">
        <v>180</v>
      </c>
      <c r="BH100" s="39" t="s">
        <v>152</v>
      </c>
      <c r="BI100" s="39" t="s">
        <v>125</v>
      </c>
      <c r="BJ100" s="39"/>
      <c r="BK100" s="39" t="s">
        <v>153</v>
      </c>
      <c r="BL100" s="39"/>
      <c r="BM100" s="39"/>
      <c r="BN100" s="39" t="s">
        <v>276</v>
      </c>
    </row>
    <row r="101" spans="1:66" hidden="1">
      <c r="A101" s="39">
        <v>100</v>
      </c>
      <c r="B101" s="39" t="s">
        <v>118</v>
      </c>
      <c r="C101" s="39" t="s">
        <v>119</v>
      </c>
      <c r="D101" s="39" t="s">
        <v>1317</v>
      </c>
      <c r="E101" s="39" t="s">
        <v>1318</v>
      </c>
      <c r="F101" s="39" t="s">
        <v>279</v>
      </c>
      <c r="G101" s="39" t="s">
        <v>1319</v>
      </c>
      <c r="H101" s="39" t="s">
        <v>1320</v>
      </c>
      <c r="I101" s="39" t="s">
        <v>282</v>
      </c>
      <c r="J101" s="39" t="s">
        <v>187</v>
      </c>
      <c r="K101" s="39" t="s">
        <v>283</v>
      </c>
      <c r="L101" s="39" t="s">
        <v>284</v>
      </c>
      <c r="M101" s="39" t="s">
        <v>284</v>
      </c>
      <c r="N101" s="39" t="s">
        <v>125</v>
      </c>
      <c r="O101" s="39" t="s">
        <v>283</v>
      </c>
      <c r="P101" s="39" t="s">
        <v>1321</v>
      </c>
      <c r="Q101" s="39" t="s">
        <v>1317</v>
      </c>
      <c r="R101" s="39" t="s">
        <v>16</v>
      </c>
      <c r="S101" s="39" t="s">
        <v>1322</v>
      </c>
      <c r="T101" s="39" t="s">
        <v>130</v>
      </c>
      <c r="U101" s="39" t="s">
        <v>1323</v>
      </c>
      <c r="V101" s="39" t="s">
        <v>132</v>
      </c>
      <c r="W101" s="39" t="s">
        <v>194</v>
      </c>
      <c r="X101" s="39" t="s">
        <v>187</v>
      </c>
      <c r="Y101" s="39" t="s">
        <v>1324</v>
      </c>
      <c r="Z101" s="39" t="s">
        <v>196</v>
      </c>
      <c r="AA101" s="39" t="s">
        <v>197</v>
      </c>
      <c r="AB101" s="39" t="s">
        <v>1317</v>
      </c>
      <c r="AC101" s="39">
        <v>5429938</v>
      </c>
      <c r="AD101" s="39" t="s">
        <v>16</v>
      </c>
      <c r="AE101" s="39" t="s">
        <v>1325</v>
      </c>
      <c r="AF101" s="39" t="s">
        <v>16</v>
      </c>
      <c r="AG101" s="39" t="s">
        <v>1325</v>
      </c>
      <c r="AH101" s="39" t="s">
        <v>316</v>
      </c>
      <c r="AI101" s="39" t="s">
        <v>317</v>
      </c>
      <c r="AJ101" s="39" t="s">
        <v>140</v>
      </c>
      <c r="AK101" s="39" t="s">
        <v>125</v>
      </c>
      <c r="AL101" s="39">
        <v>4180</v>
      </c>
      <c r="AM101" s="39"/>
      <c r="AN101" s="39" t="s">
        <v>125</v>
      </c>
      <c r="AO101" s="39" t="s">
        <v>142</v>
      </c>
      <c r="AP101" s="39" t="s">
        <v>143</v>
      </c>
      <c r="AQ101" s="39" t="s">
        <v>312</v>
      </c>
      <c r="AR101" s="39" t="s">
        <v>1326</v>
      </c>
      <c r="AS101" s="39" t="s">
        <v>1327</v>
      </c>
      <c r="AT101" s="39" t="s">
        <v>296</v>
      </c>
      <c r="AU101" s="39"/>
      <c r="AV101" s="39" t="s">
        <v>1328</v>
      </c>
      <c r="AW101" s="39"/>
      <c r="AX101" s="39"/>
      <c r="AY101" s="39"/>
      <c r="AZ101" s="39"/>
      <c r="BA101" s="39">
        <v>74858101</v>
      </c>
      <c r="BB101" s="39" t="s">
        <v>149</v>
      </c>
      <c r="BC101" s="39" t="s">
        <v>150</v>
      </c>
      <c r="BD101" s="39" t="s">
        <v>179</v>
      </c>
      <c r="BE101" s="39" t="s">
        <v>125</v>
      </c>
      <c r="BF101" s="39"/>
      <c r="BG101" s="39" t="s">
        <v>298</v>
      </c>
      <c r="BH101" s="39" t="s">
        <v>152</v>
      </c>
      <c r="BI101" s="39" t="s">
        <v>125</v>
      </c>
      <c r="BJ101" s="39"/>
      <c r="BK101" s="39" t="s">
        <v>153</v>
      </c>
      <c r="BL101" s="39"/>
      <c r="BM101" s="39"/>
      <c r="BN101" s="39" t="s">
        <v>300</v>
      </c>
    </row>
    <row r="102" spans="1:66" hidden="1">
      <c r="A102" s="39">
        <v>101</v>
      </c>
      <c r="B102" s="39" t="s">
        <v>118</v>
      </c>
      <c r="C102" s="39" t="s">
        <v>119</v>
      </c>
      <c r="D102" s="39" t="s">
        <v>1329</v>
      </c>
      <c r="E102" s="39" t="s">
        <v>1330</v>
      </c>
      <c r="F102" s="39" t="s">
        <v>258</v>
      </c>
      <c r="G102" s="39" t="s">
        <v>1331</v>
      </c>
      <c r="H102" s="39" t="s">
        <v>1332</v>
      </c>
      <c r="I102" s="39" t="s">
        <v>261</v>
      </c>
      <c r="J102" s="39"/>
      <c r="K102" s="39" t="s">
        <v>377</v>
      </c>
      <c r="L102" s="39" t="s">
        <v>263</v>
      </c>
      <c r="M102" s="39" t="s">
        <v>264</v>
      </c>
      <c r="N102" s="39" t="s">
        <v>125</v>
      </c>
      <c r="O102" s="39" t="s">
        <v>377</v>
      </c>
      <c r="P102" s="39" t="s">
        <v>1333</v>
      </c>
      <c r="Q102" s="39" t="s">
        <v>1334</v>
      </c>
      <c r="R102" s="39" t="s">
        <v>16</v>
      </c>
      <c r="S102" s="39" t="s">
        <v>1335</v>
      </c>
      <c r="T102" s="39" t="s">
        <v>130</v>
      </c>
      <c r="U102" s="39" t="s">
        <v>1336</v>
      </c>
      <c r="V102" s="39" t="s">
        <v>132</v>
      </c>
      <c r="W102" s="39" t="s">
        <v>133</v>
      </c>
      <c r="X102" s="39" t="s">
        <v>418</v>
      </c>
      <c r="Y102" s="39" t="s">
        <v>1337</v>
      </c>
      <c r="Z102" s="39" t="s">
        <v>1338</v>
      </c>
      <c r="AA102" s="39" t="s">
        <v>1339</v>
      </c>
      <c r="AB102" s="39" t="s">
        <v>1334</v>
      </c>
      <c r="AC102" s="39">
        <v>5429928</v>
      </c>
      <c r="AD102" s="39" t="s">
        <v>16</v>
      </c>
      <c r="AE102" s="39" t="s">
        <v>1340</v>
      </c>
      <c r="AF102" s="39" t="s">
        <v>16</v>
      </c>
      <c r="AG102" s="39" t="s">
        <v>1340</v>
      </c>
      <c r="AH102" s="39" t="s">
        <v>138</v>
      </c>
      <c r="AI102" s="39" t="s">
        <v>139</v>
      </c>
      <c r="AJ102" s="39" t="s">
        <v>140</v>
      </c>
      <c r="AK102" s="39" t="s">
        <v>125</v>
      </c>
      <c r="AL102" s="39">
        <v>5180</v>
      </c>
      <c r="AM102" s="39"/>
      <c r="AN102" s="39" t="s">
        <v>125</v>
      </c>
      <c r="AO102" s="39" t="s">
        <v>142</v>
      </c>
      <c r="AP102" s="39" t="s">
        <v>143</v>
      </c>
      <c r="AQ102" s="39" t="s">
        <v>144</v>
      </c>
      <c r="AR102" s="39" t="s">
        <v>1341</v>
      </c>
      <c r="AS102" s="39" t="s">
        <v>1342</v>
      </c>
      <c r="AT102" s="39" t="s">
        <v>296</v>
      </c>
      <c r="AU102" s="39"/>
      <c r="AV102" s="39" t="s">
        <v>1343</v>
      </c>
      <c r="AW102" s="39"/>
      <c r="AX102" s="39"/>
      <c r="AY102" s="39"/>
      <c r="AZ102" s="39"/>
      <c r="BA102" s="39">
        <v>80721499</v>
      </c>
      <c r="BB102" s="39" t="s">
        <v>149</v>
      </c>
      <c r="BC102" s="39" t="s">
        <v>150</v>
      </c>
      <c r="BD102" s="39" t="s">
        <v>139</v>
      </c>
      <c r="BE102" s="39" t="s">
        <v>125</v>
      </c>
      <c r="BF102" s="39"/>
      <c r="BG102" s="39" t="s">
        <v>637</v>
      </c>
      <c r="BH102" s="39" t="s">
        <v>149</v>
      </c>
      <c r="BI102" s="39" t="s">
        <v>125</v>
      </c>
      <c r="BJ102" s="39"/>
      <c r="BK102" s="39" t="s">
        <v>153</v>
      </c>
      <c r="BL102" s="39"/>
      <c r="BM102" s="39" t="s">
        <v>154</v>
      </c>
      <c r="BN102" s="39" t="s">
        <v>276</v>
      </c>
    </row>
    <row r="103" spans="1:66" hidden="1">
      <c r="A103" s="39">
        <v>102</v>
      </c>
      <c r="B103" s="39" t="s">
        <v>118</v>
      </c>
      <c r="C103" s="39" t="s">
        <v>119</v>
      </c>
      <c r="D103" s="39" t="s">
        <v>1344</v>
      </c>
      <c r="E103" s="39" t="s">
        <v>1345</v>
      </c>
      <c r="F103" s="39" t="s">
        <v>158</v>
      </c>
      <c r="G103" s="39" t="s">
        <v>1346</v>
      </c>
      <c r="H103" s="39" t="s">
        <v>1347</v>
      </c>
      <c r="I103" s="39" t="s">
        <v>125</v>
      </c>
      <c r="J103" s="39" t="s">
        <v>187</v>
      </c>
      <c r="K103" s="39" t="s">
        <v>283</v>
      </c>
      <c r="L103" s="39" t="s">
        <v>162</v>
      </c>
      <c r="M103" s="39" t="s">
        <v>1348</v>
      </c>
      <c r="N103" s="39" t="s">
        <v>125</v>
      </c>
      <c r="O103" s="39" t="s">
        <v>283</v>
      </c>
      <c r="P103" s="39" t="s">
        <v>1349</v>
      </c>
      <c r="Q103" s="39" t="s">
        <v>1344</v>
      </c>
      <c r="R103" s="39" t="s">
        <v>23</v>
      </c>
      <c r="S103" s="39" t="s">
        <v>1350</v>
      </c>
      <c r="T103" s="39" t="s">
        <v>130</v>
      </c>
      <c r="U103" s="39" t="s">
        <v>1351</v>
      </c>
      <c r="V103" s="39" t="s">
        <v>132</v>
      </c>
      <c r="W103" s="39" t="s">
        <v>818</v>
      </c>
      <c r="X103" s="39" t="s">
        <v>187</v>
      </c>
      <c r="Y103" s="39" t="s">
        <v>1352</v>
      </c>
      <c r="Z103" s="39" t="s">
        <v>196</v>
      </c>
      <c r="AA103" s="39" t="s">
        <v>197</v>
      </c>
      <c r="AB103" s="39" t="s">
        <v>1344</v>
      </c>
      <c r="AC103" s="39">
        <v>5429924</v>
      </c>
      <c r="AD103" s="39" t="s">
        <v>23</v>
      </c>
      <c r="AE103" s="39" t="s">
        <v>1353</v>
      </c>
      <c r="AF103" s="39" t="s">
        <v>23</v>
      </c>
      <c r="AG103" s="39" t="s">
        <v>1353</v>
      </c>
      <c r="AH103" s="39" t="s">
        <v>409</v>
      </c>
      <c r="AI103" s="39" t="s">
        <v>410</v>
      </c>
      <c r="AJ103" s="39" t="s">
        <v>140</v>
      </c>
      <c r="AK103" s="39" t="s">
        <v>125</v>
      </c>
      <c r="AL103" s="39">
        <v>4680</v>
      </c>
      <c r="AM103" s="39"/>
      <c r="AN103" s="39" t="s">
        <v>125</v>
      </c>
      <c r="AO103" s="39" t="s">
        <v>142</v>
      </c>
      <c r="AP103" s="39" t="s">
        <v>143</v>
      </c>
      <c r="AQ103" s="39" t="s">
        <v>144</v>
      </c>
      <c r="AR103" s="39" t="s">
        <v>1354</v>
      </c>
      <c r="AS103" s="39" t="s">
        <v>1355</v>
      </c>
      <c r="AT103" s="39" t="s">
        <v>296</v>
      </c>
      <c r="AU103" s="39"/>
      <c r="AV103" s="39" t="s">
        <v>1356</v>
      </c>
      <c r="AW103" s="39"/>
      <c r="AX103" s="39"/>
      <c r="AY103" s="39"/>
      <c r="AZ103" s="39"/>
      <c r="BA103" s="39">
        <v>74828457</v>
      </c>
      <c r="BB103" s="39" t="s">
        <v>149</v>
      </c>
      <c r="BC103" s="39"/>
      <c r="BD103" s="39" t="s">
        <v>125</v>
      </c>
      <c r="BE103" s="39" t="s">
        <v>125</v>
      </c>
      <c r="BF103" s="39"/>
      <c r="BG103" s="39" t="s">
        <v>298</v>
      </c>
      <c r="BH103" s="39" t="s">
        <v>152</v>
      </c>
      <c r="BI103" s="39" t="s">
        <v>125</v>
      </c>
      <c r="BJ103" s="39"/>
      <c r="BK103" s="39" t="s">
        <v>153</v>
      </c>
      <c r="BL103" s="39"/>
      <c r="BM103" s="39"/>
      <c r="BN103" s="39" t="s">
        <v>181</v>
      </c>
    </row>
    <row r="104" spans="1:66" hidden="1">
      <c r="A104" s="39">
        <v>103</v>
      </c>
      <c r="B104" s="39" t="s">
        <v>118</v>
      </c>
      <c r="C104" s="39" t="s">
        <v>119</v>
      </c>
      <c r="D104" s="39" t="s">
        <v>1357</v>
      </c>
      <c r="E104" s="39" t="s">
        <v>1358</v>
      </c>
      <c r="F104" s="39" t="s">
        <v>1359</v>
      </c>
      <c r="G104" s="39" t="s">
        <v>1360</v>
      </c>
      <c r="H104" s="39" t="s">
        <v>1361</v>
      </c>
      <c r="I104" s="39" t="s">
        <v>125</v>
      </c>
      <c r="J104" s="39" t="s">
        <v>418</v>
      </c>
      <c r="K104" s="39" t="s">
        <v>1359</v>
      </c>
      <c r="L104" s="39" t="s">
        <v>284</v>
      </c>
      <c r="M104" s="39" t="s">
        <v>284</v>
      </c>
      <c r="N104" s="39" t="s">
        <v>1362</v>
      </c>
      <c r="O104" s="39" t="s">
        <v>1359</v>
      </c>
      <c r="P104" s="39" t="s">
        <v>1363</v>
      </c>
      <c r="Q104" s="39" t="s">
        <v>1357</v>
      </c>
      <c r="R104" s="39" t="s">
        <v>16</v>
      </c>
      <c r="S104" s="39" t="s">
        <v>1364</v>
      </c>
      <c r="T104" s="39" t="s">
        <v>359</v>
      </c>
      <c r="U104" s="39" t="s">
        <v>1365</v>
      </c>
      <c r="V104" s="39" t="s">
        <v>132</v>
      </c>
      <c r="W104" s="39" t="s">
        <v>1366</v>
      </c>
      <c r="X104" s="39" t="s">
        <v>355</v>
      </c>
      <c r="Y104" s="39" t="s">
        <v>1367</v>
      </c>
      <c r="Z104" s="39" t="s">
        <v>1368</v>
      </c>
      <c r="AA104" s="39" t="s">
        <v>1369</v>
      </c>
      <c r="AB104" s="39" t="s">
        <v>1357</v>
      </c>
      <c r="AC104" s="39">
        <v>5429889</v>
      </c>
      <c r="AD104" s="39" t="s">
        <v>16</v>
      </c>
      <c r="AE104" s="39" t="s">
        <v>1370</v>
      </c>
      <c r="AF104" s="39" t="s">
        <v>16</v>
      </c>
      <c r="AG104" s="39" t="s">
        <v>1370</v>
      </c>
      <c r="AH104" s="39" t="s">
        <v>880</v>
      </c>
      <c r="AI104" s="39" t="s">
        <v>139</v>
      </c>
      <c r="AJ104" s="39" t="s">
        <v>140</v>
      </c>
      <c r="AK104" s="39" t="s">
        <v>125</v>
      </c>
      <c r="AL104" s="39">
        <v>2426.9</v>
      </c>
      <c r="AM104" s="39"/>
      <c r="AN104" s="39" t="s">
        <v>125</v>
      </c>
      <c r="AO104" s="39" t="s">
        <v>367</v>
      </c>
      <c r="AP104" s="39" t="s">
        <v>143</v>
      </c>
      <c r="AQ104" s="39" t="s">
        <v>293</v>
      </c>
      <c r="AR104" s="39" t="s">
        <v>1371</v>
      </c>
      <c r="AS104" s="39" t="s">
        <v>1372</v>
      </c>
      <c r="AT104" s="39" t="s">
        <v>296</v>
      </c>
      <c r="AU104" s="39"/>
      <c r="AV104" s="39" t="s">
        <v>1373</v>
      </c>
      <c r="AW104" s="39"/>
      <c r="AX104" s="39"/>
      <c r="AY104" s="39"/>
      <c r="AZ104" s="39"/>
      <c r="BA104" s="39">
        <v>43431754</v>
      </c>
      <c r="BB104" s="39" t="s">
        <v>149</v>
      </c>
      <c r="BC104" s="39" t="s">
        <v>1374</v>
      </c>
      <c r="BD104" s="39" t="s">
        <v>1375</v>
      </c>
      <c r="BE104" s="39" t="s">
        <v>1376</v>
      </c>
      <c r="BF104" s="39" t="s">
        <v>615</v>
      </c>
      <c r="BG104" s="39" t="s">
        <v>298</v>
      </c>
      <c r="BH104" s="39" t="s">
        <v>152</v>
      </c>
      <c r="BI104" s="39" t="s">
        <v>125</v>
      </c>
      <c r="BJ104" s="39"/>
      <c r="BK104" s="39" t="s">
        <v>153</v>
      </c>
      <c r="BL104" s="39"/>
      <c r="BM104" s="39" t="s">
        <v>154</v>
      </c>
      <c r="BN104" s="39"/>
    </row>
    <row r="105" spans="1:66" hidden="1">
      <c r="A105" s="39">
        <v>104</v>
      </c>
      <c r="B105" s="39" t="s">
        <v>118</v>
      </c>
      <c r="C105" s="39" t="s">
        <v>119</v>
      </c>
      <c r="D105" s="39" t="s">
        <v>1357</v>
      </c>
      <c r="E105" s="39" t="s">
        <v>1358</v>
      </c>
      <c r="F105" s="39" t="s">
        <v>1359</v>
      </c>
      <c r="G105" s="39" t="s">
        <v>1360</v>
      </c>
      <c r="H105" s="39" t="s">
        <v>1361</v>
      </c>
      <c r="I105" s="39" t="s">
        <v>125</v>
      </c>
      <c r="J105" s="39" t="s">
        <v>418</v>
      </c>
      <c r="K105" s="39" t="s">
        <v>1359</v>
      </c>
      <c r="L105" s="39" t="s">
        <v>284</v>
      </c>
      <c r="M105" s="39" t="s">
        <v>284</v>
      </c>
      <c r="N105" s="39" t="s">
        <v>1362</v>
      </c>
      <c r="O105" s="39" t="s">
        <v>1359</v>
      </c>
      <c r="P105" s="39" t="s">
        <v>1363</v>
      </c>
      <c r="Q105" s="39" t="s">
        <v>1357</v>
      </c>
      <c r="R105" s="39" t="s">
        <v>16</v>
      </c>
      <c r="S105" s="39" t="s">
        <v>1364</v>
      </c>
      <c r="T105" s="39" t="s">
        <v>359</v>
      </c>
      <c r="U105" s="39" t="s">
        <v>1365</v>
      </c>
      <c r="V105" s="39" t="s">
        <v>132</v>
      </c>
      <c r="W105" s="39" t="s">
        <v>1366</v>
      </c>
      <c r="X105" s="39" t="s">
        <v>355</v>
      </c>
      <c r="Y105" s="39" t="s">
        <v>1367</v>
      </c>
      <c r="Z105" s="39" t="s">
        <v>1368</v>
      </c>
      <c r="AA105" s="39" t="s">
        <v>1369</v>
      </c>
      <c r="AB105" s="39" t="s">
        <v>1357</v>
      </c>
      <c r="AC105" s="39">
        <v>5429889</v>
      </c>
      <c r="AD105" s="39" t="s">
        <v>16</v>
      </c>
      <c r="AE105" s="39" t="s">
        <v>1370</v>
      </c>
      <c r="AF105" s="39" t="s">
        <v>16</v>
      </c>
      <c r="AG105" s="39" t="s">
        <v>1370</v>
      </c>
      <c r="AH105" s="39" t="s">
        <v>1377</v>
      </c>
      <c r="AI105" s="39" t="s">
        <v>1378</v>
      </c>
      <c r="AJ105" s="39" t="s">
        <v>140</v>
      </c>
      <c r="AK105" s="39" t="s">
        <v>125</v>
      </c>
      <c r="AL105" s="39">
        <v>3045.8</v>
      </c>
      <c r="AM105" s="39"/>
      <c r="AN105" s="39" t="s">
        <v>125</v>
      </c>
      <c r="AO105" s="39" t="s">
        <v>367</v>
      </c>
      <c r="AP105" s="39" t="s">
        <v>143</v>
      </c>
      <c r="AQ105" s="39" t="s">
        <v>293</v>
      </c>
      <c r="AR105" s="39" t="s">
        <v>1371</v>
      </c>
      <c r="AS105" s="39" t="s">
        <v>1379</v>
      </c>
      <c r="AT105" s="39" t="s">
        <v>296</v>
      </c>
      <c r="AU105" s="39"/>
      <c r="AV105" s="39" t="s">
        <v>1373</v>
      </c>
      <c r="AW105" s="39"/>
      <c r="AX105" s="39"/>
      <c r="AY105" s="39"/>
      <c r="AZ105" s="39"/>
      <c r="BA105" s="39">
        <v>43431754</v>
      </c>
      <c r="BB105" s="39" t="s">
        <v>149</v>
      </c>
      <c r="BC105" s="39" t="s">
        <v>1374</v>
      </c>
      <c r="BD105" s="39" t="s">
        <v>1375</v>
      </c>
      <c r="BE105" s="39" t="s">
        <v>1376</v>
      </c>
      <c r="BF105" s="39" t="s">
        <v>615</v>
      </c>
      <c r="BG105" s="39" t="s">
        <v>298</v>
      </c>
      <c r="BH105" s="39" t="s">
        <v>152</v>
      </c>
      <c r="BI105" s="39" t="s">
        <v>125</v>
      </c>
      <c r="BJ105" s="39"/>
      <c r="BK105" s="39" t="s">
        <v>153</v>
      </c>
      <c r="BL105" s="39"/>
      <c r="BM105" s="39" t="s">
        <v>154</v>
      </c>
      <c r="BN105" s="39"/>
    </row>
    <row r="106" spans="1:66" hidden="1">
      <c r="A106" s="39">
        <v>105</v>
      </c>
      <c r="B106" s="39" t="s">
        <v>118</v>
      </c>
      <c r="C106" s="39" t="s">
        <v>119</v>
      </c>
      <c r="D106" s="39" t="s">
        <v>1357</v>
      </c>
      <c r="E106" s="39" t="s">
        <v>1358</v>
      </c>
      <c r="F106" s="39" t="s">
        <v>1359</v>
      </c>
      <c r="G106" s="39" t="s">
        <v>1360</v>
      </c>
      <c r="H106" s="39" t="s">
        <v>1361</v>
      </c>
      <c r="I106" s="39" t="s">
        <v>125</v>
      </c>
      <c r="J106" s="39" t="s">
        <v>418</v>
      </c>
      <c r="K106" s="39" t="s">
        <v>1359</v>
      </c>
      <c r="L106" s="39" t="s">
        <v>284</v>
      </c>
      <c r="M106" s="39" t="s">
        <v>284</v>
      </c>
      <c r="N106" s="39" t="s">
        <v>1362</v>
      </c>
      <c r="O106" s="39" t="s">
        <v>1359</v>
      </c>
      <c r="P106" s="39" t="s">
        <v>1363</v>
      </c>
      <c r="Q106" s="39" t="s">
        <v>1357</v>
      </c>
      <c r="R106" s="39" t="s">
        <v>16</v>
      </c>
      <c r="S106" s="39" t="s">
        <v>1364</v>
      </c>
      <c r="T106" s="39" t="s">
        <v>359</v>
      </c>
      <c r="U106" s="39" t="s">
        <v>1365</v>
      </c>
      <c r="V106" s="39" t="s">
        <v>132</v>
      </c>
      <c r="W106" s="39" t="s">
        <v>1366</v>
      </c>
      <c r="X106" s="39" t="s">
        <v>355</v>
      </c>
      <c r="Y106" s="39" t="s">
        <v>1367</v>
      </c>
      <c r="Z106" s="39" t="s">
        <v>1368</v>
      </c>
      <c r="AA106" s="39" t="s">
        <v>1369</v>
      </c>
      <c r="AB106" s="39" t="s">
        <v>1357</v>
      </c>
      <c r="AC106" s="39">
        <v>5429889</v>
      </c>
      <c r="AD106" s="39" t="s">
        <v>16</v>
      </c>
      <c r="AE106" s="39" t="s">
        <v>1370</v>
      </c>
      <c r="AF106" s="39" t="s">
        <v>16</v>
      </c>
      <c r="AG106" s="39" t="s">
        <v>1370</v>
      </c>
      <c r="AH106" s="39" t="s">
        <v>1380</v>
      </c>
      <c r="AI106" s="39" t="s">
        <v>1381</v>
      </c>
      <c r="AJ106" s="39" t="s">
        <v>140</v>
      </c>
      <c r="AK106" s="39" t="s">
        <v>125</v>
      </c>
      <c r="AL106" s="39">
        <v>3108.5</v>
      </c>
      <c r="AM106" s="39"/>
      <c r="AN106" s="39" t="s">
        <v>125</v>
      </c>
      <c r="AO106" s="39" t="s">
        <v>367</v>
      </c>
      <c r="AP106" s="39" t="s">
        <v>143</v>
      </c>
      <c r="AQ106" s="39" t="s">
        <v>293</v>
      </c>
      <c r="AR106" s="39" t="s">
        <v>1371</v>
      </c>
      <c r="AS106" s="39" t="s">
        <v>1382</v>
      </c>
      <c r="AT106" s="39" t="s">
        <v>296</v>
      </c>
      <c r="AU106" s="39"/>
      <c r="AV106" s="39" t="s">
        <v>1373</v>
      </c>
      <c r="AW106" s="39"/>
      <c r="AX106" s="39"/>
      <c r="AY106" s="39"/>
      <c r="AZ106" s="39"/>
      <c r="BA106" s="39">
        <v>43431754</v>
      </c>
      <c r="BB106" s="39" t="s">
        <v>149</v>
      </c>
      <c r="BC106" s="39" t="s">
        <v>1374</v>
      </c>
      <c r="BD106" s="39" t="s">
        <v>1375</v>
      </c>
      <c r="BE106" s="39" t="s">
        <v>1376</v>
      </c>
      <c r="BF106" s="39" t="s">
        <v>615</v>
      </c>
      <c r="BG106" s="39" t="s">
        <v>298</v>
      </c>
      <c r="BH106" s="39" t="s">
        <v>152</v>
      </c>
      <c r="BI106" s="39" t="s">
        <v>125</v>
      </c>
      <c r="BJ106" s="39"/>
      <c r="BK106" s="39" t="s">
        <v>153</v>
      </c>
      <c r="BL106" s="39"/>
      <c r="BM106" s="39" t="s">
        <v>154</v>
      </c>
      <c r="BN106" s="39"/>
    </row>
    <row r="107" spans="1:66" hidden="1">
      <c r="A107" s="39">
        <v>106</v>
      </c>
      <c r="B107" s="39" t="s">
        <v>118</v>
      </c>
      <c r="C107" s="39" t="s">
        <v>119</v>
      </c>
      <c r="D107" s="39" t="s">
        <v>1357</v>
      </c>
      <c r="E107" s="39" t="s">
        <v>1358</v>
      </c>
      <c r="F107" s="39" t="s">
        <v>1359</v>
      </c>
      <c r="G107" s="39" t="s">
        <v>1360</v>
      </c>
      <c r="H107" s="39" t="s">
        <v>1361</v>
      </c>
      <c r="I107" s="39" t="s">
        <v>125</v>
      </c>
      <c r="J107" s="39" t="s">
        <v>418</v>
      </c>
      <c r="K107" s="39" t="s">
        <v>1359</v>
      </c>
      <c r="L107" s="39" t="s">
        <v>284</v>
      </c>
      <c r="M107" s="39" t="s">
        <v>284</v>
      </c>
      <c r="N107" s="39" t="s">
        <v>1362</v>
      </c>
      <c r="O107" s="39" t="s">
        <v>1359</v>
      </c>
      <c r="P107" s="39" t="s">
        <v>1363</v>
      </c>
      <c r="Q107" s="39" t="s">
        <v>1357</v>
      </c>
      <c r="R107" s="39" t="s">
        <v>16</v>
      </c>
      <c r="S107" s="39" t="s">
        <v>1364</v>
      </c>
      <c r="T107" s="39" t="s">
        <v>359</v>
      </c>
      <c r="U107" s="39" t="s">
        <v>1365</v>
      </c>
      <c r="V107" s="39" t="s">
        <v>132</v>
      </c>
      <c r="W107" s="39" t="s">
        <v>1366</v>
      </c>
      <c r="X107" s="39" t="s">
        <v>355</v>
      </c>
      <c r="Y107" s="39" t="s">
        <v>1367</v>
      </c>
      <c r="Z107" s="39" t="s">
        <v>1368</v>
      </c>
      <c r="AA107" s="39" t="s">
        <v>1369</v>
      </c>
      <c r="AB107" s="39" t="s">
        <v>1357</v>
      </c>
      <c r="AC107" s="39">
        <v>5429889</v>
      </c>
      <c r="AD107" s="39" t="s">
        <v>16</v>
      </c>
      <c r="AE107" s="39" t="s">
        <v>1370</v>
      </c>
      <c r="AF107" s="39" t="s">
        <v>16</v>
      </c>
      <c r="AG107" s="39" t="s">
        <v>1370</v>
      </c>
      <c r="AH107" s="39" t="s">
        <v>1383</v>
      </c>
      <c r="AI107" s="39" t="s">
        <v>1384</v>
      </c>
      <c r="AJ107" s="39" t="s">
        <v>140</v>
      </c>
      <c r="AK107" s="39" t="s">
        <v>125</v>
      </c>
      <c r="AL107" s="39">
        <v>3145.95</v>
      </c>
      <c r="AM107" s="39"/>
      <c r="AN107" s="39" t="s">
        <v>125</v>
      </c>
      <c r="AO107" s="39" t="s">
        <v>367</v>
      </c>
      <c r="AP107" s="39" t="s">
        <v>143</v>
      </c>
      <c r="AQ107" s="39" t="s">
        <v>293</v>
      </c>
      <c r="AR107" s="39" t="s">
        <v>1371</v>
      </c>
      <c r="AS107" s="39" t="s">
        <v>1385</v>
      </c>
      <c r="AT107" s="39" t="s">
        <v>296</v>
      </c>
      <c r="AU107" s="39"/>
      <c r="AV107" s="39" t="s">
        <v>1373</v>
      </c>
      <c r="AW107" s="39"/>
      <c r="AX107" s="39"/>
      <c r="AY107" s="39"/>
      <c r="AZ107" s="39"/>
      <c r="BA107" s="39">
        <v>43431754</v>
      </c>
      <c r="BB107" s="39" t="s">
        <v>149</v>
      </c>
      <c r="BC107" s="39" t="s">
        <v>1374</v>
      </c>
      <c r="BD107" s="39" t="s">
        <v>1375</v>
      </c>
      <c r="BE107" s="39" t="s">
        <v>1376</v>
      </c>
      <c r="BF107" s="39" t="s">
        <v>615</v>
      </c>
      <c r="BG107" s="39" t="s">
        <v>298</v>
      </c>
      <c r="BH107" s="39" t="s">
        <v>152</v>
      </c>
      <c r="BI107" s="39" t="s">
        <v>125</v>
      </c>
      <c r="BJ107" s="39"/>
      <c r="BK107" s="39" t="s">
        <v>153</v>
      </c>
      <c r="BL107" s="39"/>
      <c r="BM107" s="39" t="s">
        <v>154</v>
      </c>
      <c r="BN107" s="39"/>
    </row>
    <row r="108" spans="1:66" hidden="1">
      <c r="A108" s="39">
        <v>107</v>
      </c>
      <c r="B108" s="39" t="s">
        <v>118</v>
      </c>
      <c r="C108" s="39" t="s">
        <v>119</v>
      </c>
      <c r="D108" s="39" t="s">
        <v>1357</v>
      </c>
      <c r="E108" s="39" t="s">
        <v>1358</v>
      </c>
      <c r="F108" s="39" t="s">
        <v>1359</v>
      </c>
      <c r="G108" s="39" t="s">
        <v>1360</v>
      </c>
      <c r="H108" s="39" t="s">
        <v>1361</v>
      </c>
      <c r="I108" s="39" t="s">
        <v>125</v>
      </c>
      <c r="J108" s="39" t="s">
        <v>418</v>
      </c>
      <c r="K108" s="39" t="s">
        <v>1359</v>
      </c>
      <c r="L108" s="39" t="s">
        <v>284</v>
      </c>
      <c r="M108" s="39" t="s">
        <v>284</v>
      </c>
      <c r="N108" s="39" t="s">
        <v>1362</v>
      </c>
      <c r="O108" s="39" t="s">
        <v>1359</v>
      </c>
      <c r="P108" s="39" t="s">
        <v>1363</v>
      </c>
      <c r="Q108" s="39" t="s">
        <v>1357</v>
      </c>
      <c r="R108" s="39" t="s">
        <v>16</v>
      </c>
      <c r="S108" s="39" t="s">
        <v>1364</v>
      </c>
      <c r="T108" s="39" t="s">
        <v>359</v>
      </c>
      <c r="U108" s="39" t="s">
        <v>1365</v>
      </c>
      <c r="V108" s="39" t="s">
        <v>132</v>
      </c>
      <c r="W108" s="39" t="s">
        <v>1366</v>
      </c>
      <c r="X108" s="39" t="s">
        <v>355</v>
      </c>
      <c r="Y108" s="39" t="s">
        <v>1367</v>
      </c>
      <c r="Z108" s="39" t="s">
        <v>1368</v>
      </c>
      <c r="AA108" s="39" t="s">
        <v>1369</v>
      </c>
      <c r="AB108" s="39" t="s">
        <v>1357</v>
      </c>
      <c r="AC108" s="39">
        <v>5429889</v>
      </c>
      <c r="AD108" s="39" t="s">
        <v>16</v>
      </c>
      <c r="AE108" s="39" t="s">
        <v>1370</v>
      </c>
      <c r="AF108" s="39" t="s">
        <v>16</v>
      </c>
      <c r="AG108" s="39" t="s">
        <v>1370</v>
      </c>
      <c r="AH108" s="39" t="s">
        <v>1386</v>
      </c>
      <c r="AI108" s="39" t="s">
        <v>1387</v>
      </c>
      <c r="AJ108" s="39" t="s">
        <v>140</v>
      </c>
      <c r="AK108" s="39" t="s">
        <v>125</v>
      </c>
      <c r="AL108" s="39">
        <v>2134.75</v>
      </c>
      <c r="AM108" s="39"/>
      <c r="AN108" s="39" t="s">
        <v>125</v>
      </c>
      <c r="AO108" s="39" t="s">
        <v>367</v>
      </c>
      <c r="AP108" s="39" t="s">
        <v>143</v>
      </c>
      <c r="AQ108" s="39" t="s">
        <v>293</v>
      </c>
      <c r="AR108" s="39" t="s">
        <v>1371</v>
      </c>
      <c r="AS108" s="39" t="s">
        <v>1388</v>
      </c>
      <c r="AT108" s="39" t="s">
        <v>296</v>
      </c>
      <c r="AU108" s="39"/>
      <c r="AV108" s="39" t="s">
        <v>1373</v>
      </c>
      <c r="AW108" s="39"/>
      <c r="AX108" s="39"/>
      <c r="AY108" s="39"/>
      <c r="AZ108" s="39"/>
      <c r="BA108" s="39">
        <v>43431754</v>
      </c>
      <c r="BB108" s="39" t="s">
        <v>149</v>
      </c>
      <c r="BC108" s="39" t="s">
        <v>1374</v>
      </c>
      <c r="BD108" s="39" t="s">
        <v>1375</v>
      </c>
      <c r="BE108" s="39" t="s">
        <v>1376</v>
      </c>
      <c r="BF108" s="39" t="s">
        <v>615</v>
      </c>
      <c r="BG108" s="39" t="s">
        <v>298</v>
      </c>
      <c r="BH108" s="39" t="s">
        <v>152</v>
      </c>
      <c r="BI108" s="39" t="s">
        <v>125</v>
      </c>
      <c r="BJ108" s="39"/>
      <c r="BK108" s="39" t="s">
        <v>153</v>
      </c>
      <c r="BL108" s="39"/>
      <c r="BM108" s="39" t="s">
        <v>154</v>
      </c>
      <c r="BN108" s="39"/>
    </row>
    <row r="109" spans="1:66" hidden="1">
      <c r="A109" s="39">
        <v>108</v>
      </c>
      <c r="B109" s="39" t="s">
        <v>118</v>
      </c>
      <c r="C109" s="39" t="s">
        <v>119</v>
      </c>
      <c r="D109" s="39" t="s">
        <v>1357</v>
      </c>
      <c r="E109" s="39" t="s">
        <v>1358</v>
      </c>
      <c r="F109" s="39" t="s">
        <v>1359</v>
      </c>
      <c r="G109" s="39" t="s">
        <v>1360</v>
      </c>
      <c r="H109" s="39" t="s">
        <v>1361</v>
      </c>
      <c r="I109" s="39" t="s">
        <v>125</v>
      </c>
      <c r="J109" s="39" t="s">
        <v>418</v>
      </c>
      <c r="K109" s="39" t="s">
        <v>1359</v>
      </c>
      <c r="L109" s="39" t="s">
        <v>284</v>
      </c>
      <c r="M109" s="39" t="s">
        <v>284</v>
      </c>
      <c r="N109" s="39" t="s">
        <v>1362</v>
      </c>
      <c r="O109" s="39" t="s">
        <v>1359</v>
      </c>
      <c r="P109" s="39" t="s">
        <v>1363</v>
      </c>
      <c r="Q109" s="39" t="s">
        <v>1357</v>
      </c>
      <c r="R109" s="39" t="s">
        <v>16</v>
      </c>
      <c r="S109" s="39" t="s">
        <v>1364</v>
      </c>
      <c r="T109" s="39" t="s">
        <v>359</v>
      </c>
      <c r="U109" s="39" t="s">
        <v>1365</v>
      </c>
      <c r="V109" s="39" t="s">
        <v>132</v>
      </c>
      <c r="W109" s="39" t="s">
        <v>1366</v>
      </c>
      <c r="X109" s="39" t="s">
        <v>355</v>
      </c>
      <c r="Y109" s="39" t="s">
        <v>1367</v>
      </c>
      <c r="Z109" s="39" t="s">
        <v>1368</v>
      </c>
      <c r="AA109" s="39" t="s">
        <v>1369</v>
      </c>
      <c r="AB109" s="39" t="s">
        <v>1357</v>
      </c>
      <c r="AC109" s="39">
        <v>5429889</v>
      </c>
      <c r="AD109" s="39" t="s">
        <v>16</v>
      </c>
      <c r="AE109" s="39" t="s">
        <v>1370</v>
      </c>
      <c r="AF109" s="39" t="s">
        <v>16</v>
      </c>
      <c r="AG109" s="39" t="s">
        <v>1370</v>
      </c>
      <c r="AH109" s="39" t="s">
        <v>1389</v>
      </c>
      <c r="AI109" s="39" t="s">
        <v>1390</v>
      </c>
      <c r="AJ109" s="39" t="s">
        <v>140</v>
      </c>
      <c r="AK109" s="39" t="s">
        <v>125</v>
      </c>
      <c r="AL109" s="39">
        <v>1797.7</v>
      </c>
      <c r="AM109" s="39"/>
      <c r="AN109" s="39" t="s">
        <v>125</v>
      </c>
      <c r="AO109" s="39" t="s">
        <v>367</v>
      </c>
      <c r="AP109" s="39" t="s">
        <v>143</v>
      </c>
      <c r="AQ109" s="39" t="s">
        <v>293</v>
      </c>
      <c r="AR109" s="39" t="s">
        <v>1371</v>
      </c>
      <c r="AS109" s="39" t="s">
        <v>1391</v>
      </c>
      <c r="AT109" s="39" t="s">
        <v>296</v>
      </c>
      <c r="AU109" s="39"/>
      <c r="AV109" s="39" t="s">
        <v>1373</v>
      </c>
      <c r="AW109" s="39"/>
      <c r="AX109" s="39"/>
      <c r="AY109" s="39"/>
      <c r="AZ109" s="39"/>
      <c r="BA109" s="39">
        <v>43431754</v>
      </c>
      <c r="BB109" s="39" t="s">
        <v>149</v>
      </c>
      <c r="BC109" s="39" t="s">
        <v>1374</v>
      </c>
      <c r="BD109" s="39" t="s">
        <v>1375</v>
      </c>
      <c r="BE109" s="39" t="s">
        <v>1376</v>
      </c>
      <c r="BF109" s="39" t="s">
        <v>615</v>
      </c>
      <c r="BG109" s="39" t="s">
        <v>298</v>
      </c>
      <c r="BH109" s="39" t="s">
        <v>152</v>
      </c>
      <c r="BI109" s="39" t="s">
        <v>125</v>
      </c>
      <c r="BJ109" s="39"/>
      <c r="BK109" s="39" t="s">
        <v>153</v>
      </c>
      <c r="BL109" s="39"/>
      <c r="BM109" s="39" t="s">
        <v>154</v>
      </c>
      <c r="BN109" s="39"/>
    </row>
    <row r="110" spans="1:66" hidden="1">
      <c r="A110" s="39">
        <v>109</v>
      </c>
      <c r="B110" s="39" t="s">
        <v>118</v>
      </c>
      <c r="C110" s="39" t="s">
        <v>119</v>
      </c>
      <c r="D110" s="39" t="s">
        <v>1357</v>
      </c>
      <c r="E110" s="39" t="s">
        <v>1358</v>
      </c>
      <c r="F110" s="39" t="s">
        <v>1359</v>
      </c>
      <c r="G110" s="39" t="s">
        <v>1360</v>
      </c>
      <c r="H110" s="39" t="s">
        <v>1361</v>
      </c>
      <c r="I110" s="39" t="s">
        <v>125</v>
      </c>
      <c r="J110" s="39" t="s">
        <v>418</v>
      </c>
      <c r="K110" s="39" t="s">
        <v>1359</v>
      </c>
      <c r="L110" s="39" t="s">
        <v>284</v>
      </c>
      <c r="M110" s="39" t="s">
        <v>284</v>
      </c>
      <c r="N110" s="39" t="s">
        <v>1362</v>
      </c>
      <c r="O110" s="39" t="s">
        <v>1359</v>
      </c>
      <c r="P110" s="39" t="s">
        <v>1363</v>
      </c>
      <c r="Q110" s="39" t="s">
        <v>1357</v>
      </c>
      <c r="R110" s="39" t="s">
        <v>16</v>
      </c>
      <c r="S110" s="39" t="s">
        <v>1364</v>
      </c>
      <c r="T110" s="39" t="s">
        <v>359</v>
      </c>
      <c r="U110" s="39" t="s">
        <v>1365</v>
      </c>
      <c r="V110" s="39" t="s">
        <v>132</v>
      </c>
      <c r="W110" s="39" t="s">
        <v>1366</v>
      </c>
      <c r="X110" s="39" t="s">
        <v>355</v>
      </c>
      <c r="Y110" s="39" t="s">
        <v>1367</v>
      </c>
      <c r="Z110" s="39" t="s">
        <v>1368</v>
      </c>
      <c r="AA110" s="39" t="s">
        <v>1369</v>
      </c>
      <c r="AB110" s="39" t="s">
        <v>1357</v>
      </c>
      <c r="AC110" s="39">
        <v>5429889</v>
      </c>
      <c r="AD110" s="39" t="s">
        <v>16</v>
      </c>
      <c r="AE110" s="39" t="s">
        <v>1370</v>
      </c>
      <c r="AF110" s="39" t="s">
        <v>16</v>
      </c>
      <c r="AG110" s="39" t="s">
        <v>1370</v>
      </c>
      <c r="AH110" s="39" t="s">
        <v>1392</v>
      </c>
      <c r="AI110" s="39" t="s">
        <v>1393</v>
      </c>
      <c r="AJ110" s="39" t="s">
        <v>140</v>
      </c>
      <c r="AK110" s="39" t="s">
        <v>125</v>
      </c>
      <c r="AL110" s="39">
        <v>2621.65</v>
      </c>
      <c r="AM110" s="39"/>
      <c r="AN110" s="39" t="s">
        <v>125</v>
      </c>
      <c r="AO110" s="39" t="s">
        <v>367</v>
      </c>
      <c r="AP110" s="39" t="s">
        <v>143</v>
      </c>
      <c r="AQ110" s="39" t="s">
        <v>293</v>
      </c>
      <c r="AR110" s="39" t="s">
        <v>1371</v>
      </c>
      <c r="AS110" s="39" t="s">
        <v>1394</v>
      </c>
      <c r="AT110" s="39" t="s">
        <v>296</v>
      </c>
      <c r="AU110" s="39"/>
      <c r="AV110" s="39" t="s">
        <v>1373</v>
      </c>
      <c r="AW110" s="39"/>
      <c r="AX110" s="39"/>
      <c r="AY110" s="39"/>
      <c r="AZ110" s="39"/>
      <c r="BA110" s="39">
        <v>43431754</v>
      </c>
      <c r="BB110" s="39" t="s">
        <v>149</v>
      </c>
      <c r="BC110" s="39" t="s">
        <v>1374</v>
      </c>
      <c r="BD110" s="39" t="s">
        <v>1375</v>
      </c>
      <c r="BE110" s="39" t="s">
        <v>1376</v>
      </c>
      <c r="BF110" s="39" t="s">
        <v>615</v>
      </c>
      <c r="BG110" s="39" t="s">
        <v>298</v>
      </c>
      <c r="BH110" s="39" t="s">
        <v>152</v>
      </c>
      <c r="BI110" s="39" t="s">
        <v>125</v>
      </c>
      <c r="BJ110" s="39"/>
      <c r="BK110" s="39" t="s">
        <v>153</v>
      </c>
      <c r="BL110" s="39"/>
      <c r="BM110" s="39" t="s">
        <v>154</v>
      </c>
      <c r="BN110" s="39"/>
    </row>
    <row r="111" spans="1:66" hidden="1">
      <c r="A111" s="39">
        <v>110</v>
      </c>
      <c r="B111" s="39" t="s">
        <v>118</v>
      </c>
      <c r="C111" s="39" t="s">
        <v>119</v>
      </c>
      <c r="D111" s="39" t="s">
        <v>1357</v>
      </c>
      <c r="E111" s="39" t="s">
        <v>1358</v>
      </c>
      <c r="F111" s="39" t="s">
        <v>1359</v>
      </c>
      <c r="G111" s="39" t="s">
        <v>1360</v>
      </c>
      <c r="H111" s="39" t="s">
        <v>1361</v>
      </c>
      <c r="I111" s="39" t="s">
        <v>125</v>
      </c>
      <c r="J111" s="39" t="s">
        <v>418</v>
      </c>
      <c r="K111" s="39" t="s">
        <v>1359</v>
      </c>
      <c r="L111" s="39" t="s">
        <v>284</v>
      </c>
      <c r="M111" s="39" t="s">
        <v>284</v>
      </c>
      <c r="N111" s="39" t="s">
        <v>1362</v>
      </c>
      <c r="O111" s="39" t="s">
        <v>1359</v>
      </c>
      <c r="P111" s="39" t="s">
        <v>1363</v>
      </c>
      <c r="Q111" s="39" t="s">
        <v>1357</v>
      </c>
      <c r="R111" s="39" t="s">
        <v>16</v>
      </c>
      <c r="S111" s="39" t="s">
        <v>1364</v>
      </c>
      <c r="T111" s="39" t="s">
        <v>359</v>
      </c>
      <c r="U111" s="39" t="s">
        <v>1365</v>
      </c>
      <c r="V111" s="39" t="s">
        <v>132</v>
      </c>
      <c r="W111" s="39" t="s">
        <v>1366</v>
      </c>
      <c r="X111" s="39" t="s">
        <v>355</v>
      </c>
      <c r="Y111" s="39" t="s">
        <v>1367</v>
      </c>
      <c r="Z111" s="39" t="s">
        <v>1368</v>
      </c>
      <c r="AA111" s="39" t="s">
        <v>1369</v>
      </c>
      <c r="AB111" s="39" t="s">
        <v>1357</v>
      </c>
      <c r="AC111" s="39">
        <v>5429889</v>
      </c>
      <c r="AD111" s="39" t="s">
        <v>16</v>
      </c>
      <c r="AE111" s="39" t="s">
        <v>1370</v>
      </c>
      <c r="AF111" s="39" t="s">
        <v>16</v>
      </c>
      <c r="AG111" s="39" t="s">
        <v>1370</v>
      </c>
      <c r="AH111" s="39" t="s">
        <v>1395</v>
      </c>
      <c r="AI111" s="39" t="s">
        <v>1396</v>
      </c>
      <c r="AJ111" s="39" t="s">
        <v>140</v>
      </c>
      <c r="AK111" s="39" t="s">
        <v>125</v>
      </c>
      <c r="AL111" s="39">
        <v>4500</v>
      </c>
      <c r="AM111" s="39"/>
      <c r="AN111" s="39" t="s">
        <v>125</v>
      </c>
      <c r="AO111" s="39" t="s">
        <v>367</v>
      </c>
      <c r="AP111" s="39" t="s">
        <v>143</v>
      </c>
      <c r="AQ111" s="39" t="s">
        <v>293</v>
      </c>
      <c r="AR111" s="39" t="s">
        <v>1371</v>
      </c>
      <c r="AS111" s="39" t="s">
        <v>1397</v>
      </c>
      <c r="AT111" s="39" t="s">
        <v>296</v>
      </c>
      <c r="AU111" s="39"/>
      <c r="AV111" s="39" t="s">
        <v>1373</v>
      </c>
      <c r="AW111" s="39"/>
      <c r="AX111" s="39"/>
      <c r="AY111" s="39"/>
      <c r="AZ111" s="39"/>
      <c r="BA111" s="39">
        <v>43431754</v>
      </c>
      <c r="BB111" s="39" t="s">
        <v>149</v>
      </c>
      <c r="BC111" s="39" t="s">
        <v>1374</v>
      </c>
      <c r="BD111" s="39" t="s">
        <v>1375</v>
      </c>
      <c r="BE111" s="39" t="s">
        <v>1376</v>
      </c>
      <c r="BF111" s="39" t="s">
        <v>615</v>
      </c>
      <c r="BG111" s="39" t="s">
        <v>298</v>
      </c>
      <c r="BH111" s="39" t="s">
        <v>152</v>
      </c>
      <c r="BI111" s="39" t="s">
        <v>125</v>
      </c>
      <c r="BJ111" s="39"/>
      <c r="BK111" s="39" t="s">
        <v>153</v>
      </c>
      <c r="BL111" s="39"/>
      <c r="BM111" s="39" t="s">
        <v>154</v>
      </c>
      <c r="BN111" s="39"/>
    </row>
    <row r="112" spans="1:66" hidden="1">
      <c r="A112" s="39">
        <v>111</v>
      </c>
      <c r="B112" s="39" t="s">
        <v>118</v>
      </c>
      <c r="C112" s="39" t="s">
        <v>119</v>
      </c>
      <c r="D112" s="39" t="s">
        <v>1357</v>
      </c>
      <c r="E112" s="39" t="s">
        <v>1358</v>
      </c>
      <c r="F112" s="39" t="s">
        <v>1359</v>
      </c>
      <c r="G112" s="39" t="s">
        <v>1360</v>
      </c>
      <c r="H112" s="39" t="s">
        <v>1361</v>
      </c>
      <c r="I112" s="39" t="s">
        <v>125</v>
      </c>
      <c r="J112" s="39" t="s">
        <v>418</v>
      </c>
      <c r="K112" s="39" t="s">
        <v>1359</v>
      </c>
      <c r="L112" s="39" t="s">
        <v>284</v>
      </c>
      <c r="M112" s="39" t="s">
        <v>284</v>
      </c>
      <c r="N112" s="39" t="s">
        <v>1362</v>
      </c>
      <c r="O112" s="39" t="s">
        <v>1359</v>
      </c>
      <c r="P112" s="39" t="s">
        <v>1363</v>
      </c>
      <c r="Q112" s="39" t="s">
        <v>1357</v>
      </c>
      <c r="R112" s="39" t="s">
        <v>16</v>
      </c>
      <c r="S112" s="39" t="s">
        <v>1364</v>
      </c>
      <c r="T112" s="39" t="s">
        <v>359</v>
      </c>
      <c r="U112" s="39" t="s">
        <v>1365</v>
      </c>
      <c r="V112" s="39" t="s">
        <v>132</v>
      </c>
      <c r="W112" s="39" t="s">
        <v>1366</v>
      </c>
      <c r="X112" s="39" t="s">
        <v>355</v>
      </c>
      <c r="Y112" s="39" t="s">
        <v>1367</v>
      </c>
      <c r="Z112" s="39" t="s">
        <v>1368</v>
      </c>
      <c r="AA112" s="39" t="s">
        <v>1369</v>
      </c>
      <c r="AB112" s="39" t="s">
        <v>1357</v>
      </c>
      <c r="AC112" s="39">
        <v>5429889</v>
      </c>
      <c r="AD112" s="39" t="s">
        <v>16</v>
      </c>
      <c r="AE112" s="39" t="s">
        <v>1370</v>
      </c>
      <c r="AF112" s="39" t="s">
        <v>16</v>
      </c>
      <c r="AG112" s="39" t="s">
        <v>1370</v>
      </c>
      <c r="AH112" s="39" t="s">
        <v>1398</v>
      </c>
      <c r="AI112" s="39" t="s">
        <v>1399</v>
      </c>
      <c r="AJ112" s="39" t="s">
        <v>140</v>
      </c>
      <c r="AK112" s="39" t="s">
        <v>125</v>
      </c>
      <c r="AL112" s="39">
        <v>2172.1999999999998</v>
      </c>
      <c r="AM112" s="39"/>
      <c r="AN112" s="39" t="s">
        <v>125</v>
      </c>
      <c r="AO112" s="39" t="s">
        <v>367</v>
      </c>
      <c r="AP112" s="39" t="s">
        <v>143</v>
      </c>
      <c r="AQ112" s="39" t="s">
        <v>293</v>
      </c>
      <c r="AR112" s="39" t="s">
        <v>1371</v>
      </c>
      <c r="AS112" s="39" t="s">
        <v>1400</v>
      </c>
      <c r="AT112" s="39" t="s">
        <v>296</v>
      </c>
      <c r="AU112" s="39"/>
      <c r="AV112" s="39" t="s">
        <v>1373</v>
      </c>
      <c r="AW112" s="39"/>
      <c r="AX112" s="39"/>
      <c r="AY112" s="39"/>
      <c r="AZ112" s="39"/>
      <c r="BA112" s="39">
        <v>43431754</v>
      </c>
      <c r="BB112" s="39" t="s">
        <v>149</v>
      </c>
      <c r="BC112" s="39" t="s">
        <v>1374</v>
      </c>
      <c r="BD112" s="39" t="s">
        <v>1375</v>
      </c>
      <c r="BE112" s="39" t="s">
        <v>1376</v>
      </c>
      <c r="BF112" s="39" t="s">
        <v>615</v>
      </c>
      <c r="BG112" s="39" t="s">
        <v>298</v>
      </c>
      <c r="BH112" s="39" t="s">
        <v>152</v>
      </c>
      <c r="BI112" s="39" t="s">
        <v>125</v>
      </c>
      <c r="BJ112" s="39"/>
      <c r="BK112" s="39" t="s">
        <v>153</v>
      </c>
      <c r="BL112" s="39"/>
      <c r="BM112" s="39" t="s">
        <v>154</v>
      </c>
      <c r="BN112" s="39"/>
    </row>
    <row r="113" spans="1:66" hidden="1">
      <c r="A113" s="39">
        <v>112</v>
      </c>
      <c r="B113" s="39" t="s">
        <v>118</v>
      </c>
      <c r="C113" s="39" t="s">
        <v>119</v>
      </c>
      <c r="D113" s="39" t="s">
        <v>1357</v>
      </c>
      <c r="E113" s="39" t="s">
        <v>1358</v>
      </c>
      <c r="F113" s="39" t="s">
        <v>1359</v>
      </c>
      <c r="G113" s="39" t="s">
        <v>1360</v>
      </c>
      <c r="H113" s="39" t="s">
        <v>1361</v>
      </c>
      <c r="I113" s="39" t="s">
        <v>125</v>
      </c>
      <c r="J113" s="39" t="s">
        <v>418</v>
      </c>
      <c r="K113" s="39" t="s">
        <v>1359</v>
      </c>
      <c r="L113" s="39" t="s">
        <v>284</v>
      </c>
      <c r="M113" s="39" t="s">
        <v>284</v>
      </c>
      <c r="N113" s="39" t="s">
        <v>1362</v>
      </c>
      <c r="O113" s="39" t="s">
        <v>1359</v>
      </c>
      <c r="P113" s="39" t="s">
        <v>1363</v>
      </c>
      <c r="Q113" s="39" t="s">
        <v>1357</v>
      </c>
      <c r="R113" s="39" t="s">
        <v>16</v>
      </c>
      <c r="S113" s="39" t="s">
        <v>1364</v>
      </c>
      <c r="T113" s="39" t="s">
        <v>359</v>
      </c>
      <c r="U113" s="39" t="s">
        <v>1365</v>
      </c>
      <c r="V113" s="39" t="s">
        <v>132</v>
      </c>
      <c r="W113" s="39" t="s">
        <v>1366</v>
      </c>
      <c r="X113" s="39" t="s">
        <v>355</v>
      </c>
      <c r="Y113" s="39" t="s">
        <v>1367</v>
      </c>
      <c r="Z113" s="39" t="s">
        <v>1368</v>
      </c>
      <c r="AA113" s="39" t="s">
        <v>1369</v>
      </c>
      <c r="AB113" s="39" t="s">
        <v>1357</v>
      </c>
      <c r="AC113" s="39">
        <v>5429889</v>
      </c>
      <c r="AD113" s="39" t="s">
        <v>16</v>
      </c>
      <c r="AE113" s="39" t="s">
        <v>1370</v>
      </c>
      <c r="AF113" s="39" t="s">
        <v>16</v>
      </c>
      <c r="AG113" s="39" t="s">
        <v>1370</v>
      </c>
      <c r="AH113" s="39" t="s">
        <v>1401</v>
      </c>
      <c r="AI113" s="39" t="s">
        <v>1402</v>
      </c>
      <c r="AJ113" s="39" t="s">
        <v>140</v>
      </c>
      <c r="AK113" s="39" t="s">
        <v>125</v>
      </c>
      <c r="AL113" s="39">
        <v>2696.55</v>
      </c>
      <c r="AM113" s="39"/>
      <c r="AN113" s="39" t="s">
        <v>125</v>
      </c>
      <c r="AO113" s="39" t="s">
        <v>367</v>
      </c>
      <c r="AP113" s="39" t="s">
        <v>143</v>
      </c>
      <c r="AQ113" s="39" t="s">
        <v>293</v>
      </c>
      <c r="AR113" s="39" t="s">
        <v>1371</v>
      </c>
      <c r="AS113" s="39" t="s">
        <v>1403</v>
      </c>
      <c r="AT113" s="39" t="s">
        <v>296</v>
      </c>
      <c r="AU113" s="39"/>
      <c r="AV113" s="39" t="s">
        <v>1373</v>
      </c>
      <c r="AW113" s="39"/>
      <c r="AX113" s="39"/>
      <c r="AY113" s="39"/>
      <c r="AZ113" s="39"/>
      <c r="BA113" s="39">
        <v>43431754</v>
      </c>
      <c r="BB113" s="39" t="s">
        <v>149</v>
      </c>
      <c r="BC113" s="39" t="s">
        <v>1374</v>
      </c>
      <c r="BD113" s="39" t="s">
        <v>1375</v>
      </c>
      <c r="BE113" s="39" t="s">
        <v>1376</v>
      </c>
      <c r="BF113" s="39" t="s">
        <v>615</v>
      </c>
      <c r="BG113" s="39" t="s">
        <v>298</v>
      </c>
      <c r="BH113" s="39" t="s">
        <v>152</v>
      </c>
      <c r="BI113" s="39" t="s">
        <v>125</v>
      </c>
      <c r="BJ113" s="39"/>
      <c r="BK113" s="39" t="s">
        <v>153</v>
      </c>
      <c r="BL113" s="39"/>
      <c r="BM113" s="39" t="s">
        <v>154</v>
      </c>
      <c r="BN113" s="39"/>
    </row>
    <row r="114" spans="1:66" hidden="1">
      <c r="A114" s="39">
        <v>113</v>
      </c>
      <c r="B114" s="39" t="s">
        <v>118</v>
      </c>
      <c r="C114" s="39" t="s">
        <v>119</v>
      </c>
      <c r="D114" s="39" t="s">
        <v>1404</v>
      </c>
      <c r="E114" s="39" t="s">
        <v>1405</v>
      </c>
      <c r="F114" s="39" t="s">
        <v>749</v>
      </c>
      <c r="G114" s="39" t="s">
        <v>1406</v>
      </c>
      <c r="H114" s="39" t="s">
        <v>125</v>
      </c>
      <c r="I114" s="39" t="s">
        <v>125</v>
      </c>
      <c r="J114" s="39" t="s">
        <v>506</v>
      </c>
      <c r="K114" s="39" t="s">
        <v>24</v>
      </c>
      <c r="L114" s="39" t="s">
        <v>188</v>
      </c>
      <c r="M114" s="39" t="s">
        <v>1202</v>
      </c>
      <c r="N114" s="39" t="s">
        <v>1144</v>
      </c>
      <c r="O114" s="39"/>
      <c r="P114" s="39"/>
      <c r="Q114" s="39" t="s">
        <v>1404</v>
      </c>
      <c r="R114" s="39" t="s">
        <v>24</v>
      </c>
      <c r="S114" s="39" t="s">
        <v>1407</v>
      </c>
      <c r="T114" s="39" t="s">
        <v>130</v>
      </c>
      <c r="U114" s="39" t="s">
        <v>1408</v>
      </c>
      <c r="V114" s="39" t="s">
        <v>132</v>
      </c>
      <c r="W114" s="39" t="s">
        <v>399</v>
      </c>
      <c r="X114" s="39" t="s">
        <v>187</v>
      </c>
      <c r="Y114" s="39" t="s">
        <v>1147</v>
      </c>
      <c r="Z114" s="39" t="s">
        <v>196</v>
      </c>
      <c r="AA114" s="39" t="s">
        <v>197</v>
      </c>
      <c r="AB114" s="39" t="s">
        <v>1404</v>
      </c>
      <c r="AC114" s="39">
        <v>5429825</v>
      </c>
      <c r="AD114" s="39" t="s">
        <v>24</v>
      </c>
      <c r="AE114" s="39" t="s">
        <v>1409</v>
      </c>
      <c r="AF114" s="39" t="s">
        <v>24</v>
      </c>
      <c r="AG114" s="39" t="s">
        <v>1409</v>
      </c>
      <c r="AH114" s="39" t="s">
        <v>291</v>
      </c>
      <c r="AI114" s="39" t="s">
        <v>292</v>
      </c>
      <c r="AJ114" s="39" t="s">
        <v>140</v>
      </c>
      <c r="AK114" s="39" t="s">
        <v>125</v>
      </c>
      <c r="AL114" s="39">
        <v>4880</v>
      </c>
      <c r="AM114" s="39"/>
      <c r="AN114" s="39" t="s">
        <v>1144</v>
      </c>
      <c r="AO114" s="39" t="s">
        <v>142</v>
      </c>
      <c r="AP114" s="39" t="s">
        <v>143</v>
      </c>
      <c r="AQ114" s="39" t="s">
        <v>293</v>
      </c>
      <c r="AR114" s="39" t="s">
        <v>1410</v>
      </c>
      <c r="AS114" s="39" t="s">
        <v>1411</v>
      </c>
      <c r="AT114" s="39" t="s">
        <v>296</v>
      </c>
      <c r="AU114" s="39"/>
      <c r="AV114" s="39" t="s">
        <v>1412</v>
      </c>
      <c r="AW114" s="39"/>
      <c r="AX114" s="39"/>
      <c r="AY114" s="39"/>
      <c r="AZ114" s="39"/>
      <c r="BA114" s="39">
        <v>80677448</v>
      </c>
      <c r="BB114" s="39" t="s">
        <v>149</v>
      </c>
      <c r="BC114" s="39" t="s">
        <v>150</v>
      </c>
      <c r="BD114" s="39" t="s">
        <v>139</v>
      </c>
      <c r="BE114" s="39" t="s">
        <v>125</v>
      </c>
      <c r="BF114" s="39"/>
      <c r="BG114" s="39" t="s">
        <v>180</v>
      </c>
      <c r="BH114" s="39" t="s">
        <v>152</v>
      </c>
      <c r="BI114" s="39" t="s">
        <v>125</v>
      </c>
      <c r="BJ114" s="39"/>
      <c r="BK114" s="39" t="s">
        <v>153</v>
      </c>
      <c r="BL114" s="39"/>
      <c r="BM114" s="39"/>
      <c r="BN114" s="39" t="s">
        <v>155</v>
      </c>
    </row>
    <row r="115" spans="1:66" hidden="1">
      <c r="A115" s="39">
        <v>114</v>
      </c>
      <c r="B115" s="39" t="s">
        <v>118</v>
      </c>
      <c r="C115" s="39" t="s">
        <v>119</v>
      </c>
      <c r="D115" s="39" t="s">
        <v>1413</v>
      </c>
      <c r="E115" s="39" t="s">
        <v>1414</v>
      </c>
      <c r="F115" s="39" t="s">
        <v>279</v>
      </c>
      <c r="G115" s="39" t="s">
        <v>1415</v>
      </c>
      <c r="H115" s="39" t="s">
        <v>1416</v>
      </c>
      <c r="I115" s="39"/>
      <c r="J115" s="39" t="s">
        <v>187</v>
      </c>
      <c r="K115" s="39" t="s">
        <v>26</v>
      </c>
      <c r="L115" s="39" t="s">
        <v>858</v>
      </c>
      <c r="M115" s="39" t="s">
        <v>1157</v>
      </c>
      <c r="N115" s="39" t="s">
        <v>125</v>
      </c>
      <c r="O115" s="39"/>
      <c r="P115" s="39"/>
      <c r="Q115" s="39" t="s">
        <v>1413</v>
      </c>
      <c r="R115" s="39" t="s">
        <v>26</v>
      </c>
      <c r="S115" s="39" t="s">
        <v>1417</v>
      </c>
      <c r="T115" s="39" t="s">
        <v>130</v>
      </c>
      <c r="U115" s="39" t="s">
        <v>1418</v>
      </c>
      <c r="V115" s="39" t="s">
        <v>167</v>
      </c>
      <c r="W115" s="39" t="s">
        <v>613</v>
      </c>
      <c r="X115" s="39" t="s">
        <v>126</v>
      </c>
      <c r="Y115" s="39" t="s">
        <v>1419</v>
      </c>
      <c r="Z115" s="39" t="s">
        <v>426</v>
      </c>
      <c r="AA115" s="39" t="s">
        <v>426</v>
      </c>
      <c r="AB115" s="39" t="s">
        <v>1413</v>
      </c>
      <c r="AC115" s="39">
        <v>5429801</v>
      </c>
      <c r="AD115" s="39" t="s">
        <v>26</v>
      </c>
      <c r="AE115" s="39" t="s">
        <v>1420</v>
      </c>
      <c r="AF115" s="39" t="s">
        <v>26</v>
      </c>
      <c r="AG115" s="39" t="s">
        <v>1421</v>
      </c>
      <c r="AH115" s="39" t="s">
        <v>1422</v>
      </c>
      <c r="AI115" s="39" t="s">
        <v>1423</v>
      </c>
      <c r="AJ115" s="39" t="s">
        <v>140</v>
      </c>
      <c r="AK115" s="39" t="s">
        <v>125</v>
      </c>
      <c r="AL115" s="39">
        <v>52000</v>
      </c>
      <c r="AM115" s="39"/>
      <c r="AN115" s="39" t="s">
        <v>125</v>
      </c>
      <c r="AO115" s="39" t="s">
        <v>142</v>
      </c>
      <c r="AP115" s="39" t="s">
        <v>143</v>
      </c>
      <c r="AQ115" s="39"/>
      <c r="AR115" s="39" t="s">
        <v>1424</v>
      </c>
      <c r="AS115" s="39"/>
      <c r="AT115" s="39" t="s">
        <v>296</v>
      </c>
      <c r="AU115" s="39"/>
      <c r="AV115" s="39" t="s">
        <v>1425</v>
      </c>
      <c r="AW115" s="39"/>
      <c r="AX115" s="39"/>
      <c r="AY115" s="39"/>
      <c r="AZ115" s="39"/>
      <c r="BA115" s="39">
        <v>75384473</v>
      </c>
      <c r="BB115" s="39" t="s">
        <v>149</v>
      </c>
      <c r="BC115" s="39" t="s">
        <v>1374</v>
      </c>
      <c r="BD115" s="39" t="s">
        <v>125</v>
      </c>
      <c r="BE115" s="39" t="s">
        <v>125</v>
      </c>
      <c r="BF115" s="39"/>
      <c r="BG115" s="39" t="s">
        <v>622</v>
      </c>
      <c r="BH115" s="39" t="s">
        <v>152</v>
      </c>
      <c r="BI115" s="39" t="s">
        <v>1426</v>
      </c>
      <c r="BJ115" s="39"/>
      <c r="BK115" s="39"/>
      <c r="BL115" s="39"/>
      <c r="BM115" s="39" t="s">
        <v>154</v>
      </c>
      <c r="BN115" s="39" t="s">
        <v>333</v>
      </c>
    </row>
    <row r="116" spans="1:66" hidden="1">
      <c r="A116" s="39">
        <v>115</v>
      </c>
      <c r="B116" s="39" t="s">
        <v>118</v>
      </c>
      <c r="C116" s="39" t="s">
        <v>119</v>
      </c>
      <c r="D116" s="39" t="s">
        <v>1427</v>
      </c>
      <c r="E116" s="39" t="s">
        <v>1428</v>
      </c>
      <c r="F116" s="39" t="s">
        <v>279</v>
      </c>
      <c r="G116" s="39" t="s">
        <v>1429</v>
      </c>
      <c r="H116" s="39" t="s">
        <v>1430</v>
      </c>
      <c r="I116" s="39" t="s">
        <v>282</v>
      </c>
      <c r="J116" s="39" t="s">
        <v>187</v>
      </c>
      <c r="K116" s="39" t="s">
        <v>794</v>
      </c>
      <c r="L116" s="39" t="s">
        <v>284</v>
      </c>
      <c r="M116" s="39" t="s">
        <v>284</v>
      </c>
      <c r="N116" s="39" t="s">
        <v>125</v>
      </c>
      <c r="O116" s="39" t="s">
        <v>794</v>
      </c>
      <c r="P116" s="39" t="s">
        <v>1431</v>
      </c>
      <c r="Q116" s="39" t="s">
        <v>1427</v>
      </c>
      <c r="R116" s="39" t="s">
        <v>21</v>
      </c>
      <c r="S116" s="39" t="s">
        <v>1432</v>
      </c>
      <c r="T116" s="39" t="s">
        <v>130</v>
      </c>
      <c r="U116" s="39" t="s">
        <v>1433</v>
      </c>
      <c r="V116" s="39" t="s">
        <v>132</v>
      </c>
      <c r="W116" s="39" t="s">
        <v>194</v>
      </c>
      <c r="X116" s="39" t="s">
        <v>187</v>
      </c>
      <c r="Y116" s="39" t="s">
        <v>1233</v>
      </c>
      <c r="Z116" s="39" t="s">
        <v>196</v>
      </c>
      <c r="AA116" s="39" t="s">
        <v>197</v>
      </c>
      <c r="AB116" s="39" t="s">
        <v>1427</v>
      </c>
      <c r="AC116" s="39">
        <v>5405541</v>
      </c>
      <c r="AD116" s="39" t="s">
        <v>21</v>
      </c>
      <c r="AE116" s="39" t="s">
        <v>1434</v>
      </c>
      <c r="AF116" s="39" t="s">
        <v>21</v>
      </c>
      <c r="AG116" s="39" t="s">
        <v>1434</v>
      </c>
      <c r="AH116" s="39" t="s">
        <v>200</v>
      </c>
      <c r="AI116" s="39" t="s">
        <v>201</v>
      </c>
      <c r="AJ116" s="39" t="s">
        <v>140</v>
      </c>
      <c r="AK116" s="39" t="s">
        <v>125</v>
      </c>
      <c r="AL116" s="39">
        <v>4880</v>
      </c>
      <c r="AM116" s="39"/>
      <c r="AN116" s="39" t="s">
        <v>125</v>
      </c>
      <c r="AO116" s="39" t="s">
        <v>142</v>
      </c>
      <c r="AP116" s="39" t="s">
        <v>143</v>
      </c>
      <c r="AQ116" s="39" t="s">
        <v>312</v>
      </c>
      <c r="AR116" s="39" t="s">
        <v>1435</v>
      </c>
      <c r="AS116" s="39" t="s">
        <v>1436</v>
      </c>
      <c r="AT116" s="39" t="s">
        <v>296</v>
      </c>
      <c r="AU116" s="39"/>
      <c r="AV116" s="39" t="s">
        <v>1437</v>
      </c>
      <c r="AW116" s="39"/>
      <c r="AX116" s="39"/>
      <c r="AY116" s="39"/>
      <c r="AZ116" s="39"/>
      <c r="BA116" s="39">
        <v>74635820</v>
      </c>
      <c r="BB116" s="39" t="s">
        <v>149</v>
      </c>
      <c r="BC116" s="39" t="s">
        <v>1238</v>
      </c>
      <c r="BD116" s="39" t="s">
        <v>125</v>
      </c>
      <c r="BE116" s="39" t="s">
        <v>125</v>
      </c>
      <c r="BF116" s="39"/>
      <c r="BG116" s="39" t="s">
        <v>298</v>
      </c>
      <c r="BH116" s="39" t="s">
        <v>152</v>
      </c>
      <c r="BI116" s="39" t="s">
        <v>125</v>
      </c>
      <c r="BJ116" s="39"/>
      <c r="BK116" s="39" t="s">
        <v>153</v>
      </c>
      <c r="BL116" s="39"/>
      <c r="BM116" s="39"/>
      <c r="BN116" s="39" t="s">
        <v>300</v>
      </c>
    </row>
    <row r="117" spans="1:66" hidden="1">
      <c r="A117" s="39">
        <v>116</v>
      </c>
      <c r="B117" s="39" t="s">
        <v>118</v>
      </c>
      <c r="C117" s="39" t="s">
        <v>119</v>
      </c>
      <c r="D117" s="39" t="s">
        <v>156</v>
      </c>
      <c r="E117" s="39" t="s">
        <v>1438</v>
      </c>
      <c r="F117" s="39" t="s">
        <v>855</v>
      </c>
      <c r="G117" s="39" t="s">
        <v>1439</v>
      </c>
      <c r="H117" s="39" t="s">
        <v>1440</v>
      </c>
      <c r="I117" s="39"/>
      <c r="J117" s="39" t="s">
        <v>126</v>
      </c>
      <c r="K117" s="39" t="s">
        <v>24</v>
      </c>
      <c r="L117" s="39" t="s">
        <v>858</v>
      </c>
      <c r="M117" s="39" t="s">
        <v>859</v>
      </c>
      <c r="N117" s="39" t="s">
        <v>125</v>
      </c>
      <c r="O117" s="39"/>
      <c r="P117" s="39"/>
      <c r="Q117" s="39" t="s">
        <v>1441</v>
      </c>
      <c r="R117" s="39" t="s">
        <v>24</v>
      </c>
      <c r="S117" s="39" t="s">
        <v>1442</v>
      </c>
      <c r="T117" s="39" t="s">
        <v>130</v>
      </c>
      <c r="U117" s="39" t="s">
        <v>1443</v>
      </c>
      <c r="V117" s="39" t="s">
        <v>167</v>
      </c>
      <c r="W117" s="39" t="s">
        <v>194</v>
      </c>
      <c r="X117" s="39" t="s">
        <v>187</v>
      </c>
      <c r="Y117" s="39" t="s">
        <v>1444</v>
      </c>
      <c r="Z117" s="39" t="s">
        <v>196</v>
      </c>
      <c r="AA117" s="39" t="s">
        <v>197</v>
      </c>
      <c r="AB117" s="39" t="s">
        <v>1441</v>
      </c>
      <c r="AC117" s="39">
        <v>5405532</v>
      </c>
      <c r="AD117" s="39" t="s">
        <v>24</v>
      </c>
      <c r="AE117" s="39" t="s">
        <v>561</v>
      </c>
      <c r="AF117" s="39" t="s">
        <v>24</v>
      </c>
      <c r="AG117" s="39" t="s">
        <v>561</v>
      </c>
      <c r="AH117" s="39" t="s">
        <v>271</v>
      </c>
      <c r="AI117" s="39" t="s">
        <v>173</v>
      </c>
      <c r="AJ117" s="39" t="s">
        <v>140</v>
      </c>
      <c r="AK117" s="39" t="s">
        <v>125</v>
      </c>
      <c r="AL117" s="39">
        <v>4880</v>
      </c>
      <c r="AM117" s="39"/>
      <c r="AN117" s="39" t="s">
        <v>125</v>
      </c>
      <c r="AO117" s="39" t="s">
        <v>142</v>
      </c>
      <c r="AP117" s="39" t="s">
        <v>143</v>
      </c>
      <c r="AQ117" s="39" t="s">
        <v>312</v>
      </c>
      <c r="AR117" s="39" t="s">
        <v>1445</v>
      </c>
      <c r="AS117" s="39" t="s">
        <v>1446</v>
      </c>
      <c r="AT117" s="39" t="s">
        <v>296</v>
      </c>
      <c r="AU117" s="39"/>
      <c r="AV117" s="39" t="s">
        <v>1447</v>
      </c>
      <c r="AW117" s="39"/>
      <c r="AX117" s="39"/>
      <c r="AY117" s="39"/>
      <c r="AZ117" s="39"/>
      <c r="BA117" s="39">
        <v>80708814</v>
      </c>
      <c r="BB117" s="39" t="s">
        <v>149</v>
      </c>
      <c r="BC117" s="39" t="s">
        <v>150</v>
      </c>
      <c r="BD117" s="39" t="s">
        <v>179</v>
      </c>
      <c r="BE117" s="39" t="s">
        <v>125</v>
      </c>
      <c r="BF117" s="39"/>
      <c r="BG117" s="39" t="s">
        <v>180</v>
      </c>
      <c r="BH117" s="39" t="s">
        <v>152</v>
      </c>
      <c r="BI117" s="39" t="s">
        <v>125</v>
      </c>
      <c r="BJ117" s="39"/>
      <c r="BK117" s="39" t="s">
        <v>153</v>
      </c>
      <c r="BL117" s="39"/>
      <c r="BM117" s="39"/>
      <c r="BN117" s="39" t="s">
        <v>155</v>
      </c>
    </row>
    <row r="118" spans="1:66" hidden="1">
      <c r="A118" s="39">
        <v>117</v>
      </c>
      <c r="B118" s="39" t="s">
        <v>118</v>
      </c>
      <c r="C118" s="39" t="s">
        <v>119</v>
      </c>
      <c r="D118" s="39" t="s">
        <v>1448</v>
      </c>
      <c r="E118" s="39" t="s">
        <v>1449</v>
      </c>
      <c r="F118" s="39" t="s">
        <v>1142</v>
      </c>
      <c r="G118" s="39" t="s">
        <v>1450</v>
      </c>
      <c r="H118" s="39" t="s">
        <v>125</v>
      </c>
      <c r="I118" s="39" t="s">
        <v>125</v>
      </c>
      <c r="J118" s="39" t="s">
        <v>187</v>
      </c>
      <c r="K118" s="39" t="s">
        <v>28</v>
      </c>
      <c r="L118" s="39" t="s">
        <v>188</v>
      </c>
      <c r="M118" s="39" t="s">
        <v>189</v>
      </c>
      <c r="N118" s="39" t="s">
        <v>1451</v>
      </c>
      <c r="O118" s="39"/>
      <c r="P118" s="39"/>
      <c r="Q118" s="39" t="s">
        <v>1452</v>
      </c>
      <c r="R118" s="39" t="s">
        <v>28</v>
      </c>
      <c r="S118" s="39" t="s">
        <v>1453</v>
      </c>
      <c r="T118" s="39" t="s">
        <v>130</v>
      </c>
      <c r="U118" s="39" t="s">
        <v>1454</v>
      </c>
      <c r="V118" s="39" t="s">
        <v>132</v>
      </c>
      <c r="W118" s="39" t="s">
        <v>194</v>
      </c>
      <c r="X118" s="39" t="s">
        <v>187</v>
      </c>
      <c r="Y118" s="39" t="s">
        <v>1455</v>
      </c>
      <c r="Z118" s="39" t="s">
        <v>196</v>
      </c>
      <c r="AA118" s="39" t="s">
        <v>197</v>
      </c>
      <c r="AB118" s="39" t="s">
        <v>1452</v>
      </c>
      <c r="AC118" s="39">
        <v>5405467</v>
      </c>
      <c r="AD118" s="39" t="s">
        <v>28</v>
      </c>
      <c r="AE118" s="39" t="s">
        <v>1456</v>
      </c>
      <c r="AF118" s="39" t="s">
        <v>28</v>
      </c>
      <c r="AG118" s="39" t="s">
        <v>1456</v>
      </c>
      <c r="AH118" s="39" t="s">
        <v>200</v>
      </c>
      <c r="AI118" s="39" t="s">
        <v>201</v>
      </c>
      <c r="AJ118" s="39" t="s">
        <v>140</v>
      </c>
      <c r="AK118" s="39" t="s">
        <v>125</v>
      </c>
      <c r="AL118" s="39">
        <v>5680</v>
      </c>
      <c r="AM118" s="39"/>
      <c r="AN118" s="39" t="s">
        <v>1451</v>
      </c>
      <c r="AO118" s="39" t="s">
        <v>142</v>
      </c>
      <c r="AP118" s="39" t="s">
        <v>143</v>
      </c>
      <c r="AQ118" s="39" t="s">
        <v>144</v>
      </c>
      <c r="AR118" s="39" t="s">
        <v>1457</v>
      </c>
      <c r="AS118" s="39" t="s">
        <v>1458</v>
      </c>
      <c r="AT118" s="39" t="s">
        <v>296</v>
      </c>
      <c r="AU118" s="39"/>
      <c r="AV118" s="39" t="s">
        <v>1459</v>
      </c>
      <c r="AW118" s="39"/>
      <c r="AX118" s="39"/>
      <c r="AY118" s="39"/>
      <c r="AZ118" s="39"/>
      <c r="BA118" s="39">
        <v>74792370</v>
      </c>
      <c r="BB118" s="39" t="s">
        <v>149</v>
      </c>
      <c r="BC118" s="39" t="s">
        <v>150</v>
      </c>
      <c r="BD118" s="39" t="s">
        <v>179</v>
      </c>
      <c r="BE118" s="39" t="s">
        <v>125</v>
      </c>
      <c r="BF118" s="39"/>
      <c r="BG118" s="39" t="s">
        <v>180</v>
      </c>
      <c r="BH118" s="39" t="s">
        <v>152</v>
      </c>
      <c r="BI118" s="39" t="s">
        <v>125</v>
      </c>
      <c r="BJ118" s="39"/>
      <c r="BK118" s="39" t="s">
        <v>153</v>
      </c>
      <c r="BL118" s="39"/>
      <c r="BM118" s="39" t="s">
        <v>154</v>
      </c>
      <c r="BN118" s="39" t="s">
        <v>155</v>
      </c>
    </row>
    <row r="119" spans="1:66" hidden="1">
      <c r="A119" s="39">
        <v>118</v>
      </c>
      <c r="B119" s="39" t="s">
        <v>118</v>
      </c>
      <c r="C119" s="39" t="s">
        <v>119</v>
      </c>
      <c r="D119" s="39" t="s">
        <v>1460</v>
      </c>
      <c r="E119" s="39" t="s">
        <v>1461</v>
      </c>
      <c r="F119" s="39" t="s">
        <v>208</v>
      </c>
      <c r="G119" s="39" t="s">
        <v>1462</v>
      </c>
      <c r="H119" s="39" t="s">
        <v>959</v>
      </c>
      <c r="I119" s="39" t="s">
        <v>245</v>
      </c>
      <c r="J119" s="39" t="s">
        <v>355</v>
      </c>
      <c r="K119" s="39" t="s">
        <v>22</v>
      </c>
      <c r="L119" s="39" t="s">
        <v>211</v>
      </c>
      <c r="M119" s="39" t="s">
        <v>212</v>
      </c>
      <c r="N119" s="39" t="s">
        <v>125</v>
      </c>
      <c r="O119" s="39"/>
      <c r="P119" s="39"/>
      <c r="Q119" s="39" t="s">
        <v>1463</v>
      </c>
      <c r="R119" s="39" t="s">
        <v>22</v>
      </c>
      <c r="S119" s="39" t="s">
        <v>1464</v>
      </c>
      <c r="T119" s="39" t="s">
        <v>130</v>
      </c>
      <c r="U119" s="39" t="s">
        <v>1465</v>
      </c>
      <c r="V119" s="39" t="s">
        <v>132</v>
      </c>
      <c r="W119" s="39" t="s">
        <v>168</v>
      </c>
      <c r="X119" s="39" t="s">
        <v>355</v>
      </c>
      <c r="Y119" s="39" t="s">
        <v>492</v>
      </c>
      <c r="Z119" s="39" t="s">
        <v>493</v>
      </c>
      <c r="AA119" s="39" t="s">
        <v>1466</v>
      </c>
      <c r="AB119" s="39" t="s">
        <v>1463</v>
      </c>
      <c r="AC119" s="39">
        <v>5405446</v>
      </c>
      <c r="AD119" s="39" t="s">
        <v>22</v>
      </c>
      <c r="AE119" s="39" t="s">
        <v>1467</v>
      </c>
      <c r="AF119" s="39" t="s">
        <v>22</v>
      </c>
      <c r="AG119" s="39" t="s">
        <v>1468</v>
      </c>
      <c r="AH119" s="39" t="s">
        <v>1469</v>
      </c>
      <c r="AI119" s="39" t="s">
        <v>1470</v>
      </c>
      <c r="AJ119" s="39" t="s">
        <v>140</v>
      </c>
      <c r="AK119" s="39" t="s">
        <v>125</v>
      </c>
      <c r="AL119" s="39">
        <v>24500</v>
      </c>
      <c r="AM119" s="39"/>
      <c r="AN119" s="39" t="s">
        <v>125</v>
      </c>
      <c r="AO119" s="39" t="s">
        <v>142</v>
      </c>
      <c r="AP119" s="39" t="s">
        <v>143</v>
      </c>
      <c r="AQ119" s="39"/>
      <c r="AR119" s="39" t="s">
        <v>1471</v>
      </c>
      <c r="AS119" s="39"/>
      <c r="AT119" s="39" t="s">
        <v>296</v>
      </c>
      <c r="AU119" s="39"/>
      <c r="AV119" s="39" t="s">
        <v>1472</v>
      </c>
      <c r="AW119" s="39"/>
      <c r="AX119" s="39"/>
      <c r="AY119" s="39"/>
      <c r="AZ119" s="39"/>
      <c r="BA119" s="39">
        <v>80704722</v>
      </c>
      <c r="BB119" s="39" t="s">
        <v>149</v>
      </c>
      <c r="BC119" s="39" t="s">
        <v>150</v>
      </c>
      <c r="BD119" s="39" t="s">
        <v>459</v>
      </c>
      <c r="BE119" s="39" t="s">
        <v>125</v>
      </c>
      <c r="BF119" s="39"/>
      <c r="BG119" s="39" t="s">
        <v>298</v>
      </c>
      <c r="BH119" s="39" t="s">
        <v>152</v>
      </c>
      <c r="BI119" s="39" t="s">
        <v>125</v>
      </c>
      <c r="BJ119" s="39"/>
      <c r="BK119" s="39"/>
      <c r="BL119" s="39"/>
      <c r="BM119" s="39" t="s">
        <v>154</v>
      </c>
      <c r="BN119" s="39" t="s">
        <v>212</v>
      </c>
    </row>
    <row r="120" spans="1:66" hidden="1">
      <c r="A120" s="39">
        <v>119</v>
      </c>
      <c r="B120" s="39" t="s">
        <v>118</v>
      </c>
      <c r="C120" s="39" t="s">
        <v>119</v>
      </c>
      <c r="D120" s="39" t="s">
        <v>156</v>
      </c>
      <c r="E120" s="39" t="s">
        <v>1473</v>
      </c>
      <c r="F120" s="39" t="s">
        <v>158</v>
      </c>
      <c r="G120" s="39" t="s">
        <v>1474</v>
      </c>
      <c r="H120" s="39" t="s">
        <v>1475</v>
      </c>
      <c r="I120" s="39"/>
      <c r="J120" s="39" t="s">
        <v>187</v>
      </c>
      <c r="K120" s="39" t="s">
        <v>24</v>
      </c>
      <c r="L120" s="39" t="s">
        <v>162</v>
      </c>
      <c r="M120" s="39" t="s">
        <v>163</v>
      </c>
      <c r="N120" s="39" t="s">
        <v>125</v>
      </c>
      <c r="O120" s="39"/>
      <c r="P120" s="39"/>
      <c r="Q120" s="39" t="s">
        <v>1476</v>
      </c>
      <c r="R120" s="39" t="s">
        <v>24</v>
      </c>
      <c r="S120" s="39" t="s">
        <v>1477</v>
      </c>
      <c r="T120" s="39" t="s">
        <v>130</v>
      </c>
      <c r="U120" s="39" t="s">
        <v>1478</v>
      </c>
      <c r="V120" s="39" t="s">
        <v>132</v>
      </c>
      <c r="W120" s="39" t="s">
        <v>168</v>
      </c>
      <c r="X120" s="39" t="s">
        <v>355</v>
      </c>
      <c r="Y120" s="39" t="s">
        <v>1479</v>
      </c>
      <c r="Z120" s="39" t="s">
        <v>1480</v>
      </c>
      <c r="AA120" s="39" t="s">
        <v>1481</v>
      </c>
      <c r="AB120" s="39" t="s">
        <v>1476</v>
      </c>
      <c r="AC120" s="39">
        <v>5405289</v>
      </c>
      <c r="AD120" s="39" t="s">
        <v>24</v>
      </c>
      <c r="AE120" s="39" t="s">
        <v>1482</v>
      </c>
      <c r="AF120" s="39" t="s">
        <v>24</v>
      </c>
      <c r="AG120" s="39" t="s">
        <v>1482</v>
      </c>
      <c r="AH120" s="39" t="s">
        <v>838</v>
      </c>
      <c r="AI120" s="39" t="s">
        <v>179</v>
      </c>
      <c r="AJ120" s="39" t="s">
        <v>140</v>
      </c>
      <c r="AK120" s="39" t="s">
        <v>125</v>
      </c>
      <c r="AL120" s="39">
        <v>5180</v>
      </c>
      <c r="AM120" s="39"/>
      <c r="AN120" s="39" t="s">
        <v>125</v>
      </c>
      <c r="AO120" s="39" t="s">
        <v>142</v>
      </c>
      <c r="AP120" s="39" t="s">
        <v>143</v>
      </c>
      <c r="AQ120" s="39" t="s">
        <v>144</v>
      </c>
      <c r="AR120" s="39" t="s">
        <v>1483</v>
      </c>
      <c r="AS120" s="39" t="s">
        <v>1484</v>
      </c>
      <c r="AT120" s="39" t="s">
        <v>296</v>
      </c>
      <c r="AU120" s="39"/>
      <c r="AV120" s="39" t="s">
        <v>1485</v>
      </c>
      <c r="AW120" s="39"/>
      <c r="AX120" s="39"/>
      <c r="AY120" s="39"/>
      <c r="AZ120" s="39"/>
      <c r="BA120" s="39">
        <v>30928014</v>
      </c>
      <c r="BB120" s="39" t="s">
        <v>149</v>
      </c>
      <c r="BC120" s="39" t="s">
        <v>150</v>
      </c>
      <c r="BD120" s="39" t="s">
        <v>179</v>
      </c>
      <c r="BE120" s="39" t="s">
        <v>125</v>
      </c>
      <c r="BF120" s="39"/>
      <c r="BG120" s="39" t="s">
        <v>180</v>
      </c>
      <c r="BH120" s="39" t="s">
        <v>152</v>
      </c>
      <c r="BI120" s="39" t="s">
        <v>125</v>
      </c>
      <c r="BJ120" s="39"/>
      <c r="BK120" s="39" t="s">
        <v>153</v>
      </c>
      <c r="BL120" s="39"/>
      <c r="BM120" s="39" t="s">
        <v>154</v>
      </c>
      <c r="BN120" s="39" t="s">
        <v>155</v>
      </c>
    </row>
    <row r="121" spans="1:66" hidden="1">
      <c r="A121" s="39">
        <v>120</v>
      </c>
      <c r="B121" s="39" t="s">
        <v>118</v>
      </c>
      <c r="C121" s="39" t="s">
        <v>119</v>
      </c>
      <c r="D121" s="39" t="s">
        <v>506</v>
      </c>
      <c r="E121" s="39" t="s">
        <v>1486</v>
      </c>
      <c r="F121" s="39" t="s">
        <v>749</v>
      </c>
      <c r="G121" s="39" t="s">
        <v>1487</v>
      </c>
      <c r="H121" s="39" t="s">
        <v>1488</v>
      </c>
      <c r="I121" s="39" t="s">
        <v>125</v>
      </c>
      <c r="J121" s="39" t="s">
        <v>506</v>
      </c>
      <c r="K121" s="39" t="s">
        <v>1489</v>
      </c>
      <c r="L121" s="39" t="s">
        <v>188</v>
      </c>
      <c r="M121" s="39" t="s">
        <v>189</v>
      </c>
      <c r="N121" s="39" t="s">
        <v>1490</v>
      </c>
      <c r="O121" s="39"/>
      <c r="P121" s="39"/>
      <c r="Q121" s="39" t="s">
        <v>1491</v>
      </c>
      <c r="R121" s="39" t="s">
        <v>1489</v>
      </c>
      <c r="S121" s="39" t="s">
        <v>1492</v>
      </c>
      <c r="T121" s="39" t="s">
        <v>130</v>
      </c>
      <c r="U121" s="39" t="s">
        <v>1493</v>
      </c>
      <c r="V121" s="39" t="s">
        <v>132</v>
      </c>
      <c r="W121" s="39" t="s">
        <v>168</v>
      </c>
      <c r="X121" s="39" t="s">
        <v>187</v>
      </c>
      <c r="Y121" s="39" t="s">
        <v>187</v>
      </c>
      <c r="Z121" s="39" t="s">
        <v>187</v>
      </c>
      <c r="AA121" s="39" t="s">
        <v>187</v>
      </c>
      <c r="AB121" s="39" t="s">
        <v>1491</v>
      </c>
      <c r="AC121" s="39">
        <v>5405242</v>
      </c>
      <c r="AD121" s="39" t="s">
        <v>21</v>
      </c>
      <c r="AE121" s="39" t="s">
        <v>1494</v>
      </c>
      <c r="AF121" s="39" t="s">
        <v>1489</v>
      </c>
      <c r="AG121" s="39" t="s">
        <v>1495</v>
      </c>
      <c r="AH121" s="39"/>
      <c r="AI121" s="39"/>
      <c r="AJ121" s="39" t="s">
        <v>140</v>
      </c>
      <c r="AK121" s="39" t="s">
        <v>125</v>
      </c>
      <c r="AL121" s="39">
        <v>6000</v>
      </c>
      <c r="AM121" s="39"/>
      <c r="AN121" s="39" t="s">
        <v>1490</v>
      </c>
      <c r="AO121" s="39" t="s">
        <v>699</v>
      </c>
      <c r="AP121" s="39" t="s">
        <v>143</v>
      </c>
      <c r="AQ121" s="39"/>
      <c r="AR121" s="39" t="s">
        <v>1496</v>
      </c>
      <c r="AS121" s="39"/>
      <c r="AT121" s="39"/>
      <c r="AU121" s="39"/>
      <c r="AV121" s="39" t="s">
        <v>1497</v>
      </c>
      <c r="AW121" s="39"/>
      <c r="AX121" s="39"/>
      <c r="AY121" s="39"/>
      <c r="AZ121" s="39"/>
      <c r="BA121" s="39">
        <v>80698692</v>
      </c>
      <c r="BB121" s="39" t="s">
        <v>149</v>
      </c>
      <c r="BC121" s="39" t="s">
        <v>150</v>
      </c>
      <c r="BD121" s="39" t="s">
        <v>179</v>
      </c>
      <c r="BE121" s="39" t="s">
        <v>125</v>
      </c>
      <c r="BF121" s="39"/>
      <c r="BG121" s="39" t="s">
        <v>298</v>
      </c>
      <c r="BH121" s="39" t="s">
        <v>149</v>
      </c>
      <c r="BI121" s="39" t="s">
        <v>125</v>
      </c>
      <c r="BJ121" s="39"/>
      <c r="BK121" s="39"/>
      <c r="BL121" s="39"/>
      <c r="BM121" s="39"/>
      <c r="BN121" s="39" t="s">
        <v>155</v>
      </c>
    </row>
    <row r="122" spans="1:66" ht="16" hidden="1">
      <c r="A122" s="39">
        <v>121</v>
      </c>
      <c r="B122" s="39" t="s">
        <v>118</v>
      </c>
      <c r="C122" s="39" t="s">
        <v>119</v>
      </c>
      <c r="D122" s="39" t="s">
        <v>1357</v>
      </c>
      <c r="E122" s="39" t="s">
        <v>1358</v>
      </c>
      <c r="F122" s="39" t="s">
        <v>1359</v>
      </c>
      <c r="G122" s="39" t="s">
        <v>1360</v>
      </c>
      <c r="H122" s="39" t="s">
        <v>1361</v>
      </c>
      <c r="I122" s="39" t="s">
        <v>125</v>
      </c>
      <c r="J122" s="39" t="s">
        <v>418</v>
      </c>
      <c r="K122" s="39" t="s">
        <v>1359</v>
      </c>
      <c r="L122" s="39" t="s">
        <v>284</v>
      </c>
      <c r="M122" s="39" t="s">
        <v>284</v>
      </c>
      <c r="N122" s="39" t="s">
        <v>1362</v>
      </c>
      <c r="O122" s="39" t="s">
        <v>1359</v>
      </c>
      <c r="P122" s="39" t="s">
        <v>1363</v>
      </c>
      <c r="Q122" s="39" t="s">
        <v>1357</v>
      </c>
      <c r="R122" s="39" t="s">
        <v>16</v>
      </c>
      <c r="S122" s="39" t="s">
        <v>1364</v>
      </c>
      <c r="T122" s="39" t="s">
        <v>359</v>
      </c>
      <c r="U122" s="39" t="s">
        <v>1365</v>
      </c>
      <c r="V122" s="39" t="s">
        <v>132</v>
      </c>
      <c r="W122" s="39" t="s">
        <v>1366</v>
      </c>
      <c r="X122" s="39" t="s">
        <v>355</v>
      </c>
      <c r="Y122" s="39" t="s">
        <v>1367</v>
      </c>
      <c r="Z122" s="39" t="s">
        <v>1368</v>
      </c>
      <c r="AA122" s="39" t="s">
        <v>1369</v>
      </c>
      <c r="AB122" s="39" t="s">
        <v>1357</v>
      </c>
      <c r="AC122" s="39">
        <v>5405092</v>
      </c>
      <c r="AD122" s="39" t="s">
        <v>28</v>
      </c>
      <c r="AE122" s="39" t="s">
        <v>1370</v>
      </c>
      <c r="AF122" s="39" t="s">
        <v>16</v>
      </c>
      <c r="AG122" s="39" t="s">
        <v>1370</v>
      </c>
      <c r="AH122" s="39"/>
      <c r="AI122" s="43" t="s">
        <v>53</v>
      </c>
      <c r="AJ122" s="39" t="s">
        <v>140</v>
      </c>
      <c r="AK122" s="39" t="s">
        <v>125</v>
      </c>
      <c r="AL122" s="39">
        <v>25223.1</v>
      </c>
      <c r="AM122" s="39"/>
      <c r="AN122" s="39" t="s">
        <v>125</v>
      </c>
      <c r="AO122" s="39" t="s">
        <v>699</v>
      </c>
      <c r="AP122" s="39" t="s">
        <v>143</v>
      </c>
      <c r="AQ122" s="39"/>
      <c r="AR122" s="39" t="s">
        <v>1371</v>
      </c>
      <c r="AS122" s="39"/>
      <c r="AT122" s="39"/>
      <c r="AU122" s="39"/>
      <c r="AV122" s="39" t="s">
        <v>1373</v>
      </c>
      <c r="AW122" s="39"/>
      <c r="AX122" s="39"/>
      <c r="AY122" s="39"/>
      <c r="AZ122" s="39"/>
      <c r="BA122" s="39">
        <v>43431754</v>
      </c>
      <c r="BB122" s="39" t="s">
        <v>149</v>
      </c>
      <c r="BC122" s="39" t="s">
        <v>1374</v>
      </c>
      <c r="BD122" s="39" t="s">
        <v>1375</v>
      </c>
      <c r="BE122" s="39" t="s">
        <v>1376</v>
      </c>
      <c r="BF122" s="39" t="s">
        <v>615</v>
      </c>
      <c r="BG122" s="39" t="s">
        <v>298</v>
      </c>
      <c r="BH122" s="39" t="s">
        <v>149</v>
      </c>
      <c r="BI122" s="39" t="s">
        <v>125</v>
      </c>
      <c r="BJ122" s="39"/>
      <c r="BK122" s="39"/>
      <c r="BL122" s="39"/>
      <c r="BM122" s="39" t="s">
        <v>154</v>
      </c>
      <c r="BN122" s="39"/>
    </row>
    <row r="123" spans="1:66" hidden="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t="s">
        <v>1357</v>
      </c>
      <c r="AC123" s="39"/>
      <c r="AD123" s="39" t="s">
        <v>28</v>
      </c>
      <c r="AE123" s="39"/>
      <c r="AF123" s="39"/>
      <c r="AG123" s="39"/>
      <c r="AH123" s="39"/>
      <c r="AI123" s="44" t="s">
        <v>139</v>
      </c>
      <c r="AJ123" s="39"/>
      <c r="AK123" s="39"/>
      <c r="AL123" s="44">
        <v>2426.9</v>
      </c>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row>
    <row r="124" spans="1:66" hidden="1">
      <c r="A124" s="39">
        <v>122</v>
      </c>
      <c r="B124" s="39" t="s">
        <v>118</v>
      </c>
      <c r="C124" s="39" t="s">
        <v>119</v>
      </c>
      <c r="D124" s="39" t="s">
        <v>1498</v>
      </c>
      <c r="E124" s="39" t="s">
        <v>1499</v>
      </c>
      <c r="F124" s="39" t="s">
        <v>279</v>
      </c>
      <c r="G124" s="39" t="s">
        <v>1500</v>
      </c>
      <c r="H124" s="39" t="s">
        <v>1501</v>
      </c>
      <c r="I124" s="39" t="s">
        <v>505</v>
      </c>
      <c r="J124" s="39" t="s">
        <v>506</v>
      </c>
      <c r="K124" s="39" t="s">
        <v>303</v>
      </c>
      <c r="L124" s="39" t="s">
        <v>162</v>
      </c>
      <c r="M124" s="39" t="s">
        <v>163</v>
      </c>
      <c r="N124" s="39" t="s">
        <v>125</v>
      </c>
      <c r="O124" s="39" t="s">
        <v>303</v>
      </c>
      <c r="P124" s="39" t="s">
        <v>1502</v>
      </c>
      <c r="Q124" s="39" t="s">
        <v>1503</v>
      </c>
      <c r="R124" s="39" t="s">
        <v>16</v>
      </c>
      <c r="S124" s="39" t="s">
        <v>1504</v>
      </c>
      <c r="T124" s="39" t="s">
        <v>130</v>
      </c>
      <c r="U124" s="39" t="s">
        <v>1505</v>
      </c>
      <c r="V124" s="39" t="s">
        <v>132</v>
      </c>
      <c r="W124" s="39" t="s">
        <v>194</v>
      </c>
      <c r="X124" s="39" t="s">
        <v>187</v>
      </c>
      <c r="Y124" s="39" t="s">
        <v>1506</v>
      </c>
      <c r="Z124" s="39" t="s">
        <v>196</v>
      </c>
      <c r="AA124" s="39" t="s">
        <v>196</v>
      </c>
      <c r="AB124" s="39" t="s">
        <v>1503</v>
      </c>
      <c r="AC124" s="39">
        <v>5457931</v>
      </c>
      <c r="AD124" s="39" t="s">
        <v>16</v>
      </c>
      <c r="AE124" s="39" t="s">
        <v>1507</v>
      </c>
      <c r="AF124" s="39" t="s">
        <v>16</v>
      </c>
      <c r="AG124" s="39" t="s">
        <v>1507</v>
      </c>
      <c r="AH124" s="39" t="s">
        <v>217</v>
      </c>
      <c r="AI124" s="39" t="s">
        <v>218</v>
      </c>
      <c r="AJ124" s="39" t="s">
        <v>140</v>
      </c>
      <c r="AK124" s="39" t="s">
        <v>125</v>
      </c>
      <c r="AL124" s="39">
        <v>19300</v>
      </c>
      <c r="AM124" s="39"/>
      <c r="AN124" s="39" t="s">
        <v>125</v>
      </c>
      <c r="AO124" s="39" t="s">
        <v>142</v>
      </c>
      <c r="AP124" s="39" t="s">
        <v>143</v>
      </c>
      <c r="AQ124" s="39" t="s">
        <v>175</v>
      </c>
      <c r="AR124" s="39" t="s">
        <v>1508</v>
      </c>
      <c r="AS124" s="39" t="s">
        <v>1509</v>
      </c>
      <c r="AT124" s="39" t="s">
        <v>348</v>
      </c>
      <c r="AU124" s="39"/>
      <c r="AV124" s="39" t="s">
        <v>1510</v>
      </c>
      <c r="AW124" s="39"/>
      <c r="AX124" s="39"/>
      <c r="AY124" s="39"/>
      <c r="AZ124" s="39"/>
      <c r="BA124" s="39">
        <v>79370912</v>
      </c>
      <c r="BB124" s="39" t="s">
        <v>149</v>
      </c>
      <c r="BC124" s="39" t="s">
        <v>150</v>
      </c>
      <c r="BD124" s="39" t="s">
        <v>179</v>
      </c>
      <c r="BE124" s="39" t="s">
        <v>125</v>
      </c>
      <c r="BF124" s="39"/>
      <c r="BG124" s="39" t="s">
        <v>180</v>
      </c>
      <c r="BH124" s="39" t="s">
        <v>152</v>
      </c>
      <c r="BI124" s="39" t="s">
        <v>125</v>
      </c>
      <c r="BJ124" s="39"/>
      <c r="BK124" s="39" t="s">
        <v>153</v>
      </c>
      <c r="BL124" s="39"/>
      <c r="BM124" s="39"/>
      <c r="BN124" s="39" t="s">
        <v>523</v>
      </c>
    </row>
    <row r="125" spans="1:66" hidden="1">
      <c r="A125" s="39">
        <v>123</v>
      </c>
      <c r="B125" s="39" t="s">
        <v>118</v>
      </c>
      <c r="C125" s="39" t="s">
        <v>119</v>
      </c>
      <c r="D125" s="39" t="s">
        <v>1511</v>
      </c>
      <c r="E125" s="39" t="s">
        <v>1512</v>
      </c>
      <c r="F125" s="39" t="s">
        <v>1513</v>
      </c>
      <c r="G125" s="39" t="s">
        <v>1514</v>
      </c>
      <c r="H125" s="39" t="s">
        <v>1515</v>
      </c>
      <c r="I125" s="39"/>
      <c r="J125" s="39" t="s">
        <v>187</v>
      </c>
      <c r="K125" s="39" t="s">
        <v>23</v>
      </c>
      <c r="L125" s="39" t="s">
        <v>162</v>
      </c>
      <c r="M125" s="39" t="s">
        <v>720</v>
      </c>
      <c r="N125" s="39" t="s">
        <v>125</v>
      </c>
      <c r="O125" s="39"/>
      <c r="P125" s="39"/>
      <c r="Q125" s="39" t="s">
        <v>1516</v>
      </c>
      <c r="R125" s="39" t="s">
        <v>23</v>
      </c>
      <c r="S125" s="39" t="s">
        <v>1517</v>
      </c>
      <c r="T125" s="39" t="s">
        <v>130</v>
      </c>
      <c r="U125" s="39" t="s">
        <v>1518</v>
      </c>
      <c r="V125" s="39" t="s">
        <v>167</v>
      </c>
      <c r="W125" s="39" t="s">
        <v>194</v>
      </c>
      <c r="X125" s="39" t="s">
        <v>187</v>
      </c>
      <c r="Y125" s="39" t="s">
        <v>1004</v>
      </c>
      <c r="Z125" s="39" t="s">
        <v>196</v>
      </c>
      <c r="AA125" s="39" t="s">
        <v>197</v>
      </c>
      <c r="AB125" s="39" t="s">
        <v>1516</v>
      </c>
      <c r="AC125" s="39">
        <v>5429373</v>
      </c>
      <c r="AD125" s="39" t="s">
        <v>23</v>
      </c>
      <c r="AE125" s="39" t="s">
        <v>1519</v>
      </c>
      <c r="AF125" s="39" t="s">
        <v>23</v>
      </c>
      <c r="AG125" s="39" t="s">
        <v>1519</v>
      </c>
      <c r="AH125" s="39" t="s">
        <v>271</v>
      </c>
      <c r="AI125" s="39" t="s">
        <v>173</v>
      </c>
      <c r="AJ125" s="39" t="s">
        <v>140</v>
      </c>
      <c r="AK125" s="39" t="s">
        <v>125</v>
      </c>
      <c r="AL125" s="39">
        <v>4880</v>
      </c>
      <c r="AM125" s="39"/>
      <c r="AN125" s="39" t="s">
        <v>125</v>
      </c>
      <c r="AO125" s="39" t="s">
        <v>142</v>
      </c>
      <c r="AP125" s="39" t="s">
        <v>143</v>
      </c>
      <c r="AQ125" s="39" t="s">
        <v>345</v>
      </c>
      <c r="AR125" s="39" t="s">
        <v>1520</v>
      </c>
      <c r="AS125" s="39" t="s">
        <v>1521</v>
      </c>
      <c r="AT125" s="39" t="s">
        <v>348</v>
      </c>
      <c r="AU125" s="39"/>
      <c r="AV125" s="39" t="s">
        <v>1522</v>
      </c>
      <c r="AW125" s="39"/>
      <c r="AX125" s="39"/>
      <c r="AY125" s="39"/>
      <c r="AZ125" s="39"/>
      <c r="BA125" s="39">
        <v>74555072</v>
      </c>
      <c r="BB125" s="39" t="s">
        <v>149</v>
      </c>
      <c r="BC125" s="39" t="s">
        <v>150</v>
      </c>
      <c r="BD125" s="39" t="s">
        <v>179</v>
      </c>
      <c r="BE125" s="39" t="s">
        <v>125</v>
      </c>
      <c r="BF125" s="39"/>
      <c r="BG125" s="39" t="s">
        <v>180</v>
      </c>
      <c r="BH125" s="39" t="s">
        <v>152</v>
      </c>
      <c r="BI125" s="39" t="s">
        <v>125</v>
      </c>
      <c r="BJ125" s="39"/>
      <c r="BK125" s="39" t="s">
        <v>153</v>
      </c>
      <c r="BL125" s="39"/>
      <c r="BM125" s="39"/>
      <c r="BN125" s="39" t="s">
        <v>181</v>
      </c>
    </row>
    <row r="126" spans="1:66" hidden="1">
      <c r="A126" s="39">
        <v>124</v>
      </c>
      <c r="B126" s="39" t="s">
        <v>118</v>
      </c>
      <c r="C126" s="39" t="s">
        <v>119</v>
      </c>
      <c r="D126" s="39" t="s">
        <v>1523</v>
      </c>
      <c r="E126" s="39" t="s">
        <v>1524</v>
      </c>
      <c r="F126" s="39" t="s">
        <v>258</v>
      </c>
      <c r="G126" s="39" t="s">
        <v>1525</v>
      </c>
      <c r="H126" s="39" t="s">
        <v>1526</v>
      </c>
      <c r="I126" s="39" t="s">
        <v>1527</v>
      </c>
      <c r="J126" s="39"/>
      <c r="K126" s="39" t="s">
        <v>377</v>
      </c>
      <c r="L126" s="39" t="s">
        <v>263</v>
      </c>
      <c r="M126" s="39" t="s">
        <v>1528</v>
      </c>
      <c r="N126" s="39" t="s">
        <v>125</v>
      </c>
      <c r="O126" s="39" t="s">
        <v>377</v>
      </c>
      <c r="P126" s="39" t="s">
        <v>1529</v>
      </c>
      <c r="Q126" s="39" t="s">
        <v>1530</v>
      </c>
      <c r="R126" s="39" t="s">
        <v>24</v>
      </c>
      <c r="S126" s="39" t="s">
        <v>1531</v>
      </c>
      <c r="T126" s="39" t="s">
        <v>130</v>
      </c>
      <c r="U126" s="39" t="s">
        <v>1532</v>
      </c>
      <c r="V126" s="39" t="s">
        <v>132</v>
      </c>
      <c r="W126" s="39" t="s">
        <v>168</v>
      </c>
      <c r="X126" s="39" t="s">
        <v>187</v>
      </c>
      <c r="Y126" s="39" t="s">
        <v>1533</v>
      </c>
      <c r="Z126" s="39" t="s">
        <v>196</v>
      </c>
      <c r="AA126" s="39" t="s">
        <v>197</v>
      </c>
      <c r="AB126" s="39" t="s">
        <v>1530</v>
      </c>
      <c r="AC126" s="39">
        <v>5429357</v>
      </c>
      <c r="AD126" s="39" t="s">
        <v>24</v>
      </c>
      <c r="AE126" s="39" t="s">
        <v>1534</v>
      </c>
      <c r="AF126" s="39" t="s">
        <v>24</v>
      </c>
      <c r="AG126" s="39" t="s">
        <v>1535</v>
      </c>
      <c r="AH126" s="39" t="s">
        <v>200</v>
      </c>
      <c r="AI126" s="39" t="s">
        <v>201</v>
      </c>
      <c r="AJ126" s="39" t="s">
        <v>140</v>
      </c>
      <c r="AK126" s="39" t="s">
        <v>125</v>
      </c>
      <c r="AL126" s="39">
        <v>4880</v>
      </c>
      <c r="AM126" s="39"/>
      <c r="AN126" s="39" t="s">
        <v>125</v>
      </c>
      <c r="AO126" s="39" t="s">
        <v>142</v>
      </c>
      <c r="AP126" s="39" t="s">
        <v>143</v>
      </c>
      <c r="AQ126" s="39" t="s">
        <v>175</v>
      </c>
      <c r="AR126" s="39" t="s">
        <v>1536</v>
      </c>
      <c r="AS126" s="39" t="s">
        <v>1537</v>
      </c>
      <c r="AT126" s="39" t="s">
        <v>348</v>
      </c>
      <c r="AU126" s="39"/>
      <c r="AV126" s="39" t="s">
        <v>1538</v>
      </c>
      <c r="AW126" s="39"/>
      <c r="AX126" s="39"/>
      <c r="AY126" s="39"/>
      <c r="AZ126" s="39"/>
      <c r="BA126" s="39">
        <v>79372216</v>
      </c>
      <c r="BB126" s="39" t="s">
        <v>149</v>
      </c>
      <c r="BC126" s="39" t="s">
        <v>150</v>
      </c>
      <c r="BD126" s="39" t="s">
        <v>179</v>
      </c>
      <c r="BE126" s="39" t="s">
        <v>125</v>
      </c>
      <c r="BF126" s="39"/>
      <c r="BG126" s="39" t="s">
        <v>298</v>
      </c>
      <c r="BH126" s="39" t="s">
        <v>152</v>
      </c>
      <c r="BI126" s="39" t="s">
        <v>125</v>
      </c>
      <c r="BJ126" s="39"/>
      <c r="BK126" s="39" t="s">
        <v>153</v>
      </c>
      <c r="BL126" s="39"/>
      <c r="BM126" s="39"/>
      <c r="BN126" s="39" t="s">
        <v>915</v>
      </c>
    </row>
    <row r="127" spans="1:66" hidden="1">
      <c r="A127" s="39">
        <v>125</v>
      </c>
      <c r="B127" s="39" t="s">
        <v>118</v>
      </c>
      <c r="C127" s="39" t="s">
        <v>119</v>
      </c>
      <c r="D127" s="39" t="s">
        <v>1144</v>
      </c>
      <c r="E127" s="39" t="s">
        <v>1539</v>
      </c>
      <c r="F127" s="39" t="s">
        <v>279</v>
      </c>
      <c r="G127" s="39" t="s">
        <v>1540</v>
      </c>
      <c r="H127" s="39" t="s">
        <v>1541</v>
      </c>
      <c r="I127" s="39"/>
      <c r="J127" s="39" t="s">
        <v>187</v>
      </c>
      <c r="K127" s="39" t="s">
        <v>24</v>
      </c>
      <c r="L127" s="39" t="s">
        <v>568</v>
      </c>
      <c r="M127" s="39" t="s">
        <v>735</v>
      </c>
      <c r="N127" s="39" t="s">
        <v>125</v>
      </c>
      <c r="O127" s="39"/>
      <c r="P127" s="39"/>
      <c r="Q127" s="39" t="s">
        <v>1144</v>
      </c>
      <c r="R127" s="39" t="s">
        <v>24</v>
      </c>
      <c r="S127" s="39" t="s">
        <v>1542</v>
      </c>
      <c r="T127" s="39" t="s">
        <v>130</v>
      </c>
      <c r="U127" s="39" t="s">
        <v>1543</v>
      </c>
      <c r="V127" s="39" t="s">
        <v>132</v>
      </c>
      <c r="W127" s="39" t="s">
        <v>1544</v>
      </c>
      <c r="X127" s="39" t="s">
        <v>187</v>
      </c>
      <c r="Y127" s="39" t="s">
        <v>1147</v>
      </c>
      <c r="Z127" s="39" t="s">
        <v>196</v>
      </c>
      <c r="AA127" s="39" t="s">
        <v>197</v>
      </c>
      <c r="AB127" s="39" t="s">
        <v>1144</v>
      </c>
      <c r="AC127" s="39">
        <v>5429354</v>
      </c>
      <c r="AD127" s="39" t="s">
        <v>24</v>
      </c>
      <c r="AE127" s="39" t="s">
        <v>1545</v>
      </c>
      <c r="AF127" s="39" t="s">
        <v>24</v>
      </c>
      <c r="AG127" s="39" t="s">
        <v>1546</v>
      </c>
      <c r="AH127" s="39" t="s">
        <v>200</v>
      </c>
      <c r="AI127" s="39" t="s">
        <v>201</v>
      </c>
      <c r="AJ127" s="39" t="s">
        <v>140</v>
      </c>
      <c r="AK127" s="39" t="s">
        <v>125</v>
      </c>
      <c r="AL127" s="39">
        <v>4880</v>
      </c>
      <c r="AM127" s="39"/>
      <c r="AN127" s="39" t="s">
        <v>125</v>
      </c>
      <c r="AO127" s="39" t="s">
        <v>142</v>
      </c>
      <c r="AP127" s="39" t="s">
        <v>143</v>
      </c>
      <c r="AQ127" s="39" t="s">
        <v>175</v>
      </c>
      <c r="AR127" s="39" t="s">
        <v>1547</v>
      </c>
      <c r="AS127" s="39" t="s">
        <v>1548</v>
      </c>
      <c r="AT127" s="39" t="s">
        <v>348</v>
      </c>
      <c r="AU127" s="39"/>
      <c r="AV127" s="39" t="s">
        <v>1549</v>
      </c>
      <c r="AW127" s="39"/>
      <c r="AX127" s="39"/>
      <c r="AY127" s="39"/>
      <c r="AZ127" s="39"/>
      <c r="BA127" s="39">
        <v>80639393</v>
      </c>
      <c r="BB127" s="39" t="s">
        <v>149</v>
      </c>
      <c r="BC127" s="39" t="s">
        <v>150</v>
      </c>
      <c r="BD127" s="39" t="s">
        <v>179</v>
      </c>
      <c r="BE127" s="39" t="s">
        <v>125</v>
      </c>
      <c r="BF127" s="39"/>
      <c r="BG127" s="39" t="s">
        <v>180</v>
      </c>
      <c r="BH127" s="39" t="s">
        <v>152</v>
      </c>
      <c r="BI127" s="39" t="s">
        <v>125</v>
      </c>
      <c r="BJ127" s="39"/>
      <c r="BK127" s="39" t="s">
        <v>153</v>
      </c>
      <c r="BL127" s="39"/>
      <c r="BM127" s="39"/>
      <c r="BN127" s="39" t="s">
        <v>333</v>
      </c>
    </row>
    <row r="128" spans="1:66" hidden="1">
      <c r="A128" s="39">
        <v>126</v>
      </c>
      <c r="B128" s="39" t="s">
        <v>118</v>
      </c>
      <c r="C128" s="39" t="s">
        <v>119</v>
      </c>
      <c r="D128" s="39" t="s">
        <v>1550</v>
      </c>
      <c r="E128" s="39" t="s">
        <v>1551</v>
      </c>
      <c r="F128" s="39" t="s">
        <v>279</v>
      </c>
      <c r="G128" s="39" t="s">
        <v>1552</v>
      </c>
      <c r="H128" s="39" t="s">
        <v>1553</v>
      </c>
      <c r="I128" s="39" t="s">
        <v>282</v>
      </c>
      <c r="J128" s="39" t="s">
        <v>187</v>
      </c>
      <c r="K128" s="39" t="s">
        <v>303</v>
      </c>
      <c r="L128" s="39" t="s">
        <v>284</v>
      </c>
      <c r="M128" s="39" t="s">
        <v>284</v>
      </c>
      <c r="N128" s="39" t="s">
        <v>125</v>
      </c>
      <c r="O128" s="39" t="s">
        <v>303</v>
      </c>
      <c r="P128" s="39" t="s">
        <v>1554</v>
      </c>
      <c r="Q128" s="39" t="s">
        <v>1550</v>
      </c>
      <c r="R128" s="39" t="s">
        <v>24</v>
      </c>
      <c r="S128" s="39" t="s">
        <v>1555</v>
      </c>
      <c r="T128" s="39" t="s">
        <v>130</v>
      </c>
      <c r="U128" s="39" t="s">
        <v>364</v>
      </c>
      <c r="V128" s="39" t="s">
        <v>132</v>
      </c>
      <c r="W128" s="39" t="s">
        <v>194</v>
      </c>
      <c r="X128" s="39" t="s">
        <v>187</v>
      </c>
      <c r="Y128" s="39" t="s">
        <v>1556</v>
      </c>
      <c r="Z128" s="39" t="s">
        <v>196</v>
      </c>
      <c r="AA128" s="39" t="s">
        <v>197</v>
      </c>
      <c r="AB128" s="39" t="s">
        <v>1550</v>
      </c>
      <c r="AC128" s="39">
        <v>5429353</v>
      </c>
      <c r="AD128" s="39" t="s">
        <v>24</v>
      </c>
      <c r="AE128" s="39" t="s">
        <v>1557</v>
      </c>
      <c r="AF128" s="39" t="s">
        <v>24</v>
      </c>
      <c r="AG128" s="39" t="s">
        <v>1558</v>
      </c>
      <c r="AH128" s="39" t="s">
        <v>403</v>
      </c>
      <c r="AI128" s="39" t="s">
        <v>404</v>
      </c>
      <c r="AJ128" s="39" t="s">
        <v>140</v>
      </c>
      <c r="AK128" s="39" t="s">
        <v>125</v>
      </c>
      <c r="AL128" s="39">
        <v>4634.3</v>
      </c>
      <c r="AM128" s="39"/>
      <c r="AN128" s="39" t="s">
        <v>125</v>
      </c>
      <c r="AO128" s="39" t="s">
        <v>142</v>
      </c>
      <c r="AP128" s="39" t="s">
        <v>143</v>
      </c>
      <c r="AQ128" s="39" t="s">
        <v>175</v>
      </c>
      <c r="AR128" s="39" t="s">
        <v>1559</v>
      </c>
      <c r="AS128" s="39" t="s">
        <v>1560</v>
      </c>
      <c r="AT128" s="39" t="s">
        <v>348</v>
      </c>
      <c r="AU128" s="39"/>
      <c r="AV128" s="39" t="s">
        <v>1561</v>
      </c>
      <c r="AW128" s="39"/>
      <c r="AX128" s="39"/>
      <c r="AY128" s="39"/>
      <c r="AZ128" s="39"/>
      <c r="BA128" s="39">
        <v>74435592</v>
      </c>
      <c r="BB128" s="39" t="s">
        <v>149</v>
      </c>
      <c r="BC128" s="39" t="s">
        <v>150</v>
      </c>
      <c r="BD128" s="39" t="s">
        <v>179</v>
      </c>
      <c r="BE128" s="39" t="s">
        <v>125</v>
      </c>
      <c r="BF128" s="39"/>
      <c r="BG128" s="39" t="s">
        <v>180</v>
      </c>
      <c r="BH128" s="39" t="s">
        <v>152</v>
      </c>
      <c r="BI128" s="39" t="s">
        <v>125</v>
      </c>
      <c r="BJ128" s="39"/>
      <c r="BK128" s="39" t="s">
        <v>153</v>
      </c>
      <c r="BL128" s="39"/>
      <c r="BM128" s="39"/>
      <c r="BN128" s="39" t="s">
        <v>300</v>
      </c>
    </row>
    <row r="129" spans="1:66" hidden="1">
      <c r="A129" s="39">
        <v>127</v>
      </c>
      <c r="B129" s="39" t="s">
        <v>118</v>
      </c>
      <c r="C129" s="39" t="s">
        <v>119</v>
      </c>
      <c r="D129" s="39" t="s">
        <v>1550</v>
      </c>
      <c r="E129" s="39" t="s">
        <v>1551</v>
      </c>
      <c r="F129" s="39" t="s">
        <v>279</v>
      </c>
      <c r="G129" s="39" t="s">
        <v>1552</v>
      </c>
      <c r="H129" s="39" t="s">
        <v>1553</v>
      </c>
      <c r="I129" s="39" t="s">
        <v>282</v>
      </c>
      <c r="J129" s="39" t="s">
        <v>187</v>
      </c>
      <c r="K129" s="39" t="s">
        <v>303</v>
      </c>
      <c r="L129" s="39" t="s">
        <v>284</v>
      </c>
      <c r="M129" s="39" t="s">
        <v>284</v>
      </c>
      <c r="N129" s="39" t="s">
        <v>125</v>
      </c>
      <c r="O129" s="39" t="s">
        <v>303</v>
      </c>
      <c r="P129" s="39" t="s">
        <v>1554</v>
      </c>
      <c r="Q129" s="39" t="s">
        <v>1550</v>
      </c>
      <c r="R129" s="39" t="s">
        <v>24</v>
      </c>
      <c r="S129" s="39" t="s">
        <v>1555</v>
      </c>
      <c r="T129" s="39" t="s">
        <v>130</v>
      </c>
      <c r="U129" s="39" t="s">
        <v>364</v>
      </c>
      <c r="V129" s="39" t="s">
        <v>132</v>
      </c>
      <c r="W129" s="39" t="s">
        <v>194</v>
      </c>
      <c r="X129" s="39" t="s">
        <v>187</v>
      </c>
      <c r="Y129" s="39" t="s">
        <v>1556</v>
      </c>
      <c r="Z129" s="39" t="s">
        <v>196</v>
      </c>
      <c r="AA129" s="39" t="s">
        <v>197</v>
      </c>
      <c r="AB129" s="39" t="s">
        <v>1550</v>
      </c>
      <c r="AC129" s="39">
        <v>5429353</v>
      </c>
      <c r="AD129" s="39" t="s">
        <v>24</v>
      </c>
      <c r="AE129" s="39" t="s">
        <v>1557</v>
      </c>
      <c r="AF129" s="39" t="s">
        <v>24</v>
      </c>
      <c r="AG129" s="39" t="s">
        <v>1558</v>
      </c>
      <c r="AH129" s="39" t="s">
        <v>409</v>
      </c>
      <c r="AI129" s="39" t="s">
        <v>410</v>
      </c>
      <c r="AJ129" s="39" t="s">
        <v>140</v>
      </c>
      <c r="AK129" s="39" t="s">
        <v>125</v>
      </c>
      <c r="AL129" s="39">
        <v>4525.7</v>
      </c>
      <c r="AM129" s="39"/>
      <c r="AN129" s="39" t="s">
        <v>125</v>
      </c>
      <c r="AO129" s="39" t="s">
        <v>142</v>
      </c>
      <c r="AP129" s="39" t="s">
        <v>143</v>
      </c>
      <c r="AQ129" s="39" t="s">
        <v>175</v>
      </c>
      <c r="AR129" s="39" t="s">
        <v>1559</v>
      </c>
      <c r="AS129" s="39" t="s">
        <v>1562</v>
      </c>
      <c r="AT129" s="39" t="s">
        <v>348</v>
      </c>
      <c r="AU129" s="39"/>
      <c r="AV129" s="39" t="s">
        <v>1561</v>
      </c>
      <c r="AW129" s="39"/>
      <c r="AX129" s="39"/>
      <c r="AY129" s="39"/>
      <c r="AZ129" s="39"/>
      <c r="BA129" s="39">
        <v>74435592</v>
      </c>
      <c r="BB129" s="39" t="s">
        <v>149</v>
      </c>
      <c r="BC129" s="39" t="s">
        <v>150</v>
      </c>
      <c r="BD129" s="39" t="s">
        <v>179</v>
      </c>
      <c r="BE129" s="39" t="s">
        <v>125</v>
      </c>
      <c r="BF129" s="39"/>
      <c r="BG129" s="39" t="s">
        <v>180</v>
      </c>
      <c r="BH129" s="39" t="s">
        <v>152</v>
      </c>
      <c r="BI129" s="39" t="s">
        <v>125</v>
      </c>
      <c r="BJ129" s="39"/>
      <c r="BK129" s="39" t="s">
        <v>153</v>
      </c>
      <c r="BL129" s="39"/>
      <c r="BM129" s="39"/>
      <c r="BN129" s="39" t="s">
        <v>300</v>
      </c>
    </row>
    <row r="130" spans="1:66" hidden="1">
      <c r="A130" s="39">
        <v>128</v>
      </c>
      <c r="B130" s="39" t="s">
        <v>118</v>
      </c>
      <c r="C130" s="39" t="s">
        <v>119</v>
      </c>
      <c r="D130" s="39" t="s">
        <v>1563</v>
      </c>
      <c r="E130" s="39" t="s">
        <v>1564</v>
      </c>
      <c r="F130" s="39" t="s">
        <v>279</v>
      </c>
      <c r="G130" s="39" t="s">
        <v>1565</v>
      </c>
      <c r="H130" s="39" t="s">
        <v>1566</v>
      </c>
      <c r="I130" s="39" t="s">
        <v>505</v>
      </c>
      <c r="J130" s="39" t="s">
        <v>506</v>
      </c>
      <c r="K130" s="39" t="s">
        <v>262</v>
      </c>
      <c r="L130" s="39" t="s">
        <v>162</v>
      </c>
      <c r="M130" s="39" t="s">
        <v>163</v>
      </c>
      <c r="N130" s="39" t="s">
        <v>125</v>
      </c>
      <c r="O130" s="39" t="s">
        <v>262</v>
      </c>
      <c r="P130" s="39" t="s">
        <v>1567</v>
      </c>
      <c r="Q130" s="39" t="s">
        <v>1563</v>
      </c>
      <c r="R130" s="39" t="s">
        <v>21</v>
      </c>
      <c r="S130" s="39" t="s">
        <v>1568</v>
      </c>
      <c r="T130" s="39" t="s">
        <v>130</v>
      </c>
      <c r="U130" s="39" t="s">
        <v>1569</v>
      </c>
      <c r="V130" s="39" t="s">
        <v>132</v>
      </c>
      <c r="W130" s="39" t="s">
        <v>194</v>
      </c>
      <c r="X130" s="39" t="s">
        <v>187</v>
      </c>
      <c r="Y130" s="39" t="s">
        <v>1570</v>
      </c>
      <c r="Z130" s="39" t="s">
        <v>196</v>
      </c>
      <c r="AA130" s="39" t="s">
        <v>197</v>
      </c>
      <c r="AB130" s="39" t="s">
        <v>1563</v>
      </c>
      <c r="AC130" s="39">
        <v>5429337</v>
      </c>
      <c r="AD130" s="39" t="s">
        <v>21</v>
      </c>
      <c r="AE130" s="39" t="s">
        <v>1571</v>
      </c>
      <c r="AF130" s="39" t="s">
        <v>21</v>
      </c>
      <c r="AG130" s="39" t="s">
        <v>1571</v>
      </c>
      <c r="AH130" s="39" t="s">
        <v>291</v>
      </c>
      <c r="AI130" s="39" t="s">
        <v>292</v>
      </c>
      <c r="AJ130" s="39" t="s">
        <v>140</v>
      </c>
      <c r="AK130" s="39" t="s">
        <v>125</v>
      </c>
      <c r="AL130" s="39">
        <v>4634.3</v>
      </c>
      <c r="AM130" s="39"/>
      <c r="AN130" s="39" t="s">
        <v>125</v>
      </c>
      <c r="AO130" s="39" t="s">
        <v>142</v>
      </c>
      <c r="AP130" s="39" t="s">
        <v>143</v>
      </c>
      <c r="AQ130" s="39" t="s">
        <v>345</v>
      </c>
      <c r="AR130" s="39" t="s">
        <v>1572</v>
      </c>
      <c r="AS130" s="39" t="s">
        <v>1573</v>
      </c>
      <c r="AT130" s="39" t="s">
        <v>348</v>
      </c>
      <c r="AU130" s="39"/>
      <c r="AV130" s="39" t="s">
        <v>1574</v>
      </c>
      <c r="AW130" s="39"/>
      <c r="AX130" s="39"/>
      <c r="AY130" s="39"/>
      <c r="AZ130" s="39"/>
      <c r="BA130" s="39">
        <v>80602500</v>
      </c>
      <c r="BB130" s="39" t="s">
        <v>149</v>
      </c>
      <c r="BC130" s="39" t="s">
        <v>150</v>
      </c>
      <c r="BD130" s="39" t="s">
        <v>179</v>
      </c>
      <c r="BE130" s="39" t="s">
        <v>125</v>
      </c>
      <c r="BF130" s="39"/>
      <c r="BG130" s="39" t="s">
        <v>180</v>
      </c>
      <c r="BH130" s="39" t="s">
        <v>152</v>
      </c>
      <c r="BI130" s="39" t="s">
        <v>125</v>
      </c>
      <c r="BJ130" s="39"/>
      <c r="BK130" s="39" t="s">
        <v>153</v>
      </c>
      <c r="BL130" s="39"/>
      <c r="BM130" s="39"/>
      <c r="BN130" s="39" t="s">
        <v>523</v>
      </c>
    </row>
    <row r="131" spans="1:66" hidden="1">
      <c r="A131" s="39">
        <v>129</v>
      </c>
      <c r="B131" s="39" t="s">
        <v>118</v>
      </c>
      <c r="C131" s="39" t="s">
        <v>119</v>
      </c>
      <c r="D131" s="39" t="s">
        <v>1563</v>
      </c>
      <c r="E131" s="39" t="s">
        <v>1564</v>
      </c>
      <c r="F131" s="39" t="s">
        <v>279</v>
      </c>
      <c r="G131" s="39" t="s">
        <v>1565</v>
      </c>
      <c r="H131" s="39" t="s">
        <v>1566</v>
      </c>
      <c r="I131" s="39" t="s">
        <v>505</v>
      </c>
      <c r="J131" s="39" t="s">
        <v>506</v>
      </c>
      <c r="K131" s="39" t="s">
        <v>262</v>
      </c>
      <c r="L131" s="39" t="s">
        <v>162</v>
      </c>
      <c r="M131" s="39" t="s">
        <v>163</v>
      </c>
      <c r="N131" s="39" t="s">
        <v>125</v>
      </c>
      <c r="O131" s="39" t="s">
        <v>262</v>
      </c>
      <c r="P131" s="39" t="s">
        <v>1567</v>
      </c>
      <c r="Q131" s="39" t="s">
        <v>1563</v>
      </c>
      <c r="R131" s="39" t="s">
        <v>21</v>
      </c>
      <c r="S131" s="39" t="s">
        <v>1568</v>
      </c>
      <c r="T131" s="39" t="s">
        <v>130</v>
      </c>
      <c r="U131" s="39" t="s">
        <v>1569</v>
      </c>
      <c r="V131" s="39" t="s">
        <v>132</v>
      </c>
      <c r="W131" s="39" t="s">
        <v>194</v>
      </c>
      <c r="X131" s="39" t="s">
        <v>187</v>
      </c>
      <c r="Y131" s="39" t="s">
        <v>1570</v>
      </c>
      <c r="Z131" s="39" t="s">
        <v>196</v>
      </c>
      <c r="AA131" s="39" t="s">
        <v>197</v>
      </c>
      <c r="AB131" s="39" t="s">
        <v>1563</v>
      </c>
      <c r="AC131" s="39">
        <v>5429337</v>
      </c>
      <c r="AD131" s="39" t="s">
        <v>21</v>
      </c>
      <c r="AE131" s="39" t="s">
        <v>1571</v>
      </c>
      <c r="AF131" s="39" t="s">
        <v>21</v>
      </c>
      <c r="AG131" s="39" t="s">
        <v>1571</v>
      </c>
      <c r="AH131" s="39" t="s">
        <v>409</v>
      </c>
      <c r="AI131" s="39" t="s">
        <v>410</v>
      </c>
      <c r="AJ131" s="39" t="s">
        <v>140</v>
      </c>
      <c r="AK131" s="39" t="s">
        <v>125</v>
      </c>
      <c r="AL131" s="39">
        <v>4525.7</v>
      </c>
      <c r="AM131" s="39"/>
      <c r="AN131" s="39" t="s">
        <v>125</v>
      </c>
      <c r="AO131" s="39" t="s">
        <v>142</v>
      </c>
      <c r="AP131" s="39" t="s">
        <v>143</v>
      </c>
      <c r="AQ131" s="39" t="s">
        <v>345</v>
      </c>
      <c r="AR131" s="39" t="s">
        <v>1572</v>
      </c>
      <c r="AS131" s="39" t="s">
        <v>1575</v>
      </c>
      <c r="AT131" s="39" t="s">
        <v>348</v>
      </c>
      <c r="AU131" s="39"/>
      <c r="AV131" s="39" t="s">
        <v>1574</v>
      </c>
      <c r="AW131" s="39"/>
      <c r="AX131" s="39"/>
      <c r="AY131" s="39"/>
      <c r="AZ131" s="39"/>
      <c r="BA131" s="39">
        <v>80602500</v>
      </c>
      <c r="BB131" s="39" t="s">
        <v>149</v>
      </c>
      <c r="BC131" s="39" t="s">
        <v>150</v>
      </c>
      <c r="BD131" s="39" t="s">
        <v>179</v>
      </c>
      <c r="BE131" s="39" t="s">
        <v>125</v>
      </c>
      <c r="BF131" s="39"/>
      <c r="BG131" s="39" t="s">
        <v>180</v>
      </c>
      <c r="BH131" s="39" t="s">
        <v>152</v>
      </c>
      <c r="BI131" s="39" t="s">
        <v>125</v>
      </c>
      <c r="BJ131" s="39"/>
      <c r="BK131" s="39" t="s">
        <v>153</v>
      </c>
      <c r="BL131" s="39"/>
      <c r="BM131" s="39"/>
      <c r="BN131" s="39" t="s">
        <v>523</v>
      </c>
    </row>
    <row r="132" spans="1:66" hidden="1">
      <c r="A132" s="39">
        <v>130</v>
      </c>
      <c r="B132" s="39" t="s">
        <v>118</v>
      </c>
      <c r="C132" s="39" t="s">
        <v>119</v>
      </c>
      <c r="D132" s="39" t="s">
        <v>506</v>
      </c>
      <c r="E132" s="39" t="s">
        <v>1576</v>
      </c>
      <c r="F132" s="39" t="s">
        <v>855</v>
      </c>
      <c r="G132" s="39" t="s">
        <v>1577</v>
      </c>
      <c r="H132" s="39" t="s">
        <v>1578</v>
      </c>
      <c r="I132" s="39" t="s">
        <v>1156</v>
      </c>
      <c r="J132" s="39" t="s">
        <v>161</v>
      </c>
      <c r="K132" s="39" t="s">
        <v>16</v>
      </c>
      <c r="L132" s="39" t="s">
        <v>858</v>
      </c>
      <c r="M132" s="39" t="s">
        <v>1157</v>
      </c>
      <c r="N132" s="39" t="s">
        <v>125</v>
      </c>
      <c r="O132" s="39"/>
      <c r="P132" s="39"/>
      <c r="Q132" s="39" t="s">
        <v>1579</v>
      </c>
      <c r="R132" s="39" t="s">
        <v>16</v>
      </c>
      <c r="S132" s="39" t="s">
        <v>1580</v>
      </c>
      <c r="T132" s="39" t="s">
        <v>130</v>
      </c>
      <c r="U132" s="39" t="s">
        <v>1581</v>
      </c>
      <c r="V132" s="39" t="s">
        <v>132</v>
      </c>
      <c r="W132" s="39" t="s">
        <v>194</v>
      </c>
      <c r="X132" s="39" t="s">
        <v>161</v>
      </c>
      <c r="Y132" s="39" t="s">
        <v>1582</v>
      </c>
      <c r="Z132" s="39" t="s">
        <v>196</v>
      </c>
      <c r="AA132" s="39" t="s">
        <v>197</v>
      </c>
      <c r="AB132" s="39" t="s">
        <v>1579</v>
      </c>
      <c r="AC132" s="39">
        <v>5429258</v>
      </c>
      <c r="AD132" s="39" t="s">
        <v>16</v>
      </c>
      <c r="AE132" s="39" t="s">
        <v>1583</v>
      </c>
      <c r="AF132" s="39" t="s">
        <v>16</v>
      </c>
      <c r="AG132" s="39" t="s">
        <v>1583</v>
      </c>
      <c r="AH132" s="39" t="s">
        <v>271</v>
      </c>
      <c r="AI132" s="39" t="s">
        <v>173</v>
      </c>
      <c r="AJ132" s="39" t="s">
        <v>140</v>
      </c>
      <c r="AK132" s="39" t="s">
        <v>125</v>
      </c>
      <c r="AL132" s="39">
        <v>4880</v>
      </c>
      <c r="AM132" s="39"/>
      <c r="AN132" s="39" t="s">
        <v>125</v>
      </c>
      <c r="AO132" s="39" t="s">
        <v>142</v>
      </c>
      <c r="AP132" s="39" t="s">
        <v>143</v>
      </c>
      <c r="AQ132" s="39" t="s">
        <v>175</v>
      </c>
      <c r="AR132" s="39" t="s">
        <v>1584</v>
      </c>
      <c r="AS132" s="39" t="s">
        <v>1585</v>
      </c>
      <c r="AT132" s="39" t="s">
        <v>348</v>
      </c>
      <c r="AU132" s="39"/>
      <c r="AV132" s="39" t="s">
        <v>1586</v>
      </c>
      <c r="AW132" s="39"/>
      <c r="AX132" s="39"/>
      <c r="AY132" s="39"/>
      <c r="AZ132" s="39"/>
      <c r="BA132" s="39">
        <v>80667361</v>
      </c>
      <c r="BB132" s="39" t="s">
        <v>149</v>
      </c>
      <c r="BC132" s="39" t="s">
        <v>150</v>
      </c>
      <c r="BD132" s="39" t="s">
        <v>179</v>
      </c>
      <c r="BE132" s="39" t="s">
        <v>125</v>
      </c>
      <c r="BF132" s="39"/>
      <c r="BG132" s="39" t="s">
        <v>180</v>
      </c>
      <c r="BH132" s="39" t="s">
        <v>152</v>
      </c>
      <c r="BI132" s="39" t="s">
        <v>125</v>
      </c>
      <c r="BJ132" s="39"/>
      <c r="BK132" s="39" t="s">
        <v>153</v>
      </c>
      <c r="BL132" s="39"/>
      <c r="BM132" s="39"/>
      <c r="BN132" s="39" t="s">
        <v>1166</v>
      </c>
    </row>
    <row r="133" spans="1:66" hidden="1">
      <c r="A133" s="39">
        <v>131</v>
      </c>
      <c r="B133" s="39" t="s">
        <v>118</v>
      </c>
      <c r="C133" s="39" t="s">
        <v>119</v>
      </c>
      <c r="D133" s="39" t="s">
        <v>506</v>
      </c>
      <c r="E133" s="39" t="s">
        <v>1587</v>
      </c>
      <c r="F133" s="39" t="s">
        <v>749</v>
      </c>
      <c r="G133" s="39" t="s">
        <v>1588</v>
      </c>
      <c r="H133" s="39" t="s">
        <v>1589</v>
      </c>
      <c r="I133" s="39" t="s">
        <v>125</v>
      </c>
      <c r="J133" s="39" t="s">
        <v>187</v>
      </c>
      <c r="K133" s="39" t="s">
        <v>27</v>
      </c>
      <c r="L133" s="39" t="s">
        <v>284</v>
      </c>
      <c r="M133" s="39" t="s">
        <v>284</v>
      </c>
      <c r="N133" s="39" t="s">
        <v>125</v>
      </c>
      <c r="O133" s="39"/>
      <c r="P133" s="39"/>
      <c r="Q133" s="39" t="s">
        <v>1590</v>
      </c>
      <c r="R133" s="39" t="s">
        <v>27</v>
      </c>
      <c r="S133" s="39" t="s">
        <v>1591</v>
      </c>
      <c r="T133" s="39" t="s">
        <v>130</v>
      </c>
      <c r="U133" s="39" t="s">
        <v>1592</v>
      </c>
      <c r="V133" s="39" t="s">
        <v>132</v>
      </c>
      <c r="W133" s="39" t="s">
        <v>194</v>
      </c>
      <c r="X133" s="39" t="s">
        <v>187</v>
      </c>
      <c r="Y133" s="39" t="s">
        <v>288</v>
      </c>
      <c r="Z133" s="39" t="s">
        <v>196</v>
      </c>
      <c r="AA133" s="39" t="s">
        <v>197</v>
      </c>
      <c r="AB133" s="39" t="s">
        <v>1590</v>
      </c>
      <c r="AC133" s="39">
        <v>5429243</v>
      </c>
      <c r="AD133" s="39" t="s">
        <v>27</v>
      </c>
      <c r="AE133" s="39" t="s">
        <v>1593</v>
      </c>
      <c r="AF133" s="39" t="s">
        <v>27</v>
      </c>
      <c r="AG133" s="39" t="s">
        <v>1594</v>
      </c>
      <c r="AH133" s="39" t="s">
        <v>200</v>
      </c>
      <c r="AI133" s="39" t="s">
        <v>201</v>
      </c>
      <c r="AJ133" s="39" t="s">
        <v>140</v>
      </c>
      <c r="AK133" s="39" t="s">
        <v>125</v>
      </c>
      <c r="AL133" s="39">
        <v>4880</v>
      </c>
      <c r="AM133" s="39"/>
      <c r="AN133" s="39" t="s">
        <v>125</v>
      </c>
      <c r="AO133" s="39" t="s">
        <v>142</v>
      </c>
      <c r="AP133" s="39" t="s">
        <v>143</v>
      </c>
      <c r="AQ133" s="39" t="s">
        <v>175</v>
      </c>
      <c r="AR133" s="39" t="s">
        <v>1595</v>
      </c>
      <c r="AS133" s="39" t="s">
        <v>1596</v>
      </c>
      <c r="AT133" s="39" t="s">
        <v>348</v>
      </c>
      <c r="AU133" s="39"/>
      <c r="AV133" s="39" t="s">
        <v>1597</v>
      </c>
      <c r="AW133" s="39"/>
      <c r="AX133" s="39"/>
      <c r="AY133" s="39"/>
      <c r="AZ133" s="39"/>
      <c r="BA133" s="39">
        <v>74569643</v>
      </c>
      <c r="BB133" s="39" t="s">
        <v>149</v>
      </c>
      <c r="BC133" s="39" t="s">
        <v>150</v>
      </c>
      <c r="BD133" s="39" t="s">
        <v>179</v>
      </c>
      <c r="BE133" s="39" t="s">
        <v>125</v>
      </c>
      <c r="BF133" s="39"/>
      <c r="BG133" s="39" t="s">
        <v>180</v>
      </c>
      <c r="BH133" s="39" t="s">
        <v>152</v>
      </c>
      <c r="BI133" s="39" t="s">
        <v>1598</v>
      </c>
      <c r="BJ133" s="39"/>
      <c r="BK133" s="39" t="s">
        <v>153</v>
      </c>
      <c r="BL133" s="39"/>
      <c r="BM133" s="39"/>
      <c r="BN133" s="39" t="s">
        <v>155</v>
      </c>
    </row>
    <row r="134" spans="1:66" hidden="1">
      <c r="A134" s="39">
        <v>132</v>
      </c>
      <c r="B134" s="39" t="s">
        <v>118</v>
      </c>
      <c r="C134" s="39" t="s">
        <v>119</v>
      </c>
      <c r="D134" s="39" t="s">
        <v>1599</v>
      </c>
      <c r="E134" s="39" t="s">
        <v>1600</v>
      </c>
      <c r="F134" s="39" t="s">
        <v>258</v>
      </c>
      <c r="G134" s="39" t="s">
        <v>1601</v>
      </c>
      <c r="H134" s="39" t="s">
        <v>1602</v>
      </c>
      <c r="I134" s="39" t="s">
        <v>1527</v>
      </c>
      <c r="J134" s="39"/>
      <c r="K134" s="39" t="s">
        <v>262</v>
      </c>
      <c r="L134" s="39" t="s">
        <v>263</v>
      </c>
      <c r="M134" s="39" t="s">
        <v>1528</v>
      </c>
      <c r="N134" s="39" t="s">
        <v>125</v>
      </c>
      <c r="O134" s="39" t="s">
        <v>262</v>
      </c>
      <c r="P134" s="39" t="s">
        <v>1603</v>
      </c>
      <c r="Q134" s="39" t="s">
        <v>1604</v>
      </c>
      <c r="R134" s="39" t="s">
        <v>28</v>
      </c>
      <c r="S134" s="39" t="s">
        <v>1605</v>
      </c>
      <c r="T134" s="39" t="s">
        <v>130</v>
      </c>
      <c r="U134" s="39" t="s">
        <v>1606</v>
      </c>
      <c r="V134" s="39" t="s">
        <v>132</v>
      </c>
      <c r="W134" s="39" t="s">
        <v>168</v>
      </c>
      <c r="X134" s="39" t="s">
        <v>126</v>
      </c>
      <c r="Y134" s="39" t="s">
        <v>1607</v>
      </c>
      <c r="Z134" s="39" t="s">
        <v>1608</v>
      </c>
      <c r="AA134" s="39" t="s">
        <v>1609</v>
      </c>
      <c r="AB134" s="39" t="s">
        <v>1604</v>
      </c>
      <c r="AC134" s="39">
        <v>5429227</v>
      </c>
      <c r="AD134" s="39" t="s">
        <v>28</v>
      </c>
      <c r="AE134" s="39" t="s">
        <v>1610</v>
      </c>
      <c r="AF134" s="39" t="s">
        <v>28</v>
      </c>
      <c r="AG134" s="39" t="s">
        <v>1611</v>
      </c>
      <c r="AH134" s="39" t="s">
        <v>990</v>
      </c>
      <c r="AI134" s="39" t="s">
        <v>991</v>
      </c>
      <c r="AJ134" s="39" t="s">
        <v>140</v>
      </c>
      <c r="AK134" s="39" t="s">
        <v>125</v>
      </c>
      <c r="AL134" s="39">
        <v>15000</v>
      </c>
      <c r="AM134" s="39"/>
      <c r="AN134" s="39" t="s">
        <v>125</v>
      </c>
      <c r="AO134" s="39" t="s">
        <v>142</v>
      </c>
      <c r="AP134" s="39" t="s">
        <v>143</v>
      </c>
      <c r="AQ134" s="39" t="s">
        <v>144</v>
      </c>
      <c r="AR134" s="39" t="s">
        <v>1612</v>
      </c>
      <c r="AS134" s="39" t="s">
        <v>1613</v>
      </c>
      <c r="AT134" s="39" t="s">
        <v>348</v>
      </c>
      <c r="AU134" s="39"/>
      <c r="AV134" s="39" t="s">
        <v>1614</v>
      </c>
      <c r="AW134" s="39"/>
      <c r="AX134" s="39"/>
      <c r="AY134" s="39"/>
      <c r="AZ134" s="39"/>
      <c r="BA134" s="39">
        <v>80674996</v>
      </c>
      <c r="BB134" s="39" t="s">
        <v>149</v>
      </c>
      <c r="BC134" s="39" t="s">
        <v>150</v>
      </c>
      <c r="BD134" s="39" t="s">
        <v>788</v>
      </c>
      <c r="BE134" s="39" t="s">
        <v>125</v>
      </c>
      <c r="BF134" s="39"/>
      <c r="BG134" s="39" t="s">
        <v>637</v>
      </c>
      <c r="BH134" s="39" t="s">
        <v>152</v>
      </c>
      <c r="BI134" s="39" t="s">
        <v>125</v>
      </c>
      <c r="BJ134" s="39"/>
      <c r="BK134" s="39" t="s">
        <v>153</v>
      </c>
      <c r="BL134" s="39"/>
      <c r="BM134" s="39" t="s">
        <v>460</v>
      </c>
      <c r="BN134" s="39" t="s">
        <v>915</v>
      </c>
    </row>
    <row r="135" spans="1:66" hidden="1">
      <c r="A135" s="39">
        <v>133</v>
      </c>
      <c r="B135" s="39" t="s">
        <v>118</v>
      </c>
      <c r="C135" s="39" t="s">
        <v>119</v>
      </c>
      <c r="D135" s="39" t="s">
        <v>506</v>
      </c>
      <c r="E135" s="39" t="s">
        <v>1615</v>
      </c>
      <c r="F135" s="39" t="s">
        <v>749</v>
      </c>
      <c r="G135" s="39" t="s">
        <v>1616</v>
      </c>
      <c r="H135" s="39" t="s">
        <v>1617</v>
      </c>
      <c r="I135" s="39" t="s">
        <v>125</v>
      </c>
      <c r="J135" s="39" t="s">
        <v>506</v>
      </c>
      <c r="K135" s="39" t="s">
        <v>22</v>
      </c>
      <c r="L135" s="39" t="s">
        <v>568</v>
      </c>
      <c r="M135" s="39" t="s">
        <v>735</v>
      </c>
      <c r="N135" s="39" t="s">
        <v>125</v>
      </c>
      <c r="O135" s="39"/>
      <c r="P135" s="39"/>
      <c r="Q135" s="39" t="s">
        <v>1618</v>
      </c>
      <c r="R135" s="39" t="s">
        <v>22</v>
      </c>
      <c r="S135" s="39" t="s">
        <v>1619</v>
      </c>
      <c r="T135" s="39" t="s">
        <v>130</v>
      </c>
      <c r="U135" s="39" t="s">
        <v>1620</v>
      </c>
      <c r="V135" s="39" t="s">
        <v>132</v>
      </c>
      <c r="W135" s="39" t="s">
        <v>194</v>
      </c>
      <c r="X135" s="39" t="s">
        <v>187</v>
      </c>
      <c r="Y135" s="39" t="s">
        <v>1621</v>
      </c>
      <c r="Z135" s="39" t="s">
        <v>196</v>
      </c>
      <c r="AA135" s="39" t="s">
        <v>197</v>
      </c>
      <c r="AB135" s="39" t="s">
        <v>1618</v>
      </c>
      <c r="AC135" s="39">
        <v>5429053</v>
      </c>
      <c r="AD135" s="39" t="s">
        <v>22</v>
      </c>
      <c r="AE135" s="39" t="s">
        <v>1622</v>
      </c>
      <c r="AF135" s="39" t="s">
        <v>22</v>
      </c>
      <c r="AG135" s="39" t="s">
        <v>1623</v>
      </c>
      <c r="AH135" s="39" t="s">
        <v>1274</v>
      </c>
      <c r="AI135" s="39" t="s">
        <v>218</v>
      </c>
      <c r="AJ135" s="39" t="s">
        <v>140</v>
      </c>
      <c r="AK135" s="39" t="s">
        <v>125</v>
      </c>
      <c r="AL135" s="39">
        <v>19300</v>
      </c>
      <c r="AM135" s="39"/>
      <c r="AN135" s="39" t="s">
        <v>125</v>
      </c>
      <c r="AO135" s="39" t="s">
        <v>142</v>
      </c>
      <c r="AP135" s="39" t="s">
        <v>143</v>
      </c>
      <c r="AQ135" s="39" t="s">
        <v>144</v>
      </c>
      <c r="AR135" s="39" t="s">
        <v>1624</v>
      </c>
      <c r="AS135" s="39" t="s">
        <v>1625</v>
      </c>
      <c r="AT135" s="39" t="s">
        <v>348</v>
      </c>
      <c r="AU135" s="39"/>
      <c r="AV135" s="39" t="s">
        <v>1626</v>
      </c>
      <c r="AW135" s="39"/>
      <c r="AX135" s="39"/>
      <c r="AY135" s="39"/>
      <c r="AZ135" s="39"/>
      <c r="BA135" s="39">
        <v>80678875</v>
      </c>
      <c r="BB135" s="39" t="s">
        <v>149</v>
      </c>
      <c r="BC135" s="39" t="s">
        <v>150</v>
      </c>
      <c r="BD135" s="39" t="s">
        <v>179</v>
      </c>
      <c r="BE135" s="39" t="s">
        <v>125</v>
      </c>
      <c r="BF135" s="39"/>
      <c r="BG135" s="39" t="s">
        <v>180</v>
      </c>
      <c r="BH135" s="39" t="s">
        <v>152</v>
      </c>
      <c r="BI135" s="39" t="s">
        <v>125</v>
      </c>
      <c r="BJ135" s="39"/>
      <c r="BK135" s="39" t="s">
        <v>153</v>
      </c>
      <c r="BL135" s="39"/>
      <c r="BM135" s="39"/>
      <c r="BN135" s="39" t="s">
        <v>155</v>
      </c>
    </row>
    <row r="136" spans="1:66" hidden="1">
      <c r="A136" s="39">
        <v>134</v>
      </c>
      <c r="B136" s="39" t="s">
        <v>118</v>
      </c>
      <c r="C136" s="39" t="s">
        <v>119</v>
      </c>
      <c r="D136" s="39" t="s">
        <v>156</v>
      </c>
      <c r="E136" s="39" t="s">
        <v>1627</v>
      </c>
      <c r="F136" s="39" t="s">
        <v>262</v>
      </c>
      <c r="G136" s="39" t="s">
        <v>1628</v>
      </c>
      <c r="H136" s="39" t="s">
        <v>125</v>
      </c>
      <c r="I136" s="39" t="s">
        <v>125</v>
      </c>
      <c r="J136" s="39" t="s">
        <v>187</v>
      </c>
      <c r="K136" s="39" t="s">
        <v>262</v>
      </c>
      <c r="L136" s="39" t="s">
        <v>858</v>
      </c>
      <c r="M136" s="39" t="s">
        <v>1157</v>
      </c>
      <c r="N136" s="39" t="s">
        <v>125</v>
      </c>
      <c r="O136" s="39" t="s">
        <v>262</v>
      </c>
      <c r="P136" s="39" t="s">
        <v>1629</v>
      </c>
      <c r="Q136" s="39" t="s">
        <v>1630</v>
      </c>
      <c r="R136" s="39" t="s">
        <v>22</v>
      </c>
      <c r="S136" s="39" t="s">
        <v>1631</v>
      </c>
      <c r="T136" s="39" t="s">
        <v>130</v>
      </c>
      <c r="U136" s="39" t="s">
        <v>1632</v>
      </c>
      <c r="V136" s="39" t="s">
        <v>132</v>
      </c>
      <c r="W136" s="39" t="s">
        <v>194</v>
      </c>
      <c r="X136" s="39" t="s">
        <v>187</v>
      </c>
      <c r="Y136" s="39" t="s">
        <v>1633</v>
      </c>
      <c r="Z136" s="39" t="s">
        <v>196</v>
      </c>
      <c r="AA136" s="39" t="s">
        <v>197</v>
      </c>
      <c r="AB136" s="39" t="s">
        <v>1630</v>
      </c>
      <c r="AC136" s="39">
        <v>5428539</v>
      </c>
      <c r="AD136" s="39" t="s">
        <v>22</v>
      </c>
      <c r="AE136" s="39" t="s">
        <v>1634</v>
      </c>
      <c r="AF136" s="39" t="s">
        <v>22</v>
      </c>
      <c r="AG136" s="39" t="s">
        <v>1635</v>
      </c>
      <c r="AH136" s="39" t="s">
        <v>271</v>
      </c>
      <c r="AI136" s="39" t="s">
        <v>173</v>
      </c>
      <c r="AJ136" s="39" t="s">
        <v>140</v>
      </c>
      <c r="AK136" s="39" t="s">
        <v>125</v>
      </c>
      <c r="AL136" s="39">
        <v>4880</v>
      </c>
      <c r="AM136" s="39"/>
      <c r="AN136" s="39" t="s">
        <v>125</v>
      </c>
      <c r="AO136" s="39" t="s">
        <v>142</v>
      </c>
      <c r="AP136" s="39" t="s">
        <v>143</v>
      </c>
      <c r="AQ136" s="39" t="s">
        <v>345</v>
      </c>
      <c r="AR136" s="39" t="s">
        <v>1636</v>
      </c>
      <c r="AS136" s="39" t="s">
        <v>1637</v>
      </c>
      <c r="AT136" s="39" t="s">
        <v>348</v>
      </c>
      <c r="AU136" s="39"/>
      <c r="AV136" s="39" t="s">
        <v>1638</v>
      </c>
      <c r="AW136" s="39"/>
      <c r="AX136" s="39"/>
      <c r="AY136" s="39"/>
      <c r="AZ136" s="39"/>
      <c r="BA136" s="39">
        <v>79754258</v>
      </c>
      <c r="BB136" s="39" t="s">
        <v>149</v>
      </c>
      <c r="BC136" s="39" t="s">
        <v>150</v>
      </c>
      <c r="BD136" s="39" t="s">
        <v>179</v>
      </c>
      <c r="BE136" s="39" t="s">
        <v>125</v>
      </c>
      <c r="BF136" s="39"/>
      <c r="BG136" s="39" t="s">
        <v>180</v>
      </c>
      <c r="BH136" s="39" t="s">
        <v>152</v>
      </c>
      <c r="BI136" s="39" t="s">
        <v>125</v>
      </c>
      <c r="BJ136" s="39"/>
      <c r="BK136" s="39" t="s">
        <v>153</v>
      </c>
      <c r="BL136" s="39"/>
      <c r="BM136" s="39"/>
      <c r="BN136" s="39" t="s">
        <v>155</v>
      </c>
    </row>
    <row r="137" spans="1:66" ht="16" hidden="1">
      <c r="A137" s="39">
        <v>135</v>
      </c>
      <c r="B137" s="39" t="s">
        <v>118</v>
      </c>
      <c r="C137" s="39" t="s">
        <v>119</v>
      </c>
      <c r="D137" s="39" t="s">
        <v>120</v>
      </c>
      <c r="E137" s="39" t="s">
        <v>1639</v>
      </c>
      <c r="F137" s="39" t="s">
        <v>1359</v>
      </c>
      <c r="G137" s="39" t="s">
        <v>1640</v>
      </c>
      <c r="H137" s="39" t="s">
        <v>1641</v>
      </c>
      <c r="I137" s="39" t="s">
        <v>125</v>
      </c>
      <c r="J137" s="39" t="s">
        <v>187</v>
      </c>
      <c r="K137" s="39" t="s">
        <v>16</v>
      </c>
      <c r="L137" s="39" t="s">
        <v>188</v>
      </c>
      <c r="M137" s="39" t="s">
        <v>189</v>
      </c>
      <c r="N137" s="39" t="s">
        <v>1642</v>
      </c>
      <c r="O137" s="39"/>
      <c r="P137" s="39"/>
      <c r="Q137" s="39" t="s">
        <v>1643</v>
      </c>
      <c r="R137" s="39" t="s">
        <v>16</v>
      </c>
      <c r="S137" s="39" t="s">
        <v>1644</v>
      </c>
      <c r="T137" s="39" t="s">
        <v>130</v>
      </c>
      <c r="U137" s="39" t="s">
        <v>1645</v>
      </c>
      <c r="V137" s="39" t="s">
        <v>132</v>
      </c>
      <c r="W137" s="39" t="s">
        <v>194</v>
      </c>
      <c r="X137" s="39" t="s">
        <v>187</v>
      </c>
      <c r="Y137" s="39" t="s">
        <v>1646</v>
      </c>
      <c r="Z137" s="39" t="s">
        <v>288</v>
      </c>
      <c r="AA137" s="39" t="s">
        <v>197</v>
      </c>
      <c r="AB137" s="39" t="s">
        <v>1643</v>
      </c>
      <c r="AC137" s="39">
        <v>5428401</v>
      </c>
      <c r="AD137" s="39" t="s">
        <v>22</v>
      </c>
      <c r="AE137" s="39" t="s">
        <v>1647</v>
      </c>
      <c r="AF137" s="39" t="s">
        <v>16</v>
      </c>
      <c r="AG137" s="39" t="s">
        <v>1647</v>
      </c>
      <c r="AH137" s="39"/>
      <c r="AI137" s="43" t="s">
        <v>47</v>
      </c>
      <c r="AJ137" s="39" t="s">
        <v>140</v>
      </c>
      <c r="AK137" s="39" t="s">
        <v>125</v>
      </c>
      <c r="AL137" s="39">
        <v>2440</v>
      </c>
      <c r="AM137" s="39"/>
      <c r="AN137" s="39" t="s">
        <v>1642</v>
      </c>
      <c r="AO137" s="39" t="s">
        <v>699</v>
      </c>
      <c r="AP137" s="39" t="s">
        <v>143</v>
      </c>
      <c r="AQ137" s="39"/>
      <c r="AR137" s="39" t="s">
        <v>1648</v>
      </c>
      <c r="AS137" s="39"/>
      <c r="AT137" s="39"/>
      <c r="AU137" s="39"/>
      <c r="AV137" s="39" t="s">
        <v>1649</v>
      </c>
      <c r="AW137" s="39"/>
      <c r="AX137" s="39"/>
      <c r="AY137" s="39"/>
      <c r="AZ137" s="39"/>
      <c r="BA137" s="39">
        <v>74519968</v>
      </c>
      <c r="BB137" s="39" t="s">
        <v>149</v>
      </c>
      <c r="BC137" s="39" t="s">
        <v>150</v>
      </c>
      <c r="BD137" s="39" t="s">
        <v>179</v>
      </c>
      <c r="BE137" s="39" t="s">
        <v>125</v>
      </c>
      <c r="BF137" s="39"/>
      <c r="BG137" s="39" t="s">
        <v>180</v>
      </c>
      <c r="BH137" s="39" t="s">
        <v>149</v>
      </c>
      <c r="BI137" s="39" t="s">
        <v>125</v>
      </c>
      <c r="BJ137" s="39"/>
      <c r="BK137" s="39"/>
      <c r="BL137" s="39"/>
      <c r="BM137" s="39"/>
      <c r="BN137" s="39" t="s">
        <v>155</v>
      </c>
    </row>
    <row r="138" spans="1:66" hidden="1">
      <c r="A138" s="39">
        <v>136</v>
      </c>
      <c r="B138" s="39" t="s">
        <v>118</v>
      </c>
      <c r="C138" s="39" t="s">
        <v>119</v>
      </c>
      <c r="D138" s="39" t="s">
        <v>120</v>
      </c>
      <c r="E138" s="39" t="s">
        <v>1639</v>
      </c>
      <c r="F138" s="39" t="s">
        <v>1359</v>
      </c>
      <c r="G138" s="39" t="s">
        <v>1640</v>
      </c>
      <c r="H138" s="39" t="s">
        <v>1641</v>
      </c>
      <c r="I138" s="39" t="s">
        <v>125</v>
      </c>
      <c r="J138" s="39" t="s">
        <v>187</v>
      </c>
      <c r="K138" s="39" t="s">
        <v>16</v>
      </c>
      <c r="L138" s="39" t="s">
        <v>188</v>
      </c>
      <c r="M138" s="39" t="s">
        <v>189</v>
      </c>
      <c r="N138" s="39" t="s">
        <v>1642</v>
      </c>
      <c r="O138" s="39"/>
      <c r="P138" s="39"/>
      <c r="Q138" s="39" t="s">
        <v>1643</v>
      </c>
      <c r="R138" s="39" t="s">
        <v>16</v>
      </c>
      <c r="S138" s="39" t="s">
        <v>1644</v>
      </c>
      <c r="T138" s="39" t="s">
        <v>130</v>
      </c>
      <c r="U138" s="39" t="s">
        <v>1645</v>
      </c>
      <c r="V138" s="39" t="s">
        <v>132</v>
      </c>
      <c r="W138" s="39" t="s">
        <v>194</v>
      </c>
      <c r="X138" s="39" t="s">
        <v>187</v>
      </c>
      <c r="Y138" s="39" t="s">
        <v>1646</v>
      </c>
      <c r="Z138" s="39" t="s">
        <v>288</v>
      </c>
      <c r="AA138" s="39" t="s">
        <v>197</v>
      </c>
      <c r="AB138" s="39" t="s">
        <v>1643</v>
      </c>
      <c r="AC138" s="39">
        <v>5428398</v>
      </c>
      <c r="AD138" s="39" t="s">
        <v>16</v>
      </c>
      <c r="AE138" s="39" t="s">
        <v>1647</v>
      </c>
      <c r="AF138" s="39" t="s">
        <v>16</v>
      </c>
      <c r="AG138" s="39" t="s">
        <v>1647</v>
      </c>
      <c r="AH138" s="39" t="s">
        <v>200</v>
      </c>
      <c r="AI138" s="39" t="s">
        <v>201</v>
      </c>
      <c r="AJ138" s="39" t="s">
        <v>140</v>
      </c>
      <c r="AK138" s="39" t="s">
        <v>125</v>
      </c>
      <c r="AL138" s="39">
        <v>2440</v>
      </c>
      <c r="AM138" s="39"/>
      <c r="AN138" s="39" t="s">
        <v>1642</v>
      </c>
      <c r="AO138" s="39" t="s">
        <v>142</v>
      </c>
      <c r="AP138" s="39" t="s">
        <v>143</v>
      </c>
      <c r="AQ138" s="39" t="s">
        <v>345</v>
      </c>
      <c r="AR138" s="39" t="s">
        <v>1648</v>
      </c>
      <c r="AS138" s="39" t="s">
        <v>1650</v>
      </c>
      <c r="AT138" s="39" t="s">
        <v>348</v>
      </c>
      <c r="AU138" s="39"/>
      <c r="AV138" s="39" t="s">
        <v>1649</v>
      </c>
      <c r="AW138" s="39"/>
      <c r="AX138" s="39"/>
      <c r="AY138" s="39"/>
      <c r="AZ138" s="39"/>
      <c r="BA138" s="39">
        <v>74519968</v>
      </c>
      <c r="BB138" s="39" t="s">
        <v>149</v>
      </c>
      <c r="BC138" s="39" t="s">
        <v>150</v>
      </c>
      <c r="BD138" s="39" t="s">
        <v>179</v>
      </c>
      <c r="BE138" s="39" t="s">
        <v>125</v>
      </c>
      <c r="BF138" s="39"/>
      <c r="BG138" s="39" t="s">
        <v>180</v>
      </c>
      <c r="BH138" s="39" t="s">
        <v>152</v>
      </c>
      <c r="BI138" s="39" t="s">
        <v>125</v>
      </c>
      <c r="BJ138" s="39"/>
      <c r="BK138" s="39" t="s">
        <v>153</v>
      </c>
      <c r="BL138" s="39"/>
      <c r="BM138" s="39"/>
      <c r="BN138" s="39" t="s">
        <v>155</v>
      </c>
    </row>
    <row r="139" spans="1:66" hidden="1">
      <c r="A139" s="39">
        <v>137</v>
      </c>
      <c r="B139" s="39" t="s">
        <v>118</v>
      </c>
      <c r="C139" s="39" t="s">
        <v>119</v>
      </c>
      <c r="D139" s="39" t="s">
        <v>1651</v>
      </c>
      <c r="E139" s="39" t="s">
        <v>1652</v>
      </c>
      <c r="F139" s="39" t="s">
        <v>1653</v>
      </c>
      <c r="G139" s="39" t="s">
        <v>1654</v>
      </c>
      <c r="H139" s="39" t="s">
        <v>1655</v>
      </c>
      <c r="I139" s="39"/>
      <c r="J139" s="39" t="s">
        <v>487</v>
      </c>
      <c r="K139" s="39" t="s">
        <v>16</v>
      </c>
      <c r="L139" s="39" t="s">
        <v>188</v>
      </c>
      <c r="M139" s="39" t="s">
        <v>356</v>
      </c>
      <c r="N139" s="39" t="s">
        <v>1656</v>
      </c>
      <c r="O139" s="39"/>
      <c r="P139" s="39"/>
      <c r="Q139" s="39" t="s">
        <v>1651</v>
      </c>
      <c r="R139" s="39" t="s">
        <v>16</v>
      </c>
      <c r="S139" s="39" t="s">
        <v>1657</v>
      </c>
      <c r="T139" s="39" t="s">
        <v>359</v>
      </c>
      <c r="U139" s="39" t="s">
        <v>1658</v>
      </c>
      <c r="V139" s="39" t="s">
        <v>132</v>
      </c>
      <c r="W139" s="39" t="s">
        <v>133</v>
      </c>
      <c r="X139" s="39" t="s">
        <v>487</v>
      </c>
      <c r="Y139" s="39" t="s">
        <v>492</v>
      </c>
      <c r="Z139" s="39" t="s">
        <v>1659</v>
      </c>
      <c r="AA139" s="39" t="s">
        <v>1660</v>
      </c>
      <c r="AB139" s="39" t="s">
        <v>1651</v>
      </c>
      <c r="AC139" s="39">
        <v>5428133</v>
      </c>
      <c r="AD139" s="39" t="s">
        <v>16</v>
      </c>
      <c r="AE139" s="39" t="s">
        <v>1661</v>
      </c>
      <c r="AF139" s="39" t="s">
        <v>16</v>
      </c>
      <c r="AG139" s="39" t="s">
        <v>1662</v>
      </c>
      <c r="AH139" s="39" t="s">
        <v>1663</v>
      </c>
      <c r="AI139" s="39" t="s">
        <v>1664</v>
      </c>
      <c r="AJ139" s="39" t="s">
        <v>140</v>
      </c>
      <c r="AK139" s="39" t="s">
        <v>125</v>
      </c>
      <c r="AL139" s="39">
        <v>24500</v>
      </c>
      <c r="AM139" s="39"/>
      <c r="AN139" s="39" t="s">
        <v>1653</v>
      </c>
      <c r="AO139" s="39" t="s">
        <v>367</v>
      </c>
      <c r="AP139" s="39" t="s">
        <v>143</v>
      </c>
      <c r="AQ139" s="39"/>
      <c r="AR139" s="39" t="s">
        <v>1665</v>
      </c>
      <c r="AS139" s="39"/>
      <c r="AT139" s="39" t="s">
        <v>348</v>
      </c>
      <c r="AU139" s="39"/>
      <c r="AV139" s="39" t="s">
        <v>1666</v>
      </c>
      <c r="AW139" s="39"/>
      <c r="AX139" s="39"/>
      <c r="AY139" s="39"/>
      <c r="AZ139" s="39"/>
      <c r="BA139" s="39">
        <v>48681130</v>
      </c>
      <c r="BB139" s="39" t="s">
        <v>149</v>
      </c>
      <c r="BC139" s="39" t="s">
        <v>150</v>
      </c>
      <c r="BD139" s="39" t="s">
        <v>661</v>
      </c>
      <c r="BE139" s="39" t="s">
        <v>125</v>
      </c>
      <c r="BF139" s="39"/>
      <c r="BG139" s="39" t="s">
        <v>298</v>
      </c>
      <c r="BH139" s="39" t="s">
        <v>152</v>
      </c>
      <c r="BI139" s="39" t="s">
        <v>125</v>
      </c>
      <c r="BJ139" s="39"/>
      <c r="BK139" s="39"/>
      <c r="BL139" s="39"/>
      <c r="BM139" s="39" t="s">
        <v>154</v>
      </c>
      <c r="BN139" s="39" t="s">
        <v>356</v>
      </c>
    </row>
    <row r="140" spans="1:66" hidden="1">
      <c r="A140" s="39">
        <v>138</v>
      </c>
      <c r="B140" s="39" t="s">
        <v>118</v>
      </c>
      <c r="C140" s="39" t="s">
        <v>119</v>
      </c>
      <c r="D140" s="39" t="s">
        <v>1667</v>
      </c>
      <c r="E140" s="39" t="s">
        <v>1668</v>
      </c>
      <c r="F140" s="39" t="s">
        <v>1669</v>
      </c>
      <c r="G140" s="39" t="s">
        <v>1670</v>
      </c>
      <c r="H140" s="39" t="s">
        <v>1671</v>
      </c>
      <c r="I140" s="39"/>
      <c r="J140" s="39" t="s">
        <v>418</v>
      </c>
      <c r="K140" s="39" t="s">
        <v>16</v>
      </c>
      <c r="L140" s="39" t="s">
        <v>188</v>
      </c>
      <c r="M140" s="39" t="s">
        <v>356</v>
      </c>
      <c r="N140" s="39" t="s">
        <v>1672</v>
      </c>
      <c r="O140" s="39"/>
      <c r="P140" s="39"/>
      <c r="Q140" s="39" t="s">
        <v>1667</v>
      </c>
      <c r="R140" s="39" t="s">
        <v>16</v>
      </c>
      <c r="S140" s="39" t="s">
        <v>1673</v>
      </c>
      <c r="T140" s="39" t="s">
        <v>359</v>
      </c>
      <c r="U140" s="39" t="s">
        <v>1674</v>
      </c>
      <c r="V140" s="39" t="s">
        <v>132</v>
      </c>
      <c r="W140" s="39" t="s">
        <v>1675</v>
      </c>
      <c r="X140" s="39" t="s">
        <v>418</v>
      </c>
      <c r="Y140" s="39" t="s">
        <v>1676</v>
      </c>
      <c r="Z140" s="39" t="s">
        <v>1677</v>
      </c>
      <c r="AA140" s="39" t="s">
        <v>1678</v>
      </c>
      <c r="AB140" s="39" t="s">
        <v>1667</v>
      </c>
      <c r="AC140" s="39">
        <v>5404661</v>
      </c>
      <c r="AD140" s="39" t="s">
        <v>16</v>
      </c>
      <c r="AE140" s="39" t="s">
        <v>1679</v>
      </c>
      <c r="AF140" s="39" t="s">
        <v>16</v>
      </c>
      <c r="AG140" s="39" t="s">
        <v>1680</v>
      </c>
      <c r="AH140" s="39" t="s">
        <v>1681</v>
      </c>
      <c r="AI140" s="39" t="s">
        <v>1682</v>
      </c>
      <c r="AJ140" s="39" t="s">
        <v>140</v>
      </c>
      <c r="AK140" s="39" t="s">
        <v>125</v>
      </c>
      <c r="AL140" s="39">
        <v>168000</v>
      </c>
      <c r="AM140" s="39"/>
      <c r="AN140" s="39" t="s">
        <v>1669</v>
      </c>
      <c r="AO140" s="39" t="s">
        <v>367</v>
      </c>
      <c r="AP140" s="39" t="s">
        <v>143</v>
      </c>
      <c r="AQ140" s="39"/>
      <c r="AR140" s="39" t="s">
        <v>1683</v>
      </c>
      <c r="AS140" s="39"/>
      <c r="AT140" s="39" t="s">
        <v>348</v>
      </c>
      <c r="AU140" s="39"/>
      <c r="AV140" s="39" t="s">
        <v>1684</v>
      </c>
      <c r="AW140" s="39"/>
      <c r="AX140" s="39"/>
      <c r="AY140" s="39"/>
      <c r="AZ140" s="39"/>
      <c r="BA140" s="39">
        <v>58499929</v>
      </c>
      <c r="BB140" s="39" t="s">
        <v>149</v>
      </c>
      <c r="BC140" s="39" t="s">
        <v>435</v>
      </c>
      <c r="BD140" s="39" t="s">
        <v>1685</v>
      </c>
      <c r="BE140" s="39" t="s">
        <v>1686</v>
      </c>
      <c r="BF140" s="39"/>
      <c r="BG140" s="39" t="s">
        <v>298</v>
      </c>
      <c r="BH140" s="39" t="s">
        <v>152</v>
      </c>
      <c r="BI140" s="39" t="s">
        <v>125</v>
      </c>
      <c r="BJ140" s="39"/>
      <c r="BK140" s="39"/>
      <c r="BL140" s="39"/>
      <c r="BM140" s="39" t="s">
        <v>154</v>
      </c>
      <c r="BN140" s="39" t="s">
        <v>356</v>
      </c>
    </row>
    <row r="141" spans="1:66" hidden="1">
      <c r="A141" s="39">
        <v>139</v>
      </c>
      <c r="B141" s="39" t="s">
        <v>118</v>
      </c>
      <c r="C141" s="39" t="s">
        <v>119</v>
      </c>
      <c r="D141" s="39" t="s">
        <v>1687</v>
      </c>
      <c r="E141" s="39" t="s">
        <v>1688</v>
      </c>
      <c r="F141" s="39" t="s">
        <v>336</v>
      </c>
      <c r="G141" s="39" t="s">
        <v>1689</v>
      </c>
      <c r="H141" s="39" t="s">
        <v>1690</v>
      </c>
      <c r="I141" s="39" t="s">
        <v>125</v>
      </c>
      <c r="J141" s="39" t="s">
        <v>355</v>
      </c>
      <c r="K141" s="39" t="s">
        <v>22</v>
      </c>
      <c r="L141" s="39" t="s">
        <v>188</v>
      </c>
      <c r="M141" s="39" t="s">
        <v>189</v>
      </c>
      <c r="N141" s="39" t="s">
        <v>1691</v>
      </c>
      <c r="O141" s="39"/>
      <c r="P141" s="39"/>
      <c r="Q141" s="39" t="s">
        <v>1692</v>
      </c>
      <c r="R141" s="39" t="s">
        <v>22</v>
      </c>
      <c r="S141" s="39" t="s">
        <v>1693</v>
      </c>
      <c r="T141" s="39" t="s">
        <v>130</v>
      </c>
      <c r="U141" s="39" t="s">
        <v>1694</v>
      </c>
      <c r="V141" s="39" t="s">
        <v>132</v>
      </c>
      <c r="W141" s="39" t="s">
        <v>168</v>
      </c>
      <c r="X141" s="39" t="s">
        <v>355</v>
      </c>
      <c r="Y141" s="39" t="s">
        <v>1695</v>
      </c>
      <c r="Z141" s="39" t="s">
        <v>1696</v>
      </c>
      <c r="AA141" s="39" t="s">
        <v>1697</v>
      </c>
      <c r="AB141" s="39" t="s">
        <v>1692</v>
      </c>
      <c r="AC141" s="39">
        <v>5404610</v>
      </c>
      <c r="AD141" s="39" t="s">
        <v>22</v>
      </c>
      <c r="AE141" s="39" t="s">
        <v>1698</v>
      </c>
      <c r="AF141" s="39" t="s">
        <v>22</v>
      </c>
      <c r="AG141" s="39" t="s">
        <v>1698</v>
      </c>
      <c r="AH141" s="39" t="s">
        <v>217</v>
      </c>
      <c r="AI141" s="39" t="s">
        <v>218</v>
      </c>
      <c r="AJ141" s="39" t="s">
        <v>140</v>
      </c>
      <c r="AK141" s="39" t="s">
        <v>125</v>
      </c>
      <c r="AL141" s="39">
        <v>19300</v>
      </c>
      <c r="AM141" s="39"/>
      <c r="AN141" s="39" t="s">
        <v>1691</v>
      </c>
      <c r="AO141" s="39" t="s">
        <v>142</v>
      </c>
      <c r="AP141" s="39" t="s">
        <v>143</v>
      </c>
      <c r="AQ141" s="39" t="s">
        <v>144</v>
      </c>
      <c r="AR141" s="39" t="s">
        <v>1699</v>
      </c>
      <c r="AS141" s="39" t="s">
        <v>1700</v>
      </c>
      <c r="AT141" s="39" t="s">
        <v>348</v>
      </c>
      <c r="AU141" s="39"/>
      <c r="AV141" s="39" t="s">
        <v>1701</v>
      </c>
      <c r="AW141" s="39"/>
      <c r="AX141" s="39"/>
      <c r="AY141" s="39"/>
      <c r="AZ141" s="39"/>
      <c r="BA141" s="39">
        <v>69359931</v>
      </c>
      <c r="BB141" s="39" t="s">
        <v>149</v>
      </c>
      <c r="BC141" s="39" t="s">
        <v>150</v>
      </c>
      <c r="BD141" s="39" t="s">
        <v>125</v>
      </c>
      <c r="BE141" s="39" t="s">
        <v>125</v>
      </c>
      <c r="BF141" s="39"/>
      <c r="BG141" s="39" t="s">
        <v>622</v>
      </c>
      <c r="BH141" s="39" t="s">
        <v>152</v>
      </c>
      <c r="BI141" s="39" t="s">
        <v>125</v>
      </c>
      <c r="BJ141" s="39"/>
      <c r="BK141" s="39" t="s">
        <v>153</v>
      </c>
      <c r="BL141" s="39"/>
      <c r="BM141" s="39" t="s">
        <v>154</v>
      </c>
      <c r="BN141" s="39" t="s">
        <v>155</v>
      </c>
    </row>
    <row r="142" spans="1:66" hidden="1">
      <c r="A142" s="39">
        <v>140</v>
      </c>
      <c r="B142" s="39" t="s">
        <v>118</v>
      </c>
      <c r="C142" s="39" t="s">
        <v>119</v>
      </c>
      <c r="D142" s="39" t="s">
        <v>1702</v>
      </c>
      <c r="E142" s="39" t="s">
        <v>1703</v>
      </c>
      <c r="F142" s="39" t="s">
        <v>208</v>
      </c>
      <c r="G142" s="39" t="s">
        <v>1704</v>
      </c>
      <c r="H142" s="39" t="s">
        <v>244</v>
      </c>
      <c r="I142" s="39" t="s">
        <v>245</v>
      </c>
      <c r="J142" s="39" t="s">
        <v>187</v>
      </c>
      <c r="K142" s="39" t="s">
        <v>28</v>
      </c>
      <c r="L142" s="39" t="s">
        <v>211</v>
      </c>
      <c r="M142" s="39" t="s">
        <v>212</v>
      </c>
      <c r="N142" s="39" t="s">
        <v>125</v>
      </c>
      <c r="O142" s="39"/>
      <c r="P142" s="39"/>
      <c r="Q142" s="39" t="s">
        <v>1705</v>
      </c>
      <c r="R142" s="39" t="s">
        <v>28</v>
      </c>
      <c r="S142" s="39" t="s">
        <v>1706</v>
      </c>
      <c r="T142" s="39" t="s">
        <v>130</v>
      </c>
      <c r="U142" s="39" t="s">
        <v>1707</v>
      </c>
      <c r="V142" s="39" t="s">
        <v>167</v>
      </c>
      <c r="W142" s="39" t="s">
        <v>194</v>
      </c>
      <c r="X142" s="39" t="s">
        <v>187</v>
      </c>
      <c r="Y142" s="39" t="s">
        <v>169</v>
      </c>
      <c r="Z142" s="39" t="s">
        <v>169</v>
      </c>
      <c r="AA142" s="39" t="s">
        <v>169</v>
      </c>
      <c r="AB142" s="39" t="s">
        <v>1705</v>
      </c>
      <c r="AC142" s="39">
        <v>5404607</v>
      </c>
      <c r="AD142" s="39" t="s">
        <v>28</v>
      </c>
      <c r="AE142" s="39" t="s">
        <v>1708</v>
      </c>
      <c r="AF142" s="39" t="s">
        <v>28</v>
      </c>
      <c r="AG142" s="39" t="s">
        <v>1709</v>
      </c>
      <c r="AH142" s="39" t="s">
        <v>409</v>
      </c>
      <c r="AI142" s="39" t="s">
        <v>410</v>
      </c>
      <c r="AJ142" s="39" t="s">
        <v>140</v>
      </c>
      <c r="AK142" s="39" t="s">
        <v>125</v>
      </c>
      <c r="AL142" s="39">
        <v>3998.9</v>
      </c>
      <c r="AM142" s="39"/>
      <c r="AN142" s="39" t="s">
        <v>125</v>
      </c>
      <c r="AO142" s="39" t="s">
        <v>142</v>
      </c>
      <c r="AP142" s="39" t="s">
        <v>143</v>
      </c>
      <c r="AQ142" s="39" t="s">
        <v>144</v>
      </c>
      <c r="AR142" s="39" t="s">
        <v>1710</v>
      </c>
      <c r="AS142" s="39" t="s">
        <v>1711</v>
      </c>
      <c r="AT142" s="39" t="s">
        <v>348</v>
      </c>
      <c r="AU142" s="39"/>
      <c r="AV142" s="39" t="s">
        <v>1712</v>
      </c>
      <c r="AW142" s="39"/>
      <c r="AX142" s="39"/>
      <c r="AY142" s="39"/>
      <c r="AZ142" s="39"/>
      <c r="BA142" s="39">
        <v>74551920</v>
      </c>
      <c r="BB142" s="39" t="s">
        <v>149</v>
      </c>
      <c r="BC142" s="39" t="s">
        <v>150</v>
      </c>
      <c r="BD142" s="39" t="s">
        <v>179</v>
      </c>
      <c r="BE142" s="39" t="s">
        <v>125</v>
      </c>
      <c r="BF142" s="39"/>
      <c r="BG142" s="39" t="s">
        <v>637</v>
      </c>
      <c r="BH142" s="39" t="s">
        <v>152</v>
      </c>
      <c r="BI142" s="39" t="s">
        <v>125</v>
      </c>
      <c r="BJ142" s="39"/>
      <c r="BK142" s="39" t="s">
        <v>153</v>
      </c>
      <c r="BL142" s="39"/>
      <c r="BM142" s="39"/>
      <c r="BN142" s="39" t="s">
        <v>212</v>
      </c>
    </row>
    <row r="143" spans="1:66" hidden="1">
      <c r="A143" s="39">
        <v>141</v>
      </c>
      <c r="B143" s="39" t="s">
        <v>118</v>
      </c>
      <c r="C143" s="39" t="s">
        <v>119</v>
      </c>
      <c r="D143" s="39" t="s">
        <v>1702</v>
      </c>
      <c r="E143" s="39" t="s">
        <v>1703</v>
      </c>
      <c r="F143" s="39" t="s">
        <v>208</v>
      </c>
      <c r="G143" s="39" t="s">
        <v>1704</v>
      </c>
      <c r="H143" s="39" t="s">
        <v>244</v>
      </c>
      <c r="I143" s="39" t="s">
        <v>245</v>
      </c>
      <c r="J143" s="39" t="s">
        <v>187</v>
      </c>
      <c r="K143" s="39" t="s">
        <v>28</v>
      </c>
      <c r="L143" s="39" t="s">
        <v>211</v>
      </c>
      <c r="M143" s="39" t="s">
        <v>212</v>
      </c>
      <c r="N143" s="39" t="s">
        <v>125</v>
      </c>
      <c r="O143" s="39"/>
      <c r="P143" s="39"/>
      <c r="Q143" s="39" t="s">
        <v>1705</v>
      </c>
      <c r="R143" s="39" t="s">
        <v>28</v>
      </c>
      <c r="S143" s="39" t="s">
        <v>1706</v>
      </c>
      <c r="T143" s="39" t="s">
        <v>130</v>
      </c>
      <c r="U143" s="39" t="s">
        <v>1707</v>
      </c>
      <c r="V143" s="39" t="s">
        <v>167</v>
      </c>
      <c r="W143" s="39" t="s">
        <v>194</v>
      </c>
      <c r="X143" s="39" t="s">
        <v>187</v>
      </c>
      <c r="Y143" s="39" t="s">
        <v>169</v>
      </c>
      <c r="Z143" s="39" t="s">
        <v>169</v>
      </c>
      <c r="AA143" s="39" t="s">
        <v>169</v>
      </c>
      <c r="AB143" s="39" t="s">
        <v>1705</v>
      </c>
      <c r="AC143" s="39">
        <v>5404607</v>
      </c>
      <c r="AD143" s="39" t="s">
        <v>28</v>
      </c>
      <c r="AE143" s="39" t="s">
        <v>1708</v>
      </c>
      <c r="AF143" s="39" t="s">
        <v>28</v>
      </c>
      <c r="AG143" s="39" t="s">
        <v>1709</v>
      </c>
      <c r="AH143" s="39" t="s">
        <v>271</v>
      </c>
      <c r="AI143" s="39" t="s">
        <v>173</v>
      </c>
      <c r="AJ143" s="39" t="s">
        <v>140</v>
      </c>
      <c r="AK143" s="39" t="s">
        <v>125</v>
      </c>
      <c r="AL143" s="39">
        <v>4802.1000000000004</v>
      </c>
      <c r="AM143" s="39"/>
      <c r="AN143" s="39" t="s">
        <v>125</v>
      </c>
      <c r="AO143" s="39" t="s">
        <v>142</v>
      </c>
      <c r="AP143" s="39" t="s">
        <v>143</v>
      </c>
      <c r="AQ143" s="39" t="s">
        <v>144</v>
      </c>
      <c r="AR143" s="39" t="s">
        <v>1710</v>
      </c>
      <c r="AS143" s="39" t="s">
        <v>1713</v>
      </c>
      <c r="AT143" s="39" t="s">
        <v>348</v>
      </c>
      <c r="AU143" s="39"/>
      <c r="AV143" s="39" t="s">
        <v>1712</v>
      </c>
      <c r="AW143" s="39"/>
      <c r="AX143" s="39"/>
      <c r="AY143" s="39"/>
      <c r="AZ143" s="39"/>
      <c r="BA143" s="39">
        <v>74551920</v>
      </c>
      <c r="BB143" s="39" t="s">
        <v>149</v>
      </c>
      <c r="BC143" s="39" t="s">
        <v>150</v>
      </c>
      <c r="BD143" s="39" t="s">
        <v>179</v>
      </c>
      <c r="BE143" s="39" t="s">
        <v>125</v>
      </c>
      <c r="BF143" s="39"/>
      <c r="BG143" s="39" t="s">
        <v>637</v>
      </c>
      <c r="BH143" s="39" t="s">
        <v>152</v>
      </c>
      <c r="BI143" s="39" t="s">
        <v>125</v>
      </c>
      <c r="BJ143" s="39"/>
      <c r="BK143" s="39" t="s">
        <v>153</v>
      </c>
      <c r="BL143" s="39"/>
      <c r="BM143" s="39"/>
      <c r="BN143" s="39" t="s">
        <v>212</v>
      </c>
    </row>
    <row r="144" spans="1:66" hidden="1">
      <c r="A144" s="39">
        <v>142</v>
      </c>
      <c r="B144" s="39" t="s">
        <v>118</v>
      </c>
      <c r="C144" s="39" t="s">
        <v>119</v>
      </c>
      <c r="D144" s="39" t="s">
        <v>1702</v>
      </c>
      <c r="E144" s="39" t="s">
        <v>1703</v>
      </c>
      <c r="F144" s="39" t="s">
        <v>208</v>
      </c>
      <c r="G144" s="39" t="s">
        <v>1704</v>
      </c>
      <c r="H144" s="39" t="s">
        <v>244</v>
      </c>
      <c r="I144" s="39" t="s">
        <v>245</v>
      </c>
      <c r="J144" s="39" t="s">
        <v>187</v>
      </c>
      <c r="K144" s="39" t="s">
        <v>28</v>
      </c>
      <c r="L144" s="39" t="s">
        <v>211</v>
      </c>
      <c r="M144" s="39" t="s">
        <v>212</v>
      </c>
      <c r="N144" s="39" t="s">
        <v>125</v>
      </c>
      <c r="O144" s="39"/>
      <c r="P144" s="39"/>
      <c r="Q144" s="39" t="s">
        <v>1705</v>
      </c>
      <c r="R144" s="39" t="s">
        <v>28</v>
      </c>
      <c r="S144" s="39" t="s">
        <v>1706</v>
      </c>
      <c r="T144" s="39" t="s">
        <v>130</v>
      </c>
      <c r="U144" s="39" t="s">
        <v>1707</v>
      </c>
      <c r="V144" s="39" t="s">
        <v>167</v>
      </c>
      <c r="W144" s="39" t="s">
        <v>194</v>
      </c>
      <c r="X144" s="39" t="s">
        <v>187</v>
      </c>
      <c r="Y144" s="39" t="s">
        <v>169</v>
      </c>
      <c r="Z144" s="39" t="s">
        <v>169</v>
      </c>
      <c r="AA144" s="39" t="s">
        <v>169</v>
      </c>
      <c r="AB144" s="39" t="s">
        <v>1705</v>
      </c>
      <c r="AC144" s="39">
        <v>5404607</v>
      </c>
      <c r="AD144" s="39" t="s">
        <v>28</v>
      </c>
      <c r="AE144" s="39" t="s">
        <v>1708</v>
      </c>
      <c r="AF144" s="39" t="s">
        <v>28</v>
      </c>
      <c r="AG144" s="39" t="s">
        <v>1709</v>
      </c>
      <c r="AH144" s="39" t="s">
        <v>412</v>
      </c>
      <c r="AI144" s="39" t="s">
        <v>413</v>
      </c>
      <c r="AJ144" s="39" t="s">
        <v>140</v>
      </c>
      <c r="AK144" s="39" t="s">
        <v>125</v>
      </c>
      <c r="AL144" s="39">
        <v>3999</v>
      </c>
      <c r="AM144" s="39"/>
      <c r="AN144" s="39" t="s">
        <v>125</v>
      </c>
      <c r="AO144" s="39" t="s">
        <v>142</v>
      </c>
      <c r="AP144" s="39" t="s">
        <v>143</v>
      </c>
      <c r="AQ144" s="39" t="s">
        <v>144</v>
      </c>
      <c r="AR144" s="39" t="s">
        <v>1710</v>
      </c>
      <c r="AS144" s="39" t="s">
        <v>1714</v>
      </c>
      <c r="AT144" s="39" t="s">
        <v>348</v>
      </c>
      <c r="AU144" s="39"/>
      <c r="AV144" s="39" t="s">
        <v>1712</v>
      </c>
      <c r="AW144" s="39"/>
      <c r="AX144" s="39"/>
      <c r="AY144" s="39"/>
      <c r="AZ144" s="39"/>
      <c r="BA144" s="39">
        <v>74551920</v>
      </c>
      <c r="BB144" s="39" t="s">
        <v>149</v>
      </c>
      <c r="BC144" s="39" t="s">
        <v>150</v>
      </c>
      <c r="BD144" s="39" t="s">
        <v>179</v>
      </c>
      <c r="BE144" s="39" t="s">
        <v>125</v>
      </c>
      <c r="BF144" s="39"/>
      <c r="BG144" s="39" t="s">
        <v>637</v>
      </c>
      <c r="BH144" s="39" t="s">
        <v>152</v>
      </c>
      <c r="BI144" s="39" t="s">
        <v>125</v>
      </c>
      <c r="BJ144" s="39"/>
      <c r="BK144" s="39" t="s">
        <v>153</v>
      </c>
      <c r="BL144" s="39"/>
      <c r="BM144" s="39"/>
      <c r="BN144" s="39" t="s">
        <v>212</v>
      </c>
    </row>
    <row r="145" spans="1:66" hidden="1">
      <c r="A145" s="39">
        <v>143</v>
      </c>
      <c r="B145" s="39" t="s">
        <v>118</v>
      </c>
      <c r="C145" s="39" t="s">
        <v>119</v>
      </c>
      <c r="D145" s="39" t="s">
        <v>168</v>
      </c>
      <c r="E145" s="39" t="s">
        <v>1715</v>
      </c>
      <c r="F145" s="39" t="s">
        <v>794</v>
      </c>
      <c r="G145" s="39" t="s">
        <v>1716</v>
      </c>
      <c r="H145" s="39" t="s">
        <v>1717</v>
      </c>
      <c r="I145" s="39" t="s">
        <v>125</v>
      </c>
      <c r="J145" s="39" t="s">
        <v>187</v>
      </c>
      <c r="K145" s="39" t="s">
        <v>794</v>
      </c>
      <c r="L145" s="39" t="s">
        <v>305</v>
      </c>
      <c r="M145" s="39" t="s">
        <v>306</v>
      </c>
      <c r="N145" s="39" t="s">
        <v>125</v>
      </c>
      <c r="O145" s="39" t="s">
        <v>794</v>
      </c>
      <c r="P145" s="39" t="s">
        <v>1718</v>
      </c>
      <c r="Q145" s="39" t="s">
        <v>1719</v>
      </c>
      <c r="R145" s="39" t="s">
        <v>16</v>
      </c>
      <c r="S145" s="39" t="s">
        <v>1720</v>
      </c>
      <c r="T145" s="39" t="s">
        <v>130</v>
      </c>
      <c r="U145" s="39" t="s">
        <v>1721</v>
      </c>
      <c r="V145" s="39" t="s">
        <v>132</v>
      </c>
      <c r="W145" s="39" t="s">
        <v>399</v>
      </c>
      <c r="X145" s="39" t="s">
        <v>187</v>
      </c>
      <c r="Y145" s="39" t="s">
        <v>1324</v>
      </c>
      <c r="Z145" s="39" t="s">
        <v>196</v>
      </c>
      <c r="AA145" s="39" t="s">
        <v>197</v>
      </c>
      <c r="AB145" s="39" t="s">
        <v>1719</v>
      </c>
      <c r="AC145" s="39">
        <v>5404382</v>
      </c>
      <c r="AD145" s="39" t="s">
        <v>16</v>
      </c>
      <c r="AE145" s="39" t="s">
        <v>1722</v>
      </c>
      <c r="AF145" s="39" t="s">
        <v>16</v>
      </c>
      <c r="AG145" s="39" t="s">
        <v>1722</v>
      </c>
      <c r="AH145" s="39" t="s">
        <v>291</v>
      </c>
      <c r="AI145" s="39" t="s">
        <v>292</v>
      </c>
      <c r="AJ145" s="39" t="s">
        <v>140</v>
      </c>
      <c r="AK145" s="39" t="s">
        <v>125</v>
      </c>
      <c r="AL145" s="39">
        <v>5680</v>
      </c>
      <c r="AM145" s="39"/>
      <c r="AN145" s="39" t="s">
        <v>125</v>
      </c>
      <c r="AO145" s="39" t="s">
        <v>142</v>
      </c>
      <c r="AP145" s="39" t="s">
        <v>143</v>
      </c>
      <c r="AQ145" s="39" t="s">
        <v>144</v>
      </c>
      <c r="AR145" s="39" t="s">
        <v>1723</v>
      </c>
      <c r="AS145" s="39" t="s">
        <v>1724</v>
      </c>
      <c r="AT145" s="39" t="s">
        <v>348</v>
      </c>
      <c r="AU145" s="39"/>
      <c r="AV145" s="39" t="s">
        <v>1725</v>
      </c>
      <c r="AW145" s="39"/>
      <c r="AX145" s="39"/>
      <c r="AY145" s="39"/>
      <c r="AZ145" s="39"/>
      <c r="BA145" s="39">
        <v>80589207</v>
      </c>
      <c r="BB145" s="39" t="s">
        <v>149</v>
      </c>
      <c r="BC145" s="39" t="s">
        <v>150</v>
      </c>
      <c r="BD145" s="39" t="s">
        <v>139</v>
      </c>
      <c r="BE145" s="39" t="s">
        <v>125</v>
      </c>
      <c r="BF145" s="39"/>
      <c r="BG145" s="39" t="s">
        <v>180</v>
      </c>
      <c r="BH145" s="39" t="s">
        <v>152</v>
      </c>
      <c r="BI145" s="39" t="s">
        <v>125</v>
      </c>
      <c r="BJ145" s="39"/>
      <c r="BK145" s="39" t="s">
        <v>153</v>
      </c>
      <c r="BL145" s="39"/>
      <c r="BM145" s="39"/>
      <c r="BN145" s="39" t="s">
        <v>155</v>
      </c>
    </row>
    <row r="146" spans="1:66" hidden="1">
      <c r="A146" s="39">
        <v>144</v>
      </c>
      <c r="B146" s="39" t="s">
        <v>118</v>
      </c>
      <c r="C146" s="39" t="s">
        <v>119</v>
      </c>
      <c r="D146" s="39" t="s">
        <v>1726</v>
      </c>
      <c r="E146" s="39" t="s">
        <v>1727</v>
      </c>
      <c r="F146" s="39" t="s">
        <v>258</v>
      </c>
      <c r="G146" s="39" t="s">
        <v>1728</v>
      </c>
      <c r="H146" s="39" t="s">
        <v>1729</v>
      </c>
      <c r="I146" s="39" t="s">
        <v>261</v>
      </c>
      <c r="J146" s="39"/>
      <c r="K146" s="39" t="s">
        <v>262</v>
      </c>
      <c r="L146" s="39" t="s">
        <v>263</v>
      </c>
      <c r="M146" s="39" t="s">
        <v>264</v>
      </c>
      <c r="N146" s="39" t="s">
        <v>125</v>
      </c>
      <c r="O146" s="39" t="s">
        <v>262</v>
      </c>
      <c r="P146" s="39" t="s">
        <v>1730</v>
      </c>
      <c r="Q146" s="39" t="s">
        <v>1731</v>
      </c>
      <c r="R146" s="39" t="s">
        <v>16</v>
      </c>
      <c r="S146" s="39" t="s">
        <v>1732</v>
      </c>
      <c r="T146" s="39" t="s">
        <v>130</v>
      </c>
      <c r="U146" s="39" t="s">
        <v>1733</v>
      </c>
      <c r="V146" s="39" t="s">
        <v>132</v>
      </c>
      <c r="W146" s="39" t="s">
        <v>194</v>
      </c>
      <c r="X146" s="39" t="s">
        <v>187</v>
      </c>
      <c r="Y146" s="39" t="s">
        <v>1734</v>
      </c>
      <c r="Z146" s="39" t="s">
        <v>196</v>
      </c>
      <c r="AA146" s="39" t="s">
        <v>197</v>
      </c>
      <c r="AB146" s="39" t="s">
        <v>1731</v>
      </c>
      <c r="AC146" s="39">
        <v>5397353</v>
      </c>
      <c r="AD146" s="39" t="s">
        <v>16</v>
      </c>
      <c r="AE146" s="39" t="s">
        <v>1735</v>
      </c>
      <c r="AF146" s="39" t="s">
        <v>16</v>
      </c>
      <c r="AG146" s="39" t="s">
        <v>1735</v>
      </c>
      <c r="AH146" s="39" t="s">
        <v>200</v>
      </c>
      <c r="AI146" s="39" t="s">
        <v>201</v>
      </c>
      <c r="AJ146" s="39" t="s">
        <v>140</v>
      </c>
      <c r="AK146" s="39" t="s">
        <v>125</v>
      </c>
      <c r="AL146" s="39">
        <v>5180</v>
      </c>
      <c r="AM146" s="39"/>
      <c r="AN146" s="39" t="s">
        <v>125</v>
      </c>
      <c r="AO146" s="39" t="s">
        <v>142</v>
      </c>
      <c r="AP146" s="39" t="s">
        <v>143</v>
      </c>
      <c r="AQ146" s="39" t="s">
        <v>345</v>
      </c>
      <c r="AR146" s="39" t="s">
        <v>1736</v>
      </c>
      <c r="AS146" s="39" t="s">
        <v>1737</v>
      </c>
      <c r="AT146" s="39" t="s">
        <v>348</v>
      </c>
      <c r="AU146" s="39"/>
      <c r="AV146" s="39" t="s">
        <v>1738</v>
      </c>
      <c r="AW146" s="39"/>
      <c r="AX146" s="39"/>
      <c r="AY146" s="39"/>
      <c r="AZ146" s="39"/>
      <c r="BA146" s="39">
        <v>80259285</v>
      </c>
      <c r="BB146" s="39" t="s">
        <v>149</v>
      </c>
      <c r="BC146" s="39" t="s">
        <v>150</v>
      </c>
      <c r="BD146" s="39" t="s">
        <v>179</v>
      </c>
      <c r="BE146" s="39" t="s">
        <v>125</v>
      </c>
      <c r="BF146" s="39"/>
      <c r="BG146" s="39" t="s">
        <v>180</v>
      </c>
      <c r="BH146" s="39" t="s">
        <v>152</v>
      </c>
      <c r="BI146" s="39" t="s">
        <v>125</v>
      </c>
      <c r="BJ146" s="39"/>
      <c r="BK146" s="39" t="s">
        <v>153</v>
      </c>
      <c r="BL146" s="39"/>
      <c r="BM146" s="39"/>
      <c r="BN146" s="39" t="s">
        <v>276</v>
      </c>
    </row>
    <row r="147" spans="1:66" hidden="1">
      <c r="A147" s="39">
        <v>145</v>
      </c>
      <c r="B147" s="39" t="s">
        <v>118</v>
      </c>
      <c r="C147" s="39" t="s">
        <v>119</v>
      </c>
      <c r="D147" s="39" t="s">
        <v>506</v>
      </c>
      <c r="E147" s="39" t="s">
        <v>1739</v>
      </c>
      <c r="F147" s="39" t="s">
        <v>855</v>
      </c>
      <c r="G147" s="39" t="s">
        <v>1740</v>
      </c>
      <c r="H147" s="39" t="s">
        <v>1741</v>
      </c>
      <c r="I147" s="39" t="s">
        <v>1156</v>
      </c>
      <c r="J147" s="39" t="s">
        <v>506</v>
      </c>
      <c r="K147" s="39" t="s">
        <v>26</v>
      </c>
      <c r="L147" s="39" t="s">
        <v>858</v>
      </c>
      <c r="M147" s="39" t="s">
        <v>1157</v>
      </c>
      <c r="N147" s="39" t="s">
        <v>125</v>
      </c>
      <c r="O147" s="39"/>
      <c r="P147" s="39"/>
      <c r="Q147" s="39" t="s">
        <v>1742</v>
      </c>
      <c r="R147" s="39" t="s">
        <v>26</v>
      </c>
      <c r="S147" s="39" t="s">
        <v>1743</v>
      </c>
      <c r="T147" s="39" t="s">
        <v>130</v>
      </c>
      <c r="U147" s="39" t="s">
        <v>1744</v>
      </c>
      <c r="V147" s="39" t="s">
        <v>167</v>
      </c>
      <c r="W147" s="39" t="s">
        <v>194</v>
      </c>
      <c r="X147" s="39" t="s">
        <v>187</v>
      </c>
      <c r="Y147" s="39" t="s">
        <v>288</v>
      </c>
      <c r="Z147" s="39" t="s">
        <v>196</v>
      </c>
      <c r="AA147" s="39" t="s">
        <v>197</v>
      </c>
      <c r="AB147" s="39" t="s">
        <v>1742</v>
      </c>
      <c r="AC147" s="39">
        <v>5397188</v>
      </c>
      <c r="AD147" s="39" t="s">
        <v>26</v>
      </c>
      <c r="AE147" s="39" t="s">
        <v>1745</v>
      </c>
      <c r="AF147" s="39" t="s">
        <v>26</v>
      </c>
      <c r="AG147" s="39" t="s">
        <v>1746</v>
      </c>
      <c r="AH147" s="39" t="s">
        <v>271</v>
      </c>
      <c r="AI147" s="39" t="s">
        <v>173</v>
      </c>
      <c r="AJ147" s="39" t="s">
        <v>140</v>
      </c>
      <c r="AK147" s="39" t="s">
        <v>125</v>
      </c>
      <c r="AL147" s="39">
        <v>5180</v>
      </c>
      <c r="AM147" s="39"/>
      <c r="AN147" s="39" t="s">
        <v>125</v>
      </c>
      <c r="AO147" s="39" t="s">
        <v>142</v>
      </c>
      <c r="AP147" s="39" t="s">
        <v>143</v>
      </c>
      <c r="AQ147" s="39" t="s">
        <v>345</v>
      </c>
      <c r="AR147" s="39" t="s">
        <v>1747</v>
      </c>
      <c r="AS147" s="39" t="s">
        <v>1748</v>
      </c>
      <c r="AT147" s="39" t="s">
        <v>348</v>
      </c>
      <c r="AU147" s="39"/>
      <c r="AV147" s="39" t="s">
        <v>1749</v>
      </c>
      <c r="AW147" s="39"/>
      <c r="AX147" s="39"/>
      <c r="AY147" s="39"/>
      <c r="AZ147" s="39"/>
      <c r="BA147" s="39">
        <v>74736045</v>
      </c>
      <c r="BB147" s="39" t="s">
        <v>149</v>
      </c>
      <c r="BC147" s="39" t="s">
        <v>150</v>
      </c>
      <c r="BD147" s="39" t="s">
        <v>179</v>
      </c>
      <c r="BE147" s="39" t="s">
        <v>125</v>
      </c>
      <c r="BF147" s="39"/>
      <c r="BG147" s="39" t="s">
        <v>298</v>
      </c>
      <c r="BH147" s="39" t="s">
        <v>152</v>
      </c>
      <c r="BI147" s="39" t="s">
        <v>125</v>
      </c>
      <c r="BJ147" s="39"/>
      <c r="BK147" s="39" t="s">
        <v>153</v>
      </c>
      <c r="BL147" s="39"/>
      <c r="BM147" s="39"/>
      <c r="BN147" s="39" t="s">
        <v>1166</v>
      </c>
    </row>
    <row r="148" spans="1:66">
      <c r="A148" s="39">
        <v>146</v>
      </c>
      <c r="B148" s="39" t="s">
        <v>118</v>
      </c>
      <c r="C148" s="39" t="s">
        <v>119</v>
      </c>
      <c r="D148" s="39"/>
      <c r="E148" s="39" t="s">
        <v>1750</v>
      </c>
      <c r="F148" s="39"/>
      <c r="G148" s="39" t="s">
        <v>1751</v>
      </c>
      <c r="H148" s="39" t="s">
        <v>983</v>
      </c>
      <c r="I148" s="39" t="s">
        <v>125</v>
      </c>
      <c r="J148" s="39" t="s">
        <v>418</v>
      </c>
      <c r="K148" s="39" t="s">
        <v>16</v>
      </c>
      <c r="L148" s="39" t="s">
        <v>188</v>
      </c>
      <c r="M148" s="39" t="s">
        <v>395</v>
      </c>
      <c r="N148" s="39"/>
      <c r="O148" s="39"/>
      <c r="P148" s="39"/>
      <c r="Q148" s="39" t="s">
        <v>1752</v>
      </c>
      <c r="R148" s="39" t="s">
        <v>16</v>
      </c>
      <c r="S148" s="39" t="s">
        <v>1753</v>
      </c>
      <c r="T148" s="39" t="s">
        <v>359</v>
      </c>
      <c r="U148" s="39" t="s">
        <v>1754</v>
      </c>
      <c r="V148" s="39" t="s">
        <v>132</v>
      </c>
      <c r="W148" s="39" t="s">
        <v>1755</v>
      </c>
      <c r="X148" s="39" t="s">
        <v>418</v>
      </c>
      <c r="Y148" s="39" t="s">
        <v>1756</v>
      </c>
      <c r="Z148" s="39" t="s">
        <v>1757</v>
      </c>
      <c r="AA148" s="39" t="s">
        <v>1758</v>
      </c>
      <c r="AB148" s="39" t="s">
        <v>1752</v>
      </c>
      <c r="AC148" s="39">
        <v>5397152</v>
      </c>
      <c r="AD148" s="39" t="s">
        <v>16</v>
      </c>
      <c r="AE148" s="39" t="s">
        <v>1759</v>
      </c>
      <c r="AF148" s="39" t="s">
        <v>16</v>
      </c>
      <c r="AG148" s="39" t="s">
        <v>1760</v>
      </c>
      <c r="AH148" s="39" t="s">
        <v>1761</v>
      </c>
      <c r="AI148" s="39" t="s">
        <v>1762</v>
      </c>
      <c r="AJ148" s="39" t="s">
        <v>140</v>
      </c>
      <c r="AK148" s="39" t="s">
        <v>125</v>
      </c>
      <c r="AL148" s="39">
        <v>7670</v>
      </c>
      <c r="AM148" s="39" t="s">
        <v>429</v>
      </c>
      <c r="AN148" s="39" t="s">
        <v>1763</v>
      </c>
      <c r="AO148" s="39" t="s">
        <v>367</v>
      </c>
      <c r="AP148" s="39" t="s">
        <v>143</v>
      </c>
      <c r="AQ148" s="39" t="s">
        <v>345</v>
      </c>
      <c r="AR148" s="39" t="s">
        <v>1764</v>
      </c>
      <c r="AS148" s="39" t="s">
        <v>1765</v>
      </c>
      <c r="AT148" s="39" t="s">
        <v>348</v>
      </c>
      <c r="AU148" s="39"/>
      <c r="AV148" s="39" t="s">
        <v>1766</v>
      </c>
      <c r="AW148" s="39"/>
      <c r="AX148" s="39"/>
      <c r="AY148" s="39"/>
      <c r="AZ148" s="39"/>
      <c r="BA148" s="39">
        <v>66635963</v>
      </c>
      <c r="BB148" s="39" t="s">
        <v>149</v>
      </c>
      <c r="BC148" s="39" t="s">
        <v>435</v>
      </c>
      <c r="BD148" s="39" t="s">
        <v>436</v>
      </c>
      <c r="BE148" s="39" t="s">
        <v>1767</v>
      </c>
      <c r="BF148" s="39"/>
      <c r="BG148" s="39" t="s">
        <v>298</v>
      </c>
      <c r="BH148" s="39" t="s">
        <v>152</v>
      </c>
      <c r="BI148" s="39" t="s">
        <v>125</v>
      </c>
      <c r="BJ148" s="39"/>
      <c r="BK148" s="39" t="s">
        <v>153</v>
      </c>
      <c r="BL148" s="39"/>
      <c r="BM148" s="39" t="s">
        <v>154</v>
      </c>
      <c r="BN148" s="39"/>
    </row>
    <row r="149" spans="1:66">
      <c r="A149" s="39">
        <v>147</v>
      </c>
      <c r="B149" s="39" t="s">
        <v>118</v>
      </c>
      <c r="C149" s="39" t="s">
        <v>119</v>
      </c>
      <c r="D149" s="39"/>
      <c r="E149" s="39" t="s">
        <v>1750</v>
      </c>
      <c r="F149" s="39"/>
      <c r="G149" s="39" t="s">
        <v>1751</v>
      </c>
      <c r="H149" s="39" t="s">
        <v>983</v>
      </c>
      <c r="I149" s="39" t="s">
        <v>125</v>
      </c>
      <c r="J149" s="39" t="s">
        <v>418</v>
      </c>
      <c r="K149" s="39" t="s">
        <v>16</v>
      </c>
      <c r="L149" s="39" t="s">
        <v>188</v>
      </c>
      <c r="M149" s="39" t="s">
        <v>395</v>
      </c>
      <c r="N149" s="39"/>
      <c r="O149" s="39"/>
      <c r="P149" s="39"/>
      <c r="Q149" s="39" t="s">
        <v>1752</v>
      </c>
      <c r="R149" s="39" t="s">
        <v>16</v>
      </c>
      <c r="S149" s="39" t="s">
        <v>1753</v>
      </c>
      <c r="T149" s="39" t="s">
        <v>359</v>
      </c>
      <c r="U149" s="39" t="s">
        <v>1754</v>
      </c>
      <c r="V149" s="39" t="s">
        <v>132</v>
      </c>
      <c r="W149" s="39" t="s">
        <v>1755</v>
      </c>
      <c r="X149" s="39" t="s">
        <v>418</v>
      </c>
      <c r="Y149" s="39" t="s">
        <v>1756</v>
      </c>
      <c r="Z149" s="39" t="s">
        <v>1757</v>
      </c>
      <c r="AA149" s="39" t="s">
        <v>1758</v>
      </c>
      <c r="AB149" s="39" t="s">
        <v>1752</v>
      </c>
      <c r="AC149" s="39">
        <v>5397152</v>
      </c>
      <c r="AD149" s="39" t="s">
        <v>16</v>
      </c>
      <c r="AE149" s="39" t="s">
        <v>1759</v>
      </c>
      <c r="AF149" s="39" t="s">
        <v>16</v>
      </c>
      <c r="AG149" s="39" t="s">
        <v>1760</v>
      </c>
      <c r="AH149" s="39" t="s">
        <v>1768</v>
      </c>
      <c r="AI149" s="39" t="s">
        <v>1769</v>
      </c>
      <c r="AJ149" s="39" t="s">
        <v>140</v>
      </c>
      <c r="AK149" s="39" t="s">
        <v>125</v>
      </c>
      <c r="AL149" s="39">
        <v>4130</v>
      </c>
      <c r="AM149" s="39" t="s">
        <v>429</v>
      </c>
      <c r="AN149" s="39" t="s">
        <v>1763</v>
      </c>
      <c r="AO149" s="39" t="s">
        <v>367</v>
      </c>
      <c r="AP149" s="39" t="s">
        <v>143</v>
      </c>
      <c r="AQ149" s="39" t="s">
        <v>345</v>
      </c>
      <c r="AR149" s="39" t="s">
        <v>1764</v>
      </c>
      <c r="AS149" s="39" t="s">
        <v>1770</v>
      </c>
      <c r="AT149" s="39" t="s">
        <v>348</v>
      </c>
      <c r="AU149" s="39"/>
      <c r="AV149" s="39" t="s">
        <v>1766</v>
      </c>
      <c r="AW149" s="39"/>
      <c r="AX149" s="39"/>
      <c r="AY149" s="39"/>
      <c r="AZ149" s="39"/>
      <c r="BA149" s="39">
        <v>66635963</v>
      </c>
      <c r="BB149" s="39" t="s">
        <v>149</v>
      </c>
      <c r="BC149" s="39" t="s">
        <v>435</v>
      </c>
      <c r="BD149" s="39" t="s">
        <v>436</v>
      </c>
      <c r="BE149" s="39" t="s">
        <v>1767</v>
      </c>
      <c r="BF149" s="39"/>
      <c r="BG149" s="39" t="s">
        <v>298</v>
      </c>
      <c r="BH149" s="39" t="s">
        <v>152</v>
      </c>
      <c r="BI149" s="39" t="s">
        <v>125</v>
      </c>
      <c r="BJ149" s="39"/>
      <c r="BK149" s="39" t="s">
        <v>153</v>
      </c>
      <c r="BL149" s="39"/>
      <c r="BM149" s="39" t="s">
        <v>154</v>
      </c>
      <c r="BN149" s="39"/>
    </row>
    <row r="150" spans="1:66" hidden="1">
      <c r="A150" s="39">
        <v>148</v>
      </c>
      <c r="B150" s="39" t="s">
        <v>118</v>
      </c>
      <c r="C150" s="39" t="s">
        <v>119</v>
      </c>
      <c r="D150" s="39" t="s">
        <v>1771</v>
      </c>
      <c r="E150" s="39" t="s">
        <v>1772</v>
      </c>
      <c r="F150" s="39" t="s">
        <v>208</v>
      </c>
      <c r="G150" s="39" t="s">
        <v>1773</v>
      </c>
      <c r="H150" s="39" t="s">
        <v>641</v>
      </c>
      <c r="I150" s="39" t="s">
        <v>1774</v>
      </c>
      <c r="J150" s="39" t="s">
        <v>355</v>
      </c>
      <c r="K150" s="39" t="s">
        <v>16</v>
      </c>
      <c r="L150" s="39" t="s">
        <v>211</v>
      </c>
      <c r="M150" s="39" t="s">
        <v>212</v>
      </c>
      <c r="N150" s="39" t="s">
        <v>125</v>
      </c>
      <c r="O150" s="39"/>
      <c r="P150" s="39"/>
      <c r="Q150" s="39" t="s">
        <v>1775</v>
      </c>
      <c r="R150" s="39" t="s">
        <v>16</v>
      </c>
      <c r="S150" s="39" t="s">
        <v>1776</v>
      </c>
      <c r="T150" s="39" t="s">
        <v>130</v>
      </c>
      <c r="U150" s="39" t="s">
        <v>1777</v>
      </c>
      <c r="V150" s="39" t="s">
        <v>132</v>
      </c>
      <c r="W150" s="39" t="s">
        <v>133</v>
      </c>
      <c r="X150" s="39" t="s">
        <v>355</v>
      </c>
      <c r="Y150" s="39" t="s">
        <v>1778</v>
      </c>
      <c r="Z150" s="39" t="s">
        <v>1779</v>
      </c>
      <c r="AA150" s="39" t="s">
        <v>1780</v>
      </c>
      <c r="AB150" s="39" t="s">
        <v>1775</v>
      </c>
      <c r="AC150" s="39">
        <v>5397150</v>
      </c>
      <c r="AD150" s="39" t="s">
        <v>16</v>
      </c>
      <c r="AE150" s="39" t="s">
        <v>1759</v>
      </c>
      <c r="AF150" s="39" t="s">
        <v>16</v>
      </c>
      <c r="AG150" s="39" t="s">
        <v>1781</v>
      </c>
      <c r="AH150" s="39" t="s">
        <v>880</v>
      </c>
      <c r="AI150" s="39" t="s">
        <v>139</v>
      </c>
      <c r="AJ150" s="39" t="s">
        <v>140</v>
      </c>
      <c r="AK150" s="39" t="s">
        <v>125</v>
      </c>
      <c r="AL150" s="39">
        <v>5680</v>
      </c>
      <c r="AM150" s="39"/>
      <c r="AN150" s="39" t="s">
        <v>125</v>
      </c>
      <c r="AO150" s="39" t="s">
        <v>142</v>
      </c>
      <c r="AP150" s="39" t="s">
        <v>143</v>
      </c>
      <c r="AQ150" s="39" t="s">
        <v>345</v>
      </c>
      <c r="AR150" s="39" t="s">
        <v>1782</v>
      </c>
      <c r="AS150" s="39" t="s">
        <v>1783</v>
      </c>
      <c r="AT150" s="39" t="s">
        <v>348</v>
      </c>
      <c r="AU150" s="39"/>
      <c r="AV150" s="39" t="s">
        <v>1784</v>
      </c>
      <c r="AW150" s="39"/>
      <c r="AX150" s="39"/>
      <c r="AY150" s="39"/>
      <c r="AZ150" s="39"/>
      <c r="BA150" s="39">
        <v>70592333</v>
      </c>
      <c r="BB150" s="39" t="s">
        <v>149</v>
      </c>
      <c r="BC150" s="39" t="s">
        <v>150</v>
      </c>
      <c r="BD150" s="39" t="s">
        <v>139</v>
      </c>
      <c r="BE150" s="39" t="s">
        <v>125</v>
      </c>
      <c r="BF150" s="39"/>
      <c r="BG150" s="39" t="s">
        <v>637</v>
      </c>
      <c r="BH150" s="39" t="s">
        <v>152</v>
      </c>
      <c r="BI150" s="39" t="s">
        <v>125</v>
      </c>
      <c r="BJ150" s="39"/>
      <c r="BK150" s="39" t="s">
        <v>153</v>
      </c>
      <c r="BL150" s="39"/>
      <c r="BM150" s="39" t="s">
        <v>154</v>
      </c>
      <c r="BN150" s="39" t="s">
        <v>212</v>
      </c>
    </row>
    <row r="151" spans="1:66" hidden="1">
      <c r="A151" s="39">
        <v>149</v>
      </c>
      <c r="B151" s="39" t="s">
        <v>118</v>
      </c>
      <c r="C151" s="39" t="s">
        <v>119</v>
      </c>
      <c r="D151" s="39" t="s">
        <v>1785</v>
      </c>
      <c r="E151" s="39" t="s">
        <v>1786</v>
      </c>
      <c r="F151" s="39" t="s">
        <v>208</v>
      </c>
      <c r="G151" s="39" t="s">
        <v>1787</v>
      </c>
      <c r="H151" s="39" t="s">
        <v>959</v>
      </c>
      <c r="I151" s="39" t="s">
        <v>1774</v>
      </c>
      <c r="J151" s="39" t="s">
        <v>355</v>
      </c>
      <c r="K151" s="39" t="s">
        <v>27</v>
      </c>
      <c r="L151" s="39" t="s">
        <v>211</v>
      </c>
      <c r="M151" s="39" t="s">
        <v>212</v>
      </c>
      <c r="N151" s="39" t="s">
        <v>125</v>
      </c>
      <c r="O151" s="39"/>
      <c r="P151" s="39"/>
      <c r="Q151" s="39" t="s">
        <v>1788</v>
      </c>
      <c r="R151" s="39" t="s">
        <v>27</v>
      </c>
      <c r="S151" s="39" t="s">
        <v>1789</v>
      </c>
      <c r="T151" s="39" t="s">
        <v>130</v>
      </c>
      <c r="U151" s="39" t="s">
        <v>1790</v>
      </c>
      <c r="V151" s="39" t="s">
        <v>132</v>
      </c>
      <c r="W151" s="39" t="s">
        <v>168</v>
      </c>
      <c r="X151" s="39" t="s">
        <v>126</v>
      </c>
      <c r="Y151" s="39" t="s">
        <v>1791</v>
      </c>
      <c r="Z151" s="39" t="s">
        <v>1792</v>
      </c>
      <c r="AA151" s="39" t="s">
        <v>1793</v>
      </c>
      <c r="AB151" s="39" t="s">
        <v>1788</v>
      </c>
      <c r="AC151" s="39">
        <v>5397055</v>
      </c>
      <c r="AD151" s="39" t="s">
        <v>27</v>
      </c>
      <c r="AE151" s="39" t="s">
        <v>1794</v>
      </c>
      <c r="AF151" s="39" t="s">
        <v>27</v>
      </c>
      <c r="AG151" s="39" t="s">
        <v>1795</v>
      </c>
      <c r="AH151" s="39" t="s">
        <v>1007</v>
      </c>
      <c r="AI151" s="39" t="s">
        <v>1008</v>
      </c>
      <c r="AJ151" s="39" t="s">
        <v>140</v>
      </c>
      <c r="AK151" s="39" t="s">
        <v>125</v>
      </c>
      <c r="AL151" s="39">
        <v>19300</v>
      </c>
      <c r="AM151" s="39"/>
      <c r="AN151" s="39" t="s">
        <v>125</v>
      </c>
      <c r="AO151" s="39" t="s">
        <v>142</v>
      </c>
      <c r="AP151" s="39" t="s">
        <v>143</v>
      </c>
      <c r="AQ151" s="39" t="s">
        <v>144</v>
      </c>
      <c r="AR151" s="39" t="s">
        <v>1796</v>
      </c>
      <c r="AS151" s="39" t="s">
        <v>1797</v>
      </c>
      <c r="AT151" s="39" t="s">
        <v>348</v>
      </c>
      <c r="AU151" s="39"/>
      <c r="AV151" s="39" t="s">
        <v>1798</v>
      </c>
      <c r="AW151" s="39"/>
      <c r="AX151" s="39"/>
      <c r="AY151" s="39"/>
      <c r="AZ151" s="39"/>
      <c r="BA151" s="39">
        <v>70923262</v>
      </c>
      <c r="BB151" s="39" t="s">
        <v>149</v>
      </c>
      <c r="BC151" s="39" t="s">
        <v>150</v>
      </c>
      <c r="BD151" s="39" t="s">
        <v>179</v>
      </c>
      <c r="BE151" s="39" t="s">
        <v>125</v>
      </c>
      <c r="BF151" s="39"/>
      <c r="BG151" s="39" t="s">
        <v>298</v>
      </c>
      <c r="BH151" s="39" t="s">
        <v>152</v>
      </c>
      <c r="BI151" s="39" t="s">
        <v>1799</v>
      </c>
      <c r="BJ151" s="39"/>
      <c r="BK151" s="39" t="s">
        <v>153</v>
      </c>
      <c r="BL151" s="39"/>
      <c r="BM151" s="39" t="s">
        <v>460</v>
      </c>
      <c r="BN151" s="39" t="s">
        <v>212</v>
      </c>
    </row>
    <row r="152" spans="1:66" hidden="1">
      <c r="A152" s="39">
        <v>150</v>
      </c>
      <c r="B152" s="39" t="s">
        <v>118</v>
      </c>
      <c r="C152" s="39" t="s">
        <v>119</v>
      </c>
      <c r="D152" s="39" t="s">
        <v>1800</v>
      </c>
      <c r="E152" s="39" t="s">
        <v>1801</v>
      </c>
      <c r="F152" s="39" t="s">
        <v>336</v>
      </c>
      <c r="G152" s="39" t="s">
        <v>1802</v>
      </c>
      <c r="H152" s="39" t="s">
        <v>1803</v>
      </c>
      <c r="I152" s="39" t="s">
        <v>125</v>
      </c>
      <c r="J152" s="39" t="s">
        <v>187</v>
      </c>
      <c r="K152" s="39" t="s">
        <v>28</v>
      </c>
      <c r="L152" s="39" t="s">
        <v>188</v>
      </c>
      <c r="M152" s="39" t="s">
        <v>189</v>
      </c>
      <c r="N152" s="39" t="s">
        <v>1804</v>
      </c>
      <c r="O152" s="39"/>
      <c r="P152" s="39"/>
      <c r="Q152" s="39" t="s">
        <v>1805</v>
      </c>
      <c r="R152" s="39" t="s">
        <v>28</v>
      </c>
      <c r="S152" s="39" t="s">
        <v>1806</v>
      </c>
      <c r="T152" s="39" t="s">
        <v>130</v>
      </c>
      <c r="U152" s="39" t="s">
        <v>1807</v>
      </c>
      <c r="V152" s="39" t="s">
        <v>132</v>
      </c>
      <c r="W152" s="39" t="s">
        <v>194</v>
      </c>
      <c r="X152" s="39" t="s">
        <v>187</v>
      </c>
      <c r="Y152" s="39" t="s">
        <v>342</v>
      </c>
      <c r="Z152" s="39" t="s">
        <v>196</v>
      </c>
      <c r="AA152" s="39" t="s">
        <v>197</v>
      </c>
      <c r="AB152" s="39" t="s">
        <v>1805</v>
      </c>
      <c r="AC152" s="39">
        <v>5397012</v>
      </c>
      <c r="AD152" s="39" t="s">
        <v>28</v>
      </c>
      <c r="AE152" s="39" t="s">
        <v>1808</v>
      </c>
      <c r="AF152" s="39" t="s">
        <v>28</v>
      </c>
      <c r="AG152" s="39" t="s">
        <v>1809</v>
      </c>
      <c r="AH152" s="39" t="s">
        <v>200</v>
      </c>
      <c r="AI152" s="39" t="s">
        <v>201</v>
      </c>
      <c r="AJ152" s="39" t="s">
        <v>140</v>
      </c>
      <c r="AK152" s="39" t="s">
        <v>125</v>
      </c>
      <c r="AL152" s="39">
        <v>4802</v>
      </c>
      <c r="AM152" s="39"/>
      <c r="AN152" s="39" t="s">
        <v>1804</v>
      </c>
      <c r="AO152" s="39" t="s">
        <v>142</v>
      </c>
      <c r="AP152" s="39" t="s">
        <v>143</v>
      </c>
      <c r="AQ152" s="39" t="s">
        <v>175</v>
      </c>
      <c r="AR152" s="39" t="s">
        <v>1810</v>
      </c>
      <c r="AS152" s="39" t="s">
        <v>1811</v>
      </c>
      <c r="AT152" s="39" t="s">
        <v>348</v>
      </c>
      <c r="AU152" s="39"/>
      <c r="AV152" s="39" t="s">
        <v>1812</v>
      </c>
      <c r="AW152" s="39"/>
      <c r="AX152" s="39"/>
      <c r="AY152" s="39"/>
      <c r="AZ152" s="39"/>
      <c r="BA152" s="39">
        <v>74738606</v>
      </c>
      <c r="BB152" s="39" t="s">
        <v>149</v>
      </c>
      <c r="BC152" s="39" t="s">
        <v>150</v>
      </c>
      <c r="BD152" s="39" t="s">
        <v>179</v>
      </c>
      <c r="BE152" s="39" t="s">
        <v>125</v>
      </c>
      <c r="BF152" s="39"/>
      <c r="BG152" s="39" t="s">
        <v>298</v>
      </c>
      <c r="BH152" s="39" t="s">
        <v>152</v>
      </c>
      <c r="BI152" s="39" t="s">
        <v>125</v>
      </c>
      <c r="BJ152" s="39"/>
      <c r="BK152" s="39" t="s">
        <v>153</v>
      </c>
      <c r="BL152" s="39"/>
      <c r="BM152" s="39"/>
      <c r="BN152" s="39" t="s">
        <v>155</v>
      </c>
    </row>
    <row r="153" spans="1:66" hidden="1">
      <c r="A153" s="39">
        <v>151</v>
      </c>
      <c r="B153" s="39" t="s">
        <v>118</v>
      </c>
      <c r="C153" s="39" t="s">
        <v>119</v>
      </c>
      <c r="D153" s="39" t="s">
        <v>1800</v>
      </c>
      <c r="E153" s="39" t="s">
        <v>1801</v>
      </c>
      <c r="F153" s="39" t="s">
        <v>336</v>
      </c>
      <c r="G153" s="39" t="s">
        <v>1802</v>
      </c>
      <c r="H153" s="39" t="s">
        <v>1803</v>
      </c>
      <c r="I153" s="39" t="s">
        <v>125</v>
      </c>
      <c r="J153" s="39" t="s">
        <v>187</v>
      </c>
      <c r="K153" s="39" t="s">
        <v>28</v>
      </c>
      <c r="L153" s="39" t="s">
        <v>188</v>
      </c>
      <c r="M153" s="39" t="s">
        <v>189</v>
      </c>
      <c r="N153" s="39" t="s">
        <v>1804</v>
      </c>
      <c r="O153" s="39"/>
      <c r="P153" s="39"/>
      <c r="Q153" s="39" t="s">
        <v>1805</v>
      </c>
      <c r="R153" s="39" t="s">
        <v>28</v>
      </c>
      <c r="S153" s="39" t="s">
        <v>1806</v>
      </c>
      <c r="T153" s="39" t="s">
        <v>130</v>
      </c>
      <c r="U153" s="39" t="s">
        <v>1807</v>
      </c>
      <c r="V153" s="39" t="s">
        <v>132</v>
      </c>
      <c r="W153" s="39" t="s">
        <v>194</v>
      </c>
      <c r="X153" s="39" t="s">
        <v>187</v>
      </c>
      <c r="Y153" s="39" t="s">
        <v>342</v>
      </c>
      <c r="Z153" s="39" t="s">
        <v>196</v>
      </c>
      <c r="AA153" s="39" t="s">
        <v>197</v>
      </c>
      <c r="AB153" s="39" t="s">
        <v>1805</v>
      </c>
      <c r="AC153" s="39">
        <v>5397012</v>
      </c>
      <c r="AD153" s="39" t="s">
        <v>28</v>
      </c>
      <c r="AE153" s="39" t="s">
        <v>1808</v>
      </c>
      <c r="AF153" s="39" t="s">
        <v>28</v>
      </c>
      <c r="AG153" s="39" t="s">
        <v>1809</v>
      </c>
      <c r="AH153" s="39" t="s">
        <v>316</v>
      </c>
      <c r="AI153" s="39" t="s">
        <v>317</v>
      </c>
      <c r="AJ153" s="39" t="s">
        <v>140</v>
      </c>
      <c r="AK153" s="39" t="s">
        <v>125</v>
      </c>
      <c r="AL153" s="39">
        <v>3199</v>
      </c>
      <c r="AM153" s="39"/>
      <c r="AN153" s="39" t="s">
        <v>1804</v>
      </c>
      <c r="AO153" s="39" t="s">
        <v>142</v>
      </c>
      <c r="AP153" s="39" t="s">
        <v>143</v>
      </c>
      <c r="AQ153" s="39" t="s">
        <v>175</v>
      </c>
      <c r="AR153" s="39" t="s">
        <v>1810</v>
      </c>
      <c r="AS153" s="39" t="s">
        <v>1813</v>
      </c>
      <c r="AT153" s="39" t="s">
        <v>348</v>
      </c>
      <c r="AU153" s="39"/>
      <c r="AV153" s="39" t="s">
        <v>1812</v>
      </c>
      <c r="AW153" s="39"/>
      <c r="AX153" s="39"/>
      <c r="AY153" s="39"/>
      <c r="AZ153" s="39"/>
      <c r="BA153" s="39">
        <v>74738606</v>
      </c>
      <c r="BB153" s="39" t="s">
        <v>149</v>
      </c>
      <c r="BC153" s="39" t="s">
        <v>150</v>
      </c>
      <c r="BD153" s="39" t="s">
        <v>179</v>
      </c>
      <c r="BE153" s="39" t="s">
        <v>125</v>
      </c>
      <c r="BF153" s="39"/>
      <c r="BG153" s="39" t="s">
        <v>298</v>
      </c>
      <c r="BH153" s="39" t="s">
        <v>152</v>
      </c>
      <c r="BI153" s="39" t="s">
        <v>125</v>
      </c>
      <c r="BJ153" s="39"/>
      <c r="BK153" s="39" t="s">
        <v>153</v>
      </c>
      <c r="BL153" s="39"/>
      <c r="BM153" s="39"/>
      <c r="BN153" s="39" t="s">
        <v>155</v>
      </c>
    </row>
    <row r="154" spans="1:66" hidden="1">
      <c r="A154" s="39">
        <v>152</v>
      </c>
      <c r="B154" s="39" t="s">
        <v>118</v>
      </c>
      <c r="C154" s="39" t="s">
        <v>119</v>
      </c>
      <c r="D154" s="39" t="s">
        <v>1800</v>
      </c>
      <c r="E154" s="39" t="s">
        <v>1801</v>
      </c>
      <c r="F154" s="39" t="s">
        <v>336</v>
      </c>
      <c r="G154" s="39" t="s">
        <v>1802</v>
      </c>
      <c r="H154" s="39" t="s">
        <v>1803</v>
      </c>
      <c r="I154" s="39" t="s">
        <v>125</v>
      </c>
      <c r="J154" s="39" t="s">
        <v>187</v>
      </c>
      <c r="K154" s="39" t="s">
        <v>28</v>
      </c>
      <c r="L154" s="39" t="s">
        <v>188</v>
      </c>
      <c r="M154" s="39" t="s">
        <v>189</v>
      </c>
      <c r="N154" s="39" t="s">
        <v>1804</v>
      </c>
      <c r="O154" s="39"/>
      <c r="P154" s="39"/>
      <c r="Q154" s="39" t="s">
        <v>1805</v>
      </c>
      <c r="R154" s="39" t="s">
        <v>28</v>
      </c>
      <c r="S154" s="39" t="s">
        <v>1806</v>
      </c>
      <c r="T154" s="39" t="s">
        <v>130</v>
      </c>
      <c r="U154" s="39" t="s">
        <v>1807</v>
      </c>
      <c r="V154" s="39" t="s">
        <v>132</v>
      </c>
      <c r="W154" s="39" t="s">
        <v>194</v>
      </c>
      <c r="X154" s="39" t="s">
        <v>187</v>
      </c>
      <c r="Y154" s="39" t="s">
        <v>342</v>
      </c>
      <c r="Z154" s="39" t="s">
        <v>196</v>
      </c>
      <c r="AA154" s="39" t="s">
        <v>197</v>
      </c>
      <c r="AB154" s="39" t="s">
        <v>1805</v>
      </c>
      <c r="AC154" s="39">
        <v>5397012</v>
      </c>
      <c r="AD154" s="39" t="s">
        <v>28</v>
      </c>
      <c r="AE154" s="39" t="s">
        <v>1808</v>
      </c>
      <c r="AF154" s="39" t="s">
        <v>28</v>
      </c>
      <c r="AG154" s="39" t="s">
        <v>1809</v>
      </c>
      <c r="AH154" s="39" t="s">
        <v>412</v>
      </c>
      <c r="AI154" s="39" t="s">
        <v>413</v>
      </c>
      <c r="AJ154" s="39" t="s">
        <v>140</v>
      </c>
      <c r="AK154" s="39" t="s">
        <v>125</v>
      </c>
      <c r="AL154" s="39">
        <v>3999</v>
      </c>
      <c r="AM154" s="39"/>
      <c r="AN154" s="39" t="s">
        <v>1804</v>
      </c>
      <c r="AO154" s="39" t="s">
        <v>142</v>
      </c>
      <c r="AP154" s="39" t="s">
        <v>143</v>
      </c>
      <c r="AQ154" s="39" t="s">
        <v>175</v>
      </c>
      <c r="AR154" s="39" t="s">
        <v>1810</v>
      </c>
      <c r="AS154" s="39" t="s">
        <v>1814</v>
      </c>
      <c r="AT154" s="39" t="s">
        <v>348</v>
      </c>
      <c r="AU154" s="39"/>
      <c r="AV154" s="39" t="s">
        <v>1812</v>
      </c>
      <c r="AW154" s="39"/>
      <c r="AX154" s="39"/>
      <c r="AY154" s="39"/>
      <c r="AZ154" s="39"/>
      <c r="BA154" s="39">
        <v>74738606</v>
      </c>
      <c r="BB154" s="39" t="s">
        <v>149</v>
      </c>
      <c r="BC154" s="39" t="s">
        <v>150</v>
      </c>
      <c r="BD154" s="39" t="s">
        <v>179</v>
      </c>
      <c r="BE154" s="39" t="s">
        <v>125</v>
      </c>
      <c r="BF154" s="39"/>
      <c r="BG154" s="39" t="s">
        <v>298</v>
      </c>
      <c r="BH154" s="39" t="s">
        <v>152</v>
      </c>
      <c r="BI154" s="39" t="s">
        <v>125</v>
      </c>
      <c r="BJ154" s="39"/>
      <c r="BK154" s="39" t="s">
        <v>153</v>
      </c>
      <c r="BL154" s="39"/>
      <c r="BM154" s="39"/>
      <c r="BN154" s="39" t="s">
        <v>155</v>
      </c>
    </row>
    <row r="155" spans="1:66" hidden="1">
      <c r="A155" s="39">
        <v>153</v>
      </c>
      <c r="B155" s="39" t="s">
        <v>118</v>
      </c>
      <c r="C155" s="39" t="s">
        <v>119</v>
      </c>
      <c r="D155" s="39" t="s">
        <v>1815</v>
      </c>
      <c r="E155" s="39" t="s">
        <v>1816</v>
      </c>
      <c r="F155" s="39" t="s">
        <v>749</v>
      </c>
      <c r="G155" s="39" t="s">
        <v>1817</v>
      </c>
      <c r="H155" s="39" t="s">
        <v>1818</v>
      </c>
      <c r="I155" s="39" t="s">
        <v>125</v>
      </c>
      <c r="J155" s="39" t="s">
        <v>187</v>
      </c>
      <c r="K155" s="39" t="s">
        <v>28</v>
      </c>
      <c r="L155" s="39" t="s">
        <v>188</v>
      </c>
      <c r="M155" s="39" t="s">
        <v>189</v>
      </c>
      <c r="N155" s="39" t="s">
        <v>1819</v>
      </c>
      <c r="O155" s="39"/>
      <c r="P155" s="39"/>
      <c r="Q155" s="39" t="s">
        <v>1820</v>
      </c>
      <c r="R155" s="39" t="s">
        <v>28</v>
      </c>
      <c r="S155" s="39" t="s">
        <v>1821</v>
      </c>
      <c r="T155" s="39" t="s">
        <v>130</v>
      </c>
      <c r="U155" s="39" t="s">
        <v>1822</v>
      </c>
      <c r="V155" s="39" t="s">
        <v>132</v>
      </c>
      <c r="W155" s="39" t="s">
        <v>194</v>
      </c>
      <c r="X155" s="39" t="s">
        <v>187</v>
      </c>
      <c r="Y155" s="39" t="s">
        <v>1823</v>
      </c>
      <c r="Z155" s="39" t="s">
        <v>196</v>
      </c>
      <c r="AA155" s="39" t="s">
        <v>197</v>
      </c>
      <c r="AB155" s="39" t="s">
        <v>1820</v>
      </c>
      <c r="AC155" s="39">
        <v>5397010</v>
      </c>
      <c r="AD155" s="39" t="s">
        <v>28</v>
      </c>
      <c r="AE155" s="39" t="s">
        <v>1824</v>
      </c>
      <c r="AF155" s="39" t="s">
        <v>28</v>
      </c>
      <c r="AG155" s="39" t="s">
        <v>1825</v>
      </c>
      <c r="AH155" s="39" t="s">
        <v>271</v>
      </c>
      <c r="AI155" s="39" t="s">
        <v>173</v>
      </c>
      <c r="AJ155" s="39" t="s">
        <v>140</v>
      </c>
      <c r="AK155" s="39" t="s">
        <v>125</v>
      </c>
      <c r="AL155" s="39">
        <v>5180</v>
      </c>
      <c r="AM155" s="39"/>
      <c r="AN155" s="39" t="s">
        <v>1819</v>
      </c>
      <c r="AO155" s="39" t="s">
        <v>142</v>
      </c>
      <c r="AP155" s="39" t="s">
        <v>143</v>
      </c>
      <c r="AQ155" s="39" t="s">
        <v>175</v>
      </c>
      <c r="AR155" s="39" t="s">
        <v>1826</v>
      </c>
      <c r="AS155" s="39" t="s">
        <v>1827</v>
      </c>
      <c r="AT155" s="39" t="s">
        <v>348</v>
      </c>
      <c r="AU155" s="39"/>
      <c r="AV155" s="39" t="s">
        <v>1828</v>
      </c>
      <c r="AW155" s="39"/>
      <c r="AX155" s="39"/>
      <c r="AY155" s="39"/>
      <c r="AZ155" s="39"/>
      <c r="BA155" s="39">
        <v>74678575</v>
      </c>
      <c r="BB155" s="39" t="s">
        <v>149</v>
      </c>
      <c r="BC155" s="39" t="s">
        <v>150</v>
      </c>
      <c r="BD155" s="39" t="s">
        <v>179</v>
      </c>
      <c r="BE155" s="39" t="s">
        <v>125</v>
      </c>
      <c r="BF155" s="39"/>
      <c r="BG155" s="39" t="s">
        <v>180</v>
      </c>
      <c r="BH155" s="39" t="s">
        <v>152</v>
      </c>
      <c r="BI155" s="39" t="s">
        <v>1829</v>
      </c>
      <c r="BJ155" s="39"/>
      <c r="BK155" s="39" t="s">
        <v>153</v>
      </c>
      <c r="BL155" s="39"/>
      <c r="BM155" s="39"/>
      <c r="BN155" s="39" t="s">
        <v>155</v>
      </c>
    </row>
    <row r="156" spans="1:66" hidden="1">
      <c r="A156" s="39">
        <v>154</v>
      </c>
      <c r="B156" s="39" t="s">
        <v>118</v>
      </c>
      <c r="C156" s="39" t="s">
        <v>119</v>
      </c>
      <c r="D156" s="39" t="s">
        <v>1830</v>
      </c>
      <c r="E156" s="39" t="s">
        <v>1831</v>
      </c>
      <c r="F156" s="39" t="s">
        <v>336</v>
      </c>
      <c r="G156" s="39" t="s">
        <v>1832</v>
      </c>
      <c r="H156" s="39" t="s">
        <v>1833</v>
      </c>
      <c r="I156" s="39" t="s">
        <v>125</v>
      </c>
      <c r="J156" s="39" t="s">
        <v>187</v>
      </c>
      <c r="K156" s="39" t="s">
        <v>16</v>
      </c>
      <c r="L156" s="39" t="s">
        <v>188</v>
      </c>
      <c r="M156" s="39" t="s">
        <v>1834</v>
      </c>
      <c r="N156" s="39" t="s">
        <v>1835</v>
      </c>
      <c r="O156" s="39"/>
      <c r="P156" s="39"/>
      <c r="Q156" s="39" t="s">
        <v>1836</v>
      </c>
      <c r="R156" s="39" t="s">
        <v>16</v>
      </c>
      <c r="S156" s="39" t="s">
        <v>1837</v>
      </c>
      <c r="T156" s="39" t="s">
        <v>130</v>
      </c>
      <c r="U156" s="39" t="s">
        <v>1838</v>
      </c>
      <c r="V156" s="39" t="s">
        <v>132</v>
      </c>
      <c r="W156" s="39" t="s">
        <v>194</v>
      </c>
      <c r="X156" s="39" t="s">
        <v>187</v>
      </c>
      <c r="Y156" s="39" t="s">
        <v>1839</v>
      </c>
      <c r="Z156" s="39" t="s">
        <v>196</v>
      </c>
      <c r="AA156" s="39" t="s">
        <v>197</v>
      </c>
      <c r="AB156" s="39" t="s">
        <v>1836</v>
      </c>
      <c r="AC156" s="39">
        <v>5397008</v>
      </c>
      <c r="AD156" s="39" t="s">
        <v>16</v>
      </c>
      <c r="AE156" s="39" t="s">
        <v>1840</v>
      </c>
      <c r="AF156" s="39" t="s">
        <v>16</v>
      </c>
      <c r="AG156" s="39" t="s">
        <v>1840</v>
      </c>
      <c r="AH156" s="39" t="s">
        <v>217</v>
      </c>
      <c r="AI156" s="39" t="s">
        <v>218</v>
      </c>
      <c r="AJ156" s="39" t="s">
        <v>140</v>
      </c>
      <c r="AK156" s="39" t="s">
        <v>125</v>
      </c>
      <c r="AL156" s="39">
        <v>19100</v>
      </c>
      <c r="AM156" s="39"/>
      <c r="AN156" s="39" t="s">
        <v>1841</v>
      </c>
      <c r="AO156" s="39" t="s">
        <v>142</v>
      </c>
      <c r="AP156" s="39" t="s">
        <v>143</v>
      </c>
      <c r="AQ156" s="39" t="s">
        <v>345</v>
      </c>
      <c r="AR156" s="39" t="s">
        <v>1842</v>
      </c>
      <c r="AS156" s="39" t="s">
        <v>1843</v>
      </c>
      <c r="AT156" s="39" t="s">
        <v>348</v>
      </c>
      <c r="AU156" s="39"/>
      <c r="AV156" s="39" t="s">
        <v>1844</v>
      </c>
      <c r="AW156" s="39"/>
      <c r="AX156" s="39"/>
      <c r="AY156" s="39"/>
      <c r="AZ156" s="39"/>
      <c r="BA156" s="39">
        <v>74785118</v>
      </c>
      <c r="BB156" s="39" t="s">
        <v>149</v>
      </c>
      <c r="BC156" s="39" t="s">
        <v>150</v>
      </c>
      <c r="BD156" s="39" t="s">
        <v>179</v>
      </c>
      <c r="BE156" s="39" t="s">
        <v>125</v>
      </c>
      <c r="BF156" s="39"/>
      <c r="BG156" s="39" t="s">
        <v>180</v>
      </c>
      <c r="BH156" s="39" t="s">
        <v>152</v>
      </c>
      <c r="BI156" s="39" t="s">
        <v>125</v>
      </c>
      <c r="BJ156" s="39"/>
      <c r="BK156" s="39" t="s">
        <v>153</v>
      </c>
      <c r="BL156" s="39"/>
      <c r="BM156" s="39"/>
      <c r="BN156" s="39" t="s">
        <v>155</v>
      </c>
    </row>
    <row r="157" spans="1:66" hidden="1">
      <c r="A157" s="39">
        <v>155</v>
      </c>
      <c r="B157" s="39" t="s">
        <v>118</v>
      </c>
      <c r="C157" s="39" t="s">
        <v>119</v>
      </c>
      <c r="D157" s="39" t="s">
        <v>1845</v>
      </c>
      <c r="E157" s="39" t="s">
        <v>1846</v>
      </c>
      <c r="F157" s="39" t="s">
        <v>1847</v>
      </c>
      <c r="G157" s="39" t="s">
        <v>1848</v>
      </c>
      <c r="H157" s="39" t="s">
        <v>1849</v>
      </c>
      <c r="I157" s="39"/>
      <c r="J157" s="39" t="s">
        <v>126</v>
      </c>
      <c r="K157" s="39" t="s">
        <v>16</v>
      </c>
      <c r="L157" s="39" t="s">
        <v>188</v>
      </c>
      <c r="M157" s="39" t="s">
        <v>356</v>
      </c>
      <c r="N157" s="39" t="s">
        <v>1850</v>
      </c>
      <c r="O157" s="39"/>
      <c r="P157" s="39"/>
      <c r="Q157" s="39" t="s">
        <v>1845</v>
      </c>
      <c r="R157" s="39" t="s">
        <v>16</v>
      </c>
      <c r="S157" s="39" t="s">
        <v>1851</v>
      </c>
      <c r="T157" s="39" t="s">
        <v>359</v>
      </c>
      <c r="U157" s="39" t="s">
        <v>1852</v>
      </c>
      <c r="V157" s="39" t="s">
        <v>132</v>
      </c>
      <c r="W157" s="39" t="s">
        <v>133</v>
      </c>
      <c r="X157" s="39" t="s">
        <v>126</v>
      </c>
      <c r="Y157" s="39" t="s">
        <v>629</v>
      </c>
      <c r="Z157" s="39" t="s">
        <v>739</v>
      </c>
      <c r="AA157" s="39" t="s">
        <v>740</v>
      </c>
      <c r="AB157" s="39" t="s">
        <v>1845</v>
      </c>
      <c r="AC157" s="39">
        <v>5396851</v>
      </c>
      <c r="AD157" s="39" t="s">
        <v>16</v>
      </c>
      <c r="AE157" s="39" t="s">
        <v>1853</v>
      </c>
      <c r="AF157" s="39" t="s">
        <v>16</v>
      </c>
      <c r="AG157" s="39" t="s">
        <v>1853</v>
      </c>
      <c r="AH157" s="39" t="s">
        <v>138</v>
      </c>
      <c r="AI157" s="39" t="s">
        <v>139</v>
      </c>
      <c r="AJ157" s="39" t="s">
        <v>140</v>
      </c>
      <c r="AK157" s="39" t="s">
        <v>125</v>
      </c>
      <c r="AL157" s="39">
        <v>5180</v>
      </c>
      <c r="AM157" s="39"/>
      <c r="AN157" s="39" t="s">
        <v>1847</v>
      </c>
      <c r="AO157" s="39" t="s">
        <v>367</v>
      </c>
      <c r="AP157" s="39" t="s">
        <v>143</v>
      </c>
      <c r="AQ157" s="39" t="s">
        <v>144</v>
      </c>
      <c r="AR157" s="39" t="s">
        <v>1854</v>
      </c>
      <c r="AS157" s="39" t="s">
        <v>1855</v>
      </c>
      <c r="AT157" s="39" t="s">
        <v>348</v>
      </c>
      <c r="AU157" s="39"/>
      <c r="AV157" s="39" t="s">
        <v>1856</v>
      </c>
      <c r="AW157" s="39"/>
      <c r="AX157" s="39"/>
      <c r="AY157" s="39"/>
      <c r="AZ157" s="39"/>
      <c r="BA157" s="39">
        <v>69950781</v>
      </c>
      <c r="BB157" s="39" t="s">
        <v>149</v>
      </c>
      <c r="BC157" s="39" t="s">
        <v>150</v>
      </c>
      <c r="BD157" s="39" t="s">
        <v>139</v>
      </c>
      <c r="BE157" s="39" t="s">
        <v>125</v>
      </c>
      <c r="BF157" s="39"/>
      <c r="BG157" s="39" t="s">
        <v>637</v>
      </c>
      <c r="BH157" s="39" t="s">
        <v>152</v>
      </c>
      <c r="BI157" s="39" t="s">
        <v>125</v>
      </c>
      <c r="BJ157" s="39"/>
      <c r="BK157" s="39" t="s">
        <v>153</v>
      </c>
      <c r="BL157" s="39"/>
      <c r="BM157" s="39" t="s">
        <v>154</v>
      </c>
      <c r="BN157" s="39" t="s">
        <v>356</v>
      </c>
    </row>
    <row r="158" spans="1:66" hidden="1">
      <c r="A158" s="39">
        <v>156</v>
      </c>
      <c r="B158" s="39" t="s">
        <v>118</v>
      </c>
      <c r="C158" s="39" t="s">
        <v>119</v>
      </c>
      <c r="D158" s="39" t="s">
        <v>1857</v>
      </c>
      <c r="E158" s="39" t="s">
        <v>1858</v>
      </c>
      <c r="F158" s="39" t="s">
        <v>580</v>
      </c>
      <c r="G158" s="39" t="s">
        <v>1859</v>
      </c>
      <c r="H158" s="39" t="s">
        <v>1860</v>
      </c>
      <c r="I158" s="39"/>
      <c r="J158" s="39" t="s">
        <v>355</v>
      </c>
      <c r="K158" s="39" t="s">
        <v>16</v>
      </c>
      <c r="L158" s="39" t="s">
        <v>188</v>
      </c>
      <c r="M158" s="39" t="s">
        <v>356</v>
      </c>
      <c r="N158" s="39" t="s">
        <v>583</v>
      </c>
      <c r="O158" s="39"/>
      <c r="P158" s="39"/>
      <c r="Q158" s="39" t="s">
        <v>1857</v>
      </c>
      <c r="R158" s="39" t="s">
        <v>16</v>
      </c>
      <c r="S158" s="39" t="s">
        <v>1861</v>
      </c>
      <c r="T158" s="39" t="s">
        <v>359</v>
      </c>
      <c r="U158" s="39" t="s">
        <v>1862</v>
      </c>
      <c r="V158" s="39" t="s">
        <v>132</v>
      </c>
      <c r="W158" s="39" t="s">
        <v>133</v>
      </c>
      <c r="X158" s="39" t="s">
        <v>355</v>
      </c>
      <c r="Y158" s="39" t="s">
        <v>629</v>
      </c>
      <c r="Z158" s="39" t="s">
        <v>1863</v>
      </c>
      <c r="AA158" s="39" t="s">
        <v>1864</v>
      </c>
      <c r="AB158" s="39" t="s">
        <v>1857</v>
      </c>
      <c r="AC158" s="39">
        <v>5403835</v>
      </c>
      <c r="AD158" s="39" t="s">
        <v>16</v>
      </c>
      <c r="AE158" s="39" t="s">
        <v>1862</v>
      </c>
      <c r="AF158" s="39" t="s">
        <v>16</v>
      </c>
      <c r="AG158" s="39" t="s">
        <v>1862</v>
      </c>
      <c r="AH158" s="39" t="s">
        <v>138</v>
      </c>
      <c r="AI158" s="39" t="s">
        <v>139</v>
      </c>
      <c r="AJ158" s="39" t="s">
        <v>140</v>
      </c>
      <c r="AK158" s="39" t="s">
        <v>125</v>
      </c>
      <c r="AL158" s="39">
        <v>5180</v>
      </c>
      <c r="AM158" s="39" t="s">
        <v>429</v>
      </c>
      <c r="AN158" s="39" t="s">
        <v>580</v>
      </c>
      <c r="AO158" s="39" t="s">
        <v>367</v>
      </c>
      <c r="AP158" s="39" t="s">
        <v>143</v>
      </c>
      <c r="AQ158" s="39" t="s">
        <v>144</v>
      </c>
      <c r="AR158" s="39" t="s">
        <v>1865</v>
      </c>
      <c r="AS158" s="39" t="s">
        <v>1866</v>
      </c>
      <c r="AT158" s="39" t="s">
        <v>1867</v>
      </c>
      <c r="AU158" s="39"/>
      <c r="AV158" s="39" t="s">
        <v>1868</v>
      </c>
      <c r="AW158" s="39"/>
      <c r="AX158" s="39"/>
      <c r="AY158" s="39"/>
      <c r="AZ158" s="39"/>
      <c r="BA158" s="39">
        <v>65365826</v>
      </c>
      <c r="BB158" s="39" t="s">
        <v>149</v>
      </c>
      <c r="BC158" s="39" t="s">
        <v>150</v>
      </c>
      <c r="BD158" s="39" t="s">
        <v>139</v>
      </c>
      <c r="BE158" s="39" t="s">
        <v>125</v>
      </c>
      <c r="BF158" s="39"/>
      <c r="BG158" s="39" t="s">
        <v>637</v>
      </c>
      <c r="BH158" s="39" t="s">
        <v>152</v>
      </c>
      <c r="BI158" s="39" t="s">
        <v>125</v>
      </c>
      <c r="BJ158" s="39"/>
      <c r="BK158" s="39" t="s">
        <v>153</v>
      </c>
      <c r="BL158" s="39"/>
      <c r="BM158" s="39" t="s">
        <v>154</v>
      </c>
      <c r="BN158" s="39" t="s">
        <v>356</v>
      </c>
    </row>
    <row r="159" spans="1:66" hidden="1">
      <c r="A159" s="39">
        <v>157</v>
      </c>
      <c r="B159" s="39" t="s">
        <v>118</v>
      </c>
      <c r="C159" s="39" t="s">
        <v>119</v>
      </c>
      <c r="D159" s="39" t="s">
        <v>506</v>
      </c>
      <c r="E159" s="39" t="s">
        <v>1869</v>
      </c>
      <c r="F159" s="39" t="s">
        <v>855</v>
      </c>
      <c r="G159" s="39" t="s">
        <v>1870</v>
      </c>
      <c r="H159" s="39" t="s">
        <v>1871</v>
      </c>
      <c r="I159" s="39" t="s">
        <v>1156</v>
      </c>
      <c r="J159" s="39" t="s">
        <v>126</v>
      </c>
      <c r="K159" s="39" t="s">
        <v>16</v>
      </c>
      <c r="L159" s="39" t="s">
        <v>858</v>
      </c>
      <c r="M159" s="39" t="s">
        <v>1157</v>
      </c>
      <c r="N159" s="39" t="s">
        <v>125</v>
      </c>
      <c r="O159" s="39"/>
      <c r="P159" s="39"/>
      <c r="Q159" s="39" t="s">
        <v>1872</v>
      </c>
      <c r="R159" s="39" t="s">
        <v>16</v>
      </c>
      <c r="S159" s="39" t="s">
        <v>1873</v>
      </c>
      <c r="T159" s="39" t="s">
        <v>130</v>
      </c>
      <c r="U159" s="39" t="s">
        <v>1874</v>
      </c>
      <c r="V159" s="39" t="s">
        <v>132</v>
      </c>
      <c r="W159" s="39" t="s">
        <v>133</v>
      </c>
      <c r="X159" s="39" t="s">
        <v>126</v>
      </c>
      <c r="Y159" s="39" t="s">
        <v>492</v>
      </c>
      <c r="Z159" s="39" t="s">
        <v>573</v>
      </c>
      <c r="AA159" s="39" t="s">
        <v>1875</v>
      </c>
      <c r="AB159" s="39" t="s">
        <v>1872</v>
      </c>
      <c r="AC159" s="39">
        <v>5403810</v>
      </c>
      <c r="AD159" s="39" t="s">
        <v>16</v>
      </c>
      <c r="AE159" s="39" t="s">
        <v>1876</v>
      </c>
      <c r="AF159" s="39" t="s">
        <v>16</v>
      </c>
      <c r="AG159" s="39" t="s">
        <v>1876</v>
      </c>
      <c r="AH159" s="39" t="s">
        <v>880</v>
      </c>
      <c r="AI159" s="39" t="s">
        <v>139</v>
      </c>
      <c r="AJ159" s="39" t="s">
        <v>140</v>
      </c>
      <c r="AK159" s="39" t="s">
        <v>125</v>
      </c>
      <c r="AL159" s="39">
        <v>5680</v>
      </c>
      <c r="AM159" s="39"/>
      <c r="AN159" s="39" t="s">
        <v>125</v>
      </c>
      <c r="AO159" s="39" t="s">
        <v>142</v>
      </c>
      <c r="AP159" s="39" t="s">
        <v>143</v>
      </c>
      <c r="AQ159" s="39" t="s">
        <v>252</v>
      </c>
      <c r="AR159" s="39" t="s">
        <v>1877</v>
      </c>
      <c r="AS159" s="39" t="s">
        <v>1878</v>
      </c>
      <c r="AT159" s="39" t="s">
        <v>1867</v>
      </c>
      <c r="AU159" s="39"/>
      <c r="AV159" s="39" t="s">
        <v>1879</v>
      </c>
      <c r="AW159" s="39"/>
      <c r="AX159" s="39"/>
      <c r="AY159" s="39"/>
      <c r="AZ159" s="39"/>
      <c r="BA159" s="39">
        <v>74859645</v>
      </c>
      <c r="BB159" s="39" t="s">
        <v>149</v>
      </c>
      <c r="BC159" s="39" t="s">
        <v>150</v>
      </c>
      <c r="BD159" s="39" t="s">
        <v>139</v>
      </c>
      <c r="BE159" s="39" t="s">
        <v>125</v>
      </c>
      <c r="BF159" s="39"/>
      <c r="BG159" s="39" t="s">
        <v>298</v>
      </c>
      <c r="BH159" s="39" t="s">
        <v>149</v>
      </c>
      <c r="BI159" s="39" t="s">
        <v>125</v>
      </c>
      <c r="BJ159" s="39"/>
      <c r="BK159" s="39" t="s">
        <v>153</v>
      </c>
      <c r="BL159" s="39"/>
      <c r="BM159" s="39" t="s">
        <v>154</v>
      </c>
      <c r="BN159" s="39" t="s">
        <v>1166</v>
      </c>
    </row>
    <row r="160" spans="1:66" hidden="1">
      <c r="A160" s="39">
        <v>158</v>
      </c>
      <c r="B160" s="39" t="s">
        <v>118</v>
      </c>
      <c r="C160" s="39" t="s">
        <v>119</v>
      </c>
      <c r="D160" s="39" t="s">
        <v>1880</v>
      </c>
      <c r="E160" s="39" t="s">
        <v>1881</v>
      </c>
      <c r="F160" s="39" t="s">
        <v>184</v>
      </c>
      <c r="G160" s="39" t="s">
        <v>1882</v>
      </c>
      <c r="H160" s="39" t="s">
        <v>1883</v>
      </c>
      <c r="I160" s="39" t="s">
        <v>125</v>
      </c>
      <c r="J160" s="39" t="s">
        <v>187</v>
      </c>
      <c r="K160" s="39" t="s">
        <v>28</v>
      </c>
      <c r="L160" s="39" t="s">
        <v>188</v>
      </c>
      <c r="M160" s="39" t="s">
        <v>395</v>
      </c>
      <c r="N160" s="39" t="s">
        <v>1884</v>
      </c>
      <c r="O160" s="39"/>
      <c r="P160" s="39"/>
      <c r="Q160" s="39" t="s">
        <v>1880</v>
      </c>
      <c r="R160" s="39" t="s">
        <v>28</v>
      </c>
      <c r="S160" s="39" t="s">
        <v>1885</v>
      </c>
      <c r="T160" s="39" t="s">
        <v>130</v>
      </c>
      <c r="U160" s="39" t="s">
        <v>1886</v>
      </c>
      <c r="V160" s="39" t="s">
        <v>132</v>
      </c>
      <c r="W160" s="39" t="s">
        <v>168</v>
      </c>
      <c r="X160" s="39" t="s">
        <v>355</v>
      </c>
      <c r="Y160" s="39" t="s">
        <v>1175</v>
      </c>
      <c r="Z160" s="39" t="s">
        <v>1887</v>
      </c>
      <c r="AA160" s="39" t="s">
        <v>1888</v>
      </c>
      <c r="AB160" s="39" t="s">
        <v>1880</v>
      </c>
      <c r="AC160" s="39">
        <v>5396567</v>
      </c>
      <c r="AD160" s="39" t="s">
        <v>28</v>
      </c>
      <c r="AE160" s="39" t="s">
        <v>1886</v>
      </c>
      <c r="AF160" s="39" t="s">
        <v>28</v>
      </c>
      <c r="AG160" s="39" t="s">
        <v>1889</v>
      </c>
      <c r="AH160" s="39" t="s">
        <v>1890</v>
      </c>
      <c r="AI160" s="39" t="s">
        <v>179</v>
      </c>
      <c r="AJ160" s="39" t="s">
        <v>140</v>
      </c>
      <c r="AK160" s="39" t="s">
        <v>125</v>
      </c>
      <c r="AL160" s="39">
        <v>5980</v>
      </c>
      <c r="AM160" s="39"/>
      <c r="AN160" s="39" t="s">
        <v>1884</v>
      </c>
      <c r="AO160" s="39" t="s">
        <v>142</v>
      </c>
      <c r="AP160" s="39" t="s">
        <v>143</v>
      </c>
      <c r="AQ160" s="39" t="s">
        <v>144</v>
      </c>
      <c r="AR160" s="39" t="s">
        <v>1891</v>
      </c>
      <c r="AS160" s="39" t="s">
        <v>1892</v>
      </c>
      <c r="AT160" s="39" t="s">
        <v>1867</v>
      </c>
      <c r="AU160" s="39"/>
      <c r="AV160" s="39" t="s">
        <v>1893</v>
      </c>
      <c r="AW160" s="39"/>
      <c r="AX160" s="39"/>
      <c r="AY160" s="39"/>
      <c r="AZ160" s="39"/>
      <c r="BA160" s="39">
        <v>76479809</v>
      </c>
      <c r="BB160" s="39" t="s">
        <v>149</v>
      </c>
      <c r="BC160" s="39" t="s">
        <v>150</v>
      </c>
      <c r="BD160" s="39" t="s">
        <v>179</v>
      </c>
      <c r="BE160" s="39" t="s">
        <v>125</v>
      </c>
      <c r="BF160" s="39"/>
      <c r="BG160" s="39" t="s">
        <v>298</v>
      </c>
      <c r="BH160" s="39" t="s">
        <v>152</v>
      </c>
      <c r="BI160" s="39" t="s">
        <v>125</v>
      </c>
      <c r="BJ160" s="39"/>
      <c r="BK160" s="39" t="s">
        <v>153</v>
      </c>
      <c r="BL160" s="39"/>
      <c r="BM160" s="39" t="s">
        <v>240</v>
      </c>
      <c r="BN160" s="39" t="s">
        <v>155</v>
      </c>
    </row>
    <row r="161" spans="1:66" hidden="1">
      <c r="A161" s="39">
        <v>159</v>
      </c>
      <c r="B161" s="39" t="s">
        <v>118</v>
      </c>
      <c r="C161" s="39" t="s">
        <v>119</v>
      </c>
      <c r="D161" s="39" t="s">
        <v>168</v>
      </c>
      <c r="E161" s="39" t="s">
        <v>1894</v>
      </c>
      <c r="F161" s="39" t="s">
        <v>525</v>
      </c>
      <c r="G161" s="39" t="s">
        <v>1895</v>
      </c>
      <c r="H161" s="39" t="s">
        <v>1896</v>
      </c>
      <c r="I161" s="39" t="s">
        <v>125</v>
      </c>
      <c r="J161" s="39" t="s">
        <v>418</v>
      </c>
      <c r="K161" s="39" t="s">
        <v>525</v>
      </c>
      <c r="L161" s="39" t="s">
        <v>305</v>
      </c>
      <c r="M161" s="39" t="s">
        <v>306</v>
      </c>
      <c r="N161" s="39" t="s">
        <v>125</v>
      </c>
      <c r="O161" s="39" t="s">
        <v>525</v>
      </c>
      <c r="P161" s="39" t="s">
        <v>1897</v>
      </c>
      <c r="Q161" s="39" t="s">
        <v>1884</v>
      </c>
      <c r="R161" s="39" t="s">
        <v>28</v>
      </c>
      <c r="S161" s="39" t="s">
        <v>1898</v>
      </c>
      <c r="T161" s="39" t="s">
        <v>130</v>
      </c>
      <c r="U161" s="39" t="s">
        <v>1899</v>
      </c>
      <c r="V161" s="39" t="s">
        <v>132</v>
      </c>
      <c r="W161" s="39" t="s">
        <v>168</v>
      </c>
      <c r="X161" s="39" t="s">
        <v>355</v>
      </c>
      <c r="Y161" s="39" t="s">
        <v>1175</v>
      </c>
      <c r="Z161" s="39" t="s">
        <v>1887</v>
      </c>
      <c r="AA161" s="39" t="s">
        <v>1888</v>
      </c>
      <c r="AB161" s="39" t="s">
        <v>1884</v>
      </c>
      <c r="AC161" s="39">
        <v>5396548</v>
      </c>
      <c r="AD161" s="39" t="s">
        <v>28</v>
      </c>
      <c r="AE161" s="39" t="s">
        <v>1900</v>
      </c>
      <c r="AF161" s="39" t="s">
        <v>28</v>
      </c>
      <c r="AG161" s="39" t="s">
        <v>1901</v>
      </c>
      <c r="AH161" s="39" t="s">
        <v>1890</v>
      </c>
      <c r="AI161" s="39" t="s">
        <v>179</v>
      </c>
      <c r="AJ161" s="39" t="s">
        <v>140</v>
      </c>
      <c r="AK161" s="39" t="s">
        <v>125</v>
      </c>
      <c r="AL161" s="39">
        <v>6180</v>
      </c>
      <c r="AM161" s="39"/>
      <c r="AN161" s="39" t="s">
        <v>125</v>
      </c>
      <c r="AO161" s="39" t="s">
        <v>142</v>
      </c>
      <c r="AP161" s="39" t="s">
        <v>143</v>
      </c>
      <c r="AQ161" s="39" t="s">
        <v>144</v>
      </c>
      <c r="AR161" s="39" t="s">
        <v>1902</v>
      </c>
      <c r="AS161" s="39" t="s">
        <v>1903</v>
      </c>
      <c r="AT161" s="39" t="s">
        <v>1867</v>
      </c>
      <c r="AU161" s="39"/>
      <c r="AV161" s="39" t="s">
        <v>1904</v>
      </c>
      <c r="AW161" s="39"/>
      <c r="AX161" s="39"/>
      <c r="AY161" s="39"/>
      <c r="AZ161" s="39"/>
      <c r="BA161" s="39">
        <v>79632584</v>
      </c>
      <c r="BB161" s="39" t="s">
        <v>149</v>
      </c>
      <c r="BC161" s="39" t="s">
        <v>150</v>
      </c>
      <c r="BD161" s="39" t="s">
        <v>179</v>
      </c>
      <c r="BE161" s="39" t="s">
        <v>125</v>
      </c>
      <c r="BF161" s="39"/>
      <c r="BG161" s="39" t="s">
        <v>298</v>
      </c>
      <c r="BH161" s="39" t="s">
        <v>152</v>
      </c>
      <c r="BI161" s="39" t="s">
        <v>125</v>
      </c>
      <c r="BJ161" s="39"/>
      <c r="BK161" s="39" t="s">
        <v>153</v>
      </c>
      <c r="BL161" s="39"/>
      <c r="BM161" s="39" t="s">
        <v>205</v>
      </c>
      <c r="BN161" s="39" t="s">
        <v>155</v>
      </c>
    </row>
    <row r="162" spans="1:66" hidden="1">
      <c r="A162" s="39">
        <v>160</v>
      </c>
      <c r="B162" s="39" t="s">
        <v>118</v>
      </c>
      <c r="C162" s="39" t="s">
        <v>119</v>
      </c>
      <c r="D162" s="39" t="s">
        <v>1905</v>
      </c>
      <c r="E162" s="39" t="s">
        <v>1906</v>
      </c>
      <c r="F162" s="39" t="s">
        <v>258</v>
      </c>
      <c r="G162" s="39" t="s">
        <v>1907</v>
      </c>
      <c r="H162" s="39" t="s">
        <v>1908</v>
      </c>
      <c r="I162" s="39" t="s">
        <v>1527</v>
      </c>
      <c r="J162" s="39"/>
      <c r="K162" s="39" t="s">
        <v>794</v>
      </c>
      <c r="L162" s="39" t="s">
        <v>263</v>
      </c>
      <c r="M162" s="39" t="s">
        <v>1528</v>
      </c>
      <c r="N162" s="39" t="s">
        <v>125</v>
      </c>
      <c r="O162" s="39" t="s">
        <v>794</v>
      </c>
      <c r="P162" s="39" t="s">
        <v>1909</v>
      </c>
      <c r="Q162" s="39" t="s">
        <v>1910</v>
      </c>
      <c r="R162" s="39" t="s">
        <v>16</v>
      </c>
      <c r="S162" s="39" t="s">
        <v>1911</v>
      </c>
      <c r="T162" s="39" t="s">
        <v>130</v>
      </c>
      <c r="U162" s="39" t="s">
        <v>1912</v>
      </c>
      <c r="V162" s="39" t="s">
        <v>132</v>
      </c>
      <c r="W162" s="39" t="s">
        <v>168</v>
      </c>
      <c r="X162" s="39" t="s">
        <v>355</v>
      </c>
      <c r="Y162" s="39" t="s">
        <v>492</v>
      </c>
      <c r="Z162" s="39" t="s">
        <v>1913</v>
      </c>
      <c r="AA162" s="39" t="s">
        <v>1914</v>
      </c>
      <c r="AB162" s="39" t="s">
        <v>1910</v>
      </c>
      <c r="AC162" s="39">
        <v>5395952</v>
      </c>
      <c r="AD162" s="39" t="s">
        <v>16</v>
      </c>
      <c r="AE162" s="39" t="s">
        <v>1915</v>
      </c>
      <c r="AF162" s="39" t="s">
        <v>16</v>
      </c>
      <c r="AG162" s="39" t="s">
        <v>1916</v>
      </c>
      <c r="AH162" s="39" t="s">
        <v>1890</v>
      </c>
      <c r="AI162" s="39" t="s">
        <v>179</v>
      </c>
      <c r="AJ162" s="39" t="s">
        <v>140</v>
      </c>
      <c r="AK162" s="39" t="s">
        <v>125</v>
      </c>
      <c r="AL162" s="39">
        <v>5680</v>
      </c>
      <c r="AM162" s="39"/>
      <c r="AN162" s="39" t="s">
        <v>125</v>
      </c>
      <c r="AO162" s="39" t="s">
        <v>142</v>
      </c>
      <c r="AP162" s="39" t="s">
        <v>143</v>
      </c>
      <c r="AQ162" s="39" t="s">
        <v>144</v>
      </c>
      <c r="AR162" s="39" t="s">
        <v>1917</v>
      </c>
      <c r="AS162" s="39" t="s">
        <v>1918</v>
      </c>
      <c r="AT162" s="39" t="s">
        <v>1867</v>
      </c>
      <c r="AU162" s="39"/>
      <c r="AV162" s="39" t="s">
        <v>1919</v>
      </c>
      <c r="AW162" s="39"/>
      <c r="AX162" s="39"/>
      <c r="AY162" s="39"/>
      <c r="AZ162" s="39"/>
      <c r="BA162" s="39">
        <v>80627095</v>
      </c>
      <c r="BB162" s="39" t="s">
        <v>149</v>
      </c>
      <c r="BC162" s="39" t="s">
        <v>150</v>
      </c>
      <c r="BD162" s="39" t="s">
        <v>179</v>
      </c>
      <c r="BE162" s="39" t="s">
        <v>125</v>
      </c>
      <c r="BF162" s="39"/>
      <c r="BG162" s="39" t="s">
        <v>298</v>
      </c>
      <c r="BH162" s="39" t="s">
        <v>152</v>
      </c>
      <c r="BI162" s="39" t="s">
        <v>125</v>
      </c>
      <c r="BJ162" s="39"/>
      <c r="BK162" s="39" t="s">
        <v>153</v>
      </c>
      <c r="BL162" s="39"/>
      <c r="BM162" s="39" t="s">
        <v>154</v>
      </c>
      <c r="BN162" s="39" t="s">
        <v>915</v>
      </c>
    </row>
    <row r="163" spans="1:66" hidden="1">
      <c r="A163" s="39">
        <v>161</v>
      </c>
      <c r="B163" s="39" t="s">
        <v>118</v>
      </c>
      <c r="C163" s="39" t="s">
        <v>119</v>
      </c>
      <c r="D163" s="39"/>
      <c r="E163" s="39" t="s">
        <v>1869</v>
      </c>
      <c r="F163" s="39"/>
      <c r="G163" s="39" t="s">
        <v>1870</v>
      </c>
      <c r="H163" s="39" t="s">
        <v>1871</v>
      </c>
      <c r="I163" s="39" t="s">
        <v>1156</v>
      </c>
      <c r="J163" s="39" t="s">
        <v>126</v>
      </c>
      <c r="K163" s="39" t="s">
        <v>16</v>
      </c>
      <c r="L163" s="39" t="s">
        <v>858</v>
      </c>
      <c r="M163" s="39" t="s">
        <v>1157</v>
      </c>
      <c r="N163" s="39"/>
      <c r="O163" s="39"/>
      <c r="P163" s="39"/>
      <c r="Q163" s="39" t="s">
        <v>1872</v>
      </c>
      <c r="R163" s="39" t="s">
        <v>16</v>
      </c>
      <c r="S163" s="39" t="s">
        <v>1920</v>
      </c>
      <c r="T163" s="39" t="s">
        <v>359</v>
      </c>
      <c r="U163" s="39" t="s">
        <v>1921</v>
      </c>
      <c r="V163" s="39" t="s">
        <v>132</v>
      </c>
      <c r="W163" s="39" t="s">
        <v>133</v>
      </c>
      <c r="X163" s="39" t="s">
        <v>126</v>
      </c>
      <c r="Y163" s="39" t="s">
        <v>492</v>
      </c>
      <c r="Z163" s="39" t="s">
        <v>573</v>
      </c>
      <c r="AA163" s="39" t="s">
        <v>1875</v>
      </c>
      <c r="AB163" s="39" t="s">
        <v>1872</v>
      </c>
      <c r="AC163" s="39">
        <v>5395898</v>
      </c>
      <c r="AD163" s="39" t="s">
        <v>16</v>
      </c>
      <c r="AE163" s="39" t="s">
        <v>1921</v>
      </c>
      <c r="AF163" s="39" t="s">
        <v>16</v>
      </c>
      <c r="AG163" s="39" t="s">
        <v>1921</v>
      </c>
      <c r="AH163" s="39" t="s">
        <v>1922</v>
      </c>
      <c r="AI163" s="39" t="s">
        <v>139</v>
      </c>
      <c r="AJ163" s="39" t="s">
        <v>140</v>
      </c>
      <c r="AK163" s="39" t="s">
        <v>125</v>
      </c>
      <c r="AL163" s="39">
        <v>5680</v>
      </c>
      <c r="AM163" s="39" t="s">
        <v>429</v>
      </c>
      <c r="AN163" s="39" t="s">
        <v>125</v>
      </c>
      <c r="AO163" s="39" t="s">
        <v>367</v>
      </c>
      <c r="AP163" s="39" t="s">
        <v>143</v>
      </c>
      <c r="AQ163" s="39" t="s">
        <v>252</v>
      </c>
      <c r="AR163" s="39" t="s">
        <v>1877</v>
      </c>
      <c r="AS163" s="39" t="s">
        <v>1923</v>
      </c>
      <c r="AT163" s="39" t="s">
        <v>1867</v>
      </c>
      <c r="AU163" s="39"/>
      <c r="AV163" s="39" t="s">
        <v>1924</v>
      </c>
      <c r="AW163" s="39"/>
      <c r="AX163" s="39"/>
      <c r="AY163" s="39"/>
      <c r="AZ163" s="39"/>
      <c r="BA163" s="39">
        <v>74859645</v>
      </c>
      <c r="BB163" s="39" t="s">
        <v>149</v>
      </c>
      <c r="BC163" s="39" t="s">
        <v>150</v>
      </c>
      <c r="BD163" s="39" t="s">
        <v>139</v>
      </c>
      <c r="BE163" s="39" t="s">
        <v>125</v>
      </c>
      <c r="BF163" s="39"/>
      <c r="BG163" s="39" t="s">
        <v>298</v>
      </c>
      <c r="BH163" s="39" t="s">
        <v>152</v>
      </c>
      <c r="BI163" s="39" t="s">
        <v>125</v>
      </c>
      <c r="BJ163" s="39"/>
      <c r="BK163" s="39" t="s">
        <v>438</v>
      </c>
      <c r="BL163" s="39"/>
      <c r="BM163" s="39" t="s">
        <v>154</v>
      </c>
      <c r="BN163" s="39"/>
    </row>
    <row r="164" spans="1:66" hidden="1">
      <c r="A164" s="39">
        <v>162</v>
      </c>
      <c r="B164" s="39" t="s">
        <v>118</v>
      </c>
      <c r="C164" s="39" t="s">
        <v>119</v>
      </c>
      <c r="D164" s="39" t="s">
        <v>1925</v>
      </c>
      <c r="E164" s="39" t="s">
        <v>1926</v>
      </c>
      <c r="F164" s="39" t="s">
        <v>1927</v>
      </c>
      <c r="G164" s="39" t="s">
        <v>1928</v>
      </c>
      <c r="H164" s="39" t="s">
        <v>1929</v>
      </c>
      <c r="I164" s="39" t="s">
        <v>125</v>
      </c>
      <c r="J164" s="39" t="s">
        <v>355</v>
      </c>
      <c r="K164" s="39" t="s">
        <v>262</v>
      </c>
      <c r="L164" s="39" t="s">
        <v>162</v>
      </c>
      <c r="M164" s="39" t="s">
        <v>1348</v>
      </c>
      <c r="N164" s="39" t="s">
        <v>125</v>
      </c>
      <c r="O164" s="39" t="s">
        <v>262</v>
      </c>
      <c r="P164" s="39" t="s">
        <v>1930</v>
      </c>
      <c r="Q164" s="39" t="s">
        <v>1931</v>
      </c>
      <c r="R164" s="39" t="s">
        <v>28</v>
      </c>
      <c r="S164" s="39" t="s">
        <v>1932</v>
      </c>
      <c r="T164" s="39" t="s">
        <v>130</v>
      </c>
      <c r="U164" s="39" t="s">
        <v>1933</v>
      </c>
      <c r="V164" s="39" t="s">
        <v>132</v>
      </c>
      <c r="W164" s="39" t="s">
        <v>133</v>
      </c>
      <c r="X164" s="39" t="s">
        <v>355</v>
      </c>
      <c r="Y164" s="39" t="s">
        <v>1934</v>
      </c>
      <c r="Z164" s="39" t="s">
        <v>1935</v>
      </c>
      <c r="AA164" s="39" t="s">
        <v>1936</v>
      </c>
      <c r="AB164" s="39" t="s">
        <v>1931</v>
      </c>
      <c r="AC164" s="39">
        <v>5367271</v>
      </c>
      <c r="AD164" s="39" t="s">
        <v>28</v>
      </c>
      <c r="AE164" s="39" t="s">
        <v>1937</v>
      </c>
      <c r="AF164" s="39" t="s">
        <v>28</v>
      </c>
      <c r="AG164" s="39" t="s">
        <v>1938</v>
      </c>
      <c r="AH164" s="39" t="s">
        <v>880</v>
      </c>
      <c r="AI164" s="39" t="s">
        <v>139</v>
      </c>
      <c r="AJ164" s="39" t="s">
        <v>140</v>
      </c>
      <c r="AK164" s="39" t="s">
        <v>125</v>
      </c>
      <c r="AL164" s="39">
        <v>5680</v>
      </c>
      <c r="AM164" s="39"/>
      <c r="AN164" s="39" t="s">
        <v>125</v>
      </c>
      <c r="AO164" s="39" t="s">
        <v>142</v>
      </c>
      <c r="AP164" s="39" t="s">
        <v>143</v>
      </c>
      <c r="AQ164" s="39" t="s">
        <v>144</v>
      </c>
      <c r="AR164" s="39" t="s">
        <v>1939</v>
      </c>
      <c r="AS164" s="39" t="s">
        <v>1940</v>
      </c>
      <c r="AT164" s="39" t="s">
        <v>1867</v>
      </c>
      <c r="AU164" s="39"/>
      <c r="AV164" s="39" t="s">
        <v>1941</v>
      </c>
      <c r="AW164" s="39"/>
      <c r="AX164" s="39"/>
      <c r="AY164" s="39"/>
      <c r="AZ164" s="39"/>
      <c r="BA164" s="39">
        <v>80569908</v>
      </c>
      <c r="BB164" s="39" t="s">
        <v>149</v>
      </c>
      <c r="BC164" s="39" t="s">
        <v>150</v>
      </c>
      <c r="BD164" s="39" t="s">
        <v>139</v>
      </c>
      <c r="BE164" s="39" t="s">
        <v>125</v>
      </c>
      <c r="BF164" s="39"/>
      <c r="BG164" s="39" t="s">
        <v>298</v>
      </c>
      <c r="BH164" s="39" t="s">
        <v>152</v>
      </c>
      <c r="BI164" s="39" t="s">
        <v>125</v>
      </c>
      <c r="BJ164" s="39"/>
      <c r="BK164" s="39" t="s">
        <v>153</v>
      </c>
      <c r="BL164" s="39"/>
      <c r="BM164" s="39" t="s">
        <v>460</v>
      </c>
      <c r="BN164" s="39" t="s">
        <v>181</v>
      </c>
    </row>
    <row r="165" spans="1:66" hidden="1">
      <c r="A165" s="39">
        <v>163</v>
      </c>
      <c r="B165" s="39" t="s">
        <v>118</v>
      </c>
      <c r="C165" s="39" t="s">
        <v>119</v>
      </c>
      <c r="D165" s="39" t="s">
        <v>1942</v>
      </c>
      <c r="E165" s="39" t="s">
        <v>1943</v>
      </c>
      <c r="F165" s="39" t="s">
        <v>158</v>
      </c>
      <c r="G165" s="39" t="s">
        <v>1944</v>
      </c>
      <c r="H165" s="39" t="s">
        <v>1945</v>
      </c>
      <c r="I165" s="39" t="s">
        <v>125</v>
      </c>
      <c r="J165" s="39" t="s">
        <v>126</v>
      </c>
      <c r="K165" s="39" t="s">
        <v>22</v>
      </c>
      <c r="L165" s="39" t="s">
        <v>162</v>
      </c>
      <c r="M165" s="39" t="s">
        <v>163</v>
      </c>
      <c r="N165" s="39" t="s">
        <v>125</v>
      </c>
      <c r="O165" s="39"/>
      <c r="P165" s="39"/>
      <c r="Q165" s="39" t="s">
        <v>1946</v>
      </c>
      <c r="R165" s="39" t="s">
        <v>22</v>
      </c>
      <c r="S165" s="39" t="s">
        <v>1947</v>
      </c>
      <c r="T165" s="39" t="s">
        <v>130</v>
      </c>
      <c r="U165" s="39" t="s">
        <v>1948</v>
      </c>
      <c r="V165" s="39" t="s">
        <v>132</v>
      </c>
      <c r="W165" s="39" t="s">
        <v>168</v>
      </c>
      <c r="X165" s="39" t="s">
        <v>126</v>
      </c>
      <c r="Y165" s="39" t="s">
        <v>1949</v>
      </c>
      <c r="Z165" s="39" t="s">
        <v>1950</v>
      </c>
      <c r="AA165" s="39" t="s">
        <v>1951</v>
      </c>
      <c r="AB165" s="39" t="s">
        <v>1946</v>
      </c>
      <c r="AC165" s="39">
        <v>5367157</v>
      </c>
      <c r="AD165" s="39" t="s">
        <v>22</v>
      </c>
      <c r="AE165" s="39" t="s">
        <v>1952</v>
      </c>
      <c r="AF165" s="39" t="s">
        <v>22</v>
      </c>
      <c r="AG165" s="39" t="s">
        <v>1953</v>
      </c>
      <c r="AH165" s="39" t="s">
        <v>1890</v>
      </c>
      <c r="AI165" s="39" t="s">
        <v>179</v>
      </c>
      <c r="AJ165" s="39" t="s">
        <v>140</v>
      </c>
      <c r="AK165" s="39" t="s">
        <v>125</v>
      </c>
      <c r="AL165" s="39">
        <v>5680</v>
      </c>
      <c r="AM165" s="39"/>
      <c r="AN165" s="39" t="s">
        <v>125</v>
      </c>
      <c r="AO165" s="39" t="s">
        <v>142</v>
      </c>
      <c r="AP165" s="39" t="s">
        <v>143</v>
      </c>
      <c r="AQ165" s="39" t="s">
        <v>293</v>
      </c>
      <c r="AR165" s="39" t="s">
        <v>1954</v>
      </c>
      <c r="AS165" s="39" t="s">
        <v>1955</v>
      </c>
      <c r="AT165" s="39" t="s">
        <v>1867</v>
      </c>
      <c r="AU165" s="39"/>
      <c r="AV165" s="39" t="s">
        <v>1956</v>
      </c>
      <c r="AW165" s="39"/>
      <c r="AX165" s="39"/>
      <c r="AY165" s="39"/>
      <c r="AZ165" s="39"/>
      <c r="BA165" s="39">
        <v>80571906</v>
      </c>
      <c r="BB165" s="39" t="s">
        <v>149</v>
      </c>
      <c r="BC165" s="39" t="s">
        <v>150</v>
      </c>
      <c r="BD165" s="39" t="s">
        <v>179</v>
      </c>
      <c r="BE165" s="39" t="s">
        <v>125</v>
      </c>
      <c r="BF165" s="39"/>
      <c r="BG165" s="39" t="s">
        <v>239</v>
      </c>
      <c r="BH165" s="39" t="s">
        <v>152</v>
      </c>
      <c r="BI165" s="39" t="s">
        <v>125</v>
      </c>
      <c r="BJ165" s="39"/>
      <c r="BK165" s="39" t="s">
        <v>153</v>
      </c>
      <c r="BL165" s="39"/>
      <c r="BM165" s="39" t="s">
        <v>460</v>
      </c>
      <c r="BN165" s="39" t="s">
        <v>181</v>
      </c>
    </row>
    <row r="166" spans="1:66" hidden="1">
      <c r="A166" s="39">
        <v>164</v>
      </c>
      <c r="B166" s="39" t="s">
        <v>118</v>
      </c>
      <c r="C166" s="39" t="s">
        <v>119</v>
      </c>
      <c r="D166" s="39" t="s">
        <v>1957</v>
      </c>
      <c r="E166" s="39" t="s">
        <v>1958</v>
      </c>
      <c r="F166" s="39" t="s">
        <v>279</v>
      </c>
      <c r="G166" s="39" t="s">
        <v>1959</v>
      </c>
      <c r="H166" s="39" t="s">
        <v>1960</v>
      </c>
      <c r="I166" s="39" t="s">
        <v>282</v>
      </c>
      <c r="J166" s="39" t="s">
        <v>187</v>
      </c>
      <c r="K166" s="39" t="s">
        <v>262</v>
      </c>
      <c r="L166" s="39" t="s">
        <v>284</v>
      </c>
      <c r="M166" s="39" t="s">
        <v>284</v>
      </c>
      <c r="N166" s="39" t="s">
        <v>125</v>
      </c>
      <c r="O166" s="39" t="s">
        <v>262</v>
      </c>
      <c r="P166" s="39" t="s">
        <v>1961</v>
      </c>
      <c r="Q166" s="39" t="s">
        <v>1957</v>
      </c>
      <c r="R166" s="39" t="s">
        <v>22</v>
      </c>
      <c r="S166" s="39" t="s">
        <v>1962</v>
      </c>
      <c r="T166" s="39" t="s">
        <v>130</v>
      </c>
      <c r="U166" s="39" t="s">
        <v>1963</v>
      </c>
      <c r="V166" s="39" t="s">
        <v>132</v>
      </c>
      <c r="W166" s="39" t="s">
        <v>194</v>
      </c>
      <c r="X166" s="39" t="s">
        <v>187</v>
      </c>
      <c r="Y166" s="39" t="s">
        <v>1964</v>
      </c>
      <c r="Z166" s="39" t="s">
        <v>196</v>
      </c>
      <c r="AA166" s="39" t="s">
        <v>197</v>
      </c>
      <c r="AB166" s="39" t="s">
        <v>1957</v>
      </c>
      <c r="AC166" s="39">
        <v>5367142</v>
      </c>
      <c r="AD166" s="39" t="s">
        <v>22</v>
      </c>
      <c r="AE166" s="39" t="s">
        <v>1965</v>
      </c>
      <c r="AF166" s="39" t="s">
        <v>22</v>
      </c>
      <c r="AG166" s="39" t="s">
        <v>1966</v>
      </c>
      <c r="AH166" s="39" t="s">
        <v>1274</v>
      </c>
      <c r="AI166" s="39" t="s">
        <v>218</v>
      </c>
      <c r="AJ166" s="39" t="s">
        <v>140</v>
      </c>
      <c r="AK166" s="39" t="s">
        <v>125</v>
      </c>
      <c r="AL166" s="39">
        <v>19300</v>
      </c>
      <c r="AM166" s="39"/>
      <c r="AN166" s="39" t="s">
        <v>125</v>
      </c>
      <c r="AO166" s="39" t="s">
        <v>142</v>
      </c>
      <c r="AP166" s="39" t="s">
        <v>143</v>
      </c>
      <c r="AQ166" s="39" t="s">
        <v>312</v>
      </c>
      <c r="AR166" s="39" t="s">
        <v>1967</v>
      </c>
      <c r="AS166" s="39" t="s">
        <v>1968</v>
      </c>
      <c r="AT166" s="39" t="s">
        <v>1867</v>
      </c>
      <c r="AU166" s="39"/>
      <c r="AV166" s="39" t="s">
        <v>1969</v>
      </c>
      <c r="AW166" s="39"/>
      <c r="AX166" s="39"/>
      <c r="AY166" s="39"/>
      <c r="AZ166" s="39"/>
      <c r="BA166" s="39">
        <v>74556629</v>
      </c>
      <c r="BB166" s="39" t="s">
        <v>149</v>
      </c>
      <c r="BC166" s="39" t="s">
        <v>150</v>
      </c>
      <c r="BD166" s="39" t="s">
        <v>179</v>
      </c>
      <c r="BE166" s="39" t="s">
        <v>125</v>
      </c>
      <c r="BF166" s="39"/>
      <c r="BG166" s="39" t="s">
        <v>180</v>
      </c>
      <c r="BH166" s="39" t="s">
        <v>152</v>
      </c>
      <c r="BI166" s="39" t="s">
        <v>1970</v>
      </c>
      <c r="BJ166" s="39"/>
      <c r="BK166" s="39" t="s">
        <v>153</v>
      </c>
      <c r="BL166" s="39"/>
      <c r="BM166" s="39"/>
      <c r="BN166" s="39" t="s">
        <v>300</v>
      </c>
    </row>
    <row r="167" spans="1:66" hidden="1">
      <c r="A167" s="39">
        <v>165</v>
      </c>
      <c r="B167" s="39" t="s">
        <v>118</v>
      </c>
      <c r="C167" s="39" t="s">
        <v>119</v>
      </c>
      <c r="D167" s="39" t="s">
        <v>1957</v>
      </c>
      <c r="E167" s="39" t="s">
        <v>1958</v>
      </c>
      <c r="F167" s="39" t="s">
        <v>279</v>
      </c>
      <c r="G167" s="39" t="s">
        <v>1959</v>
      </c>
      <c r="H167" s="39" t="s">
        <v>1960</v>
      </c>
      <c r="I167" s="39" t="s">
        <v>282</v>
      </c>
      <c r="J167" s="39" t="s">
        <v>187</v>
      </c>
      <c r="K167" s="39" t="s">
        <v>262</v>
      </c>
      <c r="L167" s="39" t="s">
        <v>284</v>
      </c>
      <c r="M167" s="39" t="s">
        <v>284</v>
      </c>
      <c r="N167" s="39" t="s">
        <v>125</v>
      </c>
      <c r="O167" s="39" t="s">
        <v>262</v>
      </c>
      <c r="P167" s="39" t="s">
        <v>1961</v>
      </c>
      <c r="Q167" s="39" t="s">
        <v>1957</v>
      </c>
      <c r="R167" s="39" t="s">
        <v>22</v>
      </c>
      <c r="S167" s="39" t="s">
        <v>1962</v>
      </c>
      <c r="T167" s="39" t="s">
        <v>130</v>
      </c>
      <c r="U167" s="39" t="s">
        <v>1963</v>
      </c>
      <c r="V167" s="39" t="s">
        <v>132</v>
      </c>
      <c r="W167" s="39" t="s">
        <v>194</v>
      </c>
      <c r="X167" s="39" t="s">
        <v>187</v>
      </c>
      <c r="Y167" s="39" t="s">
        <v>1964</v>
      </c>
      <c r="Z167" s="39" t="s">
        <v>196</v>
      </c>
      <c r="AA167" s="39" t="s">
        <v>197</v>
      </c>
      <c r="AB167" s="39" t="s">
        <v>1957</v>
      </c>
      <c r="AC167" s="39">
        <v>5367142</v>
      </c>
      <c r="AD167" s="39" t="s">
        <v>22</v>
      </c>
      <c r="AE167" s="39" t="s">
        <v>1965</v>
      </c>
      <c r="AF167" s="39" t="s">
        <v>22</v>
      </c>
      <c r="AG167" s="39" t="s">
        <v>1966</v>
      </c>
      <c r="AH167" s="39" t="s">
        <v>409</v>
      </c>
      <c r="AI167" s="39" t="s">
        <v>410</v>
      </c>
      <c r="AJ167" s="39" t="s">
        <v>140</v>
      </c>
      <c r="AK167" s="39" t="s">
        <v>125</v>
      </c>
      <c r="AL167" s="39">
        <v>3880</v>
      </c>
      <c r="AM167" s="39"/>
      <c r="AN167" s="39" t="s">
        <v>125</v>
      </c>
      <c r="AO167" s="39" t="s">
        <v>142</v>
      </c>
      <c r="AP167" s="39" t="s">
        <v>143</v>
      </c>
      <c r="AQ167" s="39" t="s">
        <v>345</v>
      </c>
      <c r="AR167" s="39" t="s">
        <v>1967</v>
      </c>
      <c r="AS167" s="39" t="s">
        <v>1971</v>
      </c>
      <c r="AT167" s="39" t="s">
        <v>348</v>
      </c>
      <c r="AU167" s="39"/>
      <c r="AV167" s="39" t="s">
        <v>1969</v>
      </c>
      <c r="AW167" s="39"/>
      <c r="AX167" s="39"/>
      <c r="AY167" s="39"/>
      <c r="AZ167" s="39"/>
      <c r="BA167" s="39">
        <v>74556629</v>
      </c>
      <c r="BB167" s="39" t="s">
        <v>149</v>
      </c>
      <c r="BC167" s="39" t="s">
        <v>150</v>
      </c>
      <c r="BD167" s="39" t="s">
        <v>179</v>
      </c>
      <c r="BE167" s="39" t="s">
        <v>125</v>
      </c>
      <c r="BF167" s="39"/>
      <c r="BG167" s="39" t="s">
        <v>180</v>
      </c>
      <c r="BH167" s="39" t="s">
        <v>152</v>
      </c>
      <c r="BI167" s="39" t="s">
        <v>1970</v>
      </c>
      <c r="BJ167" s="39"/>
      <c r="BK167" s="39" t="s">
        <v>153</v>
      </c>
      <c r="BL167" s="39"/>
      <c r="BM167" s="39"/>
      <c r="BN167" s="39" t="s">
        <v>300</v>
      </c>
    </row>
    <row r="168" spans="1:66" hidden="1">
      <c r="A168" s="39">
        <v>166</v>
      </c>
      <c r="B168" s="39" t="s">
        <v>118</v>
      </c>
      <c r="C168" s="39" t="s">
        <v>119</v>
      </c>
      <c r="D168" s="39" t="s">
        <v>1972</v>
      </c>
      <c r="E168" s="39" t="s">
        <v>1973</v>
      </c>
      <c r="F168" s="39" t="s">
        <v>279</v>
      </c>
      <c r="G168" s="39" t="s">
        <v>1974</v>
      </c>
      <c r="H168" s="39" t="s">
        <v>1975</v>
      </c>
      <c r="I168" s="39" t="s">
        <v>282</v>
      </c>
      <c r="J168" s="39" t="s">
        <v>187</v>
      </c>
      <c r="K168" s="39" t="s">
        <v>905</v>
      </c>
      <c r="L168" s="39" t="s">
        <v>284</v>
      </c>
      <c r="M168" s="39" t="s">
        <v>284</v>
      </c>
      <c r="N168" s="39" t="s">
        <v>125</v>
      </c>
      <c r="O168" s="39" t="s">
        <v>905</v>
      </c>
      <c r="P168" s="39" t="s">
        <v>1976</v>
      </c>
      <c r="Q168" s="39" t="s">
        <v>1977</v>
      </c>
      <c r="R168" s="39" t="s">
        <v>22</v>
      </c>
      <c r="S168" s="39" t="s">
        <v>1978</v>
      </c>
      <c r="T168" s="39" t="s">
        <v>130</v>
      </c>
      <c r="U168" s="39" t="s">
        <v>1979</v>
      </c>
      <c r="V168" s="39" t="s">
        <v>132</v>
      </c>
      <c r="W168" s="39" t="s">
        <v>194</v>
      </c>
      <c r="X168" s="39" t="s">
        <v>187</v>
      </c>
      <c r="Y168" s="39" t="s">
        <v>1980</v>
      </c>
      <c r="Z168" s="39" t="s">
        <v>196</v>
      </c>
      <c r="AA168" s="39" t="s">
        <v>197</v>
      </c>
      <c r="AB168" s="39" t="s">
        <v>1977</v>
      </c>
      <c r="AC168" s="39">
        <v>5395431</v>
      </c>
      <c r="AD168" s="39" t="s">
        <v>22</v>
      </c>
      <c r="AE168" s="39" t="s">
        <v>1981</v>
      </c>
      <c r="AF168" s="39" t="s">
        <v>22</v>
      </c>
      <c r="AG168" s="39" t="s">
        <v>1981</v>
      </c>
      <c r="AH168" s="39" t="s">
        <v>200</v>
      </c>
      <c r="AI168" s="39" t="s">
        <v>201</v>
      </c>
      <c r="AJ168" s="39" t="s">
        <v>140</v>
      </c>
      <c r="AK168" s="39" t="s">
        <v>125</v>
      </c>
      <c r="AL168" s="39">
        <v>5680</v>
      </c>
      <c r="AM168" s="39"/>
      <c r="AN168" s="39" t="s">
        <v>125</v>
      </c>
      <c r="AO168" s="39" t="s">
        <v>142</v>
      </c>
      <c r="AP168" s="39" t="s">
        <v>143</v>
      </c>
      <c r="AQ168" s="39" t="s">
        <v>144</v>
      </c>
      <c r="AR168" s="39" t="s">
        <v>1982</v>
      </c>
      <c r="AS168" s="39" t="s">
        <v>1983</v>
      </c>
      <c r="AT168" s="39" t="s">
        <v>368</v>
      </c>
      <c r="AU168" s="39"/>
      <c r="AV168" s="39" t="s">
        <v>1984</v>
      </c>
      <c r="AW168" s="39"/>
      <c r="AX168" s="39"/>
      <c r="AY168" s="39"/>
      <c r="AZ168" s="39"/>
      <c r="BA168" s="39">
        <v>74831745</v>
      </c>
      <c r="BB168" s="39" t="s">
        <v>149</v>
      </c>
      <c r="BC168" s="39" t="s">
        <v>150</v>
      </c>
      <c r="BD168" s="39" t="s">
        <v>179</v>
      </c>
      <c r="BE168" s="39" t="s">
        <v>125</v>
      </c>
      <c r="BF168" s="39"/>
      <c r="BG168" s="39" t="s">
        <v>180</v>
      </c>
      <c r="BH168" s="39" t="s">
        <v>152</v>
      </c>
      <c r="BI168" s="39" t="s">
        <v>125</v>
      </c>
      <c r="BJ168" s="39"/>
      <c r="BK168" s="39" t="s">
        <v>153</v>
      </c>
      <c r="BL168" s="39"/>
      <c r="BM168" s="39"/>
      <c r="BN168" s="39" t="s">
        <v>300</v>
      </c>
    </row>
    <row r="169" spans="1:66" hidden="1">
      <c r="A169" s="39">
        <v>167</v>
      </c>
      <c r="B169" s="39" t="s">
        <v>118</v>
      </c>
      <c r="C169" s="39" t="s">
        <v>119</v>
      </c>
      <c r="D169" s="39" t="s">
        <v>120</v>
      </c>
      <c r="E169" s="39" t="s">
        <v>1985</v>
      </c>
      <c r="F169" s="39" t="s">
        <v>1359</v>
      </c>
      <c r="G169" s="39" t="s">
        <v>1986</v>
      </c>
      <c r="H169" s="39" t="s">
        <v>1987</v>
      </c>
      <c r="I169" s="39" t="s">
        <v>125</v>
      </c>
      <c r="J169" s="39" t="s">
        <v>506</v>
      </c>
      <c r="K169" s="39" t="s">
        <v>303</v>
      </c>
      <c r="L169" s="39" t="s">
        <v>378</v>
      </c>
      <c r="M169" s="39" t="s">
        <v>920</v>
      </c>
      <c r="N169" s="39" t="s">
        <v>125</v>
      </c>
      <c r="O169" s="39" t="s">
        <v>303</v>
      </c>
      <c r="P169" s="39" t="s">
        <v>1988</v>
      </c>
      <c r="Q169" s="39" t="s">
        <v>1989</v>
      </c>
      <c r="R169" s="39" t="s">
        <v>23</v>
      </c>
      <c r="S169" s="39" t="s">
        <v>1990</v>
      </c>
      <c r="T169" s="39" t="s">
        <v>130</v>
      </c>
      <c r="U169" s="39" t="s">
        <v>1991</v>
      </c>
      <c r="V169" s="39" t="s">
        <v>132</v>
      </c>
      <c r="W169" s="39" t="s">
        <v>133</v>
      </c>
      <c r="X169" s="39" t="s">
        <v>187</v>
      </c>
      <c r="Y169" s="39" t="s">
        <v>1004</v>
      </c>
      <c r="Z169" s="39" t="s">
        <v>196</v>
      </c>
      <c r="AA169" s="39" t="s">
        <v>197</v>
      </c>
      <c r="AB169" s="39" t="s">
        <v>1989</v>
      </c>
      <c r="AC169" s="39">
        <v>5394995</v>
      </c>
      <c r="AD169" s="39" t="s">
        <v>23</v>
      </c>
      <c r="AE169" s="39" t="s">
        <v>1992</v>
      </c>
      <c r="AF169" s="39" t="s">
        <v>23</v>
      </c>
      <c r="AG169" s="39" t="s">
        <v>1992</v>
      </c>
      <c r="AH169" s="39" t="s">
        <v>138</v>
      </c>
      <c r="AI169" s="39" t="s">
        <v>139</v>
      </c>
      <c r="AJ169" s="39" t="s">
        <v>140</v>
      </c>
      <c r="AK169" s="39" t="s">
        <v>125</v>
      </c>
      <c r="AL169" s="39">
        <v>5180</v>
      </c>
      <c r="AM169" s="39"/>
      <c r="AN169" s="39" t="s">
        <v>125</v>
      </c>
      <c r="AO169" s="39" t="s">
        <v>142</v>
      </c>
      <c r="AP169" s="39" t="s">
        <v>143</v>
      </c>
      <c r="AQ169" s="39" t="s">
        <v>144</v>
      </c>
      <c r="AR169" s="39" t="s">
        <v>1993</v>
      </c>
      <c r="AS169" s="39" t="s">
        <v>1994</v>
      </c>
      <c r="AT169" s="39" t="s">
        <v>368</v>
      </c>
      <c r="AU169" s="39"/>
      <c r="AV169" s="39" t="s">
        <v>1995</v>
      </c>
      <c r="AW169" s="39"/>
      <c r="AX169" s="39"/>
      <c r="AY169" s="39"/>
      <c r="AZ169" s="39"/>
      <c r="BA169" s="39">
        <v>80475621</v>
      </c>
      <c r="BB169" s="39" t="s">
        <v>149</v>
      </c>
      <c r="BC169" s="39" t="s">
        <v>150</v>
      </c>
      <c r="BD169" s="39" t="s">
        <v>139</v>
      </c>
      <c r="BE169" s="39" t="s">
        <v>125</v>
      </c>
      <c r="BF169" s="39"/>
      <c r="BG169" s="39" t="s">
        <v>180</v>
      </c>
      <c r="BH169" s="39" t="s">
        <v>152</v>
      </c>
      <c r="BI169" s="39" t="s">
        <v>125</v>
      </c>
      <c r="BJ169" s="39"/>
      <c r="BK169" s="39" t="s">
        <v>153</v>
      </c>
      <c r="BL169" s="39"/>
      <c r="BM169" s="39"/>
      <c r="BN169" s="39" t="s">
        <v>155</v>
      </c>
    </row>
    <row r="170" spans="1:66" hidden="1">
      <c r="A170" s="39">
        <v>168</v>
      </c>
      <c r="B170" s="39" t="s">
        <v>118</v>
      </c>
      <c r="C170" s="39" t="s">
        <v>119</v>
      </c>
      <c r="D170" s="39" t="s">
        <v>1996</v>
      </c>
      <c r="E170" s="39" t="s">
        <v>1997</v>
      </c>
      <c r="F170" s="39" t="s">
        <v>1359</v>
      </c>
      <c r="G170" s="39" t="s">
        <v>1998</v>
      </c>
      <c r="H170" s="39" t="s">
        <v>1999</v>
      </c>
      <c r="I170" s="39" t="s">
        <v>125</v>
      </c>
      <c r="J170" s="39" t="s">
        <v>355</v>
      </c>
      <c r="K170" s="39" t="s">
        <v>23</v>
      </c>
      <c r="L170" s="39" t="s">
        <v>188</v>
      </c>
      <c r="M170" s="39" t="s">
        <v>189</v>
      </c>
      <c r="N170" s="39" t="s">
        <v>2000</v>
      </c>
      <c r="O170" s="39"/>
      <c r="P170" s="39"/>
      <c r="Q170" s="39" t="s">
        <v>1996</v>
      </c>
      <c r="R170" s="39" t="s">
        <v>23</v>
      </c>
      <c r="S170" s="39" t="s">
        <v>2001</v>
      </c>
      <c r="T170" s="39" t="s">
        <v>130</v>
      </c>
      <c r="U170" s="39" t="s">
        <v>2002</v>
      </c>
      <c r="V170" s="39" t="s">
        <v>132</v>
      </c>
      <c r="W170" s="39" t="s">
        <v>133</v>
      </c>
      <c r="X170" s="39" t="s">
        <v>355</v>
      </c>
      <c r="Y170" s="39" t="s">
        <v>1175</v>
      </c>
      <c r="Z170" s="39" t="s">
        <v>2003</v>
      </c>
      <c r="AA170" s="39" t="s">
        <v>2004</v>
      </c>
      <c r="AB170" s="39" t="s">
        <v>1996</v>
      </c>
      <c r="AC170" s="39">
        <v>5394768</v>
      </c>
      <c r="AD170" s="39" t="s">
        <v>23</v>
      </c>
      <c r="AE170" s="39" t="s">
        <v>2005</v>
      </c>
      <c r="AF170" s="39" t="s">
        <v>23</v>
      </c>
      <c r="AG170" s="39" t="s">
        <v>2006</v>
      </c>
      <c r="AH170" s="39" t="s">
        <v>880</v>
      </c>
      <c r="AI170" s="39" t="s">
        <v>139</v>
      </c>
      <c r="AJ170" s="39" t="s">
        <v>140</v>
      </c>
      <c r="AK170" s="39" t="s">
        <v>125</v>
      </c>
      <c r="AL170" s="39">
        <v>5680</v>
      </c>
      <c r="AM170" s="39"/>
      <c r="AN170" s="39" t="s">
        <v>2000</v>
      </c>
      <c r="AO170" s="39" t="s">
        <v>142</v>
      </c>
      <c r="AP170" s="39" t="s">
        <v>143</v>
      </c>
      <c r="AQ170" s="39" t="s">
        <v>312</v>
      </c>
      <c r="AR170" s="39" t="s">
        <v>2007</v>
      </c>
      <c r="AS170" s="39" t="s">
        <v>2008</v>
      </c>
      <c r="AT170" s="39" t="s">
        <v>368</v>
      </c>
      <c r="AU170" s="39"/>
      <c r="AV170" s="39" t="s">
        <v>2009</v>
      </c>
      <c r="AW170" s="39"/>
      <c r="AX170" s="39"/>
      <c r="AY170" s="39"/>
      <c r="AZ170" s="39"/>
      <c r="BA170" s="39">
        <v>80602585</v>
      </c>
      <c r="BB170" s="39" t="s">
        <v>149</v>
      </c>
      <c r="BC170" s="39" t="s">
        <v>150</v>
      </c>
      <c r="BD170" s="39" t="s">
        <v>139</v>
      </c>
      <c r="BE170" s="39" t="s">
        <v>125</v>
      </c>
      <c r="BF170" s="39"/>
      <c r="BG170" s="39" t="s">
        <v>298</v>
      </c>
      <c r="BH170" s="39" t="s">
        <v>152</v>
      </c>
      <c r="BI170" s="39" t="s">
        <v>125</v>
      </c>
      <c r="BJ170" s="39"/>
      <c r="BK170" s="39" t="s">
        <v>153</v>
      </c>
      <c r="BL170" s="39"/>
      <c r="BM170" s="39" t="s">
        <v>154</v>
      </c>
      <c r="BN170" s="39" t="s">
        <v>155</v>
      </c>
    </row>
    <row r="171" spans="1:66" hidden="1">
      <c r="A171" s="39">
        <v>169</v>
      </c>
      <c r="B171" s="39" t="s">
        <v>118</v>
      </c>
      <c r="C171" s="39" t="s">
        <v>119</v>
      </c>
      <c r="D171" s="39" t="s">
        <v>2010</v>
      </c>
      <c r="E171" s="39" t="s">
        <v>2011</v>
      </c>
      <c r="F171" s="39" t="s">
        <v>158</v>
      </c>
      <c r="G171" s="39" t="s">
        <v>2012</v>
      </c>
      <c r="H171" s="39" t="s">
        <v>2013</v>
      </c>
      <c r="I171" s="39" t="s">
        <v>125</v>
      </c>
      <c r="J171" s="39" t="s">
        <v>418</v>
      </c>
      <c r="K171" s="39" t="s">
        <v>16</v>
      </c>
      <c r="L171" s="39" t="s">
        <v>162</v>
      </c>
      <c r="M171" s="39" t="s">
        <v>163</v>
      </c>
      <c r="N171" s="39" t="s">
        <v>125</v>
      </c>
      <c r="O171" s="39"/>
      <c r="P171" s="39"/>
      <c r="Q171" s="39" t="s">
        <v>2014</v>
      </c>
      <c r="R171" s="39" t="s">
        <v>16</v>
      </c>
      <c r="S171" s="39" t="s">
        <v>2015</v>
      </c>
      <c r="T171" s="39" t="s">
        <v>130</v>
      </c>
      <c r="U171" s="39" t="s">
        <v>2016</v>
      </c>
      <c r="V171" s="39" t="s">
        <v>132</v>
      </c>
      <c r="W171" s="39" t="s">
        <v>168</v>
      </c>
      <c r="X171" s="39" t="s">
        <v>418</v>
      </c>
      <c r="Y171" s="39" t="s">
        <v>683</v>
      </c>
      <c r="Z171" s="39" t="s">
        <v>2017</v>
      </c>
      <c r="AA171" s="39" t="s">
        <v>740</v>
      </c>
      <c r="AB171" s="39" t="s">
        <v>2014</v>
      </c>
      <c r="AC171" s="39">
        <v>5366600</v>
      </c>
      <c r="AD171" s="39" t="s">
        <v>16</v>
      </c>
      <c r="AE171" s="39" t="s">
        <v>2018</v>
      </c>
      <c r="AF171" s="39" t="s">
        <v>16</v>
      </c>
      <c r="AG171" s="39" t="s">
        <v>2019</v>
      </c>
      <c r="AH171" s="39" t="s">
        <v>838</v>
      </c>
      <c r="AI171" s="39" t="s">
        <v>179</v>
      </c>
      <c r="AJ171" s="39" t="s">
        <v>140</v>
      </c>
      <c r="AK171" s="39" t="s">
        <v>125</v>
      </c>
      <c r="AL171" s="39">
        <v>5180</v>
      </c>
      <c r="AM171" s="39"/>
      <c r="AN171" s="39" t="s">
        <v>125</v>
      </c>
      <c r="AO171" s="39" t="s">
        <v>142</v>
      </c>
      <c r="AP171" s="39" t="s">
        <v>143</v>
      </c>
      <c r="AQ171" s="39" t="s">
        <v>252</v>
      </c>
      <c r="AR171" s="39" t="s">
        <v>2020</v>
      </c>
      <c r="AS171" s="39" t="s">
        <v>2021</v>
      </c>
      <c r="AT171" s="39" t="s">
        <v>368</v>
      </c>
      <c r="AU171" s="39"/>
      <c r="AV171" s="39" t="s">
        <v>2022</v>
      </c>
      <c r="AW171" s="39"/>
      <c r="AX171" s="39"/>
      <c r="AY171" s="39"/>
      <c r="AZ171" s="39"/>
      <c r="BA171" s="39">
        <v>56349328</v>
      </c>
      <c r="BB171" s="39" t="s">
        <v>149</v>
      </c>
      <c r="BC171" s="39" t="s">
        <v>150</v>
      </c>
      <c r="BD171" s="39" t="s">
        <v>179</v>
      </c>
      <c r="BE171" s="39" t="s">
        <v>125</v>
      </c>
      <c r="BF171" s="39"/>
      <c r="BG171" s="39" t="s">
        <v>298</v>
      </c>
      <c r="BH171" s="39" t="s">
        <v>152</v>
      </c>
      <c r="BI171" s="39" t="s">
        <v>125</v>
      </c>
      <c r="BJ171" s="39"/>
      <c r="BK171" s="39" t="s">
        <v>153</v>
      </c>
      <c r="BL171" s="39"/>
      <c r="BM171" s="39" t="s">
        <v>154</v>
      </c>
      <c r="BN171" s="39" t="s">
        <v>181</v>
      </c>
    </row>
    <row r="172" spans="1:66" hidden="1">
      <c r="A172" s="39">
        <v>170</v>
      </c>
      <c r="B172" s="39" t="s">
        <v>118</v>
      </c>
      <c r="C172" s="39" t="s">
        <v>119</v>
      </c>
      <c r="D172" s="39" t="s">
        <v>2023</v>
      </c>
      <c r="E172" s="39" t="s">
        <v>2024</v>
      </c>
      <c r="F172" s="39" t="s">
        <v>1359</v>
      </c>
      <c r="G172" s="39" t="s">
        <v>2025</v>
      </c>
      <c r="H172" s="39" t="s">
        <v>2026</v>
      </c>
      <c r="I172" s="39" t="s">
        <v>125</v>
      </c>
      <c r="J172" s="39" t="s">
        <v>506</v>
      </c>
      <c r="K172" s="39" t="s">
        <v>23</v>
      </c>
      <c r="L172" s="39" t="s">
        <v>127</v>
      </c>
      <c r="M172" s="39" t="s">
        <v>127</v>
      </c>
      <c r="N172" s="39" t="s">
        <v>125</v>
      </c>
      <c r="O172" s="39"/>
      <c r="P172" s="39"/>
      <c r="Q172" s="39" t="s">
        <v>2027</v>
      </c>
      <c r="R172" s="39" t="s">
        <v>23</v>
      </c>
      <c r="S172" s="39" t="s">
        <v>2028</v>
      </c>
      <c r="T172" s="39" t="s">
        <v>130</v>
      </c>
      <c r="U172" s="39" t="s">
        <v>2029</v>
      </c>
      <c r="V172" s="39" t="s">
        <v>132</v>
      </c>
      <c r="W172" s="39" t="s">
        <v>194</v>
      </c>
      <c r="X172" s="39" t="s">
        <v>187</v>
      </c>
      <c r="Y172" s="39" t="s">
        <v>2030</v>
      </c>
      <c r="Z172" s="39" t="s">
        <v>196</v>
      </c>
      <c r="AA172" s="39" t="s">
        <v>197</v>
      </c>
      <c r="AB172" s="39" t="s">
        <v>2027</v>
      </c>
      <c r="AC172" s="39">
        <v>5366284</v>
      </c>
      <c r="AD172" s="39" t="s">
        <v>23</v>
      </c>
      <c r="AE172" s="39" t="s">
        <v>2031</v>
      </c>
      <c r="AF172" s="39" t="s">
        <v>23</v>
      </c>
      <c r="AG172" s="39" t="s">
        <v>2032</v>
      </c>
      <c r="AH172" s="39" t="s">
        <v>2033</v>
      </c>
      <c r="AI172" s="39" t="s">
        <v>2034</v>
      </c>
      <c r="AJ172" s="39" t="s">
        <v>140</v>
      </c>
      <c r="AK172" s="39" t="s">
        <v>125</v>
      </c>
      <c r="AL172" s="39">
        <v>37500</v>
      </c>
      <c r="AM172" s="39"/>
      <c r="AN172" s="39" t="s">
        <v>125</v>
      </c>
      <c r="AO172" s="39" t="s">
        <v>142</v>
      </c>
      <c r="AP172" s="39" t="s">
        <v>143</v>
      </c>
      <c r="AQ172" s="39"/>
      <c r="AR172" s="39" t="s">
        <v>2035</v>
      </c>
      <c r="AS172" s="39"/>
      <c r="AT172" s="39" t="s">
        <v>368</v>
      </c>
      <c r="AU172" s="39"/>
      <c r="AV172" s="39" t="s">
        <v>2036</v>
      </c>
      <c r="AW172" s="39"/>
      <c r="AX172" s="39"/>
      <c r="AY172" s="39"/>
      <c r="AZ172" s="39"/>
      <c r="BA172" s="39">
        <v>74736054</v>
      </c>
      <c r="BB172" s="39" t="s">
        <v>149</v>
      </c>
      <c r="BC172" s="39" t="s">
        <v>150</v>
      </c>
      <c r="BD172" s="39" t="s">
        <v>459</v>
      </c>
      <c r="BE172" s="39" t="s">
        <v>125</v>
      </c>
      <c r="BF172" s="39"/>
      <c r="BG172" s="39" t="s">
        <v>180</v>
      </c>
      <c r="BH172" s="39" t="s">
        <v>152</v>
      </c>
      <c r="BI172" s="39" t="s">
        <v>125</v>
      </c>
      <c r="BJ172" s="39"/>
      <c r="BK172" s="39"/>
      <c r="BL172" s="39"/>
      <c r="BM172" s="39"/>
      <c r="BN172" s="39" t="s">
        <v>155</v>
      </c>
    </row>
    <row r="173" spans="1:66" hidden="1">
      <c r="A173" s="39">
        <v>171</v>
      </c>
      <c r="B173" s="39" t="s">
        <v>118</v>
      </c>
      <c r="C173" s="39" t="s">
        <v>119</v>
      </c>
      <c r="D173" s="39" t="s">
        <v>2037</v>
      </c>
      <c r="E173" s="39" t="s">
        <v>2038</v>
      </c>
      <c r="F173" s="39" t="s">
        <v>208</v>
      </c>
      <c r="G173" s="39" t="s">
        <v>2039</v>
      </c>
      <c r="H173" s="39" t="s">
        <v>2040</v>
      </c>
      <c r="I173" s="39" t="s">
        <v>245</v>
      </c>
      <c r="J173" s="39" t="s">
        <v>355</v>
      </c>
      <c r="K173" s="39" t="s">
        <v>24</v>
      </c>
      <c r="L173" s="39" t="s">
        <v>211</v>
      </c>
      <c r="M173" s="39" t="s">
        <v>212</v>
      </c>
      <c r="N173" s="39" t="s">
        <v>125</v>
      </c>
      <c r="O173" s="39"/>
      <c r="P173" s="39"/>
      <c r="Q173" s="39" t="s">
        <v>2041</v>
      </c>
      <c r="R173" s="39" t="s">
        <v>24</v>
      </c>
      <c r="S173" s="39" t="s">
        <v>2042</v>
      </c>
      <c r="T173" s="39" t="s">
        <v>130</v>
      </c>
      <c r="U173" s="39" t="s">
        <v>2043</v>
      </c>
      <c r="V173" s="39" t="s">
        <v>132</v>
      </c>
      <c r="W173" s="39" t="s">
        <v>133</v>
      </c>
      <c r="X173" s="39" t="s">
        <v>126</v>
      </c>
      <c r="Y173" s="39" t="s">
        <v>2044</v>
      </c>
      <c r="Z173" s="39" t="s">
        <v>2045</v>
      </c>
      <c r="AA173" s="39" t="s">
        <v>2046</v>
      </c>
      <c r="AB173" s="39" t="s">
        <v>2041</v>
      </c>
      <c r="AC173" s="39">
        <v>5366236</v>
      </c>
      <c r="AD173" s="39" t="s">
        <v>24</v>
      </c>
      <c r="AE173" s="39" t="s">
        <v>2047</v>
      </c>
      <c r="AF173" s="39" t="s">
        <v>24</v>
      </c>
      <c r="AG173" s="39" t="s">
        <v>1992</v>
      </c>
      <c r="AH173" s="39" t="s">
        <v>2048</v>
      </c>
      <c r="AI173" s="39" t="s">
        <v>2049</v>
      </c>
      <c r="AJ173" s="39" t="s">
        <v>140</v>
      </c>
      <c r="AK173" s="39" t="s">
        <v>125</v>
      </c>
      <c r="AL173" s="39">
        <v>33500</v>
      </c>
      <c r="AM173" s="39"/>
      <c r="AN173" s="39" t="s">
        <v>125</v>
      </c>
      <c r="AO173" s="39" t="s">
        <v>142</v>
      </c>
      <c r="AP173" s="39" t="s">
        <v>143</v>
      </c>
      <c r="AQ173" s="39"/>
      <c r="AR173" s="39" t="s">
        <v>2050</v>
      </c>
      <c r="AS173" s="39"/>
      <c r="AT173" s="39" t="s">
        <v>368</v>
      </c>
      <c r="AU173" s="39"/>
      <c r="AV173" s="39" t="s">
        <v>2051</v>
      </c>
      <c r="AW173" s="39"/>
      <c r="AX173" s="39"/>
      <c r="AY173" s="39"/>
      <c r="AZ173" s="39"/>
      <c r="BA173" s="39">
        <v>79897603</v>
      </c>
      <c r="BB173" s="39" t="s">
        <v>149</v>
      </c>
      <c r="BC173" s="39" t="s">
        <v>150</v>
      </c>
      <c r="BD173" s="39" t="s">
        <v>661</v>
      </c>
      <c r="BE173" s="39" t="s">
        <v>125</v>
      </c>
      <c r="BF173" s="39"/>
      <c r="BG173" s="39" t="s">
        <v>151</v>
      </c>
      <c r="BH173" s="39" t="s">
        <v>152</v>
      </c>
      <c r="BI173" s="39" t="s">
        <v>125</v>
      </c>
      <c r="BJ173" s="39"/>
      <c r="BK173" s="39"/>
      <c r="BL173" s="39"/>
      <c r="BM173" s="39" t="s">
        <v>154</v>
      </c>
      <c r="BN173" s="39" t="s">
        <v>212</v>
      </c>
    </row>
    <row r="174" spans="1:66" hidden="1">
      <c r="A174" s="39">
        <v>172</v>
      </c>
      <c r="B174" s="39" t="s">
        <v>118</v>
      </c>
      <c r="C174" s="39" t="s">
        <v>119</v>
      </c>
      <c r="D174" s="39" t="s">
        <v>2052</v>
      </c>
      <c r="E174" s="39" t="s">
        <v>2053</v>
      </c>
      <c r="F174" s="39" t="s">
        <v>1359</v>
      </c>
      <c r="G174" s="39" t="s">
        <v>2054</v>
      </c>
      <c r="H174" s="39" t="s">
        <v>2055</v>
      </c>
      <c r="I174" s="39" t="s">
        <v>125</v>
      </c>
      <c r="J174" s="39" t="s">
        <v>506</v>
      </c>
      <c r="K174" s="39" t="s">
        <v>1489</v>
      </c>
      <c r="L174" s="39" t="s">
        <v>188</v>
      </c>
      <c r="M174" s="39" t="s">
        <v>189</v>
      </c>
      <c r="N174" s="39" t="s">
        <v>2056</v>
      </c>
      <c r="O174" s="39"/>
      <c r="P174" s="39"/>
      <c r="Q174" s="39" t="s">
        <v>2057</v>
      </c>
      <c r="R174" s="39" t="s">
        <v>1489</v>
      </c>
      <c r="S174" s="39" t="s">
        <v>2058</v>
      </c>
      <c r="T174" s="39" t="s">
        <v>130</v>
      </c>
      <c r="U174" s="39" t="s">
        <v>2059</v>
      </c>
      <c r="V174" s="39" t="s">
        <v>132</v>
      </c>
      <c r="W174" s="39" t="s">
        <v>133</v>
      </c>
      <c r="X174" s="39" t="s">
        <v>187</v>
      </c>
      <c r="Y174" s="39" t="s">
        <v>2060</v>
      </c>
      <c r="Z174" s="39" t="s">
        <v>2061</v>
      </c>
      <c r="AA174" s="39" t="s">
        <v>2062</v>
      </c>
      <c r="AB174" s="39" t="s">
        <v>2057</v>
      </c>
      <c r="AC174" s="39">
        <v>5366167</v>
      </c>
      <c r="AD174" s="39" t="s">
        <v>21</v>
      </c>
      <c r="AE174" s="39" t="s">
        <v>2063</v>
      </c>
      <c r="AF174" s="39" t="s">
        <v>1489</v>
      </c>
      <c r="AG174" s="39" t="s">
        <v>2064</v>
      </c>
      <c r="AH174" s="39"/>
      <c r="AI174" s="39"/>
      <c r="AJ174" s="39" t="s">
        <v>140</v>
      </c>
      <c r="AK174" s="39" t="s">
        <v>125</v>
      </c>
      <c r="AL174" s="39">
        <v>9650</v>
      </c>
      <c r="AM174" s="39"/>
      <c r="AN174" s="39" t="s">
        <v>2056</v>
      </c>
      <c r="AO174" s="39" t="s">
        <v>699</v>
      </c>
      <c r="AP174" s="39" t="s">
        <v>143</v>
      </c>
      <c r="AQ174" s="39"/>
      <c r="AR174" s="39" t="s">
        <v>2065</v>
      </c>
      <c r="AS174" s="39"/>
      <c r="AT174" s="39"/>
      <c r="AU174" s="39"/>
      <c r="AV174" s="39" t="s">
        <v>2066</v>
      </c>
      <c r="AW174" s="39"/>
      <c r="AX174" s="39"/>
      <c r="AY174" s="39"/>
      <c r="AZ174" s="39"/>
      <c r="BA174" s="39">
        <v>80571759</v>
      </c>
      <c r="BB174" s="39" t="s">
        <v>149</v>
      </c>
      <c r="BC174" s="39" t="s">
        <v>458</v>
      </c>
      <c r="BD174" s="39" t="s">
        <v>139</v>
      </c>
      <c r="BE174" s="39" t="s">
        <v>125</v>
      </c>
      <c r="BF174" s="39"/>
      <c r="BG174" s="39" t="s">
        <v>298</v>
      </c>
      <c r="BH174" s="39" t="s">
        <v>149</v>
      </c>
      <c r="BI174" s="39" t="s">
        <v>125</v>
      </c>
      <c r="BJ174" s="39"/>
      <c r="BK174" s="39"/>
      <c r="BL174" s="39"/>
      <c r="BM174" s="39"/>
      <c r="BN174" s="39" t="s">
        <v>155</v>
      </c>
    </row>
    <row r="175" spans="1:66" hidden="1">
      <c r="A175" s="39">
        <v>173</v>
      </c>
      <c r="B175" s="39" t="s">
        <v>118</v>
      </c>
      <c r="C175" s="39" t="s">
        <v>119</v>
      </c>
      <c r="D175" s="39" t="s">
        <v>2067</v>
      </c>
      <c r="E175" s="39" t="s">
        <v>2068</v>
      </c>
      <c r="F175" s="39" t="s">
        <v>279</v>
      </c>
      <c r="G175" s="39" t="s">
        <v>2069</v>
      </c>
      <c r="H175" s="39" t="s">
        <v>2070</v>
      </c>
      <c r="I175" s="39" t="s">
        <v>282</v>
      </c>
      <c r="J175" s="39" t="s">
        <v>187</v>
      </c>
      <c r="K175" s="39" t="s">
        <v>377</v>
      </c>
      <c r="L175" s="39" t="s">
        <v>284</v>
      </c>
      <c r="M175" s="39" t="s">
        <v>284</v>
      </c>
      <c r="N175" s="39" t="s">
        <v>125</v>
      </c>
      <c r="O175" s="39" t="s">
        <v>377</v>
      </c>
      <c r="P175" s="39" t="s">
        <v>2071</v>
      </c>
      <c r="Q175" s="39" t="s">
        <v>2067</v>
      </c>
      <c r="R175" s="39" t="s">
        <v>27</v>
      </c>
      <c r="S175" s="39" t="s">
        <v>2072</v>
      </c>
      <c r="T175" s="39" t="s">
        <v>130</v>
      </c>
      <c r="U175" s="39" t="s">
        <v>2073</v>
      </c>
      <c r="V175" s="39" t="s">
        <v>132</v>
      </c>
      <c r="W175" s="39" t="s">
        <v>194</v>
      </c>
      <c r="X175" s="39" t="s">
        <v>187</v>
      </c>
      <c r="Y175" s="39" t="s">
        <v>288</v>
      </c>
      <c r="Z175" s="39" t="s">
        <v>196</v>
      </c>
      <c r="AA175" s="39" t="s">
        <v>197</v>
      </c>
      <c r="AB175" s="39" t="s">
        <v>2067</v>
      </c>
      <c r="AC175" s="39">
        <v>5403072</v>
      </c>
      <c r="AD175" s="39" t="s">
        <v>27</v>
      </c>
      <c r="AE175" s="39" t="s">
        <v>2074</v>
      </c>
      <c r="AF175" s="39" t="s">
        <v>27</v>
      </c>
      <c r="AG175" s="39" t="s">
        <v>2075</v>
      </c>
      <c r="AH175" s="39" t="s">
        <v>271</v>
      </c>
      <c r="AI175" s="39" t="s">
        <v>173</v>
      </c>
      <c r="AJ175" s="39" t="s">
        <v>140</v>
      </c>
      <c r="AK175" s="39" t="s">
        <v>125</v>
      </c>
      <c r="AL175" s="39">
        <v>5680</v>
      </c>
      <c r="AM175" s="39"/>
      <c r="AN175" s="39" t="s">
        <v>125</v>
      </c>
      <c r="AO175" s="39" t="s">
        <v>142</v>
      </c>
      <c r="AP175" s="39" t="s">
        <v>143</v>
      </c>
      <c r="AQ175" s="39" t="s">
        <v>144</v>
      </c>
      <c r="AR175" s="39" t="s">
        <v>2076</v>
      </c>
      <c r="AS175" s="39" t="s">
        <v>2077</v>
      </c>
      <c r="AT175" s="39" t="s">
        <v>602</v>
      </c>
      <c r="AU175" s="39"/>
      <c r="AV175" s="39" t="s">
        <v>2078</v>
      </c>
      <c r="AW175" s="39"/>
      <c r="AX175" s="39"/>
      <c r="AY175" s="39"/>
      <c r="AZ175" s="39"/>
      <c r="BA175" s="39">
        <v>75279310</v>
      </c>
      <c r="BB175" s="39" t="s">
        <v>149</v>
      </c>
      <c r="BC175" s="39" t="s">
        <v>150</v>
      </c>
      <c r="BD175" s="39" t="s">
        <v>179</v>
      </c>
      <c r="BE175" s="39" t="s">
        <v>125</v>
      </c>
      <c r="BF175" s="39"/>
      <c r="BG175" s="39" t="s">
        <v>298</v>
      </c>
      <c r="BH175" s="39" t="s">
        <v>152</v>
      </c>
      <c r="BI175" s="39" t="s">
        <v>2079</v>
      </c>
      <c r="BJ175" s="39"/>
      <c r="BK175" s="39" t="s">
        <v>153</v>
      </c>
      <c r="BL175" s="39"/>
      <c r="BM175" s="39"/>
      <c r="BN175" s="39" t="s">
        <v>300</v>
      </c>
    </row>
    <row r="176" spans="1:66" hidden="1">
      <c r="A176" s="39">
        <v>174</v>
      </c>
      <c r="B176" s="39" t="s">
        <v>118</v>
      </c>
      <c r="C176" s="39" t="s">
        <v>119</v>
      </c>
      <c r="D176" s="39" t="s">
        <v>2080</v>
      </c>
      <c r="E176" s="39" t="s">
        <v>2081</v>
      </c>
      <c r="F176" s="39" t="s">
        <v>158</v>
      </c>
      <c r="G176" s="39" t="s">
        <v>2082</v>
      </c>
      <c r="H176" s="39" t="s">
        <v>2083</v>
      </c>
      <c r="I176" s="39" t="s">
        <v>125</v>
      </c>
      <c r="J176" s="39" t="s">
        <v>126</v>
      </c>
      <c r="K176" s="39" t="s">
        <v>23</v>
      </c>
      <c r="L176" s="39" t="s">
        <v>188</v>
      </c>
      <c r="M176" s="39" t="s">
        <v>189</v>
      </c>
      <c r="N176" s="39" t="s">
        <v>1171</v>
      </c>
      <c r="O176" s="39"/>
      <c r="P176" s="39"/>
      <c r="Q176" s="39" t="s">
        <v>2080</v>
      </c>
      <c r="R176" s="39" t="s">
        <v>23</v>
      </c>
      <c r="S176" s="39" t="s">
        <v>2084</v>
      </c>
      <c r="T176" s="39" t="s">
        <v>130</v>
      </c>
      <c r="U176" s="39" t="s">
        <v>2085</v>
      </c>
      <c r="V176" s="39" t="s">
        <v>132</v>
      </c>
      <c r="W176" s="39" t="s">
        <v>194</v>
      </c>
      <c r="X176" s="39" t="s">
        <v>187</v>
      </c>
      <c r="Y176" s="39" t="s">
        <v>1324</v>
      </c>
      <c r="Z176" s="39" t="s">
        <v>196</v>
      </c>
      <c r="AA176" s="39" t="s">
        <v>197</v>
      </c>
      <c r="AB176" s="39" t="s">
        <v>2080</v>
      </c>
      <c r="AC176" s="39">
        <v>5402980</v>
      </c>
      <c r="AD176" s="39" t="s">
        <v>23</v>
      </c>
      <c r="AE176" s="39" t="s">
        <v>2086</v>
      </c>
      <c r="AF176" s="39" t="s">
        <v>23</v>
      </c>
      <c r="AG176" s="39" t="s">
        <v>2086</v>
      </c>
      <c r="AH176" s="39" t="s">
        <v>271</v>
      </c>
      <c r="AI176" s="39" t="s">
        <v>173</v>
      </c>
      <c r="AJ176" s="39" t="s">
        <v>140</v>
      </c>
      <c r="AK176" s="39" t="s">
        <v>125</v>
      </c>
      <c r="AL176" s="39">
        <v>4880</v>
      </c>
      <c r="AM176" s="39"/>
      <c r="AN176" s="39" t="s">
        <v>1171</v>
      </c>
      <c r="AO176" s="39" t="s">
        <v>142</v>
      </c>
      <c r="AP176" s="39" t="s">
        <v>143</v>
      </c>
      <c r="AQ176" s="39" t="s">
        <v>312</v>
      </c>
      <c r="AR176" s="39" t="s">
        <v>2087</v>
      </c>
      <c r="AS176" s="39" t="s">
        <v>2088</v>
      </c>
      <c r="AT176" s="39" t="s">
        <v>602</v>
      </c>
      <c r="AU176" s="39"/>
      <c r="AV176" s="39" t="s">
        <v>2089</v>
      </c>
      <c r="AW176" s="39"/>
      <c r="AX176" s="39"/>
      <c r="AY176" s="39"/>
      <c r="AZ176" s="39"/>
      <c r="BA176" s="39">
        <v>56616808</v>
      </c>
      <c r="BB176" s="39" t="s">
        <v>149</v>
      </c>
      <c r="BC176" s="39" t="s">
        <v>150</v>
      </c>
      <c r="BD176" s="39" t="s">
        <v>179</v>
      </c>
      <c r="BE176" s="39" t="s">
        <v>125</v>
      </c>
      <c r="BF176" s="39"/>
      <c r="BG176" s="39" t="s">
        <v>180</v>
      </c>
      <c r="BH176" s="39" t="s">
        <v>152</v>
      </c>
      <c r="BI176" s="39" t="s">
        <v>125</v>
      </c>
      <c r="BJ176" s="39"/>
      <c r="BK176" s="39" t="s">
        <v>153</v>
      </c>
      <c r="BL176" s="39"/>
      <c r="BM176" s="39"/>
      <c r="BN176" s="39" t="s">
        <v>181</v>
      </c>
    </row>
    <row r="177" spans="1:66" hidden="1">
      <c r="A177" s="39">
        <v>175</v>
      </c>
      <c r="B177" s="39" t="s">
        <v>118</v>
      </c>
      <c r="C177" s="39" t="s">
        <v>119</v>
      </c>
      <c r="D177" s="39" t="s">
        <v>2090</v>
      </c>
      <c r="E177" s="39" t="s">
        <v>2091</v>
      </c>
      <c r="F177" s="39" t="s">
        <v>158</v>
      </c>
      <c r="G177" s="39" t="s">
        <v>2092</v>
      </c>
      <c r="H177" s="39" t="s">
        <v>2093</v>
      </c>
      <c r="I177" s="39" t="s">
        <v>125</v>
      </c>
      <c r="J177" s="39" t="s">
        <v>187</v>
      </c>
      <c r="K177" s="39" t="s">
        <v>22</v>
      </c>
      <c r="L177" s="39" t="s">
        <v>188</v>
      </c>
      <c r="M177" s="39" t="s">
        <v>189</v>
      </c>
      <c r="N177" s="39" t="s">
        <v>1171</v>
      </c>
      <c r="O177" s="39"/>
      <c r="P177" s="39"/>
      <c r="Q177" s="39" t="s">
        <v>2094</v>
      </c>
      <c r="R177" s="39" t="s">
        <v>22</v>
      </c>
      <c r="S177" s="39" t="s">
        <v>2095</v>
      </c>
      <c r="T177" s="39" t="s">
        <v>130</v>
      </c>
      <c r="U177" s="39" t="s">
        <v>2096</v>
      </c>
      <c r="V177" s="39" t="s">
        <v>132</v>
      </c>
      <c r="W177" s="39" t="s">
        <v>194</v>
      </c>
      <c r="X177" s="39" t="s">
        <v>187</v>
      </c>
      <c r="Y177" s="39" t="s">
        <v>2097</v>
      </c>
      <c r="Z177" s="39" t="s">
        <v>196</v>
      </c>
      <c r="AA177" s="39" t="s">
        <v>197</v>
      </c>
      <c r="AB177" s="39" t="s">
        <v>2094</v>
      </c>
      <c r="AC177" s="39">
        <v>5402960</v>
      </c>
      <c r="AD177" s="39" t="s">
        <v>22</v>
      </c>
      <c r="AE177" s="39" t="s">
        <v>2098</v>
      </c>
      <c r="AF177" s="39" t="s">
        <v>22</v>
      </c>
      <c r="AG177" s="39" t="s">
        <v>2098</v>
      </c>
      <c r="AH177" s="39" t="s">
        <v>200</v>
      </c>
      <c r="AI177" s="39" t="s">
        <v>201</v>
      </c>
      <c r="AJ177" s="39" t="s">
        <v>140</v>
      </c>
      <c r="AK177" s="39" t="s">
        <v>125</v>
      </c>
      <c r="AL177" s="39">
        <v>4880</v>
      </c>
      <c r="AM177" s="39"/>
      <c r="AN177" s="39" t="s">
        <v>1171</v>
      </c>
      <c r="AO177" s="39" t="s">
        <v>142</v>
      </c>
      <c r="AP177" s="39" t="s">
        <v>143</v>
      </c>
      <c r="AQ177" s="39" t="s">
        <v>312</v>
      </c>
      <c r="AR177" s="39" t="s">
        <v>2099</v>
      </c>
      <c r="AS177" s="39" t="s">
        <v>2100</v>
      </c>
      <c r="AT177" s="39" t="s">
        <v>602</v>
      </c>
      <c r="AU177" s="39"/>
      <c r="AV177" s="39" t="s">
        <v>2101</v>
      </c>
      <c r="AW177" s="39"/>
      <c r="AX177" s="39"/>
      <c r="AY177" s="39"/>
      <c r="AZ177" s="39"/>
      <c r="BA177" s="39">
        <v>76852567</v>
      </c>
      <c r="BB177" s="39" t="s">
        <v>149</v>
      </c>
      <c r="BC177" s="39" t="s">
        <v>150</v>
      </c>
      <c r="BD177" s="39" t="s">
        <v>179</v>
      </c>
      <c r="BE177" s="39" t="s">
        <v>125</v>
      </c>
      <c r="BF177" s="39"/>
      <c r="BG177" s="39" t="s">
        <v>180</v>
      </c>
      <c r="BH177" s="39" t="s">
        <v>152</v>
      </c>
      <c r="BI177" s="39" t="s">
        <v>125</v>
      </c>
      <c r="BJ177" s="39"/>
      <c r="BK177" s="39" t="s">
        <v>153</v>
      </c>
      <c r="BL177" s="39"/>
      <c r="BM177" s="39"/>
      <c r="BN177" s="39" t="s">
        <v>181</v>
      </c>
    </row>
    <row r="178" spans="1:66" hidden="1">
      <c r="A178" s="39">
        <v>176</v>
      </c>
      <c r="B178" s="39" t="s">
        <v>118</v>
      </c>
      <c r="C178" s="39" t="s">
        <v>119</v>
      </c>
      <c r="D178" s="39" t="s">
        <v>2102</v>
      </c>
      <c r="E178" s="39" t="s">
        <v>2103</v>
      </c>
      <c r="F178" s="39" t="s">
        <v>279</v>
      </c>
      <c r="G178" s="39" t="s">
        <v>2104</v>
      </c>
      <c r="H178" s="39" t="s">
        <v>2105</v>
      </c>
      <c r="I178" s="39"/>
      <c r="J178" s="39"/>
      <c r="K178" s="39" t="s">
        <v>22</v>
      </c>
      <c r="L178" s="39" t="s">
        <v>188</v>
      </c>
      <c r="M178" s="39" t="s">
        <v>395</v>
      </c>
      <c r="N178" s="39" t="s">
        <v>2106</v>
      </c>
      <c r="O178" s="39"/>
      <c r="P178" s="39"/>
      <c r="Q178" s="39" t="s">
        <v>2107</v>
      </c>
      <c r="R178" s="39" t="s">
        <v>22</v>
      </c>
      <c r="S178" s="39" t="s">
        <v>2108</v>
      </c>
      <c r="T178" s="39" t="s">
        <v>130</v>
      </c>
      <c r="U178" s="39" t="s">
        <v>2109</v>
      </c>
      <c r="V178" s="39" t="s">
        <v>132</v>
      </c>
      <c r="W178" s="39" t="s">
        <v>133</v>
      </c>
      <c r="X178" s="39" t="s">
        <v>355</v>
      </c>
      <c r="Y178" s="39" t="s">
        <v>2110</v>
      </c>
      <c r="Z178" s="39" t="s">
        <v>512</v>
      </c>
      <c r="AA178" s="39" t="s">
        <v>1481</v>
      </c>
      <c r="AB178" s="39" t="s">
        <v>2107</v>
      </c>
      <c r="AC178" s="39">
        <v>5402906</v>
      </c>
      <c r="AD178" s="39" t="s">
        <v>22</v>
      </c>
      <c r="AE178" s="39" t="s">
        <v>2111</v>
      </c>
      <c r="AF178" s="39" t="s">
        <v>22</v>
      </c>
      <c r="AG178" s="39" t="s">
        <v>2111</v>
      </c>
      <c r="AH178" s="39" t="s">
        <v>516</v>
      </c>
      <c r="AI178" s="39" t="s">
        <v>517</v>
      </c>
      <c r="AJ178" s="39" t="s">
        <v>140</v>
      </c>
      <c r="AK178" s="39" t="s">
        <v>125</v>
      </c>
      <c r="AL178" s="39">
        <v>14500</v>
      </c>
      <c r="AM178" s="39"/>
      <c r="AN178" s="39" t="s">
        <v>2112</v>
      </c>
      <c r="AO178" s="39" t="s">
        <v>142</v>
      </c>
      <c r="AP178" s="39" t="s">
        <v>143</v>
      </c>
      <c r="AQ178" s="39" t="s">
        <v>312</v>
      </c>
      <c r="AR178" s="39" t="s">
        <v>2113</v>
      </c>
      <c r="AS178" s="39" t="s">
        <v>2114</v>
      </c>
      <c r="AT178" s="39" t="s">
        <v>602</v>
      </c>
      <c r="AU178" s="39"/>
      <c r="AV178" s="39" t="s">
        <v>2115</v>
      </c>
      <c r="AW178" s="39"/>
      <c r="AX178" s="39"/>
      <c r="AY178" s="39"/>
      <c r="AZ178" s="39"/>
      <c r="BA178" s="39">
        <v>79370146</v>
      </c>
      <c r="BB178" s="39" t="s">
        <v>149</v>
      </c>
      <c r="BC178" s="39" t="s">
        <v>150</v>
      </c>
      <c r="BD178" s="39" t="s">
        <v>2116</v>
      </c>
      <c r="BE178" s="39" t="s">
        <v>125</v>
      </c>
      <c r="BF178" s="39"/>
      <c r="BG178" s="39" t="s">
        <v>637</v>
      </c>
      <c r="BH178" s="39" t="s">
        <v>152</v>
      </c>
      <c r="BI178" s="39" t="s">
        <v>125</v>
      </c>
      <c r="BJ178" s="39"/>
      <c r="BK178" s="39" t="s">
        <v>153</v>
      </c>
      <c r="BL178" s="39"/>
      <c r="BM178" s="39" t="s">
        <v>154</v>
      </c>
      <c r="BN178" s="39" t="s">
        <v>333</v>
      </c>
    </row>
    <row r="179" spans="1:66" hidden="1">
      <c r="A179" s="39">
        <v>177</v>
      </c>
      <c r="B179" s="39" t="s">
        <v>118</v>
      </c>
      <c r="C179" s="39" t="s">
        <v>119</v>
      </c>
      <c r="D179" s="39" t="s">
        <v>2117</v>
      </c>
      <c r="E179" s="39" t="s">
        <v>2118</v>
      </c>
      <c r="F179" s="39" t="s">
        <v>279</v>
      </c>
      <c r="G179" s="39" t="s">
        <v>2119</v>
      </c>
      <c r="H179" s="39" t="s">
        <v>2120</v>
      </c>
      <c r="I179" s="39" t="s">
        <v>282</v>
      </c>
      <c r="J179" s="39" t="s">
        <v>187</v>
      </c>
      <c r="K179" s="39" t="s">
        <v>794</v>
      </c>
      <c r="L179" s="39" t="s">
        <v>284</v>
      </c>
      <c r="M179" s="39" t="s">
        <v>284</v>
      </c>
      <c r="N179" s="39" t="s">
        <v>125</v>
      </c>
      <c r="O179" s="39" t="s">
        <v>794</v>
      </c>
      <c r="P179" s="39" t="s">
        <v>2121</v>
      </c>
      <c r="Q179" s="39" t="s">
        <v>2117</v>
      </c>
      <c r="R179" s="39" t="s">
        <v>21</v>
      </c>
      <c r="S179" s="39" t="s">
        <v>2122</v>
      </c>
      <c r="T179" s="39" t="s">
        <v>130</v>
      </c>
      <c r="U179" s="39" t="s">
        <v>2123</v>
      </c>
      <c r="V179" s="39" t="s">
        <v>132</v>
      </c>
      <c r="W179" s="39" t="s">
        <v>194</v>
      </c>
      <c r="X179" s="39" t="s">
        <v>187</v>
      </c>
      <c r="Y179" s="39" t="s">
        <v>2124</v>
      </c>
      <c r="Z179" s="39" t="s">
        <v>196</v>
      </c>
      <c r="AA179" s="39" t="s">
        <v>197</v>
      </c>
      <c r="AB179" s="39" t="s">
        <v>2117</v>
      </c>
      <c r="AC179" s="39">
        <v>5393995</v>
      </c>
      <c r="AD179" s="39" t="s">
        <v>21</v>
      </c>
      <c r="AE179" s="39" t="s">
        <v>2125</v>
      </c>
      <c r="AF179" s="39" t="s">
        <v>21</v>
      </c>
      <c r="AG179" s="39" t="s">
        <v>2126</v>
      </c>
      <c r="AH179" s="39" t="s">
        <v>409</v>
      </c>
      <c r="AI179" s="39" t="s">
        <v>410</v>
      </c>
      <c r="AJ179" s="39" t="s">
        <v>140</v>
      </c>
      <c r="AK179" s="39" t="s">
        <v>125</v>
      </c>
      <c r="AL179" s="39">
        <v>4525.6000000000004</v>
      </c>
      <c r="AM179" s="39"/>
      <c r="AN179" s="39" t="s">
        <v>125</v>
      </c>
      <c r="AO179" s="39" t="s">
        <v>142</v>
      </c>
      <c r="AP179" s="39" t="s">
        <v>143</v>
      </c>
      <c r="AQ179" s="39" t="s">
        <v>312</v>
      </c>
      <c r="AR179" s="39" t="s">
        <v>2127</v>
      </c>
      <c r="AS179" s="39" t="s">
        <v>2128</v>
      </c>
      <c r="AT179" s="39" t="s">
        <v>602</v>
      </c>
      <c r="AU179" s="39"/>
      <c r="AV179" s="39" t="s">
        <v>2129</v>
      </c>
      <c r="AW179" s="39"/>
      <c r="AX179" s="39"/>
      <c r="AY179" s="39"/>
      <c r="AZ179" s="39"/>
      <c r="BA179" s="39">
        <v>74726566</v>
      </c>
      <c r="BB179" s="39" t="s">
        <v>149</v>
      </c>
      <c r="BC179" s="39" t="s">
        <v>150</v>
      </c>
      <c r="BD179" s="39" t="s">
        <v>179</v>
      </c>
      <c r="BE179" s="39" t="s">
        <v>125</v>
      </c>
      <c r="BF179" s="39"/>
      <c r="BG179" s="39" t="s">
        <v>180</v>
      </c>
      <c r="BH179" s="39" t="s">
        <v>152</v>
      </c>
      <c r="BI179" s="39" t="s">
        <v>125</v>
      </c>
      <c r="BJ179" s="39"/>
      <c r="BK179" s="39" t="s">
        <v>153</v>
      </c>
      <c r="BL179" s="39"/>
      <c r="BM179" s="39"/>
      <c r="BN179" s="39" t="s">
        <v>300</v>
      </c>
    </row>
    <row r="180" spans="1:66" hidden="1">
      <c r="A180" s="39">
        <v>178</v>
      </c>
      <c r="B180" s="39" t="s">
        <v>118</v>
      </c>
      <c r="C180" s="39" t="s">
        <v>119</v>
      </c>
      <c r="D180" s="39" t="s">
        <v>2117</v>
      </c>
      <c r="E180" s="39" t="s">
        <v>2118</v>
      </c>
      <c r="F180" s="39" t="s">
        <v>279</v>
      </c>
      <c r="G180" s="39" t="s">
        <v>2119</v>
      </c>
      <c r="H180" s="39" t="s">
        <v>2120</v>
      </c>
      <c r="I180" s="39" t="s">
        <v>282</v>
      </c>
      <c r="J180" s="39" t="s">
        <v>187</v>
      </c>
      <c r="K180" s="39" t="s">
        <v>794</v>
      </c>
      <c r="L180" s="39" t="s">
        <v>284</v>
      </c>
      <c r="M180" s="39" t="s">
        <v>284</v>
      </c>
      <c r="N180" s="39" t="s">
        <v>125</v>
      </c>
      <c r="O180" s="39" t="s">
        <v>794</v>
      </c>
      <c r="P180" s="39" t="s">
        <v>2121</v>
      </c>
      <c r="Q180" s="39" t="s">
        <v>2117</v>
      </c>
      <c r="R180" s="39" t="s">
        <v>21</v>
      </c>
      <c r="S180" s="39" t="s">
        <v>2122</v>
      </c>
      <c r="T180" s="39" t="s">
        <v>130</v>
      </c>
      <c r="U180" s="39" t="s">
        <v>2123</v>
      </c>
      <c r="V180" s="39" t="s">
        <v>132</v>
      </c>
      <c r="W180" s="39" t="s">
        <v>194</v>
      </c>
      <c r="X180" s="39" t="s">
        <v>187</v>
      </c>
      <c r="Y180" s="39" t="s">
        <v>2124</v>
      </c>
      <c r="Z180" s="39" t="s">
        <v>196</v>
      </c>
      <c r="AA180" s="39" t="s">
        <v>197</v>
      </c>
      <c r="AB180" s="39" t="s">
        <v>2117</v>
      </c>
      <c r="AC180" s="39">
        <v>5393995</v>
      </c>
      <c r="AD180" s="39" t="s">
        <v>21</v>
      </c>
      <c r="AE180" s="39" t="s">
        <v>2125</v>
      </c>
      <c r="AF180" s="39" t="s">
        <v>21</v>
      </c>
      <c r="AG180" s="39" t="s">
        <v>2126</v>
      </c>
      <c r="AH180" s="39" t="s">
        <v>271</v>
      </c>
      <c r="AI180" s="39" t="s">
        <v>173</v>
      </c>
      <c r="AJ180" s="39" t="s">
        <v>140</v>
      </c>
      <c r="AK180" s="39" t="s">
        <v>125</v>
      </c>
      <c r="AL180" s="39">
        <v>4934.3999999999996</v>
      </c>
      <c r="AM180" s="39"/>
      <c r="AN180" s="39" t="s">
        <v>125</v>
      </c>
      <c r="AO180" s="39" t="s">
        <v>142</v>
      </c>
      <c r="AP180" s="39" t="s">
        <v>143</v>
      </c>
      <c r="AQ180" s="39" t="s">
        <v>312</v>
      </c>
      <c r="AR180" s="39" t="s">
        <v>2127</v>
      </c>
      <c r="AS180" s="39" t="s">
        <v>2130</v>
      </c>
      <c r="AT180" s="39" t="s">
        <v>602</v>
      </c>
      <c r="AU180" s="39"/>
      <c r="AV180" s="39" t="s">
        <v>2129</v>
      </c>
      <c r="AW180" s="39"/>
      <c r="AX180" s="39"/>
      <c r="AY180" s="39"/>
      <c r="AZ180" s="39"/>
      <c r="BA180" s="39">
        <v>74726566</v>
      </c>
      <c r="BB180" s="39" t="s">
        <v>149</v>
      </c>
      <c r="BC180" s="39" t="s">
        <v>150</v>
      </c>
      <c r="BD180" s="39" t="s">
        <v>179</v>
      </c>
      <c r="BE180" s="39" t="s">
        <v>125</v>
      </c>
      <c r="BF180" s="39"/>
      <c r="BG180" s="39" t="s">
        <v>180</v>
      </c>
      <c r="BH180" s="39" t="s">
        <v>152</v>
      </c>
      <c r="BI180" s="39" t="s">
        <v>125</v>
      </c>
      <c r="BJ180" s="39"/>
      <c r="BK180" s="39" t="s">
        <v>153</v>
      </c>
      <c r="BL180" s="39"/>
      <c r="BM180" s="39"/>
      <c r="BN180" s="39" t="s">
        <v>300</v>
      </c>
    </row>
    <row r="181" spans="1:66" hidden="1">
      <c r="A181" s="39">
        <v>179</v>
      </c>
      <c r="B181" s="39" t="s">
        <v>118</v>
      </c>
      <c r="C181" s="39" t="s">
        <v>119</v>
      </c>
      <c r="D181" s="39" t="s">
        <v>2131</v>
      </c>
      <c r="E181" s="39" t="s">
        <v>2132</v>
      </c>
      <c r="F181" s="39" t="s">
        <v>749</v>
      </c>
      <c r="G181" s="39" t="s">
        <v>2133</v>
      </c>
      <c r="H181" s="39" t="s">
        <v>125</v>
      </c>
      <c r="I181" s="39" t="s">
        <v>125</v>
      </c>
      <c r="J181" s="39" t="s">
        <v>187</v>
      </c>
      <c r="K181" s="39" t="s">
        <v>22</v>
      </c>
      <c r="L181" s="39" t="s">
        <v>188</v>
      </c>
      <c r="M181" s="39" t="s">
        <v>395</v>
      </c>
      <c r="N181" s="39" t="s">
        <v>2090</v>
      </c>
      <c r="O181" s="39"/>
      <c r="P181" s="39"/>
      <c r="Q181" s="39" t="s">
        <v>2131</v>
      </c>
      <c r="R181" s="39" t="s">
        <v>22</v>
      </c>
      <c r="S181" s="39" t="s">
        <v>2134</v>
      </c>
      <c r="T181" s="39" t="s">
        <v>130</v>
      </c>
      <c r="U181" s="39" t="s">
        <v>2135</v>
      </c>
      <c r="V181" s="39" t="s">
        <v>132</v>
      </c>
      <c r="W181" s="39" t="s">
        <v>194</v>
      </c>
      <c r="X181" s="39" t="s">
        <v>187</v>
      </c>
      <c r="Y181" s="39" t="s">
        <v>2097</v>
      </c>
      <c r="Z181" s="39" t="s">
        <v>196</v>
      </c>
      <c r="AA181" s="39" t="s">
        <v>197</v>
      </c>
      <c r="AB181" s="39" t="s">
        <v>2131</v>
      </c>
      <c r="AC181" s="39">
        <v>5393661</v>
      </c>
      <c r="AD181" s="39" t="s">
        <v>22</v>
      </c>
      <c r="AE181" s="39" t="s">
        <v>2136</v>
      </c>
      <c r="AF181" s="39" t="s">
        <v>22</v>
      </c>
      <c r="AG181" s="39" t="s">
        <v>2137</v>
      </c>
      <c r="AH181" s="39" t="s">
        <v>200</v>
      </c>
      <c r="AI181" s="39" t="s">
        <v>201</v>
      </c>
      <c r="AJ181" s="39" t="s">
        <v>140</v>
      </c>
      <c r="AK181" s="39" t="s">
        <v>125</v>
      </c>
      <c r="AL181" s="39">
        <v>4880</v>
      </c>
      <c r="AM181" s="39"/>
      <c r="AN181" s="39" t="s">
        <v>2090</v>
      </c>
      <c r="AO181" s="39" t="s">
        <v>142</v>
      </c>
      <c r="AP181" s="39" t="s">
        <v>143</v>
      </c>
      <c r="AQ181" s="39" t="s">
        <v>312</v>
      </c>
      <c r="AR181" s="39" t="s">
        <v>2138</v>
      </c>
      <c r="AS181" s="39" t="s">
        <v>2139</v>
      </c>
      <c r="AT181" s="39" t="s">
        <v>602</v>
      </c>
      <c r="AU181" s="39"/>
      <c r="AV181" s="39" t="s">
        <v>2140</v>
      </c>
      <c r="AW181" s="39"/>
      <c r="AX181" s="39"/>
      <c r="AY181" s="39"/>
      <c r="AZ181" s="39"/>
      <c r="BA181" s="39">
        <v>75080788</v>
      </c>
      <c r="BB181" s="39" t="s">
        <v>149</v>
      </c>
      <c r="BC181" s="39" t="s">
        <v>150</v>
      </c>
      <c r="BD181" s="39" t="s">
        <v>179</v>
      </c>
      <c r="BE181" s="39" t="s">
        <v>125</v>
      </c>
      <c r="BF181" s="39"/>
      <c r="BG181" s="39" t="s">
        <v>180</v>
      </c>
      <c r="BH181" s="39" t="s">
        <v>152</v>
      </c>
      <c r="BI181" s="39" t="s">
        <v>125</v>
      </c>
      <c r="BJ181" s="39"/>
      <c r="BK181" s="39" t="s">
        <v>153</v>
      </c>
      <c r="BL181" s="39"/>
      <c r="BM181" s="39"/>
      <c r="BN181" s="39" t="s">
        <v>155</v>
      </c>
    </row>
    <row r="182" spans="1:66" hidden="1">
      <c r="A182" s="39">
        <v>180</v>
      </c>
      <c r="B182" s="39" t="s">
        <v>118</v>
      </c>
      <c r="C182" s="39" t="s">
        <v>119</v>
      </c>
      <c r="D182" s="39" t="s">
        <v>2141</v>
      </c>
      <c r="E182" s="39" t="s">
        <v>2142</v>
      </c>
      <c r="F182" s="39" t="s">
        <v>158</v>
      </c>
      <c r="G182" s="39" t="s">
        <v>2143</v>
      </c>
      <c r="H182" s="39" t="s">
        <v>2144</v>
      </c>
      <c r="I182" s="39" t="s">
        <v>125</v>
      </c>
      <c r="J182" s="39" t="s">
        <v>187</v>
      </c>
      <c r="K182" s="39" t="s">
        <v>23</v>
      </c>
      <c r="L182" s="39" t="s">
        <v>162</v>
      </c>
      <c r="M182" s="39" t="s">
        <v>163</v>
      </c>
      <c r="N182" s="39" t="s">
        <v>125</v>
      </c>
      <c r="O182" s="39"/>
      <c r="P182" s="39"/>
      <c r="Q182" s="39" t="s">
        <v>2145</v>
      </c>
      <c r="R182" s="39" t="s">
        <v>23</v>
      </c>
      <c r="S182" s="39" t="s">
        <v>2146</v>
      </c>
      <c r="T182" s="39" t="s">
        <v>130</v>
      </c>
      <c r="U182" s="39" t="s">
        <v>2147</v>
      </c>
      <c r="V182" s="39" t="s">
        <v>167</v>
      </c>
      <c r="W182" s="39" t="s">
        <v>194</v>
      </c>
      <c r="X182" s="39" t="s">
        <v>187</v>
      </c>
      <c r="Y182" s="39" t="s">
        <v>2148</v>
      </c>
      <c r="Z182" s="39" t="s">
        <v>196</v>
      </c>
      <c r="AA182" s="39" t="s">
        <v>197</v>
      </c>
      <c r="AB182" s="39" t="s">
        <v>2145</v>
      </c>
      <c r="AC182" s="39">
        <v>5364984</v>
      </c>
      <c r="AD182" s="39" t="s">
        <v>23</v>
      </c>
      <c r="AE182" s="39" t="s">
        <v>2149</v>
      </c>
      <c r="AF182" s="39" t="s">
        <v>23</v>
      </c>
      <c r="AG182" s="39" t="s">
        <v>2150</v>
      </c>
      <c r="AH182" s="39" t="s">
        <v>412</v>
      </c>
      <c r="AI182" s="39" t="s">
        <v>413</v>
      </c>
      <c r="AJ182" s="39" t="s">
        <v>140</v>
      </c>
      <c r="AK182" s="39" t="s">
        <v>125</v>
      </c>
      <c r="AL182" s="39">
        <v>3198.9</v>
      </c>
      <c r="AM182" s="39"/>
      <c r="AN182" s="39" t="s">
        <v>125</v>
      </c>
      <c r="AO182" s="39" t="s">
        <v>142</v>
      </c>
      <c r="AP182" s="39" t="s">
        <v>143</v>
      </c>
      <c r="AQ182" s="39" t="s">
        <v>312</v>
      </c>
      <c r="AR182" s="39" t="s">
        <v>2151</v>
      </c>
      <c r="AS182" s="39" t="s">
        <v>2152</v>
      </c>
      <c r="AT182" s="39" t="s">
        <v>602</v>
      </c>
      <c r="AU182" s="39"/>
      <c r="AV182" s="39" t="s">
        <v>2153</v>
      </c>
      <c r="AW182" s="39"/>
      <c r="AX182" s="39"/>
      <c r="AY182" s="39"/>
      <c r="AZ182" s="39"/>
      <c r="BA182" s="39">
        <v>79976387</v>
      </c>
      <c r="BB182" s="39" t="s">
        <v>149</v>
      </c>
      <c r="BC182" s="39" t="s">
        <v>150</v>
      </c>
      <c r="BD182" s="39" t="s">
        <v>2154</v>
      </c>
      <c r="BE182" s="39" t="s">
        <v>125</v>
      </c>
      <c r="BF182" s="39"/>
      <c r="BG182" s="39" t="s">
        <v>180</v>
      </c>
      <c r="BH182" s="39" t="s">
        <v>152</v>
      </c>
      <c r="BI182" s="39" t="s">
        <v>125</v>
      </c>
      <c r="BJ182" s="39"/>
      <c r="BK182" s="39" t="s">
        <v>153</v>
      </c>
      <c r="BL182" s="39"/>
      <c r="BM182" s="39"/>
      <c r="BN182" s="39" t="s">
        <v>181</v>
      </c>
    </row>
    <row r="183" spans="1:66" hidden="1">
      <c r="A183" s="39">
        <v>181</v>
      </c>
      <c r="B183" s="39" t="s">
        <v>118</v>
      </c>
      <c r="C183" s="39" t="s">
        <v>119</v>
      </c>
      <c r="D183" s="39" t="s">
        <v>2141</v>
      </c>
      <c r="E183" s="39" t="s">
        <v>2142</v>
      </c>
      <c r="F183" s="39" t="s">
        <v>158</v>
      </c>
      <c r="G183" s="39" t="s">
        <v>2143</v>
      </c>
      <c r="H183" s="39" t="s">
        <v>2144</v>
      </c>
      <c r="I183" s="39" t="s">
        <v>125</v>
      </c>
      <c r="J183" s="39" t="s">
        <v>187</v>
      </c>
      <c r="K183" s="39" t="s">
        <v>23</v>
      </c>
      <c r="L183" s="39" t="s">
        <v>162</v>
      </c>
      <c r="M183" s="39" t="s">
        <v>163</v>
      </c>
      <c r="N183" s="39" t="s">
        <v>125</v>
      </c>
      <c r="O183" s="39"/>
      <c r="P183" s="39"/>
      <c r="Q183" s="39" t="s">
        <v>2145</v>
      </c>
      <c r="R183" s="39" t="s">
        <v>23</v>
      </c>
      <c r="S183" s="39" t="s">
        <v>2146</v>
      </c>
      <c r="T183" s="39" t="s">
        <v>130</v>
      </c>
      <c r="U183" s="39" t="s">
        <v>2147</v>
      </c>
      <c r="V183" s="39" t="s">
        <v>167</v>
      </c>
      <c r="W183" s="39" t="s">
        <v>194</v>
      </c>
      <c r="X183" s="39" t="s">
        <v>187</v>
      </c>
      <c r="Y183" s="39" t="s">
        <v>2148</v>
      </c>
      <c r="Z183" s="39" t="s">
        <v>196</v>
      </c>
      <c r="AA183" s="39" t="s">
        <v>197</v>
      </c>
      <c r="AB183" s="39" t="s">
        <v>2145</v>
      </c>
      <c r="AC183" s="39">
        <v>5364984</v>
      </c>
      <c r="AD183" s="39" t="s">
        <v>23</v>
      </c>
      <c r="AE183" s="39" t="s">
        <v>2149</v>
      </c>
      <c r="AF183" s="39" t="s">
        <v>23</v>
      </c>
      <c r="AG183" s="39" t="s">
        <v>2150</v>
      </c>
      <c r="AH183" s="39" t="s">
        <v>409</v>
      </c>
      <c r="AI183" s="39" t="s">
        <v>410</v>
      </c>
      <c r="AJ183" s="39" t="s">
        <v>140</v>
      </c>
      <c r="AK183" s="39" t="s">
        <v>125</v>
      </c>
      <c r="AL183" s="39">
        <v>3999</v>
      </c>
      <c r="AM183" s="39"/>
      <c r="AN183" s="39" t="s">
        <v>125</v>
      </c>
      <c r="AO183" s="39" t="s">
        <v>142</v>
      </c>
      <c r="AP183" s="39" t="s">
        <v>143</v>
      </c>
      <c r="AQ183" s="39" t="s">
        <v>312</v>
      </c>
      <c r="AR183" s="39" t="s">
        <v>2151</v>
      </c>
      <c r="AS183" s="39" t="s">
        <v>2155</v>
      </c>
      <c r="AT183" s="39" t="s">
        <v>602</v>
      </c>
      <c r="AU183" s="39"/>
      <c r="AV183" s="39" t="s">
        <v>2153</v>
      </c>
      <c r="AW183" s="39"/>
      <c r="AX183" s="39"/>
      <c r="AY183" s="39"/>
      <c r="AZ183" s="39"/>
      <c r="BA183" s="39">
        <v>79976387</v>
      </c>
      <c r="BB183" s="39" t="s">
        <v>149</v>
      </c>
      <c r="BC183" s="39" t="s">
        <v>150</v>
      </c>
      <c r="BD183" s="39" t="s">
        <v>2154</v>
      </c>
      <c r="BE183" s="39" t="s">
        <v>125</v>
      </c>
      <c r="BF183" s="39"/>
      <c r="BG183" s="39" t="s">
        <v>180</v>
      </c>
      <c r="BH183" s="39" t="s">
        <v>152</v>
      </c>
      <c r="BI183" s="39" t="s">
        <v>125</v>
      </c>
      <c r="BJ183" s="39"/>
      <c r="BK183" s="39" t="s">
        <v>153</v>
      </c>
      <c r="BL183" s="39"/>
      <c r="BM183" s="39"/>
      <c r="BN183" s="39" t="s">
        <v>181</v>
      </c>
    </row>
    <row r="184" spans="1:66" hidden="1">
      <c r="A184" s="39">
        <v>182</v>
      </c>
      <c r="B184" s="39" t="s">
        <v>118</v>
      </c>
      <c r="C184" s="39" t="s">
        <v>119</v>
      </c>
      <c r="D184" s="39" t="s">
        <v>2141</v>
      </c>
      <c r="E184" s="39" t="s">
        <v>2142</v>
      </c>
      <c r="F184" s="39" t="s">
        <v>158</v>
      </c>
      <c r="G184" s="39" t="s">
        <v>2143</v>
      </c>
      <c r="H184" s="39" t="s">
        <v>2144</v>
      </c>
      <c r="I184" s="39" t="s">
        <v>125</v>
      </c>
      <c r="J184" s="39" t="s">
        <v>187</v>
      </c>
      <c r="K184" s="39" t="s">
        <v>23</v>
      </c>
      <c r="L184" s="39" t="s">
        <v>162</v>
      </c>
      <c r="M184" s="39" t="s">
        <v>163</v>
      </c>
      <c r="N184" s="39" t="s">
        <v>125</v>
      </c>
      <c r="O184" s="39"/>
      <c r="P184" s="39"/>
      <c r="Q184" s="39" t="s">
        <v>2145</v>
      </c>
      <c r="R184" s="39" t="s">
        <v>23</v>
      </c>
      <c r="S184" s="39" t="s">
        <v>2146</v>
      </c>
      <c r="T184" s="39" t="s">
        <v>130</v>
      </c>
      <c r="U184" s="39" t="s">
        <v>2147</v>
      </c>
      <c r="V184" s="39" t="s">
        <v>167</v>
      </c>
      <c r="W184" s="39" t="s">
        <v>194</v>
      </c>
      <c r="X184" s="39" t="s">
        <v>187</v>
      </c>
      <c r="Y184" s="39" t="s">
        <v>2148</v>
      </c>
      <c r="Z184" s="39" t="s">
        <v>196</v>
      </c>
      <c r="AA184" s="39" t="s">
        <v>197</v>
      </c>
      <c r="AB184" s="39" t="s">
        <v>2145</v>
      </c>
      <c r="AC184" s="39">
        <v>5364984</v>
      </c>
      <c r="AD184" s="39" t="s">
        <v>23</v>
      </c>
      <c r="AE184" s="39" t="s">
        <v>2149</v>
      </c>
      <c r="AF184" s="39" t="s">
        <v>23</v>
      </c>
      <c r="AG184" s="39" t="s">
        <v>2150</v>
      </c>
      <c r="AH184" s="39" t="s">
        <v>271</v>
      </c>
      <c r="AI184" s="39" t="s">
        <v>173</v>
      </c>
      <c r="AJ184" s="39" t="s">
        <v>140</v>
      </c>
      <c r="AK184" s="39" t="s">
        <v>125</v>
      </c>
      <c r="AL184" s="39">
        <v>4802.1000000000004</v>
      </c>
      <c r="AM184" s="39"/>
      <c r="AN184" s="39" t="s">
        <v>125</v>
      </c>
      <c r="AO184" s="39" t="s">
        <v>142</v>
      </c>
      <c r="AP184" s="39" t="s">
        <v>143</v>
      </c>
      <c r="AQ184" s="39" t="s">
        <v>312</v>
      </c>
      <c r="AR184" s="39" t="s">
        <v>2151</v>
      </c>
      <c r="AS184" s="39" t="s">
        <v>2156</v>
      </c>
      <c r="AT184" s="39" t="s">
        <v>602</v>
      </c>
      <c r="AU184" s="39"/>
      <c r="AV184" s="39" t="s">
        <v>2153</v>
      </c>
      <c r="AW184" s="39"/>
      <c r="AX184" s="39"/>
      <c r="AY184" s="39"/>
      <c r="AZ184" s="39"/>
      <c r="BA184" s="39">
        <v>79976387</v>
      </c>
      <c r="BB184" s="39" t="s">
        <v>149</v>
      </c>
      <c r="BC184" s="39" t="s">
        <v>150</v>
      </c>
      <c r="BD184" s="39" t="s">
        <v>2154</v>
      </c>
      <c r="BE184" s="39" t="s">
        <v>125</v>
      </c>
      <c r="BF184" s="39"/>
      <c r="BG184" s="39" t="s">
        <v>180</v>
      </c>
      <c r="BH184" s="39" t="s">
        <v>152</v>
      </c>
      <c r="BI184" s="39" t="s">
        <v>125</v>
      </c>
      <c r="BJ184" s="39"/>
      <c r="BK184" s="39" t="s">
        <v>153</v>
      </c>
      <c r="BL184" s="39"/>
      <c r="BM184" s="39"/>
      <c r="BN184" s="39" t="s">
        <v>181</v>
      </c>
    </row>
    <row r="185" spans="1:66" hidden="1">
      <c r="A185" s="39">
        <v>183</v>
      </c>
      <c r="B185" s="39" t="s">
        <v>118</v>
      </c>
      <c r="C185" s="39" t="s">
        <v>119</v>
      </c>
      <c r="D185" s="39" t="s">
        <v>1128</v>
      </c>
      <c r="E185" s="39" t="s">
        <v>2157</v>
      </c>
      <c r="F185" s="39" t="s">
        <v>279</v>
      </c>
      <c r="G185" s="39" t="s">
        <v>2158</v>
      </c>
      <c r="H185" s="39" t="s">
        <v>2159</v>
      </c>
      <c r="I185" s="39" t="s">
        <v>505</v>
      </c>
      <c r="J185" s="39" t="s">
        <v>506</v>
      </c>
      <c r="K185" s="39" t="s">
        <v>283</v>
      </c>
      <c r="L185" s="39" t="s">
        <v>162</v>
      </c>
      <c r="M185" s="39" t="s">
        <v>163</v>
      </c>
      <c r="N185" s="39" t="s">
        <v>125</v>
      </c>
      <c r="O185" s="39" t="s">
        <v>283</v>
      </c>
      <c r="P185" s="39" t="s">
        <v>2160</v>
      </c>
      <c r="Q185" s="39" t="s">
        <v>2161</v>
      </c>
      <c r="R185" s="39" t="s">
        <v>16</v>
      </c>
      <c r="S185" s="39" t="s">
        <v>2162</v>
      </c>
      <c r="T185" s="39" t="s">
        <v>130</v>
      </c>
      <c r="U185" s="39" t="s">
        <v>2163</v>
      </c>
      <c r="V185" s="39" t="s">
        <v>132</v>
      </c>
      <c r="W185" s="39" t="s">
        <v>399</v>
      </c>
      <c r="X185" s="39" t="s">
        <v>187</v>
      </c>
      <c r="Y185" s="39" t="s">
        <v>2164</v>
      </c>
      <c r="Z185" s="39" t="s">
        <v>196</v>
      </c>
      <c r="AA185" s="39" t="s">
        <v>197</v>
      </c>
      <c r="AB185" s="39" t="s">
        <v>2161</v>
      </c>
      <c r="AC185" s="39">
        <v>5364767</v>
      </c>
      <c r="AD185" s="39" t="s">
        <v>16</v>
      </c>
      <c r="AE185" s="39" t="s">
        <v>2165</v>
      </c>
      <c r="AF185" s="39" t="s">
        <v>16</v>
      </c>
      <c r="AG185" s="39" t="s">
        <v>2165</v>
      </c>
      <c r="AH185" s="39" t="s">
        <v>403</v>
      </c>
      <c r="AI185" s="39" t="s">
        <v>404</v>
      </c>
      <c r="AJ185" s="39" t="s">
        <v>140</v>
      </c>
      <c r="AK185" s="39" t="s">
        <v>125</v>
      </c>
      <c r="AL185" s="39">
        <v>5434.3</v>
      </c>
      <c r="AM185" s="39"/>
      <c r="AN185" s="39" t="s">
        <v>125</v>
      </c>
      <c r="AO185" s="39" t="s">
        <v>142</v>
      </c>
      <c r="AP185" s="39" t="s">
        <v>143</v>
      </c>
      <c r="AQ185" s="39" t="s">
        <v>312</v>
      </c>
      <c r="AR185" s="39" t="s">
        <v>2166</v>
      </c>
      <c r="AS185" s="39" t="s">
        <v>2167</v>
      </c>
      <c r="AT185" s="39" t="s">
        <v>602</v>
      </c>
      <c r="AU185" s="39"/>
      <c r="AV185" s="39" t="s">
        <v>2168</v>
      </c>
      <c r="AW185" s="39"/>
      <c r="AX185" s="39"/>
      <c r="AY185" s="39"/>
      <c r="AZ185" s="39"/>
      <c r="BA185" s="39">
        <v>79944381</v>
      </c>
      <c r="BB185" s="39" t="s">
        <v>149</v>
      </c>
      <c r="BC185" s="39" t="s">
        <v>150</v>
      </c>
      <c r="BD185" s="39" t="s">
        <v>139</v>
      </c>
      <c r="BE185" s="39" t="s">
        <v>125</v>
      </c>
      <c r="BF185" s="39"/>
      <c r="BG185" s="39" t="s">
        <v>180</v>
      </c>
      <c r="BH185" s="39" t="s">
        <v>152</v>
      </c>
      <c r="BI185" s="39" t="s">
        <v>125</v>
      </c>
      <c r="BJ185" s="39"/>
      <c r="BK185" s="39" t="s">
        <v>153</v>
      </c>
      <c r="BL185" s="39"/>
      <c r="BM185" s="39"/>
      <c r="BN185" s="39" t="s">
        <v>523</v>
      </c>
    </row>
    <row r="186" spans="1:66" hidden="1">
      <c r="A186" s="39">
        <v>184</v>
      </c>
      <c r="B186" s="39" t="s">
        <v>118</v>
      </c>
      <c r="C186" s="39" t="s">
        <v>119</v>
      </c>
      <c r="D186" s="39" t="s">
        <v>1128</v>
      </c>
      <c r="E186" s="39" t="s">
        <v>2157</v>
      </c>
      <c r="F186" s="39" t="s">
        <v>279</v>
      </c>
      <c r="G186" s="39" t="s">
        <v>2158</v>
      </c>
      <c r="H186" s="39" t="s">
        <v>2159</v>
      </c>
      <c r="I186" s="39" t="s">
        <v>505</v>
      </c>
      <c r="J186" s="39" t="s">
        <v>506</v>
      </c>
      <c r="K186" s="39" t="s">
        <v>283</v>
      </c>
      <c r="L186" s="39" t="s">
        <v>162</v>
      </c>
      <c r="M186" s="39" t="s">
        <v>163</v>
      </c>
      <c r="N186" s="39" t="s">
        <v>125</v>
      </c>
      <c r="O186" s="39" t="s">
        <v>283</v>
      </c>
      <c r="P186" s="39" t="s">
        <v>2160</v>
      </c>
      <c r="Q186" s="39" t="s">
        <v>2161</v>
      </c>
      <c r="R186" s="39" t="s">
        <v>16</v>
      </c>
      <c r="S186" s="39" t="s">
        <v>2162</v>
      </c>
      <c r="T186" s="39" t="s">
        <v>130</v>
      </c>
      <c r="U186" s="39" t="s">
        <v>2163</v>
      </c>
      <c r="V186" s="39" t="s">
        <v>132</v>
      </c>
      <c r="W186" s="39" t="s">
        <v>399</v>
      </c>
      <c r="X186" s="39" t="s">
        <v>187</v>
      </c>
      <c r="Y186" s="39" t="s">
        <v>2164</v>
      </c>
      <c r="Z186" s="39" t="s">
        <v>196</v>
      </c>
      <c r="AA186" s="39" t="s">
        <v>197</v>
      </c>
      <c r="AB186" s="39" t="s">
        <v>2161</v>
      </c>
      <c r="AC186" s="39">
        <v>5364767</v>
      </c>
      <c r="AD186" s="39" t="s">
        <v>16</v>
      </c>
      <c r="AE186" s="39" t="s">
        <v>2165</v>
      </c>
      <c r="AF186" s="39" t="s">
        <v>16</v>
      </c>
      <c r="AG186" s="39" t="s">
        <v>2165</v>
      </c>
      <c r="AH186" s="39" t="s">
        <v>412</v>
      </c>
      <c r="AI186" s="39" t="s">
        <v>413</v>
      </c>
      <c r="AJ186" s="39" t="s">
        <v>140</v>
      </c>
      <c r="AK186" s="39" t="s">
        <v>125</v>
      </c>
      <c r="AL186" s="39">
        <v>4525.7</v>
      </c>
      <c r="AM186" s="39"/>
      <c r="AN186" s="39" t="s">
        <v>125</v>
      </c>
      <c r="AO186" s="39" t="s">
        <v>142</v>
      </c>
      <c r="AP186" s="39" t="s">
        <v>143</v>
      </c>
      <c r="AQ186" s="39" t="s">
        <v>312</v>
      </c>
      <c r="AR186" s="39" t="s">
        <v>2166</v>
      </c>
      <c r="AS186" s="39" t="s">
        <v>2169</v>
      </c>
      <c r="AT186" s="39" t="s">
        <v>602</v>
      </c>
      <c r="AU186" s="39"/>
      <c r="AV186" s="39" t="s">
        <v>2168</v>
      </c>
      <c r="AW186" s="39"/>
      <c r="AX186" s="39"/>
      <c r="AY186" s="39"/>
      <c r="AZ186" s="39"/>
      <c r="BA186" s="39">
        <v>79944381</v>
      </c>
      <c r="BB186" s="39" t="s">
        <v>149</v>
      </c>
      <c r="BC186" s="39" t="s">
        <v>150</v>
      </c>
      <c r="BD186" s="39" t="s">
        <v>139</v>
      </c>
      <c r="BE186" s="39" t="s">
        <v>125</v>
      </c>
      <c r="BF186" s="39"/>
      <c r="BG186" s="39" t="s">
        <v>180</v>
      </c>
      <c r="BH186" s="39" t="s">
        <v>152</v>
      </c>
      <c r="BI186" s="39" t="s">
        <v>125</v>
      </c>
      <c r="BJ186" s="39"/>
      <c r="BK186" s="39" t="s">
        <v>153</v>
      </c>
      <c r="BL186" s="39"/>
      <c r="BM186" s="39"/>
      <c r="BN186" s="39" t="s">
        <v>523</v>
      </c>
    </row>
    <row r="187" spans="1:66" hidden="1">
      <c r="A187" s="39">
        <v>185</v>
      </c>
      <c r="B187" s="39" t="s">
        <v>118</v>
      </c>
      <c r="C187" s="39" t="s">
        <v>119</v>
      </c>
      <c r="D187" s="39" t="s">
        <v>2170</v>
      </c>
      <c r="E187" s="39" t="s">
        <v>2171</v>
      </c>
      <c r="F187" s="39" t="s">
        <v>2172</v>
      </c>
      <c r="G187" s="39" t="s">
        <v>2173</v>
      </c>
      <c r="H187" s="39" t="s">
        <v>2174</v>
      </c>
      <c r="I187" s="39" t="s">
        <v>2175</v>
      </c>
      <c r="J187" s="39" t="s">
        <v>126</v>
      </c>
      <c r="K187" s="39" t="s">
        <v>303</v>
      </c>
      <c r="L187" s="39" t="s">
        <v>284</v>
      </c>
      <c r="M187" s="39" t="s">
        <v>284</v>
      </c>
      <c r="N187" s="39" t="s">
        <v>125</v>
      </c>
      <c r="O187" s="39" t="s">
        <v>303</v>
      </c>
      <c r="P187" s="39" t="s">
        <v>2176</v>
      </c>
      <c r="Q187" s="39" t="s">
        <v>2170</v>
      </c>
      <c r="R187" s="39" t="s">
        <v>16</v>
      </c>
      <c r="S187" s="39" t="s">
        <v>2177</v>
      </c>
      <c r="T187" s="39" t="s">
        <v>130</v>
      </c>
      <c r="U187" s="39" t="s">
        <v>2178</v>
      </c>
      <c r="V187" s="39" t="s">
        <v>132</v>
      </c>
      <c r="W187" s="39" t="s">
        <v>133</v>
      </c>
      <c r="X187" s="39" t="s">
        <v>126</v>
      </c>
      <c r="Y187" s="39" t="s">
        <v>492</v>
      </c>
      <c r="Z187" s="39" t="s">
        <v>1913</v>
      </c>
      <c r="AA187" s="39" t="s">
        <v>2179</v>
      </c>
      <c r="AB187" s="39" t="s">
        <v>2170</v>
      </c>
      <c r="AC187" s="39">
        <v>5402510</v>
      </c>
      <c r="AD187" s="39" t="s">
        <v>16</v>
      </c>
      <c r="AE187" s="39" t="s">
        <v>2180</v>
      </c>
      <c r="AF187" s="39" t="s">
        <v>16</v>
      </c>
      <c r="AG187" s="39" t="s">
        <v>2180</v>
      </c>
      <c r="AH187" s="39" t="s">
        <v>138</v>
      </c>
      <c r="AI187" s="39" t="s">
        <v>139</v>
      </c>
      <c r="AJ187" s="39" t="s">
        <v>140</v>
      </c>
      <c r="AK187" s="39" t="s">
        <v>125</v>
      </c>
      <c r="AL187" s="39">
        <v>5180</v>
      </c>
      <c r="AM187" s="39"/>
      <c r="AN187" s="39" t="s">
        <v>125</v>
      </c>
      <c r="AO187" s="39" t="s">
        <v>142</v>
      </c>
      <c r="AP187" s="39" t="s">
        <v>143</v>
      </c>
      <c r="AQ187" s="39" t="s">
        <v>144</v>
      </c>
      <c r="AR187" s="39" t="s">
        <v>2181</v>
      </c>
      <c r="AS187" s="39" t="s">
        <v>2182</v>
      </c>
      <c r="AT187" s="39" t="s">
        <v>2183</v>
      </c>
      <c r="AU187" s="39"/>
      <c r="AV187" s="39" t="s">
        <v>2184</v>
      </c>
      <c r="AW187" s="39"/>
      <c r="AX187" s="39"/>
      <c r="AY187" s="39"/>
      <c r="AZ187" s="39"/>
      <c r="BA187" s="39">
        <v>56144129</v>
      </c>
      <c r="BB187" s="39" t="s">
        <v>149</v>
      </c>
      <c r="BC187" s="39" t="s">
        <v>150</v>
      </c>
      <c r="BD187" s="39" t="s">
        <v>139</v>
      </c>
      <c r="BE187" s="39" t="s">
        <v>125</v>
      </c>
      <c r="BF187" s="39"/>
      <c r="BG187" s="39" t="s">
        <v>298</v>
      </c>
      <c r="BH187" s="39" t="s">
        <v>152</v>
      </c>
      <c r="BI187" s="39" t="s">
        <v>125</v>
      </c>
      <c r="BJ187" s="39"/>
      <c r="BK187" s="39" t="s">
        <v>153</v>
      </c>
      <c r="BL187" s="39"/>
      <c r="BM187" s="39" t="s">
        <v>154</v>
      </c>
      <c r="BN187" s="39" t="s">
        <v>155</v>
      </c>
    </row>
    <row r="188" spans="1:66" hidden="1">
      <c r="A188" s="39">
        <v>186</v>
      </c>
      <c r="B188" s="39" t="s">
        <v>118</v>
      </c>
      <c r="C188" s="39" t="s">
        <v>119</v>
      </c>
      <c r="D188" s="39" t="s">
        <v>182</v>
      </c>
      <c r="E188" s="39" t="s">
        <v>2185</v>
      </c>
      <c r="F188" s="39" t="s">
        <v>762</v>
      </c>
      <c r="G188" s="39" t="s">
        <v>2186</v>
      </c>
      <c r="H188" s="39" t="s">
        <v>2187</v>
      </c>
      <c r="I188" s="39"/>
      <c r="J188" s="39" t="s">
        <v>506</v>
      </c>
      <c r="K188" s="39" t="s">
        <v>23</v>
      </c>
      <c r="L188" s="39" t="s">
        <v>568</v>
      </c>
      <c r="M188" s="39" t="s">
        <v>276</v>
      </c>
      <c r="N188" s="39" t="s">
        <v>125</v>
      </c>
      <c r="O188" s="39"/>
      <c r="P188" s="39"/>
      <c r="Q188" s="39" t="s">
        <v>2188</v>
      </c>
      <c r="R188" s="39" t="s">
        <v>23</v>
      </c>
      <c r="S188" s="39" t="s">
        <v>2189</v>
      </c>
      <c r="T188" s="39" t="s">
        <v>130</v>
      </c>
      <c r="U188" s="39" t="s">
        <v>2190</v>
      </c>
      <c r="V188" s="39" t="s">
        <v>132</v>
      </c>
      <c r="W188" s="39" t="s">
        <v>168</v>
      </c>
      <c r="X188" s="39" t="s">
        <v>126</v>
      </c>
      <c r="Y188" s="39" t="s">
        <v>768</v>
      </c>
      <c r="Z188" s="39" t="s">
        <v>2191</v>
      </c>
      <c r="AA188" s="39" t="s">
        <v>2192</v>
      </c>
      <c r="AB188" s="39" t="s">
        <v>2188</v>
      </c>
      <c r="AC188" s="39">
        <v>5393317</v>
      </c>
      <c r="AD188" s="39" t="s">
        <v>23</v>
      </c>
      <c r="AE188" s="39" t="s">
        <v>2193</v>
      </c>
      <c r="AF188" s="39" t="s">
        <v>23</v>
      </c>
      <c r="AG188" s="39" t="s">
        <v>2193</v>
      </c>
      <c r="AH188" s="39" t="s">
        <v>838</v>
      </c>
      <c r="AI188" s="39" t="s">
        <v>179</v>
      </c>
      <c r="AJ188" s="39" t="s">
        <v>140</v>
      </c>
      <c r="AK188" s="39" t="s">
        <v>125</v>
      </c>
      <c r="AL188" s="39">
        <v>5180</v>
      </c>
      <c r="AM188" s="39"/>
      <c r="AN188" s="39" t="s">
        <v>125</v>
      </c>
      <c r="AO188" s="39" t="s">
        <v>142</v>
      </c>
      <c r="AP188" s="39" t="s">
        <v>143</v>
      </c>
      <c r="AQ188" s="39" t="s">
        <v>175</v>
      </c>
      <c r="AR188" s="39" t="s">
        <v>2194</v>
      </c>
      <c r="AS188" s="39" t="s">
        <v>2195</v>
      </c>
      <c r="AT188" s="39" t="s">
        <v>2183</v>
      </c>
      <c r="AU188" s="39"/>
      <c r="AV188" s="39" t="s">
        <v>2196</v>
      </c>
      <c r="AW188" s="39"/>
      <c r="AX188" s="39"/>
      <c r="AY188" s="39"/>
      <c r="AZ188" s="39"/>
      <c r="BA188" s="39">
        <v>56311929</v>
      </c>
      <c r="BB188" s="39" t="s">
        <v>149</v>
      </c>
      <c r="BC188" s="39" t="s">
        <v>150</v>
      </c>
      <c r="BD188" s="39" t="s">
        <v>179</v>
      </c>
      <c r="BE188" s="39" t="s">
        <v>125</v>
      </c>
      <c r="BF188" s="39"/>
      <c r="BG188" s="39" t="s">
        <v>298</v>
      </c>
      <c r="BH188" s="39" t="s">
        <v>152</v>
      </c>
      <c r="BI188" s="39" t="s">
        <v>125</v>
      </c>
      <c r="BJ188" s="39"/>
      <c r="BK188" s="39" t="s">
        <v>153</v>
      </c>
      <c r="BL188" s="39"/>
      <c r="BM188" s="39" t="s">
        <v>154</v>
      </c>
      <c r="BN188" s="39" t="s">
        <v>181</v>
      </c>
    </row>
    <row r="189" spans="1:66" hidden="1">
      <c r="A189" s="39">
        <v>187</v>
      </c>
      <c r="B189" s="39" t="s">
        <v>118</v>
      </c>
      <c r="C189" s="39" t="s">
        <v>119</v>
      </c>
      <c r="D189" s="39" t="s">
        <v>506</v>
      </c>
      <c r="E189" s="39" t="s">
        <v>2197</v>
      </c>
      <c r="F189" s="39" t="s">
        <v>283</v>
      </c>
      <c r="G189" s="39" t="s">
        <v>2198</v>
      </c>
      <c r="H189" s="39" t="s">
        <v>2199</v>
      </c>
      <c r="I189" s="39" t="s">
        <v>125</v>
      </c>
      <c r="J189" s="39" t="s">
        <v>126</v>
      </c>
      <c r="K189" s="39" t="s">
        <v>283</v>
      </c>
      <c r="L189" s="39" t="s">
        <v>305</v>
      </c>
      <c r="M189" s="39" t="s">
        <v>306</v>
      </c>
      <c r="N189" s="39" t="s">
        <v>125</v>
      </c>
      <c r="O189" s="39" t="s">
        <v>283</v>
      </c>
      <c r="P189" s="39" t="s">
        <v>2200</v>
      </c>
      <c r="Q189" s="39" t="s">
        <v>2201</v>
      </c>
      <c r="R189" s="39" t="s">
        <v>28</v>
      </c>
      <c r="S189" s="39" t="s">
        <v>2202</v>
      </c>
      <c r="T189" s="39" t="s">
        <v>130</v>
      </c>
      <c r="U189" s="39" t="s">
        <v>2203</v>
      </c>
      <c r="V189" s="39" t="s">
        <v>132</v>
      </c>
      <c r="W189" s="39" t="s">
        <v>133</v>
      </c>
      <c r="X189" s="39" t="s">
        <v>126</v>
      </c>
      <c r="Y189" s="39" t="s">
        <v>2044</v>
      </c>
      <c r="Z189" s="39" t="s">
        <v>2204</v>
      </c>
      <c r="AA189" s="39" t="s">
        <v>1369</v>
      </c>
      <c r="AB189" s="39" t="s">
        <v>2201</v>
      </c>
      <c r="AC189" s="39">
        <v>5363657</v>
      </c>
      <c r="AD189" s="39" t="s">
        <v>28</v>
      </c>
      <c r="AE189" s="39" t="s">
        <v>2205</v>
      </c>
      <c r="AF189" s="39" t="s">
        <v>28</v>
      </c>
      <c r="AG189" s="39" t="s">
        <v>2206</v>
      </c>
      <c r="AH189" s="39" t="s">
        <v>1922</v>
      </c>
      <c r="AI189" s="39" t="s">
        <v>139</v>
      </c>
      <c r="AJ189" s="39" t="s">
        <v>140</v>
      </c>
      <c r="AK189" s="39" t="s">
        <v>125</v>
      </c>
      <c r="AL189" s="39">
        <v>5680</v>
      </c>
      <c r="AM189" s="39"/>
      <c r="AN189" s="39" t="s">
        <v>125</v>
      </c>
      <c r="AO189" s="39" t="s">
        <v>142</v>
      </c>
      <c r="AP189" s="39" t="s">
        <v>143</v>
      </c>
      <c r="AQ189" s="39" t="s">
        <v>252</v>
      </c>
      <c r="AR189" s="39" t="s">
        <v>2207</v>
      </c>
      <c r="AS189" s="39" t="s">
        <v>2208</v>
      </c>
      <c r="AT189" s="39" t="s">
        <v>2183</v>
      </c>
      <c r="AU189" s="39"/>
      <c r="AV189" s="39" t="s">
        <v>2209</v>
      </c>
      <c r="AW189" s="39"/>
      <c r="AX189" s="39"/>
      <c r="AY189" s="39"/>
      <c r="AZ189" s="39"/>
      <c r="BA189" s="39">
        <v>80392596</v>
      </c>
      <c r="BB189" s="39" t="s">
        <v>149</v>
      </c>
      <c r="BC189" s="39" t="s">
        <v>150</v>
      </c>
      <c r="BD189" s="39" t="s">
        <v>139</v>
      </c>
      <c r="BE189" s="39" t="s">
        <v>125</v>
      </c>
      <c r="BF189" s="39"/>
      <c r="BG189" s="39" t="s">
        <v>151</v>
      </c>
      <c r="BH189" s="39" t="s">
        <v>152</v>
      </c>
      <c r="BI189" s="39" t="s">
        <v>125</v>
      </c>
      <c r="BJ189" s="39"/>
      <c r="BK189" s="39" t="s">
        <v>153</v>
      </c>
      <c r="BL189" s="39"/>
      <c r="BM189" s="39" t="s">
        <v>154</v>
      </c>
      <c r="BN189" s="39" t="s">
        <v>155</v>
      </c>
    </row>
    <row r="190" spans="1:66" hidden="1">
      <c r="A190" s="39">
        <v>188</v>
      </c>
      <c r="B190" s="39" t="s">
        <v>118</v>
      </c>
      <c r="C190" s="39" t="s">
        <v>119</v>
      </c>
      <c r="D190" s="39" t="s">
        <v>2210</v>
      </c>
      <c r="E190" s="39" t="s">
        <v>2211</v>
      </c>
      <c r="F190" s="39" t="s">
        <v>2172</v>
      </c>
      <c r="G190" s="39" t="s">
        <v>2212</v>
      </c>
      <c r="H190" s="39" t="s">
        <v>2174</v>
      </c>
      <c r="I190" s="39" t="s">
        <v>2175</v>
      </c>
      <c r="J190" s="39" t="s">
        <v>126</v>
      </c>
      <c r="K190" s="39" t="s">
        <v>1359</v>
      </c>
      <c r="L190" s="39" t="s">
        <v>284</v>
      </c>
      <c r="M190" s="39" t="s">
        <v>284</v>
      </c>
      <c r="N190" s="39" t="s">
        <v>125</v>
      </c>
      <c r="O190" s="39" t="s">
        <v>1359</v>
      </c>
      <c r="P190" s="39" t="s">
        <v>2213</v>
      </c>
      <c r="Q190" s="39" t="s">
        <v>2214</v>
      </c>
      <c r="R190" s="39" t="s">
        <v>22</v>
      </c>
      <c r="S190" s="39" t="s">
        <v>2215</v>
      </c>
      <c r="T190" s="39" t="s">
        <v>130</v>
      </c>
      <c r="U190" s="39" t="s">
        <v>2216</v>
      </c>
      <c r="V190" s="39" t="s">
        <v>132</v>
      </c>
      <c r="W190" s="39" t="s">
        <v>168</v>
      </c>
      <c r="X190" s="39" t="s">
        <v>126</v>
      </c>
      <c r="Y190" s="39" t="s">
        <v>2217</v>
      </c>
      <c r="Z190" s="39" t="s">
        <v>2218</v>
      </c>
      <c r="AA190" s="39" t="s">
        <v>534</v>
      </c>
      <c r="AB190" s="39" t="s">
        <v>2214</v>
      </c>
      <c r="AC190" s="39">
        <v>5392281</v>
      </c>
      <c r="AD190" s="39" t="s">
        <v>22</v>
      </c>
      <c r="AE190" s="39" t="s">
        <v>2219</v>
      </c>
      <c r="AF190" s="39" t="s">
        <v>22</v>
      </c>
      <c r="AG190" s="39" t="s">
        <v>2220</v>
      </c>
      <c r="AH190" s="39" t="s">
        <v>838</v>
      </c>
      <c r="AI190" s="39" t="s">
        <v>179</v>
      </c>
      <c r="AJ190" s="39" t="s">
        <v>140</v>
      </c>
      <c r="AK190" s="39" t="s">
        <v>125</v>
      </c>
      <c r="AL190" s="39">
        <v>5180</v>
      </c>
      <c r="AM190" s="39"/>
      <c r="AN190" s="39" t="s">
        <v>125</v>
      </c>
      <c r="AO190" s="39" t="s">
        <v>142</v>
      </c>
      <c r="AP190" s="39" t="s">
        <v>143</v>
      </c>
      <c r="AQ190" s="39" t="s">
        <v>144</v>
      </c>
      <c r="AR190" s="39" t="s">
        <v>2221</v>
      </c>
      <c r="AS190" s="39" t="s">
        <v>2222</v>
      </c>
      <c r="AT190" s="39" t="s">
        <v>2223</v>
      </c>
      <c r="AU190" s="39"/>
      <c r="AV190" s="39" t="s">
        <v>2224</v>
      </c>
      <c r="AW190" s="39"/>
      <c r="AX190" s="39"/>
      <c r="AY190" s="39"/>
      <c r="AZ190" s="39"/>
      <c r="BA190" s="39">
        <v>60599431</v>
      </c>
      <c r="BB190" s="39" t="s">
        <v>149</v>
      </c>
      <c r="BC190" s="39" t="s">
        <v>150</v>
      </c>
      <c r="BD190" s="39" t="s">
        <v>179</v>
      </c>
      <c r="BE190" s="39" t="s">
        <v>125</v>
      </c>
      <c r="BF190" s="39"/>
      <c r="BG190" s="39" t="s">
        <v>298</v>
      </c>
      <c r="BH190" s="39" t="s">
        <v>152</v>
      </c>
      <c r="BI190" s="39" t="s">
        <v>125</v>
      </c>
      <c r="BJ190" s="39"/>
      <c r="BK190" s="39" t="s">
        <v>153</v>
      </c>
      <c r="BL190" s="39"/>
      <c r="BM190" s="39" t="s">
        <v>460</v>
      </c>
      <c r="BN190" s="39" t="s">
        <v>155</v>
      </c>
    </row>
    <row r="191" spans="1:66" hidden="1">
      <c r="A191" s="39">
        <v>189</v>
      </c>
      <c r="B191" s="39" t="s">
        <v>118</v>
      </c>
      <c r="C191" s="39" t="s">
        <v>119</v>
      </c>
      <c r="D191" s="39" t="s">
        <v>2225</v>
      </c>
      <c r="E191" s="39" t="s">
        <v>2226</v>
      </c>
      <c r="F191" s="39" t="s">
        <v>208</v>
      </c>
      <c r="G191" s="39" t="s">
        <v>2227</v>
      </c>
      <c r="H191" s="39" t="s">
        <v>2228</v>
      </c>
      <c r="I191" s="39" t="s">
        <v>125</v>
      </c>
      <c r="J191" s="39" t="s">
        <v>355</v>
      </c>
      <c r="K191" s="39" t="s">
        <v>28</v>
      </c>
      <c r="L191" s="39" t="s">
        <v>211</v>
      </c>
      <c r="M191" s="39" t="s">
        <v>212</v>
      </c>
      <c r="N191" s="39" t="s">
        <v>125</v>
      </c>
      <c r="O191" s="39"/>
      <c r="P191" s="39"/>
      <c r="Q191" s="39" t="s">
        <v>2229</v>
      </c>
      <c r="R191" s="39" t="s">
        <v>28</v>
      </c>
      <c r="S191" s="39" t="s">
        <v>2230</v>
      </c>
      <c r="T191" s="39" t="s">
        <v>130</v>
      </c>
      <c r="U191" s="39" t="s">
        <v>2231</v>
      </c>
      <c r="V191" s="39" t="s">
        <v>167</v>
      </c>
      <c r="W191" s="39" t="s">
        <v>133</v>
      </c>
      <c r="X191" s="39" t="s">
        <v>355</v>
      </c>
      <c r="Y191" s="39" t="s">
        <v>1756</v>
      </c>
      <c r="Z191" s="39" t="s">
        <v>2232</v>
      </c>
      <c r="AA191" s="39" t="s">
        <v>2233</v>
      </c>
      <c r="AB191" s="39" t="s">
        <v>2229</v>
      </c>
      <c r="AC191" s="39">
        <v>5392053</v>
      </c>
      <c r="AD191" s="39" t="s">
        <v>28</v>
      </c>
      <c r="AE191" s="39" t="s">
        <v>2234</v>
      </c>
      <c r="AF191" s="39" t="s">
        <v>28</v>
      </c>
      <c r="AG191" s="39" t="s">
        <v>2206</v>
      </c>
      <c r="AH191" s="39" t="s">
        <v>138</v>
      </c>
      <c r="AI191" s="39" t="s">
        <v>139</v>
      </c>
      <c r="AJ191" s="39" t="s">
        <v>140</v>
      </c>
      <c r="AK191" s="39" t="s">
        <v>125</v>
      </c>
      <c r="AL191" s="39">
        <v>5680</v>
      </c>
      <c r="AM191" s="39"/>
      <c r="AN191" s="39" t="s">
        <v>125</v>
      </c>
      <c r="AO191" s="39" t="s">
        <v>142</v>
      </c>
      <c r="AP191" s="39" t="s">
        <v>143</v>
      </c>
      <c r="AQ191" s="39" t="s">
        <v>144</v>
      </c>
      <c r="AR191" s="39" t="s">
        <v>2235</v>
      </c>
      <c r="AS191" s="39" t="s">
        <v>2236</v>
      </c>
      <c r="AT191" s="39" t="s">
        <v>2223</v>
      </c>
      <c r="AU191" s="39"/>
      <c r="AV191" s="39" t="s">
        <v>2237</v>
      </c>
      <c r="AW191" s="39"/>
      <c r="AX191" s="39"/>
      <c r="AY191" s="39"/>
      <c r="AZ191" s="39"/>
      <c r="BA191" s="39">
        <v>79872706</v>
      </c>
      <c r="BB191" s="39" t="s">
        <v>149</v>
      </c>
      <c r="BC191" s="39" t="s">
        <v>150</v>
      </c>
      <c r="BD191" s="39" t="s">
        <v>2238</v>
      </c>
      <c r="BE191" s="39" t="s">
        <v>125</v>
      </c>
      <c r="BF191" s="39"/>
      <c r="BG191" s="39" t="s">
        <v>298</v>
      </c>
      <c r="BH191" s="39" t="s">
        <v>152</v>
      </c>
      <c r="BI191" s="39" t="s">
        <v>125</v>
      </c>
      <c r="BJ191" s="39"/>
      <c r="BK191" s="39" t="s">
        <v>153</v>
      </c>
      <c r="BL191" s="39"/>
      <c r="BM191" s="39" t="s">
        <v>154</v>
      </c>
      <c r="BN191" s="39" t="s">
        <v>181</v>
      </c>
    </row>
    <row r="192" spans="1:66">
      <c r="A192" s="39">
        <v>190</v>
      </c>
      <c r="B192" s="39" t="s">
        <v>118</v>
      </c>
      <c r="C192" s="39" t="s">
        <v>119</v>
      </c>
      <c r="D192" s="39" t="s">
        <v>182</v>
      </c>
      <c r="E192" s="39" t="s">
        <v>2239</v>
      </c>
      <c r="F192" s="39" t="s">
        <v>184</v>
      </c>
      <c r="G192" s="39" t="s">
        <v>2240</v>
      </c>
      <c r="H192" s="39" t="s">
        <v>983</v>
      </c>
      <c r="I192" s="39" t="s">
        <v>125</v>
      </c>
      <c r="J192" s="39" t="s">
        <v>355</v>
      </c>
      <c r="K192" s="39" t="s">
        <v>16</v>
      </c>
      <c r="L192" s="39" t="s">
        <v>188</v>
      </c>
      <c r="M192" s="39" t="s">
        <v>395</v>
      </c>
      <c r="N192" s="39" t="s">
        <v>2241</v>
      </c>
      <c r="O192" s="39"/>
      <c r="P192" s="39"/>
      <c r="Q192" s="39" t="s">
        <v>2242</v>
      </c>
      <c r="R192" s="39" t="s">
        <v>16</v>
      </c>
      <c r="S192" s="39" t="s">
        <v>2243</v>
      </c>
      <c r="T192" s="39" t="s">
        <v>359</v>
      </c>
      <c r="U192" s="39" t="s">
        <v>2244</v>
      </c>
      <c r="V192" s="39" t="s">
        <v>132</v>
      </c>
      <c r="W192" s="39" t="s">
        <v>133</v>
      </c>
      <c r="X192" s="39" t="s">
        <v>2245</v>
      </c>
      <c r="Y192" s="39" t="s">
        <v>1218</v>
      </c>
      <c r="Z192" s="39" t="s">
        <v>1219</v>
      </c>
      <c r="AA192" s="39" t="s">
        <v>2246</v>
      </c>
      <c r="AB192" s="42" t="s">
        <v>2242</v>
      </c>
      <c r="AC192" s="39">
        <v>5391627</v>
      </c>
      <c r="AD192" s="39" t="s">
        <v>16</v>
      </c>
      <c r="AE192" s="39" t="s">
        <v>2247</v>
      </c>
      <c r="AF192" s="39" t="s">
        <v>16</v>
      </c>
      <c r="AG192" s="39" t="s">
        <v>2248</v>
      </c>
      <c r="AH192" s="39" t="s">
        <v>138</v>
      </c>
      <c r="AI192" s="39" t="s">
        <v>139</v>
      </c>
      <c r="AJ192" s="39" t="s">
        <v>140</v>
      </c>
      <c r="AK192" s="39" t="s">
        <v>125</v>
      </c>
      <c r="AL192" s="39">
        <v>5180</v>
      </c>
      <c r="AM192" s="39"/>
      <c r="AN192" s="39" t="s">
        <v>2241</v>
      </c>
      <c r="AO192" s="39" t="s">
        <v>367</v>
      </c>
      <c r="AP192" s="39" t="s">
        <v>143</v>
      </c>
      <c r="AQ192" s="39" t="s">
        <v>252</v>
      </c>
      <c r="AR192" s="39" t="s">
        <v>2249</v>
      </c>
      <c r="AS192" s="39" t="s">
        <v>2250</v>
      </c>
      <c r="AT192" s="39" t="s">
        <v>2223</v>
      </c>
      <c r="AU192" s="39"/>
      <c r="AV192" s="39" t="s">
        <v>2251</v>
      </c>
      <c r="AW192" s="39"/>
      <c r="AX192" s="39"/>
      <c r="AY192" s="39"/>
      <c r="AZ192" s="39"/>
      <c r="BA192" s="39">
        <v>16984058</v>
      </c>
      <c r="BB192" s="39" t="s">
        <v>149</v>
      </c>
      <c r="BC192" s="39" t="s">
        <v>150</v>
      </c>
      <c r="BD192" s="39" t="s">
        <v>139</v>
      </c>
      <c r="BE192" s="39" t="s">
        <v>125</v>
      </c>
      <c r="BF192" s="39"/>
      <c r="BG192" s="39" t="s">
        <v>239</v>
      </c>
      <c r="BH192" s="39" t="s">
        <v>152</v>
      </c>
      <c r="BI192" s="39" t="s">
        <v>125</v>
      </c>
      <c r="BJ192" s="39"/>
      <c r="BK192" s="39" t="s">
        <v>153</v>
      </c>
      <c r="BL192" s="39"/>
      <c r="BM192" s="39"/>
      <c r="BN192" s="39" t="s">
        <v>155</v>
      </c>
    </row>
    <row r="193" spans="1:66" hidden="1">
      <c r="A193" s="39">
        <v>191</v>
      </c>
      <c r="B193" s="39" t="s">
        <v>118</v>
      </c>
      <c r="C193" s="39" t="s">
        <v>119</v>
      </c>
      <c r="D193" s="39" t="s">
        <v>506</v>
      </c>
      <c r="E193" s="39" t="s">
        <v>2252</v>
      </c>
      <c r="F193" s="39" t="s">
        <v>749</v>
      </c>
      <c r="G193" s="39" t="s">
        <v>2253</v>
      </c>
      <c r="H193" s="39" t="s">
        <v>1589</v>
      </c>
      <c r="I193" s="39" t="s">
        <v>125</v>
      </c>
      <c r="J193" s="39" t="s">
        <v>126</v>
      </c>
      <c r="K193" s="39" t="s">
        <v>16</v>
      </c>
      <c r="L193" s="39" t="s">
        <v>284</v>
      </c>
      <c r="M193" s="39" t="s">
        <v>284</v>
      </c>
      <c r="N193" s="39"/>
      <c r="O193" s="39"/>
      <c r="P193" s="39"/>
      <c r="Q193" s="39" t="s">
        <v>2254</v>
      </c>
      <c r="R193" s="39" t="s">
        <v>16</v>
      </c>
      <c r="S193" s="39" t="s">
        <v>2255</v>
      </c>
      <c r="T193" s="39" t="s">
        <v>130</v>
      </c>
      <c r="U193" s="39" t="s">
        <v>2256</v>
      </c>
      <c r="V193" s="39" t="s">
        <v>132</v>
      </c>
      <c r="W193" s="39" t="s">
        <v>168</v>
      </c>
      <c r="X193" s="39" t="s">
        <v>126</v>
      </c>
      <c r="Y193" s="39" t="s">
        <v>1676</v>
      </c>
      <c r="Z193" s="39" t="s">
        <v>2257</v>
      </c>
      <c r="AA193" s="39" t="s">
        <v>2258</v>
      </c>
      <c r="AB193" s="39" t="s">
        <v>2254</v>
      </c>
      <c r="AC193" s="39">
        <v>5363515</v>
      </c>
      <c r="AD193" s="39" t="s">
        <v>16</v>
      </c>
      <c r="AE193" s="39" t="s">
        <v>2259</v>
      </c>
      <c r="AF193" s="39" t="s">
        <v>16</v>
      </c>
      <c r="AG193" s="39" t="s">
        <v>2260</v>
      </c>
      <c r="AH193" s="39" t="s">
        <v>1890</v>
      </c>
      <c r="AI193" s="39" t="s">
        <v>179</v>
      </c>
      <c r="AJ193" s="39" t="s">
        <v>140</v>
      </c>
      <c r="AK193" s="39" t="s">
        <v>125</v>
      </c>
      <c r="AL193" s="39">
        <v>5680</v>
      </c>
      <c r="AM193" s="39"/>
      <c r="AN193" s="39" t="s">
        <v>125</v>
      </c>
      <c r="AO193" s="39" t="s">
        <v>142</v>
      </c>
      <c r="AP193" s="39" t="s">
        <v>143</v>
      </c>
      <c r="AQ193" s="39" t="s">
        <v>144</v>
      </c>
      <c r="AR193" s="39" t="s">
        <v>2261</v>
      </c>
      <c r="AS193" s="39" t="s">
        <v>2262</v>
      </c>
      <c r="AT193" s="39" t="s">
        <v>2223</v>
      </c>
      <c r="AU193" s="39"/>
      <c r="AV193" s="39" t="s">
        <v>2263</v>
      </c>
      <c r="AW193" s="39"/>
      <c r="AX193" s="39"/>
      <c r="AY193" s="39"/>
      <c r="AZ193" s="39"/>
      <c r="BA193" s="39">
        <v>56114678</v>
      </c>
      <c r="BB193" s="39" t="s">
        <v>149</v>
      </c>
      <c r="BC193" s="39" t="s">
        <v>150</v>
      </c>
      <c r="BD193" s="39" t="s">
        <v>179</v>
      </c>
      <c r="BE193" s="39" t="s">
        <v>125</v>
      </c>
      <c r="BF193" s="39"/>
      <c r="BG193" s="39" t="s">
        <v>298</v>
      </c>
      <c r="BH193" s="39" t="s">
        <v>152</v>
      </c>
      <c r="BI193" s="39" t="s">
        <v>125</v>
      </c>
      <c r="BJ193" s="39"/>
      <c r="BK193" s="39" t="s">
        <v>153</v>
      </c>
      <c r="BL193" s="39"/>
      <c r="BM193" s="39" t="s">
        <v>154</v>
      </c>
      <c r="BN193" s="39" t="s">
        <v>155</v>
      </c>
    </row>
    <row r="194" spans="1:66" hidden="1">
      <c r="A194" s="39">
        <v>192</v>
      </c>
      <c r="B194" s="39" t="s">
        <v>118</v>
      </c>
      <c r="C194" s="39" t="s">
        <v>119</v>
      </c>
      <c r="D194" s="39" t="s">
        <v>2264</v>
      </c>
      <c r="E194" s="39" t="s">
        <v>2265</v>
      </c>
      <c r="F194" s="39" t="s">
        <v>1359</v>
      </c>
      <c r="G194" s="39" t="s">
        <v>2266</v>
      </c>
      <c r="H194" s="39" t="s">
        <v>2267</v>
      </c>
      <c r="I194" s="39" t="s">
        <v>125</v>
      </c>
      <c r="J194" s="39" t="s">
        <v>187</v>
      </c>
      <c r="K194" s="39" t="s">
        <v>21</v>
      </c>
      <c r="L194" s="39" t="s">
        <v>188</v>
      </c>
      <c r="M194" s="39" t="s">
        <v>189</v>
      </c>
      <c r="N194" s="39" t="s">
        <v>2268</v>
      </c>
      <c r="O194" s="39"/>
      <c r="P194" s="39"/>
      <c r="Q194" s="39" t="s">
        <v>2269</v>
      </c>
      <c r="R194" s="39" t="s">
        <v>21</v>
      </c>
      <c r="S194" s="39" t="s">
        <v>2270</v>
      </c>
      <c r="T194" s="39" t="s">
        <v>130</v>
      </c>
      <c r="U194" s="39" t="s">
        <v>2271</v>
      </c>
      <c r="V194" s="39" t="s">
        <v>132</v>
      </c>
      <c r="W194" s="39" t="s">
        <v>194</v>
      </c>
      <c r="X194" s="39" t="s">
        <v>187</v>
      </c>
      <c r="Y194" s="39" t="s">
        <v>2272</v>
      </c>
      <c r="Z194" s="39" t="s">
        <v>196</v>
      </c>
      <c r="AA194" s="39" t="s">
        <v>197</v>
      </c>
      <c r="AB194" s="39" t="s">
        <v>2269</v>
      </c>
      <c r="AC194" s="39">
        <v>5402021</v>
      </c>
      <c r="AD194" s="39" t="s">
        <v>21</v>
      </c>
      <c r="AE194" s="39" t="s">
        <v>2273</v>
      </c>
      <c r="AF194" s="39" t="s">
        <v>21</v>
      </c>
      <c r="AG194" s="39" t="s">
        <v>2273</v>
      </c>
      <c r="AH194" s="39" t="s">
        <v>271</v>
      </c>
      <c r="AI194" s="39" t="s">
        <v>173</v>
      </c>
      <c r="AJ194" s="39" t="s">
        <v>140</v>
      </c>
      <c r="AK194" s="39" t="s">
        <v>125</v>
      </c>
      <c r="AL194" s="39">
        <v>5180</v>
      </c>
      <c r="AM194" s="39"/>
      <c r="AN194" s="39" t="s">
        <v>2268</v>
      </c>
      <c r="AO194" s="39" t="s">
        <v>142</v>
      </c>
      <c r="AP194" s="39" t="s">
        <v>143</v>
      </c>
      <c r="AQ194" s="39" t="s">
        <v>252</v>
      </c>
      <c r="AR194" s="39" t="s">
        <v>2274</v>
      </c>
      <c r="AS194" s="39" t="s">
        <v>2275</v>
      </c>
      <c r="AT194" s="39" t="s">
        <v>619</v>
      </c>
      <c r="AU194" s="39"/>
      <c r="AV194" s="39" t="s">
        <v>2276</v>
      </c>
      <c r="AW194" s="39"/>
      <c r="AX194" s="39"/>
      <c r="AY194" s="39"/>
      <c r="AZ194" s="39"/>
      <c r="BA194" s="39">
        <v>74583109</v>
      </c>
      <c r="BB194" s="39" t="s">
        <v>149</v>
      </c>
      <c r="BC194" s="39" t="s">
        <v>150</v>
      </c>
      <c r="BD194" s="39" t="s">
        <v>179</v>
      </c>
      <c r="BE194" s="39" t="s">
        <v>125</v>
      </c>
      <c r="BF194" s="39"/>
      <c r="BG194" s="39" t="s">
        <v>180</v>
      </c>
      <c r="BH194" s="39" t="s">
        <v>152</v>
      </c>
      <c r="BI194" s="39" t="s">
        <v>125</v>
      </c>
      <c r="BJ194" s="39"/>
      <c r="BK194" s="39" t="s">
        <v>153</v>
      </c>
      <c r="BL194" s="39"/>
      <c r="BM194" s="39"/>
      <c r="BN194" s="39" t="s">
        <v>155</v>
      </c>
    </row>
    <row r="195" spans="1:66" hidden="1">
      <c r="A195" s="39">
        <v>193</v>
      </c>
      <c r="B195" s="39" t="s">
        <v>118</v>
      </c>
      <c r="C195" s="39" t="s">
        <v>119</v>
      </c>
      <c r="D195" s="39" t="s">
        <v>156</v>
      </c>
      <c r="E195" s="39" t="s">
        <v>2277</v>
      </c>
      <c r="F195" s="39" t="s">
        <v>855</v>
      </c>
      <c r="G195" s="39" t="s">
        <v>2278</v>
      </c>
      <c r="H195" s="39" t="s">
        <v>2279</v>
      </c>
      <c r="I195" s="39"/>
      <c r="J195" s="39" t="s">
        <v>506</v>
      </c>
      <c r="K195" s="39" t="s">
        <v>16</v>
      </c>
      <c r="L195" s="39" t="s">
        <v>858</v>
      </c>
      <c r="M195" s="39" t="s">
        <v>2280</v>
      </c>
      <c r="N195" s="39" t="s">
        <v>125</v>
      </c>
      <c r="O195" s="39"/>
      <c r="P195" s="39"/>
      <c r="Q195" s="39" t="s">
        <v>2281</v>
      </c>
      <c r="R195" s="39" t="s">
        <v>16</v>
      </c>
      <c r="S195" s="39" t="s">
        <v>2282</v>
      </c>
      <c r="T195" s="39" t="s">
        <v>130</v>
      </c>
      <c r="U195" s="39" t="s">
        <v>2283</v>
      </c>
      <c r="V195" s="39" t="s">
        <v>132</v>
      </c>
      <c r="W195" s="39" t="s">
        <v>133</v>
      </c>
      <c r="X195" s="39" t="s">
        <v>126</v>
      </c>
      <c r="Y195" s="39" t="s">
        <v>2044</v>
      </c>
      <c r="Z195" s="39" t="s">
        <v>2284</v>
      </c>
      <c r="AA195" s="39" t="s">
        <v>2285</v>
      </c>
      <c r="AB195" s="39" t="s">
        <v>2281</v>
      </c>
      <c r="AC195" s="39">
        <v>5401796</v>
      </c>
      <c r="AD195" s="39" t="s">
        <v>16</v>
      </c>
      <c r="AE195" s="39" t="s">
        <v>2286</v>
      </c>
      <c r="AF195" s="39" t="s">
        <v>16</v>
      </c>
      <c r="AG195" s="39" t="s">
        <v>2286</v>
      </c>
      <c r="AH195" s="39" t="s">
        <v>138</v>
      </c>
      <c r="AI195" s="39" t="s">
        <v>139</v>
      </c>
      <c r="AJ195" s="39" t="s">
        <v>140</v>
      </c>
      <c r="AK195" s="39" t="s">
        <v>125</v>
      </c>
      <c r="AL195" s="39">
        <v>5180</v>
      </c>
      <c r="AM195" s="39"/>
      <c r="AN195" s="39" t="s">
        <v>125</v>
      </c>
      <c r="AO195" s="39" t="s">
        <v>142</v>
      </c>
      <c r="AP195" s="39" t="s">
        <v>143</v>
      </c>
      <c r="AQ195" s="39" t="s">
        <v>144</v>
      </c>
      <c r="AR195" s="39" t="s">
        <v>2287</v>
      </c>
      <c r="AS195" s="39" t="s">
        <v>2288</v>
      </c>
      <c r="AT195" s="39" t="s">
        <v>619</v>
      </c>
      <c r="AU195" s="39"/>
      <c r="AV195" s="39" t="s">
        <v>2289</v>
      </c>
      <c r="AW195" s="39"/>
      <c r="AX195" s="39"/>
      <c r="AY195" s="39"/>
      <c r="AZ195" s="39"/>
      <c r="BA195" s="39">
        <v>79045115</v>
      </c>
      <c r="BB195" s="39" t="s">
        <v>149</v>
      </c>
      <c r="BC195" s="39" t="s">
        <v>150</v>
      </c>
      <c r="BD195" s="39" t="s">
        <v>139</v>
      </c>
      <c r="BE195" s="39" t="s">
        <v>125</v>
      </c>
      <c r="BF195" s="39"/>
      <c r="BG195" s="39" t="s">
        <v>151</v>
      </c>
      <c r="BH195" s="39" t="s">
        <v>152</v>
      </c>
      <c r="BI195" s="39" t="s">
        <v>125</v>
      </c>
      <c r="BJ195" s="39"/>
      <c r="BK195" s="39" t="s">
        <v>153</v>
      </c>
      <c r="BL195" s="39"/>
      <c r="BM195" s="39" t="s">
        <v>240</v>
      </c>
      <c r="BN195" s="39" t="s">
        <v>155</v>
      </c>
    </row>
    <row r="196" spans="1:66" hidden="1">
      <c r="A196" s="39">
        <v>194</v>
      </c>
      <c r="B196" s="39" t="s">
        <v>118</v>
      </c>
      <c r="C196" s="39" t="s">
        <v>119</v>
      </c>
      <c r="D196" s="39" t="s">
        <v>2290</v>
      </c>
      <c r="E196" s="39" t="s">
        <v>2291</v>
      </c>
      <c r="F196" s="39" t="s">
        <v>208</v>
      </c>
      <c r="G196" s="39" t="s">
        <v>2292</v>
      </c>
      <c r="H196" s="39" t="s">
        <v>959</v>
      </c>
      <c r="I196" s="39" t="s">
        <v>245</v>
      </c>
      <c r="J196" s="39" t="s">
        <v>355</v>
      </c>
      <c r="K196" s="39" t="s">
        <v>16</v>
      </c>
      <c r="L196" s="39" t="s">
        <v>211</v>
      </c>
      <c r="M196" s="39" t="s">
        <v>212</v>
      </c>
      <c r="N196" s="39" t="s">
        <v>125</v>
      </c>
      <c r="O196" s="39"/>
      <c r="P196" s="39"/>
      <c r="Q196" s="39" t="s">
        <v>2293</v>
      </c>
      <c r="R196" s="39" t="s">
        <v>16</v>
      </c>
      <c r="S196" s="39" t="s">
        <v>2294</v>
      </c>
      <c r="T196" s="39" t="s">
        <v>130</v>
      </c>
      <c r="U196" s="39" t="s">
        <v>2295</v>
      </c>
      <c r="V196" s="39" t="s">
        <v>132</v>
      </c>
      <c r="W196" s="39" t="s">
        <v>133</v>
      </c>
      <c r="X196" s="39" t="s">
        <v>355</v>
      </c>
      <c r="Y196" s="39" t="s">
        <v>492</v>
      </c>
      <c r="Z196" s="39" t="s">
        <v>1913</v>
      </c>
      <c r="AA196" s="39" t="s">
        <v>2179</v>
      </c>
      <c r="AB196" s="39" t="s">
        <v>2293</v>
      </c>
      <c r="AC196" s="39">
        <v>5401595</v>
      </c>
      <c r="AD196" s="39" t="s">
        <v>16</v>
      </c>
      <c r="AE196" s="39" t="s">
        <v>2296</v>
      </c>
      <c r="AF196" s="39" t="s">
        <v>16</v>
      </c>
      <c r="AG196" s="39" t="s">
        <v>2296</v>
      </c>
      <c r="AH196" s="39" t="s">
        <v>742</v>
      </c>
      <c r="AI196" s="39" t="s">
        <v>743</v>
      </c>
      <c r="AJ196" s="39" t="s">
        <v>140</v>
      </c>
      <c r="AK196" s="39" t="s">
        <v>125</v>
      </c>
      <c r="AL196" s="39">
        <v>19300</v>
      </c>
      <c r="AM196" s="39"/>
      <c r="AN196" s="39" t="s">
        <v>125</v>
      </c>
      <c r="AO196" s="39" t="s">
        <v>142</v>
      </c>
      <c r="AP196" s="39" t="s">
        <v>143</v>
      </c>
      <c r="AQ196" s="39" t="s">
        <v>144</v>
      </c>
      <c r="AR196" s="39" t="s">
        <v>2297</v>
      </c>
      <c r="AS196" s="39" t="s">
        <v>2298</v>
      </c>
      <c r="AT196" s="39" t="s">
        <v>619</v>
      </c>
      <c r="AU196" s="39"/>
      <c r="AV196" s="39" t="s">
        <v>2299</v>
      </c>
      <c r="AW196" s="39"/>
      <c r="AX196" s="39"/>
      <c r="AY196" s="39"/>
      <c r="AZ196" s="39"/>
      <c r="BA196" s="39">
        <v>79952044</v>
      </c>
      <c r="BB196" s="39" t="s">
        <v>149</v>
      </c>
      <c r="BC196" s="39" t="s">
        <v>150</v>
      </c>
      <c r="BD196" s="39" t="s">
        <v>139</v>
      </c>
      <c r="BE196" s="39" t="s">
        <v>125</v>
      </c>
      <c r="BF196" s="39"/>
      <c r="BG196" s="39" t="s">
        <v>298</v>
      </c>
      <c r="BH196" s="39" t="s">
        <v>152</v>
      </c>
      <c r="BI196" s="39" t="s">
        <v>125</v>
      </c>
      <c r="BJ196" s="39"/>
      <c r="BK196" s="39" t="s">
        <v>153</v>
      </c>
      <c r="BL196" s="39"/>
      <c r="BM196" s="39" t="s">
        <v>154</v>
      </c>
      <c r="BN196" s="39" t="s">
        <v>212</v>
      </c>
    </row>
    <row r="197" spans="1:66" hidden="1">
      <c r="A197" s="39">
        <v>195</v>
      </c>
      <c r="B197" s="39" t="s">
        <v>118</v>
      </c>
      <c r="C197" s="39" t="s">
        <v>119</v>
      </c>
      <c r="D197" s="39" t="s">
        <v>2300</v>
      </c>
      <c r="E197" s="39" t="s">
        <v>2301</v>
      </c>
      <c r="F197" s="39" t="s">
        <v>279</v>
      </c>
      <c r="G197" s="39" t="s">
        <v>2302</v>
      </c>
      <c r="H197" s="39" t="s">
        <v>2303</v>
      </c>
      <c r="I197" s="39"/>
      <c r="J197" s="39" t="s">
        <v>187</v>
      </c>
      <c r="K197" s="39" t="s">
        <v>27</v>
      </c>
      <c r="L197" s="39" t="s">
        <v>999</v>
      </c>
      <c r="M197" s="39" t="s">
        <v>1000</v>
      </c>
      <c r="N197" s="39" t="s">
        <v>125</v>
      </c>
      <c r="O197" s="39"/>
      <c r="P197" s="39"/>
      <c r="Q197" s="39" t="s">
        <v>2300</v>
      </c>
      <c r="R197" s="39" t="s">
        <v>27</v>
      </c>
      <c r="S197" s="39" t="s">
        <v>2304</v>
      </c>
      <c r="T197" s="39" t="s">
        <v>130</v>
      </c>
      <c r="U197" s="39" t="s">
        <v>2305</v>
      </c>
      <c r="V197" s="39" t="s">
        <v>132</v>
      </c>
      <c r="W197" s="39" t="s">
        <v>194</v>
      </c>
      <c r="X197" s="39" t="s">
        <v>187</v>
      </c>
      <c r="Y197" s="39" t="s">
        <v>819</v>
      </c>
      <c r="Z197" s="39" t="s">
        <v>196</v>
      </c>
      <c r="AA197" s="39" t="s">
        <v>197</v>
      </c>
      <c r="AB197" s="39" t="s">
        <v>2300</v>
      </c>
      <c r="AC197" s="39">
        <v>5391493</v>
      </c>
      <c r="AD197" s="39" t="s">
        <v>27</v>
      </c>
      <c r="AE197" s="39" t="s">
        <v>2306</v>
      </c>
      <c r="AF197" s="39" t="s">
        <v>27</v>
      </c>
      <c r="AG197" s="39" t="s">
        <v>2306</v>
      </c>
      <c r="AH197" s="39" t="s">
        <v>271</v>
      </c>
      <c r="AI197" s="39" t="s">
        <v>173</v>
      </c>
      <c r="AJ197" s="39" t="s">
        <v>140</v>
      </c>
      <c r="AK197" s="39" t="s">
        <v>125</v>
      </c>
      <c r="AL197" s="39">
        <v>5180</v>
      </c>
      <c r="AM197" s="39"/>
      <c r="AN197" s="39" t="s">
        <v>125</v>
      </c>
      <c r="AO197" s="39" t="s">
        <v>142</v>
      </c>
      <c r="AP197" s="39" t="s">
        <v>143</v>
      </c>
      <c r="AQ197" s="39" t="s">
        <v>252</v>
      </c>
      <c r="AR197" s="39" t="s">
        <v>2307</v>
      </c>
      <c r="AS197" s="39" t="s">
        <v>2308</v>
      </c>
      <c r="AT197" s="39" t="s">
        <v>619</v>
      </c>
      <c r="AU197" s="39"/>
      <c r="AV197" s="39" t="s">
        <v>2309</v>
      </c>
      <c r="AW197" s="39"/>
      <c r="AX197" s="39"/>
      <c r="AY197" s="39"/>
      <c r="AZ197" s="39"/>
      <c r="BA197" s="39">
        <v>56616729</v>
      </c>
      <c r="BB197" s="39" t="s">
        <v>149</v>
      </c>
      <c r="BC197" s="39" t="s">
        <v>150</v>
      </c>
      <c r="BD197" s="39" t="s">
        <v>179</v>
      </c>
      <c r="BE197" s="39" t="s">
        <v>125</v>
      </c>
      <c r="BF197" s="39"/>
      <c r="BG197" s="39" t="s">
        <v>180</v>
      </c>
      <c r="BH197" s="39" t="s">
        <v>152</v>
      </c>
      <c r="BI197" s="39" t="s">
        <v>125</v>
      </c>
      <c r="BJ197" s="39"/>
      <c r="BK197" s="39" t="s">
        <v>153</v>
      </c>
      <c r="BL197" s="39"/>
      <c r="BM197" s="39"/>
      <c r="BN197" s="39" t="s">
        <v>333</v>
      </c>
    </row>
    <row r="198" spans="1:66" hidden="1">
      <c r="A198" s="39">
        <v>196</v>
      </c>
      <c r="B198" s="39" t="s">
        <v>118</v>
      </c>
      <c r="C198" s="39" t="s">
        <v>119</v>
      </c>
      <c r="D198" s="39" t="s">
        <v>2310</v>
      </c>
      <c r="E198" s="39" t="s">
        <v>2311</v>
      </c>
      <c r="F198" s="39" t="s">
        <v>1359</v>
      </c>
      <c r="G198" s="39" t="s">
        <v>2312</v>
      </c>
      <c r="H198" s="39" t="s">
        <v>2313</v>
      </c>
      <c r="I198" s="39" t="s">
        <v>125</v>
      </c>
      <c r="J198" s="39" t="s">
        <v>187</v>
      </c>
      <c r="K198" s="39" t="s">
        <v>21</v>
      </c>
      <c r="L198" s="39" t="s">
        <v>188</v>
      </c>
      <c r="M198" s="39" t="s">
        <v>395</v>
      </c>
      <c r="N198" s="39" t="s">
        <v>396</v>
      </c>
      <c r="O198" s="39"/>
      <c r="P198" s="39"/>
      <c r="Q198" s="39" t="s">
        <v>2310</v>
      </c>
      <c r="R198" s="39" t="s">
        <v>21</v>
      </c>
      <c r="S198" s="39" t="s">
        <v>2314</v>
      </c>
      <c r="T198" s="39" t="s">
        <v>130</v>
      </c>
      <c r="U198" s="39" t="s">
        <v>2315</v>
      </c>
      <c r="V198" s="39" t="s">
        <v>132</v>
      </c>
      <c r="W198" s="39" t="s">
        <v>194</v>
      </c>
      <c r="X198" s="39" t="s">
        <v>187</v>
      </c>
      <c r="Y198" s="39" t="s">
        <v>2272</v>
      </c>
      <c r="Z198" s="39" t="s">
        <v>196</v>
      </c>
      <c r="AA198" s="39" t="s">
        <v>197</v>
      </c>
      <c r="AB198" s="39" t="s">
        <v>2310</v>
      </c>
      <c r="AC198" s="39">
        <v>5391475</v>
      </c>
      <c r="AD198" s="39" t="s">
        <v>21</v>
      </c>
      <c r="AE198" s="39" t="s">
        <v>2316</v>
      </c>
      <c r="AF198" s="39" t="s">
        <v>21</v>
      </c>
      <c r="AG198" s="39" t="s">
        <v>2316</v>
      </c>
      <c r="AH198" s="39" t="s">
        <v>271</v>
      </c>
      <c r="AI198" s="39" t="s">
        <v>173</v>
      </c>
      <c r="AJ198" s="39" t="s">
        <v>140</v>
      </c>
      <c r="AK198" s="39" t="s">
        <v>125</v>
      </c>
      <c r="AL198" s="39">
        <v>5180</v>
      </c>
      <c r="AM198" s="39"/>
      <c r="AN198" s="39" t="s">
        <v>21</v>
      </c>
      <c r="AO198" s="39" t="s">
        <v>142</v>
      </c>
      <c r="AP198" s="39" t="s">
        <v>143</v>
      </c>
      <c r="AQ198" s="39" t="s">
        <v>252</v>
      </c>
      <c r="AR198" s="39" t="s">
        <v>2317</v>
      </c>
      <c r="AS198" s="39" t="s">
        <v>2318</v>
      </c>
      <c r="AT198" s="39" t="s">
        <v>619</v>
      </c>
      <c r="AU198" s="39"/>
      <c r="AV198" s="39" t="s">
        <v>2319</v>
      </c>
      <c r="AW198" s="39"/>
      <c r="AX198" s="39"/>
      <c r="AY198" s="39"/>
      <c r="AZ198" s="39"/>
      <c r="BA198" s="39">
        <v>80307329</v>
      </c>
      <c r="BB198" s="39" t="s">
        <v>149</v>
      </c>
      <c r="BC198" s="39" t="s">
        <v>150</v>
      </c>
      <c r="BD198" s="39" t="s">
        <v>179</v>
      </c>
      <c r="BE198" s="39" t="s">
        <v>125</v>
      </c>
      <c r="BF198" s="39"/>
      <c r="BG198" s="39" t="s">
        <v>180</v>
      </c>
      <c r="BH198" s="39" t="s">
        <v>152</v>
      </c>
      <c r="BI198" s="39" t="s">
        <v>125</v>
      </c>
      <c r="BJ198" s="39"/>
      <c r="BK198" s="39" t="s">
        <v>153</v>
      </c>
      <c r="BL198" s="39"/>
      <c r="BM198" s="39"/>
      <c r="BN198" s="39" t="s">
        <v>155</v>
      </c>
    </row>
    <row r="199" spans="1:66" hidden="1">
      <c r="A199" s="39">
        <v>197</v>
      </c>
      <c r="B199" s="39" t="s">
        <v>118</v>
      </c>
      <c r="C199" s="39" t="s">
        <v>119</v>
      </c>
      <c r="D199" s="39" t="s">
        <v>2320</v>
      </c>
      <c r="E199" s="39" t="s">
        <v>2321</v>
      </c>
      <c r="F199" s="39" t="s">
        <v>279</v>
      </c>
      <c r="G199" s="39" t="s">
        <v>2322</v>
      </c>
      <c r="H199" s="39" t="s">
        <v>2323</v>
      </c>
      <c r="I199" s="39"/>
      <c r="J199" s="39" t="s">
        <v>187</v>
      </c>
      <c r="K199" s="39" t="s">
        <v>16</v>
      </c>
      <c r="L199" s="39" t="s">
        <v>263</v>
      </c>
      <c r="M199" s="39" t="s">
        <v>694</v>
      </c>
      <c r="N199" s="39" t="s">
        <v>125</v>
      </c>
      <c r="O199" s="39"/>
      <c r="P199" s="39"/>
      <c r="Q199" s="39" t="s">
        <v>2320</v>
      </c>
      <c r="R199" s="39" t="s">
        <v>16</v>
      </c>
      <c r="S199" s="39" t="s">
        <v>2324</v>
      </c>
      <c r="T199" s="39" t="s">
        <v>130</v>
      </c>
      <c r="U199" s="39" t="s">
        <v>2325</v>
      </c>
      <c r="V199" s="39" t="s">
        <v>132</v>
      </c>
      <c r="W199" s="39" t="s">
        <v>399</v>
      </c>
      <c r="X199" s="39" t="s">
        <v>187</v>
      </c>
      <c r="Y199" s="39" t="s">
        <v>2326</v>
      </c>
      <c r="Z199" s="39" t="s">
        <v>196</v>
      </c>
      <c r="AA199" s="39" t="s">
        <v>197</v>
      </c>
      <c r="AB199" s="39" t="s">
        <v>2320</v>
      </c>
      <c r="AC199" s="39">
        <v>5391297</v>
      </c>
      <c r="AD199" s="39" t="s">
        <v>16</v>
      </c>
      <c r="AE199" s="39" t="s">
        <v>2327</v>
      </c>
      <c r="AF199" s="39" t="s">
        <v>16</v>
      </c>
      <c r="AG199" s="39" t="s">
        <v>2328</v>
      </c>
      <c r="AH199" s="39" t="s">
        <v>516</v>
      </c>
      <c r="AI199" s="39" t="s">
        <v>517</v>
      </c>
      <c r="AJ199" s="39" t="s">
        <v>140</v>
      </c>
      <c r="AK199" s="39" t="s">
        <v>125</v>
      </c>
      <c r="AL199" s="39">
        <v>15000</v>
      </c>
      <c r="AM199" s="39"/>
      <c r="AN199" s="39" t="s">
        <v>125</v>
      </c>
      <c r="AO199" s="39" t="s">
        <v>142</v>
      </c>
      <c r="AP199" s="39" t="s">
        <v>143</v>
      </c>
      <c r="AQ199" s="39" t="s">
        <v>252</v>
      </c>
      <c r="AR199" s="39" t="s">
        <v>2329</v>
      </c>
      <c r="AS199" s="39" t="s">
        <v>2330</v>
      </c>
      <c r="AT199" s="39" t="s">
        <v>619</v>
      </c>
      <c r="AU199" s="39"/>
      <c r="AV199" s="39" t="s">
        <v>2331</v>
      </c>
      <c r="AW199" s="39"/>
      <c r="AX199" s="39"/>
      <c r="AY199" s="39"/>
      <c r="AZ199" s="39"/>
      <c r="BA199" s="39">
        <v>80057481</v>
      </c>
      <c r="BB199" s="39" t="s">
        <v>149</v>
      </c>
      <c r="BC199" s="39" t="s">
        <v>150</v>
      </c>
      <c r="BD199" s="39" t="s">
        <v>2332</v>
      </c>
      <c r="BE199" s="39" t="s">
        <v>125</v>
      </c>
      <c r="BF199" s="39"/>
      <c r="BG199" s="39" t="s">
        <v>180</v>
      </c>
      <c r="BH199" s="39" t="s">
        <v>152</v>
      </c>
      <c r="BI199" s="39" t="s">
        <v>125</v>
      </c>
      <c r="BJ199" s="39"/>
      <c r="BK199" s="39" t="s">
        <v>153</v>
      </c>
      <c r="BL199" s="39"/>
      <c r="BM199" s="39"/>
      <c r="BN199" s="39" t="s">
        <v>333</v>
      </c>
    </row>
    <row r="200" spans="1:66" hidden="1">
      <c r="A200" s="39">
        <v>198</v>
      </c>
      <c r="B200" s="39" t="s">
        <v>118</v>
      </c>
      <c r="C200" s="39" t="s">
        <v>119</v>
      </c>
      <c r="D200" s="39" t="s">
        <v>2333</v>
      </c>
      <c r="E200" s="39" t="s">
        <v>2334</v>
      </c>
      <c r="F200" s="39" t="s">
        <v>208</v>
      </c>
      <c r="G200" s="39" t="s">
        <v>2335</v>
      </c>
      <c r="H200" s="39" t="s">
        <v>2336</v>
      </c>
      <c r="I200" s="39" t="s">
        <v>125</v>
      </c>
      <c r="J200" s="39" t="s">
        <v>355</v>
      </c>
      <c r="K200" s="39" t="s">
        <v>16</v>
      </c>
      <c r="L200" s="39" t="s">
        <v>211</v>
      </c>
      <c r="M200" s="39" t="s">
        <v>212</v>
      </c>
      <c r="N200" s="39" t="s">
        <v>125</v>
      </c>
      <c r="O200" s="39"/>
      <c r="P200" s="39"/>
      <c r="Q200" s="39" t="s">
        <v>2337</v>
      </c>
      <c r="R200" s="39" t="s">
        <v>16</v>
      </c>
      <c r="S200" s="39" t="s">
        <v>2338</v>
      </c>
      <c r="T200" s="39" t="s">
        <v>130</v>
      </c>
      <c r="U200" s="39" t="s">
        <v>2339</v>
      </c>
      <c r="V200" s="39" t="s">
        <v>132</v>
      </c>
      <c r="W200" s="39" t="s">
        <v>168</v>
      </c>
      <c r="X200" s="39" t="s">
        <v>126</v>
      </c>
      <c r="Y200" s="39" t="s">
        <v>2340</v>
      </c>
      <c r="Z200" s="39" t="s">
        <v>2341</v>
      </c>
      <c r="AA200" s="39" t="s">
        <v>2342</v>
      </c>
      <c r="AB200" s="39" t="s">
        <v>2337</v>
      </c>
      <c r="AC200" s="39">
        <v>5390773</v>
      </c>
      <c r="AD200" s="39" t="s">
        <v>16</v>
      </c>
      <c r="AE200" s="39" t="s">
        <v>2343</v>
      </c>
      <c r="AF200" s="39" t="s">
        <v>16</v>
      </c>
      <c r="AG200" s="39" t="s">
        <v>2343</v>
      </c>
      <c r="AH200" s="39" t="s">
        <v>990</v>
      </c>
      <c r="AI200" s="39" t="s">
        <v>991</v>
      </c>
      <c r="AJ200" s="39" t="s">
        <v>140</v>
      </c>
      <c r="AK200" s="39" t="s">
        <v>125</v>
      </c>
      <c r="AL200" s="39">
        <v>15000</v>
      </c>
      <c r="AM200" s="39"/>
      <c r="AN200" s="39" t="s">
        <v>125</v>
      </c>
      <c r="AO200" s="39" t="s">
        <v>142</v>
      </c>
      <c r="AP200" s="39" t="s">
        <v>143</v>
      </c>
      <c r="AQ200" s="39" t="s">
        <v>252</v>
      </c>
      <c r="AR200" s="39" t="s">
        <v>2344</v>
      </c>
      <c r="AS200" s="39" t="s">
        <v>2345</v>
      </c>
      <c r="AT200" s="39" t="s">
        <v>619</v>
      </c>
      <c r="AU200" s="39"/>
      <c r="AV200" s="39" t="s">
        <v>2346</v>
      </c>
      <c r="AW200" s="39"/>
      <c r="AX200" s="39"/>
      <c r="AY200" s="39"/>
      <c r="AZ200" s="39"/>
      <c r="BA200" s="39">
        <v>70078966</v>
      </c>
      <c r="BB200" s="39" t="s">
        <v>149</v>
      </c>
      <c r="BC200" s="39" t="s">
        <v>150</v>
      </c>
      <c r="BD200" s="39" t="s">
        <v>179</v>
      </c>
      <c r="BE200" s="39" t="s">
        <v>125</v>
      </c>
      <c r="BF200" s="39"/>
      <c r="BG200" s="39" t="s">
        <v>298</v>
      </c>
      <c r="BH200" s="39" t="s">
        <v>152</v>
      </c>
      <c r="BI200" s="39" t="s">
        <v>125</v>
      </c>
      <c r="BJ200" s="39"/>
      <c r="BK200" s="39" t="s">
        <v>153</v>
      </c>
      <c r="BL200" s="39"/>
      <c r="BM200" s="39" t="s">
        <v>205</v>
      </c>
      <c r="BN200" s="39" t="s">
        <v>181</v>
      </c>
    </row>
    <row r="201" spans="1:66" hidden="1">
      <c r="A201" s="39">
        <v>199</v>
      </c>
      <c r="B201" s="39" t="s">
        <v>118</v>
      </c>
      <c r="C201" s="39" t="s">
        <v>119</v>
      </c>
      <c r="D201" s="39" t="s">
        <v>371</v>
      </c>
      <c r="E201" s="39" t="s">
        <v>2347</v>
      </c>
      <c r="F201" s="39" t="s">
        <v>373</v>
      </c>
      <c r="G201" s="39" t="s">
        <v>2348</v>
      </c>
      <c r="H201" s="39" t="s">
        <v>2349</v>
      </c>
      <c r="I201" s="39" t="s">
        <v>376</v>
      </c>
      <c r="J201" s="39"/>
      <c r="K201" s="39" t="s">
        <v>525</v>
      </c>
      <c r="L201" s="39" t="s">
        <v>378</v>
      </c>
      <c r="M201" s="39" t="s">
        <v>379</v>
      </c>
      <c r="N201" s="39" t="s">
        <v>125</v>
      </c>
      <c r="O201" s="39" t="s">
        <v>525</v>
      </c>
      <c r="P201" s="39" t="s">
        <v>2350</v>
      </c>
      <c r="Q201" s="39" t="s">
        <v>2351</v>
      </c>
      <c r="R201" s="39" t="s">
        <v>16</v>
      </c>
      <c r="S201" s="39" t="s">
        <v>2352</v>
      </c>
      <c r="T201" s="39" t="s">
        <v>130</v>
      </c>
      <c r="U201" s="39" t="s">
        <v>2353</v>
      </c>
      <c r="V201" s="39" t="s">
        <v>132</v>
      </c>
      <c r="W201" s="39" t="s">
        <v>194</v>
      </c>
      <c r="X201" s="39" t="s">
        <v>187</v>
      </c>
      <c r="Y201" s="39" t="s">
        <v>2354</v>
      </c>
      <c r="Z201" s="39" t="s">
        <v>196</v>
      </c>
      <c r="AA201" s="39" t="s">
        <v>197</v>
      </c>
      <c r="AB201" s="39" t="s">
        <v>2351</v>
      </c>
      <c r="AC201" s="39">
        <v>5390410</v>
      </c>
      <c r="AD201" s="39" t="s">
        <v>16</v>
      </c>
      <c r="AE201" s="39" t="s">
        <v>2355</v>
      </c>
      <c r="AF201" s="39" t="s">
        <v>16</v>
      </c>
      <c r="AG201" s="39" t="s">
        <v>2355</v>
      </c>
      <c r="AH201" s="39" t="s">
        <v>271</v>
      </c>
      <c r="AI201" s="39" t="s">
        <v>173</v>
      </c>
      <c r="AJ201" s="39" t="s">
        <v>140</v>
      </c>
      <c r="AK201" s="39" t="s">
        <v>125</v>
      </c>
      <c r="AL201" s="39">
        <v>5680</v>
      </c>
      <c r="AM201" s="39"/>
      <c r="AN201" s="39" t="s">
        <v>125</v>
      </c>
      <c r="AO201" s="39" t="s">
        <v>142</v>
      </c>
      <c r="AP201" s="39" t="s">
        <v>143</v>
      </c>
      <c r="AQ201" s="39" t="s">
        <v>312</v>
      </c>
      <c r="AR201" s="39" t="s">
        <v>2356</v>
      </c>
      <c r="AS201" s="39" t="s">
        <v>2357</v>
      </c>
      <c r="AT201" s="39" t="s">
        <v>619</v>
      </c>
      <c r="AU201" s="39"/>
      <c r="AV201" s="39" t="s">
        <v>2358</v>
      </c>
      <c r="AW201" s="39"/>
      <c r="AX201" s="39"/>
      <c r="AY201" s="39"/>
      <c r="AZ201" s="39"/>
      <c r="BA201" s="39">
        <v>80229589</v>
      </c>
      <c r="BB201" s="39" t="s">
        <v>149</v>
      </c>
      <c r="BC201" s="39" t="s">
        <v>150</v>
      </c>
      <c r="BD201" s="39" t="s">
        <v>179</v>
      </c>
      <c r="BE201" s="39" t="s">
        <v>125</v>
      </c>
      <c r="BF201" s="39"/>
      <c r="BG201" s="39" t="s">
        <v>298</v>
      </c>
      <c r="BH201" s="39" t="s">
        <v>149</v>
      </c>
      <c r="BI201" s="39" t="s">
        <v>125</v>
      </c>
      <c r="BJ201" s="39"/>
      <c r="BK201" s="39" t="s">
        <v>153</v>
      </c>
      <c r="BL201" s="39"/>
      <c r="BM201" s="39"/>
      <c r="BN201" s="39" t="s">
        <v>390</v>
      </c>
    </row>
    <row r="202" spans="1:66" hidden="1">
      <c r="A202" s="39">
        <v>200</v>
      </c>
      <c r="B202" s="39" t="s">
        <v>118</v>
      </c>
      <c r="C202" s="39" t="s">
        <v>119</v>
      </c>
      <c r="D202" s="39" t="s">
        <v>2359</v>
      </c>
      <c r="E202" s="39" t="s">
        <v>2360</v>
      </c>
      <c r="F202" s="39" t="s">
        <v>279</v>
      </c>
      <c r="G202" s="39" t="s">
        <v>2361</v>
      </c>
      <c r="H202" s="39" t="s">
        <v>2362</v>
      </c>
      <c r="I202" s="39" t="s">
        <v>505</v>
      </c>
      <c r="J202" s="39" t="s">
        <v>506</v>
      </c>
      <c r="K202" s="39" t="s">
        <v>377</v>
      </c>
      <c r="L202" s="39" t="s">
        <v>162</v>
      </c>
      <c r="M202" s="39" t="s">
        <v>163</v>
      </c>
      <c r="N202" s="39" t="s">
        <v>125</v>
      </c>
      <c r="O202" s="39" t="s">
        <v>377</v>
      </c>
      <c r="P202" s="39" t="s">
        <v>2363</v>
      </c>
      <c r="Q202" s="39" t="s">
        <v>2364</v>
      </c>
      <c r="R202" s="39" t="s">
        <v>24</v>
      </c>
      <c r="S202" s="39" t="s">
        <v>2365</v>
      </c>
      <c r="T202" s="39" t="s">
        <v>130</v>
      </c>
      <c r="U202" s="39" t="s">
        <v>2366</v>
      </c>
      <c r="V202" s="39" t="s">
        <v>132</v>
      </c>
      <c r="W202" s="39" t="s">
        <v>133</v>
      </c>
      <c r="X202" s="39" t="s">
        <v>126</v>
      </c>
      <c r="Y202" s="39" t="s">
        <v>2367</v>
      </c>
      <c r="Z202" s="39" t="s">
        <v>425</v>
      </c>
      <c r="AA202" s="39" t="s">
        <v>1176</v>
      </c>
      <c r="AB202" s="39" t="s">
        <v>2364</v>
      </c>
      <c r="AC202" s="39">
        <v>5362208</v>
      </c>
      <c r="AD202" s="39" t="s">
        <v>24</v>
      </c>
      <c r="AE202" s="39" t="s">
        <v>2368</v>
      </c>
      <c r="AF202" s="39" t="s">
        <v>24</v>
      </c>
      <c r="AG202" s="39" t="s">
        <v>2368</v>
      </c>
      <c r="AH202" s="39" t="s">
        <v>1922</v>
      </c>
      <c r="AI202" s="39" t="s">
        <v>139</v>
      </c>
      <c r="AJ202" s="39" t="s">
        <v>140</v>
      </c>
      <c r="AK202" s="39" t="s">
        <v>125</v>
      </c>
      <c r="AL202" s="39">
        <v>5680</v>
      </c>
      <c r="AM202" s="39"/>
      <c r="AN202" s="39" t="s">
        <v>125</v>
      </c>
      <c r="AO202" s="39" t="s">
        <v>142</v>
      </c>
      <c r="AP202" s="39" t="s">
        <v>143</v>
      </c>
      <c r="AQ202" s="39" t="s">
        <v>144</v>
      </c>
      <c r="AR202" s="39" t="s">
        <v>2369</v>
      </c>
      <c r="AS202" s="39" t="s">
        <v>2370</v>
      </c>
      <c r="AT202" s="39" t="s">
        <v>619</v>
      </c>
      <c r="AU202" s="39"/>
      <c r="AV202" s="39" t="s">
        <v>2371</v>
      </c>
      <c r="AW202" s="39"/>
      <c r="AX202" s="39"/>
      <c r="AY202" s="39"/>
      <c r="AZ202" s="39"/>
      <c r="BA202" s="39">
        <v>79749462</v>
      </c>
      <c r="BB202" s="39" t="s">
        <v>149</v>
      </c>
      <c r="BC202" s="39" t="s">
        <v>150</v>
      </c>
      <c r="BD202" s="39" t="s">
        <v>139</v>
      </c>
      <c r="BE202" s="39" t="s">
        <v>125</v>
      </c>
      <c r="BF202" s="39"/>
      <c r="BG202" s="39" t="s">
        <v>298</v>
      </c>
      <c r="BH202" s="39" t="s">
        <v>152</v>
      </c>
      <c r="BI202" s="39" t="s">
        <v>125</v>
      </c>
      <c r="BJ202" s="39"/>
      <c r="BK202" s="39" t="s">
        <v>153</v>
      </c>
      <c r="BL202" s="39"/>
      <c r="BM202" s="39" t="s">
        <v>205</v>
      </c>
      <c r="BN202" s="39" t="s">
        <v>523</v>
      </c>
    </row>
    <row r="203" spans="1:66" hidden="1">
      <c r="A203" s="39">
        <v>201</v>
      </c>
      <c r="B203" s="39" t="s">
        <v>118</v>
      </c>
      <c r="C203" s="39" t="s">
        <v>119</v>
      </c>
      <c r="D203" s="39" t="s">
        <v>506</v>
      </c>
      <c r="E203" s="39" t="s">
        <v>2372</v>
      </c>
      <c r="F203" s="39" t="s">
        <v>336</v>
      </c>
      <c r="G203" s="39" t="s">
        <v>2373</v>
      </c>
      <c r="H203" s="39" t="s">
        <v>2374</v>
      </c>
      <c r="I203" s="39" t="s">
        <v>125</v>
      </c>
      <c r="J203" s="39" t="s">
        <v>418</v>
      </c>
      <c r="K203" s="39" t="s">
        <v>16</v>
      </c>
      <c r="L203" s="39" t="s">
        <v>127</v>
      </c>
      <c r="M203" s="39" t="s">
        <v>127</v>
      </c>
      <c r="N203" s="39" t="s">
        <v>125</v>
      </c>
      <c r="O203" s="39"/>
      <c r="P203" s="39"/>
      <c r="Q203" s="39" t="s">
        <v>2375</v>
      </c>
      <c r="R203" s="39" t="s">
        <v>16</v>
      </c>
      <c r="S203" s="39" t="s">
        <v>2376</v>
      </c>
      <c r="T203" s="39" t="s">
        <v>359</v>
      </c>
      <c r="U203" s="39" t="s">
        <v>2377</v>
      </c>
      <c r="V203" s="39" t="s">
        <v>132</v>
      </c>
      <c r="W203" s="39" t="s">
        <v>133</v>
      </c>
      <c r="X203" s="39" t="s">
        <v>355</v>
      </c>
      <c r="Y203" s="39" t="s">
        <v>2378</v>
      </c>
      <c r="Z203" s="39" t="s">
        <v>2379</v>
      </c>
      <c r="AA203" s="39" t="s">
        <v>2380</v>
      </c>
      <c r="AB203" s="39" t="s">
        <v>2375</v>
      </c>
      <c r="AC203" s="39">
        <v>5362107</v>
      </c>
      <c r="AD203" s="39" t="s">
        <v>16</v>
      </c>
      <c r="AE203" s="39" t="s">
        <v>2381</v>
      </c>
      <c r="AF203" s="39" t="s">
        <v>16</v>
      </c>
      <c r="AG203" s="39" t="s">
        <v>2381</v>
      </c>
      <c r="AH203" s="39" t="s">
        <v>2382</v>
      </c>
      <c r="AI203" s="39" t="s">
        <v>743</v>
      </c>
      <c r="AJ203" s="39" t="s">
        <v>140</v>
      </c>
      <c r="AK203" s="39" t="s">
        <v>125</v>
      </c>
      <c r="AL203" s="39">
        <v>19300</v>
      </c>
      <c r="AM203" s="39" t="s">
        <v>429</v>
      </c>
      <c r="AN203" s="39" t="s">
        <v>125</v>
      </c>
      <c r="AO203" s="39" t="s">
        <v>367</v>
      </c>
      <c r="AP203" s="39" t="s">
        <v>143</v>
      </c>
      <c r="AQ203" s="39" t="s">
        <v>252</v>
      </c>
      <c r="AR203" s="39" t="s">
        <v>2383</v>
      </c>
      <c r="AS203" s="39" t="s">
        <v>2384</v>
      </c>
      <c r="AT203" s="39" t="s">
        <v>619</v>
      </c>
      <c r="AU203" s="39"/>
      <c r="AV203" s="39" t="s">
        <v>2385</v>
      </c>
      <c r="AW203" s="39"/>
      <c r="AX203" s="39"/>
      <c r="AY203" s="39"/>
      <c r="AZ203" s="39"/>
      <c r="BA203" s="39">
        <v>50141762</v>
      </c>
      <c r="BB203" s="39" t="s">
        <v>149</v>
      </c>
      <c r="BC203" s="39" t="s">
        <v>150</v>
      </c>
      <c r="BD203" s="39" t="s">
        <v>139</v>
      </c>
      <c r="BE203" s="39" t="s">
        <v>125</v>
      </c>
      <c r="BF203" s="39"/>
      <c r="BG203" s="39" t="s">
        <v>298</v>
      </c>
      <c r="BH203" s="39" t="s">
        <v>152</v>
      </c>
      <c r="BI203" s="39" t="s">
        <v>125</v>
      </c>
      <c r="BJ203" s="39"/>
      <c r="BK203" s="39" t="s">
        <v>153</v>
      </c>
      <c r="BL203" s="39"/>
      <c r="BM203" s="39" t="s">
        <v>205</v>
      </c>
      <c r="BN203" s="39" t="s">
        <v>155</v>
      </c>
    </row>
    <row r="204" spans="1:66" hidden="1">
      <c r="A204" s="39">
        <v>202</v>
      </c>
      <c r="B204" s="39" t="s">
        <v>118</v>
      </c>
      <c r="C204" s="39" t="s">
        <v>119</v>
      </c>
      <c r="D204" s="39" t="s">
        <v>2386</v>
      </c>
      <c r="E204" s="39" t="s">
        <v>2387</v>
      </c>
      <c r="F204" s="39" t="s">
        <v>158</v>
      </c>
      <c r="G204" s="39" t="s">
        <v>2388</v>
      </c>
      <c r="H204" s="39" t="s">
        <v>2389</v>
      </c>
      <c r="I204" s="39" t="s">
        <v>125</v>
      </c>
      <c r="J204" s="39" t="s">
        <v>187</v>
      </c>
      <c r="K204" s="39" t="s">
        <v>23</v>
      </c>
      <c r="L204" s="39" t="s">
        <v>162</v>
      </c>
      <c r="M204" s="39" t="s">
        <v>720</v>
      </c>
      <c r="N204" s="39" t="s">
        <v>125</v>
      </c>
      <c r="O204" s="39"/>
      <c r="P204" s="39"/>
      <c r="Q204" s="39" t="s">
        <v>2390</v>
      </c>
      <c r="R204" s="39" t="s">
        <v>23</v>
      </c>
      <c r="S204" s="39" t="s">
        <v>2391</v>
      </c>
      <c r="T204" s="39" t="s">
        <v>130</v>
      </c>
      <c r="U204" s="39" t="s">
        <v>2392</v>
      </c>
      <c r="V204" s="39" t="s">
        <v>132</v>
      </c>
      <c r="W204" s="39" t="s">
        <v>168</v>
      </c>
      <c r="X204" s="39" t="s">
        <v>187</v>
      </c>
      <c r="Y204" s="39" t="s">
        <v>2393</v>
      </c>
      <c r="Z204" s="39" t="s">
        <v>196</v>
      </c>
      <c r="AA204" s="39" t="s">
        <v>197</v>
      </c>
      <c r="AB204" s="39" t="s">
        <v>2390</v>
      </c>
      <c r="AC204" s="39">
        <v>5361827</v>
      </c>
      <c r="AD204" s="39" t="s">
        <v>23</v>
      </c>
      <c r="AE204" s="39" t="s">
        <v>2394</v>
      </c>
      <c r="AF204" s="39" t="s">
        <v>23</v>
      </c>
      <c r="AG204" s="39" t="s">
        <v>2395</v>
      </c>
      <c r="AH204" s="39" t="s">
        <v>990</v>
      </c>
      <c r="AI204" s="39" t="s">
        <v>991</v>
      </c>
      <c r="AJ204" s="39" t="s">
        <v>140</v>
      </c>
      <c r="AK204" s="39" t="s">
        <v>125</v>
      </c>
      <c r="AL204" s="39">
        <v>15000</v>
      </c>
      <c r="AM204" s="39"/>
      <c r="AN204" s="39" t="s">
        <v>125</v>
      </c>
      <c r="AO204" s="39" t="s">
        <v>142</v>
      </c>
      <c r="AP204" s="39" t="s">
        <v>143</v>
      </c>
      <c r="AQ204" s="39" t="s">
        <v>144</v>
      </c>
      <c r="AR204" s="39" t="s">
        <v>2396</v>
      </c>
      <c r="AS204" s="39" t="s">
        <v>2397</v>
      </c>
      <c r="AT204" s="39" t="s">
        <v>619</v>
      </c>
      <c r="AU204" s="39"/>
      <c r="AV204" s="39" t="s">
        <v>2398</v>
      </c>
      <c r="AW204" s="39"/>
      <c r="AX204" s="39"/>
      <c r="AY204" s="39"/>
      <c r="AZ204" s="39"/>
      <c r="BA204" s="39">
        <v>74725614</v>
      </c>
      <c r="BB204" s="39" t="s">
        <v>149</v>
      </c>
      <c r="BC204" s="39" t="s">
        <v>150</v>
      </c>
      <c r="BD204" s="39" t="s">
        <v>2399</v>
      </c>
      <c r="BE204" s="39" t="s">
        <v>125</v>
      </c>
      <c r="BF204" s="39"/>
      <c r="BG204" s="39" t="s">
        <v>180</v>
      </c>
      <c r="BH204" s="39" t="s">
        <v>152</v>
      </c>
      <c r="BI204" s="39" t="s">
        <v>125</v>
      </c>
      <c r="BJ204" s="39"/>
      <c r="BK204" s="39" t="s">
        <v>153</v>
      </c>
      <c r="BL204" s="39"/>
      <c r="BM204" s="39"/>
      <c r="BN204" s="39" t="s">
        <v>181</v>
      </c>
    </row>
    <row r="205" spans="1:66" hidden="1">
      <c r="A205" s="39">
        <v>203</v>
      </c>
      <c r="B205" s="39" t="s">
        <v>118</v>
      </c>
      <c r="C205" s="39" t="s">
        <v>119</v>
      </c>
      <c r="D205" s="39" t="s">
        <v>2400</v>
      </c>
      <c r="E205" s="39" t="s">
        <v>2401</v>
      </c>
      <c r="F205" s="39" t="s">
        <v>184</v>
      </c>
      <c r="G205" s="39" t="s">
        <v>2402</v>
      </c>
      <c r="H205" s="39" t="s">
        <v>2403</v>
      </c>
      <c r="I205" s="39" t="s">
        <v>125</v>
      </c>
      <c r="J205" s="39" t="s">
        <v>355</v>
      </c>
      <c r="K205" s="39" t="s">
        <v>22</v>
      </c>
      <c r="L205" s="39" t="s">
        <v>188</v>
      </c>
      <c r="M205" s="39" t="s">
        <v>189</v>
      </c>
      <c r="N205" s="39" t="s">
        <v>2404</v>
      </c>
      <c r="O205" s="39"/>
      <c r="P205" s="39"/>
      <c r="Q205" s="39" t="s">
        <v>2400</v>
      </c>
      <c r="R205" s="39" t="s">
        <v>22</v>
      </c>
      <c r="S205" s="39" t="s">
        <v>2405</v>
      </c>
      <c r="T205" s="39" t="s">
        <v>130</v>
      </c>
      <c r="U205" s="39" t="s">
        <v>2406</v>
      </c>
      <c r="V205" s="39" t="s">
        <v>132</v>
      </c>
      <c r="W205" s="39" t="s">
        <v>168</v>
      </c>
      <c r="X205" s="39" t="s">
        <v>355</v>
      </c>
      <c r="Y205" s="39" t="s">
        <v>1756</v>
      </c>
      <c r="Z205" s="39" t="s">
        <v>2232</v>
      </c>
      <c r="AA205" s="39" t="s">
        <v>2004</v>
      </c>
      <c r="AB205" s="39" t="s">
        <v>2400</v>
      </c>
      <c r="AC205" s="39">
        <v>5401412</v>
      </c>
      <c r="AD205" s="39" t="s">
        <v>22</v>
      </c>
      <c r="AE205" s="39" t="s">
        <v>2407</v>
      </c>
      <c r="AF205" s="39" t="s">
        <v>22</v>
      </c>
      <c r="AG205" s="39" t="s">
        <v>2408</v>
      </c>
      <c r="AH205" s="39" t="s">
        <v>1890</v>
      </c>
      <c r="AI205" s="39" t="s">
        <v>179</v>
      </c>
      <c r="AJ205" s="39" t="s">
        <v>140</v>
      </c>
      <c r="AK205" s="39" t="s">
        <v>125</v>
      </c>
      <c r="AL205" s="39">
        <v>5680</v>
      </c>
      <c r="AM205" s="39"/>
      <c r="AN205" s="39" t="s">
        <v>2404</v>
      </c>
      <c r="AO205" s="39" t="s">
        <v>142</v>
      </c>
      <c r="AP205" s="39" t="s">
        <v>143</v>
      </c>
      <c r="AQ205" s="39" t="s">
        <v>293</v>
      </c>
      <c r="AR205" s="39" t="s">
        <v>2409</v>
      </c>
      <c r="AS205" s="39" t="s">
        <v>2410</v>
      </c>
      <c r="AT205" s="39" t="s">
        <v>388</v>
      </c>
      <c r="AU205" s="39"/>
      <c r="AV205" s="39" t="s">
        <v>2411</v>
      </c>
      <c r="AW205" s="39"/>
      <c r="AX205" s="39"/>
      <c r="AY205" s="39"/>
      <c r="AZ205" s="39"/>
      <c r="BA205" s="39">
        <v>79516106</v>
      </c>
      <c r="BB205" s="39" t="s">
        <v>149</v>
      </c>
      <c r="BC205" s="39" t="s">
        <v>150</v>
      </c>
      <c r="BD205" s="39" t="s">
        <v>179</v>
      </c>
      <c r="BE205" s="39" t="s">
        <v>125</v>
      </c>
      <c r="BF205" s="39"/>
      <c r="BG205" s="39" t="s">
        <v>298</v>
      </c>
      <c r="BH205" s="39" t="s">
        <v>152</v>
      </c>
      <c r="BI205" s="39" t="s">
        <v>125</v>
      </c>
      <c r="BJ205" s="39"/>
      <c r="BK205" s="39" t="s">
        <v>153</v>
      </c>
      <c r="BL205" s="39"/>
      <c r="BM205" s="39" t="s">
        <v>154</v>
      </c>
      <c r="BN205" s="39" t="s">
        <v>155</v>
      </c>
    </row>
    <row r="206" spans="1:66" hidden="1">
      <c r="A206" s="39">
        <v>204</v>
      </c>
      <c r="B206" s="39" t="s">
        <v>118</v>
      </c>
      <c r="C206" s="39" t="s">
        <v>119</v>
      </c>
      <c r="D206" s="39" t="s">
        <v>2412</v>
      </c>
      <c r="E206" s="39" t="s">
        <v>2413</v>
      </c>
      <c r="F206" s="39" t="s">
        <v>2414</v>
      </c>
      <c r="G206" s="39" t="s">
        <v>2415</v>
      </c>
      <c r="H206" s="39" t="s">
        <v>2416</v>
      </c>
      <c r="I206" s="39" t="s">
        <v>125</v>
      </c>
      <c r="J206" s="39" t="s">
        <v>418</v>
      </c>
      <c r="K206" s="39" t="s">
        <v>262</v>
      </c>
      <c r="L206" s="39" t="s">
        <v>162</v>
      </c>
      <c r="M206" s="39" t="s">
        <v>1348</v>
      </c>
      <c r="N206" s="39" t="s">
        <v>125</v>
      </c>
      <c r="O206" s="39" t="s">
        <v>262</v>
      </c>
      <c r="P206" s="39" t="s">
        <v>2417</v>
      </c>
      <c r="Q206" s="39" t="s">
        <v>2418</v>
      </c>
      <c r="R206" s="39" t="s">
        <v>22</v>
      </c>
      <c r="S206" s="39" t="s">
        <v>2419</v>
      </c>
      <c r="T206" s="39" t="s">
        <v>130</v>
      </c>
      <c r="U206" s="39" t="s">
        <v>2420</v>
      </c>
      <c r="V206" s="39" t="s">
        <v>132</v>
      </c>
      <c r="W206" s="39" t="s">
        <v>133</v>
      </c>
      <c r="X206" s="39" t="s">
        <v>418</v>
      </c>
      <c r="Y206" s="39" t="s">
        <v>876</v>
      </c>
      <c r="Z206" s="39" t="s">
        <v>2421</v>
      </c>
      <c r="AA206" s="39" t="s">
        <v>2422</v>
      </c>
      <c r="AB206" s="39" t="s">
        <v>2418</v>
      </c>
      <c r="AC206" s="39">
        <v>5390242</v>
      </c>
      <c r="AD206" s="39" t="s">
        <v>22</v>
      </c>
      <c r="AE206" s="39" t="s">
        <v>2423</v>
      </c>
      <c r="AF206" s="39" t="s">
        <v>22</v>
      </c>
      <c r="AG206" s="39" t="s">
        <v>2423</v>
      </c>
      <c r="AH206" s="39" t="s">
        <v>138</v>
      </c>
      <c r="AI206" s="39" t="s">
        <v>139</v>
      </c>
      <c r="AJ206" s="39" t="s">
        <v>140</v>
      </c>
      <c r="AK206" s="39" t="s">
        <v>125</v>
      </c>
      <c r="AL206" s="39">
        <v>5180</v>
      </c>
      <c r="AM206" s="39"/>
      <c r="AN206" s="39" t="s">
        <v>125</v>
      </c>
      <c r="AO206" s="39" t="s">
        <v>142</v>
      </c>
      <c r="AP206" s="39" t="s">
        <v>143</v>
      </c>
      <c r="AQ206" s="39" t="s">
        <v>144</v>
      </c>
      <c r="AR206" s="39" t="s">
        <v>2424</v>
      </c>
      <c r="AS206" s="39" t="s">
        <v>2425</v>
      </c>
      <c r="AT206" s="39" t="s">
        <v>388</v>
      </c>
      <c r="AU206" s="39"/>
      <c r="AV206" s="39" t="s">
        <v>2426</v>
      </c>
      <c r="AW206" s="39"/>
      <c r="AX206" s="39"/>
      <c r="AY206" s="39"/>
      <c r="AZ206" s="39"/>
      <c r="BA206" s="39">
        <v>70503176</v>
      </c>
      <c r="BB206" s="39" t="s">
        <v>149</v>
      </c>
      <c r="BC206" s="39" t="s">
        <v>150</v>
      </c>
      <c r="BD206" s="39" t="s">
        <v>139</v>
      </c>
      <c r="BE206" s="39" t="s">
        <v>125</v>
      </c>
      <c r="BF206" s="39"/>
      <c r="BG206" s="39" t="s">
        <v>637</v>
      </c>
      <c r="BH206" s="39" t="s">
        <v>152</v>
      </c>
      <c r="BI206" s="39" t="s">
        <v>125</v>
      </c>
      <c r="BJ206" s="39"/>
      <c r="BK206" s="39" t="s">
        <v>153</v>
      </c>
      <c r="BL206" s="39"/>
      <c r="BM206" s="39" t="s">
        <v>205</v>
      </c>
      <c r="BN206" s="39" t="s">
        <v>181</v>
      </c>
    </row>
    <row r="207" spans="1:66" hidden="1">
      <c r="A207" s="39">
        <v>205</v>
      </c>
      <c r="B207" s="39" t="s">
        <v>118</v>
      </c>
      <c r="C207" s="39" t="s">
        <v>119</v>
      </c>
      <c r="D207" s="39" t="s">
        <v>120</v>
      </c>
      <c r="E207" s="39" t="s">
        <v>2427</v>
      </c>
      <c r="F207" s="39" t="s">
        <v>1142</v>
      </c>
      <c r="G207" s="39" t="s">
        <v>2428</v>
      </c>
      <c r="H207" s="39" t="s">
        <v>125</v>
      </c>
      <c r="I207" s="39" t="s">
        <v>125</v>
      </c>
      <c r="J207" s="39" t="s">
        <v>187</v>
      </c>
      <c r="K207" s="39" t="s">
        <v>16</v>
      </c>
      <c r="L207" s="39" t="s">
        <v>188</v>
      </c>
      <c r="M207" s="39" t="s">
        <v>189</v>
      </c>
      <c r="N207" s="39" t="s">
        <v>2429</v>
      </c>
      <c r="O207" s="39"/>
      <c r="P207" s="39"/>
      <c r="Q207" s="39" t="s">
        <v>2430</v>
      </c>
      <c r="R207" s="39" t="s">
        <v>16</v>
      </c>
      <c r="S207" s="39" t="s">
        <v>2431</v>
      </c>
      <c r="T207" s="39" t="s">
        <v>130</v>
      </c>
      <c r="U207" s="39" t="s">
        <v>2432</v>
      </c>
      <c r="V207" s="39" t="s">
        <v>132</v>
      </c>
      <c r="W207" s="39" t="s">
        <v>194</v>
      </c>
      <c r="X207" s="39" t="s">
        <v>187</v>
      </c>
      <c r="Y207" s="39" t="s">
        <v>2433</v>
      </c>
      <c r="Z207" s="39" t="s">
        <v>196</v>
      </c>
      <c r="AA207" s="39" t="s">
        <v>197</v>
      </c>
      <c r="AB207" s="39" t="s">
        <v>2430</v>
      </c>
      <c r="AC207" s="39">
        <v>5389932</v>
      </c>
      <c r="AD207" s="39" t="s">
        <v>21</v>
      </c>
      <c r="AE207" s="39" t="s">
        <v>2434</v>
      </c>
      <c r="AF207" s="39" t="s">
        <v>16</v>
      </c>
      <c r="AG207" s="39" t="s">
        <v>2435</v>
      </c>
      <c r="AH207" s="39"/>
      <c r="AI207" s="39"/>
      <c r="AJ207" s="39" t="s">
        <v>140</v>
      </c>
      <c r="AK207" s="39" t="s">
        <v>125</v>
      </c>
      <c r="AL207" s="39">
        <v>9650</v>
      </c>
      <c r="AM207" s="39"/>
      <c r="AN207" s="39" t="s">
        <v>2429</v>
      </c>
      <c r="AO207" s="39" t="s">
        <v>699</v>
      </c>
      <c r="AP207" s="39" t="s">
        <v>143</v>
      </c>
      <c r="AQ207" s="39"/>
      <c r="AR207" s="39" t="s">
        <v>2436</v>
      </c>
      <c r="AS207" s="39"/>
      <c r="AT207" s="39"/>
      <c r="AU207" s="39"/>
      <c r="AV207" s="39" t="s">
        <v>2437</v>
      </c>
      <c r="AW207" s="39"/>
      <c r="AX207" s="39"/>
      <c r="AY207" s="39"/>
      <c r="AZ207" s="39"/>
      <c r="BA207" s="39">
        <v>74598069</v>
      </c>
      <c r="BB207" s="39" t="s">
        <v>149</v>
      </c>
      <c r="BC207" s="39" t="s">
        <v>150</v>
      </c>
      <c r="BD207" s="39" t="s">
        <v>179</v>
      </c>
      <c r="BE207" s="39" t="s">
        <v>125</v>
      </c>
      <c r="BF207" s="39"/>
      <c r="BG207" s="39" t="s">
        <v>180</v>
      </c>
      <c r="BH207" s="39" t="s">
        <v>149</v>
      </c>
      <c r="BI207" s="39" t="s">
        <v>125</v>
      </c>
      <c r="BJ207" s="39"/>
      <c r="BK207" s="39"/>
      <c r="BL207" s="39"/>
      <c r="BM207" s="39" t="s">
        <v>154</v>
      </c>
      <c r="BN207" s="39" t="s">
        <v>155</v>
      </c>
    </row>
    <row r="208" spans="1:66" hidden="1">
      <c r="A208" s="39">
        <v>206</v>
      </c>
      <c r="B208" s="39" t="s">
        <v>118</v>
      </c>
      <c r="C208" s="39" t="s">
        <v>119</v>
      </c>
      <c r="D208" s="39" t="s">
        <v>120</v>
      </c>
      <c r="E208" s="39" t="s">
        <v>2427</v>
      </c>
      <c r="F208" s="39" t="s">
        <v>1142</v>
      </c>
      <c r="G208" s="39" t="s">
        <v>2428</v>
      </c>
      <c r="H208" s="39" t="s">
        <v>125</v>
      </c>
      <c r="I208" s="39" t="s">
        <v>125</v>
      </c>
      <c r="J208" s="39" t="s">
        <v>187</v>
      </c>
      <c r="K208" s="39" t="s">
        <v>16</v>
      </c>
      <c r="L208" s="39" t="s">
        <v>188</v>
      </c>
      <c r="M208" s="39" t="s">
        <v>189</v>
      </c>
      <c r="N208" s="39" t="s">
        <v>2429</v>
      </c>
      <c r="O208" s="39"/>
      <c r="P208" s="39"/>
      <c r="Q208" s="39" t="s">
        <v>2430</v>
      </c>
      <c r="R208" s="39" t="s">
        <v>16</v>
      </c>
      <c r="S208" s="39" t="s">
        <v>2431</v>
      </c>
      <c r="T208" s="39" t="s">
        <v>130</v>
      </c>
      <c r="U208" s="39" t="s">
        <v>2432</v>
      </c>
      <c r="V208" s="39" t="s">
        <v>132</v>
      </c>
      <c r="W208" s="39" t="s">
        <v>194</v>
      </c>
      <c r="X208" s="39" t="s">
        <v>187</v>
      </c>
      <c r="Y208" s="39" t="s">
        <v>2433</v>
      </c>
      <c r="Z208" s="39" t="s">
        <v>196</v>
      </c>
      <c r="AA208" s="39" t="s">
        <v>197</v>
      </c>
      <c r="AB208" s="39" t="s">
        <v>2430</v>
      </c>
      <c r="AC208" s="39">
        <v>5389929</v>
      </c>
      <c r="AD208" s="39" t="s">
        <v>16</v>
      </c>
      <c r="AE208" s="39" t="s">
        <v>2434</v>
      </c>
      <c r="AF208" s="39" t="s">
        <v>16</v>
      </c>
      <c r="AG208" s="39" t="s">
        <v>2435</v>
      </c>
      <c r="AH208" s="39" t="s">
        <v>1274</v>
      </c>
      <c r="AI208" s="39" t="s">
        <v>218</v>
      </c>
      <c r="AJ208" s="39" t="s">
        <v>140</v>
      </c>
      <c r="AK208" s="39" t="s">
        <v>125</v>
      </c>
      <c r="AL208" s="39">
        <v>9650</v>
      </c>
      <c r="AM208" s="39"/>
      <c r="AN208" s="39" t="s">
        <v>2429</v>
      </c>
      <c r="AO208" s="39" t="s">
        <v>142</v>
      </c>
      <c r="AP208" s="39" t="s">
        <v>143</v>
      </c>
      <c r="AQ208" s="39" t="s">
        <v>293</v>
      </c>
      <c r="AR208" s="39" t="s">
        <v>2436</v>
      </c>
      <c r="AS208" s="39" t="s">
        <v>2438</v>
      </c>
      <c r="AT208" s="39" t="s">
        <v>388</v>
      </c>
      <c r="AU208" s="39"/>
      <c r="AV208" s="39" t="s">
        <v>2437</v>
      </c>
      <c r="AW208" s="39"/>
      <c r="AX208" s="39"/>
      <c r="AY208" s="39"/>
      <c r="AZ208" s="39"/>
      <c r="BA208" s="39">
        <v>74598069</v>
      </c>
      <c r="BB208" s="39" t="s">
        <v>149</v>
      </c>
      <c r="BC208" s="39" t="s">
        <v>150</v>
      </c>
      <c r="BD208" s="39" t="s">
        <v>179</v>
      </c>
      <c r="BE208" s="39" t="s">
        <v>125</v>
      </c>
      <c r="BF208" s="39"/>
      <c r="BG208" s="39" t="s">
        <v>180</v>
      </c>
      <c r="BH208" s="39" t="s">
        <v>152</v>
      </c>
      <c r="BI208" s="39" t="s">
        <v>125</v>
      </c>
      <c r="BJ208" s="39"/>
      <c r="BK208" s="39" t="s">
        <v>153</v>
      </c>
      <c r="BL208" s="39"/>
      <c r="BM208" s="39" t="s">
        <v>154</v>
      </c>
      <c r="BN208" s="39" t="s">
        <v>155</v>
      </c>
    </row>
    <row r="209" spans="1:66" hidden="1">
      <c r="A209" s="39">
        <v>207</v>
      </c>
      <c r="B209" s="39" t="s">
        <v>118</v>
      </c>
      <c r="C209" s="39" t="s">
        <v>119</v>
      </c>
      <c r="D209" s="39" t="s">
        <v>506</v>
      </c>
      <c r="E209" s="39" t="s">
        <v>2439</v>
      </c>
      <c r="F209" s="39" t="s">
        <v>749</v>
      </c>
      <c r="G209" s="39" t="s">
        <v>2440</v>
      </c>
      <c r="H209" s="39" t="s">
        <v>1589</v>
      </c>
      <c r="I209" s="39" t="s">
        <v>125</v>
      </c>
      <c r="J209" s="39" t="s">
        <v>355</v>
      </c>
      <c r="K209" s="39" t="s">
        <v>23</v>
      </c>
      <c r="L209" s="39" t="s">
        <v>211</v>
      </c>
      <c r="M209" s="39" t="s">
        <v>212</v>
      </c>
      <c r="N209" s="39" t="s">
        <v>125</v>
      </c>
      <c r="O209" s="39"/>
      <c r="P209" s="39"/>
      <c r="Q209" s="39" t="s">
        <v>2441</v>
      </c>
      <c r="R209" s="39" t="s">
        <v>23</v>
      </c>
      <c r="S209" s="39" t="s">
        <v>2442</v>
      </c>
      <c r="T209" s="39" t="s">
        <v>130</v>
      </c>
      <c r="U209" s="39" t="s">
        <v>2443</v>
      </c>
      <c r="V209" s="39" t="s">
        <v>132</v>
      </c>
      <c r="W209" s="39" t="s">
        <v>168</v>
      </c>
      <c r="X209" s="39" t="s">
        <v>126</v>
      </c>
      <c r="Y209" s="39" t="s">
        <v>2444</v>
      </c>
      <c r="Z209" s="39" t="s">
        <v>2218</v>
      </c>
      <c r="AA209" s="39" t="s">
        <v>2445</v>
      </c>
      <c r="AB209" s="39" t="s">
        <v>2441</v>
      </c>
      <c r="AC209" s="39">
        <v>5389813</v>
      </c>
      <c r="AD209" s="39" t="s">
        <v>23</v>
      </c>
      <c r="AE209" s="39" t="s">
        <v>2446</v>
      </c>
      <c r="AF209" s="39" t="s">
        <v>23</v>
      </c>
      <c r="AG209" s="39" t="s">
        <v>2447</v>
      </c>
      <c r="AH209" s="39" t="s">
        <v>1890</v>
      </c>
      <c r="AI209" s="39" t="s">
        <v>179</v>
      </c>
      <c r="AJ209" s="39" t="s">
        <v>140</v>
      </c>
      <c r="AK209" s="39" t="s">
        <v>125</v>
      </c>
      <c r="AL209" s="39">
        <v>5680</v>
      </c>
      <c r="AM209" s="39"/>
      <c r="AN209" s="39" t="s">
        <v>125</v>
      </c>
      <c r="AO209" s="39" t="s">
        <v>142</v>
      </c>
      <c r="AP209" s="39" t="s">
        <v>143</v>
      </c>
      <c r="AQ209" s="39" t="s">
        <v>144</v>
      </c>
      <c r="AR209" s="39" t="s">
        <v>2448</v>
      </c>
      <c r="AS209" s="39" t="s">
        <v>2449</v>
      </c>
      <c r="AT209" s="39" t="s">
        <v>388</v>
      </c>
      <c r="AU209" s="39"/>
      <c r="AV209" s="39" t="s">
        <v>2450</v>
      </c>
      <c r="AW209" s="39"/>
      <c r="AX209" s="39"/>
      <c r="AY209" s="39"/>
      <c r="AZ209" s="39"/>
      <c r="BA209" s="39">
        <v>74552679</v>
      </c>
      <c r="BB209" s="39" t="s">
        <v>149</v>
      </c>
      <c r="BC209" s="39" t="s">
        <v>150</v>
      </c>
      <c r="BD209" s="39" t="s">
        <v>179</v>
      </c>
      <c r="BE209" s="39" t="s">
        <v>125</v>
      </c>
      <c r="BF209" s="39"/>
      <c r="BG209" s="39" t="s">
        <v>637</v>
      </c>
      <c r="BH209" s="39" t="s">
        <v>152</v>
      </c>
      <c r="BI209" s="39" t="s">
        <v>125</v>
      </c>
      <c r="BJ209" s="39"/>
      <c r="BK209" s="39" t="s">
        <v>153</v>
      </c>
      <c r="BL209" s="39"/>
      <c r="BM209" s="39" t="s">
        <v>240</v>
      </c>
      <c r="BN209" s="39" t="s">
        <v>155</v>
      </c>
    </row>
    <row r="210" spans="1:66" hidden="1">
      <c r="A210" s="39">
        <v>208</v>
      </c>
      <c r="B210" s="39" t="s">
        <v>118</v>
      </c>
      <c r="C210" s="39" t="s">
        <v>119</v>
      </c>
      <c r="D210" s="39" t="s">
        <v>2451</v>
      </c>
      <c r="E210" s="39" t="s">
        <v>2452</v>
      </c>
      <c r="F210" s="39" t="s">
        <v>208</v>
      </c>
      <c r="G210" s="39" t="s">
        <v>2453</v>
      </c>
      <c r="H210" s="39" t="s">
        <v>2454</v>
      </c>
      <c r="I210" s="39" t="s">
        <v>245</v>
      </c>
      <c r="J210" s="39" t="s">
        <v>355</v>
      </c>
      <c r="K210" s="39" t="s">
        <v>22</v>
      </c>
      <c r="L210" s="39" t="s">
        <v>211</v>
      </c>
      <c r="M210" s="39" t="s">
        <v>212</v>
      </c>
      <c r="N210" s="39" t="s">
        <v>125</v>
      </c>
      <c r="O210" s="39"/>
      <c r="P210" s="39"/>
      <c r="Q210" s="39" t="s">
        <v>2455</v>
      </c>
      <c r="R210" s="39" t="s">
        <v>22</v>
      </c>
      <c r="S210" s="39" t="s">
        <v>2456</v>
      </c>
      <c r="T210" s="39" t="s">
        <v>130</v>
      </c>
      <c r="U210" s="39" t="s">
        <v>2457</v>
      </c>
      <c r="V210" s="39" t="s">
        <v>132</v>
      </c>
      <c r="W210" s="39" t="s">
        <v>133</v>
      </c>
      <c r="X210" s="39" t="s">
        <v>126</v>
      </c>
      <c r="Y210" s="39" t="s">
        <v>288</v>
      </c>
      <c r="Z210" s="39" t="s">
        <v>196</v>
      </c>
      <c r="AA210" s="39" t="s">
        <v>197</v>
      </c>
      <c r="AB210" s="39" t="s">
        <v>2455</v>
      </c>
      <c r="AC210" s="39">
        <v>5361724</v>
      </c>
      <c r="AD210" s="39" t="s">
        <v>22</v>
      </c>
      <c r="AE210" s="39" t="s">
        <v>2458</v>
      </c>
      <c r="AF210" s="39" t="s">
        <v>22</v>
      </c>
      <c r="AG210" s="39" t="s">
        <v>2458</v>
      </c>
      <c r="AH210" s="39" t="s">
        <v>1922</v>
      </c>
      <c r="AI210" s="39" t="s">
        <v>139</v>
      </c>
      <c r="AJ210" s="39" t="s">
        <v>140</v>
      </c>
      <c r="AK210" s="39" t="s">
        <v>125</v>
      </c>
      <c r="AL210" s="39">
        <v>5680</v>
      </c>
      <c r="AM210" s="39"/>
      <c r="AN210" s="39" t="s">
        <v>125</v>
      </c>
      <c r="AO210" s="39" t="s">
        <v>142</v>
      </c>
      <c r="AP210" s="39" t="s">
        <v>143</v>
      </c>
      <c r="AQ210" s="39" t="s">
        <v>144</v>
      </c>
      <c r="AR210" s="39" t="s">
        <v>2459</v>
      </c>
      <c r="AS210" s="39" t="s">
        <v>2460</v>
      </c>
      <c r="AT210" s="39" t="s">
        <v>388</v>
      </c>
      <c r="AU210" s="39"/>
      <c r="AV210" s="39" t="s">
        <v>2461</v>
      </c>
      <c r="AW210" s="39"/>
      <c r="AX210" s="39"/>
      <c r="AY210" s="39"/>
      <c r="AZ210" s="39"/>
      <c r="BA210" s="39">
        <v>56144251</v>
      </c>
      <c r="BB210" s="39" t="s">
        <v>149</v>
      </c>
      <c r="BC210" s="39" t="s">
        <v>150</v>
      </c>
      <c r="BD210" s="39" t="s">
        <v>139</v>
      </c>
      <c r="BE210" s="39" t="s">
        <v>125</v>
      </c>
      <c r="BF210" s="39"/>
      <c r="BG210" s="39" t="s">
        <v>298</v>
      </c>
      <c r="BH210" s="39" t="s">
        <v>152</v>
      </c>
      <c r="BI210" s="39" t="s">
        <v>125</v>
      </c>
      <c r="BJ210" s="39"/>
      <c r="BK210" s="39" t="s">
        <v>153</v>
      </c>
      <c r="BL210" s="39"/>
      <c r="BM210" s="39" t="s">
        <v>154</v>
      </c>
      <c r="BN210" s="39" t="s">
        <v>212</v>
      </c>
    </row>
    <row r="211" spans="1:66" hidden="1">
      <c r="A211" s="39">
        <v>209</v>
      </c>
      <c r="B211" s="39" t="s">
        <v>118</v>
      </c>
      <c r="C211" s="39" t="s">
        <v>119</v>
      </c>
      <c r="D211" s="39" t="s">
        <v>2462</v>
      </c>
      <c r="E211" s="39" t="s">
        <v>2463</v>
      </c>
      <c r="F211" s="39" t="s">
        <v>283</v>
      </c>
      <c r="G211" s="39" t="s">
        <v>2464</v>
      </c>
      <c r="H211" s="39" t="s">
        <v>2465</v>
      </c>
      <c r="I211" s="39" t="s">
        <v>125</v>
      </c>
      <c r="J211" s="39" t="s">
        <v>355</v>
      </c>
      <c r="K211" s="39" t="s">
        <v>283</v>
      </c>
      <c r="L211" s="39" t="s">
        <v>127</v>
      </c>
      <c r="M211" s="39" t="s">
        <v>127</v>
      </c>
      <c r="N211" s="39" t="s">
        <v>125</v>
      </c>
      <c r="O211" s="39" t="s">
        <v>283</v>
      </c>
      <c r="P211" s="39" t="s">
        <v>2466</v>
      </c>
      <c r="Q211" s="39" t="s">
        <v>2467</v>
      </c>
      <c r="R211" s="39" t="s">
        <v>22</v>
      </c>
      <c r="S211" s="39" t="s">
        <v>2468</v>
      </c>
      <c r="T211" s="39" t="s">
        <v>130</v>
      </c>
      <c r="U211" s="39" t="s">
        <v>2469</v>
      </c>
      <c r="V211" s="39" t="s">
        <v>132</v>
      </c>
      <c r="W211" s="39" t="s">
        <v>168</v>
      </c>
      <c r="X211" s="39" t="s">
        <v>126</v>
      </c>
      <c r="Y211" s="39" t="s">
        <v>2470</v>
      </c>
      <c r="Z211" s="39" t="s">
        <v>425</v>
      </c>
      <c r="AA211" s="39" t="s">
        <v>1481</v>
      </c>
      <c r="AB211" s="39" t="s">
        <v>2467</v>
      </c>
      <c r="AC211" s="39">
        <v>5361619</v>
      </c>
      <c r="AD211" s="39" t="s">
        <v>22</v>
      </c>
      <c r="AE211" s="39" t="s">
        <v>2471</v>
      </c>
      <c r="AF211" s="39" t="s">
        <v>22</v>
      </c>
      <c r="AG211" s="39" t="s">
        <v>2472</v>
      </c>
      <c r="AH211" s="39" t="s">
        <v>2473</v>
      </c>
      <c r="AI211" s="39" t="s">
        <v>330</v>
      </c>
      <c r="AJ211" s="39" t="s">
        <v>140</v>
      </c>
      <c r="AK211" s="39" t="s">
        <v>125</v>
      </c>
      <c r="AL211" s="39">
        <v>10300</v>
      </c>
      <c r="AM211" s="39"/>
      <c r="AN211" s="39" t="s">
        <v>125</v>
      </c>
      <c r="AO211" s="39" t="s">
        <v>142</v>
      </c>
      <c r="AP211" s="39" t="s">
        <v>143</v>
      </c>
      <c r="AQ211" s="39"/>
      <c r="AR211" s="39" t="s">
        <v>2474</v>
      </c>
      <c r="AS211" s="39"/>
      <c r="AT211" s="39" t="s">
        <v>388</v>
      </c>
      <c r="AU211" s="39"/>
      <c r="AV211" s="39" t="s">
        <v>2475</v>
      </c>
      <c r="AW211" s="39"/>
      <c r="AX211" s="39"/>
      <c r="AY211" s="39"/>
      <c r="AZ211" s="39"/>
      <c r="BA211" s="39">
        <v>79779755</v>
      </c>
      <c r="BB211" s="39" t="s">
        <v>149</v>
      </c>
      <c r="BC211" s="39" t="s">
        <v>150</v>
      </c>
      <c r="BD211" s="39" t="s">
        <v>125</v>
      </c>
      <c r="BE211" s="39" t="s">
        <v>125</v>
      </c>
      <c r="BF211" s="39"/>
      <c r="BG211" s="39" t="s">
        <v>298</v>
      </c>
      <c r="BH211" s="39" t="s">
        <v>152</v>
      </c>
      <c r="BI211" s="39" t="s">
        <v>125</v>
      </c>
      <c r="BJ211" s="39"/>
      <c r="BK211" s="39"/>
      <c r="BL211" s="39"/>
      <c r="BM211" s="39" t="s">
        <v>154</v>
      </c>
      <c r="BN211" s="39" t="s">
        <v>155</v>
      </c>
    </row>
    <row r="212" spans="1:66" hidden="1">
      <c r="A212" s="39">
        <v>210</v>
      </c>
      <c r="B212" s="39" t="s">
        <v>118</v>
      </c>
      <c r="C212" s="39" t="s">
        <v>119</v>
      </c>
      <c r="D212" s="39" t="s">
        <v>2476</v>
      </c>
      <c r="E212" s="39" t="s">
        <v>2477</v>
      </c>
      <c r="F212" s="39" t="s">
        <v>279</v>
      </c>
      <c r="G212" s="39" t="s">
        <v>2478</v>
      </c>
      <c r="H212" s="39" t="s">
        <v>2479</v>
      </c>
      <c r="I212" s="39" t="s">
        <v>282</v>
      </c>
      <c r="J212" s="39" t="s">
        <v>187</v>
      </c>
      <c r="K212" s="39" t="s">
        <v>794</v>
      </c>
      <c r="L212" s="39" t="s">
        <v>284</v>
      </c>
      <c r="M212" s="39" t="s">
        <v>284</v>
      </c>
      <c r="N212" s="39" t="s">
        <v>125</v>
      </c>
      <c r="O212" s="39" t="s">
        <v>794</v>
      </c>
      <c r="P212" s="39" t="s">
        <v>2480</v>
      </c>
      <c r="Q212" s="39" t="s">
        <v>2476</v>
      </c>
      <c r="R212" s="39" t="s">
        <v>16</v>
      </c>
      <c r="S212" s="39" t="s">
        <v>2481</v>
      </c>
      <c r="T212" s="39" t="s">
        <v>130</v>
      </c>
      <c r="U212" s="39" t="s">
        <v>2482</v>
      </c>
      <c r="V212" s="39" t="s">
        <v>132</v>
      </c>
      <c r="W212" s="39" t="s">
        <v>399</v>
      </c>
      <c r="X212" s="39" t="s">
        <v>187</v>
      </c>
      <c r="Y212" s="39" t="s">
        <v>1084</v>
      </c>
      <c r="Z212" s="39" t="s">
        <v>196</v>
      </c>
      <c r="AA212" s="39" t="s">
        <v>197</v>
      </c>
      <c r="AB212" s="39" t="s">
        <v>2476</v>
      </c>
      <c r="AC212" s="39">
        <v>5361581</v>
      </c>
      <c r="AD212" s="39" t="s">
        <v>16</v>
      </c>
      <c r="AE212" s="39" t="s">
        <v>2483</v>
      </c>
      <c r="AF212" s="39" t="s">
        <v>16</v>
      </c>
      <c r="AG212" s="39" t="s">
        <v>2484</v>
      </c>
      <c r="AH212" s="39" t="s">
        <v>2485</v>
      </c>
      <c r="AI212" s="39" t="s">
        <v>2486</v>
      </c>
      <c r="AJ212" s="39" t="s">
        <v>140</v>
      </c>
      <c r="AK212" s="39" t="s">
        <v>125</v>
      </c>
      <c r="AL212" s="39">
        <v>19300</v>
      </c>
      <c r="AM212" s="39"/>
      <c r="AN212" s="39" t="s">
        <v>125</v>
      </c>
      <c r="AO212" s="39" t="s">
        <v>142</v>
      </c>
      <c r="AP212" s="39" t="s">
        <v>143</v>
      </c>
      <c r="AQ212" s="39" t="s">
        <v>144</v>
      </c>
      <c r="AR212" s="39" t="s">
        <v>2487</v>
      </c>
      <c r="AS212" s="39" t="s">
        <v>2488</v>
      </c>
      <c r="AT212" s="39" t="s">
        <v>388</v>
      </c>
      <c r="AU212" s="39"/>
      <c r="AV212" s="39" t="s">
        <v>2489</v>
      </c>
      <c r="AW212" s="39"/>
      <c r="AX212" s="39"/>
      <c r="AY212" s="39"/>
      <c r="AZ212" s="39"/>
      <c r="BA212" s="39">
        <v>74929274</v>
      </c>
      <c r="BB212" s="39" t="s">
        <v>149</v>
      </c>
      <c r="BC212" s="39" t="s">
        <v>150</v>
      </c>
      <c r="BD212" s="39" t="s">
        <v>139</v>
      </c>
      <c r="BE212" s="39" t="s">
        <v>125</v>
      </c>
      <c r="BF212" s="39"/>
      <c r="BG212" s="39" t="s">
        <v>180</v>
      </c>
      <c r="BH212" s="39" t="s">
        <v>152</v>
      </c>
      <c r="BI212" s="39" t="s">
        <v>125</v>
      </c>
      <c r="BJ212" s="39"/>
      <c r="BK212" s="39" t="s">
        <v>153</v>
      </c>
      <c r="BL212" s="39"/>
      <c r="BM212" s="39"/>
      <c r="BN212" s="39" t="s">
        <v>300</v>
      </c>
    </row>
    <row r="213" spans="1:66" hidden="1">
      <c r="A213" s="39">
        <v>211</v>
      </c>
      <c r="B213" s="39" t="s">
        <v>118</v>
      </c>
      <c r="C213" s="39" t="s">
        <v>119</v>
      </c>
      <c r="D213" s="39" t="s">
        <v>578</v>
      </c>
      <c r="E213" s="39" t="s">
        <v>2490</v>
      </c>
      <c r="F213" s="39" t="s">
        <v>580</v>
      </c>
      <c r="G213" s="39" t="s">
        <v>2491</v>
      </c>
      <c r="H213" s="39" t="s">
        <v>2492</v>
      </c>
      <c r="I213" s="39"/>
      <c r="J213" s="39" t="s">
        <v>126</v>
      </c>
      <c r="K213" s="39" t="s">
        <v>16</v>
      </c>
      <c r="L213" s="39" t="s">
        <v>188</v>
      </c>
      <c r="M213" s="39" t="s">
        <v>356</v>
      </c>
      <c r="N213" s="39" t="s">
        <v>583</v>
      </c>
      <c r="O213" s="39"/>
      <c r="P213" s="39"/>
      <c r="Q213" s="39" t="s">
        <v>578</v>
      </c>
      <c r="R213" s="39" t="s">
        <v>16</v>
      </c>
      <c r="S213" s="39" t="s">
        <v>2493</v>
      </c>
      <c r="T213" s="39" t="s">
        <v>359</v>
      </c>
      <c r="U213" s="39" t="s">
        <v>2494</v>
      </c>
      <c r="V213" s="39" t="s">
        <v>132</v>
      </c>
      <c r="W213" s="39" t="s">
        <v>586</v>
      </c>
      <c r="X213" s="39" t="s">
        <v>126</v>
      </c>
      <c r="Y213" s="39" t="s">
        <v>134</v>
      </c>
      <c r="Z213" s="39" t="s">
        <v>587</v>
      </c>
      <c r="AA213" s="39" t="s">
        <v>588</v>
      </c>
      <c r="AB213" s="39" t="s">
        <v>578</v>
      </c>
      <c r="AC213" s="39">
        <v>5361576</v>
      </c>
      <c r="AD213" s="39" t="s">
        <v>16</v>
      </c>
      <c r="AE213" s="39" t="s">
        <v>2495</v>
      </c>
      <c r="AF213" s="39" t="s">
        <v>16</v>
      </c>
      <c r="AG213" s="39" t="s">
        <v>2496</v>
      </c>
      <c r="AH213" s="39" t="s">
        <v>2497</v>
      </c>
      <c r="AI213" s="39" t="s">
        <v>591</v>
      </c>
      <c r="AJ213" s="39" t="s">
        <v>140</v>
      </c>
      <c r="AK213" s="39" t="s">
        <v>125</v>
      </c>
      <c r="AL213" s="39">
        <v>10500</v>
      </c>
      <c r="AM213" s="39"/>
      <c r="AN213" s="39" t="s">
        <v>580</v>
      </c>
      <c r="AO213" s="39" t="s">
        <v>367</v>
      </c>
      <c r="AP213" s="39" t="s">
        <v>143</v>
      </c>
      <c r="AQ213" s="39"/>
      <c r="AR213" s="39" t="s">
        <v>592</v>
      </c>
      <c r="AS213" s="39"/>
      <c r="AT213" s="39" t="s">
        <v>388</v>
      </c>
      <c r="AU213" s="39"/>
      <c r="AV213" s="39" t="s">
        <v>2498</v>
      </c>
      <c r="AW213" s="39"/>
      <c r="AX213" s="39"/>
      <c r="AY213" s="39"/>
      <c r="AZ213" s="39"/>
      <c r="BA213" s="39">
        <v>61156493</v>
      </c>
      <c r="BB213" s="39" t="s">
        <v>149</v>
      </c>
      <c r="BC213" s="39" t="s">
        <v>150</v>
      </c>
      <c r="BD213" s="39" t="s">
        <v>586</v>
      </c>
      <c r="BE213" s="39" t="s">
        <v>594</v>
      </c>
      <c r="BF213" s="39"/>
      <c r="BG213" s="39" t="s">
        <v>151</v>
      </c>
      <c r="BH213" s="39" t="s">
        <v>149</v>
      </c>
      <c r="BI213" s="39" t="s">
        <v>125</v>
      </c>
      <c r="BJ213" s="39"/>
      <c r="BK213" s="39"/>
      <c r="BL213" s="39"/>
      <c r="BM213" s="39" t="s">
        <v>154</v>
      </c>
      <c r="BN213" s="39" t="s">
        <v>356</v>
      </c>
    </row>
    <row r="214" spans="1:66" hidden="1">
      <c r="A214" s="39">
        <v>212</v>
      </c>
      <c r="B214" s="39" t="s">
        <v>118</v>
      </c>
      <c r="C214" s="39" t="s">
        <v>119</v>
      </c>
      <c r="D214" s="39" t="s">
        <v>2499</v>
      </c>
      <c r="E214" s="39" t="s">
        <v>2500</v>
      </c>
      <c r="F214" s="39" t="s">
        <v>279</v>
      </c>
      <c r="G214" s="39" t="s">
        <v>2501</v>
      </c>
      <c r="H214" s="39" t="s">
        <v>2502</v>
      </c>
      <c r="I214" s="39"/>
      <c r="J214" s="39" t="s">
        <v>418</v>
      </c>
      <c r="K214" s="39" t="s">
        <v>26</v>
      </c>
      <c r="L214" s="39" t="s">
        <v>263</v>
      </c>
      <c r="M214" s="39" t="s">
        <v>694</v>
      </c>
      <c r="N214" s="39" t="s">
        <v>125</v>
      </c>
      <c r="O214" s="39"/>
      <c r="P214" s="39"/>
      <c r="Q214" s="39" t="s">
        <v>2503</v>
      </c>
      <c r="R214" s="39" t="s">
        <v>26</v>
      </c>
      <c r="S214" s="39" t="s">
        <v>2504</v>
      </c>
      <c r="T214" s="39" t="s">
        <v>130</v>
      </c>
      <c r="U214" s="39" t="s">
        <v>2505</v>
      </c>
      <c r="V214" s="39" t="s">
        <v>167</v>
      </c>
      <c r="W214" s="39" t="s">
        <v>1755</v>
      </c>
      <c r="X214" s="39" t="s">
        <v>418</v>
      </c>
      <c r="Y214" s="39" t="s">
        <v>2506</v>
      </c>
      <c r="Z214" s="39" t="s">
        <v>2507</v>
      </c>
      <c r="AA214" s="39" t="s">
        <v>2508</v>
      </c>
      <c r="AB214" s="39" t="s">
        <v>2503</v>
      </c>
      <c r="AC214" s="39">
        <v>5361494</v>
      </c>
      <c r="AD214" s="39" t="s">
        <v>26</v>
      </c>
      <c r="AE214" s="39" t="s">
        <v>2509</v>
      </c>
      <c r="AF214" s="39" t="s">
        <v>26</v>
      </c>
      <c r="AG214" s="39" t="s">
        <v>2510</v>
      </c>
      <c r="AH214" s="39" t="s">
        <v>2511</v>
      </c>
      <c r="AI214" s="39" t="s">
        <v>2512</v>
      </c>
      <c r="AJ214" s="39" t="s">
        <v>140</v>
      </c>
      <c r="AK214" s="39" t="s">
        <v>125</v>
      </c>
      <c r="AL214" s="39">
        <v>3080.3</v>
      </c>
      <c r="AM214" s="39"/>
      <c r="AN214" s="39" t="s">
        <v>125</v>
      </c>
      <c r="AO214" s="39" t="s">
        <v>142</v>
      </c>
      <c r="AP214" s="39" t="s">
        <v>143</v>
      </c>
      <c r="AQ214" s="39" t="s">
        <v>144</v>
      </c>
      <c r="AR214" s="39" t="s">
        <v>2513</v>
      </c>
      <c r="AS214" s="39" t="s">
        <v>2514</v>
      </c>
      <c r="AT214" s="39" t="s">
        <v>388</v>
      </c>
      <c r="AU214" s="39"/>
      <c r="AV214" s="39" t="s">
        <v>2515</v>
      </c>
      <c r="AW214" s="39"/>
      <c r="AX214" s="39"/>
      <c r="AY214" s="39"/>
      <c r="AZ214" s="39"/>
      <c r="BA214" s="39">
        <v>79865428</v>
      </c>
      <c r="BB214" s="39" t="s">
        <v>149</v>
      </c>
      <c r="BC214" s="39" t="s">
        <v>435</v>
      </c>
      <c r="BD214" s="39" t="s">
        <v>436</v>
      </c>
      <c r="BE214" s="39" t="s">
        <v>1686</v>
      </c>
      <c r="BF214" s="39"/>
      <c r="BG214" s="39" t="s">
        <v>298</v>
      </c>
      <c r="BH214" s="39" t="s">
        <v>152</v>
      </c>
      <c r="BI214" s="39" t="s">
        <v>125</v>
      </c>
      <c r="BJ214" s="39"/>
      <c r="BK214" s="39" t="s">
        <v>153</v>
      </c>
      <c r="BL214" s="39"/>
      <c r="BM214" s="39" t="s">
        <v>460</v>
      </c>
      <c r="BN214" s="39" t="s">
        <v>333</v>
      </c>
    </row>
    <row r="215" spans="1:66" hidden="1">
      <c r="A215" s="39">
        <v>213</v>
      </c>
      <c r="B215" s="39" t="s">
        <v>118</v>
      </c>
      <c r="C215" s="39" t="s">
        <v>119</v>
      </c>
      <c r="D215" s="39" t="s">
        <v>2499</v>
      </c>
      <c r="E215" s="39" t="s">
        <v>2500</v>
      </c>
      <c r="F215" s="39" t="s">
        <v>279</v>
      </c>
      <c r="G215" s="39" t="s">
        <v>2501</v>
      </c>
      <c r="H215" s="39" t="s">
        <v>2502</v>
      </c>
      <c r="I215" s="39"/>
      <c r="J215" s="39" t="s">
        <v>418</v>
      </c>
      <c r="K215" s="39" t="s">
        <v>26</v>
      </c>
      <c r="L215" s="39" t="s">
        <v>263</v>
      </c>
      <c r="M215" s="39" t="s">
        <v>694</v>
      </c>
      <c r="N215" s="39" t="s">
        <v>125</v>
      </c>
      <c r="O215" s="39"/>
      <c r="P215" s="39"/>
      <c r="Q215" s="39" t="s">
        <v>2503</v>
      </c>
      <c r="R215" s="39" t="s">
        <v>26</v>
      </c>
      <c r="S215" s="39" t="s">
        <v>2504</v>
      </c>
      <c r="T215" s="39" t="s">
        <v>130</v>
      </c>
      <c r="U215" s="39" t="s">
        <v>2505</v>
      </c>
      <c r="V215" s="39" t="s">
        <v>167</v>
      </c>
      <c r="W215" s="39" t="s">
        <v>1755</v>
      </c>
      <c r="X215" s="39" t="s">
        <v>418</v>
      </c>
      <c r="Y215" s="39" t="s">
        <v>2506</v>
      </c>
      <c r="Z215" s="39" t="s">
        <v>2507</v>
      </c>
      <c r="AA215" s="39" t="s">
        <v>2508</v>
      </c>
      <c r="AB215" s="39" t="s">
        <v>2503</v>
      </c>
      <c r="AC215" s="39">
        <v>5361494</v>
      </c>
      <c r="AD215" s="39" t="s">
        <v>26</v>
      </c>
      <c r="AE215" s="39" t="s">
        <v>2509</v>
      </c>
      <c r="AF215" s="39" t="s">
        <v>26</v>
      </c>
      <c r="AG215" s="39" t="s">
        <v>2510</v>
      </c>
      <c r="AH215" s="39" t="s">
        <v>2516</v>
      </c>
      <c r="AI215" s="39" t="s">
        <v>2517</v>
      </c>
      <c r="AJ215" s="39" t="s">
        <v>140</v>
      </c>
      <c r="AK215" s="39" t="s">
        <v>125</v>
      </c>
      <c r="AL215" s="39">
        <v>2704.15</v>
      </c>
      <c r="AM215" s="39"/>
      <c r="AN215" s="39" t="s">
        <v>125</v>
      </c>
      <c r="AO215" s="39" t="s">
        <v>142</v>
      </c>
      <c r="AP215" s="39" t="s">
        <v>143</v>
      </c>
      <c r="AQ215" s="39" t="s">
        <v>144</v>
      </c>
      <c r="AR215" s="39" t="s">
        <v>2513</v>
      </c>
      <c r="AS215" s="39" t="s">
        <v>2518</v>
      </c>
      <c r="AT215" s="39" t="s">
        <v>388</v>
      </c>
      <c r="AU215" s="39"/>
      <c r="AV215" s="39" t="s">
        <v>2515</v>
      </c>
      <c r="AW215" s="39"/>
      <c r="AX215" s="39"/>
      <c r="AY215" s="39"/>
      <c r="AZ215" s="39"/>
      <c r="BA215" s="39">
        <v>79865428</v>
      </c>
      <c r="BB215" s="39" t="s">
        <v>149</v>
      </c>
      <c r="BC215" s="39" t="s">
        <v>435</v>
      </c>
      <c r="BD215" s="39" t="s">
        <v>436</v>
      </c>
      <c r="BE215" s="39" t="s">
        <v>1686</v>
      </c>
      <c r="BF215" s="39"/>
      <c r="BG215" s="39" t="s">
        <v>298</v>
      </c>
      <c r="BH215" s="39" t="s">
        <v>152</v>
      </c>
      <c r="BI215" s="39" t="s">
        <v>125</v>
      </c>
      <c r="BJ215" s="39"/>
      <c r="BK215" s="39" t="s">
        <v>153</v>
      </c>
      <c r="BL215" s="39"/>
      <c r="BM215" s="39" t="s">
        <v>460</v>
      </c>
      <c r="BN215" s="39" t="s">
        <v>333</v>
      </c>
    </row>
    <row r="216" spans="1:66" hidden="1">
      <c r="A216" s="39">
        <v>214</v>
      </c>
      <c r="B216" s="39" t="s">
        <v>118</v>
      </c>
      <c r="C216" s="39" t="s">
        <v>119</v>
      </c>
      <c r="D216" s="39" t="s">
        <v>2499</v>
      </c>
      <c r="E216" s="39" t="s">
        <v>2500</v>
      </c>
      <c r="F216" s="39" t="s">
        <v>279</v>
      </c>
      <c r="G216" s="39" t="s">
        <v>2501</v>
      </c>
      <c r="H216" s="39" t="s">
        <v>2502</v>
      </c>
      <c r="I216" s="39"/>
      <c r="J216" s="39" t="s">
        <v>418</v>
      </c>
      <c r="K216" s="39" t="s">
        <v>26</v>
      </c>
      <c r="L216" s="39" t="s">
        <v>263</v>
      </c>
      <c r="M216" s="39" t="s">
        <v>694</v>
      </c>
      <c r="N216" s="39" t="s">
        <v>125</v>
      </c>
      <c r="O216" s="39"/>
      <c r="P216" s="39"/>
      <c r="Q216" s="39" t="s">
        <v>2503</v>
      </c>
      <c r="R216" s="39" t="s">
        <v>26</v>
      </c>
      <c r="S216" s="39" t="s">
        <v>2504</v>
      </c>
      <c r="T216" s="39" t="s">
        <v>130</v>
      </c>
      <c r="U216" s="39" t="s">
        <v>2505</v>
      </c>
      <c r="V216" s="39" t="s">
        <v>167</v>
      </c>
      <c r="W216" s="39" t="s">
        <v>1755</v>
      </c>
      <c r="X216" s="39" t="s">
        <v>418</v>
      </c>
      <c r="Y216" s="39" t="s">
        <v>2506</v>
      </c>
      <c r="Z216" s="39" t="s">
        <v>2507</v>
      </c>
      <c r="AA216" s="39" t="s">
        <v>2508</v>
      </c>
      <c r="AB216" s="39" t="s">
        <v>2503</v>
      </c>
      <c r="AC216" s="39">
        <v>5361494</v>
      </c>
      <c r="AD216" s="39" t="s">
        <v>26</v>
      </c>
      <c r="AE216" s="39" t="s">
        <v>2509</v>
      </c>
      <c r="AF216" s="39" t="s">
        <v>26</v>
      </c>
      <c r="AG216" s="39" t="s">
        <v>2510</v>
      </c>
      <c r="AH216" s="39" t="s">
        <v>2519</v>
      </c>
      <c r="AI216" s="39" t="s">
        <v>2520</v>
      </c>
      <c r="AJ216" s="39" t="s">
        <v>140</v>
      </c>
      <c r="AK216" s="39" t="s">
        <v>125</v>
      </c>
      <c r="AL216" s="39">
        <v>1601.75</v>
      </c>
      <c r="AM216" s="39"/>
      <c r="AN216" s="39" t="s">
        <v>125</v>
      </c>
      <c r="AO216" s="39" t="s">
        <v>142</v>
      </c>
      <c r="AP216" s="39" t="s">
        <v>143</v>
      </c>
      <c r="AQ216" s="39" t="s">
        <v>144</v>
      </c>
      <c r="AR216" s="39" t="s">
        <v>2513</v>
      </c>
      <c r="AS216" s="39" t="s">
        <v>2521</v>
      </c>
      <c r="AT216" s="39" t="s">
        <v>388</v>
      </c>
      <c r="AU216" s="39"/>
      <c r="AV216" s="39" t="s">
        <v>2515</v>
      </c>
      <c r="AW216" s="39"/>
      <c r="AX216" s="39"/>
      <c r="AY216" s="39"/>
      <c r="AZ216" s="39"/>
      <c r="BA216" s="39">
        <v>79865428</v>
      </c>
      <c r="BB216" s="39" t="s">
        <v>149</v>
      </c>
      <c r="BC216" s="39" t="s">
        <v>435</v>
      </c>
      <c r="BD216" s="39" t="s">
        <v>436</v>
      </c>
      <c r="BE216" s="39" t="s">
        <v>1686</v>
      </c>
      <c r="BF216" s="39"/>
      <c r="BG216" s="39" t="s">
        <v>298</v>
      </c>
      <c r="BH216" s="39" t="s">
        <v>152</v>
      </c>
      <c r="BI216" s="39" t="s">
        <v>125</v>
      </c>
      <c r="BJ216" s="39"/>
      <c r="BK216" s="39" t="s">
        <v>153</v>
      </c>
      <c r="BL216" s="39"/>
      <c r="BM216" s="39" t="s">
        <v>460</v>
      </c>
      <c r="BN216" s="39" t="s">
        <v>333</v>
      </c>
    </row>
    <row r="217" spans="1:66" hidden="1">
      <c r="A217" s="39">
        <v>215</v>
      </c>
      <c r="B217" s="39" t="s">
        <v>118</v>
      </c>
      <c r="C217" s="39" t="s">
        <v>119</v>
      </c>
      <c r="D217" s="39" t="s">
        <v>2499</v>
      </c>
      <c r="E217" s="39" t="s">
        <v>2500</v>
      </c>
      <c r="F217" s="39" t="s">
        <v>279</v>
      </c>
      <c r="G217" s="39" t="s">
        <v>2501</v>
      </c>
      <c r="H217" s="39" t="s">
        <v>2502</v>
      </c>
      <c r="I217" s="39"/>
      <c r="J217" s="39" t="s">
        <v>418</v>
      </c>
      <c r="K217" s="39" t="s">
        <v>26</v>
      </c>
      <c r="L217" s="39" t="s">
        <v>263</v>
      </c>
      <c r="M217" s="39" t="s">
        <v>694</v>
      </c>
      <c r="N217" s="39" t="s">
        <v>125</v>
      </c>
      <c r="O217" s="39"/>
      <c r="P217" s="39"/>
      <c r="Q217" s="39" t="s">
        <v>2503</v>
      </c>
      <c r="R217" s="39" t="s">
        <v>26</v>
      </c>
      <c r="S217" s="39" t="s">
        <v>2504</v>
      </c>
      <c r="T217" s="39" t="s">
        <v>130</v>
      </c>
      <c r="U217" s="39" t="s">
        <v>2505</v>
      </c>
      <c r="V217" s="39" t="s">
        <v>167</v>
      </c>
      <c r="W217" s="39" t="s">
        <v>1755</v>
      </c>
      <c r="X217" s="39" t="s">
        <v>418</v>
      </c>
      <c r="Y217" s="39" t="s">
        <v>2506</v>
      </c>
      <c r="Z217" s="39" t="s">
        <v>2507</v>
      </c>
      <c r="AA217" s="39" t="s">
        <v>2508</v>
      </c>
      <c r="AB217" s="39" t="s">
        <v>2503</v>
      </c>
      <c r="AC217" s="39">
        <v>5361494</v>
      </c>
      <c r="AD217" s="39" t="s">
        <v>26</v>
      </c>
      <c r="AE217" s="39" t="s">
        <v>2509</v>
      </c>
      <c r="AF217" s="39" t="s">
        <v>26</v>
      </c>
      <c r="AG217" s="39" t="s">
        <v>2510</v>
      </c>
      <c r="AH217" s="39" t="s">
        <v>2522</v>
      </c>
      <c r="AI217" s="39" t="s">
        <v>2523</v>
      </c>
      <c r="AJ217" s="39" t="s">
        <v>140</v>
      </c>
      <c r="AK217" s="39" t="s">
        <v>125</v>
      </c>
      <c r="AL217" s="39">
        <v>2212.5</v>
      </c>
      <c r="AM217" s="39"/>
      <c r="AN217" s="39" t="s">
        <v>125</v>
      </c>
      <c r="AO217" s="39" t="s">
        <v>142</v>
      </c>
      <c r="AP217" s="39" t="s">
        <v>143</v>
      </c>
      <c r="AQ217" s="39" t="s">
        <v>144</v>
      </c>
      <c r="AR217" s="39" t="s">
        <v>2513</v>
      </c>
      <c r="AS217" s="39" t="s">
        <v>2524</v>
      </c>
      <c r="AT217" s="39" t="s">
        <v>388</v>
      </c>
      <c r="AU217" s="39"/>
      <c r="AV217" s="39" t="s">
        <v>2515</v>
      </c>
      <c r="AW217" s="39"/>
      <c r="AX217" s="39"/>
      <c r="AY217" s="39"/>
      <c r="AZ217" s="39"/>
      <c r="BA217" s="39">
        <v>79865428</v>
      </c>
      <c r="BB217" s="39" t="s">
        <v>149</v>
      </c>
      <c r="BC217" s="39" t="s">
        <v>435</v>
      </c>
      <c r="BD217" s="39" t="s">
        <v>436</v>
      </c>
      <c r="BE217" s="39" t="s">
        <v>1686</v>
      </c>
      <c r="BF217" s="39"/>
      <c r="BG217" s="39" t="s">
        <v>298</v>
      </c>
      <c r="BH217" s="39" t="s">
        <v>152</v>
      </c>
      <c r="BI217" s="39" t="s">
        <v>125</v>
      </c>
      <c r="BJ217" s="39"/>
      <c r="BK217" s="39" t="s">
        <v>153</v>
      </c>
      <c r="BL217" s="39"/>
      <c r="BM217" s="39" t="s">
        <v>460</v>
      </c>
      <c r="BN217" s="39" t="s">
        <v>333</v>
      </c>
    </row>
    <row r="218" spans="1:66" hidden="1">
      <c r="A218" s="39">
        <v>216</v>
      </c>
      <c r="B218" s="39" t="s">
        <v>118</v>
      </c>
      <c r="C218" s="39" t="s">
        <v>119</v>
      </c>
      <c r="D218" s="39" t="s">
        <v>2499</v>
      </c>
      <c r="E218" s="39" t="s">
        <v>2500</v>
      </c>
      <c r="F218" s="39" t="s">
        <v>279</v>
      </c>
      <c r="G218" s="39" t="s">
        <v>2501</v>
      </c>
      <c r="H218" s="39" t="s">
        <v>2502</v>
      </c>
      <c r="I218" s="39"/>
      <c r="J218" s="39" t="s">
        <v>418</v>
      </c>
      <c r="K218" s="39" t="s">
        <v>26</v>
      </c>
      <c r="L218" s="39" t="s">
        <v>263</v>
      </c>
      <c r="M218" s="39" t="s">
        <v>694</v>
      </c>
      <c r="N218" s="39" t="s">
        <v>125</v>
      </c>
      <c r="O218" s="39"/>
      <c r="P218" s="39"/>
      <c r="Q218" s="39" t="s">
        <v>2503</v>
      </c>
      <c r="R218" s="39" t="s">
        <v>26</v>
      </c>
      <c r="S218" s="39" t="s">
        <v>2504</v>
      </c>
      <c r="T218" s="39" t="s">
        <v>130</v>
      </c>
      <c r="U218" s="39" t="s">
        <v>2505</v>
      </c>
      <c r="V218" s="39" t="s">
        <v>167</v>
      </c>
      <c r="W218" s="39" t="s">
        <v>1755</v>
      </c>
      <c r="X218" s="39" t="s">
        <v>418</v>
      </c>
      <c r="Y218" s="39" t="s">
        <v>2506</v>
      </c>
      <c r="Z218" s="39" t="s">
        <v>2507</v>
      </c>
      <c r="AA218" s="39" t="s">
        <v>2508</v>
      </c>
      <c r="AB218" s="39" t="s">
        <v>2503</v>
      </c>
      <c r="AC218" s="39">
        <v>5361494</v>
      </c>
      <c r="AD218" s="39" t="s">
        <v>26</v>
      </c>
      <c r="AE218" s="39" t="s">
        <v>2509</v>
      </c>
      <c r="AF218" s="39" t="s">
        <v>26</v>
      </c>
      <c r="AG218" s="39" t="s">
        <v>2510</v>
      </c>
      <c r="AH218" s="39" t="s">
        <v>2525</v>
      </c>
      <c r="AI218" s="39" t="s">
        <v>2526</v>
      </c>
      <c r="AJ218" s="39" t="s">
        <v>140</v>
      </c>
      <c r="AK218" s="39" t="s">
        <v>125</v>
      </c>
      <c r="AL218" s="39">
        <v>3314.9</v>
      </c>
      <c r="AM218" s="39"/>
      <c r="AN218" s="39" t="s">
        <v>125</v>
      </c>
      <c r="AO218" s="39" t="s">
        <v>142</v>
      </c>
      <c r="AP218" s="39" t="s">
        <v>143</v>
      </c>
      <c r="AQ218" s="39" t="s">
        <v>144</v>
      </c>
      <c r="AR218" s="39" t="s">
        <v>2513</v>
      </c>
      <c r="AS218" s="39" t="s">
        <v>2527</v>
      </c>
      <c r="AT218" s="39" t="s">
        <v>388</v>
      </c>
      <c r="AU218" s="39"/>
      <c r="AV218" s="39" t="s">
        <v>2515</v>
      </c>
      <c r="AW218" s="39"/>
      <c r="AX218" s="39"/>
      <c r="AY218" s="39"/>
      <c r="AZ218" s="39"/>
      <c r="BA218" s="39">
        <v>79865428</v>
      </c>
      <c r="BB218" s="39" t="s">
        <v>149</v>
      </c>
      <c r="BC218" s="39" t="s">
        <v>435</v>
      </c>
      <c r="BD218" s="39" t="s">
        <v>436</v>
      </c>
      <c r="BE218" s="39" t="s">
        <v>1686</v>
      </c>
      <c r="BF218" s="39"/>
      <c r="BG218" s="39" t="s">
        <v>298</v>
      </c>
      <c r="BH218" s="39" t="s">
        <v>152</v>
      </c>
      <c r="BI218" s="39" t="s">
        <v>125</v>
      </c>
      <c r="BJ218" s="39"/>
      <c r="BK218" s="39" t="s">
        <v>153</v>
      </c>
      <c r="BL218" s="39"/>
      <c r="BM218" s="39" t="s">
        <v>460</v>
      </c>
      <c r="BN218" s="39" t="s">
        <v>333</v>
      </c>
    </row>
    <row r="219" spans="1:66" hidden="1">
      <c r="A219" s="39">
        <v>217</v>
      </c>
      <c r="B219" s="39" t="s">
        <v>118</v>
      </c>
      <c r="C219" s="39" t="s">
        <v>119</v>
      </c>
      <c r="D219" s="39" t="s">
        <v>2499</v>
      </c>
      <c r="E219" s="39" t="s">
        <v>2500</v>
      </c>
      <c r="F219" s="39" t="s">
        <v>279</v>
      </c>
      <c r="G219" s="39" t="s">
        <v>2501</v>
      </c>
      <c r="H219" s="39" t="s">
        <v>2502</v>
      </c>
      <c r="I219" s="39"/>
      <c r="J219" s="39" t="s">
        <v>418</v>
      </c>
      <c r="K219" s="39" t="s">
        <v>26</v>
      </c>
      <c r="L219" s="39" t="s">
        <v>263</v>
      </c>
      <c r="M219" s="39" t="s">
        <v>694</v>
      </c>
      <c r="N219" s="39" t="s">
        <v>125</v>
      </c>
      <c r="O219" s="39"/>
      <c r="P219" s="39"/>
      <c r="Q219" s="39" t="s">
        <v>2503</v>
      </c>
      <c r="R219" s="39" t="s">
        <v>26</v>
      </c>
      <c r="S219" s="39" t="s">
        <v>2504</v>
      </c>
      <c r="T219" s="39" t="s">
        <v>130</v>
      </c>
      <c r="U219" s="39" t="s">
        <v>2505</v>
      </c>
      <c r="V219" s="39" t="s">
        <v>167</v>
      </c>
      <c r="W219" s="39" t="s">
        <v>1755</v>
      </c>
      <c r="X219" s="39" t="s">
        <v>418</v>
      </c>
      <c r="Y219" s="39" t="s">
        <v>2506</v>
      </c>
      <c r="Z219" s="39" t="s">
        <v>2507</v>
      </c>
      <c r="AA219" s="39" t="s">
        <v>2508</v>
      </c>
      <c r="AB219" s="39" t="s">
        <v>2503</v>
      </c>
      <c r="AC219" s="39">
        <v>5361494</v>
      </c>
      <c r="AD219" s="39" t="s">
        <v>26</v>
      </c>
      <c r="AE219" s="39" t="s">
        <v>2509</v>
      </c>
      <c r="AF219" s="39" t="s">
        <v>26</v>
      </c>
      <c r="AG219" s="39" t="s">
        <v>2510</v>
      </c>
      <c r="AH219" s="39" t="s">
        <v>2528</v>
      </c>
      <c r="AI219" s="39" t="s">
        <v>2529</v>
      </c>
      <c r="AJ219" s="39" t="s">
        <v>140</v>
      </c>
      <c r="AK219" s="39" t="s">
        <v>125</v>
      </c>
      <c r="AL219" s="39">
        <v>1586.4</v>
      </c>
      <c r="AM219" s="39"/>
      <c r="AN219" s="39" t="s">
        <v>125</v>
      </c>
      <c r="AO219" s="39" t="s">
        <v>142</v>
      </c>
      <c r="AP219" s="39" t="s">
        <v>143</v>
      </c>
      <c r="AQ219" s="39" t="s">
        <v>144</v>
      </c>
      <c r="AR219" s="39" t="s">
        <v>2513</v>
      </c>
      <c r="AS219" s="39" t="s">
        <v>2530</v>
      </c>
      <c r="AT219" s="39" t="s">
        <v>388</v>
      </c>
      <c r="AU219" s="39"/>
      <c r="AV219" s="39" t="s">
        <v>2515</v>
      </c>
      <c r="AW219" s="39"/>
      <c r="AX219" s="39"/>
      <c r="AY219" s="39"/>
      <c r="AZ219" s="39"/>
      <c r="BA219" s="39">
        <v>79865428</v>
      </c>
      <c r="BB219" s="39" t="s">
        <v>149</v>
      </c>
      <c r="BC219" s="39" t="s">
        <v>435</v>
      </c>
      <c r="BD219" s="39" t="s">
        <v>436</v>
      </c>
      <c r="BE219" s="39" t="s">
        <v>1686</v>
      </c>
      <c r="BF219" s="39"/>
      <c r="BG219" s="39" t="s">
        <v>298</v>
      </c>
      <c r="BH219" s="39" t="s">
        <v>152</v>
      </c>
      <c r="BI219" s="39" t="s">
        <v>125</v>
      </c>
      <c r="BJ219" s="39"/>
      <c r="BK219" s="39" t="s">
        <v>153</v>
      </c>
      <c r="BL219" s="39"/>
      <c r="BM219" s="39" t="s">
        <v>460</v>
      </c>
      <c r="BN219" s="39" t="s">
        <v>333</v>
      </c>
    </row>
    <row r="220" spans="1:66" hidden="1">
      <c r="A220" s="39">
        <v>218</v>
      </c>
      <c r="B220" s="39" t="s">
        <v>118</v>
      </c>
      <c r="C220" s="39" t="s">
        <v>119</v>
      </c>
      <c r="D220" s="39" t="s">
        <v>133</v>
      </c>
      <c r="E220" s="39" t="s">
        <v>2531</v>
      </c>
      <c r="F220" s="39" t="s">
        <v>303</v>
      </c>
      <c r="G220" s="39" t="s">
        <v>2532</v>
      </c>
      <c r="H220" s="39" t="s">
        <v>125</v>
      </c>
      <c r="I220" s="39" t="s">
        <v>125</v>
      </c>
      <c r="J220" s="39" t="s">
        <v>126</v>
      </c>
      <c r="K220" s="39" t="s">
        <v>303</v>
      </c>
      <c r="L220" s="39" t="s">
        <v>858</v>
      </c>
      <c r="M220" s="39" t="s">
        <v>1157</v>
      </c>
      <c r="N220" s="39" t="s">
        <v>125</v>
      </c>
      <c r="O220" s="39" t="s">
        <v>303</v>
      </c>
      <c r="P220" s="39" t="s">
        <v>2533</v>
      </c>
      <c r="Q220" s="39" t="s">
        <v>2534</v>
      </c>
      <c r="R220" s="39" t="s">
        <v>16</v>
      </c>
      <c r="S220" s="39" t="s">
        <v>2535</v>
      </c>
      <c r="T220" s="39" t="s">
        <v>130</v>
      </c>
      <c r="U220" s="39" t="s">
        <v>2536</v>
      </c>
      <c r="V220" s="39" t="s">
        <v>132</v>
      </c>
      <c r="W220" s="39" t="s">
        <v>133</v>
      </c>
      <c r="X220" s="39" t="s">
        <v>126</v>
      </c>
      <c r="Y220" s="39" t="s">
        <v>629</v>
      </c>
      <c r="Z220" s="39" t="s">
        <v>1863</v>
      </c>
      <c r="AA220" s="39" t="s">
        <v>2537</v>
      </c>
      <c r="AB220" s="39" t="s">
        <v>2534</v>
      </c>
      <c r="AC220" s="39">
        <v>5361365</v>
      </c>
      <c r="AD220" s="39" t="s">
        <v>16</v>
      </c>
      <c r="AE220" s="39" t="s">
        <v>2538</v>
      </c>
      <c r="AF220" s="39" t="s">
        <v>16</v>
      </c>
      <c r="AG220" s="39" t="s">
        <v>2539</v>
      </c>
      <c r="AH220" s="39" t="s">
        <v>742</v>
      </c>
      <c r="AI220" s="39" t="s">
        <v>743</v>
      </c>
      <c r="AJ220" s="39" t="s">
        <v>140</v>
      </c>
      <c r="AK220" s="39" t="s">
        <v>125</v>
      </c>
      <c r="AL220" s="39">
        <v>19300</v>
      </c>
      <c r="AM220" s="39"/>
      <c r="AN220" s="39" t="s">
        <v>125</v>
      </c>
      <c r="AO220" s="39" t="s">
        <v>142</v>
      </c>
      <c r="AP220" s="39" t="s">
        <v>143</v>
      </c>
      <c r="AQ220" s="39" t="s">
        <v>144</v>
      </c>
      <c r="AR220" s="39" t="s">
        <v>2540</v>
      </c>
      <c r="AS220" s="39" t="s">
        <v>2541</v>
      </c>
      <c r="AT220" s="39" t="s">
        <v>388</v>
      </c>
      <c r="AU220" s="39"/>
      <c r="AV220" s="39" t="s">
        <v>2542</v>
      </c>
      <c r="AW220" s="39"/>
      <c r="AX220" s="39"/>
      <c r="AY220" s="39"/>
      <c r="AZ220" s="39"/>
      <c r="BA220" s="39">
        <v>80267730</v>
      </c>
      <c r="BB220" s="39" t="s">
        <v>149</v>
      </c>
      <c r="BC220" s="39" t="s">
        <v>150</v>
      </c>
      <c r="BD220" s="39" t="s">
        <v>139</v>
      </c>
      <c r="BE220" s="39" t="s">
        <v>125</v>
      </c>
      <c r="BF220" s="39"/>
      <c r="BG220" s="39" t="s">
        <v>637</v>
      </c>
      <c r="BH220" s="39" t="s">
        <v>152</v>
      </c>
      <c r="BI220" s="39" t="s">
        <v>125</v>
      </c>
      <c r="BJ220" s="39"/>
      <c r="BK220" s="39" t="s">
        <v>153</v>
      </c>
      <c r="BL220" s="39"/>
      <c r="BM220" s="39" t="s">
        <v>154</v>
      </c>
      <c r="BN220" s="39" t="s">
        <v>155</v>
      </c>
    </row>
    <row r="221" spans="1:66" hidden="1">
      <c r="A221" s="39">
        <v>219</v>
      </c>
      <c r="B221" s="39" t="s">
        <v>118</v>
      </c>
      <c r="C221" s="39" t="s">
        <v>119</v>
      </c>
      <c r="D221" s="39" t="s">
        <v>2543</v>
      </c>
      <c r="E221" s="39" t="s">
        <v>2544</v>
      </c>
      <c r="F221" s="39" t="s">
        <v>258</v>
      </c>
      <c r="G221" s="39" t="s">
        <v>2545</v>
      </c>
      <c r="H221" s="39" t="s">
        <v>2546</v>
      </c>
      <c r="I221" s="39" t="s">
        <v>904</v>
      </c>
      <c r="J221" s="39"/>
      <c r="K221" s="39" t="s">
        <v>377</v>
      </c>
      <c r="L221" s="39" t="s">
        <v>263</v>
      </c>
      <c r="M221" s="39" t="s">
        <v>694</v>
      </c>
      <c r="N221" s="39" t="s">
        <v>125</v>
      </c>
      <c r="O221" s="39" t="s">
        <v>377</v>
      </c>
      <c r="P221" s="39" t="s">
        <v>2547</v>
      </c>
      <c r="Q221" s="39" t="s">
        <v>2548</v>
      </c>
      <c r="R221" s="39" t="s">
        <v>24</v>
      </c>
      <c r="S221" s="39" t="s">
        <v>2549</v>
      </c>
      <c r="T221" s="39" t="s">
        <v>130</v>
      </c>
      <c r="U221" s="39" t="s">
        <v>2550</v>
      </c>
      <c r="V221" s="39" t="s">
        <v>132</v>
      </c>
      <c r="W221" s="39" t="s">
        <v>194</v>
      </c>
      <c r="X221" s="39" t="s">
        <v>187</v>
      </c>
      <c r="Y221" s="39" t="s">
        <v>2551</v>
      </c>
      <c r="Z221" s="39" t="s">
        <v>196</v>
      </c>
      <c r="AA221" s="39" t="s">
        <v>197</v>
      </c>
      <c r="AB221" s="39" t="s">
        <v>2548</v>
      </c>
      <c r="AC221" s="39">
        <v>5361356</v>
      </c>
      <c r="AD221" s="39" t="s">
        <v>23</v>
      </c>
      <c r="AE221" s="39" t="s">
        <v>2552</v>
      </c>
      <c r="AF221" s="39" t="s">
        <v>24</v>
      </c>
      <c r="AG221" s="39" t="s">
        <v>2553</v>
      </c>
      <c r="AH221" s="39"/>
      <c r="AI221" s="39"/>
      <c r="AJ221" s="39" t="s">
        <v>140</v>
      </c>
      <c r="AK221" s="39" t="s">
        <v>125</v>
      </c>
      <c r="AL221" s="39">
        <v>2840</v>
      </c>
      <c r="AM221" s="39"/>
      <c r="AN221" s="39" t="s">
        <v>125</v>
      </c>
      <c r="AO221" s="39" t="s">
        <v>699</v>
      </c>
      <c r="AP221" s="39" t="s">
        <v>143</v>
      </c>
      <c r="AQ221" s="39"/>
      <c r="AR221" s="39" t="s">
        <v>2554</v>
      </c>
      <c r="AS221" s="39"/>
      <c r="AT221" s="39"/>
      <c r="AU221" s="39"/>
      <c r="AV221" s="39" t="s">
        <v>2555</v>
      </c>
      <c r="AW221" s="39"/>
      <c r="AX221" s="39"/>
      <c r="AY221" s="39"/>
      <c r="AZ221" s="39"/>
      <c r="BA221" s="39">
        <v>79942769</v>
      </c>
      <c r="BB221" s="39" t="s">
        <v>149</v>
      </c>
      <c r="BC221" s="39" t="s">
        <v>150</v>
      </c>
      <c r="BD221" s="39" t="s">
        <v>179</v>
      </c>
      <c r="BE221" s="39" t="s">
        <v>125</v>
      </c>
      <c r="BF221" s="39"/>
      <c r="BG221" s="39" t="s">
        <v>180</v>
      </c>
      <c r="BH221" s="39" t="s">
        <v>149</v>
      </c>
      <c r="BI221" s="39" t="s">
        <v>125</v>
      </c>
      <c r="BJ221" s="39"/>
      <c r="BK221" s="39"/>
      <c r="BL221" s="39"/>
      <c r="BM221" s="39"/>
      <c r="BN221" s="39" t="s">
        <v>915</v>
      </c>
    </row>
    <row r="222" spans="1:66" hidden="1">
      <c r="A222" s="39">
        <v>220</v>
      </c>
      <c r="B222" s="39" t="s">
        <v>118</v>
      </c>
      <c r="C222" s="39" t="s">
        <v>119</v>
      </c>
      <c r="D222" s="39" t="s">
        <v>2543</v>
      </c>
      <c r="E222" s="39" t="s">
        <v>2544</v>
      </c>
      <c r="F222" s="39" t="s">
        <v>258</v>
      </c>
      <c r="G222" s="39" t="s">
        <v>2545</v>
      </c>
      <c r="H222" s="39" t="s">
        <v>2546</v>
      </c>
      <c r="I222" s="39" t="s">
        <v>904</v>
      </c>
      <c r="J222" s="39"/>
      <c r="K222" s="39" t="s">
        <v>377</v>
      </c>
      <c r="L222" s="39" t="s">
        <v>263</v>
      </c>
      <c r="M222" s="39" t="s">
        <v>694</v>
      </c>
      <c r="N222" s="39" t="s">
        <v>125</v>
      </c>
      <c r="O222" s="39" t="s">
        <v>377</v>
      </c>
      <c r="P222" s="39" t="s">
        <v>2547</v>
      </c>
      <c r="Q222" s="39" t="s">
        <v>2548</v>
      </c>
      <c r="R222" s="39" t="s">
        <v>24</v>
      </c>
      <c r="S222" s="39" t="s">
        <v>2549</v>
      </c>
      <c r="T222" s="39" t="s">
        <v>130</v>
      </c>
      <c r="U222" s="39" t="s">
        <v>2550</v>
      </c>
      <c r="V222" s="39" t="s">
        <v>132</v>
      </c>
      <c r="W222" s="39" t="s">
        <v>194</v>
      </c>
      <c r="X222" s="39" t="s">
        <v>187</v>
      </c>
      <c r="Y222" s="39" t="s">
        <v>2551</v>
      </c>
      <c r="Z222" s="39" t="s">
        <v>196</v>
      </c>
      <c r="AA222" s="39" t="s">
        <v>197</v>
      </c>
      <c r="AB222" s="39" t="s">
        <v>2548</v>
      </c>
      <c r="AC222" s="39">
        <v>5361351</v>
      </c>
      <c r="AD222" s="39" t="s">
        <v>24</v>
      </c>
      <c r="AE222" s="39" t="s">
        <v>2552</v>
      </c>
      <c r="AF222" s="39" t="s">
        <v>24</v>
      </c>
      <c r="AG222" s="39" t="s">
        <v>2553</v>
      </c>
      <c r="AH222" s="39" t="s">
        <v>271</v>
      </c>
      <c r="AI222" s="39" t="s">
        <v>173</v>
      </c>
      <c r="AJ222" s="39" t="s">
        <v>140</v>
      </c>
      <c r="AK222" s="39" t="s">
        <v>125</v>
      </c>
      <c r="AL222" s="39">
        <v>2840</v>
      </c>
      <c r="AM222" s="39"/>
      <c r="AN222" s="39" t="s">
        <v>125</v>
      </c>
      <c r="AO222" s="39" t="s">
        <v>142</v>
      </c>
      <c r="AP222" s="39" t="s">
        <v>143</v>
      </c>
      <c r="AQ222" s="39" t="s">
        <v>144</v>
      </c>
      <c r="AR222" s="39" t="s">
        <v>2554</v>
      </c>
      <c r="AS222" s="39" t="s">
        <v>2556</v>
      </c>
      <c r="AT222" s="39" t="s">
        <v>388</v>
      </c>
      <c r="AU222" s="39"/>
      <c r="AV222" s="39" t="s">
        <v>2555</v>
      </c>
      <c r="AW222" s="39"/>
      <c r="AX222" s="39"/>
      <c r="AY222" s="39"/>
      <c r="AZ222" s="39"/>
      <c r="BA222" s="39">
        <v>79942769</v>
      </c>
      <c r="BB222" s="39" t="s">
        <v>149</v>
      </c>
      <c r="BC222" s="39" t="s">
        <v>150</v>
      </c>
      <c r="BD222" s="39" t="s">
        <v>179</v>
      </c>
      <c r="BE222" s="39" t="s">
        <v>125</v>
      </c>
      <c r="BF222" s="39"/>
      <c r="BG222" s="39" t="s">
        <v>180</v>
      </c>
      <c r="BH222" s="39" t="s">
        <v>152</v>
      </c>
      <c r="BI222" s="39" t="s">
        <v>125</v>
      </c>
      <c r="BJ222" s="39"/>
      <c r="BK222" s="39" t="s">
        <v>153</v>
      </c>
      <c r="BL222" s="39"/>
      <c r="BM222" s="39"/>
      <c r="BN222" s="39" t="s">
        <v>915</v>
      </c>
    </row>
    <row r="223" spans="1:66" hidden="1">
      <c r="A223" s="39">
        <v>221</v>
      </c>
      <c r="B223" s="39" t="s">
        <v>118</v>
      </c>
      <c r="C223" s="39" t="s">
        <v>119</v>
      </c>
      <c r="D223" s="39" t="s">
        <v>2557</v>
      </c>
      <c r="E223" s="39" t="s">
        <v>2558</v>
      </c>
      <c r="F223" s="39" t="s">
        <v>258</v>
      </c>
      <c r="G223" s="39" t="s">
        <v>2559</v>
      </c>
      <c r="H223" s="39" t="s">
        <v>2560</v>
      </c>
      <c r="I223" s="39" t="s">
        <v>2561</v>
      </c>
      <c r="J223" s="39"/>
      <c r="K223" s="39" t="s">
        <v>303</v>
      </c>
      <c r="L223" s="39" t="s">
        <v>263</v>
      </c>
      <c r="M223" s="39" t="s">
        <v>2562</v>
      </c>
      <c r="N223" s="39" t="s">
        <v>125</v>
      </c>
      <c r="O223" s="39" t="s">
        <v>303</v>
      </c>
      <c r="P223" s="39" t="s">
        <v>2563</v>
      </c>
      <c r="Q223" s="39" t="s">
        <v>2564</v>
      </c>
      <c r="R223" s="39" t="s">
        <v>23</v>
      </c>
      <c r="S223" s="39" t="s">
        <v>2565</v>
      </c>
      <c r="T223" s="39" t="s">
        <v>130</v>
      </c>
      <c r="U223" s="39" t="s">
        <v>2566</v>
      </c>
      <c r="V223" s="39" t="s">
        <v>132</v>
      </c>
      <c r="W223" s="39" t="s">
        <v>168</v>
      </c>
      <c r="X223" s="39" t="s">
        <v>187</v>
      </c>
      <c r="Y223" s="39" t="s">
        <v>2567</v>
      </c>
      <c r="Z223" s="39" t="s">
        <v>196</v>
      </c>
      <c r="AA223" s="39" t="s">
        <v>197</v>
      </c>
      <c r="AB223" s="39" t="s">
        <v>2564</v>
      </c>
      <c r="AC223" s="39">
        <v>5361227</v>
      </c>
      <c r="AD223" s="39" t="s">
        <v>23</v>
      </c>
      <c r="AE223" s="39" t="s">
        <v>2568</v>
      </c>
      <c r="AF223" s="39" t="s">
        <v>23</v>
      </c>
      <c r="AG223" s="39" t="s">
        <v>2568</v>
      </c>
      <c r="AH223" s="39" t="s">
        <v>990</v>
      </c>
      <c r="AI223" s="39" t="s">
        <v>991</v>
      </c>
      <c r="AJ223" s="39" t="s">
        <v>140</v>
      </c>
      <c r="AK223" s="39" t="s">
        <v>125</v>
      </c>
      <c r="AL223" s="39">
        <v>15000</v>
      </c>
      <c r="AM223" s="39"/>
      <c r="AN223" s="39" t="s">
        <v>125</v>
      </c>
      <c r="AO223" s="39" t="s">
        <v>142</v>
      </c>
      <c r="AP223" s="39" t="s">
        <v>143</v>
      </c>
      <c r="AQ223" s="39" t="s">
        <v>144</v>
      </c>
      <c r="AR223" s="39" t="s">
        <v>2569</v>
      </c>
      <c r="AS223" s="39" t="s">
        <v>2570</v>
      </c>
      <c r="AT223" s="39" t="s">
        <v>388</v>
      </c>
      <c r="AU223" s="39"/>
      <c r="AV223" s="39" t="s">
        <v>2571</v>
      </c>
      <c r="AW223" s="39"/>
      <c r="AX223" s="39"/>
      <c r="AY223" s="39"/>
      <c r="AZ223" s="39"/>
      <c r="BA223" s="39">
        <v>79909738</v>
      </c>
      <c r="BB223" s="39" t="s">
        <v>149</v>
      </c>
      <c r="BC223" s="39" t="s">
        <v>150</v>
      </c>
      <c r="BD223" s="39" t="s">
        <v>2399</v>
      </c>
      <c r="BE223" s="39" t="s">
        <v>125</v>
      </c>
      <c r="BF223" s="39"/>
      <c r="BG223" s="39" t="s">
        <v>180</v>
      </c>
      <c r="BH223" s="39" t="s">
        <v>152</v>
      </c>
      <c r="BI223" s="39" t="s">
        <v>125</v>
      </c>
      <c r="BJ223" s="39"/>
      <c r="BK223" s="39" t="s">
        <v>153</v>
      </c>
      <c r="BL223" s="39"/>
      <c r="BM223" s="39"/>
      <c r="BN223" s="39" t="s">
        <v>915</v>
      </c>
    </row>
    <row r="224" spans="1:66" hidden="1">
      <c r="A224" s="39">
        <v>222</v>
      </c>
      <c r="B224" s="39" t="s">
        <v>118</v>
      </c>
      <c r="C224" s="39" t="s">
        <v>119</v>
      </c>
      <c r="D224" s="39" t="s">
        <v>2572</v>
      </c>
      <c r="E224" s="39" t="s">
        <v>2573</v>
      </c>
      <c r="F224" s="39" t="s">
        <v>208</v>
      </c>
      <c r="G224" s="39" t="s">
        <v>2574</v>
      </c>
      <c r="H224" s="39" t="s">
        <v>2575</v>
      </c>
      <c r="I224" s="39" t="s">
        <v>245</v>
      </c>
      <c r="J224" s="39" t="s">
        <v>355</v>
      </c>
      <c r="K224" s="39" t="s">
        <v>16</v>
      </c>
      <c r="L224" s="39" t="s">
        <v>211</v>
      </c>
      <c r="M224" s="39" t="s">
        <v>212</v>
      </c>
      <c r="N224" s="39" t="s">
        <v>125</v>
      </c>
      <c r="O224" s="39"/>
      <c r="P224" s="39"/>
      <c r="Q224" s="39" t="s">
        <v>2576</v>
      </c>
      <c r="R224" s="39" t="s">
        <v>16</v>
      </c>
      <c r="S224" s="39" t="s">
        <v>2577</v>
      </c>
      <c r="T224" s="39" t="s">
        <v>130</v>
      </c>
      <c r="U224" s="39" t="s">
        <v>2578</v>
      </c>
      <c r="V224" s="39" t="s">
        <v>132</v>
      </c>
      <c r="W224" s="39" t="s">
        <v>194</v>
      </c>
      <c r="X224" s="39" t="s">
        <v>187</v>
      </c>
      <c r="Y224" s="39" t="s">
        <v>2579</v>
      </c>
      <c r="Z224" s="39" t="s">
        <v>288</v>
      </c>
      <c r="AA224" s="39" t="s">
        <v>197</v>
      </c>
      <c r="AB224" s="39" t="s">
        <v>2576</v>
      </c>
      <c r="AC224" s="39">
        <v>5360965</v>
      </c>
      <c r="AD224" s="39" t="s">
        <v>16</v>
      </c>
      <c r="AE224" s="39" t="s">
        <v>2580</v>
      </c>
      <c r="AF224" s="39" t="s">
        <v>16</v>
      </c>
      <c r="AG224" s="39" t="s">
        <v>2580</v>
      </c>
      <c r="AH224" s="39" t="s">
        <v>200</v>
      </c>
      <c r="AI224" s="39" t="s">
        <v>201</v>
      </c>
      <c r="AJ224" s="39" t="s">
        <v>140</v>
      </c>
      <c r="AK224" s="39" t="s">
        <v>125</v>
      </c>
      <c r="AL224" s="39">
        <v>5680</v>
      </c>
      <c r="AM224" s="39"/>
      <c r="AN224" s="39" t="s">
        <v>125</v>
      </c>
      <c r="AO224" s="39" t="s">
        <v>142</v>
      </c>
      <c r="AP224" s="39" t="s">
        <v>143</v>
      </c>
      <c r="AQ224" s="39" t="s">
        <v>144</v>
      </c>
      <c r="AR224" s="39" t="s">
        <v>2581</v>
      </c>
      <c r="AS224" s="39" t="s">
        <v>2582</v>
      </c>
      <c r="AT224" s="39" t="s">
        <v>388</v>
      </c>
      <c r="AU224" s="39"/>
      <c r="AV224" s="39" t="s">
        <v>2583</v>
      </c>
      <c r="AW224" s="39"/>
      <c r="AX224" s="39"/>
      <c r="AY224" s="39"/>
      <c r="AZ224" s="39"/>
      <c r="BA224" s="39">
        <v>80076816</v>
      </c>
      <c r="BB224" s="39" t="s">
        <v>149</v>
      </c>
      <c r="BC224" s="39" t="s">
        <v>150</v>
      </c>
      <c r="BD224" s="39" t="s">
        <v>179</v>
      </c>
      <c r="BE224" s="39" t="s">
        <v>125</v>
      </c>
      <c r="BF224" s="39"/>
      <c r="BG224" s="39" t="s">
        <v>180</v>
      </c>
      <c r="BH224" s="39" t="s">
        <v>149</v>
      </c>
      <c r="BI224" s="39" t="s">
        <v>125</v>
      </c>
      <c r="BJ224" s="39"/>
      <c r="BK224" s="39" t="s">
        <v>153</v>
      </c>
      <c r="BL224" s="39"/>
      <c r="BM224" s="39"/>
      <c r="BN224" s="39" t="s">
        <v>212</v>
      </c>
    </row>
    <row r="225" spans="1:66" hidden="1">
      <c r="A225" s="39">
        <v>223</v>
      </c>
      <c r="B225" s="39" t="s">
        <v>118</v>
      </c>
      <c r="C225" s="39" t="s">
        <v>119</v>
      </c>
      <c r="D225" s="39" t="s">
        <v>168</v>
      </c>
      <c r="E225" s="39" t="s">
        <v>2584</v>
      </c>
      <c r="F225" s="39" t="s">
        <v>208</v>
      </c>
      <c r="G225" s="39" t="s">
        <v>2585</v>
      </c>
      <c r="H225" s="39" t="s">
        <v>2586</v>
      </c>
      <c r="I225" s="39"/>
      <c r="J225" s="39" t="s">
        <v>126</v>
      </c>
      <c r="K225" s="39" t="s">
        <v>24</v>
      </c>
      <c r="L225" s="39" t="s">
        <v>211</v>
      </c>
      <c r="M225" s="39" t="s">
        <v>212</v>
      </c>
      <c r="N225" s="39"/>
      <c r="O225" s="39"/>
      <c r="P225" s="39"/>
      <c r="Q225" s="39" t="s">
        <v>2587</v>
      </c>
      <c r="R225" s="39" t="s">
        <v>24</v>
      </c>
      <c r="S225" s="39" t="s">
        <v>2588</v>
      </c>
      <c r="T225" s="39" t="s">
        <v>130</v>
      </c>
      <c r="U225" s="39" t="s">
        <v>2589</v>
      </c>
      <c r="V225" s="39" t="s">
        <v>132</v>
      </c>
      <c r="W225" s="39" t="s">
        <v>194</v>
      </c>
      <c r="X225" s="39" t="s">
        <v>187</v>
      </c>
      <c r="Y225" s="39" t="s">
        <v>2590</v>
      </c>
      <c r="Z225" s="39" t="s">
        <v>196</v>
      </c>
      <c r="AA225" s="39" t="s">
        <v>197</v>
      </c>
      <c r="AB225" s="39" t="s">
        <v>2587</v>
      </c>
      <c r="AC225" s="39">
        <v>5400917</v>
      </c>
      <c r="AD225" s="39" t="s">
        <v>24</v>
      </c>
      <c r="AE225" s="39" t="s">
        <v>2591</v>
      </c>
      <c r="AF225" s="39" t="s">
        <v>24</v>
      </c>
      <c r="AG225" s="39" t="s">
        <v>2592</v>
      </c>
      <c r="AH225" s="39" t="s">
        <v>200</v>
      </c>
      <c r="AI225" s="39" t="s">
        <v>201</v>
      </c>
      <c r="AJ225" s="39" t="s">
        <v>140</v>
      </c>
      <c r="AK225" s="39" t="s">
        <v>125</v>
      </c>
      <c r="AL225" s="39">
        <v>4880</v>
      </c>
      <c r="AM225" s="39"/>
      <c r="AN225" s="39" t="s">
        <v>125</v>
      </c>
      <c r="AO225" s="39" t="s">
        <v>142</v>
      </c>
      <c r="AP225" s="39" t="s">
        <v>143</v>
      </c>
      <c r="AQ225" s="39" t="s">
        <v>345</v>
      </c>
      <c r="AR225" s="39" t="s">
        <v>2593</v>
      </c>
      <c r="AS225" s="39" t="s">
        <v>2594</v>
      </c>
      <c r="AT225" s="39" t="s">
        <v>2595</v>
      </c>
      <c r="AU225" s="39"/>
      <c r="AV225" s="39" t="s">
        <v>2596</v>
      </c>
      <c r="AW225" s="39"/>
      <c r="AX225" s="39"/>
      <c r="AY225" s="39"/>
      <c r="AZ225" s="39"/>
      <c r="BA225" s="39">
        <v>74854191</v>
      </c>
      <c r="BB225" s="39" t="s">
        <v>149</v>
      </c>
      <c r="BC225" s="39" t="s">
        <v>150</v>
      </c>
      <c r="BD225" s="39" t="s">
        <v>179</v>
      </c>
      <c r="BE225" s="39" t="s">
        <v>125</v>
      </c>
      <c r="BF225" s="39"/>
      <c r="BG225" s="39" t="s">
        <v>180</v>
      </c>
      <c r="BH225" s="39" t="s">
        <v>152</v>
      </c>
      <c r="BI225" s="39" t="s">
        <v>125</v>
      </c>
      <c r="BJ225" s="39"/>
      <c r="BK225" s="39" t="s">
        <v>153</v>
      </c>
      <c r="BL225" s="39"/>
      <c r="BM225" s="39"/>
      <c r="BN225" s="39" t="s">
        <v>181</v>
      </c>
    </row>
    <row r="226" spans="1:66" hidden="1">
      <c r="A226" s="39">
        <v>224</v>
      </c>
      <c r="B226" s="39" t="s">
        <v>118</v>
      </c>
      <c r="C226" s="39" t="s">
        <v>119</v>
      </c>
      <c r="D226" s="39" t="s">
        <v>156</v>
      </c>
      <c r="E226" s="39" t="s">
        <v>2597</v>
      </c>
      <c r="F226" s="39" t="s">
        <v>855</v>
      </c>
      <c r="G226" s="39" t="s">
        <v>2598</v>
      </c>
      <c r="H226" s="39" t="s">
        <v>2599</v>
      </c>
      <c r="I226" s="39"/>
      <c r="J226" s="39" t="s">
        <v>126</v>
      </c>
      <c r="K226" s="39" t="s">
        <v>23</v>
      </c>
      <c r="L226" s="39" t="s">
        <v>858</v>
      </c>
      <c r="M226" s="39" t="s">
        <v>2280</v>
      </c>
      <c r="N226" s="39" t="s">
        <v>125</v>
      </c>
      <c r="O226" s="39"/>
      <c r="P226" s="39"/>
      <c r="Q226" s="39" t="s">
        <v>2600</v>
      </c>
      <c r="R226" s="39" t="s">
        <v>23</v>
      </c>
      <c r="S226" s="39" t="s">
        <v>2601</v>
      </c>
      <c r="T226" s="39" t="s">
        <v>359</v>
      </c>
      <c r="U226" s="39" t="s">
        <v>2602</v>
      </c>
      <c r="V226" s="39" t="s">
        <v>132</v>
      </c>
      <c r="W226" s="39" t="s">
        <v>133</v>
      </c>
      <c r="X226" s="39" t="s">
        <v>126</v>
      </c>
      <c r="Y226" s="39" t="s">
        <v>1756</v>
      </c>
      <c r="Z226" s="39" t="s">
        <v>2232</v>
      </c>
      <c r="AA226" s="39" t="s">
        <v>2004</v>
      </c>
      <c r="AB226" s="39" t="s">
        <v>2600</v>
      </c>
      <c r="AC226" s="39">
        <v>5389329</v>
      </c>
      <c r="AD226" s="39" t="s">
        <v>23</v>
      </c>
      <c r="AE226" s="39" t="s">
        <v>2603</v>
      </c>
      <c r="AF226" s="39" t="s">
        <v>23</v>
      </c>
      <c r="AG226" s="39" t="s">
        <v>2603</v>
      </c>
      <c r="AH226" s="39" t="s">
        <v>516</v>
      </c>
      <c r="AI226" s="39" t="s">
        <v>517</v>
      </c>
      <c r="AJ226" s="39" t="s">
        <v>140</v>
      </c>
      <c r="AK226" s="39" t="s">
        <v>125</v>
      </c>
      <c r="AL226" s="39">
        <v>15000</v>
      </c>
      <c r="AM226" s="39" t="s">
        <v>2604</v>
      </c>
      <c r="AN226" s="39" t="s">
        <v>125</v>
      </c>
      <c r="AO226" s="39" t="s">
        <v>367</v>
      </c>
      <c r="AP226" s="39" t="s">
        <v>143</v>
      </c>
      <c r="AQ226" s="39" t="s">
        <v>144</v>
      </c>
      <c r="AR226" s="39" t="s">
        <v>2605</v>
      </c>
      <c r="AS226" s="39" t="s">
        <v>2606</v>
      </c>
      <c r="AT226" s="39" t="s">
        <v>2595</v>
      </c>
      <c r="AU226" s="39"/>
      <c r="AV226" s="39" t="s">
        <v>2607</v>
      </c>
      <c r="AW226" s="39"/>
      <c r="AX226" s="39"/>
      <c r="AY226" s="39"/>
      <c r="AZ226" s="39"/>
      <c r="BA226" s="39">
        <v>56463979</v>
      </c>
      <c r="BB226" s="39" t="s">
        <v>149</v>
      </c>
      <c r="BC226" s="39" t="s">
        <v>150</v>
      </c>
      <c r="BD226" s="39" t="s">
        <v>2608</v>
      </c>
      <c r="BE226" s="39" t="s">
        <v>125</v>
      </c>
      <c r="BF226" s="39"/>
      <c r="BG226" s="39" t="s">
        <v>298</v>
      </c>
      <c r="BH226" s="39" t="s">
        <v>152</v>
      </c>
      <c r="BI226" s="39" t="s">
        <v>125</v>
      </c>
      <c r="BJ226" s="39"/>
      <c r="BK226" s="39" t="s">
        <v>153</v>
      </c>
      <c r="BL226" s="39"/>
      <c r="BM226" s="39" t="s">
        <v>154</v>
      </c>
      <c r="BN226" s="39" t="s">
        <v>155</v>
      </c>
    </row>
    <row r="227" spans="1:66">
      <c r="A227" s="39">
        <v>225</v>
      </c>
      <c r="B227" s="39" t="s">
        <v>118</v>
      </c>
      <c r="C227" s="39" t="s">
        <v>119</v>
      </c>
      <c r="D227" s="39"/>
      <c r="E227" s="39" t="s">
        <v>1750</v>
      </c>
      <c r="F227" s="39"/>
      <c r="G227" s="39" t="s">
        <v>1751</v>
      </c>
      <c r="H227" s="39" t="s">
        <v>983</v>
      </c>
      <c r="I227" s="39" t="s">
        <v>125</v>
      </c>
      <c r="J227" s="39" t="s">
        <v>418</v>
      </c>
      <c r="K227" s="39" t="s">
        <v>16</v>
      </c>
      <c r="L227" s="39" t="s">
        <v>188</v>
      </c>
      <c r="M227" s="39" t="s">
        <v>395</v>
      </c>
      <c r="N227" s="39"/>
      <c r="O227" s="39"/>
      <c r="P227" s="39"/>
      <c r="Q227" s="39" t="s">
        <v>1752</v>
      </c>
      <c r="R227" s="39" t="s">
        <v>16</v>
      </c>
      <c r="S227" s="39" t="s">
        <v>2609</v>
      </c>
      <c r="T227" s="39" t="s">
        <v>359</v>
      </c>
      <c r="U227" s="39" t="s">
        <v>2610</v>
      </c>
      <c r="V227" s="39" t="s">
        <v>132</v>
      </c>
      <c r="W227" s="39" t="s">
        <v>1755</v>
      </c>
      <c r="X227" s="39" t="s">
        <v>418</v>
      </c>
      <c r="Y227" s="39" t="s">
        <v>1756</v>
      </c>
      <c r="Z227" s="39" t="s">
        <v>1757</v>
      </c>
      <c r="AA227" s="39" t="s">
        <v>1758</v>
      </c>
      <c r="AB227" s="42" t="s">
        <v>1752</v>
      </c>
      <c r="AC227" s="39">
        <v>5388723</v>
      </c>
      <c r="AD227" s="39" t="s">
        <v>16</v>
      </c>
      <c r="AE227" s="39" t="s">
        <v>2611</v>
      </c>
      <c r="AF227" s="39" t="s">
        <v>16</v>
      </c>
      <c r="AG227" s="39" t="s">
        <v>2612</v>
      </c>
      <c r="AH227" s="39" t="s">
        <v>2613</v>
      </c>
      <c r="AI227" s="39" t="s">
        <v>2614</v>
      </c>
      <c r="AJ227" s="39" t="s">
        <v>140</v>
      </c>
      <c r="AK227" s="39" t="s">
        <v>125</v>
      </c>
      <c r="AL227" s="39">
        <v>3700</v>
      </c>
      <c r="AM227" s="39" t="s">
        <v>2604</v>
      </c>
      <c r="AN227" s="39" t="s">
        <v>1763</v>
      </c>
      <c r="AO227" s="39" t="s">
        <v>367</v>
      </c>
      <c r="AP227" s="39" t="s">
        <v>143</v>
      </c>
      <c r="AQ227" s="39" t="s">
        <v>175</v>
      </c>
      <c r="AR227" s="39" t="s">
        <v>1764</v>
      </c>
      <c r="AS227" s="39" t="s">
        <v>2615</v>
      </c>
      <c r="AT227" s="39" t="s">
        <v>2595</v>
      </c>
      <c r="AU227" s="39"/>
      <c r="AV227" s="39" t="s">
        <v>2616</v>
      </c>
      <c r="AW227" s="39"/>
      <c r="AX227" s="39"/>
      <c r="AY227" s="39"/>
      <c r="AZ227" s="39"/>
      <c r="BA227" s="39">
        <v>66635963</v>
      </c>
      <c r="BB227" s="39" t="s">
        <v>149</v>
      </c>
      <c r="BC227" s="39" t="s">
        <v>435</v>
      </c>
      <c r="BD227" s="39" t="s">
        <v>436</v>
      </c>
      <c r="BE227" s="39" t="s">
        <v>1767</v>
      </c>
      <c r="BF227" s="39"/>
      <c r="BG227" s="39" t="s">
        <v>298</v>
      </c>
      <c r="BH227" s="39" t="s">
        <v>152</v>
      </c>
      <c r="BI227" s="39" t="s">
        <v>125</v>
      </c>
      <c r="BJ227" s="39"/>
      <c r="BK227" s="39" t="s">
        <v>153</v>
      </c>
      <c r="BL227" s="39"/>
      <c r="BM227" s="39" t="s">
        <v>154</v>
      </c>
      <c r="BN227" s="39"/>
    </row>
    <row r="228" spans="1:66">
      <c r="A228" s="39">
        <v>226</v>
      </c>
      <c r="B228" s="39" t="s">
        <v>118</v>
      </c>
      <c r="C228" s="39" t="s">
        <v>119</v>
      </c>
      <c r="D228" s="39"/>
      <c r="E228" s="39" t="s">
        <v>1750</v>
      </c>
      <c r="F228" s="39"/>
      <c r="G228" s="39" t="s">
        <v>1751</v>
      </c>
      <c r="H228" s="39" t="s">
        <v>983</v>
      </c>
      <c r="I228" s="39" t="s">
        <v>125</v>
      </c>
      <c r="J228" s="39" t="s">
        <v>418</v>
      </c>
      <c r="K228" s="39" t="s">
        <v>16</v>
      </c>
      <c r="L228" s="39" t="s">
        <v>188</v>
      </c>
      <c r="M228" s="39" t="s">
        <v>395</v>
      </c>
      <c r="N228" s="39"/>
      <c r="O228" s="39"/>
      <c r="P228" s="39"/>
      <c r="Q228" s="39" t="s">
        <v>1752</v>
      </c>
      <c r="R228" s="39" t="s">
        <v>16</v>
      </c>
      <c r="S228" s="39" t="s">
        <v>2609</v>
      </c>
      <c r="T228" s="39" t="s">
        <v>359</v>
      </c>
      <c r="U228" s="39" t="s">
        <v>2610</v>
      </c>
      <c r="V228" s="39" t="s">
        <v>132</v>
      </c>
      <c r="W228" s="39" t="s">
        <v>1755</v>
      </c>
      <c r="X228" s="39" t="s">
        <v>418</v>
      </c>
      <c r="Y228" s="39" t="s">
        <v>1756</v>
      </c>
      <c r="Z228" s="39" t="s">
        <v>1757</v>
      </c>
      <c r="AA228" s="39" t="s">
        <v>1758</v>
      </c>
      <c r="AB228" s="39" t="s">
        <v>1752</v>
      </c>
      <c r="AC228" s="39">
        <v>5388723</v>
      </c>
      <c r="AD228" s="39" t="s">
        <v>16</v>
      </c>
      <c r="AE228" s="39" t="s">
        <v>2611</v>
      </c>
      <c r="AF228" s="39" t="s">
        <v>16</v>
      </c>
      <c r="AG228" s="39" t="s">
        <v>2612</v>
      </c>
      <c r="AH228" s="39" t="s">
        <v>2617</v>
      </c>
      <c r="AI228" s="39" t="s">
        <v>2618</v>
      </c>
      <c r="AJ228" s="39" t="s">
        <v>140</v>
      </c>
      <c r="AK228" s="39" t="s">
        <v>125</v>
      </c>
      <c r="AL228" s="39">
        <v>5800</v>
      </c>
      <c r="AM228" s="39" t="s">
        <v>2604</v>
      </c>
      <c r="AN228" s="39" t="s">
        <v>1763</v>
      </c>
      <c r="AO228" s="39" t="s">
        <v>367</v>
      </c>
      <c r="AP228" s="39" t="s">
        <v>143</v>
      </c>
      <c r="AQ228" s="39" t="s">
        <v>175</v>
      </c>
      <c r="AR228" s="39" t="s">
        <v>1764</v>
      </c>
      <c r="AS228" s="39" t="s">
        <v>2619</v>
      </c>
      <c r="AT228" s="39" t="s">
        <v>2595</v>
      </c>
      <c r="AU228" s="39"/>
      <c r="AV228" s="39" t="s">
        <v>2616</v>
      </c>
      <c r="AW228" s="39"/>
      <c r="AX228" s="39"/>
      <c r="AY228" s="39"/>
      <c r="AZ228" s="39"/>
      <c r="BA228" s="39">
        <v>66635963</v>
      </c>
      <c r="BB228" s="39" t="s">
        <v>149</v>
      </c>
      <c r="BC228" s="39" t="s">
        <v>435</v>
      </c>
      <c r="BD228" s="39" t="s">
        <v>436</v>
      </c>
      <c r="BE228" s="39" t="s">
        <v>1767</v>
      </c>
      <c r="BF228" s="39"/>
      <c r="BG228" s="39" t="s">
        <v>298</v>
      </c>
      <c r="BH228" s="39" t="s">
        <v>152</v>
      </c>
      <c r="BI228" s="39" t="s">
        <v>125</v>
      </c>
      <c r="BJ228" s="39"/>
      <c r="BK228" s="39" t="s">
        <v>153</v>
      </c>
      <c r="BL228" s="39"/>
      <c r="BM228" s="39" t="s">
        <v>154</v>
      </c>
      <c r="BN228" s="39"/>
    </row>
    <row r="229" spans="1:66">
      <c r="A229" s="39">
        <v>227</v>
      </c>
      <c r="B229" s="39" t="s">
        <v>118</v>
      </c>
      <c r="C229" s="39" t="s">
        <v>119</v>
      </c>
      <c r="D229" s="39"/>
      <c r="E229" s="39" t="s">
        <v>1750</v>
      </c>
      <c r="F229" s="39"/>
      <c r="G229" s="39" t="s">
        <v>1751</v>
      </c>
      <c r="H229" s="39" t="s">
        <v>983</v>
      </c>
      <c r="I229" s="39" t="s">
        <v>125</v>
      </c>
      <c r="J229" s="39" t="s">
        <v>418</v>
      </c>
      <c r="K229" s="39" t="s">
        <v>16</v>
      </c>
      <c r="L229" s="39" t="s">
        <v>188</v>
      </c>
      <c r="M229" s="39" t="s">
        <v>395</v>
      </c>
      <c r="N229" s="39"/>
      <c r="O229" s="39"/>
      <c r="P229" s="39"/>
      <c r="Q229" s="39" t="s">
        <v>1752</v>
      </c>
      <c r="R229" s="39" t="s">
        <v>16</v>
      </c>
      <c r="S229" s="39" t="s">
        <v>2609</v>
      </c>
      <c r="T229" s="39" t="s">
        <v>359</v>
      </c>
      <c r="U229" s="39" t="s">
        <v>2610</v>
      </c>
      <c r="V229" s="39" t="s">
        <v>132</v>
      </c>
      <c r="W229" s="39" t="s">
        <v>1755</v>
      </c>
      <c r="X229" s="39" t="s">
        <v>418</v>
      </c>
      <c r="Y229" s="39" t="s">
        <v>1756</v>
      </c>
      <c r="Z229" s="39" t="s">
        <v>1757</v>
      </c>
      <c r="AA229" s="39" t="s">
        <v>1758</v>
      </c>
      <c r="AB229" s="39" t="s">
        <v>1752</v>
      </c>
      <c r="AC229" s="39">
        <v>5388723</v>
      </c>
      <c r="AD229" s="39" t="s">
        <v>16</v>
      </c>
      <c r="AE229" s="39" t="s">
        <v>2611</v>
      </c>
      <c r="AF229" s="39" t="s">
        <v>16</v>
      </c>
      <c r="AG229" s="39" t="s">
        <v>2612</v>
      </c>
      <c r="AH229" s="39" t="s">
        <v>2620</v>
      </c>
      <c r="AI229" s="39" t="s">
        <v>2621</v>
      </c>
      <c r="AJ229" s="39" t="s">
        <v>140</v>
      </c>
      <c r="AK229" s="39" t="s">
        <v>125</v>
      </c>
      <c r="AL229" s="39">
        <v>8800</v>
      </c>
      <c r="AM229" s="39" t="s">
        <v>2604</v>
      </c>
      <c r="AN229" s="39" t="s">
        <v>1763</v>
      </c>
      <c r="AO229" s="39" t="s">
        <v>367</v>
      </c>
      <c r="AP229" s="39" t="s">
        <v>143</v>
      </c>
      <c r="AQ229" s="39" t="s">
        <v>175</v>
      </c>
      <c r="AR229" s="39" t="s">
        <v>1764</v>
      </c>
      <c r="AS229" s="39" t="s">
        <v>2622</v>
      </c>
      <c r="AT229" s="39" t="s">
        <v>2595</v>
      </c>
      <c r="AU229" s="39"/>
      <c r="AV229" s="39" t="s">
        <v>2616</v>
      </c>
      <c r="AW229" s="39"/>
      <c r="AX229" s="39"/>
      <c r="AY229" s="39"/>
      <c r="AZ229" s="39"/>
      <c r="BA229" s="39">
        <v>66635963</v>
      </c>
      <c r="BB229" s="39" t="s">
        <v>149</v>
      </c>
      <c r="BC229" s="39" t="s">
        <v>435</v>
      </c>
      <c r="BD229" s="39" t="s">
        <v>436</v>
      </c>
      <c r="BE229" s="39" t="s">
        <v>1767</v>
      </c>
      <c r="BF229" s="39"/>
      <c r="BG229" s="39" t="s">
        <v>298</v>
      </c>
      <c r="BH229" s="39" t="s">
        <v>152</v>
      </c>
      <c r="BI229" s="39" t="s">
        <v>125</v>
      </c>
      <c r="BJ229" s="39"/>
      <c r="BK229" s="39" t="s">
        <v>153</v>
      </c>
      <c r="BL229" s="39"/>
      <c r="BM229" s="39" t="s">
        <v>154</v>
      </c>
      <c r="BN229" s="39"/>
    </row>
    <row r="230" spans="1:66" hidden="1">
      <c r="A230" s="39">
        <v>228</v>
      </c>
      <c r="B230" s="39" t="s">
        <v>118</v>
      </c>
      <c r="C230" s="39" t="s">
        <v>119</v>
      </c>
      <c r="D230" s="39" t="s">
        <v>2623</v>
      </c>
      <c r="E230" s="39" t="s">
        <v>2624</v>
      </c>
      <c r="F230" s="39" t="s">
        <v>279</v>
      </c>
      <c r="G230" s="39" t="s">
        <v>2625</v>
      </c>
      <c r="H230" s="39" t="s">
        <v>2626</v>
      </c>
      <c r="I230" s="39"/>
      <c r="J230" s="39" t="s">
        <v>187</v>
      </c>
      <c r="K230" s="39" t="s">
        <v>23</v>
      </c>
      <c r="L230" s="39" t="s">
        <v>188</v>
      </c>
      <c r="M230" s="39" t="s">
        <v>395</v>
      </c>
      <c r="N230" s="39" t="s">
        <v>182</v>
      </c>
      <c r="O230" s="39"/>
      <c r="P230" s="39"/>
      <c r="Q230" s="39" t="s">
        <v>2623</v>
      </c>
      <c r="R230" s="39" t="s">
        <v>23</v>
      </c>
      <c r="S230" s="39" t="s">
        <v>2627</v>
      </c>
      <c r="T230" s="39" t="s">
        <v>130</v>
      </c>
      <c r="U230" s="39" t="s">
        <v>2628</v>
      </c>
      <c r="V230" s="39" t="s">
        <v>132</v>
      </c>
      <c r="W230" s="39" t="s">
        <v>818</v>
      </c>
      <c r="X230" s="39" t="s">
        <v>187</v>
      </c>
      <c r="Y230" s="39" t="s">
        <v>288</v>
      </c>
      <c r="Z230" s="39" t="s">
        <v>196</v>
      </c>
      <c r="AA230" s="39" t="s">
        <v>197</v>
      </c>
      <c r="AB230" s="39" t="s">
        <v>2623</v>
      </c>
      <c r="AC230" s="39">
        <v>5360686</v>
      </c>
      <c r="AD230" s="39" t="s">
        <v>23</v>
      </c>
      <c r="AE230" s="39" t="s">
        <v>2629</v>
      </c>
      <c r="AF230" s="39" t="s">
        <v>23</v>
      </c>
      <c r="AG230" s="39" t="s">
        <v>2630</v>
      </c>
      <c r="AH230" s="39" t="s">
        <v>316</v>
      </c>
      <c r="AI230" s="39" t="s">
        <v>317</v>
      </c>
      <c r="AJ230" s="39" t="s">
        <v>140</v>
      </c>
      <c r="AK230" s="39" t="s">
        <v>125</v>
      </c>
      <c r="AL230" s="39">
        <v>4180</v>
      </c>
      <c r="AM230" s="39"/>
      <c r="AN230" s="39" t="s">
        <v>182</v>
      </c>
      <c r="AO230" s="39" t="s">
        <v>142</v>
      </c>
      <c r="AP230" s="39" t="s">
        <v>143</v>
      </c>
      <c r="AQ230" s="39" t="s">
        <v>252</v>
      </c>
      <c r="AR230" s="39" t="s">
        <v>2631</v>
      </c>
      <c r="AS230" s="39" t="s">
        <v>2632</v>
      </c>
      <c r="AT230" s="39" t="s">
        <v>2595</v>
      </c>
      <c r="AU230" s="39"/>
      <c r="AV230" s="39" t="s">
        <v>2633</v>
      </c>
      <c r="AW230" s="39"/>
      <c r="AX230" s="39"/>
      <c r="AY230" s="39"/>
      <c r="AZ230" s="39"/>
      <c r="BA230" s="39">
        <v>74726864</v>
      </c>
      <c r="BB230" s="39" t="s">
        <v>149</v>
      </c>
      <c r="BC230" s="39"/>
      <c r="BD230" s="39" t="s">
        <v>125</v>
      </c>
      <c r="BE230" s="39" t="s">
        <v>125</v>
      </c>
      <c r="BF230" s="39"/>
      <c r="BG230" s="39" t="s">
        <v>180</v>
      </c>
      <c r="BH230" s="39" t="s">
        <v>152</v>
      </c>
      <c r="BI230" s="39" t="s">
        <v>125</v>
      </c>
      <c r="BJ230" s="39"/>
      <c r="BK230" s="39" t="s">
        <v>153</v>
      </c>
      <c r="BL230" s="39"/>
      <c r="BM230" s="39"/>
      <c r="BN230" s="39" t="s">
        <v>333</v>
      </c>
    </row>
    <row r="231" spans="1:66" hidden="1">
      <c r="A231" s="39">
        <v>229</v>
      </c>
      <c r="B231" s="39" t="s">
        <v>118</v>
      </c>
      <c r="C231" s="39" t="s">
        <v>119</v>
      </c>
      <c r="D231" s="39" t="s">
        <v>2634</v>
      </c>
      <c r="E231" s="39" t="s">
        <v>2635</v>
      </c>
      <c r="F231" s="39" t="s">
        <v>258</v>
      </c>
      <c r="G231" s="39" t="s">
        <v>2636</v>
      </c>
      <c r="H231" s="39" t="s">
        <v>2637</v>
      </c>
      <c r="I231" s="39" t="s">
        <v>2638</v>
      </c>
      <c r="J231" s="39"/>
      <c r="K231" s="39" t="s">
        <v>283</v>
      </c>
      <c r="L231" s="39" t="s">
        <v>263</v>
      </c>
      <c r="M231" s="39" t="s">
        <v>2639</v>
      </c>
      <c r="N231" s="39" t="s">
        <v>125</v>
      </c>
      <c r="O231" s="39" t="s">
        <v>283</v>
      </c>
      <c r="P231" s="39" t="s">
        <v>2640</v>
      </c>
      <c r="Q231" s="39" t="s">
        <v>2641</v>
      </c>
      <c r="R231" s="39" t="s">
        <v>24</v>
      </c>
      <c r="S231" s="39" t="s">
        <v>2642</v>
      </c>
      <c r="T231" s="39" t="s">
        <v>130</v>
      </c>
      <c r="U231" s="39" t="s">
        <v>2643</v>
      </c>
      <c r="V231" s="39" t="s">
        <v>132</v>
      </c>
      <c r="W231" s="39" t="s">
        <v>194</v>
      </c>
      <c r="X231" s="39" t="s">
        <v>187</v>
      </c>
      <c r="Y231" s="39" t="s">
        <v>755</v>
      </c>
      <c r="Z231" s="39" t="s">
        <v>196</v>
      </c>
      <c r="AA231" s="39" t="s">
        <v>197</v>
      </c>
      <c r="AB231" s="39" t="s">
        <v>2641</v>
      </c>
      <c r="AC231" s="39">
        <v>5360646</v>
      </c>
      <c r="AD231" s="39" t="s">
        <v>24</v>
      </c>
      <c r="AE231" s="39" t="s">
        <v>2644</v>
      </c>
      <c r="AF231" s="39" t="s">
        <v>24</v>
      </c>
      <c r="AG231" s="39" t="s">
        <v>2645</v>
      </c>
      <c r="AH231" s="39" t="s">
        <v>316</v>
      </c>
      <c r="AI231" s="39" t="s">
        <v>317</v>
      </c>
      <c r="AJ231" s="39" t="s">
        <v>140</v>
      </c>
      <c r="AK231" s="39" t="s">
        <v>125</v>
      </c>
      <c r="AL231" s="39">
        <v>4525.6000000000004</v>
      </c>
      <c r="AM231" s="39"/>
      <c r="AN231" s="39" t="s">
        <v>125</v>
      </c>
      <c r="AO231" s="39" t="s">
        <v>142</v>
      </c>
      <c r="AP231" s="39" t="s">
        <v>143</v>
      </c>
      <c r="AQ231" s="39" t="s">
        <v>144</v>
      </c>
      <c r="AR231" s="39" t="s">
        <v>2646</v>
      </c>
      <c r="AS231" s="39" t="s">
        <v>2647</v>
      </c>
      <c r="AT231" s="39" t="s">
        <v>2595</v>
      </c>
      <c r="AU231" s="39"/>
      <c r="AV231" s="39" t="s">
        <v>2648</v>
      </c>
      <c r="AW231" s="39"/>
      <c r="AX231" s="39"/>
      <c r="AY231" s="39"/>
      <c r="AZ231" s="39"/>
      <c r="BA231" s="39">
        <v>79733436</v>
      </c>
      <c r="BB231" s="39" t="s">
        <v>149</v>
      </c>
      <c r="BC231" s="39" t="s">
        <v>150</v>
      </c>
      <c r="BD231" s="39" t="s">
        <v>179</v>
      </c>
      <c r="BE231" s="39" t="s">
        <v>125</v>
      </c>
      <c r="BF231" s="39"/>
      <c r="BG231" s="39" t="s">
        <v>180</v>
      </c>
      <c r="BH231" s="39" t="s">
        <v>152</v>
      </c>
      <c r="BI231" s="39" t="s">
        <v>125</v>
      </c>
      <c r="BJ231" s="39"/>
      <c r="BK231" s="39" t="s">
        <v>153</v>
      </c>
      <c r="BL231" s="39"/>
      <c r="BM231" s="39"/>
      <c r="BN231" s="39" t="s">
        <v>915</v>
      </c>
    </row>
    <row r="232" spans="1:66" hidden="1">
      <c r="A232" s="39">
        <v>230</v>
      </c>
      <c r="B232" s="39" t="s">
        <v>118</v>
      </c>
      <c r="C232" s="39" t="s">
        <v>119</v>
      </c>
      <c r="D232" s="39" t="s">
        <v>2634</v>
      </c>
      <c r="E232" s="39" t="s">
        <v>2635</v>
      </c>
      <c r="F232" s="39" t="s">
        <v>258</v>
      </c>
      <c r="G232" s="39" t="s">
        <v>2636</v>
      </c>
      <c r="H232" s="39" t="s">
        <v>2637</v>
      </c>
      <c r="I232" s="39" t="s">
        <v>2638</v>
      </c>
      <c r="J232" s="39"/>
      <c r="K232" s="39" t="s">
        <v>283</v>
      </c>
      <c r="L232" s="39" t="s">
        <v>263</v>
      </c>
      <c r="M232" s="39" t="s">
        <v>2639</v>
      </c>
      <c r="N232" s="39" t="s">
        <v>125</v>
      </c>
      <c r="O232" s="39" t="s">
        <v>283</v>
      </c>
      <c r="P232" s="39" t="s">
        <v>2640</v>
      </c>
      <c r="Q232" s="39" t="s">
        <v>2641</v>
      </c>
      <c r="R232" s="39" t="s">
        <v>24</v>
      </c>
      <c r="S232" s="39" t="s">
        <v>2642</v>
      </c>
      <c r="T232" s="39" t="s">
        <v>130</v>
      </c>
      <c r="U232" s="39" t="s">
        <v>2643</v>
      </c>
      <c r="V232" s="39" t="s">
        <v>132</v>
      </c>
      <c r="W232" s="39" t="s">
        <v>194</v>
      </c>
      <c r="X232" s="39" t="s">
        <v>187</v>
      </c>
      <c r="Y232" s="39" t="s">
        <v>755</v>
      </c>
      <c r="Z232" s="39" t="s">
        <v>196</v>
      </c>
      <c r="AA232" s="39" t="s">
        <v>197</v>
      </c>
      <c r="AB232" s="39" t="s">
        <v>2641</v>
      </c>
      <c r="AC232" s="39">
        <v>5360646</v>
      </c>
      <c r="AD232" s="39" t="s">
        <v>24</v>
      </c>
      <c r="AE232" s="39" t="s">
        <v>2644</v>
      </c>
      <c r="AF232" s="39" t="s">
        <v>24</v>
      </c>
      <c r="AG232" s="39" t="s">
        <v>2645</v>
      </c>
      <c r="AH232" s="39" t="s">
        <v>200</v>
      </c>
      <c r="AI232" s="39" t="s">
        <v>201</v>
      </c>
      <c r="AJ232" s="39" t="s">
        <v>140</v>
      </c>
      <c r="AK232" s="39" t="s">
        <v>125</v>
      </c>
      <c r="AL232" s="39">
        <v>5434.4</v>
      </c>
      <c r="AM232" s="39"/>
      <c r="AN232" s="39" t="s">
        <v>125</v>
      </c>
      <c r="AO232" s="39" t="s">
        <v>142</v>
      </c>
      <c r="AP232" s="39" t="s">
        <v>143</v>
      </c>
      <c r="AQ232" s="39" t="s">
        <v>144</v>
      </c>
      <c r="AR232" s="39" t="s">
        <v>2646</v>
      </c>
      <c r="AS232" s="39" t="s">
        <v>2649</v>
      </c>
      <c r="AT232" s="39" t="s">
        <v>2595</v>
      </c>
      <c r="AU232" s="39"/>
      <c r="AV232" s="39" t="s">
        <v>2648</v>
      </c>
      <c r="AW232" s="39"/>
      <c r="AX232" s="39"/>
      <c r="AY232" s="39"/>
      <c r="AZ232" s="39"/>
      <c r="BA232" s="39">
        <v>79733436</v>
      </c>
      <c r="BB232" s="39" t="s">
        <v>149</v>
      </c>
      <c r="BC232" s="39" t="s">
        <v>150</v>
      </c>
      <c r="BD232" s="39" t="s">
        <v>179</v>
      </c>
      <c r="BE232" s="39" t="s">
        <v>125</v>
      </c>
      <c r="BF232" s="39"/>
      <c r="BG232" s="39" t="s">
        <v>180</v>
      </c>
      <c r="BH232" s="39" t="s">
        <v>152</v>
      </c>
      <c r="BI232" s="39" t="s">
        <v>125</v>
      </c>
      <c r="BJ232" s="39"/>
      <c r="BK232" s="39" t="s">
        <v>153</v>
      </c>
      <c r="BL232" s="39"/>
      <c r="BM232" s="39"/>
      <c r="BN232" s="39" t="s">
        <v>915</v>
      </c>
    </row>
    <row r="233" spans="1:66" hidden="1">
      <c r="A233" s="39">
        <v>231</v>
      </c>
      <c r="B233" s="39" t="s">
        <v>118</v>
      </c>
      <c r="C233" s="39" t="s">
        <v>119</v>
      </c>
      <c r="D233" s="39" t="s">
        <v>120</v>
      </c>
      <c r="E233" s="39" t="s">
        <v>2650</v>
      </c>
      <c r="F233" s="39" t="s">
        <v>855</v>
      </c>
      <c r="G233" s="39" t="s">
        <v>2651</v>
      </c>
      <c r="H233" s="39" t="s">
        <v>2652</v>
      </c>
      <c r="I233" s="39" t="s">
        <v>125</v>
      </c>
      <c r="J233" s="39" t="s">
        <v>187</v>
      </c>
      <c r="K233" s="39" t="s">
        <v>23</v>
      </c>
      <c r="L233" s="39" t="s">
        <v>858</v>
      </c>
      <c r="M233" s="39" t="s">
        <v>1157</v>
      </c>
      <c r="N233" s="39" t="s">
        <v>125</v>
      </c>
      <c r="O233" s="39"/>
      <c r="P233" s="39"/>
      <c r="Q233" s="39" t="s">
        <v>2653</v>
      </c>
      <c r="R233" s="39" t="s">
        <v>23</v>
      </c>
      <c r="S233" s="39" t="s">
        <v>2654</v>
      </c>
      <c r="T233" s="39" t="s">
        <v>130</v>
      </c>
      <c r="U233" s="39" t="s">
        <v>2655</v>
      </c>
      <c r="V233" s="39" t="s">
        <v>167</v>
      </c>
      <c r="W233" s="39" t="s">
        <v>168</v>
      </c>
      <c r="X233" s="39" t="s">
        <v>187</v>
      </c>
      <c r="Y233" s="39" t="s">
        <v>2656</v>
      </c>
      <c r="Z233" s="39" t="s">
        <v>196</v>
      </c>
      <c r="AA233" s="39" t="s">
        <v>197</v>
      </c>
      <c r="AB233" s="39" t="s">
        <v>2653</v>
      </c>
      <c r="AC233" s="39">
        <v>5360617</v>
      </c>
      <c r="AD233" s="39" t="s">
        <v>23</v>
      </c>
      <c r="AE233" s="39" t="s">
        <v>2657</v>
      </c>
      <c r="AF233" s="39" t="s">
        <v>23</v>
      </c>
      <c r="AG233" s="39" t="s">
        <v>2394</v>
      </c>
      <c r="AH233" s="39" t="s">
        <v>1890</v>
      </c>
      <c r="AI233" s="39" t="s">
        <v>179</v>
      </c>
      <c r="AJ233" s="39" t="s">
        <v>140</v>
      </c>
      <c r="AK233" s="39" t="s">
        <v>125</v>
      </c>
      <c r="AL233" s="39">
        <v>5680</v>
      </c>
      <c r="AM233" s="39"/>
      <c r="AN233" s="39" t="s">
        <v>125</v>
      </c>
      <c r="AO233" s="39" t="s">
        <v>142</v>
      </c>
      <c r="AP233" s="39" t="s">
        <v>143</v>
      </c>
      <c r="AQ233" s="39" t="s">
        <v>144</v>
      </c>
      <c r="AR233" s="39" t="s">
        <v>2658</v>
      </c>
      <c r="AS233" s="39" t="s">
        <v>2659</v>
      </c>
      <c r="AT233" s="39" t="s">
        <v>2595</v>
      </c>
      <c r="AU233" s="39"/>
      <c r="AV233" s="39" t="s">
        <v>2660</v>
      </c>
      <c r="AW233" s="39"/>
      <c r="AX233" s="39"/>
      <c r="AY233" s="39"/>
      <c r="AZ233" s="39"/>
      <c r="BA233" s="39">
        <v>70711576</v>
      </c>
      <c r="BB233" s="39" t="s">
        <v>149</v>
      </c>
      <c r="BC233" s="39" t="s">
        <v>150</v>
      </c>
      <c r="BD233" s="39" t="s">
        <v>179</v>
      </c>
      <c r="BE233" s="39" t="s">
        <v>125</v>
      </c>
      <c r="BF233" s="39"/>
      <c r="BG233" s="39" t="s">
        <v>180</v>
      </c>
      <c r="BH233" s="39" t="s">
        <v>152</v>
      </c>
      <c r="BI233" s="39" t="s">
        <v>125</v>
      </c>
      <c r="BJ233" s="39"/>
      <c r="BK233" s="39" t="s">
        <v>153</v>
      </c>
      <c r="BL233" s="39"/>
      <c r="BM233" s="39"/>
      <c r="BN233" s="39" t="s">
        <v>181</v>
      </c>
    </row>
    <row r="234" spans="1:66" hidden="1">
      <c r="A234" s="39">
        <v>232</v>
      </c>
      <c r="B234" s="39" t="s">
        <v>118</v>
      </c>
      <c r="C234" s="39" t="s">
        <v>119</v>
      </c>
      <c r="D234" s="39" t="s">
        <v>2661</v>
      </c>
      <c r="E234" s="39" t="s">
        <v>2662</v>
      </c>
      <c r="F234" s="39" t="s">
        <v>279</v>
      </c>
      <c r="G234" s="39" t="s">
        <v>2663</v>
      </c>
      <c r="H234" s="39" t="s">
        <v>2664</v>
      </c>
      <c r="I234" s="39"/>
      <c r="J234" s="39" t="s">
        <v>187</v>
      </c>
      <c r="K234" s="39" t="s">
        <v>23</v>
      </c>
      <c r="L234" s="39" t="s">
        <v>263</v>
      </c>
      <c r="M234" s="39" t="s">
        <v>694</v>
      </c>
      <c r="N234" s="39" t="s">
        <v>125</v>
      </c>
      <c r="O234" s="39"/>
      <c r="P234" s="39"/>
      <c r="Q234" s="39" t="s">
        <v>2661</v>
      </c>
      <c r="R234" s="39" t="s">
        <v>23</v>
      </c>
      <c r="S234" s="39" t="s">
        <v>2665</v>
      </c>
      <c r="T234" s="39" t="s">
        <v>130</v>
      </c>
      <c r="U234" s="39" t="s">
        <v>2666</v>
      </c>
      <c r="V234" s="39" t="s">
        <v>132</v>
      </c>
      <c r="W234" s="39" t="s">
        <v>194</v>
      </c>
      <c r="X234" s="39" t="s">
        <v>187</v>
      </c>
      <c r="Y234" s="39" t="s">
        <v>2667</v>
      </c>
      <c r="Z234" s="39" t="s">
        <v>196</v>
      </c>
      <c r="AA234" s="39" t="s">
        <v>197</v>
      </c>
      <c r="AB234" s="39" t="s">
        <v>2661</v>
      </c>
      <c r="AC234" s="39">
        <v>5360412</v>
      </c>
      <c r="AD234" s="39" t="s">
        <v>23</v>
      </c>
      <c r="AE234" s="39" t="s">
        <v>2668</v>
      </c>
      <c r="AF234" s="39" t="s">
        <v>23</v>
      </c>
      <c r="AG234" s="39" t="s">
        <v>2668</v>
      </c>
      <c r="AH234" s="39" t="s">
        <v>200</v>
      </c>
      <c r="AI234" s="39" t="s">
        <v>201</v>
      </c>
      <c r="AJ234" s="39" t="s">
        <v>140</v>
      </c>
      <c r="AK234" s="39" t="s">
        <v>125</v>
      </c>
      <c r="AL234" s="39">
        <v>4880</v>
      </c>
      <c r="AM234" s="39"/>
      <c r="AN234" s="39" t="s">
        <v>125</v>
      </c>
      <c r="AO234" s="39" t="s">
        <v>142</v>
      </c>
      <c r="AP234" s="39" t="s">
        <v>143</v>
      </c>
      <c r="AQ234" s="39" t="s">
        <v>345</v>
      </c>
      <c r="AR234" s="39" t="s">
        <v>2669</v>
      </c>
      <c r="AS234" s="39" t="s">
        <v>2670</v>
      </c>
      <c r="AT234" s="39" t="s">
        <v>2595</v>
      </c>
      <c r="AU234" s="39"/>
      <c r="AV234" s="39" t="s">
        <v>2671</v>
      </c>
      <c r="AW234" s="39"/>
      <c r="AX234" s="39"/>
      <c r="AY234" s="39"/>
      <c r="AZ234" s="39"/>
      <c r="BA234" s="39">
        <v>79416889</v>
      </c>
      <c r="BB234" s="39" t="s">
        <v>149</v>
      </c>
      <c r="BC234" s="39" t="s">
        <v>150</v>
      </c>
      <c r="BD234" s="39" t="s">
        <v>179</v>
      </c>
      <c r="BE234" s="39" t="s">
        <v>125</v>
      </c>
      <c r="BF234" s="39"/>
      <c r="BG234" s="39" t="s">
        <v>180</v>
      </c>
      <c r="BH234" s="39" t="s">
        <v>152</v>
      </c>
      <c r="BI234" s="39" t="s">
        <v>125</v>
      </c>
      <c r="BJ234" s="39"/>
      <c r="BK234" s="39" t="s">
        <v>153</v>
      </c>
      <c r="BL234" s="39"/>
      <c r="BM234" s="39"/>
      <c r="BN234" s="39" t="s">
        <v>333</v>
      </c>
    </row>
    <row r="235" spans="1:66" hidden="1">
      <c r="A235" s="39">
        <v>233</v>
      </c>
      <c r="B235" s="39" t="s">
        <v>118</v>
      </c>
      <c r="C235" s="39" t="s">
        <v>119</v>
      </c>
      <c r="D235" s="39" t="s">
        <v>133</v>
      </c>
      <c r="E235" s="39" t="s">
        <v>2672</v>
      </c>
      <c r="F235" s="39" t="s">
        <v>525</v>
      </c>
      <c r="G235" s="39" t="s">
        <v>2673</v>
      </c>
      <c r="H235" s="39" t="s">
        <v>2674</v>
      </c>
      <c r="I235" s="39" t="s">
        <v>125</v>
      </c>
      <c r="J235" s="39" t="s">
        <v>126</v>
      </c>
      <c r="K235" s="39" t="s">
        <v>525</v>
      </c>
      <c r="L235" s="39" t="s">
        <v>305</v>
      </c>
      <c r="M235" s="39" t="s">
        <v>306</v>
      </c>
      <c r="N235" s="39" t="s">
        <v>125</v>
      </c>
      <c r="O235" s="39" t="s">
        <v>525</v>
      </c>
      <c r="P235" s="39" t="s">
        <v>2675</v>
      </c>
      <c r="Q235" s="39" t="s">
        <v>2676</v>
      </c>
      <c r="R235" s="39" t="s">
        <v>24</v>
      </c>
      <c r="S235" s="39" t="s">
        <v>2677</v>
      </c>
      <c r="T235" s="39" t="s">
        <v>130</v>
      </c>
      <c r="U235" s="39" t="s">
        <v>2678</v>
      </c>
      <c r="V235" s="39" t="s">
        <v>132</v>
      </c>
      <c r="W235" s="39" t="s">
        <v>133</v>
      </c>
      <c r="X235" s="39" t="s">
        <v>126</v>
      </c>
      <c r="Y235" s="39" t="s">
        <v>629</v>
      </c>
      <c r="Z235" s="39" t="s">
        <v>2679</v>
      </c>
      <c r="AA235" s="39" t="s">
        <v>1176</v>
      </c>
      <c r="AB235" s="39" t="s">
        <v>2676</v>
      </c>
      <c r="AC235" s="39">
        <v>5400499</v>
      </c>
      <c r="AD235" s="39" t="s">
        <v>24</v>
      </c>
      <c r="AE235" s="39" t="s">
        <v>2680</v>
      </c>
      <c r="AF235" s="39" t="s">
        <v>24</v>
      </c>
      <c r="AG235" s="39" t="s">
        <v>2681</v>
      </c>
      <c r="AH235" s="39" t="s">
        <v>138</v>
      </c>
      <c r="AI235" s="39" t="s">
        <v>139</v>
      </c>
      <c r="AJ235" s="39" t="s">
        <v>140</v>
      </c>
      <c r="AK235" s="39" t="s">
        <v>125</v>
      </c>
      <c r="AL235" s="39">
        <v>5180</v>
      </c>
      <c r="AM235" s="39"/>
      <c r="AN235" s="39" t="s">
        <v>125</v>
      </c>
      <c r="AO235" s="39" t="s">
        <v>142</v>
      </c>
      <c r="AP235" s="39" t="s">
        <v>143</v>
      </c>
      <c r="AQ235" s="39" t="s">
        <v>144</v>
      </c>
      <c r="AR235" s="39" t="s">
        <v>2682</v>
      </c>
      <c r="AS235" s="39" t="s">
        <v>2683</v>
      </c>
      <c r="AT235" s="39" t="s">
        <v>2684</v>
      </c>
      <c r="AU235" s="39"/>
      <c r="AV235" s="39" t="s">
        <v>2685</v>
      </c>
      <c r="AW235" s="39"/>
      <c r="AX235" s="39"/>
      <c r="AY235" s="39"/>
      <c r="AZ235" s="39"/>
      <c r="BA235" s="39">
        <v>80063233</v>
      </c>
      <c r="BB235" s="39" t="s">
        <v>149</v>
      </c>
      <c r="BC235" s="39" t="s">
        <v>150</v>
      </c>
      <c r="BD235" s="39" t="s">
        <v>139</v>
      </c>
      <c r="BE235" s="39" t="s">
        <v>125</v>
      </c>
      <c r="BF235" s="39"/>
      <c r="BG235" s="39" t="s">
        <v>637</v>
      </c>
      <c r="BH235" s="39" t="s">
        <v>152</v>
      </c>
      <c r="BI235" s="39" t="s">
        <v>125</v>
      </c>
      <c r="BJ235" s="39"/>
      <c r="BK235" s="39" t="s">
        <v>153</v>
      </c>
      <c r="BL235" s="39"/>
      <c r="BM235" s="39" t="s">
        <v>240</v>
      </c>
      <c r="BN235" s="39" t="s">
        <v>155</v>
      </c>
    </row>
    <row r="236" spans="1:66" hidden="1">
      <c r="A236" s="39">
        <v>234</v>
      </c>
      <c r="B236" s="39" t="s">
        <v>118</v>
      </c>
      <c r="C236" s="39" t="s">
        <v>119</v>
      </c>
      <c r="D236" s="39" t="s">
        <v>2686</v>
      </c>
      <c r="E236" s="39" t="s">
        <v>2687</v>
      </c>
      <c r="F236" s="39" t="s">
        <v>122</v>
      </c>
      <c r="G236" s="39" t="s">
        <v>2688</v>
      </c>
      <c r="H236" s="39" t="s">
        <v>2689</v>
      </c>
      <c r="I236" s="39" t="s">
        <v>125</v>
      </c>
      <c r="J236" s="39" t="s">
        <v>126</v>
      </c>
      <c r="K236" s="39" t="s">
        <v>21</v>
      </c>
      <c r="L236" s="39" t="s">
        <v>188</v>
      </c>
      <c r="M236" s="39" t="s">
        <v>395</v>
      </c>
      <c r="N236" s="39" t="s">
        <v>396</v>
      </c>
      <c r="O236" s="39"/>
      <c r="P236" s="39"/>
      <c r="Q236" s="39" t="s">
        <v>2686</v>
      </c>
      <c r="R236" s="39" t="s">
        <v>21</v>
      </c>
      <c r="S236" s="39" t="s">
        <v>2690</v>
      </c>
      <c r="T236" s="39" t="s">
        <v>130</v>
      </c>
      <c r="U236" s="39" t="s">
        <v>2691</v>
      </c>
      <c r="V236" s="39" t="s">
        <v>132</v>
      </c>
      <c r="W236" s="39" t="s">
        <v>168</v>
      </c>
      <c r="X236" s="39" t="s">
        <v>126</v>
      </c>
      <c r="Y236" s="39" t="s">
        <v>683</v>
      </c>
      <c r="Z236" s="39" t="s">
        <v>2692</v>
      </c>
      <c r="AA236" s="39" t="s">
        <v>2693</v>
      </c>
      <c r="AB236" s="39" t="s">
        <v>2686</v>
      </c>
      <c r="AC236" s="39">
        <v>5388535</v>
      </c>
      <c r="AD236" s="39" t="s">
        <v>21</v>
      </c>
      <c r="AE236" s="39" t="s">
        <v>2694</v>
      </c>
      <c r="AF236" s="39" t="s">
        <v>21</v>
      </c>
      <c r="AG236" s="39" t="s">
        <v>2694</v>
      </c>
      <c r="AH236" s="39" t="s">
        <v>1007</v>
      </c>
      <c r="AI236" s="39" t="s">
        <v>1008</v>
      </c>
      <c r="AJ236" s="39" t="s">
        <v>140</v>
      </c>
      <c r="AK236" s="39" t="s">
        <v>125</v>
      </c>
      <c r="AL236" s="39">
        <v>19100</v>
      </c>
      <c r="AM236" s="39"/>
      <c r="AN236" s="39" t="s">
        <v>21</v>
      </c>
      <c r="AO236" s="39" t="s">
        <v>367</v>
      </c>
      <c r="AP236" s="39" t="s">
        <v>143</v>
      </c>
      <c r="AQ236" s="39" t="s">
        <v>312</v>
      </c>
      <c r="AR236" s="39" t="s">
        <v>2695</v>
      </c>
      <c r="AS236" s="39" t="s">
        <v>2696</v>
      </c>
      <c r="AT236" s="39" t="s">
        <v>2684</v>
      </c>
      <c r="AU236" s="39"/>
      <c r="AV236" s="39" t="s">
        <v>2697</v>
      </c>
      <c r="AW236" s="39"/>
      <c r="AX236" s="39"/>
      <c r="AY236" s="39"/>
      <c r="AZ236" s="39"/>
      <c r="BA236" s="39">
        <v>79738755</v>
      </c>
      <c r="BB236" s="39" t="s">
        <v>149</v>
      </c>
      <c r="BC236" s="39" t="s">
        <v>150</v>
      </c>
      <c r="BD236" s="39" t="s">
        <v>179</v>
      </c>
      <c r="BE236" s="39" t="s">
        <v>125</v>
      </c>
      <c r="BF236" s="39"/>
      <c r="BG236" s="39" t="s">
        <v>298</v>
      </c>
      <c r="BH236" s="39" t="s">
        <v>152</v>
      </c>
      <c r="BI236" s="39" t="s">
        <v>125</v>
      </c>
      <c r="BJ236" s="39"/>
      <c r="BK236" s="39" t="s">
        <v>153</v>
      </c>
      <c r="BL236" s="39"/>
      <c r="BM236" s="39" t="s">
        <v>154</v>
      </c>
      <c r="BN236" s="39" t="s">
        <v>155</v>
      </c>
    </row>
    <row r="237" spans="1:66" hidden="1">
      <c r="A237" s="39">
        <v>235</v>
      </c>
      <c r="B237" s="39" t="s">
        <v>118</v>
      </c>
      <c r="C237" s="39" t="s">
        <v>119</v>
      </c>
      <c r="D237" s="39" t="s">
        <v>2698</v>
      </c>
      <c r="E237" s="39" t="s">
        <v>2699</v>
      </c>
      <c r="F237" s="39" t="s">
        <v>2172</v>
      </c>
      <c r="G237" s="39" t="s">
        <v>2700</v>
      </c>
      <c r="H237" s="39" t="s">
        <v>2701</v>
      </c>
      <c r="I237" s="39" t="s">
        <v>125</v>
      </c>
      <c r="J237" s="39" t="s">
        <v>187</v>
      </c>
      <c r="K237" s="39" t="s">
        <v>905</v>
      </c>
      <c r="L237" s="39" t="s">
        <v>378</v>
      </c>
      <c r="M237" s="39" t="s">
        <v>608</v>
      </c>
      <c r="N237" s="39" t="s">
        <v>125</v>
      </c>
      <c r="O237" s="39" t="s">
        <v>905</v>
      </c>
      <c r="P237" s="39" t="s">
        <v>2702</v>
      </c>
      <c r="Q237" s="39" t="s">
        <v>2698</v>
      </c>
      <c r="R237" s="39" t="s">
        <v>23</v>
      </c>
      <c r="S237" s="39" t="s">
        <v>2703</v>
      </c>
      <c r="T237" s="39" t="s">
        <v>130</v>
      </c>
      <c r="U237" s="39" t="s">
        <v>2704</v>
      </c>
      <c r="V237" s="39" t="s">
        <v>132</v>
      </c>
      <c r="W237" s="39" t="s">
        <v>133</v>
      </c>
      <c r="X237" s="39" t="s">
        <v>187</v>
      </c>
      <c r="Y237" s="39" t="s">
        <v>2705</v>
      </c>
      <c r="Z237" s="39" t="s">
        <v>2706</v>
      </c>
      <c r="AA237" s="39" t="s">
        <v>2707</v>
      </c>
      <c r="AB237" s="39" t="s">
        <v>2698</v>
      </c>
      <c r="AC237" s="39">
        <v>5359793</v>
      </c>
      <c r="AD237" s="39" t="s">
        <v>23</v>
      </c>
      <c r="AE237" s="39" t="s">
        <v>2708</v>
      </c>
      <c r="AF237" s="39" t="s">
        <v>23</v>
      </c>
      <c r="AG237" s="39" t="s">
        <v>2709</v>
      </c>
      <c r="AH237" s="39" t="s">
        <v>1922</v>
      </c>
      <c r="AI237" s="39" t="s">
        <v>139</v>
      </c>
      <c r="AJ237" s="39" t="s">
        <v>140</v>
      </c>
      <c r="AK237" s="39" t="s">
        <v>125</v>
      </c>
      <c r="AL237" s="39">
        <v>5680</v>
      </c>
      <c r="AM237" s="39"/>
      <c r="AN237" s="39" t="s">
        <v>125</v>
      </c>
      <c r="AO237" s="39" t="s">
        <v>142</v>
      </c>
      <c r="AP237" s="39" t="s">
        <v>143</v>
      </c>
      <c r="AQ237" s="39" t="s">
        <v>252</v>
      </c>
      <c r="AR237" s="39" t="s">
        <v>2710</v>
      </c>
      <c r="AS237" s="39" t="s">
        <v>2711</v>
      </c>
      <c r="AT237" s="39" t="s">
        <v>2684</v>
      </c>
      <c r="AU237" s="39"/>
      <c r="AV237" s="39" t="s">
        <v>2712</v>
      </c>
      <c r="AW237" s="39"/>
      <c r="AX237" s="39"/>
      <c r="AY237" s="39"/>
      <c r="AZ237" s="39"/>
      <c r="BA237" s="39">
        <v>69276903</v>
      </c>
      <c r="BB237" s="39" t="s">
        <v>149</v>
      </c>
      <c r="BC237" s="39" t="s">
        <v>150</v>
      </c>
      <c r="BD237" s="39" t="s">
        <v>139</v>
      </c>
      <c r="BE237" s="39" t="s">
        <v>125</v>
      </c>
      <c r="BF237" s="39"/>
      <c r="BG237" s="39" t="s">
        <v>298</v>
      </c>
      <c r="BH237" s="39" t="s">
        <v>152</v>
      </c>
      <c r="BI237" s="39" t="s">
        <v>125</v>
      </c>
      <c r="BJ237" s="39"/>
      <c r="BK237" s="39" t="s">
        <v>153</v>
      </c>
      <c r="BL237" s="39"/>
      <c r="BM237" s="39"/>
      <c r="BN237" s="39" t="s">
        <v>155</v>
      </c>
    </row>
    <row r="238" spans="1:66" hidden="1">
      <c r="A238" s="39">
        <v>236</v>
      </c>
      <c r="B238" s="39" t="s">
        <v>118</v>
      </c>
      <c r="C238" s="39" t="s">
        <v>119</v>
      </c>
      <c r="D238" s="39" t="s">
        <v>2713</v>
      </c>
      <c r="E238" s="39" t="s">
        <v>2714</v>
      </c>
      <c r="F238" s="39" t="s">
        <v>122</v>
      </c>
      <c r="G238" s="39" t="s">
        <v>2715</v>
      </c>
      <c r="H238" s="39" t="s">
        <v>2716</v>
      </c>
      <c r="I238" s="39" t="s">
        <v>125</v>
      </c>
      <c r="J238" s="39" t="s">
        <v>187</v>
      </c>
      <c r="K238" s="39" t="s">
        <v>23</v>
      </c>
      <c r="L238" s="39" t="s">
        <v>188</v>
      </c>
      <c r="M238" s="39" t="s">
        <v>1834</v>
      </c>
      <c r="N238" s="39" t="s">
        <v>2717</v>
      </c>
      <c r="O238" s="39"/>
      <c r="P238" s="39"/>
      <c r="Q238" s="39" t="s">
        <v>2713</v>
      </c>
      <c r="R238" s="39" t="s">
        <v>23</v>
      </c>
      <c r="S238" s="39" t="s">
        <v>2718</v>
      </c>
      <c r="T238" s="39" t="s">
        <v>130</v>
      </c>
      <c r="U238" s="39" t="s">
        <v>2719</v>
      </c>
      <c r="V238" s="39" t="s">
        <v>132</v>
      </c>
      <c r="W238" s="39" t="s">
        <v>194</v>
      </c>
      <c r="X238" s="39" t="s">
        <v>187</v>
      </c>
      <c r="Y238" s="39" t="s">
        <v>2720</v>
      </c>
      <c r="Z238" s="39" t="s">
        <v>196</v>
      </c>
      <c r="AA238" s="39" t="s">
        <v>197</v>
      </c>
      <c r="AB238" s="39" t="s">
        <v>2713</v>
      </c>
      <c r="AC238" s="39">
        <v>5359589</v>
      </c>
      <c r="AD238" s="39" t="s">
        <v>23</v>
      </c>
      <c r="AE238" s="39" t="s">
        <v>2721</v>
      </c>
      <c r="AF238" s="39" t="s">
        <v>23</v>
      </c>
      <c r="AG238" s="39" t="s">
        <v>2722</v>
      </c>
      <c r="AH238" s="39" t="s">
        <v>291</v>
      </c>
      <c r="AI238" s="39" t="s">
        <v>292</v>
      </c>
      <c r="AJ238" s="39" t="s">
        <v>140</v>
      </c>
      <c r="AK238" s="39" t="s">
        <v>125</v>
      </c>
      <c r="AL238" s="39">
        <v>4802</v>
      </c>
      <c r="AM238" s="39"/>
      <c r="AN238" s="39" t="s">
        <v>2723</v>
      </c>
      <c r="AO238" s="39" t="s">
        <v>142</v>
      </c>
      <c r="AP238" s="39" t="s">
        <v>143</v>
      </c>
      <c r="AQ238" s="39" t="s">
        <v>175</v>
      </c>
      <c r="AR238" s="39" t="s">
        <v>2724</v>
      </c>
      <c r="AS238" s="39" t="s">
        <v>2725</v>
      </c>
      <c r="AT238" s="39" t="s">
        <v>2684</v>
      </c>
      <c r="AU238" s="39"/>
      <c r="AV238" s="39" t="s">
        <v>2726</v>
      </c>
      <c r="AW238" s="39"/>
      <c r="AX238" s="39"/>
      <c r="AY238" s="39"/>
      <c r="AZ238" s="39"/>
      <c r="BA238" s="39">
        <v>79796129</v>
      </c>
      <c r="BB238" s="39" t="s">
        <v>149</v>
      </c>
      <c r="BC238" s="39" t="s">
        <v>150</v>
      </c>
      <c r="BD238" s="39" t="s">
        <v>179</v>
      </c>
      <c r="BE238" s="39" t="s">
        <v>125</v>
      </c>
      <c r="BF238" s="39"/>
      <c r="BG238" s="39" t="s">
        <v>180</v>
      </c>
      <c r="BH238" s="39" t="s">
        <v>152</v>
      </c>
      <c r="BI238" s="39" t="s">
        <v>125</v>
      </c>
      <c r="BJ238" s="39"/>
      <c r="BK238" s="39" t="s">
        <v>153</v>
      </c>
      <c r="BL238" s="39"/>
      <c r="BM238" s="39"/>
      <c r="BN238" s="39" t="s">
        <v>155</v>
      </c>
    </row>
    <row r="239" spans="1:66" hidden="1">
      <c r="A239" s="39">
        <v>237</v>
      </c>
      <c r="B239" s="39" t="s">
        <v>118</v>
      </c>
      <c r="C239" s="39" t="s">
        <v>119</v>
      </c>
      <c r="D239" s="39" t="s">
        <v>2713</v>
      </c>
      <c r="E239" s="39" t="s">
        <v>2714</v>
      </c>
      <c r="F239" s="39" t="s">
        <v>122</v>
      </c>
      <c r="G239" s="39" t="s">
        <v>2715</v>
      </c>
      <c r="H239" s="39" t="s">
        <v>2716</v>
      </c>
      <c r="I239" s="39" t="s">
        <v>125</v>
      </c>
      <c r="J239" s="39" t="s">
        <v>187</v>
      </c>
      <c r="K239" s="39" t="s">
        <v>23</v>
      </c>
      <c r="L239" s="39" t="s">
        <v>188</v>
      </c>
      <c r="M239" s="39" t="s">
        <v>1834</v>
      </c>
      <c r="N239" s="39" t="s">
        <v>2717</v>
      </c>
      <c r="O239" s="39"/>
      <c r="P239" s="39"/>
      <c r="Q239" s="39" t="s">
        <v>2713</v>
      </c>
      <c r="R239" s="39" t="s">
        <v>23</v>
      </c>
      <c r="S239" s="39" t="s">
        <v>2718</v>
      </c>
      <c r="T239" s="39" t="s">
        <v>130</v>
      </c>
      <c r="U239" s="39" t="s">
        <v>2719</v>
      </c>
      <c r="V239" s="39" t="s">
        <v>132</v>
      </c>
      <c r="W239" s="39" t="s">
        <v>194</v>
      </c>
      <c r="X239" s="39" t="s">
        <v>187</v>
      </c>
      <c r="Y239" s="39" t="s">
        <v>2720</v>
      </c>
      <c r="Z239" s="39" t="s">
        <v>196</v>
      </c>
      <c r="AA239" s="39" t="s">
        <v>197</v>
      </c>
      <c r="AB239" s="39" t="s">
        <v>2713</v>
      </c>
      <c r="AC239" s="39">
        <v>5359589</v>
      </c>
      <c r="AD239" s="39" t="s">
        <v>23</v>
      </c>
      <c r="AE239" s="39" t="s">
        <v>2721</v>
      </c>
      <c r="AF239" s="39" t="s">
        <v>23</v>
      </c>
      <c r="AG239" s="39" t="s">
        <v>2722</v>
      </c>
      <c r="AH239" s="39" t="s">
        <v>316</v>
      </c>
      <c r="AI239" s="39" t="s">
        <v>317</v>
      </c>
      <c r="AJ239" s="39" t="s">
        <v>140</v>
      </c>
      <c r="AK239" s="39" t="s">
        <v>125</v>
      </c>
      <c r="AL239" s="39">
        <v>3999</v>
      </c>
      <c r="AM239" s="39"/>
      <c r="AN239" s="39" t="s">
        <v>2723</v>
      </c>
      <c r="AO239" s="39" t="s">
        <v>142</v>
      </c>
      <c r="AP239" s="39" t="s">
        <v>143</v>
      </c>
      <c r="AQ239" s="39" t="s">
        <v>175</v>
      </c>
      <c r="AR239" s="39" t="s">
        <v>2724</v>
      </c>
      <c r="AS239" s="39" t="s">
        <v>2727</v>
      </c>
      <c r="AT239" s="39" t="s">
        <v>2684</v>
      </c>
      <c r="AU239" s="39"/>
      <c r="AV239" s="39" t="s">
        <v>2726</v>
      </c>
      <c r="AW239" s="39"/>
      <c r="AX239" s="39"/>
      <c r="AY239" s="39"/>
      <c r="AZ239" s="39"/>
      <c r="BA239" s="39">
        <v>79796129</v>
      </c>
      <c r="BB239" s="39" t="s">
        <v>149</v>
      </c>
      <c r="BC239" s="39" t="s">
        <v>150</v>
      </c>
      <c r="BD239" s="39" t="s">
        <v>179</v>
      </c>
      <c r="BE239" s="39" t="s">
        <v>125</v>
      </c>
      <c r="BF239" s="39"/>
      <c r="BG239" s="39" t="s">
        <v>180</v>
      </c>
      <c r="BH239" s="39" t="s">
        <v>152</v>
      </c>
      <c r="BI239" s="39" t="s">
        <v>125</v>
      </c>
      <c r="BJ239" s="39"/>
      <c r="BK239" s="39" t="s">
        <v>153</v>
      </c>
      <c r="BL239" s="39"/>
      <c r="BM239" s="39"/>
      <c r="BN239" s="39" t="s">
        <v>155</v>
      </c>
    </row>
    <row r="240" spans="1:66" hidden="1">
      <c r="A240" s="39">
        <v>238</v>
      </c>
      <c r="B240" s="39" t="s">
        <v>118</v>
      </c>
      <c r="C240" s="39" t="s">
        <v>119</v>
      </c>
      <c r="D240" s="39" t="s">
        <v>2713</v>
      </c>
      <c r="E240" s="39" t="s">
        <v>2714</v>
      </c>
      <c r="F240" s="39" t="s">
        <v>122</v>
      </c>
      <c r="G240" s="39" t="s">
        <v>2715</v>
      </c>
      <c r="H240" s="39" t="s">
        <v>2716</v>
      </c>
      <c r="I240" s="39" t="s">
        <v>125</v>
      </c>
      <c r="J240" s="39" t="s">
        <v>187</v>
      </c>
      <c r="K240" s="39" t="s">
        <v>23</v>
      </c>
      <c r="L240" s="39" t="s">
        <v>188</v>
      </c>
      <c r="M240" s="39" t="s">
        <v>1834</v>
      </c>
      <c r="N240" s="39" t="s">
        <v>2717</v>
      </c>
      <c r="O240" s="39"/>
      <c r="P240" s="39"/>
      <c r="Q240" s="39" t="s">
        <v>2713</v>
      </c>
      <c r="R240" s="39" t="s">
        <v>23</v>
      </c>
      <c r="S240" s="39" t="s">
        <v>2718</v>
      </c>
      <c r="T240" s="39" t="s">
        <v>130</v>
      </c>
      <c r="U240" s="39" t="s">
        <v>2719</v>
      </c>
      <c r="V240" s="39" t="s">
        <v>132</v>
      </c>
      <c r="W240" s="39" t="s">
        <v>194</v>
      </c>
      <c r="X240" s="39" t="s">
        <v>187</v>
      </c>
      <c r="Y240" s="39" t="s">
        <v>2720</v>
      </c>
      <c r="Z240" s="39" t="s">
        <v>196</v>
      </c>
      <c r="AA240" s="39" t="s">
        <v>197</v>
      </c>
      <c r="AB240" s="39" t="s">
        <v>2713</v>
      </c>
      <c r="AC240" s="39">
        <v>5359589</v>
      </c>
      <c r="AD240" s="39" t="s">
        <v>23</v>
      </c>
      <c r="AE240" s="39" t="s">
        <v>2721</v>
      </c>
      <c r="AF240" s="39" t="s">
        <v>23</v>
      </c>
      <c r="AG240" s="39" t="s">
        <v>2722</v>
      </c>
      <c r="AH240" s="39" t="s">
        <v>412</v>
      </c>
      <c r="AI240" s="39" t="s">
        <v>413</v>
      </c>
      <c r="AJ240" s="39" t="s">
        <v>140</v>
      </c>
      <c r="AK240" s="39" t="s">
        <v>125</v>
      </c>
      <c r="AL240" s="39">
        <v>3999</v>
      </c>
      <c r="AM240" s="39"/>
      <c r="AN240" s="39" t="s">
        <v>2723</v>
      </c>
      <c r="AO240" s="39" t="s">
        <v>142</v>
      </c>
      <c r="AP240" s="39" t="s">
        <v>143</v>
      </c>
      <c r="AQ240" s="39" t="s">
        <v>175</v>
      </c>
      <c r="AR240" s="39" t="s">
        <v>2724</v>
      </c>
      <c r="AS240" s="39" t="s">
        <v>2728</v>
      </c>
      <c r="AT240" s="39" t="s">
        <v>2684</v>
      </c>
      <c r="AU240" s="39"/>
      <c r="AV240" s="39" t="s">
        <v>2726</v>
      </c>
      <c r="AW240" s="39"/>
      <c r="AX240" s="39"/>
      <c r="AY240" s="39"/>
      <c r="AZ240" s="39"/>
      <c r="BA240" s="39">
        <v>79796129</v>
      </c>
      <c r="BB240" s="39" t="s">
        <v>149</v>
      </c>
      <c r="BC240" s="39" t="s">
        <v>150</v>
      </c>
      <c r="BD240" s="39" t="s">
        <v>179</v>
      </c>
      <c r="BE240" s="39" t="s">
        <v>125</v>
      </c>
      <c r="BF240" s="39"/>
      <c r="BG240" s="39" t="s">
        <v>180</v>
      </c>
      <c r="BH240" s="39" t="s">
        <v>152</v>
      </c>
      <c r="BI240" s="39" t="s">
        <v>125</v>
      </c>
      <c r="BJ240" s="39"/>
      <c r="BK240" s="39" t="s">
        <v>153</v>
      </c>
      <c r="BL240" s="39"/>
      <c r="BM240" s="39"/>
      <c r="BN240" s="39" t="s">
        <v>155</v>
      </c>
    </row>
    <row r="241" spans="1:66" hidden="1">
      <c r="A241" s="39">
        <v>239</v>
      </c>
      <c r="B241" s="39" t="s">
        <v>118</v>
      </c>
      <c r="C241" s="39" t="s">
        <v>119</v>
      </c>
      <c r="D241" s="39" t="s">
        <v>2729</v>
      </c>
      <c r="E241" s="39" t="s">
        <v>2730</v>
      </c>
      <c r="F241" s="39" t="s">
        <v>580</v>
      </c>
      <c r="G241" s="39" t="s">
        <v>2731</v>
      </c>
      <c r="H241" s="39" t="s">
        <v>2732</v>
      </c>
      <c r="I241" s="39"/>
      <c r="J241" s="39" t="s">
        <v>355</v>
      </c>
      <c r="K241" s="39" t="s">
        <v>26</v>
      </c>
      <c r="L241" s="39" t="s">
        <v>188</v>
      </c>
      <c r="M241" s="39" t="s">
        <v>356</v>
      </c>
      <c r="N241" s="39" t="s">
        <v>583</v>
      </c>
      <c r="O241" s="39"/>
      <c r="P241" s="39"/>
      <c r="Q241" s="39" t="s">
        <v>2729</v>
      </c>
      <c r="R241" s="39" t="s">
        <v>26</v>
      </c>
      <c r="S241" s="39" t="s">
        <v>2733</v>
      </c>
      <c r="T241" s="39" t="s">
        <v>359</v>
      </c>
      <c r="U241" s="39" t="s">
        <v>2734</v>
      </c>
      <c r="V241" s="39" t="s">
        <v>132</v>
      </c>
      <c r="W241" s="39" t="s">
        <v>133</v>
      </c>
      <c r="X241" s="39" t="s">
        <v>355</v>
      </c>
      <c r="Y241" s="39" t="s">
        <v>2735</v>
      </c>
      <c r="Z241" s="39" t="s">
        <v>2736</v>
      </c>
      <c r="AA241" s="39" t="s">
        <v>1369</v>
      </c>
      <c r="AB241" s="39" t="s">
        <v>2729</v>
      </c>
      <c r="AC241" s="39">
        <v>5359476</v>
      </c>
      <c r="AD241" s="39" t="s">
        <v>26</v>
      </c>
      <c r="AE241" s="39" t="s">
        <v>2737</v>
      </c>
      <c r="AF241" s="39" t="s">
        <v>26</v>
      </c>
      <c r="AG241" s="39" t="s">
        <v>2738</v>
      </c>
      <c r="AH241" s="39" t="s">
        <v>516</v>
      </c>
      <c r="AI241" s="39" t="s">
        <v>517</v>
      </c>
      <c r="AJ241" s="39" t="s">
        <v>140</v>
      </c>
      <c r="AK241" s="39" t="s">
        <v>125</v>
      </c>
      <c r="AL241" s="39">
        <v>15000</v>
      </c>
      <c r="AM241" s="39" t="s">
        <v>429</v>
      </c>
      <c r="AN241" s="39" t="s">
        <v>580</v>
      </c>
      <c r="AO241" s="39" t="s">
        <v>367</v>
      </c>
      <c r="AP241" s="39" t="s">
        <v>143</v>
      </c>
      <c r="AQ241" s="39" t="s">
        <v>175</v>
      </c>
      <c r="AR241" s="39" t="s">
        <v>2739</v>
      </c>
      <c r="AS241" s="39" t="s">
        <v>2740</v>
      </c>
      <c r="AT241" s="39" t="s">
        <v>2684</v>
      </c>
      <c r="AU241" s="39"/>
      <c r="AV241" s="39" t="s">
        <v>2741</v>
      </c>
      <c r="AW241" s="39"/>
      <c r="AX241" s="39"/>
      <c r="AY241" s="39"/>
      <c r="AZ241" s="39"/>
      <c r="BA241" s="39">
        <v>65400784</v>
      </c>
      <c r="BB241" s="39" t="s">
        <v>149</v>
      </c>
      <c r="BC241" s="39" t="s">
        <v>150</v>
      </c>
      <c r="BD241" s="39" t="s">
        <v>139</v>
      </c>
      <c r="BE241" s="39" t="s">
        <v>125</v>
      </c>
      <c r="BF241" s="39"/>
      <c r="BG241" s="39" t="s">
        <v>151</v>
      </c>
      <c r="BH241" s="39" t="s">
        <v>152</v>
      </c>
      <c r="BI241" s="39" t="s">
        <v>125</v>
      </c>
      <c r="BJ241" s="39"/>
      <c r="BK241" s="39" t="s">
        <v>153</v>
      </c>
      <c r="BL241" s="39"/>
      <c r="BM241" s="39" t="s">
        <v>460</v>
      </c>
      <c r="BN241" s="39" t="s">
        <v>356</v>
      </c>
    </row>
    <row r="242" spans="1:66" hidden="1">
      <c r="A242" s="39">
        <v>240</v>
      </c>
      <c r="B242" s="39" t="s">
        <v>118</v>
      </c>
      <c r="C242" s="39" t="s">
        <v>119</v>
      </c>
      <c r="D242" s="39" t="s">
        <v>2742</v>
      </c>
      <c r="E242" s="39" t="s">
        <v>2743</v>
      </c>
      <c r="F242" s="39" t="s">
        <v>258</v>
      </c>
      <c r="G242" s="39" t="s">
        <v>2744</v>
      </c>
      <c r="H242" s="39" t="s">
        <v>2745</v>
      </c>
      <c r="I242" s="39" t="s">
        <v>904</v>
      </c>
      <c r="J242" s="39"/>
      <c r="K242" s="39" t="s">
        <v>303</v>
      </c>
      <c r="L242" s="39" t="s">
        <v>263</v>
      </c>
      <c r="M242" s="39" t="s">
        <v>694</v>
      </c>
      <c r="N242" s="39" t="s">
        <v>125</v>
      </c>
      <c r="O242" s="39" t="s">
        <v>303</v>
      </c>
      <c r="P242" s="39" t="s">
        <v>2746</v>
      </c>
      <c r="Q242" s="39" t="s">
        <v>2747</v>
      </c>
      <c r="R242" s="39" t="s">
        <v>16</v>
      </c>
      <c r="S242" s="39" t="s">
        <v>2748</v>
      </c>
      <c r="T242" s="39" t="s">
        <v>130</v>
      </c>
      <c r="U242" s="39" t="s">
        <v>2749</v>
      </c>
      <c r="V242" s="39" t="s">
        <v>132</v>
      </c>
      <c r="W242" s="39" t="s">
        <v>133</v>
      </c>
      <c r="X242" s="39" t="s">
        <v>126</v>
      </c>
      <c r="Y242" s="39" t="s">
        <v>2470</v>
      </c>
      <c r="Z242" s="39" t="s">
        <v>2750</v>
      </c>
      <c r="AA242" s="39" t="s">
        <v>2751</v>
      </c>
      <c r="AB242" s="39" t="s">
        <v>2747</v>
      </c>
      <c r="AC242" s="39">
        <v>5359188</v>
      </c>
      <c r="AD242" s="39" t="s">
        <v>16</v>
      </c>
      <c r="AE242" s="39" t="s">
        <v>2752</v>
      </c>
      <c r="AF242" s="39" t="s">
        <v>16</v>
      </c>
      <c r="AG242" s="39" t="s">
        <v>2753</v>
      </c>
      <c r="AH242" s="39" t="s">
        <v>1922</v>
      </c>
      <c r="AI242" s="39" t="s">
        <v>139</v>
      </c>
      <c r="AJ242" s="39" t="s">
        <v>140</v>
      </c>
      <c r="AK242" s="39" t="s">
        <v>125</v>
      </c>
      <c r="AL242" s="39">
        <v>5680</v>
      </c>
      <c r="AM242" s="39"/>
      <c r="AN242" s="39" t="s">
        <v>125</v>
      </c>
      <c r="AO242" s="39" t="s">
        <v>142</v>
      </c>
      <c r="AP242" s="39" t="s">
        <v>143</v>
      </c>
      <c r="AQ242" s="39" t="s">
        <v>312</v>
      </c>
      <c r="AR242" s="39" t="s">
        <v>2754</v>
      </c>
      <c r="AS242" s="39" t="s">
        <v>2755</v>
      </c>
      <c r="AT242" s="39" t="s">
        <v>2684</v>
      </c>
      <c r="AU242" s="39"/>
      <c r="AV242" s="39" t="s">
        <v>2756</v>
      </c>
      <c r="AW242" s="39"/>
      <c r="AX242" s="39"/>
      <c r="AY242" s="39"/>
      <c r="AZ242" s="39"/>
      <c r="BA242" s="39">
        <v>80058256</v>
      </c>
      <c r="BB242" s="39" t="s">
        <v>149</v>
      </c>
      <c r="BC242" s="39" t="s">
        <v>150</v>
      </c>
      <c r="BD242" s="39" t="s">
        <v>139</v>
      </c>
      <c r="BE242" s="39" t="s">
        <v>125</v>
      </c>
      <c r="BF242" s="39"/>
      <c r="BG242" s="39" t="s">
        <v>298</v>
      </c>
      <c r="BH242" s="39" t="s">
        <v>152</v>
      </c>
      <c r="BI242" s="39" t="s">
        <v>125</v>
      </c>
      <c r="BJ242" s="39"/>
      <c r="BK242" s="39" t="s">
        <v>153</v>
      </c>
      <c r="BL242" s="39"/>
      <c r="BM242" s="39" t="s">
        <v>154</v>
      </c>
      <c r="BN242" s="39" t="s">
        <v>915</v>
      </c>
    </row>
    <row r="243" spans="1:66" hidden="1">
      <c r="A243" s="39">
        <v>241</v>
      </c>
      <c r="B243" s="39" t="s">
        <v>118</v>
      </c>
      <c r="C243" s="39" t="s">
        <v>119</v>
      </c>
      <c r="D243" s="39" t="s">
        <v>2757</v>
      </c>
      <c r="E243" s="39" t="s">
        <v>2758</v>
      </c>
      <c r="F243" s="39" t="s">
        <v>1669</v>
      </c>
      <c r="G243" s="39" t="s">
        <v>2759</v>
      </c>
      <c r="H243" s="39" t="s">
        <v>2760</v>
      </c>
      <c r="I243" s="39"/>
      <c r="J243" s="39" t="s">
        <v>126</v>
      </c>
      <c r="K243" s="39" t="s">
        <v>21</v>
      </c>
      <c r="L243" s="39" t="s">
        <v>188</v>
      </c>
      <c r="M243" s="39" t="s">
        <v>356</v>
      </c>
      <c r="N243" s="39" t="s">
        <v>1672</v>
      </c>
      <c r="O243" s="39"/>
      <c r="P243" s="39"/>
      <c r="Q243" s="39" t="s">
        <v>2757</v>
      </c>
      <c r="R243" s="39" t="s">
        <v>21</v>
      </c>
      <c r="S243" s="39" t="s">
        <v>2761</v>
      </c>
      <c r="T243" s="39" t="s">
        <v>359</v>
      </c>
      <c r="U243" s="39" t="s">
        <v>2762</v>
      </c>
      <c r="V243" s="39" t="s">
        <v>132</v>
      </c>
      <c r="W243" s="39" t="s">
        <v>133</v>
      </c>
      <c r="X243" s="39" t="s">
        <v>126</v>
      </c>
      <c r="Y243" s="39" t="s">
        <v>768</v>
      </c>
      <c r="Z243" s="39" t="s">
        <v>769</v>
      </c>
      <c r="AA243" s="39" t="s">
        <v>2763</v>
      </c>
      <c r="AB243" s="39" t="s">
        <v>2757</v>
      </c>
      <c r="AC243" s="39">
        <v>5400411</v>
      </c>
      <c r="AD243" s="39" t="s">
        <v>21</v>
      </c>
      <c r="AE243" s="39" t="s">
        <v>2764</v>
      </c>
      <c r="AF243" s="39" t="s">
        <v>21</v>
      </c>
      <c r="AG243" s="39" t="s">
        <v>2764</v>
      </c>
      <c r="AH243" s="39" t="s">
        <v>138</v>
      </c>
      <c r="AI243" s="39" t="s">
        <v>139</v>
      </c>
      <c r="AJ243" s="39" t="s">
        <v>140</v>
      </c>
      <c r="AK243" s="39" t="s">
        <v>125</v>
      </c>
      <c r="AL243" s="39">
        <v>5180</v>
      </c>
      <c r="AM243" s="39" t="s">
        <v>2604</v>
      </c>
      <c r="AN243" s="39" t="s">
        <v>1669</v>
      </c>
      <c r="AO243" s="39" t="s">
        <v>367</v>
      </c>
      <c r="AP243" s="39" t="s">
        <v>143</v>
      </c>
      <c r="AQ243" s="39" t="s">
        <v>144</v>
      </c>
      <c r="AR243" s="39" t="s">
        <v>2765</v>
      </c>
      <c r="AS243" s="39" t="s">
        <v>2766</v>
      </c>
      <c r="AT243" s="39" t="s">
        <v>2767</v>
      </c>
      <c r="AU243" s="39"/>
      <c r="AV243" s="39" t="s">
        <v>2768</v>
      </c>
      <c r="AW243" s="39"/>
      <c r="AX243" s="39"/>
      <c r="AY243" s="39"/>
      <c r="AZ243" s="39"/>
      <c r="BA243" s="39">
        <v>56549604</v>
      </c>
      <c r="BB243" s="39" t="s">
        <v>149</v>
      </c>
      <c r="BC243" s="39" t="s">
        <v>150</v>
      </c>
      <c r="BD243" s="39" t="s">
        <v>139</v>
      </c>
      <c r="BE243" s="39" t="s">
        <v>125</v>
      </c>
      <c r="BF243" s="39"/>
      <c r="BG243" s="39" t="s">
        <v>298</v>
      </c>
      <c r="BH243" s="39" t="s">
        <v>152</v>
      </c>
      <c r="BI243" s="39" t="s">
        <v>125</v>
      </c>
      <c r="BJ243" s="39"/>
      <c r="BK243" s="39" t="s">
        <v>153</v>
      </c>
      <c r="BL243" s="39"/>
      <c r="BM243" s="39" t="s">
        <v>154</v>
      </c>
      <c r="BN243" s="39" t="s">
        <v>356</v>
      </c>
    </row>
    <row r="244" spans="1:66" hidden="1">
      <c r="A244" s="39">
        <v>242</v>
      </c>
      <c r="B244" s="39" t="s">
        <v>118</v>
      </c>
      <c r="C244" s="39" t="s">
        <v>119</v>
      </c>
      <c r="D244" s="39" t="s">
        <v>2769</v>
      </c>
      <c r="E244" s="39" t="s">
        <v>2770</v>
      </c>
      <c r="F244" s="39" t="s">
        <v>484</v>
      </c>
      <c r="G244" s="39" t="s">
        <v>2771</v>
      </c>
      <c r="H244" s="39" t="s">
        <v>2772</v>
      </c>
      <c r="I244" s="39"/>
      <c r="J244" s="39" t="s">
        <v>126</v>
      </c>
      <c r="K244" s="39" t="s">
        <v>16</v>
      </c>
      <c r="L244" s="39" t="s">
        <v>188</v>
      </c>
      <c r="M244" s="39" t="s">
        <v>356</v>
      </c>
      <c r="N244" s="39" t="s">
        <v>488</v>
      </c>
      <c r="O244" s="39"/>
      <c r="P244" s="39"/>
      <c r="Q244" s="39" t="s">
        <v>2769</v>
      </c>
      <c r="R244" s="39" t="s">
        <v>16</v>
      </c>
      <c r="S244" s="39" t="s">
        <v>2773</v>
      </c>
      <c r="T244" s="39" t="s">
        <v>359</v>
      </c>
      <c r="U244" s="39" t="s">
        <v>2774</v>
      </c>
      <c r="V244" s="39" t="s">
        <v>132</v>
      </c>
      <c r="W244" s="39" t="s">
        <v>2775</v>
      </c>
      <c r="X244" s="39" t="s">
        <v>126</v>
      </c>
      <c r="Y244" s="39" t="s">
        <v>361</v>
      </c>
      <c r="Z244" s="39" t="s">
        <v>2776</v>
      </c>
      <c r="AA244" s="39" t="s">
        <v>1951</v>
      </c>
      <c r="AB244" s="39" t="s">
        <v>2769</v>
      </c>
      <c r="AC244" s="39">
        <v>5400315</v>
      </c>
      <c r="AD244" s="39" t="s">
        <v>16</v>
      </c>
      <c r="AE244" s="39" t="s">
        <v>2777</v>
      </c>
      <c r="AF244" s="39" t="s">
        <v>16</v>
      </c>
      <c r="AG244" s="39" t="s">
        <v>2778</v>
      </c>
      <c r="AH244" s="39" t="s">
        <v>2779</v>
      </c>
      <c r="AI244" s="39" t="s">
        <v>2780</v>
      </c>
      <c r="AJ244" s="39" t="s">
        <v>140</v>
      </c>
      <c r="AK244" s="39" t="s">
        <v>125</v>
      </c>
      <c r="AL244" s="39">
        <v>28500</v>
      </c>
      <c r="AM244" s="39"/>
      <c r="AN244" s="39" t="s">
        <v>484</v>
      </c>
      <c r="AO244" s="39" t="s">
        <v>367</v>
      </c>
      <c r="AP244" s="39" t="s">
        <v>143</v>
      </c>
      <c r="AQ244" s="39"/>
      <c r="AR244" s="39" t="s">
        <v>2781</v>
      </c>
      <c r="AS244" s="39"/>
      <c r="AT244" s="39" t="s">
        <v>2767</v>
      </c>
      <c r="AU244" s="39"/>
      <c r="AV244" s="39" t="s">
        <v>2782</v>
      </c>
      <c r="AW244" s="39"/>
      <c r="AX244" s="39"/>
      <c r="AY244" s="39"/>
      <c r="AZ244" s="39"/>
      <c r="BA244" s="39">
        <v>69979823</v>
      </c>
      <c r="BB244" s="39" t="s">
        <v>149</v>
      </c>
      <c r="BC244" s="39" t="s">
        <v>150</v>
      </c>
      <c r="BD244" s="39" t="s">
        <v>661</v>
      </c>
      <c r="BE244" s="39" t="s">
        <v>125</v>
      </c>
      <c r="BF244" s="39"/>
      <c r="BG244" s="39" t="s">
        <v>370</v>
      </c>
      <c r="BH244" s="39" t="s">
        <v>152</v>
      </c>
      <c r="BI244" s="39" t="s">
        <v>125</v>
      </c>
      <c r="BJ244" s="39"/>
      <c r="BK244" s="39"/>
      <c r="BL244" s="39"/>
      <c r="BM244" s="39" t="s">
        <v>205</v>
      </c>
      <c r="BN244" s="39" t="s">
        <v>356</v>
      </c>
    </row>
    <row r="245" spans="1:66" hidden="1">
      <c r="A245" s="39">
        <v>243</v>
      </c>
      <c r="B245" s="39" t="s">
        <v>118</v>
      </c>
      <c r="C245" s="39" t="s">
        <v>119</v>
      </c>
      <c r="D245" s="39" t="s">
        <v>506</v>
      </c>
      <c r="E245" s="39" t="s">
        <v>2783</v>
      </c>
      <c r="F245" s="39" t="s">
        <v>855</v>
      </c>
      <c r="G245" s="39" t="s">
        <v>2784</v>
      </c>
      <c r="H245" s="39" t="s">
        <v>2785</v>
      </c>
      <c r="I245" s="39" t="s">
        <v>1156</v>
      </c>
      <c r="J245" s="39" t="s">
        <v>506</v>
      </c>
      <c r="K245" s="39" t="s">
        <v>21</v>
      </c>
      <c r="L245" s="39" t="s">
        <v>858</v>
      </c>
      <c r="M245" s="39" t="s">
        <v>1157</v>
      </c>
      <c r="N245" s="39"/>
      <c r="O245" s="39"/>
      <c r="P245" s="39"/>
      <c r="Q245" s="39" t="s">
        <v>2786</v>
      </c>
      <c r="R245" s="39" t="s">
        <v>21</v>
      </c>
      <c r="S245" s="39" t="s">
        <v>2787</v>
      </c>
      <c r="T245" s="39" t="s">
        <v>130</v>
      </c>
      <c r="U245" s="39" t="s">
        <v>2788</v>
      </c>
      <c r="V245" s="39" t="s">
        <v>132</v>
      </c>
      <c r="W245" s="39" t="s">
        <v>168</v>
      </c>
      <c r="X245" s="39" t="s">
        <v>126</v>
      </c>
      <c r="Y245" s="39" t="s">
        <v>1175</v>
      </c>
      <c r="Z245" s="39" t="s">
        <v>2789</v>
      </c>
      <c r="AA245" s="39" t="s">
        <v>2790</v>
      </c>
      <c r="AB245" s="39" t="s">
        <v>2786</v>
      </c>
      <c r="AC245" s="39">
        <v>5387736</v>
      </c>
      <c r="AD245" s="39" t="s">
        <v>21</v>
      </c>
      <c r="AE245" s="39" t="s">
        <v>2791</v>
      </c>
      <c r="AF245" s="39" t="s">
        <v>21</v>
      </c>
      <c r="AG245" s="39" t="s">
        <v>2791</v>
      </c>
      <c r="AH245" s="39" t="s">
        <v>1007</v>
      </c>
      <c r="AI245" s="39" t="s">
        <v>1008</v>
      </c>
      <c r="AJ245" s="39" t="s">
        <v>140</v>
      </c>
      <c r="AK245" s="39" t="s">
        <v>125</v>
      </c>
      <c r="AL245" s="39">
        <v>19300</v>
      </c>
      <c r="AM245" s="39"/>
      <c r="AN245" s="39" t="s">
        <v>125</v>
      </c>
      <c r="AO245" s="39" t="s">
        <v>142</v>
      </c>
      <c r="AP245" s="39" t="s">
        <v>143</v>
      </c>
      <c r="AQ245" s="39" t="s">
        <v>144</v>
      </c>
      <c r="AR245" s="39" t="s">
        <v>2792</v>
      </c>
      <c r="AS245" s="39" t="s">
        <v>2793</v>
      </c>
      <c r="AT245" s="39" t="s">
        <v>2767</v>
      </c>
      <c r="AU245" s="39"/>
      <c r="AV245" s="39" t="s">
        <v>2794</v>
      </c>
      <c r="AW245" s="39"/>
      <c r="AX245" s="39"/>
      <c r="AY245" s="39"/>
      <c r="AZ245" s="39"/>
      <c r="BA245" s="39">
        <v>79681810</v>
      </c>
      <c r="BB245" s="39" t="s">
        <v>149</v>
      </c>
      <c r="BC245" s="39" t="s">
        <v>150</v>
      </c>
      <c r="BD245" s="39" t="s">
        <v>179</v>
      </c>
      <c r="BE245" s="39" t="s">
        <v>125</v>
      </c>
      <c r="BF245" s="39"/>
      <c r="BG245" s="39" t="s">
        <v>298</v>
      </c>
      <c r="BH245" s="39" t="s">
        <v>152</v>
      </c>
      <c r="BI245" s="39" t="s">
        <v>125</v>
      </c>
      <c r="BJ245" s="39"/>
      <c r="BK245" s="39" t="s">
        <v>153</v>
      </c>
      <c r="BL245" s="39"/>
      <c r="BM245" s="39" t="s">
        <v>154</v>
      </c>
      <c r="BN245" s="39" t="s">
        <v>1166</v>
      </c>
    </row>
    <row r="246" spans="1:66" hidden="1">
      <c r="A246" s="39">
        <v>244</v>
      </c>
      <c r="B246" s="39" t="s">
        <v>118</v>
      </c>
      <c r="C246" s="39" t="s">
        <v>119</v>
      </c>
      <c r="D246" s="39" t="s">
        <v>578</v>
      </c>
      <c r="E246" s="39" t="s">
        <v>2795</v>
      </c>
      <c r="F246" s="39" t="s">
        <v>580</v>
      </c>
      <c r="G246" s="39" t="s">
        <v>2796</v>
      </c>
      <c r="H246" s="39" t="s">
        <v>2797</v>
      </c>
      <c r="I246" s="39"/>
      <c r="J246" s="39" t="s">
        <v>126</v>
      </c>
      <c r="K246" s="39" t="s">
        <v>16</v>
      </c>
      <c r="L246" s="39" t="s">
        <v>188</v>
      </c>
      <c r="M246" s="39" t="s">
        <v>356</v>
      </c>
      <c r="N246" s="39" t="s">
        <v>583</v>
      </c>
      <c r="O246" s="39"/>
      <c r="P246" s="39"/>
      <c r="Q246" s="39" t="s">
        <v>578</v>
      </c>
      <c r="R246" s="39" t="s">
        <v>16</v>
      </c>
      <c r="S246" s="39" t="s">
        <v>2798</v>
      </c>
      <c r="T246" s="39" t="s">
        <v>359</v>
      </c>
      <c r="U246" s="39" t="s">
        <v>2799</v>
      </c>
      <c r="V246" s="39" t="s">
        <v>132</v>
      </c>
      <c r="W246" s="39" t="s">
        <v>586</v>
      </c>
      <c r="X246" s="39" t="s">
        <v>126</v>
      </c>
      <c r="Y246" s="39" t="s">
        <v>134</v>
      </c>
      <c r="Z246" s="39" t="s">
        <v>587</v>
      </c>
      <c r="AA246" s="39" t="s">
        <v>588</v>
      </c>
      <c r="AB246" s="39" t="s">
        <v>578</v>
      </c>
      <c r="AC246" s="39">
        <v>5387617</v>
      </c>
      <c r="AD246" s="39" t="s">
        <v>16</v>
      </c>
      <c r="AE246" s="39" t="s">
        <v>2800</v>
      </c>
      <c r="AF246" s="39" t="s">
        <v>16</v>
      </c>
      <c r="AG246" s="39" t="s">
        <v>2801</v>
      </c>
      <c r="AH246" s="39" t="s">
        <v>2802</v>
      </c>
      <c r="AI246" s="39" t="s">
        <v>591</v>
      </c>
      <c r="AJ246" s="39" t="s">
        <v>140</v>
      </c>
      <c r="AK246" s="39" t="s">
        <v>125</v>
      </c>
      <c r="AL246" s="39">
        <v>1700</v>
      </c>
      <c r="AM246" s="39"/>
      <c r="AN246" s="39" t="s">
        <v>580</v>
      </c>
      <c r="AO246" s="39" t="s">
        <v>367</v>
      </c>
      <c r="AP246" s="39" t="s">
        <v>143</v>
      </c>
      <c r="AQ246" s="39"/>
      <c r="AR246" s="39" t="s">
        <v>592</v>
      </c>
      <c r="AS246" s="39"/>
      <c r="AT246" s="39" t="s">
        <v>2767</v>
      </c>
      <c r="AU246" s="39"/>
      <c r="AV246" s="39" t="s">
        <v>2803</v>
      </c>
      <c r="AW246" s="39"/>
      <c r="AX246" s="39"/>
      <c r="AY246" s="39"/>
      <c r="AZ246" s="39"/>
      <c r="BA246" s="39">
        <v>61156493</v>
      </c>
      <c r="BB246" s="39" t="s">
        <v>149</v>
      </c>
      <c r="BC246" s="39" t="s">
        <v>458</v>
      </c>
      <c r="BD246" s="39" t="s">
        <v>586</v>
      </c>
      <c r="BE246" s="39" t="s">
        <v>594</v>
      </c>
      <c r="BF246" s="39"/>
      <c r="BG246" s="39" t="s">
        <v>151</v>
      </c>
      <c r="BH246" s="39" t="s">
        <v>149</v>
      </c>
      <c r="BI246" s="39" t="s">
        <v>125</v>
      </c>
      <c r="BJ246" s="39"/>
      <c r="BK246" s="39"/>
      <c r="BL246" s="39"/>
      <c r="BM246" s="39" t="s">
        <v>154</v>
      </c>
      <c r="BN246" s="39" t="s">
        <v>356</v>
      </c>
    </row>
    <row r="247" spans="1:66" hidden="1">
      <c r="A247" s="39">
        <v>245</v>
      </c>
      <c r="B247" s="39" t="s">
        <v>118</v>
      </c>
      <c r="C247" s="39" t="s">
        <v>119</v>
      </c>
      <c r="D247" s="39" t="s">
        <v>506</v>
      </c>
      <c r="E247" s="39" t="s">
        <v>2804</v>
      </c>
      <c r="F247" s="39" t="s">
        <v>855</v>
      </c>
      <c r="G247" s="39" t="s">
        <v>2805</v>
      </c>
      <c r="H247" s="39" t="s">
        <v>2806</v>
      </c>
      <c r="I247" s="39" t="s">
        <v>1156</v>
      </c>
      <c r="J247" s="39" t="s">
        <v>506</v>
      </c>
      <c r="K247" s="39" t="s">
        <v>16</v>
      </c>
      <c r="L247" s="39" t="s">
        <v>858</v>
      </c>
      <c r="M247" s="39" t="s">
        <v>1157</v>
      </c>
      <c r="N247" s="39" t="s">
        <v>125</v>
      </c>
      <c r="O247" s="39"/>
      <c r="P247" s="39"/>
      <c r="Q247" s="39" t="s">
        <v>2807</v>
      </c>
      <c r="R247" s="39" t="s">
        <v>16</v>
      </c>
      <c r="S247" s="39" t="s">
        <v>2808</v>
      </c>
      <c r="T247" s="39" t="s">
        <v>130</v>
      </c>
      <c r="U247" s="39" t="s">
        <v>2809</v>
      </c>
      <c r="V247" s="39" t="s">
        <v>132</v>
      </c>
      <c r="W247" s="39" t="s">
        <v>194</v>
      </c>
      <c r="X247" s="39" t="s">
        <v>187</v>
      </c>
      <c r="Y247" s="39" t="s">
        <v>2810</v>
      </c>
      <c r="Z247" s="39" t="s">
        <v>196</v>
      </c>
      <c r="AA247" s="39" t="s">
        <v>197</v>
      </c>
      <c r="AB247" s="39" t="s">
        <v>2807</v>
      </c>
      <c r="AC247" s="39">
        <v>5387470</v>
      </c>
      <c r="AD247" s="39" t="s">
        <v>16</v>
      </c>
      <c r="AE247" s="39" t="s">
        <v>2811</v>
      </c>
      <c r="AF247" s="39" t="s">
        <v>16</v>
      </c>
      <c r="AG247" s="39" t="s">
        <v>2811</v>
      </c>
      <c r="AH247" s="39" t="s">
        <v>271</v>
      </c>
      <c r="AI247" s="39" t="s">
        <v>173</v>
      </c>
      <c r="AJ247" s="39" t="s">
        <v>140</v>
      </c>
      <c r="AK247" s="39" t="s">
        <v>125</v>
      </c>
      <c r="AL247" s="39">
        <v>5680</v>
      </c>
      <c r="AM247" s="39"/>
      <c r="AN247" s="39" t="s">
        <v>125</v>
      </c>
      <c r="AO247" s="39" t="s">
        <v>142</v>
      </c>
      <c r="AP247" s="39" t="s">
        <v>143</v>
      </c>
      <c r="AQ247" s="39" t="s">
        <v>175</v>
      </c>
      <c r="AR247" s="39" t="s">
        <v>2812</v>
      </c>
      <c r="AS247" s="39" t="s">
        <v>2813</v>
      </c>
      <c r="AT247" s="39" t="s">
        <v>2767</v>
      </c>
      <c r="AU247" s="39"/>
      <c r="AV247" s="39" t="s">
        <v>2814</v>
      </c>
      <c r="AW247" s="39"/>
      <c r="AX247" s="39"/>
      <c r="AY247" s="39"/>
      <c r="AZ247" s="39"/>
      <c r="BA247" s="39">
        <v>79500417</v>
      </c>
      <c r="BB247" s="39" t="s">
        <v>149</v>
      </c>
      <c r="BC247" s="39" t="s">
        <v>150</v>
      </c>
      <c r="BD247" s="39" t="s">
        <v>179</v>
      </c>
      <c r="BE247" s="39" t="s">
        <v>125</v>
      </c>
      <c r="BF247" s="39"/>
      <c r="BG247" s="39" t="s">
        <v>180</v>
      </c>
      <c r="BH247" s="39" t="s">
        <v>152</v>
      </c>
      <c r="BI247" s="39" t="s">
        <v>125</v>
      </c>
      <c r="BJ247" s="39"/>
      <c r="BK247" s="39" t="s">
        <v>153</v>
      </c>
      <c r="BL247" s="39"/>
      <c r="BM247" s="39" t="s">
        <v>154</v>
      </c>
      <c r="BN247" s="39" t="s">
        <v>1166</v>
      </c>
    </row>
    <row r="248" spans="1:66" hidden="1">
      <c r="A248" s="39">
        <v>246</v>
      </c>
      <c r="B248" s="39" t="s">
        <v>118</v>
      </c>
      <c r="C248" s="39" t="s">
        <v>119</v>
      </c>
      <c r="D248" s="39" t="s">
        <v>2815</v>
      </c>
      <c r="E248" s="39" t="s">
        <v>2816</v>
      </c>
      <c r="F248" s="39" t="s">
        <v>258</v>
      </c>
      <c r="G248" s="39" t="s">
        <v>2817</v>
      </c>
      <c r="H248" s="39" t="s">
        <v>2818</v>
      </c>
      <c r="I248" s="39" t="s">
        <v>2561</v>
      </c>
      <c r="J248" s="39"/>
      <c r="K248" s="39" t="s">
        <v>794</v>
      </c>
      <c r="L248" s="39" t="s">
        <v>263</v>
      </c>
      <c r="M248" s="39" t="s">
        <v>2562</v>
      </c>
      <c r="N248" s="39" t="s">
        <v>125</v>
      </c>
      <c r="O248" s="39" t="s">
        <v>794</v>
      </c>
      <c r="P248" s="39" t="s">
        <v>2819</v>
      </c>
      <c r="Q248" s="39" t="s">
        <v>2820</v>
      </c>
      <c r="R248" s="39" t="s">
        <v>16</v>
      </c>
      <c r="S248" s="39" t="s">
        <v>2821</v>
      </c>
      <c r="T248" s="39" t="s">
        <v>130</v>
      </c>
      <c r="U248" s="39" t="s">
        <v>2822</v>
      </c>
      <c r="V248" s="39" t="s">
        <v>132</v>
      </c>
      <c r="W248" s="39" t="s">
        <v>168</v>
      </c>
      <c r="X248" s="39" t="s">
        <v>465</v>
      </c>
      <c r="Y248" s="39" t="s">
        <v>361</v>
      </c>
      <c r="Z248" s="39" t="s">
        <v>2823</v>
      </c>
      <c r="AA248" s="39" t="s">
        <v>1176</v>
      </c>
      <c r="AB248" s="39" t="s">
        <v>2820</v>
      </c>
      <c r="AC248" s="39">
        <v>5387417</v>
      </c>
      <c r="AD248" s="39" t="s">
        <v>16</v>
      </c>
      <c r="AE248" s="39" t="s">
        <v>2824</v>
      </c>
      <c r="AF248" s="39" t="s">
        <v>16</v>
      </c>
      <c r="AG248" s="39" t="s">
        <v>2824</v>
      </c>
      <c r="AH248" s="39" t="s">
        <v>838</v>
      </c>
      <c r="AI248" s="39" t="s">
        <v>179</v>
      </c>
      <c r="AJ248" s="39" t="s">
        <v>140</v>
      </c>
      <c r="AK248" s="39" t="s">
        <v>125</v>
      </c>
      <c r="AL248" s="39">
        <v>5680</v>
      </c>
      <c r="AM248" s="39"/>
      <c r="AN248" s="39" t="s">
        <v>125</v>
      </c>
      <c r="AO248" s="39" t="s">
        <v>142</v>
      </c>
      <c r="AP248" s="39" t="s">
        <v>143</v>
      </c>
      <c r="AQ248" s="39" t="s">
        <v>312</v>
      </c>
      <c r="AR248" s="39" t="s">
        <v>2825</v>
      </c>
      <c r="AS248" s="39" t="s">
        <v>2826</v>
      </c>
      <c r="AT248" s="39" t="s">
        <v>2767</v>
      </c>
      <c r="AU248" s="39"/>
      <c r="AV248" s="39" t="s">
        <v>2827</v>
      </c>
      <c r="AW248" s="39"/>
      <c r="AX248" s="39"/>
      <c r="AY248" s="39"/>
      <c r="AZ248" s="39"/>
      <c r="BA248" s="39">
        <v>79968725</v>
      </c>
      <c r="BB248" s="39" t="s">
        <v>149</v>
      </c>
      <c r="BC248" s="39" t="s">
        <v>150</v>
      </c>
      <c r="BD248" s="39" t="s">
        <v>179</v>
      </c>
      <c r="BE248" s="39" t="s">
        <v>125</v>
      </c>
      <c r="BF248" s="39"/>
      <c r="BG248" s="39" t="s">
        <v>370</v>
      </c>
      <c r="BH248" s="39" t="s">
        <v>149</v>
      </c>
      <c r="BI248" s="39" t="s">
        <v>125</v>
      </c>
      <c r="BJ248" s="39"/>
      <c r="BK248" s="39" t="s">
        <v>153</v>
      </c>
      <c r="BL248" s="39"/>
      <c r="BM248" s="39"/>
      <c r="BN248" s="39" t="s">
        <v>915</v>
      </c>
    </row>
    <row r="249" spans="1:66" hidden="1">
      <c r="A249" s="39">
        <v>247</v>
      </c>
      <c r="B249" s="39" t="s">
        <v>118</v>
      </c>
      <c r="C249" s="39" t="s">
        <v>119</v>
      </c>
      <c r="D249" s="39" t="s">
        <v>2828</v>
      </c>
      <c r="E249" s="39" t="s">
        <v>2829</v>
      </c>
      <c r="F249" s="39" t="s">
        <v>1669</v>
      </c>
      <c r="G249" s="39" t="s">
        <v>2830</v>
      </c>
      <c r="H249" s="39" t="s">
        <v>2831</v>
      </c>
      <c r="I249" s="39"/>
      <c r="J249" s="39" t="s">
        <v>126</v>
      </c>
      <c r="K249" s="39" t="s">
        <v>16</v>
      </c>
      <c r="L249" s="39" t="s">
        <v>188</v>
      </c>
      <c r="M249" s="39" t="s">
        <v>356</v>
      </c>
      <c r="N249" s="39" t="s">
        <v>1672</v>
      </c>
      <c r="O249" s="39"/>
      <c r="P249" s="39"/>
      <c r="Q249" s="39" t="s">
        <v>2828</v>
      </c>
      <c r="R249" s="39" t="s">
        <v>16</v>
      </c>
      <c r="S249" s="39" t="s">
        <v>2832</v>
      </c>
      <c r="T249" s="39" t="s">
        <v>359</v>
      </c>
      <c r="U249" s="39" t="s">
        <v>2833</v>
      </c>
      <c r="V249" s="39" t="s">
        <v>132</v>
      </c>
      <c r="W249" s="39" t="s">
        <v>133</v>
      </c>
      <c r="X249" s="39" t="s">
        <v>126</v>
      </c>
      <c r="Y249" s="39" t="s">
        <v>2834</v>
      </c>
      <c r="Z249" s="39" t="s">
        <v>2835</v>
      </c>
      <c r="AA249" s="39" t="s">
        <v>2836</v>
      </c>
      <c r="AB249" s="39" t="s">
        <v>2828</v>
      </c>
      <c r="AC249" s="39">
        <v>5359047</v>
      </c>
      <c r="AD249" s="39" t="s">
        <v>16</v>
      </c>
      <c r="AE249" s="39" t="s">
        <v>2837</v>
      </c>
      <c r="AF249" s="39" t="s">
        <v>16</v>
      </c>
      <c r="AG249" s="39" t="s">
        <v>2838</v>
      </c>
      <c r="AH249" s="39" t="s">
        <v>1922</v>
      </c>
      <c r="AI249" s="39" t="s">
        <v>139</v>
      </c>
      <c r="AJ249" s="39" t="s">
        <v>140</v>
      </c>
      <c r="AK249" s="39" t="s">
        <v>125</v>
      </c>
      <c r="AL249" s="39">
        <v>5680</v>
      </c>
      <c r="AM249" s="39" t="s">
        <v>2604</v>
      </c>
      <c r="AN249" s="39" t="s">
        <v>1669</v>
      </c>
      <c r="AO249" s="39" t="s">
        <v>367</v>
      </c>
      <c r="AP249" s="39" t="s">
        <v>143</v>
      </c>
      <c r="AQ249" s="39" t="s">
        <v>175</v>
      </c>
      <c r="AR249" s="39" t="s">
        <v>2839</v>
      </c>
      <c r="AS249" s="39" t="s">
        <v>2840</v>
      </c>
      <c r="AT249" s="39" t="s">
        <v>2767</v>
      </c>
      <c r="AU249" s="39"/>
      <c r="AV249" s="39" t="s">
        <v>2841</v>
      </c>
      <c r="AW249" s="39"/>
      <c r="AX249" s="39"/>
      <c r="AY249" s="39"/>
      <c r="AZ249" s="39"/>
      <c r="BA249" s="39">
        <v>56174130</v>
      </c>
      <c r="BB249" s="39" t="s">
        <v>149</v>
      </c>
      <c r="BC249" s="39" t="s">
        <v>150</v>
      </c>
      <c r="BD249" s="39" t="s">
        <v>139</v>
      </c>
      <c r="BE249" s="39" t="s">
        <v>125</v>
      </c>
      <c r="BF249" s="39"/>
      <c r="BG249" s="39" t="s">
        <v>637</v>
      </c>
      <c r="BH249" s="39" t="s">
        <v>152</v>
      </c>
      <c r="BI249" s="39" t="s">
        <v>125</v>
      </c>
      <c r="BJ249" s="39"/>
      <c r="BK249" s="39" t="s">
        <v>153</v>
      </c>
      <c r="BL249" s="39"/>
      <c r="BM249" s="39" t="s">
        <v>154</v>
      </c>
      <c r="BN249" s="39" t="s">
        <v>356</v>
      </c>
    </row>
    <row r="250" spans="1:66" hidden="1">
      <c r="A250" s="39">
        <v>248</v>
      </c>
      <c r="B250" s="39" t="s">
        <v>118</v>
      </c>
      <c r="C250" s="39" t="s">
        <v>119</v>
      </c>
      <c r="D250" s="39" t="s">
        <v>2842</v>
      </c>
      <c r="E250" s="39" t="s">
        <v>2843</v>
      </c>
      <c r="F250" s="39" t="s">
        <v>258</v>
      </c>
      <c r="G250" s="39" t="s">
        <v>2844</v>
      </c>
      <c r="H250" s="39" t="s">
        <v>2845</v>
      </c>
      <c r="I250" s="39" t="s">
        <v>1527</v>
      </c>
      <c r="J250" s="39"/>
      <c r="K250" s="39" t="s">
        <v>262</v>
      </c>
      <c r="L250" s="39" t="s">
        <v>263</v>
      </c>
      <c r="M250" s="39" t="s">
        <v>1528</v>
      </c>
      <c r="N250" s="39" t="s">
        <v>125</v>
      </c>
      <c r="O250" s="39" t="s">
        <v>262</v>
      </c>
      <c r="P250" s="39" t="s">
        <v>2846</v>
      </c>
      <c r="Q250" s="39" t="s">
        <v>2847</v>
      </c>
      <c r="R250" s="39" t="s">
        <v>26</v>
      </c>
      <c r="S250" s="39" t="s">
        <v>2848</v>
      </c>
      <c r="T250" s="39" t="s">
        <v>130</v>
      </c>
      <c r="U250" s="39" t="s">
        <v>2849</v>
      </c>
      <c r="V250" s="39" t="s">
        <v>132</v>
      </c>
      <c r="W250" s="39" t="s">
        <v>168</v>
      </c>
      <c r="X250" s="39" t="s">
        <v>355</v>
      </c>
      <c r="Y250" s="39" t="s">
        <v>2850</v>
      </c>
      <c r="Z250" s="39" t="s">
        <v>2851</v>
      </c>
      <c r="AA250" s="39" t="s">
        <v>2852</v>
      </c>
      <c r="AB250" s="39" t="s">
        <v>2847</v>
      </c>
      <c r="AC250" s="39">
        <v>5358655</v>
      </c>
      <c r="AD250" s="39" t="s">
        <v>26</v>
      </c>
      <c r="AE250" s="39" t="s">
        <v>2853</v>
      </c>
      <c r="AF250" s="39" t="s">
        <v>26</v>
      </c>
      <c r="AG250" s="39" t="s">
        <v>2854</v>
      </c>
      <c r="AH250" s="39" t="s">
        <v>1007</v>
      </c>
      <c r="AI250" s="39" t="s">
        <v>1008</v>
      </c>
      <c r="AJ250" s="39" t="s">
        <v>140</v>
      </c>
      <c r="AK250" s="39" t="s">
        <v>2855</v>
      </c>
      <c r="AL250" s="39">
        <v>20300</v>
      </c>
      <c r="AM250" s="39"/>
      <c r="AN250" s="39" t="s">
        <v>125</v>
      </c>
      <c r="AO250" s="39" t="s">
        <v>142</v>
      </c>
      <c r="AP250" s="39" t="s">
        <v>143</v>
      </c>
      <c r="AQ250" s="39" t="s">
        <v>144</v>
      </c>
      <c r="AR250" s="39" t="s">
        <v>2856</v>
      </c>
      <c r="AS250" s="39" t="s">
        <v>2857</v>
      </c>
      <c r="AT250" s="39" t="s">
        <v>2767</v>
      </c>
      <c r="AU250" s="39"/>
      <c r="AV250" s="39" t="s">
        <v>2858</v>
      </c>
      <c r="AW250" s="39"/>
      <c r="AX250" s="39"/>
      <c r="AY250" s="39"/>
      <c r="AZ250" s="39"/>
      <c r="BA250" s="39">
        <v>79770817</v>
      </c>
      <c r="BB250" s="39" t="s">
        <v>149</v>
      </c>
      <c r="BC250" s="39" t="s">
        <v>150</v>
      </c>
      <c r="BD250" s="39" t="s">
        <v>2859</v>
      </c>
      <c r="BE250" s="39" t="s">
        <v>125</v>
      </c>
      <c r="BF250" s="39"/>
      <c r="BG250" s="39" t="s">
        <v>298</v>
      </c>
      <c r="BH250" s="39" t="s">
        <v>152</v>
      </c>
      <c r="BI250" s="39" t="s">
        <v>125</v>
      </c>
      <c r="BJ250" s="39"/>
      <c r="BK250" s="39" t="s">
        <v>153</v>
      </c>
      <c r="BL250" s="39"/>
      <c r="BM250" s="39" t="s">
        <v>154</v>
      </c>
      <c r="BN250" s="39" t="s">
        <v>915</v>
      </c>
    </row>
    <row r="251" spans="1:66" hidden="1">
      <c r="A251" s="39">
        <v>249</v>
      </c>
      <c r="B251" s="39" t="s">
        <v>118</v>
      </c>
      <c r="C251" s="39" t="s">
        <v>119</v>
      </c>
      <c r="D251" s="39" t="s">
        <v>2860</v>
      </c>
      <c r="E251" s="39" t="s">
        <v>2861</v>
      </c>
      <c r="F251" s="39" t="s">
        <v>279</v>
      </c>
      <c r="G251" s="39" t="s">
        <v>2862</v>
      </c>
      <c r="H251" s="39" t="s">
        <v>2863</v>
      </c>
      <c r="I251" s="39"/>
      <c r="J251" s="39" t="s">
        <v>126</v>
      </c>
      <c r="K251" s="39" t="s">
        <v>24</v>
      </c>
      <c r="L251" s="39" t="s">
        <v>999</v>
      </c>
      <c r="M251" s="39" t="s">
        <v>1000</v>
      </c>
      <c r="N251" s="39" t="s">
        <v>125</v>
      </c>
      <c r="O251" s="39"/>
      <c r="P251" s="39"/>
      <c r="Q251" s="39" t="s">
        <v>2864</v>
      </c>
      <c r="R251" s="39" t="s">
        <v>24</v>
      </c>
      <c r="S251" s="39" t="s">
        <v>2865</v>
      </c>
      <c r="T251" s="39" t="s">
        <v>130</v>
      </c>
      <c r="U251" s="39" t="s">
        <v>2866</v>
      </c>
      <c r="V251" s="39" t="s">
        <v>132</v>
      </c>
      <c r="W251" s="39" t="s">
        <v>2867</v>
      </c>
      <c r="X251" s="39" t="s">
        <v>126</v>
      </c>
      <c r="Y251" s="39" t="s">
        <v>629</v>
      </c>
      <c r="Z251" s="39" t="s">
        <v>2679</v>
      </c>
      <c r="AA251" s="39" t="s">
        <v>1176</v>
      </c>
      <c r="AB251" s="39" t="s">
        <v>2864</v>
      </c>
      <c r="AC251" s="39">
        <v>5399977</v>
      </c>
      <c r="AD251" s="39" t="s">
        <v>24</v>
      </c>
      <c r="AE251" s="39" t="s">
        <v>2868</v>
      </c>
      <c r="AF251" s="39" t="s">
        <v>24</v>
      </c>
      <c r="AG251" s="39" t="s">
        <v>2868</v>
      </c>
      <c r="AH251" s="39" t="s">
        <v>1922</v>
      </c>
      <c r="AI251" s="39" t="s">
        <v>139</v>
      </c>
      <c r="AJ251" s="39" t="s">
        <v>140</v>
      </c>
      <c r="AK251" s="39" t="s">
        <v>125</v>
      </c>
      <c r="AL251" s="39">
        <v>6180</v>
      </c>
      <c r="AM251" s="39"/>
      <c r="AN251" s="39" t="s">
        <v>125</v>
      </c>
      <c r="AO251" s="39" t="s">
        <v>142</v>
      </c>
      <c r="AP251" s="39" t="s">
        <v>143</v>
      </c>
      <c r="AQ251" s="39" t="s">
        <v>144</v>
      </c>
      <c r="AR251" s="39" t="s">
        <v>2869</v>
      </c>
      <c r="AS251" s="39" t="s">
        <v>2870</v>
      </c>
      <c r="AT251" s="39" t="s">
        <v>2871</v>
      </c>
      <c r="AU251" s="39"/>
      <c r="AV251" s="39" t="s">
        <v>2872</v>
      </c>
      <c r="AW251" s="39"/>
      <c r="AX251" s="39"/>
      <c r="AY251" s="39"/>
      <c r="AZ251" s="39"/>
      <c r="BA251" s="39">
        <v>70943137</v>
      </c>
      <c r="BB251" s="39" t="s">
        <v>149</v>
      </c>
      <c r="BC251" s="39" t="s">
        <v>150</v>
      </c>
      <c r="BD251" s="39" t="s">
        <v>2873</v>
      </c>
      <c r="BE251" s="39" t="s">
        <v>125</v>
      </c>
      <c r="BF251" s="39"/>
      <c r="BG251" s="39" t="s">
        <v>637</v>
      </c>
      <c r="BH251" s="39" t="s">
        <v>152</v>
      </c>
      <c r="BI251" s="39" t="s">
        <v>125</v>
      </c>
      <c r="BJ251" s="39"/>
      <c r="BK251" s="39" t="s">
        <v>153</v>
      </c>
      <c r="BL251" s="39"/>
      <c r="BM251" s="39" t="s">
        <v>460</v>
      </c>
      <c r="BN251" s="39" t="s">
        <v>333</v>
      </c>
    </row>
    <row r="252" spans="1:66" hidden="1">
      <c r="A252" s="39">
        <v>250</v>
      </c>
      <c r="B252" s="39" t="s">
        <v>118</v>
      </c>
      <c r="C252" s="39" t="s">
        <v>119</v>
      </c>
      <c r="D252" s="39" t="s">
        <v>2874</v>
      </c>
      <c r="E252" s="39" t="s">
        <v>2875</v>
      </c>
      <c r="F252" s="39" t="s">
        <v>279</v>
      </c>
      <c r="G252" s="39" t="s">
        <v>2876</v>
      </c>
      <c r="H252" s="39" t="s">
        <v>2877</v>
      </c>
      <c r="I252" s="39" t="s">
        <v>2878</v>
      </c>
      <c r="J252" s="39" t="s">
        <v>506</v>
      </c>
      <c r="K252" s="39" t="s">
        <v>283</v>
      </c>
      <c r="L252" s="39" t="s">
        <v>263</v>
      </c>
      <c r="M252" s="39" t="s">
        <v>264</v>
      </c>
      <c r="N252" s="39" t="s">
        <v>125</v>
      </c>
      <c r="O252" s="39" t="s">
        <v>283</v>
      </c>
      <c r="P252" s="39" t="s">
        <v>2879</v>
      </c>
      <c r="Q252" s="39" t="s">
        <v>2874</v>
      </c>
      <c r="R252" s="39" t="s">
        <v>26</v>
      </c>
      <c r="S252" s="39" t="s">
        <v>2880</v>
      </c>
      <c r="T252" s="39" t="s">
        <v>130</v>
      </c>
      <c r="U252" s="39" t="s">
        <v>2881</v>
      </c>
      <c r="V252" s="39" t="s">
        <v>132</v>
      </c>
      <c r="W252" s="39" t="s">
        <v>133</v>
      </c>
      <c r="X252" s="39" t="s">
        <v>126</v>
      </c>
      <c r="Y252" s="39" t="s">
        <v>2882</v>
      </c>
      <c r="Z252" s="39" t="s">
        <v>2883</v>
      </c>
      <c r="AA252" s="39" t="s">
        <v>2884</v>
      </c>
      <c r="AB252" s="39" t="s">
        <v>2874</v>
      </c>
      <c r="AC252" s="39">
        <v>5399959</v>
      </c>
      <c r="AD252" s="39" t="s">
        <v>26</v>
      </c>
      <c r="AE252" s="39" t="s">
        <v>2885</v>
      </c>
      <c r="AF252" s="39" t="s">
        <v>26</v>
      </c>
      <c r="AG252" s="39" t="s">
        <v>2886</v>
      </c>
      <c r="AH252" s="39" t="s">
        <v>516</v>
      </c>
      <c r="AI252" s="39" t="s">
        <v>517</v>
      </c>
      <c r="AJ252" s="39" t="s">
        <v>140</v>
      </c>
      <c r="AK252" s="39" t="s">
        <v>125</v>
      </c>
      <c r="AL252" s="39">
        <v>16000</v>
      </c>
      <c r="AM252" s="39"/>
      <c r="AN252" s="39" t="s">
        <v>125</v>
      </c>
      <c r="AO252" s="39" t="s">
        <v>142</v>
      </c>
      <c r="AP252" s="39" t="s">
        <v>143</v>
      </c>
      <c r="AQ252" s="39" t="s">
        <v>144</v>
      </c>
      <c r="AR252" s="39" t="s">
        <v>2887</v>
      </c>
      <c r="AS252" s="39" t="s">
        <v>2888</v>
      </c>
      <c r="AT252" s="39" t="s">
        <v>2871</v>
      </c>
      <c r="AU252" s="39"/>
      <c r="AV252" s="39" t="s">
        <v>2889</v>
      </c>
      <c r="AW252" s="39"/>
      <c r="AX252" s="39"/>
      <c r="AY252" s="39"/>
      <c r="AZ252" s="39"/>
      <c r="BA252" s="39">
        <v>79756704</v>
      </c>
      <c r="BB252" s="39" t="s">
        <v>149</v>
      </c>
      <c r="BC252" s="39" t="s">
        <v>150</v>
      </c>
      <c r="BD252" s="39" t="s">
        <v>522</v>
      </c>
      <c r="BE252" s="39" t="s">
        <v>125</v>
      </c>
      <c r="BF252" s="39"/>
      <c r="BG252" s="39" t="s">
        <v>637</v>
      </c>
      <c r="BH252" s="39" t="s">
        <v>152</v>
      </c>
      <c r="BI252" s="39" t="s">
        <v>125</v>
      </c>
      <c r="BJ252" s="39"/>
      <c r="BK252" s="39" t="s">
        <v>153</v>
      </c>
      <c r="BL252" s="39"/>
      <c r="BM252" s="39" t="s">
        <v>205</v>
      </c>
      <c r="BN252" s="39" t="s">
        <v>2890</v>
      </c>
    </row>
    <row r="253" spans="1:66" hidden="1">
      <c r="A253" s="39">
        <v>251</v>
      </c>
      <c r="B253" s="39" t="s">
        <v>118</v>
      </c>
      <c r="C253" s="39" t="s">
        <v>119</v>
      </c>
      <c r="D253" s="39" t="s">
        <v>2891</v>
      </c>
      <c r="E253" s="39" t="s">
        <v>2892</v>
      </c>
      <c r="F253" s="39" t="s">
        <v>1847</v>
      </c>
      <c r="G253" s="39" t="s">
        <v>2893</v>
      </c>
      <c r="H253" s="39" t="s">
        <v>2894</v>
      </c>
      <c r="I253" s="39"/>
      <c r="J253" s="39" t="s">
        <v>465</v>
      </c>
      <c r="K253" s="39" t="s">
        <v>23</v>
      </c>
      <c r="L253" s="39" t="s">
        <v>188</v>
      </c>
      <c r="M253" s="39" t="s">
        <v>356</v>
      </c>
      <c r="N253" s="39" t="s">
        <v>1850</v>
      </c>
      <c r="O253" s="39"/>
      <c r="P253" s="39"/>
      <c r="Q253" s="39" t="s">
        <v>2891</v>
      </c>
      <c r="R253" s="39" t="s">
        <v>23</v>
      </c>
      <c r="S253" s="39" t="s">
        <v>2895</v>
      </c>
      <c r="T253" s="39" t="s">
        <v>359</v>
      </c>
      <c r="U253" s="39" t="s">
        <v>2896</v>
      </c>
      <c r="V253" s="39" t="s">
        <v>132</v>
      </c>
      <c r="W253" s="39" t="s">
        <v>2897</v>
      </c>
      <c r="X253" s="39" t="s">
        <v>465</v>
      </c>
      <c r="Y253" s="39" t="s">
        <v>629</v>
      </c>
      <c r="Z253" s="39" t="s">
        <v>2679</v>
      </c>
      <c r="AA253" s="39" t="s">
        <v>1176</v>
      </c>
      <c r="AB253" s="39" t="s">
        <v>2891</v>
      </c>
      <c r="AC253" s="39">
        <v>5399896</v>
      </c>
      <c r="AD253" s="39" t="s">
        <v>23</v>
      </c>
      <c r="AE253" s="39" t="s">
        <v>2898</v>
      </c>
      <c r="AF253" s="39" t="s">
        <v>23</v>
      </c>
      <c r="AG253" s="39" t="s">
        <v>2899</v>
      </c>
      <c r="AH253" s="39" t="s">
        <v>2900</v>
      </c>
      <c r="AI253" s="39" t="s">
        <v>330</v>
      </c>
      <c r="AJ253" s="39" t="s">
        <v>140</v>
      </c>
      <c r="AK253" s="39" t="s">
        <v>125</v>
      </c>
      <c r="AL253" s="39">
        <v>1500</v>
      </c>
      <c r="AM253" s="39"/>
      <c r="AN253" s="39" t="s">
        <v>1847</v>
      </c>
      <c r="AO253" s="39" t="s">
        <v>367</v>
      </c>
      <c r="AP253" s="39" t="s">
        <v>143</v>
      </c>
      <c r="AQ253" s="39"/>
      <c r="AR253" s="39" t="s">
        <v>2901</v>
      </c>
      <c r="AS253" s="39"/>
      <c r="AT253" s="39" t="s">
        <v>2871</v>
      </c>
      <c r="AU253" s="39"/>
      <c r="AV253" s="39" t="s">
        <v>2902</v>
      </c>
      <c r="AW253" s="39"/>
      <c r="AX253" s="39"/>
      <c r="AY253" s="39"/>
      <c r="AZ253" s="39"/>
      <c r="BA253" s="39">
        <v>69381849</v>
      </c>
      <c r="BB253" s="39" t="s">
        <v>149</v>
      </c>
      <c r="BC253" s="39"/>
      <c r="BD253" s="39" t="s">
        <v>125</v>
      </c>
      <c r="BE253" s="39" t="s">
        <v>125</v>
      </c>
      <c r="BF253" s="39"/>
      <c r="BG253" s="39" t="s">
        <v>637</v>
      </c>
      <c r="BH253" s="39" t="s">
        <v>152</v>
      </c>
      <c r="BI253" s="39" t="s">
        <v>125</v>
      </c>
      <c r="BJ253" s="39"/>
      <c r="BK253" s="39"/>
      <c r="BL253" s="39"/>
      <c r="BM253" s="39"/>
      <c r="BN253" s="39" t="s">
        <v>356</v>
      </c>
    </row>
    <row r="254" spans="1:66" hidden="1">
      <c r="A254" s="39">
        <v>252</v>
      </c>
      <c r="B254" s="39" t="s">
        <v>118</v>
      </c>
      <c r="C254" s="39" t="s">
        <v>119</v>
      </c>
      <c r="D254" s="39" t="s">
        <v>506</v>
      </c>
      <c r="E254" s="39" t="s">
        <v>2903</v>
      </c>
      <c r="F254" s="39" t="s">
        <v>855</v>
      </c>
      <c r="G254" s="39" t="s">
        <v>2904</v>
      </c>
      <c r="H254" s="39" t="s">
        <v>2905</v>
      </c>
      <c r="I254" s="39" t="s">
        <v>1156</v>
      </c>
      <c r="J254" s="39" t="s">
        <v>2245</v>
      </c>
      <c r="K254" s="39" t="s">
        <v>22</v>
      </c>
      <c r="L254" s="39" t="s">
        <v>858</v>
      </c>
      <c r="M254" s="39" t="s">
        <v>1157</v>
      </c>
      <c r="N254" s="39" t="s">
        <v>125</v>
      </c>
      <c r="O254" s="39"/>
      <c r="P254" s="39"/>
      <c r="Q254" s="39" t="s">
        <v>2906</v>
      </c>
      <c r="R254" s="39" t="s">
        <v>22</v>
      </c>
      <c r="S254" s="39" t="s">
        <v>2907</v>
      </c>
      <c r="T254" s="39" t="s">
        <v>359</v>
      </c>
      <c r="U254" s="39" t="s">
        <v>2908</v>
      </c>
      <c r="V254" s="39" t="s">
        <v>132</v>
      </c>
      <c r="W254" s="39" t="s">
        <v>168</v>
      </c>
      <c r="X254" s="39" t="s">
        <v>2245</v>
      </c>
      <c r="Y254" s="39" t="s">
        <v>134</v>
      </c>
      <c r="Z254" s="39" t="s">
        <v>450</v>
      </c>
      <c r="AA254" s="39" t="s">
        <v>1176</v>
      </c>
      <c r="AB254" s="39" t="s">
        <v>2906</v>
      </c>
      <c r="AC254" s="39">
        <v>5386677</v>
      </c>
      <c r="AD254" s="39" t="s">
        <v>22</v>
      </c>
      <c r="AE254" s="39" t="s">
        <v>2909</v>
      </c>
      <c r="AF254" s="39" t="s">
        <v>22</v>
      </c>
      <c r="AG254" s="39" t="s">
        <v>2909</v>
      </c>
      <c r="AH254" s="39" t="s">
        <v>1007</v>
      </c>
      <c r="AI254" s="39" t="s">
        <v>1008</v>
      </c>
      <c r="AJ254" s="39" t="s">
        <v>140</v>
      </c>
      <c r="AK254" s="39" t="s">
        <v>125</v>
      </c>
      <c r="AL254" s="39">
        <v>19300</v>
      </c>
      <c r="AM254" s="39"/>
      <c r="AN254" s="39" t="s">
        <v>125</v>
      </c>
      <c r="AO254" s="39" t="s">
        <v>367</v>
      </c>
      <c r="AP254" s="39" t="s">
        <v>143</v>
      </c>
      <c r="AQ254" s="39" t="s">
        <v>312</v>
      </c>
      <c r="AR254" s="39" t="s">
        <v>2910</v>
      </c>
      <c r="AS254" s="39" t="s">
        <v>2911</v>
      </c>
      <c r="AT254" s="39" t="s">
        <v>2871</v>
      </c>
      <c r="AU254" s="39"/>
      <c r="AV254" s="39" t="s">
        <v>2912</v>
      </c>
      <c r="AW254" s="39"/>
      <c r="AX254" s="39"/>
      <c r="AY254" s="39"/>
      <c r="AZ254" s="39"/>
      <c r="BA254" s="39">
        <v>39681604</v>
      </c>
      <c r="BB254" s="39" t="s">
        <v>149</v>
      </c>
      <c r="BC254" s="39" t="s">
        <v>150</v>
      </c>
      <c r="BD254" s="39" t="s">
        <v>125</v>
      </c>
      <c r="BE254" s="39" t="s">
        <v>125</v>
      </c>
      <c r="BF254" s="39"/>
      <c r="BG254" s="39" t="s">
        <v>151</v>
      </c>
      <c r="BH254" s="39" t="s">
        <v>152</v>
      </c>
      <c r="BI254" s="39" t="s">
        <v>125</v>
      </c>
      <c r="BJ254" s="39"/>
      <c r="BK254" s="39" t="s">
        <v>153</v>
      </c>
      <c r="BL254" s="39"/>
      <c r="BM254" s="39"/>
      <c r="BN254" s="39" t="s">
        <v>1166</v>
      </c>
    </row>
    <row r="255" spans="1:66" hidden="1">
      <c r="A255" s="39">
        <v>253</v>
      </c>
      <c r="B255" s="39" t="s">
        <v>118</v>
      </c>
      <c r="C255" s="39" t="s">
        <v>119</v>
      </c>
      <c r="D255" s="39" t="s">
        <v>2913</v>
      </c>
      <c r="E255" s="39" t="s">
        <v>2914</v>
      </c>
      <c r="F255" s="39" t="s">
        <v>258</v>
      </c>
      <c r="G255" s="39" t="s">
        <v>2915</v>
      </c>
      <c r="H255" s="39" t="s">
        <v>2916</v>
      </c>
      <c r="I255" s="39" t="s">
        <v>1527</v>
      </c>
      <c r="J255" s="39"/>
      <c r="K255" s="39" t="s">
        <v>905</v>
      </c>
      <c r="L255" s="39" t="s">
        <v>263</v>
      </c>
      <c r="M255" s="39" t="s">
        <v>1528</v>
      </c>
      <c r="N255" s="39" t="s">
        <v>125</v>
      </c>
      <c r="O255" s="39" t="s">
        <v>905</v>
      </c>
      <c r="P255" s="39" t="s">
        <v>2917</v>
      </c>
      <c r="Q255" s="39" t="s">
        <v>2918</v>
      </c>
      <c r="R255" s="39" t="s">
        <v>24</v>
      </c>
      <c r="S255" s="39" t="s">
        <v>2919</v>
      </c>
      <c r="T255" s="39" t="s">
        <v>130</v>
      </c>
      <c r="U255" s="39" t="s">
        <v>2920</v>
      </c>
      <c r="V255" s="39" t="s">
        <v>132</v>
      </c>
      <c r="W255" s="39" t="s">
        <v>133</v>
      </c>
      <c r="X255" s="39" t="s">
        <v>126</v>
      </c>
      <c r="Y255" s="39" t="s">
        <v>629</v>
      </c>
      <c r="Z255" s="39" t="s">
        <v>1863</v>
      </c>
      <c r="AA255" s="39" t="s">
        <v>1864</v>
      </c>
      <c r="AB255" s="39" t="s">
        <v>2918</v>
      </c>
      <c r="AC255" s="39">
        <v>5358085</v>
      </c>
      <c r="AD255" s="39" t="s">
        <v>24</v>
      </c>
      <c r="AE255" s="39" t="s">
        <v>2921</v>
      </c>
      <c r="AF255" s="39" t="s">
        <v>24</v>
      </c>
      <c r="AG255" s="39" t="s">
        <v>2921</v>
      </c>
      <c r="AH255" s="39" t="s">
        <v>742</v>
      </c>
      <c r="AI255" s="39" t="s">
        <v>743</v>
      </c>
      <c r="AJ255" s="39" t="s">
        <v>140</v>
      </c>
      <c r="AK255" s="39" t="s">
        <v>125</v>
      </c>
      <c r="AL255" s="39">
        <v>20300</v>
      </c>
      <c r="AM255" s="39"/>
      <c r="AN255" s="39" t="s">
        <v>125</v>
      </c>
      <c r="AO255" s="39" t="s">
        <v>142</v>
      </c>
      <c r="AP255" s="39" t="s">
        <v>143</v>
      </c>
      <c r="AQ255" s="39" t="s">
        <v>144</v>
      </c>
      <c r="AR255" s="39" t="s">
        <v>2922</v>
      </c>
      <c r="AS255" s="39" t="s">
        <v>2923</v>
      </c>
      <c r="AT255" s="39" t="s">
        <v>2871</v>
      </c>
      <c r="AU255" s="39"/>
      <c r="AV255" s="39" t="s">
        <v>2924</v>
      </c>
      <c r="AW255" s="39"/>
      <c r="AX255" s="39"/>
      <c r="AY255" s="39"/>
      <c r="AZ255" s="39"/>
      <c r="BA255" s="39">
        <v>79162445</v>
      </c>
      <c r="BB255" s="39" t="s">
        <v>149</v>
      </c>
      <c r="BC255" s="39" t="s">
        <v>150</v>
      </c>
      <c r="BD255" s="39" t="s">
        <v>139</v>
      </c>
      <c r="BE255" s="39" t="s">
        <v>125</v>
      </c>
      <c r="BF255" s="39"/>
      <c r="BG255" s="39" t="s">
        <v>637</v>
      </c>
      <c r="BH255" s="39" t="s">
        <v>152</v>
      </c>
      <c r="BI255" s="39" t="s">
        <v>125</v>
      </c>
      <c r="BJ255" s="39"/>
      <c r="BK255" s="39" t="s">
        <v>153</v>
      </c>
      <c r="BL255" s="39"/>
      <c r="BM255" s="39" t="s">
        <v>154</v>
      </c>
      <c r="BN255" s="39" t="s">
        <v>915</v>
      </c>
    </row>
    <row r="256" spans="1:66" hidden="1">
      <c r="A256" s="39">
        <v>254</v>
      </c>
      <c r="B256" s="39" t="s">
        <v>118</v>
      </c>
      <c r="C256" s="39" t="s">
        <v>119</v>
      </c>
      <c r="D256" s="39" t="s">
        <v>2925</v>
      </c>
      <c r="E256" s="39" t="s">
        <v>2926</v>
      </c>
      <c r="F256" s="39" t="s">
        <v>352</v>
      </c>
      <c r="G256" s="39" t="s">
        <v>2927</v>
      </c>
      <c r="H256" s="39" t="s">
        <v>2928</v>
      </c>
      <c r="I256" s="39"/>
      <c r="J256" s="39" t="s">
        <v>126</v>
      </c>
      <c r="K256" s="39" t="s">
        <v>16</v>
      </c>
      <c r="L256" s="39" t="s">
        <v>188</v>
      </c>
      <c r="M256" s="39" t="s">
        <v>356</v>
      </c>
      <c r="N256" s="39" t="s">
        <v>357</v>
      </c>
      <c r="O256" s="39"/>
      <c r="P256" s="39"/>
      <c r="Q256" s="39" t="s">
        <v>2925</v>
      </c>
      <c r="R256" s="39" t="s">
        <v>16</v>
      </c>
      <c r="S256" s="39" t="s">
        <v>2929</v>
      </c>
      <c r="T256" s="39" t="s">
        <v>359</v>
      </c>
      <c r="U256" s="39" t="s">
        <v>2930</v>
      </c>
      <c r="V256" s="39" t="s">
        <v>132</v>
      </c>
      <c r="W256" s="39" t="s">
        <v>168</v>
      </c>
      <c r="X256" s="39" t="s">
        <v>126</v>
      </c>
      <c r="Y256" s="39" t="s">
        <v>2340</v>
      </c>
      <c r="Z256" s="39" t="s">
        <v>2931</v>
      </c>
      <c r="AA256" s="39" t="s">
        <v>2932</v>
      </c>
      <c r="AB256" s="39" t="s">
        <v>2925</v>
      </c>
      <c r="AC256" s="39">
        <v>5357848</v>
      </c>
      <c r="AD256" s="39" t="s">
        <v>16</v>
      </c>
      <c r="AE256" s="39" t="s">
        <v>2930</v>
      </c>
      <c r="AF256" s="39" t="s">
        <v>16</v>
      </c>
      <c r="AG256" s="39" t="s">
        <v>2933</v>
      </c>
      <c r="AH256" s="39" t="s">
        <v>838</v>
      </c>
      <c r="AI256" s="39" t="s">
        <v>179</v>
      </c>
      <c r="AJ256" s="39" t="s">
        <v>140</v>
      </c>
      <c r="AK256" s="39" t="s">
        <v>125</v>
      </c>
      <c r="AL256" s="39">
        <v>800</v>
      </c>
      <c r="AM256" s="39" t="s">
        <v>429</v>
      </c>
      <c r="AN256" s="39" t="s">
        <v>352</v>
      </c>
      <c r="AO256" s="39" t="s">
        <v>367</v>
      </c>
      <c r="AP256" s="39" t="s">
        <v>143</v>
      </c>
      <c r="AQ256" s="39" t="s">
        <v>430</v>
      </c>
      <c r="AR256" s="39" t="s">
        <v>2934</v>
      </c>
      <c r="AS256" s="39" t="s">
        <v>2935</v>
      </c>
      <c r="AT256" s="39" t="s">
        <v>2871</v>
      </c>
      <c r="AU256" s="39"/>
      <c r="AV256" s="39" t="s">
        <v>2936</v>
      </c>
      <c r="AW256" s="39"/>
      <c r="AX256" s="39"/>
      <c r="AY256" s="39"/>
      <c r="AZ256" s="39"/>
      <c r="BA256" s="39">
        <v>58832026</v>
      </c>
      <c r="BB256" s="39" t="s">
        <v>149</v>
      </c>
      <c r="BC256" s="39" t="s">
        <v>150</v>
      </c>
      <c r="BD256" s="39" t="s">
        <v>179</v>
      </c>
      <c r="BE256" s="39" t="s">
        <v>125</v>
      </c>
      <c r="BF256" s="39"/>
      <c r="BG256" s="39" t="s">
        <v>298</v>
      </c>
      <c r="BH256" s="39" t="s">
        <v>149</v>
      </c>
      <c r="BI256" s="39" t="s">
        <v>125</v>
      </c>
      <c r="BJ256" s="39"/>
      <c r="BK256" s="39" t="s">
        <v>153</v>
      </c>
      <c r="BL256" s="39"/>
      <c r="BM256" s="39" t="s">
        <v>205</v>
      </c>
      <c r="BN256" s="39" t="s">
        <v>356</v>
      </c>
    </row>
    <row r="257" spans="1:66" hidden="1">
      <c r="A257" s="39">
        <v>255</v>
      </c>
      <c r="B257" s="39" t="s">
        <v>118</v>
      </c>
      <c r="C257" s="39" t="s">
        <v>119</v>
      </c>
      <c r="D257" s="39" t="s">
        <v>2937</v>
      </c>
      <c r="E257" s="39" t="s">
        <v>2938</v>
      </c>
      <c r="F257" s="39" t="s">
        <v>749</v>
      </c>
      <c r="G257" s="39" t="s">
        <v>2939</v>
      </c>
      <c r="H257" s="39" t="s">
        <v>2940</v>
      </c>
      <c r="I257" s="39" t="s">
        <v>125</v>
      </c>
      <c r="J257" s="39" t="s">
        <v>506</v>
      </c>
      <c r="K257" s="39" t="s">
        <v>2941</v>
      </c>
      <c r="L257" s="39" t="s">
        <v>188</v>
      </c>
      <c r="M257" s="39" t="s">
        <v>189</v>
      </c>
      <c r="N257" s="39" t="s">
        <v>2942</v>
      </c>
      <c r="O257" s="39"/>
      <c r="P257" s="39"/>
      <c r="Q257" s="39" t="s">
        <v>2937</v>
      </c>
      <c r="R257" s="39" t="s">
        <v>27</v>
      </c>
      <c r="S257" s="39" t="s">
        <v>2943</v>
      </c>
      <c r="T257" s="39" t="s">
        <v>130</v>
      </c>
      <c r="U257" s="39" t="s">
        <v>2944</v>
      </c>
      <c r="V257" s="39" t="s">
        <v>167</v>
      </c>
      <c r="W257" s="39" t="s">
        <v>194</v>
      </c>
      <c r="X257" s="39" t="s">
        <v>187</v>
      </c>
      <c r="Y257" s="39" t="s">
        <v>2945</v>
      </c>
      <c r="Z257" s="39" t="s">
        <v>196</v>
      </c>
      <c r="AA257" s="39" t="s">
        <v>197</v>
      </c>
      <c r="AB257" s="39" t="s">
        <v>2937</v>
      </c>
      <c r="AC257" s="39">
        <v>5385960</v>
      </c>
      <c r="AD257" s="39" t="s">
        <v>27</v>
      </c>
      <c r="AE257" s="39" t="s">
        <v>2946</v>
      </c>
      <c r="AF257" s="39" t="s">
        <v>27</v>
      </c>
      <c r="AG257" s="39" t="s">
        <v>2947</v>
      </c>
      <c r="AH257" s="39" t="s">
        <v>271</v>
      </c>
      <c r="AI257" s="39" t="s">
        <v>173</v>
      </c>
      <c r="AJ257" s="39" t="s">
        <v>140</v>
      </c>
      <c r="AK257" s="39" t="s">
        <v>125</v>
      </c>
      <c r="AL257" s="39">
        <v>2001</v>
      </c>
      <c r="AM257" s="39"/>
      <c r="AN257" s="39" t="s">
        <v>2942</v>
      </c>
      <c r="AO257" s="39" t="s">
        <v>142</v>
      </c>
      <c r="AP257" s="39" t="s">
        <v>143</v>
      </c>
      <c r="AQ257" s="39" t="s">
        <v>345</v>
      </c>
      <c r="AR257" s="39" t="s">
        <v>2948</v>
      </c>
      <c r="AS257" s="39" t="s">
        <v>2949</v>
      </c>
      <c r="AT257" s="39" t="s">
        <v>2950</v>
      </c>
      <c r="AU257" s="39"/>
      <c r="AV257" s="39" t="s">
        <v>2951</v>
      </c>
      <c r="AW257" s="39"/>
      <c r="AX257" s="39"/>
      <c r="AY257" s="39"/>
      <c r="AZ257" s="39"/>
      <c r="BA257" s="39">
        <v>79405338</v>
      </c>
      <c r="BB257" s="39" t="s">
        <v>149</v>
      </c>
      <c r="BC257" s="39" t="s">
        <v>150</v>
      </c>
      <c r="BD257" s="39" t="s">
        <v>179</v>
      </c>
      <c r="BE257" s="39" t="s">
        <v>125</v>
      </c>
      <c r="BF257" s="39"/>
      <c r="BG257" s="39" t="s">
        <v>180</v>
      </c>
      <c r="BH257" s="39" t="s">
        <v>152</v>
      </c>
      <c r="BI257" s="39" t="s">
        <v>125</v>
      </c>
      <c r="BJ257" s="39"/>
      <c r="BK257" s="39" t="s">
        <v>153</v>
      </c>
      <c r="BL257" s="39"/>
      <c r="BM257" s="39"/>
      <c r="BN257" s="39" t="s">
        <v>155</v>
      </c>
    </row>
    <row r="258" spans="1:66" hidden="1">
      <c r="A258" s="39">
        <v>256</v>
      </c>
      <c r="B258" s="39" t="s">
        <v>118</v>
      </c>
      <c r="C258" s="39" t="s">
        <v>119</v>
      </c>
      <c r="D258" s="39" t="s">
        <v>2937</v>
      </c>
      <c r="E258" s="39" t="s">
        <v>2938</v>
      </c>
      <c r="F258" s="39" t="s">
        <v>749</v>
      </c>
      <c r="G258" s="39" t="s">
        <v>2939</v>
      </c>
      <c r="H258" s="39" t="s">
        <v>2940</v>
      </c>
      <c r="I258" s="39" t="s">
        <v>125</v>
      </c>
      <c r="J258" s="39" t="s">
        <v>506</v>
      </c>
      <c r="K258" s="39" t="s">
        <v>2941</v>
      </c>
      <c r="L258" s="39" t="s">
        <v>188</v>
      </c>
      <c r="M258" s="39" t="s">
        <v>189</v>
      </c>
      <c r="N258" s="39" t="s">
        <v>2942</v>
      </c>
      <c r="O258" s="39"/>
      <c r="P258" s="39"/>
      <c r="Q258" s="39" t="s">
        <v>2937</v>
      </c>
      <c r="R258" s="39" t="s">
        <v>27</v>
      </c>
      <c r="S258" s="39" t="s">
        <v>2943</v>
      </c>
      <c r="T258" s="39" t="s">
        <v>130</v>
      </c>
      <c r="U258" s="39" t="s">
        <v>2944</v>
      </c>
      <c r="V258" s="39" t="s">
        <v>167</v>
      </c>
      <c r="W258" s="39" t="s">
        <v>194</v>
      </c>
      <c r="X258" s="39" t="s">
        <v>187</v>
      </c>
      <c r="Y258" s="39" t="s">
        <v>2945</v>
      </c>
      <c r="Z258" s="39" t="s">
        <v>196</v>
      </c>
      <c r="AA258" s="39" t="s">
        <v>197</v>
      </c>
      <c r="AB258" s="39" t="s">
        <v>2937</v>
      </c>
      <c r="AC258" s="39">
        <v>5385960</v>
      </c>
      <c r="AD258" s="39" t="s">
        <v>27</v>
      </c>
      <c r="AE258" s="39" t="s">
        <v>2946</v>
      </c>
      <c r="AF258" s="39" t="s">
        <v>27</v>
      </c>
      <c r="AG258" s="39" t="s">
        <v>2947</v>
      </c>
      <c r="AH258" s="39" t="s">
        <v>409</v>
      </c>
      <c r="AI258" s="39" t="s">
        <v>410</v>
      </c>
      <c r="AJ258" s="39" t="s">
        <v>140</v>
      </c>
      <c r="AK258" s="39" t="s">
        <v>125</v>
      </c>
      <c r="AL258" s="39">
        <v>1999.5</v>
      </c>
      <c r="AM258" s="39"/>
      <c r="AN258" s="39" t="s">
        <v>2942</v>
      </c>
      <c r="AO258" s="39" t="s">
        <v>142</v>
      </c>
      <c r="AP258" s="39" t="s">
        <v>143</v>
      </c>
      <c r="AQ258" s="39" t="s">
        <v>345</v>
      </c>
      <c r="AR258" s="39" t="s">
        <v>2948</v>
      </c>
      <c r="AS258" s="39" t="s">
        <v>2952</v>
      </c>
      <c r="AT258" s="39" t="s">
        <v>2950</v>
      </c>
      <c r="AU258" s="39"/>
      <c r="AV258" s="39" t="s">
        <v>2951</v>
      </c>
      <c r="AW258" s="39"/>
      <c r="AX258" s="39"/>
      <c r="AY258" s="39"/>
      <c r="AZ258" s="39"/>
      <c r="BA258" s="39">
        <v>79405338</v>
      </c>
      <c r="BB258" s="39" t="s">
        <v>149</v>
      </c>
      <c r="BC258" s="39" t="s">
        <v>150</v>
      </c>
      <c r="BD258" s="39" t="s">
        <v>179</v>
      </c>
      <c r="BE258" s="39" t="s">
        <v>125</v>
      </c>
      <c r="BF258" s="39"/>
      <c r="BG258" s="39" t="s">
        <v>180</v>
      </c>
      <c r="BH258" s="39" t="s">
        <v>152</v>
      </c>
      <c r="BI258" s="39" t="s">
        <v>125</v>
      </c>
      <c r="BJ258" s="39"/>
      <c r="BK258" s="39" t="s">
        <v>153</v>
      </c>
      <c r="BL258" s="39"/>
      <c r="BM258" s="39"/>
      <c r="BN258" s="39" t="s">
        <v>155</v>
      </c>
    </row>
    <row r="259" spans="1:66" hidden="1">
      <c r="A259" s="39">
        <v>257</v>
      </c>
      <c r="B259" s="39" t="s">
        <v>118</v>
      </c>
      <c r="C259" s="39" t="s">
        <v>119</v>
      </c>
      <c r="D259" s="39" t="s">
        <v>2937</v>
      </c>
      <c r="E259" s="39" t="s">
        <v>2938</v>
      </c>
      <c r="F259" s="39" t="s">
        <v>749</v>
      </c>
      <c r="G259" s="39" t="s">
        <v>2939</v>
      </c>
      <c r="H259" s="39" t="s">
        <v>2940</v>
      </c>
      <c r="I259" s="39" t="s">
        <v>125</v>
      </c>
      <c r="J259" s="39" t="s">
        <v>506</v>
      </c>
      <c r="K259" s="39" t="s">
        <v>2941</v>
      </c>
      <c r="L259" s="39" t="s">
        <v>188</v>
      </c>
      <c r="M259" s="39" t="s">
        <v>189</v>
      </c>
      <c r="N259" s="39" t="s">
        <v>2942</v>
      </c>
      <c r="O259" s="39"/>
      <c r="P259" s="39"/>
      <c r="Q259" s="39" t="s">
        <v>2937</v>
      </c>
      <c r="R259" s="39" t="s">
        <v>27</v>
      </c>
      <c r="S259" s="39" t="s">
        <v>2943</v>
      </c>
      <c r="T259" s="39" t="s">
        <v>130</v>
      </c>
      <c r="U259" s="39" t="s">
        <v>2944</v>
      </c>
      <c r="V259" s="39" t="s">
        <v>167</v>
      </c>
      <c r="W259" s="39" t="s">
        <v>194</v>
      </c>
      <c r="X259" s="39" t="s">
        <v>187</v>
      </c>
      <c r="Y259" s="39" t="s">
        <v>2945</v>
      </c>
      <c r="Z259" s="39" t="s">
        <v>196</v>
      </c>
      <c r="AA259" s="39" t="s">
        <v>197</v>
      </c>
      <c r="AB259" s="39" t="s">
        <v>2937</v>
      </c>
      <c r="AC259" s="39">
        <v>5385960</v>
      </c>
      <c r="AD259" s="39" t="s">
        <v>27</v>
      </c>
      <c r="AE259" s="39" t="s">
        <v>2946</v>
      </c>
      <c r="AF259" s="39" t="s">
        <v>27</v>
      </c>
      <c r="AG259" s="39" t="s">
        <v>2947</v>
      </c>
      <c r="AH259" s="39" t="s">
        <v>412</v>
      </c>
      <c r="AI259" s="39" t="s">
        <v>413</v>
      </c>
      <c r="AJ259" s="39" t="s">
        <v>140</v>
      </c>
      <c r="AK259" s="39" t="s">
        <v>125</v>
      </c>
      <c r="AL259" s="39">
        <v>1999.5</v>
      </c>
      <c r="AM259" s="39"/>
      <c r="AN259" s="39" t="s">
        <v>2942</v>
      </c>
      <c r="AO259" s="39" t="s">
        <v>142</v>
      </c>
      <c r="AP259" s="39" t="s">
        <v>143</v>
      </c>
      <c r="AQ259" s="39" t="s">
        <v>345</v>
      </c>
      <c r="AR259" s="39" t="s">
        <v>2948</v>
      </c>
      <c r="AS259" s="39" t="s">
        <v>2953</v>
      </c>
      <c r="AT259" s="39" t="s">
        <v>2950</v>
      </c>
      <c r="AU259" s="39"/>
      <c r="AV259" s="39" t="s">
        <v>2951</v>
      </c>
      <c r="AW259" s="39"/>
      <c r="AX259" s="39"/>
      <c r="AY259" s="39"/>
      <c r="AZ259" s="39"/>
      <c r="BA259" s="39">
        <v>79405338</v>
      </c>
      <c r="BB259" s="39" t="s">
        <v>149</v>
      </c>
      <c r="BC259" s="39" t="s">
        <v>150</v>
      </c>
      <c r="BD259" s="39" t="s">
        <v>179</v>
      </c>
      <c r="BE259" s="39" t="s">
        <v>125</v>
      </c>
      <c r="BF259" s="39"/>
      <c r="BG259" s="39" t="s">
        <v>180</v>
      </c>
      <c r="BH259" s="39" t="s">
        <v>152</v>
      </c>
      <c r="BI259" s="39" t="s">
        <v>125</v>
      </c>
      <c r="BJ259" s="39"/>
      <c r="BK259" s="39" t="s">
        <v>153</v>
      </c>
      <c r="BL259" s="39"/>
      <c r="BM259" s="39"/>
      <c r="BN259" s="39" t="s">
        <v>155</v>
      </c>
    </row>
    <row r="260" spans="1:66" hidden="1">
      <c r="A260" s="39">
        <v>258</v>
      </c>
      <c r="B260" s="39" t="s">
        <v>118</v>
      </c>
      <c r="C260" s="39" t="s">
        <v>119</v>
      </c>
      <c r="D260" s="39" t="s">
        <v>2954</v>
      </c>
      <c r="E260" s="39" t="s">
        <v>2955</v>
      </c>
      <c r="F260" s="39" t="s">
        <v>279</v>
      </c>
      <c r="G260" s="39" t="s">
        <v>2956</v>
      </c>
      <c r="H260" s="39" t="s">
        <v>2957</v>
      </c>
      <c r="I260" s="39"/>
      <c r="J260" s="39" t="s">
        <v>187</v>
      </c>
      <c r="K260" s="39" t="s">
        <v>21</v>
      </c>
      <c r="L260" s="39" t="s">
        <v>263</v>
      </c>
      <c r="M260" s="39" t="s">
        <v>694</v>
      </c>
      <c r="N260" s="39" t="s">
        <v>125</v>
      </c>
      <c r="O260" s="39"/>
      <c r="P260" s="39"/>
      <c r="Q260" s="39" t="s">
        <v>2954</v>
      </c>
      <c r="R260" s="39" t="s">
        <v>21</v>
      </c>
      <c r="S260" s="39" t="s">
        <v>2958</v>
      </c>
      <c r="T260" s="39" t="s">
        <v>130</v>
      </c>
      <c r="U260" s="39" t="s">
        <v>2959</v>
      </c>
      <c r="V260" s="39" t="s">
        <v>132</v>
      </c>
      <c r="W260" s="39" t="s">
        <v>399</v>
      </c>
      <c r="X260" s="39" t="s">
        <v>187</v>
      </c>
      <c r="Y260" s="39" t="s">
        <v>2960</v>
      </c>
      <c r="Z260" s="39" t="s">
        <v>196</v>
      </c>
      <c r="AA260" s="39" t="s">
        <v>197</v>
      </c>
      <c r="AB260" s="39" t="s">
        <v>2954</v>
      </c>
      <c r="AC260" s="39">
        <v>5385925</v>
      </c>
      <c r="AD260" s="39" t="s">
        <v>21</v>
      </c>
      <c r="AE260" s="39" t="s">
        <v>2961</v>
      </c>
      <c r="AF260" s="39" t="s">
        <v>21</v>
      </c>
      <c r="AG260" s="39" t="s">
        <v>2962</v>
      </c>
      <c r="AH260" s="39" t="s">
        <v>403</v>
      </c>
      <c r="AI260" s="39" t="s">
        <v>404</v>
      </c>
      <c r="AJ260" s="39" t="s">
        <v>140</v>
      </c>
      <c r="AK260" s="39" t="s">
        <v>125</v>
      </c>
      <c r="AL260" s="39">
        <v>4002</v>
      </c>
      <c r="AM260" s="39"/>
      <c r="AN260" s="39" t="s">
        <v>125</v>
      </c>
      <c r="AO260" s="39" t="s">
        <v>142</v>
      </c>
      <c r="AP260" s="39" t="s">
        <v>143</v>
      </c>
      <c r="AQ260" s="39" t="s">
        <v>345</v>
      </c>
      <c r="AR260" s="39" t="s">
        <v>2963</v>
      </c>
      <c r="AS260" s="39" t="s">
        <v>2964</v>
      </c>
      <c r="AT260" s="39" t="s">
        <v>2950</v>
      </c>
      <c r="AU260" s="39"/>
      <c r="AV260" s="39" t="s">
        <v>2965</v>
      </c>
      <c r="AW260" s="39"/>
      <c r="AX260" s="39"/>
      <c r="AY260" s="39"/>
      <c r="AZ260" s="39"/>
      <c r="BA260" s="39">
        <v>74630804</v>
      </c>
      <c r="BB260" s="39" t="s">
        <v>149</v>
      </c>
      <c r="BC260" s="39" t="s">
        <v>150</v>
      </c>
      <c r="BD260" s="39" t="s">
        <v>125</v>
      </c>
      <c r="BE260" s="39" t="s">
        <v>125</v>
      </c>
      <c r="BF260" s="39"/>
      <c r="BG260" s="39" t="s">
        <v>180</v>
      </c>
      <c r="BH260" s="39" t="s">
        <v>152</v>
      </c>
      <c r="BI260" s="39" t="s">
        <v>125</v>
      </c>
      <c r="BJ260" s="39"/>
      <c r="BK260" s="39" t="s">
        <v>153</v>
      </c>
      <c r="BL260" s="39"/>
      <c r="BM260" s="39"/>
      <c r="BN260" s="39" t="s">
        <v>333</v>
      </c>
    </row>
    <row r="261" spans="1:66" hidden="1">
      <c r="A261" s="39">
        <v>259</v>
      </c>
      <c r="B261" s="39" t="s">
        <v>118</v>
      </c>
      <c r="C261" s="39" t="s">
        <v>119</v>
      </c>
      <c r="D261" s="39" t="s">
        <v>2954</v>
      </c>
      <c r="E261" s="39" t="s">
        <v>2955</v>
      </c>
      <c r="F261" s="39" t="s">
        <v>279</v>
      </c>
      <c r="G261" s="39" t="s">
        <v>2956</v>
      </c>
      <c r="H261" s="39" t="s">
        <v>2957</v>
      </c>
      <c r="I261" s="39"/>
      <c r="J261" s="39" t="s">
        <v>187</v>
      </c>
      <c r="K261" s="39" t="s">
        <v>21</v>
      </c>
      <c r="L261" s="39" t="s">
        <v>263</v>
      </c>
      <c r="M261" s="39" t="s">
        <v>694</v>
      </c>
      <c r="N261" s="39" t="s">
        <v>125</v>
      </c>
      <c r="O261" s="39"/>
      <c r="P261" s="39"/>
      <c r="Q261" s="39" t="s">
        <v>2954</v>
      </c>
      <c r="R261" s="39" t="s">
        <v>21</v>
      </c>
      <c r="S261" s="39" t="s">
        <v>2958</v>
      </c>
      <c r="T261" s="39" t="s">
        <v>130</v>
      </c>
      <c r="U261" s="39" t="s">
        <v>2959</v>
      </c>
      <c r="V261" s="39" t="s">
        <v>132</v>
      </c>
      <c r="W261" s="39" t="s">
        <v>399</v>
      </c>
      <c r="X261" s="39" t="s">
        <v>187</v>
      </c>
      <c r="Y261" s="39" t="s">
        <v>2960</v>
      </c>
      <c r="Z261" s="39" t="s">
        <v>196</v>
      </c>
      <c r="AA261" s="39" t="s">
        <v>197</v>
      </c>
      <c r="AB261" s="39" t="s">
        <v>2954</v>
      </c>
      <c r="AC261" s="39">
        <v>5385925</v>
      </c>
      <c r="AD261" s="39" t="s">
        <v>21</v>
      </c>
      <c r="AE261" s="39" t="s">
        <v>2961</v>
      </c>
      <c r="AF261" s="39" t="s">
        <v>21</v>
      </c>
      <c r="AG261" s="39" t="s">
        <v>2962</v>
      </c>
      <c r="AH261" s="39" t="s">
        <v>409</v>
      </c>
      <c r="AI261" s="39" t="s">
        <v>410</v>
      </c>
      <c r="AJ261" s="39" t="s">
        <v>140</v>
      </c>
      <c r="AK261" s="39" t="s">
        <v>125</v>
      </c>
      <c r="AL261" s="39">
        <v>3999</v>
      </c>
      <c r="AM261" s="39"/>
      <c r="AN261" s="39" t="s">
        <v>125</v>
      </c>
      <c r="AO261" s="39" t="s">
        <v>142</v>
      </c>
      <c r="AP261" s="39" t="s">
        <v>143</v>
      </c>
      <c r="AQ261" s="39" t="s">
        <v>345</v>
      </c>
      <c r="AR261" s="39" t="s">
        <v>2963</v>
      </c>
      <c r="AS261" s="39" t="s">
        <v>2966</v>
      </c>
      <c r="AT261" s="39" t="s">
        <v>2950</v>
      </c>
      <c r="AU261" s="39"/>
      <c r="AV261" s="39" t="s">
        <v>2965</v>
      </c>
      <c r="AW261" s="39"/>
      <c r="AX261" s="39"/>
      <c r="AY261" s="39"/>
      <c r="AZ261" s="39"/>
      <c r="BA261" s="39">
        <v>74630804</v>
      </c>
      <c r="BB261" s="39" t="s">
        <v>149</v>
      </c>
      <c r="BC261" s="39" t="s">
        <v>150</v>
      </c>
      <c r="BD261" s="39" t="s">
        <v>125</v>
      </c>
      <c r="BE261" s="39" t="s">
        <v>125</v>
      </c>
      <c r="BF261" s="39"/>
      <c r="BG261" s="39" t="s">
        <v>180</v>
      </c>
      <c r="BH261" s="39" t="s">
        <v>152</v>
      </c>
      <c r="BI261" s="39" t="s">
        <v>125</v>
      </c>
      <c r="BJ261" s="39"/>
      <c r="BK261" s="39" t="s">
        <v>153</v>
      </c>
      <c r="BL261" s="39"/>
      <c r="BM261" s="39"/>
      <c r="BN261" s="39" t="s">
        <v>333</v>
      </c>
    </row>
    <row r="262" spans="1:66" hidden="1">
      <c r="A262" s="39">
        <v>260</v>
      </c>
      <c r="B262" s="39" t="s">
        <v>118</v>
      </c>
      <c r="C262" s="39" t="s">
        <v>119</v>
      </c>
      <c r="D262" s="39" t="s">
        <v>2954</v>
      </c>
      <c r="E262" s="39" t="s">
        <v>2955</v>
      </c>
      <c r="F262" s="39" t="s">
        <v>279</v>
      </c>
      <c r="G262" s="39" t="s">
        <v>2956</v>
      </c>
      <c r="H262" s="39" t="s">
        <v>2957</v>
      </c>
      <c r="I262" s="39"/>
      <c r="J262" s="39" t="s">
        <v>187</v>
      </c>
      <c r="K262" s="39" t="s">
        <v>21</v>
      </c>
      <c r="L262" s="39" t="s">
        <v>263</v>
      </c>
      <c r="M262" s="39" t="s">
        <v>694</v>
      </c>
      <c r="N262" s="39" t="s">
        <v>125</v>
      </c>
      <c r="O262" s="39"/>
      <c r="P262" s="39"/>
      <c r="Q262" s="39" t="s">
        <v>2954</v>
      </c>
      <c r="R262" s="39" t="s">
        <v>21</v>
      </c>
      <c r="S262" s="39" t="s">
        <v>2958</v>
      </c>
      <c r="T262" s="39" t="s">
        <v>130</v>
      </c>
      <c r="U262" s="39" t="s">
        <v>2959</v>
      </c>
      <c r="V262" s="39" t="s">
        <v>132</v>
      </c>
      <c r="W262" s="39" t="s">
        <v>399</v>
      </c>
      <c r="X262" s="39" t="s">
        <v>187</v>
      </c>
      <c r="Y262" s="39" t="s">
        <v>2960</v>
      </c>
      <c r="Z262" s="39" t="s">
        <v>196</v>
      </c>
      <c r="AA262" s="39" t="s">
        <v>197</v>
      </c>
      <c r="AB262" s="39" t="s">
        <v>2954</v>
      </c>
      <c r="AC262" s="39">
        <v>5385925</v>
      </c>
      <c r="AD262" s="39" t="s">
        <v>21</v>
      </c>
      <c r="AE262" s="39" t="s">
        <v>2961</v>
      </c>
      <c r="AF262" s="39" t="s">
        <v>21</v>
      </c>
      <c r="AG262" s="39" t="s">
        <v>2962</v>
      </c>
      <c r="AH262" s="39" t="s">
        <v>412</v>
      </c>
      <c r="AI262" s="39" t="s">
        <v>413</v>
      </c>
      <c r="AJ262" s="39" t="s">
        <v>140</v>
      </c>
      <c r="AK262" s="39" t="s">
        <v>125</v>
      </c>
      <c r="AL262" s="39">
        <v>3999</v>
      </c>
      <c r="AM262" s="39"/>
      <c r="AN262" s="39" t="s">
        <v>125</v>
      </c>
      <c r="AO262" s="39" t="s">
        <v>142</v>
      </c>
      <c r="AP262" s="39" t="s">
        <v>143</v>
      </c>
      <c r="AQ262" s="39" t="s">
        <v>345</v>
      </c>
      <c r="AR262" s="39" t="s">
        <v>2963</v>
      </c>
      <c r="AS262" s="39" t="s">
        <v>2967</v>
      </c>
      <c r="AT262" s="39" t="s">
        <v>2950</v>
      </c>
      <c r="AU262" s="39"/>
      <c r="AV262" s="39" t="s">
        <v>2965</v>
      </c>
      <c r="AW262" s="39"/>
      <c r="AX262" s="39"/>
      <c r="AY262" s="39"/>
      <c r="AZ262" s="39"/>
      <c r="BA262" s="39">
        <v>74630804</v>
      </c>
      <c r="BB262" s="39" t="s">
        <v>149</v>
      </c>
      <c r="BC262" s="39" t="s">
        <v>150</v>
      </c>
      <c r="BD262" s="39" t="s">
        <v>125</v>
      </c>
      <c r="BE262" s="39" t="s">
        <v>125</v>
      </c>
      <c r="BF262" s="39"/>
      <c r="BG262" s="39" t="s">
        <v>180</v>
      </c>
      <c r="BH262" s="39" t="s">
        <v>152</v>
      </c>
      <c r="BI262" s="39" t="s">
        <v>125</v>
      </c>
      <c r="BJ262" s="39"/>
      <c r="BK262" s="39" t="s">
        <v>153</v>
      </c>
      <c r="BL262" s="39"/>
      <c r="BM262" s="39"/>
      <c r="BN262" s="39" t="s">
        <v>333</v>
      </c>
    </row>
    <row r="263" spans="1:66" hidden="1">
      <c r="A263" s="39">
        <v>261</v>
      </c>
      <c r="B263" s="39" t="s">
        <v>118</v>
      </c>
      <c r="C263" s="39" t="s">
        <v>119</v>
      </c>
      <c r="D263" s="39" t="s">
        <v>2968</v>
      </c>
      <c r="E263" s="39" t="s">
        <v>2969</v>
      </c>
      <c r="F263" s="39" t="s">
        <v>731</v>
      </c>
      <c r="G263" s="39" t="s">
        <v>2970</v>
      </c>
      <c r="H263" s="39" t="s">
        <v>2971</v>
      </c>
      <c r="I263" s="39" t="s">
        <v>734</v>
      </c>
      <c r="J263" s="39"/>
      <c r="K263" s="39" t="s">
        <v>28</v>
      </c>
      <c r="L263" s="39" t="s">
        <v>568</v>
      </c>
      <c r="M263" s="39" t="s">
        <v>735</v>
      </c>
      <c r="N263" s="39" t="s">
        <v>125</v>
      </c>
      <c r="O263" s="39"/>
      <c r="P263" s="39"/>
      <c r="Q263" s="39" t="s">
        <v>2972</v>
      </c>
      <c r="R263" s="39" t="s">
        <v>28</v>
      </c>
      <c r="S263" s="39" t="s">
        <v>2973</v>
      </c>
      <c r="T263" s="39" t="s">
        <v>130</v>
      </c>
      <c r="U263" s="39" t="s">
        <v>2974</v>
      </c>
      <c r="V263" s="39" t="s">
        <v>132</v>
      </c>
      <c r="W263" s="39" t="s">
        <v>133</v>
      </c>
      <c r="X263" s="39" t="s">
        <v>126</v>
      </c>
      <c r="Y263" s="39" t="s">
        <v>2975</v>
      </c>
      <c r="Z263" s="39" t="s">
        <v>2883</v>
      </c>
      <c r="AA263" s="39" t="s">
        <v>2976</v>
      </c>
      <c r="AB263" s="39" t="s">
        <v>2972</v>
      </c>
      <c r="AC263" s="39">
        <v>5385894</v>
      </c>
      <c r="AD263" s="39" t="s">
        <v>28</v>
      </c>
      <c r="AE263" s="39" t="s">
        <v>2977</v>
      </c>
      <c r="AF263" s="39" t="s">
        <v>28</v>
      </c>
      <c r="AG263" s="39" t="s">
        <v>2977</v>
      </c>
      <c r="AH263" s="39" t="s">
        <v>138</v>
      </c>
      <c r="AI263" s="39" t="s">
        <v>139</v>
      </c>
      <c r="AJ263" s="39" t="s">
        <v>140</v>
      </c>
      <c r="AK263" s="39" t="s">
        <v>125</v>
      </c>
      <c r="AL263" s="39">
        <v>5680</v>
      </c>
      <c r="AM263" s="39"/>
      <c r="AN263" s="39" t="s">
        <v>125</v>
      </c>
      <c r="AO263" s="39" t="s">
        <v>142</v>
      </c>
      <c r="AP263" s="39" t="s">
        <v>143</v>
      </c>
      <c r="AQ263" s="39" t="s">
        <v>144</v>
      </c>
      <c r="AR263" s="39" t="s">
        <v>2978</v>
      </c>
      <c r="AS263" s="39" t="s">
        <v>2979</v>
      </c>
      <c r="AT263" s="39" t="s">
        <v>2950</v>
      </c>
      <c r="AU263" s="39"/>
      <c r="AV263" s="39" t="s">
        <v>2980</v>
      </c>
      <c r="AW263" s="39"/>
      <c r="AX263" s="39"/>
      <c r="AY263" s="39"/>
      <c r="AZ263" s="39"/>
      <c r="BA263" s="39">
        <v>79893545</v>
      </c>
      <c r="BB263" s="39" t="s">
        <v>149</v>
      </c>
      <c r="BC263" s="39" t="s">
        <v>150</v>
      </c>
      <c r="BD263" s="39" t="s">
        <v>139</v>
      </c>
      <c r="BE263" s="39" t="s">
        <v>125</v>
      </c>
      <c r="BF263" s="39"/>
      <c r="BG263" s="39" t="s">
        <v>151</v>
      </c>
      <c r="BH263" s="39" t="s">
        <v>152</v>
      </c>
      <c r="BI263" s="39" t="s">
        <v>125</v>
      </c>
      <c r="BJ263" s="39"/>
      <c r="BK263" s="39" t="s">
        <v>153</v>
      </c>
      <c r="BL263" s="39"/>
      <c r="BM263" s="39" t="s">
        <v>460</v>
      </c>
      <c r="BN263" s="39" t="s">
        <v>276</v>
      </c>
    </row>
    <row r="264" spans="1:66" hidden="1">
      <c r="A264" s="39">
        <v>262</v>
      </c>
      <c r="B264" s="39" t="s">
        <v>118</v>
      </c>
      <c r="C264" s="39" t="s">
        <v>119</v>
      </c>
      <c r="D264" s="39" t="s">
        <v>2981</v>
      </c>
      <c r="E264" s="39" t="s">
        <v>2982</v>
      </c>
      <c r="F264" s="39" t="s">
        <v>208</v>
      </c>
      <c r="G264" s="39" t="s">
        <v>2983</v>
      </c>
      <c r="H264" s="39" t="s">
        <v>959</v>
      </c>
      <c r="I264" s="39" t="s">
        <v>245</v>
      </c>
      <c r="J264" s="39" t="s">
        <v>355</v>
      </c>
      <c r="K264" s="39" t="s">
        <v>16</v>
      </c>
      <c r="L264" s="39" t="s">
        <v>211</v>
      </c>
      <c r="M264" s="39" t="s">
        <v>212</v>
      </c>
      <c r="N264" s="39" t="s">
        <v>125</v>
      </c>
      <c r="O264" s="39"/>
      <c r="P264" s="39"/>
      <c r="Q264" s="39" t="s">
        <v>2984</v>
      </c>
      <c r="R264" s="39" t="s">
        <v>16</v>
      </c>
      <c r="S264" s="39" t="s">
        <v>2985</v>
      </c>
      <c r="T264" s="39" t="s">
        <v>130</v>
      </c>
      <c r="U264" s="39" t="s">
        <v>2986</v>
      </c>
      <c r="V264" s="39" t="s">
        <v>132</v>
      </c>
      <c r="W264" s="39" t="s">
        <v>168</v>
      </c>
      <c r="X264" s="39" t="s">
        <v>126</v>
      </c>
      <c r="Y264" s="39" t="s">
        <v>629</v>
      </c>
      <c r="Z264" s="39" t="s">
        <v>2987</v>
      </c>
      <c r="AA264" s="39" t="s">
        <v>2988</v>
      </c>
      <c r="AB264" s="39" t="s">
        <v>2984</v>
      </c>
      <c r="AC264" s="39">
        <v>5385658</v>
      </c>
      <c r="AD264" s="39" t="s">
        <v>16</v>
      </c>
      <c r="AE264" s="39" t="s">
        <v>2989</v>
      </c>
      <c r="AF264" s="39" t="s">
        <v>16</v>
      </c>
      <c r="AG264" s="39" t="s">
        <v>2990</v>
      </c>
      <c r="AH264" s="39" t="s">
        <v>838</v>
      </c>
      <c r="AI264" s="39" t="s">
        <v>179</v>
      </c>
      <c r="AJ264" s="39" t="s">
        <v>140</v>
      </c>
      <c r="AK264" s="39" t="s">
        <v>125</v>
      </c>
      <c r="AL264" s="39">
        <v>5680</v>
      </c>
      <c r="AM264" s="39"/>
      <c r="AN264" s="39" t="s">
        <v>125</v>
      </c>
      <c r="AO264" s="39" t="s">
        <v>142</v>
      </c>
      <c r="AP264" s="39" t="s">
        <v>143</v>
      </c>
      <c r="AQ264" s="39" t="s">
        <v>144</v>
      </c>
      <c r="AR264" s="39" t="s">
        <v>2991</v>
      </c>
      <c r="AS264" s="39" t="s">
        <v>2992</v>
      </c>
      <c r="AT264" s="39" t="s">
        <v>2950</v>
      </c>
      <c r="AU264" s="39"/>
      <c r="AV264" s="39" t="s">
        <v>2993</v>
      </c>
      <c r="AW264" s="39"/>
      <c r="AX264" s="39"/>
      <c r="AY264" s="39"/>
      <c r="AZ264" s="39"/>
      <c r="BA264" s="39">
        <v>56453781</v>
      </c>
      <c r="BB264" s="39" t="s">
        <v>149</v>
      </c>
      <c r="BC264" s="39" t="s">
        <v>150</v>
      </c>
      <c r="BD264" s="39" t="s">
        <v>179</v>
      </c>
      <c r="BE264" s="39" t="s">
        <v>125</v>
      </c>
      <c r="BF264" s="39"/>
      <c r="BG264" s="39" t="s">
        <v>637</v>
      </c>
      <c r="BH264" s="39" t="s">
        <v>152</v>
      </c>
      <c r="BI264" s="39" t="s">
        <v>125</v>
      </c>
      <c r="BJ264" s="39"/>
      <c r="BK264" s="39" t="s">
        <v>153</v>
      </c>
      <c r="BL264" s="39"/>
      <c r="BM264" s="39" t="s">
        <v>154</v>
      </c>
      <c r="BN264" s="39" t="s">
        <v>212</v>
      </c>
    </row>
    <row r="265" spans="1:66" hidden="1">
      <c r="A265" s="39">
        <v>263</v>
      </c>
      <c r="B265" s="39" t="s">
        <v>118</v>
      </c>
      <c r="C265" s="39" t="s">
        <v>119</v>
      </c>
      <c r="D265" s="39" t="s">
        <v>2994</v>
      </c>
      <c r="E265" s="39" t="s">
        <v>2995</v>
      </c>
      <c r="F265" s="39" t="s">
        <v>279</v>
      </c>
      <c r="G265" s="39" t="s">
        <v>2996</v>
      </c>
      <c r="H265" s="39" t="s">
        <v>2997</v>
      </c>
      <c r="I265" s="39"/>
      <c r="J265" s="39" t="s">
        <v>355</v>
      </c>
      <c r="K265" s="39" t="s">
        <v>24</v>
      </c>
      <c r="L265" s="39" t="s">
        <v>568</v>
      </c>
      <c r="M265" s="39" t="s">
        <v>735</v>
      </c>
      <c r="N265" s="39" t="s">
        <v>125</v>
      </c>
      <c r="O265" s="39"/>
      <c r="P265" s="39"/>
      <c r="Q265" s="39" t="s">
        <v>2994</v>
      </c>
      <c r="R265" s="39" t="s">
        <v>24</v>
      </c>
      <c r="S265" s="39" t="s">
        <v>2998</v>
      </c>
      <c r="T265" s="39" t="s">
        <v>130</v>
      </c>
      <c r="U265" s="39" t="s">
        <v>2999</v>
      </c>
      <c r="V265" s="39" t="s">
        <v>132</v>
      </c>
      <c r="W265" s="39" t="s">
        <v>168</v>
      </c>
      <c r="X265" s="39" t="s">
        <v>126</v>
      </c>
      <c r="Y265" s="39" t="s">
        <v>683</v>
      </c>
      <c r="Z265" s="39" t="s">
        <v>2692</v>
      </c>
      <c r="AA265" s="39" t="s">
        <v>1176</v>
      </c>
      <c r="AB265" s="39" t="s">
        <v>2994</v>
      </c>
      <c r="AC265" s="39">
        <v>5385569</v>
      </c>
      <c r="AD265" s="39" t="s">
        <v>24</v>
      </c>
      <c r="AE265" s="39" t="s">
        <v>3000</v>
      </c>
      <c r="AF265" s="39" t="s">
        <v>24</v>
      </c>
      <c r="AG265" s="39" t="s">
        <v>3000</v>
      </c>
      <c r="AH265" s="39" t="s">
        <v>1890</v>
      </c>
      <c r="AI265" s="39" t="s">
        <v>179</v>
      </c>
      <c r="AJ265" s="39" t="s">
        <v>140</v>
      </c>
      <c r="AK265" s="39" t="s">
        <v>125</v>
      </c>
      <c r="AL265" s="39">
        <v>5480</v>
      </c>
      <c r="AM265" s="39"/>
      <c r="AN265" s="39" t="s">
        <v>125</v>
      </c>
      <c r="AO265" s="39" t="s">
        <v>142</v>
      </c>
      <c r="AP265" s="39" t="s">
        <v>143</v>
      </c>
      <c r="AQ265" s="39" t="s">
        <v>144</v>
      </c>
      <c r="AR265" s="39" t="s">
        <v>3001</v>
      </c>
      <c r="AS265" s="39" t="s">
        <v>3002</v>
      </c>
      <c r="AT265" s="39" t="s">
        <v>2950</v>
      </c>
      <c r="AU265" s="39"/>
      <c r="AV265" s="39" t="s">
        <v>3003</v>
      </c>
      <c r="AW265" s="39"/>
      <c r="AX265" s="39"/>
      <c r="AY265" s="39"/>
      <c r="AZ265" s="39"/>
      <c r="BA265" s="39">
        <v>44687135</v>
      </c>
      <c r="BB265" s="39" t="s">
        <v>149</v>
      </c>
      <c r="BC265" s="39" t="s">
        <v>1238</v>
      </c>
      <c r="BD265" s="39" t="s">
        <v>179</v>
      </c>
      <c r="BE265" s="39" t="s">
        <v>125</v>
      </c>
      <c r="BF265" s="39"/>
      <c r="BG265" s="39" t="s">
        <v>298</v>
      </c>
      <c r="BH265" s="39" t="s">
        <v>152</v>
      </c>
      <c r="BI265" s="39" t="s">
        <v>125</v>
      </c>
      <c r="BJ265" s="39"/>
      <c r="BK265" s="39" t="s">
        <v>153</v>
      </c>
      <c r="BL265" s="39"/>
      <c r="BM265" s="39" t="s">
        <v>240</v>
      </c>
      <c r="BN265" s="39" t="s">
        <v>333</v>
      </c>
    </row>
    <row r="266" spans="1:66" hidden="1">
      <c r="A266" s="39">
        <v>264</v>
      </c>
      <c r="B266" s="39" t="s">
        <v>118</v>
      </c>
      <c r="C266" s="39" t="s">
        <v>119</v>
      </c>
      <c r="D266" s="39" t="s">
        <v>3004</v>
      </c>
      <c r="E266" s="39" t="s">
        <v>3005</v>
      </c>
      <c r="F266" s="39" t="s">
        <v>279</v>
      </c>
      <c r="G266" s="39" t="s">
        <v>3006</v>
      </c>
      <c r="H266" s="39" t="s">
        <v>125</v>
      </c>
      <c r="I266" s="39" t="s">
        <v>3007</v>
      </c>
      <c r="J266" s="39"/>
      <c r="K266" s="39" t="s">
        <v>262</v>
      </c>
      <c r="L266" s="39" t="s">
        <v>284</v>
      </c>
      <c r="M266" s="39" t="s">
        <v>284</v>
      </c>
      <c r="N266" s="39" t="s">
        <v>125</v>
      </c>
      <c r="O266" s="39" t="s">
        <v>262</v>
      </c>
      <c r="P266" s="39" t="s">
        <v>3008</v>
      </c>
      <c r="Q266" s="39" t="s">
        <v>3004</v>
      </c>
      <c r="R266" s="39" t="s">
        <v>16</v>
      </c>
      <c r="S266" s="39" t="s">
        <v>3009</v>
      </c>
      <c r="T266" s="39" t="s">
        <v>130</v>
      </c>
      <c r="U266" s="39" t="s">
        <v>3010</v>
      </c>
      <c r="V266" s="39" t="s">
        <v>132</v>
      </c>
      <c r="W266" s="39" t="s">
        <v>1755</v>
      </c>
      <c r="X266" s="39" t="s">
        <v>423</v>
      </c>
      <c r="Y266" s="39" t="s">
        <v>3011</v>
      </c>
      <c r="Z266" s="39" t="s">
        <v>1219</v>
      </c>
      <c r="AA266" s="39" t="s">
        <v>3012</v>
      </c>
      <c r="AB266" s="39" t="s">
        <v>3004</v>
      </c>
      <c r="AC266" s="39">
        <v>5356848</v>
      </c>
      <c r="AD266" s="39" t="s">
        <v>16</v>
      </c>
      <c r="AE266" s="39" t="s">
        <v>3013</v>
      </c>
      <c r="AF266" s="39" t="s">
        <v>16</v>
      </c>
      <c r="AG266" s="39" t="s">
        <v>3013</v>
      </c>
      <c r="AH266" s="39" t="s">
        <v>3014</v>
      </c>
      <c r="AI266" s="39" t="s">
        <v>3015</v>
      </c>
      <c r="AJ266" s="39" t="s">
        <v>140</v>
      </c>
      <c r="AK266" s="39" t="s">
        <v>125</v>
      </c>
      <c r="AL266" s="39">
        <v>4539.8999999999996</v>
      </c>
      <c r="AM266" s="39"/>
      <c r="AN266" s="39" t="s">
        <v>125</v>
      </c>
      <c r="AO266" s="39" t="s">
        <v>142</v>
      </c>
      <c r="AP266" s="39" t="s">
        <v>143</v>
      </c>
      <c r="AQ266" s="39" t="s">
        <v>175</v>
      </c>
      <c r="AR266" s="39" t="s">
        <v>3016</v>
      </c>
      <c r="AS266" s="39" t="s">
        <v>3017</v>
      </c>
      <c r="AT266" s="39" t="s">
        <v>2950</v>
      </c>
      <c r="AU266" s="39"/>
      <c r="AV266" s="39" t="s">
        <v>3018</v>
      </c>
      <c r="AW266" s="39"/>
      <c r="AX266" s="39"/>
      <c r="AY266" s="39"/>
      <c r="AZ266" s="39"/>
      <c r="BA266" s="39">
        <v>43991196</v>
      </c>
      <c r="BB266" s="39" t="s">
        <v>149</v>
      </c>
      <c r="BC266" s="39" t="s">
        <v>1374</v>
      </c>
      <c r="BD266" s="39" t="s">
        <v>436</v>
      </c>
      <c r="BE266" s="39" t="s">
        <v>3019</v>
      </c>
      <c r="BF266" s="39" t="s">
        <v>935</v>
      </c>
      <c r="BG266" s="39" t="s">
        <v>622</v>
      </c>
      <c r="BH266" s="39" t="s">
        <v>152</v>
      </c>
      <c r="BI266" s="39" t="s">
        <v>125</v>
      </c>
      <c r="BJ266" s="39"/>
      <c r="BK266" s="39" t="s">
        <v>153</v>
      </c>
      <c r="BL266" s="39"/>
      <c r="BM266" s="39"/>
      <c r="BN266" s="39" t="s">
        <v>300</v>
      </c>
    </row>
    <row r="267" spans="1:66" hidden="1">
      <c r="A267" s="39">
        <v>265</v>
      </c>
      <c r="B267" s="39" t="s">
        <v>118</v>
      </c>
      <c r="C267" s="39" t="s">
        <v>119</v>
      </c>
      <c r="D267" s="39" t="s">
        <v>3004</v>
      </c>
      <c r="E267" s="39" t="s">
        <v>3005</v>
      </c>
      <c r="F267" s="39" t="s">
        <v>279</v>
      </c>
      <c r="G267" s="39" t="s">
        <v>3006</v>
      </c>
      <c r="H267" s="39" t="s">
        <v>125</v>
      </c>
      <c r="I267" s="39" t="s">
        <v>3007</v>
      </c>
      <c r="J267" s="39"/>
      <c r="K267" s="39" t="s">
        <v>262</v>
      </c>
      <c r="L267" s="39" t="s">
        <v>284</v>
      </c>
      <c r="M267" s="39" t="s">
        <v>284</v>
      </c>
      <c r="N267" s="39" t="s">
        <v>125</v>
      </c>
      <c r="O267" s="39" t="s">
        <v>262</v>
      </c>
      <c r="P267" s="39" t="s">
        <v>3008</v>
      </c>
      <c r="Q267" s="39" t="s">
        <v>3004</v>
      </c>
      <c r="R267" s="39" t="s">
        <v>16</v>
      </c>
      <c r="S267" s="39" t="s">
        <v>3009</v>
      </c>
      <c r="T267" s="39" t="s">
        <v>130</v>
      </c>
      <c r="U267" s="39" t="s">
        <v>3010</v>
      </c>
      <c r="V267" s="39" t="s">
        <v>132</v>
      </c>
      <c r="W267" s="39" t="s">
        <v>1755</v>
      </c>
      <c r="X267" s="39" t="s">
        <v>423</v>
      </c>
      <c r="Y267" s="39" t="s">
        <v>3011</v>
      </c>
      <c r="Z267" s="39" t="s">
        <v>1219</v>
      </c>
      <c r="AA267" s="39" t="s">
        <v>3012</v>
      </c>
      <c r="AB267" s="39" t="s">
        <v>3004</v>
      </c>
      <c r="AC267" s="39">
        <v>5356848</v>
      </c>
      <c r="AD267" s="39" t="s">
        <v>16</v>
      </c>
      <c r="AE267" s="39" t="s">
        <v>3013</v>
      </c>
      <c r="AF267" s="39" t="s">
        <v>16</v>
      </c>
      <c r="AG267" s="39" t="s">
        <v>3013</v>
      </c>
      <c r="AH267" s="39" t="s">
        <v>3020</v>
      </c>
      <c r="AI267" s="39" t="s">
        <v>3021</v>
      </c>
      <c r="AJ267" s="39" t="s">
        <v>140</v>
      </c>
      <c r="AK267" s="39" t="s">
        <v>125</v>
      </c>
      <c r="AL267" s="39">
        <v>5958.6</v>
      </c>
      <c r="AM267" s="39"/>
      <c r="AN267" s="39" t="s">
        <v>125</v>
      </c>
      <c r="AO267" s="39" t="s">
        <v>142</v>
      </c>
      <c r="AP267" s="39" t="s">
        <v>143</v>
      </c>
      <c r="AQ267" s="39" t="s">
        <v>175</v>
      </c>
      <c r="AR267" s="39" t="s">
        <v>3016</v>
      </c>
      <c r="AS267" s="39" t="s">
        <v>3022</v>
      </c>
      <c r="AT267" s="39" t="s">
        <v>2950</v>
      </c>
      <c r="AU267" s="39"/>
      <c r="AV267" s="39" t="s">
        <v>3018</v>
      </c>
      <c r="AW267" s="39"/>
      <c r="AX267" s="39"/>
      <c r="AY267" s="39"/>
      <c r="AZ267" s="39"/>
      <c r="BA267" s="39">
        <v>43991196</v>
      </c>
      <c r="BB267" s="39" t="s">
        <v>149</v>
      </c>
      <c r="BC267" s="39" t="s">
        <v>1374</v>
      </c>
      <c r="BD267" s="39" t="s">
        <v>436</v>
      </c>
      <c r="BE267" s="39" t="s">
        <v>3019</v>
      </c>
      <c r="BF267" s="39" t="s">
        <v>935</v>
      </c>
      <c r="BG267" s="39" t="s">
        <v>622</v>
      </c>
      <c r="BH267" s="39" t="s">
        <v>152</v>
      </c>
      <c r="BI267" s="39" t="s">
        <v>125</v>
      </c>
      <c r="BJ267" s="39"/>
      <c r="BK267" s="39" t="s">
        <v>153</v>
      </c>
      <c r="BL267" s="39"/>
      <c r="BM267" s="39"/>
      <c r="BN267" s="39" t="s">
        <v>300</v>
      </c>
    </row>
    <row r="268" spans="1:66" hidden="1">
      <c r="A268" s="39">
        <v>266</v>
      </c>
      <c r="B268" s="39" t="s">
        <v>118</v>
      </c>
      <c r="C268" s="39" t="s">
        <v>119</v>
      </c>
      <c r="D268" s="39" t="s">
        <v>3004</v>
      </c>
      <c r="E268" s="39" t="s">
        <v>3005</v>
      </c>
      <c r="F268" s="39" t="s">
        <v>279</v>
      </c>
      <c r="G268" s="39" t="s">
        <v>3006</v>
      </c>
      <c r="H268" s="39" t="s">
        <v>125</v>
      </c>
      <c r="I268" s="39" t="s">
        <v>3007</v>
      </c>
      <c r="J268" s="39"/>
      <c r="K268" s="39" t="s">
        <v>262</v>
      </c>
      <c r="L268" s="39" t="s">
        <v>284</v>
      </c>
      <c r="M268" s="39" t="s">
        <v>284</v>
      </c>
      <c r="N268" s="39" t="s">
        <v>125</v>
      </c>
      <c r="O268" s="39" t="s">
        <v>262</v>
      </c>
      <c r="P268" s="39" t="s">
        <v>3008</v>
      </c>
      <c r="Q268" s="39" t="s">
        <v>3004</v>
      </c>
      <c r="R268" s="39" t="s">
        <v>16</v>
      </c>
      <c r="S268" s="39" t="s">
        <v>3009</v>
      </c>
      <c r="T268" s="39" t="s">
        <v>130</v>
      </c>
      <c r="U268" s="39" t="s">
        <v>3010</v>
      </c>
      <c r="V268" s="39" t="s">
        <v>132</v>
      </c>
      <c r="W268" s="39" t="s">
        <v>1755</v>
      </c>
      <c r="X268" s="39" t="s">
        <v>423</v>
      </c>
      <c r="Y268" s="39" t="s">
        <v>3011</v>
      </c>
      <c r="Z268" s="39" t="s">
        <v>1219</v>
      </c>
      <c r="AA268" s="39" t="s">
        <v>3012</v>
      </c>
      <c r="AB268" s="39" t="s">
        <v>3004</v>
      </c>
      <c r="AC268" s="39">
        <v>5356848</v>
      </c>
      <c r="AD268" s="39" t="s">
        <v>16</v>
      </c>
      <c r="AE268" s="39" t="s">
        <v>3013</v>
      </c>
      <c r="AF268" s="39" t="s">
        <v>16</v>
      </c>
      <c r="AG268" s="39" t="s">
        <v>3013</v>
      </c>
      <c r="AH268" s="39" t="s">
        <v>3023</v>
      </c>
      <c r="AI268" s="39" t="s">
        <v>3024</v>
      </c>
      <c r="AJ268" s="39" t="s">
        <v>140</v>
      </c>
      <c r="AK268" s="39" t="s">
        <v>125</v>
      </c>
      <c r="AL268" s="39">
        <v>4965.5</v>
      </c>
      <c r="AM268" s="39"/>
      <c r="AN268" s="39" t="s">
        <v>125</v>
      </c>
      <c r="AO268" s="39" t="s">
        <v>142</v>
      </c>
      <c r="AP268" s="39" t="s">
        <v>143</v>
      </c>
      <c r="AQ268" s="39" t="s">
        <v>175</v>
      </c>
      <c r="AR268" s="39" t="s">
        <v>3016</v>
      </c>
      <c r="AS268" s="39" t="s">
        <v>3025</v>
      </c>
      <c r="AT268" s="39" t="s">
        <v>2950</v>
      </c>
      <c r="AU268" s="39"/>
      <c r="AV268" s="39" t="s">
        <v>3018</v>
      </c>
      <c r="AW268" s="39"/>
      <c r="AX268" s="39"/>
      <c r="AY268" s="39"/>
      <c r="AZ268" s="39"/>
      <c r="BA268" s="39">
        <v>43991196</v>
      </c>
      <c r="BB268" s="39" t="s">
        <v>149</v>
      </c>
      <c r="BC268" s="39" t="s">
        <v>1374</v>
      </c>
      <c r="BD268" s="39" t="s">
        <v>436</v>
      </c>
      <c r="BE268" s="39" t="s">
        <v>3019</v>
      </c>
      <c r="BF268" s="39" t="s">
        <v>935</v>
      </c>
      <c r="BG268" s="39" t="s">
        <v>622</v>
      </c>
      <c r="BH268" s="39" t="s">
        <v>152</v>
      </c>
      <c r="BI268" s="39" t="s">
        <v>125</v>
      </c>
      <c r="BJ268" s="39"/>
      <c r="BK268" s="39" t="s">
        <v>153</v>
      </c>
      <c r="BL268" s="39"/>
      <c r="BM268" s="39"/>
      <c r="BN268" s="39" t="s">
        <v>300</v>
      </c>
    </row>
    <row r="269" spans="1:66" hidden="1">
      <c r="A269" s="39">
        <v>267</v>
      </c>
      <c r="B269" s="39" t="s">
        <v>118</v>
      </c>
      <c r="C269" s="39" t="s">
        <v>119</v>
      </c>
      <c r="D269" s="39" t="s">
        <v>3004</v>
      </c>
      <c r="E269" s="39" t="s">
        <v>3005</v>
      </c>
      <c r="F269" s="39" t="s">
        <v>279</v>
      </c>
      <c r="G269" s="39" t="s">
        <v>3006</v>
      </c>
      <c r="H269" s="39" t="s">
        <v>125</v>
      </c>
      <c r="I269" s="39" t="s">
        <v>3007</v>
      </c>
      <c r="J269" s="39"/>
      <c r="K269" s="39" t="s">
        <v>262</v>
      </c>
      <c r="L269" s="39" t="s">
        <v>284</v>
      </c>
      <c r="M269" s="39" t="s">
        <v>284</v>
      </c>
      <c r="N269" s="39" t="s">
        <v>125</v>
      </c>
      <c r="O269" s="39" t="s">
        <v>262</v>
      </c>
      <c r="P269" s="39" t="s">
        <v>3008</v>
      </c>
      <c r="Q269" s="39" t="s">
        <v>3004</v>
      </c>
      <c r="R269" s="39" t="s">
        <v>16</v>
      </c>
      <c r="S269" s="39" t="s">
        <v>3009</v>
      </c>
      <c r="T269" s="39" t="s">
        <v>130</v>
      </c>
      <c r="U269" s="39" t="s">
        <v>3010</v>
      </c>
      <c r="V269" s="39" t="s">
        <v>132</v>
      </c>
      <c r="W269" s="39" t="s">
        <v>1755</v>
      </c>
      <c r="X269" s="39" t="s">
        <v>423</v>
      </c>
      <c r="Y269" s="39" t="s">
        <v>3011</v>
      </c>
      <c r="Z269" s="39" t="s">
        <v>1219</v>
      </c>
      <c r="AA269" s="39" t="s">
        <v>3012</v>
      </c>
      <c r="AB269" s="39" t="s">
        <v>3004</v>
      </c>
      <c r="AC269" s="39">
        <v>5356848</v>
      </c>
      <c r="AD269" s="39" t="s">
        <v>16</v>
      </c>
      <c r="AE269" s="39" t="s">
        <v>3013</v>
      </c>
      <c r="AF269" s="39" t="s">
        <v>16</v>
      </c>
      <c r="AG269" s="39" t="s">
        <v>3013</v>
      </c>
      <c r="AH269" s="39" t="s">
        <v>3026</v>
      </c>
      <c r="AI269" s="39" t="s">
        <v>1390</v>
      </c>
      <c r="AJ269" s="39" t="s">
        <v>140</v>
      </c>
      <c r="AK269" s="39" t="s">
        <v>125</v>
      </c>
      <c r="AL269" s="39">
        <v>3404.9</v>
      </c>
      <c r="AM269" s="39"/>
      <c r="AN269" s="39" t="s">
        <v>125</v>
      </c>
      <c r="AO269" s="39" t="s">
        <v>142</v>
      </c>
      <c r="AP269" s="39" t="s">
        <v>143</v>
      </c>
      <c r="AQ269" s="39" t="s">
        <v>175</v>
      </c>
      <c r="AR269" s="39" t="s">
        <v>3016</v>
      </c>
      <c r="AS269" s="39" t="s">
        <v>3027</v>
      </c>
      <c r="AT269" s="39" t="s">
        <v>2950</v>
      </c>
      <c r="AU269" s="39"/>
      <c r="AV269" s="39" t="s">
        <v>3018</v>
      </c>
      <c r="AW269" s="39"/>
      <c r="AX269" s="39"/>
      <c r="AY269" s="39"/>
      <c r="AZ269" s="39"/>
      <c r="BA269" s="39">
        <v>43991196</v>
      </c>
      <c r="BB269" s="39" t="s">
        <v>149</v>
      </c>
      <c r="BC269" s="39" t="s">
        <v>1374</v>
      </c>
      <c r="BD269" s="39" t="s">
        <v>436</v>
      </c>
      <c r="BE269" s="39" t="s">
        <v>3019</v>
      </c>
      <c r="BF269" s="39" t="s">
        <v>935</v>
      </c>
      <c r="BG269" s="39" t="s">
        <v>622</v>
      </c>
      <c r="BH269" s="39" t="s">
        <v>152</v>
      </c>
      <c r="BI269" s="39" t="s">
        <v>125</v>
      </c>
      <c r="BJ269" s="39"/>
      <c r="BK269" s="39" t="s">
        <v>153</v>
      </c>
      <c r="BL269" s="39"/>
      <c r="BM269" s="39"/>
      <c r="BN269" s="39" t="s">
        <v>300</v>
      </c>
    </row>
    <row r="270" spans="1:66" hidden="1">
      <c r="A270" s="39">
        <v>268</v>
      </c>
      <c r="B270" s="39" t="s">
        <v>118</v>
      </c>
      <c r="C270" s="39" t="s">
        <v>119</v>
      </c>
      <c r="D270" s="39" t="s">
        <v>3004</v>
      </c>
      <c r="E270" s="39" t="s">
        <v>3005</v>
      </c>
      <c r="F270" s="39" t="s">
        <v>279</v>
      </c>
      <c r="G270" s="39" t="s">
        <v>3006</v>
      </c>
      <c r="H270" s="39" t="s">
        <v>125</v>
      </c>
      <c r="I270" s="39" t="s">
        <v>3007</v>
      </c>
      <c r="J270" s="39"/>
      <c r="K270" s="39" t="s">
        <v>262</v>
      </c>
      <c r="L270" s="39" t="s">
        <v>284</v>
      </c>
      <c r="M270" s="39" t="s">
        <v>284</v>
      </c>
      <c r="N270" s="39" t="s">
        <v>125</v>
      </c>
      <c r="O270" s="39" t="s">
        <v>262</v>
      </c>
      <c r="P270" s="39" t="s">
        <v>3008</v>
      </c>
      <c r="Q270" s="39" t="s">
        <v>3004</v>
      </c>
      <c r="R270" s="39" t="s">
        <v>16</v>
      </c>
      <c r="S270" s="39" t="s">
        <v>3009</v>
      </c>
      <c r="T270" s="39" t="s">
        <v>130</v>
      </c>
      <c r="U270" s="39" t="s">
        <v>3010</v>
      </c>
      <c r="V270" s="39" t="s">
        <v>132</v>
      </c>
      <c r="W270" s="39" t="s">
        <v>1755</v>
      </c>
      <c r="X270" s="39" t="s">
        <v>423</v>
      </c>
      <c r="Y270" s="39" t="s">
        <v>3011</v>
      </c>
      <c r="Z270" s="39" t="s">
        <v>1219</v>
      </c>
      <c r="AA270" s="39" t="s">
        <v>3012</v>
      </c>
      <c r="AB270" s="39" t="s">
        <v>3004</v>
      </c>
      <c r="AC270" s="39">
        <v>5356848</v>
      </c>
      <c r="AD270" s="39" t="s">
        <v>16</v>
      </c>
      <c r="AE270" s="39" t="s">
        <v>3013</v>
      </c>
      <c r="AF270" s="39" t="s">
        <v>16</v>
      </c>
      <c r="AG270" s="39" t="s">
        <v>3013</v>
      </c>
      <c r="AH270" s="39" t="s">
        <v>3028</v>
      </c>
      <c r="AI270" s="39" t="s">
        <v>1381</v>
      </c>
      <c r="AJ270" s="39" t="s">
        <v>140</v>
      </c>
      <c r="AK270" s="39" t="s">
        <v>125</v>
      </c>
      <c r="AL270" s="39">
        <v>5887.7</v>
      </c>
      <c r="AM270" s="39"/>
      <c r="AN270" s="39" t="s">
        <v>125</v>
      </c>
      <c r="AO270" s="39" t="s">
        <v>142</v>
      </c>
      <c r="AP270" s="39" t="s">
        <v>143</v>
      </c>
      <c r="AQ270" s="39" t="s">
        <v>175</v>
      </c>
      <c r="AR270" s="39" t="s">
        <v>3016</v>
      </c>
      <c r="AS270" s="39" t="s">
        <v>3029</v>
      </c>
      <c r="AT270" s="39" t="s">
        <v>2950</v>
      </c>
      <c r="AU270" s="39"/>
      <c r="AV270" s="39" t="s">
        <v>3018</v>
      </c>
      <c r="AW270" s="39"/>
      <c r="AX270" s="39"/>
      <c r="AY270" s="39"/>
      <c r="AZ270" s="39"/>
      <c r="BA270" s="39">
        <v>43991196</v>
      </c>
      <c r="BB270" s="39" t="s">
        <v>149</v>
      </c>
      <c r="BC270" s="39" t="s">
        <v>1374</v>
      </c>
      <c r="BD270" s="39" t="s">
        <v>436</v>
      </c>
      <c r="BE270" s="39" t="s">
        <v>3019</v>
      </c>
      <c r="BF270" s="39" t="s">
        <v>935</v>
      </c>
      <c r="BG270" s="39" t="s">
        <v>622</v>
      </c>
      <c r="BH270" s="39" t="s">
        <v>152</v>
      </c>
      <c r="BI270" s="39" t="s">
        <v>125</v>
      </c>
      <c r="BJ270" s="39"/>
      <c r="BK270" s="39" t="s">
        <v>153</v>
      </c>
      <c r="BL270" s="39"/>
      <c r="BM270" s="39"/>
      <c r="BN270" s="39" t="s">
        <v>300</v>
      </c>
    </row>
    <row r="271" spans="1:66" hidden="1">
      <c r="A271" s="39">
        <v>269</v>
      </c>
      <c r="B271" s="39" t="s">
        <v>118</v>
      </c>
      <c r="C271" s="39" t="s">
        <v>119</v>
      </c>
      <c r="D271" s="39" t="s">
        <v>3004</v>
      </c>
      <c r="E271" s="39" t="s">
        <v>3005</v>
      </c>
      <c r="F271" s="39" t="s">
        <v>279</v>
      </c>
      <c r="G271" s="39" t="s">
        <v>3006</v>
      </c>
      <c r="H271" s="39" t="s">
        <v>125</v>
      </c>
      <c r="I271" s="39" t="s">
        <v>3007</v>
      </c>
      <c r="J271" s="39"/>
      <c r="K271" s="39" t="s">
        <v>262</v>
      </c>
      <c r="L271" s="39" t="s">
        <v>284</v>
      </c>
      <c r="M271" s="39" t="s">
        <v>284</v>
      </c>
      <c r="N271" s="39" t="s">
        <v>125</v>
      </c>
      <c r="O271" s="39" t="s">
        <v>262</v>
      </c>
      <c r="P271" s="39" t="s">
        <v>3008</v>
      </c>
      <c r="Q271" s="39" t="s">
        <v>3004</v>
      </c>
      <c r="R271" s="39" t="s">
        <v>16</v>
      </c>
      <c r="S271" s="39" t="s">
        <v>3009</v>
      </c>
      <c r="T271" s="39" t="s">
        <v>130</v>
      </c>
      <c r="U271" s="39" t="s">
        <v>3010</v>
      </c>
      <c r="V271" s="39" t="s">
        <v>132</v>
      </c>
      <c r="W271" s="39" t="s">
        <v>1755</v>
      </c>
      <c r="X271" s="39" t="s">
        <v>423</v>
      </c>
      <c r="Y271" s="39" t="s">
        <v>3011</v>
      </c>
      <c r="Z271" s="39" t="s">
        <v>1219</v>
      </c>
      <c r="AA271" s="39" t="s">
        <v>3012</v>
      </c>
      <c r="AB271" s="39" t="s">
        <v>3004</v>
      </c>
      <c r="AC271" s="39">
        <v>5356848</v>
      </c>
      <c r="AD271" s="39" t="s">
        <v>16</v>
      </c>
      <c r="AE271" s="39" t="s">
        <v>3013</v>
      </c>
      <c r="AF271" s="39" t="s">
        <v>16</v>
      </c>
      <c r="AG271" s="39" t="s">
        <v>3013</v>
      </c>
      <c r="AH271" s="39" t="s">
        <v>3030</v>
      </c>
      <c r="AI271" s="39" t="s">
        <v>1387</v>
      </c>
      <c r="AJ271" s="39" t="s">
        <v>140</v>
      </c>
      <c r="AK271" s="39" t="s">
        <v>125</v>
      </c>
      <c r="AL271" s="39">
        <v>3543.4</v>
      </c>
      <c r="AM271" s="39"/>
      <c r="AN271" s="39" t="s">
        <v>125</v>
      </c>
      <c r="AO271" s="39" t="s">
        <v>142</v>
      </c>
      <c r="AP271" s="39" t="s">
        <v>143</v>
      </c>
      <c r="AQ271" s="39" t="s">
        <v>175</v>
      </c>
      <c r="AR271" s="39" t="s">
        <v>3016</v>
      </c>
      <c r="AS271" s="39" t="s">
        <v>3031</v>
      </c>
      <c r="AT271" s="39" t="s">
        <v>2950</v>
      </c>
      <c r="AU271" s="39"/>
      <c r="AV271" s="39" t="s">
        <v>3018</v>
      </c>
      <c r="AW271" s="39"/>
      <c r="AX271" s="39"/>
      <c r="AY271" s="39"/>
      <c r="AZ271" s="39"/>
      <c r="BA271" s="39">
        <v>43991196</v>
      </c>
      <c r="BB271" s="39" t="s">
        <v>149</v>
      </c>
      <c r="BC271" s="39" t="s">
        <v>1374</v>
      </c>
      <c r="BD271" s="39" t="s">
        <v>436</v>
      </c>
      <c r="BE271" s="39" t="s">
        <v>3019</v>
      </c>
      <c r="BF271" s="39" t="s">
        <v>935</v>
      </c>
      <c r="BG271" s="39" t="s">
        <v>622</v>
      </c>
      <c r="BH271" s="39" t="s">
        <v>152</v>
      </c>
      <c r="BI271" s="39" t="s">
        <v>125</v>
      </c>
      <c r="BJ271" s="39"/>
      <c r="BK271" s="39" t="s">
        <v>153</v>
      </c>
      <c r="BL271" s="39"/>
      <c r="BM271" s="39"/>
      <c r="BN271" s="39" t="s">
        <v>300</v>
      </c>
    </row>
    <row r="272" spans="1:66" hidden="1">
      <c r="A272" s="39">
        <v>270</v>
      </c>
      <c r="B272" s="39" t="s">
        <v>118</v>
      </c>
      <c r="C272" s="39" t="s">
        <v>119</v>
      </c>
      <c r="D272" s="39" t="s">
        <v>3032</v>
      </c>
      <c r="E272" s="39" t="s">
        <v>3033</v>
      </c>
      <c r="F272" s="39" t="s">
        <v>258</v>
      </c>
      <c r="G272" s="39" t="s">
        <v>3034</v>
      </c>
      <c r="H272" s="39" t="s">
        <v>3035</v>
      </c>
      <c r="I272" s="39" t="s">
        <v>3036</v>
      </c>
      <c r="J272" s="39"/>
      <c r="K272" s="39" t="s">
        <v>525</v>
      </c>
      <c r="L272" s="39" t="s">
        <v>263</v>
      </c>
      <c r="M272" s="39" t="s">
        <v>3037</v>
      </c>
      <c r="N272" s="39" t="s">
        <v>125</v>
      </c>
      <c r="O272" s="39" t="s">
        <v>525</v>
      </c>
      <c r="P272" s="39" t="s">
        <v>3038</v>
      </c>
      <c r="Q272" s="39" t="s">
        <v>3039</v>
      </c>
      <c r="R272" s="39" t="s">
        <v>21</v>
      </c>
      <c r="S272" s="39" t="s">
        <v>3040</v>
      </c>
      <c r="T272" s="39" t="s">
        <v>130</v>
      </c>
      <c r="U272" s="39" t="s">
        <v>3041</v>
      </c>
      <c r="V272" s="39" t="s">
        <v>132</v>
      </c>
      <c r="W272" s="39" t="s">
        <v>399</v>
      </c>
      <c r="X272" s="39" t="s">
        <v>187</v>
      </c>
      <c r="Y272" s="39" t="s">
        <v>400</v>
      </c>
      <c r="Z272" s="39" t="s">
        <v>196</v>
      </c>
      <c r="AA272" s="39" t="s">
        <v>197</v>
      </c>
      <c r="AB272" s="39" t="s">
        <v>3039</v>
      </c>
      <c r="AC272" s="39">
        <v>5385183</v>
      </c>
      <c r="AD272" s="39" t="s">
        <v>21</v>
      </c>
      <c r="AE272" s="39" t="s">
        <v>3042</v>
      </c>
      <c r="AF272" s="39" t="s">
        <v>21</v>
      </c>
      <c r="AG272" s="39" t="s">
        <v>3043</v>
      </c>
      <c r="AH272" s="39" t="s">
        <v>291</v>
      </c>
      <c r="AI272" s="39" t="s">
        <v>292</v>
      </c>
      <c r="AJ272" s="39" t="s">
        <v>140</v>
      </c>
      <c r="AK272" s="39" t="s">
        <v>125</v>
      </c>
      <c r="AL272" s="39">
        <v>5480</v>
      </c>
      <c r="AM272" s="39"/>
      <c r="AN272" s="39" t="s">
        <v>125</v>
      </c>
      <c r="AO272" s="39" t="s">
        <v>142</v>
      </c>
      <c r="AP272" s="39" t="s">
        <v>143</v>
      </c>
      <c r="AQ272" s="39" t="s">
        <v>312</v>
      </c>
      <c r="AR272" s="39" t="s">
        <v>3044</v>
      </c>
      <c r="AS272" s="39" t="s">
        <v>3045</v>
      </c>
      <c r="AT272" s="39" t="s">
        <v>3046</v>
      </c>
      <c r="AU272" s="39"/>
      <c r="AV272" s="39" t="s">
        <v>3047</v>
      </c>
      <c r="AW272" s="39"/>
      <c r="AX272" s="39"/>
      <c r="AY272" s="39"/>
      <c r="AZ272" s="39"/>
      <c r="BA272" s="39">
        <v>79615104</v>
      </c>
      <c r="BB272" s="39" t="s">
        <v>149</v>
      </c>
      <c r="BC272" s="39" t="s">
        <v>150</v>
      </c>
      <c r="BD272" s="39" t="s">
        <v>125</v>
      </c>
      <c r="BE272" s="39" t="s">
        <v>125</v>
      </c>
      <c r="BF272" s="39"/>
      <c r="BG272" s="39" t="s">
        <v>180</v>
      </c>
      <c r="BH272" s="39" t="s">
        <v>152</v>
      </c>
      <c r="BI272" s="39" t="s">
        <v>125</v>
      </c>
      <c r="BJ272" s="39"/>
      <c r="BK272" s="39" t="s">
        <v>153</v>
      </c>
      <c r="BL272" s="39"/>
      <c r="BM272" s="39"/>
      <c r="BN272" s="39" t="s">
        <v>915</v>
      </c>
    </row>
    <row r="273" spans="1:66" hidden="1">
      <c r="A273" s="39">
        <v>271</v>
      </c>
      <c r="B273" s="39" t="s">
        <v>118</v>
      </c>
      <c r="C273" s="39" t="s">
        <v>119</v>
      </c>
      <c r="D273" s="39" t="s">
        <v>3032</v>
      </c>
      <c r="E273" s="39" t="s">
        <v>3033</v>
      </c>
      <c r="F273" s="39" t="s">
        <v>258</v>
      </c>
      <c r="G273" s="39" t="s">
        <v>3034</v>
      </c>
      <c r="H273" s="39" t="s">
        <v>3035</v>
      </c>
      <c r="I273" s="39" t="s">
        <v>3036</v>
      </c>
      <c r="J273" s="39"/>
      <c r="K273" s="39" t="s">
        <v>525</v>
      </c>
      <c r="L273" s="39" t="s">
        <v>263</v>
      </c>
      <c r="M273" s="39" t="s">
        <v>3037</v>
      </c>
      <c r="N273" s="39" t="s">
        <v>125</v>
      </c>
      <c r="O273" s="39" t="s">
        <v>525</v>
      </c>
      <c r="P273" s="39" t="s">
        <v>3038</v>
      </c>
      <c r="Q273" s="39" t="s">
        <v>3039</v>
      </c>
      <c r="R273" s="39" t="s">
        <v>21</v>
      </c>
      <c r="S273" s="39" t="s">
        <v>3040</v>
      </c>
      <c r="T273" s="39" t="s">
        <v>130</v>
      </c>
      <c r="U273" s="39" t="s">
        <v>3041</v>
      </c>
      <c r="V273" s="39" t="s">
        <v>132</v>
      </c>
      <c r="W273" s="39" t="s">
        <v>399</v>
      </c>
      <c r="X273" s="39" t="s">
        <v>187</v>
      </c>
      <c r="Y273" s="39" t="s">
        <v>400</v>
      </c>
      <c r="Z273" s="39" t="s">
        <v>196</v>
      </c>
      <c r="AA273" s="39" t="s">
        <v>197</v>
      </c>
      <c r="AB273" s="39" t="s">
        <v>3039</v>
      </c>
      <c r="AC273" s="39">
        <v>5385183</v>
      </c>
      <c r="AD273" s="39" t="s">
        <v>21</v>
      </c>
      <c r="AE273" s="39" t="s">
        <v>3042</v>
      </c>
      <c r="AF273" s="39" t="s">
        <v>21</v>
      </c>
      <c r="AG273" s="39" t="s">
        <v>3043</v>
      </c>
      <c r="AH273" s="39" t="s">
        <v>316</v>
      </c>
      <c r="AI273" s="39" t="s">
        <v>317</v>
      </c>
      <c r="AJ273" s="39" t="s">
        <v>140</v>
      </c>
      <c r="AK273" s="39" t="s">
        <v>125</v>
      </c>
      <c r="AL273" s="39">
        <v>4480</v>
      </c>
      <c r="AM273" s="39"/>
      <c r="AN273" s="39" t="s">
        <v>125</v>
      </c>
      <c r="AO273" s="39" t="s">
        <v>142</v>
      </c>
      <c r="AP273" s="39" t="s">
        <v>143</v>
      </c>
      <c r="AQ273" s="39" t="s">
        <v>312</v>
      </c>
      <c r="AR273" s="39" t="s">
        <v>3044</v>
      </c>
      <c r="AS273" s="39" t="s">
        <v>3048</v>
      </c>
      <c r="AT273" s="39" t="s">
        <v>3046</v>
      </c>
      <c r="AU273" s="39"/>
      <c r="AV273" s="39" t="s">
        <v>3047</v>
      </c>
      <c r="AW273" s="39"/>
      <c r="AX273" s="39"/>
      <c r="AY273" s="39"/>
      <c r="AZ273" s="39"/>
      <c r="BA273" s="39">
        <v>79615104</v>
      </c>
      <c r="BB273" s="39" t="s">
        <v>149</v>
      </c>
      <c r="BC273" s="39" t="s">
        <v>150</v>
      </c>
      <c r="BD273" s="39" t="s">
        <v>125</v>
      </c>
      <c r="BE273" s="39" t="s">
        <v>125</v>
      </c>
      <c r="BF273" s="39"/>
      <c r="BG273" s="39" t="s">
        <v>180</v>
      </c>
      <c r="BH273" s="39" t="s">
        <v>152</v>
      </c>
      <c r="BI273" s="39" t="s">
        <v>125</v>
      </c>
      <c r="BJ273" s="39"/>
      <c r="BK273" s="39" t="s">
        <v>153</v>
      </c>
      <c r="BL273" s="39"/>
      <c r="BM273" s="39"/>
      <c r="BN273" s="39" t="s">
        <v>915</v>
      </c>
    </row>
    <row r="274" spans="1:66" hidden="1">
      <c r="A274" s="39">
        <v>272</v>
      </c>
      <c r="B274" s="39" t="s">
        <v>118</v>
      </c>
      <c r="C274" s="39" t="s">
        <v>119</v>
      </c>
      <c r="D274" s="39" t="s">
        <v>3049</v>
      </c>
      <c r="E274" s="39" t="s">
        <v>3050</v>
      </c>
      <c r="F274" s="39" t="s">
        <v>122</v>
      </c>
      <c r="G274" s="39" t="s">
        <v>3051</v>
      </c>
      <c r="H274" s="39" t="s">
        <v>3052</v>
      </c>
      <c r="I274" s="39" t="s">
        <v>125</v>
      </c>
      <c r="J274" s="39" t="s">
        <v>187</v>
      </c>
      <c r="K274" s="39" t="s">
        <v>21</v>
      </c>
      <c r="L274" s="39" t="s">
        <v>188</v>
      </c>
      <c r="M274" s="39" t="s">
        <v>395</v>
      </c>
      <c r="N274" s="39" t="s">
        <v>396</v>
      </c>
      <c r="O274" s="39"/>
      <c r="P274" s="39"/>
      <c r="Q274" s="39" t="s">
        <v>3049</v>
      </c>
      <c r="R274" s="39" t="s">
        <v>21</v>
      </c>
      <c r="S274" s="39" t="s">
        <v>3053</v>
      </c>
      <c r="T274" s="39" t="s">
        <v>130</v>
      </c>
      <c r="U274" s="39" t="s">
        <v>3054</v>
      </c>
      <c r="V274" s="39" t="s">
        <v>132</v>
      </c>
      <c r="W274" s="39" t="s">
        <v>399</v>
      </c>
      <c r="X274" s="39" t="s">
        <v>187</v>
      </c>
      <c r="Y274" s="39" t="s">
        <v>400</v>
      </c>
      <c r="Z274" s="39" t="s">
        <v>196</v>
      </c>
      <c r="AA274" s="39" t="s">
        <v>197</v>
      </c>
      <c r="AB274" s="39" t="s">
        <v>3049</v>
      </c>
      <c r="AC274" s="39">
        <v>5355673</v>
      </c>
      <c r="AD274" s="39" t="s">
        <v>21</v>
      </c>
      <c r="AE274" s="39" t="s">
        <v>3055</v>
      </c>
      <c r="AF274" s="39" t="s">
        <v>21</v>
      </c>
      <c r="AG274" s="39" t="s">
        <v>3055</v>
      </c>
      <c r="AH274" s="39" t="s">
        <v>403</v>
      </c>
      <c r="AI274" s="39" t="s">
        <v>404</v>
      </c>
      <c r="AJ274" s="39" t="s">
        <v>140</v>
      </c>
      <c r="AK274" s="39" t="s">
        <v>125</v>
      </c>
      <c r="AL274" s="39">
        <v>4302</v>
      </c>
      <c r="AM274" s="39"/>
      <c r="AN274" s="39" t="s">
        <v>21</v>
      </c>
      <c r="AO274" s="39" t="s">
        <v>142</v>
      </c>
      <c r="AP274" s="39" t="s">
        <v>143</v>
      </c>
      <c r="AQ274" s="39" t="s">
        <v>430</v>
      </c>
      <c r="AR274" s="39" t="s">
        <v>3056</v>
      </c>
      <c r="AS274" s="39" t="s">
        <v>3057</v>
      </c>
      <c r="AT274" s="39" t="s">
        <v>3046</v>
      </c>
      <c r="AU274" s="39"/>
      <c r="AV274" s="39" t="s">
        <v>3058</v>
      </c>
      <c r="AW274" s="39"/>
      <c r="AX274" s="39"/>
      <c r="AY274" s="39"/>
      <c r="AZ274" s="39"/>
      <c r="BA274" s="39">
        <v>19098841</v>
      </c>
      <c r="BB274" s="39" t="s">
        <v>149</v>
      </c>
      <c r="BC274" s="39" t="s">
        <v>150</v>
      </c>
      <c r="BD274" s="39" t="s">
        <v>125</v>
      </c>
      <c r="BE274" s="39" t="s">
        <v>125</v>
      </c>
      <c r="BF274" s="39"/>
      <c r="BG274" s="39" t="s">
        <v>180</v>
      </c>
      <c r="BH274" s="39" t="s">
        <v>152</v>
      </c>
      <c r="BI274" s="39" t="s">
        <v>125</v>
      </c>
      <c r="BJ274" s="39"/>
      <c r="BK274" s="39" t="s">
        <v>153</v>
      </c>
      <c r="BL274" s="39"/>
      <c r="BM274" s="39"/>
      <c r="BN274" s="39" t="s">
        <v>155</v>
      </c>
    </row>
    <row r="275" spans="1:66" hidden="1">
      <c r="A275" s="39">
        <v>273</v>
      </c>
      <c r="B275" s="39" t="s">
        <v>118</v>
      </c>
      <c r="C275" s="39" t="s">
        <v>119</v>
      </c>
      <c r="D275" s="39" t="s">
        <v>3049</v>
      </c>
      <c r="E275" s="39" t="s">
        <v>3050</v>
      </c>
      <c r="F275" s="39" t="s">
        <v>122</v>
      </c>
      <c r="G275" s="39" t="s">
        <v>3051</v>
      </c>
      <c r="H275" s="39" t="s">
        <v>3052</v>
      </c>
      <c r="I275" s="39" t="s">
        <v>125</v>
      </c>
      <c r="J275" s="39" t="s">
        <v>187</v>
      </c>
      <c r="K275" s="39" t="s">
        <v>21</v>
      </c>
      <c r="L275" s="39" t="s">
        <v>188</v>
      </c>
      <c r="M275" s="39" t="s">
        <v>395</v>
      </c>
      <c r="N275" s="39" t="s">
        <v>396</v>
      </c>
      <c r="O275" s="39"/>
      <c r="P275" s="39"/>
      <c r="Q275" s="39" t="s">
        <v>3049</v>
      </c>
      <c r="R275" s="39" t="s">
        <v>21</v>
      </c>
      <c r="S275" s="39" t="s">
        <v>3053</v>
      </c>
      <c r="T275" s="39" t="s">
        <v>130</v>
      </c>
      <c r="U275" s="39" t="s">
        <v>3054</v>
      </c>
      <c r="V275" s="39" t="s">
        <v>132</v>
      </c>
      <c r="W275" s="39" t="s">
        <v>399</v>
      </c>
      <c r="X275" s="39" t="s">
        <v>187</v>
      </c>
      <c r="Y275" s="39" t="s">
        <v>400</v>
      </c>
      <c r="Z275" s="39" t="s">
        <v>196</v>
      </c>
      <c r="AA275" s="39" t="s">
        <v>197</v>
      </c>
      <c r="AB275" s="39" t="s">
        <v>3049</v>
      </c>
      <c r="AC275" s="39">
        <v>5355673</v>
      </c>
      <c r="AD275" s="39" t="s">
        <v>21</v>
      </c>
      <c r="AE275" s="39" t="s">
        <v>3055</v>
      </c>
      <c r="AF275" s="39" t="s">
        <v>21</v>
      </c>
      <c r="AG275" s="39" t="s">
        <v>3055</v>
      </c>
      <c r="AH275" s="39" t="s">
        <v>412</v>
      </c>
      <c r="AI275" s="39" t="s">
        <v>413</v>
      </c>
      <c r="AJ275" s="39" t="s">
        <v>140</v>
      </c>
      <c r="AK275" s="39" t="s">
        <v>125</v>
      </c>
      <c r="AL275" s="39">
        <v>3999</v>
      </c>
      <c r="AM275" s="39"/>
      <c r="AN275" s="39" t="s">
        <v>21</v>
      </c>
      <c r="AO275" s="39" t="s">
        <v>142</v>
      </c>
      <c r="AP275" s="39" t="s">
        <v>143</v>
      </c>
      <c r="AQ275" s="39" t="s">
        <v>430</v>
      </c>
      <c r="AR275" s="39" t="s">
        <v>3056</v>
      </c>
      <c r="AS275" s="39" t="s">
        <v>3059</v>
      </c>
      <c r="AT275" s="39" t="s">
        <v>3046</v>
      </c>
      <c r="AU275" s="39"/>
      <c r="AV275" s="39" t="s">
        <v>3058</v>
      </c>
      <c r="AW275" s="39"/>
      <c r="AX275" s="39"/>
      <c r="AY275" s="39"/>
      <c r="AZ275" s="39"/>
      <c r="BA275" s="39">
        <v>19098841</v>
      </c>
      <c r="BB275" s="39" t="s">
        <v>149</v>
      </c>
      <c r="BC275" s="39" t="s">
        <v>150</v>
      </c>
      <c r="BD275" s="39" t="s">
        <v>125</v>
      </c>
      <c r="BE275" s="39" t="s">
        <v>125</v>
      </c>
      <c r="BF275" s="39"/>
      <c r="BG275" s="39" t="s">
        <v>180</v>
      </c>
      <c r="BH275" s="39" t="s">
        <v>152</v>
      </c>
      <c r="BI275" s="39" t="s">
        <v>125</v>
      </c>
      <c r="BJ275" s="39"/>
      <c r="BK275" s="39" t="s">
        <v>153</v>
      </c>
      <c r="BL275" s="39"/>
      <c r="BM275" s="39"/>
      <c r="BN275" s="39" t="s">
        <v>155</v>
      </c>
    </row>
    <row r="276" spans="1:66" hidden="1">
      <c r="A276" s="39">
        <v>274</v>
      </c>
      <c r="B276" s="39" t="s">
        <v>118</v>
      </c>
      <c r="C276" s="39" t="s">
        <v>119</v>
      </c>
      <c r="D276" s="39" t="s">
        <v>3049</v>
      </c>
      <c r="E276" s="39" t="s">
        <v>3050</v>
      </c>
      <c r="F276" s="39" t="s">
        <v>122</v>
      </c>
      <c r="G276" s="39" t="s">
        <v>3051</v>
      </c>
      <c r="H276" s="39" t="s">
        <v>3052</v>
      </c>
      <c r="I276" s="39" t="s">
        <v>125</v>
      </c>
      <c r="J276" s="39" t="s">
        <v>187</v>
      </c>
      <c r="K276" s="39" t="s">
        <v>21</v>
      </c>
      <c r="L276" s="39" t="s">
        <v>188</v>
      </c>
      <c r="M276" s="39" t="s">
        <v>395</v>
      </c>
      <c r="N276" s="39" t="s">
        <v>396</v>
      </c>
      <c r="O276" s="39"/>
      <c r="P276" s="39"/>
      <c r="Q276" s="39" t="s">
        <v>3049</v>
      </c>
      <c r="R276" s="39" t="s">
        <v>21</v>
      </c>
      <c r="S276" s="39" t="s">
        <v>3053</v>
      </c>
      <c r="T276" s="39" t="s">
        <v>130</v>
      </c>
      <c r="U276" s="39" t="s">
        <v>3054</v>
      </c>
      <c r="V276" s="39" t="s">
        <v>132</v>
      </c>
      <c r="W276" s="39" t="s">
        <v>399</v>
      </c>
      <c r="X276" s="39" t="s">
        <v>187</v>
      </c>
      <c r="Y276" s="39" t="s">
        <v>400</v>
      </c>
      <c r="Z276" s="39" t="s">
        <v>196</v>
      </c>
      <c r="AA276" s="39" t="s">
        <v>197</v>
      </c>
      <c r="AB276" s="39" t="s">
        <v>3049</v>
      </c>
      <c r="AC276" s="39">
        <v>5355673</v>
      </c>
      <c r="AD276" s="39" t="s">
        <v>21</v>
      </c>
      <c r="AE276" s="39" t="s">
        <v>3055</v>
      </c>
      <c r="AF276" s="39" t="s">
        <v>21</v>
      </c>
      <c r="AG276" s="39" t="s">
        <v>3055</v>
      </c>
      <c r="AH276" s="39" t="s">
        <v>409</v>
      </c>
      <c r="AI276" s="39" t="s">
        <v>410</v>
      </c>
      <c r="AJ276" s="39" t="s">
        <v>140</v>
      </c>
      <c r="AK276" s="39" t="s">
        <v>125</v>
      </c>
      <c r="AL276" s="39">
        <v>3999</v>
      </c>
      <c r="AM276" s="39"/>
      <c r="AN276" s="39" t="s">
        <v>21</v>
      </c>
      <c r="AO276" s="39" t="s">
        <v>142</v>
      </c>
      <c r="AP276" s="39" t="s">
        <v>143</v>
      </c>
      <c r="AQ276" s="39" t="s">
        <v>430</v>
      </c>
      <c r="AR276" s="39" t="s">
        <v>3056</v>
      </c>
      <c r="AS276" s="39" t="s">
        <v>3060</v>
      </c>
      <c r="AT276" s="39" t="s">
        <v>3046</v>
      </c>
      <c r="AU276" s="39"/>
      <c r="AV276" s="39" t="s">
        <v>3058</v>
      </c>
      <c r="AW276" s="39"/>
      <c r="AX276" s="39"/>
      <c r="AY276" s="39"/>
      <c r="AZ276" s="39"/>
      <c r="BA276" s="39">
        <v>19098841</v>
      </c>
      <c r="BB276" s="39" t="s">
        <v>149</v>
      </c>
      <c r="BC276" s="39" t="s">
        <v>150</v>
      </c>
      <c r="BD276" s="39" t="s">
        <v>125</v>
      </c>
      <c r="BE276" s="39" t="s">
        <v>125</v>
      </c>
      <c r="BF276" s="39"/>
      <c r="BG276" s="39" t="s">
        <v>180</v>
      </c>
      <c r="BH276" s="39" t="s">
        <v>152</v>
      </c>
      <c r="BI276" s="39" t="s">
        <v>125</v>
      </c>
      <c r="BJ276" s="39"/>
      <c r="BK276" s="39" t="s">
        <v>153</v>
      </c>
      <c r="BL276" s="39"/>
      <c r="BM276" s="39"/>
      <c r="BN276" s="39" t="s">
        <v>155</v>
      </c>
    </row>
    <row r="277" spans="1:66" hidden="1">
      <c r="A277" s="39">
        <v>275</v>
      </c>
      <c r="B277" s="39" t="s">
        <v>118</v>
      </c>
      <c r="C277" s="39" t="s">
        <v>119</v>
      </c>
      <c r="D277" s="39"/>
      <c r="E277" s="39" t="s">
        <v>3061</v>
      </c>
      <c r="F277" s="39"/>
      <c r="G277" s="39" t="s">
        <v>3062</v>
      </c>
      <c r="H277" s="39" t="s">
        <v>3063</v>
      </c>
      <c r="I277" s="39" t="s">
        <v>282</v>
      </c>
      <c r="J277" s="39" t="s">
        <v>187</v>
      </c>
      <c r="K277" s="39" t="s">
        <v>24</v>
      </c>
      <c r="L277" s="39" t="s">
        <v>284</v>
      </c>
      <c r="M277" s="39" t="s">
        <v>284</v>
      </c>
      <c r="N277" s="39"/>
      <c r="O277" s="39"/>
      <c r="P277" s="39"/>
      <c r="Q277" s="39" t="s">
        <v>3064</v>
      </c>
      <c r="R277" s="39" t="s">
        <v>24</v>
      </c>
      <c r="S277" s="39" t="s">
        <v>3065</v>
      </c>
      <c r="T277" s="39" t="s">
        <v>359</v>
      </c>
      <c r="U277" s="39" t="s">
        <v>3066</v>
      </c>
      <c r="V277" s="39" t="s">
        <v>132</v>
      </c>
      <c r="W277" s="39" t="s">
        <v>818</v>
      </c>
      <c r="X277" s="39" t="s">
        <v>187</v>
      </c>
      <c r="Y277" s="39" t="s">
        <v>3067</v>
      </c>
      <c r="Z277" s="39" t="s">
        <v>196</v>
      </c>
      <c r="AA277" s="39" t="s">
        <v>197</v>
      </c>
      <c r="AB277" s="39" t="s">
        <v>3064</v>
      </c>
      <c r="AC277" s="39">
        <v>5431912</v>
      </c>
      <c r="AD277" s="39" t="s">
        <v>24</v>
      </c>
      <c r="AE277" s="39" t="s">
        <v>3068</v>
      </c>
      <c r="AF277" s="39" t="s">
        <v>24</v>
      </c>
      <c r="AG277" s="39" t="s">
        <v>3069</v>
      </c>
      <c r="AH277" s="39" t="s">
        <v>409</v>
      </c>
      <c r="AI277" s="39" t="s">
        <v>410</v>
      </c>
      <c r="AJ277" s="39" t="s">
        <v>140</v>
      </c>
      <c r="AK277" s="39" t="s">
        <v>125</v>
      </c>
      <c r="AL277" s="39">
        <v>4680</v>
      </c>
      <c r="AM277" s="39" t="s">
        <v>429</v>
      </c>
      <c r="AN277" s="39" t="s">
        <v>125</v>
      </c>
      <c r="AO277" s="39" t="s">
        <v>367</v>
      </c>
      <c r="AP277" s="39" t="s">
        <v>143</v>
      </c>
      <c r="AQ277" s="39" t="s">
        <v>144</v>
      </c>
      <c r="AR277" s="39" t="s">
        <v>3070</v>
      </c>
      <c r="AS277" s="39" t="s">
        <v>3071</v>
      </c>
      <c r="AT277" s="39" t="s">
        <v>407</v>
      </c>
      <c r="AU277" s="39"/>
      <c r="AV277" s="39" t="s">
        <v>3072</v>
      </c>
      <c r="AW277" s="39"/>
      <c r="AX277" s="39"/>
      <c r="AY277" s="39"/>
      <c r="AZ277" s="39"/>
      <c r="BA277" s="39">
        <v>74888735</v>
      </c>
      <c r="BB277" s="39" t="s">
        <v>149</v>
      </c>
      <c r="BC277" s="39"/>
      <c r="BD277" s="39" t="s">
        <v>125</v>
      </c>
      <c r="BE277" s="39" t="s">
        <v>125</v>
      </c>
      <c r="BF277" s="39"/>
      <c r="BG277" s="39" t="s">
        <v>180</v>
      </c>
      <c r="BH277" s="39" t="s">
        <v>149</v>
      </c>
      <c r="BI277" s="39" t="s">
        <v>125</v>
      </c>
      <c r="BJ277" s="39"/>
      <c r="BK277" s="39" t="s">
        <v>153</v>
      </c>
      <c r="BL277" s="39"/>
      <c r="BM277" s="39"/>
      <c r="BN277" s="39"/>
    </row>
    <row r="278" spans="1:66" hidden="1">
      <c r="A278" s="39">
        <v>276</v>
      </c>
      <c r="B278" s="39" t="s">
        <v>118</v>
      </c>
      <c r="C278" s="39" t="s">
        <v>119</v>
      </c>
      <c r="D278" s="39" t="s">
        <v>3073</v>
      </c>
      <c r="E278" s="39" t="s">
        <v>3074</v>
      </c>
      <c r="F278" s="39" t="s">
        <v>1142</v>
      </c>
      <c r="G278" s="39" t="s">
        <v>3075</v>
      </c>
      <c r="H278" s="39" t="s">
        <v>125</v>
      </c>
      <c r="I278" s="39" t="s">
        <v>125</v>
      </c>
      <c r="J278" s="39" t="s">
        <v>187</v>
      </c>
      <c r="K278" s="39" t="s">
        <v>16</v>
      </c>
      <c r="L278" s="39" t="s">
        <v>188</v>
      </c>
      <c r="M278" s="39" t="s">
        <v>189</v>
      </c>
      <c r="N278" s="39" t="s">
        <v>3076</v>
      </c>
      <c r="O278" s="39"/>
      <c r="P278" s="39"/>
      <c r="Q278" s="39" t="s">
        <v>3073</v>
      </c>
      <c r="R278" s="39" t="s">
        <v>16</v>
      </c>
      <c r="S278" s="39" t="s">
        <v>3077</v>
      </c>
      <c r="T278" s="39" t="s">
        <v>130</v>
      </c>
      <c r="U278" s="39" t="s">
        <v>3078</v>
      </c>
      <c r="V278" s="39" t="s">
        <v>132</v>
      </c>
      <c r="W278" s="39" t="s">
        <v>168</v>
      </c>
      <c r="X278" s="39" t="s">
        <v>187</v>
      </c>
      <c r="Y278" s="39" t="s">
        <v>3079</v>
      </c>
      <c r="Z278" s="39" t="s">
        <v>196</v>
      </c>
      <c r="AA278" s="39" t="s">
        <v>197</v>
      </c>
      <c r="AB278" s="39" t="s">
        <v>3073</v>
      </c>
      <c r="AC278" s="39">
        <v>5398599</v>
      </c>
      <c r="AD278" s="39" t="s">
        <v>16</v>
      </c>
      <c r="AE278" s="39" t="s">
        <v>3080</v>
      </c>
      <c r="AF278" s="39" t="s">
        <v>16</v>
      </c>
      <c r="AG278" s="39" t="s">
        <v>3080</v>
      </c>
      <c r="AH278" s="39" t="s">
        <v>200</v>
      </c>
      <c r="AI278" s="39" t="s">
        <v>201</v>
      </c>
      <c r="AJ278" s="39" t="s">
        <v>140</v>
      </c>
      <c r="AK278" s="39" t="s">
        <v>125</v>
      </c>
      <c r="AL278" s="39">
        <v>5680</v>
      </c>
      <c r="AM278" s="39"/>
      <c r="AN278" s="39" t="s">
        <v>3076</v>
      </c>
      <c r="AO278" s="39" t="s">
        <v>142</v>
      </c>
      <c r="AP278" s="39" t="s">
        <v>143</v>
      </c>
      <c r="AQ278" s="39" t="s">
        <v>312</v>
      </c>
      <c r="AR278" s="39" t="s">
        <v>3081</v>
      </c>
      <c r="AS278" s="39" t="s">
        <v>3082</v>
      </c>
      <c r="AT278" s="39" t="s">
        <v>407</v>
      </c>
      <c r="AU278" s="39"/>
      <c r="AV278" s="39" t="s">
        <v>3083</v>
      </c>
      <c r="AW278" s="39"/>
      <c r="AX278" s="39"/>
      <c r="AY278" s="39"/>
      <c r="AZ278" s="39"/>
      <c r="BA278" s="39">
        <v>79338588</v>
      </c>
      <c r="BB278" s="39" t="s">
        <v>149</v>
      </c>
      <c r="BC278" s="39" t="s">
        <v>150</v>
      </c>
      <c r="BD278" s="39" t="s">
        <v>179</v>
      </c>
      <c r="BE278" s="39" t="s">
        <v>125</v>
      </c>
      <c r="BF278" s="39"/>
      <c r="BG278" s="39" t="s">
        <v>180</v>
      </c>
      <c r="BH278" s="39" t="s">
        <v>152</v>
      </c>
      <c r="BI278" s="39" t="s">
        <v>125</v>
      </c>
      <c r="BJ278" s="39"/>
      <c r="BK278" s="39" t="s">
        <v>153</v>
      </c>
      <c r="BL278" s="39"/>
      <c r="BM278" s="39"/>
      <c r="BN278" s="39" t="s">
        <v>155</v>
      </c>
    </row>
    <row r="279" spans="1:66" hidden="1">
      <c r="A279" s="39">
        <v>277</v>
      </c>
      <c r="B279" s="39" t="s">
        <v>118</v>
      </c>
      <c r="C279" s="39" t="s">
        <v>119</v>
      </c>
      <c r="D279" s="39" t="s">
        <v>3084</v>
      </c>
      <c r="E279" s="39" t="s">
        <v>3085</v>
      </c>
      <c r="F279" s="39" t="s">
        <v>208</v>
      </c>
      <c r="G279" s="39" t="s">
        <v>3086</v>
      </c>
      <c r="H279" s="39" t="s">
        <v>959</v>
      </c>
      <c r="I279" s="39" t="s">
        <v>245</v>
      </c>
      <c r="J279" s="39" t="s">
        <v>355</v>
      </c>
      <c r="K279" s="39" t="s">
        <v>23</v>
      </c>
      <c r="L279" s="39" t="s">
        <v>211</v>
      </c>
      <c r="M279" s="39" t="s">
        <v>212</v>
      </c>
      <c r="N279" s="39" t="s">
        <v>125</v>
      </c>
      <c r="O279" s="39"/>
      <c r="P279" s="39"/>
      <c r="Q279" s="39" t="s">
        <v>3087</v>
      </c>
      <c r="R279" s="39" t="s">
        <v>23</v>
      </c>
      <c r="S279" s="39" t="s">
        <v>3088</v>
      </c>
      <c r="T279" s="39" t="s">
        <v>130</v>
      </c>
      <c r="U279" s="39" t="s">
        <v>3089</v>
      </c>
      <c r="V279" s="39" t="s">
        <v>132</v>
      </c>
      <c r="W279" s="39" t="s">
        <v>133</v>
      </c>
      <c r="X279" s="39" t="s">
        <v>187</v>
      </c>
      <c r="Y279" s="39" t="s">
        <v>1004</v>
      </c>
      <c r="Z279" s="39" t="s">
        <v>196</v>
      </c>
      <c r="AA279" s="39" t="s">
        <v>197</v>
      </c>
      <c r="AB279" s="39" t="s">
        <v>3087</v>
      </c>
      <c r="AC279" s="39">
        <v>5384125</v>
      </c>
      <c r="AD279" s="39" t="s">
        <v>23</v>
      </c>
      <c r="AE279" s="39" t="s">
        <v>3090</v>
      </c>
      <c r="AF279" s="39" t="s">
        <v>23</v>
      </c>
      <c r="AG279" s="39" t="s">
        <v>3091</v>
      </c>
      <c r="AH279" s="39" t="s">
        <v>2485</v>
      </c>
      <c r="AI279" s="39" t="s">
        <v>2486</v>
      </c>
      <c r="AJ279" s="39" t="s">
        <v>140</v>
      </c>
      <c r="AK279" s="39" t="s">
        <v>125</v>
      </c>
      <c r="AL279" s="39">
        <v>20300</v>
      </c>
      <c r="AM279" s="39"/>
      <c r="AN279" s="39" t="s">
        <v>125</v>
      </c>
      <c r="AO279" s="39" t="s">
        <v>142</v>
      </c>
      <c r="AP279" s="39" t="s">
        <v>143</v>
      </c>
      <c r="AQ279" s="39" t="s">
        <v>312</v>
      </c>
      <c r="AR279" s="39" t="s">
        <v>3092</v>
      </c>
      <c r="AS279" s="39" t="s">
        <v>3093</v>
      </c>
      <c r="AT279" s="39" t="s">
        <v>407</v>
      </c>
      <c r="AU279" s="39"/>
      <c r="AV279" s="39" t="s">
        <v>3094</v>
      </c>
      <c r="AW279" s="39"/>
      <c r="AX279" s="39"/>
      <c r="AY279" s="39"/>
      <c r="AZ279" s="39"/>
      <c r="BA279" s="39">
        <v>79403711</v>
      </c>
      <c r="BB279" s="39" t="s">
        <v>149</v>
      </c>
      <c r="BC279" s="39" t="s">
        <v>150</v>
      </c>
      <c r="BD279" s="39" t="s">
        <v>139</v>
      </c>
      <c r="BE279" s="39" t="s">
        <v>125</v>
      </c>
      <c r="BF279" s="39"/>
      <c r="BG279" s="39" t="s">
        <v>180</v>
      </c>
      <c r="BH279" s="39" t="s">
        <v>152</v>
      </c>
      <c r="BI279" s="39" t="s">
        <v>125</v>
      </c>
      <c r="BJ279" s="39"/>
      <c r="BK279" s="39" t="s">
        <v>153</v>
      </c>
      <c r="BL279" s="39"/>
      <c r="BM279" s="39"/>
      <c r="BN279" s="39" t="s">
        <v>212</v>
      </c>
    </row>
    <row r="280" spans="1:66" hidden="1">
      <c r="A280" s="39">
        <v>278</v>
      </c>
      <c r="B280" s="39" t="s">
        <v>118</v>
      </c>
      <c r="C280" s="39" t="s">
        <v>119</v>
      </c>
      <c r="D280" s="39" t="s">
        <v>3095</v>
      </c>
      <c r="E280" s="39" t="s">
        <v>3096</v>
      </c>
      <c r="F280" s="39" t="s">
        <v>208</v>
      </c>
      <c r="G280" s="39" t="s">
        <v>3097</v>
      </c>
      <c r="H280" s="39" t="s">
        <v>959</v>
      </c>
      <c r="I280" s="39" t="s">
        <v>245</v>
      </c>
      <c r="J280" s="39" t="s">
        <v>355</v>
      </c>
      <c r="K280" s="39" t="s">
        <v>22</v>
      </c>
      <c r="L280" s="39" t="s">
        <v>211</v>
      </c>
      <c r="M280" s="39" t="s">
        <v>212</v>
      </c>
      <c r="N280" s="39" t="s">
        <v>125</v>
      </c>
      <c r="O280" s="39"/>
      <c r="P280" s="39"/>
      <c r="Q280" s="39" t="s">
        <v>3098</v>
      </c>
      <c r="R280" s="39" t="s">
        <v>22</v>
      </c>
      <c r="S280" s="39" t="s">
        <v>3099</v>
      </c>
      <c r="T280" s="39" t="s">
        <v>130</v>
      </c>
      <c r="U280" s="39" t="s">
        <v>3100</v>
      </c>
      <c r="V280" s="39" t="s">
        <v>132</v>
      </c>
      <c r="W280" s="39" t="s">
        <v>133</v>
      </c>
      <c r="X280" s="39" t="s">
        <v>355</v>
      </c>
      <c r="Y280" s="39" t="s">
        <v>1676</v>
      </c>
      <c r="Z280" s="39" t="s">
        <v>2257</v>
      </c>
      <c r="AA280" s="39" t="s">
        <v>3101</v>
      </c>
      <c r="AB280" s="39" t="s">
        <v>3098</v>
      </c>
      <c r="AC280" s="39">
        <v>5384052</v>
      </c>
      <c r="AD280" s="39" t="s">
        <v>22</v>
      </c>
      <c r="AE280" s="39" t="s">
        <v>3102</v>
      </c>
      <c r="AF280" s="39" t="s">
        <v>22</v>
      </c>
      <c r="AG280" s="39" t="s">
        <v>3102</v>
      </c>
      <c r="AH280" s="39" t="s">
        <v>1922</v>
      </c>
      <c r="AI280" s="39" t="s">
        <v>139</v>
      </c>
      <c r="AJ280" s="39" t="s">
        <v>140</v>
      </c>
      <c r="AK280" s="39" t="s">
        <v>125</v>
      </c>
      <c r="AL280" s="39">
        <v>6180</v>
      </c>
      <c r="AM280" s="39"/>
      <c r="AN280" s="39" t="s">
        <v>125</v>
      </c>
      <c r="AO280" s="39" t="s">
        <v>142</v>
      </c>
      <c r="AP280" s="39" t="s">
        <v>143</v>
      </c>
      <c r="AQ280" s="39" t="s">
        <v>144</v>
      </c>
      <c r="AR280" s="39" t="s">
        <v>3103</v>
      </c>
      <c r="AS280" s="39" t="s">
        <v>3104</v>
      </c>
      <c r="AT280" s="39" t="s">
        <v>407</v>
      </c>
      <c r="AU280" s="39"/>
      <c r="AV280" s="39" t="s">
        <v>3105</v>
      </c>
      <c r="AW280" s="39"/>
      <c r="AX280" s="39"/>
      <c r="AY280" s="39"/>
      <c r="AZ280" s="39"/>
      <c r="BA280" s="39">
        <v>74580197</v>
      </c>
      <c r="BB280" s="39" t="s">
        <v>149</v>
      </c>
      <c r="BC280" s="39" t="s">
        <v>150</v>
      </c>
      <c r="BD280" s="39" t="s">
        <v>139</v>
      </c>
      <c r="BE280" s="39" t="s">
        <v>125</v>
      </c>
      <c r="BF280" s="39"/>
      <c r="BG280" s="39" t="s">
        <v>298</v>
      </c>
      <c r="BH280" s="39" t="s">
        <v>152</v>
      </c>
      <c r="BI280" s="39" t="s">
        <v>125</v>
      </c>
      <c r="BJ280" s="39"/>
      <c r="BK280" s="39" t="s">
        <v>153</v>
      </c>
      <c r="BL280" s="39"/>
      <c r="BM280" s="39" t="s">
        <v>154</v>
      </c>
      <c r="BN280" s="39" t="s">
        <v>212</v>
      </c>
    </row>
    <row r="281" spans="1:66" hidden="1">
      <c r="A281" s="39">
        <v>279</v>
      </c>
      <c r="B281" s="39" t="s">
        <v>118</v>
      </c>
      <c r="C281" s="39" t="s">
        <v>119</v>
      </c>
      <c r="D281" s="39" t="s">
        <v>3064</v>
      </c>
      <c r="E281" s="39" t="s">
        <v>3106</v>
      </c>
      <c r="F281" s="39" t="s">
        <v>279</v>
      </c>
      <c r="G281" s="39" t="s">
        <v>3107</v>
      </c>
      <c r="H281" s="39" t="s">
        <v>3108</v>
      </c>
      <c r="I281" s="39" t="s">
        <v>282</v>
      </c>
      <c r="J281" s="39" t="s">
        <v>187</v>
      </c>
      <c r="K281" s="39" t="s">
        <v>303</v>
      </c>
      <c r="L281" s="39" t="s">
        <v>284</v>
      </c>
      <c r="M281" s="39" t="s">
        <v>284</v>
      </c>
      <c r="N281" s="39" t="s">
        <v>125</v>
      </c>
      <c r="O281" s="39" t="s">
        <v>303</v>
      </c>
      <c r="P281" s="39" t="s">
        <v>3062</v>
      </c>
      <c r="Q281" s="39" t="s">
        <v>3064</v>
      </c>
      <c r="R281" s="39" t="s">
        <v>24</v>
      </c>
      <c r="S281" s="39" t="s">
        <v>3109</v>
      </c>
      <c r="T281" s="39" t="s">
        <v>130</v>
      </c>
      <c r="U281" s="39" t="s">
        <v>3110</v>
      </c>
      <c r="V281" s="39" t="s">
        <v>132</v>
      </c>
      <c r="W281" s="39" t="s">
        <v>818</v>
      </c>
      <c r="X281" s="39" t="s">
        <v>187</v>
      </c>
      <c r="Y281" s="39" t="s">
        <v>3067</v>
      </c>
      <c r="Z281" s="39" t="s">
        <v>196</v>
      </c>
      <c r="AA281" s="39" t="s">
        <v>197</v>
      </c>
      <c r="AB281" s="39" t="s">
        <v>3064</v>
      </c>
      <c r="AC281" s="39">
        <v>5384001</v>
      </c>
      <c r="AD281" s="39" t="s">
        <v>24</v>
      </c>
      <c r="AE281" s="39" t="s">
        <v>3111</v>
      </c>
      <c r="AF281" s="39" t="s">
        <v>24</v>
      </c>
      <c r="AG281" s="39" t="s">
        <v>3112</v>
      </c>
      <c r="AH281" s="39" t="s">
        <v>316</v>
      </c>
      <c r="AI281" s="39" t="s">
        <v>317</v>
      </c>
      <c r="AJ281" s="39" t="s">
        <v>140</v>
      </c>
      <c r="AK281" s="39" t="s">
        <v>125</v>
      </c>
      <c r="AL281" s="39">
        <v>4680</v>
      </c>
      <c r="AM281" s="39"/>
      <c r="AN281" s="39" t="s">
        <v>125</v>
      </c>
      <c r="AO281" s="39" t="s">
        <v>142</v>
      </c>
      <c r="AP281" s="39" t="s">
        <v>143</v>
      </c>
      <c r="AQ281" s="39" t="s">
        <v>312</v>
      </c>
      <c r="AR281" s="39" t="s">
        <v>3070</v>
      </c>
      <c r="AS281" s="39" t="s">
        <v>3113</v>
      </c>
      <c r="AT281" s="39" t="s">
        <v>407</v>
      </c>
      <c r="AU281" s="39"/>
      <c r="AV281" s="39" t="s">
        <v>3114</v>
      </c>
      <c r="AW281" s="39"/>
      <c r="AX281" s="39"/>
      <c r="AY281" s="39"/>
      <c r="AZ281" s="39"/>
      <c r="BA281" s="39">
        <v>74888735</v>
      </c>
      <c r="BB281" s="39" t="s">
        <v>149</v>
      </c>
      <c r="BC281" s="39"/>
      <c r="BD281" s="39" t="s">
        <v>125</v>
      </c>
      <c r="BE281" s="39" t="s">
        <v>125</v>
      </c>
      <c r="BF281" s="39"/>
      <c r="BG281" s="39" t="s">
        <v>180</v>
      </c>
      <c r="BH281" s="39" t="s">
        <v>152</v>
      </c>
      <c r="BI281" s="39" t="s">
        <v>125</v>
      </c>
      <c r="BJ281" s="39"/>
      <c r="BK281" s="39" t="s">
        <v>438</v>
      </c>
      <c r="BL281" s="39"/>
      <c r="BM281" s="39"/>
      <c r="BN281" s="39" t="s">
        <v>300</v>
      </c>
    </row>
    <row r="282" spans="1:66" hidden="1">
      <c r="A282" s="39">
        <v>280</v>
      </c>
      <c r="B282" s="39" t="s">
        <v>118</v>
      </c>
      <c r="C282" s="39" t="s">
        <v>119</v>
      </c>
      <c r="D282" s="39" t="s">
        <v>3115</v>
      </c>
      <c r="E282" s="39" t="s">
        <v>3116</v>
      </c>
      <c r="F282" s="39" t="s">
        <v>184</v>
      </c>
      <c r="G282" s="39" t="s">
        <v>3117</v>
      </c>
      <c r="H282" s="39" t="s">
        <v>3118</v>
      </c>
      <c r="I282" s="39" t="s">
        <v>125</v>
      </c>
      <c r="J282" s="39" t="s">
        <v>506</v>
      </c>
      <c r="K282" s="39" t="s">
        <v>21</v>
      </c>
      <c r="L282" s="39" t="s">
        <v>188</v>
      </c>
      <c r="M282" s="39" t="s">
        <v>189</v>
      </c>
      <c r="N282" s="39" t="s">
        <v>3119</v>
      </c>
      <c r="O282" s="39"/>
      <c r="P282" s="39"/>
      <c r="Q282" s="39" t="s">
        <v>3120</v>
      </c>
      <c r="R282" s="39" t="s">
        <v>21</v>
      </c>
      <c r="S282" s="39" t="s">
        <v>3121</v>
      </c>
      <c r="T282" s="39" t="s">
        <v>130</v>
      </c>
      <c r="U282" s="39" t="s">
        <v>3122</v>
      </c>
      <c r="V282" s="39" t="s">
        <v>132</v>
      </c>
      <c r="W282" s="39" t="s">
        <v>399</v>
      </c>
      <c r="X282" s="39" t="s">
        <v>187</v>
      </c>
      <c r="Y282" s="39" t="s">
        <v>400</v>
      </c>
      <c r="Z282" s="39" t="s">
        <v>196</v>
      </c>
      <c r="AA282" s="39" t="s">
        <v>197</v>
      </c>
      <c r="AB282" s="39" t="s">
        <v>3120</v>
      </c>
      <c r="AC282" s="39">
        <v>5355354</v>
      </c>
      <c r="AD282" s="39" t="s">
        <v>21</v>
      </c>
      <c r="AE282" s="39" t="s">
        <v>3123</v>
      </c>
      <c r="AF282" s="39" t="s">
        <v>21</v>
      </c>
      <c r="AG282" s="39" t="s">
        <v>3123</v>
      </c>
      <c r="AH282" s="39" t="s">
        <v>403</v>
      </c>
      <c r="AI282" s="39" t="s">
        <v>404</v>
      </c>
      <c r="AJ282" s="39" t="s">
        <v>140</v>
      </c>
      <c r="AK282" s="39" t="s">
        <v>125</v>
      </c>
      <c r="AL282" s="39">
        <v>4802</v>
      </c>
      <c r="AM282" s="39"/>
      <c r="AN282" s="39" t="s">
        <v>3119</v>
      </c>
      <c r="AO282" s="39" t="s">
        <v>142</v>
      </c>
      <c r="AP282" s="39" t="s">
        <v>143</v>
      </c>
      <c r="AQ282" s="39" t="s">
        <v>144</v>
      </c>
      <c r="AR282" s="39" t="s">
        <v>3124</v>
      </c>
      <c r="AS282" s="39" t="s">
        <v>3125</v>
      </c>
      <c r="AT282" s="39" t="s">
        <v>407</v>
      </c>
      <c r="AU282" s="39"/>
      <c r="AV282" s="39" t="s">
        <v>3126</v>
      </c>
      <c r="AW282" s="39"/>
      <c r="AX282" s="39"/>
      <c r="AY282" s="39"/>
      <c r="AZ282" s="39"/>
      <c r="BA282" s="39">
        <v>74461222</v>
      </c>
      <c r="BB282" s="39" t="s">
        <v>149</v>
      </c>
      <c r="BC282" s="39" t="s">
        <v>150</v>
      </c>
      <c r="BD282" s="39" t="s">
        <v>125</v>
      </c>
      <c r="BE282" s="39" t="s">
        <v>125</v>
      </c>
      <c r="BF282" s="39"/>
      <c r="BG282" s="39" t="s">
        <v>180</v>
      </c>
      <c r="BH282" s="39" t="s">
        <v>152</v>
      </c>
      <c r="BI282" s="39" t="s">
        <v>125</v>
      </c>
      <c r="BJ282" s="39"/>
      <c r="BK282" s="39" t="s">
        <v>153</v>
      </c>
      <c r="BL282" s="39"/>
      <c r="BM282" s="39"/>
      <c r="BN282" s="39" t="s">
        <v>155</v>
      </c>
    </row>
    <row r="283" spans="1:66" hidden="1">
      <c r="A283" s="39">
        <v>281</v>
      </c>
      <c r="B283" s="39" t="s">
        <v>118</v>
      </c>
      <c r="C283" s="39" t="s">
        <v>119</v>
      </c>
      <c r="D283" s="39" t="s">
        <v>3115</v>
      </c>
      <c r="E283" s="39" t="s">
        <v>3116</v>
      </c>
      <c r="F283" s="39" t="s">
        <v>184</v>
      </c>
      <c r="G283" s="39" t="s">
        <v>3117</v>
      </c>
      <c r="H283" s="39" t="s">
        <v>3118</v>
      </c>
      <c r="I283" s="39" t="s">
        <v>125</v>
      </c>
      <c r="J283" s="39" t="s">
        <v>506</v>
      </c>
      <c r="K283" s="39" t="s">
        <v>21</v>
      </c>
      <c r="L283" s="39" t="s">
        <v>188</v>
      </c>
      <c r="M283" s="39" t="s">
        <v>189</v>
      </c>
      <c r="N283" s="39" t="s">
        <v>3119</v>
      </c>
      <c r="O283" s="39"/>
      <c r="P283" s="39"/>
      <c r="Q283" s="39" t="s">
        <v>3120</v>
      </c>
      <c r="R283" s="39" t="s">
        <v>21</v>
      </c>
      <c r="S283" s="39" t="s">
        <v>3121</v>
      </c>
      <c r="T283" s="39" t="s">
        <v>130</v>
      </c>
      <c r="U283" s="39" t="s">
        <v>3122</v>
      </c>
      <c r="V283" s="39" t="s">
        <v>132</v>
      </c>
      <c r="W283" s="39" t="s">
        <v>399</v>
      </c>
      <c r="X283" s="39" t="s">
        <v>187</v>
      </c>
      <c r="Y283" s="39" t="s">
        <v>400</v>
      </c>
      <c r="Z283" s="39" t="s">
        <v>196</v>
      </c>
      <c r="AA283" s="39" t="s">
        <v>197</v>
      </c>
      <c r="AB283" s="39" t="s">
        <v>3120</v>
      </c>
      <c r="AC283" s="39">
        <v>5355354</v>
      </c>
      <c r="AD283" s="39" t="s">
        <v>21</v>
      </c>
      <c r="AE283" s="39" t="s">
        <v>3123</v>
      </c>
      <c r="AF283" s="39" t="s">
        <v>21</v>
      </c>
      <c r="AG283" s="39" t="s">
        <v>3123</v>
      </c>
      <c r="AH283" s="39" t="s">
        <v>409</v>
      </c>
      <c r="AI283" s="39" t="s">
        <v>410</v>
      </c>
      <c r="AJ283" s="39" t="s">
        <v>140</v>
      </c>
      <c r="AK283" s="39" t="s">
        <v>125</v>
      </c>
      <c r="AL283" s="39">
        <v>3499</v>
      </c>
      <c r="AM283" s="39"/>
      <c r="AN283" s="39" t="s">
        <v>3119</v>
      </c>
      <c r="AO283" s="39" t="s">
        <v>142</v>
      </c>
      <c r="AP283" s="39" t="s">
        <v>143</v>
      </c>
      <c r="AQ283" s="39" t="s">
        <v>144</v>
      </c>
      <c r="AR283" s="39" t="s">
        <v>3124</v>
      </c>
      <c r="AS283" s="39" t="s">
        <v>3127</v>
      </c>
      <c r="AT283" s="39" t="s">
        <v>407</v>
      </c>
      <c r="AU283" s="39"/>
      <c r="AV283" s="39" t="s">
        <v>3126</v>
      </c>
      <c r="AW283" s="39"/>
      <c r="AX283" s="39"/>
      <c r="AY283" s="39"/>
      <c r="AZ283" s="39"/>
      <c r="BA283" s="39">
        <v>74461222</v>
      </c>
      <c r="BB283" s="39" t="s">
        <v>149</v>
      </c>
      <c r="BC283" s="39" t="s">
        <v>150</v>
      </c>
      <c r="BD283" s="39" t="s">
        <v>125</v>
      </c>
      <c r="BE283" s="39" t="s">
        <v>125</v>
      </c>
      <c r="BF283" s="39"/>
      <c r="BG283" s="39" t="s">
        <v>180</v>
      </c>
      <c r="BH283" s="39" t="s">
        <v>152</v>
      </c>
      <c r="BI283" s="39" t="s">
        <v>125</v>
      </c>
      <c r="BJ283" s="39"/>
      <c r="BK283" s="39" t="s">
        <v>153</v>
      </c>
      <c r="BL283" s="39"/>
      <c r="BM283" s="39"/>
      <c r="BN283" s="39" t="s">
        <v>155</v>
      </c>
    </row>
    <row r="284" spans="1:66" hidden="1">
      <c r="A284" s="39">
        <v>282</v>
      </c>
      <c r="B284" s="39" t="s">
        <v>118</v>
      </c>
      <c r="C284" s="39" t="s">
        <v>119</v>
      </c>
      <c r="D284" s="39" t="s">
        <v>3115</v>
      </c>
      <c r="E284" s="39" t="s">
        <v>3116</v>
      </c>
      <c r="F284" s="39" t="s">
        <v>184</v>
      </c>
      <c r="G284" s="39" t="s">
        <v>3117</v>
      </c>
      <c r="H284" s="39" t="s">
        <v>3118</v>
      </c>
      <c r="I284" s="39" t="s">
        <v>125</v>
      </c>
      <c r="J284" s="39" t="s">
        <v>506</v>
      </c>
      <c r="K284" s="39" t="s">
        <v>21</v>
      </c>
      <c r="L284" s="39" t="s">
        <v>188</v>
      </c>
      <c r="M284" s="39" t="s">
        <v>189</v>
      </c>
      <c r="N284" s="39" t="s">
        <v>3119</v>
      </c>
      <c r="O284" s="39"/>
      <c r="P284" s="39"/>
      <c r="Q284" s="39" t="s">
        <v>3120</v>
      </c>
      <c r="R284" s="39" t="s">
        <v>21</v>
      </c>
      <c r="S284" s="39" t="s">
        <v>3121</v>
      </c>
      <c r="T284" s="39" t="s">
        <v>130</v>
      </c>
      <c r="U284" s="39" t="s">
        <v>3122</v>
      </c>
      <c r="V284" s="39" t="s">
        <v>132</v>
      </c>
      <c r="W284" s="39" t="s">
        <v>399</v>
      </c>
      <c r="X284" s="39" t="s">
        <v>187</v>
      </c>
      <c r="Y284" s="39" t="s">
        <v>400</v>
      </c>
      <c r="Z284" s="39" t="s">
        <v>196</v>
      </c>
      <c r="AA284" s="39" t="s">
        <v>197</v>
      </c>
      <c r="AB284" s="39" t="s">
        <v>3120</v>
      </c>
      <c r="AC284" s="39">
        <v>5355354</v>
      </c>
      <c r="AD284" s="39" t="s">
        <v>21</v>
      </c>
      <c r="AE284" s="39" t="s">
        <v>3123</v>
      </c>
      <c r="AF284" s="39" t="s">
        <v>21</v>
      </c>
      <c r="AG284" s="39" t="s">
        <v>3123</v>
      </c>
      <c r="AH284" s="39" t="s">
        <v>412</v>
      </c>
      <c r="AI284" s="39" t="s">
        <v>413</v>
      </c>
      <c r="AJ284" s="39" t="s">
        <v>140</v>
      </c>
      <c r="AK284" s="39" t="s">
        <v>125</v>
      </c>
      <c r="AL284" s="39">
        <v>3999</v>
      </c>
      <c r="AM284" s="39"/>
      <c r="AN284" s="39" t="s">
        <v>3119</v>
      </c>
      <c r="AO284" s="39" t="s">
        <v>142</v>
      </c>
      <c r="AP284" s="39" t="s">
        <v>143</v>
      </c>
      <c r="AQ284" s="39" t="s">
        <v>144</v>
      </c>
      <c r="AR284" s="39" t="s">
        <v>3124</v>
      </c>
      <c r="AS284" s="39" t="s">
        <v>3128</v>
      </c>
      <c r="AT284" s="39" t="s">
        <v>407</v>
      </c>
      <c r="AU284" s="39"/>
      <c r="AV284" s="39" t="s">
        <v>3126</v>
      </c>
      <c r="AW284" s="39"/>
      <c r="AX284" s="39"/>
      <c r="AY284" s="39"/>
      <c r="AZ284" s="39"/>
      <c r="BA284" s="39">
        <v>74461222</v>
      </c>
      <c r="BB284" s="39" t="s">
        <v>149</v>
      </c>
      <c r="BC284" s="39" t="s">
        <v>150</v>
      </c>
      <c r="BD284" s="39" t="s">
        <v>125</v>
      </c>
      <c r="BE284" s="39" t="s">
        <v>125</v>
      </c>
      <c r="BF284" s="39"/>
      <c r="BG284" s="39" t="s">
        <v>180</v>
      </c>
      <c r="BH284" s="39" t="s">
        <v>152</v>
      </c>
      <c r="BI284" s="39" t="s">
        <v>125</v>
      </c>
      <c r="BJ284" s="39"/>
      <c r="BK284" s="39" t="s">
        <v>153</v>
      </c>
      <c r="BL284" s="39"/>
      <c r="BM284" s="39"/>
      <c r="BN284" s="39" t="s">
        <v>155</v>
      </c>
    </row>
    <row r="285" spans="1:66" hidden="1">
      <c r="A285" s="39">
        <v>283</v>
      </c>
      <c r="B285" s="39" t="s">
        <v>118</v>
      </c>
      <c r="C285" s="39" t="s">
        <v>119</v>
      </c>
      <c r="D285" s="39" t="s">
        <v>120</v>
      </c>
      <c r="E285" s="39" t="s">
        <v>3129</v>
      </c>
      <c r="F285" s="39" t="s">
        <v>1359</v>
      </c>
      <c r="G285" s="39" t="s">
        <v>3130</v>
      </c>
      <c r="H285" s="39" t="s">
        <v>3131</v>
      </c>
      <c r="I285" s="39" t="s">
        <v>125</v>
      </c>
      <c r="J285" s="39" t="s">
        <v>355</v>
      </c>
      <c r="K285" s="39" t="s">
        <v>22</v>
      </c>
      <c r="L285" s="39" t="s">
        <v>188</v>
      </c>
      <c r="M285" s="39" t="s">
        <v>189</v>
      </c>
      <c r="N285" s="39" t="s">
        <v>3132</v>
      </c>
      <c r="O285" s="39"/>
      <c r="P285" s="39"/>
      <c r="Q285" s="39" t="s">
        <v>3133</v>
      </c>
      <c r="R285" s="39" t="s">
        <v>22</v>
      </c>
      <c r="S285" s="39" t="s">
        <v>3134</v>
      </c>
      <c r="T285" s="39" t="s">
        <v>130</v>
      </c>
      <c r="U285" s="39" t="s">
        <v>3135</v>
      </c>
      <c r="V285" s="39" t="s">
        <v>132</v>
      </c>
      <c r="W285" s="39" t="s">
        <v>133</v>
      </c>
      <c r="X285" s="39" t="s">
        <v>126</v>
      </c>
      <c r="Y285" s="39" t="s">
        <v>629</v>
      </c>
      <c r="Z285" s="39" t="s">
        <v>2679</v>
      </c>
      <c r="AA285" s="39" t="s">
        <v>451</v>
      </c>
      <c r="AB285" s="39" t="s">
        <v>3133</v>
      </c>
      <c r="AC285" s="39">
        <v>5354766</v>
      </c>
      <c r="AD285" s="39" t="s">
        <v>22</v>
      </c>
      <c r="AE285" s="39" t="s">
        <v>3136</v>
      </c>
      <c r="AF285" s="39" t="s">
        <v>22</v>
      </c>
      <c r="AG285" s="39" t="s">
        <v>3137</v>
      </c>
      <c r="AH285" s="39" t="s">
        <v>138</v>
      </c>
      <c r="AI285" s="39" t="s">
        <v>139</v>
      </c>
      <c r="AJ285" s="39" t="s">
        <v>140</v>
      </c>
      <c r="AK285" s="39" t="s">
        <v>125</v>
      </c>
      <c r="AL285" s="39">
        <v>5680</v>
      </c>
      <c r="AM285" s="39"/>
      <c r="AN285" s="39" t="s">
        <v>3132</v>
      </c>
      <c r="AO285" s="39" t="s">
        <v>142</v>
      </c>
      <c r="AP285" s="39" t="s">
        <v>143</v>
      </c>
      <c r="AQ285" s="39" t="s">
        <v>144</v>
      </c>
      <c r="AR285" s="39" t="s">
        <v>3138</v>
      </c>
      <c r="AS285" s="39" t="s">
        <v>3139</v>
      </c>
      <c r="AT285" s="39" t="s">
        <v>407</v>
      </c>
      <c r="AU285" s="39"/>
      <c r="AV285" s="39" t="s">
        <v>3140</v>
      </c>
      <c r="AW285" s="39"/>
      <c r="AX285" s="39"/>
      <c r="AY285" s="39"/>
      <c r="AZ285" s="39"/>
      <c r="BA285" s="39">
        <v>67635428</v>
      </c>
      <c r="BB285" s="39" t="s">
        <v>149</v>
      </c>
      <c r="BC285" s="39" t="s">
        <v>150</v>
      </c>
      <c r="BD285" s="39" t="s">
        <v>125</v>
      </c>
      <c r="BE285" s="39" t="s">
        <v>125</v>
      </c>
      <c r="BF285" s="39"/>
      <c r="BG285" s="39" t="s">
        <v>637</v>
      </c>
      <c r="BH285" s="39" t="s">
        <v>152</v>
      </c>
      <c r="BI285" s="39" t="s">
        <v>125</v>
      </c>
      <c r="BJ285" s="39"/>
      <c r="BK285" s="39" t="s">
        <v>153</v>
      </c>
      <c r="BL285" s="39"/>
      <c r="BM285" s="39" t="s">
        <v>154</v>
      </c>
      <c r="BN285" s="39" t="s">
        <v>155</v>
      </c>
    </row>
    <row r="286" spans="1:66" hidden="1">
      <c r="A286" s="39">
        <v>284</v>
      </c>
      <c r="B286" s="39" t="s">
        <v>118</v>
      </c>
      <c r="C286" s="39" t="s">
        <v>119</v>
      </c>
      <c r="D286" s="39" t="s">
        <v>156</v>
      </c>
      <c r="E286" s="39" t="s">
        <v>3141</v>
      </c>
      <c r="F286" s="39" t="s">
        <v>283</v>
      </c>
      <c r="G286" s="39" t="s">
        <v>3142</v>
      </c>
      <c r="H286" s="39" t="s">
        <v>3143</v>
      </c>
      <c r="I286" s="39" t="s">
        <v>125</v>
      </c>
      <c r="J286" s="39" t="s">
        <v>126</v>
      </c>
      <c r="K286" s="39" t="s">
        <v>283</v>
      </c>
      <c r="L286" s="39" t="s">
        <v>305</v>
      </c>
      <c r="M286" s="39" t="s">
        <v>306</v>
      </c>
      <c r="N286" s="39" t="s">
        <v>125</v>
      </c>
      <c r="O286" s="39" t="s">
        <v>283</v>
      </c>
      <c r="P286" s="39" t="s">
        <v>3144</v>
      </c>
      <c r="Q286" s="39" t="s">
        <v>3145</v>
      </c>
      <c r="R286" s="39" t="s">
        <v>28</v>
      </c>
      <c r="S286" s="39" t="s">
        <v>3146</v>
      </c>
      <c r="T286" s="39" t="s">
        <v>130</v>
      </c>
      <c r="U286" s="39" t="s">
        <v>3147</v>
      </c>
      <c r="V286" s="39" t="s">
        <v>132</v>
      </c>
      <c r="W286" s="39" t="s">
        <v>586</v>
      </c>
      <c r="X286" s="39" t="s">
        <v>126</v>
      </c>
      <c r="Y286" s="39" t="s">
        <v>3148</v>
      </c>
      <c r="Z286" s="39" t="s">
        <v>3149</v>
      </c>
      <c r="AA286" s="39" t="s">
        <v>1951</v>
      </c>
      <c r="AB286" s="39" t="s">
        <v>3145</v>
      </c>
      <c r="AC286" s="39">
        <v>5397938</v>
      </c>
      <c r="AD286" s="39" t="s">
        <v>28</v>
      </c>
      <c r="AE286" s="39" t="s">
        <v>3150</v>
      </c>
      <c r="AF286" s="39" t="s">
        <v>28</v>
      </c>
      <c r="AG286" s="39" t="s">
        <v>3151</v>
      </c>
      <c r="AH286" s="39" t="s">
        <v>3152</v>
      </c>
      <c r="AI286" s="39" t="s">
        <v>591</v>
      </c>
      <c r="AJ286" s="39" t="s">
        <v>140</v>
      </c>
      <c r="AK286" s="39" t="s">
        <v>125</v>
      </c>
      <c r="AL286" s="39">
        <v>1800</v>
      </c>
      <c r="AM286" s="39"/>
      <c r="AN286" s="39" t="s">
        <v>125</v>
      </c>
      <c r="AO286" s="39" t="s">
        <v>142</v>
      </c>
      <c r="AP286" s="39" t="s">
        <v>143</v>
      </c>
      <c r="AQ286" s="39"/>
      <c r="AR286" s="39" t="s">
        <v>3153</v>
      </c>
      <c r="AS286" s="39"/>
      <c r="AT286" s="39" t="s">
        <v>3154</v>
      </c>
      <c r="AU286" s="39"/>
      <c r="AV286" s="39" t="s">
        <v>3155</v>
      </c>
      <c r="AW286" s="39"/>
      <c r="AX286" s="39"/>
      <c r="AY286" s="39"/>
      <c r="AZ286" s="39"/>
      <c r="BA286" s="39">
        <v>79510471</v>
      </c>
      <c r="BB286" s="39" t="s">
        <v>149</v>
      </c>
      <c r="BC286" s="39" t="s">
        <v>458</v>
      </c>
      <c r="BD286" s="39" t="s">
        <v>586</v>
      </c>
      <c r="BE286" s="39" t="s">
        <v>594</v>
      </c>
      <c r="BF286" s="39"/>
      <c r="BG286" s="39" t="s">
        <v>298</v>
      </c>
      <c r="BH286" s="39" t="s">
        <v>152</v>
      </c>
      <c r="BI286" s="39" t="s">
        <v>125</v>
      </c>
      <c r="BJ286" s="39"/>
      <c r="BK286" s="39"/>
      <c r="BL286" s="39"/>
      <c r="BM286" s="39" t="s">
        <v>154</v>
      </c>
      <c r="BN286" s="39" t="s">
        <v>155</v>
      </c>
    </row>
    <row r="287" spans="1:66" hidden="1">
      <c r="A287" s="39">
        <v>285</v>
      </c>
      <c r="B287" s="39" t="s">
        <v>118</v>
      </c>
      <c r="C287" s="39" t="s">
        <v>119</v>
      </c>
      <c r="D287" s="39" t="s">
        <v>3156</v>
      </c>
      <c r="E287" s="39" t="s">
        <v>3157</v>
      </c>
      <c r="F287" s="39" t="s">
        <v>258</v>
      </c>
      <c r="G287" s="39" t="s">
        <v>3158</v>
      </c>
      <c r="H287" s="39" t="s">
        <v>3159</v>
      </c>
      <c r="I287" s="39" t="s">
        <v>261</v>
      </c>
      <c r="J287" s="39"/>
      <c r="K287" s="39" t="s">
        <v>525</v>
      </c>
      <c r="L287" s="39" t="s">
        <v>263</v>
      </c>
      <c r="M287" s="39" t="s">
        <v>264</v>
      </c>
      <c r="N287" s="39" t="s">
        <v>125</v>
      </c>
      <c r="O287" s="39" t="s">
        <v>525</v>
      </c>
      <c r="P287" s="39" t="s">
        <v>3160</v>
      </c>
      <c r="Q287" s="39" t="s">
        <v>3161</v>
      </c>
      <c r="R287" s="39" t="s">
        <v>16</v>
      </c>
      <c r="S287" s="39" t="s">
        <v>3162</v>
      </c>
      <c r="T287" s="39" t="s">
        <v>130</v>
      </c>
      <c r="U287" s="39" t="s">
        <v>3163</v>
      </c>
      <c r="V287" s="39" t="s">
        <v>132</v>
      </c>
      <c r="W287" s="39" t="s">
        <v>133</v>
      </c>
      <c r="X287" s="39" t="s">
        <v>355</v>
      </c>
      <c r="Y287" s="39" t="s">
        <v>3164</v>
      </c>
      <c r="Z287" s="39" t="s">
        <v>3165</v>
      </c>
      <c r="AA287" s="39" t="s">
        <v>3166</v>
      </c>
      <c r="AB287" s="39" t="s">
        <v>3161</v>
      </c>
      <c r="AC287" s="39">
        <v>5382309</v>
      </c>
      <c r="AD287" s="39" t="s">
        <v>16</v>
      </c>
      <c r="AE287" s="39" t="s">
        <v>3167</v>
      </c>
      <c r="AF287" s="39" t="s">
        <v>16</v>
      </c>
      <c r="AG287" s="39" t="s">
        <v>3167</v>
      </c>
      <c r="AH287" s="39" t="s">
        <v>1922</v>
      </c>
      <c r="AI287" s="39" t="s">
        <v>139</v>
      </c>
      <c r="AJ287" s="39" t="s">
        <v>140</v>
      </c>
      <c r="AK287" s="39" t="s">
        <v>125</v>
      </c>
      <c r="AL287" s="39" t="s">
        <v>3168</v>
      </c>
      <c r="AM287" s="39"/>
      <c r="AN287" s="39" t="s">
        <v>125</v>
      </c>
      <c r="AO287" s="39" t="s">
        <v>142</v>
      </c>
      <c r="AP287" s="39" t="s">
        <v>143</v>
      </c>
      <c r="AQ287" s="39" t="s">
        <v>144</v>
      </c>
      <c r="AR287" s="39" t="s">
        <v>3169</v>
      </c>
      <c r="AS287" s="39" t="s">
        <v>3170</v>
      </c>
      <c r="AT287" s="39" t="s">
        <v>3154</v>
      </c>
      <c r="AU287" s="39"/>
      <c r="AV287" s="39" t="s">
        <v>3171</v>
      </c>
      <c r="AW287" s="39"/>
      <c r="AX287" s="39"/>
      <c r="AY287" s="39"/>
      <c r="AZ287" s="39"/>
      <c r="BA287" s="39">
        <v>74085998</v>
      </c>
      <c r="BB287" s="39" t="s">
        <v>149</v>
      </c>
      <c r="BC287" s="39" t="s">
        <v>150</v>
      </c>
      <c r="BD287" s="39" t="s">
        <v>139</v>
      </c>
      <c r="BE287" s="39" t="s">
        <v>125</v>
      </c>
      <c r="BF287" s="39"/>
      <c r="BG287" s="39" t="s">
        <v>637</v>
      </c>
      <c r="BH287" s="39" t="s">
        <v>152</v>
      </c>
      <c r="BI287" s="39" t="s">
        <v>125</v>
      </c>
      <c r="BJ287" s="39"/>
      <c r="BK287" s="39" t="s">
        <v>153</v>
      </c>
      <c r="BL287" s="39"/>
      <c r="BM287" s="39" t="s">
        <v>154</v>
      </c>
      <c r="BN287" s="39" t="s">
        <v>276</v>
      </c>
    </row>
    <row r="288" spans="1:66" hidden="1">
      <c r="A288" s="39">
        <v>286</v>
      </c>
      <c r="B288" s="39" t="s">
        <v>118</v>
      </c>
      <c r="C288" s="39" t="s">
        <v>119</v>
      </c>
      <c r="D288" s="39" t="s">
        <v>3172</v>
      </c>
      <c r="E288" s="39" t="s">
        <v>3173</v>
      </c>
      <c r="F288" s="39" t="s">
        <v>208</v>
      </c>
      <c r="G288" s="39" t="s">
        <v>3174</v>
      </c>
      <c r="H288" s="39" t="s">
        <v>3175</v>
      </c>
      <c r="I288" s="39" t="s">
        <v>245</v>
      </c>
      <c r="J288" s="39" t="s">
        <v>355</v>
      </c>
      <c r="K288" s="39" t="s">
        <v>16</v>
      </c>
      <c r="L288" s="39" t="s">
        <v>211</v>
      </c>
      <c r="M288" s="39" t="s">
        <v>212</v>
      </c>
      <c r="N288" s="39" t="s">
        <v>125</v>
      </c>
      <c r="O288" s="39"/>
      <c r="P288" s="39"/>
      <c r="Q288" s="39" t="s">
        <v>3176</v>
      </c>
      <c r="R288" s="39" t="s">
        <v>16</v>
      </c>
      <c r="S288" s="39" t="s">
        <v>3177</v>
      </c>
      <c r="T288" s="39" t="s">
        <v>130</v>
      </c>
      <c r="U288" s="39" t="s">
        <v>3178</v>
      </c>
      <c r="V288" s="39" t="s">
        <v>132</v>
      </c>
      <c r="W288" s="39" t="s">
        <v>168</v>
      </c>
      <c r="X288" s="39" t="s">
        <v>355</v>
      </c>
      <c r="Y288" s="39" t="s">
        <v>1676</v>
      </c>
      <c r="Z288" s="39" t="s">
        <v>2204</v>
      </c>
      <c r="AA288" s="39" t="s">
        <v>1369</v>
      </c>
      <c r="AB288" s="39" t="s">
        <v>3176</v>
      </c>
      <c r="AC288" s="39">
        <v>5353462</v>
      </c>
      <c r="AD288" s="39" t="s">
        <v>16</v>
      </c>
      <c r="AE288" s="39" t="s">
        <v>3179</v>
      </c>
      <c r="AF288" s="39" t="s">
        <v>16</v>
      </c>
      <c r="AG288" s="39" t="s">
        <v>3180</v>
      </c>
      <c r="AH288" s="39" t="s">
        <v>3181</v>
      </c>
      <c r="AI288" s="39" t="s">
        <v>330</v>
      </c>
      <c r="AJ288" s="39" t="s">
        <v>140</v>
      </c>
      <c r="AK288" s="39" t="s">
        <v>125</v>
      </c>
      <c r="AL288" s="39" t="s">
        <v>3182</v>
      </c>
      <c r="AM288" s="39"/>
      <c r="AN288" s="39" t="s">
        <v>125</v>
      </c>
      <c r="AO288" s="39" t="s">
        <v>142</v>
      </c>
      <c r="AP288" s="39" t="s">
        <v>143</v>
      </c>
      <c r="AQ288" s="39"/>
      <c r="AR288" s="39" t="s">
        <v>3183</v>
      </c>
      <c r="AS288" s="39"/>
      <c r="AT288" s="39" t="s">
        <v>3154</v>
      </c>
      <c r="AU288" s="39"/>
      <c r="AV288" s="39" t="s">
        <v>3184</v>
      </c>
      <c r="AW288" s="39"/>
      <c r="AX288" s="39"/>
      <c r="AY288" s="39"/>
      <c r="AZ288" s="39"/>
      <c r="BA288" s="39">
        <v>79583025</v>
      </c>
      <c r="BB288" s="39" t="s">
        <v>149</v>
      </c>
      <c r="BC288" s="39" t="s">
        <v>458</v>
      </c>
      <c r="BD288" s="39" t="s">
        <v>459</v>
      </c>
      <c r="BE288" s="39" t="s">
        <v>125</v>
      </c>
      <c r="BF288" s="39"/>
      <c r="BG288" s="39" t="s">
        <v>298</v>
      </c>
      <c r="BH288" s="39" t="s">
        <v>152</v>
      </c>
      <c r="BI288" s="39" t="s">
        <v>125</v>
      </c>
      <c r="BJ288" s="39"/>
      <c r="BK288" s="39"/>
      <c r="BL288" s="39"/>
      <c r="BM288" s="39" t="s">
        <v>154</v>
      </c>
      <c r="BN288" s="39" t="s">
        <v>212</v>
      </c>
    </row>
    <row r="289" spans="1:66" hidden="1">
      <c r="A289" s="39">
        <v>287</v>
      </c>
      <c r="B289" s="39" t="s">
        <v>118</v>
      </c>
      <c r="C289" s="39" t="s">
        <v>119</v>
      </c>
      <c r="D289" s="39" t="s">
        <v>3185</v>
      </c>
      <c r="E289" s="39" t="s">
        <v>3186</v>
      </c>
      <c r="F289" s="39" t="s">
        <v>208</v>
      </c>
      <c r="G289" s="39" t="s">
        <v>3187</v>
      </c>
      <c r="H289" s="39" t="s">
        <v>3188</v>
      </c>
      <c r="I289" s="39" t="s">
        <v>125</v>
      </c>
      <c r="J289" s="39" t="s">
        <v>355</v>
      </c>
      <c r="K289" s="39" t="s">
        <v>16</v>
      </c>
      <c r="L289" s="39" t="s">
        <v>211</v>
      </c>
      <c r="M289" s="39" t="s">
        <v>212</v>
      </c>
      <c r="N289" s="39" t="s">
        <v>125</v>
      </c>
      <c r="O289" s="39"/>
      <c r="P289" s="39"/>
      <c r="Q289" s="39" t="s">
        <v>3189</v>
      </c>
      <c r="R289" s="39" t="s">
        <v>16</v>
      </c>
      <c r="S289" s="39" t="s">
        <v>3190</v>
      </c>
      <c r="T289" s="39" t="s">
        <v>130</v>
      </c>
      <c r="U289" s="39" t="s">
        <v>3191</v>
      </c>
      <c r="V289" s="39" t="s">
        <v>132</v>
      </c>
      <c r="W289" s="39" t="s">
        <v>133</v>
      </c>
      <c r="X289" s="39" t="s">
        <v>355</v>
      </c>
      <c r="Y289" s="39" t="s">
        <v>492</v>
      </c>
      <c r="Z289" s="39" t="s">
        <v>573</v>
      </c>
      <c r="AA289" s="39" t="s">
        <v>1875</v>
      </c>
      <c r="AB289" s="39" t="s">
        <v>3189</v>
      </c>
      <c r="AC289" s="39">
        <v>5353090</v>
      </c>
      <c r="AD289" s="39" t="s">
        <v>16</v>
      </c>
      <c r="AE289" s="39" t="s">
        <v>3192</v>
      </c>
      <c r="AF289" s="39" t="s">
        <v>16</v>
      </c>
      <c r="AG289" s="39" t="s">
        <v>3193</v>
      </c>
      <c r="AH289" s="39" t="s">
        <v>3194</v>
      </c>
      <c r="AI289" s="39" t="s">
        <v>658</v>
      </c>
      <c r="AJ289" s="39" t="s">
        <v>140</v>
      </c>
      <c r="AK289" s="39" t="s">
        <v>125</v>
      </c>
      <c r="AL289" s="39" t="s">
        <v>3195</v>
      </c>
      <c r="AM289" s="39"/>
      <c r="AN289" s="39" t="s">
        <v>125</v>
      </c>
      <c r="AO289" s="39" t="s">
        <v>142</v>
      </c>
      <c r="AP289" s="39" t="s">
        <v>143</v>
      </c>
      <c r="AQ289" s="39"/>
      <c r="AR289" s="39" t="s">
        <v>3196</v>
      </c>
      <c r="AS289" s="39"/>
      <c r="AT289" s="39" t="s">
        <v>3154</v>
      </c>
      <c r="AU289" s="39"/>
      <c r="AV289" s="39" t="s">
        <v>3197</v>
      </c>
      <c r="AW289" s="39"/>
      <c r="AX289" s="39"/>
      <c r="AY289" s="39"/>
      <c r="AZ289" s="39"/>
      <c r="BA289" s="39">
        <v>79543252</v>
      </c>
      <c r="BB289" s="39" t="s">
        <v>149</v>
      </c>
      <c r="BC289" s="39" t="s">
        <v>458</v>
      </c>
      <c r="BD289" s="39" t="s">
        <v>661</v>
      </c>
      <c r="BE289" s="39" t="s">
        <v>125</v>
      </c>
      <c r="BF289" s="39"/>
      <c r="BG289" s="39" t="s">
        <v>298</v>
      </c>
      <c r="BH289" s="39" t="s">
        <v>152</v>
      </c>
      <c r="BI289" s="39" t="s">
        <v>125</v>
      </c>
      <c r="BJ289" s="39"/>
      <c r="BK289" s="39"/>
      <c r="BL289" s="39"/>
      <c r="BM289" s="39" t="s">
        <v>154</v>
      </c>
      <c r="BN289" s="39" t="s">
        <v>181</v>
      </c>
    </row>
    <row r="290" spans="1:66" hidden="1">
      <c r="A290" s="39">
        <v>288</v>
      </c>
      <c r="B290" s="39" t="s">
        <v>118</v>
      </c>
      <c r="C290" s="39" t="s">
        <v>119</v>
      </c>
      <c r="D290" s="39" t="s">
        <v>3198</v>
      </c>
      <c r="E290" s="39" t="s">
        <v>3199</v>
      </c>
      <c r="F290" s="39" t="s">
        <v>258</v>
      </c>
      <c r="G290" s="39" t="s">
        <v>3200</v>
      </c>
      <c r="H290" s="39" t="s">
        <v>3201</v>
      </c>
      <c r="I290" s="39" t="s">
        <v>1527</v>
      </c>
      <c r="J290" s="39"/>
      <c r="K290" s="39" t="s">
        <v>525</v>
      </c>
      <c r="L290" s="39" t="s">
        <v>263</v>
      </c>
      <c r="M290" s="39" t="s">
        <v>1528</v>
      </c>
      <c r="N290" s="39" t="s">
        <v>125</v>
      </c>
      <c r="O290" s="39" t="s">
        <v>525</v>
      </c>
      <c r="P290" s="39" t="s">
        <v>3202</v>
      </c>
      <c r="Q290" s="39" t="s">
        <v>3203</v>
      </c>
      <c r="R290" s="39" t="s">
        <v>26</v>
      </c>
      <c r="S290" s="39" t="s">
        <v>3204</v>
      </c>
      <c r="T290" s="39" t="s">
        <v>130</v>
      </c>
      <c r="U290" s="39" t="s">
        <v>3205</v>
      </c>
      <c r="V290" s="39" t="s">
        <v>132</v>
      </c>
      <c r="W290" s="39" t="s">
        <v>168</v>
      </c>
      <c r="X290" s="39" t="s">
        <v>187</v>
      </c>
      <c r="Y290" s="39" t="s">
        <v>288</v>
      </c>
      <c r="Z290" s="39" t="s">
        <v>196</v>
      </c>
      <c r="AA290" s="39" t="s">
        <v>197</v>
      </c>
      <c r="AB290" s="39" t="s">
        <v>3203</v>
      </c>
      <c r="AC290" s="39">
        <v>5352906</v>
      </c>
      <c r="AD290" s="39" t="s">
        <v>26</v>
      </c>
      <c r="AE290" s="39" t="s">
        <v>3206</v>
      </c>
      <c r="AF290" s="39" t="s">
        <v>26</v>
      </c>
      <c r="AG290" s="39" t="s">
        <v>3207</v>
      </c>
      <c r="AH290" s="39" t="s">
        <v>200</v>
      </c>
      <c r="AI290" s="39" t="s">
        <v>201</v>
      </c>
      <c r="AJ290" s="39" t="s">
        <v>140</v>
      </c>
      <c r="AK290" s="39" t="s">
        <v>125</v>
      </c>
      <c r="AL290" s="39" t="s">
        <v>3208</v>
      </c>
      <c r="AM290" s="39"/>
      <c r="AN290" s="39" t="s">
        <v>125</v>
      </c>
      <c r="AO290" s="39" t="s">
        <v>142</v>
      </c>
      <c r="AP290" s="39" t="s">
        <v>143</v>
      </c>
      <c r="AQ290" s="39" t="s">
        <v>175</v>
      </c>
      <c r="AR290" s="39" t="s">
        <v>3209</v>
      </c>
      <c r="AS290" s="39" t="s">
        <v>3210</v>
      </c>
      <c r="AT290" s="39" t="s">
        <v>3211</v>
      </c>
      <c r="AU290" s="39"/>
      <c r="AV290" s="39" t="s">
        <v>3212</v>
      </c>
      <c r="AW290" s="39"/>
      <c r="AX290" s="39"/>
      <c r="AY290" s="39"/>
      <c r="AZ290" s="39"/>
      <c r="BA290" s="39">
        <v>79388878</v>
      </c>
      <c r="BB290" s="39" t="s">
        <v>149</v>
      </c>
      <c r="BC290" s="39" t="s">
        <v>150</v>
      </c>
      <c r="BD290" s="39" t="s">
        <v>539</v>
      </c>
      <c r="BE290" s="39" t="s">
        <v>125</v>
      </c>
      <c r="BF290" s="39"/>
      <c r="BG290" s="39" t="s">
        <v>180</v>
      </c>
      <c r="BH290" s="39" t="s">
        <v>152</v>
      </c>
      <c r="BI290" s="39" t="s">
        <v>3213</v>
      </c>
      <c r="BJ290" s="39"/>
      <c r="BK290" s="39" t="s">
        <v>153</v>
      </c>
      <c r="BL290" s="39"/>
      <c r="BM290" s="39"/>
      <c r="BN290" s="39" t="s">
        <v>915</v>
      </c>
    </row>
    <row r="291" spans="1:66" hidden="1">
      <c r="A291" s="39">
        <v>289</v>
      </c>
      <c r="B291" s="39" t="s">
        <v>118</v>
      </c>
      <c r="C291" s="39" t="s">
        <v>119</v>
      </c>
      <c r="D291" s="39" t="s">
        <v>3214</v>
      </c>
      <c r="E291" s="39" t="s">
        <v>3215</v>
      </c>
      <c r="F291" s="39" t="s">
        <v>1669</v>
      </c>
      <c r="G291" s="39" t="s">
        <v>3216</v>
      </c>
      <c r="H291" s="39" t="s">
        <v>3217</v>
      </c>
      <c r="I291" s="39"/>
      <c r="J291" s="39" t="s">
        <v>126</v>
      </c>
      <c r="K291" s="39" t="s">
        <v>16</v>
      </c>
      <c r="L291" s="39" t="s">
        <v>188</v>
      </c>
      <c r="M291" s="39" t="s">
        <v>356</v>
      </c>
      <c r="N291" s="39" t="s">
        <v>1672</v>
      </c>
      <c r="O291" s="39"/>
      <c r="P291" s="39"/>
      <c r="Q291" s="39" t="s">
        <v>3214</v>
      </c>
      <c r="R291" s="39" t="s">
        <v>16</v>
      </c>
      <c r="S291" s="39" t="s">
        <v>3218</v>
      </c>
      <c r="T291" s="39" t="s">
        <v>359</v>
      </c>
      <c r="U291" s="39" t="s">
        <v>3219</v>
      </c>
      <c r="V291" s="39" t="s">
        <v>132</v>
      </c>
      <c r="W291" s="39" t="s">
        <v>133</v>
      </c>
      <c r="X291" s="39" t="s">
        <v>126</v>
      </c>
      <c r="Y291" s="39" t="s">
        <v>2340</v>
      </c>
      <c r="Z291" s="39" t="s">
        <v>2931</v>
      </c>
      <c r="AA291" s="39" t="s">
        <v>2932</v>
      </c>
      <c r="AB291" s="39" t="s">
        <v>3214</v>
      </c>
      <c r="AC291" s="39">
        <v>5277500</v>
      </c>
      <c r="AD291" s="39" t="s">
        <v>16</v>
      </c>
      <c r="AE291" s="39" t="s">
        <v>3220</v>
      </c>
      <c r="AF291" s="39" t="s">
        <v>16</v>
      </c>
      <c r="AG291" s="39" t="s">
        <v>3221</v>
      </c>
      <c r="AH291" s="39" t="s">
        <v>1922</v>
      </c>
      <c r="AI291" s="39" t="s">
        <v>139</v>
      </c>
      <c r="AJ291" s="39" t="s">
        <v>140</v>
      </c>
      <c r="AK291" s="39" t="s">
        <v>125</v>
      </c>
      <c r="AL291" s="39" t="s">
        <v>3168</v>
      </c>
      <c r="AM291" s="39" t="s">
        <v>2604</v>
      </c>
      <c r="AN291" s="39" t="s">
        <v>1669</v>
      </c>
      <c r="AO291" s="39" t="s">
        <v>367</v>
      </c>
      <c r="AP291" s="39" t="s">
        <v>143</v>
      </c>
      <c r="AQ291" s="39" t="s">
        <v>144</v>
      </c>
      <c r="AR291" s="39" t="s">
        <v>3222</v>
      </c>
      <c r="AS291" s="39" t="s">
        <v>3223</v>
      </c>
      <c r="AT291" s="39" t="s">
        <v>3211</v>
      </c>
      <c r="AU291" s="39"/>
      <c r="AV291" s="39" t="s">
        <v>3224</v>
      </c>
      <c r="AW291" s="39"/>
      <c r="AX291" s="39"/>
      <c r="AY291" s="39"/>
      <c r="AZ291" s="39"/>
      <c r="BA291" s="39">
        <v>56265392</v>
      </c>
      <c r="BB291" s="39" t="s">
        <v>149</v>
      </c>
      <c r="BC291" s="39" t="s">
        <v>150</v>
      </c>
      <c r="BD291" s="39" t="s">
        <v>139</v>
      </c>
      <c r="BE291" s="39" t="s">
        <v>125</v>
      </c>
      <c r="BF291" s="39"/>
      <c r="BG291" s="39" t="s">
        <v>298</v>
      </c>
      <c r="BH291" s="39" t="s">
        <v>152</v>
      </c>
      <c r="BI291" s="39" t="s">
        <v>125</v>
      </c>
      <c r="BJ291" s="39"/>
      <c r="BK291" s="39" t="s">
        <v>153</v>
      </c>
      <c r="BL291" s="39"/>
      <c r="BM291" s="39" t="s">
        <v>460</v>
      </c>
      <c r="BN291" s="39" t="s">
        <v>356</v>
      </c>
    </row>
    <row r="292" spans="1:66" hidden="1">
      <c r="A292" s="39">
        <v>290</v>
      </c>
      <c r="B292" s="39" t="s">
        <v>118</v>
      </c>
      <c r="C292" s="39" t="s">
        <v>119</v>
      </c>
      <c r="D292" s="39" t="s">
        <v>3225</v>
      </c>
      <c r="E292" s="39" t="s">
        <v>3226</v>
      </c>
      <c r="F292" s="39" t="s">
        <v>352</v>
      </c>
      <c r="G292" s="39" t="s">
        <v>3227</v>
      </c>
      <c r="H292" s="39" t="s">
        <v>3228</v>
      </c>
      <c r="I292" s="39"/>
      <c r="J292" s="39" t="s">
        <v>418</v>
      </c>
      <c r="K292" s="39" t="s">
        <v>26</v>
      </c>
      <c r="L292" s="39" t="s">
        <v>188</v>
      </c>
      <c r="M292" s="39" t="s">
        <v>356</v>
      </c>
      <c r="N292" s="39" t="s">
        <v>357</v>
      </c>
      <c r="O292" s="39"/>
      <c r="P292" s="39"/>
      <c r="Q292" s="39" t="s">
        <v>3225</v>
      </c>
      <c r="R292" s="39" t="s">
        <v>26</v>
      </c>
      <c r="S292" s="39" t="s">
        <v>3229</v>
      </c>
      <c r="T292" s="39" t="s">
        <v>359</v>
      </c>
      <c r="U292" s="39" t="s">
        <v>3230</v>
      </c>
      <c r="V292" s="39" t="s">
        <v>132</v>
      </c>
      <c r="W292" s="39" t="s">
        <v>3231</v>
      </c>
      <c r="X292" s="39" t="s">
        <v>418</v>
      </c>
      <c r="Y292" s="39" t="s">
        <v>2705</v>
      </c>
      <c r="Z292" s="39" t="s">
        <v>646</v>
      </c>
      <c r="AA292" s="39" t="s">
        <v>3232</v>
      </c>
      <c r="AB292" s="39" t="s">
        <v>3225</v>
      </c>
      <c r="AC292" s="39">
        <v>5380440</v>
      </c>
      <c r="AD292" s="39" t="s">
        <v>26</v>
      </c>
      <c r="AE292" s="39" t="s">
        <v>3233</v>
      </c>
      <c r="AF292" s="39" t="s">
        <v>26</v>
      </c>
      <c r="AG292" s="39" t="s">
        <v>3234</v>
      </c>
      <c r="AH292" s="39" t="s">
        <v>3235</v>
      </c>
      <c r="AI292" s="39" t="s">
        <v>330</v>
      </c>
      <c r="AJ292" s="39" t="s">
        <v>140</v>
      </c>
      <c r="AK292" s="39" t="s">
        <v>125</v>
      </c>
      <c r="AL292" s="39" t="s">
        <v>3182</v>
      </c>
      <c r="AM292" s="39"/>
      <c r="AN292" s="39" t="s">
        <v>352</v>
      </c>
      <c r="AO292" s="39" t="s">
        <v>367</v>
      </c>
      <c r="AP292" s="39" t="s">
        <v>143</v>
      </c>
      <c r="AQ292" s="39"/>
      <c r="AR292" s="39" t="s">
        <v>3236</v>
      </c>
      <c r="AS292" s="39"/>
      <c r="AT292" s="39" t="s">
        <v>433</v>
      </c>
      <c r="AU292" s="39"/>
      <c r="AV292" s="39" t="s">
        <v>3237</v>
      </c>
      <c r="AW292" s="39"/>
      <c r="AX292" s="39"/>
      <c r="AY292" s="39"/>
      <c r="AZ292" s="39"/>
      <c r="BA292" s="39">
        <v>53613598</v>
      </c>
      <c r="BB292" s="39" t="s">
        <v>149</v>
      </c>
      <c r="BC292" s="39" t="s">
        <v>150</v>
      </c>
      <c r="BD292" s="39" t="s">
        <v>459</v>
      </c>
      <c r="BE292" s="39" t="s">
        <v>125</v>
      </c>
      <c r="BF292" s="39" t="s">
        <v>935</v>
      </c>
      <c r="BG292" s="39" t="s">
        <v>298</v>
      </c>
      <c r="BH292" s="39" t="s">
        <v>152</v>
      </c>
      <c r="BI292" s="39" t="s">
        <v>125</v>
      </c>
      <c r="BJ292" s="39"/>
      <c r="BK292" s="39"/>
      <c r="BL292" s="39"/>
      <c r="BM292" s="39" t="s">
        <v>460</v>
      </c>
      <c r="BN292" s="39" t="s">
        <v>356</v>
      </c>
    </row>
    <row r="293" spans="1:66" hidden="1">
      <c r="A293" s="39">
        <v>291</v>
      </c>
      <c r="B293" s="39" t="s">
        <v>118</v>
      </c>
      <c r="C293" s="39" t="s">
        <v>119</v>
      </c>
      <c r="D293" s="39" t="s">
        <v>3238</v>
      </c>
      <c r="E293" s="39" t="s">
        <v>3239</v>
      </c>
      <c r="F293" s="39" t="s">
        <v>3240</v>
      </c>
      <c r="G293" s="39" t="s">
        <v>3241</v>
      </c>
      <c r="H293" s="39" t="s">
        <v>3242</v>
      </c>
      <c r="I293" s="39" t="s">
        <v>830</v>
      </c>
      <c r="J293" s="39"/>
      <c r="K293" s="39" t="s">
        <v>27</v>
      </c>
      <c r="L293" s="39" t="s">
        <v>466</v>
      </c>
      <c r="M293" s="39" t="s">
        <v>467</v>
      </c>
      <c r="N293" s="39" t="s">
        <v>125</v>
      </c>
      <c r="O293" s="39"/>
      <c r="P293" s="39"/>
      <c r="Q293" s="39" t="s">
        <v>3243</v>
      </c>
      <c r="R293" s="39" t="s">
        <v>27</v>
      </c>
      <c r="S293" s="39" t="s">
        <v>3244</v>
      </c>
      <c r="T293" s="39" t="s">
        <v>130</v>
      </c>
      <c r="U293" s="39" t="s">
        <v>3245</v>
      </c>
      <c r="V293" s="39" t="s">
        <v>167</v>
      </c>
      <c r="W293" s="39" t="s">
        <v>133</v>
      </c>
      <c r="X293" s="39" t="s">
        <v>126</v>
      </c>
      <c r="Y293" s="39" t="s">
        <v>1778</v>
      </c>
      <c r="Z293" s="39" t="s">
        <v>2379</v>
      </c>
      <c r="AA293" s="39" t="s">
        <v>3246</v>
      </c>
      <c r="AB293" s="39" t="s">
        <v>3243</v>
      </c>
      <c r="AC293" s="39">
        <v>5380321</v>
      </c>
      <c r="AD293" s="39" t="s">
        <v>27</v>
      </c>
      <c r="AE293" s="39" t="s">
        <v>3247</v>
      </c>
      <c r="AF293" s="39" t="s">
        <v>27</v>
      </c>
      <c r="AG293" s="39" t="s">
        <v>3247</v>
      </c>
      <c r="AH293" s="39" t="s">
        <v>1922</v>
      </c>
      <c r="AI293" s="39" t="s">
        <v>139</v>
      </c>
      <c r="AJ293" s="39" t="s">
        <v>140</v>
      </c>
      <c r="AK293" s="39" t="s">
        <v>125</v>
      </c>
      <c r="AL293" s="39" t="s">
        <v>3168</v>
      </c>
      <c r="AM293" s="39"/>
      <c r="AN293" s="39" t="s">
        <v>125</v>
      </c>
      <c r="AO293" s="39" t="s">
        <v>142</v>
      </c>
      <c r="AP293" s="39" t="s">
        <v>143</v>
      </c>
      <c r="AQ293" s="39" t="s">
        <v>430</v>
      </c>
      <c r="AR293" s="39" t="s">
        <v>3248</v>
      </c>
      <c r="AS293" s="39" t="s">
        <v>3249</v>
      </c>
      <c r="AT293" s="39" t="s">
        <v>433</v>
      </c>
      <c r="AU293" s="39"/>
      <c r="AV293" s="39" t="s">
        <v>3250</v>
      </c>
      <c r="AW293" s="39"/>
      <c r="AX293" s="39"/>
      <c r="AY293" s="39"/>
      <c r="AZ293" s="39"/>
      <c r="BA293" s="39">
        <v>74113256</v>
      </c>
      <c r="BB293" s="39" t="s">
        <v>149</v>
      </c>
      <c r="BC293" s="39" t="s">
        <v>150</v>
      </c>
      <c r="BD293" s="39" t="s">
        <v>139</v>
      </c>
      <c r="BE293" s="39" t="s">
        <v>125</v>
      </c>
      <c r="BF293" s="39"/>
      <c r="BG293" s="39" t="s">
        <v>637</v>
      </c>
      <c r="BH293" s="39" t="s">
        <v>152</v>
      </c>
      <c r="BI293" s="39" t="s">
        <v>125</v>
      </c>
      <c r="BJ293" s="39"/>
      <c r="BK293" s="39" t="s">
        <v>153</v>
      </c>
      <c r="BL293" s="39"/>
      <c r="BM293" s="39" t="s">
        <v>240</v>
      </c>
      <c r="BN293" s="39" t="s">
        <v>842</v>
      </c>
    </row>
    <row r="294" spans="1:66" hidden="1">
      <c r="A294" s="39">
        <v>292</v>
      </c>
      <c r="B294" s="39" t="s">
        <v>118</v>
      </c>
      <c r="C294" s="39" t="s">
        <v>119</v>
      </c>
      <c r="D294" s="39" t="s">
        <v>3251</v>
      </c>
      <c r="E294" s="39" t="s">
        <v>3252</v>
      </c>
      <c r="F294" s="39" t="s">
        <v>855</v>
      </c>
      <c r="G294" s="39" t="s">
        <v>3253</v>
      </c>
      <c r="H294" s="39" t="s">
        <v>3254</v>
      </c>
      <c r="I294" s="39" t="s">
        <v>125</v>
      </c>
      <c r="J294" s="39" t="s">
        <v>506</v>
      </c>
      <c r="K294" s="39" t="s">
        <v>16</v>
      </c>
      <c r="L294" s="39" t="s">
        <v>858</v>
      </c>
      <c r="M294" s="39" t="s">
        <v>859</v>
      </c>
      <c r="N294" s="39" t="s">
        <v>125</v>
      </c>
      <c r="O294" s="39"/>
      <c r="P294" s="39"/>
      <c r="Q294" s="39" t="s">
        <v>3255</v>
      </c>
      <c r="R294" s="39" t="s">
        <v>16</v>
      </c>
      <c r="S294" s="39" t="s">
        <v>3256</v>
      </c>
      <c r="T294" s="39" t="s">
        <v>130</v>
      </c>
      <c r="U294" s="39" t="s">
        <v>3257</v>
      </c>
      <c r="V294" s="39" t="s">
        <v>132</v>
      </c>
      <c r="W294" s="39" t="s">
        <v>168</v>
      </c>
      <c r="X294" s="39" t="s">
        <v>126</v>
      </c>
      <c r="Y294" s="39" t="s">
        <v>3258</v>
      </c>
      <c r="Z294" s="39" t="s">
        <v>3259</v>
      </c>
      <c r="AA294" s="39" t="s">
        <v>3260</v>
      </c>
      <c r="AB294" s="39" t="s">
        <v>3255</v>
      </c>
      <c r="AC294" s="39">
        <v>5352079</v>
      </c>
      <c r="AD294" s="39" t="s">
        <v>16</v>
      </c>
      <c r="AE294" s="39" t="s">
        <v>3261</v>
      </c>
      <c r="AF294" s="39" t="s">
        <v>16</v>
      </c>
      <c r="AG294" s="39" t="s">
        <v>3262</v>
      </c>
      <c r="AH294" s="39" t="s">
        <v>990</v>
      </c>
      <c r="AI294" s="39" t="s">
        <v>991</v>
      </c>
      <c r="AJ294" s="39" t="s">
        <v>140</v>
      </c>
      <c r="AK294" s="39" t="s">
        <v>125</v>
      </c>
      <c r="AL294" s="39" t="s">
        <v>3263</v>
      </c>
      <c r="AM294" s="39"/>
      <c r="AN294" s="39" t="s">
        <v>125</v>
      </c>
      <c r="AO294" s="39" t="s">
        <v>142</v>
      </c>
      <c r="AP294" s="39" t="s">
        <v>143</v>
      </c>
      <c r="AQ294" s="39" t="s">
        <v>144</v>
      </c>
      <c r="AR294" s="39" t="s">
        <v>3264</v>
      </c>
      <c r="AS294" s="39" t="s">
        <v>3265</v>
      </c>
      <c r="AT294" s="39" t="s">
        <v>433</v>
      </c>
      <c r="AU294" s="39"/>
      <c r="AV294" s="39" t="s">
        <v>3266</v>
      </c>
      <c r="AW294" s="39"/>
      <c r="AX294" s="39"/>
      <c r="AY294" s="39"/>
      <c r="AZ294" s="39"/>
      <c r="BA294" s="39">
        <v>74789792</v>
      </c>
      <c r="BB294" s="39" t="s">
        <v>149</v>
      </c>
      <c r="BC294" s="39" t="s">
        <v>150</v>
      </c>
      <c r="BD294" s="39" t="s">
        <v>788</v>
      </c>
      <c r="BE294" s="39" t="s">
        <v>125</v>
      </c>
      <c r="BF294" s="39"/>
      <c r="BG294" s="39" t="s">
        <v>298</v>
      </c>
      <c r="BH294" s="39" t="s">
        <v>152</v>
      </c>
      <c r="BI294" s="39" t="s">
        <v>125</v>
      </c>
      <c r="BJ294" s="39"/>
      <c r="BK294" s="39" t="s">
        <v>153</v>
      </c>
      <c r="BL294" s="39"/>
      <c r="BM294" s="39" t="s">
        <v>205</v>
      </c>
      <c r="BN294" s="39" t="s">
        <v>181</v>
      </c>
    </row>
    <row r="295" spans="1:66" hidden="1">
      <c r="A295" s="39">
        <v>293</v>
      </c>
      <c r="B295" s="39" t="s">
        <v>118</v>
      </c>
      <c r="C295" s="39" t="s">
        <v>119</v>
      </c>
      <c r="D295" s="39" t="s">
        <v>3267</v>
      </c>
      <c r="E295" s="39" t="s">
        <v>3268</v>
      </c>
      <c r="F295" s="39" t="s">
        <v>352</v>
      </c>
      <c r="G295" s="39" t="s">
        <v>3269</v>
      </c>
      <c r="H295" s="39" t="s">
        <v>3270</v>
      </c>
      <c r="I295" s="39"/>
      <c r="J295" s="39" t="s">
        <v>2245</v>
      </c>
      <c r="K295" s="39" t="s">
        <v>24</v>
      </c>
      <c r="L295" s="39" t="s">
        <v>188</v>
      </c>
      <c r="M295" s="39" t="s">
        <v>356</v>
      </c>
      <c r="N295" s="39" t="s">
        <v>357</v>
      </c>
      <c r="O295" s="39"/>
      <c r="P295" s="39"/>
      <c r="Q295" s="39" t="s">
        <v>3267</v>
      </c>
      <c r="R295" s="39" t="s">
        <v>24</v>
      </c>
      <c r="S295" s="39" t="s">
        <v>3271</v>
      </c>
      <c r="T295" s="39" t="s">
        <v>359</v>
      </c>
      <c r="U295" s="39" t="s">
        <v>3272</v>
      </c>
      <c r="V295" s="39" t="s">
        <v>132</v>
      </c>
      <c r="W295" s="39" t="s">
        <v>133</v>
      </c>
      <c r="X295" s="39" t="s">
        <v>2245</v>
      </c>
      <c r="Y295" s="39" t="s">
        <v>3273</v>
      </c>
      <c r="Z295" s="39" t="s">
        <v>3274</v>
      </c>
      <c r="AA295" s="39" t="s">
        <v>3275</v>
      </c>
      <c r="AB295" s="39" t="s">
        <v>3267</v>
      </c>
      <c r="AC295" s="39">
        <v>5351830</v>
      </c>
      <c r="AD295" s="39" t="s">
        <v>24</v>
      </c>
      <c r="AE295" s="39" t="s">
        <v>3276</v>
      </c>
      <c r="AF295" s="39" t="s">
        <v>24</v>
      </c>
      <c r="AG295" s="39" t="s">
        <v>3277</v>
      </c>
      <c r="AH295" s="39" t="s">
        <v>3278</v>
      </c>
      <c r="AI295" s="39" t="s">
        <v>658</v>
      </c>
      <c r="AJ295" s="39" t="s">
        <v>140</v>
      </c>
      <c r="AK295" s="39" t="s">
        <v>125</v>
      </c>
      <c r="AL295" s="39" t="s">
        <v>3279</v>
      </c>
      <c r="AM295" s="39"/>
      <c r="AN295" s="39" t="s">
        <v>352</v>
      </c>
      <c r="AO295" s="39" t="s">
        <v>367</v>
      </c>
      <c r="AP295" s="39" t="s">
        <v>143</v>
      </c>
      <c r="AQ295" s="39"/>
      <c r="AR295" s="39" t="s">
        <v>3280</v>
      </c>
      <c r="AS295" s="39"/>
      <c r="AT295" s="39" t="s">
        <v>433</v>
      </c>
      <c r="AU295" s="39"/>
      <c r="AV295" s="39" t="s">
        <v>3281</v>
      </c>
      <c r="AW295" s="39"/>
      <c r="AX295" s="39"/>
      <c r="AY295" s="39"/>
      <c r="AZ295" s="39"/>
      <c r="BA295" s="39">
        <v>16721528</v>
      </c>
      <c r="BB295" s="39" t="s">
        <v>149</v>
      </c>
      <c r="BC295" s="39" t="s">
        <v>150</v>
      </c>
      <c r="BD295" s="39" t="s">
        <v>139</v>
      </c>
      <c r="BE295" s="39" t="s">
        <v>125</v>
      </c>
      <c r="BF295" s="39"/>
      <c r="BG295" s="39" t="s">
        <v>298</v>
      </c>
      <c r="BH295" s="39" t="s">
        <v>152</v>
      </c>
      <c r="BI295" s="39" t="s">
        <v>125</v>
      </c>
      <c r="BJ295" s="39"/>
      <c r="BK295" s="39"/>
      <c r="BL295" s="39"/>
      <c r="BM295" s="39"/>
      <c r="BN295" s="39" t="s">
        <v>356</v>
      </c>
    </row>
    <row r="296" spans="1:66" hidden="1">
      <c r="A296" s="39">
        <v>294</v>
      </c>
      <c r="B296" s="39" t="s">
        <v>118</v>
      </c>
      <c r="C296" s="39" t="s">
        <v>119</v>
      </c>
      <c r="D296" s="39" t="s">
        <v>3282</v>
      </c>
      <c r="E296" s="39" t="s">
        <v>3283</v>
      </c>
      <c r="F296" s="39" t="s">
        <v>580</v>
      </c>
      <c r="G296" s="39" t="s">
        <v>3284</v>
      </c>
      <c r="H296" s="39" t="s">
        <v>3285</v>
      </c>
      <c r="I296" s="39"/>
      <c r="J296" s="39" t="s">
        <v>126</v>
      </c>
      <c r="K296" s="39" t="s">
        <v>23</v>
      </c>
      <c r="L296" s="39" t="s">
        <v>188</v>
      </c>
      <c r="M296" s="39" t="s">
        <v>356</v>
      </c>
      <c r="N296" s="39" t="s">
        <v>583</v>
      </c>
      <c r="O296" s="39"/>
      <c r="P296" s="39"/>
      <c r="Q296" s="39" t="s">
        <v>3282</v>
      </c>
      <c r="R296" s="39" t="s">
        <v>23</v>
      </c>
      <c r="S296" s="39" t="s">
        <v>3286</v>
      </c>
      <c r="T296" s="39" t="s">
        <v>359</v>
      </c>
      <c r="U296" s="39" t="s">
        <v>3287</v>
      </c>
      <c r="V296" s="39" t="s">
        <v>132</v>
      </c>
      <c r="W296" s="39" t="s">
        <v>168</v>
      </c>
      <c r="X296" s="39" t="s">
        <v>126</v>
      </c>
      <c r="Y296" s="39" t="s">
        <v>424</v>
      </c>
      <c r="Z296" s="39" t="s">
        <v>425</v>
      </c>
      <c r="AA296" s="39" t="s">
        <v>836</v>
      </c>
      <c r="AB296" s="39" t="s">
        <v>3282</v>
      </c>
      <c r="AC296" s="39">
        <v>5276898</v>
      </c>
      <c r="AD296" s="39" t="s">
        <v>23</v>
      </c>
      <c r="AE296" s="39" t="s">
        <v>3288</v>
      </c>
      <c r="AF296" s="39" t="s">
        <v>23</v>
      </c>
      <c r="AG296" s="39" t="s">
        <v>3289</v>
      </c>
      <c r="AH296" s="39" t="s">
        <v>3290</v>
      </c>
      <c r="AI296" s="39" t="s">
        <v>330</v>
      </c>
      <c r="AJ296" s="39" t="s">
        <v>140</v>
      </c>
      <c r="AK296" s="39" t="s">
        <v>125</v>
      </c>
      <c r="AL296" s="39" t="s">
        <v>3291</v>
      </c>
      <c r="AM296" s="39"/>
      <c r="AN296" s="39" t="s">
        <v>580</v>
      </c>
      <c r="AO296" s="39" t="s">
        <v>367</v>
      </c>
      <c r="AP296" s="39" t="s">
        <v>143</v>
      </c>
      <c r="AQ296" s="39"/>
      <c r="AR296" s="39" t="s">
        <v>3292</v>
      </c>
      <c r="AS296" s="39"/>
      <c r="AT296" s="39" t="s">
        <v>3293</v>
      </c>
      <c r="AU296" s="39"/>
      <c r="AV296" s="39" t="s">
        <v>3294</v>
      </c>
      <c r="AW296" s="39"/>
      <c r="AX296" s="39"/>
      <c r="AY296" s="39"/>
      <c r="AZ296" s="39"/>
      <c r="BA296" s="39">
        <v>62574851</v>
      </c>
      <c r="BB296" s="39" t="s">
        <v>149</v>
      </c>
      <c r="BC296" s="39" t="s">
        <v>458</v>
      </c>
      <c r="BD296" s="39" t="s">
        <v>459</v>
      </c>
      <c r="BE296" s="39" t="s">
        <v>125</v>
      </c>
      <c r="BF296" s="39"/>
      <c r="BG296" s="39" t="s">
        <v>298</v>
      </c>
      <c r="BH296" s="39" t="s">
        <v>152</v>
      </c>
      <c r="BI296" s="39" t="s">
        <v>3295</v>
      </c>
      <c r="BJ296" s="39"/>
      <c r="BK296" s="39"/>
      <c r="BL296" s="39"/>
      <c r="BM296" s="39" t="s">
        <v>154</v>
      </c>
      <c r="BN296" s="39" t="s">
        <v>356</v>
      </c>
    </row>
    <row r="297" spans="1:66" hidden="1">
      <c r="A297" s="39">
        <v>295</v>
      </c>
      <c r="B297" s="39" t="s">
        <v>118</v>
      </c>
      <c r="C297" s="39" t="s">
        <v>119</v>
      </c>
      <c r="D297" s="39" t="s">
        <v>3296</v>
      </c>
      <c r="E297" s="39" t="s">
        <v>3297</v>
      </c>
      <c r="F297" s="39" t="s">
        <v>2723</v>
      </c>
      <c r="G297" s="39" t="s">
        <v>3298</v>
      </c>
      <c r="H297" s="39" t="s">
        <v>3299</v>
      </c>
      <c r="I297" s="39"/>
      <c r="J297" s="39" t="s">
        <v>126</v>
      </c>
      <c r="K297" s="39" t="s">
        <v>22</v>
      </c>
      <c r="L297" s="39" t="s">
        <v>188</v>
      </c>
      <c r="M297" s="39" t="s">
        <v>356</v>
      </c>
      <c r="N297" s="39" t="s">
        <v>2717</v>
      </c>
      <c r="O297" s="39"/>
      <c r="P297" s="39"/>
      <c r="Q297" s="39" t="s">
        <v>3296</v>
      </c>
      <c r="R297" s="39" t="s">
        <v>22</v>
      </c>
      <c r="S297" s="39" t="s">
        <v>3300</v>
      </c>
      <c r="T297" s="39" t="s">
        <v>359</v>
      </c>
      <c r="U297" s="39" t="s">
        <v>3301</v>
      </c>
      <c r="V297" s="39" t="s">
        <v>132</v>
      </c>
      <c r="W297" s="39" t="s">
        <v>133</v>
      </c>
      <c r="X297" s="39" t="s">
        <v>126</v>
      </c>
      <c r="Y297" s="39" t="s">
        <v>288</v>
      </c>
      <c r="Z297" s="39" t="s">
        <v>196</v>
      </c>
      <c r="AA297" s="39" t="s">
        <v>197</v>
      </c>
      <c r="AB297" s="39" t="s">
        <v>3296</v>
      </c>
      <c r="AC297" s="39">
        <v>5276780</v>
      </c>
      <c r="AD297" s="39" t="s">
        <v>22</v>
      </c>
      <c r="AE297" s="39" t="s">
        <v>3302</v>
      </c>
      <c r="AF297" s="39" t="s">
        <v>22</v>
      </c>
      <c r="AG297" s="39" t="s">
        <v>3303</v>
      </c>
      <c r="AH297" s="39" t="s">
        <v>3304</v>
      </c>
      <c r="AI297" s="39" t="s">
        <v>658</v>
      </c>
      <c r="AJ297" s="39" t="s">
        <v>140</v>
      </c>
      <c r="AK297" s="39" t="s">
        <v>125</v>
      </c>
      <c r="AL297" s="39">
        <v>1800</v>
      </c>
      <c r="AM297" s="39"/>
      <c r="AN297" s="39" t="s">
        <v>2723</v>
      </c>
      <c r="AO297" s="39" t="s">
        <v>367</v>
      </c>
      <c r="AP297" s="39" t="s">
        <v>143</v>
      </c>
      <c r="AQ297" s="39"/>
      <c r="AR297" s="39" t="s">
        <v>3305</v>
      </c>
      <c r="AS297" s="39"/>
      <c r="AT297" s="39" t="s">
        <v>3293</v>
      </c>
      <c r="AU297" s="39"/>
      <c r="AV297" s="39" t="s">
        <v>3306</v>
      </c>
      <c r="AW297" s="39"/>
      <c r="AX297" s="39"/>
      <c r="AY297" s="39"/>
      <c r="AZ297" s="39"/>
      <c r="BA297" s="39">
        <v>70970000</v>
      </c>
      <c r="BB297" s="39" t="s">
        <v>149</v>
      </c>
      <c r="BC297" s="39" t="s">
        <v>458</v>
      </c>
      <c r="BD297" s="39" t="s">
        <v>661</v>
      </c>
      <c r="BE297" s="39" t="s">
        <v>125</v>
      </c>
      <c r="BF297" s="39"/>
      <c r="BG297" s="39" t="s">
        <v>298</v>
      </c>
      <c r="BH297" s="39" t="s">
        <v>152</v>
      </c>
      <c r="BI297" s="39" t="s">
        <v>125</v>
      </c>
      <c r="BJ297" s="39"/>
      <c r="BK297" s="39"/>
      <c r="BL297" s="39"/>
      <c r="BM297" s="39" t="s">
        <v>154</v>
      </c>
      <c r="BN297" s="39" t="s">
        <v>356</v>
      </c>
    </row>
    <row r="298" spans="1:66" hidden="1">
      <c r="A298" s="39">
        <v>296</v>
      </c>
      <c r="B298" s="39" t="s">
        <v>118</v>
      </c>
      <c r="C298" s="39" t="s">
        <v>119</v>
      </c>
      <c r="D298" s="39" t="s">
        <v>3307</v>
      </c>
      <c r="E298" s="39" t="s">
        <v>3308</v>
      </c>
      <c r="F298" s="39" t="s">
        <v>258</v>
      </c>
      <c r="G298" s="39" t="s">
        <v>3309</v>
      </c>
      <c r="H298" s="39" t="s">
        <v>3310</v>
      </c>
      <c r="I298" s="39" t="s">
        <v>1527</v>
      </c>
      <c r="J298" s="39"/>
      <c r="K298" s="39" t="s">
        <v>377</v>
      </c>
      <c r="L298" s="39" t="s">
        <v>263</v>
      </c>
      <c r="M298" s="39" t="s">
        <v>1528</v>
      </c>
      <c r="N298" s="39" t="s">
        <v>125</v>
      </c>
      <c r="O298" s="39" t="s">
        <v>377</v>
      </c>
      <c r="P298" s="39" t="s">
        <v>3311</v>
      </c>
      <c r="Q298" s="39" t="s">
        <v>3312</v>
      </c>
      <c r="R298" s="39" t="s">
        <v>16</v>
      </c>
      <c r="S298" s="39" t="s">
        <v>3313</v>
      </c>
      <c r="T298" s="39" t="s">
        <v>130</v>
      </c>
      <c r="U298" s="39" t="s">
        <v>3314</v>
      </c>
      <c r="V298" s="39" t="s">
        <v>132</v>
      </c>
      <c r="W298" s="39" t="s">
        <v>168</v>
      </c>
      <c r="X298" s="39" t="s">
        <v>3315</v>
      </c>
      <c r="Y298" s="39" t="s">
        <v>288</v>
      </c>
      <c r="Z298" s="39" t="s">
        <v>196</v>
      </c>
      <c r="AA298" s="39" t="s">
        <v>197</v>
      </c>
      <c r="AB298" s="39" t="s">
        <v>3312</v>
      </c>
      <c r="AC298" s="39">
        <v>5378585</v>
      </c>
      <c r="AD298" s="39" t="s">
        <v>16</v>
      </c>
      <c r="AE298" s="39" t="s">
        <v>3316</v>
      </c>
      <c r="AF298" s="39" t="s">
        <v>16</v>
      </c>
      <c r="AG298" s="39" t="s">
        <v>3317</v>
      </c>
      <c r="AH298" s="39" t="s">
        <v>990</v>
      </c>
      <c r="AI298" s="39" t="s">
        <v>991</v>
      </c>
      <c r="AJ298" s="39" t="s">
        <v>140</v>
      </c>
      <c r="AK298" s="39" t="s">
        <v>125</v>
      </c>
      <c r="AL298" s="39">
        <v>15500</v>
      </c>
      <c r="AM298" s="39"/>
      <c r="AN298" s="39" t="s">
        <v>125</v>
      </c>
      <c r="AO298" s="39" t="s">
        <v>142</v>
      </c>
      <c r="AP298" s="39" t="s">
        <v>143</v>
      </c>
      <c r="AQ298" s="39" t="s">
        <v>144</v>
      </c>
      <c r="AR298" s="39" t="s">
        <v>3318</v>
      </c>
      <c r="AS298" s="39" t="s">
        <v>3319</v>
      </c>
      <c r="AT298" s="39" t="s">
        <v>3320</v>
      </c>
      <c r="AU298" s="39"/>
      <c r="AV298" s="39" t="s">
        <v>3321</v>
      </c>
      <c r="AW298" s="39"/>
      <c r="AX298" s="39"/>
      <c r="AY298" s="39"/>
      <c r="AZ298" s="39"/>
      <c r="BA298" s="39">
        <v>74114938</v>
      </c>
      <c r="BB298" s="39" t="s">
        <v>149</v>
      </c>
      <c r="BC298" s="39" t="s">
        <v>150</v>
      </c>
      <c r="BD298" s="39" t="s">
        <v>788</v>
      </c>
      <c r="BE298" s="39" t="s">
        <v>125</v>
      </c>
      <c r="BF298" s="39"/>
      <c r="BG298" s="39" t="s">
        <v>180</v>
      </c>
      <c r="BH298" s="39" t="s">
        <v>152</v>
      </c>
      <c r="BI298" s="39" t="s">
        <v>125</v>
      </c>
      <c r="BJ298" s="39"/>
      <c r="BK298" s="39" t="s">
        <v>153</v>
      </c>
      <c r="BL298" s="39"/>
      <c r="BM298" s="39"/>
      <c r="BN298" s="39" t="s">
        <v>915</v>
      </c>
    </row>
    <row r="299" spans="1:66" hidden="1">
      <c r="A299" s="39">
        <v>297</v>
      </c>
      <c r="B299" s="39" t="s">
        <v>118</v>
      </c>
      <c r="C299" s="39" t="s">
        <v>119</v>
      </c>
      <c r="D299" s="39" t="s">
        <v>3322</v>
      </c>
      <c r="E299" s="39" t="s">
        <v>3323</v>
      </c>
      <c r="F299" s="39" t="s">
        <v>184</v>
      </c>
      <c r="G299" s="39" t="s">
        <v>3324</v>
      </c>
      <c r="H299" s="39" t="s">
        <v>3325</v>
      </c>
      <c r="I299" s="39" t="s">
        <v>125</v>
      </c>
      <c r="J299" s="39" t="s">
        <v>418</v>
      </c>
      <c r="K299" s="39" t="s">
        <v>22</v>
      </c>
      <c r="L299" s="39" t="s">
        <v>188</v>
      </c>
      <c r="M299" s="39" t="s">
        <v>189</v>
      </c>
      <c r="N299" s="39" t="s">
        <v>1691</v>
      </c>
      <c r="O299" s="39"/>
      <c r="P299" s="39"/>
      <c r="Q299" s="39" t="s">
        <v>3326</v>
      </c>
      <c r="R299" s="39" t="s">
        <v>22</v>
      </c>
      <c r="S299" s="39" t="s">
        <v>3327</v>
      </c>
      <c r="T299" s="39" t="s">
        <v>130</v>
      </c>
      <c r="U299" s="39" t="s">
        <v>3328</v>
      </c>
      <c r="V299" s="39" t="s">
        <v>132</v>
      </c>
      <c r="W299" s="39" t="s">
        <v>133</v>
      </c>
      <c r="X299" s="39" t="s">
        <v>418</v>
      </c>
      <c r="Y299" s="39" t="s">
        <v>3329</v>
      </c>
      <c r="Z299" s="39" t="s">
        <v>3330</v>
      </c>
      <c r="AA299" s="39" t="s">
        <v>3331</v>
      </c>
      <c r="AB299" s="39" t="s">
        <v>3326</v>
      </c>
      <c r="AC299" s="39">
        <v>5350366</v>
      </c>
      <c r="AD299" s="39" t="s">
        <v>22</v>
      </c>
      <c r="AE299" s="39" t="s">
        <v>3332</v>
      </c>
      <c r="AF299" s="39" t="s">
        <v>22</v>
      </c>
      <c r="AG299" s="39" t="s">
        <v>3333</v>
      </c>
      <c r="AH299" s="39" t="s">
        <v>3334</v>
      </c>
      <c r="AI299" s="39" t="s">
        <v>658</v>
      </c>
      <c r="AJ299" s="39" t="s">
        <v>140</v>
      </c>
      <c r="AK299" s="39" t="s">
        <v>125</v>
      </c>
      <c r="AL299" s="39">
        <v>7200</v>
      </c>
      <c r="AM299" s="39"/>
      <c r="AN299" s="39" t="s">
        <v>1691</v>
      </c>
      <c r="AO299" s="39" t="s">
        <v>142</v>
      </c>
      <c r="AP299" s="39" t="s">
        <v>143</v>
      </c>
      <c r="AQ299" s="39"/>
      <c r="AR299" s="39" t="s">
        <v>3335</v>
      </c>
      <c r="AS299" s="39"/>
      <c r="AT299" s="39" t="s">
        <v>3320</v>
      </c>
      <c r="AU299" s="39"/>
      <c r="AV299" s="39" t="s">
        <v>3336</v>
      </c>
      <c r="AW299" s="39"/>
      <c r="AX299" s="39"/>
      <c r="AY299" s="39"/>
      <c r="AZ299" s="39"/>
      <c r="BA299" s="39">
        <v>74496569</v>
      </c>
      <c r="BB299" s="39" t="s">
        <v>149</v>
      </c>
      <c r="BC299" s="39" t="s">
        <v>458</v>
      </c>
      <c r="BD299" s="39" t="s">
        <v>661</v>
      </c>
      <c r="BE299" s="39" t="s">
        <v>125</v>
      </c>
      <c r="BF299" s="39"/>
      <c r="BG299" s="39" t="s">
        <v>151</v>
      </c>
      <c r="BH299" s="39" t="s">
        <v>152</v>
      </c>
      <c r="BI299" s="39" t="s">
        <v>125</v>
      </c>
      <c r="BJ299" s="39"/>
      <c r="BK299" s="39"/>
      <c r="BL299" s="39"/>
      <c r="BM299" s="39" t="s">
        <v>240</v>
      </c>
      <c r="BN299" s="39" t="s">
        <v>155</v>
      </c>
    </row>
    <row r="300" spans="1:66" ht="16" hidden="1">
      <c r="A300" s="39">
        <v>298</v>
      </c>
      <c r="B300" s="39" t="s">
        <v>118</v>
      </c>
      <c r="C300" s="39" t="s">
        <v>119</v>
      </c>
      <c r="D300" s="39" t="s">
        <v>3337</v>
      </c>
      <c r="E300" s="39" t="s">
        <v>3338</v>
      </c>
      <c r="F300" s="39" t="s">
        <v>1669</v>
      </c>
      <c r="G300" s="39" t="s">
        <v>3339</v>
      </c>
      <c r="H300" s="39" t="s">
        <v>3340</v>
      </c>
      <c r="I300" s="39"/>
      <c r="J300" s="39" t="s">
        <v>487</v>
      </c>
      <c r="K300" s="39" t="s">
        <v>11</v>
      </c>
      <c r="L300" s="39" t="s">
        <v>188</v>
      </c>
      <c r="M300" s="39" t="s">
        <v>356</v>
      </c>
      <c r="N300" s="39" t="s">
        <v>1672</v>
      </c>
      <c r="O300" s="39"/>
      <c r="P300" s="39"/>
      <c r="Q300" s="39" t="s">
        <v>3337</v>
      </c>
      <c r="R300" s="39" t="s">
        <v>3341</v>
      </c>
      <c r="S300" s="39" t="s">
        <v>3342</v>
      </c>
      <c r="T300" s="39" t="s">
        <v>359</v>
      </c>
      <c r="U300" s="39" t="s">
        <v>3343</v>
      </c>
      <c r="V300" s="39" t="s">
        <v>132</v>
      </c>
      <c r="W300" s="39" t="s">
        <v>1755</v>
      </c>
      <c r="X300" s="39" t="s">
        <v>487</v>
      </c>
      <c r="Y300" s="39" t="s">
        <v>3344</v>
      </c>
      <c r="Z300" s="39" t="s">
        <v>135</v>
      </c>
      <c r="AA300" s="39" t="s">
        <v>1369</v>
      </c>
      <c r="AB300" s="39" t="s">
        <v>3337</v>
      </c>
      <c r="AC300" s="39">
        <v>5378002</v>
      </c>
      <c r="AD300" s="39" t="s">
        <v>22</v>
      </c>
      <c r="AE300" s="39" t="s">
        <v>3345</v>
      </c>
      <c r="AF300" s="39" t="s">
        <v>3341</v>
      </c>
      <c r="AG300" s="39" t="s">
        <v>3346</v>
      </c>
      <c r="AH300" s="39"/>
      <c r="AI300" s="43" t="s">
        <v>53</v>
      </c>
      <c r="AJ300" s="39" t="s">
        <v>140</v>
      </c>
      <c r="AK300" s="39" t="s">
        <v>125</v>
      </c>
      <c r="AL300" s="39">
        <v>12150</v>
      </c>
      <c r="AM300" s="39" t="s">
        <v>2604</v>
      </c>
      <c r="AN300" s="39" t="s">
        <v>1669</v>
      </c>
      <c r="AO300" s="39" t="s">
        <v>699</v>
      </c>
      <c r="AP300" s="39" t="s">
        <v>143</v>
      </c>
      <c r="AQ300" s="39"/>
      <c r="AR300" s="39" t="s">
        <v>3347</v>
      </c>
      <c r="AS300" s="39"/>
      <c r="AT300" s="39"/>
      <c r="AU300" s="39"/>
      <c r="AV300" s="39" t="s">
        <v>3348</v>
      </c>
      <c r="AW300" s="39"/>
      <c r="AX300" s="39"/>
      <c r="AY300" s="39"/>
      <c r="AZ300" s="39"/>
      <c r="BA300" s="39">
        <v>67927418</v>
      </c>
      <c r="BB300" s="39" t="s">
        <v>149</v>
      </c>
      <c r="BC300" s="39" t="s">
        <v>435</v>
      </c>
      <c r="BD300" s="39" t="s">
        <v>436</v>
      </c>
      <c r="BE300" s="39" t="s">
        <v>481</v>
      </c>
      <c r="BF300" s="39" t="s">
        <v>935</v>
      </c>
      <c r="BG300" s="39" t="s">
        <v>151</v>
      </c>
      <c r="BH300" s="39" t="s">
        <v>149</v>
      </c>
      <c r="BI300" s="39" t="s">
        <v>125</v>
      </c>
      <c r="BJ300" s="39"/>
      <c r="BK300" s="39"/>
      <c r="BL300" s="39"/>
      <c r="BM300" s="39" t="s">
        <v>240</v>
      </c>
      <c r="BN300" s="39" t="s">
        <v>356</v>
      </c>
    </row>
    <row r="301" spans="1:66" hidden="1">
      <c r="A301" s="39">
        <v>299</v>
      </c>
      <c r="B301" s="39" t="s">
        <v>118</v>
      </c>
      <c r="C301" s="39" t="s">
        <v>119</v>
      </c>
      <c r="D301" s="39" t="s">
        <v>3349</v>
      </c>
      <c r="E301" s="39" t="s">
        <v>3350</v>
      </c>
      <c r="F301" s="39" t="s">
        <v>1142</v>
      </c>
      <c r="G301" s="39" t="s">
        <v>3351</v>
      </c>
      <c r="H301" s="39" t="s">
        <v>3352</v>
      </c>
      <c r="I301" s="39" t="s">
        <v>125</v>
      </c>
      <c r="J301" s="39" t="s">
        <v>418</v>
      </c>
      <c r="K301" s="39" t="s">
        <v>11</v>
      </c>
      <c r="L301" s="39" t="s">
        <v>127</v>
      </c>
      <c r="M301" s="39" t="s">
        <v>127</v>
      </c>
      <c r="N301" s="39" t="s">
        <v>125</v>
      </c>
      <c r="O301" s="39"/>
      <c r="P301" s="39"/>
      <c r="Q301" s="39" t="s">
        <v>3353</v>
      </c>
      <c r="R301" s="39" t="s">
        <v>27</v>
      </c>
      <c r="S301" s="39" t="s">
        <v>3354</v>
      </c>
      <c r="T301" s="39" t="s">
        <v>359</v>
      </c>
      <c r="U301" s="39" t="s">
        <v>3355</v>
      </c>
      <c r="V301" s="39" t="s">
        <v>132</v>
      </c>
      <c r="W301" s="39" t="s">
        <v>168</v>
      </c>
      <c r="X301" s="39" t="s">
        <v>418</v>
      </c>
      <c r="Y301" s="39" t="s">
        <v>361</v>
      </c>
      <c r="Z301" s="39" t="s">
        <v>3356</v>
      </c>
      <c r="AA301" s="39" t="s">
        <v>3357</v>
      </c>
      <c r="AB301" s="39" t="s">
        <v>3353</v>
      </c>
      <c r="AC301" s="39">
        <v>5349429</v>
      </c>
      <c r="AD301" s="39" t="s">
        <v>27</v>
      </c>
      <c r="AE301" s="39" t="s">
        <v>3358</v>
      </c>
      <c r="AF301" s="39" t="s">
        <v>27</v>
      </c>
      <c r="AG301" s="39" t="s">
        <v>3359</v>
      </c>
      <c r="AH301" s="39" t="s">
        <v>3360</v>
      </c>
      <c r="AI301" s="39" t="s">
        <v>3361</v>
      </c>
      <c r="AJ301" s="39" t="s">
        <v>140</v>
      </c>
      <c r="AK301" s="39" t="s">
        <v>125</v>
      </c>
      <c r="AL301" s="39">
        <v>11500</v>
      </c>
      <c r="AM301" s="39"/>
      <c r="AN301" s="39" t="s">
        <v>125</v>
      </c>
      <c r="AO301" s="39" t="s">
        <v>367</v>
      </c>
      <c r="AP301" s="39" t="s">
        <v>143</v>
      </c>
      <c r="AQ301" s="39"/>
      <c r="AR301" s="39" t="s">
        <v>3362</v>
      </c>
      <c r="AS301" s="39"/>
      <c r="AT301" s="39" t="s">
        <v>3363</v>
      </c>
      <c r="AU301" s="39"/>
      <c r="AV301" s="39" t="s">
        <v>3364</v>
      </c>
      <c r="AW301" s="39"/>
      <c r="AX301" s="39"/>
      <c r="AY301" s="39"/>
      <c r="AZ301" s="39"/>
      <c r="BA301" s="39">
        <v>51111054</v>
      </c>
      <c r="BB301" s="39" t="s">
        <v>149</v>
      </c>
      <c r="BC301" s="39" t="s">
        <v>458</v>
      </c>
      <c r="BD301" s="39" t="s">
        <v>459</v>
      </c>
      <c r="BE301" s="39" t="s">
        <v>125</v>
      </c>
      <c r="BF301" s="39"/>
      <c r="BG301" s="39" t="s">
        <v>370</v>
      </c>
      <c r="BH301" s="39" t="s">
        <v>149</v>
      </c>
      <c r="BI301" s="39" t="s">
        <v>3365</v>
      </c>
      <c r="BJ301" s="39"/>
      <c r="BK301" s="39"/>
      <c r="BL301" s="39"/>
      <c r="BM301" s="39" t="s">
        <v>154</v>
      </c>
      <c r="BN301" s="39" t="s">
        <v>155</v>
      </c>
    </row>
    <row r="302" spans="1:66" hidden="1">
      <c r="A302" s="39">
        <v>300</v>
      </c>
      <c r="B302" s="39" t="s">
        <v>118</v>
      </c>
      <c r="C302" s="39" t="s">
        <v>119</v>
      </c>
      <c r="D302" s="39" t="s">
        <v>506</v>
      </c>
      <c r="E302" s="39" t="s">
        <v>3366</v>
      </c>
      <c r="F302" s="39" t="s">
        <v>855</v>
      </c>
      <c r="G302" s="39" t="s">
        <v>3367</v>
      </c>
      <c r="H302" s="39" t="s">
        <v>3368</v>
      </c>
      <c r="I302" s="39" t="s">
        <v>1156</v>
      </c>
      <c r="J302" s="39" t="s">
        <v>506</v>
      </c>
      <c r="K302" s="39" t="s">
        <v>21</v>
      </c>
      <c r="L302" s="39" t="s">
        <v>858</v>
      </c>
      <c r="M302" s="39" t="s">
        <v>1157</v>
      </c>
      <c r="N302" s="39" t="s">
        <v>125</v>
      </c>
      <c r="O302" s="39"/>
      <c r="P302" s="39"/>
      <c r="Q302" s="39" t="s">
        <v>3369</v>
      </c>
      <c r="R302" s="39" t="s">
        <v>21</v>
      </c>
      <c r="S302" s="39" t="s">
        <v>3370</v>
      </c>
      <c r="T302" s="39" t="s">
        <v>130</v>
      </c>
      <c r="U302" s="39" t="s">
        <v>3371</v>
      </c>
      <c r="V302" s="39" t="s">
        <v>132</v>
      </c>
      <c r="W302" s="39" t="s">
        <v>133</v>
      </c>
      <c r="X302" s="39" t="s">
        <v>3372</v>
      </c>
      <c r="Y302" s="39" t="s">
        <v>1218</v>
      </c>
      <c r="Z302" s="39" t="s">
        <v>2706</v>
      </c>
      <c r="AA302" s="39" t="s">
        <v>3373</v>
      </c>
      <c r="AB302" s="39" t="s">
        <v>3369</v>
      </c>
      <c r="AC302" s="39">
        <v>5349355</v>
      </c>
      <c r="AD302" s="39" t="s">
        <v>21</v>
      </c>
      <c r="AE302" s="39" t="s">
        <v>3374</v>
      </c>
      <c r="AF302" s="39" t="s">
        <v>21</v>
      </c>
      <c r="AG302" s="39" t="s">
        <v>3375</v>
      </c>
      <c r="AH302" s="39" t="s">
        <v>1922</v>
      </c>
      <c r="AI302" s="39" t="s">
        <v>139</v>
      </c>
      <c r="AJ302" s="39" t="s">
        <v>140</v>
      </c>
      <c r="AK302" s="39" t="s">
        <v>125</v>
      </c>
      <c r="AL302" s="39">
        <v>6180</v>
      </c>
      <c r="AM302" s="39"/>
      <c r="AN302" s="39" t="s">
        <v>125</v>
      </c>
      <c r="AO302" s="39" t="s">
        <v>142</v>
      </c>
      <c r="AP302" s="39" t="s">
        <v>143</v>
      </c>
      <c r="AQ302" s="39" t="s">
        <v>144</v>
      </c>
      <c r="AR302" s="39" t="s">
        <v>3376</v>
      </c>
      <c r="AS302" s="39" t="s">
        <v>3377</v>
      </c>
      <c r="AT302" s="39" t="s">
        <v>3363</v>
      </c>
      <c r="AU302" s="39"/>
      <c r="AV302" s="39" t="s">
        <v>3378</v>
      </c>
      <c r="AW302" s="39"/>
      <c r="AX302" s="39"/>
      <c r="AY302" s="39"/>
      <c r="AZ302" s="39"/>
      <c r="BA302" s="39">
        <v>68581382</v>
      </c>
      <c r="BB302" s="39" t="s">
        <v>149</v>
      </c>
      <c r="BC302" s="39" t="s">
        <v>150</v>
      </c>
      <c r="BD302" s="39" t="s">
        <v>139</v>
      </c>
      <c r="BE302" s="39" t="s">
        <v>125</v>
      </c>
      <c r="BF302" s="39"/>
      <c r="BG302" s="39" t="s">
        <v>239</v>
      </c>
      <c r="BH302" s="39" t="s">
        <v>152</v>
      </c>
      <c r="BI302" s="39" t="s">
        <v>125</v>
      </c>
      <c r="BJ302" s="39"/>
      <c r="BK302" s="39" t="s">
        <v>153</v>
      </c>
      <c r="BL302" s="39"/>
      <c r="BM302" s="39" t="s">
        <v>154</v>
      </c>
      <c r="BN302" s="39" t="s">
        <v>1166</v>
      </c>
    </row>
    <row r="303" spans="1:66" hidden="1">
      <c r="A303" s="39">
        <v>301</v>
      </c>
      <c r="B303" s="39" t="s">
        <v>118</v>
      </c>
      <c r="C303" s="39" t="s">
        <v>119</v>
      </c>
      <c r="D303" s="39" t="s">
        <v>3379</v>
      </c>
      <c r="E303" s="39" t="s">
        <v>3380</v>
      </c>
      <c r="F303" s="39" t="s">
        <v>122</v>
      </c>
      <c r="G303" s="39" t="s">
        <v>3381</v>
      </c>
      <c r="H303" s="39"/>
      <c r="I303" s="39"/>
      <c r="J303" s="39" t="s">
        <v>418</v>
      </c>
      <c r="K303" s="39" t="s">
        <v>122</v>
      </c>
      <c r="L303" s="39" t="s">
        <v>188</v>
      </c>
      <c r="M303" s="39" t="s">
        <v>3382</v>
      </c>
      <c r="N303" s="39" t="s">
        <v>3383</v>
      </c>
      <c r="O303" s="39" t="s">
        <v>122</v>
      </c>
      <c r="P303" s="39" t="s">
        <v>3384</v>
      </c>
      <c r="Q303" s="39" t="s">
        <v>3379</v>
      </c>
      <c r="R303" s="39" t="s">
        <v>16</v>
      </c>
      <c r="S303" s="39" t="s">
        <v>3385</v>
      </c>
      <c r="T303" s="39" t="s">
        <v>130</v>
      </c>
      <c r="U303" s="39" t="s">
        <v>3386</v>
      </c>
      <c r="V303" s="39" t="s">
        <v>132</v>
      </c>
      <c r="W303" s="39" t="s">
        <v>168</v>
      </c>
      <c r="X303" s="39" t="s">
        <v>418</v>
      </c>
      <c r="Y303" s="39" t="s">
        <v>3387</v>
      </c>
      <c r="Z303" s="39" t="s">
        <v>3388</v>
      </c>
      <c r="AA303" s="39" t="s">
        <v>3389</v>
      </c>
      <c r="AB303" s="39" t="s">
        <v>3379</v>
      </c>
      <c r="AC303" s="39">
        <v>5349316</v>
      </c>
      <c r="AD303" s="39" t="s">
        <v>16</v>
      </c>
      <c r="AE303" s="39" t="s">
        <v>3390</v>
      </c>
      <c r="AF303" s="39" t="s">
        <v>16</v>
      </c>
      <c r="AG303" s="39" t="s">
        <v>3391</v>
      </c>
      <c r="AH303" s="39" t="s">
        <v>838</v>
      </c>
      <c r="AI303" s="39" t="s">
        <v>179</v>
      </c>
      <c r="AJ303" s="39" t="s">
        <v>140</v>
      </c>
      <c r="AK303" s="39" t="s">
        <v>125</v>
      </c>
      <c r="AL303" s="39">
        <v>5480</v>
      </c>
      <c r="AM303" s="39"/>
      <c r="AN303" s="39" t="s">
        <v>3392</v>
      </c>
      <c r="AO303" s="39" t="s">
        <v>142</v>
      </c>
      <c r="AP303" s="39" t="s">
        <v>143</v>
      </c>
      <c r="AQ303" s="39" t="s">
        <v>430</v>
      </c>
      <c r="AR303" s="39" t="s">
        <v>3393</v>
      </c>
      <c r="AS303" s="39" t="s">
        <v>3394</v>
      </c>
      <c r="AT303" s="39" t="s">
        <v>3363</v>
      </c>
      <c r="AU303" s="39"/>
      <c r="AV303" s="39" t="s">
        <v>3395</v>
      </c>
      <c r="AW303" s="39"/>
      <c r="AX303" s="39"/>
      <c r="AY303" s="39"/>
      <c r="AZ303" s="39"/>
      <c r="BA303" s="39">
        <v>64753246</v>
      </c>
      <c r="BB303" s="39" t="s">
        <v>149</v>
      </c>
      <c r="BC303" s="39" t="s">
        <v>150</v>
      </c>
      <c r="BD303" s="39" t="s">
        <v>179</v>
      </c>
      <c r="BE303" s="39" t="s">
        <v>125</v>
      </c>
      <c r="BF303" s="39"/>
      <c r="BG303" s="39" t="s">
        <v>298</v>
      </c>
      <c r="BH303" s="39" t="s">
        <v>149</v>
      </c>
      <c r="BI303" s="39" t="s">
        <v>125</v>
      </c>
      <c r="BJ303" s="39"/>
      <c r="BK303" s="39" t="s">
        <v>153</v>
      </c>
      <c r="BL303" s="39"/>
      <c r="BM303" s="39" t="s">
        <v>205</v>
      </c>
      <c r="BN303" s="39"/>
    </row>
    <row r="304" spans="1:66" hidden="1">
      <c r="A304" s="39">
        <v>302</v>
      </c>
      <c r="B304" s="39" t="s">
        <v>118</v>
      </c>
      <c r="C304" s="39" t="s">
        <v>119</v>
      </c>
      <c r="D304" s="39" t="s">
        <v>3396</v>
      </c>
      <c r="E304" s="39" t="s">
        <v>3397</v>
      </c>
      <c r="F304" s="39" t="s">
        <v>749</v>
      </c>
      <c r="G304" s="39" t="s">
        <v>3398</v>
      </c>
      <c r="H304" s="39" t="s">
        <v>125</v>
      </c>
      <c r="I304" s="39" t="s">
        <v>125</v>
      </c>
      <c r="J304" s="39" t="s">
        <v>126</v>
      </c>
      <c r="K304" s="39" t="s">
        <v>22</v>
      </c>
      <c r="L304" s="39" t="s">
        <v>188</v>
      </c>
      <c r="M304" s="39" t="s">
        <v>356</v>
      </c>
      <c r="N304" s="39" t="s">
        <v>357</v>
      </c>
      <c r="O304" s="39"/>
      <c r="P304" s="39"/>
      <c r="Q304" s="39" t="s">
        <v>3396</v>
      </c>
      <c r="R304" s="39" t="s">
        <v>22</v>
      </c>
      <c r="S304" s="39" t="s">
        <v>3399</v>
      </c>
      <c r="T304" s="39" t="s">
        <v>359</v>
      </c>
      <c r="U304" s="39" t="s">
        <v>3400</v>
      </c>
      <c r="V304" s="39" t="s">
        <v>132</v>
      </c>
      <c r="W304" s="39" t="s">
        <v>133</v>
      </c>
      <c r="X304" s="39" t="s">
        <v>355</v>
      </c>
      <c r="Y304" s="39" t="s">
        <v>3401</v>
      </c>
      <c r="Z304" s="39" t="s">
        <v>3402</v>
      </c>
      <c r="AA304" s="39" t="s">
        <v>3403</v>
      </c>
      <c r="AB304" s="39" t="s">
        <v>3396</v>
      </c>
      <c r="AC304" s="39">
        <v>5349192</v>
      </c>
      <c r="AD304" s="39" t="s">
        <v>22</v>
      </c>
      <c r="AE304" s="39" t="s">
        <v>3404</v>
      </c>
      <c r="AF304" s="39" t="s">
        <v>22</v>
      </c>
      <c r="AG304" s="39" t="s">
        <v>3405</v>
      </c>
      <c r="AH304" s="39" t="s">
        <v>3406</v>
      </c>
      <c r="AI304" s="39" t="s">
        <v>658</v>
      </c>
      <c r="AJ304" s="39" t="s">
        <v>140</v>
      </c>
      <c r="AK304" s="39" t="s">
        <v>125</v>
      </c>
      <c r="AL304" s="39">
        <v>1800</v>
      </c>
      <c r="AM304" s="39"/>
      <c r="AN304" s="39" t="s">
        <v>352</v>
      </c>
      <c r="AO304" s="39" t="s">
        <v>367</v>
      </c>
      <c r="AP304" s="39" t="s">
        <v>143</v>
      </c>
      <c r="AQ304" s="39"/>
      <c r="AR304" s="39" t="s">
        <v>3407</v>
      </c>
      <c r="AS304" s="39"/>
      <c r="AT304" s="39" t="s">
        <v>3363</v>
      </c>
      <c r="AU304" s="39"/>
      <c r="AV304" s="39" t="s">
        <v>3408</v>
      </c>
      <c r="AW304" s="39"/>
      <c r="AX304" s="39"/>
      <c r="AY304" s="39"/>
      <c r="AZ304" s="39"/>
      <c r="BA304" s="39">
        <v>60905731</v>
      </c>
      <c r="BB304" s="39" t="s">
        <v>149</v>
      </c>
      <c r="BC304" s="39" t="s">
        <v>458</v>
      </c>
      <c r="BD304" s="39" t="s">
        <v>661</v>
      </c>
      <c r="BE304" s="39" t="s">
        <v>125</v>
      </c>
      <c r="BF304" s="39"/>
      <c r="BG304" s="39" t="s">
        <v>298</v>
      </c>
      <c r="BH304" s="39" t="s">
        <v>152</v>
      </c>
      <c r="BI304" s="39" t="s">
        <v>125</v>
      </c>
      <c r="BJ304" s="39"/>
      <c r="BK304" s="39"/>
      <c r="BL304" s="39"/>
      <c r="BM304" s="39" t="s">
        <v>154</v>
      </c>
      <c r="BN304" s="39" t="s">
        <v>155</v>
      </c>
    </row>
    <row r="305" spans="1:66" hidden="1">
      <c r="A305" s="39">
        <v>303</v>
      </c>
      <c r="B305" s="39" t="s">
        <v>118</v>
      </c>
      <c r="C305" s="39" t="s">
        <v>119</v>
      </c>
      <c r="D305" s="39"/>
      <c r="E305" s="39" t="s">
        <v>3409</v>
      </c>
      <c r="F305" s="39"/>
      <c r="G305" s="39" t="s">
        <v>3410</v>
      </c>
      <c r="H305" s="39" t="s">
        <v>3411</v>
      </c>
      <c r="I305" s="39"/>
      <c r="J305" s="39" t="s">
        <v>126</v>
      </c>
      <c r="K305" s="39" t="s">
        <v>16</v>
      </c>
      <c r="L305" s="39" t="s">
        <v>188</v>
      </c>
      <c r="M305" s="39" t="s">
        <v>356</v>
      </c>
      <c r="N305" s="39"/>
      <c r="O305" s="39"/>
      <c r="P305" s="39"/>
      <c r="Q305" s="39" t="s">
        <v>578</v>
      </c>
      <c r="R305" s="39" t="s">
        <v>16</v>
      </c>
      <c r="S305" s="39" t="s">
        <v>3412</v>
      </c>
      <c r="T305" s="39" t="s">
        <v>359</v>
      </c>
      <c r="U305" s="39" t="s">
        <v>3413</v>
      </c>
      <c r="V305" s="39" t="s">
        <v>132</v>
      </c>
      <c r="W305" s="39" t="s">
        <v>586</v>
      </c>
      <c r="X305" s="39" t="s">
        <v>126</v>
      </c>
      <c r="Y305" s="39" t="s">
        <v>134</v>
      </c>
      <c r="Z305" s="39" t="s">
        <v>587</v>
      </c>
      <c r="AA305" s="39" t="s">
        <v>588</v>
      </c>
      <c r="AB305" s="39" t="s">
        <v>578</v>
      </c>
      <c r="AC305" s="39">
        <v>5276240</v>
      </c>
      <c r="AD305" s="39" t="s">
        <v>16</v>
      </c>
      <c r="AE305" s="39" t="s">
        <v>3414</v>
      </c>
      <c r="AF305" s="39" t="s">
        <v>16</v>
      </c>
      <c r="AG305" s="39" t="s">
        <v>3415</v>
      </c>
      <c r="AH305" s="39" t="s">
        <v>3416</v>
      </c>
      <c r="AI305" s="39" t="s">
        <v>885</v>
      </c>
      <c r="AJ305" s="39" t="s">
        <v>140</v>
      </c>
      <c r="AK305" s="39" t="s">
        <v>125</v>
      </c>
      <c r="AL305" s="39">
        <v>1700</v>
      </c>
      <c r="AM305" s="39"/>
      <c r="AN305" s="39" t="s">
        <v>125</v>
      </c>
      <c r="AO305" s="39" t="s">
        <v>367</v>
      </c>
      <c r="AP305" s="39" t="s">
        <v>143</v>
      </c>
      <c r="AQ305" s="39"/>
      <c r="AR305" s="39" t="s">
        <v>592</v>
      </c>
      <c r="AS305" s="39"/>
      <c r="AT305" s="39" t="s">
        <v>3363</v>
      </c>
      <c r="AU305" s="39"/>
      <c r="AV305" s="39" t="s">
        <v>3417</v>
      </c>
      <c r="AW305" s="39"/>
      <c r="AX305" s="39"/>
      <c r="AY305" s="39"/>
      <c r="AZ305" s="39"/>
      <c r="BA305" s="39">
        <v>61156493</v>
      </c>
      <c r="BB305" s="39" t="s">
        <v>149</v>
      </c>
      <c r="BC305" s="39" t="s">
        <v>458</v>
      </c>
      <c r="BD305" s="39" t="s">
        <v>586</v>
      </c>
      <c r="BE305" s="39" t="s">
        <v>594</v>
      </c>
      <c r="BF305" s="39"/>
      <c r="BG305" s="39" t="s">
        <v>151</v>
      </c>
      <c r="BH305" s="39" t="s">
        <v>149</v>
      </c>
      <c r="BI305" s="39" t="s">
        <v>125</v>
      </c>
      <c r="BJ305" s="39"/>
      <c r="BK305" s="39"/>
      <c r="BL305" s="39"/>
      <c r="BM305" s="39" t="s">
        <v>154</v>
      </c>
      <c r="BN305" s="39"/>
    </row>
    <row r="306" spans="1:66" hidden="1">
      <c r="A306" s="39">
        <v>304</v>
      </c>
      <c r="B306" s="39" t="s">
        <v>118</v>
      </c>
      <c r="C306" s="39" t="s">
        <v>119</v>
      </c>
      <c r="D306" s="39"/>
      <c r="E306" s="39" t="s">
        <v>3418</v>
      </c>
      <c r="F306" s="39"/>
      <c r="G306" s="39" t="s">
        <v>3419</v>
      </c>
      <c r="H306" s="39" t="s">
        <v>3420</v>
      </c>
      <c r="I306" s="39"/>
      <c r="J306" s="39" t="s">
        <v>506</v>
      </c>
      <c r="K306" s="39" t="s">
        <v>16</v>
      </c>
      <c r="L306" s="39" t="s">
        <v>568</v>
      </c>
      <c r="M306" s="39" t="s">
        <v>276</v>
      </c>
      <c r="N306" s="39"/>
      <c r="O306" s="39"/>
      <c r="P306" s="39"/>
      <c r="Q306" s="39" t="s">
        <v>3421</v>
      </c>
      <c r="R306" s="39" t="s">
        <v>16</v>
      </c>
      <c r="S306" s="39" t="s">
        <v>3422</v>
      </c>
      <c r="T306" s="39" t="s">
        <v>359</v>
      </c>
      <c r="U306" s="39" t="s">
        <v>3423</v>
      </c>
      <c r="V306" s="39" t="s">
        <v>132</v>
      </c>
      <c r="W306" s="39" t="s">
        <v>924</v>
      </c>
      <c r="X306" s="39" t="s">
        <v>487</v>
      </c>
      <c r="Y306" s="39" t="s">
        <v>1756</v>
      </c>
      <c r="Z306" s="39" t="s">
        <v>135</v>
      </c>
      <c r="AA306" s="39" t="s">
        <v>1369</v>
      </c>
      <c r="AB306" s="39" t="s">
        <v>3421</v>
      </c>
      <c r="AC306" s="39">
        <v>5377685</v>
      </c>
      <c r="AD306" s="39" t="s">
        <v>16</v>
      </c>
      <c r="AE306" s="39" t="s">
        <v>3424</v>
      </c>
      <c r="AF306" s="39" t="s">
        <v>16</v>
      </c>
      <c r="AG306" s="39" t="s">
        <v>3425</v>
      </c>
      <c r="AH306" s="39" t="s">
        <v>3426</v>
      </c>
      <c r="AI306" s="39" t="s">
        <v>3427</v>
      </c>
      <c r="AJ306" s="39" t="s">
        <v>140</v>
      </c>
      <c r="AK306" s="39" t="s">
        <v>125</v>
      </c>
      <c r="AL306" s="39">
        <v>6877.9</v>
      </c>
      <c r="AM306" s="39" t="s">
        <v>2604</v>
      </c>
      <c r="AN306" s="39" t="s">
        <v>125</v>
      </c>
      <c r="AO306" s="39" t="s">
        <v>367</v>
      </c>
      <c r="AP306" s="39" t="s">
        <v>143</v>
      </c>
      <c r="AQ306" s="39" t="s">
        <v>175</v>
      </c>
      <c r="AR306" s="39" t="s">
        <v>3428</v>
      </c>
      <c r="AS306" s="39" t="s">
        <v>3429</v>
      </c>
      <c r="AT306" s="39" t="s">
        <v>3430</v>
      </c>
      <c r="AU306" s="39"/>
      <c r="AV306" s="39" t="s">
        <v>3431</v>
      </c>
      <c r="AW306" s="39"/>
      <c r="AX306" s="39"/>
      <c r="AY306" s="39"/>
      <c r="AZ306" s="39"/>
      <c r="BA306" s="39">
        <v>60370771</v>
      </c>
      <c r="BB306" s="39" t="s">
        <v>149</v>
      </c>
      <c r="BC306" s="39" t="s">
        <v>435</v>
      </c>
      <c r="BD306" s="39" t="s">
        <v>3432</v>
      </c>
      <c r="BE306" s="39" t="s">
        <v>3433</v>
      </c>
      <c r="BF306" s="39" t="s">
        <v>615</v>
      </c>
      <c r="BG306" s="39" t="s">
        <v>298</v>
      </c>
      <c r="BH306" s="39" t="s">
        <v>152</v>
      </c>
      <c r="BI306" s="39" t="s">
        <v>125</v>
      </c>
      <c r="BJ306" s="39"/>
      <c r="BK306" s="39" t="s">
        <v>153</v>
      </c>
      <c r="BL306" s="39"/>
      <c r="BM306" s="39" t="s">
        <v>240</v>
      </c>
      <c r="BN306" s="39"/>
    </row>
    <row r="307" spans="1:66" hidden="1">
      <c r="A307" s="39">
        <v>305</v>
      </c>
      <c r="B307" s="39" t="s">
        <v>118</v>
      </c>
      <c r="C307" s="39" t="s">
        <v>119</v>
      </c>
      <c r="D307" s="39"/>
      <c r="E307" s="39" t="s">
        <v>3418</v>
      </c>
      <c r="F307" s="39"/>
      <c r="G307" s="39" t="s">
        <v>3419</v>
      </c>
      <c r="H307" s="39" t="s">
        <v>3420</v>
      </c>
      <c r="I307" s="39"/>
      <c r="J307" s="39" t="s">
        <v>506</v>
      </c>
      <c r="K307" s="39" t="s">
        <v>16</v>
      </c>
      <c r="L307" s="39" t="s">
        <v>568</v>
      </c>
      <c r="M307" s="39" t="s">
        <v>276</v>
      </c>
      <c r="N307" s="39"/>
      <c r="O307" s="39"/>
      <c r="P307" s="39"/>
      <c r="Q307" s="39" t="s">
        <v>3421</v>
      </c>
      <c r="R307" s="39" t="s">
        <v>16</v>
      </c>
      <c r="S307" s="39" t="s">
        <v>3422</v>
      </c>
      <c r="T307" s="39" t="s">
        <v>359</v>
      </c>
      <c r="U307" s="39" t="s">
        <v>3423</v>
      </c>
      <c r="V307" s="39" t="s">
        <v>132</v>
      </c>
      <c r="W307" s="39" t="s">
        <v>924</v>
      </c>
      <c r="X307" s="39" t="s">
        <v>487</v>
      </c>
      <c r="Y307" s="39" t="s">
        <v>1756</v>
      </c>
      <c r="Z307" s="39" t="s">
        <v>135</v>
      </c>
      <c r="AA307" s="39" t="s">
        <v>1369</v>
      </c>
      <c r="AB307" s="39" t="s">
        <v>3421</v>
      </c>
      <c r="AC307" s="39">
        <v>5377685</v>
      </c>
      <c r="AD307" s="39" t="s">
        <v>16</v>
      </c>
      <c r="AE307" s="39" t="s">
        <v>3424</v>
      </c>
      <c r="AF307" s="39" t="s">
        <v>16</v>
      </c>
      <c r="AG307" s="39" t="s">
        <v>3425</v>
      </c>
      <c r="AH307" s="39" t="s">
        <v>3434</v>
      </c>
      <c r="AI307" s="39" t="s">
        <v>946</v>
      </c>
      <c r="AJ307" s="39" t="s">
        <v>140</v>
      </c>
      <c r="AK307" s="39" t="s">
        <v>125</v>
      </c>
      <c r="AL307" s="39">
        <v>14900</v>
      </c>
      <c r="AM307" s="39" t="s">
        <v>2604</v>
      </c>
      <c r="AN307" s="39" t="s">
        <v>125</v>
      </c>
      <c r="AO307" s="39" t="s">
        <v>367</v>
      </c>
      <c r="AP307" s="39" t="s">
        <v>143</v>
      </c>
      <c r="AQ307" s="39" t="s">
        <v>175</v>
      </c>
      <c r="AR307" s="39" t="s">
        <v>3428</v>
      </c>
      <c r="AS307" s="39" t="s">
        <v>3435</v>
      </c>
      <c r="AT307" s="39" t="s">
        <v>3430</v>
      </c>
      <c r="AU307" s="39"/>
      <c r="AV307" s="39" t="s">
        <v>3431</v>
      </c>
      <c r="AW307" s="39"/>
      <c r="AX307" s="39"/>
      <c r="AY307" s="39"/>
      <c r="AZ307" s="39"/>
      <c r="BA307" s="39">
        <v>60370771</v>
      </c>
      <c r="BB307" s="39" t="s">
        <v>149</v>
      </c>
      <c r="BC307" s="39" t="s">
        <v>435</v>
      </c>
      <c r="BD307" s="39" t="s">
        <v>3432</v>
      </c>
      <c r="BE307" s="39" t="s">
        <v>3433</v>
      </c>
      <c r="BF307" s="39" t="s">
        <v>615</v>
      </c>
      <c r="BG307" s="39" t="s">
        <v>298</v>
      </c>
      <c r="BH307" s="39" t="s">
        <v>152</v>
      </c>
      <c r="BI307" s="39" t="s">
        <v>125</v>
      </c>
      <c r="BJ307" s="39"/>
      <c r="BK307" s="39" t="s">
        <v>153</v>
      </c>
      <c r="BL307" s="39"/>
      <c r="BM307" s="39" t="s">
        <v>240</v>
      </c>
      <c r="BN307" s="39"/>
    </row>
    <row r="308" spans="1:66" hidden="1">
      <c r="A308" s="39">
        <v>306</v>
      </c>
      <c r="B308" s="39" t="s">
        <v>118</v>
      </c>
      <c r="C308" s="39" t="s">
        <v>119</v>
      </c>
      <c r="D308" s="39"/>
      <c r="E308" s="39" t="s">
        <v>3418</v>
      </c>
      <c r="F308" s="39"/>
      <c r="G308" s="39" t="s">
        <v>3419</v>
      </c>
      <c r="H308" s="39" t="s">
        <v>3420</v>
      </c>
      <c r="I308" s="39"/>
      <c r="J308" s="39" t="s">
        <v>506</v>
      </c>
      <c r="K308" s="39" t="s">
        <v>16</v>
      </c>
      <c r="L308" s="39" t="s">
        <v>568</v>
      </c>
      <c r="M308" s="39" t="s">
        <v>276</v>
      </c>
      <c r="N308" s="39"/>
      <c r="O308" s="39"/>
      <c r="P308" s="39"/>
      <c r="Q308" s="39" t="s">
        <v>3421</v>
      </c>
      <c r="R308" s="39" t="s">
        <v>16</v>
      </c>
      <c r="S308" s="39" t="s">
        <v>3422</v>
      </c>
      <c r="T308" s="39" t="s">
        <v>359</v>
      </c>
      <c r="U308" s="39" t="s">
        <v>3423</v>
      </c>
      <c r="V308" s="39" t="s">
        <v>132</v>
      </c>
      <c r="W308" s="39" t="s">
        <v>924</v>
      </c>
      <c r="X308" s="39" t="s">
        <v>487</v>
      </c>
      <c r="Y308" s="39" t="s">
        <v>1756</v>
      </c>
      <c r="Z308" s="39" t="s">
        <v>135</v>
      </c>
      <c r="AA308" s="39" t="s">
        <v>1369</v>
      </c>
      <c r="AB308" s="39" t="s">
        <v>3421</v>
      </c>
      <c r="AC308" s="39">
        <v>5377685</v>
      </c>
      <c r="AD308" s="39" t="s">
        <v>16</v>
      </c>
      <c r="AE308" s="39" t="s">
        <v>3424</v>
      </c>
      <c r="AF308" s="39" t="s">
        <v>16</v>
      </c>
      <c r="AG308" s="39" t="s">
        <v>3425</v>
      </c>
      <c r="AH308" s="39" t="s">
        <v>3436</v>
      </c>
      <c r="AI308" s="39" t="s">
        <v>3437</v>
      </c>
      <c r="AJ308" s="39" t="s">
        <v>140</v>
      </c>
      <c r="AK308" s="39" t="s">
        <v>125</v>
      </c>
      <c r="AL308" s="39">
        <v>28320</v>
      </c>
      <c r="AM308" s="39" t="s">
        <v>2604</v>
      </c>
      <c r="AN308" s="39" t="s">
        <v>125</v>
      </c>
      <c r="AO308" s="39" t="s">
        <v>367</v>
      </c>
      <c r="AP308" s="39" t="s">
        <v>143</v>
      </c>
      <c r="AQ308" s="39" t="s">
        <v>175</v>
      </c>
      <c r="AR308" s="39" t="s">
        <v>3428</v>
      </c>
      <c r="AS308" s="39" t="s">
        <v>3438</v>
      </c>
      <c r="AT308" s="39" t="s">
        <v>3430</v>
      </c>
      <c r="AU308" s="39"/>
      <c r="AV308" s="39" t="s">
        <v>3431</v>
      </c>
      <c r="AW308" s="39"/>
      <c r="AX308" s="39"/>
      <c r="AY308" s="39"/>
      <c r="AZ308" s="39"/>
      <c r="BA308" s="39">
        <v>60370771</v>
      </c>
      <c r="BB308" s="39" t="s">
        <v>149</v>
      </c>
      <c r="BC308" s="39" t="s">
        <v>435</v>
      </c>
      <c r="BD308" s="39" t="s">
        <v>3432</v>
      </c>
      <c r="BE308" s="39" t="s">
        <v>3433</v>
      </c>
      <c r="BF308" s="39" t="s">
        <v>615</v>
      </c>
      <c r="BG308" s="39" t="s">
        <v>298</v>
      </c>
      <c r="BH308" s="39" t="s">
        <v>152</v>
      </c>
      <c r="BI308" s="39" t="s">
        <v>125</v>
      </c>
      <c r="BJ308" s="39"/>
      <c r="BK308" s="39" t="s">
        <v>153</v>
      </c>
      <c r="BL308" s="39"/>
      <c r="BM308" s="39" t="s">
        <v>240</v>
      </c>
      <c r="BN308" s="39"/>
    </row>
    <row r="309" spans="1:66" hidden="1">
      <c r="A309" s="39">
        <v>307</v>
      </c>
      <c r="B309" s="39" t="s">
        <v>118</v>
      </c>
      <c r="C309" s="39" t="s">
        <v>119</v>
      </c>
      <c r="D309" s="39"/>
      <c r="E309" s="39" t="s">
        <v>3418</v>
      </c>
      <c r="F309" s="39"/>
      <c r="G309" s="39" t="s">
        <v>3419</v>
      </c>
      <c r="H309" s="39" t="s">
        <v>3420</v>
      </c>
      <c r="I309" s="39"/>
      <c r="J309" s="39" t="s">
        <v>506</v>
      </c>
      <c r="K309" s="39" t="s">
        <v>16</v>
      </c>
      <c r="L309" s="39" t="s">
        <v>568</v>
      </c>
      <c r="M309" s="39" t="s">
        <v>276</v>
      </c>
      <c r="N309" s="39"/>
      <c r="O309" s="39"/>
      <c r="P309" s="39"/>
      <c r="Q309" s="39" t="s">
        <v>3421</v>
      </c>
      <c r="R309" s="39" t="s">
        <v>16</v>
      </c>
      <c r="S309" s="39" t="s">
        <v>3422</v>
      </c>
      <c r="T309" s="39" t="s">
        <v>359</v>
      </c>
      <c r="U309" s="39" t="s">
        <v>3423</v>
      </c>
      <c r="V309" s="39" t="s">
        <v>132</v>
      </c>
      <c r="W309" s="39" t="s">
        <v>924</v>
      </c>
      <c r="X309" s="39" t="s">
        <v>487</v>
      </c>
      <c r="Y309" s="39" t="s">
        <v>1756</v>
      </c>
      <c r="Z309" s="39" t="s">
        <v>135</v>
      </c>
      <c r="AA309" s="39" t="s">
        <v>1369</v>
      </c>
      <c r="AB309" s="39" t="s">
        <v>3421</v>
      </c>
      <c r="AC309" s="39">
        <v>5377685</v>
      </c>
      <c r="AD309" s="39" t="s">
        <v>16</v>
      </c>
      <c r="AE309" s="39" t="s">
        <v>3424</v>
      </c>
      <c r="AF309" s="39" t="s">
        <v>16</v>
      </c>
      <c r="AG309" s="39" t="s">
        <v>3425</v>
      </c>
      <c r="AH309" s="39" t="s">
        <v>3439</v>
      </c>
      <c r="AI309" s="39" t="s">
        <v>3440</v>
      </c>
      <c r="AJ309" s="39" t="s">
        <v>140</v>
      </c>
      <c r="AK309" s="39" t="s">
        <v>125</v>
      </c>
      <c r="AL309" s="39">
        <v>15355.3</v>
      </c>
      <c r="AM309" s="39" t="s">
        <v>2604</v>
      </c>
      <c r="AN309" s="39" t="s">
        <v>125</v>
      </c>
      <c r="AO309" s="39" t="s">
        <v>367</v>
      </c>
      <c r="AP309" s="39" t="s">
        <v>143</v>
      </c>
      <c r="AQ309" s="39" t="s">
        <v>175</v>
      </c>
      <c r="AR309" s="39" t="s">
        <v>3428</v>
      </c>
      <c r="AS309" s="39" t="s">
        <v>3441</v>
      </c>
      <c r="AT309" s="39" t="s">
        <v>3430</v>
      </c>
      <c r="AU309" s="39"/>
      <c r="AV309" s="39" t="s">
        <v>3431</v>
      </c>
      <c r="AW309" s="39"/>
      <c r="AX309" s="39"/>
      <c r="AY309" s="39"/>
      <c r="AZ309" s="39"/>
      <c r="BA309" s="39">
        <v>60370771</v>
      </c>
      <c r="BB309" s="39" t="s">
        <v>149</v>
      </c>
      <c r="BC309" s="39" t="s">
        <v>435</v>
      </c>
      <c r="BD309" s="39" t="s">
        <v>3432</v>
      </c>
      <c r="BE309" s="39" t="s">
        <v>3433</v>
      </c>
      <c r="BF309" s="39" t="s">
        <v>615</v>
      </c>
      <c r="BG309" s="39" t="s">
        <v>298</v>
      </c>
      <c r="BH309" s="39" t="s">
        <v>152</v>
      </c>
      <c r="BI309" s="39" t="s">
        <v>125</v>
      </c>
      <c r="BJ309" s="39"/>
      <c r="BK309" s="39" t="s">
        <v>153</v>
      </c>
      <c r="BL309" s="39"/>
      <c r="BM309" s="39" t="s">
        <v>240</v>
      </c>
      <c r="BN309" s="39"/>
    </row>
    <row r="310" spans="1:66" hidden="1">
      <c r="A310" s="39">
        <v>308</v>
      </c>
      <c r="B310" s="39" t="s">
        <v>118</v>
      </c>
      <c r="C310" s="39" t="s">
        <v>119</v>
      </c>
      <c r="D310" s="39"/>
      <c r="E310" s="39" t="s">
        <v>3418</v>
      </c>
      <c r="F310" s="39"/>
      <c r="G310" s="39" t="s">
        <v>3419</v>
      </c>
      <c r="H310" s="39" t="s">
        <v>3420</v>
      </c>
      <c r="I310" s="39"/>
      <c r="J310" s="39" t="s">
        <v>506</v>
      </c>
      <c r="K310" s="39" t="s">
        <v>16</v>
      </c>
      <c r="L310" s="39" t="s">
        <v>568</v>
      </c>
      <c r="M310" s="39" t="s">
        <v>276</v>
      </c>
      <c r="N310" s="39"/>
      <c r="O310" s="39"/>
      <c r="P310" s="39"/>
      <c r="Q310" s="39" t="s">
        <v>3421</v>
      </c>
      <c r="R310" s="39" t="s">
        <v>16</v>
      </c>
      <c r="S310" s="39" t="s">
        <v>3422</v>
      </c>
      <c r="T310" s="39" t="s">
        <v>359</v>
      </c>
      <c r="U310" s="39" t="s">
        <v>3423</v>
      </c>
      <c r="V310" s="39" t="s">
        <v>132</v>
      </c>
      <c r="W310" s="39" t="s">
        <v>924</v>
      </c>
      <c r="X310" s="39" t="s">
        <v>487</v>
      </c>
      <c r="Y310" s="39" t="s">
        <v>1756</v>
      </c>
      <c r="Z310" s="39" t="s">
        <v>135</v>
      </c>
      <c r="AA310" s="39" t="s">
        <v>1369</v>
      </c>
      <c r="AB310" s="39" t="s">
        <v>3421</v>
      </c>
      <c r="AC310" s="39">
        <v>5377685</v>
      </c>
      <c r="AD310" s="39" t="s">
        <v>16</v>
      </c>
      <c r="AE310" s="39" t="s">
        <v>3424</v>
      </c>
      <c r="AF310" s="39" t="s">
        <v>16</v>
      </c>
      <c r="AG310" s="39" t="s">
        <v>3425</v>
      </c>
      <c r="AH310" s="39" t="s">
        <v>3442</v>
      </c>
      <c r="AI310" s="39" t="s">
        <v>3443</v>
      </c>
      <c r="AJ310" s="39" t="s">
        <v>140</v>
      </c>
      <c r="AK310" s="39" t="s">
        <v>125</v>
      </c>
      <c r="AL310" s="39">
        <v>11300</v>
      </c>
      <c r="AM310" s="39" t="s">
        <v>2604</v>
      </c>
      <c r="AN310" s="39" t="s">
        <v>125</v>
      </c>
      <c r="AO310" s="39" t="s">
        <v>367</v>
      </c>
      <c r="AP310" s="39" t="s">
        <v>143</v>
      </c>
      <c r="AQ310" s="39" t="s">
        <v>175</v>
      </c>
      <c r="AR310" s="39" t="s">
        <v>3428</v>
      </c>
      <c r="AS310" s="39" t="s">
        <v>3444</v>
      </c>
      <c r="AT310" s="39" t="s">
        <v>3430</v>
      </c>
      <c r="AU310" s="39"/>
      <c r="AV310" s="39" t="s">
        <v>3431</v>
      </c>
      <c r="AW310" s="39"/>
      <c r="AX310" s="39"/>
      <c r="AY310" s="39"/>
      <c r="AZ310" s="39"/>
      <c r="BA310" s="39">
        <v>60370771</v>
      </c>
      <c r="BB310" s="39" t="s">
        <v>149</v>
      </c>
      <c r="BC310" s="39" t="s">
        <v>435</v>
      </c>
      <c r="BD310" s="39" t="s">
        <v>3432</v>
      </c>
      <c r="BE310" s="39" t="s">
        <v>3433</v>
      </c>
      <c r="BF310" s="39" t="s">
        <v>615</v>
      </c>
      <c r="BG310" s="39" t="s">
        <v>298</v>
      </c>
      <c r="BH310" s="39" t="s">
        <v>152</v>
      </c>
      <c r="BI310" s="39" t="s">
        <v>125</v>
      </c>
      <c r="BJ310" s="39"/>
      <c r="BK310" s="39" t="s">
        <v>153</v>
      </c>
      <c r="BL310" s="39"/>
      <c r="BM310" s="39" t="s">
        <v>240</v>
      </c>
      <c r="BN310" s="39"/>
    </row>
    <row r="311" spans="1:66" hidden="1">
      <c r="A311" s="39">
        <v>309</v>
      </c>
      <c r="B311" s="39" t="s">
        <v>118</v>
      </c>
      <c r="C311" s="39" t="s">
        <v>119</v>
      </c>
      <c r="D311" s="39"/>
      <c r="E311" s="39" t="s">
        <v>3418</v>
      </c>
      <c r="F311" s="39"/>
      <c r="G311" s="39" t="s">
        <v>3419</v>
      </c>
      <c r="H311" s="39" t="s">
        <v>3420</v>
      </c>
      <c r="I311" s="39"/>
      <c r="J311" s="39" t="s">
        <v>506</v>
      </c>
      <c r="K311" s="39" t="s">
        <v>16</v>
      </c>
      <c r="L311" s="39" t="s">
        <v>568</v>
      </c>
      <c r="M311" s="39" t="s">
        <v>276</v>
      </c>
      <c r="N311" s="39"/>
      <c r="O311" s="39"/>
      <c r="P311" s="39"/>
      <c r="Q311" s="39" t="s">
        <v>3421</v>
      </c>
      <c r="R311" s="39" t="s">
        <v>16</v>
      </c>
      <c r="S311" s="39" t="s">
        <v>3422</v>
      </c>
      <c r="T311" s="39" t="s">
        <v>359</v>
      </c>
      <c r="U311" s="39" t="s">
        <v>3423</v>
      </c>
      <c r="V311" s="39" t="s">
        <v>132</v>
      </c>
      <c r="W311" s="39" t="s">
        <v>924</v>
      </c>
      <c r="X311" s="39" t="s">
        <v>487</v>
      </c>
      <c r="Y311" s="39" t="s">
        <v>1756</v>
      </c>
      <c r="Z311" s="39" t="s">
        <v>135</v>
      </c>
      <c r="AA311" s="39" t="s">
        <v>1369</v>
      </c>
      <c r="AB311" s="39" t="s">
        <v>3421</v>
      </c>
      <c r="AC311" s="39">
        <v>5377685</v>
      </c>
      <c r="AD311" s="39" t="s">
        <v>16</v>
      </c>
      <c r="AE311" s="39" t="s">
        <v>3424</v>
      </c>
      <c r="AF311" s="39" t="s">
        <v>16</v>
      </c>
      <c r="AG311" s="39" t="s">
        <v>3425</v>
      </c>
      <c r="AH311" s="39" t="s">
        <v>3445</v>
      </c>
      <c r="AI311" s="39" t="s">
        <v>3446</v>
      </c>
      <c r="AJ311" s="39" t="s">
        <v>140</v>
      </c>
      <c r="AK311" s="39" t="s">
        <v>125</v>
      </c>
      <c r="AL311" s="39">
        <v>8100</v>
      </c>
      <c r="AM311" s="39" t="s">
        <v>2604</v>
      </c>
      <c r="AN311" s="39" t="s">
        <v>125</v>
      </c>
      <c r="AO311" s="39" t="s">
        <v>367</v>
      </c>
      <c r="AP311" s="39" t="s">
        <v>143</v>
      </c>
      <c r="AQ311" s="39" t="s">
        <v>175</v>
      </c>
      <c r="AR311" s="39" t="s">
        <v>3428</v>
      </c>
      <c r="AS311" s="39" t="s">
        <v>3447</v>
      </c>
      <c r="AT311" s="39" t="s">
        <v>3430</v>
      </c>
      <c r="AU311" s="39"/>
      <c r="AV311" s="39" t="s">
        <v>3431</v>
      </c>
      <c r="AW311" s="39"/>
      <c r="AX311" s="39"/>
      <c r="AY311" s="39"/>
      <c r="AZ311" s="39"/>
      <c r="BA311" s="39">
        <v>60370771</v>
      </c>
      <c r="BB311" s="39" t="s">
        <v>149</v>
      </c>
      <c r="BC311" s="39" t="s">
        <v>435</v>
      </c>
      <c r="BD311" s="39" t="s">
        <v>3432</v>
      </c>
      <c r="BE311" s="39" t="s">
        <v>3433</v>
      </c>
      <c r="BF311" s="39" t="s">
        <v>615</v>
      </c>
      <c r="BG311" s="39" t="s">
        <v>298</v>
      </c>
      <c r="BH311" s="39" t="s">
        <v>152</v>
      </c>
      <c r="BI311" s="39" t="s">
        <v>125</v>
      </c>
      <c r="BJ311" s="39"/>
      <c r="BK311" s="39" t="s">
        <v>153</v>
      </c>
      <c r="BL311" s="39"/>
      <c r="BM311" s="39" t="s">
        <v>240</v>
      </c>
      <c r="BN311" s="39"/>
    </row>
    <row r="312" spans="1:66" hidden="1">
      <c r="A312" s="39">
        <v>310</v>
      </c>
      <c r="B312" s="39" t="s">
        <v>118</v>
      </c>
      <c r="C312" s="39" t="s">
        <v>119</v>
      </c>
      <c r="D312" s="39"/>
      <c r="E312" s="39" t="s">
        <v>3418</v>
      </c>
      <c r="F312" s="39"/>
      <c r="G312" s="39" t="s">
        <v>3419</v>
      </c>
      <c r="H312" s="39" t="s">
        <v>3420</v>
      </c>
      <c r="I312" s="39"/>
      <c r="J312" s="39" t="s">
        <v>506</v>
      </c>
      <c r="K312" s="39" t="s">
        <v>16</v>
      </c>
      <c r="L312" s="39" t="s">
        <v>568</v>
      </c>
      <c r="M312" s="39" t="s">
        <v>276</v>
      </c>
      <c r="N312" s="39"/>
      <c r="O312" s="39"/>
      <c r="P312" s="39"/>
      <c r="Q312" s="39" t="s">
        <v>3421</v>
      </c>
      <c r="R312" s="39" t="s">
        <v>16</v>
      </c>
      <c r="S312" s="39" t="s">
        <v>3422</v>
      </c>
      <c r="T312" s="39" t="s">
        <v>359</v>
      </c>
      <c r="U312" s="39" t="s">
        <v>3423</v>
      </c>
      <c r="V312" s="39" t="s">
        <v>132</v>
      </c>
      <c r="W312" s="39" t="s">
        <v>924</v>
      </c>
      <c r="X312" s="39" t="s">
        <v>487</v>
      </c>
      <c r="Y312" s="39" t="s">
        <v>1756</v>
      </c>
      <c r="Z312" s="39" t="s">
        <v>135</v>
      </c>
      <c r="AA312" s="39" t="s">
        <v>1369</v>
      </c>
      <c r="AB312" s="39" t="s">
        <v>3421</v>
      </c>
      <c r="AC312" s="39">
        <v>5377685</v>
      </c>
      <c r="AD312" s="39" t="s">
        <v>16</v>
      </c>
      <c r="AE312" s="39" t="s">
        <v>3424</v>
      </c>
      <c r="AF312" s="39" t="s">
        <v>16</v>
      </c>
      <c r="AG312" s="39" t="s">
        <v>3425</v>
      </c>
      <c r="AH312" s="39" t="s">
        <v>3448</v>
      </c>
      <c r="AI312" s="39" t="s">
        <v>949</v>
      </c>
      <c r="AJ312" s="39" t="s">
        <v>140</v>
      </c>
      <c r="AK312" s="39" t="s">
        <v>125</v>
      </c>
      <c r="AL312" s="39">
        <v>9703.7999999999993</v>
      </c>
      <c r="AM312" s="39" t="s">
        <v>2604</v>
      </c>
      <c r="AN312" s="39" t="s">
        <v>125</v>
      </c>
      <c r="AO312" s="39" t="s">
        <v>367</v>
      </c>
      <c r="AP312" s="39" t="s">
        <v>143</v>
      </c>
      <c r="AQ312" s="39" t="s">
        <v>175</v>
      </c>
      <c r="AR312" s="39" t="s">
        <v>3428</v>
      </c>
      <c r="AS312" s="39" t="s">
        <v>3449</v>
      </c>
      <c r="AT312" s="39" t="s">
        <v>3430</v>
      </c>
      <c r="AU312" s="39"/>
      <c r="AV312" s="39" t="s">
        <v>3431</v>
      </c>
      <c r="AW312" s="39"/>
      <c r="AX312" s="39"/>
      <c r="AY312" s="39"/>
      <c r="AZ312" s="39"/>
      <c r="BA312" s="39">
        <v>60370771</v>
      </c>
      <c r="BB312" s="39" t="s">
        <v>149</v>
      </c>
      <c r="BC312" s="39" t="s">
        <v>435</v>
      </c>
      <c r="BD312" s="39" t="s">
        <v>3432</v>
      </c>
      <c r="BE312" s="39" t="s">
        <v>3433</v>
      </c>
      <c r="BF312" s="39" t="s">
        <v>615</v>
      </c>
      <c r="BG312" s="39" t="s">
        <v>298</v>
      </c>
      <c r="BH312" s="39" t="s">
        <v>152</v>
      </c>
      <c r="BI312" s="39" t="s">
        <v>125</v>
      </c>
      <c r="BJ312" s="39"/>
      <c r="BK312" s="39" t="s">
        <v>153</v>
      </c>
      <c r="BL312" s="39"/>
      <c r="BM312" s="39" t="s">
        <v>240</v>
      </c>
      <c r="BN312" s="39"/>
    </row>
    <row r="313" spans="1:66" hidden="1">
      <c r="A313" s="39">
        <v>311</v>
      </c>
      <c r="B313" s="39" t="s">
        <v>118</v>
      </c>
      <c r="C313" s="39" t="s">
        <v>119</v>
      </c>
      <c r="D313" s="39"/>
      <c r="E313" s="39" t="s">
        <v>3418</v>
      </c>
      <c r="F313" s="39"/>
      <c r="G313" s="39" t="s">
        <v>3419</v>
      </c>
      <c r="H313" s="39" t="s">
        <v>3420</v>
      </c>
      <c r="I313" s="39"/>
      <c r="J313" s="39" t="s">
        <v>506</v>
      </c>
      <c r="K313" s="39" t="s">
        <v>16</v>
      </c>
      <c r="L313" s="39" t="s">
        <v>568</v>
      </c>
      <c r="M313" s="39" t="s">
        <v>276</v>
      </c>
      <c r="N313" s="39"/>
      <c r="O313" s="39"/>
      <c r="P313" s="39"/>
      <c r="Q313" s="39" t="s">
        <v>3421</v>
      </c>
      <c r="R313" s="39" t="s">
        <v>16</v>
      </c>
      <c r="S313" s="39" t="s">
        <v>3422</v>
      </c>
      <c r="T313" s="39" t="s">
        <v>359</v>
      </c>
      <c r="U313" s="39" t="s">
        <v>3423</v>
      </c>
      <c r="V313" s="39" t="s">
        <v>132</v>
      </c>
      <c r="W313" s="39" t="s">
        <v>924</v>
      </c>
      <c r="X313" s="39" t="s">
        <v>487</v>
      </c>
      <c r="Y313" s="39" t="s">
        <v>1756</v>
      </c>
      <c r="Z313" s="39" t="s">
        <v>135</v>
      </c>
      <c r="AA313" s="39" t="s">
        <v>1369</v>
      </c>
      <c r="AB313" s="39" t="s">
        <v>3421</v>
      </c>
      <c r="AC313" s="39">
        <v>5377685</v>
      </c>
      <c r="AD313" s="39" t="s">
        <v>16</v>
      </c>
      <c r="AE313" s="39" t="s">
        <v>3424</v>
      </c>
      <c r="AF313" s="39" t="s">
        <v>16</v>
      </c>
      <c r="AG313" s="39" t="s">
        <v>3425</v>
      </c>
      <c r="AH313" s="39" t="s">
        <v>3450</v>
      </c>
      <c r="AI313" s="39" t="s">
        <v>3451</v>
      </c>
      <c r="AJ313" s="39" t="s">
        <v>140</v>
      </c>
      <c r="AK313" s="39" t="s">
        <v>125</v>
      </c>
      <c r="AL313" s="39">
        <v>9743</v>
      </c>
      <c r="AM313" s="39" t="s">
        <v>2604</v>
      </c>
      <c r="AN313" s="39" t="s">
        <v>125</v>
      </c>
      <c r="AO313" s="39" t="s">
        <v>367</v>
      </c>
      <c r="AP313" s="39" t="s">
        <v>143</v>
      </c>
      <c r="AQ313" s="39" t="s">
        <v>175</v>
      </c>
      <c r="AR313" s="39" t="s">
        <v>3428</v>
      </c>
      <c r="AS313" s="39" t="s">
        <v>3452</v>
      </c>
      <c r="AT313" s="39" t="s">
        <v>3430</v>
      </c>
      <c r="AU313" s="39"/>
      <c r="AV313" s="39" t="s">
        <v>3431</v>
      </c>
      <c r="AW313" s="39"/>
      <c r="AX313" s="39"/>
      <c r="AY313" s="39"/>
      <c r="AZ313" s="39"/>
      <c r="BA313" s="39">
        <v>60370771</v>
      </c>
      <c r="BB313" s="39" t="s">
        <v>149</v>
      </c>
      <c r="BC313" s="39" t="s">
        <v>435</v>
      </c>
      <c r="BD313" s="39" t="s">
        <v>3432</v>
      </c>
      <c r="BE313" s="39" t="s">
        <v>3433</v>
      </c>
      <c r="BF313" s="39" t="s">
        <v>615</v>
      </c>
      <c r="BG313" s="39" t="s">
        <v>298</v>
      </c>
      <c r="BH313" s="39" t="s">
        <v>152</v>
      </c>
      <c r="BI313" s="39" t="s">
        <v>125</v>
      </c>
      <c r="BJ313" s="39"/>
      <c r="BK313" s="39" t="s">
        <v>153</v>
      </c>
      <c r="BL313" s="39"/>
      <c r="BM313" s="39" t="s">
        <v>240</v>
      </c>
      <c r="BN313" s="39"/>
    </row>
    <row r="314" spans="1:66" hidden="1">
      <c r="A314" s="39">
        <v>312</v>
      </c>
      <c r="B314" s="39" t="s">
        <v>118</v>
      </c>
      <c r="C314" s="39" t="s">
        <v>119</v>
      </c>
      <c r="D314" s="39" t="s">
        <v>3453</v>
      </c>
      <c r="E314" s="39" t="s">
        <v>3454</v>
      </c>
      <c r="F314" s="39" t="s">
        <v>258</v>
      </c>
      <c r="G314" s="39" t="s">
        <v>3455</v>
      </c>
      <c r="H314" s="39" t="s">
        <v>3456</v>
      </c>
      <c r="I314" s="39" t="s">
        <v>3457</v>
      </c>
      <c r="J314" s="39"/>
      <c r="K314" s="39" t="s">
        <v>303</v>
      </c>
      <c r="L314" s="39" t="s">
        <v>263</v>
      </c>
      <c r="M314" s="39" t="s">
        <v>3037</v>
      </c>
      <c r="N314" s="39" t="s">
        <v>125</v>
      </c>
      <c r="O314" s="39" t="s">
        <v>303</v>
      </c>
      <c r="P314" s="39" t="s">
        <v>3458</v>
      </c>
      <c r="Q314" s="39" t="s">
        <v>3459</v>
      </c>
      <c r="R314" s="39" t="s">
        <v>23</v>
      </c>
      <c r="S314" s="39" t="s">
        <v>3460</v>
      </c>
      <c r="T314" s="39" t="s">
        <v>130</v>
      </c>
      <c r="U314" s="39" t="s">
        <v>3461</v>
      </c>
      <c r="V314" s="39" t="s">
        <v>132</v>
      </c>
      <c r="W314" s="39" t="s">
        <v>168</v>
      </c>
      <c r="X314" s="39" t="s">
        <v>126</v>
      </c>
      <c r="Y314" s="39" t="s">
        <v>3462</v>
      </c>
      <c r="Z314" s="39" t="s">
        <v>573</v>
      </c>
      <c r="AA314" s="39" t="s">
        <v>631</v>
      </c>
      <c r="AB314" s="39" t="s">
        <v>3459</v>
      </c>
      <c r="AC314" s="39">
        <v>5376950</v>
      </c>
      <c r="AD314" s="39" t="s">
        <v>23</v>
      </c>
      <c r="AE314" s="39" t="s">
        <v>3463</v>
      </c>
      <c r="AF314" s="39" t="s">
        <v>23</v>
      </c>
      <c r="AG314" s="39" t="s">
        <v>3463</v>
      </c>
      <c r="AH314" s="39" t="s">
        <v>838</v>
      </c>
      <c r="AI314" s="39" t="s">
        <v>179</v>
      </c>
      <c r="AJ314" s="39" t="s">
        <v>140</v>
      </c>
      <c r="AK314" s="39" t="s">
        <v>125</v>
      </c>
      <c r="AL314" s="39">
        <v>5680</v>
      </c>
      <c r="AM314" s="39"/>
      <c r="AN314" s="39" t="s">
        <v>125</v>
      </c>
      <c r="AO314" s="39" t="s">
        <v>142</v>
      </c>
      <c r="AP314" s="39" t="s">
        <v>143</v>
      </c>
      <c r="AQ314" s="39" t="s">
        <v>293</v>
      </c>
      <c r="AR314" s="39" t="s">
        <v>3464</v>
      </c>
      <c r="AS314" s="39" t="s">
        <v>3465</v>
      </c>
      <c r="AT314" s="39" t="s">
        <v>3430</v>
      </c>
      <c r="AU314" s="39"/>
      <c r="AV314" s="39" t="s">
        <v>3466</v>
      </c>
      <c r="AW314" s="39"/>
      <c r="AX314" s="39"/>
      <c r="AY314" s="39"/>
      <c r="AZ314" s="39"/>
      <c r="BA314" s="39">
        <v>70068593</v>
      </c>
      <c r="BB314" s="39" t="s">
        <v>149</v>
      </c>
      <c r="BC314" s="39" t="s">
        <v>150</v>
      </c>
      <c r="BD314" s="39" t="s">
        <v>539</v>
      </c>
      <c r="BE314" s="39" t="s">
        <v>125</v>
      </c>
      <c r="BF314" s="39"/>
      <c r="BG314" s="39" t="s">
        <v>637</v>
      </c>
      <c r="BH314" s="39" t="s">
        <v>152</v>
      </c>
      <c r="BI314" s="39" t="s">
        <v>125</v>
      </c>
      <c r="BJ314" s="39"/>
      <c r="BK314" s="39" t="s">
        <v>153</v>
      </c>
      <c r="BL314" s="39"/>
      <c r="BM314" s="39" t="s">
        <v>205</v>
      </c>
      <c r="BN314" s="39" t="s">
        <v>915</v>
      </c>
    </row>
    <row r="315" spans="1:66" hidden="1">
      <c r="A315" s="39">
        <v>313</v>
      </c>
      <c r="B315" s="39" t="s">
        <v>118</v>
      </c>
      <c r="C315" s="39" t="s">
        <v>119</v>
      </c>
      <c r="D315" s="39" t="s">
        <v>3467</v>
      </c>
      <c r="E315" s="39" t="s">
        <v>3468</v>
      </c>
      <c r="F315" s="39" t="s">
        <v>1669</v>
      </c>
      <c r="G315" s="39" t="s">
        <v>3469</v>
      </c>
      <c r="H315" s="39" t="s">
        <v>3470</v>
      </c>
      <c r="I315" s="39"/>
      <c r="J315" s="39" t="s">
        <v>355</v>
      </c>
      <c r="K315" s="39" t="s">
        <v>22</v>
      </c>
      <c r="L315" s="39" t="s">
        <v>188</v>
      </c>
      <c r="M315" s="39" t="s">
        <v>356</v>
      </c>
      <c r="N315" s="39" t="s">
        <v>1672</v>
      </c>
      <c r="O315" s="39"/>
      <c r="P315" s="39"/>
      <c r="Q315" s="39" t="s">
        <v>3467</v>
      </c>
      <c r="R315" s="39" t="s">
        <v>22</v>
      </c>
      <c r="S315" s="39" t="s">
        <v>3471</v>
      </c>
      <c r="T315" s="39" t="s">
        <v>359</v>
      </c>
      <c r="U315" s="39" t="s">
        <v>3472</v>
      </c>
      <c r="V315" s="39" t="s">
        <v>132</v>
      </c>
      <c r="W315" s="39" t="s">
        <v>133</v>
      </c>
      <c r="X315" s="39" t="s">
        <v>355</v>
      </c>
      <c r="Y315" s="39" t="s">
        <v>3473</v>
      </c>
      <c r="Z315" s="39" t="s">
        <v>3474</v>
      </c>
      <c r="AA315" s="39" t="s">
        <v>3331</v>
      </c>
      <c r="AB315" s="39" t="s">
        <v>3467</v>
      </c>
      <c r="AC315" s="39">
        <v>5348383</v>
      </c>
      <c r="AD315" s="39" t="s">
        <v>22</v>
      </c>
      <c r="AE315" s="39" t="s">
        <v>3475</v>
      </c>
      <c r="AF315" s="39" t="s">
        <v>22</v>
      </c>
      <c r="AG315" s="39" t="s">
        <v>3476</v>
      </c>
      <c r="AH315" s="39" t="s">
        <v>3477</v>
      </c>
      <c r="AI315" s="39" t="s">
        <v>658</v>
      </c>
      <c r="AJ315" s="39" t="s">
        <v>140</v>
      </c>
      <c r="AK315" s="39" t="s">
        <v>125</v>
      </c>
      <c r="AL315" s="39">
        <v>3600</v>
      </c>
      <c r="AM315" s="39"/>
      <c r="AN315" s="39" t="s">
        <v>1669</v>
      </c>
      <c r="AO315" s="39" t="s">
        <v>367</v>
      </c>
      <c r="AP315" s="39" t="s">
        <v>143</v>
      </c>
      <c r="AQ315" s="39"/>
      <c r="AR315" s="39" t="s">
        <v>3478</v>
      </c>
      <c r="AS315" s="39"/>
      <c r="AT315" s="39" t="s">
        <v>3430</v>
      </c>
      <c r="AU315" s="39"/>
      <c r="AV315" s="39" t="s">
        <v>3479</v>
      </c>
      <c r="AW315" s="39"/>
      <c r="AX315" s="39"/>
      <c r="AY315" s="39"/>
      <c r="AZ315" s="39"/>
      <c r="BA315" s="39">
        <v>69946600</v>
      </c>
      <c r="BB315" s="39" t="s">
        <v>149</v>
      </c>
      <c r="BC315" s="39" t="s">
        <v>458</v>
      </c>
      <c r="BD315" s="39" t="s">
        <v>661</v>
      </c>
      <c r="BE315" s="39" t="s">
        <v>125</v>
      </c>
      <c r="BF315" s="39"/>
      <c r="BG315" s="39" t="s">
        <v>151</v>
      </c>
      <c r="BH315" s="39" t="s">
        <v>152</v>
      </c>
      <c r="BI315" s="39" t="s">
        <v>125</v>
      </c>
      <c r="BJ315" s="39"/>
      <c r="BK315" s="39"/>
      <c r="BL315" s="39"/>
      <c r="BM315" s="39" t="s">
        <v>154</v>
      </c>
      <c r="BN315" s="39" t="s">
        <v>356</v>
      </c>
    </row>
    <row r="316" spans="1:66" hidden="1">
      <c r="A316" s="39">
        <v>314</v>
      </c>
      <c r="B316" s="39" t="s">
        <v>118</v>
      </c>
      <c r="C316" s="39" t="s">
        <v>119</v>
      </c>
      <c r="D316" s="39" t="s">
        <v>3480</v>
      </c>
      <c r="E316" s="39" t="s">
        <v>3481</v>
      </c>
      <c r="F316" s="39" t="s">
        <v>258</v>
      </c>
      <c r="G316" s="39" t="s">
        <v>3482</v>
      </c>
      <c r="H316" s="39" t="s">
        <v>3483</v>
      </c>
      <c r="I316" s="39" t="s">
        <v>1527</v>
      </c>
      <c r="J316" s="39"/>
      <c r="K316" s="39" t="s">
        <v>525</v>
      </c>
      <c r="L316" s="39" t="s">
        <v>263</v>
      </c>
      <c r="M316" s="39" t="s">
        <v>1528</v>
      </c>
      <c r="N316" s="39" t="s">
        <v>125</v>
      </c>
      <c r="O316" s="39" t="s">
        <v>525</v>
      </c>
      <c r="P316" s="39" t="s">
        <v>3484</v>
      </c>
      <c r="Q316" s="39" t="s">
        <v>3485</v>
      </c>
      <c r="R316" s="39" t="s">
        <v>24</v>
      </c>
      <c r="S316" s="39" t="s">
        <v>3486</v>
      </c>
      <c r="T316" s="39" t="s">
        <v>130</v>
      </c>
      <c r="U316" s="39" t="s">
        <v>3487</v>
      </c>
      <c r="V316" s="39" t="s">
        <v>132</v>
      </c>
      <c r="W316" s="39" t="s">
        <v>168</v>
      </c>
      <c r="X316" s="39" t="s">
        <v>126</v>
      </c>
      <c r="Y316" s="39" t="s">
        <v>3488</v>
      </c>
      <c r="Z316" s="39" t="s">
        <v>3489</v>
      </c>
      <c r="AA316" s="39" t="s">
        <v>3490</v>
      </c>
      <c r="AB316" s="39" t="s">
        <v>3485</v>
      </c>
      <c r="AC316" s="39">
        <v>5275949</v>
      </c>
      <c r="AD316" s="39" t="s">
        <v>24</v>
      </c>
      <c r="AE316" s="39" t="s">
        <v>3491</v>
      </c>
      <c r="AF316" s="39" t="s">
        <v>24</v>
      </c>
      <c r="AG316" s="39" t="s">
        <v>3492</v>
      </c>
      <c r="AH316" s="39" t="s">
        <v>838</v>
      </c>
      <c r="AI316" s="39" t="s">
        <v>179</v>
      </c>
      <c r="AJ316" s="39" t="s">
        <v>140</v>
      </c>
      <c r="AK316" s="39" t="s">
        <v>125</v>
      </c>
      <c r="AL316" s="39">
        <v>5680</v>
      </c>
      <c r="AM316" s="39"/>
      <c r="AN316" s="39" t="s">
        <v>125</v>
      </c>
      <c r="AO316" s="39" t="s">
        <v>142</v>
      </c>
      <c r="AP316" s="39" t="s">
        <v>143</v>
      </c>
      <c r="AQ316" s="39" t="s">
        <v>144</v>
      </c>
      <c r="AR316" s="39" t="s">
        <v>3493</v>
      </c>
      <c r="AS316" s="39" t="s">
        <v>3494</v>
      </c>
      <c r="AT316" s="39" t="s">
        <v>3430</v>
      </c>
      <c r="AU316" s="39"/>
      <c r="AV316" s="39" t="s">
        <v>3495</v>
      </c>
      <c r="AW316" s="39"/>
      <c r="AX316" s="39"/>
      <c r="AY316" s="39"/>
      <c r="AZ316" s="39"/>
      <c r="BA316" s="39">
        <v>78760324</v>
      </c>
      <c r="BB316" s="39" t="s">
        <v>149</v>
      </c>
      <c r="BC316" s="39" t="s">
        <v>150</v>
      </c>
      <c r="BD316" s="39" t="s">
        <v>539</v>
      </c>
      <c r="BE316" s="39" t="s">
        <v>125</v>
      </c>
      <c r="BF316" s="39"/>
      <c r="BG316" s="39" t="s">
        <v>637</v>
      </c>
      <c r="BH316" s="39" t="s">
        <v>152</v>
      </c>
      <c r="BI316" s="39" t="s">
        <v>3496</v>
      </c>
      <c r="BJ316" s="39"/>
      <c r="BK316" s="39" t="s">
        <v>153</v>
      </c>
      <c r="BL316" s="39"/>
      <c r="BM316" s="39" t="s">
        <v>205</v>
      </c>
      <c r="BN316" s="39" t="s">
        <v>915</v>
      </c>
    </row>
    <row r="317" spans="1:66" hidden="1">
      <c r="A317" s="39">
        <v>315</v>
      </c>
      <c r="B317" s="39" t="s">
        <v>118</v>
      </c>
      <c r="C317" s="39" t="s">
        <v>119</v>
      </c>
      <c r="D317" s="39" t="s">
        <v>578</v>
      </c>
      <c r="E317" s="39" t="s">
        <v>3409</v>
      </c>
      <c r="F317" s="39" t="s">
        <v>580</v>
      </c>
      <c r="G317" s="39" t="s">
        <v>3410</v>
      </c>
      <c r="H317" s="39" t="s">
        <v>3411</v>
      </c>
      <c r="I317" s="39"/>
      <c r="J317" s="39" t="s">
        <v>126</v>
      </c>
      <c r="K317" s="39" t="s">
        <v>16</v>
      </c>
      <c r="L317" s="39" t="s">
        <v>188</v>
      </c>
      <c r="M317" s="39" t="s">
        <v>356</v>
      </c>
      <c r="N317" s="39" t="s">
        <v>583</v>
      </c>
      <c r="O317" s="39"/>
      <c r="P317" s="39"/>
      <c r="Q317" s="39" t="s">
        <v>578</v>
      </c>
      <c r="R317" s="39" t="s">
        <v>16</v>
      </c>
      <c r="S317" s="39" t="s">
        <v>3497</v>
      </c>
      <c r="T317" s="39" t="s">
        <v>359</v>
      </c>
      <c r="U317" s="39" t="s">
        <v>3498</v>
      </c>
      <c r="V317" s="39" t="s">
        <v>132</v>
      </c>
      <c r="W317" s="39" t="s">
        <v>586</v>
      </c>
      <c r="X317" s="39" t="s">
        <v>126</v>
      </c>
      <c r="Y317" s="39" t="s">
        <v>134</v>
      </c>
      <c r="Z317" s="39" t="s">
        <v>587</v>
      </c>
      <c r="AA317" s="39" t="s">
        <v>588</v>
      </c>
      <c r="AB317" s="39" t="s">
        <v>578</v>
      </c>
      <c r="AC317" s="39">
        <v>5347575</v>
      </c>
      <c r="AD317" s="39" t="s">
        <v>16</v>
      </c>
      <c r="AE317" s="39" t="s">
        <v>3499</v>
      </c>
      <c r="AF317" s="39" t="s">
        <v>16</v>
      </c>
      <c r="AG317" s="39" t="s">
        <v>3500</v>
      </c>
      <c r="AH317" s="39" t="s">
        <v>3501</v>
      </c>
      <c r="AI317" s="39" t="s">
        <v>885</v>
      </c>
      <c r="AJ317" s="39" t="s">
        <v>140</v>
      </c>
      <c r="AK317" s="39" t="s">
        <v>125</v>
      </c>
      <c r="AL317" s="39">
        <v>1700</v>
      </c>
      <c r="AM317" s="39"/>
      <c r="AN317" s="39" t="s">
        <v>580</v>
      </c>
      <c r="AO317" s="39" t="s">
        <v>367</v>
      </c>
      <c r="AP317" s="39" t="s">
        <v>143</v>
      </c>
      <c r="AQ317" s="39"/>
      <c r="AR317" s="39" t="s">
        <v>592</v>
      </c>
      <c r="AS317" s="39"/>
      <c r="AT317" s="39" t="s">
        <v>456</v>
      </c>
      <c r="AU317" s="39"/>
      <c r="AV317" s="39" t="s">
        <v>3502</v>
      </c>
      <c r="AW317" s="39"/>
      <c r="AX317" s="39"/>
      <c r="AY317" s="39"/>
      <c r="AZ317" s="39"/>
      <c r="BA317" s="39">
        <v>61156493</v>
      </c>
      <c r="BB317" s="39" t="s">
        <v>149</v>
      </c>
      <c r="BC317" s="39" t="s">
        <v>458</v>
      </c>
      <c r="BD317" s="39" t="s">
        <v>586</v>
      </c>
      <c r="BE317" s="39" t="s">
        <v>594</v>
      </c>
      <c r="BF317" s="39"/>
      <c r="BG317" s="39" t="s">
        <v>151</v>
      </c>
      <c r="BH317" s="39" t="s">
        <v>149</v>
      </c>
      <c r="BI317" s="39" t="s">
        <v>125</v>
      </c>
      <c r="BJ317" s="39"/>
      <c r="BK317" s="39"/>
      <c r="BL317" s="39"/>
      <c r="BM317" s="39" t="s">
        <v>154</v>
      </c>
      <c r="BN317" s="39" t="s">
        <v>356</v>
      </c>
    </row>
    <row r="318" spans="1:66" hidden="1">
      <c r="A318" s="39">
        <v>316</v>
      </c>
      <c r="B318" s="39" t="s">
        <v>118</v>
      </c>
      <c r="C318" s="39" t="s">
        <v>119</v>
      </c>
      <c r="D318" s="39" t="s">
        <v>3503</v>
      </c>
      <c r="E318" s="39" t="s">
        <v>3504</v>
      </c>
      <c r="F318" s="39" t="s">
        <v>336</v>
      </c>
      <c r="G318" s="39" t="s">
        <v>3505</v>
      </c>
      <c r="H318" s="39" t="s">
        <v>3506</v>
      </c>
      <c r="I318" s="39" t="s">
        <v>125</v>
      </c>
      <c r="J318" s="39" t="s">
        <v>161</v>
      </c>
      <c r="K318" s="39" t="s">
        <v>26</v>
      </c>
      <c r="L318" s="39" t="s">
        <v>127</v>
      </c>
      <c r="M318" s="39" t="s">
        <v>127</v>
      </c>
      <c r="N318" s="39" t="s">
        <v>125</v>
      </c>
      <c r="O318" s="39"/>
      <c r="P318" s="39"/>
      <c r="Q318" s="39" t="s">
        <v>3507</v>
      </c>
      <c r="R318" s="39" t="s">
        <v>26</v>
      </c>
      <c r="S318" s="39" t="s">
        <v>3508</v>
      </c>
      <c r="T318" s="39" t="s">
        <v>130</v>
      </c>
      <c r="U318" s="39" t="s">
        <v>3509</v>
      </c>
      <c r="V318" s="39" t="s">
        <v>167</v>
      </c>
      <c r="W318" s="39" t="s">
        <v>168</v>
      </c>
      <c r="X318" s="39" t="s">
        <v>1268</v>
      </c>
      <c r="Y318" s="39" t="s">
        <v>3510</v>
      </c>
      <c r="Z318" s="39" t="s">
        <v>196</v>
      </c>
      <c r="AA318" s="39" t="s">
        <v>197</v>
      </c>
      <c r="AB318" s="39" t="s">
        <v>3507</v>
      </c>
      <c r="AC318" s="39">
        <v>5275472</v>
      </c>
      <c r="AD318" s="39" t="s">
        <v>26</v>
      </c>
      <c r="AE318" s="39" t="s">
        <v>3511</v>
      </c>
      <c r="AF318" s="39" t="s">
        <v>26</v>
      </c>
      <c r="AG318" s="39" t="s">
        <v>3512</v>
      </c>
      <c r="AH318" s="39" t="s">
        <v>3513</v>
      </c>
      <c r="AI318" s="39" t="s">
        <v>330</v>
      </c>
      <c r="AJ318" s="39" t="s">
        <v>140</v>
      </c>
      <c r="AK318" s="39" t="s">
        <v>125</v>
      </c>
      <c r="AL318" s="39">
        <v>18000</v>
      </c>
      <c r="AM318" s="39"/>
      <c r="AN318" s="39" t="s">
        <v>125</v>
      </c>
      <c r="AO318" s="39" t="s">
        <v>142</v>
      </c>
      <c r="AP318" s="39" t="s">
        <v>143</v>
      </c>
      <c r="AQ318" s="39"/>
      <c r="AR318" s="39" t="s">
        <v>3514</v>
      </c>
      <c r="AS318" s="39"/>
      <c r="AT318" s="39" t="s">
        <v>456</v>
      </c>
      <c r="AU318" s="39"/>
      <c r="AV318" s="39" t="s">
        <v>3515</v>
      </c>
      <c r="AW318" s="39"/>
      <c r="AX318" s="39"/>
      <c r="AY318" s="39"/>
      <c r="AZ318" s="39"/>
      <c r="BA318" s="39">
        <v>71094977</v>
      </c>
      <c r="BB318" s="39" t="s">
        <v>149</v>
      </c>
      <c r="BC318" s="39" t="s">
        <v>3516</v>
      </c>
      <c r="BD318" s="39" t="s">
        <v>459</v>
      </c>
      <c r="BE318" s="39" t="s">
        <v>125</v>
      </c>
      <c r="BF318" s="39"/>
      <c r="BG318" s="39" t="s">
        <v>298</v>
      </c>
      <c r="BH318" s="39" t="s">
        <v>152</v>
      </c>
      <c r="BI318" s="39" t="s">
        <v>125</v>
      </c>
      <c r="BJ318" s="39"/>
      <c r="BK318" s="39"/>
      <c r="BL318" s="39"/>
      <c r="BM318" s="39"/>
      <c r="BN318" s="39" t="s">
        <v>155</v>
      </c>
    </row>
    <row r="319" spans="1:66" hidden="1">
      <c r="A319" s="39">
        <v>317</v>
      </c>
      <c r="B319" s="39" t="s">
        <v>118</v>
      </c>
      <c r="C319" s="39" t="s">
        <v>119</v>
      </c>
      <c r="D319" s="39" t="s">
        <v>182</v>
      </c>
      <c r="E319" s="39" t="s">
        <v>3517</v>
      </c>
      <c r="F319" s="39" t="s">
        <v>762</v>
      </c>
      <c r="G319" s="39" t="s">
        <v>3518</v>
      </c>
      <c r="H319" s="39" t="s">
        <v>3519</v>
      </c>
      <c r="I319" s="39" t="s">
        <v>125</v>
      </c>
      <c r="J319" s="39" t="s">
        <v>506</v>
      </c>
      <c r="K319" s="39" t="s">
        <v>27</v>
      </c>
      <c r="L319" s="39" t="s">
        <v>568</v>
      </c>
      <c r="M319" s="39" t="s">
        <v>276</v>
      </c>
      <c r="N319" s="39" t="s">
        <v>125</v>
      </c>
      <c r="O319" s="39"/>
      <c r="P319" s="39"/>
      <c r="Q319" s="39" t="s">
        <v>3520</v>
      </c>
      <c r="R319" s="39" t="s">
        <v>27</v>
      </c>
      <c r="S319" s="39" t="s">
        <v>3521</v>
      </c>
      <c r="T319" s="39" t="s">
        <v>130</v>
      </c>
      <c r="U319" s="39" t="s">
        <v>3522</v>
      </c>
      <c r="V319" s="39" t="s">
        <v>132</v>
      </c>
      <c r="W319" s="39" t="s">
        <v>133</v>
      </c>
      <c r="X319" s="39" t="s">
        <v>126</v>
      </c>
      <c r="Y319" s="39" t="s">
        <v>925</v>
      </c>
      <c r="Z319" s="39" t="s">
        <v>2232</v>
      </c>
      <c r="AA319" s="39" t="s">
        <v>3523</v>
      </c>
      <c r="AB319" s="39" t="s">
        <v>3520</v>
      </c>
      <c r="AC319" s="39">
        <v>5375674</v>
      </c>
      <c r="AD319" s="39" t="s">
        <v>27</v>
      </c>
      <c r="AE319" s="39" t="s">
        <v>3524</v>
      </c>
      <c r="AF319" s="39" t="s">
        <v>27</v>
      </c>
      <c r="AG319" s="39" t="s">
        <v>3525</v>
      </c>
      <c r="AH319" s="39" t="s">
        <v>1922</v>
      </c>
      <c r="AI319" s="39" t="s">
        <v>139</v>
      </c>
      <c r="AJ319" s="39" t="s">
        <v>140</v>
      </c>
      <c r="AK319" s="39" t="s">
        <v>125</v>
      </c>
      <c r="AL319" s="39">
        <v>6180</v>
      </c>
      <c r="AM319" s="39"/>
      <c r="AN319" s="39" t="s">
        <v>125</v>
      </c>
      <c r="AO319" s="39" t="s">
        <v>142</v>
      </c>
      <c r="AP319" s="39" t="s">
        <v>143</v>
      </c>
      <c r="AQ319" s="39" t="s">
        <v>144</v>
      </c>
      <c r="AR319" s="39" t="s">
        <v>3526</v>
      </c>
      <c r="AS319" s="39" t="s">
        <v>3527</v>
      </c>
      <c r="AT319" s="39" t="s">
        <v>478</v>
      </c>
      <c r="AU319" s="39"/>
      <c r="AV319" s="39" t="s">
        <v>3528</v>
      </c>
      <c r="AW319" s="39"/>
      <c r="AX319" s="39"/>
      <c r="AY319" s="39"/>
      <c r="AZ319" s="39"/>
      <c r="BA319" s="39">
        <v>74239887</v>
      </c>
      <c r="BB319" s="39" t="s">
        <v>149</v>
      </c>
      <c r="BC319" s="39" t="s">
        <v>150</v>
      </c>
      <c r="BD319" s="39" t="s">
        <v>139</v>
      </c>
      <c r="BE319" s="39" t="s">
        <v>125</v>
      </c>
      <c r="BF319" s="39"/>
      <c r="BG319" s="39" t="s">
        <v>637</v>
      </c>
      <c r="BH319" s="39" t="s">
        <v>152</v>
      </c>
      <c r="BI319" s="39" t="s">
        <v>125</v>
      </c>
      <c r="BJ319" s="39"/>
      <c r="BK319" s="39" t="s">
        <v>153</v>
      </c>
      <c r="BL319" s="39"/>
      <c r="BM319" s="39" t="s">
        <v>154</v>
      </c>
      <c r="BN319" s="39" t="s">
        <v>181</v>
      </c>
    </row>
    <row r="320" spans="1:66" hidden="1">
      <c r="A320" s="39">
        <v>318</v>
      </c>
      <c r="B320" s="39" t="s">
        <v>118</v>
      </c>
      <c r="C320" s="39" t="s">
        <v>119</v>
      </c>
      <c r="D320" s="39" t="s">
        <v>3529</v>
      </c>
      <c r="E320" s="39" t="s">
        <v>3530</v>
      </c>
      <c r="F320" s="39" t="s">
        <v>258</v>
      </c>
      <c r="G320" s="39" t="s">
        <v>3531</v>
      </c>
      <c r="H320" s="39" t="s">
        <v>3532</v>
      </c>
      <c r="I320" s="39" t="s">
        <v>2561</v>
      </c>
      <c r="J320" s="39"/>
      <c r="K320" s="39" t="s">
        <v>905</v>
      </c>
      <c r="L320" s="39" t="s">
        <v>263</v>
      </c>
      <c r="M320" s="39" t="s">
        <v>2562</v>
      </c>
      <c r="N320" s="39" t="s">
        <v>125</v>
      </c>
      <c r="O320" s="39" t="s">
        <v>905</v>
      </c>
      <c r="P320" s="39" t="s">
        <v>3533</v>
      </c>
      <c r="Q320" s="39" t="s">
        <v>3534</v>
      </c>
      <c r="R320" s="39" t="s">
        <v>26</v>
      </c>
      <c r="S320" s="39" t="s">
        <v>3535</v>
      </c>
      <c r="T320" s="39" t="s">
        <v>130</v>
      </c>
      <c r="U320" s="39" t="s">
        <v>3536</v>
      </c>
      <c r="V320" s="39" t="s">
        <v>132</v>
      </c>
      <c r="W320" s="39" t="s">
        <v>133</v>
      </c>
      <c r="X320" s="39" t="s">
        <v>126</v>
      </c>
      <c r="Y320" s="39" t="s">
        <v>1607</v>
      </c>
      <c r="Z320" s="39" t="s">
        <v>3537</v>
      </c>
      <c r="AA320" s="39" t="s">
        <v>3538</v>
      </c>
      <c r="AB320" s="39" t="s">
        <v>3534</v>
      </c>
      <c r="AC320" s="39">
        <v>5275353</v>
      </c>
      <c r="AD320" s="39" t="s">
        <v>26</v>
      </c>
      <c r="AE320" s="39" t="s">
        <v>3539</v>
      </c>
      <c r="AF320" s="39" t="s">
        <v>26</v>
      </c>
      <c r="AG320" s="39" t="s">
        <v>3540</v>
      </c>
      <c r="AH320" s="39" t="s">
        <v>138</v>
      </c>
      <c r="AI320" s="39" t="s">
        <v>139</v>
      </c>
      <c r="AJ320" s="39" t="s">
        <v>140</v>
      </c>
      <c r="AK320" s="39" t="s">
        <v>125</v>
      </c>
      <c r="AL320" s="39">
        <v>5680</v>
      </c>
      <c r="AM320" s="39"/>
      <c r="AN320" s="39" t="s">
        <v>125</v>
      </c>
      <c r="AO320" s="39" t="s">
        <v>142</v>
      </c>
      <c r="AP320" s="39" t="s">
        <v>143</v>
      </c>
      <c r="AQ320" s="39" t="s">
        <v>144</v>
      </c>
      <c r="AR320" s="39" t="s">
        <v>3541</v>
      </c>
      <c r="AS320" s="39" t="s">
        <v>3542</v>
      </c>
      <c r="AT320" s="39" t="s">
        <v>478</v>
      </c>
      <c r="AU320" s="39"/>
      <c r="AV320" s="39" t="s">
        <v>3543</v>
      </c>
      <c r="AW320" s="39"/>
      <c r="AX320" s="39"/>
      <c r="AY320" s="39"/>
      <c r="AZ320" s="39"/>
      <c r="BA320" s="39">
        <v>74091930</v>
      </c>
      <c r="BB320" s="39" t="s">
        <v>149</v>
      </c>
      <c r="BC320" s="39" t="s">
        <v>150</v>
      </c>
      <c r="BD320" s="39" t="s">
        <v>125</v>
      </c>
      <c r="BE320" s="39" t="s">
        <v>125</v>
      </c>
      <c r="BF320" s="39"/>
      <c r="BG320" s="39" t="s">
        <v>637</v>
      </c>
      <c r="BH320" s="39" t="s">
        <v>152</v>
      </c>
      <c r="BI320" s="39" t="s">
        <v>125</v>
      </c>
      <c r="BJ320" s="39"/>
      <c r="BK320" s="39" t="s">
        <v>153</v>
      </c>
      <c r="BL320" s="39"/>
      <c r="BM320" s="39" t="s">
        <v>240</v>
      </c>
      <c r="BN320" s="39" t="s">
        <v>915</v>
      </c>
    </row>
    <row r="321" spans="1:66" hidden="1">
      <c r="A321" s="39">
        <v>319</v>
      </c>
      <c r="B321" s="39" t="s">
        <v>118</v>
      </c>
      <c r="C321" s="39" t="s">
        <v>119</v>
      </c>
      <c r="D321" s="39" t="s">
        <v>156</v>
      </c>
      <c r="E321" s="39" t="s">
        <v>3544</v>
      </c>
      <c r="F321" s="39" t="s">
        <v>262</v>
      </c>
      <c r="G321" s="39" t="s">
        <v>3545</v>
      </c>
      <c r="H321" s="39" t="s">
        <v>3546</v>
      </c>
      <c r="I321" s="39" t="s">
        <v>125</v>
      </c>
      <c r="J321" s="39" t="s">
        <v>126</v>
      </c>
      <c r="K321" s="39" t="s">
        <v>262</v>
      </c>
      <c r="L321" s="39" t="s">
        <v>305</v>
      </c>
      <c r="M321" s="39" t="s">
        <v>306</v>
      </c>
      <c r="N321" s="39" t="s">
        <v>125</v>
      </c>
      <c r="O321" s="39" t="s">
        <v>262</v>
      </c>
      <c r="P321" s="39" t="s">
        <v>3547</v>
      </c>
      <c r="Q321" s="39" t="s">
        <v>3548</v>
      </c>
      <c r="R321" s="39" t="s">
        <v>16</v>
      </c>
      <c r="S321" s="39" t="s">
        <v>3549</v>
      </c>
      <c r="T321" s="39" t="s">
        <v>359</v>
      </c>
      <c r="U321" s="39" t="s">
        <v>3550</v>
      </c>
      <c r="V321" s="39" t="s">
        <v>132</v>
      </c>
      <c r="W321" s="39" t="s">
        <v>586</v>
      </c>
      <c r="X321" s="39" t="s">
        <v>487</v>
      </c>
      <c r="Y321" s="39" t="s">
        <v>1676</v>
      </c>
      <c r="Z321" s="39" t="s">
        <v>2204</v>
      </c>
      <c r="AA321" s="39" t="s">
        <v>1369</v>
      </c>
      <c r="AB321" s="39" t="s">
        <v>3548</v>
      </c>
      <c r="AC321" s="39">
        <v>5275256</v>
      </c>
      <c r="AD321" s="39" t="s">
        <v>16</v>
      </c>
      <c r="AE321" s="39" t="s">
        <v>3551</v>
      </c>
      <c r="AF321" s="39" t="s">
        <v>16</v>
      </c>
      <c r="AG321" s="39" t="s">
        <v>3552</v>
      </c>
      <c r="AH321" s="39" t="s">
        <v>3553</v>
      </c>
      <c r="AI321" s="39" t="s">
        <v>885</v>
      </c>
      <c r="AJ321" s="39" t="s">
        <v>140</v>
      </c>
      <c r="AK321" s="39" t="s">
        <v>125</v>
      </c>
      <c r="AL321" s="39">
        <v>8500</v>
      </c>
      <c r="AM321" s="39"/>
      <c r="AN321" s="39" t="s">
        <v>125</v>
      </c>
      <c r="AO321" s="39" t="s">
        <v>367</v>
      </c>
      <c r="AP321" s="39" t="s">
        <v>143</v>
      </c>
      <c r="AQ321" s="39"/>
      <c r="AR321" s="39" t="s">
        <v>3554</v>
      </c>
      <c r="AS321" s="39"/>
      <c r="AT321" s="39" t="s">
        <v>478</v>
      </c>
      <c r="AU321" s="39"/>
      <c r="AV321" s="39" t="s">
        <v>3555</v>
      </c>
      <c r="AW321" s="39"/>
      <c r="AX321" s="39"/>
      <c r="AY321" s="39"/>
      <c r="AZ321" s="39"/>
      <c r="BA321" s="39">
        <v>65636678</v>
      </c>
      <c r="BB321" s="39" t="s">
        <v>149</v>
      </c>
      <c r="BC321" s="39" t="s">
        <v>458</v>
      </c>
      <c r="BD321" s="39" t="s">
        <v>586</v>
      </c>
      <c r="BE321" s="39" t="s">
        <v>594</v>
      </c>
      <c r="BF321" s="39"/>
      <c r="BG321" s="39" t="s">
        <v>298</v>
      </c>
      <c r="BH321" s="39" t="s">
        <v>152</v>
      </c>
      <c r="BI321" s="39" t="s">
        <v>125</v>
      </c>
      <c r="BJ321" s="39"/>
      <c r="BK321" s="39"/>
      <c r="BL321" s="39"/>
      <c r="BM321" s="39" t="s">
        <v>154</v>
      </c>
      <c r="BN321" s="39" t="s">
        <v>155</v>
      </c>
    </row>
    <row r="322" spans="1:66" hidden="1">
      <c r="A322" s="39">
        <v>320</v>
      </c>
      <c r="B322" s="39" t="s">
        <v>118</v>
      </c>
      <c r="C322" s="39" t="s">
        <v>119</v>
      </c>
      <c r="D322" s="39" t="s">
        <v>3556</v>
      </c>
      <c r="E322" s="39" t="s">
        <v>3557</v>
      </c>
      <c r="F322" s="39" t="s">
        <v>158</v>
      </c>
      <c r="G322" s="39" t="s">
        <v>3558</v>
      </c>
      <c r="H322" s="39" t="s">
        <v>3559</v>
      </c>
      <c r="I322" s="39" t="s">
        <v>125</v>
      </c>
      <c r="J322" s="39" t="s">
        <v>3372</v>
      </c>
      <c r="K322" s="39" t="s">
        <v>22</v>
      </c>
      <c r="L322" s="39" t="s">
        <v>162</v>
      </c>
      <c r="M322" s="39" t="s">
        <v>720</v>
      </c>
      <c r="N322" s="39" t="s">
        <v>125</v>
      </c>
      <c r="O322" s="39"/>
      <c r="P322" s="39"/>
      <c r="Q322" s="39" t="s">
        <v>3556</v>
      </c>
      <c r="R322" s="39" t="s">
        <v>22</v>
      </c>
      <c r="S322" s="39" t="s">
        <v>3560</v>
      </c>
      <c r="T322" s="39" t="s">
        <v>359</v>
      </c>
      <c r="U322" s="39" t="s">
        <v>3561</v>
      </c>
      <c r="V322" s="39" t="s">
        <v>132</v>
      </c>
      <c r="W322" s="39" t="s">
        <v>133</v>
      </c>
      <c r="X322" s="39" t="s">
        <v>3372</v>
      </c>
      <c r="Y322" s="39" t="s">
        <v>230</v>
      </c>
      <c r="Z322" s="39" t="s">
        <v>231</v>
      </c>
      <c r="AA322" s="39" t="s">
        <v>3562</v>
      </c>
      <c r="AB322" s="39" t="s">
        <v>3556</v>
      </c>
      <c r="AC322" s="39">
        <v>5374670</v>
      </c>
      <c r="AD322" s="39" t="s">
        <v>22</v>
      </c>
      <c r="AE322" s="39" t="s">
        <v>3563</v>
      </c>
      <c r="AF322" s="39" t="s">
        <v>22</v>
      </c>
      <c r="AG322" s="39" t="s">
        <v>3564</v>
      </c>
      <c r="AH322" s="39" t="s">
        <v>3565</v>
      </c>
      <c r="AI322" s="39" t="s">
        <v>658</v>
      </c>
      <c r="AJ322" s="39" t="s">
        <v>140</v>
      </c>
      <c r="AK322" s="39" t="s">
        <v>125</v>
      </c>
      <c r="AL322" s="39">
        <v>1800</v>
      </c>
      <c r="AM322" s="39"/>
      <c r="AN322" s="39" t="s">
        <v>125</v>
      </c>
      <c r="AO322" s="39" t="s">
        <v>367</v>
      </c>
      <c r="AP322" s="39" t="s">
        <v>143</v>
      </c>
      <c r="AQ322" s="39"/>
      <c r="AR322" s="39" t="s">
        <v>3566</v>
      </c>
      <c r="AS322" s="39"/>
      <c r="AT322" s="39" t="s">
        <v>3567</v>
      </c>
      <c r="AU322" s="39"/>
      <c r="AV322" s="39" t="s">
        <v>3568</v>
      </c>
      <c r="AW322" s="39"/>
      <c r="AX322" s="39"/>
      <c r="AY322" s="39"/>
      <c r="AZ322" s="39"/>
      <c r="BA322" s="39">
        <v>17760550</v>
      </c>
      <c r="BB322" s="39" t="s">
        <v>149</v>
      </c>
      <c r="BC322" s="39" t="s">
        <v>150</v>
      </c>
      <c r="BD322" s="39" t="s">
        <v>661</v>
      </c>
      <c r="BE322" s="39" t="s">
        <v>125</v>
      </c>
      <c r="BF322" s="39"/>
      <c r="BG322" s="39" t="s">
        <v>239</v>
      </c>
      <c r="BH322" s="39" t="s">
        <v>152</v>
      </c>
      <c r="BI322" s="39" t="s">
        <v>125</v>
      </c>
      <c r="BJ322" s="39"/>
      <c r="BK322" s="39"/>
      <c r="BL322" s="39"/>
      <c r="BM322" s="39" t="s">
        <v>154</v>
      </c>
      <c r="BN322" s="39" t="s">
        <v>181</v>
      </c>
    </row>
    <row r="323" spans="1:66" hidden="1">
      <c r="A323" s="39">
        <v>321</v>
      </c>
      <c r="B323" s="39" t="s">
        <v>118</v>
      </c>
      <c r="C323" s="39" t="s">
        <v>119</v>
      </c>
      <c r="D323" s="39" t="s">
        <v>3569</v>
      </c>
      <c r="E323" s="39" t="s">
        <v>3570</v>
      </c>
      <c r="F323" s="39" t="s">
        <v>279</v>
      </c>
      <c r="G323" s="39" t="s">
        <v>3571</v>
      </c>
      <c r="H323" s="39" t="s">
        <v>3572</v>
      </c>
      <c r="I323" s="39"/>
      <c r="J323" s="39" t="s">
        <v>355</v>
      </c>
      <c r="K323" s="39" t="s">
        <v>16</v>
      </c>
      <c r="L323" s="39" t="s">
        <v>127</v>
      </c>
      <c r="M323" s="39" t="s">
        <v>127</v>
      </c>
      <c r="N323" s="39" t="s">
        <v>125</v>
      </c>
      <c r="O323" s="39"/>
      <c r="P323" s="39"/>
      <c r="Q323" s="39" t="s">
        <v>3573</v>
      </c>
      <c r="R323" s="39" t="s">
        <v>16</v>
      </c>
      <c r="S323" s="39" t="s">
        <v>3574</v>
      </c>
      <c r="T323" s="39" t="s">
        <v>130</v>
      </c>
      <c r="U323" s="39" t="s">
        <v>3575</v>
      </c>
      <c r="V323" s="39" t="s">
        <v>132</v>
      </c>
      <c r="W323" s="39" t="s">
        <v>168</v>
      </c>
      <c r="X323" s="39" t="s">
        <v>355</v>
      </c>
      <c r="Y323" s="39" t="s">
        <v>492</v>
      </c>
      <c r="Z323" s="39" t="s">
        <v>1659</v>
      </c>
      <c r="AA323" s="39" t="s">
        <v>3576</v>
      </c>
      <c r="AB323" s="39" t="s">
        <v>3573</v>
      </c>
      <c r="AC323" s="39">
        <v>5374634</v>
      </c>
      <c r="AD323" s="39" t="s">
        <v>16</v>
      </c>
      <c r="AE323" s="39" t="s">
        <v>3577</v>
      </c>
      <c r="AF323" s="39" t="s">
        <v>16</v>
      </c>
      <c r="AG323" s="39" t="s">
        <v>3578</v>
      </c>
      <c r="AH323" s="39" t="s">
        <v>1890</v>
      </c>
      <c r="AI323" s="39" t="s">
        <v>179</v>
      </c>
      <c r="AJ323" s="39" t="s">
        <v>140</v>
      </c>
      <c r="AK323" s="39" t="s">
        <v>125</v>
      </c>
      <c r="AL323" s="39" t="s">
        <v>3168</v>
      </c>
      <c r="AM323" s="39"/>
      <c r="AN323" s="39" t="s">
        <v>125</v>
      </c>
      <c r="AO323" s="39" t="s">
        <v>142</v>
      </c>
      <c r="AP323" s="39" t="s">
        <v>143</v>
      </c>
      <c r="AQ323" s="39" t="s">
        <v>144</v>
      </c>
      <c r="AR323" s="39" t="s">
        <v>3579</v>
      </c>
      <c r="AS323" s="39" t="s">
        <v>3580</v>
      </c>
      <c r="AT323" s="39" t="s">
        <v>3567</v>
      </c>
      <c r="AU323" s="39"/>
      <c r="AV323" s="39" t="s">
        <v>3581</v>
      </c>
      <c r="AW323" s="39"/>
      <c r="AX323" s="39"/>
      <c r="AY323" s="39"/>
      <c r="AZ323" s="39"/>
      <c r="BA323" s="39">
        <v>71055915</v>
      </c>
      <c r="BB323" s="39" t="s">
        <v>149</v>
      </c>
      <c r="BC323" s="39" t="s">
        <v>150</v>
      </c>
      <c r="BD323" s="39" t="s">
        <v>179</v>
      </c>
      <c r="BE323" s="39" t="s">
        <v>125</v>
      </c>
      <c r="BF323" s="39"/>
      <c r="BG323" s="39" t="s">
        <v>298</v>
      </c>
      <c r="BH323" s="39" t="s">
        <v>152</v>
      </c>
      <c r="BI323" s="39" t="s">
        <v>125</v>
      </c>
      <c r="BJ323" s="39"/>
      <c r="BK323" s="39" t="s">
        <v>153</v>
      </c>
      <c r="BL323" s="39"/>
      <c r="BM323" s="39" t="s">
        <v>154</v>
      </c>
      <c r="BN323" s="39" t="s">
        <v>333</v>
      </c>
    </row>
    <row r="324" spans="1:66" hidden="1">
      <c r="A324" s="39">
        <v>322</v>
      </c>
      <c r="B324" s="39" t="s">
        <v>118</v>
      </c>
      <c r="C324" s="39" t="s">
        <v>119</v>
      </c>
      <c r="D324" s="39" t="s">
        <v>3582</v>
      </c>
      <c r="E324" s="39" t="s">
        <v>3583</v>
      </c>
      <c r="F324" s="39" t="s">
        <v>24</v>
      </c>
      <c r="G324" s="39" t="s">
        <v>3584</v>
      </c>
      <c r="H324" s="39" t="s">
        <v>3585</v>
      </c>
      <c r="I324" s="39" t="s">
        <v>3586</v>
      </c>
      <c r="J324" s="39" t="s">
        <v>126</v>
      </c>
      <c r="K324" s="39" t="s">
        <v>24</v>
      </c>
      <c r="L324" s="39" t="s">
        <v>378</v>
      </c>
      <c r="M324" s="39" t="s">
        <v>608</v>
      </c>
      <c r="N324" s="39" t="s">
        <v>125</v>
      </c>
      <c r="O324" s="39" t="s">
        <v>24</v>
      </c>
      <c r="P324" s="39" t="s">
        <v>3587</v>
      </c>
      <c r="Q324" s="39" t="s">
        <v>3588</v>
      </c>
      <c r="R324" s="39" t="s">
        <v>24</v>
      </c>
      <c r="S324" s="39" t="s">
        <v>3589</v>
      </c>
      <c r="T324" s="39" t="s">
        <v>130</v>
      </c>
      <c r="U324" s="39" t="s">
        <v>3590</v>
      </c>
      <c r="V324" s="39" t="s">
        <v>132</v>
      </c>
      <c r="W324" s="39" t="s">
        <v>133</v>
      </c>
      <c r="X324" s="39" t="s">
        <v>126</v>
      </c>
      <c r="Y324" s="39" t="s">
        <v>3591</v>
      </c>
      <c r="Z324" s="39" t="s">
        <v>3592</v>
      </c>
      <c r="AA324" s="39" t="s">
        <v>2004</v>
      </c>
      <c r="AB324" s="39" t="s">
        <v>3588</v>
      </c>
      <c r="AC324" s="39">
        <v>5374334</v>
      </c>
      <c r="AD324" s="39" t="s">
        <v>24</v>
      </c>
      <c r="AE324" s="39" t="s">
        <v>3593</v>
      </c>
      <c r="AF324" s="39" t="s">
        <v>24</v>
      </c>
      <c r="AG324" s="39" t="s">
        <v>3593</v>
      </c>
      <c r="AH324" s="39" t="s">
        <v>1922</v>
      </c>
      <c r="AI324" s="39" t="s">
        <v>139</v>
      </c>
      <c r="AJ324" s="39" t="s">
        <v>140</v>
      </c>
      <c r="AK324" s="39" t="s">
        <v>125</v>
      </c>
      <c r="AL324" s="39" t="s">
        <v>3168</v>
      </c>
      <c r="AM324" s="39"/>
      <c r="AN324" s="39" t="s">
        <v>125</v>
      </c>
      <c r="AO324" s="39" t="s">
        <v>142</v>
      </c>
      <c r="AP324" s="39" t="s">
        <v>143</v>
      </c>
      <c r="AQ324" s="39" t="s">
        <v>144</v>
      </c>
      <c r="AR324" s="39" t="s">
        <v>3594</v>
      </c>
      <c r="AS324" s="39" t="s">
        <v>3595</v>
      </c>
      <c r="AT324" s="39" t="s">
        <v>3567</v>
      </c>
      <c r="AU324" s="39"/>
      <c r="AV324" s="39" t="s">
        <v>3596</v>
      </c>
      <c r="AW324" s="39"/>
      <c r="AX324" s="39"/>
      <c r="AY324" s="39"/>
      <c r="AZ324" s="39"/>
      <c r="BA324" s="39">
        <v>69720021</v>
      </c>
      <c r="BB324" s="39" t="s">
        <v>149</v>
      </c>
      <c r="BC324" s="39" t="s">
        <v>150</v>
      </c>
      <c r="BD324" s="39" t="s">
        <v>139</v>
      </c>
      <c r="BE324" s="39" t="s">
        <v>125</v>
      </c>
      <c r="BF324" s="39"/>
      <c r="BG324" s="39" t="s">
        <v>151</v>
      </c>
      <c r="BH324" s="39" t="s">
        <v>152</v>
      </c>
      <c r="BI324" s="39" t="s">
        <v>125</v>
      </c>
      <c r="BJ324" s="39"/>
      <c r="BK324" s="39" t="s">
        <v>153</v>
      </c>
      <c r="BL324" s="39"/>
      <c r="BM324" s="39" t="s">
        <v>240</v>
      </c>
      <c r="BN324" s="39" t="s">
        <v>390</v>
      </c>
    </row>
    <row r="325" spans="1:66" hidden="1">
      <c r="A325" s="39">
        <v>323</v>
      </c>
      <c r="B325" s="39" t="s">
        <v>118</v>
      </c>
      <c r="C325" s="39" t="s">
        <v>119</v>
      </c>
      <c r="D325" s="39"/>
      <c r="E325" s="39" t="s">
        <v>3597</v>
      </c>
      <c r="F325" s="39"/>
      <c r="G325" s="39" t="s">
        <v>3598</v>
      </c>
      <c r="H325" s="39" t="s">
        <v>3599</v>
      </c>
      <c r="I325" s="39" t="s">
        <v>2175</v>
      </c>
      <c r="J325" s="39" t="s">
        <v>126</v>
      </c>
      <c r="K325" s="39" t="s">
        <v>16</v>
      </c>
      <c r="L325" s="39" t="s">
        <v>284</v>
      </c>
      <c r="M325" s="39" t="s">
        <v>284</v>
      </c>
      <c r="N325" s="39"/>
      <c r="O325" s="39"/>
      <c r="P325" s="39"/>
      <c r="Q325" s="39" t="s">
        <v>3600</v>
      </c>
      <c r="R325" s="39" t="s">
        <v>16</v>
      </c>
      <c r="S325" s="39" t="s">
        <v>3601</v>
      </c>
      <c r="T325" s="39" t="s">
        <v>359</v>
      </c>
      <c r="U325" s="39" t="s">
        <v>3602</v>
      </c>
      <c r="V325" s="39" t="s">
        <v>132</v>
      </c>
      <c r="W325" s="39" t="s">
        <v>586</v>
      </c>
      <c r="X325" s="39" t="s">
        <v>126</v>
      </c>
      <c r="Y325" s="39" t="s">
        <v>492</v>
      </c>
      <c r="Z325" s="39" t="s">
        <v>573</v>
      </c>
      <c r="AA325" s="39" t="s">
        <v>3603</v>
      </c>
      <c r="AB325" s="39" t="s">
        <v>3600</v>
      </c>
      <c r="AC325" s="39">
        <v>5345577</v>
      </c>
      <c r="AD325" s="39" t="s">
        <v>16</v>
      </c>
      <c r="AE325" s="39" t="s">
        <v>3604</v>
      </c>
      <c r="AF325" s="39" t="s">
        <v>16</v>
      </c>
      <c r="AG325" s="39" t="s">
        <v>3605</v>
      </c>
      <c r="AH325" s="39" t="s">
        <v>3606</v>
      </c>
      <c r="AI325" s="39" t="s">
        <v>885</v>
      </c>
      <c r="AJ325" s="39" t="s">
        <v>140</v>
      </c>
      <c r="AK325" s="39" t="s">
        <v>125</v>
      </c>
      <c r="AL325" s="39" t="s">
        <v>3182</v>
      </c>
      <c r="AM325" s="39"/>
      <c r="AN325" s="39" t="s">
        <v>125</v>
      </c>
      <c r="AO325" s="39" t="s">
        <v>367</v>
      </c>
      <c r="AP325" s="39" t="s">
        <v>143</v>
      </c>
      <c r="AQ325" s="39"/>
      <c r="AR325" s="39" t="s">
        <v>3607</v>
      </c>
      <c r="AS325" s="39"/>
      <c r="AT325" s="39" t="s">
        <v>3567</v>
      </c>
      <c r="AU325" s="39"/>
      <c r="AV325" s="39" t="s">
        <v>3608</v>
      </c>
      <c r="AW325" s="39"/>
      <c r="AX325" s="39"/>
      <c r="AY325" s="39"/>
      <c r="AZ325" s="39"/>
      <c r="BA325" s="39">
        <v>56139302</v>
      </c>
      <c r="BB325" s="39" t="s">
        <v>149</v>
      </c>
      <c r="BC325" s="39" t="s">
        <v>458</v>
      </c>
      <c r="BD325" s="39" t="s">
        <v>586</v>
      </c>
      <c r="BE325" s="39" t="s">
        <v>594</v>
      </c>
      <c r="BF325" s="39"/>
      <c r="BG325" s="39" t="s">
        <v>298</v>
      </c>
      <c r="BH325" s="39" t="s">
        <v>152</v>
      </c>
      <c r="BI325" s="39" t="s">
        <v>125</v>
      </c>
      <c r="BJ325" s="39"/>
      <c r="BK325" s="39"/>
      <c r="BL325" s="39"/>
      <c r="BM325" s="39" t="s">
        <v>154</v>
      </c>
      <c r="BN325" s="39"/>
    </row>
  </sheetData>
  <autoFilter ref="A1:BN325" xr:uid="{00000000-0009-0000-0000-000002000000}">
    <filterColumn colId="11">
      <filters>
        <filter val="转介绍"/>
      </filters>
    </filterColumn>
    <filterColumn colId="12">
      <filters>
        <filter val="顾问转介绍-老带新"/>
      </filters>
    </filterColumn>
    <filterColumn colId="29">
      <filters>
        <filter val="刘晓娟"/>
      </filters>
    </filterColumn>
  </autoFilter>
  <phoneticPr fontId="2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S10"/>
  <sheetViews>
    <sheetView zoomScale="70" zoomScaleNormal="70" workbookViewId="0">
      <selection sqref="A1:S3"/>
    </sheetView>
  </sheetViews>
  <sheetFormatPr baseColWidth="10" defaultColWidth="12.6640625" defaultRowHeight="18"/>
  <cols>
    <col min="1" max="5" width="12.6640625" style="15"/>
    <col min="6" max="7" width="18.5" style="15"/>
    <col min="8" max="10" width="12.6640625" style="15"/>
    <col min="11" max="11" width="18.83203125" style="15"/>
    <col min="12" max="13" width="12.6640625" style="15"/>
    <col min="14" max="14" width="18.83203125" style="15"/>
    <col min="15" max="15" width="13.83203125" style="15"/>
    <col min="16" max="17" width="12.6640625" style="15"/>
    <col min="18" max="18" width="15" style="15" customWidth="1"/>
    <col min="19" max="19" width="14" style="15" customWidth="1"/>
    <col min="20" max="16384" width="12.6640625" style="15"/>
  </cols>
  <sheetData>
    <row r="1" spans="1:19">
      <c r="A1" s="105" t="s">
        <v>47</v>
      </c>
      <c r="B1" s="105"/>
      <c r="C1" s="105"/>
      <c r="D1" s="105" t="s">
        <v>3609</v>
      </c>
      <c r="E1" s="105"/>
      <c r="F1" s="105"/>
      <c r="G1" s="105"/>
      <c r="H1" s="105" t="s">
        <v>3610</v>
      </c>
      <c r="I1" s="105"/>
      <c r="J1" s="105"/>
      <c r="K1" s="105"/>
      <c r="L1" s="105" t="s">
        <v>3611</v>
      </c>
      <c r="M1" s="105"/>
      <c r="N1" s="106"/>
      <c r="O1" s="106"/>
      <c r="P1" s="108" t="s">
        <v>3612</v>
      </c>
      <c r="Q1" s="108" t="s">
        <v>3613</v>
      </c>
      <c r="R1" s="109" t="s">
        <v>3614</v>
      </c>
      <c r="S1" s="110" t="s">
        <v>3615</v>
      </c>
    </row>
    <row r="2" spans="1:19">
      <c r="A2" s="17" t="s">
        <v>4</v>
      </c>
      <c r="B2" s="17" t="s">
        <v>37</v>
      </c>
      <c r="C2" s="17" t="s">
        <v>9</v>
      </c>
      <c r="D2" s="16" t="s">
        <v>3616</v>
      </c>
      <c r="E2" s="16" t="s">
        <v>3617</v>
      </c>
      <c r="F2" s="16" t="s">
        <v>3618</v>
      </c>
      <c r="G2" s="16" t="s">
        <v>3619</v>
      </c>
      <c r="H2" s="16" t="s">
        <v>3616</v>
      </c>
      <c r="I2" s="16" t="s">
        <v>3620</v>
      </c>
      <c r="J2" s="16" t="s">
        <v>3618</v>
      </c>
      <c r="K2" s="16" t="s">
        <v>3619</v>
      </c>
      <c r="L2" s="16" t="s">
        <v>3616</v>
      </c>
      <c r="M2" s="16" t="s">
        <v>3621</v>
      </c>
      <c r="N2" s="32" t="s">
        <v>3618</v>
      </c>
      <c r="O2" s="32" t="s">
        <v>3619</v>
      </c>
      <c r="P2" s="108"/>
      <c r="Q2" s="108"/>
      <c r="R2" s="109"/>
      <c r="S2" s="110"/>
    </row>
    <row r="3" spans="1:19">
      <c r="A3" s="88" t="s">
        <v>15</v>
      </c>
      <c r="B3" s="19" t="s">
        <v>16</v>
      </c>
      <c r="C3" s="20" t="s">
        <v>54</v>
      </c>
      <c r="D3" s="21" t="s">
        <v>3622</v>
      </c>
      <c r="E3" s="24">
        <v>12.69</v>
      </c>
      <c r="F3" s="21" t="s">
        <v>3620</v>
      </c>
      <c r="G3" s="25">
        <v>10</v>
      </c>
      <c r="H3" s="26">
        <v>7</v>
      </c>
      <c r="I3" s="27">
        <v>3</v>
      </c>
      <c r="J3" s="28">
        <f>I3/H3</f>
        <v>0.42857142857142899</v>
      </c>
      <c r="K3" s="25">
        <f>30*J3</f>
        <v>12.8571428571429</v>
      </c>
      <c r="L3" s="29">
        <v>0.22</v>
      </c>
      <c r="M3" s="33">
        <v>0.2429</v>
      </c>
      <c r="N3" s="28">
        <f>24.29/22</f>
        <v>1.1040909090909099</v>
      </c>
      <c r="O3" s="26">
        <v>60</v>
      </c>
      <c r="P3" s="34">
        <f>G3+K3+O3</f>
        <v>82.857142857142904</v>
      </c>
      <c r="Q3" s="36">
        <v>0.83</v>
      </c>
      <c r="R3" s="37">
        <v>2000</v>
      </c>
      <c r="S3" s="37">
        <f>R3*Q3</f>
        <v>1660</v>
      </c>
    </row>
    <row r="4" spans="1:19">
      <c r="A4" s="18">
        <v>590299</v>
      </c>
      <c r="B4" s="22" t="s">
        <v>21</v>
      </c>
      <c r="C4" s="18" t="s">
        <v>54</v>
      </c>
      <c r="D4" s="21" t="s">
        <v>3622</v>
      </c>
      <c r="E4" s="24">
        <v>9.1199999999999992</v>
      </c>
      <c r="F4" s="21" t="s">
        <v>3620</v>
      </c>
      <c r="G4" s="25">
        <v>10</v>
      </c>
      <c r="H4" s="18">
        <v>7</v>
      </c>
      <c r="I4" s="30">
        <v>5</v>
      </c>
      <c r="J4" s="28">
        <f>I4/H4</f>
        <v>0.71428571428571397</v>
      </c>
      <c r="K4" s="31">
        <f>30*J4</f>
        <v>21.428571428571399</v>
      </c>
      <c r="L4" s="29">
        <v>0.22</v>
      </c>
      <c r="M4" s="33">
        <v>0.15870000000000001</v>
      </c>
      <c r="N4" s="35">
        <f>15.87/22</f>
        <v>0.72136363636363598</v>
      </c>
      <c r="O4" s="31">
        <f>60*N4</f>
        <v>43.281818181818203</v>
      </c>
      <c r="P4" s="34">
        <f>G4+K4+O4</f>
        <v>74.710389610389598</v>
      </c>
      <c r="Q4" s="36">
        <v>0.75</v>
      </c>
      <c r="R4" s="37">
        <v>2000</v>
      </c>
      <c r="S4" s="37">
        <f>R4*Q4</f>
        <v>1500</v>
      </c>
    </row>
    <row r="5" spans="1:19">
      <c r="A5" s="18">
        <v>594606</v>
      </c>
      <c r="B5" s="22" t="s">
        <v>22</v>
      </c>
      <c r="C5" s="18" t="s">
        <v>54</v>
      </c>
      <c r="D5" s="21" t="s">
        <v>3622</v>
      </c>
      <c r="E5" s="24">
        <v>6.29</v>
      </c>
      <c r="F5" s="21" t="s">
        <v>3620</v>
      </c>
      <c r="G5" s="25">
        <v>10</v>
      </c>
      <c r="H5" s="18">
        <v>7</v>
      </c>
      <c r="I5" s="30">
        <v>1</v>
      </c>
      <c r="J5" s="28">
        <f>I5/H5</f>
        <v>0.14285714285714299</v>
      </c>
      <c r="K5" s="31">
        <f>30*J5</f>
        <v>4.28571428571429</v>
      </c>
      <c r="L5" s="29">
        <v>0.22</v>
      </c>
      <c r="M5" s="33">
        <v>0.15509999999999999</v>
      </c>
      <c r="N5" s="35">
        <f>15.51/22</f>
        <v>0.70499999999999996</v>
      </c>
      <c r="O5" s="31">
        <f>60*N5</f>
        <v>42.3</v>
      </c>
      <c r="P5" s="34">
        <f>G5+K5+O5</f>
        <v>56.585714285714303</v>
      </c>
      <c r="Q5" s="36">
        <v>0</v>
      </c>
      <c r="R5" s="37">
        <v>2000</v>
      </c>
      <c r="S5" s="37">
        <f>R5*Q5</f>
        <v>0</v>
      </c>
    </row>
    <row r="6" spans="1:19">
      <c r="A6" s="18">
        <v>594605</v>
      </c>
      <c r="B6" s="22" t="s">
        <v>23</v>
      </c>
      <c r="C6" s="18" t="s">
        <v>54</v>
      </c>
      <c r="D6" s="21" t="s">
        <v>3622</v>
      </c>
      <c r="E6" s="24">
        <v>16.07</v>
      </c>
      <c r="F6" s="21" t="s">
        <v>3620</v>
      </c>
      <c r="G6" s="25">
        <v>10</v>
      </c>
      <c r="H6" s="18">
        <v>7</v>
      </c>
      <c r="I6" s="30">
        <v>0</v>
      </c>
      <c r="J6" s="28">
        <f>I6/H6</f>
        <v>0</v>
      </c>
      <c r="K6" s="31">
        <v>0</v>
      </c>
      <c r="L6" s="29">
        <v>0.22</v>
      </c>
      <c r="M6" s="33">
        <v>0.1729</v>
      </c>
      <c r="N6" s="35">
        <f>17.29/22</f>
        <v>0.785909090909091</v>
      </c>
      <c r="O6" s="31">
        <f>60*N6</f>
        <v>47.154545454545499</v>
      </c>
      <c r="P6" s="34">
        <f>G6+K6+O6</f>
        <v>57.154545454545499</v>
      </c>
      <c r="Q6" s="36">
        <v>0</v>
      </c>
      <c r="R6" s="37">
        <v>2000</v>
      </c>
      <c r="S6" s="37">
        <f>R6*Q6</f>
        <v>0</v>
      </c>
    </row>
    <row r="7" spans="1:19">
      <c r="A7" s="18">
        <v>608630</v>
      </c>
      <c r="B7" s="23" t="s">
        <v>24</v>
      </c>
      <c r="C7" s="107" t="s">
        <v>3623</v>
      </c>
      <c r="D7" s="107"/>
      <c r="E7" s="107"/>
      <c r="F7" s="107"/>
      <c r="G7" s="107"/>
      <c r="H7" s="107"/>
      <c r="I7" s="107"/>
      <c r="J7" s="107"/>
      <c r="K7" s="107"/>
      <c r="L7" s="107"/>
      <c r="M7" s="107"/>
      <c r="N7" s="107"/>
      <c r="O7" s="107"/>
      <c r="P7" s="34">
        <v>100</v>
      </c>
      <c r="Q7" s="36">
        <v>1</v>
      </c>
      <c r="R7" s="37">
        <v>2000</v>
      </c>
      <c r="S7" s="37">
        <v>2000</v>
      </c>
    </row>
    <row r="8" spans="1:19">
      <c r="A8" s="18">
        <v>608617</v>
      </c>
      <c r="B8" s="23" t="s">
        <v>26</v>
      </c>
      <c r="C8" s="107"/>
      <c r="D8" s="107"/>
      <c r="E8" s="107"/>
      <c r="F8" s="107"/>
      <c r="G8" s="107"/>
      <c r="H8" s="107"/>
      <c r="I8" s="107"/>
      <c r="J8" s="107"/>
      <c r="K8" s="107"/>
      <c r="L8" s="107"/>
      <c r="M8" s="107"/>
      <c r="N8" s="107"/>
      <c r="O8" s="107"/>
      <c r="P8" s="34">
        <v>100</v>
      </c>
      <c r="Q8" s="36">
        <v>1</v>
      </c>
      <c r="R8" s="37">
        <v>2000</v>
      </c>
      <c r="S8" s="37">
        <v>2000</v>
      </c>
    </row>
    <row r="9" spans="1:19">
      <c r="A9" s="18">
        <v>608681</v>
      </c>
      <c r="B9" s="23" t="s">
        <v>27</v>
      </c>
      <c r="C9" s="107"/>
      <c r="D9" s="107"/>
      <c r="E9" s="107"/>
      <c r="F9" s="107"/>
      <c r="G9" s="107"/>
      <c r="H9" s="107"/>
      <c r="I9" s="107"/>
      <c r="J9" s="107"/>
      <c r="K9" s="107"/>
      <c r="L9" s="107"/>
      <c r="M9" s="107"/>
      <c r="N9" s="107"/>
      <c r="O9" s="107"/>
      <c r="P9" s="34">
        <v>100</v>
      </c>
      <c r="Q9" s="36">
        <v>1</v>
      </c>
      <c r="R9" s="37">
        <v>2000</v>
      </c>
      <c r="S9" s="37">
        <v>2000</v>
      </c>
    </row>
    <row r="10" spans="1:19">
      <c r="A10" s="18">
        <v>343549</v>
      </c>
      <c r="B10" s="22" t="s">
        <v>28</v>
      </c>
      <c r="C10" s="107" t="s">
        <v>3624</v>
      </c>
      <c r="D10" s="107"/>
      <c r="E10" s="107"/>
      <c r="F10" s="107"/>
      <c r="G10" s="107"/>
      <c r="H10" s="107"/>
      <c r="I10" s="107"/>
      <c r="J10" s="107"/>
      <c r="K10" s="107"/>
      <c r="L10" s="107"/>
      <c r="M10" s="107"/>
      <c r="N10" s="107"/>
      <c r="O10" s="107"/>
      <c r="P10" s="34">
        <v>100</v>
      </c>
      <c r="Q10" s="36">
        <v>1</v>
      </c>
      <c r="R10" s="37">
        <v>2000</v>
      </c>
      <c r="S10" s="37">
        <v>2000</v>
      </c>
    </row>
  </sheetData>
  <mergeCells count="10">
    <mergeCell ref="P1:P2"/>
    <mergeCell ref="Q1:Q2"/>
    <mergeCell ref="R1:R2"/>
    <mergeCell ref="S1:S2"/>
    <mergeCell ref="C7:O9"/>
    <mergeCell ref="A1:C1"/>
    <mergeCell ref="D1:G1"/>
    <mergeCell ref="H1:K1"/>
    <mergeCell ref="L1:O1"/>
    <mergeCell ref="C10:O10"/>
  </mergeCells>
  <phoneticPr fontId="28"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FFFF00"/>
  </sheetPr>
  <dimension ref="A1:XFD1048576"/>
  <sheetViews>
    <sheetView topLeftCell="F1" workbookViewId="0">
      <selection activeCell="Q19" sqref="Q19"/>
    </sheetView>
  </sheetViews>
  <sheetFormatPr baseColWidth="10" defaultColWidth="9.1640625" defaultRowHeight="14"/>
  <cols>
    <col min="1" max="8" width="9.1640625" style="13"/>
    <col min="9" max="9" width="26.33203125" style="13" customWidth="1"/>
    <col min="10" max="11" width="9.1640625" style="13"/>
    <col min="12" max="12" width="12.33203125" style="13" customWidth="1"/>
    <col min="13" max="14" width="9.1640625" style="13"/>
    <col min="15" max="15" width="20.83203125" style="13" customWidth="1"/>
    <col min="16" max="18" width="9.1640625" style="13"/>
    <col min="19" max="19" width="23.6640625" style="13" customWidth="1"/>
    <col min="20" max="16359" width="9.1640625" style="13"/>
  </cols>
  <sheetData>
    <row r="1" spans="1:19 16359:16384" s="1" customFormat="1" ht="15">
      <c r="A1" s="8" t="s">
        <v>3625</v>
      </c>
      <c r="B1" s="8" t="s">
        <v>3626</v>
      </c>
      <c r="C1" s="8" t="s">
        <v>3627</v>
      </c>
      <c r="D1" s="8" t="s">
        <v>3628</v>
      </c>
      <c r="E1" s="8" t="s">
        <v>3629</v>
      </c>
      <c r="F1" s="9" t="s">
        <v>3630</v>
      </c>
      <c r="G1" s="8" t="s">
        <v>3631</v>
      </c>
      <c r="H1" s="8" t="s">
        <v>3632</v>
      </c>
      <c r="I1" s="8" t="s">
        <v>3633</v>
      </c>
      <c r="J1" s="8" t="s">
        <v>3634</v>
      </c>
      <c r="K1" s="8" t="s">
        <v>3635</v>
      </c>
      <c r="L1" s="8" t="s">
        <v>3636</v>
      </c>
      <c r="M1" s="8" t="s">
        <v>3637</v>
      </c>
      <c r="N1" s="8" t="s">
        <v>3638</v>
      </c>
      <c r="O1" s="9" t="s">
        <v>3639</v>
      </c>
      <c r="P1" s="8" t="s">
        <v>3640</v>
      </c>
      <c r="Q1" s="8" t="s">
        <v>101</v>
      </c>
      <c r="R1" s="11" t="s">
        <v>3641</v>
      </c>
      <c r="S1" s="12" t="s">
        <v>3642</v>
      </c>
      <c r="XEE1" s="13"/>
      <c r="XEF1"/>
      <c r="XEG1"/>
      <c r="XEH1"/>
      <c r="XEI1"/>
      <c r="XEJ1"/>
      <c r="XEK1"/>
      <c r="XEL1"/>
      <c r="XEM1"/>
      <c r="XEN1"/>
      <c r="XEO1"/>
      <c r="XEP1"/>
      <c r="XEQ1"/>
      <c r="XER1"/>
      <c r="XES1"/>
      <c r="XET1"/>
      <c r="XEU1"/>
      <c r="XEV1"/>
      <c r="XEW1"/>
      <c r="XEX1"/>
      <c r="XEY1"/>
      <c r="XEZ1"/>
      <c r="XFA1"/>
      <c r="XFB1"/>
      <c r="XFC1"/>
      <c r="XFD1"/>
    </row>
    <row r="2" spans="1:19 16359:16384" s="1" customFormat="1" ht="15">
      <c r="A2" s="8" t="s">
        <v>3643</v>
      </c>
      <c r="B2" s="8" t="s">
        <v>3644</v>
      </c>
      <c r="C2" s="8" t="s">
        <v>3645</v>
      </c>
      <c r="D2" s="8" t="s">
        <v>3646</v>
      </c>
      <c r="E2" s="8"/>
      <c r="F2" s="8" t="s">
        <v>16</v>
      </c>
      <c r="G2" s="8"/>
      <c r="H2" s="8" t="s">
        <v>3647</v>
      </c>
      <c r="I2" s="8" t="s">
        <v>3648</v>
      </c>
      <c r="J2" s="8"/>
      <c r="K2" s="8"/>
      <c r="L2" s="8" t="s">
        <v>3649</v>
      </c>
      <c r="M2" s="8" t="s">
        <v>3646</v>
      </c>
      <c r="N2" s="8" t="s">
        <v>3650</v>
      </c>
      <c r="O2" s="8" t="s">
        <v>3651</v>
      </c>
      <c r="P2" s="8" t="s">
        <v>3652</v>
      </c>
      <c r="Q2" s="8">
        <v>8388</v>
      </c>
      <c r="R2" s="11" t="s">
        <v>3653</v>
      </c>
      <c r="S2" s="8">
        <v>8388</v>
      </c>
      <c r="XEE2" s="13"/>
      <c r="XEF2"/>
      <c r="XEG2"/>
      <c r="XEH2"/>
      <c r="XEI2"/>
      <c r="XEJ2"/>
      <c r="XEK2"/>
      <c r="XEL2"/>
      <c r="XEM2"/>
      <c r="XEN2"/>
      <c r="XEO2"/>
      <c r="XEP2"/>
      <c r="XEQ2"/>
      <c r="XER2"/>
      <c r="XES2"/>
      <c r="XET2"/>
      <c r="XEU2"/>
      <c r="XEV2"/>
      <c r="XEW2"/>
      <c r="XEX2"/>
      <c r="XEY2"/>
      <c r="XEZ2"/>
      <c r="XFA2"/>
      <c r="XFB2"/>
      <c r="XFC2"/>
      <c r="XFD2"/>
    </row>
    <row r="3" spans="1:19 16359:16384" s="1" customFormat="1" ht="21" customHeight="1">
      <c r="A3" s="8" t="s">
        <v>3654</v>
      </c>
      <c r="B3" s="8" t="s">
        <v>3655</v>
      </c>
      <c r="C3" s="8"/>
      <c r="D3" s="8" t="s">
        <v>3392</v>
      </c>
      <c r="E3" s="8"/>
      <c r="F3" s="8" t="s">
        <v>16</v>
      </c>
      <c r="G3" s="8"/>
      <c r="H3" s="8" t="s">
        <v>356</v>
      </c>
      <c r="I3" s="8" t="s">
        <v>3656</v>
      </c>
      <c r="J3" s="8">
        <v>9849.7000000000007</v>
      </c>
      <c r="K3" s="14" t="s">
        <v>3657</v>
      </c>
      <c r="L3" s="8" t="s">
        <v>433</v>
      </c>
      <c r="M3" s="8" t="s">
        <v>3392</v>
      </c>
      <c r="N3" s="8"/>
      <c r="O3" s="8" t="s">
        <v>419</v>
      </c>
      <c r="P3" s="8" t="s">
        <v>431</v>
      </c>
      <c r="Q3" s="8"/>
      <c r="R3" s="11" t="s">
        <v>3654</v>
      </c>
      <c r="S3" s="8">
        <v>9849.7000000000007</v>
      </c>
      <c r="XEE3" s="13"/>
      <c r="XEF3"/>
      <c r="XEG3"/>
      <c r="XEH3"/>
      <c r="XEI3"/>
      <c r="XEJ3"/>
      <c r="XEK3"/>
      <c r="XEL3"/>
      <c r="XEM3"/>
      <c r="XEN3"/>
      <c r="XEO3"/>
      <c r="XEP3"/>
      <c r="XEQ3"/>
      <c r="XER3"/>
      <c r="XES3"/>
      <c r="XET3"/>
      <c r="XEU3"/>
      <c r="XEV3"/>
      <c r="XEW3"/>
      <c r="XEX3"/>
      <c r="XEY3"/>
      <c r="XEZ3"/>
      <c r="XFA3"/>
      <c r="XFB3"/>
      <c r="XFC3"/>
      <c r="XFD3"/>
    </row>
    <row r="4" spans="1:19 16359:16384" s="1" customFormat="1" ht="15">
      <c r="A4" s="8" t="s">
        <v>3654</v>
      </c>
      <c r="B4" s="8" t="s">
        <v>3644</v>
      </c>
      <c r="C4" s="8" t="s">
        <v>3658</v>
      </c>
      <c r="D4" s="8" t="s">
        <v>3659</v>
      </c>
      <c r="E4" s="8"/>
      <c r="F4" s="8" t="s">
        <v>16</v>
      </c>
      <c r="G4" s="8"/>
      <c r="H4" s="8" t="s">
        <v>356</v>
      </c>
      <c r="I4" s="8" t="s">
        <v>3648</v>
      </c>
      <c r="J4" s="8"/>
      <c r="K4" s="8"/>
      <c r="L4" s="8" t="s">
        <v>433</v>
      </c>
      <c r="M4" s="8" t="s">
        <v>3659</v>
      </c>
      <c r="N4" s="8" t="s">
        <v>3650</v>
      </c>
      <c r="O4" s="8" t="s">
        <v>3660</v>
      </c>
      <c r="P4" s="8" t="s">
        <v>3661</v>
      </c>
      <c r="Q4" s="8">
        <v>9748</v>
      </c>
      <c r="R4" s="11" t="s">
        <v>3662</v>
      </c>
      <c r="S4" s="8">
        <v>9748</v>
      </c>
      <c r="XEE4" s="13"/>
      <c r="XEF4"/>
      <c r="XEG4"/>
      <c r="XEH4"/>
      <c r="XEI4"/>
      <c r="XEJ4"/>
      <c r="XEK4"/>
      <c r="XEL4"/>
      <c r="XEM4"/>
      <c r="XEN4"/>
      <c r="XEO4"/>
      <c r="XEP4"/>
      <c r="XEQ4"/>
      <c r="XER4"/>
      <c r="XES4"/>
      <c r="XET4"/>
      <c r="XEU4"/>
      <c r="XEV4"/>
      <c r="XEW4"/>
      <c r="XEX4"/>
      <c r="XEY4"/>
      <c r="XEZ4"/>
      <c r="XFA4"/>
      <c r="XFB4"/>
      <c r="XFC4"/>
      <c r="XFD4"/>
    </row>
    <row r="5" spans="1:19 16359:16384" s="1" customFormat="1" ht="15">
      <c r="A5" s="8" t="s">
        <v>3663</v>
      </c>
      <c r="B5" s="8" t="s">
        <v>3644</v>
      </c>
      <c r="C5" s="8" t="s">
        <v>3664</v>
      </c>
      <c r="D5" s="8" t="s">
        <v>3665</v>
      </c>
      <c r="E5" s="8"/>
      <c r="F5" s="8" t="s">
        <v>16</v>
      </c>
      <c r="G5" s="8"/>
      <c r="H5" s="8" t="s">
        <v>694</v>
      </c>
      <c r="I5" s="8" t="s">
        <v>3666</v>
      </c>
      <c r="J5" s="8"/>
      <c r="K5" s="8"/>
      <c r="L5" s="8" t="s">
        <v>2950</v>
      </c>
      <c r="M5" s="8" t="s">
        <v>3665</v>
      </c>
      <c r="N5" s="8" t="s">
        <v>3650</v>
      </c>
      <c r="O5" s="10" t="s">
        <v>3667</v>
      </c>
      <c r="P5" s="8" t="s">
        <v>3668</v>
      </c>
      <c r="Q5" s="8">
        <v>12750.6</v>
      </c>
      <c r="R5" s="11" t="s">
        <v>3669</v>
      </c>
      <c r="S5" s="8">
        <v>12750.6</v>
      </c>
      <c r="XEE5" s="13"/>
      <c r="XEF5"/>
      <c r="XEG5"/>
      <c r="XEH5"/>
      <c r="XEI5"/>
      <c r="XEJ5"/>
      <c r="XEK5"/>
      <c r="XEL5"/>
      <c r="XEM5"/>
      <c r="XEN5"/>
      <c r="XEO5"/>
      <c r="XEP5"/>
      <c r="XEQ5"/>
      <c r="XER5"/>
      <c r="XES5"/>
      <c r="XET5"/>
      <c r="XEU5"/>
      <c r="XEV5"/>
      <c r="XEW5"/>
      <c r="XEX5"/>
      <c r="XEY5"/>
      <c r="XEZ5"/>
      <c r="XFA5"/>
      <c r="XFB5"/>
      <c r="XFC5"/>
      <c r="XFD5"/>
    </row>
    <row r="6" spans="1:19 16359:16384" s="1" customFormat="1" ht="15">
      <c r="A6" s="8" t="s">
        <v>3663</v>
      </c>
      <c r="B6" s="8" t="s">
        <v>3644</v>
      </c>
      <c r="C6" s="8" t="s">
        <v>3670</v>
      </c>
      <c r="D6" s="8" t="s">
        <v>3665</v>
      </c>
      <c r="E6" s="8"/>
      <c r="F6" s="8" t="s">
        <v>16</v>
      </c>
      <c r="G6" s="8"/>
      <c r="H6" s="8" t="s">
        <v>694</v>
      </c>
      <c r="I6" s="8" t="s">
        <v>3666</v>
      </c>
      <c r="J6" s="8"/>
      <c r="K6" s="8"/>
      <c r="L6" s="8" t="s">
        <v>2950</v>
      </c>
      <c r="M6" s="8" t="s">
        <v>3665</v>
      </c>
      <c r="N6" s="8" t="s">
        <v>3650</v>
      </c>
      <c r="O6" s="10" t="s">
        <v>3667</v>
      </c>
      <c r="P6" s="8" t="s">
        <v>3668</v>
      </c>
      <c r="Q6" s="8">
        <v>7520</v>
      </c>
      <c r="R6" s="11" t="s">
        <v>3669</v>
      </c>
      <c r="S6" s="8">
        <v>7520</v>
      </c>
      <c r="XEE6" s="13"/>
      <c r="XEF6"/>
      <c r="XEG6"/>
      <c r="XEH6"/>
      <c r="XEI6"/>
      <c r="XEJ6"/>
      <c r="XEK6"/>
      <c r="XEL6"/>
      <c r="XEM6"/>
      <c r="XEN6"/>
      <c r="XEO6"/>
      <c r="XEP6"/>
      <c r="XEQ6"/>
      <c r="XER6"/>
      <c r="XES6"/>
      <c r="XET6"/>
      <c r="XEU6"/>
      <c r="XEV6"/>
      <c r="XEW6"/>
      <c r="XEX6"/>
      <c r="XEY6"/>
      <c r="XEZ6"/>
      <c r="XFA6"/>
      <c r="XFB6"/>
      <c r="XFC6"/>
      <c r="XFD6"/>
    </row>
    <row r="7" spans="1:19 16359:16384" s="1" customFormat="1" ht="15">
      <c r="A7" s="8" t="s">
        <v>3663</v>
      </c>
      <c r="B7" s="8" t="s">
        <v>3644</v>
      </c>
      <c r="C7" s="8" t="s">
        <v>3671</v>
      </c>
      <c r="D7" s="8" t="s">
        <v>3665</v>
      </c>
      <c r="E7" s="8"/>
      <c r="F7" s="8" t="s">
        <v>16</v>
      </c>
      <c r="G7" s="8"/>
      <c r="H7" s="8" t="s">
        <v>694</v>
      </c>
      <c r="I7" s="8" t="s">
        <v>3666</v>
      </c>
      <c r="J7" s="8"/>
      <c r="K7" s="8"/>
      <c r="L7" s="8" t="s">
        <v>2950</v>
      </c>
      <c r="M7" s="8" t="s">
        <v>3665</v>
      </c>
      <c r="N7" s="8" t="s">
        <v>3650</v>
      </c>
      <c r="O7" s="10" t="s">
        <v>3667</v>
      </c>
      <c r="P7" s="8" t="s">
        <v>3668</v>
      </c>
      <c r="Q7" s="8">
        <v>12080.7</v>
      </c>
      <c r="R7" s="11" t="s">
        <v>3669</v>
      </c>
      <c r="S7" s="8">
        <v>12080.7</v>
      </c>
      <c r="XEE7" s="13"/>
      <c r="XEF7"/>
      <c r="XEG7"/>
      <c r="XEH7"/>
      <c r="XEI7"/>
      <c r="XEJ7"/>
      <c r="XEK7"/>
      <c r="XEL7"/>
      <c r="XEM7"/>
      <c r="XEN7"/>
      <c r="XEO7"/>
      <c r="XEP7"/>
      <c r="XEQ7"/>
      <c r="XER7"/>
      <c r="XES7"/>
      <c r="XET7"/>
      <c r="XEU7"/>
      <c r="XEV7"/>
      <c r="XEW7"/>
      <c r="XEX7"/>
      <c r="XEY7"/>
      <c r="XEZ7"/>
      <c r="XFA7"/>
      <c r="XFB7"/>
      <c r="XFC7"/>
      <c r="XFD7"/>
    </row>
    <row r="8" spans="1:19 16359:16384" s="1" customFormat="1" ht="15">
      <c r="A8" s="8" t="s">
        <v>3663</v>
      </c>
      <c r="B8" s="8" t="s">
        <v>3644</v>
      </c>
      <c r="C8" s="8" t="s">
        <v>3672</v>
      </c>
      <c r="D8" s="8" t="s">
        <v>3665</v>
      </c>
      <c r="E8" s="8"/>
      <c r="F8" s="8" t="s">
        <v>16</v>
      </c>
      <c r="G8" s="8"/>
      <c r="H8" s="8" t="s">
        <v>694</v>
      </c>
      <c r="I8" s="8" t="s">
        <v>3666</v>
      </c>
      <c r="J8" s="8"/>
      <c r="K8" s="8"/>
      <c r="L8" s="8" t="s">
        <v>2950</v>
      </c>
      <c r="M8" s="8" t="s">
        <v>3665</v>
      </c>
      <c r="N8" s="8" t="s">
        <v>3650</v>
      </c>
      <c r="O8" s="10" t="s">
        <v>3667</v>
      </c>
      <c r="P8" s="8" t="s">
        <v>3668</v>
      </c>
      <c r="Q8" s="8">
        <v>6302.1</v>
      </c>
      <c r="R8" s="11" t="s">
        <v>3669</v>
      </c>
      <c r="S8" s="8">
        <v>6302.1</v>
      </c>
      <c r="XEE8" s="13"/>
      <c r="XEF8"/>
      <c r="XEG8"/>
      <c r="XEH8"/>
      <c r="XEI8"/>
      <c r="XEJ8"/>
      <c r="XEK8"/>
      <c r="XEL8"/>
      <c r="XEM8"/>
      <c r="XEN8"/>
      <c r="XEO8"/>
      <c r="XEP8"/>
      <c r="XEQ8"/>
      <c r="XER8"/>
      <c r="XES8"/>
      <c r="XET8"/>
      <c r="XEU8"/>
      <c r="XEV8"/>
      <c r="XEW8"/>
      <c r="XEX8"/>
      <c r="XEY8"/>
      <c r="XEZ8"/>
      <c r="XFA8"/>
      <c r="XFB8"/>
      <c r="XFC8"/>
      <c r="XFD8"/>
    </row>
    <row r="9" spans="1:19 16359:16384" s="1" customFormat="1" ht="15">
      <c r="A9" s="8" t="s">
        <v>3673</v>
      </c>
      <c r="B9" s="8" t="s">
        <v>3655</v>
      </c>
      <c r="C9" s="8"/>
      <c r="D9" s="8" t="s">
        <v>3674</v>
      </c>
      <c r="E9" s="8"/>
      <c r="F9" s="8" t="s">
        <v>16</v>
      </c>
      <c r="G9" s="8"/>
      <c r="H9" s="8" t="s">
        <v>1157</v>
      </c>
      <c r="I9" s="8" t="s">
        <v>3648</v>
      </c>
      <c r="J9" s="8">
        <v>5680</v>
      </c>
      <c r="K9" s="8" t="s">
        <v>3675</v>
      </c>
      <c r="L9" s="8" t="s">
        <v>1867</v>
      </c>
      <c r="M9" s="8" t="s">
        <v>3674</v>
      </c>
      <c r="N9" s="8"/>
      <c r="O9" s="8" t="s">
        <v>1872</v>
      </c>
      <c r="P9" s="8" t="s">
        <v>1877</v>
      </c>
      <c r="Q9" s="8"/>
      <c r="R9" s="11" t="s">
        <v>3673</v>
      </c>
      <c r="S9" s="8">
        <v>5680</v>
      </c>
      <c r="XEE9" s="13"/>
      <c r="XEF9"/>
      <c r="XEG9"/>
      <c r="XEH9"/>
      <c r="XEI9"/>
      <c r="XEJ9"/>
      <c r="XEK9"/>
      <c r="XEL9"/>
      <c r="XEM9"/>
      <c r="XEN9"/>
      <c r="XEO9"/>
      <c r="XEP9"/>
      <c r="XEQ9"/>
      <c r="XER9"/>
      <c r="XES9"/>
      <c r="XET9"/>
      <c r="XEU9"/>
      <c r="XEV9"/>
      <c r="XEW9"/>
      <c r="XEX9"/>
      <c r="XEY9"/>
      <c r="XEZ9"/>
      <c r="XFA9"/>
      <c r="XFB9"/>
      <c r="XFC9"/>
      <c r="XFD9"/>
    </row>
    <row r="10" spans="1:19 16359:16384" s="1" customFormat="1" ht="15">
      <c r="A10" s="8" t="s">
        <v>3676</v>
      </c>
      <c r="B10" s="8" t="s">
        <v>3644</v>
      </c>
      <c r="C10" s="8" t="s">
        <v>3677</v>
      </c>
      <c r="D10" s="8" t="s">
        <v>3678</v>
      </c>
      <c r="E10" s="8"/>
      <c r="F10" s="8" t="s">
        <v>16</v>
      </c>
      <c r="G10" s="8"/>
      <c r="H10" s="8" t="s">
        <v>694</v>
      </c>
      <c r="I10" s="8" t="s">
        <v>3666</v>
      </c>
      <c r="J10" s="8"/>
      <c r="K10" s="8"/>
      <c r="L10" s="8" t="s">
        <v>348</v>
      </c>
      <c r="M10" s="8" t="s">
        <v>3678</v>
      </c>
      <c r="N10" s="8" t="s">
        <v>3650</v>
      </c>
      <c r="O10" s="10" t="s">
        <v>3667</v>
      </c>
      <c r="P10" s="8" t="s">
        <v>3668</v>
      </c>
      <c r="Q10" s="8">
        <v>4220</v>
      </c>
      <c r="R10" s="11" t="s">
        <v>3676</v>
      </c>
      <c r="S10" s="8">
        <v>4220</v>
      </c>
      <c r="XEE10" s="13"/>
      <c r="XEF10"/>
      <c r="XEG10"/>
      <c r="XEH10"/>
      <c r="XEI10"/>
      <c r="XEJ10"/>
      <c r="XEK10"/>
      <c r="XEL10"/>
      <c r="XEM10"/>
      <c r="XEN10"/>
      <c r="XEO10"/>
      <c r="XEP10"/>
      <c r="XEQ10"/>
      <c r="XER10"/>
      <c r="XES10"/>
      <c r="XET10"/>
      <c r="XEU10"/>
      <c r="XEV10"/>
      <c r="XEW10"/>
      <c r="XEX10"/>
      <c r="XEY10"/>
      <c r="XEZ10"/>
      <c r="XFA10"/>
      <c r="XFB10"/>
      <c r="XFC10"/>
      <c r="XFD10"/>
    </row>
    <row r="11" spans="1:19 16359:16384" s="1" customFormat="1" ht="26" hidden="1" customHeight="1">
      <c r="A11" s="8" t="s">
        <v>3679</v>
      </c>
      <c r="B11" s="8" t="s">
        <v>3655</v>
      </c>
      <c r="C11" s="8"/>
      <c r="D11" s="8" t="s">
        <v>3680</v>
      </c>
      <c r="E11" s="8"/>
      <c r="F11" s="8" t="s">
        <v>24</v>
      </c>
      <c r="G11" s="8" t="s">
        <v>3681</v>
      </c>
      <c r="H11" s="8" t="s">
        <v>3682</v>
      </c>
      <c r="I11" s="8" t="s">
        <v>3648</v>
      </c>
      <c r="J11" s="8">
        <v>4680</v>
      </c>
      <c r="K11" s="14" t="s">
        <v>3683</v>
      </c>
      <c r="L11" s="8" t="s">
        <v>407</v>
      </c>
      <c r="M11" s="8" t="s">
        <v>24</v>
      </c>
      <c r="N11" s="8"/>
      <c r="O11" s="8" t="s">
        <v>3064</v>
      </c>
      <c r="P11" s="8" t="s">
        <v>3070</v>
      </c>
      <c r="Q11" s="8"/>
      <c r="R11" s="11" t="s">
        <v>3679</v>
      </c>
      <c r="S11" s="8">
        <v>4680</v>
      </c>
      <c r="XEE11" s="13"/>
      <c r="XEF11"/>
      <c r="XEG11"/>
      <c r="XEH11"/>
      <c r="XEI11"/>
      <c r="XEJ11"/>
      <c r="XEK11"/>
      <c r="XEL11"/>
      <c r="XEM11"/>
      <c r="XEN11"/>
      <c r="XEO11"/>
      <c r="XEP11"/>
      <c r="XEQ11"/>
      <c r="XER11"/>
      <c r="XES11"/>
      <c r="XET11"/>
      <c r="XEU11"/>
      <c r="XEV11"/>
      <c r="XEW11"/>
      <c r="XEX11"/>
      <c r="XEY11"/>
      <c r="XEZ11"/>
      <c r="XFA11"/>
      <c r="XFB11"/>
      <c r="XFC11"/>
      <c r="XFD11"/>
    </row>
    <row r="12" spans="1:19 16359:16384" s="1" customFormat="1" ht="15" hidden="1">
      <c r="A12" s="8" t="s">
        <v>3684</v>
      </c>
      <c r="B12" s="8" t="s">
        <v>3644</v>
      </c>
      <c r="C12" s="8" t="s">
        <v>3685</v>
      </c>
      <c r="D12" s="8" t="s">
        <v>3686</v>
      </c>
      <c r="E12" s="8" t="s">
        <v>125</v>
      </c>
      <c r="F12" s="8" t="s">
        <v>21</v>
      </c>
      <c r="G12" s="8"/>
      <c r="H12" s="8" t="s">
        <v>3687</v>
      </c>
      <c r="I12" s="8" t="s">
        <v>3688</v>
      </c>
      <c r="J12" s="8"/>
      <c r="K12" s="8"/>
      <c r="L12" s="8" t="s">
        <v>659</v>
      </c>
      <c r="M12" s="8" t="s">
        <v>3686</v>
      </c>
      <c r="N12" s="8" t="s">
        <v>3650</v>
      </c>
      <c r="O12" s="8" t="s">
        <v>3689</v>
      </c>
      <c r="P12" s="8" t="s">
        <v>3690</v>
      </c>
      <c r="Q12" s="8">
        <v>2960</v>
      </c>
      <c r="R12" s="11" t="s">
        <v>3691</v>
      </c>
      <c r="S12" s="8">
        <v>2960</v>
      </c>
      <c r="XEE12" s="13"/>
      <c r="XEF12"/>
      <c r="XEG12"/>
      <c r="XEH12"/>
      <c r="XEI12"/>
      <c r="XEJ12"/>
      <c r="XEK12"/>
      <c r="XEL12"/>
      <c r="XEM12"/>
      <c r="XEN12"/>
      <c r="XEO12"/>
      <c r="XEP12"/>
      <c r="XEQ12"/>
      <c r="XER12"/>
      <c r="XES12"/>
      <c r="XET12"/>
      <c r="XEU12"/>
      <c r="XEV12"/>
      <c r="XEW12"/>
      <c r="XEX12"/>
      <c r="XEY12"/>
      <c r="XEZ12"/>
      <c r="XFA12"/>
      <c r="XFB12"/>
      <c r="XFC12"/>
      <c r="XFD12"/>
    </row>
    <row r="13" spans="1:19 16359:16384" s="1" customFormat="1" ht="15" hidden="1">
      <c r="A13" s="8" t="s">
        <v>3692</v>
      </c>
      <c r="B13" s="8" t="s">
        <v>3644</v>
      </c>
      <c r="C13" s="8" t="s">
        <v>3693</v>
      </c>
      <c r="D13" s="8" t="s">
        <v>3694</v>
      </c>
      <c r="E13" s="8"/>
      <c r="F13" s="8" t="s">
        <v>21</v>
      </c>
      <c r="G13" s="8"/>
      <c r="H13" s="8" t="s">
        <v>163</v>
      </c>
      <c r="I13" s="8" t="s">
        <v>3648</v>
      </c>
      <c r="J13" s="8"/>
      <c r="K13" s="8"/>
      <c r="L13" s="8" t="s">
        <v>3293</v>
      </c>
      <c r="M13" s="8" t="s">
        <v>3695</v>
      </c>
      <c r="N13" s="8" t="s">
        <v>3650</v>
      </c>
      <c r="O13" s="8" t="s">
        <v>508</v>
      </c>
      <c r="P13" s="8" t="s">
        <v>518</v>
      </c>
      <c r="Q13" s="8">
        <v>500</v>
      </c>
      <c r="R13" s="11" t="s">
        <v>3696</v>
      </c>
      <c r="S13" s="8">
        <v>500</v>
      </c>
      <c r="XEE13" s="13"/>
      <c r="XEF13"/>
      <c r="XEG13"/>
      <c r="XEH13"/>
      <c r="XEI13"/>
      <c r="XEJ13"/>
      <c r="XEK13"/>
      <c r="XEL13"/>
      <c r="XEM13"/>
      <c r="XEN13"/>
      <c r="XEO13"/>
      <c r="XEP13"/>
      <c r="XEQ13"/>
      <c r="XER13"/>
      <c r="XES13"/>
      <c r="XET13"/>
      <c r="XEU13"/>
      <c r="XEV13"/>
      <c r="XEW13"/>
      <c r="XEX13"/>
      <c r="XEY13"/>
      <c r="XEZ13"/>
      <c r="XFA13"/>
      <c r="XFB13"/>
      <c r="XFC13"/>
      <c r="XFD13"/>
    </row>
    <row r="18" spans="1:1">
      <c r="A18"/>
    </row>
    <row r="19" spans="1:1" ht="15">
      <c r="A19" s="5" t="s">
        <v>3697</v>
      </c>
    </row>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ref="A1:S13" xr:uid="{00000000-0009-0000-0000-000004000000}">
    <filterColumn colId="5">
      <filters>
        <filter val="刘晓娟"/>
      </filters>
    </filterColumn>
  </autoFilter>
  <phoneticPr fontId="2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XFD11"/>
  <sheetViews>
    <sheetView workbookViewId="0">
      <selection activeCell="E2" sqref="E2:E6"/>
    </sheetView>
  </sheetViews>
  <sheetFormatPr baseColWidth="10" defaultColWidth="9.1640625" defaultRowHeight="14"/>
  <cols>
    <col min="1" max="1" width="14.83203125" customWidth="1"/>
    <col min="6" max="6" width="24.5" customWidth="1"/>
    <col min="21" max="21" width="25.83203125" customWidth="1"/>
  </cols>
  <sheetData>
    <row r="1" spans="1:23 16363:16384" s="1" customFormat="1" ht="17">
      <c r="A1" s="2" t="s">
        <v>3625</v>
      </c>
      <c r="B1" s="3" t="s">
        <v>101</v>
      </c>
      <c r="C1" s="3" t="s">
        <v>3698</v>
      </c>
      <c r="D1" s="3" t="s">
        <v>3699</v>
      </c>
      <c r="E1" s="7" t="s">
        <v>3700</v>
      </c>
      <c r="F1" s="8" t="s">
        <v>3626</v>
      </c>
      <c r="G1" s="8" t="s">
        <v>3627</v>
      </c>
      <c r="H1" s="8" t="s">
        <v>3628</v>
      </c>
      <c r="I1" s="8" t="s">
        <v>3629</v>
      </c>
      <c r="J1" s="9" t="s">
        <v>3630</v>
      </c>
      <c r="K1" s="8" t="s">
        <v>3631</v>
      </c>
      <c r="L1" s="8" t="s">
        <v>3632</v>
      </c>
      <c r="M1" s="8" t="s">
        <v>3633</v>
      </c>
      <c r="N1" s="8" t="s">
        <v>3634</v>
      </c>
      <c r="O1" s="8" t="s">
        <v>3635</v>
      </c>
      <c r="P1" s="8" t="s">
        <v>3636</v>
      </c>
      <c r="Q1" s="8" t="s">
        <v>3637</v>
      </c>
      <c r="R1" s="8" t="s">
        <v>3638</v>
      </c>
      <c r="S1" s="9" t="s">
        <v>3639</v>
      </c>
      <c r="T1" s="8" t="s">
        <v>3640</v>
      </c>
      <c r="U1" s="8" t="s">
        <v>101</v>
      </c>
      <c r="V1" s="11" t="s">
        <v>3641</v>
      </c>
      <c r="W1" s="12" t="s">
        <v>3642</v>
      </c>
      <c r="XEI1" s="13"/>
      <c r="XEJ1"/>
      <c r="XEK1"/>
      <c r="XEL1"/>
      <c r="XEM1"/>
      <c r="XEN1"/>
      <c r="XEO1"/>
      <c r="XEP1"/>
      <c r="XEQ1"/>
      <c r="XER1"/>
      <c r="XES1"/>
      <c r="XET1"/>
      <c r="XEU1"/>
      <c r="XEV1"/>
      <c r="XEW1"/>
      <c r="XEX1"/>
      <c r="XEY1"/>
      <c r="XEZ1"/>
      <c r="XFA1"/>
      <c r="XFB1"/>
      <c r="XFC1"/>
      <c r="XFD1"/>
    </row>
    <row r="2" spans="1:23 16363:16384" s="1" customFormat="1" ht="15">
      <c r="A2" s="2" t="s">
        <v>3663</v>
      </c>
      <c r="B2" s="111">
        <v>42873.4</v>
      </c>
      <c r="C2" s="112">
        <v>45542</v>
      </c>
      <c r="D2" s="113">
        <v>0.05</v>
      </c>
      <c r="E2" s="116">
        <f>B2*D2</f>
        <v>2143.67</v>
      </c>
      <c r="F2" s="8" t="s">
        <v>3644</v>
      </c>
      <c r="G2" s="8" t="s">
        <v>3664</v>
      </c>
      <c r="H2" s="8" t="s">
        <v>3665</v>
      </c>
      <c r="I2" s="8"/>
      <c r="J2" s="8" t="s">
        <v>16</v>
      </c>
      <c r="K2" s="8"/>
      <c r="L2" s="8" t="s">
        <v>694</v>
      </c>
      <c r="M2" s="8" t="s">
        <v>3666</v>
      </c>
      <c r="N2" s="8"/>
      <c r="O2" s="8"/>
      <c r="P2" s="8" t="s">
        <v>2950</v>
      </c>
      <c r="Q2" s="8" t="s">
        <v>3665</v>
      </c>
      <c r="R2" s="8" t="s">
        <v>3650</v>
      </c>
      <c r="S2" s="10" t="s">
        <v>3667</v>
      </c>
      <c r="T2" s="8" t="s">
        <v>3668</v>
      </c>
      <c r="U2" s="8">
        <v>12750.6</v>
      </c>
      <c r="V2" s="11" t="s">
        <v>3669</v>
      </c>
      <c r="W2" s="8">
        <v>12750.6</v>
      </c>
      <c r="XEI2" s="13"/>
      <c r="XEJ2"/>
      <c r="XEK2"/>
      <c r="XEL2"/>
      <c r="XEM2"/>
      <c r="XEN2"/>
      <c r="XEO2"/>
      <c r="XEP2"/>
      <c r="XEQ2"/>
      <c r="XER2"/>
      <c r="XES2"/>
      <c r="XET2"/>
      <c r="XEU2"/>
      <c r="XEV2"/>
      <c r="XEW2"/>
      <c r="XEX2"/>
      <c r="XEY2"/>
      <c r="XEZ2"/>
      <c r="XFA2"/>
      <c r="XFB2"/>
      <c r="XFC2"/>
      <c r="XFD2"/>
    </row>
    <row r="3" spans="1:23 16363:16384" s="1" customFormat="1" ht="15">
      <c r="A3" s="2" t="s">
        <v>3663</v>
      </c>
      <c r="B3" s="111"/>
      <c r="C3" s="112"/>
      <c r="D3" s="114"/>
      <c r="E3" s="117"/>
      <c r="F3" s="8" t="s">
        <v>3644</v>
      </c>
      <c r="G3" s="8" t="s">
        <v>3670</v>
      </c>
      <c r="H3" s="8" t="s">
        <v>3665</v>
      </c>
      <c r="I3" s="8"/>
      <c r="J3" s="8" t="s">
        <v>16</v>
      </c>
      <c r="K3" s="8"/>
      <c r="L3" s="8" t="s">
        <v>694</v>
      </c>
      <c r="M3" s="8" t="s">
        <v>3666</v>
      </c>
      <c r="N3" s="8"/>
      <c r="O3" s="8"/>
      <c r="P3" s="8" t="s">
        <v>2950</v>
      </c>
      <c r="Q3" s="8" t="s">
        <v>3665</v>
      </c>
      <c r="R3" s="8" t="s">
        <v>3650</v>
      </c>
      <c r="S3" s="10" t="s">
        <v>3667</v>
      </c>
      <c r="T3" s="8" t="s">
        <v>3668</v>
      </c>
      <c r="U3" s="8">
        <v>7520</v>
      </c>
      <c r="V3" s="11" t="s">
        <v>3669</v>
      </c>
      <c r="W3" s="8">
        <v>7520</v>
      </c>
      <c r="XEI3" s="13"/>
      <c r="XEJ3"/>
      <c r="XEK3"/>
      <c r="XEL3"/>
      <c r="XEM3"/>
      <c r="XEN3"/>
      <c r="XEO3"/>
      <c r="XEP3"/>
      <c r="XEQ3"/>
      <c r="XER3"/>
      <c r="XES3"/>
      <c r="XET3"/>
      <c r="XEU3"/>
      <c r="XEV3"/>
      <c r="XEW3"/>
      <c r="XEX3"/>
      <c r="XEY3"/>
      <c r="XEZ3"/>
      <c r="XFA3"/>
      <c r="XFB3"/>
      <c r="XFC3"/>
      <c r="XFD3"/>
    </row>
    <row r="4" spans="1:23 16363:16384" s="1" customFormat="1" ht="15">
      <c r="A4" s="2" t="s">
        <v>3663</v>
      </c>
      <c r="B4" s="111"/>
      <c r="C4" s="112"/>
      <c r="D4" s="114"/>
      <c r="E4" s="117"/>
      <c r="F4" s="8" t="s">
        <v>3644</v>
      </c>
      <c r="G4" s="8" t="s">
        <v>3671</v>
      </c>
      <c r="H4" s="8" t="s">
        <v>3665</v>
      </c>
      <c r="I4" s="8"/>
      <c r="J4" s="8" t="s">
        <v>16</v>
      </c>
      <c r="K4" s="8"/>
      <c r="L4" s="8" t="s">
        <v>694</v>
      </c>
      <c r="M4" s="8" t="s">
        <v>3666</v>
      </c>
      <c r="N4" s="8"/>
      <c r="O4" s="8"/>
      <c r="P4" s="8" t="s">
        <v>2950</v>
      </c>
      <c r="Q4" s="8" t="s">
        <v>3665</v>
      </c>
      <c r="R4" s="8" t="s">
        <v>3650</v>
      </c>
      <c r="S4" s="10" t="s">
        <v>3667</v>
      </c>
      <c r="T4" s="8" t="s">
        <v>3668</v>
      </c>
      <c r="U4" s="8">
        <v>12080.7</v>
      </c>
      <c r="V4" s="11" t="s">
        <v>3669</v>
      </c>
      <c r="W4" s="8">
        <v>12080.7</v>
      </c>
      <c r="XEI4" s="13"/>
      <c r="XEJ4"/>
      <c r="XEK4"/>
      <c r="XEL4"/>
      <c r="XEM4"/>
      <c r="XEN4"/>
      <c r="XEO4"/>
      <c r="XEP4"/>
      <c r="XEQ4"/>
      <c r="XER4"/>
      <c r="XES4"/>
      <c r="XET4"/>
      <c r="XEU4"/>
      <c r="XEV4"/>
      <c r="XEW4"/>
      <c r="XEX4"/>
      <c r="XEY4"/>
      <c r="XEZ4"/>
      <c r="XFA4"/>
      <c r="XFB4"/>
      <c r="XFC4"/>
      <c r="XFD4"/>
    </row>
    <row r="5" spans="1:23 16363:16384" s="1" customFormat="1" ht="15">
      <c r="A5" s="2" t="s">
        <v>3663</v>
      </c>
      <c r="B5" s="111"/>
      <c r="C5" s="112"/>
      <c r="D5" s="114"/>
      <c r="E5" s="117"/>
      <c r="F5" s="8" t="s">
        <v>3644</v>
      </c>
      <c r="G5" s="8" t="s">
        <v>3672</v>
      </c>
      <c r="H5" s="8" t="s">
        <v>3665</v>
      </c>
      <c r="I5" s="8"/>
      <c r="J5" s="8" t="s">
        <v>16</v>
      </c>
      <c r="K5" s="8"/>
      <c r="L5" s="8" t="s">
        <v>694</v>
      </c>
      <c r="M5" s="8" t="s">
        <v>3666</v>
      </c>
      <c r="N5" s="8"/>
      <c r="O5" s="8"/>
      <c r="P5" s="8" t="s">
        <v>2950</v>
      </c>
      <c r="Q5" s="8" t="s">
        <v>3665</v>
      </c>
      <c r="R5" s="8" t="s">
        <v>3650</v>
      </c>
      <c r="S5" s="10" t="s">
        <v>3667</v>
      </c>
      <c r="T5" s="8" t="s">
        <v>3668</v>
      </c>
      <c r="U5" s="8">
        <v>6302.1</v>
      </c>
      <c r="V5" s="11" t="s">
        <v>3669</v>
      </c>
      <c r="W5" s="8">
        <v>6302.1</v>
      </c>
      <c r="XEI5" s="13"/>
      <c r="XEJ5"/>
      <c r="XEK5"/>
      <c r="XEL5"/>
      <c r="XEM5"/>
      <c r="XEN5"/>
      <c r="XEO5"/>
      <c r="XEP5"/>
      <c r="XEQ5"/>
      <c r="XER5"/>
      <c r="XES5"/>
      <c r="XET5"/>
      <c r="XEU5"/>
      <c r="XEV5"/>
      <c r="XEW5"/>
      <c r="XEX5"/>
      <c r="XEY5"/>
      <c r="XEZ5"/>
      <c r="XFA5"/>
      <c r="XFB5"/>
      <c r="XFC5"/>
      <c r="XFD5"/>
    </row>
    <row r="6" spans="1:23 16363:16384" s="1" customFormat="1" ht="15">
      <c r="A6" s="2" t="s">
        <v>3676</v>
      </c>
      <c r="B6" s="111"/>
      <c r="C6" s="112"/>
      <c r="D6" s="115"/>
      <c r="E6" s="118"/>
      <c r="F6" s="8" t="s">
        <v>3644</v>
      </c>
      <c r="G6" s="8" t="s">
        <v>3677</v>
      </c>
      <c r="H6" s="8" t="s">
        <v>3678</v>
      </c>
      <c r="I6" s="8"/>
      <c r="J6" s="8" t="s">
        <v>16</v>
      </c>
      <c r="K6" s="8"/>
      <c r="L6" s="8" t="s">
        <v>694</v>
      </c>
      <c r="M6" s="8" t="s">
        <v>3666</v>
      </c>
      <c r="N6" s="8"/>
      <c r="O6" s="8"/>
      <c r="P6" s="8" t="s">
        <v>348</v>
      </c>
      <c r="Q6" s="8" t="s">
        <v>3678</v>
      </c>
      <c r="R6" s="8" t="s">
        <v>3650</v>
      </c>
      <c r="S6" s="10" t="s">
        <v>3667</v>
      </c>
      <c r="T6" s="8" t="s">
        <v>3668</v>
      </c>
      <c r="U6" s="8">
        <v>4220</v>
      </c>
      <c r="V6" s="11" t="s">
        <v>3676</v>
      </c>
      <c r="W6" s="8">
        <v>4220</v>
      </c>
      <c r="XEI6" s="13"/>
      <c r="XEJ6"/>
      <c r="XEK6"/>
      <c r="XEL6"/>
      <c r="XEM6"/>
      <c r="XEN6"/>
      <c r="XEO6"/>
      <c r="XEP6"/>
      <c r="XEQ6"/>
      <c r="XER6"/>
      <c r="XES6"/>
      <c r="XET6"/>
      <c r="XEU6"/>
      <c r="XEV6"/>
      <c r="XEW6"/>
      <c r="XEX6"/>
      <c r="XEY6"/>
      <c r="XEZ6"/>
      <c r="XFA6"/>
      <c r="XFB6"/>
      <c r="XFC6"/>
      <c r="XFD6"/>
    </row>
    <row r="8" spans="1:23 16363:16384">
      <c r="C8" s="4"/>
    </row>
    <row r="11" spans="1:23 16363:16384" ht="15">
      <c r="A11" s="5" t="s">
        <v>3701</v>
      </c>
      <c r="B11" s="6"/>
      <c r="C11" s="6"/>
      <c r="D11" s="6"/>
      <c r="E11" s="6"/>
    </row>
  </sheetData>
  <mergeCells count="4">
    <mergeCell ref="B2:B6"/>
    <mergeCell ref="C2:C6"/>
    <mergeCell ref="D2:D6"/>
    <mergeCell ref="E2:E6"/>
  </mergeCells>
  <phoneticPr fontId="2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业绩奖金</vt:lpstr>
      <vt:lpstr>季度绩效-刘文君</vt:lpstr>
      <vt:lpstr>业绩核算明细</vt:lpstr>
      <vt:lpstr>顾问6月签约明细</vt:lpstr>
      <vt:lpstr>绩效明细</vt:lpstr>
      <vt:lpstr>退费数据 四六级</vt:lpstr>
      <vt:lpstr>考研业绩退费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liuwenjun</dc:creator>
  <cp:lastModifiedBy>Microsoft Office User</cp:lastModifiedBy>
  <dcterms:created xsi:type="dcterms:W3CDTF">2025-06-03T01:35:00Z</dcterms:created>
  <dcterms:modified xsi:type="dcterms:W3CDTF">2025-07-05T18:00:49Z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A688A2E5E8FC0A8CBE2B64681025401A_43</vt:lpwstr>
  </property>
  <property fmtid="{D5CDD505-2E9C-101B-9397-08002B2CF9AE}" pid="3" name="KSOProductBuildVer">
    <vt:lpwstr>2052-7.4.1.8983</vt:lpwstr>
  </property>
</Properties>
</file>