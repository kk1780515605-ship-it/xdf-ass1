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签约明细!$A$49:$AP$72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<sst xmlns="http://schemas.openxmlformats.org/spreadsheetml/2006/main" count="1988" uniqueCount="564">
  <si>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</si>
  <si>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</si>
  <si>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</si>
  <si>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</si>
  <si>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</si>
  <si>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</si>
  <si>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</si>
  <si>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</si>
  <si>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</si>
  <si>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</si>
  <si>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</si>
  <si>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</si>
  <si>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</si>
  <si>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</si>
  <si>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</si>
  <si>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</si>
  <si>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</si>
  <si>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</si>
  <si>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</si>
  <si>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</si>
  <si>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</si>
  <si>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</si>
  <si>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</si>
  <si>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</si>
  <si>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</si>
  <si>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周信宇</t>
  </si>
  <si>
    <t>市场/线上运营</t>
  </si>
  <si>
    <t>专员、组长绩效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</si>
  <si>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</si>
  <si>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</si>
  <si>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</si>
  <si>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</si>
  <si>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</si>
  <si>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</si>
  <si>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</si>
  <si>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</si>
  <si>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</si>
  <si>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</si>
  <si>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</si>
  <si>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</si>
  <si>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</si>
  <si>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</si>
  <si>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</si>
  <si>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</si>
  <si>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</si>
  <si>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</si>
  <si>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在职研顾问业绩汇总（8月）</t>
  </si>
  <si>
    <t>本月提成</t>
  </si>
  <si>
    <t>本月绩效</t>
  </si>
  <si>
    <t>月度数据</t>
  </si>
  <si>
    <t>考核项1：总签约率=签约人头/当期新增工单=12%</t>
  </si>
  <si>
    <t>考核项2：小红书渠道签约率=该渠道签约人头/该渠道当期新增工单=13.5%</t>
  </si>
  <si>
    <t>考核项3：顾问转介绍签约现金≥1.6w/人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</si>
  <si>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</si>
  <si>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</si>
  <si>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</si>
  <si>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</si>
  <si>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</si>
  <si>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</si>
  <si>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</si>
  <si>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</si>
  <si>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</si>
  <si>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</si>
  <si>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</si>
  <si>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</si>
  <si>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</si>
  <si>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</si>
  <si>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</si>
  <si>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</si>
  <si>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</si>
  <si>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</si>
  <si>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</si>
  <si>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</si>
  <si>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</si>
  <si>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</si>
  <si>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</si>
  <si>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</si>
  <si>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</si>
  <si>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</si>
  <si>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</si>
  <si>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</si>
  <si>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</si>
  <si>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</si>
  <si>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</si>
  <si>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</si>
  <si>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</si>
  <si>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</si>
  <si>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</si>
  <si>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</si>
  <si>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</si>
  <si>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</si>
  <si>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</si>
  <si>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</si>
  <si>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</si>
  <si>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</si>
  <si>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</si>
  <si>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</si>
  <si>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</si>
  <si>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</si>
  <si>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</si>
  <si>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</si>
  <si>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</si>
  <si>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</si>
  <si>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</si>
  <si>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</si>
  <si>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</si>
  <si>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</si>
  <si>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</si>
  <si>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</si>
  <si>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</si>
  <si>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</si>
  <si>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</si>
  <si>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</si>
  <si>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</si>
  <si>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</si>
  <si>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</si>
  <si>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</si>
  <si>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</si>
  <si>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2025-08-02</t>
  </si>
  <si>
    <t>李鸿超</t>
  </si>
  <si>
    <t>国内考试</t>
  </si>
  <si>
    <t/>
  </si>
  <si>
    <t>新签</t>
  </si>
  <si>
    <t>已交接</t>
  </si>
  <si>
    <t>新东方官网</t>
  </si>
  <si>
    <t>新东方PC官网</t>
  </si>
  <si>
    <t>2025-08-02 16:00</t>
  </si>
  <si>
    <t>2025-08-02 16:14</t>
  </si>
  <si>
    <t>2025-07-22 14:00:51</t>
  </si>
  <si>
    <t>B（需长时间跟单或只需要规划）</t>
  </si>
  <si>
    <t>BJWY2011wXCx1W</t>
  </si>
  <si>
    <t>BJWY3474468906</t>
  </si>
  <si>
    <t>MBA</t>
  </si>
  <si>
    <t>北京农学院</t>
  </si>
  <si>
    <t>在职</t>
  </si>
  <si>
    <t>计算机与信息工程学院</t>
  </si>
  <si>
    <t>计算机科学与技术专业</t>
  </si>
  <si>
    <t>26考季</t>
  </si>
  <si>
    <t>考研在职管理类冲刺精讲班,考研在职管理类冲刺班</t>
  </si>
  <si>
    <t>英语,管综</t>
  </si>
  <si>
    <t>国内高校-双非</t>
  </si>
  <si>
    <t>学管主管审批通过</t>
  </si>
  <si>
    <t>是</t>
  </si>
  <si>
    <t>2025-08-02 16:13</t>
  </si>
  <si>
    <t>19800.0</t>
  </si>
  <si>
    <t>2025-08-03</t>
  </si>
  <si>
    <t>付媛媛</t>
  </si>
  <si>
    <t>同科续费</t>
  </si>
  <si>
    <t>兰天惠</t>
  </si>
  <si>
    <t>续班</t>
  </si>
  <si>
    <t>转介绍</t>
  </si>
  <si>
    <t>学管续费推荐</t>
  </si>
  <si>
    <t>2025-08-03 19:53</t>
  </si>
  <si>
    <t>2025-08-04 09:26</t>
  </si>
  <si>
    <t>2025-08-03 19:45:06</t>
  </si>
  <si>
    <t>A（六个月内有报课意向工单）</t>
  </si>
  <si>
    <t>BJWY2101498uW2</t>
  </si>
  <si>
    <t>BJWY1085067338</t>
  </si>
  <si>
    <t>中国人民大学</t>
  </si>
  <si>
    <t>劳动人事学院</t>
  </si>
  <si>
    <t>人力资源管理</t>
  </si>
  <si>
    <t>考研在职管理类综合全程班</t>
  </si>
  <si>
    <t>国内高校-985</t>
  </si>
  <si>
    <t>2025-08-04 09:25</t>
  </si>
  <si>
    <t>11522.9</t>
  </si>
  <si>
    <t>慕雪</t>
  </si>
  <si>
    <t>无须交接</t>
  </si>
  <si>
    <t>线上运营-本地生活平台</t>
  </si>
  <si>
    <t>大众点评</t>
  </si>
  <si>
    <t>2025-08-03 16:24</t>
  </si>
  <si>
    <t>2025-08-03 15:47:54</t>
  </si>
  <si>
    <t>线上考研产品,MBA</t>
  </si>
  <si>
    <t>毕业/在职</t>
  </si>
  <si>
    <t>27考季</t>
  </si>
  <si>
    <t>线上全程班,线上直通车</t>
  </si>
  <si>
    <t>英语,政治,专业课150</t>
  </si>
  <si>
    <t>否</t>
  </si>
  <si>
    <t>2025-08-04</t>
  </si>
  <si>
    <t>张少宇</t>
  </si>
  <si>
    <t>线上运营-投放</t>
  </si>
  <si>
    <t>总部-百度投放</t>
  </si>
  <si>
    <t>2025-08-04 15:46</t>
  </si>
  <si>
    <t>2025-08-03 11:45:10</t>
  </si>
  <si>
    <t>BJWY4784589567</t>
  </si>
  <si>
    <t>Miami University</t>
  </si>
  <si>
    <t>中小企业管理</t>
  </si>
  <si>
    <t>考研在职管理类冲刺班,考研在职管理类冲刺精讲班,考研在职管理类复试班,考研在职提前面通识班</t>
  </si>
  <si>
    <t>海外学校-国外大学-其他</t>
  </si>
  <si>
    <t>2025-08-04 15:27</t>
  </si>
  <si>
    <t>34800.0</t>
  </si>
  <si>
    <t>2025-08-05</t>
  </si>
  <si>
    <t>王明慧</t>
  </si>
  <si>
    <t>新东方官网M站</t>
  </si>
  <si>
    <t>2025-08-05 23:50</t>
  </si>
  <si>
    <t>2025-07-17 12:04:44</t>
  </si>
  <si>
    <t>BJWY22035556hl</t>
  </si>
  <si>
    <t>BJWY8576186486</t>
  </si>
  <si>
    <t>询问学校未告知</t>
  </si>
  <si>
    <t>询问专业未告知</t>
  </si>
  <si>
    <t>2025-08-05 23:48</t>
  </si>
  <si>
    <t>2025-08-07</t>
  </si>
  <si>
    <t>考研</t>
  </si>
  <si>
    <t>电话</t>
  </si>
  <si>
    <t>大客服呼入</t>
  </si>
  <si>
    <t>2025-08-07 14:10</t>
  </si>
  <si>
    <t>2025-08-07 14:14</t>
  </si>
  <si>
    <t>2025-08-06 12:10:06</t>
  </si>
  <si>
    <t>线上全程班</t>
  </si>
  <si>
    <t>国内高校-大专</t>
  </si>
  <si>
    <t>无</t>
  </si>
  <si>
    <t>百度投放</t>
  </si>
  <si>
    <t>2025-08-07 13:27</t>
  </si>
  <si>
    <t>2025-08-07 13:29</t>
  </si>
  <si>
    <t>2025-08-07 13:27:54</t>
  </si>
  <si>
    <t>英语</t>
  </si>
  <si>
    <t>2025-08-08</t>
  </si>
  <si>
    <t>李硕</t>
  </si>
  <si>
    <t>王立颖17</t>
  </si>
  <si>
    <t>2025-08-08 11:02</t>
  </si>
  <si>
    <t>2025-08-08 11:28</t>
  </si>
  <si>
    <t>2025-08-03 18:30:31</t>
  </si>
  <si>
    <t>BJWY8751934351</t>
  </si>
  <si>
    <t>考研VIP,MBA</t>
  </si>
  <si>
    <t>VIP - 伴学</t>
  </si>
  <si>
    <t>管综</t>
  </si>
  <si>
    <t>普通学校-普高</t>
  </si>
  <si>
    <t>2025-08-09 19:20</t>
  </si>
  <si>
    <t>33500.0</t>
  </si>
  <si>
    <t>2025-08-09</t>
  </si>
  <si>
    <t>芮安</t>
  </si>
  <si>
    <t>直访</t>
  </si>
  <si>
    <t>2025-08-09 19:23</t>
  </si>
  <si>
    <t>2025-08-09 19:28</t>
  </si>
  <si>
    <t>2025-07-18 19:56:20</t>
  </si>
  <si>
    <t>BJWY3180065367</t>
  </si>
  <si>
    <t>南京工业大学</t>
  </si>
  <si>
    <t>计算机科学与技术学院</t>
  </si>
  <si>
    <t>计算机科学与技术</t>
  </si>
  <si>
    <t>2025-08-10</t>
  </si>
  <si>
    <t>李娟</t>
  </si>
  <si>
    <t>线上运营-小红书</t>
  </si>
  <si>
    <t>小红书</t>
  </si>
  <si>
    <t>2025-08-10 13:41</t>
  </si>
  <si>
    <t>2025-08-02 19:25:21</t>
  </si>
  <si>
    <t>BJWY24032w1g8X</t>
  </si>
  <si>
    <t>BJWY6456255221</t>
  </si>
  <si>
    <t>潍坊医学院</t>
  </si>
  <si>
    <t>护理学院</t>
  </si>
  <si>
    <t>护理学</t>
  </si>
  <si>
    <t>国内高校-211</t>
  </si>
  <si>
    <t>2025-08-10 13:36</t>
  </si>
  <si>
    <t>20300.0</t>
  </si>
  <si>
    <t>陈丛超</t>
  </si>
  <si>
    <t>2025-08-10 10:45</t>
  </si>
  <si>
    <t>2025-08-09 15:39:05</t>
  </si>
  <si>
    <t>BJWY6782888049</t>
  </si>
  <si>
    <t>南京邮电大学</t>
  </si>
  <si>
    <t>电磁与无线技术专业</t>
  </si>
  <si>
    <t>考研在职管理类冲刺班,考研在职管理类冲刺精讲班</t>
  </si>
  <si>
    <t>国内高校-双一流(非985/211)</t>
  </si>
  <si>
    <t>2025-08-10 09:02</t>
  </si>
  <si>
    <t>8500.0</t>
  </si>
  <si>
    <t>汪晨晨</t>
  </si>
  <si>
    <t>2025-08-10 16:40</t>
  </si>
  <si>
    <t>2025-08-04 17:16:28</t>
  </si>
  <si>
    <t>BJWY2201F8pC6h</t>
  </si>
  <si>
    <t>BJWY4286802546</t>
  </si>
  <si>
    <t>河南农业大学</t>
  </si>
  <si>
    <t>风景园林与艺术学院</t>
  </si>
  <si>
    <t>风景园林</t>
  </si>
  <si>
    <t>2025-08-10 16:37</t>
  </si>
  <si>
    <t>金荣1</t>
  </si>
  <si>
    <t>2025-08-10 11:06</t>
  </si>
  <si>
    <t>2025-08-10 11:09</t>
  </si>
  <si>
    <t>2025-08-10 11:06:43</t>
  </si>
  <si>
    <t>咨询未告知</t>
  </si>
  <si>
    <t>2025-08-11</t>
  </si>
  <si>
    <t>吴溢洋</t>
  </si>
  <si>
    <t>2025-08-11 16:30</t>
  </si>
  <si>
    <t>2025-08-11 16:29:38</t>
  </si>
  <si>
    <t>广东白云学院</t>
  </si>
  <si>
    <t>国际经济与贸易</t>
  </si>
  <si>
    <t>一对一</t>
  </si>
  <si>
    <t>刘艺文</t>
  </si>
  <si>
    <t>2025-08-11 17:50</t>
  </si>
  <si>
    <t>2025-08-03 13:12:43</t>
  </si>
  <si>
    <t>天津师范大学</t>
  </si>
  <si>
    <t>外国语学院</t>
  </si>
  <si>
    <t>日语</t>
  </si>
  <si>
    <t>线上无忧计划</t>
  </si>
  <si>
    <t>2025-08-14</t>
  </si>
  <si>
    <t>胡博文轩</t>
  </si>
  <si>
    <t>2025-08-14 14:24</t>
  </si>
  <si>
    <t>2025-08-14 14:50</t>
  </si>
  <si>
    <t>2025-07-23 14:55:00</t>
  </si>
  <si>
    <t>BJWY7122581716</t>
  </si>
  <si>
    <t>考研在职管理类冲刺班,考研在职管理类冲刺精讲班,考研在职管理类复试班</t>
  </si>
  <si>
    <t>2025-08-14 13:27</t>
  </si>
  <si>
    <t>12000.0</t>
  </si>
  <si>
    <t>2025-08-15</t>
  </si>
  <si>
    <t>张秋丽</t>
  </si>
  <si>
    <t>新东方官网PC资讯站</t>
  </si>
  <si>
    <t>2025-08-15 17:58</t>
  </si>
  <si>
    <t>2025-08-15 12:52:48</t>
  </si>
  <si>
    <t>BJWY8148414056</t>
  </si>
  <si>
    <t>中国地质大学</t>
  </si>
  <si>
    <t>材料科学与工程学院</t>
  </si>
  <si>
    <t>化学工程与工艺</t>
  </si>
  <si>
    <t>2025-08-15 15:50</t>
  </si>
  <si>
    <t>2025-08-16</t>
  </si>
  <si>
    <t>方邡</t>
  </si>
  <si>
    <t>2025-08-16 21:00</t>
  </si>
  <si>
    <t>2025-08-16 10:14:17</t>
  </si>
  <si>
    <t>BJWY2935729078</t>
  </si>
  <si>
    <t>合肥科技职业学院</t>
  </si>
  <si>
    <t>文学院</t>
  </si>
  <si>
    <t>新闻学</t>
  </si>
  <si>
    <t>2025-08-17</t>
  </si>
  <si>
    <t>赵明雨</t>
  </si>
  <si>
    <t>分单</t>
  </si>
  <si>
    <t>2025-08-17 18:38</t>
  </si>
  <si>
    <t>2025-08-17 18:48</t>
  </si>
  <si>
    <t>2025-07-30 17:39:48</t>
  </si>
  <si>
    <t>BJWY8481305656</t>
  </si>
  <si>
    <t>桂林电子科技大学</t>
  </si>
  <si>
    <t>经济管理学院</t>
  </si>
  <si>
    <t>财务管理</t>
  </si>
  <si>
    <t>白晓宇</t>
  </si>
  <si>
    <t>线上运营-私域中台</t>
  </si>
  <si>
    <t>公众号</t>
  </si>
  <si>
    <t>2025-08-17 13:53</t>
  </si>
  <si>
    <t>2025-08-11 17:22:05</t>
  </si>
  <si>
    <t>BJWY3473361457</t>
  </si>
  <si>
    <t>询问未告知</t>
  </si>
  <si>
    <t>2025-08-17 13:48</t>
  </si>
  <si>
    <t>2025-08-19</t>
  </si>
  <si>
    <t>张宇轩</t>
  </si>
  <si>
    <t>2025-08-19 18:41</t>
  </si>
  <si>
    <t>2025-08-19 18:42</t>
  </si>
  <si>
    <t>2025-08-12 17:49:57</t>
  </si>
  <si>
    <t>BJWY9915207669</t>
  </si>
  <si>
    <t>25考季</t>
  </si>
  <si>
    <t>考研在职提前面通识班</t>
  </si>
  <si>
    <t>曹鑫</t>
  </si>
  <si>
    <t>2025-08-19 17:37</t>
  </si>
  <si>
    <t>2025-08-19 17:40</t>
  </si>
  <si>
    <t>2025-08-19 17:32:09</t>
  </si>
  <si>
    <t>BJWY8706956965</t>
  </si>
  <si>
    <t>湖南城市学院</t>
  </si>
  <si>
    <t>土木工程学院</t>
  </si>
  <si>
    <t>城市地下空间工程</t>
  </si>
  <si>
    <t>2025-08-19 17:39</t>
  </si>
  <si>
    <t>17000.0</t>
  </si>
  <si>
    <t>侯丽颖</t>
  </si>
  <si>
    <t>巨量广告</t>
  </si>
  <si>
    <t>2025-08-19 12:22</t>
  </si>
  <si>
    <t>系统管理员</t>
  </si>
  <si>
    <t>2025-08-29 16:55</t>
  </si>
  <si>
    <t>2025-08-16 20:59:35</t>
  </si>
  <si>
    <t>BJWY2557176601</t>
  </si>
  <si>
    <t>北京吉利大学</t>
  </si>
  <si>
    <t>管理</t>
  </si>
  <si>
    <t>物流管理</t>
  </si>
  <si>
    <t>考研在职管理类冲刺精讲班,考研在职管理类冲刺班,考研在职管理类复试班</t>
  </si>
  <si>
    <t>2025-08-19 12:20</t>
  </si>
  <si>
    <t>29300.0</t>
  </si>
  <si>
    <t>崔文彬1</t>
  </si>
  <si>
    <t>顾问转介绍-老带新</t>
  </si>
  <si>
    <t>2025-08-19 20:14</t>
  </si>
  <si>
    <t>2025-08-20 12:55</t>
  </si>
  <si>
    <t>2025-08-19 19:51:11</t>
  </si>
  <si>
    <t>线上全程班,考研在职管理类冲刺班</t>
  </si>
  <si>
    <t>国内高校-C9</t>
  </si>
  <si>
    <t>2025-08-20</t>
  </si>
  <si>
    <t>杨颖轩</t>
  </si>
  <si>
    <t>2025-08-20 11:50</t>
  </si>
  <si>
    <t>2025-08-19 17:16:28</t>
  </si>
  <si>
    <t>BJWY6107275837</t>
  </si>
  <si>
    <t>北京邮电大学</t>
  </si>
  <si>
    <t>电子商务</t>
  </si>
  <si>
    <t>2025-08-20 10:39</t>
  </si>
  <si>
    <t>2025-08-22</t>
  </si>
  <si>
    <t>高涵</t>
  </si>
  <si>
    <t>2025-08-22 14:42</t>
  </si>
  <si>
    <t>2025-08-20 11:50:13</t>
  </si>
  <si>
    <t>BJWY4887680706</t>
  </si>
  <si>
    <t>辽宁医药职业学院</t>
  </si>
  <si>
    <t>医药物流</t>
  </si>
  <si>
    <t>2025-08-22 14:36</t>
  </si>
  <si>
    <t>31300.0</t>
  </si>
  <si>
    <t>2025-08-24</t>
  </si>
  <si>
    <t>徐丹</t>
  </si>
  <si>
    <t>小红书KOS</t>
  </si>
  <si>
    <t>2025-08-24 15:34</t>
  </si>
  <si>
    <t>2025-08-24 18:34</t>
  </si>
  <si>
    <t>2025-08-15 18:19:43</t>
  </si>
  <si>
    <t>BJWY25030q8UPI</t>
  </si>
  <si>
    <t>BJWY3791418851</t>
  </si>
  <si>
    <t>线上全程班,考研在职管理类冲刺精讲班,考研在职管理类冲刺班</t>
  </si>
  <si>
    <t>2025-08-24 18:33</t>
  </si>
  <si>
    <t>13800.0</t>
  </si>
  <si>
    <t>2025-08-29</t>
  </si>
  <si>
    <t>王明悦</t>
  </si>
  <si>
    <t>2025-08-29 16:19</t>
  </si>
  <si>
    <t>2025-08-29 16:19:10</t>
  </si>
  <si>
    <t>英语,线上考研产品</t>
  </si>
  <si>
    <t>同等学力申硕</t>
  </si>
  <si>
    <t>西医,英语</t>
  </si>
  <si>
    <t>2025-08-31</t>
  </si>
  <si>
    <t>刘凤</t>
  </si>
  <si>
    <t>2025-08-31 12:17</t>
  </si>
  <si>
    <t>2025-08-31 12:22</t>
  </si>
  <si>
    <t>2025-08-13 10:40:30</t>
  </si>
  <si>
    <t>BJWY0745611161</t>
  </si>
  <si>
    <t>2025-08-31 12:20</t>
  </si>
  <si>
    <t>王一行</t>
  </si>
  <si>
    <t>党浩然</t>
  </si>
  <si>
    <t>2025-08-31 21:32</t>
  </si>
  <si>
    <t>2025-08-31 21:59</t>
  </si>
  <si>
    <t>2025-08-31 21:19:38</t>
  </si>
  <si>
    <t>BJWY5094602104</t>
  </si>
  <si>
    <t>2025-08-31 21:38</t>
  </si>
  <si>
    <t>李晓颖</t>
  </si>
  <si>
    <t>腾讯广告</t>
  </si>
  <si>
    <t>2025-08-31 21:12</t>
  </si>
  <si>
    <t>2025-08-20 11:18:06</t>
  </si>
  <si>
    <t>BJWY2471724556</t>
  </si>
  <si>
    <t>2025-08-31 19:53</t>
  </si>
  <si>
    <t>2025-08-31 19:01</t>
  </si>
  <si>
    <t>2025-08-31 19:04</t>
  </si>
  <si>
    <t>2025-08-31 18:58:54</t>
  </si>
  <si>
    <t>巨量</t>
  </si>
  <si>
    <t>朱泮锦</t>
  </si>
  <si>
    <t>内部员工推荐</t>
  </si>
  <si>
    <t>2025-08-01</t>
  </si>
  <si>
    <t>唐延杰</t>
  </si>
  <si>
    <t>高镜+gaojing49@xdf.cn+363272+国际教育北京中心-中关村大学分中心-学业规划师</t>
  </si>
  <si>
    <t>2025-08-01 15:36</t>
  </si>
  <si>
    <t>2025-08-03 15:56</t>
  </si>
  <si>
    <t>2025-07-25 10:30:16</t>
  </si>
  <si>
    <t>BJWY0205214117</t>
  </si>
  <si>
    <t>考研在职英语二全程班</t>
  </si>
  <si>
    <t>10300.0</t>
  </si>
  <si>
    <t>刘先生mem纠结墨迹</t>
  </si>
  <si>
    <t>2025-08-01 12:19</t>
  </si>
  <si>
    <t>2025-08-01 12:20</t>
  </si>
  <si>
    <t>2025-08-01 12:19:33</t>
  </si>
  <si>
    <t>询问院系未告知</t>
  </si>
  <si>
    <t>线上直通车</t>
  </si>
  <si>
    <t>白雪</t>
  </si>
  <si>
    <t>新东方官网小程序</t>
  </si>
  <si>
    <t>2025-08-03 09:11</t>
  </si>
  <si>
    <t>2025-08-03 09:12</t>
  </si>
  <si>
    <t>2025-07-20 18:10:01</t>
  </si>
  <si>
    <t>BJWY5342056487</t>
  </si>
  <si>
    <t>31800.0</t>
  </si>
  <si>
    <t>包晓北</t>
  </si>
  <si>
    <t>2025-08-03 16:01</t>
  </si>
  <si>
    <t>2025-07-31 17:09:25</t>
  </si>
  <si>
    <t>BJWY0809930171</t>
  </si>
  <si>
    <t>考研在职英语二全程班,考研在职管理类综合全程班</t>
  </si>
  <si>
    <t>段灵心</t>
  </si>
  <si>
    <t>2025-08-04 13:14</t>
  </si>
  <si>
    <t>2025-08-04 13:15</t>
  </si>
  <si>
    <t>2025-08-01 17:03:53</t>
  </si>
  <si>
    <t>BJWY3902871192</t>
  </si>
  <si>
    <t>34000.0</t>
  </si>
  <si>
    <t>张亚骁</t>
  </si>
  <si>
    <t>线上运营-抖音</t>
  </si>
  <si>
    <t>抖音</t>
  </si>
  <si>
    <t>2025-08-07 20:01</t>
  </si>
  <si>
    <t>2025-08-07 20:02</t>
  </si>
  <si>
    <t>2025-08-05 15:24:25</t>
  </si>
  <si>
    <t>BJWY8443612103</t>
  </si>
  <si>
    <t>中国传媒大学</t>
  </si>
  <si>
    <t>经济与管理学院</t>
  </si>
  <si>
    <t>工商管理</t>
  </si>
  <si>
    <t>2025-08-07 19:46</t>
  </si>
  <si>
    <t>迟惠倩</t>
  </si>
  <si>
    <t>2025-08-07 12:17</t>
  </si>
  <si>
    <t>2025-08-07 12:18</t>
  </si>
  <si>
    <t>2025-08-07 11:30:03</t>
  </si>
  <si>
    <t>BJWY3180667757</t>
  </si>
  <si>
    <t>VIP - 伴学,考研在职英语二全程班,考研在职管理类综合全程班</t>
  </si>
  <si>
    <t>9800.0</t>
  </si>
  <si>
    <t>刘晗宇</t>
  </si>
  <si>
    <t>2025-08-10 20:13</t>
  </si>
  <si>
    <t>2025-08-10 20:14</t>
  </si>
  <si>
    <t>2025-08-08 19:09:55</t>
  </si>
  <si>
    <t>BJWY2977504555</t>
  </si>
  <si>
    <t>高举</t>
  </si>
  <si>
    <t>2025-08-10 16:56</t>
  </si>
  <si>
    <t>2025-08-10 16:57</t>
  </si>
  <si>
    <t>2025-08-06 15:28:23</t>
  </si>
  <si>
    <t>WebReg</t>
  </si>
  <si>
    <t>BJWY2175227254</t>
  </si>
  <si>
    <t>刘家熙</t>
  </si>
  <si>
    <t>地图标点</t>
  </si>
  <si>
    <t>2025-08-10 13:25</t>
  </si>
  <si>
    <t>2025-08-10 13:55</t>
  </si>
  <si>
    <t>2025-08-08 18:05:29</t>
  </si>
  <si>
    <t>BJWY0399802819</t>
  </si>
  <si>
    <t>英语,MBA</t>
  </si>
  <si>
    <t>32300.0</t>
  </si>
  <si>
    <t>2025-08-12</t>
  </si>
  <si>
    <t>刘明熹</t>
  </si>
  <si>
    <t>在职，想考在职MBA，为了积分落户，1982年出生，现在42周岁，想在45周岁之前读研毕业，要求学费低学制越短越好，给说了还是要赶紧先把笔试过了。目前没有确定好具体院校，但是基础非常差，先用导学课补好基础</t>
  </si>
  <si>
    <t>2025-08-12 21:06</t>
  </si>
  <si>
    <t>2025-08-13 10:18</t>
  </si>
  <si>
    <t>2025-08-09 16:35:09</t>
  </si>
  <si>
    <t>BJWY9845060324</t>
  </si>
  <si>
    <t>2025-08-17 18:46</t>
  </si>
  <si>
    <t>2025-08-18</t>
  </si>
  <si>
    <t>赵凯丽</t>
  </si>
  <si>
    <t>未交接</t>
  </si>
  <si>
    <t>2025-08-18 18:05</t>
  </si>
  <si>
    <t>2025-08-18 18:03:12</t>
  </si>
  <si>
    <t>BJWY9453172818</t>
  </si>
  <si>
    <t>2025-08-21 09:54</t>
  </si>
  <si>
    <t>2025-08-21 09:55</t>
  </si>
  <si>
    <t>2025-08-21 09:54:50</t>
  </si>
  <si>
    <t>谭雅娴</t>
  </si>
  <si>
    <t>校代</t>
  </si>
  <si>
    <t>线下校代</t>
  </si>
  <si>
    <t>2025-08-22 12:00</t>
  </si>
  <si>
    <t>2025-08-22 12:13</t>
  </si>
  <si>
    <t>2025-08-08 19:13:15</t>
  </si>
  <si>
    <t>BJWY7426172881</t>
  </si>
  <si>
    <t>2025-08-22 19:06</t>
  </si>
  <si>
    <t>2025-08-23</t>
  </si>
  <si>
    <t>何佳璇</t>
  </si>
  <si>
    <t>2025-08-23 09:26</t>
  </si>
  <si>
    <t>2025-08-23 09:27</t>
  </si>
  <si>
    <t>2025-08-21 17:52:18</t>
  </si>
  <si>
    <t>BJWY6402401361</t>
  </si>
  <si>
    <t>2025-08-25</t>
  </si>
  <si>
    <t>张程虹</t>
  </si>
  <si>
    <t>2025-08-25 10:37</t>
  </si>
  <si>
    <t>2025-08-11 11:55:40</t>
  </si>
  <si>
    <t>BJWY3821993252</t>
  </si>
  <si>
    <t>2025-08-26</t>
  </si>
  <si>
    <t>贺佳</t>
  </si>
  <si>
    <t>2025-08-26 20:49</t>
  </si>
  <si>
    <t>2025-08-26 20:15:21</t>
  </si>
  <si>
    <t>BJWY5977402644</t>
  </si>
  <si>
    <t>中华女子学院</t>
  </si>
  <si>
    <t>2025-08-27</t>
  </si>
  <si>
    <t>刘莉莉</t>
  </si>
  <si>
    <t>2025-08-27 16:30</t>
  </si>
  <si>
    <t>2025-08-27 16:31</t>
  </si>
  <si>
    <t>2025-08-26 16:07:20</t>
  </si>
  <si>
    <t>BJWY6453063221</t>
  </si>
  <si>
    <t>2025-08-27 16:06</t>
  </si>
  <si>
    <t>2025-08-30</t>
  </si>
  <si>
    <t>李雯雯</t>
  </si>
  <si>
    <t>魏代鹏+weidaipeng@xdf.cn+ID+新东方教育科技集团有限公司-产业机构-国际教育培训事业部-国际教育北京中心-运营管理部-中学区域运营中心一区-中关村中学分中心一部 | 学业规划师</t>
  </si>
  <si>
    <t>2025-08-30 10:31</t>
  </si>
  <si>
    <t>2025-08-30 10:34</t>
  </si>
  <si>
    <t>2025-08-29 15:38:29</t>
  </si>
  <si>
    <t>BJWY8755702117</t>
  </si>
  <si>
    <t>考研在职管理类冲刺精讲班,考研在职管理类综合全程班</t>
  </si>
  <si>
    <t>17300.0</t>
  </si>
  <si>
    <t>王旭蓉</t>
  </si>
  <si>
    <t>百度地图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</si>
</sst>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</numFmts>
  <fonts count="3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15" borderId="19" applyNumberFormat="0" applyAlignment="0" applyProtection="0">
      <alignment vertical="center"/>
    </xf>
    <xf numFmtId="0" fontId="24" fillId="15" borderId="18" applyNumberFormat="0" applyAlignment="0" applyProtection="0">
      <alignment vertical="center"/>
    </xf>
    <xf numFmtId="0" fontId="25" fillId="16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3" fillId="0" borderId="0" xfId="0" applyNumberFormat="1" applyFont="1" applyFill="1" applyAlignment="1"/>
    <xf numFmtId="58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176" fontId="9" fillId="0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9" fontId="6" fillId="8" borderId="6" xfId="0" applyNumberFormat="1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9" fontId="11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/>
    </xf>
    <xf numFmtId="10" fontId="6" fillId="8" borderId="9" xfId="0" applyNumberFormat="1" applyFont="1" applyFill="1" applyBorder="1" applyAlignment="1">
      <alignment horizontal="center" vertical="center" wrapText="1"/>
    </xf>
    <xf numFmtId="10" fontId="6" fillId="8" borderId="10" xfId="0" applyNumberFormat="1" applyFont="1" applyFill="1" applyBorder="1" applyAlignment="1">
      <alignment horizontal="center" vertical="center" wrapText="1"/>
    </xf>
    <xf numFmtId="10" fontId="6" fillId="8" borderId="11" xfId="0" applyNumberFormat="1" applyFont="1" applyFill="1" applyBorder="1" applyAlignment="1">
      <alignment horizontal="center" vertical="center" wrapText="1"/>
    </xf>
    <xf numFmtId="176" fontId="6" fillId="9" borderId="9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 applyProtection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6" fontId="6" fillId="9" borderId="10" xfId="0" applyNumberFormat="1" applyFont="1" applyFill="1" applyBorder="1" applyAlignment="1">
      <alignment horizontal="center" vertical="center" wrapText="1"/>
    </xf>
    <xf numFmtId="176" fontId="6" fillId="9" borderId="11" xfId="0" applyNumberFormat="1" applyFont="1" applyFill="1" applyBorder="1" applyAlignment="1">
      <alignment horizontal="center" vertical="center" wrapText="1"/>
    </xf>
    <xf numFmtId="10" fontId="6" fillId="8" borderId="9" xfId="0" applyNumberFormat="1" applyFont="1" applyFill="1" applyBorder="1" applyAlignment="1">
      <alignment horizontal="center" vertical="center"/>
    </xf>
    <xf numFmtId="10" fontId="6" fillId="8" borderId="10" xfId="0" applyNumberFormat="1" applyFont="1" applyFill="1" applyBorder="1" applyAlignment="1">
      <alignment horizontal="center" vertical="center"/>
    </xf>
    <xf numFmtId="10" fontId="6" fillId="8" borderId="1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 applyProtection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8" fillId="0" borderId="1" xfId="0" applyNumberFormat="1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1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799981688894314"/>
  </sheetPr>
  <dimension ref="A1:M81"/>
  <sheetViews>
    <sheetView tabSelected="1" workbookViewId="0">
      <selection activeCell="H9" sqref="H9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52" customWidth="1"/>
    <col min="12" max="12" width="24.5583333333333" style="52" customWidth="1"/>
    <col min="13" max="13" width="21.4416666666667" style="52" customWidth="1"/>
  </cols>
  <sheetData>
    <row r="1" ht="16.5" spans="1:1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K1" s="59" t="s">
        <v>8</v>
      </c>
    </row>
    <row r="2" ht="16.5" spans="1:13">
      <c r="A2" s="54">
        <v>1</v>
      </c>
      <c r="B2" s="36" t="s">
        <v>9</v>
      </c>
      <c r="C2" s="36" t="s">
        <v>10</v>
      </c>
      <c r="D2" s="36" t="s">
        <v>11</v>
      </c>
      <c r="E2" s="36" t="s">
        <v>12</v>
      </c>
      <c r="F2" s="36" t="s">
        <v>13</v>
      </c>
      <c r="G2" s="51">
        <v>3000</v>
      </c>
      <c r="H2" s="55"/>
      <c r="K2" s="60" t="s">
        <v>14</v>
      </c>
      <c r="L2" s="60" t="s">
        <v>15</v>
      </c>
      <c r="M2" s="61" t="s">
        <v>16</v>
      </c>
    </row>
    <row r="3" ht="16.5" spans="1:13">
      <c r="A3" s="54">
        <v>2</v>
      </c>
      <c r="B3" s="36" t="s">
        <v>9</v>
      </c>
      <c r="C3" s="36" t="s">
        <v>10</v>
      </c>
      <c r="D3" s="36" t="s">
        <v>11</v>
      </c>
      <c r="E3" s="36" t="s">
        <v>12</v>
      </c>
      <c r="F3" s="36" t="s">
        <v>17</v>
      </c>
      <c r="G3" s="51">
        <v>26730.561</v>
      </c>
      <c r="H3" s="55"/>
      <c r="K3" s="62" t="s">
        <v>18</v>
      </c>
      <c r="L3" s="63" t="s">
        <v>19</v>
      </c>
      <c r="M3" s="63" t="s">
        <v>13</v>
      </c>
    </row>
    <row r="4" ht="16.5" spans="1:13">
      <c r="A4" s="54">
        <v>3</v>
      </c>
      <c r="B4" s="36">
        <v>417364</v>
      </c>
      <c r="C4" s="36" t="s">
        <v>20</v>
      </c>
      <c r="D4" s="36" t="s">
        <v>11</v>
      </c>
      <c r="E4" s="36" t="s">
        <v>21</v>
      </c>
      <c r="F4" s="36" t="s">
        <v>13</v>
      </c>
      <c r="G4" s="51">
        <v>1573.47670250896</v>
      </c>
      <c r="H4" s="56"/>
      <c r="K4" s="64"/>
      <c r="L4" s="63" t="s">
        <v>22</v>
      </c>
      <c r="M4" s="63" t="s">
        <v>17</v>
      </c>
    </row>
    <row r="5" ht="16.5" spans="1:13">
      <c r="A5" s="54">
        <v>4</v>
      </c>
      <c r="B5" s="36">
        <v>417364</v>
      </c>
      <c r="C5" s="36" t="s">
        <v>20</v>
      </c>
      <c r="D5" s="36" t="s">
        <v>11</v>
      </c>
      <c r="E5" s="36" t="s">
        <v>21</v>
      </c>
      <c r="F5" s="36" t="s">
        <v>17</v>
      </c>
      <c r="G5" s="51">
        <v>26396.84775</v>
      </c>
      <c r="H5" s="57"/>
      <c r="K5" s="65"/>
      <c r="L5" s="63" t="s">
        <v>23</v>
      </c>
      <c r="M5" s="63" t="s">
        <v>24</v>
      </c>
    </row>
    <row r="6" ht="16.5" spans="1:13">
      <c r="A6" s="54">
        <v>5</v>
      </c>
      <c r="B6" s="36">
        <v>642210</v>
      </c>
      <c r="C6" s="36" t="s">
        <v>25</v>
      </c>
      <c r="D6" s="36" t="s">
        <v>11</v>
      </c>
      <c r="E6" s="36" t="s">
        <v>21</v>
      </c>
      <c r="F6" s="36" t="s">
        <v>13</v>
      </c>
      <c r="G6" s="51">
        <v>900</v>
      </c>
      <c r="H6" s="57"/>
      <c r="K6" s="62" t="s">
        <v>26</v>
      </c>
      <c r="L6" s="63" t="s">
        <v>27</v>
      </c>
      <c r="M6" s="63" t="s">
        <v>13</v>
      </c>
    </row>
    <row r="7" ht="16.5" spans="1:13">
      <c r="A7" s="54"/>
      <c r="B7" s="36"/>
      <c r="C7" s="36"/>
      <c r="D7" s="36"/>
      <c r="E7" s="36"/>
      <c r="F7" s="36"/>
      <c r="G7" s="36"/>
      <c r="H7" s="56"/>
      <c r="K7" s="64"/>
      <c r="L7" s="63" t="s">
        <v>22</v>
      </c>
      <c r="M7" s="63" t="s">
        <v>17</v>
      </c>
    </row>
    <row r="8" ht="16.5" spans="1:13">
      <c r="A8" s="54"/>
      <c r="B8" s="36"/>
      <c r="C8" s="36"/>
      <c r="D8" s="36"/>
      <c r="E8" s="36"/>
      <c r="F8" s="36"/>
      <c r="G8" s="51"/>
      <c r="H8" s="55"/>
      <c r="K8" s="64"/>
      <c r="L8" s="63" t="s">
        <v>23</v>
      </c>
      <c r="M8" s="63" t="s">
        <v>24</v>
      </c>
    </row>
    <row r="9" ht="16.5" spans="1:13">
      <c r="A9" s="54"/>
      <c r="B9" s="58"/>
      <c r="C9" s="54"/>
      <c r="D9" s="54"/>
      <c r="E9" s="54"/>
      <c r="F9" s="54"/>
      <c r="G9" s="54"/>
      <c r="H9" s="55"/>
      <c r="K9" s="65"/>
      <c r="L9" s="63" t="s">
        <v>28</v>
      </c>
      <c r="M9" s="63" t="s">
        <v>29</v>
      </c>
    </row>
    <row r="10" ht="16.5" spans="1:13">
      <c r="A10" s="54"/>
      <c r="B10" s="58"/>
      <c r="C10" s="54"/>
      <c r="D10" s="54"/>
      <c r="E10" s="54"/>
      <c r="F10" s="54"/>
      <c r="G10" s="54"/>
      <c r="H10" s="55"/>
      <c r="K10" s="62" t="s">
        <v>30</v>
      </c>
      <c r="L10" s="63" t="s">
        <v>31</v>
      </c>
      <c r="M10" s="63" t="s">
        <v>13</v>
      </c>
    </row>
    <row r="11" ht="16.5" spans="1:13">
      <c r="A11" s="54"/>
      <c r="B11" s="58"/>
      <c r="C11" s="54"/>
      <c r="D11" s="54"/>
      <c r="E11" s="54"/>
      <c r="F11" s="54"/>
      <c r="G11" s="54"/>
      <c r="H11" s="55"/>
      <c r="K11" s="64"/>
      <c r="L11" s="63" t="s">
        <v>32</v>
      </c>
      <c r="M11" s="63" t="s">
        <v>17</v>
      </c>
    </row>
    <row r="12" ht="16.5" spans="1:13">
      <c r="A12" s="54"/>
      <c r="B12" s="58"/>
      <c r="C12" s="54"/>
      <c r="D12" s="54"/>
      <c r="E12" s="54"/>
      <c r="F12" s="54"/>
      <c r="G12" s="54"/>
      <c r="H12" s="55"/>
      <c r="K12" s="65"/>
      <c r="L12" s="63" t="s">
        <v>33</v>
      </c>
      <c r="M12" s="63" t="s">
        <v>24</v>
      </c>
    </row>
    <row r="13" ht="16.5" spans="1:13">
      <c r="A13" s="54"/>
      <c r="B13" s="58"/>
      <c r="C13" s="54"/>
      <c r="D13" s="54"/>
      <c r="E13" s="54"/>
      <c r="F13" s="54"/>
      <c r="G13" s="54"/>
      <c r="H13" s="55"/>
      <c r="K13" s="62" t="s">
        <v>34</v>
      </c>
      <c r="L13" s="63" t="s">
        <v>19</v>
      </c>
      <c r="M13" s="63" t="s">
        <v>13</v>
      </c>
    </row>
    <row r="14" ht="16.5" spans="1:13">
      <c r="A14" s="54"/>
      <c r="B14" s="58"/>
      <c r="C14" s="54"/>
      <c r="D14" s="54"/>
      <c r="E14" s="54"/>
      <c r="F14" s="54"/>
      <c r="G14" s="54"/>
      <c r="H14" s="55"/>
      <c r="K14" s="64"/>
      <c r="L14" s="63" t="s">
        <v>35</v>
      </c>
      <c r="M14" s="63" t="s">
        <v>17</v>
      </c>
    </row>
    <row r="15" ht="16.5" spans="1:13">
      <c r="A15" s="54"/>
      <c r="B15" s="58"/>
      <c r="C15" s="54"/>
      <c r="D15" s="54"/>
      <c r="E15" s="54"/>
      <c r="F15" s="54"/>
      <c r="G15" s="54"/>
      <c r="H15" s="55"/>
      <c r="K15" s="65"/>
      <c r="L15" s="63" t="s">
        <v>36</v>
      </c>
      <c r="M15" s="63" t="s">
        <v>24</v>
      </c>
    </row>
    <row r="16" ht="16.5" spans="1:13">
      <c r="A16" s="54"/>
      <c r="B16" s="58"/>
      <c r="C16" s="54"/>
      <c r="D16" s="54"/>
      <c r="E16" s="54"/>
      <c r="F16" s="54"/>
      <c r="G16" s="54"/>
      <c r="H16" s="55"/>
      <c r="K16" s="63" t="s">
        <v>37</v>
      </c>
      <c r="L16" s="63" t="s">
        <v>19</v>
      </c>
      <c r="M16" s="63" t="s">
        <v>13</v>
      </c>
    </row>
    <row r="17" ht="16.5" spans="1:13">
      <c r="A17" s="54"/>
      <c r="B17" s="58"/>
      <c r="C17" s="54"/>
      <c r="D17" s="54"/>
      <c r="E17" s="54"/>
      <c r="F17" s="54"/>
      <c r="G17" s="54"/>
      <c r="H17" s="55"/>
      <c r="K17" s="63" t="s">
        <v>38</v>
      </c>
      <c r="L17" s="63" t="s">
        <v>39</v>
      </c>
      <c r="M17" s="63" t="s">
        <v>40</v>
      </c>
    </row>
    <row r="18" ht="16.5" spans="1:13">
      <c r="A18" s="54"/>
      <c r="B18" s="58"/>
      <c r="C18" s="54"/>
      <c r="D18" s="54"/>
      <c r="E18" s="54"/>
      <c r="F18" s="54"/>
      <c r="G18" s="54"/>
      <c r="H18" s="55"/>
      <c r="K18" s="66" t="s">
        <v>41</v>
      </c>
      <c r="L18" s="67" t="s">
        <v>42</v>
      </c>
      <c r="M18" s="67" t="s">
        <v>43</v>
      </c>
    </row>
    <row r="19" ht="16.5" spans="1:13">
      <c r="A19" s="54"/>
      <c r="B19" s="58"/>
      <c r="C19" s="54"/>
      <c r="D19" s="54"/>
      <c r="E19" s="54"/>
      <c r="F19" s="54"/>
      <c r="G19" s="54"/>
      <c r="H19" s="55"/>
      <c r="K19" s="66"/>
      <c r="L19" s="67" t="s">
        <v>44</v>
      </c>
      <c r="M19" s="67" t="s">
        <v>45</v>
      </c>
    </row>
    <row r="20" ht="16.5" spans="1:8">
      <c r="A20" s="54"/>
      <c r="B20" s="58"/>
      <c r="C20" s="54"/>
      <c r="D20" s="54"/>
      <c r="E20" s="54"/>
      <c r="F20" s="54"/>
      <c r="G20" s="54"/>
      <c r="H20" s="55"/>
    </row>
    <row r="21" ht="16.5" spans="1:8">
      <c r="A21" s="54"/>
      <c r="B21" s="58"/>
      <c r="C21" s="54"/>
      <c r="D21" s="54"/>
      <c r="E21" s="54"/>
      <c r="F21" s="54"/>
      <c r="G21" s="54"/>
      <c r="H21" s="55"/>
    </row>
    <row r="22" ht="16.5" spans="1:8">
      <c r="A22" s="54"/>
      <c r="B22" s="58"/>
      <c r="C22" s="54"/>
      <c r="D22" s="54"/>
      <c r="E22" s="54"/>
      <c r="F22" s="54"/>
      <c r="G22" s="54"/>
      <c r="H22" s="55"/>
    </row>
    <row r="23" ht="16.5" spans="1:8">
      <c r="A23" s="54"/>
      <c r="B23" s="58"/>
      <c r="C23" s="54"/>
      <c r="D23" s="54"/>
      <c r="E23" s="54"/>
      <c r="F23" s="54"/>
      <c r="G23" s="54"/>
      <c r="H23" s="55"/>
    </row>
    <row r="24" ht="16.5" spans="1:8">
      <c r="A24" s="54"/>
      <c r="B24" s="58"/>
      <c r="C24" s="54"/>
      <c r="D24" s="54"/>
      <c r="E24" s="54"/>
      <c r="F24" s="54"/>
      <c r="G24" s="54"/>
      <c r="H24" s="55"/>
    </row>
    <row r="25" ht="16.5" spans="1:8">
      <c r="A25" s="54"/>
      <c r="B25" s="58"/>
      <c r="C25" s="54"/>
      <c r="D25" s="54"/>
      <c r="E25" s="54"/>
      <c r="F25" s="54"/>
      <c r="G25" s="54"/>
      <c r="H25" s="55"/>
    </row>
    <row r="26" ht="16.5" spans="1:8">
      <c r="A26" s="54"/>
      <c r="B26" s="58"/>
      <c r="C26" s="54"/>
      <c r="D26" s="54"/>
      <c r="E26" s="54"/>
      <c r="F26" s="54"/>
      <c r="G26" s="54"/>
      <c r="H26" s="55"/>
    </row>
    <row r="27" ht="16.5" spans="1:8">
      <c r="A27" s="54"/>
      <c r="B27" s="58"/>
      <c r="C27" s="54"/>
      <c r="D27" s="54"/>
      <c r="E27" s="54"/>
      <c r="F27" s="54"/>
      <c r="G27" s="54"/>
      <c r="H27" s="55"/>
    </row>
    <row r="28" ht="16.5" spans="1:8">
      <c r="A28" s="54"/>
      <c r="B28" s="58"/>
      <c r="C28" s="54"/>
      <c r="D28" s="54"/>
      <c r="E28" s="54"/>
      <c r="F28" s="54"/>
      <c r="G28" s="54"/>
      <c r="H28" s="55"/>
    </row>
    <row r="29" ht="16.5" spans="1:8">
      <c r="A29" s="54"/>
      <c r="B29" s="58"/>
      <c r="C29" s="54"/>
      <c r="D29" s="54"/>
      <c r="E29" s="54"/>
      <c r="F29" s="54"/>
      <c r="G29" s="54"/>
      <c r="H29" s="55"/>
    </row>
    <row r="30" ht="16.5" spans="1:8">
      <c r="A30" s="54"/>
      <c r="B30" s="58"/>
      <c r="C30" s="54"/>
      <c r="D30" s="54"/>
      <c r="E30" s="54"/>
      <c r="F30" s="54"/>
      <c r="G30" s="54"/>
      <c r="H30" s="55"/>
    </row>
    <row r="31" ht="16.5" spans="1:8">
      <c r="A31" s="54"/>
      <c r="B31" s="58"/>
      <c r="C31" s="54"/>
      <c r="D31" s="54"/>
      <c r="E31" s="54"/>
      <c r="F31" s="54"/>
      <c r="G31" s="54"/>
      <c r="H31" s="55"/>
    </row>
    <row r="32" ht="16.5" spans="1:8">
      <c r="A32" s="54"/>
      <c r="B32" s="58"/>
      <c r="C32" s="54"/>
      <c r="D32" s="54"/>
      <c r="E32" s="54"/>
      <c r="F32" s="54"/>
      <c r="G32" s="54"/>
      <c r="H32" s="55"/>
    </row>
    <row r="33" ht="16.5" spans="1:8">
      <c r="A33" s="54"/>
      <c r="B33" s="58"/>
      <c r="C33" s="54"/>
      <c r="D33" s="54"/>
      <c r="E33" s="54"/>
      <c r="F33" s="54"/>
      <c r="G33" s="54"/>
      <c r="H33" s="55"/>
    </row>
    <row r="34" ht="16.5" spans="1:8">
      <c r="A34" s="54"/>
      <c r="B34" s="58"/>
      <c r="C34" s="54"/>
      <c r="D34" s="54"/>
      <c r="E34" s="54"/>
      <c r="F34" s="54"/>
      <c r="G34" s="54"/>
      <c r="H34" s="55"/>
    </row>
    <row r="35" ht="16.5" spans="1:8">
      <c r="A35" s="54"/>
      <c r="B35" s="58"/>
      <c r="C35" s="54"/>
      <c r="D35" s="54"/>
      <c r="E35" s="54"/>
      <c r="F35" s="54"/>
      <c r="G35" s="54"/>
      <c r="H35" s="55"/>
    </row>
    <row r="36" ht="16.5" spans="1:8">
      <c r="A36" s="54"/>
      <c r="B36" s="58"/>
      <c r="C36" s="54"/>
      <c r="D36" s="54"/>
      <c r="E36" s="54"/>
      <c r="F36" s="54"/>
      <c r="G36" s="54"/>
      <c r="H36" s="55"/>
    </row>
    <row r="37" ht="16.5" spans="1:8">
      <c r="A37" s="54"/>
      <c r="B37" s="58"/>
      <c r="C37" s="54"/>
      <c r="D37" s="54"/>
      <c r="E37" s="54"/>
      <c r="F37" s="54"/>
      <c r="G37" s="54"/>
      <c r="H37" s="55"/>
    </row>
    <row r="38" ht="16.5" spans="1:8">
      <c r="A38" s="54"/>
      <c r="B38" s="58"/>
      <c r="C38" s="54"/>
      <c r="D38" s="54"/>
      <c r="E38" s="54"/>
      <c r="F38" s="54"/>
      <c r="G38" s="54"/>
      <c r="H38" s="55"/>
    </row>
    <row r="39" ht="16.5" spans="1:8">
      <c r="A39" s="54"/>
      <c r="B39" s="58"/>
      <c r="C39" s="54"/>
      <c r="D39" s="54"/>
      <c r="E39" s="54"/>
      <c r="F39" s="54"/>
      <c r="G39" s="54"/>
      <c r="H39" s="55"/>
    </row>
    <row r="40" ht="16.5" spans="1:8">
      <c r="A40" s="54"/>
      <c r="B40" s="58"/>
      <c r="C40" s="54"/>
      <c r="D40" s="54"/>
      <c r="E40" s="54"/>
      <c r="F40" s="54"/>
      <c r="G40" s="54"/>
      <c r="H40" s="55"/>
    </row>
    <row r="41" ht="16.5" spans="1:8">
      <c r="A41" s="54"/>
      <c r="B41" s="58"/>
      <c r="C41" s="54"/>
      <c r="D41" s="54"/>
      <c r="E41" s="54"/>
      <c r="F41" s="54"/>
      <c r="G41" s="54"/>
      <c r="H41" s="55"/>
    </row>
    <row r="42" ht="16.5" spans="1:8">
      <c r="A42" s="54"/>
      <c r="B42" s="58"/>
      <c r="C42" s="54"/>
      <c r="D42" s="54"/>
      <c r="E42" s="54"/>
      <c r="F42" s="54"/>
      <c r="G42" s="54"/>
      <c r="H42" s="55"/>
    </row>
    <row r="43" ht="16.5" spans="1:8">
      <c r="A43" s="54"/>
      <c r="B43" s="58"/>
      <c r="C43" s="54"/>
      <c r="D43" s="54"/>
      <c r="E43" s="54"/>
      <c r="F43" s="54"/>
      <c r="G43" s="54"/>
      <c r="H43" s="55"/>
    </row>
    <row r="44" ht="16.5" spans="1:8">
      <c r="A44" s="54"/>
      <c r="B44" s="58"/>
      <c r="C44" s="54"/>
      <c r="D44" s="54"/>
      <c r="E44" s="54"/>
      <c r="F44" s="54"/>
      <c r="G44" s="54"/>
      <c r="H44" s="55"/>
    </row>
    <row r="45" ht="16.5" spans="1:8">
      <c r="A45" s="54"/>
      <c r="B45" s="58"/>
      <c r="C45" s="54"/>
      <c r="D45" s="54"/>
      <c r="E45" s="54"/>
      <c r="F45" s="54"/>
      <c r="G45" s="54"/>
      <c r="H45" s="55"/>
    </row>
    <row r="46" ht="16.5" spans="1:8">
      <c r="A46" s="54"/>
      <c r="B46" s="58"/>
      <c r="C46" s="54"/>
      <c r="D46" s="54"/>
      <c r="E46" s="54"/>
      <c r="F46" s="54"/>
      <c r="G46" s="54"/>
      <c r="H46" s="55"/>
    </row>
    <row r="47" ht="16.5" spans="1:8">
      <c r="A47" s="54"/>
      <c r="B47" s="58"/>
      <c r="C47" s="54"/>
      <c r="D47" s="54"/>
      <c r="E47" s="54"/>
      <c r="F47" s="54"/>
      <c r="G47" s="54"/>
      <c r="H47" s="55"/>
    </row>
    <row r="48" ht="16.5" spans="1:8">
      <c r="A48" s="54"/>
      <c r="B48" s="58"/>
      <c r="C48" s="54"/>
      <c r="D48" s="54"/>
      <c r="E48" s="54"/>
      <c r="F48" s="54"/>
      <c r="G48" s="54"/>
      <c r="H48" s="55"/>
    </row>
    <row r="49" ht="16.5" spans="1:8">
      <c r="A49" s="54"/>
      <c r="B49" s="58"/>
      <c r="C49" s="54"/>
      <c r="D49" s="54"/>
      <c r="E49" s="54"/>
      <c r="F49" s="54"/>
      <c r="G49" s="54"/>
      <c r="H49" s="55"/>
    </row>
    <row r="50" ht="16.5" spans="1:8">
      <c r="A50" s="54"/>
      <c r="B50" s="58"/>
      <c r="C50" s="54"/>
      <c r="D50" s="54"/>
      <c r="E50" s="54"/>
      <c r="F50" s="54"/>
      <c r="G50" s="54"/>
      <c r="H50" s="55"/>
    </row>
    <row r="51" ht="16.5" spans="1:8">
      <c r="A51" s="54"/>
      <c r="B51" s="58"/>
      <c r="C51" s="54"/>
      <c r="D51" s="54"/>
      <c r="E51" s="54"/>
      <c r="F51" s="54"/>
      <c r="G51" s="54"/>
      <c r="H51" s="55"/>
    </row>
    <row r="52" ht="16.5" spans="1:8">
      <c r="A52" s="54"/>
      <c r="B52" s="58"/>
      <c r="C52" s="54"/>
      <c r="D52" s="54"/>
      <c r="E52" s="54"/>
      <c r="F52" s="54"/>
      <c r="G52" s="54"/>
      <c r="H52" s="55"/>
    </row>
    <row r="53" ht="16.5" spans="1:8">
      <c r="A53" s="54"/>
      <c r="B53" s="58"/>
      <c r="C53" s="54"/>
      <c r="D53" s="54"/>
      <c r="E53" s="54"/>
      <c r="F53" s="54"/>
      <c r="G53" s="54"/>
      <c r="H53" s="55"/>
    </row>
    <row r="54" ht="16.5" spans="1:8">
      <c r="A54" s="54"/>
      <c r="B54" s="58"/>
      <c r="C54" s="54"/>
      <c r="D54" s="54"/>
      <c r="E54" s="54"/>
      <c r="F54" s="54"/>
      <c r="G54" s="54"/>
      <c r="H54" s="55"/>
    </row>
    <row r="55" ht="16.5" spans="1:8">
      <c r="A55" s="54"/>
      <c r="B55" s="58"/>
      <c r="C55" s="54"/>
      <c r="D55" s="54"/>
      <c r="E55" s="54"/>
      <c r="F55" s="54"/>
      <c r="G55" s="54"/>
      <c r="H55" s="55"/>
    </row>
    <row r="56" ht="16.5" spans="1:8">
      <c r="A56" s="54"/>
      <c r="B56" s="58"/>
      <c r="C56" s="54"/>
      <c r="D56" s="54"/>
      <c r="E56" s="54"/>
      <c r="F56" s="54"/>
      <c r="G56" s="54"/>
      <c r="H56" s="55"/>
    </row>
    <row r="57" ht="16.5" spans="1:8">
      <c r="A57" s="54"/>
      <c r="B57" s="58"/>
      <c r="C57" s="54"/>
      <c r="D57" s="54"/>
      <c r="E57" s="54"/>
      <c r="F57" s="54"/>
      <c r="G57" s="54"/>
      <c r="H57" s="55"/>
    </row>
    <row r="58" ht="16.5" spans="1:8">
      <c r="A58" s="54"/>
      <c r="B58" s="58"/>
      <c r="C58" s="54"/>
      <c r="D58" s="54"/>
      <c r="E58" s="54"/>
      <c r="F58" s="54"/>
      <c r="G58" s="54"/>
      <c r="H58" s="55"/>
    </row>
    <row r="59" ht="16.5" spans="1:8">
      <c r="A59" s="54"/>
      <c r="B59" s="58"/>
      <c r="C59" s="54"/>
      <c r="D59" s="54"/>
      <c r="E59" s="54"/>
      <c r="F59" s="54"/>
      <c r="G59" s="54"/>
      <c r="H59" s="55"/>
    </row>
    <row r="60" ht="16.5" spans="1:8">
      <c r="A60" s="54"/>
      <c r="B60" s="58"/>
      <c r="C60" s="54"/>
      <c r="D60" s="54"/>
      <c r="E60" s="54"/>
      <c r="F60" s="54"/>
      <c r="G60" s="54"/>
      <c r="H60" s="55"/>
    </row>
    <row r="61" ht="16.5" spans="1:8">
      <c r="A61" s="54"/>
      <c r="B61" s="58"/>
      <c r="C61" s="54"/>
      <c r="D61" s="54"/>
      <c r="E61" s="54"/>
      <c r="F61" s="54"/>
      <c r="G61" s="54"/>
      <c r="H61" s="55"/>
    </row>
    <row r="62" ht="16.5" spans="1:8">
      <c r="A62" s="54"/>
      <c r="B62" s="58"/>
      <c r="C62" s="54"/>
      <c r="D62" s="54"/>
      <c r="E62" s="54"/>
      <c r="F62" s="54"/>
      <c r="G62" s="54"/>
      <c r="H62" s="55"/>
    </row>
    <row r="63" ht="16.5" spans="1:8">
      <c r="A63" s="54"/>
      <c r="B63" s="58"/>
      <c r="C63" s="54"/>
      <c r="D63" s="54"/>
      <c r="E63" s="54"/>
      <c r="F63" s="54"/>
      <c r="G63" s="54"/>
      <c r="H63" s="55"/>
    </row>
    <row r="64" ht="16.5" spans="1:8">
      <c r="A64" s="54"/>
      <c r="B64" s="58"/>
      <c r="C64" s="54"/>
      <c r="D64" s="54"/>
      <c r="E64" s="54"/>
      <c r="F64" s="54"/>
      <c r="G64" s="54"/>
      <c r="H64" s="55"/>
    </row>
    <row r="65" ht="16.5" spans="1:8">
      <c r="A65" s="54"/>
      <c r="B65" s="58"/>
      <c r="C65" s="54"/>
      <c r="D65" s="54"/>
      <c r="E65" s="54"/>
      <c r="F65" s="54"/>
      <c r="G65" s="54"/>
      <c r="H65" s="55"/>
    </row>
    <row r="66" ht="16.5" spans="1:8">
      <c r="A66" s="54"/>
      <c r="B66" s="58"/>
      <c r="C66" s="54"/>
      <c r="D66" s="54"/>
      <c r="E66" s="54"/>
      <c r="F66" s="54"/>
      <c r="G66" s="54"/>
      <c r="H66" s="55"/>
    </row>
    <row r="67" ht="16.5" spans="1:8">
      <c r="A67" s="54"/>
      <c r="B67" s="58"/>
      <c r="C67" s="54"/>
      <c r="D67" s="54"/>
      <c r="E67" s="54"/>
      <c r="F67" s="54"/>
      <c r="G67" s="54"/>
      <c r="H67" s="55"/>
    </row>
    <row r="68" ht="16.5" spans="1:8">
      <c r="A68" s="54"/>
      <c r="B68" s="58"/>
      <c r="C68" s="54"/>
      <c r="D68" s="54"/>
      <c r="E68" s="54"/>
      <c r="F68" s="54"/>
      <c r="G68" s="54"/>
      <c r="H68" s="55"/>
    </row>
    <row r="69" ht="16.5" spans="1:8">
      <c r="A69" s="54"/>
      <c r="B69" s="58"/>
      <c r="C69" s="54"/>
      <c r="D69" s="54"/>
      <c r="E69" s="54"/>
      <c r="F69" s="54"/>
      <c r="G69" s="54"/>
      <c r="H69" s="55"/>
    </row>
    <row r="70" ht="16.5" spans="1:8">
      <c r="A70" s="54"/>
      <c r="B70" s="58"/>
      <c r="C70" s="54"/>
      <c r="D70" s="54"/>
      <c r="E70" s="54"/>
      <c r="F70" s="54"/>
      <c r="G70" s="54"/>
      <c r="H70" s="55"/>
    </row>
    <row r="71" ht="16.5" spans="1:8">
      <c r="A71" s="54"/>
      <c r="B71" s="58"/>
      <c r="C71" s="54"/>
      <c r="D71" s="54"/>
      <c r="E71" s="54"/>
      <c r="F71" s="54"/>
      <c r="G71" s="54"/>
      <c r="H71" s="55"/>
    </row>
    <row r="72" ht="16.5" spans="1:8">
      <c r="A72" s="54"/>
      <c r="B72" s="58"/>
      <c r="C72" s="54"/>
      <c r="D72" s="54"/>
      <c r="E72" s="54"/>
      <c r="F72" s="54"/>
      <c r="G72" s="54"/>
      <c r="H72" s="55"/>
    </row>
    <row r="73" ht="16.5" spans="1:8">
      <c r="A73" s="54"/>
      <c r="B73" s="58"/>
      <c r="C73" s="54"/>
      <c r="D73" s="54"/>
      <c r="E73" s="54"/>
      <c r="F73" s="54"/>
      <c r="G73" s="54"/>
      <c r="H73" s="55"/>
    </row>
    <row r="74" ht="16.5" spans="1:8">
      <c r="A74" s="54"/>
      <c r="B74" s="58"/>
      <c r="C74" s="54"/>
      <c r="D74" s="54"/>
      <c r="E74" s="54"/>
      <c r="F74" s="54"/>
      <c r="G74" s="54"/>
      <c r="H74" s="55"/>
    </row>
    <row r="75" ht="16.5" spans="1:8">
      <c r="A75" s="54"/>
      <c r="B75" s="58"/>
      <c r="C75" s="54"/>
      <c r="D75" s="54"/>
      <c r="E75" s="54"/>
      <c r="F75" s="54"/>
      <c r="G75" s="54"/>
      <c r="H75" s="55"/>
    </row>
    <row r="76" ht="16.5" spans="1:8">
      <c r="A76" s="54"/>
      <c r="B76" s="58"/>
      <c r="C76" s="54"/>
      <c r="D76" s="54"/>
      <c r="E76" s="54"/>
      <c r="F76" s="54"/>
      <c r="G76" s="54"/>
      <c r="H76" s="55"/>
    </row>
    <row r="77" ht="16.5" spans="1:8">
      <c r="A77" s="54"/>
      <c r="B77" s="58"/>
      <c r="C77" s="54"/>
      <c r="D77" s="54"/>
      <c r="E77" s="54"/>
      <c r="F77" s="54"/>
      <c r="G77" s="54"/>
      <c r="H77" s="55"/>
    </row>
    <row r="78" ht="16.5" spans="1:8">
      <c r="A78" s="54"/>
      <c r="B78" s="58"/>
      <c r="C78" s="54"/>
      <c r="D78" s="54"/>
      <c r="E78" s="54"/>
      <c r="F78" s="54"/>
      <c r="G78" s="54"/>
      <c r="H78" s="55"/>
    </row>
    <row r="79" ht="16.5" spans="1:8">
      <c r="A79" s="54"/>
      <c r="B79" s="58"/>
      <c r="C79" s="54"/>
      <c r="D79" s="54"/>
      <c r="E79" s="54"/>
      <c r="F79" s="54"/>
      <c r="G79" s="54"/>
      <c r="H79" s="55"/>
    </row>
    <row r="80" ht="16.5" spans="1:8">
      <c r="A80" s="54"/>
      <c r="B80" s="58"/>
      <c r="C80" s="54"/>
      <c r="D80" s="54"/>
      <c r="E80" s="54"/>
      <c r="F80" s="54"/>
      <c r="G80" s="54"/>
      <c r="H80" s="55"/>
    </row>
    <row r="81" ht="16.5" spans="1:8">
      <c r="A81" s="54"/>
      <c r="B81" s="58"/>
      <c r="C81" s="54"/>
      <c r="D81" s="54"/>
      <c r="E81" s="54"/>
      <c r="F81" s="54"/>
      <c r="G81" s="54"/>
      <c r="H81" s="55"/>
    </row>
  </sheetData>
  <dataValidations count="1">
    <dataValidation type="list" allowBlank="1" showInputMessage="1" showErrorMessage="1" sqref="F6 F1:F5 F8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I6"/>
  <sheetViews>
    <sheetView workbookViewId="0">
      <pane xSplit="1" topLeftCell="B1" activePane="topRight" state="frozen"/>
      <selection/>
      <selection pane="topRight" activeCell="O13" sqref="O13"/>
    </sheetView>
  </sheetViews>
  <sheetFormatPr defaultColWidth="8.66666666666667" defaultRowHeight="14" outlineLevelRow="5"/>
  <cols>
    <col min="2" max="2" width="9.08333333333333"/>
    <col min="3" max="3" width="11.5"/>
    <col min="5" max="5" width="10.25"/>
    <col min="6" max="6" width="9.16666666666667"/>
    <col min="8" max="8" width="9.5" customWidth="1"/>
    <col min="9" max="9" width="10.25"/>
    <col min="10" max="11" width="9.41666666666667"/>
    <col min="12" max="12" width="9.58333333333333" customWidth="1"/>
    <col min="15" max="15" width="10.6666666666667" customWidth="1"/>
    <col min="17" max="17" width="10.5"/>
    <col min="18" max="18" width="9.16666666666667"/>
    <col min="20" max="35" width="9.08333333333333" customWidth="1"/>
  </cols>
  <sheetData>
    <row r="1" ht="16.5" spans="1:35">
      <c r="A1" s="9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N1" s="22" t="s">
        <v>47</v>
      </c>
      <c r="O1" s="22"/>
      <c r="P1" s="22"/>
      <c r="Q1" s="22"/>
      <c r="R1" s="22"/>
      <c r="T1" s="22" t="s">
        <v>48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ht="34" customHeight="1" spans="1:35">
      <c r="A2" s="11" t="s">
        <v>18</v>
      </c>
      <c r="B2" s="9" t="s">
        <v>49</v>
      </c>
      <c r="C2" s="9"/>
      <c r="D2" s="9"/>
      <c r="E2" s="9"/>
      <c r="F2" s="9"/>
      <c r="G2" s="9"/>
      <c r="H2" s="9"/>
      <c r="I2" s="9"/>
      <c r="J2" s="9"/>
      <c r="K2" s="9"/>
      <c r="L2" s="9"/>
      <c r="N2" s="22"/>
      <c r="O2" s="22"/>
      <c r="P2" s="22"/>
      <c r="Q2" s="22"/>
      <c r="R2" s="22"/>
      <c r="T2" s="31" t="s">
        <v>50</v>
      </c>
      <c r="U2" s="32"/>
      <c r="V2" s="32"/>
      <c r="W2" s="33"/>
      <c r="X2" s="34" t="s">
        <v>51</v>
      </c>
      <c r="Y2" s="42"/>
      <c r="Z2" s="42"/>
      <c r="AA2" s="43"/>
      <c r="AB2" s="44" t="s">
        <v>52</v>
      </c>
      <c r="AC2" s="45"/>
      <c r="AD2" s="45"/>
      <c r="AE2" s="46"/>
      <c r="AF2" s="36" t="s">
        <v>53</v>
      </c>
      <c r="AG2" s="49" t="s">
        <v>54</v>
      </c>
      <c r="AH2" s="36" t="s">
        <v>55</v>
      </c>
      <c r="AI2" s="36" t="s">
        <v>56</v>
      </c>
    </row>
    <row r="3" ht="16.5" spans="1:35">
      <c r="A3" s="11"/>
      <c r="B3" s="12" t="s">
        <v>57</v>
      </c>
      <c r="C3" s="13" t="s">
        <v>58</v>
      </c>
      <c r="D3" s="14" t="s">
        <v>59</v>
      </c>
      <c r="E3" s="13" t="s">
        <v>60</v>
      </c>
      <c r="F3" s="13" t="s">
        <v>61</v>
      </c>
      <c r="G3" s="15" t="s">
        <v>62</v>
      </c>
      <c r="H3" s="16" t="s">
        <v>63</v>
      </c>
      <c r="I3" s="16" t="s">
        <v>64</v>
      </c>
      <c r="J3" s="15" t="s">
        <v>65</v>
      </c>
      <c r="K3" s="23" t="s">
        <v>66</v>
      </c>
      <c r="L3" s="24" t="s">
        <v>67</v>
      </c>
      <c r="N3" s="25" t="s">
        <v>68</v>
      </c>
      <c r="O3" s="25" t="s">
        <v>69</v>
      </c>
      <c r="P3" s="26" t="s">
        <v>70</v>
      </c>
      <c r="Q3" s="25" t="s">
        <v>71</v>
      </c>
      <c r="R3" s="35" t="s">
        <v>72</v>
      </c>
      <c r="T3" s="36" t="s">
        <v>73</v>
      </c>
      <c r="U3" s="36" t="s">
        <v>74</v>
      </c>
      <c r="V3" s="36" t="s">
        <v>75</v>
      </c>
      <c r="W3" s="36" t="s">
        <v>76</v>
      </c>
      <c r="X3" s="36" t="s">
        <v>73</v>
      </c>
      <c r="Y3" s="36" t="s">
        <v>74</v>
      </c>
      <c r="Z3" s="36" t="s">
        <v>75</v>
      </c>
      <c r="AA3" s="36" t="s">
        <v>76</v>
      </c>
      <c r="AB3" s="36" t="s">
        <v>73</v>
      </c>
      <c r="AC3" s="36" t="s">
        <v>74</v>
      </c>
      <c r="AD3" s="36" t="s">
        <v>75</v>
      </c>
      <c r="AE3" s="36" t="s">
        <v>76</v>
      </c>
      <c r="AF3" s="36"/>
      <c r="AG3" s="50"/>
      <c r="AH3" s="36"/>
      <c r="AI3" s="36"/>
    </row>
    <row r="4" ht="16.5" spans="1:35">
      <c r="A4" s="17" t="s">
        <v>20</v>
      </c>
      <c r="B4" s="18">
        <v>210000</v>
      </c>
      <c r="C4" s="19">
        <v>411191.1</v>
      </c>
      <c r="D4" s="20">
        <f>F4+I4</f>
        <v>5085.75</v>
      </c>
      <c r="E4" s="19">
        <v>395298.6</v>
      </c>
      <c r="F4" s="19">
        <v>5085.75</v>
      </c>
      <c r="G4" s="20">
        <f>E4-F4</f>
        <v>390212.85</v>
      </c>
      <c r="H4" s="19">
        <v>15892.5</v>
      </c>
      <c r="I4" s="19">
        <v>0</v>
      </c>
      <c r="J4" s="20">
        <f>H4-I4</f>
        <v>15892.5</v>
      </c>
      <c r="K4" s="20">
        <f>J4+G4</f>
        <v>406105.35</v>
      </c>
      <c r="L4" s="27">
        <f>K4/B4</f>
        <v>1.933835</v>
      </c>
      <c r="N4" s="28"/>
      <c r="O4" s="29"/>
      <c r="P4" s="30">
        <v>0.065</v>
      </c>
      <c r="Q4" s="37">
        <f>K4*P4</f>
        <v>26396.84775</v>
      </c>
      <c r="R4" s="28"/>
      <c r="T4" s="38">
        <v>0.12</v>
      </c>
      <c r="U4" s="39">
        <v>0.175</v>
      </c>
      <c r="V4" s="40">
        <v>1</v>
      </c>
      <c r="W4" s="36">
        <v>50</v>
      </c>
      <c r="X4" s="41">
        <v>0.135</v>
      </c>
      <c r="Y4" s="47">
        <v>0.129032258064516</v>
      </c>
      <c r="Z4" s="39">
        <f>Y4/X4</f>
        <v>0.955794504181601</v>
      </c>
      <c r="AA4" s="48">
        <f>30*Z4</f>
        <v>28.673835125448</v>
      </c>
      <c r="AB4" s="36">
        <v>1.6</v>
      </c>
      <c r="AC4" s="36">
        <v>0</v>
      </c>
      <c r="AD4" s="36">
        <v>0</v>
      </c>
      <c r="AE4" s="36">
        <v>0</v>
      </c>
      <c r="AF4" s="48">
        <f>AE4+AA4+W4</f>
        <v>78.673835125448</v>
      </c>
      <c r="AG4" s="38">
        <f>AF4/100</f>
        <v>0.78673835125448</v>
      </c>
      <c r="AH4" s="36">
        <v>2000</v>
      </c>
      <c r="AI4" s="51">
        <f>AH4*AG4</f>
        <v>1573.47670250896</v>
      </c>
    </row>
    <row r="5" ht="16.5" spans="1:35">
      <c r="A5" s="17" t="s">
        <v>10</v>
      </c>
      <c r="B5" s="18">
        <v>210000</v>
      </c>
      <c r="C5" s="19">
        <v>465554.4</v>
      </c>
      <c r="D5" s="20">
        <f>F5+I5</f>
        <v>54315</v>
      </c>
      <c r="E5" s="19">
        <v>389024.9</v>
      </c>
      <c r="F5" s="19">
        <v>54315</v>
      </c>
      <c r="G5" s="20">
        <f>E5-F5</f>
        <v>334709.9</v>
      </c>
      <c r="H5" s="19">
        <v>76529.5</v>
      </c>
      <c r="I5" s="19">
        <v>0</v>
      </c>
      <c r="J5" s="20">
        <f>H5-I5</f>
        <v>76529.5</v>
      </c>
      <c r="K5" s="20">
        <f>J5+G5</f>
        <v>411239.4</v>
      </c>
      <c r="L5" s="27">
        <f>K5/B5</f>
        <v>1.95828285714286</v>
      </c>
      <c r="N5" s="28"/>
      <c r="O5" s="29"/>
      <c r="P5" s="30">
        <v>0.065</v>
      </c>
      <c r="Q5" s="37">
        <f>K5*P5</f>
        <v>26730.561</v>
      </c>
      <c r="R5" s="28"/>
      <c r="T5" s="38">
        <v>0.12</v>
      </c>
      <c r="U5" s="39">
        <v>0.285714285714286</v>
      </c>
      <c r="V5" s="40">
        <v>1</v>
      </c>
      <c r="W5" s="36">
        <v>50</v>
      </c>
      <c r="X5" s="41">
        <v>0.135</v>
      </c>
      <c r="Y5" s="39">
        <v>0.225806451612903</v>
      </c>
      <c r="Z5" s="39">
        <v>1</v>
      </c>
      <c r="AA5" s="36">
        <v>30</v>
      </c>
      <c r="AB5" s="36">
        <v>1.6</v>
      </c>
      <c r="AC5" s="36">
        <v>1.8</v>
      </c>
      <c r="AD5" s="38">
        <v>1</v>
      </c>
      <c r="AE5" s="36">
        <v>20</v>
      </c>
      <c r="AF5" s="36">
        <f>AE5+AA5+W5</f>
        <v>100</v>
      </c>
      <c r="AG5" s="38">
        <v>1</v>
      </c>
      <c r="AH5" s="36">
        <v>3000</v>
      </c>
      <c r="AI5" s="36">
        <v>3000</v>
      </c>
    </row>
    <row r="6" ht="16.5" spans="1:35">
      <c r="A6" s="17" t="s">
        <v>25</v>
      </c>
      <c r="B6" s="21" t="s">
        <v>77</v>
      </c>
      <c r="C6" s="21" t="s">
        <v>77</v>
      </c>
      <c r="D6" s="21" t="s">
        <v>77</v>
      </c>
      <c r="E6" s="21" t="s">
        <v>77</v>
      </c>
      <c r="F6" s="21" t="s">
        <v>77</v>
      </c>
      <c r="G6" s="21" t="s">
        <v>77</v>
      </c>
      <c r="H6" s="21" t="s">
        <v>77</v>
      </c>
      <c r="I6" s="21" t="s">
        <v>77</v>
      </c>
      <c r="J6" s="21" t="s">
        <v>77</v>
      </c>
      <c r="K6" s="21" t="s">
        <v>77</v>
      </c>
      <c r="L6" s="21" t="s">
        <v>77</v>
      </c>
      <c r="N6" s="21" t="s">
        <v>77</v>
      </c>
      <c r="O6" s="21" t="s">
        <v>77</v>
      </c>
      <c r="P6" s="21" t="s">
        <v>77</v>
      </c>
      <c r="Q6" s="21" t="s">
        <v>77</v>
      </c>
      <c r="R6" s="21" t="s">
        <v>77</v>
      </c>
      <c r="T6" s="21" t="s">
        <v>77</v>
      </c>
      <c r="U6" s="21" t="s">
        <v>77</v>
      </c>
      <c r="V6" s="21" t="s">
        <v>77</v>
      </c>
      <c r="W6" s="21" t="s">
        <v>77</v>
      </c>
      <c r="X6" s="21" t="s">
        <v>77</v>
      </c>
      <c r="Y6" s="21" t="s">
        <v>77</v>
      </c>
      <c r="Z6" s="21" t="s">
        <v>77</v>
      </c>
      <c r="AA6" s="21" t="s">
        <v>77</v>
      </c>
      <c r="AB6" s="21" t="s">
        <v>77</v>
      </c>
      <c r="AC6" s="21" t="s">
        <v>77</v>
      </c>
      <c r="AD6" s="21" t="s">
        <v>77</v>
      </c>
      <c r="AE6" s="21" t="s">
        <v>77</v>
      </c>
      <c r="AF6" s="21" t="s">
        <v>77</v>
      </c>
      <c r="AG6" s="38">
        <v>0.225</v>
      </c>
      <c r="AH6" s="36">
        <v>4000</v>
      </c>
      <c r="AI6" s="36">
        <f>AG6*AH6</f>
        <v>900</v>
      </c>
    </row>
  </sheetData>
  <mergeCells count="12">
    <mergeCell ref="A1:L1"/>
    <mergeCell ref="T1:AI1"/>
    <mergeCell ref="B2:L2"/>
    <mergeCell ref="T2:W2"/>
    <mergeCell ref="X2:AA2"/>
    <mergeCell ref="AB2:AE2"/>
    <mergeCell ref="A2:A3"/>
    <mergeCell ref="AF2:AF3"/>
    <mergeCell ref="AG2:AG3"/>
    <mergeCell ref="AH2:AH3"/>
    <mergeCell ref="AI2:AI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72"/>
  <sheetViews>
    <sheetView workbookViewId="0">
      <selection activeCell="H63" sqref="H63"/>
    </sheetView>
  </sheetViews>
  <sheetFormatPr defaultColWidth="8.25" defaultRowHeight="14"/>
  <cols>
    <col min="1" max="2" width="8.25" style="1"/>
    <col min="3" max="3" width="8.41666666666667" style="1"/>
    <col min="4" max="7" width="8.25" style="1"/>
    <col min="8" max="8" width="9.41666666666667" style="1"/>
    <col min="9" max="9" width="8.41666666666667" style="1"/>
    <col min="10" max="10" width="10.5" style="1"/>
    <col min="11" max="36" width="8.25" style="1"/>
    <col min="37" max="37" width="8.91666666666667" style="1"/>
    <col min="38" max="16384" width="8.25" style="1"/>
  </cols>
  <sheetData>
    <row r="1" s="1" customFormat="1" customHeight="1" spans="1:42">
      <c r="A1" s="2" t="s">
        <v>0</v>
      </c>
      <c r="B1" s="2" t="s">
        <v>78</v>
      </c>
      <c r="C1" s="2" t="s">
        <v>3</v>
      </c>
      <c r="D1" s="2" t="s">
        <v>79</v>
      </c>
      <c r="E1" s="2" t="s">
        <v>2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78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  <c r="AL1" s="2" t="s">
        <v>111</v>
      </c>
      <c r="AM1" s="2" t="s">
        <v>112</v>
      </c>
      <c r="AN1" s="2" t="s">
        <v>113</v>
      </c>
      <c r="AO1" s="2" t="s">
        <v>114</v>
      </c>
      <c r="AP1" s="2" t="s">
        <v>115</v>
      </c>
    </row>
    <row r="2" s="1" customFormat="1" spans="1:42">
      <c r="A2" s="3">
        <v>52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4">
        <v>19800</v>
      </c>
      <c r="I2" s="3"/>
      <c r="J2" s="3" t="s">
        <v>121</v>
      </c>
      <c r="K2" s="3" t="s">
        <v>122</v>
      </c>
      <c r="L2" s="3" t="s">
        <v>121</v>
      </c>
      <c r="M2" s="3" t="s">
        <v>123</v>
      </c>
      <c r="N2" s="3" t="s">
        <v>124</v>
      </c>
      <c r="O2" s="3" t="s">
        <v>125</v>
      </c>
      <c r="P2" s="3" t="s">
        <v>10</v>
      </c>
      <c r="Q2" s="3" t="s">
        <v>126</v>
      </c>
      <c r="R2" s="3" t="s">
        <v>10</v>
      </c>
      <c r="S2" s="3" t="s">
        <v>127</v>
      </c>
      <c r="T2" s="3" t="s">
        <v>128</v>
      </c>
      <c r="U2" s="3" t="s">
        <v>129</v>
      </c>
      <c r="V2" s="3" t="s">
        <v>130</v>
      </c>
      <c r="W2" s="3" t="s">
        <v>131</v>
      </c>
      <c r="X2" s="3" t="s">
        <v>118</v>
      </c>
      <c r="Y2" s="3"/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136</v>
      </c>
      <c r="AE2" s="3" t="s">
        <v>137</v>
      </c>
      <c r="AF2" s="3" t="s">
        <v>138</v>
      </c>
      <c r="AG2" s="3" t="s">
        <v>139</v>
      </c>
      <c r="AH2" s="3" t="s">
        <v>140</v>
      </c>
      <c r="AI2" s="3">
        <v>5502230</v>
      </c>
      <c r="AJ2" s="3"/>
      <c r="AK2" s="3"/>
      <c r="AL2" s="3" t="s">
        <v>141</v>
      </c>
      <c r="AM2" s="3" t="s">
        <v>142</v>
      </c>
      <c r="AN2" s="3" t="s">
        <v>143</v>
      </c>
      <c r="AO2" s="3" t="s">
        <v>144</v>
      </c>
      <c r="AP2" s="3" t="s">
        <v>142</v>
      </c>
    </row>
    <row r="3" s="1" customFormat="1" spans="1:42">
      <c r="A3" s="3">
        <v>50</v>
      </c>
      <c r="B3" s="3" t="s">
        <v>116</v>
      </c>
      <c r="C3" s="3" t="s">
        <v>117</v>
      </c>
      <c r="D3" s="3" t="s">
        <v>145</v>
      </c>
      <c r="E3" s="3" t="s">
        <v>146</v>
      </c>
      <c r="F3" s="3" t="s">
        <v>120</v>
      </c>
      <c r="G3" s="3" t="s">
        <v>121</v>
      </c>
      <c r="H3" s="4">
        <v>11522.9</v>
      </c>
      <c r="I3" s="3" t="s">
        <v>147</v>
      </c>
      <c r="J3" s="3" t="s">
        <v>148</v>
      </c>
      <c r="K3" s="3" t="s">
        <v>149</v>
      </c>
      <c r="L3" s="3" t="s">
        <v>121</v>
      </c>
      <c r="M3" s="3" t="s">
        <v>123</v>
      </c>
      <c r="N3" s="3" t="s">
        <v>150</v>
      </c>
      <c r="O3" s="3" t="s">
        <v>151</v>
      </c>
      <c r="P3" s="3" t="s">
        <v>10</v>
      </c>
      <c r="Q3" s="3" t="s">
        <v>152</v>
      </c>
      <c r="R3" s="3" t="s">
        <v>10</v>
      </c>
      <c r="S3" s="3" t="s">
        <v>153</v>
      </c>
      <c r="T3" s="3" t="s">
        <v>154</v>
      </c>
      <c r="U3" s="3" t="s">
        <v>155</v>
      </c>
      <c r="V3" s="3" t="s">
        <v>156</v>
      </c>
      <c r="W3" s="3" t="s">
        <v>157</v>
      </c>
      <c r="X3" s="3" t="s">
        <v>145</v>
      </c>
      <c r="Y3" s="3"/>
      <c r="Z3" s="3" t="s">
        <v>132</v>
      </c>
      <c r="AA3" s="3" t="s">
        <v>158</v>
      </c>
      <c r="AB3" s="3" t="s">
        <v>134</v>
      </c>
      <c r="AC3" s="3" t="s">
        <v>159</v>
      </c>
      <c r="AD3" s="3" t="s">
        <v>160</v>
      </c>
      <c r="AE3" s="3" t="s">
        <v>137</v>
      </c>
      <c r="AF3" s="3" t="s">
        <v>161</v>
      </c>
      <c r="AG3" s="3" t="s">
        <v>139</v>
      </c>
      <c r="AH3" s="3" t="s">
        <v>162</v>
      </c>
      <c r="AI3" s="3">
        <v>5503634</v>
      </c>
      <c r="AJ3" s="3"/>
      <c r="AK3" s="3"/>
      <c r="AL3" s="3" t="s">
        <v>141</v>
      </c>
      <c r="AM3" s="3" t="s">
        <v>142</v>
      </c>
      <c r="AN3" s="3" t="s">
        <v>163</v>
      </c>
      <c r="AO3" s="3" t="s">
        <v>164</v>
      </c>
      <c r="AP3" s="3" t="s">
        <v>142</v>
      </c>
    </row>
    <row r="4" s="1" customFormat="1" spans="1:42">
      <c r="A4" s="3">
        <v>11</v>
      </c>
      <c r="B4" s="3" t="s">
        <v>116</v>
      </c>
      <c r="C4" s="3" t="s">
        <v>117</v>
      </c>
      <c r="D4" s="3" t="s">
        <v>145</v>
      </c>
      <c r="E4" s="3" t="s">
        <v>165</v>
      </c>
      <c r="F4" s="3" t="s">
        <v>120</v>
      </c>
      <c r="G4" s="3" t="s">
        <v>121</v>
      </c>
      <c r="H4" s="4">
        <v>399</v>
      </c>
      <c r="I4" s="3"/>
      <c r="J4" s="3" t="s">
        <v>121</v>
      </c>
      <c r="K4" s="3" t="s">
        <v>122</v>
      </c>
      <c r="L4" s="3" t="s">
        <v>121</v>
      </c>
      <c r="M4" s="3" t="s">
        <v>166</v>
      </c>
      <c r="N4" s="3" t="s">
        <v>167</v>
      </c>
      <c r="O4" s="3" t="s">
        <v>168</v>
      </c>
      <c r="P4" s="3" t="s">
        <v>10</v>
      </c>
      <c r="Q4" s="3" t="s">
        <v>169</v>
      </c>
      <c r="R4" s="3" t="s">
        <v>10</v>
      </c>
      <c r="S4" s="3" t="s">
        <v>169</v>
      </c>
      <c r="T4" s="3" t="s">
        <v>170</v>
      </c>
      <c r="U4" s="3" t="s">
        <v>129</v>
      </c>
      <c r="V4" s="3"/>
      <c r="W4" s="3"/>
      <c r="X4" s="3"/>
      <c r="Y4" s="3"/>
      <c r="Z4" s="3" t="s">
        <v>171</v>
      </c>
      <c r="AA4" s="3" t="s">
        <v>172</v>
      </c>
      <c r="AB4" s="3" t="s">
        <v>134</v>
      </c>
      <c r="AC4" s="3" t="s">
        <v>134</v>
      </c>
      <c r="AD4" s="3" t="s">
        <v>134</v>
      </c>
      <c r="AE4" s="3" t="s">
        <v>173</v>
      </c>
      <c r="AF4" s="3" t="s">
        <v>174</v>
      </c>
      <c r="AG4" s="3" t="s">
        <v>175</v>
      </c>
      <c r="AH4" s="3" t="s">
        <v>140</v>
      </c>
      <c r="AI4" s="3">
        <v>5422906</v>
      </c>
      <c r="AJ4" s="3"/>
      <c r="AK4" s="3">
        <v>110638381</v>
      </c>
      <c r="AL4" s="3"/>
      <c r="AM4" s="3" t="s">
        <v>176</v>
      </c>
      <c r="AN4" s="3"/>
      <c r="AO4" s="3"/>
      <c r="AP4" s="3" t="s">
        <v>121</v>
      </c>
    </row>
    <row r="5" s="1" customFormat="1" spans="1:42">
      <c r="A5" s="3">
        <v>48</v>
      </c>
      <c r="B5" s="3" t="s">
        <v>116</v>
      </c>
      <c r="C5" s="3" t="s">
        <v>117</v>
      </c>
      <c r="D5" s="3" t="s">
        <v>177</v>
      </c>
      <c r="E5" s="3" t="s">
        <v>178</v>
      </c>
      <c r="F5" s="3" t="s">
        <v>120</v>
      </c>
      <c r="G5" s="3" t="s">
        <v>121</v>
      </c>
      <c r="H5" s="4">
        <v>34800</v>
      </c>
      <c r="I5" s="3"/>
      <c r="J5" s="3" t="s">
        <v>121</v>
      </c>
      <c r="K5" s="3" t="s">
        <v>122</v>
      </c>
      <c r="L5" s="3" t="s">
        <v>121</v>
      </c>
      <c r="M5" s="3" t="s">
        <v>123</v>
      </c>
      <c r="N5" s="3" t="s">
        <v>179</v>
      </c>
      <c r="O5" s="3" t="s">
        <v>180</v>
      </c>
      <c r="P5" s="3" t="s">
        <v>10</v>
      </c>
      <c r="Q5" s="3" t="s">
        <v>181</v>
      </c>
      <c r="R5" s="3" t="s">
        <v>10</v>
      </c>
      <c r="S5" s="3" t="s">
        <v>181</v>
      </c>
      <c r="T5" s="3" t="s">
        <v>182</v>
      </c>
      <c r="U5" s="3" t="s">
        <v>129</v>
      </c>
      <c r="V5" s="3" t="s">
        <v>156</v>
      </c>
      <c r="W5" s="3" t="s">
        <v>183</v>
      </c>
      <c r="X5" s="3" t="s">
        <v>177</v>
      </c>
      <c r="Y5" s="3"/>
      <c r="Z5" s="3" t="s">
        <v>171</v>
      </c>
      <c r="AA5" s="3" t="s">
        <v>184</v>
      </c>
      <c r="AB5" s="3" t="s">
        <v>134</v>
      </c>
      <c r="AC5" s="3" t="s">
        <v>185</v>
      </c>
      <c r="AD5" s="3" t="s">
        <v>185</v>
      </c>
      <c r="AE5" s="3" t="s">
        <v>137</v>
      </c>
      <c r="AF5" s="3" t="s">
        <v>186</v>
      </c>
      <c r="AG5" s="3" t="s">
        <v>139</v>
      </c>
      <c r="AH5" s="3" t="s">
        <v>187</v>
      </c>
      <c r="AI5" s="3">
        <v>5423264</v>
      </c>
      <c r="AJ5" s="3"/>
      <c r="AK5" s="3"/>
      <c r="AL5" s="3" t="s">
        <v>141</v>
      </c>
      <c r="AM5" s="3" t="s">
        <v>142</v>
      </c>
      <c r="AN5" s="3" t="s">
        <v>188</v>
      </c>
      <c r="AO5" s="3" t="s">
        <v>189</v>
      </c>
      <c r="AP5" s="3" t="s">
        <v>142</v>
      </c>
    </row>
    <row r="6" s="1" customFormat="1" spans="1:42">
      <c r="A6" s="3">
        <v>46</v>
      </c>
      <c r="B6" s="3" t="s">
        <v>116</v>
      </c>
      <c r="C6" s="3" t="s">
        <v>117</v>
      </c>
      <c r="D6" s="3" t="s">
        <v>190</v>
      </c>
      <c r="E6" s="3" t="s">
        <v>191</v>
      </c>
      <c r="F6" s="3" t="s">
        <v>120</v>
      </c>
      <c r="G6" s="3" t="s">
        <v>121</v>
      </c>
      <c r="H6" s="4">
        <v>19800</v>
      </c>
      <c r="I6" s="3"/>
      <c r="J6" s="3" t="s">
        <v>121</v>
      </c>
      <c r="K6" s="3" t="s">
        <v>122</v>
      </c>
      <c r="L6" s="3" t="s">
        <v>121</v>
      </c>
      <c r="M6" s="3" t="s">
        <v>123</v>
      </c>
      <c r="N6" s="3" t="s">
        <v>124</v>
      </c>
      <c r="O6" s="3" t="s">
        <v>192</v>
      </c>
      <c r="P6" s="3" t="s">
        <v>10</v>
      </c>
      <c r="Q6" s="3" t="s">
        <v>193</v>
      </c>
      <c r="R6" s="3" t="s">
        <v>10</v>
      </c>
      <c r="S6" s="3" t="s">
        <v>193</v>
      </c>
      <c r="T6" s="3" t="s">
        <v>194</v>
      </c>
      <c r="U6" s="3" t="s">
        <v>155</v>
      </c>
      <c r="V6" s="3" t="s">
        <v>195</v>
      </c>
      <c r="W6" s="3" t="s">
        <v>196</v>
      </c>
      <c r="X6" s="3" t="s">
        <v>190</v>
      </c>
      <c r="Y6" s="3"/>
      <c r="Z6" s="3" t="s">
        <v>132</v>
      </c>
      <c r="AA6" s="3" t="s">
        <v>197</v>
      </c>
      <c r="AB6" s="3" t="s">
        <v>134</v>
      </c>
      <c r="AC6" s="3" t="s">
        <v>198</v>
      </c>
      <c r="AD6" s="3" t="s">
        <v>198</v>
      </c>
      <c r="AE6" s="3" t="s">
        <v>137</v>
      </c>
      <c r="AF6" s="3" t="s">
        <v>138</v>
      </c>
      <c r="AG6" s="3" t="s">
        <v>139</v>
      </c>
      <c r="AH6" s="3" t="s">
        <v>140</v>
      </c>
      <c r="AI6" s="3">
        <v>5505275</v>
      </c>
      <c r="AJ6" s="3"/>
      <c r="AK6" s="3"/>
      <c r="AL6" s="3" t="s">
        <v>141</v>
      </c>
      <c r="AM6" s="3" t="s">
        <v>142</v>
      </c>
      <c r="AN6" s="3" t="s">
        <v>199</v>
      </c>
      <c r="AO6" s="3" t="s">
        <v>144</v>
      </c>
      <c r="AP6" s="3" t="s">
        <v>142</v>
      </c>
    </row>
    <row r="7" s="1" customFormat="1" spans="1:42">
      <c r="A7" s="3">
        <v>9</v>
      </c>
      <c r="B7" s="3" t="s">
        <v>116</v>
      </c>
      <c r="C7" s="3" t="s">
        <v>117</v>
      </c>
      <c r="D7" s="3" t="s">
        <v>200</v>
      </c>
      <c r="E7" s="3" t="s">
        <v>201</v>
      </c>
      <c r="F7" s="3" t="s">
        <v>120</v>
      </c>
      <c r="G7" s="3" t="s">
        <v>121</v>
      </c>
      <c r="H7" s="4">
        <v>9900</v>
      </c>
      <c r="I7" s="3"/>
      <c r="J7" s="3" t="s">
        <v>121</v>
      </c>
      <c r="K7" s="3" t="s">
        <v>122</v>
      </c>
      <c r="L7" s="3" t="s">
        <v>121</v>
      </c>
      <c r="M7" s="3" t="s">
        <v>166</v>
      </c>
      <c r="N7" s="3" t="s">
        <v>202</v>
      </c>
      <c r="O7" s="3" t="s">
        <v>203</v>
      </c>
      <c r="P7" s="3" t="s">
        <v>10</v>
      </c>
      <c r="Q7" s="3" t="s">
        <v>204</v>
      </c>
      <c r="R7" s="3" t="s">
        <v>10</v>
      </c>
      <c r="S7" s="3" t="s">
        <v>205</v>
      </c>
      <c r="T7" s="3" t="s">
        <v>206</v>
      </c>
      <c r="U7" s="3" t="s">
        <v>155</v>
      </c>
      <c r="V7" s="3"/>
      <c r="W7" s="3"/>
      <c r="X7" s="3"/>
      <c r="Y7" s="3"/>
      <c r="Z7" s="3" t="s">
        <v>171</v>
      </c>
      <c r="AA7" s="3" t="s">
        <v>172</v>
      </c>
      <c r="AB7" s="3" t="s">
        <v>134</v>
      </c>
      <c r="AC7" s="3" t="s">
        <v>134</v>
      </c>
      <c r="AD7" s="3" t="s">
        <v>134</v>
      </c>
      <c r="AE7" s="3" t="s">
        <v>137</v>
      </c>
      <c r="AF7" s="3" t="s">
        <v>207</v>
      </c>
      <c r="AG7" s="3" t="s">
        <v>139</v>
      </c>
      <c r="AH7" s="3" t="s">
        <v>208</v>
      </c>
      <c r="AI7" s="3">
        <v>5534100</v>
      </c>
      <c r="AJ7" s="3"/>
      <c r="AK7" s="3">
        <v>110655997</v>
      </c>
      <c r="AL7" s="3"/>
      <c r="AM7" s="3" t="s">
        <v>176</v>
      </c>
      <c r="AN7" s="3"/>
      <c r="AO7" s="3"/>
      <c r="AP7" s="3" t="s">
        <v>121</v>
      </c>
    </row>
    <row r="8" s="1" customFormat="1" spans="1:42">
      <c r="A8" s="3">
        <v>10</v>
      </c>
      <c r="B8" s="3" t="s">
        <v>116</v>
      </c>
      <c r="C8" s="3" t="s">
        <v>117</v>
      </c>
      <c r="D8" s="3" t="s">
        <v>200</v>
      </c>
      <c r="E8" s="3" t="s">
        <v>209</v>
      </c>
      <c r="F8" s="3" t="s">
        <v>120</v>
      </c>
      <c r="G8" s="3" t="s">
        <v>121</v>
      </c>
      <c r="H8" s="4">
        <v>399</v>
      </c>
      <c r="I8" s="3"/>
      <c r="J8" s="3" t="s">
        <v>121</v>
      </c>
      <c r="K8" s="3" t="s">
        <v>122</v>
      </c>
      <c r="L8" s="3" t="s">
        <v>121</v>
      </c>
      <c r="M8" s="3" t="s">
        <v>166</v>
      </c>
      <c r="N8" s="3" t="s">
        <v>179</v>
      </c>
      <c r="O8" s="3" t="s">
        <v>210</v>
      </c>
      <c r="P8" s="3" t="s">
        <v>10</v>
      </c>
      <c r="Q8" s="3" t="s">
        <v>211</v>
      </c>
      <c r="R8" s="3" t="s">
        <v>10</v>
      </c>
      <c r="S8" s="3" t="s">
        <v>212</v>
      </c>
      <c r="T8" s="3" t="s">
        <v>213</v>
      </c>
      <c r="U8" s="3" t="s">
        <v>129</v>
      </c>
      <c r="V8" s="3"/>
      <c r="W8" s="3"/>
      <c r="X8" s="3"/>
      <c r="Y8" s="3"/>
      <c r="Z8" s="3" t="s">
        <v>171</v>
      </c>
      <c r="AA8" s="3" t="s">
        <v>172</v>
      </c>
      <c r="AB8" s="3" t="s">
        <v>134</v>
      </c>
      <c r="AC8" s="3" t="s">
        <v>134</v>
      </c>
      <c r="AD8" s="3" t="s">
        <v>134</v>
      </c>
      <c r="AE8" s="3" t="s">
        <v>137</v>
      </c>
      <c r="AF8" s="3" t="s">
        <v>207</v>
      </c>
      <c r="AG8" s="3" t="s">
        <v>214</v>
      </c>
      <c r="AH8" s="3" t="s">
        <v>208</v>
      </c>
      <c r="AI8" s="3">
        <v>5506348</v>
      </c>
      <c r="AJ8" s="3"/>
      <c r="AK8" s="3">
        <v>80555844</v>
      </c>
      <c r="AL8" s="3"/>
      <c r="AM8" s="3" t="s">
        <v>176</v>
      </c>
      <c r="AN8" s="3"/>
      <c r="AO8" s="3"/>
      <c r="AP8" s="3" t="s">
        <v>121</v>
      </c>
    </row>
    <row r="9" s="1" customFormat="1" spans="1:42">
      <c r="A9" s="3">
        <v>43</v>
      </c>
      <c r="B9" s="3" t="s">
        <v>116</v>
      </c>
      <c r="C9" s="3" t="s">
        <v>117</v>
      </c>
      <c r="D9" s="3" t="s">
        <v>215</v>
      </c>
      <c r="E9" s="3" t="s">
        <v>216</v>
      </c>
      <c r="F9" s="3" t="s">
        <v>120</v>
      </c>
      <c r="G9" s="3" t="s">
        <v>121</v>
      </c>
      <c r="H9" s="4">
        <v>33500</v>
      </c>
      <c r="I9" s="3"/>
      <c r="J9" s="3" t="s">
        <v>217</v>
      </c>
      <c r="K9" s="3" t="s">
        <v>149</v>
      </c>
      <c r="L9" s="3" t="s">
        <v>121</v>
      </c>
      <c r="M9" s="3" t="s">
        <v>123</v>
      </c>
      <c r="N9" s="3" t="s">
        <v>150</v>
      </c>
      <c r="O9" s="3" t="s">
        <v>151</v>
      </c>
      <c r="P9" s="3" t="s">
        <v>10</v>
      </c>
      <c r="Q9" s="3" t="s">
        <v>218</v>
      </c>
      <c r="R9" s="3" t="s">
        <v>10</v>
      </c>
      <c r="S9" s="3" t="s">
        <v>219</v>
      </c>
      <c r="T9" s="3" t="s">
        <v>220</v>
      </c>
      <c r="U9" s="3" t="s">
        <v>155</v>
      </c>
      <c r="V9" s="3"/>
      <c r="W9" s="3" t="s">
        <v>221</v>
      </c>
      <c r="X9" s="3"/>
      <c r="Y9" s="3"/>
      <c r="Z9" s="3" t="s">
        <v>222</v>
      </c>
      <c r="AA9" s="3" t="s">
        <v>172</v>
      </c>
      <c r="AB9" s="3" t="s">
        <v>134</v>
      </c>
      <c r="AC9" s="3" t="s">
        <v>134</v>
      </c>
      <c r="AD9" s="3" t="s">
        <v>134</v>
      </c>
      <c r="AE9" s="3" t="s">
        <v>137</v>
      </c>
      <c r="AF9" s="3" t="s">
        <v>223</v>
      </c>
      <c r="AG9" s="3" t="s">
        <v>224</v>
      </c>
      <c r="AH9" s="3" t="s">
        <v>225</v>
      </c>
      <c r="AI9" s="3">
        <v>5506953</v>
      </c>
      <c r="AJ9" s="3"/>
      <c r="AK9" s="3"/>
      <c r="AL9" s="3" t="s">
        <v>141</v>
      </c>
      <c r="AM9" s="3" t="s">
        <v>142</v>
      </c>
      <c r="AN9" s="3" t="s">
        <v>226</v>
      </c>
      <c r="AO9" s="3" t="s">
        <v>227</v>
      </c>
      <c r="AP9" s="3" t="s">
        <v>142</v>
      </c>
    </row>
    <row r="10" s="1" customFormat="1" spans="1:42">
      <c r="A10" s="3">
        <v>42</v>
      </c>
      <c r="B10" s="3" t="s">
        <v>116</v>
      </c>
      <c r="C10" s="3" t="s">
        <v>117</v>
      </c>
      <c r="D10" s="3" t="s">
        <v>228</v>
      </c>
      <c r="E10" s="3" t="s">
        <v>229</v>
      </c>
      <c r="F10" s="3" t="s">
        <v>120</v>
      </c>
      <c r="G10" s="3" t="s">
        <v>121</v>
      </c>
      <c r="H10" s="4">
        <v>20300</v>
      </c>
      <c r="I10" s="3"/>
      <c r="J10" s="3" t="s">
        <v>121</v>
      </c>
      <c r="K10" s="3" t="s">
        <v>122</v>
      </c>
      <c r="L10" s="3" t="s">
        <v>121</v>
      </c>
      <c r="M10" s="3" t="s">
        <v>123</v>
      </c>
      <c r="N10" s="3" t="s">
        <v>230</v>
      </c>
      <c r="O10" s="3" t="s">
        <v>230</v>
      </c>
      <c r="P10" s="3" t="s">
        <v>10</v>
      </c>
      <c r="Q10" s="3" t="s">
        <v>231</v>
      </c>
      <c r="R10" s="3" t="s">
        <v>10</v>
      </c>
      <c r="S10" s="3" t="s">
        <v>232</v>
      </c>
      <c r="T10" s="3" t="s">
        <v>233</v>
      </c>
      <c r="U10" s="3" t="s">
        <v>129</v>
      </c>
      <c r="V10" s="3" t="s">
        <v>156</v>
      </c>
      <c r="W10" s="3" t="s">
        <v>234</v>
      </c>
      <c r="X10" s="3" t="s">
        <v>228</v>
      </c>
      <c r="Y10" s="3"/>
      <c r="Z10" s="3" t="s">
        <v>132</v>
      </c>
      <c r="AA10" s="3" t="s">
        <v>235</v>
      </c>
      <c r="AB10" s="3" t="s">
        <v>134</v>
      </c>
      <c r="AC10" s="3" t="s">
        <v>236</v>
      </c>
      <c r="AD10" s="3" t="s">
        <v>237</v>
      </c>
      <c r="AE10" s="3" t="s">
        <v>137</v>
      </c>
      <c r="AF10" s="3" t="s">
        <v>138</v>
      </c>
      <c r="AG10" s="3" t="s">
        <v>139</v>
      </c>
      <c r="AH10" s="3" t="s">
        <v>140</v>
      </c>
      <c r="AI10" s="3">
        <v>5535874</v>
      </c>
      <c r="AJ10" s="3"/>
      <c r="AK10" s="3"/>
      <c r="AL10" s="3" t="s">
        <v>141</v>
      </c>
      <c r="AM10" s="3" t="s">
        <v>176</v>
      </c>
      <c r="AN10" s="3"/>
      <c r="AO10" s="3"/>
      <c r="AP10" s="3" t="s">
        <v>121</v>
      </c>
    </row>
    <row r="11" s="1" customFormat="1" spans="1:42">
      <c r="A11" s="3">
        <v>36</v>
      </c>
      <c r="B11" s="3" t="s">
        <v>116</v>
      </c>
      <c r="C11" s="3" t="s">
        <v>117</v>
      </c>
      <c r="D11" s="3" t="s">
        <v>238</v>
      </c>
      <c r="E11" s="3" t="s">
        <v>239</v>
      </c>
      <c r="F11" s="3" t="s">
        <v>120</v>
      </c>
      <c r="G11" s="3" t="s">
        <v>121</v>
      </c>
      <c r="H11" s="4">
        <v>20300</v>
      </c>
      <c r="I11" s="3"/>
      <c r="J11" s="3" t="s">
        <v>121</v>
      </c>
      <c r="K11" s="3" t="s">
        <v>122</v>
      </c>
      <c r="L11" s="3" t="s">
        <v>121</v>
      </c>
      <c r="M11" s="3" t="s">
        <v>123</v>
      </c>
      <c r="N11" s="3" t="s">
        <v>240</v>
      </c>
      <c r="O11" s="3" t="s">
        <v>241</v>
      </c>
      <c r="P11" s="3" t="s">
        <v>10</v>
      </c>
      <c r="Q11" s="3" t="s">
        <v>242</v>
      </c>
      <c r="R11" s="3" t="s">
        <v>10</v>
      </c>
      <c r="S11" s="3" t="s">
        <v>242</v>
      </c>
      <c r="T11" s="3" t="s">
        <v>243</v>
      </c>
      <c r="U11" s="3" t="s">
        <v>155</v>
      </c>
      <c r="V11" s="3" t="s">
        <v>244</v>
      </c>
      <c r="W11" s="3" t="s">
        <v>245</v>
      </c>
      <c r="X11" s="3" t="s">
        <v>238</v>
      </c>
      <c r="Y11" s="3"/>
      <c r="Z11" s="3" t="s">
        <v>132</v>
      </c>
      <c r="AA11" s="3" t="s">
        <v>246</v>
      </c>
      <c r="AB11" s="3" t="s">
        <v>134</v>
      </c>
      <c r="AC11" s="3" t="s">
        <v>247</v>
      </c>
      <c r="AD11" s="3" t="s">
        <v>248</v>
      </c>
      <c r="AE11" s="3" t="s">
        <v>137</v>
      </c>
      <c r="AF11" s="3" t="s">
        <v>138</v>
      </c>
      <c r="AG11" s="3" t="s">
        <v>139</v>
      </c>
      <c r="AH11" s="3" t="s">
        <v>249</v>
      </c>
      <c r="AI11" s="3">
        <v>5536154</v>
      </c>
      <c r="AJ11" s="3"/>
      <c r="AK11" s="3"/>
      <c r="AL11" s="3" t="s">
        <v>141</v>
      </c>
      <c r="AM11" s="3" t="s">
        <v>142</v>
      </c>
      <c r="AN11" s="3" t="s">
        <v>250</v>
      </c>
      <c r="AO11" s="3" t="s">
        <v>251</v>
      </c>
      <c r="AP11" s="3" t="s">
        <v>142</v>
      </c>
    </row>
    <row r="12" s="1" customFormat="1" spans="1:42">
      <c r="A12" s="3">
        <v>37</v>
      </c>
      <c r="B12" s="3" t="s">
        <v>116</v>
      </c>
      <c r="C12" s="3" t="s">
        <v>117</v>
      </c>
      <c r="D12" s="3" t="s">
        <v>238</v>
      </c>
      <c r="E12" s="3" t="s">
        <v>252</v>
      </c>
      <c r="F12" s="3" t="s">
        <v>120</v>
      </c>
      <c r="G12" s="3" t="s">
        <v>121</v>
      </c>
      <c r="H12" s="4">
        <v>8500</v>
      </c>
      <c r="I12" s="3"/>
      <c r="J12" s="3" t="s">
        <v>121</v>
      </c>
      <c r="K12" s="3" t="s">
        <v>122</v>
      </c>
      <c r="L12" s="3" t="s">
        <v>121</v>
      </c>
      <c r="M12" s="3" t="s">
        <v>123</v>
      </c>
      <c r="N12" s="3" t="s">
        <v>124</v>
      </c>
      <c r="O12" s="3" t="s">
        <v>192</v>
      </c>
      <c r="P12" s="3" t="s">
        <v>10</v>
      </c>
      <c r="Q12" s="3" t="s">
        <v>253</v>
      </c>
      <c r="R12" s="3" t="s">
        <v>10</v>
      </c>
      <c r="S12" s="3" t="s">
        <v>253</v>
      </c>
      <c r="T12" s="3" t="s">
        <v>254</v>
      </c>
      <c r="U12" s="3" t="s">
        <v>129</v>
      </c>
      <c r="V12" s="3" t="s">
        <v>195</v>
      </c>
      <c r="W12" s="3" t="s">
        <v>255</v>
      </c>
      <c r="X12" s="3" t="s">
        <v>238</v>
      </c>
      <c r="Y12" s="3"/>
      <c r="Z12" s="3" t="s">
        <v>171</v>
      </c>
      <c r="AA12" s="3" t="s">
        <v>256</v>
      </c>
      <c r="AB12" s="3" t="s">
        <v>134</v>
      </c>
      <c r="AC12" s="3" t="s">
        <v>257</v>
      </c>
      <c r="AD12" s="3" t="s">
        <v>257</v>
      </c>
      <c r="AE12" s="3" t="s">
        <v>137</v>
      </c>
      <c r="AF12" s="3" t="s">
        <v>258</v>
      </c>
      <c r="AG12" s="3" t="s">
        <v>139</v>
      </c>
      <c r="AH12" s="3" t="s">
        <v>259</v>
      </c>
      <c r="AI12" s="3">
        <v>5536014</v>
      </c>
      <c r="AJ12" s="3"/>
      <c r="AK12" s="3"/>
      <c r="AL12" s="3" t="s">
        <v>141</v>
      </c>
      <c r="AM12" s="3" t="s">
        <v>142</v>
      </c>
      <c r="AN12" s="3" t="s">
        <v>260</v>
      </c>
      <c r="AO12" s="3" t="s">
        <v>261</v>
      </c>
      <c r="AP12" s="3" t="s">
        <v>142</v>
      </c>
    </row>
    <row r="13" s="1" customFormat="1" spans="1:42">
      <c r="A13" s="3">
        <v>39</v>
      </c>
      <c r="B13" s="3" t="s">
        <v>116</v>
      </c>
      <c r="C13" s="3" t="s">
        <v>117</v>
      </c>
      <c r="D13" s="3" t="s">
        <v>238</v>
      </c>
      <c r="E13" s="3" t="s">
        <v>262</v>
      </c>
      <c r="F13" s="3" t="s">
        <v>120</v>
      </c>
      <c r="G13" s="3" t="s">
        <v>121</v>
      </c>
      <c r="H13" s="4">
        <v>20300</v>
      </c>
      <c r="I13" s="3"/>
      <c r="J13" s="3" t="s">
        <v>121</v>
      </c>
      <c r="K13" s="3" t="s">
        <v>122</v>
      </c>
      <c r="L13" s="3" t="s">
        <v>121</v>
      </c>
      <c r="M13" s="3" t="s">
        <v>123</v>
      </c>
      <c r="N13" s="3" t="s">
        <v>240</v>
      </c>
      <c r="O13" s="3" t="s">
        <v>241</v>
      </c>
      <c r="P13" s="3" t="s">
        <v>10</v>
      </c>
      <c r="Q13" s="3" t="s">
        <v>263</v>
      </c>
      <c r="R13" s="3" t="s">
        <v>10</v>
      </c>
      <c r="S13" s="3" t="s">
        <v>263</v>
      </c>
      <c r="T13" s="3" t="s">
        <v>264</v>
      </c>
      <c r="U13" s="3" t="s">
        <v>155</v>
      </c>
      <c r="V13" s="3" t="s">
        <v>265</v>
      </c>
      <c r="W13" s="3" t="s">
        <v>266</v>
      </c>
      <c r="X13" s="3" t="s">
        <v>238</v>
      </c>
      <c r="Y13" s="3"/>
      <c r="Z13" s="3" t="s">
        <v>132</v>
      </c>
      <c r="AA13" s="3" t="s">
        <v>267</v>
      </c>
      <c r="AB13" s="3" t="s">
        <v>134</v>
      </c>
      <c r="AC13" s="3" t="s">
        <v>268</v>
      </c>
      <c r="AD13" s="3" t="s">
        <v>269</v>
      </c>
      <c r="AE13" s="3" t="s">
        <v>137</v>
      </c>
      <c r="AF13" s="3" t="s">
        <v>258</v>
      </c>
      <c r="AG13" s="3" t="s">
        <v>139</v>
      </c>
      <c r="AH13" s="3" t="s">
        <v>249</v>
      </c>
      <c r="AI13" s="3">
        <v>5508670</v>
      </c>
      <c r="AJ13" s="3"/>
      <c r="AK13" s="3"/>
      <c r="AL13" s="3" t="s">
        <v>141</v>
      </c>
      <c r="AM13" s="3" t="s">
        <v>142</v>
      </c>
      <c r="AN13" s="3" t="s">
        <v>270</v>
      </c>
      <c r="AO13" s="3" t="s">
        <v>251</v>
      </c>
      <c r="AP13" s="3" t="s">
        <v>142</v>
      </c>
    </row>
    <row r="14" s="1" customFormat="1" spans="1:42">
      <c r="A14" s="3">
        <v>7</v>
      </c>
      <c r="B14" s="3" t="s">
        <v>116</v>
      </c>
      <c r="C14" s="3" t="s">
        <v>117</v>
      </c>
      <c r="D14" s="3" t="s">
        <v>238</v>
      </c>
      <c r="E14" s="3" t="s">
        <v>271</v>
      </c>
      <c r="F14" s="3" t="s">
        <v>120</v>
      </c>
      <c r="G14" s="3" t="s">
        <v>121</v>
      </c>
      <c r="H14" s="4">
        <v>4117.5</v>
      </c>
      <c r="I14" s="3"/>
      <c r="J14" s="3" t="s">
        <v>121</v>
      </c>
      <c r="K14" s="3" t="s">
        <v>122</v>
      </c>
      <c r="L14" s="3" t="s">
        <v>121</v>
      </c>
      <c r="M14" s="3" t="s">
        <v>166</v>
      </c>
      <c r="N14" s="3" t="s">
        <v>240</v>
      </c>
      <c r="O14" s="3" t="s">
        <v>241</v>
      </c>
      <c r="P14" s="3" t="s">
        <v>10</v>
      </c>
      <c r="Q14" s="3" t="s">
        <v>272</v>
      </c>
      <c r="R14" s="3" t="s">
        <v>10</v>
      </c>
      <c r="S14" s="3" t="s">
        <v>273</v>
      </c>
      <c r="T14" s="3" t="s">
        <v>274</v>
      </c>
      <c r="U14" s="3" t="s">
        <v>155</v>
      </c>
      <c r="V14" s="3"/>
      <c r="W14" s="3"/>
      <c r="X14" s="3"/>
      <c r="Y14" s="3"/>
      <c r="Z14" s="3" t="s">
        <v>171</v>
      </c>
      <c r="AA14" s="3" t="s">
        <v>275</v>
      </c>
      <c r="AB14" s="3" t="s">
        <v>134</v>
      </c>
      <c r="AC14" s="3" t="s">
        <v>275</v>
      </c>
      <c r="AD14" s="3" t="s">
        <v>275</v>
      </c>
      <c r="AE14" s="3" t="s">
        <v>137</v>
      </c>
      <c r="AF14" s="3" t="s">
        <v>207</v>
      </c>
      <c r="AG14" s="3" t="s">
        <v>139</v>
      </c>
      <c r="AH14" s="3" t="s">
        <v>249</v>
      </c>
      <c r="AI14" s="3">
        <v>5536043</v>
      </c>
      <c r="AJ14" s="3"/>
      <c r="AK14" s="3">
        <v>110665831</v>
      </c>
      <c r="AL14" s="3"/>
      <c r="AM14" s="3" t="s">
        <v>176</v>
      </c>
      <c r="AN14" s="3"/>
      <c r="AO14" s="3"/>
      <c r="AP14" s="3" t="s">
        <v>121</v>
      </c>
    </row>
    <row r="15" s="1" customFormat="1" spans="1:42">
      <c r="A15" s="3">
        <v>5</v>
      </c>
      <c r="B15" s="3" t="s">
        <v>116</v>
      </c>
      <c r="C15" s="3" t="s">
        <v>117</v>
      </c>
      <c r="D15" s="3" t="s">
        <v>276</v>
      </c>
      <c r="E15" s="3" t="s">
        <v>277</v>
      </c>
      <c r="F15" s="3" t="s">
        <v>120</v>
      </c>
      <c r="G15" s="3" t="s">
        <v>121</v>
      </c>
      <c r="H15" s="4">
        <v>10290</v>
      </c>
      <c r="I15" s="3"/>
      <c r="J15" s="3" t="s">
        <v>121</v>
      </c>
      <c r="K15" s="3" t="s">
        <v>149</v>
      </c>
      <c r="L15" s="3" t="s">
        <v>121</v>
      </c>
      <c r="M15" s="3" t="s">
        <v>166</v>
      </c>
      <c r="N15" s="3" t="s">
        <v>167</v>
      </c>
      <c r="O15" s="3" t="s">
        <v>168</v>
      </c>
      <c r="P15" s="3" t="s">
        <v>10</v>
      </c>
      <c r="Q15" s="3" t="s">
        <v>278</v>
      </c>
      <c r="R15" s="3" t="s">
        <v>10</v>
      </c>
      <c r="S15" s="3" t="s">
        <v>278</v>
      </c>
      <c r="T15" s="3" t="s">
        <v>279</v>
      </c>
      <c r="U15" s="3" t="s">
        <v>129</v>
      </c>
      <c r="V15" s="3"/>
      <c r="W15" s="3"/>
      <c r="X15" s="3"/>
      <c r="Y15" s="3"/>
      <c r="Z15" s="3" t="s">
        <v>171</v>
      </c>
      <c r="AA15" s="3" t="s">
        <v>280</v>
      </c>
      <c r="AB15" s="3" t="s">
        <v>134</v>
      </c>
      <c r="AC15" s="3" t="s">
        <v>281</v>
      </c>
      <c r="AD15" s="3" t="s">
        <v>281</v>
      </c>
      <c r="AE15" s="3" t="s">
        <v>137</v>
      </c>
      <c r="AF15" s="3" t="s">
        <v>282</v>
      </c>
      <c r="AG15" s="3" t="s">
        <v>139</v>
      </c>
      <c r="AH15" s="3" t="s">
        <v>140</v>
      </c>
      <c r="AI15" s="3">
        <v>5536980</v>
      </c>
      <c r="AJ15" s="3"/>
      <c r="AK15" s="3">
        <v>110180972</v>
      </c>
      <c r="AL15" s="3"/>
      <c r="AM15" s="3" t="s">
        <v>176</v>
      </c>
      <c r="AN15" s="3"/>
      <c r="AO15" s="3"/>
      <c r="AP15" s="3" t="s">
        <v>121</v>
      </c>
    </row>
    <row r="16" s="1" customFormat="1" spans="1:42">
      <c r="A16" s="3">
        <v>6</v>
      </c>
      <c r="B16" s="3" t="s">
        <v>116</v>
      </c>
      <c r="C16" s="3" t="s">
        <v>117</v>
      </c>
      <c r="D16" s="3" t="s">
        <v>276</v>
      </c>
      <c r="E16" s="3" t="s">
        <v>283</v>
      </c>
      <c r="F16" s="3" t="s">
        <v>120</v>
      </c>
      <c r="G16" s="3" t="s">
        <v>121</v>
      </c>
      <c r="H16" s="4">
        <v>19800</v>
      </c>
      <c r="I16" s="3"/>
      <c r="J16" s="3" t="s">
        <v>121</v>
      </c>
      <c r="K16" s="3" t="s">
        <v>122</v>
      </c>
      <c r="L16" s="3" t="s">
        <v>121</v>
      </c>
      <c r="M16" s="3" t="s">
        <v>166</v>
      </c>
      <c r="N16" s="3" t="s">
        <v>167</v>
      </c>
      <c r="O16" s="3" t="s">
        <v>168</v>
      </c>
      <c r="P16" s="3" t="s">
        <v>10</v>
      </c>
      <c r="Q16" s="3" t="s">
        <v>284</v>
      </c>
      <c r="R16" s="3" t="s">
        <v>10</v>
      </c>
      <c r="S16" s="3" t="s">
        <v>284</v>
      </c>
      <c r="T16" s="3" t="s">
        <v>285</v>
      </c>
      <c r="U16" s="3" t="s">
        <v>129</v>
      </c>
      <c r="V16" s="3"/>
      <c r="W16" s="3"/>
      <c r="X16" s="3"/>
      <c r="Y16" s="3"/>
      <c r="Z16" s="3" t="s">
        <v>171</v>
      </c>
      <c r="AA16" s="3" t="s">
        <v>286</v>
      </c>
      <c r="AB16" s="3" t="s">
        <v>134</v>
      </c>
      <c r="AC16" s="3" t="s">
        <v>287</v>
      </c>
      <c r="AD16" s="3" t="s">
        <v>288</v>
      </c>
      <c r="AE16" s="3" t="s">
        <v>137</v>
      </c>
      <c r="AF16" s="3" t="s">
        <v>289</v>
      </c>
      <c r="AG16" s="3" t="s">
        <v>139</v>
      </c>
      <c r="AH16" s="3" t="s">
        <v>140</v>
      </c>
      <c r="AI16" s="3">
        <v>5509395</v>
      </c>
      <c r="AJ16" s="3"/>
      <c r="AK16" s="3">
        <v>110502473</v>
      </c>
      <c r="AL16" s="3"/>
      <c r="AM16" s="3" t="s">
        <v>176</v>
      </c>
      <c r="AN16" s="3"/>
      <c r="AO16" s="3"/>
      <c r="AP16" s="3" t="s">
        <v>121</v>
      </c>
    </row>
    <row r="17" s="1" customFormat="1" spans="1:42">
      <c r="A17" s="3">
        <v>34</v>
      </c>
      <c r="B17" s="3" t="s">
        <v>116</v>
      </c>
      <c r="C17" s="3" t="s">
        <v>117</v>
      </c>
      <c r="D17" s="3" t="s">
        <v>290</v>
      </c>
      <c r="E17" s="3" t="s">
        <v>291</v>
      </c>
      <c r="F17" s="3" t="s">
        <v>120</v>
      </c>
      <c r="G17" s="3" t="s">
        <v>121</v>
      </c>
      <c r="H17" s="4">
        <v>12000</v>
      </c>
      <c r="I17" s="3"/>
      <c r="J17" s="3" t="s">
        <v>121</v>
      </c>
      <c r="K17" s="3" t="s">
        <v>122</v>
      </c>
      <c r="L17" s="3" t="s">
        <v>121</v>
      </c>
      <c r="M17" s="3" t="s">
        <v>123</v>
      </c>
      <c r="N17" s="3" t="s">
        <v>167</v>
      </c>
      <c r="O17" s="3" t="s">
        <v>168</v>
      </c>
      <c r="P17" s="3" t="s">
        <v>10</v>
      </c>
      <c r="Q17" s="3" t="s">
        <v>292</v>
      </c>
      <c r="R17" s="3" t="s">
        <v>10</v>
      </c>
      <c r="S17" s="3" t="s">
        <v>293</v>
      </c>
      <c r="T17" s="3" t="s">
        <v>294</v>
      </c>
      <c r="U17" s="3" t="s">
        <v>155</v>
      </c>
      <c r="V17" s="3"/>
      <c r="W17" s="3" t="s">
        <v>295</v>
      </c>
      <c r="X17" s="3"/>
      <c r="Y17" s="3"/>
      <c r="Z17" s="3" t="s">
        <v>132</v>
      </c>
      <c r="AA17" s="3" t="s">
        <v>172</v>
      </c>
      <c r="AB17" s="3" t="s">
        <v>134</v>
      </c>
      <c r="AC17" s="3" t="s">
        <v>134</v>
      </c>
      <c r="AD17" s="3" t="s">
        <v>134</v>
      </c>
      <c r="AE17" s="3" t="s">
        <v>137</v>
      </c>
      <c r="AF17" s="3" t="s">
        <v>296</v>
      </c>
      <c r="AG17" s="3" t="s">
        <v>139</v>
      </c>
      <c r="AH17" s="3" t="s">
        <v>140</v>
      </c>
      <c r="AI17" s="3">
        <v>5511084</v>
      </c>
      <c r="AJ17" s="3"/>
      <c r="AK17" s="3"/>
      <c r="AL17" s="3" t="s">
        <v>141</v>
      </c>
      <c r="AM17" s="3" t="s">
        <v>142</v>
      </c>
      <c r="AN17" s="3" t="s">
        <v>297</v>
      </c>
      <c r="AO17" s="3" t="s">
        <v>298</v>
      </c>
      <c r="AP17" s="3" t="s">
        <v>142</v>
      </c>
    </row>
    <row r="18" s="1" customFormat="1" spans="1:42">
      <c r="A18" s="3">
        <v>33</v>
      </c>
      <c r="B18" s="3" t="s">
        <v>116</v>
      </c>
      <c r="C18" s="3" t="s">
        <v>117</v>
      </c>
      <c r="D18" s="3" t="s">
        <v>299</v>
      </c>
      <c r="E18" s="3" t="s">
        <v>300</v>
      </c>
      <c r="F18" s="3" t="s">
        <v>120</v>
      </c>
      <c r="G18" s="3" t="s">
        <v>121</v>
      </c>
      <c r="H18" s="4">
        <v>19800</v>
      </c>
      <c r="I18" s="3"/>
      <c r="J18" s="3" t="s">
        <v>121</v>
      </c>
      <c r="K18" s="3" t="s">
        <v>122</v>
      </c>
      <c r="L18" s="3" t="s">
        <v>121</v>
      </c>
      <c r="M18" s="3" t="s">
        <v>123</v>
      </c>
      <c r="N18" s="3" t="s">
        <v>124</v>
      </c>
      <c r="O18" s="3" t="s">
        <v>301</v>
      </c>
      <c r="P18" s="3" t="s">
        <v>10</v>
      </c>
      <c r="Q18" s="3" t="s">
        <v>302</v>
      </c>
      <c r="R18" s="3" t="s">
        <v>10</v>
      </c>
      <c r="S18" s="3" t="s">
        <v>302</v>
      </c>
      <c r="T18" s="3" t="s">
        <v>303</v>
      </c>
      <c r="U18" s="3" t="s">
        <v>155</v>
      </c>
      <c r="V18" s="3" t="s">
        <v>244</v>
      </c>
      <c r="W18" s="3" t="s">
        <v>304</v>
      </c>
      <c r="X18" s="3" t="s">
        <v>299</v>
      </c>
      <c r="Y18" s="3"/>
      <c r="Z18" s="3" t="s">
        <v>132</v>
      </c>
      <c r="AA18" s="3" t="s">
        <v>305</v>
      </c>
      <c r="AB18" s="3" t="s">
        <v>134</v>
      </c>
      <c r="AC18" s="3" t="s">
        <v>306</v>
      </c>
      <c r="AD18" s="3" t="s">
        <v>307</v>
      </c>
      <c r="AE18" s="3" t="s">
        <v>137</v>
      </c>
      <c r="AF18" s="3" t="s">
        <v>138</v>
      </c>
      <c r="AG18" s="3" t="s">
        <v>139</v>
      </c>
      <c r="AH18" s="3" t="s">
        <v>249</v>
      </c>
      <c r="AI18" s="3">
        <v>5512028</v>
      </c>
      <c r="AJ18" s="3"/>
      <c r="AK18" s="3"/>
      <c r="AL18" s="3" t="s">
        <v>141</v>
      </c>
      <c r="AM18" s="3" t="s">
        <v>142</v>
      </c>
      <c r="AN18" s="3" t="s">
        <v>308</v>
      </c>
      <c r="AO18" s="3" t="s">
        <v>144</v>
      </c>
      <c r="AP18" s="3" t="s">
        <v>142</v>
      </c>
    </row>
    <row r="19" s="1" customFormat="1" spans="1:42">
      <c r="A19" s="3">
        <v>32</v>
      </c>
      <c r="B19" s="3" t="s">
        <v>116</v>
      </c>
      <c r="C19" s="3" t="s">
        <v>117</v>
      </c>
      <c r="D19" s="3" t="s">
        <v>309</v>
      </c>
      <c r="E19" s="3" t="s">
        <v>310</v>
      </c>
      <c r="F19" s="3" t="s">
        <v>120</v>
      </c>
      <c r="G19" s="3" t="s">
        <v>121</v>
      </c>
      <c r="H19" s="4">
        <v>8500</v>
      </c>
      <c r="I19" s="3" t="s">
        <v>147</v>
      </c>
      <c r="J19" s="3" t="s">
        <v>217</v>
      </c>
      <c r="K19" s="3" t="s">
        <v>149</v>
      </c>
      <c r="L19" s="3" t="s">
        <v>121</v>
      </c>
      <c r="M19" s="3" t="s">
        <v>123</v>
      </c>
      <c r="N19" s="3" t="s">
        <v>150</v>
      </c>
      <c r="O19" s="3" t="s">
        <v>151</v>
      </c>
      <c r="P19" s="3" t="s">
        <v>10</v>
      </c>
      <c r="Q19" s="3" t="s">
        <v>311</v>
      </c>
      <c r="R19" s="3" t="s">
        <v>10</v>
      </c>
      <c r="S19" s="3" t="s">
        <v>311</v>
      </c>
      <c r="T19" s="3" t="s">
        <v>312</v>
      </c>
      <c r="U19" s="3" t="s">
        <v>155</v>
      </c>
      <c r="V19" s="3" t="s">
        <v>156</v>
      </c>
      <c r="W19" s="3" t="s">
        <v>313</v>
      </c>
      <c r="X19" s="3" t="s">
        <v>309</v>
      </c>
      <c r="Y19" s="3"/>
      <c r="Z19" s="3" t="s">
        <v>171</v>
      </c>
      <c r="AA19" s="3" t="s">
        <v>314</v>
      </c>
      <c r="AB19" s="3" t="s">
        <v>134</v>
      </c>
      <c r="AC19" s="3" t="s">
        <v>315</v>
      </c>
      <c r="AD19" s="3" t="s">
        <v>316</v>
      </c>
      <c r="AE19" s="3" t="s">
        <v>137</v>
      </c>
      <c r="AF19" s="3" t="s">
        <v>258</v>
      </c>
      <c r="AG19" s="3" t="s">
        <v>139</v>
      </c>
      <c r="AH19" s="3" t="s">
        <v>140</v>
      </c>
      <c r="AI19" s="3">
        <v>5512843</v>
      </c>
      <c r="AJ19" s="3"/>
      <c r="AK19" s="3"/>
      <c r="AL19" s="3" t="s">
        <v>141</v>
      </c>
      <c r="AM19" s="3" t="s">
        <v>142</v>
      </c>
      <c r="AN19" s="3"/>
      <c r="AO19" s="3" t="s">
        <v>261</v>
      </c>
      <c r="AP19" s="3" t="s">
        <v>142</v>
      </c>
    </row>
    <row r="20" s="1" customFormat="1" spans="1:42">
      <c r="A20" s="3">
        <v>30</v>
      </c>
      <c r="B20" s="3" t="s">
        <v>116</v>
      </c>
      <c r="C20" s="3" t="s">
        <v>117</v>
      </c>
      <c r="D20" s="3" t="s">
        <v>317</v>
      </c>
      <c r="E20" s="3" t="s">
        <v>318</v>
      </c>
      <c r="F20" s="3" t="s">
        <v>120</v>
      </c>
      <c r="G20" s="3" t="s">
        <v>121</v>
      </c>
      <c r="H20" s="4">
        <v>10150</v>
      </c>
      <c r="I20" s="3"/>
      <c r="J20" s="3" t="s">
        <v>121</v>
      </c>
      <c r="K20" s="3" t="s">
        <v>319</v>
      </c>
      <c r="L20" s="3" t="s">
        <v>121</v>
      </c>
      <c r="M20" s="3" t="s">
        <v>123</v>
      </c>
      <c r="N20" s="3" t="s">
        <v>240</v>
      </c>
      <c r="O20" s="3" t="s">
        <v>241</v>
      </c>
      <c r="P20" s="3" t="s">
        <v>10</v>
      </c>
      <c r="Q20" s="3" t="s">
        <v>320</v>
      </c>
      <c r="R20" s="3" t="s">
        <v>20</v>
      </c>
      <c r="S20" s="3" t="s">
        <v>321</v>
      </c>
      <c r="T20" s="3" t="s">
        <v>322</v>
      </c>
      <c r="U20" s="3" t="s">
        <v>155</v>
      </c>
      <c r="V20" s="3"/>
      <c r="W20" s="3" t="s">
        <v>323</v>
      </c>
      <c r="X20" s="3"/>
      <c r="Y20" s="3"/>
      <c r="Z20" s="3" t="s">
        <v>132</v>
      </c>
      <c r="AA20" s="3" t="s">
        <v>324</v>
      </c>
      <c r="AB20" s="3" t="s">
        <v>134</v>
      </c>
      <c r="AC20" s="3" t="s">
        <v>325</v>
      </c>
      <c r="AD20" s="3" t="s">
        <v>326</v>
      </c>
      <c r="AE20" s="3" t="s">
        <v>137</v>
      </c>
      <c r="AF20" s="3" t="s">
        <v>138</v>
      </c>
      <c r="AG20" s="3" t="s">
        <v>139</v>
      </c>
      <c r="AH20" s="3" t="s">
        <v>249</v>
      </c>
      <c r="AI20" s="3">
        <v>5513542</v>
      </c>
      <c r="AJ20" s="3"/>
      <c r="AK20" s="3"/>
      <c r="AL20" s="3"/>
      <c r="AM20" s="3" t="s">
        <v>176</v>
      </c>
      <c r="AN20" s="3"/>
      <c r="AO20" s="3"/>
      <c r="AP20" s="3" t="s">
        <v>121</v>
      </c>
    </row>
    <row r="21" s="1" customFormat="1" spans="1:42">
      <c r="A21" s="3">
        <v>31</v>
      </c>
      <c r="B21" s="3" t="s">
        <v>116</v>
      </c>
      <c r="C21" s="3" t="s">
        <v>117</v>
      </c>
      <c r="D21" s="3" t="s">
        <v>317</v>
      </c>
      <c r="E21" s="3" t="s">
        <v>327</v>
      </c>
      <c r="F21" s="3" t="s">
        <v>120</v>
      </c>
      <c r="G21" s="3" t="s">
        <v>121</v>
      </c>
      <c r="H21" s="4">
        <v>20300</v>
      </c>
      <c r="I21" s="3"/>
      <c r="J21" s="3" t="s">
        <v>121</v>
      </c>
      <c r="K21" s="3" t="s">
        <v>122</v>
      </c>
      <c r="L21" s="3" t="s">
        <v>121</v>
      </c>
      <c r="M21" s="3" t="s">
        <v>123</v>
      </c>
      <c r="N21" s="3" t="s">
        <v>328</v>
      </c>
      <c r="O21" s="3" t="s">
        <v>329</v>
      </c>
      <c r="P21" s="3" t="s">
        <v>10</v>
      </c>
      <c r="Q21" s="3" t="s">
        <v>330</v>
      </c>
      <c r="R21" s="3" t="s">
        <v>10</v>
      </c>
      <c r="S21" s="3" t="s">
        <v>330</v>
      </c>
      <c r="T21" s="3" t="s">
        <v>331</v>
      </c>
      <c r="U21" s="3" t="s">
        <v>155</v>
      </c>
      <c r="V21" s="3" t="s">
        <v>156</v>
      </c>
      <c r="W21" s="3" t="s">
        <v>332</v>
      </c>
      <c r="X21" s="3" t="s">
        <v>317</v>
      </c>
      <c r="Y21" s="3"/>
      <c r="Z21" s="3" t="s">
        <v>132</v>
      </c>
      <c r="AA21" s="3" t="s">
        <v>333</v>
      </c>
      <c r="AB21" s="3" t="s">
        <v>134</v>
      </c>
      <c r="AC21" s="3" t="s">
        <v>333</v>
      </c>
      <c r="AD21" s="3" t="s">
        <v>333</v>
      </c>
      <c r="AE21" s="3" t="s">
        <v>137</v>
      </c>
      <c r="AF21" s="3" t="s">
        <v>258</v>
      </c>
      <c r="AG21" s="3" t="s">
        <v>139</v>
      </c>
      <c r="AH21" s="3" t="s">
        <v>249</v>
      </c>
      <c r="AI21" s="3">
        <v>5426827</v>
      </c>
      <c r="AJ21" s="3"/>
      <c r="AK21" s="3"/>
      <c r="AL21" s="3" t="s">
        <v>141</v>
      </c>
      <c r="AM21" s="3" t="s">
        <v>142</v>
      </c>
      <c r="AN21" s="3" t="s">
        <v>334</v>
      </c>
      <c r="AO21" s="3" t="s">
        <v>251</v>
      </c>
      <c r="AP21" s="3" t="s">
        <v>142</v>
      </c>
    </row>
    <row r="22" s="1" customFormat="1" spans="1:42">
      <c r="A22" s="3">
        <v>26</v>
      </c>
      <c r="B22" s="3" t="s">
        <v>116</v>
      </c>
      <c r="C22" s="3" t="s">
        <v>117</v>
      </c>
      <c r="D22" s="3" t="s">
        <v>335</v>
      </c>
      <c r="E22" s="3" t="s">
        <v>336</v>
      </c>
      <c r="F22" s="3" t="s">
        <v>120</v>
      </c>
      <c r="G22" s="3" t="s">
        <v>121</v>
      </c>
      <c r="H22" s="4">
        <v>8500</v>
      </c>
      <c r="I22" s="3"/>
      <c r="J22" s="3" t="s">
        <v>217</v>
      </c>
      <c r="K22" s="3" t="s">
        <v>149</v>
      </c>
      <c r="L22" s="3" t="s">
        <v>121</v>
      </c>
      <c r="M22" s="3" t="s">
        <v>123</v>
      </c>
      <c r="N22" s="3" t="s">
        <v>150</v>
      </c>
      <c r="O22" s="3" t="s">
        <v>151</v>
      </c>
      <c r="P22" s="3" t="s">
        <v>10</v>
      </c>
      <c r="Q22" s="3" t="s">
        <v>337</v>
      </c>
      <c r="R22" s="3" t="s">
        <v>10</v>
      </c>
      <c r="S22" s="3" t="s">
        <v>338</v>
      </c>
      <c r="T22" s="3" t="s">
        <v>339</v>
      </c>
      <c r="U22" s="3" t="s">
        <v>155</v>
      </c>
      <c r="V22" s="3"/>
      <c r="W22" s="3" t="s">
        <v>340</v>
      </c>
      <c r="X22" s="3"/>
      <c r="Y22" s="3"/>
      <c r="Z22" s="3" t="s">
        <v>132</v>
      </c>
      <c r="AA22" s="3" t="s">
        <v>172</v>
      </c>
      <c r="AB22" s="3" t="s">
        <v>134</v>
      </c>
      <c r="AC22" s="3" t="s">
        <v>134</v>
      </c>
      <c r="AD22" s="3" t="s">
        <v>134</v>
      </c>
      <c r="AE22" s="3" t="s">
        <v>341</v>
      </c>
      <c r="AF22" s="3" t="s">
        <v>342</v>
      </c>
      <c r="AG22" s="3" t="s">
        <v>139</v>
      </c>
      <c r="AH22" s="3" t="s">
        <v>140</v>
      </c>
      <c r="AI22" s="3">
        <v>5542366</v>
      </c>
      <c r="AJ22" s="3"/>
      <c r="AK22" s="3"/>
      <c r="AL22" s="3" t="s">
        <v>141</v>
      </c>
      <c r="AM22" s="3" t="s">
        <v>176</v>
      </c>
      <c r="AN22" s="3"/>
      <c r="AO22" s="3"/>
      <c r="AP22" s="3" t="s">
        <v>121</v>
      </c>
    </row>
    <row r="23" s="1" customFormat="1" spans="1:42">
      <c r="A23" s="3">
        <v>27</v>
      </c>
      <c r="B23" s="3" t="s">
        <v>116</v>
      </c>
      <c r="C23" s="3" t="s">
        <v>117</v>
      </c>
      <c r="D23" s="3" t="s">
        <v>335</v>
      </c>
      <c r="E23" s="3" t="s">
        <v>343</v>
      </c>
      <c r="F23" s="3" t="s">
        <v>120</v>
      </c>
      <c r="G23" s="3" t="s">
        <v>121</v>
      </c>
      <c r="H23" s="4">
        <v>17000</v>
      </c>
      <c r="I23" s="3"/>
      <c r="J23" s="3" t="s">
        <v>217</v>
      </c>
      <c r="K23" s="3" t="s">
        <v>149</v>
      </c>
      <c r="L23" s="3" t="s">
        <v>121</v>
      </c>
      <c r="M23" s="3" t="s">
        <v>123</v>
      </c>
      <c r="N23" s="3" t="s">
        <v>150</v>
      </c>
      <c r="O23" s="3" t="s">
        <v>151</v>
      </c>
      <c r="P23" s="3" t="s">
        <v>10</v>
      </c>
      <c r="Q23" s="3" t="s">
        <v>344</v>
      </c>
      <c r="R23" s="3" t="s">
        <v>10</v>
      </c>
      <c r="S23" s="3" t="s">
        <v>345</v>
      </c>
      <c r="T23" s="3" t="s">
        <v>346</v>
      </c>
      <c r="U23" s="3" t="s">
        <v>155</v>
      </c>
      <c r="V23" s="3"/>
      <c r="W23" s="3" t="s">
        <v>347</v>
      </c>
      <c r="X23" s="3"/>
      <c r="Y23" s="3"/>
      <c r="Z23" s="3" t="s">
        <v>222</v>
      </c>
      <c r="AA23" s="3" t="s">
        <v>348</v>
      </c>
      <c r="AB23" s="3" t="s">
        <v>134</v>
      </c>
      <c r="AC23" s="3" t="s">
        <v>349</v>
      </c>
      <c r="AD23" s="3" t="s">
        <v>350</v>
      </c>
      <c r="AE23" s="3" t="s">
        <v>137</v>
      </c>
      <c r="AF23" s="3" t="s">
        <v>223</v>
      </c>
      <c r="AG23" s="3" t="s">
        <v>139</v>
      </c>
      <c r="AH23" s="3" t="s">
        <v>140</v>
      </c>
      <c r="AI23" s="3">
        <v>5542299</v>
      </c>
      <c r="AJ23" s="3"/>
      <c r="AK23" s="3"/>
      <c r="AL23" s="3" t="s">
        <v>141</v>
      </c>
      <c r="AM23" s="3" t="s">
        <v>142</v>
      </c>
      <c r="AN23" s="3" t="s">
        <v>351</v>
      </c>
      <c r="AO23" s="3" t="s">
        <v>352</v>
      </c>
      <c r="AP23" s="3" t="s">
        <v>142</v>
      </c>
    </row>
    <row r="24" s="1" customFormat="1" spans="1:42">
      <c r="A24" s="3">
        <v>28</v>
      </c>
      <c r="B24" s="3" t="s">
        <v>116</v>
      </c>
      <c r="C24" s="3" t="s">
        <v>117</v>
      </c>
      <c r="D24" s="3" t="s">
        <v>335</v>
      </c>
      <c r="E24" s="3" t="s">
        <v>353</v>
      </c>
      <c r="F24" s="3" t="s">
        <v>120</v>
      </c>
      <c r="G24" s="3" t="s">
        <v>121</v>
      </c>
      <c r="H24" s="4">
        <v>24852.2</v>
      </c>
      <c r="I24" s="3"/>
      <c r="J24" s="3" t="s">
        <v>121</v>
      </c>
      <c r="K24" s="3" t="s">
        <v>122</v>
      </c>
      <c r="L24" s="3" t="s">
        <v>121</v>
      </c>
      <c r="M24" s="3" t="s">
        <v>123</v>
      </c>
      <c r="N24" s="3" t="s">
        <v>179</v>
      </c>
      <c r="O24" s="3" t="s">
        <v>354</v>
      </c>
      <c r="P24" s="3" t="s">
        <v>10</v>
      </c>
      <c r="Q24" s="3" t="s">
        <v>355</v>
      </c>
      <c r="R24" s="3" t="s">
        <v>356</v>
      </c>
      <c r="S24" s="3" t="s">
        <v>357</v>
      </c>
      <c r="T24" s="3" t="s">
        <v>358</v>
      </c>
      <c r="U24" s="3" t="s">
        <v>129</v>
      </c>
      <c r="V24" s="3" t="s">
        <v>130</v>
      </c>
      <c r="W24" s="3" t="s">
        <v>359</v>
      </c>
      <c r="X24" s="3" t="s">
        <v>335</v>
      </c>
      <c r="Y24" s="3"/>
      <c r="Z24" s="3" t="s">
        <v>132</v>
      </c>
      <c r="AA24" s="3" t="s">
        <v>360</v>
      </c>
      <c r="AB24" s="3" t="s">
        <v>134</v>
      </c>
      <c r="AC24" s="3" t="s">
        <v>361</v>
      </c>
      <c r="AD24" s="3" t="s">
        <v>362</v>
      </c>
      <c r="AE24" s="3" t="s">
        <v>137</v>
      </c>
      <c r="AF24" s="3" t="s">
        <v>363</v>
      </c>
      <c r="AG24" s="3" t="s">
        <v>139</v>
      </c>
      <c r="AH24" s="3" t="s">
        <v>140</v>
      </c>
      <c r="AI24" s="3">
        <v>5427378</v>
      </c>
      <c r="AJ24" s="3"/>
      <c r="AK24" s="3"/>
      <c r="AL24" s="3" t="s">
        <v>141</v>
      </c>
      <c r="AM24" s="3" t="s">
        <v>142</v>
      </c>
      <c r="AN24" s="3" t="s">
        <v>364</v>
      </c>
      <c r="AO24" s="3" t="s">
        <v>365</v>
      </c>
      <c r="AP24" s="3" t="s">
        <v>176</v>
      </c>
    </row>
    <row r="25" s="1" customFormat="1" spans="1:42">
      <c r="A25" s="3">
        <v>4</v>
      </c>
      <c r="B25" s="3" t="s">
        <v>116</v>
      </c>
      <c r="C25" s="3" t="s">
        <v>117</v>
      </c>
      <c r="D25" s="3" t="s">
        <v>335</v>
      </c>
      <c r="E25" s="3" t="s">
        <v>366</v>
      </c>
      <c r="F25" s="3" t="s">
        <v>120</v>
      </c>
      <c r="G25" s="3" t="s">
        <v>121</v>
      </c>
      <c r="H25" s="4">
        <v>9885</v>
      </c>
      <c r="I25" s="3"/>
      <c r="J25" s="3" t="s">
        <v>10</v>
      </c>
      <c r="K25" s="3" t="s">
        <v>122</v>
      </c>
      <c r="L25" s="3" t="s">
        <v>121</v>
      </c>
      <c r="M25" s="3" t="s">
        <v>166</v>
      </c>
      <c r="N25" s="3" t="s">
        <v>150</v>
      </c>
      <c r="O25" s="3" t="s">
        <v>367</v>
      </c>
      <c r="P25" s="3" t="s">
        <v>10</v>
      </c>
      <c r="Q25" s="3" t="s">
        <v>368</v>
      </c>
      <c r="R25" s="3" t="s">
        <v>10</v>
      </c>
      <c r="S25" s="3" t="s">
        <v>369</v>
      </c>
      <c r="T25" s="3" t="s">
        <v>370</v>
      </c>
      <c r="U25" s="3" t="s">
        <v>129</v>
      </c>
      <c r="V25" s="3"/>
      <c r="W25" s="3"/>
      <c r="X25" s="3"/>
      <c r="Y25" s="3"/>
      <c r="Z25" s="3" t="s">
        <v>171</v>
      </c>
      <c r="AA25" s="3" t="s">
        <v>172</v>
      </c>
      <c r="AB25" s="3" t="s">
        <v>134</v>
      </c>
      <c r="AC25" s="3" t="s">
        <v>134</v>
      </c>
      <c r="AD25" s="3" t="s">
        <v>134</v>
      </c>
      <c r="AE25" s="3" t="s">
        <v>137</v>
      </c>
      <c r="AF25" s="3" t="s">
        <v>371</v>
      </c>
      <c r="AG25" s="3" t="s">
        <v>139</v>
      </c>
      <c r="AH25" s="3" t="s">
        <v>372</v>
      </c>
      <c r="AI25" s="3">
        <v>5427510</v>
      </c>
      <c r="AJ25" s="3"/>
      <c r="AK25" s="3">
        <v>110709363</v>
      </c>
      <c r="AL25" s="3"/>
      <c r="AM25" s="3" t="s">
        <v>176</v>
      </c>
      <c r="AN25" s="3"/>
      <c r="AO25" s="3"/>
      <c r="AP25" s="3" t="s">
        <v>121</v>
      </c>
    </row>
    <row r="26" s="1" customFormat="1" spans="1:42">
      <c r="A26" s="3">
        <v>25</v>
      </c>
      <c r="B26" s="3" t="s">
        <v>116</v>
      </c>
      <c r="C26" s="3" t="s">
        <v>117</v>
      </c>
      <c r="D26" s="3" t="s">
        <v>373</v>
      </c>
      <c r="E26" s="3" t="s">
        <v>374</v>
      </c>
      <c r="F26" s="3" t="s">
        <v>120</v>
      </c>
      <c r="G26" s="3" t="s">
        <v>121</v>
      </c>
      <c r="H26" s="4">
        <v>8500</v>
      </c>
      <c r="I26" s="3"/>
      <c r="J26" s="3" t="s">
        <v>121</v>
      </c>
      <c r="K26" s="3" t="s">
        <v>122</v>
      </c>
      <c r="L26" s="3" t="s">
        <v>121</v>
      </c>
      <c r="M26" s="3" t="s">
        <v>123</v>
      </c>
      <c r="N26" s="3" t="s">
        <v>240</v>
      </c>
      <c r="O26" s="3" t="s">
        <v>241</v>
      </c>
      <c r="P26" s="3" t="s">
        <v>10</v>
      </c>
      <c r="Q26" s="3" t="s">
        <v>375</v>
      </c>
      <c r="R26" s="3" t="s">
        <v>10</v>
      </c>
      <c r="S26" s="3" t="s">
        <v>375</v>
      </c>
      <c r="T26" s="3" t="s">
        <v>376</v>
      </c>
      <c r="U26" s="3" t="s">
        <v>155</v>
      </c>
      <c r="V26" s="3" t="s">
        <v>265</v>
      </c>
      <c r="W26" s="3" t="s">
        <v>377</v>
      </c>
      <c r="X26" s="3" t="s">
        <v>373</v>
      </c>
      <c r="Y26" s="3"/>
      <c r="Z26" s="3" t="s">
        <v>171</v>
      </c>
      <c r="AA26" s="3" t="s">
        <v>378</v>
      </c>
      <c r="AB26" s="3" t="s">
        <v>134</v>
      </c>
      <c r="AC26" s="3" t="s">
        <v>379</v>
      </c>
      <c r="AD26" s="3" t="s">
        <v>379</v>
      </c>
      <c r="AE26" s="3" t="s">
        <v>137</v>
      </c>
      <c r="AF26" s="3" t="s">
        <v>258</v>
      </c>
      <c r="AG26" s="3" t="s">
        <v>139</v>
      </c>
      <c r="AH26" s="3" t="s">
        <v>249</v>
      </c>
      <c r="AI26" s="3">
        <v>5515103</v>
      </c>
      <c r="AJ26" s="3"/>
      <c r="AK26" s="3"/>
      <c r="AL26" s="3" t="s">
        <v>141</v>
      </c>
      <c r="AM26" s="3" t="s">
        <v>142</v>
      </c>
      <c r="AN26" s="3" t="s">
        <v>380</v>
      </c>
      <c r="AO26" s="3" t="s">
        <v>261</v>
      </c>
      <c r="AP26" s="3" t="s">
        <v>142</v>
      </c>
    </row>
    <row r="27" s="1" customFormat="1" spans="1:42">
      <c r="A27" s="3">
        <v>23</v>
      </c>
      <c r="B27" s="3" t="s">
        <v>116</v>
      </c>
      <c r="C27" s="3" t="s">
        <v>117</v>
      </c>
      <c r="D27" s="3" t="s">
        <v>381</v>
      </c>
      <c r="E27" s="3" t="s">
        <v>382</v>
      </c>
      <c r="F27" s="3" t="s">
        <v>120</v>
      </c>
      <c r="G27" s="3" t="s">
        <v>121</v>
      </c>
      <c r="H27" s="4">
        <v>31300</v>
      </c>
      <c r="I27" s="3"/>
      <c r="J27" s="3" t="s">
        <v>121</v>
      </c>
      <c r="K27" s="3" t="s">
        <v>149</v>
      </c>
      <c r="L27" s="3" t="s">
        <v>121</v>
      </c>
      <c r="M27" s="3" t="s">
        <v>123</v>
      </c>
      <c r="N27" s="3" t="s">
        <v>240</v>
      </c>
      <c r="O27" s="3" t="s">
        <v>241</v>
      </c>
      <c r="P27" s="3" t="s">
        <v>10</v>
      </c>
      <c r="Q27" s="3" t="s">
        <v>383</v>
      </c>
      <c r="R27" s="3" t="s">
        <v>10</v>
      </c>
      <c r="S27" s="3" t="s">
        <v>383</v>
      </c>
      <c r="T27" s="3" t="s">
        <v>384</v>
      </c>
      <c r="U27" s="3" t="s">
        <v>155</v>
      </c>
      <c r="V27" s="3" t="s">
        <v>265</v>
      </c>
      <c r="W27" s="3" t="s">
        <v>385</v>
      </c>
      <c r="X27" s="3" t="s">
        <v>381</v>
      </c>
      <c r="Y27" s="3"/>
      <c r="Z27" s="3" t="s">
        <v>171</v>
      </c>
      <c r="AA27" s="3" t="s">
        <v>386</v>
      </c>
      <c r="AB27" s="3" t="s">
        <v>134</v>
      </c>
      <c r="AC27" s="3" t="s">
        <v>387</v>
      </c>
      <c r="AD27" s="3" t="s">
        <v>387</v>
      </c>
      <c r="AE27" s="3" t="s">
        <v>137</v>
      </c>
      <c r="AF27" s="3" t="s">
        <v>296</v>
      </c>
      <c r="AG27" s="3" t="s">
        <v>139</v>
      </c>
      <c r="AH27" s="3" t="s">
        <v>208</v>
      </c>
      <c r="AI27" s="3">
        <v>5516694</v>
      </c>
      <c r="AJ27" s="3"/>
      <c r="AK27" s="3"/>
      <c r="AL27" s="3" t="s">
        <v>141</v>
      </c>
      <c r="AM27" s="3" t="s">
        <v>142</v>
      </c>
      <c r="AN27" s="3" t="s">
        <v>388</v>
      </c>
      <c r="AO27" s="3" t="s">
        <v>389</v>
      </c>
      <c r="AP27" s="3" t="s">
        <v>142</v>
      </c>
    </row>
    <row r="28" s="1" customFormat="1" spans="1:42">
      <c r="A28" s="3">
        <v>21</v>
      </c>
      <c r="B28" s="3" t="s">
        <v>116</v>
      </c>
      <c r="C28" s="3" t="s">
        <v>117</v>
      </c>
      <c r="D28" s="3" t="s">
        <v>390</v>
      </c>
      <c r="E28" s="3" t="s">
        <v>391</v>
      </c>
      <c r="F28" s="3" t="s">
        <v>120</v>
      </c>
      <c r="G28" s="3" t="s">
        <v>121</v>
      </c>
      <c r="H28" s="4">
        <v>13800</v>
      </c>
      <c r="I28" s="3"/>
      <c r="J28" s="3" t="s">
        <v>121</v>
      </c>
      <c r="K28" s="3" t="s">
        <v>122</v>
      </c>
      <c r="L28" s="3" t="s">
        <v>121</v>
      </c>
      <c r="M28" s="3" t="s">
        <v>123</v>
      </c>
      <c r="N28" s="3" t="s">
        <v>240</v>
      </c>
      <c r="O28" s="3" t="s">
        <v>392</v>
      </c>
      <c r="P28" s="3" t="s">
        <v>10</v>
      </c>
      <c r="Q28" s="3" t="s">
        <v>393</v>
      </c>
      <c r="R28" s="3" t="s">
        <v>10</v>
      </c>
      <c r="S28" s="3" t="s">
        <v>394</v>
      </c>
      <c r="T28" s="3" t="s">
        <v>395</v>
      </c>
      <c r="U28" s="3" t="s">
        <v>129</v>
      </c>
      <c r="V28" s="3" t="s">
        <v>396</v>
      </c>
      <c r="W28" s="3" t="s">
        <v>397</v>
      </c>
      <c r="X28" s="3" t="s">
        <v>390</v>
      </c>
      <c r="Y28" s="3"/>
      <c r="Z28" s="3" t="s">
        <v>171</v>
      </c>
      <c r="AA28" s="3" t="s">
        <v>172</v>
      </c>
      <c r="AB28" s="3" t="s">
        <v>134</v>
      </c>
      <c r="AC28" s="3" t="s">
        <v>134</v>
      </c>
      <c r="AD28" s="3" t="s">
        <v>134</v>
      </c>
      <c r="AE28" s="3" t="s">
        <v>137</v>
      </c>
      <c r="AF28" s="3" t="s">
        <v>398</v>
      </c>
      <c r="AG28" s="3" t="s">
        <v>139</v>
      </c>
      <c r="AH28" s="3" t="s">
        <v>249</v>
      </c>
      <c r="AI28" s="3">
        <v>5578283</v>
      </c>
      <c r="AJ28" s="3"/>
      <c r="AK28" s="3"/>
      <c r="AL28" s="3" t="s">
        <v>141</v>
      </c>
      <c r="AM28" s="3" t="s">
        <v>142</v>
      </c>
      <c r="AN28" s="3" t="s">
        <v>399</v>
      </c>
      <c r="AO28" s="3" t="s">
        <v>400</v>
      </c>
      <c r="AP28" s="3" t="s">
        <v>142</v>
      </c>
    </row>
    <row r="29" s="1" customFormat="1" spans="1:42">
      <c r="A29" s="3">
        <v>2</v>
      </c>
      <c r="B29" s="3" t="s">
        <v>116</v>
      </c>
      <c r="C29" s="3" t="s">
        <v>117</v>
      </c>
      <c r="D29" s="3" t="s">
        <v>401</v>
      </c>
      <c r="E29" s="3" t="s">
        <v>402</v>
      </c>
      <c r="F29" s="3" t="s">
        <v>120</v>
      </c>
      <c r="G29" s="3" t="s">
        <v>121</v>
      </c>
      <c r="H29" s="4">
        <v>18240</v>
      </c>
      <c r="I29" s="3"/>
      <c r="J29" s="3" t="s">
        <v>121</v>
      </c>
      <c r="K29" s="3" t="s">
        <v>122</v>
      </c>
      <c r="L29" s="3" t="s">
        <v>121</v>
      </c>
      <c r="M29" s="3" t="s">
        <v>166</v>
      </c>
      <c r="N29" s="3" t="s">
        <v>230</v>
      </c>
      <c r="O29" s="3" t="s">
        <v>230</v>
      </c>
      <c r="P29" s="3" t="s">
        <v>10</v>
      </c>
      <c r="Q29" s="3" t="s">
        <v>403</v>
      </c>
      <c r="R29" s="3" t="s">
        <v>10</v>
      </c>
      <c r="S29" s="3" t="s">
        <v>403</v>
      </c>
      <c r="T29" s="3" t="s">
        <v>404</v>
      </c>
      <c r="U29" s="3" t="s">
        <v>155</v>
      </c>
      <c r="V29" s="3"/>
      <c r="W29" s="3"/>
      <c r="X29" s="3"/>
      <c r="Y29" s="3"/>
      <c r="Z29" s="3" t="s">
        <v>405</v>
      </c>
      <c r="AA29" s="3" t="s">
        <v>172</v>
      </c>
      <c r="AB29" s="3" t="s">
        <v>134</v>
      </c>
      <c r="AC29" s="3" t="s">
        <v>134</v>
      </c>
      <c r="AD29" s="3" t="s">
        <v>134</v>
      </c>
      <c r="AE29" s="3" t="s">
        <v>137</v>
      </c>
      <c r="AF29" s="3" t="s">
        <v>406</v>
      </c>
      <c r="AG29" s="3" t="s">
        <v>407</v>
      </c>
      <c r="AH29" s="3" t="s">
        <v>140</v>
      </c>
      <c r="AI29" s="3">
        <v>5550897</v>
      </c>
      <c r="AJ29" s="3"/>
      <c r="AK29" s="3">
        <v>100350634</v>
      </c>
      <c r="AL29" s="3"/>
      <c r="AM29" s="3" t="s">
        <v>176</v>
      </c>
      <c r="AN29" s="3"/>
      <c r="AO29" s="3"/>
      <c r="AP29" s="3" t="s">
        <v>121</v>
      </c>
    </row>
    <row r="30" s="1" customFormat="1" spans="1:42">
      <c r="A30" s="3">
        <v>14</v>
      </c>
      <c r="B30" s="3" t="s">
        <v>116</v>
      </c>
      <c r="C30" s="3" t="s">
        <v>117</v>
      </c>
      <c r="D30" s="3" t="s">
        <v>408</v>
      </c>
      <c r="E30" s="3" t="s">
        <v>409</v>
      </c>
      <c r="F30" s="3" t="s">
        <v>120</v>
      </c>
      <c r="G30" s="3" t="s">
        <v>121</v>
      </c>
      <c r="H30" s="4">
        <v>8500</v>
      </c>
      <c r="I30" s="3"/>
      <c r="J30" s="3" t="s">
        <v>121</v>
      </c>
      <c r="K30" s="3" t="s">
        <v>122</v>
      </c>
      <c r="L30" s="3" t="s">
        <v>121</v>
      </c>
      <c r="M30" s="3" t="s">
        <v>123</v>
      </c>
      <c r="N30" s="3" t="s">
        <v>167</v>
      </c>
      <c r="O30" s="3" t="s">
        <v>168</v>
      </c>
      <c r="P30" s="3" t="s">
        <v>10</v>
      </c>
      <c r="Q30" s="3" t="s">
        <v>410</v>
      </c>
      <c r="R30" s="3" t="s">
        <v>10</v>
      </c>
      <c r="S30" s="3" t="s">
        <v>411</v>
      </c>
      <c r="T30" s="3" t="s">
        <v>412</v>
      </c>
      <c r="U30" s="3" t="s">
        <v>129</v>
      </c>
      <c r="V30" s="3" t="s">
        <v>195</v>
      </c>
      <c r="W30" s="3" t="s">
        <v>413</v>
      </c>
      <c r="X30" s="3" t="s">
        <v>408</v>
      </c>
      <c r="Y30" s="3"/>
      <c r="Z30" s="3" t="s">
        <v>171</v>
      </c>
      <c r="AA30" s="3" t="s">
        <v>172</v>
      </c>
      <c r="AB30" s="3" t="s">
        <v>134</v>
      </c>
      <c r="AC30" s="3" t="s">
        <v>134</v>
      </c>
      <c r="AD30" s="3" t="s">
        <v>134</v>
      </c>
      <c r="AE30" s="3" t="s">
        <v>137</v>
      </c>
      <c r="AF30" s="3" t="s">
        <v>258</v>
      </c>
      <c r="AG30" s="3" t="s">
        <v>139</v>
      </c>
      <c r="AH30" s="3" t="s">
        <v>140</v>
      </c>
      <c r="AI30" s="3">
        <v>5612307</v>
      </c>
      <c r="AJ30" s="3"/>
      <c r="AK30" s="3"/>
      <c r="AL30" s="3" t="s">
        <v>141</v>
      </c>
      <c r="AM30" s="3" t="s">
        <v>142</v>
      </c>
      <c r="AN30" s="3" t="s">
        <v>414</v>
      </c>
      <c r="AO30" s="3" t="s">
        <v>261</v>
      </c>
      <c r="AP30" s="3" t="s">
        <v>142</v>
      </c>
    </row>
    <row r="31" s="1" customFormat="1" spans="1:42">
      <c r="A31" s="3">
        <v>15</v>
      </c>
      <c r="B31" s="3" t="s">
        <v>116</v>
      </c>
      <c r="C31" s="3" t="s">
        <v>117</v>
      </c>
      <c r="D31" s="3" t="s">
        <v>408</v>
      </c>
      <c r="E31" s="3" t="s">
        <v>415</v>
      </c>
      <c r="F31" s="3" t="s">
        <v>120</v>
      </c>
      <c r="G31" s="3" t="s">
        <v>121</v>
      </c>
      <c r="H31" s="4">
        <v>8500</v>
      </c>
      <c r="I31" s="3"/>
      <c r="J31" s="3" t="s">
        <v>416</v>
      </c>
      <c r="K31" s="3" t="s">
        <v>122</v>
      </c>
      <c r="L31" s="3" t="s">
        <v>121</v>
      </c>
      <c r="M31" s="3" t="s">
        <v>123</v>
      </c>
      <c r="N31" s="3" t="s">
        <v>150</v>
      </c>
      <c r="O31" s="3" t="s">
        <v>367</v>
      </c>
      <c r="P31" s="3" t="s">
        <v>10</v>
      </c>
      <c r="Q31" s="3" t="s">
        <v>417</v>
      </c>
      <c r="R31" s="3" t="s">
        <v>10</v>
      </c>
      <c r="S31" s="3" t="s">
        <v>418</v>
      </c>
      <c r="T31" s="3" t="s">
        <v>419</v>
      </c>
      <c r="U31" s="3" t="s">
        <v>155</v>
      </c>
      <c r="V31" s="3" t="s">
        <v>265</v>
      </c>
      <c r="W31" s="3" t="s">
        <v>420</v>
      </c>
      <c r="X31" s="3" t="s">
        <v>408</v>
      </c>
      <c r="Y31" s="3"/>
      <c r="Z31" s="3" t="s">
        <v>132</v>
      </c>
      <c r="AA31" s="3" t="s">
        <v>172</v>
      </c>
      <c r="AB31" s="3" t="s">
        <v>134</v>
      </c>
      <c r="AC31" s="3" t="s">
        <v>134</v>
      </c>
      <c r="AD31" s="3" t="s">
        <v>134</v>
      </c>
      <c r="AE31" s="3" t="s">
        <v>137</v>
      </c>
      <c r="AF31" s="3" t="s">
        <v>138</v>
      </c>
      <c r="AG31" s="3" t="s">
        <v>139</v>
      </c>
      <c r="AH31" s="3" t="s">
        <v>225</v>
      </c>
      <c r="AI31" s="3">
        <v>5586705</v>
      </c>
      <c r="AJ31" s="3"/>
      <c r="AK31" s="3"/>
      <c r="AL31" s="3" t="s">
        <v>141</v>
      </c>
      <c r="AM31" s="3" t="s">
        <v>142</v>
      </c>
      <c r="AN31" s="3" t="s">
        <v>421</v>
      </c>
      <c r="AO31" s="3" t="s">
        <v>261</v>
      </c>
      <c r="AP31" s="3" t="s">
        <v>142</v>
      </c>
    </row>
    <row r="32" s="1" customFormat="1" spans="1:42">
      <c r="A32" s="3">
        <v>16</v>
      </c>
      <c r="B32" s="3" t="s">
        <v>116</v>
      </c>
      <c r="C32" s="3" t="s">
        <v>117</v>
      </c>
      <c r="D32" s="3" t="s">
        <v>408</v>
      </c>
      <c r="E32" s="3" t="s">
        <v>422</v>
      </c>
      <c r="F32" s="3" t="s">
        <v>120</v>
      </c>
      <c r="G32" s="3" t="s">
        <v>121</v>
      </c>
      <c r="H32" s="4">
        <v>8500</v>
      </c>
      <c r="I32" s="3"/>
      <c r="J32" s="3" t="s">
        <v>121</v>
      </c>
      <c r="K32" s="3" t="s">
        <v>122</v>
      </c>
      <c r="L32" s="3" t="s">
        <v>121</v>
      </c>
      <c r="M32" s="3" t="s">
        <v>123</v>
      </c>
      <c r="N32" s="3" t="s">
        <v>179</v>
      </c>
      <c r="O32" s="3" t="s">
        <v>423</v>
      </c>
      <c r="P32" s="3" t="s">
        <v>10</v>
      </c>
      <c r="Q32" s="3" t="s">
        <v>424</v>
      </c>
      <c r="R32" s="3" t="s">
        <v>10</v>
      </c>
      <c r="S32" s="3" t="s">
        <v>424</v>
      </c>
      <c r="T32" s="3" t="s">
        <v>425</v>
      </c>
      <c r="U32" s="3" t="s">
        <v>129</v>
      </c>
      <c r="V32" s="3" t="s">
        <v>156</v>
      </c>
      <c r="W32" s="3" t="s">
        <v>426</v>
      </c>
      <c r="X32" s="3" t="s">
        <v>408</v>
      </c>
      <c r="Y32" s="3"/>
      <c r="Z32" s="3" t="s">
        <v>171</v>
      </c>
      <c r="AA32" s="3" t="s">
        <v>333</v>
      </c>
      <c r="AB32" s="3" t="s">
        <v>134</v>
      </c>
      <c r="AC32" s="3" t="s">
        <v>333</v>
      </c>
      <c r="AD32" s="3" t="s">
        <v>333</v>
      </c>
      <c r="AE32" s="3" t="s">
        <v>137</v>
      </c>
      <c r="AF32" s="3" t="s">
        <v>258</v>
      </c>
      <c r="AG32" s="3" t="s">
        <v>139</v>
      </c>
      <c r="AH32" s="3" t="s">
        <v>249</v>
      </c>
      <c r="AI32" s="3">
        <v>5586627</v>
      </c>
      <c r="AJ32" s="3"/>
      <c r="AK32" s="3"/>
      <c r="AL32" s="3" t="s">
        <v>141</v>
      </c>
      <c r="AM32" s="3" t="s">
        <v>142</v>
      </c>
      <c r="AN32" s="3" t="s">
        <v>427</v>
      </c>
      <c r="AO32" s="3" t="s">
        <v>261</v>
      </c>
      <c r="AP32" s="3" t="s">
        <v>142</v>
      </c>
    </row>
    <row r="33" s="1" customFormat="1" spans="1:42">
      <c r="A33" s="3">
        <v>1</v>
      </c>
      <c r="B33" s="3" t="s">
        <v>116</v>
      </c>
      <c r="C33" s="3" t="s">
        <v>117</v>
      </c>
      <c r="D33" s="3" t="s">
        <v>408</v>
      </c>
      <c r="E33" s="3" t="s">
        <v>353</v>
      </c>
      <c r="F33" s="3" t="s">
        <v>120</v>
      </c>
      <c r="G33" s="3" t="s">
        <v>121</v>
      </c>
      <c r="H33" s="4">
        <v>3499</v>
      </c>
      <c r="I33" s="3"/>
      <c r="J33" s="3" t="s">
        <v>121</v>
      </c>
      <c r="K33" s="3" t="s">
        <v>149</v>
      </c>
      <c r="L33" s="3" t="s">
        <v>121</v>
      </c>
      <c r="M33" s="3" t="s">
        <v>166</v>
      </c>
      <c r="N33" s="3" t="s">
        <v>179</v>
      </c>
      <c r="O33" s="3" t="s">
        <v>354</v>
      </c>
      <c r="P33" s="3" t="s">
        <v>10</v>
      </c>
      <c r="Q33" s="3" t="s">
        <v>428</v>
      </c>
      <c r="R33" s="3" t="s">
        <v>10</v>
      </c>
      <c r="S33" s="3" t="s">
        <v>429</v>
      </c>
      <c r="T33" s="3" t="s">
        <v>430</v>
      </c>
      <c r="U33" s="3" t="s">
        <v>129</v>
      </c>
      <c r="V33" s="3"/>
      <c r="W33" s="3"/>
      <c r="X33" s="3"/>
      <c r="Y33" s="3"/>
      <c r="Z33" s="3" t="s">
        <v>132</v>
      </c>
      <c r="AA33" s="3" t="s">
        <v>360</v>
      </c>
      <c r="AB33" s="3" t="s">
        <v>134</v>
      </c>
      <c r="AC33" s="3" t="s">
        <v>361</v>
      </c>
      <c r="AD33" s="3" t="s">
        <v>362</v>
      </c>
      <c r="AE33" s="3" t="s">
        <v>137</v>
      </c>
      <c r="AF33" s="3" t="s">
        <v>363</v>
      </c>
      <c r="AG33" s="3" t="s">
        <v>139</v>
      </c>
      <c r="AH33" s="3" t="s">
        <v>140</v>
      </c>
      <c r="AI33" s="3">
        <v>5613469</v>
      </c>
      <c r="AJ33" s="3"/>
      <c r="AK33" s="3">
        <v>110692196</v>
      </c>
      <c r="AL33" s="3"/>
      <c r="AM33" s="3" t="s">
        <v>176</v>
      </c>
      <c r="AN33" s="3"/>
      <c r="AO33" s="3"/>
      <c r="AP33" s="3" t="s">
        <v>121</v>
      </c>
    </row>
    <row r="34" spans="4:16">
      <c r="D34" s="5">
        <v>45898</v>
      </c>
      <c r="E34" s="6" t="s">
        <v>353</v>
      </c>
      <c r="I34" s="6">
        <f>2075.6+4540.8+9554.9+4447.8+7185.9</f>
        <v>27805</v>
      </c>
      <c r="O34" s="6" t="s">
        <v>431</v>
      </c>
      <c r="P34" s="6" t="s">
        <v>10</v>
      </c>
    </row>
    <row r="35" spans="4:16">
      <c r="D35" s="5">
        <v>45898</v>
      </c>
      <c r="E35" s="6" t="s">
        <v>239</v>
      </c>
      <c r="I35" s="6">
        <f>8725.9+6658.6+2125.5</f>
        <v>17510</v>
      </c>
      <c r="O35" s="6" t="s">
        <v>241</v>
      </c>
      <c r="P35" s="6" t="s">
        <v>10</v>
      </c>
    </row>
    <row r="36" spans="4:16">
      <c r="D36" s="5">
        <v>45900</v>
      </c>
      <c r="E36" s="6" t="s">
        <v>432</v>
      </c>
      <c r="I36" s="6">
        <v>9000</v>
      </c>
      <c r="O36" s="6" t="s">
        <v>433</v>
      </c>
      <c r="P36" s="6" t="s">
        <v>10</v>
      </c>
    </row>
    <row r="37" spans="8:10">
      <c r="H37" s="7">
        <f>SUM(H2:H33)</f>
        <v>465554.6</v>
      </c>
      <c r="I37" s="7">
        <f>SUM(I34:I36)</f>
        <v>54315</v>
      </c>
      <c r="J37" s="7">
        <f>H37-I37</f>
        <v>411239.6</v>
      </c>
    </row>
    <row r="49" s="1" customFormat="1" customHeight="1" spans="1:42">
      <c r="A49" s="2" t="s">
        <v>0</v>
      </c>
      <c r="B49" s="2" t="s">
        <v>78</v>
      </c>
      <c r="C49" s="2" t="s">
        <v>3</v>
      </c>
      <c r="D49" s="2" t="s">
        <v>79</v>
      </c>
      <c r="E49" s="2" t="s">
        <v>2</v>
      </c>
      <c r="F49" s="2" t="s">
        <v>80</v>
      </c>
      <c r="G49" s="2" t="s">
        <v>81</v>
      </c>
      <c r="H49" s="2" t="s">
        <v>82</v>
      </c>
      <c r="I49" s="2" t="s">
        <v>83</v>
      </c>
      <c r="J49" s="2" t="s">
        <v>84</v>
      </c>
      <c r="K49" s="2" t="s">
        <v>85</v>
      </c>
      <c r="L49" s="2" t="s">
        <v>86</v>
      </c>
      <c r="M49" s="2" t="s">
        <v>87</v>
      </c>
      <c r="N49" s="2" t="s">
        <v>88</v>
      </c>
      <c r="O49" s="2" t="s">
        <v>89</v>
      </c>
      <c r="P49" s="2" t="s">
        <v>90</v>
      </c>
      <c r="Q49" s="2" t="s">
        <v>91</v>
      </c>
      <c r="R49" s="2" t="s">
        <v>92</v>
      </c>
      <c r="S49" s="2" t="s">
        <v>93</v>
      </c>
      <c r="T49" s="2" t="s">
        <v>94</v>
      </c>
      <c r="U49" s="2" t="s">
        <v>95</v>
      </c>
      <c r="V49" s="2" t="s">
        <v>96</v>
      </c>
      <c r="W49" s="2" t="s">
        <v>97</v>
      </c>
      <c r="X49" s="2" t="s">
        <v>98</v>
      </c>
      <c r="Y49" s="2" t="s">
        <v>99</v>
      </c>
      <c r="Z49" s="2" t="s">
        <v>100</v>
      </c>
      <c r="AA49" s="2" t="s">
        <v>78</v>
      </c>
      <c r="AB49" s="2" t="s">
        <v>101</v>
      </c>
      <c r="AC49" s="2" t="s">
        <v>102</v>
      </c>
      <c r="AD49" s="2" t="s">
        <v>103</v>
      </c>
      <c r="AE49" s="2" t="s">
        <v>104</v>
      </c>
      <c r="AF49" s="2" t="s">
        <v>105</v>
      </c>
      <c r="AG49" s="2" t="s">
        <v>106</v>
      </c>
      <c r="AH49" s="2" t="s">
        <v>107</v>
      </c>
      <c r="AI49" s="2" t="s">
        <v>108</v>
      </c>
      <c r="AJ49" s="2" t="s">
        <v>109</v>
      </c>
      <c r="AK49" s="2" t="s">
        <v>110</v>
      </c>
      <c r="AL49" s="2" t="s">
        <v>111</v>
      </c>
      <c r="AM49" s="2" t="s">
        <v>112</v>
      </c>
      <c r="AN49" s="2" t="s">
        <v>113</v>
      </c>
      <c r="AO49" s="2" t="s">
        <v>114</v>
      </c>
      <c r="AP49" s="2" t="s">
        <v>115</v>
      </c>
    </row>
    <row r="50" s="1" customFormat="1" spans="1:42">
      <c r="A50" s="3">
        <v>53</v>
      </c>
      <c r="B50" s="3" t="s">
        <v>116</v>
      </c>
      <c r="C50" s="3" t="s">
        <v>117</v>
      </c>
      <c r="D50" s="3" t="s">
        <v>434</v>
      </c>
      <c r="E50" s="3" t="s">
        <v>435</v>
      </c>
      <c r="F50" s="3" t="s">
        <v>120</v>
      </c>
      <c r="G50" s="3" t="s">
        <v>121</v>
      </c>
      <c r="H50" s="4">
        <v>10300</v>
      </c>
      <c r="I50" s="3"/>
      <c r="J50" s="3" t="s">
        <v>436</v>
      </c>
      <c r="K50" s="3" t="s">
        <v>122</v>
      </c>
      <c r="L50" s="3" t="s">
        <v>121</v>
      </c>
      <c r="M50" s="3" t="s">
        <v>123</v>
      </c>
      <c r="N50" s="3" t="s">
        <v>150</v>
      </c>
      <c r="O50" s="3" t="s">
        <v>433</v>
      </c>
      <c r="P50" s="3" t="s">
        <v>20</v>
      </c>
      <c r="Q50" s="3" t="s">
        <v>437</v>
      </c>
      <c r="R50" s="3" t="s">
        <v>20</v>
      </c>
      <c r="S50" s="3" t="s">
        <v>438</v>
      </c>
      <c r="T50" s="3" t="s">
        <v>439</v>
      </c>
      <c r="U50" s="3" t="s">
        <v>155</v>
      </c>
      <c r="V50" s="3" t="s">
        <v>195</v>
      </c>
      <c r="W50" s="3" t="s">
        <v>440</v>
      </c>
      <c r="X50" s="3" t="s">
        <v>434</v>
      </c>
      <c r="Y50" s="3"/>
      <c r="Z50" s="3" t="s">
        <v>132</v>
      </c>
      <c r="AA50" s="3" t="s">
        <v>23</v>
      </c>
      <c r="AB50" s="3" t="s">
        <v>134</v>
      </c>
      <c r="AC50" s="3" t="s">
        <v>23</v>
      </c>
      <c r="AD50" s="3" t="s">
        <v>23</v>
      </c>
      <c r="AE50" s="3" t="s">
        <v>137</v>
      </c>
      <c r="AF50" s="3" t="s">
        <v>441</v>
      </c>
      <c r="AG50" s="3" t="s">
        <v>139</v>
      </c>
      <c r="AH50" s="3" t="s">
        <v>372</v>
      </c>
      <c r="AI50" s="3">
        <v>5422095</v>
      </c>
      <c r="AJ50" s="3"/>
      <c r="AK50" s="3"/>
      <c r="AL50" s="3" t="s">
        <v>141</v>
      </c>
      <c r="AM50" s="3" t="s">
        <v>142</v>
      </c>
      <c r="AN50" s="3"/>
      <c r="AO50" s="3" t="s">
        <v>442</v>
      </c>
      <c r="AP50" s="3" t="s">
        <v>142</v>
      </c>
    </row>
    <row r="51" s="1" customFormat="1" spans="1:42">
      <c r="A51" s="3">
        <v>12</v>
      </c>
      <c r="B51" s="3" t="s">
        <v>116</v>
      </c>
      <c r="C51" s="3" t="s">
        <v>117</v>
      </c>
      <c r="D51" s="3" t="s">
        <v>434</v>
      </c>
      <c r="E51" s="3" t="s">
        <v>443</v>
      </c>
      <c r="F51" s="3" t="s">
        <v>120</v>
      </c>
      <c r="G51" s="3" t="s">
        <v>121</v>
      </c>
      <c r="H51" s="4">
        <v>5992.5</v>
      </c>
      <c r="I51" s="3"/>
      <c r="J51" s="3" t="s">
        <v>121</v>
      </c>
      <c r="K51" s="3" t="s">
        <v>122</v>
      </c>
      <c r="L51" s="3" t="s">
        <v>121</v>
      </c>
      <c r="M51" s="3" t="s">
        <v>166</v>
      </c>
      <c r="N51" s="3" t="s">
        <v>202</v>
      </c>
      <c r="O51" s="3" t="s">
        <v>203</v>
      </c>
      <c r="P51" s="3" t="s">
        <v>20</v>
      </c>
      <c r="Q51" s="3" t="s">
        <v>444</v>
      </c>
      <c r="R51" s="3" t="s">
        <v>20</v>
      </c>
      <c r="S51" s="3" t="s">
        <v>445</v>
      </c>
      <c r="T51" s="3" t="s">
        <v>446</v>
      </c>
      <c r="U51" s="3" t="s">
        <v>155</v>
      </c>
      <c r="V51" s="3"/>
      <c r="W51" s="3"/>
      <c r="X51" s="3"/>
      <c r="Y51" s="3"/>
      <c r="Z51" s="3" t="s">
        <v>171</v>
      </c>
      <c r="AA51" s="3" t="s">
        <v>197</v>
      </c>
      <c r="AB51" s="3" t="s">
        <v>134</v>
      </c>
      <c r="AC51" s="3" t="s">
        <v>447</v>
      </c>
      <c r="AD51" s="3" t="s">
        <v>198</v>
      </c>
      <c r="AE51" s="3" t="s">
        <v>137</v>
      </c>
      <c r="AF51" s="3" t="s">
        <v>448</v>
      </c>
      <c r="AG51" s="3" t="s">
        <v>139</v>
      </c>
      <c r="AH51" s="3" t="s">
        <v>140</v>
      </c>
      <c r="AI51" s="3">
        <v>5501106</v>
      </c>
      <c r="AJ51" s="3"/>
      <c r="AK51" s="3">
        <v>110516883</v>
      </c>
      <c r="AL51" s="3"/>
      <c r="AM51" s="3" t="s">
        <v>176</v>
      </c>
      <c r="AN51" s="3"/>
      <c r="AO51" s="3"/>
      <c r="AP51" s="3" t="s">
        <v>121</v>
      </c>
    </row>
    <row r="52" s="1" customFormat="1" spans="1:42">
      <c r="A52" s="3">
        <v>49</v>
      </c>
      <c r="B52" s="3" t="s">
        <v>116</v>
      </c>
      <c r="C52" s="3" t="s">
        <v>117</v>
      </c>
      <c r="D52" s="3" t="s">
        <v>145</v>
      </c>
      <c r="E52" s="3" t="s">
        <v>449</v>
      </c>
      <c r="F52" s="3" t="s">
        <v>120</v>
      </c>
      <c r="G52" s="3" t="s">
        <v>121</v>
      </c>
      <c r="H52" s="4">
        <v>31800</v>
      </c>
      <c r="I52" s="3"/>
      <c r="J52" s="3" t="s">
        <v>121</v>
      </c>
      <c r="K52" s="3" t="s">
        <v>122</v>
      </c>
      <c r="L52" s="3" t="s">
        <v>121</v>
      </c>
      <c r="M52" s="3" t="s">
        <v>123</v>
      </c>
      <c r="N52" s="3" t="s">
        <v>124</v>
      </c>
      <c r="O52" s="3" t="s">
        <v>450</v>
      </c>
      <c r="P52" s="3" t="s">
        <v>20</v>
      </c>
      <c r="Q52" s="3" t="s">
        <v>451</v>
      </c>
      <c r="R52" s="3" t="s">
        <v>20</v>
      </c>
      <c r="S52" s="3" t="s">
        <v>452</v>
      </c>
      <c r="T52" s="3" t="s">
        <v>453</v>
      </c>
      <c r="U52" s="3" t="s">
        <v>155</v>
      </c>
      <c r="V52" s="3" t="s">
        <v>195</v>
      </c>
      <c r="W52" s="3" t="s">
        <v>454</v>
      </c>
      <c r="X52" s="3" t="s">
        <v>145</v>
      </c>
      <c r="Y52" s="3"/>
      <c r="Z52" s="3" t="s">
        <v>132</v>
      </c>
      <c r="AA52" s="3" t="s">
        <v>172</v>
      </c>
      <c r="AB52" s="3" t="s">
        <v>134</v>
      </c>
      <c r="AC52" s="3" t="s">
        <v>134</v>
      </c>
      <c r="AD52" s="3" t="s">
        <v>134</v>
      </c>
      <c r="AE52" s="3" t="s">
        <v>137</v>
      </c>
      <c r="AF52" s="3" t="s">
        <v>441</v>
      </c>
      <c r="AG52" s="3" t="s">
        <v>139</v>
      </c>
      <c r="AH52" s="3" t="s">
        <v>140</v>
      </c>
      <c r="AI52" s="3">
        <v>5530391</v>
      </c>
      <c r="AJ52" s="3"/>
      <c r="AK52" s="3"/>
      <c r="AL52" s="3" t="s">
        <v>141</v>
      </c>
      <c r="AM52" s="3" t="s">
        <v>142</v>
      </c>
      <c r="AN52" s="3"/>
      <c r="AO52" s="3" t="s">
        <v>455</v>
      </c>
      <c r="AP52" s="3" t="s">
        <v>142</v>
      </c>
    </row>
    <row r="53" s="1" customFormat="1" spans="1:42">
      <c r="A53" s="3">
        <v>51</v>
      </c>
      <c r="B53" s="3" t="s">
        <v>116</v>
      </c>
      <c r="C53" s="3" t="s">
        <v>117</v>
      </c>
      <c r="D53" s="3" t="s">
        <v>145</v>
      </c>
      <c r="E53" s="3" t="s">
        <v>456</v>
      </c>
      <c r="F53" s="3" t="s">
        <v>120</v>
      </c>
      <c r="G53" s="3" t="s">
        <v>121</v>
      </c>
      <c r="H53" s="4">
        <v>19800</v>
      </c>
      <c r="I53" s="3"/>
      <c r="J53" s="3" t="s">
        <v>121</v>
      </c>
      <c r="K53" s="3" t="s">
        <v>122</v>
      </c>
      <c r="L53" s="3" t="s">
        <v>121</v>
      </c>
      <c r="M53" s="3" t="s">
        <v>123</v>
      </c>
      <c r="N53" s="3" t="s">
        <v>179</v>
      </c>
      <c r="O53" s="3" t="s">
        <v>423</v>
      </c>
      <c r="P53" s="3" t="s">
        <v>20</v>
      </c>
      <c r="Q53" s="3" t="s">
        <v>457</v>
      </c>
      <c r="R53" s="3" t="s">
        <v>20</v>
      </c>
      <c r="S53" s="3" t="s">
        <v>457</v>
      </c>
      <c r="T53" s="3" t="s">
        <v>458</v>
      </c>
      <c r="U53" s="3" t="s">
        <v>155</v>
      </c>
      <c r="V53" s="3" t="s">
        <v>265</v>
      </c>
      <c r="W53" s="3" t="s">
        <v>459</v>
      </c>
      <c r="X53" s="3" t="s">
        <v>145</v>
      </c>
      <c r="Y53" s="3"/>
      <c r="Z53" s="3" t="s">
        <v>132</v>
      </c>
      <c r="AA53" s="3" t="s">
        <v>172</v>
      </c>
      <c r="AB53" s="3" t="s">
        <v>134</v>
      </c>
      <c r="AC53" s="3" t="s">
        <v>134</v>
      </c>
      <c r="AD53" s="3" t="s">
        <v>134</v>
      </c>
      <c r="AE53" s="3" t="s">
        <v>137</v>
      </c>
      <c r="AF53" s="3" t="s">
        <v>460</v>
      </c>
      <c r="AG53" s="3" t="s">
        <v>139</v>
      </c>
      <c r="AH53" s="3" t="s">
        <v>249</v>
      </c>
      <c r="AI53" s="3">
        <v>5503283</v>
      </c>
      <c r="AJ53" s="3"/>
      <c r="AK53" s="3"/>
      <c r="AL53" s="3" t="s">
        <v>141</v>
      </c>
      <c r="AM53" s="3" t="s">
        <v>142</v>
      </c>
      <c r="AN53" s="3"/>
      <c r="AO53" s="3" t="s">
        <v>144</v>
      </c>
      <c r="AP53" s="3" t="s">
        <v>142</v>
      </c>
    </row>
    <row r="54" s="1" customFormat="1" spans="1:42">
      <c r="A54" s="3">
        <v>47</v>
      </c>
      <c r="B54" s="3" t="s">
        <v>116</v>
      </c>
      <c r="C54" s="3" t="s">
        <v>117</v>
      </c>
      <c r="D54" s="3" t="s">
        <v>177</v>
      </c>
      <c r="E54" s="3" t="s">
        <v>461</v>
      </c>
      <c r="F54" s="3" t="s">
        <v>120</v>
      </c>
      <c r="G54" s="3" t="s">
        <v>121</v>
      </c>
      <c r="H54" s="4">
        <v>34000</v>
      </c>
      <c r="I54" s="3"/>
      <c r="J54" s="3" t="s">
        <v>121</v>
      </c>
      <c r="K54" s="3" t="s">
        <v>122</v>
      </c>
      <c r="L54" s="3" t="s">
        <v>121</v>
      </c>
      <c r="M54" s="3" t="s">
        <v>123</v>
      </c>
      <c r="N54" s="3" t="s">
        <v>240</v>
      </c>
      <c r="O54" s="3" t="s">
        <v>241</v>
      </c>
      <c r="P54" s="3" t="s">
        <v>20</v>
      </c>
      <c r="Q54" s="3" t="s">
        <v>462</v>
      </c>
      <c r="R54" s="3" t="s">
        <v>20</v>
      </c>
      <c r="S54" s="3" t="s">
        <v>463</v>
      </c>
      <c r="T54" s="3" t="s">
        <v>464</v>
      </c>
      <c r="U54" s="3" t="s">
        <v>155</v>
      </c>
      <c r="V54" s="3"/>
      <c r="W54" s="3" t="s">
        <v>465</v>
      </c>
      <c r="X54" s="3"/>
      <c r="Y54" s="3"/>
      <c r="Z54" s="3" t="s">
        <v>132</v>
      </c>
      <c r="AA54" s="3" t="s">
        <v>275</v>
      </c>
      <c r="AB54" s="3" t="s">
        <v>134</v>
      </c>
      <c r="AC54" s="3" t="s">
        <v>275</v>
      </c>
      <c r="AD54" s="3" t="s">
        <v>275</v>
      </c>
      <c r="AE54" s="3" t="s">
        <v>137</v>
      </c>
      <c r="AF54" s="3" t="s">
        <v>460</v>
      </c>
      <c r="AG54" s="3" t="s">
        <v>139</v>
      </c>
      <c r="AH54" s="3" t="s">
        <v>249</v>
      </c>
      <c r="AI54" s="3">
        <v>5504017</v>
      </c>
      <c r="AJ54" s="3"/>
      <c r="AK54" s="3"/>
      <c r="AL54" s="3" t="s">
        <v>141</v>
      </c>
      <c r="AM54" s="3" t="s">
        <v>142</v>
      </c>
      <c r="AN54" s="3"/>
      <c r="AO54" s="3" t="s">
        <v>466</v>
      </c>
      <c r="AP54" s="3" t="s">
        <v>142</v>
      </c>
    </row>
    <row r="55" s="1" customFormat="1" spans="1:42">
      <c r="A55" s="3">
        <v>44</v>
      </c>
      <c r="B55" s="3" t="s">
        <v>116</v>
      </c>
      <c r="C55" s="3" t="s">
        <v>117</v>
      </c>
      <c r="D55" s="3" t="s">
        <v>200</v>
      </c>
      <c r="E55" s="3" t="s">
        <v>467</v>
      </c>
      <c r="F55" s="3" t="s">
        <v>120</v>
      </c>
      <c r="G55" s="3" t="s">
        <v>121</v>
      </c>
      <c r="H55" s="4">
        <v>31800</v>
      </c>
      <c r="I55" s="3"/>
      <c r="J55" s="3" t="s">
        <v>121</v>
      </c>
      <c r="K55" s="3" t="s">
        <v>122</v>
      </c>
      <c r="L55" s="3" t="s">
        <v>121</v>
      </c>
      <c r="M55" s="3" t="s">
        <v>123</v>
      </c>
      <c r="N55" s="3" t="s">
        <v>468</v>
      </c>
      <c r="O55" s="3" t="s">
        <v>469</v>
      </c>
      <c r="P55" s="3" t="s">
        <v>20</v>
      </c>
      <c r="Q55" s="3" t="s">
        <v>470</v>
      </c>
      <c r="R55" s="3" t="s">
        <v>20</v>
      </c>
      <c r="S55" s="3" t="s">
        <v>471</v>
      </c>
      <c r="T55" s="3" t="s">
        <v>472</v>
      </c>
      <c r="U55" s="3" t="s">
        <v>155</v>
      </c>
      <c r="V55" s="3" t="s">
        <v>195</v>
      </c>
      <c r="W55" s="3" t="s">
        <v>473</v>
      </c>
      <c r="X55" s="3" t="s">
        <v>200</v>
      </c>
      <c r="Y55" s="3"/>
      <c r="Z55" s="3" t="s">
        <v>132</v>
      </c>
      <c r="AA55" s="3" t="s">
        <v>474</v>
      </c>
      <c r="AB55" s="3" t="s">
        <v>134</v>
      </c>
      <c r="AC55" s="3" t="s">
        <v>475</v>
      </c>
      <c r="AD55" s="3" t="s">
        <v>476</v>
      </c>
      <c r="AE55" s="3" t="s">
        <v>137</v>
      </c>
      <c r="AF55" s="3" t="s">
        <v>460</v>
      </c>
      <c r="AG55" s="3" t="s">
        <v>139</v>
      </c>
      <c r="AH55" s="3" t="s">
        <v>249</v>
      </c>
      <c r="AI55" s="3">
        <v>5534410</v>
      </c>
      <c r="AJ55" s="3"/>
      <c r="AK55" s="3"/>
      <c r="AL55" s="3" t="s">
        <v>141</v>
      </c>
      <c r="AM55" s="3" t="s">
        <v>142</v>
      </c>
      <c r="AN55" s="3" t="s">
        <v>477</v>
      </c>
      <c r="AO55" s="3" t="s">
        <v>455</v>
      </c>
      <c r="AP55" s="3" t="s">
        <v>142</v>
      </c>
    </row>
    <row r="56" s="1" customFormat="1" spans="1:42">
      <c r="A56" s="3">
        <v>45</v>
      </c>
      <c r="B56" s="3" t="s">
        <v>116</v>
      </c>
      <c r="C56" s="3" t="s">
        <v>117</v>
      </c>
      <c r="D56" s="3" t="s">
        <v>200</v>
      </c>
      <c r="E56" s="3" t="s">
        <v>478</v>
      </c>
      <c r="F56" s="3" t="s">
        <v>120</v>
      </c>
      <c r="G56" s="3" t="s">
        <v>121</v>
      </c>
      <c r="H56" s="4">
        <v>45400</v>
      </c>
      <c r="I56" s="3"/>
      <c r="J56" s="3" t="s">
        <v>217</v>
      </c>
      <c r="K56" s="3" t="s">
        <v>149</v>
      </c>
      <c r="L56" s="3" t="s">
        <v>121</v>
      </c>
      <c r="M56" s="3" t="s">
        <v>123</v>
      </c>
      <c r="N56" s="3" t="s">
        <v>150</v>
      </c>
      <c r="O56" s="3" t="s">
        <v>151</v>
      </c>
      <c r="P56" s="3" t="s">
        <v>20</v>
      </c>
      <c r="Q56" s="3" t="s">
        <v>479</v>
      </c>
      <c r="R56" s="3" t="s">
        <v>20</v>
      </c>
      <c r="S56" s="3" t="s">
        <v>480</v>
      </c>
      <c r="T56" s="3" t="s">
        <v>481</v>
      </c>
      <c r="U56" s="3" t="s">
        <v>155</v>
      </c>
      <c r="V56" s="3"/>
      <c r="W56" s="3" t="s">
        <v>482</v>
      </c>
      <c r="X56" s="3"/>
      <c r="Y56" s="3"/>
      <c r="Z56" s="3" t="s">
        <v>222</v>
      </c>
      <c r="AA56" s="3" t="s">
        <v>333</v>
      </c>
      <c r="AB56" s="3" t="s">
        <v>134</v>
      </c>
      <c r="AC56" s="3" t="s">
        <v>333</v>
      </c>
      <c r="AD56" s="3" t="s">
        <v>333</v>
      </c>
      <c r="AE56" s="3" t="s">
        <v>137</v>
      </c>
      <c r="AF56" s="3" t="s">
        <v>483</v>
      </c>
      <c r="AG56" s="3" t="s">
        <v>139</v>
      </c>
      <c r="AH56" s="3" t="s">
        <v>140</v>
      </c>
      <c r="AI56" s="3">
        <v>5506319</v>
      </c>
      <c r="AJ56" s="3"/>
      <c r="AK56" s="3"/>
      <c r="AL56" s="3" t="s">
        <v>141</v>
      </c>
      <c r="AM56" s="3" t="s">
        <v>142</v>
      </c>
      <c r="AN56" s="3"/>
      <c r="AO56" s="3" t="s">
        <v>484</v>
      </c>
      <c r="AP56" s="3" t="s">
        <v>176</v>
      </c>
    </row>
    <row r="57" s="1" customFormat="1" spans="1:42">
      <c r="A57" s="3">
        <v>8</v>
      </c>
      <c r="B57" s="3" t="s">
        <v>116</v>
      </c>
      <c r="C57" s="3" t="s">
        <v>117</v>
      </c>
      <c r="D57" s="3" t="s">
        <v>200</v>
      </c>
      <c r="E57" s="3" t="s">
        <v>201</v>
      </c>
      <c r="F57" s="3" t="s">
        <v>120</v>
      </c>
      <c r="G57" s="3" t="s">
        <v>121</v>
      </c>
      <c r="H57" s="4">
        <v>9900</v>
      </c>
      <c r="I57" s="3"/>
      <c r="J57" s="3" t="s">
        <v>121</v>
      </c>
      <c r="K57" s="3" t="s">
        <v>319</v>
      </c>
      <c r="L57" s="3" t="s">
        <v>121</v>
      </c>
      <c r="M57" s="3" t="s">
        <v>166</v>
      </c>
      <c r="N57" s="3" t="s">
        <v>202</v>
      </c>
      <c r="O57" s="3" t="s">
        <v>203</v>
      </c>
      <c r="P57" s="3" t="s">
        <v>20</v>
      </c>
      <c r="Q57" s="3" t="s">
        <v>204</v>
      </c>
      <c r="R57" s="3" t="s">
        <v>10</v>
      </c>
      <c r="S57" s="3" t="s">
        <v>205</v>
      </c>
      <c r="T57" s="3" t="s">
        <v>206</v>
      </c>
      <c r="U57" s="3" t="s">
        <v>155</v>
      </c>
      <c r="V57" s="3"/>
      <c r="W57" s="3"/>
      <c r="X57" s="3"/>
      <c r="Y57" s="3"/>
      <c r="Z57" s="3" t="s">
        <v>171</v>
      </c>
      <c r="AA57" s="3" t="s">
        <v>172</v>
      </c>
      <c r="AB57" s="3" t="s">
        <v>134</v>
      </c>
      <c r="AC57" s="3" t="s">
        <v>134</v>
      </c>
      <c r="AD57" s="3" t="s">
        <v>134</v>
      </c>
      <c r="AE57" s="3" t="s">
        <v>137</v>
      </c>
      <c r="AF57" s="3" t="s">
        <v>207</v>
      </c>
      <c r="AG57" s="3" t="s">
        <v>139</v>
      </c>
      <c r="AH57" s="3" t="s">
        <v>208</v>
      </c>
      <c r="AI57" s="3">
        <v>5534103</v>
      </c>
      <c r="AJ57" s="3"/>
      <c r="AK57" s="3"/>
      <c r="AL57" s="3"/>
      <c r="AM57" s="3" t="s">
        <v>176</v>
      </c>
      <c r="AN57" s="3"/>
      <c r="AO57" s="3"/>
      <c r="AP57" s="3" t="s">
        <v>121</v>
      </c>
    </row>
    <row r="58" s="1" customFormat="1" spans="1:42">
      <c r="A58" s="3">
        <v>38</v>
      </c>
      <c r="B58" s="3" t="s">
        <v>116</v>
      </c>
      <c r="C58" s="3" t="s">
        <v>117</v>
      </c>
      <c r="D58" s="3" t="s">
        <v>238</v>
      </c>
      <c r="E58" s="3" t="s">
        <v>485</v>
      </c>
      <c r="F58" s="3" t="s">
        <v>120</v>
      </c>
      <c r="G58" s="3" t="s">
        <v>121</v>
      </c>
      <c r="H58" s="4">
        <v>20300</v>
      </c>
      <c r="I58" s="3"/>
      <c r="J58" s="3" t="s">
        <v>121</v>
      </c>
      <c r="K58" s="3" t="s">
        <v>122</v>
      </c>
      <c r="L58" s="3" t="s">
        <v>121</v>
      </c>
      <c r="M58" s="3" t="s">
        <v>123</v>
      </c>
      <c r="N58" s="3" t="s">
        <v>240</v>
      </c>
      <c r="O58" s="3" t="s">
        <v>241</v>
      </c>
      <c r="P58" s="3" t="s">
        <v>20</v>
      </c>
      <c r="Q58" s="3" t="s">
        <v>486</v>
      </c>
      <c r="R58" s="3" t="s">
        <v>20</v>
      </c>
      <c r="S58" s="3" t="s">
        <v>487</v>
      </c>
      <c r="T58" s="3" t="s">
        <v>488</v>
      </c>
      <c r="U58" s="3" t="s">
        <v>155</v>
      </c>
      <c r="V58" s="3" t="s">
        <v>265</v>
      </c>
      <c r="W58" s="3" t="s">
        <v>489</v>
      </c>
      <c r="X58" s="3" t="s">
        <v>238</v>
      </c>
      <c r="Y58" s="3"/>
      <c r="Z58" s="3" t="s">
        <v>132</v>
      </c>
      <c r="AA58" s="3" t="s">
        <v>275</v>
      </c>
      <c r="AB58" s="3" t="s">
        <v>134</v>
      </c>
      <c r="AC58" s="3" t="s">
        <v>275</v>
      </c>
      <c r="AD58" s="3" t="s">
        <v>275</v>
      </c>
      <c r="AE58" s="3" t="s">
        <v>137</v>
      </c>
      <c r="AF58" s="3" t="s">
        <v>460</v>
      </c>
      <c r="AG58" s="3" t="s">
        <v>139</v>
      </c>
      <c r="AH58" s="3" t="s">
        <v>249</v>
      </c>
      <c r="AI58" s="3">
        <v>5508874</v>
      </c>
      <c r="AJ58" s="3"/>
      <c r="AK58" s="3"/>
      <c r="AL58" s="3" t="s">
        <v>141</v>
      </c>
      <c r="AM58" s="3" t="s">
        <v>142</v>
      </c>
      <c r="AN58" s="3"/>
      <c r="AO58" s="3" t="s">
        <v>251</v>
      </c>
      <c r="AP58" s="3" t="s">
        <v>142</v>
      </c>
    </row>
    <row r="59" s="1" customFormat="1" spans="1:42">
      <c r="A59" s="3">
        <v>40</v>
      </c>
      <c r="B59" s="3" t="s">
        <v>116</v>
      </c>
      <c r="C59" s="3" t="s">
        <v>117</v>
      </c>
      <c r="D59" s="3" t="s">
        <v>238</v>
      </c>
      <c r="E59" s="3" t="s">
        <v>490</v>
      </c>
      <c r="F59" s="3" t="s">
        <v>120</v>
      </c>
      <c r="G59" s="3" t="s">
        <v>121</v>
      </c>
      <c r="H59" s="4">
        <v>20300</v>
      </c>
      <c r="I59" s="3"/>
      <c r="J59" s="3" t="s">
        <v>121</v>
      </c>
      <c r="K59" s="3" t="s">
        <v>122</v>
      </c>
      <c r="L59" s="3" t="s">
        <v>121</v>
      </c>
      <c r="M59" s="3" t="s">
        <v>123</v>
      </c>
      <c r="N59" s="3" t="s">
        <v>179</v>
      </c>
      <c r="O59" s="3" t="s">
        <v>423</v>
      </c>
      <c r="P59" s="3" t="s">
        <v>20</v>
      </c>
      <c r="Q59" s="3" t="s">
        <v>491</v>
      </c>
      <c r="R59" s="3" t="s">
        <v>20</v>
      </c>
      <c r="S59" s="3" t="s">
        <v>492</v>
      </c>
      <c r="T59" s="3" t="s">
        <v>493</v>
      </c>
      <c r="U59" s="3" t="s">
        <v>155</v>
      </c>
      <c r="V59" s="3" t="s">
        <v>494</v>
      </c>
      <c r="W59" s="3" t="s">
        <v>495</v>
      </c>
      <c r="X59" s="3" t="s">
        <v>238</v>
      </c>
      <c r="Y59" s="3"/>
      <c r="Z59" s="3" t="s">
        <v>132</v>
      </c>
      <c r="AA59" s="3" t="s">
        <v>333</v>
      </c>
      <c r="AB59" s="3" t="s">
        <v>134</v>
      </c>
      <c r="AC59" s="3" t="s">
        <v>333</v>
      </c>
      <c r="AD59" s="3" t="s">
        <v>333</v>
      </c>
      <c r="AE59" s="3" t="s">
        <v>137</v>
      </c>
      <c r="AF59" s="3" t="s">
        <v>460</v>
      </c>
      <c r="AG59" s="3" t="s">
        <v>139</v>
      </c>
      <c r="AH59" s="3" t="s">
        <v>249</v>
      </c>
      <c r="AI59" s="3">
        <v>5425096</v>
      </c>
      <c r="AJ59" s="3"/>
      <c r="AK59" s="3"/>
      <c r="AL59" s="3" t="s">
        <v>141</v>
      </c>
      <c r="AM59" s="3" t="s">
        <v>142</v>
      </c>
      <c r="AN59" s="3"/>
      <c r="AO59" s="3" t="s">
        <v>251</v>
      </c>
      <c r="AP59" s="3" t="s">
        <v>142</v>
      </c>
    </row>
    <row r="60" s="1" customFormat="1" spans="1:42">
      <c r="A60" s="3">
        <v>41</v>
      </c>
      <c r="B60" s="3" t="s">
        <v>116</v>
      </c>
      <c r="C60" s="3" t="s">
        <v>117</v>
      </c>
      <c r="D60" s="3" t="s">
        <v>238</v>
      </c>
      <c r="E60" s="3" t="s">
        <v>496</v>
      </c>
      <c r="F60" s="3" t="s">
        <v>120</v>
      </c>
      <c r="G60" s="3" t="s">
        <v>121</v>
      </c>
      <c r="H60" s="4">
        <v>32300</v>
      </c>
      <c r="I60" s="3"/>
      <c r="J60" s="3" t="s">
        <v>121</v>
      </c>
      <c r="K60" s="3" t="s">
        <v>122</v>
      </c>
      <c r="L60" s="3" t="s">
        <v>121</v>
      </c>
      <c r="M60" s="3" t="s">
        <v>123</v>
      </c>
      <c r="N60" s="3" t="s">
        <v>167</v>
      </c>
      <c r="O60" s="3" t="s">
        <v>497</v>
      </c>
      <c r="P60" s="3" t="s">
        <v>20</v>
      </c>
      <c r="Q60" s="3" t="s">
        <v>498</v>
      </c>
      <c r="R60" s="3" t="s">
        <v>20</v>
      </c>
      <c r="S60" s="3" t="s">
        <v>499</v>
      </c>
      <c r="T60" s="3" t="s">
        <v>500</v>
      </c>
      <c r="U60" s="3" t="s">
        <v>155</v>
      </c>
      <c r="V60" s="3" t="s">
        <v>265</v>
      </c>
      <c r="W60" s="3" t="s">
        <v>501</v>
      </c>
      <c r="X60" s="3" t="s">
        <v>238</v>
      </c>
      <c r="Y60" s="3"/>
      <c r="Z60" s="3" t="s">
        <v>502</v>
      </c>
      <c r="AA60" s="3" t="s">
        <v>172</v>
      </c>
      <c r="AB60" s="3" t="s">
        <v>134</v>
      </c>
      <c r="AC60" s="3" t="s">
        <v>134</v>
      </c>
      <c r="AD60" s="3" t="s">
        <v>134</v>
      </c>
      <c r="AE60" s="3" t="s">
        <v>137</v>
      </c>
      <c r="AF60" s="3" t="s">
        <v>460</v>
      </c>
      <c r="AG60" s="3" t="s">
        <v>139</v>
      </c>
      <c r="AH60" s="3" t="s">
        <v>140</v>
      </c>
      <c r="AI60" s="3">
        <v>5424982</v>
      </c>
      <c r="AJ60" s="3"/>
      <c r="AK60" s="3"/>
      <c r="AL60" s="3" t="s">
        <v>141</v>
      </c>
      <c r="AM60" s="3" t="s">
        <v>142</v>
      </c>
      <c r="AN60" s="3"/>
      <c r="AO60" s="3" t="s">
        <v>503</v>
      </c>
      <c r="AP60" s="3" t="s">
        <v>142</v>
      </c>
    </row>
    <row r="61" s="1" customFormat="1" spans="1:42">
      <c r="A61" s="3">
        <v>35</v>
      </c>
      <c r="B61" s="3" t="s">
        <v>116</v>
      </c>
      <c r="C61" s="3" t="s">
        <v>117</v>
      </c>
      <c r="D61" s="3" t="s">
        <v>504</v>
      </c>
      <c r="E61" s="3" t="s">
        <v>505</v>
      </c>
      <c r="F61" s="3" t="s">
        <v>120</v>
      </c>
      <c r="G61" s="3" t="s">
        <v>121</v>
      </c>
      <c r="H61" s="4">
        <v>20300</v>
      </c>
      <c r="I61" s="3"/>
      <c r="J61" s="3" t="s">
        <v>121</v>
      </c>
      <c r="K61" s="3" t="s">
        <v>122</v>
      </c>
      <c r="L61" s="3" t="s">
        <v>506</v>
      </c>
      <c r="M61" s="3" t="s">
        <v>123</v>
      </c>
      <c r="N61" s="3" t="s">
        <v>124</v>
      </c>
      <c r="O61" s="3" t="s">
        <v>301</v>
      </c>
      <c r="P61" s="3" t="s">
        <v>20</v>
      </c>
      <c r="Q61" s="3" t="s">
        <v>507</v>
      </c>
      <c r="R61" s="3" t="s">
        <v>20</v>
      </c>
      <c r="S61" s="3" t="s">
        <v>508</v>
      </c>
      <c r="T61" s="3" t="s">
        <v>509</v>
      </c>
      <c r="U61" s="3" t="s">
        <v>155</v>
      </c>
      <c r="V61" s="3" t="s">
        <v>494</v>
      </c>
      <c r="W61" s="3" t="s">
        <v>510</v>
      </c>
      <c r="X61" s="3" t="s">
        <v>504</v>
      </c>
      <c r="Y61" s="3"/>
      <c r="Z61" s="3" t="s">
        <v>132</v>
      </c>
      <c r="AA61" s="3" t="s">
        <v>172</v>
      </c>
      <c r="AB61" s="3" t="s">
        <v>134</v>
      </c>
      <c r="AC61" s="3" t="s">
        <v>134</v>
      </c>
      <c r="AD61" s="3" t="s">
        <v>134</v>
      </c>
      <c r="AE61" s="3" t="s">
        <v>137</v>
      </c>
      <c r="AF61" s="3" t="s">
        <v>460</v>
      </c>
      <c r="AG61" s="3" t="s">
        <v>139</v>
      </c>
      <c r="AH61" s="3" t="s">
        <v>140</v>
      </c>
      <c r="AI61" s="3">
        <v>5537774</v>
      </c>
      <c r="AJ61" s="3"/>
      <c r="AK61" s="3"/>
      <c r="AL61" s="3" t="s">
        <v>141</v>
      </c>
      <c r="AM61" s="3" t="s">
        <v>142</v>
      </c>
      <c r="AN61" s="3"/>
      <c r="AO61" s="3" t="s">
        <v>251</v>
      </c>
      <c r="AP61" s="3" t="s">
        <v>142</v>
      </c>
    </row>
    <row r="62" s="1" customFormat="1" spans="1:42">
      <c r="A62" s="3">
        <v>29</v>
      </c>
      <c r="B62" s="3" t="s">
        <v>116</v>
      </c>
      <c r="C62" s="3" t="s">
        <v>117</v>
      </c>
      <c r="D62" s="3" t="s">
        <v>317</v>
      </c>
      <c r="E62" s="3" t="s">
        <v>318</v>
      </c>
      <c r="F62" s="3" t="s">
        <v>120</v>
      </c>
      <c r="G62" s="3" t="s">
        <v>121</v>
      </c>
      <c r="H62" s="4">
        <v>10150</v>
      </c>
      <c r="I62" s="3"/>
      <c r="J62" s="3" t="s">
        <v>121</v>
      </c>
      <c r="K62" s="3" t="s">
        <v>122</v>
      </c>
      <c r="L62" s="3" t="s">
        <v>121</v>
      </c>
      <c r="M62" s="3" t="s">
        <v>123</v>
      </c>
      <c r="N62" s="3" t="s">
        <v>240</v>
      </c>
      <c r="O62" s="3" t="s">
        <v>241</v>
      </c>
      <c r="P62" s="3" t="s">
        <v>20</v>
      </c>
      <c r="Q62" s="3" t="s">
        <v>320</v>
      </c>
      <c r="R62" s="3" t="s">
        <v>20</v>
      </c>
      <c r="S62" s="3" t="s">
        <v>321</v>
      </c>
      <c r="T62" s="3" t="s">
        <v>322</v>
      </c>
      <c r="U62" s="3" t="s">
        <v>155</v>
      </c>
      <c r="V62" s="3" t="s">
        <v>244</v>
      </c>
      <c r="W62" s="3" t="s">
        <v>323</v>
      </c>
      <c r="X62" s="3" t="s">
        <v>317</v>
      </c>
      <c r="Y62" s="3"/>
      <c r="Z62" s="3" t="s">
        <v>132</v>
      </c>
      <c r="AA62" s="3" t="s">
        <v>324</v>
      </c>
      <c r="AB62" s="3" t="s">
        <v>134</v>
      </c>
      <c r="AC62" s="3" t="s">
        <v>325</v>
      </c>
      <c r="AD62" s="3" t="s">
        <v>326</v>
      </c>
      <c r="AE62" s="3" t="s">
        <v>137</v>
      </c>
      <c r="AF62" s="3" t="s">
        <v>138</v>
      </c>
      <c r="AG62" s="3" t="s">
        <v>139</v>
      </c>
      <c r="AH62" s="3" t="s">
        <v>249</v>
      </c>
      <c r="AI62" s="3">
        <v>5541049</v>
      </c>
      <c r="AJ62" s="3"/>
      <c r="AK62" s="3"/>
      <c r="AL62" s="3" t="s">
        <v>141</v>
      </c>
      <c r="AM62" s="3" t="s">
        <v>142</v>
      </c>
      <c r="AN62" s="3" t="s">
        <v>511</v>
      </c>
      <c r="AO62" s="3" t="s">
        <v>251</v>
      </c>
      <c r="AP62" s="3" t="s">
        <v>142</v>
      </c>
    </row>
    <row r="63" s="1" customFormat="1" spans="1:42">
      <c r="A63" s="3">
        <v>13</v>
      </c>
      <c r="B63" s="3" t="s">
        <v>116</v>
      </c>
      <c r="C63" s="3" t="s">
        <v>117</v>
      </c>
      <c r="D63" s="3" t="s">
        <v>512</v>
      </c>
      <c r="E63" s="3" t="s">
        <v>513</v>
      </c>
      <c r="F63" s="3"/>
      <c r="G63" s="3" t="s">
        <v>121</v>
      </c>
      <c r="H63" s="4">
        <v>9000</v>
      </c>
      <c r="I63" s="3"/>
      <c r="J63" s="3" t="s">
        <v>148</v>
      </c>
      <c r="K63" s="3" t="s">
        <v>149</v>
      </c>
      <c r="L63" s="3"/>
      <c r="M63" s="3" t="s">
        <v>514</v>
      </c>
      <c r="N63" s="3" t="s">
        <v>150</v>
      </c>
      <c r="O63" s="3" t="s">
        <v>151</v>
      </c>
      <c r="P63" s="3" t="s">
        <v>20</v>
      </c>
      <c r="Q63" s="3" t="s">
        <v>515</v>
      </c>
      <c r="R63" s="3"/>
      <c r="S63" s="3"/>
      <c r="T63" s="3" t="s">
        <v>516</v>
      </c>
      <c r="U63" s="3" t="s">
        <v>155</v>
      </c>
      <c r="V63" s="3"/>
      <c r="W63" s="3" t="s">
        <v>517</v>
      </c>
      <c r="X63" s="3"/>
      <c r="Y63" s="3"/>
      <c r="Z63" s="3" t="s">
        <v>132</v>
      </c>
      <c r="AA63" s="3" t="s">
        <v>275</v>
      </c>
      <c r="AB63" s="3" t="s">
        <v>134</v>
      </c>
      <c r="AC63" s="3" t="s">
        <v>275</v>
      </c>
      <c r="AD63" s="3" t="s">
        <v>275</v>
      </c>
      <c r="AE63" s="3" t="s">
        <v>137</v>
      </c>
      <c r="AF63" s="3" t="s">
        <v>342</v>
      </c>
      <c r="AG63" s="3" t="s">
        <v>139</v>
      </c>
      <c r="AH63" s="3" t="s">
        <v>249</v>
      </c>
      <c r="AI63" s="3">
        <v>5514150</v>
      </c>
      <c r="AJ63" s="3"/>
      <c r="AK63" s="3"/>
      <c r="AL63" s="3"/>
      <c r="AM63" s="3" t="s">
        <v>176</v>
      </c>
      <c r="AN63" s="3"/>
      <c r="AO63" s="3"/>
      <c r="AP63" s="3" t="s">
        <v>121</v>
      </c>
    </row>
    <row r="64" s="1" customFormat="1" spans="1:42">
      <c r="A64" s="3">
        <v>3</v>
      </c>
      <c r="B64" s="3" t="s">
        <v>116</v>
      </c>
      <c r="C64" s="3" t="s">
        <v>117</v>
      </c>
      <c r="D64" s="3" t="s">
        <v>373</v>
      </c>
      <c r="E64" s="3" t="s">
        <v>435</v>
      </c>
      <c r="F64" s="3" t="s">
        <v>120</v>
      </c>
      <c r="G64" s="3" t="s">
        <v>121</v>
      </c>
      <c r="H64" s="4">
        <v>12298.6</v>
      </c>
      <c r="I64" s="3" t="s">
        <v>147</v>
      </c>
      <c r="J64" s="3" t="s">
        <v>217</v>
      </c>
      <c r="K64" s="3" t="s">
        <v>149</v>
      </c>
      <c r="L64" s="3" t="s">
        <v>121</v>
      </c>
      <c r="M64" s="3" t="s">
        <v>514</v>
      </c>
      <c r="N64" s="3" t="s">
        <v>150</v>
      </c>
      <c r="O64" s="3" t="s">
        <v>151</v>
      </c>
      <c r="P64" s="3" t="s">
        <v>20</v>
      </c>
      <c r="Q64" s="3" t="s">
        <v>518</v>
      </c>
      <c r="R64" s="3" t="s">
        <v>20</v>
      </c>
      <c r="S64" s="3" t="s">
        <v>519</v>
      </c>
      <c r="T64" s="3" t="s">
        <v>520</v>
      </c>
      <c r="U64" s="3" t="s">
        <v>155</v>
      </c>
      <c r="V64" s="3" t="s">
        <v>396</v>
      </c>
      <c r="W64" s="3" t="s">
        <v>440</v>
      </c>
      <c r="X64" s="3" t="s">
        <v>373</v>
      </c>
      <c r="Y64" s="3"/>
      <c r="Z64" s="3" t="s">
        <v>132</v>
      </c>
      <c r="AA64" s="3" t="s">
        <v>23</v>
      </c>
      <c r="AB64" s="3" t="s">
        <v>134</v>
      </c>
      <c r="AC64" s="3" t="s">
        <v>23</v>
      </c>
      <c r="AD64" s="3" t="s">
        <v>23</v>
      </c>
      <c r="AE64" s="3" t="s">
        <v>137</v>
      </c>
      <c r="AF64" s="3" t="s">
        <v>161</v>
      </c>
      <c r="AG64" s="3" t="s">
        <v>139</v>
      </c>
      <c r="AH64" s="3" t="s">
        <v>372</v>
      </c>
      <c r="AI64" s="3">
        <v>5515707</v>
      </c>
      <c r="AJ64" s="3"/>
      <c r="AK64" s="3"/>
      <c r="AL64" s="3"/>
      <c r="AM64" s="3" t="s">
        <v>176</v>
      </c>
      <c r="AN64" s="3"/>
      <c r="AO64" s="3"/>
      <c r="AP64" s="3" t="s">
        <v>121</v>
      </c>
    </row>
    <row r="65" s="1" customFormat="1" spans="1:42">
      <c r="A65" s="3">
        <v>24</v>
      </c>
      <c r="B65" s="3" t="s">
        <v>116</v>
      </c>
      <c r="C65" s="3" t="s">
        <v>117</v>
      </c>
      <c r="D65" s="3" t="s">
        <v>381</v>
      </c>
      <c r="E65" s="3" t="s">
        <v>521</v>
      </c>
      <c r="F65" s="3" t="s">
        <v>120</v>
      </c>
      <c r="G65" s="3" t="s">
        <v>121</v>
      </c>
      <c r="H65" s="4">
        <v>31300</v>
      </c>
      <c r="I65" s="3"/>
      <c r="J65" s="3" t="s">
        <v>121</v>
      </c>
      <c r="K65" s="3" t="s">
        <v>149</v>
      </c>
      <c r="L65" s="3" t="s">
        <v>121</v>
      </c>
      <c r="M65" s="3" t="s">
        <v>123</v>
      </c>
      <c r="N65" s="3" t="s">
        <v>522</v>
      </c>
      <c r="O65" s="3" t="s">
        <v>523</v>
      </c>
      <c r="P65" s="3" t="s">
        <v>20</v>
      </c>
      <c r="Q65" s="3" t="s">
        <v>524</v>
      </c>
      <c r="R65" s="3" t="s">
        <v>20</v>
      </c>
      <c r="S65" s="3" t="s">
        <v>525</v>
      </c>
      <c r="T65" s="3" t="s">
        <v>526</v>
      </c>
      <c r="U65" s="3" t="s">
        <v>155</v>
      </c>
      <c r="V65" s="3" t="s">
        <v>265</v>
      </c>
      <c r="W65" s="3" t="s">
        <v>527</v>
      </c>
      <c r="X65" s="3" t="s">
        <v>381</v>
      </c>
      <c r="Y65" s="3"/>
      <c r="Z65" s="3" t="s">
        <v>132</v>
      </c>
      <c r="AA65" s="3" t="s">
        <v>172</v>
      </c>
      <c r="AB65" s="3" t="s">
        <v>134</v>
      </c>
      <c r="AC65" s="3" t="s">
        <v>134</v>
      </c>
      <c r="AD65" s="3" t="s">
        <v>134</v>
      </c>
      <c r="AE65" s="3" t="s">
        <v>137</v>
      </c>
      <c r="AF65" s="3" t="s">
        <v>460</v>
      </c>
      <c r="AG65" s="3" t="s">
        <v>139</v>
      </c>
      <c r="AH65" s="3" t="s">
        <v>140</v>
      </c>
      <c r="AI65" s="3">
        <v>5516551</v>
      </c>
      <c r="AJ65" s="3"/>
      <c r="AK65" s="3"/>
      <c r="AL65" s="3" t="s">
        <v>141</v>
      </c>
      <c r="AM65" s="3" t="s">
        <v>142</v>
      </c>
      <c r="AN65" s="3" t="s">
        <v>528</v>
      </c>
      <c r="AO65" s="3" t="s">
        <v>389</v>
      </c>
      <c r="AP65" s="3" t="s">
        <v>142</v>
      </c>
    </row>
    <row r="66" s="1" customFormat="1" spans="1:42">
      <c r="A66" s="3">
        <v>22</v>
      </c>
      <c r="B66" s="3" t="s">
        <v>116</v>
      </c>
      <c r="C66" s="3" t="s">
        <v>117</v>
      </c>
      <c r="D66" s="3" t="s">
        <v>529</v>
      </c>
      <c r="E66" s="3" t="s">
        <v>530</v>
      </c>
      <c r="F66" s="3" t="s">
        <v>120</v>
      </c>
      <c r="G66" s="3" t="s">
        <v>121</v>
      </c>
      <c r="H66" s="4">
        <v>20300</v>
      </c>
      <c r="I66" s="3"/>
      <c r="J66" s="3" t="s">
        <v>121</v>
      </c>
      <c r="K66" s="3" t="s">
        <v>122</v>
      </c>
      <c r="L66" s="3" t="s">
        <v>121</v>
      </c>
      <c r="M66" s="3" t="s">
        <v>123</v>
      </c>
      <c r="N66" s="3" t="s">
        <v>179</v>
      </c>
      <c r="O66" s="3" t="s">
        <v>180</v>
      </c>
      <c r="P66" s="3" t="s">
        <v>20</v>
      </c>
      <c r="Q66" s="3" t="s">
        <v>531</v>
      </c>
      <c r="R66" s="3" t="s">
        <v>20</v>
      </c>
      <c r="S66" s="3" t="s">
        <v>532</v>
      </c>
      <c r="T66" s="3" t="s">
        <v>533</v>
      </c>
      <c r="U66" s="3" t="s">
        <v>129</v>
      </c>
      <c r="V66" s="3" t="s">
        <v>396</v>
      </c>
      <c r="W66" s="3" t="s">
        <v>534</v>
      </c>
      <c r="X66" s="3" t="s">
        <v>529</v>
      </c>
      <c r="Y66" s="3"/>
      <c r="Z66" s="3" t="s">
        <v>132</v>
      </c>
      <c r="AA66" s="3" t="s">
        <v>172</v>
      </c>
      <c r="AB66" s="3" t="s">
        <v>134</v>
      </c>
      <c r="AC66" s="3" t="s">
        <v>134</v>
      </c>
      <c r="AD66" s="3" t="s">
        <v>134</v>
      </c>
      <c r="AE66" s="3" t="s">
        <v>137</v>
      </c>
      <c r="AF66" s="3" t="s">
        <v>460</v>
      </c>
      <c r="AG66" s="3" t="s">
        <v>139</v>
      </c>
      <c r="AH66" s="3" t="s">
        <v>140</v>
      </c>
      <c r="AI66" s="3">
        <v>5517100</v>
      </c>
      <c r="AJ66" s="3"/>
      <c r="AK66" s="3"/>
      <c r="AL66" s="3" t="s">
        <v>141</v>
      </c>
      <c r="AM66" s="3" t="s">
        <v>142</v>
      </c>
      <c r="AN66" s="3"/>
      <c r="AO66" s="3" t="s">
        <v>251</v>
      </c>
      <c r="AP66" s="3" t="s">
        <v>142</v>
      </c>
    </row>
    <row r="67" s="1" customFormat="1" spans="1:42">
      <c r="A67" s="3">
        <v>20</v>
      </c>
      <c r="B67" s="3" t="s">
        <v>116</v>
      </c>
      <c r="C67" s="3" t="s">
        <v>117</v>
      </c>
      <c r="D67" s="3" t="s">
        <v>535</v>
      </c>
      <c r="E67" s="3" t="s">
        <v>536</v>
      </c>
      <c r="F67" s="3" t="s">
        <v>120</v>
      </c>
      <c r="G67" s="3" t="s">
        <v>121</v>
      </c>
      <c r="H67" s="4">
        <v>20300</v>
      </c>
      <c r="I67" s="3"/>
      <c r="J67" s="3" t="s">
        <v>121</v>
      </c>
      <c r="K67" s="3" t="s">
        <v>122</v>
      </c>
      <c r="L67" s="3" t="s">
        <v>121</v>
      </c>
      <c r="M67" s="3" t="s">
        <v>123</v>
      </c>
      <c r="N67" s="3" t="s">
        <v>240</v>
      </c>
      <c r="O67" s="3" t="s">
        <v>392</v>
      </c>
      <c r="P67" s="3" t="s">
        <v>20</v>
      </c>
      <c r="Q67" s="3" t="s">
        <v>537</v>
      </c>
      <c r="R67" s="3" t="s">
        <v>20</v>
      </c>
      <c r="S67" s="3" t="s">
        <v>537</v>
      </c>
      <c r="T67" s="3" t="s">
        <v>538</v>
      </c>
      <c r="U67" s="3" t="s">
        <v>155</v>
      </c>
      <c r="V67" s="3" t="s">
        <v>265</v>
      </c>
      <c r="W67" s="3" t="s">
        <v>539</v>
      </c>
      <c r="X67" s="3" t="s">
        <v>535</v>
      </c>
      <c r="Y67" s="3"/>
      <c r="Z67" s="3" t="s">
        <v>132</v>
      </c>
      <c r="AA67" s="3" t="s">
        <v>333</v>
      </c>
      <c r="AB67" s="3" t="s">
        <v>134</v>
      </c>
      <c r="AC67" s="3" t="s">
        <v>333</v>
      </c>
      <c r="AD67" s="3" t="s">
        <v>333</v>
      </c>
      <c r="AE67" s="3" t="s">
        <v>137</v>
      </c>
      <c r="AF67" s="3" t="s">
        <v>460</v>
      </c>
      <c r="AG67" s="3" t="s">
        <v>139</v>
      </c>
      <c r="AH67" s="3" t="s">
        <v>249</v>
      </c>
      <c r="AI67" s="3">
        <v>5578827</v>
      </c>
      <c r="AJ67" s="3"/>
      <c r="AK67" s="3"/>
      <c r="AL67" s="3" t="s">
        <v>141</v>
      </c>
      <c r="AM67" s="3" t="s">
        <v>142</v>
      </c>
      <c r="AN67" s="3"/>
      <c r="AO67" s="3" t="s">
        <v>251</v>
      </c>
      <c r="AP67" s="3" t="s">
        <v>142</v>
      </c>
    </row>
    <row r="68" s="1" customFormat="1" spans="1:42">
      <c r="A68" s="3">
        <v>19</v>
      </c>
      <c r="B68" s="3" t="s">
        <v>116</v>
      </c>
      <c r="C68" s="3" t="s">
        <v>117</v>
      </c>
      <c r="D68" s="3" t="s">
        <v>540</v>
      </c>
      <c r="E68" s="3" t="s">
        <v>541</v>
      </c>
      <c r="F68" s="3" t="s">
        <v>120</v>
      </c>
      <c r="G68" s="3" t="s">
        <v>121</v>
      </c>
      <c r="H68" s="4">
        <v>8500</v>
      </c>
      <c r="I68" s="3"/>
      <c r="J68" s="3" t="s">
        <v>121</v>
      </c>
      <c r="K68" s="3" t="s">
        <v>122</v>
      </c>
      <c r="L68" s="3" t="s">
        <v>121</v>
      </c>
      <c r="M68" s="3" t="s">
        <v>123</v>
      </c>
      <c r="N68" s="3" t="s">
        <v>124</v>
      </c>
      <c r="O68" s="3" t="s">
        <v>125</v>
      </c>
      <c r="P68" s="3" t="s">
        <v>20</v>
      </c>
      <c r="Q68" s="3" t="s">
        <v>542</v>
      </c>
      <c r="R68" s="3" t="s">
        <v>20</v>
      </c>
      <c r="S68" s="3" t="s">
        <v>542</v>
      </c>
      <c r="T68" s="3" t="s">
        <v>543</v>
      </c>
      <c r="U68" s="3" t="s">
        <v>155</v>
      </c>
      <c r="V68" s="3" t="s">
        <v>244</v>
      </c>
      <c r="W68" s="3" t="s">
        <v>544</v>
      </c>
      <c r="X68" s="3" t="s">
        <v>540</v>
      </c>
      <c r="Y68" s="3"/>
      <c r="Z68" s="3" t="s">
        <v>132</v>
      </c>
      <c r="AA68" s="3" t="s">
        <v>545</v>
      </c>
      <c r="AB68" s="3" t="s">
        <v>134</v>
      </c>
      <c r="AC68" s="3" t="s">
        <v>447</v>
      </c>
      <c r="AD68" s="3" t="s">
        <v>198</v>
      </c>
      <c r="AE68" s="3" t="s">
        <v>137</v>
      </c>
      <c r="AF68" s="3" t="s">
        <v>460</v>
      </c>
      <c r="AG68" s="3" t="s">
        <v>139</v>
      </c>
      <c r="AH68" s="3" t="s">
        <v>140</v>
      </c>
      <c r="AI68" s="3">
        <v>5549826</v>
      </c>
      <c r="AJ68" s="3"/>
      <c r="AK68" s="3"/>
      <c r="AL68" s="3" t="s">
        <v>141</v>
      </c>
      <c r="AM68" s="3" t="s">
        <v>142</v>
      </c>
      <c r="AN68" s="3"/>
      <c r="AO68" s="3" t="s">
        <v>261</v>
      </c>
      <c r="AP68" s="3" t="s">
        <v>142</v>
      </c>
    </row>
    <row r="69" s="1" customFormat="1" spans="1:42">
      <c r="A69" s="3">
        <v>18</v>
      </c>
      <c r="B69" s="3" t="s">
        <v>116</v>
      </c>
      <c r="C69" s="3" t="s">
        <v>117</v>
      </c>
      <c r="D69" s="3" t="s">
        <v>546</v>
      </c>
      <c r="E69" s="3" t="s">
        <v>547</v>
      </c>
      <c r="F69" s="3" t="s">
        <v>120</v>
      </c>
      <c r="G69" s="3" t="s">
        <v>121</v>
      </c>
      <c r="H69" s="4">
        <v>8500</v>
      </c>
      <c r="I69" s="3"/>
      <c r="J69" s="3" t="s">
        <v>121</v>
      </c>
      <c r="K69" s="3" t="s">
        <v>122</v>
      </c>
      <c r="L69" s="3" t="s">
        <v>121</v>
      </c>
      <c r="M69" s="3" t="s">
        <v>123</v>
      </c>
      <c r="N69" s="3" t="s">
        <v>124</v>
      </c>
      <c r="O69" s="3" t="s">
        <v>192</v>
      </c>
      <c r="P69" s="3" t="s">
        <v>20</v>
      </c>
      <c r="Q69" s="3" t="s">
        <v>548</v>
      </c>
      <c r="R69" s="3" t="s">
        <v>20</v>
      </c>
      <c r="S69" s="3" t="s">
        <v>549</v>
      </c>
      <c r="T69" s="3" t="s">
        <v>550</v>
      </c>
      <c r="U69" s="3" t="s">
        <v>155</v>
      </c>
      <c r="V69" s="3" t="s">
        <v>265</v>
      </c>
      <c r="W69" s="3" t="s">
        <v>551</v>
      </c>
      <c r="X69" s="3" t="s">
        <v>546</v>
      </c>
      <c r="Y69" s="3"/>
      <c r="Z69" s="3" t="s">
        <v>132</v>
      </c>
      <c r="AA69" s="3" t="s">
        <v>172</v>
      </c>
      <c r="AB69" s="3" t="s">
        <v>134</v>
      </c>
      <c r="AC69" s="3" t="s">
        <v>134</v>
      </c>
      <c r="AD69" s="3" t="s">
        <v>134</v>
      </c>
      <c r="AE69" s="3" t="s">
        <v>137</v>
      </c>
      <c r="AF69" s="3" t="s">
        <v>441</v>
      </c>
      <c r="AG69" s="3" t="s">
        <v>139</v>
      </c>
      <c r="AH69" s="3" t="s">
        <v>140</v>
      </c>
      <c r="AI69" s="3">
        <v>5581139</v>
      </c>
      <c r="AJ69" s="3"/>
      <c r="AK69" s="3"/>
      <c r="AL69" s="3" t="s">
        <v>141</v>
      </c>
      <c r="AM69" s="3" t="s">
        <v>142</v>
      </c>
      <c r="AN69" s="3" t="s">
        <v>552</v>
      </c>
      <c r="AO69" s="3" t="s">
        <v>261</v>
      </c>
      <c r="AP69" s="3" t="s">
        <v>142</v>
      </c>
    </row>
    <row r="70" s="1" customFormat="1" spans="1:42">
      <c r="A70" s="3">
        <v>17</v>
      </c>
      <c r="B70" s="3" t="s">
        <v>116</v>
      </c>
      <c r="C70" s="3" t="s">
        <v>117</v>
      </c>
      <c r="D70" s="3" t="s">
        <v>553</v>
      </c>
      <c r="E70" s="3" t="s">
        <v>554</v>
      </c>
      <c r="F70" s="3" t="s">
        <v>120</v>
      </c>
      <c r="G70" s="3" t="s">
        <v>121</v>
      </c>
      <c r="H70" s="4">
        <v>8650</v>
      </c>
      <c r="I70" s="3"/>
      <c r="J70" s="3" t="s">
        <v>555</v>
      </c>
      <c r="K70" s="3" t="s">
        <v>149</v>
      </c>
      <c r="L70" s="3" t="s">
        <v>121</v>
      </c>
      <c r="M70" s="3" t="s">
        <v>123</v>
      </c>
      <c r="N70" s="3" t="s">
        <v>150</v>
      </c>
      <c r="O70" s="3" t="s">
        <v>433</v>
      </c>
      <c r="P70" s="3" t="s">
        <v>20</v>
      </c>
      <c r="Q70" s="3" t="s">
        <v>556</v>
      </c>
      <c r="R70" s="3" t="s">
        <v>20</v>
      </c>
      <c r="S70" s="3" t="s">
        <v>557</v>
      </c>
      <c r="T70" s="3" t="s">
        <v>558</v>
      </c>
      <c r="U70" s="3" t="s">
        <v>155</v>
      </c>
      <c r="V70" s="3" t="s">
        <v>195</v>
      </c>
      <c r="W70" s="3" t="s">
        <v>559</v>
      </c>
      <c r="X70" s="3" t="s">
        <v>553</v>
      </c>
      <c r="Y70" s="3"/>
      <c r="Z70" s="3" t="s">
        <v>132</v>
      </c>
      <c r="AA70" s="3" t="s">
        <v>172</v>
      </c>
      <c r="AB70" s="3" t="s">
        <v>134</v>
      </c>
      <c r="AC70" s="3" t="s">
        <v>134</v>
      </c>
      <c r="AD70" s="3" t="s">
        <v>134</v>
      </c>
      <c r="AE70" s="3" t="s">
        <v>137</v>
      </c>
      <c r="AF70" s="3" t="s">
        <v>560</v>
      </c>
      <c r="AG70" s="3" t="s">
        <v>139</v>
      </c>
      <c r="AH70" s="3" t="s">
        <v>140</v>
      </c>
      <c r="AI70" s="3">
        <v>5583564</v>
      </c>
      <c r="AJ70" s="3"/>
      <c r="AK70" s="3"/>
      <c r="AL70" s="3" t="s">
        <v>141</v>
      </c>
      <c r="AM70" s="3" t="s">
        <v>142</v>
      </c>
      <c r="AN70" s="3"/>
      <c r="AO70" s="3" t="s">
        <v>561</v>
      </c>
      <c r="AP70" s="3" t="s">
        <v>142</v>
      </c>
    </row>
    <row r="71" spans="4:16">
      <c r="D71" s="5">
        <v>45898</v>
      </c>
      <c r="E71" s="6" t="s">
        <v>562</v>
      </c>
      <c r="I71" s="8">
        <f>10171.5/2</f>
        <v>5085.75</v>
      </c>
      <c r="O71" s="6" t="s">
        <v>563</v>
      </c>
      <c r="P71" s="6" t="s">
        <v>20</v>
      </c>
    </row>
    <row r="72" spans="8:10">
      <c r="H72" s="7">
        <f>SUM(H50:H70)</f>
        <v>411191.1</v>
      </c>
      <c r="I72" s="8">
        <f>SUM(I71:I71)</f>
        <v>5085.75</v>
      </c>
      <c r="J72" s="7">
        <f>H72-I71</f>
        <v>406105.35</v>
      </c>
    </row>
  </sheetData>
  <autoFilter xmlns:etc="http://www.wps.cn/officeDocument/2017/etCustomData" ref="A49:AP72" etc:filterBottomFollowUsedRange="0">
    <sortState ref="A49:AP72">
      <sortCondition ref="D49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2025-09-01T10:31:42Z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2052-12.1.0.20305</vt:lpwstr>
  </property>
</Properties>
</file>