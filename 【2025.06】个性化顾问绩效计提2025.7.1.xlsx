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erena/Desktop/"/>
    </mc:Choice>
  </mc:AlternateContent>
  <xr:revisionPtr revIDLastSave="0" documentId="13_ncr:1_{0F9CAFC6-FF14-B84C-9696-D1DBFA6F8809}" xr6:coauthVersionLast="47" xr6:coauthVersionMax="47" xr10:uidLastSave="{00000000-0000-0000-0000-000000000000}"/>
  <bookViews>
    <workbookView xWindow="0" yWindow="500" windowWidth="25600" windowHeight="15500" activeTab="6" xr2:uid="{00000000-000D-0000-FFFF-FFFF00000000}"/>
  </bookViews>
  <sheets>
    <sheet name="汇总" sheetId="5" r:id="rId1"/>
    <sheet name="业绩汇总表" sheetId="4" r:id="rId2"/>
    <sheet name="数据表1" sheetId="1" state="hidden" r:id="rId3"/>
    <sheet name="退费（取自钉钉客服退费表单）" sheetId="2" r:id="rId4"/>
    <sheet name="顾问绩效" sheetId="6" r:id="rId5"/>
    <sheet name="91签约明细" sheetId="3" r:id="rId6"/>
    <sheet name="7月绩效目标" sheetId="7" r:id="rId7"/>
  </sheets>
  <definedNames>
    <definedName name="_xlnm._FilterDatabase" localSheetId="5" hidden="1">'91签约明细'!$A$11:$BO$11</definedName>
    <definedName name="_xlnm._FilterDatabase" localSheetId="2" hidden="1">数据表1!$A$1:$AR$334</definedName>
    <definedName name="_xlnm._FilterDatabase" localSheetId="3" hidden="1">'退费（取自钉钉客服退费表单）'!$A$1:$XEQ$1</definedName>
  </definedNames>
  <calcPr calcId="191029"/>
  <pivotCaches>
    <pivotCache cacheId="145"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5" l="1"/>
  <c r="I7" i="5"/>
  <c r="I5" i="5"/>
  <c r="M7" i="4"/>
  <c r="M8" i="4"/>
  <c r="K8" i="4"/>
  <c r="L8" i="4"/>
  <c r="I4" i="5"/>
  <c r="K4" i="6"/>
  <c r="K5" i="6"/>
  <c r="M4" i="6"/>
  <c r="M5" i="6"/>
  <c r="O5" i="6"/>
  <c r="P5" i="6" s="1"/>
  <c r="R5" i="6" s="1"/>
  <c r="O4" i="6"/>
  <c r="P4" i="6" s="1"/>
  <c r="R4" i="6" s="1"/>
  <c r="H8" i="4"/>
  <c r="I8" i="4"/>
  <c r="I9" i="4" s="1"/>
  <c r="X34" i="2"/>
  <c r="X33" i="2"/>
  <c r="H7" i="4"/>
  <c r="D9" i="4"/>
  <c r="X36" i="2"/>
  <c r="X19" i="2"/>
  <c r="F8" i="4"/>
  <c r="F7" i="4"/>
  <c r="E8" i="4"/>
  <c r="E7" i="4"/>
  <c r="G7" i="4" l="1"/>
  <c r="G8" i="4"/>
  <c r="J8" i="4"/>
  <c r="H9" i="4"/>
  <c r="J9" i="4" s="1"/>
  <c r="J7" i="4"/>
  <c r="E9" i="4"/>
  <c r="F9" i="4"/>
  <c r="G9" i="4" l="1"/>
  <c r="K9" i="4" s="1"/>
  <c r="L9" i="4" s="1"/>
  <c r="K7" i="4"/>
  <c r="L7" i="4" s="1"/>
</calcChain>
</file>

<file path=xl/sharedStrings.xml><?xml version="1.0" encoding="utf-8"?>
<sst xmlns="http://schemas.openxmlformats.org/spreadsheetml/2006/main" count="21226" uniqueCount="3322">
  <si>
    <t>提交日期</t>
  </si>
  <si>
    <t>您所办理的业务类型</t>
  </si>
  <si>
    <t>OA流水号</t>
  </si>
  <si>
    <t>学管姓名</t>
  </si>
  <si>
    <t>学管是否代办</t>
  </si>
  <si>
    <t>顾问姓名</t>
  </si>
  <si>
    <t>顾问是否代办</t>
  </si>
  <si>
    <t>91系统-最新报名二级渠道</t>
  </si>
  <si>
    <t>原班所属项目</t>
  </si>
  <si>
    <t>新报入班级所属项目</t>
  </si>
  <si>
    <t>退费阶段</t>
  </si>
  <si>
    <t>退费一级原因（开课前）</t>
  </si>
  <si>
    <t>退费一级原因 (开课后)</t>
  </si>
  <si>
    <t>退费二级原因（专业课师资匹配原因）</t>
  </si>
  <si>
    <t>退费二级原因（学员意愿转变_开课前）</t>
  </si>
  <si>
    <t>退费二级原因（计划冲突_开课前）</t>
  </si>
  <si>
    <t>退费二级原因（中心原因_开课前）</t>
  </si>
  <si>
    <t>退费二级原因（签约话术）</t>
  </si>
  <si>
    <t>退费二级原因（教师）</t>
  </si>
  <si>
    <t>退费二级原因（教学）</t>
  </si>
  <si>
    <t>退费二级原因（课程安排）</t>
  </si>
  <si>
    <t>退费二级原因（配套服务）</t>
  </si>
  <si>
    <t>退费二级原因（配套学习设施）</t>
  </si>
  <si>
    <t>退费二级原因（中心原因_开课后）</t>
  </si>
  <si>
    <t>退费二级原因（计划冲突_开课后）</t>
  </si>
  <si>
    <t>退费二级原因（学员意愿转变_开课后）</t>
  </si>
  <si>
    <t>退费三级原因（完全匹配不上）-院校、学院、专业、专业课代码及名称</t>
  </si>
  <si>
    <t>退费详细原因说明（与OA退费详细说明保持一致）</t>
  </si>
  <si>
    <t>预计报名新班学费金额</t>
  </si>
  <si>
    <t>转班金额（请学管填写所在班级实际金额）</t>
  </si>
  <si>
    <t>转班详细原因说明</t>
  </si>
  <si>
    <t>提交时间</t>
  </si>
  <si>
    <t>提交人</t>
  </si>
  <si>
    <t>退费类型</t>
  </si>
  <si>
    <t>学员姓名</t>
  </si>
  <si>
    <t>学员编码</t>
  </si>
  <si>
    <t>退费金额</t>
  </si>
  <si>
    <t>办理日期-客服</t>
  </si>
  <si>
    <t>退费方式-客服</t>
  </si>
  <si>
    <t>需要跟进的顾问/学管</t>
  </si>
  <si>
    <t>退费/转班特殊情况备注（若需要学管提供银行卡信息，可将需求填写在此处）-客服</t>
  </si>
  <si>
    <t>是否完成退费/转班-客服</t>
  </si>
  <si>
    <t>父记录</t>
  </si>
  <si>
    <t>2025/05/28</t>
  </si>
  <si>
    <t>退费</t>
  </si>
  <si>
    <t>18649504</t>
  </si>
  <si>
    <t>郑雪新</t>
  </si>
  <si>
    <t>钱雪冰</t>
  </si>
  <si>
    <t>巨量广告</t>
  </si>
  <si>
    <t>集训营项目</t>
  </si>
  <si>
    <t>开课后退费</t>
  </si>
  <si>
    <t>学员意愿转变_开课后</t>
  </si>
  <si>
    <t>个人身体原因无法承受高强度学习</t>
  </si>
  <si>
    <t>刘浩宇BJWY3212612620自报到后提出了3次退费，先后跟妈妈共同沟通挽单无效；主要是自报到后睡眠效果不好，经济上感觉家里有压力，最终执意回家先备考（7-8月份还有一个专业课面授班）挽单失败，强冲阶段的费用明细：
1】KYJS25006A0079  KYJS25006A 26考研数学全年集训营（强冲）课前全额退15860
2】KYJY25006A0061  KYJY25006A 26考研英语全年集训营（强冲/英语一）课前全额退17870
3】KYJZ25006A0070  KYJZ25006A 26考研政治全年集训营（强冲）课前全额退12500</t>
  </si>
  <si>
    <t>2025-06-30</t>
  </si>
  <si>
    <t>真实产生的退费</t>
  </si>
  <si>
    <t>刘浩宇</t>
  </si>
  <si>
    <t>BJWY3212612620</t>
  </si>
  <si>
    <t>2025/06/18</t>
  </si>
  <si>
    <t xml:space="preserve">微信共退90521
[图片]
[图片]
</t>
  </si>
  <si>
    <t>TRUE</t>
  </si>
  <si>
    <t>18649547</t>
  </si>
  <si>
    <t>刘浩宇BJWY3212612620自报到后提出了3次退费，先后跟妈妈共同沟通挽单无效；主要是自报到后睡眠效果不好，经济上感觉家里有压力，最终执意回家先备考（7-8月份还有一个专业课面授班）挽单失败
KYJY250070042  KYJY25007  26考研英语全年集训营（基础/四月）实缴13070--总课时58；课耗22；恋练有词88元--扣费：（13870/58*22）+88=5349.0--退还：13070-5349=7721.0</t>
  </si>
  <si>
    <t>18649542</t>
  </si>
  <si>
    <t>刘浩宇BJWY3212612620自报到后提出了3次退费，先后跟妈妈共同沟通挽单无效；主要是自报到后睡眠效果不好，经济上感觉家里有压力，最终执意回家先备考（7-8月份还有一个专业课面授班）挽单失败
KYJS250070026  KYJS25007 26考研数学全年集训营（基础/四月）实缴7670--总课时52；课耗16；资料费43.8元--扣费：（8340/52*16）+43.8=2610.0--退还：7670-2610=5060.0</t>
  </si>
  <si>
    <t>18649549</t>
  </si>
  <si>
    <t>刘浩宇BJWY3212612620自报到后提出了3次退费，先后跟妈妈共同沟通挽单无效；主要是自报到后睡眠效果不好，经济上感觉家里有压力，最终执意回家先备考（7-8月份还有一个专业课面授班）挽单失败
KYJZ250070042 KYJZ25007 26考研政治全年集训营（基础/四月）实缴7630--总课时40；课耗16；不涉及书本费--扣费：8300/40*16=3320--退还：7630-3320=4310.0</t>
  </si>
  <si>
    <t>2025/05/30</t>
  </si>
  <si>
    <t>2025052100094</t>
  </si>
  <si>
    <t>张子晗67-张子晗</t>
  </si>
  <si>
    <t>刘晓娟</t>
  </si>
  <si>
    <t>虚拟人</t>
  </si>
  <si>
    <t>四六级项目</t>
  </si>
  <si>
    <t>认为课程用处不大/不适合自己</t>
  </si>
  <si>
    <t>学生认为课程不适合自己</t>
  </si>
  <si>
    <t>金立威</t>
  </si>
  <si>
    <t>BJWY0665091701</t>
  </si>
  <si>
    <t>2025/06/01</t>
  </si>
  <si>
    <t xml:space="preserve">微信退回[图片]
</t>
  </si>
  <si>
    <t>18658679</t>
  </si>
  <si>
    <t>王立颖17-王立颖</t>
  </si>
  <si>
    <t>杨明43-杨明（北京在职mba考研）</t>
  </si>
  <si>
    <t>公众号</t>
  </si>
  <si>
    <t>在职研项目</t>
  </si>
  <si>
    <t>选择出国留学</t>
  </si>
  <si>
    <t>姓名：张元正
电话：13520118637
学员编号：BJWY3510399937
产品名称：ZZYG26002   考研在职管理类综合全程班（26）
退费原因：计划有变，准备出国留学。
实际退费金额=总课时费-课时消耗金额-教材费用
课耗金额=21800/70*6=1868.6元
教材费用=100元
实际退费金额=21300-1868.6-100=19331.4元</t>
  </si>
  <si>
    <t>张元正</t>
  </si>
  <si>
    <t>BJWY3510399937</t>
  </si>
  <si>
    <t>2025/06/03</t>
  </si>
  <si>
    <t>微信退回</t>
  </si>
  <si>
    <t xml:space="preserve">[图片]
</t>
  </si>
  <si>
    <t>2025/06/02</t>
  </si>
  <si>
    <t>2025052903139</t>
  </si>
  <si>
    <t>张泽7-张泽</t>
  </si>
  <si>
    <t>赵星火</t>
  </si>
  <si>
    <t>学管续费推荐</t>
  </si>
  <si>
    <t>VIP项目</t>
  </si>
  <si>
    <t>无忧项目</t>
  </si>
  <si>
    <t>投诉学员乔怡娜，处理方案：一对一剩余课时费4000元，特殊申请转入无忧走读班级（原价25600），无需补充差价；6.28开课：英语二强化+冲刺WYFE26007,WYFE26008 政治：WYFP26003,WYFP26004 姓名：乔怡娜 学员号：BJWY3184144484 课时包编码：LP1715735991942，考研一对一伴学班（25考季） 退费原因：公共课未考到目标学校分数线剩余5小时需要退费，报如无忧班课 退费金额=报名金额-课消金额=32000-800*35=4000元</t>
  </si>
  <si>
    <t>¥4000.00</t>
  </si>
  <si>
    <t>转项目/转班/退出重报等未产生实际退费</t>
  </si>
  <si>
    <t>乔怡娜</t>
  </si>
  <si>
    <t>BJWY3184144484</t>
  </si>
  <si>
    <t>退至学员账户</t>
  </si>
  <si>
    <t>2025/05/21</t>
  </si>
  <si>
    <t>NO.7205759403793977957</t>
  </si>
  <si>
    <t>马一鸣16-马一鸣</t>
  </si>
  <si>
    <t>学生初级会计师考试结束，不需要课程了。询问是否学习其他内容，学生不需要，坚持退费。</t>
  </si>
  <si>
    <t>毕嫣然</t>
  </si>
  <si>
    <t>BJWY2440766155</t>
  </si>
  <si>
    <t>6.10财务反馈退款失败，已重新提交新的银行卡：毕嫣然6214686200322381北京海淀北京银行新华支行</t>
  </si>
  <si>
    <t>NO.18656618</t>
  </si>
  <si>
    <t>高龙明</t>
  </si>
  <si>
    <t>顾问转介绍-老带新</t>
  </si>
  <si>
    <t>开课前退费</t>
  </si>
  <si>
    <t>学员意愿转变_开课前</t>
  </si>
  <si>
    <t>找到工作</t>
  </si>
  <si>
    <t>学生找到工作不考研了</t>
  </si>
  <si>
    <t>王鹏</t>
  </si>
  <si>
    <t>BJWY7229276582</t>
  </si>
  <si>
    <t>支付宝退回</t>
  </si>
  <si>
    <t>18656571</t>
  </si>
  <si>
    <t>内部工单推荐</t>
  </si>
  <si>
    <t>去其他机构</t>
  </si>
  <si>
    <t>孩子不来学习，家长沟通过了，尊重孩子想法</t>
  </si>
  <si>
    <t>关子仁</t>
  </si>
  <si>
    <t>XDF6597266200</t>
  </si>
  <si>
    <t>2025/06/05</t>
  </si>
  <si>
    <t>已手工退款</t>
  </si>
  <si>
    <t>8646911284552491678</t>
  </si>
  <si>
    <t>¥11000.00</t>
  </si>
  <si>
    <t>2025/06/10</t>
  </si>
  <si>
    <t>2025060301379</t>
  </si>
  <si>
    <t>李润基</t>
  </si>
  <si>
    <t/>
  </si>
  <si>
    <t>徐健坤1-徐健坤</t>
  </si>
  <si>
    <t>地推</t>
  </si>
  <si>
    <t>学生对两节课不满意，故退4H，（37000/50×4h=2960元）</t>
  </si>
  <si>
    <t>张艺璇</t>
  </si>
  <si>
    <t>BJWY0321441887</t>
  </si>
  <si>
    <t>2025/06/06</t>
  </si>
  <si>
    <t>2025052600102</t>
  </si>
  <si>
    <t>韦艺鑫</t>
  </si>
  <si>
    <t>中心原因_开课前</t>
  </si>
  <si>
    <t>退出重报（报错班级）</t>
  </si>
  <si>
    <t>课时包无法直接转产品到无忧，退出重报 退费金额=缴费金额=25500元</t>
  </si>
  <si>
    <t>¥25500.00</t>
  </si>
  <si>
    <t>刘怡然</t>
  </si>
  <si>
    <t>BJWY2674858025</t>
  </si>
  <si>
    <t>退回账户余额</t>
  </si>
  <si>
    <t>18664265</t>
  </si>
  <si>
    <t>郝琨</t>
  </si>
  <si>
    <t>刘创9-刘创（北京考研/四六级）</t>
  </si>
  <si>
    <t>大众点评</t>
  </si>
  <si>
    <t>学生姓名：邱浩嘉学员编号：BJWY9031976688退费方式：报英政数专退全科退费原因：学生考研留学两手准备，4.6号沟通转5月班级学习，最后出勤截止到4.6号，未到转班时间学生现在已经申请好英国的学校，提出退费退费班级：WYE26033、WYE26031、WYE26032、WYM26013、WYM26014、WYM26015、WYP26026、WYP26027、WYP26025退费明细：实缴金额：44800；课消费用：5301.8；教材费：198应退金额：实缴金额-课消-教材费=44800-5301.8-198=39300.2元
学生现金支付退回银行卡：6214 6800 8868 3543    北京银行田村支行</t>
  </si>
  <si>
    <t>邱浩嘉</t>
  </si>
  <si>
    <t>BJWY9031976688</t>
  </si>
  <si>
    <t>2025/06/04</t>
  </si>
  <si>
    <t>6.11退款完成49300.2——————
​原支付渠道为现金，6.10已转手工退至学员本人银行卡：邱浩嘉6214680088683543北京银行田村支行</t>
  </si>
  <si>
    <t>18664327</t>
  </si>
  <si>
    <t>18664353</t>
  </si>
  <si>
    <t>18664390</t>
  </si>
  <si>
    <t>18664899</t>
  </si>
  <si>
    <t>葛铭</t>
  </si>
  <si>
    <t>刘海玲</t>
  </si>
  <si>
    <t>小红书</t>
  </si>
  <si>
    <t>学员出国，放弃考研</t>
  </si>
  <si>
    <t>李芊雨</t>
  </si>
  <si>
    <t>BJWY2714713335</t>
  </si>
  <si>
    <t>微信退13245.3</t>
  </si>
  <si>
    <t>18664846</t>
  </si>
  <si>
    <t>NO.3746994889973389362</t>
  </si>
  <si>
    <t>陈猛飞</t>
  </si>
  <si>
    <t>李崇宇1-李崇宇（北京考研/四六级）</t>
  </si>
  <si>
    <t>其他网络投放</t>
  </si>
  <si>
    <t>学生上了一段时间专业课，由于家庭原因和学生觉得这部分内容自己可以自学解决，坚持退掉专业课</t>
  </si>
  <si>
    <t>孟凡宇</t>
  </si>
  <si>
    <t>BJWY5191841449</t>
  </si>
  <si>
    <t>18664589</t>
  </si>
  <si>
    <t>汤之然</t>
  </si>
  <si>
    <t>刘贵宁</t>
  </si>
  <si>
    <t>直访</t>
  </si>
  <si>
    <t>英语学习部</t>
  </si>
  <si>
    <t>英学专用——不再需要此类课程</t>
  </si>
  <si>
    <t>青少学员报名一对一课程进行考前冲刺，上完后未消耗课程已办理退费，现在考试结果出来了学员考试没过要投诉，咨询法务老师建议全额退款降低风险，申请已消耗的费用3600元全额退款。已走邮件申请</t>
  </si>
  <si>
    <t>傅方静</t>
  </si>
  <si>
    <t>BJWY5845279213</t>
  </si>
  <si>
    <t>支付宝退3600</t>
  </si>
  <si>
    <t>18664187</t>
  </si>
  <si>
    <t>新东方在线员工推荐</t>
  </si>
  <si>
    <t>计划冲突_开课后</t>
  </si>
  <si>
    <t>学校事务和新东方时间冲突</t>
  </si>
  <si>
    <t>因为学校绩点原因再次延毕，需要重修20门课，无法参加26考研，也不考虑转到27考研，需要先处理学校毕业的事情</t>
  </si>
  <si>
    <t>史一博</t>
  </si>
  <si>
    <t>BJWY4662945918</t>
  </si>
  <si>
    <t>6.5已转手工退至学员本人银行卡：史一博6212260200196036251中国工商银行石景山玉泉路支行</t>
  </si>
  <si>
    <t>18664211</t>
  </si>
  <si>
    <t>计划冲突_开课前</t>
  </si>
  <si>
    <t>NO.1166353</t>
  </si>
  <si>
    <t>周佳欣17-周佳欣-武汉考研四六级</t>
  </si>
  <si>
    <t>学生考研留学两手准备，3.30号学生沟通先暂停考研。学生现在已经申请好英国的学校，提出退费。</t>
  </si>
  <si>
    <t>¥10000.00</t>
  </si>
  <si>
    <t>2025/05/18</t>
  </si>
  <si>
    <t>18632485</t>
  </si>
  <si>
    <t>陈号东5-陈号东</t>
  </si>
  <si>
    <t>考研信心不足（因跟不上、基础薄弱、目标过高）</t>
  </si>
  <si>
    <t>学生和家长表示跨专业考试难度大，不计划考研</t>
  </si>
  <si>
    <t>彭迦奥</t>
  </si>
  <si>
    <t>XDF2736875298</t>
  </si>
  <si>
    <t>18632563</t>
  </si>
  <si>
    <t>转班</t>
  </si>
  <si>
    <t>学生由英语一改考英语二</t>
  </si>
  <si>
    <t>王朗芮</t>
  </si>
  <si>
    <t>BJWY3327364490</t>
  </si>
  <si>
    <t>NO.5476377146883719625</t>
  </si>
  <si>
    <t>王士源13-王士源</t>
  </si>
  <si>
    <t>家人不支持考研/不支持跟班学习/意见不一致</t>
  </si>
  <si>
    <t>学员报入后提供了择校服务，搜集了大量的相关资料,但学员近期说自己找到了研究生老师上课，询问后学员决定不在新东方学习专业课。</t>
  </si>
  <si>
    <t>傅鑫昕</t>
  </si>
  <si>
    <t>BJWY8658310322</t>
  </si>
  <si>
    <t>百度投放</t>
  </si>
  <si>
    <t>学员时间冲突，申请转班</t>
  </si>
  <si>
    <t>李尚烨</t>
  </si>
  <si>
    <t>BJWY8264939203</t>
  </si>
  <si>
    <t>已转班</t>
  </si>
  <si>
    <t>NO.8358680908400807930</t>
  </si>
  <si>
    <t>郭又华</t>
  </si>
  <si>
    <t>谭悦9-谭悦</t>
  </si>
  <si>
    <t>代理商合作</t>
  </si>
  <si>
    <t>学生今年计划出国，不打算考研了，目前也没有其他课程需求，后边有需要再联系。</t>
  </si>
  <si>
    <t>何禹轩</t>
  </si>
  <si>
    <t>BJWY2841652509</t>
  </si>
  <si>
    <t>6.18退款完成22397.3——————
6.17已经提交报账单
6.16转手工22397.3，待客户短信确认（@史文涵1 (史文涵)@郭又华）————————
22397.3退回账户余额，原支付渠道微信超时失效，请提供学员本人银行卡手工退款：@谭悦9 (谭悦)@史文涵1 (史文涵)@郭又华
[图片]
暂退至学员账户，等无忧退费后一起提现</t>
  </si>
  <si>
    <t>18668674</t>
  </si>
  <si>
    <t>新东方PC官网</t>
  </si>
  <si>
    <t>学员家长生病，无法考研，申请退费</t>
  </si>
  <si>
    <t>董菡</t>
  </si>
  <si>
    <t>BJWY1429919607</t>
  </si>
  <si>
    <t>【作废】学管已重新提交OA</t>
  </si>
  <si>
    <t>18669053</t>
  </si>
  <si>
    <t>新东方官网M站</t>
  </si>
  <si>
    <t>个人生活/工作事务和新东方时间冲突</t>
  </si>
  <si>
    <t>学员怀孕，不能线下上课</t>
  </si>
  <si>
    <t>李静</t>
  </si>
  <si>
    <t>BJWY0432862919</t>
  </si>
  <si>
    <t>2025/06/16</t>
  </si>
  <si>
    <t xml:space="preserve">6.22原路径支付宝退回
6.18强化班未申请新OA，等中——————
6.16冲刺班已退，暂退账户4000，等强化班一起提现。
强化班需扣除198教材费，需单独申请OA，申请金额7900-198@葛铭[图片]
</t>
  </si>
  <si>
    <t>NO.3746994889973391167</t>
  </si>
  <si>
    <t>王嘉庆5-王嘉庆</t>
  </si>
  <si>
    <t>刘欢67-刘欢</t>
  </si>
  <si>
    <t>集团-百度品专</t>
  </si>
  <si>
    <t>经济困难</t>
  </si>
  <si>
    <t>学生家中出现变故，不打算继续考研，且不考虑转其他课程</t>
  </si>
  <si>
    <t>孙畅</t>
  </si>
  <si>
    <t>BJWY9068474562</t>
  </si>
  <si>
    <t>2025060402257</t>
  </si>
  <si>
    <t>黄小妹7-黄小妹</t>
  </si>
  <si>
    <t>退出重报（取消班/合班/延转/选班/扩科等）</t>
  </si>
  <si>
    <t>无课程消耗，需要退出报入 考研一对一VIP伴学(60小时/26考季)一对一-无忧</t>
  </si>
  <si>
    <t>¥46800.00</t>
  </si>
  <si>
    <t>孙洢妮</t>
  </si>
  <si>
    <t>BJWY3739115067</t>
  </si>
  <si>
    <t>18668851</t>
  </si>
  <si>
    <t>李梦娇4-李梦娇</t>
  </si>
  <si>
    <t>家长说家门口开了一个补习班，还是想要线下上课，申请退费</t>
  </si>
  <si>
    <t>马荟坪</t>
  </si>
  <si>
    <t>BJWY3479839951</t>
  </si>
  <si>
    <t>¥6800.00</t>
  </si>
  <si>
    <t>时间原因转班，原班未出勤</t>
  </si>
  <si>
    <t>王玉雯</t>
  </si>
  <si>
    <t>BJWY5216506845</t>
  </si>
  <si>
    <t>2025060403432</t>
  </si>
  <si>
    <t>刘畅778-刘畅</t>
  </si>
  <si>
    <t>刘文君6-刘文君(北京四六级/专四专八/大学预科)</t>
  </si>
  <si>
    <t>教师</t>
  </si>
  <si>
    <t>教学能力</t>
  </si>
  <si>
    <t>家长对老师授课不满意，要求换老师</t>
  </si>
  <si>
    <t>¥2600.00</t>
  </si>
  <si>
    <t>李奇霖</t>
  </si>
  <si>
    <t>BJWY9604668618</t>
  </si>
  <si>
    <t>退回学员账户余额</t>
  </si>
  <si>
    <t>18666373</t>
  </si>
  <si>
    <t>刘爱馨-爱馨</t>
  </si>
  <si>
    <t>学生个人规划原因，无法安排后续学习。</t>
  </si>
  <si>
    <t>王宇乾16-王宇乾</t>
  </si>
  <si>
    <t>周晓夏</t>
  </si>
  <si>
    <t>BJWY3567803585</t>
  </si>
  <si>
    <t>18666347</t>
  </si>
  <si>
    <t>18668886</t>
  </si>
  <si>
    <t>学生一直没有时间上课，说现在换工作了也不需要了，申请退款</t>
  </si>
  <si>
    <t>刘佳</t>
  </si>
  <si>
    <t>BJWY2769264382</t>
  </si>
  <si>
    <t>支付宝退回12150，已开发票自动冲红@李梦娇4 (李梦娇)</t>
  </si>
  <si>
    <t>18669286</t>
  </si>
  <si>
    <t>社群、虚拟人</t>
  </si>
  <si>
    <t>【已开课退费】学生持续对考研失去信心，多次调整无效，不考研了。</t>
  </si>
  <si>
    <t>孙翰墨</t>
  </si>
  <si>
    <t>BJWY4065010412</t>
  </si>
  <si>
    <t>2025/06/07</t>
  </si>
  <si>
    <t xml:space="preserve">支付宝退回（6.7）
[图片]
</t>
  </si>
  <si>
    <t>18669157</t>
  </si>
  <si>
    <t>18669223</t>
  </si>
  <si>
    <t>学员 家长生病，放弃考研</t>
  </si>
  <si>
    <t>18674781</t>
  </si>
  <si>
    <t>NO.7782220156097415399</t>
  </si>
  <si>
    <t>刘佳林25-刘佳林</t>
  </si>
  <si>
    <t>高龙明,赵星火</t>
  </si>
  <si>
    <t>学生目前三战，目前觉得专业课不符合预期，不适合自己，也不考虑其他课程，经挽单也坚持退费</t>
  </si>
  <si>
    <t>王嘉祥</t>
  </si>
  <si>
    <t>BJWY4539181865</t>
  </si>
  <si>
    <t>2025/06/15</t>
  </si>
  <si>
    <t xml:space="preserve">6.25付款成功。退款待到账（6.25）,6.17转手工退
[图片]
</t>
  </si>
  <si>
    <t>NO.2882303761518315750</t>
  </si>
  <si>
    <t>专业课师资匹配原因</t>
  </si>
  <si>
    <t>完全匹配不上</t>
  </si>
  <si>
    <t>清华清华大学  计算机科学与技术系  计算机科学与技术  (826)计算机专业基础综合</t>
  </si>
  <si>
    <t>学生报考清华大学 计算机科学与技术专业，2月13日开始匹配，截止至当前6月4日，未匹配到研究生，5月提出退费，经挽单坚持退费，也不需要其他课程</t>
  </si>
  <si>
    <t>芦煜博</t>
  </si>
  <si>
    <t>BJWY6654700269</t>
  </si>
  <si>
    <t xml:space="preserve">6.11退款完成16000——————
原渠道为现金，6.10已转手工退至学员本人银行卡，待短信确认：芦煜博6217900800004444111中国银行上海市上海交通大学支行-[图片]
</t>
  </si>
  <si>
    <t>2025060502030</t>
  </si>
  <si>
    <t>陈晶171-陈晶</t>
  </si>
  <si>
    <t>刘海玲,徐铁-徐铁(北京考研/四六级）</t>
  </si>
  <si>
    <t>学员24年下半年来到新东方集训营考研学习，8月中途妈妈退掉集训营给孩子报一对一，上一对一的途中多次因为家里矛盾停课复课，妈妈后又觉得孩子当年状态不好停课带着孩子回了黑龙江老家，我们沟通孩子自学数学一轮后开始26考研的学习；从24年底到今年的5月份我一直跟进孩子学习进度但是孩子回应很少，我担心孩子学习进度，一直联系的妈妈，5月份约好的开始学习，课程都已经安排好全年的了，孩子又和妈妈商量考不上了要找工作，妈妈又给找了工作着急的要退课，我和顾问劝说无果。</t>
  </si>
  <si>
    <t>王艺斌</t>
  </si>
  <si>
    <t>BJWY4503244188</t>
  </si>
  <si>
    <t xml:space="preserve">6.18全部打款完成——————
6.17打款失败，改分笔支付，已支付19w，————
[图片][图片]
6.16共享老师说金额太高改线下支付了，预计6点多或者明天上午提交，提交后张佳楠老师会告知——————
（6.15）手工退款退票@杨沫5 (杨沫)
240907.8转手工退款失败（6.14）[图片]
</t>
  </si>
  <si>
    <t>2882303761518315441</t>
  </si>
  <si>
    <t>王天义56-王天义</t>
  </si>
  <si>
    <t>徐铁-徐铁(北京考研/四六级）</t>
  </si>
  <si>
    <t>总部-百度投放</t>
  </si>
  <si>
    <t>自己找到老师复习</t>
  </si>
  <si>
    <t>学员挂科较多，打算补大学课程，若有机会可考研。家长不让加孩子的微信，且对于专业课的考试用书不了解，所以未开启研究生匹配工作；后与家长确认开课时间，由于在校学习麻烦，打算暑期开始学习。退费原因为学员自己在校找到了学姐学长学习；学管挽单建议保留课时或者学习雅思托福等英语课程，保持英语口语、词汇学习，考研或者出国更好上手且选择会多一些，无果。目前着重解决毕业问题，再做打算，暂无考研、英语学习等需求。退费金额=报名金额-课消金额=31300-0=31300元</t>
  </si>
  <si>
    <t>李佳蒙</t>
  </si>
  <si>
    <t>BJWY9809019352</t>
  </si>
  <si>
    <t>NO.5476377146883722288</t>
  </si>
  <si>
    <t>张乐33-张乐</t>
  </si>
  <si>
    <t>学生考本专业，初联时就说专业课先看网课自学，暂时不用匹配研究生，现在突然表明家里人给找好研究生了，后面也不用再进行匹配了，目前也没有其他课程需求，坚持退掉。</t>
  </si>
  <si>
    <t>赵匡磊</t>
  </si>
  <si>
    <t>BJWY2336290390</t>
  </si>
  <si>
    <t>2025/06/12</t>
  </si>
  <si>
    <t xml:space="preserve">6.18退款完成10000————————
6.17报账单已提交
6.16转手工10000，待客户短信确认——————
暂退账户10000，原支付渠道退费失败，需提供原支付截图+截图中银行卡信息或学员本人银行卡信息（6.16）@郭又华[图片]
</t>
  </si>
  <si>
    <t>4611686018428519003</t>
  </si>
  <si>
    <t>张德天-张德天(小天)</t>
  </si>
  <si>
    <t>退费原因：二战学员初试没过分数线，无需雅思、三战，剩余课时费用需要退出
退费金额=实缴金额-课时单价×消耗课时数=8500-900*6=3100元</t>
  </si>
  <si>
    <t>刘芷妤</t>
  </si>
  <si>
    <t>BJWY1753410857</t>
  </si>
  <si>
    <t>原渠道微信超时失效，6.9已转手工退至学员本人银行卡：刘芷妤6215582402000976995武汉宗关支行</t>
  </si>
  <si>
    <t>¥5439.30</t>
  </si>
  <si>
    <t>退费原因：目标学校央财取消提面，学生要求将费用转班到笔试一对一课程，退到学员账户。</t>
  </si>
  <si>
    <t>刘司墨</t>
  </si>
  <si>
    <t>BJWY4862121927</t>
  </si>
  <si>
    <t>¥7860.70</t>
  </si>
  <si>
    <t>退费原因：目标学校央财取消提面，学生要求将费用转班到笔试一对一课程，请将学费退至学员账户。</t>
  </si>
  <si>
    <t>李婧2211-李婧（北京中心考研四六级）</t>
  </si>
  <si>
    <t>学生英语二改考英语一</t>
  </si>
  <si>
    <t>王艺淳</t>
  </si>
  <si>
    <t>BJWY8024898883</t>
  </si>
  <si>
    <t>学员英一改考英二</t>
  </si>
  <si>
    <t>王传铭</t>
  </si>
  <si>
    <t>BJWY9783817271</t>
  </si>
  <si>
    <t>NO.18676912</t>
  </si>
  <si>
    <t>目标学校央财取消提面，学生要求将费用转班到笔试一对一课程，退到学员账户。</t>
  </si>
  <si>
    <t>2025/06/09</t>
  </si>
  <si>
    <t>退至学员账户(6.9)@王立颖17 (王立颖)</t>
  </si>
  <si>
    <t>NO.2025060603303</t>
  </si>
  <si>
    <t>退费原因：目标学校央财取消提面，学生要求将费用转班到笔试一对一课程。退到学员账户</t>
  </si>
  <si>
    <t>18678948</t>
  </si>
  <si>
    <t>史友娟</t>
  </si>
  <si>
    <t>员在职考mba基础薄弱，跟不上工作也忙，建议转27或者在职研或者一对一学生坚持退费，今年不打算考了。</t>
  </si>
  <si>
    <t>王继安</t>
  </si>
  <si>
    <t>BJWY4387955867</t>
  </si>
  <si>
    <t>6.18退款完成12494——————
6.17报账单已提交
6.16转手工退12494，待客户短信确认@史友娟——————
退回账户余额，原支付宝支付渠道超时失效，请提供学员本人银行卡信息手工退款：（6.15）@史友娟
[图片]
未办理：缺少顾问老师挽单（6.14）@李崇宇1 (李崇宇（北京考研/四六级）)</t>
  </si>
  <si>
    <t>18679017</t>
  </si>
  <si>
    <t>2025/06/08</t>
  </si>
  <si>
    <t>许庆典</t>
  </si>
  <si>
    <t>阿里本地通</t>
  </si>
  <si>
    <t>学生想跟着指定老师上大班课，不在乎行课进度，所以更换班级。</t>
  </si>
  <si>
    <t>白婧含</t>
  </si>
  <si>
    <t>BJWY0721271953</t>
  </si>
  <si>
    <t>18681077</t>
  </si>
  <si>
    <t>王秋雨1-王秋雨</t>
  </si>
  <si>
    <t>保研</t>
  </si>
  <si>
    <t>学生姓名：王方正学员编号：BJWY8372787516退费方式：报英数退英数退费原因：学生本校直博，周六校区面谈不考研申请退出退费班级：WYE26033、WYE26036、WYE26032、WYM26013、WYM26014、WYM26015退费明细：实缴金额：36600；课消费用：9348.4；教材费：198应退金额：实缴金额-课消-教材费=36600-9348.4-198=27053.6元</t>
  </si>
  <si>
    <t>王方正</t>
  </si>
  <si>
    <t>BJWY8372787516</t>
  </si>
  <si>
    <t>2025/06/20</t>
  </si>
  <si>
    <t xml:space="preserve">6.25付款成功。
6.25学员短信确认
6.22转手工：王方正6217858000160185630中国银行周口分行沈丘支行
[图片]
</t>
  </si>
  <si>
    <t>18681156</t>
  </si>
  <si>
    <t>18681298</t>
  </si>
  <si>
    <t>2025/06/22</t>
  </si>
  <si>
    <t>NO.2882303761518315242</t>
  </si>
  <si>
    <t>学生家中有特殊情况，目前时间不支持继续考研，且不考虑转其他课程</t>
  </si>
  <si>
    <t>2025/06/14</t>
  </si>
  <si>
    <t>支付宝原路退回</t>
  </si>
  <si>
    <t>黄子琪3-黄子琪</t>
  </si>
  <si>
    <t>姓名：杨天睿
电话：18510260519
学员编号：BJWY4587254525
转班原因：打算考专硕了 改为英二了
转班信息：
WYHE26005转WYHE26006</t>
  </si>
  <si>
    <t>杨天睿</t>
  </si>
  <si>
    <t>BJWY4587254525</t>
  </si>
  <si>
    <t>4899916394580359697</t>
  </si>
  <si>
    <t>兰天惠</t>
  </si>
  <si>
    <t>刘津玲10-北京在职MBA刘津玲</t>
  </si>
  <si>
    <t>同学后面经常出差没有时间在安排课程了，剩余2小时退出，不考虑复试使用</t>
  </si>
  <si>
    <t>张圣鹤</t>
  </si>
  <si>
    <t>BJWY8204516230</t>
  </si>
  <si>
    <t>18683796</t>
  </si>
  <si>
    <t>大客服呼入</t>
  </si>
  <si>
    <t xml:space="preserve"> 学生觉得课程内容和课程模式不适合自己，不接受调整。申请退费。</t>
  </si>
  <si>
    <t>肖梦</t>
  </si>
  <si>
    <t>XDF072103231218960</t>
  </si>
  <si>
    <t>线下校代</t>
  </si>
  <si>
    <t>转班原因：学生改考英语二
班级信息：
WYE26038转WYE26040
WYE26039转WYE26041</t>
  </si>
  <si>
    <t>樊欣钰</t>
  </si>
  <si>
    <t>BJWY9476567744</t>
  </si>
  <si>
    <t>2025053101108</t>
  </si>
  <si>
    <t>罗志勇1-罗志勇</t>
  </si>
  <si>
    <t>京内毛坯数据</t>
  </si>
  <si>
    <t>学生已经考完 有出国留学打算  无需求 要求退费</t>
  </si>
  <si>
    <t>刘禹桐</t>
  </si>
  <si>
    <t>BJWY8198803937</t>
  </si>
  <si>
    <t>退款完成
6.14已转手工退，待用户短信自助确认</t>
  </si>
  <si>
    <t>NO.18684693</t>
  </si>
  <si>
    <t>特殊优惠</t>
  </si>
  <si>
    <t>之前报错优惠 已经跟文君说明 6.7-6.9有活动优惠 需要把活动优惠返款到学生</t>
  </si>
  <si>
    <t>邓一頔</t>
  </si>
  <si>
    <t>BJWY8459557991</t>
  </si>
  <si>
    <t>2025/06/13</t>
  </si>
  <si>
    <t>已返款500</t>
  </si>
  <si>
    <t>18685679</t>
  </si>
  <si>
    <t xml:space="preserve">学生打算出国留学不考国内的研究生，基本已经定下来了，坚持退出
</t>
  </si>
  <si>
    <t>樊卓</t>
  </si>
  <si>
    <t>BJWY1663491361</t>
  </si>
  <si>
    <t xml:space="preserve">支付宝退2999[图片]
</t>
  </si>
  <si>
    <t>18685740</t>
  </si>
  <si>
    <t xml:space="preserve">支付宝退5333.4[图片]
</t>
  </si>
  <si>
    <t>18685760</t>
  </si>
  <si>
    <t xml:space="preserve">支付宝退6800.7[图片]
</t>
  </si>
  <si>
    <t>姓名：刘加隆
电话：13141074310
学员编号：BJWY9975719936
转班原因：学生定好专业院校，考英二  英一转英二
转班信息：WYE26026、WYE26027转WYE26028、WYE26029
已登记表格，辛苦老师办理</t>
  </si>
  <si>
    <t>刘加隆</t>
  </si>
  <si>
    <t>BJWY9975719936</t>
  </si>
  <si>
    <t>姓名：黄旭东
电话：18108159169
学员编号：BJWY6313353831
转班原因：学生定好专业院校，考英二  英一转英二
转班信息：WYE26032、WYE26033转WYE26034、WYE26035
已登记表格，辛苦老师办理</t>
  </si>
  <si>
    <t>黄旭东</t>
  </si>
  <si>
    <t>BJWY6313353831</t>
  </si>
  <si>
    <t>NO.2025060401131</t>
  </si>
  <si>
    <t>谢仕为1-谢仕为</t>
  </si>
  <si>
    <t>中国科学院大学 数学与系统科学研究院 070100 基础数学</t>
  </si>
  <si>
    <t>学生2月份报名 3月份开始匹配专业课学长 学生报名的院校 无法匹配上研究生 学生自己找到了已毕业的学长 退费明细：全科实缴金额：51300 公共课原价32800 优惠1500 单独报入公共课价格；32800-1500=31300元 公共课优惠补款：31300-31300=0元 专业课消耗费用：0元 专业课实际退费：20000-0=20000元 退费金额：20000元</t>
  </si>
  <si>
    <t>郑姝琳</t>
  </si>
  <si>
    <t>BJWY0106132996</t>
  </si>
  <si>
    <t>¥20000.00</t>
  </si>
  <si>
    <t>6.18退款完成20000——————
6.16转手工20000，待客户短信确认@谢仕为1 (谢仕为)————
暂退至学员账户，原渠道为汇款，需提供原汇款账户6231161700000029343的详细信息（6.14）[图片]
@谢仕为1 (谢仕为)</t>
  </si>
  <si>
    <t>NO.18682501</t>
  </si>
  <si>
    <t>其他网络合作</t>
  </si>
  <si>
    <t>退费原因：身体一直不舒服，坚持工作都有些费劲，更没有精力学习，上周又查出抑郁症，决定暂时放弃考研。</t>
  </si>
  <si>
    <t>刘海云</t>
  </si>
  <si>
    <t>BJWY8365452755</t>
  </si>
  <si>
    <t>2025/06/11</t>
  </si>
  <si>
    <t>NO.18682587</t>
  </si>
  <si>
    <t>NO.18682101</t>
  </si>
  <si>
    <t>退费原因：身体一直不舒服，坚持工作都有些费劲，更没有精力学习，上周又查出抑郁症，决定暂时放弃考研。申请将学费退到学员账户。</t>
  </si>
  <si>
    <t>18688681</t>
  </si>
  <si>
    <t>长期停课学员，之前因为工作比较忙没时间上课，现在个人原因不想学了申请退费。</t>
  </si>
  <si>
    <t>孟雄飞</t>
  </si>
  <si>
    <t>BJWY2279928430</t>
  </si>
  <si>
    <t>支付宝退还</t>
  </si>
  <si>
    <t>18688842</t>
  </si>
  <si>
    <t>张琦文6-张琦文</t>
  </si>
  <si>
    <t>改考自命题，退408课程，原金额重新报入自命题专业课</t>
  </si>
  <si>
    <t>¥17402.00</t>
  </si>
  <si>
    <t>陈廷进</t>
  </si>
  <si>
    <t>BJWY4776417923</t>
  </si>
  <si>
    <t>2025060300113</t>
  </si>
  <si>
    <t>李玉迪1-李玉迪</t>
  </si>
  <si>
    <t>学员下半年报名出国交换，两年内都不会回国。已经考上岸目前没有别的课程需求</t>
  </si>
  <si>
    <t>吴越</t>
  </si>
  <si>
    <t>BJWY3961126498</t>
  </si>
  <si>
    <t>微信退还</t>
  </si>
  <si>
    <t>18689660</t>
  </si>
  <si>
    <t>学校暑假突然安排实验 时间冲突  拒绝转班</t>
  </si>
  <si>
    <t>王博生</t>
  </si>
  <si>
    <t>BJWY1301332362</t>
  </si>
  <si>
    <t>18691764</t>
  </si>
  <si>
    <t>小红书KOS</t>
  </si>
  <si>
    <t>家长感觉课程和孩子情况不匹配，不考虑调整课程难度或换老师，要求退费</t>
  </si>
  <si>
    <t>邱俊涵</t>
  </si>
  <si>
    <t>BJWY0710799039</t>
  </si>
  <si>
    <t>18692369</t>
  </si>
  <si>
    <t>长期停课学员，学生不想上一对一的课程，去年说要退费挽单成功了，然后家长改变学习需求给找了新的老师，但是一直不上课不回复，现在再次提出退费。</t>
  </si>
  <si>
    <t>Grace</t>
  </si>
  <si>
    <t>BJWY1299946649</t>
  </si>
  <si>
    <t xml:space="preserve">6.25付款成功。退款待到账（6.25），6.20转手工退款[图片]
</t>
  </si>
  <si>
    <t>报错班，转班</t>
  </si>
  <si>
    <t>袁博</t>
  </si>
  <si>
    <t>BJWY7526390970</t>
  </si>
  <si>
    <t>NO.576460752304686542</t>
  </si>
  <si>
    <t>学生是24年老生，专升本，基础不好，目前在职不打算考研了，目前也没有其他课程需求，坚持退掉。</t>
  </si>
  <si>
    <t>李慧芳</t>
  </si>
  <si>
    <t>BJWY2583116284</t>
  </si>
  <si>
    <t>退款已完成
6.14已转手工退，待用户短信自助确认</t>
  </si>
  <si>
    <t>个人原因一直没有时间上课，转到新开班级
班级信息：TBL250003转到TBL250005</t>
  </si>
  <si>
    <t>会会</t>
  </si>
  <si>
    <t>BJWY5096186852</t>
  </si>
  <si>
    <t>18692845</t>
  </si>
  <si>
    <t>学员为准备国际会议报名课程，现在会议结束了，不需要课程和其他学习内容，申请退费。</t>
  </si>
  <si>
    <t>王一</t>
  </si>
  <si>
    <t>BJWY7807479641</t>
  </si>
  <si>
    <t>微信退22915</t>
  </si>
  <si>
    <t>18692523</t>
  </si>
  <si>
    <t>学管转介绍</t>
  </si>
  <si>
    <t>赵香玉</t>
  </si>
  <si>
    <t>BJWY8125937055</t>
  </si>
  <si>
    <t xml:space="preserve">支付宝退回22265[图片]
</t>
  </si>
  <si>
    <t>18685930</t>
  </si>
  <si>
    <t>学生转班时教材费留在原班，现在要退费，学生未上课，教材费返款退出</t>
  </si>
  <si>
    <t>2025/06/17</t>
  </si>
  <si>
    <t>NO.18685914</t>
  </si>
  <si>
    <t>实习和新东方时间冲突</t>
  </si>
  <si>
    <t>班课未开课，同学不想继续等待，报名了很久，一直没开成，不考虑插班</t>
  </si>
  <si>
    <t>王潇</t>
  </si>
  <si>
    <t xml:space="preserve">	BJWY4904938231</t>
  </si>
  <si>
    <t xml:space="preserve">支付宝退6800[图片]
</t>
  </si>
  <si>
    <t>NO.18685907</t>
  </si>
  <si>
    <t>NO.1729382256911505473</t>
  </si>
  <si>
    <t>学生跨考，初联时就表明专业课只接受面授不考虑线上，告知学生可以先去匹配看看，学生不同意，现在家长表明学生自己找好研究生了，后面也不用再进行匹配了，目前也没有其他课程需求，坚持退掉。</t>
  </si>
  <si>
    <t>岳硕</t>
  </si>
  <si>
    <t>BJWY3023079064</t>
  </si>
  <si>
    <t>¥21000.00</t>
  </si>
  <si>
    <t xml:space="preserve">6.25付款成功。
退款待到账（6.25），6.18转手工21000
[图片]
</t>
  </si>
  <si>
    <t>18686243</t>
  </si>
  <si>
    <t>史文涵1-史文涵</t>
  </si>
  <si>
    <t>学生今年计划出国，不打算考研了</t>
  </si>
  <si>
    <t>6.18退款完成22397.3————————
6.17已提交报账单
6.16转手工22397.3，待客户短信确认（@史文涵1 (史文涵)@郭又华）————————
22397.3退回账户余额，原支付渠道微信超时失效，请提供学员本人银行卡手工退款：@谭悦9 (谭悦)@史文涵1 (史文涵)@郭又华
[图片]
暂退至学员账户，等无忧退费后一起提现</t>
  </si>
  <si>
    <t>18686291</t>
  </si>
  <si>
    <t>18686324</t>
  </si>
  <si>
    <t>18686362</t>
  </si>
  <si>
    <t>18686450</t>
  </si>
  <si>
    <t>18686483</t>
  </si>
  <si>
    <t>18686559</t>
  </si>
  <si>
    <t>18697416</t>
  </si>
  <si>
    <t>跟不上目前所在班级难度，退出目前所在班级，转入0基础班级</t>
  </si>
  <si>
    <t>昝萌</t>
  </si>
  <si>
    <t>BJWY5753841172</t>
  </si>
  <si>
    <t>已退至账户余额</t>
  </si>
  <si>
    <t>18698309</t>
  </si>
  <si>
    <t>学生即将毕业，想回老家备考，在老家报名了新东方的课程</t>
  </si>
  <si>
    <t>高苏一</t>
  </si>
  <si>
    <t>BJWY8029626569</t>
  </si>
  <si>
    <t>【作废】下面重新提交</t>
  </si>
  <si>
    <t>2025060301380</t>
  </si>
  <si>
    <t>学员觉得之后没有什么课程需要了。申请退费，学生有考研想法，确定在别的机构学习。这个学生只想上女老师的课，但是学数学专业，专业课数学部分只有曹超老师可以讲解，上过一次曹老师的课觉得不太喜欢，目前跟成小伟老师上课，成老师讲不了考研专业课部分。</t>
  </si>
  <si>
    <t>潘雨时</t>
  </si>
  <si>
    <t>BJWY2595990334</t>
  </si>
  <si>
    <t>6.17付款完成
6.14已转手工，等待用户短信自助确认</t>
  </si>
  <si>
    <t>NO.18688753</t>
  </si>
  <si>
    <t>退费原因：学生目标是北大EMBA，不学习MBA 辅导课程，尝试学习过管综，觉得完全跟不上。</t>
  </si>
  <si>
    <t>黄琳</t>
  </si>
  <si>
    <t>BJWY4447076368</t>
  </si>
  <si>
    <t>微信退回28980.4（6.15）</t>
  </si>
  <si>
    <t>NO.18688836</t>
  </si>
  <si>
    <t>NO.18688904</t>
  </si>
  <si>
    <t>NO.18688920</t>
  </si>
  <si>
    <t>18688958</t>
  </si>
  <si>
    <t>汪宇萌71-汪宇萌</t>
  </si>
  <si>
    <t>同学目前工作太忙了，最近几个月都需要经常加班，没有办法兼顾学习，考虑明年再学，暂不考虑转27或者一对一，申请退费</t>
  </si>
  <si>
    <t>袁梦</t>
  </si>
  <si>
    <t>BJWY5231321312</t>
  </si>
  <si>
    <t xml:space="preserve">支付宝退30100
[图片]
</t>
  </si>
  <si>
    <t>18688952</t>
  </si>
  <si>
    <t>18688942</t>
  </si>
  <si>
    <t>NO.18699451</t>
  </si>
  <si>
    <t>陈露105-陈露</t>
  </si>
  <si>
    <t>专业课项目</t>
  </si>
  <si>
    <t>专业课学习时间和新东方时间冲突</t>
  </si>
  <si>
    <t>【未开课退费】学员专业课变更为自命题，需要调整到一对一上课</t>
  </si>
  <si>
    <t>邓浩然</t>
  </si>
  <si>
    <t>BJWY5271099631</t>
  </si>
  <si>
    <t>已退回账户余额
未办理：未找到顾问挽单记录（6.16）@黄小妹7 (黄小妹)</t>
  </si>
  <si>
    <t>2025061302514</t>
  </si>
  <si>
    <t>陈伟钰1-陈伟钰</t>
  </si>
  <si>
    <t>学生姓名：王欣羽 学员编号：BJWY1121185429 退费方式：退到学员账户 退费原因：菁英计划学员增加老师，退出重报补差价 退费班级：LP17490277833036，考研一对一伴学班（定制/26考季） 退费明细：未开课，退费金额=报名金额=12000元</t>
  </si>
  <si>
    <t>¥60000.00</t>
  </si>
  <si>
    <t>王欣羽</t>
  </si>
  <si>
    <t>BJWY1121185429</t>
  </si>
  <si>
    <t>6.17退回账户余额。
未办理：OA流程未到客服（6.16）@张泽7 (张泽)</t>
  </si>
  <si>
    <t>2025061302512</t>
  </si>
  <si>
    <t>学员退出62课时到账户，报82课时可以享受1000元优惠</t>
  </si>
  <si>
    <t>¥96000.00</t>
  </si>
  <si>
    <t>张鼎宸</t>
  </si>
  <si>
    <t>BJWY2443695390</t>
  </si>
  <si>
    <t>864691128456371681</t>
  </si>
  <si>
    <t>张静370</t>
  </si>
  <si>
    <t>学生是25考季的学生，报考的是【北京师范大学 化学学院    040102课程与教学论 】，专业课为【311教育学专业基础】统考科目，学生报名后，一直要自学，匹配学姐以后也不上课，还是要求自学。25考完以后，考的不理想，转为26考季继续考研，但是学生现在已经申请到了香港的大学，因此放弃考研，申请专业课办理退费~
退费明细：
退费类型：全科仅退专业课
专业课实缴金额：21166.3元+3000升级费
专业课消耗金额：未匹配，无消耗
全科实缴金额：48300元，无忧原价：50800，享受早报优惠2000（2024.1月报名）+500（校区活动）
单独报入无忧政英应缴价格：28800（原价）-早报1000（2024.1月报名）-500（校区活动）=27300
无忧优惠补款：单独报入政英应缴价格（27300）-首次报入缴纳金额（27133.7）=166.3
实际退费=实际缴纳金额（48300）-报名时公共课优惠后价格（27300）-专业课消耗费用（0）+3000升级费=24000元</t>
  </si>
  <si>
    <t>刘宇林</t>
  </si>
  <si>
    <t>BJWY6321979976</t>
  </si>
  <si>
    <t xml:space="preserve">6.25付款成功。退款待到账（6.25），6.18转手工24000，剩余166.3暂存账户补公共课@张静370
[图片]
</t>
  </si>
  <si>
    <t>6052837899187145587</t>
  </si>
  <si>
    <t>李亚坤4</t>
  </si>
  <si>
    <t>清华-经管学院-120200工商管理-812管理学概论</t>
  </si>
  <si>
    <t>清华管理学，匹配周期超过3个月，一直未匹配到，学生要求退费（升级费退出）</t>
  </si>
  <si>
    <t>陶炳安</t>
  </si>
  <si>
    <t>BJWY7603374759</t>
  </si>
  <si>
    <t>6.25付款成功。
6.24转手工退19000元
暂退至学员账户余额（应退学员19000，保留账户4422补优惠），汇款报名需要提供原汇款银行卡信息@李亚坤4[图片]
6.15先退还院校升级费5000在账户余额。返款OA还未到客服，貌似同飞申请
剩余RF1749957410574214OA已提交返款申请，到时候提现给学员19000元,    4422元为补优惠金额。[图片]</t>
  </si>
  <si>
    <t>18698373</t>
  </si>
  <si>
    <t>合计退费12538.7已到账（6.23），6.22转手工：高苏一6217858400037243705中国银行呼和浩特市学府花园支行
[图片]</t>
  </si>
  <si>
    <t>边鑫博</t>
  </si>
  <si>
    <t>宋增辉</t>
  </si>
  <si>
    <t xml:space="preserve">因为报班班级编码写错了，现在已报入：YKM25001   用户要报线上优享大学预科数学：YKMJ25001，
麻烦老师转班到线上大学预科高数：YKMJ25001  </t>
  </si>
  <si>
    <t>李海斌</t>
  </si>
  <si>
    <t>BJWY9933530209</t>
  </si>
  <si>
    <t>退费需转班</t>
  </si>
  <si>
    <t xml:space="preserve">已转班
</t>
  </si>
  <si>
    <t>NO.6629298651490607182</t>
  </si>
  <si>
    <t>钱雪冰,高龙明</t>
  </si>
  <si>
    <t>职递</t>
  </si>
  <si>
    <t>学生上周报名，考本校但跨专业，初联表明自学效果不太好着急上课，目前有匹配到研究生，但学校导员也给学生推荐了本校老师来授课，学生还是更想跟本校老师那边学习，目前也没有其他课程需求了，坚持退掉</t>
  </si>
  <si>
    <t>魏虹伊</t>
  </si>
  <si>
    <t>BJWY5784898324</t>
  </si>
  <si>
    <t>6.21原路径微信退回
6.17退入账户余额
未办理：OA流程未到客服（6.16）</t>
  </si>
  <si>
    <t>清北班取消，转班</t>
  </si>
  <si>
    <t>孙倚帆</t>
  </si>
  <si>
    <t>BJWY3109361566</t>
  </si>
  <si>
    <t>徐岩91-徐岩</t>
  </si>
  <si>
    <t>学生去年暑假大一没读复读高三了，转到今年暑假学习</t>
  </si>
  <si>
    <t>张何崑</t>
  </si>
  <si>
    <t>BJWY7925884211</t>
  </si>
  <si>
    <t>【作废】未办理：原班已全部打卡，无法转（6.16）@徐岩91 (徐岩)</t>
  </si>
  <si>
    <t>统一转班</t>
  </si>
  <si>
    <t xml:space="preserve">18704602 </t>
  </si>
  <si>
    <t>中心原因_开课后</t>
  </si>
  <si>
    <t>报错班级，虽然报入班级已经开班，但是学生未上课。
需要从wyhm2601转到wyhm2604</t>
  </si>
  <si>
    <t>¥13100.00</t>
  </si>
  <si>
    <t>李金骐</t>
  </si>
  <si>
    <t>BJWY8811286138</t>
  </si>
  <si>
    <t>18594846</t>
  </si>
  <si>
    <t>18705749</t>
  </si>
  <si>
    <t>学生要参加暑假三下乡活动，不能来上课了，另外也不接受转蜂鸟的班级，要退费</t>
  </si>
  <si>
    <t>张邺丹</t>
  </si>
  <si>
    <t>BJWY7898993482</t>
  </si>
  <si>
    <t>18691806</t>
  </si>
  <si>
    <t>学生觉得自己现阶段的学习诉求不是很清晰，上课的效果会打折扣，暂时不考虑继续上课了，也不考虑保留课时，要求退费</t>
  </si>
  <si>
    <t>徐艳秋</t>
  </si>
  <si>
    <t>BJWY4042979898</t>
  </si>
  <si>
    <t>18706316</t>
  </si>
  <si>
    <t>学生搬家了，离着校区比较远，在家附近给孩子攒了个小班，申请退费</t>
  </si>
  <si>
    <t>郭泊兮</t>
  </si>
  <si>
    <t>BJWY4905996320</t>
  </si>
  <si>
    <t xml:space="preserve">6.18退款完成9275——————
微信退超时效，6.17已转手工退至家长银行卡，待短信确认：马琳6225768734464363招商银行信用卡[图片]
[图片]
</t>
  </si>
  <si>
    <t>18706517</t>
  </si>
  <si>
    <t>张雪涵2-张雪涵</t>
  </si>
  <si>
    <t>学员家长已安排学员出国事宜，不接受转科，不再考研，辛苦老师审核</t>
  </si>
  <si>
    <t>王晗羽</t>
  </si>
  <si>
    <t>BJWY9149917092</t>
  </si>
  <si>
    <t>2025/06/24</t>
  </si>
  <si>
    <t>6.28支付宝退回42873.4
退回账户余额，等待专业课一起提现</t>
  </si>
  <si>
    <t>18706641</t>
  </si>
  <si>
    <t>18706618</t>
  </si>
  <si>
    <t>18706571</t>
  </si>
  <si>
    <t>18706202</t>
  </si>
  <si>
    <t>学生考完试了不需要继续安排上课了，课时没用完家长需求退费，后续没有需求了</t>
  </si>
  <si>
    <t>张宇洋</t>
  </si>
  <si>
    <t>BJWY7745958251</t>
  </si>
  <si>
    <t>18706835</t>
  </si>
  <si>
    <t>需要走返款，重新报名到六级的课程。</t>
  </si>
  <si>
    <t>¥3957.00</t>
  </si>
  <si>
    <t>朱懋淮</t>
  </si>
  <si>
    <t>BJWY0272545621</t>
  </si>
  <si>
    <t>NO.3170534137670096435</t>
  </si>
  <si>
    <t>学生考清华，三月沟通可以转盛世清北的合作班，但合作班没有谈下来，学生自己去报了盛世清北的班课，暂时保留费用，一直到现在提出退费。</t>
  </si>
  <si>
    <t>付雨馨</t>
  </si>
  <si>
    <t>BJWY1920380869</t>
  </si>
  <si>
    <t>2025/06/21</t>
  </si>
  <si>
    <t>项目认为无挽单必要性，原路径微信退回
未办理：未查到顾问挽单记录（6.20）@马一鸣16 (马一鸣)</t>
  </si>
  <si>
    <t xml:space="preserve">7月蜂鸟上线，需要跟英语班搭配，数学往后转班
</t>
  </si>
  <si>
    <t>赵昊洋</t>
  </si>
  <si>
    <t>BJWY4473012693</t>
  </si>
  <si>
    <t>王钰385-王钰</t>
  </si>
  <si>
    <t>学生一开始没确定好，报的英语二，现在确定要学英语一，所以转班</t>
  </si>
  <si>
    <t xml:space="preserve">赵艺 </t>
  </si>
  <si>
    <t>BJWY5806629154</t>
  </si>
  <si>
    <t>姓名：孙田宇
电话：15510262166
学员编号：BJWY4798703191
转班原因：学生时间问题，英语政治转到周六一天学习
转班信息：
WYE26032、WYE26033转WYE26044、WYE26045
WYP26023、WYP26024转WYP26005、WYP26006
已登记表格，辛苦老师办理</t>
  </si>
  <si>
    <t>孙田宇</t>
  </si>
  <si>
    <t>BJWY4798703191</t>
  </si>
  <si>
    <t>NO.2025061701392</t>
  </si>
  <si>
    <t>杨晓超3-杨晓超,张德天-张德天(小天)</t>
  </si>
  <si>
    <t>暂退至学员账户与家长沟通现在要转成集训营过来学习按照方案2补差价（翻硕半年集训营政治班退出27500） 学员姓名：王佳仪 学员号：BJWY2249949980 课时包编号：LP168718030720、LP17013457601180、LP17302787801814、LP1737112090200 退费类型：考研初试复试一对一全科报入，仅退公共课及复试部分（保留80小时一对一）剩余退至学员账户； 全科缴费：143000元（其中400元已经在学生账户） 课时消耗金额：专业课消耗12800+专业课消耗17800+复试消耗800*1+复试匹配费用500+公共课消耗24*800+保留80小时公共课费用80*800=115100元 实际退费金额=全科缴费-课时消耗金额=143000-115100=27900元（其中账户余额已有400元）其实仅需要退至学员账户27900-400=27500元</t>
  </si>
  <si>
    <t>¥45220.00</t>
  </si>
  <si>
    <t>王佳仪</t>
  </si>
  <si>
    <t>BJWY2249949980</t>
  </si>
  <si>
    <t>王钦69-王钦</t>
  </si>
  <si>
    <t>客户诉求是希望位置能做到第二排，现在报名过早，序号靠前，希望等到报名序号15号左右，再转回来</t>
  </si>
  <si>
    <t>张祎祎</t>
  </si>
  <si>
    <t>BJWY4958569417</t>
  </si>
  <si>
    <t>【作废】未办理：群内未交接（6.18）</t>
  </si>
  <si>
    <t>18705793</t>
  </si>
  <si>
    <t>学员已报名集训营课程，不需要走读班课</t>
  </si>
  <si>
    <t>万梓东</t>
  </si>
  <si>
    <t>BJWY6080193592</t>
  </si>
  <si>
    <t>2025/06/23</t>
  </si>
  <si>
    <t xml:space="preserve">合计退费10416.1，云闪付原路退回：(银联H5)622567******1116
</t>
  </si>
  <si>
    <t>18705758</t>
  </si>
  <si>
    <t>已退回账户余额</t>
  </si>
  <si>
    <t>2025061602321</t>
  </si>
  <si>
    <t>学员目前不需要课了  六级不考了 然后退回1300  家长也同意了 亚芹姐也同意了</t>
  </si>
  <si>
    <t>王凯旋</t>
  </si>
  <si>
    <t>BJWY5133828466</t>
  </si>
  <si>
    <t>未办理：OA未到客服+没有退费核算记录（6.30）@徐岩91 (徐岩)
[图片]</t>
  </si>
  <si>
    <t>7782220156097454157</t>
  </si>
  <si>
    <t>清华-管院-工商管理学-812管理学概论</t>
  </si>
  <si>
    <t>学生未匹配到研究生，退出费用，5000升级费已退回到学生账户了，还需退到学生账户18422，总最终需退给学生19000元，退到原支付账户
陕西友缘矿山工程有限公司
61050172360000000169
中国建设银行股份有限公司西安吉祥路支行</t>
  </si>
  <si>
    <t xml:space="preserve">6.25付款成功。
6.24转手工退19000元
暂退至学员账户余额（应退学员19000，保留账户4422补优惠），汇款报名需要提供原汇款银行卡信息@李亚坤4[图片]
</t>
  </si>
  <si>
    <t>2025061601716</t>
  </si>
  <si>
    <t>学生家长说孩子最近压力太大 心理出现问题 不想给孩子压力了 想先退出 后续有需要再说</t>
  </si>
  <si>
    <t>乔瀚宁</t>
  </si>
  <si>
    <t>BJWY5306069739</t>
  </si>
  <si>
    <t>未办理：OA未到客服（6.30）</t>
  </si>
  <si>
    <t>18708719</t>
  </si>
  <si>
    <t>唐源曼</t>
  </si>
  <si>
    <t>百教网</t>
  </si>
  <si>
    <t>学员刚答辩结束，后续毕业的相关事项比较多，预计六月底才能忙完，不想听回放课程，申请转班。</t>
  </si>
  <si>
    <t>¥89200.00</t>
  </si>
  <si>
    <t>董政</t>
  </si>
  <si>
    <t>BJWY1038031298</t>
  </si>
  <si>
    <t>已退至学生账户@唐源曼</t>
  </si>
  <si>
    <t>18709364</t>
  </si>
  <si>
    <t>学员去年政治66，英语81，数学123，公共课准备自学了，专业课也找好网课，不愿意转成一对一，申请退费</t>
  </si>
  <si>
    <t>王可旭</t>
  </si>
  <si>
    <t>BJWY4308214192</t>
  </si>
  <si>
    <t>6.24微信退回100200[图片]
6.18暂退学生账户，等待专业课一起退出@唐源曼</t>
  </si>
  <si>
    <t>NO.6052837899187157875</t>
  </si>
  <si>
    <t>家长和孩子多次来校面谈择校定校和唐老师共同接待的，给到了明确的资料和建议，近期沟通后孩子表示专业课自己看网课学习，不再新东方学习。</t>
  </si>
  <si>
    <t xml:space="preserve">微信退回100200[图片]
</t>
  </si>
  <si>
    <t>18708535</t>
  </si>
  <si>
    <t>杨晓超3-杨晓超</t>
  </si>
  <si>
    <t>之前家长说想要退费，孩子不想来，目前和同学在自习室学习，暂时不考虑过来，这周末家长与孩子再次沟通，孩子明确表示不来集训营，专业课也不上，态度非常坚决，家长拗不过孩子</t>
  </si>
  <si>
    <t>孙逊</t>
  </si>
  <si>
    <t>BJWY0621636534</t>
  </si>
  <si>
    <t>【作废】OA已重新提交</t>
  </si>
  <si>
    <t>18710751</t>
  </si>
  <si>
    <t>学生工作变动，近期没时间安排课程。不需要保留课时，申请退课。</t>
  </si>
  <si>
    <t>孙恺</t>
  </si>
  <si>
    <t>BJWY7916960466</t>
  </si>
  <si>
    <t>2025/06/19</t>
  </si>
  <si>
    <t xml:space="preserve">支付宝退31600
[图片]
</t>
  </si>
  <si>
    <t>18710248</t>
  </si>
  <si>
    <t>刘浩宇BJWY3212612620自报到后提出了3次退费，先后跟妈妈共同沟通挽单无效；主要是自报到后睡眠效果不好，经济上感觉家里有压力，最终执意回家先备考（7-8月份还有一个专业课面授班）挽单失败
KYZ250070017  KYZ25007  26考研全年集训营（住宿费/四月）实缴37600--住宿起止时间：4月22日到5月27日中午12点前离营，总计35天--住宿预留费：{37600-（37600/235*35)}*15%=10400.0--退还：37600-10400=27200.0</t>
  </si>
  <si>
    <t>学生由英一改考英二</t>
  </si>
  <si>
    <t>2025060700386</t>
  </si>
  <si>
    <t>张乐33-张乐,苏乾楠-苏乾楠（北京考研四六级）</t>
  </si>
  <si>
    <t>百度地图</t>
  </si>
  <si>
    <t>四六级都考完了，目前没有课程需要，申请剩余课时退出。</t>
  </si>
  <si>
    <t>刁佳琦</t>
  </si>
  <si>
    <t>BJWY3898046829</t>
  </si>
  <si>
    <t>2025061702417</t>
  </si>
  <si>
    <t>最后一节课学生上不了了，之前一直从天津跑过来上线下，不考虑线上，也不考虑保留着一节课，后面有需要再报</t>
  </si>
  <si>
    <t>穆德佳</t>
  </si>
  <si>
    <t>BJWY4754614205</t>
  </si>
  <si>
    <t>18712593</t>
  </si>
  <si>
    <t>91搜课网</t>
  </si>
  <si>
    <t xml:space="preserve">学生先报名了三月营跟着学习，现在六月营开班，转入六月班级，算到18号，现在核算金额退入账户重新入班
</t>
  </si>
  <si>
    <t>¥107800.00</t>
  </si>
  <si>
    <t>王嘉宁</t>
  </si>
  <si>
    <t>BJWY9261604322</t>
  </si>
  <si>
    <t>退账户12400</t>
  </si>
  <si>
    <t>18712561</t>
  </si>
  <si>
    <t>退账户345</t>
  </si>
  <si>
    <t>18712549</t>
  </si>
  <si>
    <t>退账户28320</t>
  </si>
  <si>
    <t>18712514</t>
  </si>
  <si>
    <t>退账户534.8</t>
  </si>
  <si>
    <t>18712533</t>
  </si>
  <si>
    <t>退账户17770</t>
  </si>
  <si>
    <t>18708506</t>
  </si>
  <si>
    <t>总部-巨量广告</t>
  </si>
  <si>
    <t>无忧转集训，辛苦老师退到学员账户</t>
  </si>
  <si>
    <t>¥70000.00</t>
  </si>
  <si>
    <t>赵寒</t>
  </si>
  <si>
    <t>BJWY6161946048</t>
  </si>
  <si>
    <t>已退出</t>
  </si>
  <si>
    <t>18708537</t>
  </si>
  <si>
    <t>已退至学生账户</t>
  </si>
  <si>
    <t>18708569</t>
  </si>
  <si>
    <t>18708593</t>
  </si>
  <si>
    <t>知了好学</t>
  </si>
  <si>
    <t>学生从英政经综班转到英政数班。价格一样，开课前转班。</t>
  </si>
  <si>
    <t>王英帆</t>
  </si>
  <si>
    <t>BJWY4965756550</t>
  </si>
  <si>
    <t>18713756</t>
  </si>
  <si>
    <t>寇源1-寇源</t>
  </si>
  <si>
    <t>因学校时间安排无法如期来营上课，需要调整班次到7月12日班次政英数
1】KYJS25009  取消26考研数学半年集训营（基础/六月）7850.42】KYZ25010  取消26考研半年集训营（住宿费/六月）272003】KYJY25009  取消26考研英语半年集训营（基础/六月）9623.64】KYJZ25009  取消26考研政治半年集训营（基础/六月）67945】KYJY25008A 26考研英语半年集训营（强冲/英语一）13167.76】KYJZ25008A 26考研政治半年集训营（强冲）9585.27】KYJS25009A 取消26考研数学半年集训营（强冲）16379.1课前办理，总计费用90600元</t>
  </si>
  <si>
    <t>¥88000.00</t>
  </si>
  <si>
    <t>林子玄</t>
  </si>
  <si>
    <t>BJWY9387764298</t>
  </si>
  <si>
    <t>退账户90600报新班</t>
  </si>
  <si>
    <t>NO.2025061901078</t>
  </si>
  <si>
    <t>学生姓名：黄柯翔 学员编号：BJWY7250915637 退费方式：原路退费 退费原因：学生上岸西安交通大学电气专业，暂时无雅思四六级需求，剩余课时需要退出 退费班级LP1728790845776 考研一对一伴学班（25考季） 退费明细：退费金额=报名金额-课消金额=33500-28*900=8300元</t>
  </si>
  <si>
    <t>黄柯翔</t>
  </si>
  <si>
    <t>BJWY7250915637</t>
  </si>
  <si>
    <t>2025/06/28</t>
  </si>
  <si>
    <t>6.28已转手工退款@张泽7 (张泽)（6217000010181723944中国建设银行股份有限公司北京今日家园支行 黄柯翔 17801127681）
退回学员账户余额，现金支付，需要提供学员本人银行卡信息@张泽7 (张泽)</t>
  </si>
  <si>
    <t>18713674</t>
  </si>
  <si>
    <t>苗朝霞</t>
  </si>
  <si>
    <t>米化</t>
  </si>
  <si>
    <t>今天报道，学员突然说自己不考研了，和孩子说了考研重要性，顾问老师也挽单了，学员坚持要退费
退费明细：KYJY250100049；26考研英语半年集训营（基础/六月）；课前退费9743元KYJY25010A0038；26考研英语半年集训营（强冲/英语一）；课前退费15355.2元KYJZ250100043；26考研政治半年集训营（基础/六月）；课前退费6878元KYJZ25010A0036；26考研政治半年集训营（强冲）；课前退费9203.8元课前退费总金额41180元</t>
  </si>
  <si>
    <t>张亚豪</t>
  </si>
  <si>
    <t>BJWY1413159044</t>
  </si>
  <si>
    <t xml:space="preserve">微信退回69500[图片]
</t>
  </si>
  <si>
    <t>NO.18713794</t>
  </si>
  <si>
    <t>今天报道，学员突然说自己不考研了，和孩子说了考研重要性，顾问老师也挽单了，学员坚持要退费
退费明细：KYZ250090049；26考研半年集训营（住宿费/六月）；课前退费28320元</t>
  </si>
  <si>
    <t>18716062</t>
  </si>
  <si>
    <t>学生想提前来营地学习，从七月班级转班到六月，退费到账户重新入班</t>
  </si>
  <si>
    <t>¥70800.00</t>
  </si>
  <si>
    <t>王浩宇</t>
  </si>
  <si>
    <t>BJWY4382194370</t>
  </si>
  <si>
    <t>陈伟钰1-陈伟钰,高龙明</t>
  </si>
  <si>
    <t xml:space="preserve">KYJY25010 26考研英语半年集训营（基础/六月）；KYJY25013A 26考研英语半年集训营（强冲/英语二）转成  KYJY25012 26考研英语半年集训营（基础/七月）；KYJY25013A  26考研英语半年集训营（强冲/英语二）
</t>
  </si>
  <si>
    <t>刘楚骅</t>
  </si>
  <si>
    <t>BJWY7372755299</t>
  </si>
  <si>
    <t>18717831</t>
  </si>
  <si>
    <t>学生爱人帮忙报名课程，但是学生最近临时开始出差没时间上课，不考虑跟线上课程，申请退费</t>
  </si>
  <si>
    <t>王帅</t>
  </si>
  <si>
    <t>BJWY5377484613</t>
  </si>
  <si>
    <t>微信退回6800</t>
  </si>
  <si>
    <t>2025062003265</t>
  </si>
  <si>
    <t>学生姓名：王欣羽 学员编号：BJWY1121185429 退费方式：课时包保留4小时，剩余费用退到学员账户，报定制VIP 退费原因：菁英计划学员增加定制老师，退出重报补差价 退费班级：LP17490283483070，考研一对一伴学班（26考季） 退费明细：退费金额=19800-800*4=16600元</t>
  </si>
  <si>
    <t>18714342</t>
  </si>
  <si>
    <t>暑期需要实习没有时间来线下，不打算看线上直播了因为之后秋季时间也不合适，打算公共课都转成线上课</t>
  </si>
  <si>
    <t>张钊恺</t>
  </si>
  <si>
    <t>BJWY3444803593</t>
  </si>
  <si>
    <t>¥45300.00</t>
  </si>
  <si>
    <t xml:space="preserve">6.25付款成功。
6.24转手工退款
7800补专业课优惠留在账户，37500原渠道为汇款，需提供原汇款账户6221386102599862400的详细信息@韦艺鑫[图片]
</t>
  </si>
  <si>
    <t>学生基础比较好，自己做了一下四级的真题决定转到六级班上课</t>
  </si>
  <si>
    <t>孙天凡</t>
  </si>
  <si>
    <t>BJWY2621620775</t>
  </si>
  <si>
    <t>姓名：阎浩雨
电话：18600816245
学员编号：BJWY5057886394
转班原因：学生时间不合适转班，
转班信息：
WYFE26013、WYFE26014转WYFE26025、WYFE26026
WYFP26007、WYFP26008转WYFP26013,WYFP26014
已登记表格，辛苦老师办理</t>
  </si>
  <si>
    <t>阎浩雨</t>
  </si>
  <si>
    <t>BJWY5057886394</t>
  </si>
  <si>
    <t>18712467</t>
  </si>
  <si>
    <t>杨晓超3-杨晓超,谢仕为1-谢仕为</t>
  </si>
  <si>
    <t>抖音</t>
  </si>
  <si>
    <t xml:space="preserve">学生今年毕业，找到了合适的工作，家长也赞成先去工作，放弃考研
</t>
  </si>
  <si>
    <t>吴云帆</t>
  </si>
  <si>
    <t>BJWY6387583715</t>
  </si>
  <si>
    <t>6.25付款成功。
退款待到账（6.25）
补专业课的780留在了26考研英语半年集训营（基础/六月）KYJY25008，合计退费92432，6.23转手工退至汇款账户：李丹丹6214660210028221建行廊坊运通支行</t>
  </si>
  <si>
    <t>18712374</t>
  </si>
  <si>
    <t>18721552</t>
  </si>
  <si>
    <t>学生今年毕业，找到了合适的工作，家长也赞成先去工作，放弃考研</t>
  </si>
  <si>
    <t>18721602</t>
  </si>
  <si>
    <t>18721620</t>
  </si>
  <si>
    <t>NO.18720304</t>
  </si>
  <si>
    <t>退费原因：学员要退7月营，插班五月营，提前来营地学习，费用退到学员账户
退费明细：
KYZ250110014；26考研半年集训营（住宿费/七月）；课前退费24800元KYJZ25010A0026；26考研政治半年集训营（强冲）；课前退费9638.4元KYJY250120015；26考研英语半年集训营（基础/七月）；课前退费9677.6元KYJY25010A0028；26考研英语半年集训营（强冲/英语一）；课前退费14752.2元KYJZ250120013；26考研政治半年集训营（基础/七月）；课前退费6831.8元课前退费总金额65700元</t>
  </si>
  <si>
    <t>¥65000.00</t>
  </si>
  <si>
    <t>杨采妮</t>
  </si>
  <si>
    <t>BJWY3369463383</t>
  </si>
  <si>
    <t>退回学员账户</t>
  </si>
  <si>
    <t>NO.18715987</t>
  </si>
  <si>
    <t>寇颖</t>
  </si>
  <si>
    <t>学生已经去集训营报道，后面跟集训营学习，无忧退掉</t>
  </si>
  <si>
    <t>占海川</t>
  </si>
  <si>
    <t>BJWY3040736952</t>
  </si>
  <si>
    <t>支付宝原路径退回</t>
  </si>
  <si>
    <t>NO.18716038</t>
  </si>
  <si>
    <t>NO.18716058</t>
  </si>
  <si>
    <t>8646911284552595544</t>
  </si>
  <si>
    <t>燕山大学 、艺术与设计学院、135700设计 (03)视觉传达</t>
  </si>
  <si>
    <t>学生要求专业课手绘面授，定校后研究生匹配失败，和学生沟通更换目标院校，择校后依旧匹配失败，学生要求退款，劝说学生别放弃无果。</t>
  </si>
  <si>
    <t>王星瑞</t>
  </si>
  <si>
    <t>BJWY1812376549</t>
  </si>
  <si>
    <t>微信退回26800</t>
  </si>
  <si>
    <t>18707247</t>
  </si>
  <si>
    <t>学员怀孕，不能考研</t>
  </si>
  <si>
    <t>6.22原路径支付宝退回</t>
  </si>
  <si>
    <t>学员退费需转班WYM26006转WYM26009</t>
  </si>
  <si>
    <t>已转班，差价100退至学员账户</t>
  </si>
  <si>
    <t>退无忧转集训</t>
  </si>
  <si>
    <t>【作废】学管重复提交</t>
  </si>
  <si>
    <t>清北班取消，转到蜂鸟班</t>
  </si>
  <si>
    <t>郭凯文</t>
  </si>
  <si>
    <t>BJWY4253842332</t>
  </si>
  <si>
    <t>18724459</t>
  </si>
  <si>
    <t>【开课后退费】学生毕业后北京无住宿条件，已经入营，退费班课。</t>
  </si>
  <si>
    <t>赵祥辰</t>
  </si>
  <si>
    <t>BJWY8097075006</t>
  </si>
  <si>
    <t>18724348</t>
  </si>
  <si>
    <t>¥18800.00</t>
  </si>
  <si>
    <t>报错产品，退出重报</t>
  </si>
  <si>
    <t>张骥鲲</t>
  </si>
  <si>
    <t>BJWY6069117823</t>
  </si>
  <si>
    <t>【作废】高端转产品无需客服操作（6.24）@马一鸣16 (马一鸣)</t>
  </si>
  <si>
    <t>NO.6917529027642354720</t>
  </si>
  <si>
    <t>18725842</t>
  </si>
  <si>
    <t>BJWY7372755299刘楚骅最终调整为7月12日英管班次，先退到储值账户再入班，明细如下：
1】KYJY250120028    KYJY2501226考研英语半年集训营（基础/七月）8777.7
2】KYJY25013A0016  KYJY25013A26考研英语半年集训营（强冲/英语二）14622.2
3】KYJGZ25010003    KYJGZ250126考研管综半年集训营31580.1
4】住宿费已退到储值账户
课前办理（六月英管转到7月英管），因为转班前后各科目涉及的平台优惠不一致，所以需要重新退到储值账户再入班；总计费用54980元</t>
  </si>
  <si>
    <t>¥31580.10</t>
  </si>
  <si>
    <t>18725981</t>
  </si>
  <si>
    <t>¥8777.70</t>
  </si>
  <si>
    <t>18725999</t>
  </si>
  <si>
    <t>¥14622.20</t>
  </si>
  <si>
    <t>18717438</t>
  </si>
  <si>
    <t>学生姓名：刘楚骅
学员编号：BJWY7372755299
退费方式：开课前退费
退费原因：退出六月英语集训课程，转入七月英语集训课程，七月管综集训正常上 ，六月英语和七月英语集训价格一样，稍后直接转班，所以管综和英语集训都不退费，只把住宿费退出到学员账户，稍后重新入班
退费班级：KYZ25009
KYZ25009  26考研半年集训营（住宿费/六月）
课前退费总金额28320元</t>
  </si>
  <si>
    <t>¥25000.00</t>
  </si>
  <si>
    <t>8646911284552568281</t>
  </si>
  <si>
    <t xml:space="preserve">学生报名法硕课程，跟着学习的过程中，感觉1v1的形式不适合自己，想着报名面授的班课来学习专业课，剩余的费用给学生沟通转为咱们的法硕老师上课（非研究生上课），学生同样也不能接受，因此申请专业课办理退费
退费类型：全科仅退专业课
专业课实缴金额：21000
专业课消耗金额：已上课时15.5
28800/50*15.5+500=9428
全科实缴金额：47800元，无忧原价：50800，享受早报优惠2500（2024.9月报名）+500（团报）
单独报入无忧政英应缴价格：28800（原价）-早报1500（2024.9月报名）-500（团报）=26800
实际退费=实际缴纳金额（47800）-报名时公共课优惠后价格（26800）-专业课消耗费用（9428）=11572元
</t>
  </si>
  <si>
    <t>吴征</t>
  </si>
  <si>
    <t>BJWY7251726762</t>
  </si>
  <si>
    <t>2025/06/30</t>
  </si>
  <si>
    <t>暂退至学生账户，系统要求现金退出，提供学生本人银行卡信息@张静370</t>
  </si>
  <si>
    <t>7205759403794009560</t>
  </si>
  <si>
    <t>老带新系统顾问</t>
  </si>
  <si>
    <t>学生报考中央民族大学 戏剧影视专业，但是该校今年改为【非全日制招生】，且专业课已经上了20小时，剩余30小时。根据辅导内容来看，北京师范大学和中央民族大学的内容相似，并且学生感觉之前的已经消耗的20小时应该补给学生，明确告知不能操作以后，学生感觉自己的权益没有受到保证，而且自己可能也考不上北京师范大学，建议学生可以重新择校，但是学生也不能接受，因此申请专业课办理退费。
退费核算：
退费类型：全科仅退专业课
专业课实缴金额：19019.7元+3000升级费
专业课已消耗金额：
专业课已经上课20小时，28800/50*20+500=12020
升级费：3000/50*20=1200
全科实缴金额：46800元，无忧原价：50800，享受早报优惠3000（2024.5月报名）+500（老带新）+500（团报）
单独报入无忧政英应缴价格：28800（原价）-早报2000（2024.5月报名）-500（老带新）-500（团报）=25800
无忧优惠补款：单独报入政英应缴价格（25800）-首次报入缴纳金额（27780.3）=-1980.3
实际退费=实际缴纳金额（46800）-报名时公共课优惠后价格（25800）-专业课消耗费用（12020）+1800升级费=10780元</t>
  </si>
  <si>
    <t>臧婉童</t>
  </si>
  <si>
    <t>BJWY7609644309</t>
  </si>
  <si>
    <t xml:space="preserve">暂退至学员账户，原支付渠道失效，提供本人银行卡信息@张静370
[图片]
</t>
  </si>
  <si>
    <t>NO.1441151880759801239</t>
  </si>
  <si>
    <t>学员有精神类疾病，在班级内出现了攻击其他学员的表现，进行劝退</t>
  </si>
  <si>
    <t>李壮志</t>
  </si>
  <si>
    <t>BJWY8917724796</t>
  </si>
  <si>
    <t>2025/06/29</t>
  </si>
  <si>
    <t>原路径微信退回</t>
  </si>
  <si>
    <t>18720540</t>
  </si>
  <si>
    <t>学员有精神类疾病，在班级内出现了攻击其他学员的表现，进行劝退，辛苦老师审核</t>
  </si>
  <si>
    <t>18726801</t>
  </si>
  <si>
    <t>18726811</t>
  </si>
  <si>
    <t>18726818</t>
  </si>
  <si>
    <t>18726830</t>
  </si>
  <si>
    <t>18726847</t>
  </si>
  <si>
    <t>18726861</t>
  </si>
  <si>
    <t>NO.7493989779945715960</t>
  </si>
  <si>
    <t>王天一55-王天一</t>
  </si>
  <si>
    <t>学生孙逊，之前家长说想要退费，孩子不想来，目前和同学在自习室学习，暂时不考虑过来，这周末家长与孩子再次沟通，孩子明确表示不来集训营，专业课也不上，态度非常坚决，家长拗不过孩子</t>
  </si>
  <si>
    <t>2025/06/26</t>
  </si>
  <si>
    <t xml:space="preserve">6.28转手工退款，待用户短信确认@张琦文6 (张琦文)
退费合计101852暂退至学员账户，原渠道为汇款，需提供原汇款账户6228482291141054919的详细信息@张琦文6 (张琦文)
[图片]
</t>
  </si>
  <si>
    <t>18708529</t>
  </si>
  <si>
    <t>18727116</t>
  </si>
  <si>
    <t>18727106</t>
  </si>
  <si>
    <t>18727077</t>
  </si>
  <si>
    <t>18727018</t>
  </si>
  <si>
    <t>18691792</t>
  </si>
  <si>
    <t>之前因为没有时间上课就提出了退费，当时挽单成功，保留了课时，但是一直也没时间恢复上课，现在再次提出退费，不考虑保留了，要求退费</t>
  </si>
  <si>
    <t>彭荟蓉</t>
  </si>
  <si>
    <t>BJWY7796852330</t>
  </si>
  <si>
    <t>原渠道支付宝退回</t>
  </si>
  <si>
    <t>18727322</t>
  </si>
  <si>
    <t>孩子觉得太累了不想周末安排上课了，也不考虑先保留课时，申请退费</t>
  </si>
  <si>
    <t>李沐浛</t>
  </si>
  <si>
    <t>BJWY7185745805</t>
  </si>
  <si>
    <t>姓名：朱建金
电话：15910521973
学员编号：BJWY1520278143
转班原因：学生目前没定好院校，先按照英一准备
转班信息：
WYE26028、WYE26029转WYE26026、WYE26027
已登记表格，辛苦老师办理</t>
  </si>
  <si>
    <t>朱建金</t>
  </si>
  <si>
    <t>BJWY1520278143</t>
  </si>
  <si>
    <t>2025061500283</t>
  </si>
  <si>
    <t>其他（主动）</t>
  </si>
  <si>
    <t>学生学校课很多，不能按照规划上课，取消了五节课，37000-850×40=3000</t>
  </si>
  <si>
    <t>郑好</t>
  </si>
  <si>
    <t>BJWY5610701694</t>
  </si>
  <si>
    <t>转班信息如下：WYE26044、WYE26045转到WYE26046、WYE26047转班原因：学生英语一改考英语二，申请转班</t>
  </si>
  <si>
    <t>陈子然</t>
  </si>
  <si>
    <t>BJWY3194922784</t>
  </si>
  <si>
    <t>NO.18728685</t>
  </si>
  <si>
    <t>焦子瑞</t>
  </si>
  <si>
    <t>退费方式：开课前退费，退费至储值账户，保留课程到27考季暑期，重新入班
退费原因：学生挂了好几科，目前保毕业，先处理补考的事情，考研的事延期到明年。</t>
  </si>
  <si>
    <t>伍子骋</t>
  </si>
  <si>
    <t>BJWY6012160715</t>
  </si>
  <si>
    <t>2025/06/25</t>
  </si>
  <si>
    <t>NO.2305843009214967397</t>
  </si>
  <si>
    <t>学生考北服设计，感觉研究生讲绘画不够成熟，自己找了专业的机构，要退出</t>
  </si>
  <si>
    <t>于丹丹</t>
  </si>
  <si>
    <t>BJWY9818205518</t>
  </si>
  <si>
    <t>18727574</t>
  </si>
  <si>
    <t>新东方官网小程序</t>
  </si>
  <si>
    <t>同学基础非常薄弱，坚持学了一段时间确实是跟不上，后期不打算考研了，课程申请退费</t>
  </si>
  <si>
    <t>霍跃飞</t>
  </si>
  <si>
    <t>BJWY2756837811</t>
  </si>
  <si>
    <t xml:space="preserve">支付宝退16619.7
[图片]
</t>
  </si>
  <si>
    <t>18727566</t>
  </si>
  <si>
    <t xml:space="preserve">支付宝退12045.6
[图片]
</t>
  </si>
  <si>
    <t>18727560</t>
  </si>
  <si>
    <t xml:space="preserve">支付宝退1634.7
[图片]
</t>
  </si>
  <si>
    <t>18729889</t>
  </si>
  <si>
    <t>苏乾楠-苏乾楠（北京考研四六级）</t>
  </si>
  <si>
    <t>课程安排</t>
  </si>
  <si>
    <t>整体行课计划安排合理性</t>
  </si>
  <si>
    <t>学生姓名：李乐为
学员编号：BJWY7150318081
退费方式：退到新东方账户，重新入班到半年7.12
退费原因：寒暑全科升级半年全科【需要先把公共课费用先退到处置账户，专业课保留不动】
退费班级：寒暑政英专专
退费明细：
1】KYZ250040010  KYZ25004  26考研全程集训营住宿费（寒暑）7040
退费：7040-7040/44*13=4960
2】KYJZ250030073  KYJZ25003 26考研政治全程集训营（寒暑）9100
退费：9100元（未开课，开课前退到储值）
3】KYJY250030074  KYJY25003  26考研英语全程集训营（寒暑）11460
退费：11460-14860/64*32=4030
最终退还总额：4960+9100+4030=18090</t>
  </si>
  <si>
    <t>¥9100.00</t>
  </si>
  <si>
    <t>李乐为</t>
  </si>
  <si>
    <t>BJWY7150318081</t>
  </si>
  <si>
    <t>18729822</t>
  </si>
  <si>
    <t>¥4960.00</t>
  </si>
  <si>
    <t>18729903</t>
  </si>
  <si>
    <t>¥4030.00</t>
  </si>
  <si>
    <t>18726713</t>
  </si>
  <si>
    <t>张宇彤</t>
  </si>
  <si>
    <t>BJWY1021488319</t>
  </si>
  <si>
    <t>2025/06/27</t>
  </si>
  <si>
    <t>6.28微信退回24775.6
暂退学员账户</t>
  </si>
  <si>
    <t>18705499</t>
  </si>
  <si>
    <t>18730012   18729748</t>
  </si>
  <si>
    <t>学员报名后一直没时间上课，先退出班课，回北京后再沟通是否转一对一，费用先退至学员账户</t>
  </si>
  <si>
    <t>¥8000.00</t>
  </si>
  <si>
    <t>退回账户余额，18729748这个OA6.25退回账户余额</t>
  </si>
  <si>
    <t>18589080</t>
  </si>
  <si>
    <t>微信退回27445.6</t>
  </si>
  <si>
    <t>2882303761518362655</t>
  </si>
  <si>
    <t>25 考季复试学员，已上岸，交接时与学员电话沟通，剩余 2课时，学员要求退费，劝说保留四六级，学生 ok；5月 26 日与学员沟通上六级冲刺课程，学员不回复；目前要求退费，再次劝说课程报名时候应该用了一些优惠，退费的话课时可惜，推荐六级或雅思课，学员坚持退费。
退费核算：补专业课优惠：4800-4554=246 元；退费金额=总课时费-消耗课时费-补专业课优惠=9746-10*900-246 =500 元</t>
  </si>
  <si>
    <t>张梓靖</t>
  </si>
  <si>
    <t>BJWY8290701880</t>
  </si>
  <si>
    <t>微信退回500元，账户246元补专业课优惠</t>
  </si>
  <si>
    <t>学生专业调整：
英语二转英语一</t>
  </si>
  <si>
    <t>王介甫</t>
  </si>
  <si>
    <t>BJWY1159820650</t>
  </si>
  <si>
    <t xml:space="preserve">18730123 </t>
  </si>
  <si>
    <t>学生最近总是出差，没时间安排英语课程。告知课时可以保留，学员也不同意，坚持退费。</t>
  </si>
  <si>
    <t>李飞</t>
  </si>
  <si>
    <t>BJWY5968722805</t>
  </si>
  <si>
    <t>学生改考英语一，转到英语一班号WYE26074,WYE26075</t>
  </si>
  <si>
    <t>段伯汉</t>
  </si>
  <si>
    <t>BJWY5311803988</t>
  </si>
  <si>
    <t>18730911</t>
  </si>
  <si>
    <t>单玉坤</t>
  </si>
  <si>
    <t>学生5年前呆滞学员；高分通过四级、六级（550+），现在大四，要在当地学习雅思出国。没有上课需求。</t>
  </si>
  <si>
    <t>李维淼</t>
  </si>
  <si>
    <t>BJWY0721484333</t>
  </si>
  <si>
    <t>18525773</t>
  </si>
  <si>
    <t>学生因为学校事情一直没有来报道，现在确定26号到营地，现在核算金额退入储值重新入班</t>
  </si>
  <si>
    <t>潘古</t>
  </si>
  <si>
    <t>BJWY9580479188</t>
  </si>
  <si>
    <t>18730952</t>
  </si>
  <si>
    <t>18730946</t>
  </si>
  <si>
    <t>18730939</t>
  </si>
  <si>
    <t>学员专业变化，需要转班</t>
  </si>
  <si>
    <t>付豪</t>
  </si>
  <si>
    <t>BJWY0827309575</t>
  </si>
  <si>
    <t>张添翼</t>
  </si>
  <si>
    <t>BJWY2495415747</t>
  </si>
  <si>
    <t>转班明细：
姓名：宋泓锐
学员号：BJWY4031404687
手机号：18637731859
转班信息如下：KYJY25006A转到KYJY25007A
转班原因：学生英语一变更英语二，申请转班
姓名：路畅
学员号：BJWY8500200446
手机号：13940113446
转班信息如下：KYJY25007A转到KYJY25005A
转班原因：学生英语二变更英语一，申请转班</t>
  </si>
  <si>
    <t>路畅和宋泓锐</t>
  </si>
  <si>
    <t>-</t>
  </si>
  <si>
    <t xml:space="preserve">姓名：王小晗
学员号：BJWY9245373009
手机号：17778006685
转班信息如下：
WYE26026、WYE26027转到WYE26034、WYE26035
转班原因：学生英语一变更英语二，申请转班
已登记表格辛苦老师办理@北京中心客服组 </t>
  </si>
  <si>
    <t>王小晗</t>
  </si>
  <si>
    <t>BJWY9245373009</t>
  </si>
  <si>
    <t>英一转英二</t>
  </si>
  <si>
    <t>王一帆</t>
  </si>
  <si>
    <t>BJWY6525861457</t>
  </si>
  <si>
    <t>NO.1152921504608122823</t>
  </si>
  <si>
    <t>学生目标专业改考408，打算将专业课一对一课程改为408班课</t>
  </si>
  <si>
    <t>林子策</t>
  </si>
  <si>
    <t>BJWY0442645574</t>
  </si>
  <si>
    <t>NO.1729382256911489161</t>
  </si>
  <si>
    <t>学生因为实习原因公共课想要转成线上课程，但是由于专业课与公共课联报才会有优惠，公共课转成在线之后专业课与优惠后的价格相差太大，学生坚持退费</t>
  </si>
  <si>
    <t>6.30转手工，待短信确认；
暂退至学员账户，提供原汇款银行卡信息@陈猛飞</t>
  </si>
  <si>
    <t>NO.6341068275338933331</t>
  </si>
  <si>
    <t>学生挂了好几科，目前保毕业，先处理补考的事情，考研的事延期到明年，目前退出重报27课程</t>
  </si>
  <si>
    <t>2025062503089</t>
  </si>
  <si>
    <t>系统报入错误，课时显示有误，退出重报</t>
  </si>
  <si>
    <t>¥64600.00</t>
  </si>
  <si>
    <t>黑明睿</t>
  </si>
  <si>
    <t>BJWY6561556755</t>
  </si>
  <si>
    <t>退回账户64600，退了再报</t>
  </si>
  <si>
    <t>18732173</t>
  </si>
  <si>
    <t>退出重报</t>
  </si>
  <si>
    <t>¥43800.00</t>
  </si>
  <si>
    <t>王宏阳</t>
  </si>
  <si>
    <t>BJWY8537632758</t>
  </si>
  <si>
    <t>18732345、18732330</t>
  </si>
  <si>
    <t xml:space="preserve">学生考完试了，后面没有需求了，先退费
</t>
  </si>
  <si>
    <t>阙闻阅</t>
  </si>
  <si>
    <t>BJWY0825543210</t>
  </si>
  <si>
    <t>NO.18720637</t>
  </si>
  <si>
    <t>今年考试不参加了，已经安排去外地工作了。</t>
  </si>
  <si>
    <t>陈梦溪</t>
  </si>
  <si>
    <t>BJWY9371347060</t>
  </si>
  <si>
    <t xml:space="preserve">合计退费32422.1，微信原渠道超时失效，6.26已转手工退
陈梦溪6227000014480422041中国建设银行北京金源支行
[图片]
</t>
  </si>
  <si>
    <t>NO.18720697</t>
  </si>
  <si>
    <t>NO.18720722</t>
  </si>
  <si>
    <t>退费原因：今年考试不参加了，已经安排去外地工作了。</t>
  </si>
  <si>
    <t>NO.18720738</t>
  </si>
  <si>
    <t>NO.2025062100310</t>
  </si>
  <si>
    <t>NO.1441151880759805375</t>
  </si>
  <si>
    <t>学生毕业回来和家里沟通不考研，准备工作</t>
  </si>
  <si>
    <t>叶孝贤</t>
  </si>
  <si>
    <t>BJWY3455771887</t>
  </si>
  <si>
    <t>暂退至学员账户，等待公共课一起退费</t>
  </si>
  <si>
    <t>全年政治班号强化阶段转班</t>
  </si>
  <si>
    <t xml:space="preserve">均已转完
</t>
  </si>
  <si>
    <t>18723375</t>
  </si>
  <si>
    <t>暑期学校安排了统一时间，无法回北京上线下课，不考虑线上课或者一对一</t>
  </si>
  <si>
    <t>宋清岚</t>
  </si>
  <si>
    <t>BJWY9998185433</t>
  </si>
  <si>
    <t>暂退至学员账户，待其他班级退费后合并提现（合计退到储值账户应为24283.4：其中8800为专业课补优惠，15483.4原路退回）</t>
  </si>
  <si>
    <t>18723408</t>
  </si>
  <si>
    <t xml:space="preserve">WYHE26005的1661.6暂退至学员账户，WYHP26001+WYHP26002+WYHM26002三个班级因班修无法办理离班退费，辛苦老师另外操作，本OA会处理办结@韦艺鑫（合计退到储值账户应为24283.4：其中8800为专业课补优惠，15483.4原路退回）
[图片]
[图片]
[图片]
</t>
  </si>
  <si>
    <t>18723442</t>
  </si>
  <si>
    <t>18733849</t>
  </si>
  <si>
    <t>陈伟钰1-陈伟钰,苏乾楠-苏乾楠（北京考研四六级）</t>
  </si>
  <si>
    <t>生姓名： 张文学员编号：BJWY3211945534退费方式：退出重报退费原因：学生要考自主命题院校，从408班课转专业课一对一退费班级：WYC26001退费明细：实缴价格=10000元，退出金额10000元</t>
  </si>
  <si>
    <t>张文</t>
  </si>
  <si>
    <t>BJWY3211945534</t>
  </si>
  <si>
    <t>27寒暑候鸟班号上线，之前储值到临时班号现转入正式班级</t>
  </si>
  <si>
    <t>龙亭之</t>
  </si>
  <si>
    <t>BJWY5995702206</t>
  </si>
  <si>
    <t>【作废】不转了，要退了再报</t>
  </si>
  <si>
    <t>18735780</t>
  </si>
  <si>
    <t>孩子考完试了，后面暂时没有需求了，申请退费</t>
  </si>
  <si>
    <t>刘景昀</t>
  </si>
  <si>
    <t>XDF122119193550827</t>
  </si>
  <si>
    <t>原渠道微信退回</t>
  </si>
  <si>
    <t>因班级做过班修，需要转班后退费</t>
  </si>
  <si>
    <t>已转班，账户余额支付差价906.3</t>
  </si>
  <si>
    <t>老学员续费</t>
  </si>
  <si>
    <t>学生报考目标更换，英一考英二</t>
  </si>
  <si>
    <t>陈科源</t>
  </si>
  <si>
    <t>BJWY2349124052</t>
  </si>
  <si>
    <t>学员更换专业，英一改英二</t>
  </si>
  <si>
    <t>刘子涵</t>
  </si>
  <si>
    <t>BJWY2758204090</t>
  </si>
  <si>
    <t>18737670</t>
  </si>
  <si>
    <t>学生姓名：陈仪思淼学员编号：BJWY2547537183退费方式：报名英政专专退英政专专退费原因：学生忙没办法跟啄木鸟，想假期集中上课，从啄木鸟班转候鸟班退费班级：WYE27001、WYE27002、WYE27003、WYP27001、WYP27002、WYP27003退费明细：22622.5元</t>
  </si>
  <si>
    <t>¥22622.50</t>
  </si>
  <si>
    <t>陈仪思淼</t>
  </si>
  <si>
    <t>BJWY2547537183</t>
  </si>
  <si>
    <t>NO.4035225266125212688</t>
  </si>
  <si>
    <t>学生忙，公共课没时间跟啄木鸟课程，想假期集中上课，从啄木鸟班转到候鸟班，需要全科退费重报一下</t>
  </si>
  <si>
    <t>退至学生账户</t>
  </si>
  <si>
    <t>李小龙25-李小龙</t>
  </si>
  <si>
    <t>学员想去魏公村上课</t>
  </si>
  <si>
    <t>张国锴</t>
  </si>
  <si>
    <t>BJWY2079816819</t>
  </si>
  <si>
    <t>学员想在知春路上课</t>
  </si>
  <si>
    <t>张鹤严</t>
  </si>
  <si>
    <t>BJWY7320424450</t>
  </si>
  <si>
    <t>学员暑假不在北京，需要线上学习</t>
  </si>
  <si>
    <t>李小龙</t>
  </si>
  <si>
    <t>BJWY6666480708</t>
  </si>
  <si>
    <t>学员暑期有事情，转到二期上课</t>
  </si>
  <si>
    <t>程悦</t>
  </si>
  <si>
    <t>BJWY8477545262</t>
  </si>
  <si>
    <t>18738908</t>
  </si>
  <si>
    <t xml:space="preserve">学生要出国了，不需要课程了，申请退费
</t>
  </si>
  <si>
    <t>蒋宝葆</t>
  </si>
  <si>
    <t>XDF102108080651844</t>
  </si>
  <si>
    <t xml:space="preserve">支付宝退3060
[图片]
</t>
  </si>
  <si>
    <t>18738913</t>
  </si>
  <si>
    <t xml:space="preserve">历史遗留班课取消班，办理退费
</t>
  </si>
  <si>
    <t>赵蓉</t>
  </si>
  <si>
    <t>BJWY1021204399</t>
  </si>
  <si>
    <t>6.29重发短信确认@汤之然转手工退8150 ，提醒学员短信退费确认  @汤之然
6225880139869607
赵蓉
招商银行天通苑支行</t>
  </si>
  <si>
    <t>WYE26040、WYE26041转到WYE26044、WYE26045转班原因：学生英二改考英语一，申请转班</t>
  </si>
  <si>
    <t>贾梓涵</t>
  </si>
  <si>
    <t>XDF032205181342050</t>
  </si>
  <si>
    <t>18736814</t>
  </si>
  <si>
    <t>学生今年打算考公务员，不打算考研了坚持退费</t>
  </si>
  <si>
    <t>张含溪</t>
  </si>
  <si>
    <t>BJWY2124347432</t>
  </si>
  <si>
    <t>6.28转手工退款，待用户短信确认@史友娟
暂退学生账户，支付渠道为汇款，需提供原银行卡37001666401050153706的银行卡信息@史友娟</t>
  </si>
  <si>
    <t>18736869</t>
  </si>
  <si>
    <t>18736902</t>
  </si>
  <si>
    <t>地图标点</t>
  </si>
  <si>
    <t>学生改考英语一，需要转班</t>
  </si>
  <si>
    <t>马嘉翊</t>
  </si>
  <si>
    <t>BJWY4462512167</t>
  </si>
  <si>
    <t>NO.2025062503089</t>
  </si>
  <si>
    <t>录入课时有误，退出重报</t>
  </si>
  <si>
    <t>【作废】重复填写</t>
  </si>
  <si>
    <t>NO.18738209</t>
  </si>
  <si>
    <t>苏苏2-苏苏</t>
  </si>
  <si>
    <t>学生报名时报了集训营+无忧，后面跟集训营学习，现退掉无忧</t>
  </si>
  <si>
    <t>胡越</t>
  </si>
  <si>
    <t>BJWY1861928978</t>
  </si>
  <si>
    <t xml:space="preserve">6.29转手工卡号：6217003760185297637，开户行支行：重庆杨家坪支行，户名：胡越，待用户短信确认@寇颖暂退至学员账户余额，汇款报名，需要提供汇款原银行卡信息@寇颖[图片]
</t>
  </si>
  <si>
    <t>NO.18738237</t>
  </si>
  <si>
    <t>NO.18738286</t>
  </si>
  <si>
    <t>18741154</t>
  </si>
  <si>
    <t>【开课前退费】学生无法参加暑期集中授课，先退出在沟通其他形式和科目。辛苦先退回到学员账户</t>
  </si>
  <si>
    <t>宋思琪</t>
  </si>
  <si>
    <t>BJWY3287430545</t>
  </si>
  <si>
    <t>学生暑假想线上学习</t>
  </si>
  <si>
    <t>史星芸</t>
  </si>
  <si>
    <t>BJWY1005506262</t>
  </si>
  <si>
    <t>NO.18741216</t>
  </si>
  <si>
    <t>学员英语学的太吃力，在日本生活多年，日语比较好，保留全科  只是先退英语班课到储值账户 折合日语一对一
2】26考研英语半年集训营（强冲/英语一）KYJY25010A  KYJY25010A0022学员共计缴费14913.2总课时60学员消耗0共计退费14913.2</t>
  </si>
  <si>
    <t>安嘉慧</t>
  </si>
  <si>
    <t>BJWY2125421597</t>
  </si>
  <si>
    <t>NO.18741228</t>
  </si>
  <si>
    <t>学员英语学的太吃力，在日本生活多年，日语比较好，保留全科  只是先退英语班课到储值账户 折合日语一对一
退费明细：1】26考研英语半年集训营（基础/六月） KYJY25010  KYJY250100027学员共计缴费 9462.5课程原价 9930课时费=【课程原始总价/总课时】*已发生课时=【 9930元/38课时】*2课时=522.6元课本费：恋恋有词：88元+历年真题  118元共计退费：9462.5-522.6-88-118=8733.9</t>
  </si>
  <si>
    <t>NO.2025062302472</t>
  </si>
  <si>
    <t>学员家长已安排学员出国事宜，不再考研， 退费明细：学生共缴费11300 课程原价18800 课时费=【课程原始总价/总课时】*已发生课时=18800/30课时✖️10.5=6580 应退费用：11300-6580-500=4220元</t>
  </si>
  <si>
    <t>支付宝退回42873.4</t>
  </si>
  <si>
    <t>18742218</t>
  </si>
  <si>
    <t>18742139</t>
  </si>
  <si>
    <t>学员退费魏公村课程，报名知春路课程，搭配同期班政治再入班</t>
  </si>
  <si>
    <t>王盛嵘</t>
  </si>
  <si>
    <t>BJWY1668440992</t>
  </si>
  <si>
    <t>18741939</t>
  </si>
  <si>
    <t>18737500</t>
  </si>
  <si>
    <t>暑期学校安排了统一时间，无法回北京上线下课，不考虑线上课或者一对一（涉及班修，转班后退费），实缴实退11329.1到学员账户</t>
  </si>
  <si>
    <t>暂退学员账户余额</t>
  </si>
  <si>
    <t>18737524</t>
  </si>
  <si>
    <t>上述2个班级由于做过班修，且无同期班，无法转班后退费，需从这两个班返款实缴金额2384.3元</t>
  </si>
  <si>
    <t>未办理：返款需要一个班级一个OA，OA已退回（6.28）@韦艺鑫</t>
  </si>
  <si>
    <t>18743150</t>
  </si>
  <si>
    <t>27寒暑候鸟班号上线，之前储值到临时班号现转入正式班级，需要退出重报</t>
  </si>
  <si>
    <t>18737554</t>
  </si>
  <si>
    <t>与学员面谈沟通，在职经常出差加班，没时间上数学班课，且数学跟不上，缺课较多。打算将数学班课退到学员账户，后面上一对一</t>
  </si>
  <si>
    <t>¥4144.20</t>
  </si>
  <si>
    <t>杨闻松</t>
  </si>
  <si>
    <t>BJWY2101046936</t>
  </si>
  <si>
    <t>18737578</t>
  </si>
  <si>
    <t>¥8091.30</t>
  </si>
  <si>
    <t>学生英一改考英语二，申请转班</t>
  </si>
  <si>
    <t>王秋然</t>
  </si>
  <si>
    <t>BJWY4206312828</t>
  </si>
  <si>
    <t>18720392</t>
  </si>
  <si>
    <t>只退专业课，无忧补优惠</t>
  </si>
  <si>
    <t>暂退至学员账户余额，等待专业课一起提现</t>
  </si>
  <si>
    <t>NO.5188146770732090659</t>
  </si>
  <si>
    <t>学生原本是为了上人大，要人大背书选的本专业-人大的人力，其他学校根本不考虑，考不上就工作，但现在找到的实习单位就是自己原本计划去的公司，实习需要2个月，所以计划把精力都放在实习上，不考研了 退出</t>
  </si>
  <si>
    <t>冯与时</t>
  </si>
  <si>
    <t>BJWY4018013612</t>
  </si>
  <si>
    <t>NO.18743731</t>
  </si>
  <si>
    <t>退费方式：开课前退费，退费至储值账户，转到线上课程，剩余费用原路退回至原缴费账户
退费原因：学生外婆生病，需要学生在家照顾，无法参加暑期集训，经过跟学生反复沟通，最终确定转成线上课程，剩余费用原渠道退货</t>
  </si>
  <si>
    <t>吴桐</t>
  </si>
  <si>
    <t>BJWY3052745044</t>
  </si>
  <si>
    <t>18744113</t>
  </si>
  <si>
    <t>学生后面没有英语需求了，也不考虑保留课时，申请退费</t>
  </si>
  <si>
    <t>牛雅欣</t>
  </si>
  <si>
    <t>BJWY1220111704</t>
  </si>
  <si>
    <t>转手工卡号：6214831046130446招商银行北京慧忠北里支行，牛雅欣，待短信确认@李梦娇4 (李梦娇)</t>
  </si>
  <si>
    <t>杨沫5-杨沫</t>
  </si>
  <si>
    <t>学员跟不上进度，申请转班</t>
  </si>
  <si>
    <t>王艺霖</t>
  </si>
  <si>
    <t>BJWY0150804863</t>
  </si>
  <si>
    <t>18745114；18745025</t>
  </si>
  <si>
    <t>张俊旺</t>
  </si>
  <si>
    <t>学生退掉走读数学报名集训项目。</t>
  </si>
  <si>
    <t>陈美夷</t>
  </si>
  <si>
    <t>BJWY9417375689</t>
  </si>
  <si>
    <t>18745162</t>
  </si>
  <si>
    <t>学生换专业不考数学了，建议转为一对一或者专业课学生表示先退出，后续有需要再报</t>
  </si>
  <si>
    <t>朱昶旭</t>
  </si>
  <si>
    <t>BJWY2341227892</t>
  </si>
  <si>
    <t>18745309</t>
  </si>
  <si>
    <t xml:space="preserve">【作废】学管已重新提交[图片]
</t>
  </si>
  <si>
    <t>2025/05/10</t>
  </si>
  <si>
    <t>NO.18645918</t>
  </si>
  <si>
    <t>申柄华</t>
  </si>
  <si>
    <t>调剂学生，本周刚上完最后一次专业课课时，由于学生复试只考虑北京地区，但均未收到复试邀请，因此退费</t>
  </si>
  <si>
    <t>朱骏</t>
  </si>
  <si>
    <t>BJWY0421248658</t>
  </si>
  <si>
    <t>未办理：缺少学管老师挽单记录（6.30）@申柄华</t>
  </si>
  <si>
    <t>18739969</t>
  </si>
  <si>
    <t>学生专升本，学校两年内不让考四六级</t>
  </si>
  <si>
    <t>王禹尧</t>
  </si>
  <si>
    <t>BJWY2840412022</t>
  </si>
  <si>
    <t>苑菲晗</t>
  </si>
  <si>
    <t>BJWY4814903296</t>
  </si>
  <si>
    <t>18748124</t>
  </si>
  <si>
    <t>学生换专业，考英语政治和专业课，退出数学报入专业课，辛苦退到学员账户</t>
  </si>
  <si>
    <t>¥15000.00</t>
  </si>
  <si>
    <t>淮兰芷</t>
  </si>
  <si>
    <t>BJWY9687832936</t>
  </si>
  <si>
    <t xml:space="preserve">18747973 </t>
  </si>
  <si>
    <t>学生退费重报，全额退回学员账户。</t>
  </si>
  <si>
    <t>¥22340.00</t>
  </si>
  <si>
    <t>孙梓萌</t>
  </si>
  <si>
    <t>BJWY9075537333</t>
  </si>
  <si>
    <t>18748165</t>
  </si>
  <si>
    <t>18745613</t>
  </si>
  <si>
    <t>18750015</t>
  </si>
  <si>
    <t>初期报名就报名了集训营的半年集训营，规划后期去集训营上课，近期集训营要开课了，退费单科数学</t>
  </si>
  <si>
    <t>赫子悦</t>
  </si>
  <si>
    <t>BJWY4502718978</t>
  </si>
  <si>
    <t>18749950</t>
  </si>
  <si>
    <t>18749874</t>
  </si>
  <si>
    <t>学生英语一改考英语二。</t>
  </si>
  <si>
    <t>张霄翮</t>
  </si>
  <si>
    <t>BJWY1043586545</t>
  </si>
  <si>
    <t>退费因班修无法办理，需要转班</t>
  </si>
  <si>
    <t>NO.2025062402715</t>
  </si>
  <si>
    <t>线上运营推荐</t>
  </si>
  <si>
    <t>对专业课教师资质不满意</t>
  </si>
  <si>
    <t>学生家长自己找到研究生 可以线下帮助孩子上专业课一对一部分 不需要咱们这边的研究生辅导 全科实缴金额：130800 公共课原价120800 享受4000优惠 单独报入公共课的价格：120800-4000=116800元 公共课优惠补款：单独报入公共课课程应缴价格（116800）-首次报入缴纳金额（116800）=0元 专业课退费金额=全科实际缴费130800-报名时公共课的价格 116800=14000</t>
  </si>
  <si>
    <t>陈松涛</t>
  </si>
  <si>
    <t>BJWY2003612397</t>
  </si>
  <si>
    <t>18750129</t>
  </si>
  <si>
    <t>学生姓名：孙依冉学员编号：BJWY7685318438退费方式：报无忧英政退无忧英政退费原因：学生放弃考研，直接工作退费班级：WYP26020、WYP26021、WYE26028、WYE26029退费金额：11,014.8元</t>
  </si>
  <si>
    <t>孙依冉</t>
  </si>
  <si>
    <t>BJWY7685318438</t>
  </si>
  <si>
    <t>6.30原路径银联商务POS    中国建设银行    622700*********5599合计退款11014.8</t>
  </si>
  <si>
    <t>18750194</t>
  </si>
  <si>
    <t>18750246</t>
  </si>
  <si>
    <t>18750284</t>
  </si>
  <si>
    <t>18750437</t>
  </si>
  <si>
    <t>学生姓名：叶孝贤学员编号：BJWY3455771887退费方式：报名英政数专退英政数专退费原因：学生毕业回来和家里沟通不考研，准备工作班课退费班级：WYE26018、WYE26007、WYE26008、WYP26013、WYP26014、WYP26015、WYM26004、WYM26005、WYM26006应退金额：12808.2，其中1481.1元保留给四级班，总计退出给学生11327.1元</t>
  </si>
  <si>
    <t>18750489</t>
  </si>
  <si>
    <t>18750508</t>
  </si>
  <si>
    <t>18750527</t>
  </si>
  <si>
    <t>学生姓名：叶孝贤学员编号：BJWY3455771887退费方式：报名英政数专退英政数专退费原因：学生毕业回来和家里沟通不考研，准备工作班课退费班级：WYE26018、WYE26007、WYE26008、WYP26013、WYP26014、WYP26015、WYM26004、WYM26005、WYM26006应退金额：12808.2，其中1481.1元保留给四级班，总计退出给学生11327.1元
英政数冲刺班未开课总计10593.9元其中1481.1元保留给四级班，剩余9112.8元退回给学生</t>
  </si>
  <si>
    <t>NO.2025063003753</t>
  </si>
  <si>
    <t>学生五年制本科 27考研 提前学习报名26课程，专业课部分家长家长说不想今年学习，实际上就是觉得贵，现在资金周转不过来了，也说了后期补专业课要贵8000块，家长也知晓，就是想现在退费，后期有需要再补。</t>
  </si>
  <si>
    <t>任昊文</t>
  </si>
  <si>
    <t>BJWY9541149872</t>
  </si>
  <si>
    <t xml:space="preserve">支付宝退20800[图片]
</t>
  </si>
  <si>
    <t>特殊投诉学员，退转特批入班，换顾问跟进，新班级未绑定业绩，</t>
    <phoneticPr fontId="1" type="noConversion"/>
  </si>
  <si>
    <t>高龙明分单</t>
    <phoneticPr fontId="1" type="noConversion"/>
  </si>
  <si>
    <t>学员1pg3r</t>
  </si>
  <si>
    <t>在线网课</t>
    <phoneticPr fontId="1" type="noConversion"/>
  </si>
  <si>
    <t>赵星火</t>
    <phoneticPr fontId="1" type="noConversion"/>
  </si>
  <si>
    <t>生姓名： 张文学员编号：BJWY3211945534退费方式：退出重报退费原因：学生要考自主命题院校，从408班课转专业课一对一退费班级：WYC26001退费明细：实缴价格=10000元，退出金额10000元</t>
    <phoneticPr fontId="1" type="noConversion"/>
  </si>
  <si>
    <t>退回学员账户余额</t>
    <phoneticPr fontId="1" type="noConversion"/>
  </si>
  <si>
    <t>账户余额</t>
    <phoneticPr fontId="1" type="noConversion"/>
  </si>
  <si>
    <t>谭悦退费</t>
    <phoneticPr fontId="1" type="noConversion"/>
  </si>
  <si>
    <t>星火退费</t>
    <phoneticPr fontId="1" type="noConversion"/>
  </si>
  <si>
    <t>陈伟钰1-陈伟钰,苏乾楠-苏乾楠（北京考研四六级）</t>
    <phoneticPr fontId="1" type="noConversion"/>
  </si>
  <si>
    <t>序号</t>
  </si>
  <si>
    <t>学校</t>
  </si>
  <si>
    <t>部门</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</si>
  <si>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</si>
  <si>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</si>
  <si>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</si>
  <si>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</si>
  <si>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</si>
  <si>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</si>
  <si>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</si>
  <si>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</si>
  <si>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</si>
  <si>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</si>
  <si>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</si>
  <si>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</si>
  <si>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</si>
  <si>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</si>
  <si>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</si>
  <si>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</si>
  <si>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</si>
  <si>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</si>
  <si>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</si>
  <si>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</si>
  <si>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</si>
  <si>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</si>
  <si>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专业</t>
  </si>
  <si>
    <t>签约学生姓名</t>
  </si>
  <si>
    <t>签约单ID</t>
  </si>
  <si>
    <t>签约单录入人</t>
  </si>
  <si>
    <t>签约单录入时间</t>
  </si>
  <si>
    <t>签约单更新人</t>
  </si>
  <si>
    <t>签约单更新时间</t>
  </si>
  <si>
    <t>班号</t>
  </si>
  <si>
    <t>班级名称</t>
  </si>
  <si>
    <t>面询表类型</t>
  </si>
  <si>
    <t>订金</t>
  </si>
  <si>
    <t>学费</t>
  </si>
  <si>
    <t>续费类型</t>
  </si>
  <si>
    <t>推荐人</t>
  </si>
  <si>
    <t>类型</t>
  </si>
  <si>
    <t>是否交接</t>
  </si>
  <si>
    <t>操作人编号</t>
  </si>
  <si>
    <t>学员号</t>
  </si>
  <si>
    <t>听课证号</t>
  </si>
  <si>
    <t>报班日期</t>
  </si>
  <si>
    <t>学员状态</t>
  </si>
  <si>
    <t>回访记录</t>
  </si>
  <si>
    <t>新老生类型</t>
  </si>
  <si>
    <t>退费日期</t>
  </si>
  <si>
    <t>课程类型</t>
  </si>
  <si>
    <t>客户ID</t>
  </si>
  <si>
    <t>是否新东方在线签约</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</si>
  <si>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</si>
  <si>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</si>
  <si>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</si>
  <si>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</si>
  <si>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</si>
  <si>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</si>
  <si>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</si>
  <si>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</si>
  <si>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</si>
  <si>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</si>
  <si>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</si>
  <si>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</si>
  <si>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</si>
  <si>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</si>
  <si>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同学</t>
  </si>
  <si>
    <t>116722017</t>
  </si>
  <si>
    <t>吴凯龙</t>
  </si>
  <si>
    <t>2025-06-30 13:56:56</t>
  </si>
  <si>
    <t>谭悦9的顾问转介绍工单</t>
  </si>
  <si>
    <t>大二</t>
  </si>
  <si>
    <t>谭悦</t>
  </si>
  <si>
    <t>转介绍</t>
  </si>
  <si>
    <t>谭悦tanyue9@xdf.cn</t>
  </si>
  <si>
    <t>姜源</t>
  </si>
  <si>
    <t>28724631</t>
  </si>
  <si>
    <t>正常工单</t>
  </si>
  <si>
    <t>2025-06-30 14:07</t>
  </si>
  <si>
    <t>A（六个月内有报课意向工单）</t>
  </si>
  <si>
    <t>六级</t>
  </si>
  <si>
    <t>西华大学</t>
  </si>
  <si>
    <t>金融</t>
  </si>
  <si>
    <t>2025-06-30 19:54</t>
  </si>
  <si>
    <t>ZVVB26001</t>
  </si>
  <si>
    <t>六级暑假集训营（24H冲刺直播）</t>
  </si>
  <si>
    <t>国内考试</t>
  </si>
  <si>
    <t>新签</t>
  </si>
  <si>
    <t>已交接</t>
  </si>
  <si>
    <t>BJWY2011wXCx1W</t>
  </si>
  <si>
    <t>BJWY7326008490</t>
  </si>
  <si>
    <t>ZVVB260010032</t>
  </si>
  <si>
    <t>回访人：谭悦，回访时间：2025-06-30 14:07，回访内容：准备报名六级集训营  ；|回访人：谭悦，回访时间：2025-06-30 19:54，回访内容：1</t>
  </si>
  <si>
    <t>否</t>
  </si>
  <si>
    <t>26上考季</t>
  </si>
  <si>
    <t>六级无忧计划</t>
  </si>
  <si>
    <t>国内高校-C9</t>
  </si>
  <si>
    <t>是</t>
  </si>
  <si>
    <t>报名</t>
  </si>
  <si>
    <t>本地人外地大学(归巢)</t>
  </si>
  <si>
    <t>客服</t>
  </si>
  <si>
    <t>魏小姐</t>
  </si>
  <si>
    <t>115503604</t>
  </si>
  <si>
    <t>张亚男</t>
  </si>
  <si>
    <t>2025-06-20 19:56:01</t>
  </si>
  <si>
    <t>渠道录入来源：集团百度投放-基木鱼
账户名：baidu-大学-总部-A22KA00038
线索ID：250620465438808391
线索时间：2025-06-20 19:55:56
页面名称：新东方考研品专
姓名：魏小姐
城市：北京
IP：2409:8a00:8433:4f0:d0aa:bf9:75d3:a380
来源页：https://aisite.wejianzhan.com/site/wjzswa2z/73c5def5-883c-47c6-9bd9-9ce1d92bf9bf?wd=%E6%96%B0%E4%B8%9C%E6%96%B9%E8%80%83%E7%A0%94&amp;utm_source=0_02_searchengine_Baidu_m_market&amp;utm_medium=CPD&amp;utm_campaign=DXSYB_XX_BD_DXPP-WY_M_240924&amp;utm_1st_id=7&amp;utm_2nd_id=63&amp;xdf_source_channel_code=9ddc99f35fa8479d92b29f6c0ee04c33&amp;wid=65437bc36a42436d8a6ec1e177ccb52f_0_0</t>
  </si>
  <si>
    <t>2026财年第1财月集团百度投放-基木鱼</t>
  </si>
  <si>
    <t>线上运营-投放</t>
  </si>
  <si>
    <t>28488427</t>
  </si>
  <si>
    <t>2025-06-20 20:27</t>
  </si>
  <si>
    <t>MBA</t>
  </si>
  <si>
    <t>在职</t>
  </si>
  <si>
    <t>北京工业大学</t>
  </si>
  <si>
    <t>信息学部</t>
  </si>
  <si>
    <t>信息安全（实验班）</t>
  </si>
  <si>
    <t>2025-06-30 20:38</t>
  </si>
  <si>
    <t>2025-06-30 20:41</t>
  </si>
  <si>
    <t>45374323934</t>
  </si>
  <si>
    <t>2026考研管综全科在职优学班（4期）</t>
  </si>
  <si>
    <t>无须交接</t>
  </si>
  <si>
    <t>回访人：赵星火，回访时间：2025-06-21 11:06，回访内容：回访学生现在了解情况跟进中，发送充足介绍内容；|回访人：赵星火，回访时间：2025-06-27 16:52，回访内容：感觉价格贵，在就是重读的话，没有择校服务这些要跟家里在沟通下。；|回访人：赵星火，回访时间：2025-06-30 17:10，回访内容：关注学生这边重读条件，跟进中，要过线不过线的问题。</t>
  </si>
  <si>
    <t>长期班</t>
  </si>
  <si>
    <t>26考季</t>
  </si>
  <si>
    <t>考研在职管理类冲刺精讲班</t>
  </si>
  <si>
    <t>英语</t>
  </si>
  <si>
    <t>国内高校-211</t>
  </si>
  <si>
    <t>集团百度投放-基木鱼</t>
  </si>
  <si>
    <t>郭宸宇</t>
  </si>
  <si>
    <t>116756538</t>
  </si>
  <si>
    <t>2025-06-30 15:42:33</t>
  </si>
  <si>
    <t>续费原因：家长对数学没需求了，想了解六级班课，家长已主动联系谭悦老师（原来的顾问），很信任原顾问谭悦老师；该学生为保护期内续费，原顾问：国内大学部-谭悦(tanyue9@xdf.cn)</t>
  </si>
  <si>
    <t>大一</t>
  </si>
  <si>
    <t>李润基lirunji@xdf.cn</t>
  </si>
  <si>
    <t>28737200</t>
  </si>
  <si>
    <t>续费工单</t>
  </si>
  <si>
    <t>2025-06-30 15:55</t>
  </si>
  <si>
    <t>经济与管理学院</t>
  </si>
  <si>
    <t>金融学</t>
  </si>
  <si>
    <t>2025-06-30 19:42</t>
  </si>
  <si>
    <t>WYSJ25033</t>
  </si>
  <si>
    <t>同科续费</t>
  </si>
  <si>
    <t>续班</t>
  </si>
  <si>
    <t>WebReg</t>
  </si>
  <si>
    <t>BJWY5305138836</t>
  </si>
  <si>
    <t>WYSJ250330038</t>
  </si>
  <si>
    <t>回访人：谭悦，回访时间：2025-06-30 15:55，回访内容：微信跟进中， 六级暑假班  ；|回访人：谭悦，回访时间：2025-06-30 19:42，回访内容：签约</t>
  </si>
  <si>
    <t>25下考季</t>
  </si>
  <si>
    <t>本地人本地大学(常规)</t>
  </si>
  <si>
    <t>上海市4988</t>
  </si>
  <si>
    <t>116596886</t>
  </si>
  <si>
    <t>杨俊42(国内)</t>
  </si>
  <si>
    <t>2025-06-28 18:59:51</t>
  </si>
  <si>
    <t>渠道录入来源：新东方PC官网-客服
意向城市：北京访客省/城市：上海市
访客静态ID：01000000034659110818227981814988
接待分组ID：70447
搜索引擎：
搜索词：
关键词：
设备类型：pc
访客IP：124.76.128.169
对话详细内容：AI-Lbo0rDBXCyBY 2025-06-28 18:56:22_x000D_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2025-06-28 18:56:25_x000D_
您是想咨询【线下课程】【线上课程】【考研规划】还是【在职考研】呢？**【线下课程】#  **【线上课程】#**【考研规划】#**【在职考研】#_x000D_
_x000D_
01000000034659110818227981814988 2025-06-28 18:56:37_x000D_
【线上课程】_x000D_
_x000D_
AI-Lbo0rDBXCyBY 2025-06-28 18:56:40_x000D_
同学，你现在是在校还是在职呢？_x000D_
_x000D_
01000000034659110818227981814988 2025-06-28 18:56:48_x000D_
在校_x000D_
_x000D_
AI-Lbo0rDBXCyBY 2025-06-28 18:56:52_x000D_
具体是想报考什么学校和专业呢？_x000D_
_x000D_
01000000034659110818227981814988 2025-06-28 18:57:09_x000D_
想报考上海财经大学的管理科学与工程专业_x000D_
_x000D_
AI-Lbo0rDBXCyBY 2025-06-28 18:57:12_x000D_
好的，我这边安排专业老师给您回电，详细沟通一下，请问您的电话是多少呢？_x000D_
_x000D_
01000000034659110818227981814988 2025-06-28 18:57:28_x000D_
能不能微信，不方便电话_x000D_
_x000D_
AI-Lbo0rDBXCyBY 2025-06-28 18:57:32_x000D_
那方便接收短信吗？您可以先留个电话，我安排顾问先给您发条短信介绍下，或者微信也可以。_x000D_
_x000D_
01000000034659110818227981814988 2025-06-28 18:57:50_x000D_
微信号是m17358738071_x000D_
_x000D_
AI-Lbo0rDBXCyBY 2025-06-28 18:57:54_x000D_
好的，确认一下您的号码是否正确呢？_x000D_
_x000D_
01000000034659110818227981814988 2025-06-28 18:58:16_x000D_
正确_x000D_
_x000D_
AI-Lbo0rDBXCyBY 2025-06-28 18:58:20_x000D_
同学怎么称呼呢？_x000D_
_x000D_
01000000034659110818227981814988 2025-06-28 18:59:28_x000D_
先加我微信再说别的_x000D_
_x000D_
AI-Lbo0rDBXCyBY 2025-06-28 18:59:31_x000D_
这边马上安排顾问老师联系您，预计半个小时左右给您回电请注意接听~_x000D_
_x000D_
来源页：https://www.xdf.cn/beijing/
备注：</t>
  </si>
  <si>
    <t>2026财年第1财月易聊新东方PC官网</t>
  </si>
  <si>
    <t>王静静</t>
  </si>
  <si>
    <t>新东方官网</t>
  </si>
  <si>
    <t>2025-06-28 19:58:25</t>
  </si>
  <si>
    <t>28693701</t>
  </si>
  <si>
    <t>2025-06-29 11:05</t>
  </si>
  <si>
    <t>考研专业课</t>
  </si>
  <si>
    <t>大三</t>
  </si>
  <si>
    <t>上海财经大学</t>
  </si>
  <si>
    <t>信息管理与工程学院</t>
  </si>
  <si>
    <t>管理科学与工程</t>
  </si>
  <si>
    <t>2025-06-29 20:10</t>
  </si>
  <si>
    <t>2025-06-29 20:14</t>
  </si>
  <si>
    <t>10684230642</t>
  </si>
  <si>
    <t>2026考研管综全科在校直通车（3期）</t>
  </si>
  <si>
    <t>2025-06-29</t>
  </si>
  <si>
    <t>回访人：赵星火，回访时间：2025-06-29 11:05，回访内容：学生咨询专业课的考研辅导，开学大四考本校管理科技工程也想了解网课的英证数，已经推荐跟家里沟通</t>
  </si>
  <si>
    <t>考研专业课150</t>
  </si>
  <si>
    <t>专业课150</t>
  </si>
  <si>
    <t>其他</t>
  </si>
  <si>
    <t>外地人外地大学(常规)</t>
  </si>
  <si>
    <t>新东方官网-易聊</t>
  </si>
  <si>
    <t>95537575</t>
  </si>
  <si>
    <t>2025-02-25 13:45:01</t>
  </si>
  <si>
    <t>知春路
赵星火(资源备注人:李雪68;资源备注时间:2025-02-25 13:46)</t>
  </si>
  <si>
    <t>未知</t>
  </si>
  <si>
    <t>陈伟钰</t>
  </si>
  <si>
    <t>28714784</t>
  </si>
  <si>
    <t>2025-06-29 14:15</t>
  </si>
  <si>
    <t>考研专业课,考研无忧计划</t>
  </si>
  <si>
    <t>北京邮电大学世纪学院</t>
  </si>
  <si>
    <t>计算机科学与技术系</t>
  </si>
  <si>
    <t>计算机科学与技术（移动互联网应用方向）</t>
  </si>
  <si>
    <t>2025-06-29 14:17</t>
  </si>
  <si>
    <t>2025-06-29 15:39</t>
  </si>
  <si>
    <t>分单</t>
  </si>
  <si>
    <t>回访人：陈伟钰，回访时间：2025-06-29 14:15，回访内容：1；|回访人：陈伟钰，回访时间：2025-06-29 14:17，回访内容：1</t>
  </si>
  <si>
    <t>无忧计划-啄木鸟,考研专业课150</t>
  </si>
  <si>
    <t>英语,政治,数学,专业课150</t>
  </si>
  <si>
    <t>国内高校-双非</t>
  </si>
  <si>
    <t>罗宇航</t>
  </si>
  <si>
    <t>116618352</t>
  </si>
  <si>
    <t>马一鸣</t>
  </si>
  <si>
    <t>2025-06-29 13:03:33</t>
  </si>
  <si>
    <t>续费原因：交3000的升级费，辛苦老师收取一下，学生知道；该学生为保护期内续费，原顾问：国内大学部-谭悦(tanyue9@xdf.cn)</t>
  </si>
  <si>
    <t>马一鸣mayiming16@xdf.cn</t>
  </si>
  <si>
    <t>28714516</t>
  </si>
  <si>
    <t>2025-06-29 13:52</t>
  </si>
  <si>
    <t>天津大学</t>
  </si>
  <si>
    <t>化工学院</t>
  </si>
  <si>
    <t>化学工程与工艺</t>
  </si>
  <si>
    <t>2025-06-29 14:03</t>
  </si>
  <si>
    <t>2025-07-01 10:11</t>
  </si>
  <si>
    <t>LP17511769792272</t>
  </si>
  <si>
    <t>985院校升级费-无忧</t>
  </si>
  <si>
    <t>BJWY7777555488</t>
  </si>
  <si>
    <t>回访人：谭悦，回访时间：2025-06-29 13:52，回访内容：1</t>
  </si>
  <si>
    <t>国内高校-985</t>
  </si>
  <si>
    <t>刘菊</t>
  </si>
  <si>
    <t>102646871</t>
  </si>
  <si>
    <t>李雪68</t>
  </si>
  <si>
    <t>2025-05-15 15:14:16</t>
  </si>
  <si>
    <t>吴嘉豪</t>
  </si>
  <si>
    <t>赵翔宇</t>
  </si>
  <si>
    <t>27898670</t>
  </si>
  <si>
    <t>2025-05-15 15:28</t>
  </si>
  <si>
    <t>线上考研产品</t>
  </si>
  <si>
    <t>北京理工大学</t>
  </si>
  <si>
    <t>宇航学院</t>
  </si>
  <si>
    <t>飞行器设计与工程</t>
  </si>
  <si>
    <t>2025-06-28 12:46</t>
  </si>
  <si>
    <t>31181722777</t>
  </si>
  <si>
    <t>2026考研政治直通车 6期</t>
  </si>
  <si>
    <t>2025-06-28</t>
  </si>
  <si>
    <t xml:space="preserve">回访人：谭悦，回访时间：2025-06-23 15:56，回访内容：邀约来校区沟通 考研规划  ；|回访人：谭悦，回访时间：2025-06-28 12:46，回访内容：签约 </t>
  </si>
  <si>
    <t>线上直通车</t>
  </si>
  <si>
    <t>政治</t>
  </si>
  <si>
    <t>115078495</t>
  </si>
  <si>
    <t>2025-06-18 15:03:49</t>
  </si>
  <si>
    <t>【小红书资源】
一会儿到知春路面询</t>
  </si>
  <si>
    <t>线上运营-小红书</t>
  </si>
  <si>
    <t>韩宜航</t>
  </si>
  <si>
    <t>28704683</t>
  </si>
  <si>
    <t>2025-06-28 14:12</t>
  </si>
  <si>
    <t>大四</t>
  </si>
  <si>
    <t>环境与生命学部</t>
  </si>
  <si>
    <t>化学生物学</t>
  </si>
  <si>
    <t>2025-06-28 14:13</t>
  </si>
  <si>
    <t>27469816685</t>
  </si>
  <si>
    <t>2026考研英语直通车  6期,2026考研政治直通车 6期,2026考研数学无忧计划·7期</t>
  </si>
  <si>
    <t>回访人：赵星火，回访时间：2025-06-28 14:12，回访内容：1；|回访人：赵星火，回访时间：2025-06-28 14:13，回访内容：1</t>
  </si>
  <si>
    <t>长期班,长期班,长期班</t>
  </si>
  <si>
    <t>英语,政治</t>
  </si>
  <si>
    <t>外地人本地大学(常规)</t>
  </si>
  <si>
    <t>100583092</t>
  </si>
  <si>
    <t>2025-04-24 09:32:59</t>
  </si>
  <si>
    <t>18705439787  毕业   想考北大医学或者首都医科大学  临床  咨询北京校区。辛苦老师建单</t>
  </si>
  <si>
    <t>刘紫乔</t>
  </si>
  <si>
    <t>28720818</t>
  </si>
  <si>
    <t>2025-06-29 22:22</t>
  </si>
  <si>
    <t>考研专业课,考研集训营</t>
  </si>
  <si>
    <t>大学已毕业</t>
  </si>
  <si>
    <t>山东大学</t>
  </si>
  <si>
    <t>化学与化工学院</t>
  </si>
  <si>
    <t>应用化学</t>
  </si>
  <si>
    <t>KYJZ25007A</t>
  </si>
  <si>
    <t>26考研政治全年集训营（强冲）</t>
  </si>
  <si>
    <t>BJWY24032w1g8X</t>
  </si>
  <si>
    <t>BJWY4374635320</t>
  </si>
  <si>
    <t>KYJZ25007A0046</t>
  </si>
  <si>
    <t>2025-06-27</t>
  </si>
  <si>
    <t>回访人：谭悦，回访时间：2025-06-29 22:22，回访内容：1；|回访人：谭悦，回访时间：2025-06-29 22:22，回访内容：1</t>
  </si>
  <si>
    <t>全年集训营,考研专业课300</t>
  </si>
  <si>
    <t>英语,政治,专业课300</t>
  </si>
  <si>
    <t>转出</t>
  </si>
  <si>
    <t>98805854</t>
  </si>
  <si>
    <t>2025-04-04 10:21:21</t>
  </si>
  <si>
    <t>咨询考研线下课程（TMK主管分配TMK） 外呼主题：FY25-国内1月死单回访（2.3-2.9）</t>
  </si>
  <si>
    <t>线上运营-本地生活平台</t>
  </si>
  <si>
    <t>刘云舒</t>
  </si>
  <si>
    <t>28701617</t>
  </si>
  <si>
    <t>2025-06-29 22:20</t>
  </si>
  <si>
    <t>青岛科技大学</t>
  </si>
  <si>
    <t>自动化与电子工程学院</t>
  </si>
  <si>
    <t>电气工程及其自动化</t>
  </si>
  <si>
    <t>2025-06-29 22:21</t>
  </si>
  <si>
    <t>BJWY9006140904</t>
  </si>
  <si>
    <t>KYJZ25007A0045</t>
  </si>
  <si>
    <t>回访人：谭悦，回访时间：2025-06-29 22:20，回访内容：1；|回访人：谭悦，回访时间：2025-06-29 22:21，回访内容：1</t>
  </si>
  <si>
    <t>95475458</t>
  </si>
  <si>
    <t>2025-02-24 16:56:33</t>
  </si>
  <si>
    <t>续费原因：调剂B 区学校 动物学专业 咨询调剂班 只要能上岸就行；该学生为保护期内续费，原顾问：国内大学部-赵星火(zhaoxinghuo@xdf.cn)</t>
  </si>
  <si>
    <t>都宣辰</t>
  </si>
  <si>
    <t>28720769</t>
  </si>
  <si>
    <t>2025-06-29 21:56</t>
  </si>
  <si>
    <t>考研集训营</t>
  </si>
  <si>
    <t>牡丹江大学</t>
  </si>
  <si>
    <t>生物学</t>
  </si>
  <si>
    <t>生物</t>
  </si>
  <si>
    <t>2025-06-29 21:57</t>
  </si>
  <si>
    <t>BJWY0159234810</t>
  </si>
  <si>
    <t>KYJZ25007A0037</t>
  </si>
  <si>
    <t>回访人：赵星火，回访时间：2025-06-29 21:56，回访内容：1；|回访人：赵星火，回访时间：2025-06-29 21:57，回访内容：1</t>
  </si>
  <si>
    <t>全年集训营</t>
  </si>
  <si>
    <t>95173408</t>
  </si>
  <si>
    <t>2025-02-20 16:07:50</t>
  </si>
  <si>
    <t>续费原因：如果今年成绩不理想，学员考虑再回来，细节已和顾问刘欢老师对接；该学生为保护期外续费，原顾问部门：国内大学部</t>
  </si>
  <si>
    <t>张显</t>
  </si>
  <si>
    <t>28720746</t>
  </si>
  <si>
    <t>2025-06-29 21:50</t>
  </si>
  <si>
    <t>天津财经大学</t>
  </si>
  <si>
    <t>会计学院</t>
  </si>
  <si>
    <t>财务管理</t>
  </si>
  <si>
    <t>2025-06-29 21:51</t>
  </si>
  <si>
    <t>BJWY3269678401</t>
  </si>
  <si>
    <t>KYJZ25007A0058</t>
  </si>
  <si>
    <t>回访人：赵星火，回访时间：2025-06-29 21:50，回访内容：1；|回访人：赵星火，回访时间：2025-06-29 21:51，回访内容：1</t>
  </si>
  <si>
    <t>grnv</t>
  </si>
  <si>
    <t>115757231</t>
  </si>
  <si>
    <t>2025-06-23 14:26:30</t>
  </si>
  <si>
    <t>渠道录入来源：集团百度投放-易聊
意向城市：北京市
访客省/城市：北京市
qq: 
访客静态ID：01000000034718973185476658716548
接待分组ID：51266
搜索引擎：
搜索词：
关键词：
设备类型：pc
访客IP：111.192.103.219
对话详细内容：AI-KvNH7xJ0CD 2025-06-12 20:37:45_x000D_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2025-06-12 20:37:47_x000D_
您是想咨询【考研走读班】【考研集训营】【考研规划】还是【在职考研】呢？_x000D_
_x000D_
01000000034718973185476658716548 2025-06-12 20:38:28_x000D_
在职考研_x000D_
_x000D_
AI-KvNH7xJ0CD 2025-06-12 20:38:32_x000D_
您准备[在职读研] 还是[离职读研] ?**在职读研#  **离职读研#_x000D_
_x000D_
01000000034718973185476658716548 2025-06-12 20:38:38_x000D_
在职读研_x000D_
_x000D_
AI-KvNH7xJ0CD 2025-06-12 20:38:42_x000D_
具体是想报考什么学校和专业呢？_x000D_
_x000D_
01000000034718973185476658716548 2025-06-12 20:38:54_x000D_
想报考计算机相关专业_x000D_
_x000D_
AI-KvNH7xJ0CD 2025-06-12 20:38:57_x000D_
同学，您可以留下您的联系方式，稍后顾问老师会给您进行专业的择校及专业选择的指导。_x000D_
_x000D_
01000000034718973185476658716548 2025-06-12 20:39:08_x000D_
15650706248_x000D_
_x000D_
来源页：https://click.xdf.cn/
备注：（TMK主管分配TMK）</t>
  </si>
  <si>
    <t>2026财年第1财月百度投放总部-百度投放</t>
  </si>
  <si>
    <t>杨沫</t>
  </si>
  <si>
    <t>2025-06-27 16:00:22</t>
  </si>
  <si>
    <t>28677697</t>
  </si>
  <si>
    <t>2025-06-27 16:01</t>
  </si>
  <si>
    <t>北京物资学院</t>
  </si>
  <si>
    <t>法学院</t>
  </si>
  <si>
    <t>法学</t>
  </si>
  <si>
    <t>80073851582</t>
  </si>
  <si>
    <t>2026考研政治全程班 6班,2026考研英语全程班 6班,2026考研数学全程班 6班,2026考研计算机全程班</t>
  </si>
  <si>
    <t>回访人：赵星火，回访时间：2025-06-27 16:01，回访内容：1</t>
  </si>
  <si>
    <t>长期班,长期班,长期班,长期班</t>
  </si>
  <si>
    <t>线上全程班</t>
  </si>
  <si>
    <t>计算机</t>
  </si>
  <si>
    <t>86141900</t>
  </si>
  <si>
    <t>2024-10-11 10:31:47</t>
  </si>
  <si>
    <t xml:space="preserve">明天下午想到知春路校区面询，两位同学一起，尽快联系
渠道录入来源：大众点评
事件名称：在线咨询
大众点评门店名称：新东方考研四六级(知春路校区)
店铺绑定的校区：知春路校区
店铺管理员邮箱：lvmeng2@xdf.cn
备注：2024-10-11 10:31:45,用户在大众点评新东方考研四六级(知春路校区)在线咨询
</t>
  </si>
  <si>
    <t>2025财年第5财月大众点评在线咨询</t>
  </si>
  <si>
    <t>邓谭(转岗)</t>
  </si>
  <si>
    <t>28701601</t>
  </si>
  <si>
    <t>2025-06-29 22:13</t>
  </si>
  <si>
    <t>B（需长时间跟单或只需要规划）</t>
  </si>
  <si>
    <t>北京工商学院</t>
  </si>
  <si>
    <t>化学学院</t>
  </si>
  <si>
    <t>化妆品工程</t>
  </si>
  <si>
    <t>2025-06-29 22:14</t>
  </si>
  <si>
    <t>WYE26034</t>
  </si>
  <si>
    <t>考研英语无忧计划（26考研/英二强化）</t>
  </si>
  <si>
    <t>BJWY25030q8UPI</t>
  </si>
  <si>
    <t>WYE260340045</t>
  </si>
  <si>
    <t>2025-06-25</t>
  </si>
  <si>
    <t>回访人：谭悦，回访时间：2025-06-29 22:13，回访内容：1；|回访人：谭悦，回访时间：2025-06-29 22:14，回访内容：1</t>
  </si>
  <si>
    <t>WYE26035</t>
  </si>
  <si>
    <t>考研英语无忧计划（26考研/英二冲刺）</t>
  </si>
  <si>
    <t>WYE260350045</t>
  </si>
  <si>
    <t>94705727</t>
  </si>
  <si>
    <t>2025-02-15 15:43:36</t>
  </si>
  <si>
    <t>准备到知春路校区面询，尽快联系</t>
  </si>
  <si>
    <t>刘创</t>
  </si>
  <si>
    <t>28575704</t>
  </si>
  <si>
    <t>2025-06-24 20:45</t>
  </si>
  <si>
    <t>太原理工大学</t>
  </si>
  <si>
    <t>土木工程学院</t>
  </si>
  <si>
    <t>土木工程</t>
  </si>
  <si>
    <t>2025-06-24 20:46</t>
  </si>
  <si>
    <t>WYE26026</t>
  </si>
  <si>
    <t>考研英语无忧计划（26考研/英一强化）</t>
  </si>
  <si>
    <t>BJWY2101498uW2</t>
  </si>
  <si>
    <t>WYE260260064</t>
  </si>
  <si>
    <t>2025-06-24</t>
  </si>
  <si>
    <t>回访人：谭悦，回访时间：2025-06-24 20:45，回访内容：1；|回访人：谭悦，回访时间：2025-06-24 20:45，回访内容：1</t>
  </si>
  <si>
    <t>WYE26027</t>
  </si>
  <si>
    <t>考研英语无忧计划（26考研/英一冲刺）</t>
  </si>
  <si>
    <t>WYE260270062</t>
  </si>
  <si>
    <t>胡家睿</t>
  </si>
  <si>
    <t>92377994</t>
  </si>
  <si>
    <t>张琦文</t>
  </si>
  <si>
    <t>2025-01-06 15:45:51</t>
  </si>
  <si>
    <t>续费原因：心脏不舒服去急诊没有考数学，要是成绩还好可能就报一个一对一在家复习了。老师可以跟进问一下；该学生为保护期内续费，原顾问：国内大学部-赵星火(zhaoxinghuo@xdf.cn)</t>
  </si>
  <si>
    <t>张琦文zhangqiwen6@xdf.cn</t>
  </si>
  <si>
    <t>26221646</t>
  </si>
  <si>
    <t>2025-01-06 16:21</t>
  </si>
  <si>
    <t>北京信息科技大学</t>
  </si>
  <si>
    <t>信息与通信工程学院</t>
  </si>
  <si>
    <t>电子信息工程</t>
  </si>
  <si>
    <t>2025-06-22 17:15</t>
  </si>
  <si>
    <t>52288160146</t>
  </si>
  <si>
    <t>2026考研英语直通车  6期,2026考研数学直通车 6期,2026考研政治直通车 6期</t>
  </si>
  <si>
    <t>2025-06-22</t>
  </si>
  <si>
    <t>回访人：赵星火，回访时间：2025-06-14 17:10，回访内容：电话呼出联系联系不上，微信没有回复；|回访人：赵星火，回访时间：2025-06-18 21:21，回访内容：跟进学生情况跟进学生考虑继续维护中。；|回访人：赵星火，回访时间：2025-06-21 20:31，回访内容：电话呼出联系不上学生微信跟进中继续维护。；|回访人：赵星火，回访时间：2025-06-22 17:15，回访内容：1</t>
  </si>
  <si>
    <t>半年集训营</t>
  </si>
  <si>
    <t>白兰小字</t>
  </si>
  <si>
    <t>康荧</t>
  </si>
  <si>
    <t>28434788</t>
  </si>
  <si>
    <t>2025-06-18 16:52</t>
  </si>
  <si>
    <t>2025-06-18 16:53</t>
  </si>
  <si>
    <t>53494503643</t>
  </si>
  <si>
    <t>2026考研英语直通车  6期,2026考研政治直通车 6期</t>
  </si>
  <si>
    <t>2025-06-18</t>
  </si>
  <si>
    <t>回访人：赵星火，回访时间：2025-06-18 16:53，回访内容：1</t>
  </si>
  <si>
    <t>8464.0</t>
  </si>
  <si>
    <t>长期班,长期班</t>
  </si>
  <si>
    <t>85549363</t>
  </si>
  <si>
    <t>2024-09-29 17:21:48</t>
  </si>
  <si>
    <t>续费原因：了解25考研对应课程，需要先看一下院校，学生家长先问的专业课，但是专业课每个学校考的不一样需要先看一下院校，说了公共课急救班还有一对一模式，孩子在老家可以上线上；该学生为保护期外续费，原顾问部门：国内大学部</t>
  </si>
  <si>
    <t>张鸣政</t>
  </si>
  <si>
    <t>28387513</t>
  </si>
  <si>
    <t>2025-06-16 20:18</t>
  </si>
  <si>
    <t>教师资格证</t>
  </si>
  <si>
    <t>中国人民大学</t>
  </si>
  <si>
    <t>马克思主义学院</t>
  </si>
  <si>
    <t>中国共产党历史</t>
  </si>
  <si>
    <t>2025-06-16 20:21</t>
  </si>
  <si>
    <t>15719805143</t>
  </si>
  <si>
    <t>【2025下】中学教资笔面直通车</t>
  </si>
  <si>
    <t>2025-06-16</t>
  </si>
  <si>
    <t>回访人：谭悦，回访时间：2025-06-16 20:18，回访内容：教资网课 ；|回访人：谭悦，回访时间：2025-06-16 20:21，回访内容：1</t>
  </si>
  <si>
    <t>教师资格证笔试</t>
  </si>
  <si>
    <t>112561935</t>
  </si>
  <si>
    <t>2025-06-06 12:20:44</t>
  </si>
  <si>
    <t>知春路直访，谭悦接待；销售主管分配TMK主管 外呼主题：寇源-等待工单库2025-05-23</t>
  </si>
  <si>
    <t>曹玥</t>
  </si>
  <si>
    <t>28130808</t>
  </si>
  <si>
    <t>2025-06-10 15:07</t>
  </si>
  <si>
    <t>北京农学院</t>
  </si>
  <si>
    <t>植物科学技术学院</t>
  </si>
  <si>
    <t>农学</t>
  </si>
  <si>
    <t>06888906157</t>
  </si>
  <si>
    <t>2026考研专业课定制一对一（50h）-A班</t>
  </si>
  <si>
    <t>2025-06-10</t>
  </si>
  <si>
    <t>回访人：谭悦，回访时间：2025-06-10 15:07，回访内容：1；|回访人：谭悦，回访时间：2025-06-10 15:07，回访内容：1</t>
  </si>
  <si>
    <t>线上无忧计划</t>
  </si>
  <si>
    <t>103546571</t>
  </si>
  <si>
    <t>杨俊</t>
  </si>
  <si>
    <t>2025-05-23 14:29:17</t>
  </si>
  <si>
    <t>销售主管分配TMK主管</t>
  </si>
  <si>
    <t>杨钰杰</t>
  </si>
  <si>
    <t>28176051</t>
  </si>
  <si>
    <t>2025-06-06 13:37</t>
  </si>
  <si>
    <t>2025-06-10 15:04</t>
  </si>
  <si>
    <t>2025-06-10 15:05</t>
  </si>
  <si>
    <t>77410743517</t>
  </si>
  <si>
    <t>2026考研政治无忧计划·11期,2026考研英语一无忧计划·14期</t>
  </si>
  <si>
    <t xml:space="preserve">回访人：谭悦，回访时间：2025-06-06 13:37，回访内容：26考研，植物保护，跟进中   ；|回访人：谭悦，回访时间：2025-06-07 16:44，回访内容：微信跟进中，菁英B计划  ；|回访人：谭悦，回访时间：2025-06-10 15:04，回访内容：签约 </t>
  </si>
  <si>
    <t>市场</t>
  </si>
  <si>
    <t>87708587</t>
  </si>
  <si>
    <t>2024-11-05 14:17:45</t>
  </si>
  <si>
    <t>【考博】学生主动微信找的，毕业专业和院校是 大连医科大学 临床医学。咨询考博的英语辅导，线上大班网课，在上班，不方便电话，辛苦老师加微信，手机号是微信；【考博】毕业专业和院校是 大连医科大学 临床医学。咨询考博的英语辅导，线上大班网课，在上班，不方便电话，辛苦老师加微信</t>
  </si>
  <si>
    <t>1度</t>
  </si>
  <si>
    <t>28182825</t>
  </si>
  <si>
    <t>2025-06-07 13:05</t>
  </si>
  <si>
    <t>考博</t>
  </si>
  <si>
    <t>大连医科大学</t>
  </si>
  <si>
    <t>临床学院</t>
  </si>
  <si>
    <t>临床医学</t>
  </si>
  <si>
    <t>2025-06-07 13:06</t>
  </si>
  <si>
    <t>08181547771</t>
  </si>
  <si>
    <t>2026医学考博英语全程班【直播 + 录播】</t>
  </si>
  <si>
    <t>2025-06-07</t>
  </si>
  <si>
    <t>回访人：赵星火，回访时间：2025-06-07 13:05，回访内容：1；|回访人：赵星火，回访时间：2025-06-07 13:05，回访内容：1</t>
  </si>
  <si>
    <t>95923932</t>
  </si>
  <si>
    <t>2025-03-01 15:57:49</t>
  </si>
  <si>
    <t>续费原因：咨询考研，辛苦流转赵星火；该学生为保护期内续费，原顾问：国内大学部-赵星火(zhaoxinghuo@xdf.cn)</t>
  </si>
  <si>
    <t>28161284</t>
  </si>
  <si>
    <t>2025-06-05 14:42</t>
  </si>
  <si>
    <t>考研无忧计划</t>
  </si>
  <si>
    <t>北京航空航天大学</t>
  </si>
  <si>
    <t>机械工程及自动化学院</t>
  </si>
  <si>
    <t>材料成型及控制工程</t>
  </si>
  <si>
    <t>2025-06-05 15:14</t>
  </si>
  <si>
    <t>WYP26043</t>
  </si>
  <si>
    <t>考研政治无忧计划（26考研/基础）</t>
  </si>
  <si>
    <t>WYP260430050</t>
  </si>
  <si>
    <t>2025-06-04</t>
  </si>
  <si>
    <t>回访人：赵星火，回访时间：2025-06-05 14:42，回访内容：1；|回访人：赵星火，回访时间：2025-06-05 14:42，回访内容：1</t>
  </si>
  <si>
    <t>无忧计划-啄木鸟</t>
  </si>
  <si>
    <t>英语,政治,数学</t>
  </si>
  <si>
    <t>WYP26044</t>
  </si>
  <si>
    <t>考研政治无忧计划（26考研/强化）</t>
  </si>
  <si>
    <t>WYP260440050</t>
  </si>
  <si>
    <t>WYP26045</t>
  </si>
  <si>
    <t>考研政治无忧计划（26考研/冲刺）</t>
  </si>
  <si>
    <t>WYP260450050</t>
  </si>
  <si>
    <t>WYE26055</t>
  </si>
  <si>
    <t>考研英语无忧计划（26考研/基础）</t>
  </si>
  <si>
    <t>WYE260550057</t>
  </si>
  <si>
    <t>WYE26056</t>
  </si>
  <si>
    <t>WYE260560029</t>
  </si>
  <si>
    <t>WYE26057</t>
  </si>
  <si>
    <t>WYE260570029</t>
  </si>
  <si>
    <t>WYM26028</t>
  </si>
  <si>
    <t>考研数学无忧计划（26考研/基础）</t>
  </si>
  <si>
    <t>WYM260280032</t>
  </si>
  <si>
    <t>WYM26029</t>
  </si>
  <si>
    <t>考研数学无忧计划（26考研/强化）</t>
  </si>
  <si>
    <t>WYM260290032</t>
  </si>
  <si>
    <t>WYM26030</t>
  </si>
  <si>
    <t>考研数学无忧计划（26考研/冲刺）</t>
  </si>
  <si>
    <t>WYM260300032</t>
  </si>
  <si>
    <t>章俊骐</t>
  </si>
  <si>
    <t>116868306</t>
  </si>
  <si>
    <t>刘佳林</t>
  </si>
  <si>
    <t>2025-07-01 10:33:35</t>
  </si>
  <si>
    <t>续费原因：学生更换研究生，需要缴纳500元师资重新匹配费；该学生为保护期内续费，原顾问：国内大学部-谭悦(tanyue9@xdf.cn)</t>
  </si>
  <si>
    <t>刘佳林liujialin25@xdf.cn</t>
  </si>
  <si>
    <t>28732371</t>
  </si>
  <si>
    <t>2025-07-01 10:46</t>
  </si>
  <si>
    <t>福建师范大学</t>
  </si>
  <si>
    <t>计算机与网络空间安全学院</t>
  </si>
  <si>
    <t>网络空间安全</t>
  </si>
  <si>
    <t>2025-07-01 10:48</t>
  </si>
  <si>
    <t>2025-07-01 10:49</t>
  </si>
  <si>
    <t>LP175133809710126</t>
  </si>
  <si>
    <t>考研专业课匹配费-集训</t>
  </si>
  <si>
    <t>未交接</t>
  </si>
  <si>
    <t>BJWY4692076178</t>
  </si>
  <si>
    <t>2025-07-01</t>
  </si>
  <si>
    <t>回访人：谭悦，回访时间：2025-07-01 10:46，回访内容：升级费500</t>
  </si>
  <si>
    <t>83091320</t>
  </si>
  <si>
    <t>2024-08-23 10:52:44</t>
  </si>
  <si>
    <t>续费原因：四级考过了，秋季六级小班，辛苦流转；该学生为保护期外续费，原顾问部门：国内大学部</t>
  </si>
  <si>
    <t>丁美希</t>
  </si>
  <si>
    <t>28541513</t>
  </si>
  <si>
    <t>2025-06-23 14:24</t>
  </si>
  <si>
    <t>中央民族大学</t>
  </si>
  <si>
    <t>经济学院</t>
  </si>
  <si>
    <t>经济学</t>
  </si>
  <si>
    <t>2025-06-23 14:26</t>
  </si>
  <si>
    <t>LP1750659982995</t>
  </si>
  <si>
    <t>BJWY2338747100</t>
  </si>
  <si>
    <t>2025-06-23</t>
  </si>
  <si>
    <t>回访人：谭悦，回访时间：2025-06-23 14:24，回访内容：1</t>
  </si>
  <si>
    <t>无忧计划-啄木鸟,考研专业课300</t>
  </si>
  <si>
    <t>101206597</t>
  </si>
  <si>
    <t>2025-05-02 10:21:56</t>
  </si>
  <si>
    <t>13718108181，北京，一对一，家长</t>
  </si>
  <si>
    <t>高旭</t>
  </si>
  <si>
    <t>28636734</t>
  </si>
  <si>
    <t>2025-06-30 17:16</t>
  </si>
  <si>
    <t>江西中医药大学</t>
  </si>
  <si>
    <t>中医学院</t>
  </si>
  <si>
    <t>中医学</t>
  </si>
  <si>
    <t>2025-06-30 17:18</t>
  </si>
  <si>
    <t>KYJY25005A</t>
  </si>
  <si>
    <t>26考研英语全年集训营（强冲/英语一）</t>
  </si>
  <si>
    <t>BJWY1711738229</t>
  </si>
  <si>
    <t>KYJY25005A0051</t>
  </si>
  <si>
    <t>回访人：谭悦，回访时间：2025-06-30 17:16，回访内容：1；|回访人：谭悦，回访时间：2025-06-30 17:18，回访内容：1</t>
  </si>
  <si>
    <t>93279543</t>
  </si>
  <si>
    <t>2025-01-17 15:26:42</t>
  </si>
  <si>
    <t>续费原因：【个性化项目】学生复试一对一需求/复试班课需求，学生专业课考的不错，政治和英语主观题不敢估计太高，给学生介绍了复试班课和一对一的时间，价格，优惠 学生说和家长商量一下 也要等等出分的情况（初试定制一对一+专业课+无忧班课）；该学生为保护期外续费，原顾问部门：国内大学部</t>
  </si>
  <si>
    <t>邓子萱</t>
  </si>
  <si>
    <t>28329025</t>
  </si>
  <si>
    <t>2025-06-13 19:40</t>
  </si>
  <si>
    <t>考研复试班</t>
  </si>
  <si>
    <t>北京城市学院</t>
  </si>
  <si>
    <t>经济管理学部</t>
  </si>
  <si>
    <t>2025-06-14 15:21</t>
  </si>
  <si>
    <t>LP17498856982112</t>
  </si>
  <si>
    <t>考研一对一伴学班（26考季）</t>
  </si>
  <si>
    <t>BJWY6878369361</t>
  </si>
  <si>
    <t>2025-06-14</t>
  </si>
  <si>
    <t>回访人：赵星火，回访时间：2025-06-13 19:40，回访内容：1</t>
  </si>
  <si>
    <t>25考季</t>
  </si>
  <si>
    <t>82243811</t>
  </si>
  <si>
    <t>2024-08-13 11:59:07</t>
  </si>
  <si>
    <t>25考研，打算考法硕非法学，想了解下北京的半年集训营，也问了线下走读班，方便回电【死单激活】；渠道录入来源：集团百度投放-易聊
意向城市：北京
访客省/城市：淄博市
qq: 
访客静态ID：01000000034718899556994789708966
接待分组ID：51266
搜索引擎：
搜索词：
关键词：
设备类型：pc
访客IP：218.58.131.6
对话详细内容：AI-KvNH7xJ0CD 2024-02-27 08:59:33_x000D_
您好同学，欢迎访问新东方考研，【25考研】全新升级，考研线下课程【考研全年/半年集训营】【考研冲刺营】【考研线下走读冲刺班】【25无忧计划】【考研一对一】【在职考研】火热报名中 ，现在报名更有高达8000元优惠！_x000D_
考研在线课程灵活多样，优惠高达3000元！**【考研全年/半年集训营】=019481# **【考研冲刺营】=019481# **【考研线下走读冲刺班】=019481# **【25无忧计划】=019481# **【考研一对一】=019481# **【在职考研】=019481#_x000D_
_x000D_
AI-KvNH7xJ0CD 2024-02-27 08:59:37_x000D_
您是想咨询【线上课程】【线下课程】【考研规划】还是【在职考研】呢？_x000D_
**【线上课程】=019481#  **【线下课程】=019481#  **【考研规划】=019481#  **【在职考研】=019481#_x000D_
_x000D_
01000000034718899556994789708966 2024-02-27 09:02:28_x000D_
你好，你们全年的学习环境图片是哪个省市的？_x000D_
_x000D_
AI-KvNH7xJ0CD 2024-02-27 09:02:32_x000D_
同学，您是在校还是在职呢？_x000D_
_x000D_
01000000034718899556994789708966 2024-02-27 09:02:46_x000D_
我是家长，山东的_x000D_
_x000D_
AI-KvNH7xJ0CD 2024-02-27 09:02:50_x000D_
具体是想报考什么学校和专业呢？_x000D_
_x000D_
01000000034718899556994789708966 2024-02-27 09:02:57_x000D_
法硕_x000D_
_x000D_
01000000034718899556994789708966 2024-02-27 09:03:00_x000D_
非法学_x000D_
_x000D_
AI-KvNH7xJ0CD 2024-02-27 09:03:04_x000D_
好的，了解。我们新东方在全国32个城市都有校区，您倾向在哪个城市上课，或者希望哪里的老师给您介绍下呢？_x000D_
_x000D_
01000000034718899556994789708966 2024-02-27 09:03:21_x000D_
我在淄博_x000D_
_x000D_
AI-KvNH7xJ0CD 2024-02-27 09:03:25_x000D_
您可以留下您的姓名和电话，我这边可以立刻安排对应校区顾问老师给您回电！_x000D_
_x000D_
01000000034718899556994789708966 2024-02-27 09:03:37_x000D_
先咨询下_x000D_
_x000D_
AI-KvNH7xJ0CD 2024-02-27 09:03:40_x000D_
这样，您电话多少，我安排考研部的老师联系您，将课程的详细内容介绍给您_x000D_
_x000D_
01000000034718899556994789708966 2024-02-27 09:03:55_x000D_
是你们总部在哪，条件会好些吗_x000D_
_x000D_
AI-KvNH7xJ0CD 2024-02-27 09:03:58_x000D_
我们在全国32个城市都有校区，您这边在哪个地区上课方便呢。_x000D_
_x000D_
01000000034718899556994789708966 2024-02-27 09:04:01_x000D_
是在北京吗_x000D_
_x000D_
AI-KvNH7xJ0CD 2024-02-27 09:04:05_x000D_
这个可以具体安排老师跟您联系一下，同学这边觉得电话方便还是微信方便呢~_x000D_
_x000D_
01000000034718899556994789708966 2024-02-27 09:04:10_x000D_
都可以_x000D_
_x000D_
AI-KvNH7xJ0CD 2024-02-27 09:04:13_x000D_
您这边方便留个联系方式吗？我们安排专业的老师跟您联系~_x000D_
_x000D_
01000000034718899556994789708966 2024-02-27 09:04:20_x000D_
可以推荐一下_x000D_
_x000D_
AI-KvNH7xJ0CD 2024-02-27 09:04:23_x000D_
好的，您看您什么时候方便，资深老师给您介绍下，针对您的情况来给些匹配建议，给些适合您当前的规划准备，咨询也是免费的，你的电话或者微信是多少呢？_x000D_
_x000D_
01000000034718899556994789708966 2024-02-27 09:04:38_x000D_
18369916805_x000D_
_x000D_
来源页：https://www.xdf.cn/market/360/index.html?utm_source=jituan_searchengine_360_PC_360PP&amp;utm_medium=CPD&amp;utm_campaign=JTQG_360_PP_PC_PP_230530&amp;utm_term=biaoti&amp;utm_1st_id=7&amp;utm_2nd_id=64&amp;xdf_source_channel_code=59fe761d6ffee3da399cdd0c64ce312b
备注：（TMK主管分配TMK） 外呼主题：FY24-国内2月死单回访（第四周）（TMK主管分配TMK） 外呼主题：FY24-英学5月死单回访（下旬）</t>
  </si>
  <si>
    <t>2024财年第9财月集团百度投放集团百度投放</t>
  </si>
  <si>
    <t>孙艺鸣</t>
  </si>
  <si>
    <t>28146416</t>
  </si>
  <si>
    <t>2025-06-03 11:09</t>
  </si>
  <si>
    <t>大五</t>
  </si>
  <si>
    <t>北京工商大学</t>
  </si>
  <si>
    <t>2025-06-03 11:10</t>
  </si>
  <si>
    <t>LP1748920245661</t>
  </si>
  <si>
    <t>BJWY4215493869</t>
  </si>
  <si>
    <t>2025-06-03</t>
  </si>
  <si>
    <t>回访人：谭悦，回访时间：2025-06-03 11:09，回访内容：1</t>
  </si>
  <si>
    <t>116243253</t>
  </si>
  <si>
    <t>2025-06-25 20:31:12</t>
  </si>
  <si>
    <t>家长咨询，孩子本科东北大学，学的建筑，之前考过研，7月30号入职中冶京诚，想考非全日制，软件工程计算机之类的，考虑985的学校，想了解暑期集训和走读，简单介绍了下，现在可以回电，着急回电</t>
  </si>
  <si>
    <t>线上运营-私域中台</t>
  </si>
  <si>
    <t>28741462</t>
  </si>
  <si>
    <t>2025-06-30 21:21</t>
  </si>
  <si>
    <t>东北大学</t>
  </si>
  <si>
    <t>江河建筑学院</t>
  </si>
  <si>
    <t>建筑学</t>
  </si>
  <si>
    <t>2025-07-01 10:10</t>
  </si>
  <si>
    <t>WYFE26008</t>
  </si>
  <si>
    <t>考研英语无忧计划蜂鸟（26考研/英二冲刺）</t>
  </si>
  <si>
    <t>WYFE260080009</t>
  </si>
  <si>
    <t>回访人：谭悦，回访时间：2025-06-30 21:21，回访内容：1；|回访人：谭悦，回访时间：2025-06-30 21:21，回访内容：1</t>
  </si>
  <si>
    <t>无忧计划-蜂鸟,考研专业课150</t>
  </si>
  <si>
    <t>WYFE26007</t>
  </si>
  <si>
    <t>考研英语无忧计划蜂鸟（26考研/英二强化）</t>
  </si>
  <si>
    <t>WYFE260070009</t>
  </si>
  <si>
    <t>91763456</t>
  </si>
  <si>
    <t>2024-12-29 12:04:05</t>
  </si>
  <si>
    <t>死单激活分配赵星火</t>
  </si>
  <si>
    <t>赵佳妮</t>
  </si>
  <si>
    <t>28729697</t>
  </si>
  <si>
    <t>2025-06-30 18:52</t>
  </si>
  <si>
    <t>北京林业大学</t>
  </si>
  <si>
    <t>林学院</t>
  </si>
  <si>
    <t>林学</t>
  </si>
  <si>
    <t>2025-06-30 19:06</t>
  </si>
  <si>
    <t>WYS25035</t>
  </si>
  <si>
    <t>扩科续费</t>
  </si>
  <si>
    <t>BJWY4527677924</t>
  </si>
  <si>
    <t>WYS250350018</t>
  </si>
  <si>
    <t>回访人：赵星火，回访时间：2025-06-30 18:52，回访内容：1；|回访人：赵星火，回访时间：2025-06-30 19:06，回访内容：1</t>
  </si>
  <si>
    <t>116388103</t>
  </si>
  <si>
    <t>吕猛</t>
  </si>
  <si>
    <t>2025-06-27 00:18:50</t>
  </si>
  <si>
    <t xml:space="preserve">渠道录入来源：大众点评
事件名称：在线咨询
大众点评门店名称：新东方考研四六级(国贸校区)
店铺绑定的校区：临时教学校区
店铺管理员邮箱：lvmeng2@xdf.cn
备注：2025-06-27 00:18:49,用户在大众点评新东方考研四六级(国贸校区)在线咨询
</t>
  </si>
  <si>
    <t>2026财年第1财月大众点评在线咨询</t>
  </si>
  <si>
    <t>黄一诺</t>
  </si>
  <si>
    <t>28622758</t>
  </si>
  <si>
    <t>2025-06-27 15:30</t>
  </si>
  <si>
    <t>北京服装学院</t>
  </si>
  <si>
    <t>服装艺术与工程学院</t>
  </si>
  <si>
    <t>服装设计与工程</t>
  </si>
  <si>
    <t>2025-06-30 14:38</t>
  </si>
  <si>
    <t>2025-06-30 14:39</t>
  </si>
  <si>
    <t>KYJY25012</t>
  </si>
  <si>
    <t>26考研英语半年集训营（基础/七月）</t>
  </si>
  <si>
    <t>BJWY5556110989</t>
  </si>
  <si>
    <t>KYJY250120049</t>
  </si>
  <si>
    <t xml:space="preserve">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t>
  </si>
  <si>
    <t>半年集训营,考研专业课150</t>
  </si>
  <si>
    <t>英语,政治,经综,专业课150</t>
  </si>
  <si>
    <t>新媒体管家-点评</t>
  </si>
  <si>
    <t>KYJZ25012</t>
  </si>
  <si>
    <t>26考研政治半年集训营（基础/七月）</t>
  </si>
  <si>
    <t>KYJZ250120041</t>
  </si>
  <si>
    <t>KYJJZ2501</t>
  </si>
  <si>
    <t>26考研经综半年集训营</t>
  </si>
  <si>
    <t>KYJJZ25010010</t>
  </si>
  <si>
    <t>KYZ25011</t>
  </si>
  <si>
    <t>26考研半年集训营（住宿费/七月）</t>
  </si>
  <si>
    <t>KYZ250110047</t>
  </si>
  <si>
    <t>KYJY25013A</t>
  </si>
  <si>
    <t>26考研英语半年集训营（强冲/英语二）</t>
  </si>
  <si>
    <t>KYJY25013A0060</t>
  </si>
  <si>
    <t>KYJZ25013A</t>
  </si>
  <si>
    <t>26考研政治半年集训营（强冲）</t>
  </si>
  <si>
    <t>KYJZ25013A0045</t>
  </si>
  <si>
    <t>LP17512614561757</t>
  </si>
  <si>
    <t>考研初试专业课一对一（26考研/集训30小时）</t>
  </si>
  <si>
    <t>张家长</t>
  </si>
  <si>
    <t>102473626</t>
  </si>
  <si>
    <t>2025-05-14 14:34:40</t>
  </si>
  <si>
    <t>杨莹莹+yangyingying18@xdf.cn+ID+北京学校-运营管理部-东南区-刘家窑角门分中心
谭悦</t>
  </si>
  <si>
    <t>内部员工推荐</t>
  </si>
  <si>
    <t>杨莹莹+yangyingying18@xdf.cn+ID+北京学校-运营管理部-东南区-刘家窑角门分中心</t>
  </si>
  <si>
    <t>张雅琦</t>
  </si>
  <si>
    <t>27893786</t>
  </si>
  <si>
    <t>2025-06-30 17:07</t>
  </si>
  <si>
    <t>四级</t>
  </si>
  <si>
    <t>衡水学院</t>
  </si>
  <si>
    <t>外国语学院</t>
  </si>
  <si>
    <t>2025-06-30 21:12</t>
  </si>
  <si>
    <t>ZVVA26001</t>
  </si>
  <si>
    <t>四级暑假集训营（24H冲刺直播）</t>
  </si>
  <si>
    <t>BJWY4095691646</t>
  </si>
  <si>
    <t>ZVVA260010028</t>
  </si>
  <si>
    <t xml:space="preserve">回访人：谭悦，回访时间：2025-06-23 19:05，回访内容：不回复  ；|回访人：程远，回访时间：2025-06-30 17:07，回访内容：程远恢复工单, 系统自动生成回访记录!；|回访人：谭悦，回访时间：2025-06-30 21:12，回访内容：准备报名 </t>
  </si>
  <si>
    <t>四级无忧计划</t>
  </si>
  <si>
    <t>未告知</t>
  </si>
  <si>
    <t>116595589</t>
  </si>
  <si>
    <t>赵秋侠</t>
  </si>
  <si>
    <t>2025-06-28 18:10:08</t>
  </si>
  <si>
    <t>高三</t>
  </si>
  <si>
    <t>王佳琦+wangjiaqi65@xdf.cn+ID+产业机构-大学事业部-大学沈阳中心-考研项目部-销售管理部</t>
  </si>
  <si>
    <t>邵春晖</t>
  </si>
  <si>
    <t>28690651</t>
  </si>
  <si>
    <t>2025-06-28 18:23</t>
  </si>
  <si>
    <t>大学预科</t>
  </si>
  <si>
    <t>鞍山市鞍钢高中</t>
  </si>
  <si>
    <t>新大一</t>
  </si>
  <si>
    <t>2025-06-30 21:08</t>
  </si>
  <si>
    <t>BJWY5696578429</t>
  </si>
  <si>
    <t>ZVVA260010027</t>
  </si>
  <si>
    <t>回访人：赵星火，回访时间：2025-06-28 18:23，回访内容：想要集训学习，北京这边也有地方住，就比较远，想要学习听说和背单词，关注学习管理给到四级集训介绍；|回访人：赵星火，回访时间：2025-06-30 16:49，回访内容：跟进学生担心不放心，跟进学生情况继续维护中。；|回访人：赵星火，回访时间：2025-06-30 21:08，回访内容：1</t>
  </si>
  <si>
    <t>100254299</t>
  </si>
  <si>
    <t>2025-04-20 11:16:06</t>
  </si>
  <si>
    <t>死单激活分配赵星火 外呼主题：FY25-英学1-4月无效资源回访（1.1-4.13）</t>
  </si>
  <si>
    <t>28730425</t>
  </si>
  <si>
    <t>2025-06-30 20:33</t>
  </si>
  <si>
    <t>北京邮电大学</t>
  </si>
  <si>
    <t>电子工程学院</t>
  </si>
  <si>
    <t>电子信息科学与技术</t>
  </si>
  <si>
    <t>2025-06-30 20:34</t>
  </si>
  <si>
    <t xml:space="preserve">回访人：谭悦，回访时间：2025-06-30 20:33，回访内容：1；|回访人：谭悦，回访时间：2025-06-30 20:34，回访内容：签约 </t>
  </si>
  <si>
    <t>英语,政治,经综</t>
  </si>
  <si>
    <t>孙亚静</t>
  </si>
  <si>
    <t>116530527</t>
  </si>
  <si>
    <t>2025-06-28 13:56:04</t>
  </si>
  <si>
    <t>魏公村直访</t>
  </si>
  <si>
    <t>李星仪</t>
  </si>
  <si>
    <t>28705832</t>
  </si>
  <si>
    <t>2025-06-28 15:16</t>
  </si>
  <si>
    <t>信息学院</t>
  </si>
  <si>
    <t>计算机科学与技术</t>
  </si>
  <si>
    <t>2025-06-30 19:59</t>
  </si>
  <si>
    <t>2025-06-30 20:00</t>
  </si>
  <si>
    <t>WYE26074</t>
  </si>
  <si>
    <t>BJWY2280140260</t>
  </si>
  <si>
    <t>WYE260740058</t>
  </si>
  <si>
    <t xml:space="preserve">回访人：谭悦，回访时间：2025-06-28 15:16，回访内容：学生：李星仪  
专业：电子信息  
院校：北京林业大学 
年级：大三  
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t>
  </si>
  <si>
    <t>WYM26033</t>
  </si>
  <si>
    <t>WYM260330037</t>
  </si>
  <si>
    <t>WYP26065</t>
  </si>
  <si>
    <t>WYP260650010</t>
  </si>
  <si>
    <t>WYM26032</t>
  </si>
  <si>
    <t>WYM260320036</t>
  </si>
  <si>
    <t>WYM26031</t>
  </si>
  <si>
    <t>WYM260310036</t>
  </si>
  <si>
    <t>WYP26066</t>
  </si>
  <si>
    <t>WYP260660010</t>
  </si>
  <si>
    <t>WYE26078</t>
  </si>
  <si>
    <t>WYE260780014</t>
  </si>
  <si>
    <t>WYE26075</t>
  </si>
  <si>
    <t>WYE260750058</t>
  </si>
  <si>
    <t>WYP26064</t>
  </si>
  <si>
    <t>WYP260640010</t>
  </si>
  <si>
    <t>LP17512816676211</t>
  </si>
  <si>
    <t>考研初试专业课一对一（26考研/无忧30小时）</t>
  </si>
  <si>
    <t>78869656</t>
  </si>
  <si>
    <t>2024-07-04 11:22:02</t>
  </si>
  <si>
    <t>刚高考完，咨询英语四级方面的辅导，现在方便电话联系；刚高考完，咨询英语四级方面的辅导，现在方便电话联系</t>
  </si>
  <si>
    <t>王若飞(离职)</t>
  </si>
  <si>
    <t>阮江</t>
  </si>
  <si>
    <t>27663688</t>
  </si>
  <si>
    <t>2025-04-24 18:03</t>
  </si>
  <si>
    <t>物联网工程</t>
  </si>
  <si>
    <t>2025-06-30 19:50</t>
  </si>
  <si>
    <t>BJWY4575112970</t>
  </si>
  <si>
    <t>ZVVA260010026</t>
  </si>
  <si>
    <t>回访人：谭悦，回访时间：2025-06-28 20:57，回访内容：微信跟进中，考研学习   ；|回访人：谭悦，回访时间：2025-06-30 14:06，回访内容：准备报名暑假集训 ；|回访人：谭悦，回访时间：2025-06-30 19:50，回访内容：1</t>
  </si>
  <si>
    <t>陈政宇同学</t>
  </si>
  <si>
    <t>98581283</t>
  </si>
  <si>
    <t>2025-04-01 14:19:49</t>
  </si>
  <si>
    <t>谭悦老师内部员工推荐工单</t>
  </si>
  <si>
    <t>杨莹莹+yangyingying18@xdf.cn+ID+北京学校-运营管理部</t>
  </si>
  <si>
    <t>陈政宇</t>
  </si>
  <si>
    <t>27417879</t>
  </si>
  <si>
    <t>2025-04-01 14:38</t>
  </si>
  <si>
    <t>考研VIP</t>
  </si>
  <si>
    <t>中央音乐学院</t>
  </si>
  <si>
    <t>音乐学系</t>
  </si>
  <si>
    <t>音乐学</t>
  </si>
  <si>
    <t>2025-06-30 19:13</t>
  </si>
  <si>
    <t>2025-06-30 19:17</t>
  </si>
  <si>
    <t>LP17512820076320</t>
  </si>
  <si>
    <t>26考研一对一伴学（50h/无忧）</t>
  </si>
  <si>
    <t>BJWY1881829500</t>
  </si>
  <si>
    <t xml:space="preserve">回访人：谭悦，回访时间：2025-06-24 18:08，回访内容：微信跟进 一对一续费   ；|回访人：谭悦，回访时间：2025-06-30 15:23，回访内容：微信跟进中，半年营 一直没报   </t>
  </si>
  <si>
    <t>VIP - 伴学</t>
  </si>
  <si>
    <t>李同学</t>
  </si>
  <si>
    <t>116621997</t>
  </si>
  <si>
    <t>2025-06-29 15:39:34</t>
  </si>
  <si>
    <t>知春路直访</t>
  </si>
  <si>
    <t>李广地</t>
  </si>
  <si>
    <t>28716368</t>
  </si>
  <si>
    <t>2025-06-29 20:28</t>
  </si>
  <si>
    <t>通信工程</t>
  </si>
  <si>
    <t>2025-06-30 14:55</t>
  </si>
  <si>
    <t>2025-06-30 14:56</t>
  </si>
  <si>
    <t>WYHM2604</t>
  </si>
  <si>
    <t>考研数学无忧计划候鸟（26考研/基础强化）</t>
  </si>
  <si>
    <t>BJWY6311842248</t>
  </si>
  <si>
    <t>WYHM26040030</t>
  </si>
  <si>
    <t>回访人：张俊旺，回访时间：2025-06-29 15:49，回访内容：校区面谈中；|回访人：张俊旺，回访时间：2025-06-29 19:04，回访内容：谭悦老师沟通，晚上决定；|回访人：谭悦，回访时间：2025-06-29 20:56，回访内容：准备报名  ；|回访人：谭悦，回访时间：2025-06-30 14:55，回访内容：签约</t>
  </si>
  <si>
    <t>无忧计划-候鸟</t>
  </si>
  <si>
    <t>WYHP26002</t>
  </si>
  <si>
    <t>考研政治无忧计划候鸟（26考研/冲刺）</t>
  </si>
  <si>
    <t>WYHP260020097</t>
  </si>
  <si>
    <t>WYHE26005</t>
  </si>
  <si>
    <t>考研英语无忧计划候鸟（26考研/英一冲刺）</t>
  </si>
  <si>
    <t>WYHE260050090</t>
  </si>
  <si>
    <t>WYHE26007</t>
  </si>
  <si>
    <t>考研英语无忧计划候鸟（26考研/基础强化）</t>
  </si>
  <si>
    <t>WYHE260070006</t>
  </si>
  <si>
    <t>WYHP2605</t>
  </si>
  <si>
    <t>考研政治无忧计划候鸟（26考研/基础强化）</t>
  </si>
  <si>
    <t>WYHP26050048</t>
  </si>
  <si>
    <t>WYHM26002</t>
  </si>
  <si>
    <t>考研数学无忧计划候鸟（26考研/冲刺）</t>
  </si>
  <si>
    <t>WYHM260020069</t>
  </si>
  <si>
    <t>KYJZ250120042</t>
  </si>
  <si>
    <t>KYJY250120050</t>
  </si>
  <si>
    <t>KYJJZ25010011</t>
  </si>
  <si>
    <t>KYZ250110048</t>
  </si>
  <si>
    <t>KYJY25013A0061</t>
  </si>
  <si>
    <t>KYJZ25013A0046</t>
  </si>
  <si>
    <t>116588102</t>
  </si>
  <si>
    <t>2025-06-28 14:23:29</t>
  </si>
  <si>
    <t xml:space="preserve">李娜78+lina78@xdf.cn+ID+产业机构-国际教育培训事业部-国际教育北京中心-美研部-服务管理中心-班课项目
</t>
  </si>
  <si>
    <t>李娜78+lina78@xdf.cn+ID+产业机构-国际教育培训事业部-国际教育北京中心-美研部-服务管理中心-班课项目</t>
  </si>
  <si>
    <t>孙凌飞</t>
  </si>
  <si>
    <t>28704919</t>
  </si>
  <si>
    <t>2025-06-28 14:28</t>
  </si>
  <si>
    <t>生命科学学院</t>
  </si>
  <si>
    <t>生物科学</t>
  </si>
  <si>
    <t>2025-06-30 14:44</t>
  </si>
  <si>
    <t>BJWY1285019618</t>
  </si>
  <si>
    <t>WYHP26050047</t>
  </si>
  <si>
    <t>回访人：谭悦，回访时间：2025-06-28 14:28，回访内容：咨询英语班课   ；|回访人：谭悦，回访时间：2025-06-29 21:17，回访内容：微信跟进中 考研学习规划 ；|回访人：谭悦，回访时间：2025-06-29 21:41，回访内容：准备报名 候鸟英政  ；|回访人：谭悦，回访时间：2025-06-30 14:44，回访内容：签约</t>
  </si>
  <si>
    <t>WYHP260020096</t>
  </si>
  <si>
    <t>WYHE260070005</t>
  </si>
  <si>
    <t>WYHE260050089</t>
  </si>
  <si>
    <t>肖咏茜</t>
  </si>
  <si>
    <t>116647541</t>
  </si>
  <si>
    <t>2025-06-29 16:27:15</t>
  </si>
  <si>
    <t>28700257</t>
  </si>
  <si>
    <t>2025-06-29 18:39</t>
  </si>
  <si>
    <t>首都师范大学</t>
  </si>
  <si>
    <t>美术学院</t>
  </si>
  <si>
    <t>美术学</t>
  </si>
  <si>
    <t>2025-06-29 20:15</t>
  </si>
  <si>
    <t>WYE27029</t>
  </si>
  <si>
    <t>考研英语无忧计划（27考研/英一冲刺）</t>
  </si>
  <si>
    <t>BJWY1992073878</t>
  </si>
  <si>
    <t>WYE270290007</t>
  </si>
  <si>
    <t>回访人：赵星火，回访时间：2025-06-29 18:39，回访内容：1；|回访人：赵星火，回访时间：2025-06-29 19:33，回访内容：预计缴费跟进学生情况中
首都师范大学美术师范大二的学生考美术，学这个专业都可以，他们是公费师范生，不允许考其他的专业。了解了北京这边的院校还有考试科目课程，介绍了27无忧计划；|回访人：赵星火，回访时间：2025-06-29 20:15，回访内容：1</t>
  </si>
  <si>
    <t>27考季</t>
  </si>
  <si>
    <t>国内高校-双一流(非985/211)</t>
  </si>
  <si>
    <t>WYS250350015</t>
  </si>
  <si>
    <t>WYE27014</t>
  </si>
  <si>
    <t>考研英语无忧计划（27考研/英一强化）</t>
  </si>
  <si>
    <t>WYE270140016</t>
  </si>
  <si>
    <t>WYP27011</t>
  </si>
  <si>
    <t>考研政治无忧计划（27考研/强化）</t>
  </si>
  <si>
    <t>WYP270110034</t>
  </si>
  <si>
    <t>WYE27013</t>
  </si>
  <si>
    <t>考研英语无忧计划（27考研/基础）</t>
  </si>
  <si>
    <t>WYE270130041</t>
  </si>
  <si>
    <t>WYP27012</t>
  </si>
  <si>
    <t>考研政治无忧计划（27考研/冲刺）</t>
  </si>
  <si>
    <t>WYP270120034</t>
  </si>
  <si>
    <t>WYP27010</t>
  </si>
  <si>
    <t>考研政治无忧计划（27考研/基础）</t>
  </si>
  <si>
    <t>WYP270100034</t>
  </si>
  <si>
    <t>LP17511988705598</t>
  </si>
  <si>
    <t>考研初试专业课一对一（27考研/无忧50小时）</t>
  </si>
  <si>
    <t>116359782</t>
  </si>
  <si>
    <t>2025-06-26 20:06:28</t>
  </si>
  <si>
    <t>激活</t>
  </si>
  <si>
    <t>毛坯数据</t>
  </si>
  <si>
    <t>孙钰宸</t>
  </si>
  <si>
    <t>28610085</t>
  </si>
  <si>
    <t>2025-06-26 20:34</t>
  </si>
  <si>
    <t>辽宁大学</t>
  </si>
  <si>
    <t>商学院</t>
  </si>
  <si>
    <t>会计学1</t>
  </si>
  <si>
    <t>2025-06-29 17:20</t>
  </si>
  <si>
    <t>2025-06-29 21:00</t>
  </si>
  <si>
    <t>KYZ25017</t>
  </si>
  <si>
    <t>26考研OMO全程集训营（住宿费/英管）</t>
  </si>
  <si>
    <t>BJWY6660576687</t>
  </si>
  <si>
    <t>KYZ250170020</t>
  </si>
  <si>
    <t xml:space="preserve">回访人：谭悦，回访时间：2025-06-26 20:34，回访内容：跟进会计专硕，暑假集训营   ；|回访人：谭悦，回访时间：2025-06-28 16:12，回访内容：微信不回复 联系不上  ；|回访人：谭悦，回访时间：2025-06-29 17:20，回访内容：准备报名 </t>
  </si>
  <si>
    <t>暑假集训营,考研专业课管综</t>
  </si>
  <si>
    <t>英语,管综</t>
  </si>
  <si>
    <t>KYJY25017</t>
  </si>
  <si>
    <t>26考研英语OMO全程集训营（政英二联报）</t>
  </si>
  <si>
    <t>KYJY250170063</t>
  </si>
  <si>
    <t>KYJGZ2502</t>
  </si>
  <si>
    <t>26考研管综OMO全程集训营</t>
  </si>
  <si>
    <t>KYJGZ25020020</t>
  </si>
  <si>
    <t>顾安诺</t>
  </si>
  <si>
    <t>114416731</t>
  </si>
  <si>
    <t>陈晶</t>
  </si>
  <si>
    <t>2025-06-16 10:55:32</t>
  </si>
  <si>
    <t>续费原因：就差政治了，需要续费课时，我在沟通课时中；该学生为保护期内续费，原顾问：国内大学部-谭悦(tanyue9@xdf.cn)</t>
  </si>
  <si>
    <t>陈晶chenjing171@xdf.cn</t>
  </si>
  <si>
    <t>28405745</t>
  </si>
  <si>
    <t>2025-06-16 17:36</t>
  </si>
  <si>
    <t>上海理工大学</t>
  </si>
  <si>
    <t>管理学院</t>
  </si>
  <si>
    <t>2025-06-29 14:12</t>
  </si>
  <si>
    <t>2025-06-29 14:14</t>
  </si>
  <si>
    <t>LP17511775212368</t>
  </si>
  <si>
    <t>考研一对一伴学班（定制/26考季）</t>
  </si>
  <si>
    <t>BJWY1221102855</t>
  </si>
  <si>
    <t xml:space="preserve">回访人：谭悦，回访时间：2025-06-21 12:45，回访内容：陈晶跟进中 ；|回访人：谭悦，回访时间：2025-06-28 15:01，回访内容：准备报名中  </t>
  </si>
  <si>
    <t>法硕</t>
  </si>
  <si>
    <t>位置</t>
  </si>
  <si>
    <t>116540642</t>
  </si>
  <si>
    <t>2025-06-29 09:37:30</t>
  </si>
  <si>
    <t>知春路直访，在校</t>
  </si>
  <si>
    <t>孙明麒</t>
  </si>
  <si>
    <t>28711926</t>
  </si>
  <si>
    <t>2025-06-29 10:44</t>
  </si>
  <si>
    <t>天津理工大学</t>
  </si>
  <si>
    <t>理学院</t>
  </si>
  <si>
    <t>数学与应用数学</t>
  </si>
  <si>
    <t>2025-06-29 20:09</t>
  </si>
  <si>
    <t>BJWY6644063530</t>
  </si>
  <si>
    <t>WYHP260020094</t>
  </si>
  <si>
    <t>回访人：赵星火，回访时间：2025-06-29 10:44，回访内容：理学天津在读，这边咨询政治其次英语辅导，孩子有自己考虑这边跟进中，关注价格和座位；|回访人：赵星火，回访时间：2025-06-29 20:09，回访内容：1</t>
  </si>
  <si>
    <t>WYHP26050045</t>
  </si>
  <si>
    <t>aki</t>
  </si>
  <si>
    <t>114098861</t>
  </si>
  <si>
    <t>王朝群</t>
  </si>
  <si>
    <t>2025-06-12 19:03:19</t>
  </si>
  <si>
    <t>【王朝群】咨询考研一对一</t>
  </si>
  <si>
    <t>张婧妍</t>
  </si>
  <si>
    <t>28280417</t>
  </si>
  <si>
    <t>2025-06-12 19:27</t>
  </si>
  <si>
    <t>文法与城乡发展学院</t>
  </si>
  <si>
    <t>2025-06-29 17:23</t>
  </si>
  <si>
    <t>2025-06-29 17:24</t>
  </si>
  <si>
    <t>BJWY2315098761</t>
  </si>
  <si>
    <t>WYE260740056</t>
  </si>
  <si>
    <t xml:space="preserve">回访人：谭悦，回访时间：2025-06-24 17:33，回访内容：想报七月魏公村班，快满班了  ；|回访人：谭悦，回访时间：2025-06-28 21:29，回访内容：明天下午3点面谈 ；|回访人：谭悦，回访时间：2025-06-29 17:23，回访内容：签约 </t>
  </si>
  <si>
    <t>WYE260750056</t>
  </si>
  <si>
    <t>WYE260780011</t>
  </si>
  <si>
    <t>未留</t>
  </si>
  <si>
    <t>116232734</t>
  </si>
  <si>
    <t>2025-06-25 17:38:04</t>
  </si>
  <si>
    <t>妈妈咨询，考研英语政治</t>
  </si>
  <si>
    <t>陈美霖</t>
  </si>
  <si>
    <t>28704585</t>
  </si>
  <si>
    <t>2025-06-28 14:03</t>
  </si>
  <si>
    <t>绘画（油画）</t>
  </si>
  <si>
    <t>2025-06-28 16:52</t>
  </si>
  <si>
    <t>2025-06-28 20:29</t>
  </si>
  <si>
    <t>BJWY4704011990</t>
  </si>
  <si>
    <t>WYE260780009</t>
  </si>
  <si>
    <t xml:space="preserve">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t>
  </si>
  <si>
    <t>WYP260660006</t>
  </si>
  <si>
    <t>WYE26076</t>
  </si>
  <si>
    <t>WYE260760023</t>
  </si>
  <si>
    <t>WYE26077</t>
  </si>
  <si>
    <t>WYE260770023</t>
  </si>
  <si>
    <t>WYP260640006</t>
  </si>
  <si>
    <t>WYP260650006</t>
  </si>
  <si>
    <t>小然</t>
  </si>
  <si>
    <t>115941042</t>
  </si>
  <si>
    <t>曹伟杰2</t>
  </si>
  <si>
    <t>2025-06-24 13:58:00</t>
  </si>
  <si>
    <t>家长咨询6级集训【本人抖音自产】</t>
  </si>
  <si>
    <t>线上运营-抖音</t>
  </si>
  <si>
    <t>燕科辉</t>
  </si>
  <si>
    <t>28616842</t>
  </si>
  <si>
    <t>2025-06-26 11:24</t>
  </si>
  <si>
    <t>重庆大学</t>
  </si>
  <si>
    <t>电气工程学院</t>
  </si>
  <si>
    <t>2025-06-28 16:06</t>
  </si>
  <si>
    <t>BJWY2306SVFgG7</t>
  </si>
  <si>
    <t>BJWY3359958068</t>
  </si>
  <si>
    <t>ZVVB260010026</t>
  </si>
  <si>
    <t>回访人：赵星火，回访时间：2025-06-26 11:24，回访内容：这边孩子感觉课程太紧并且想要学习雅思再说，跟进中；|回访人：赵星火，回访时间：2025-06-28 16:06，回访内容：1</t>
  </si>
  <si>
    <t>张</t>
  </si>
  <si>
    <t>曹晗曦</t>
  </si>
  <si>
    <t>28647608</t>
  </si>
  <si>
    <t>2025-06-28 19:59</t>
  </si>
  <si>
    <t>2025-06-28 20:09</t>
  </si>
  <si>
    <t>2025-06-28 21:07</t>
  </si>
  <si>
    <t>WYFM26004</t>
  </si>
  <si>
    <t>考研数学无忧计划蜂鸟（26考研/冲刺）</t>
  </si>
  <si>
    <t>WYFM260040004</t>
  </si>
  <si>
    <t>回访人：钱雪冰，回访时间：2025-06-25 21:11，回访内容：建筑 跨考软件，沟通了蜂鸟的课程，建议月底过来，租个一个月的房子，然后在这边住。想要在讲讲价；|回访人：钱雪冰，回访时间：2025-06-26 14:08，回访内容：发送了定位 问问家长几号过来。</t>
  </si>
  <si>
    <t>WYFE26006</t>
  </si>
  <si>
    <t>考研英语无忧计划蜂鸟（26考研/英一冲刺）</t>
  </si>
  <si>
    <t>WYFE260060004</t>
  </si>
  <si>
    <t>WYFE26005</t>
  </si>
  <si>
    <t>考研英语无忧计划蜂鸟（26考研/英一强化）</t>
  </si>
  <si>
    <t>WYFE260050004</t>
  </si>
  <si>
    <t>WYFP26003</t>
  </si>
  <si>
    <t>考研政治无忧计划蜂鸟（26考研/强化）</t>
  </si>
  <si>
    <t>WYFP260030008</t>
  </si>
  <si>
    <t>WYFP26004</t>
  </si>
  <si>
    <t>考研政治无忧计划蜂鸟（26考研/冲刺）</t>
  </si>
  <si>
    <t>WYFP260040008</t>
  </si>
  <si>
    <t>WYFM26003</t>
  </si>
  <si>
    <t>考研数学无忧计划蜂鸟（26考研/强化）</t>
  </si>
  <si>
    <t>WYFM260030004</t>
  </si>
  <si>
    <t>LP17511125944381</t>
  </si>
  <si>
    <t>26考研一对一伴学（20h/无忧）</t>
  </si>
  <si>
    <t>LP17511155874606</t>
  </si>
  <si>
    <t>116566335</t>
  </si>
  <si>
    <t>2025-06-28 15:50:27</t>
  </si>
  <si>
    <t>续费原因：学生专业课转408，需要补差价；该学生为保护期内续费，原顾问：国内大学部-谭悦(tanyue9@xdf.cn)</t>
  </si>
  <si>
    <t>郝琨haokun@xdf.cn</t>
  </si>
  <si>
    <t>28627659</t>
  </si>
  <si>
    <t>2025-06-28 16:05</t>
  </si>
  <si>
    <t>大连民族大学</t>
  </si>
  <si>
    <t>计算机科学与工程学院</t>
  </si>
  <si>
    <t>软件工程和网络工程</t>
  </si>
  <si>
    <t>WYC26001</t>
  </si>
  <si>
    <t>考研专业课无忧计划（26考研/408计算机）</t>
  </si>
  <si>
    <t>WYC260010070</t>
  </si>
  <si>
    <t xml:space="preserve">回访人：谭悦，回访时间：2025-06-28 16:05，回访内容：签约 </t>
  </si>
  <si>
    <t>闫舒译</t>
  </si>
  <si>
    <t>115895121</t>
  </si>
  <si>
    <t>王天义</t>
  </si>
  <si>
    <t>2025-06-23 19:31:07</t>
  </si>
  <si>
    <t>续费原因：续费英语；该学生为保护期内续费，原顾问：国内大学部-赵星火(zhaoxinghuo@xdf.cn)</t>
  </si>
  <si>
    <t>王天义wangtianyi56@xdf.cn</t>
  </si>
  <si>
    <t>28456068</t>
  </si>
  <si>
    <t>2025-06-23 20:05</t>
  </si>
  <si>
    <t>计算机学院</t>
  </si>
  <si>
    <t>2025-06-28 15:49</t>
  </si>
  <si>
    <t>LP17510969972423</t>
  </si>
  <si>
    <t>BJWY4925013491</t>
  </si>
  <si>
    <t>回访人：赵星火，回访时间：2025-06-23 20:05，回访内容：沟通续费跟进学生情况中这边继续维护中；|回访人：赵星火，回访时间：2025-06-27 11:49，回访内容：确认下课时需求，学管老师沟通中，继续维护学生</t>
  </si>
  <si>
    <t>韩家长</t>
  </si>
  <si>
    <t>115033598</t>
  </si>
  <si>
    <t>2025-06-18 11:18:04</t>
  </si>
  <si>
    <t>知春路直访，咨询考研，谭悦老师接待</t>
  </si>
  <si>
    <t>韩承峻</t>
  </si>
  <si>
    <t>28400459</t>
  </si>
  <si>
    <t>2025-06-18 12:22</t>
  </si>
  <si>
    <t>材料与制造学部</t>
  </si>
  <si>
    <t>材料科学与工程</t>
  </si>
  <si>
    <t>2025-06-28 12:02</t>
  </si>
  <si>
    <t>WYHE26006</t>
  </si>
  <si>
    <t>考研英语无忧计划候鸟（26考研/英二冲刺）</t>
  </si>
  <si>
    <t>BJWY4882284881</t>
  </si>
  <si>
    <t>WYHE260060031</t>
  </si>
  <si>
    <t xml:space="preserve">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t>
  </si>
  <si>
    <t>无忧计划-候鸟,考研专业课150</t>
  </si>
  <si>
    <t>WYHE260070002</t>
  </si>
  <si>
    <t>WYHP260020089</t>
  </si>
  <si>
    <t>WYHP26050040</t>
  </si>
  <si>
    <t>WYHM260020068</t>
  </si>
  <si>
    <t>WYHM26040029</t>
  </si>
  <si>
    <t>LP17510910621605</t>
  </si>
  <si>
    <t>103521996</t>
  </si>
  <si>
    <t>2025-05-23 14:18:38</t>
  </si>
  <si>
    <t xml:space="preserve">学生觉得来不及，于是准备明年的考试，基础一般，想考211，辛苦老师可以私信了解具体情况
</t>
  </si>
  <si>
    <t>28720806</t>
  </si>
  <si>
    <t>2025-06-29 22:16</t>
  </si>
  <si>
    <t>六级,考研专业课,考研无忧计划</t>
  </si>
  <si>
    <t>2025-06-29 22:18</t>
  </si>
  <si>
    <t>WYS250350008</t>
  </si>
  <si>
    <t xml:space="preserve">回访人：谭悦，回访时间：2025-06-29 22:16，回访内容：转班 ；|回访人：谭悦，回访时间：2025-06-29 22:18，回访内容：转班 </t>
  </si>
  <si>
    <t>无忧计划-啄木鸟,六级无忧计划,考研专业课300</t>
  </si>
  <si>
    <t>青山</t>
  </si>
  <si>
    <t>116191479</t>
  </si>
  <si>
    <t>张冰</t>
  </si>
  <si>
    <t>2025-06-26 11:40:04</t>
  </si>
  <si>
    <t>二战考研，咨询能不能匹配华东师范大学创意写作的老师，下午三点以后联系。</t>
  </si>
  <si>
    <t>抖音来客</t>
  </si>
  <si>
    <t>王铎晗</t>
  </si>
  <si>
    <t>28604127</t>
  </si>
  <si>
    <t>2025-06-26 15:03</t>
  </si>
  <si>
    <t>中国传媒大学</t>
  </si>
  <si>
    <t>人文学院</t>
  </si>
  <si>
    <t>汉语言文学</t>
  </si>
  <si>
    <t>2025-06-27 16:40</t>
  </si>
  <si>
    <t>2025-06-27 18:08</t>
  </si>
  <si>
    <t>LP17510136211932</t>
  </si>
  <si>
    <t>985院校升级费</t>
  </si>
  <si>
    <t>BJWY7929441781</t>
  </si>
  <si>
    <t xml:space="preserve">回访人：谭悦，回访时间：2025-06-26 15:03，回访内容：家长在开课，先加微信   ；|回访人：谭悦，回访时间：2025-06-26 18:48，回访内容：咨询创意写作考研，英语政治推荐40小时一对一，专业课30小时   </t>
  </si>
  <si>
    <t>考研专业课300</t>
  </si>
  <si>
    <t>专业课300</t>
  </si>
  <si>
    <t>LP17510136211931</t>
  </si>
  <si>
    <t>考研初试专业课一对一（26考研/30小时）</t>
  </si>
  <si>
    <t>王蕴韬</t>
  </si>
  <si>
    <t>116331747</t>
  </si>
  <si>
    <t>2025-06-27 16:42:36</t>
  </si>
  <si>
    <t xml:space="preserve">焦倩文+jiaoqianwen@xdf.cn+ID+产业机构-国际教育培训事业部-国际教育北京中心-英联邦部-英研班课项目
赵星火
</t>
  </si>
  <si>
    <t>焦倩文+jiaoqianwen@xdf.cn+ID+产业机构-国际教育培训事业部-国际教育北京中心-英联邦部-英研班课项目</t>
  </si>
  <si>
    <t>28678802</t>
  </si>
  <si>
    <t>2025-06-27 16:43</t>
  </si>
  <si>
    <t>物理学院</t>
  </si>
  <si>
    <t>物理</t>
  </si>
  <si>
    <t>2025-06-27 17:29</t>
  </si>
  <si>
    <t>WYS25031</t>
  </si>
  <si>
    <t>BJWY7763056628</t>
  </si>
  <si>
    <t>WYS250310055</t>
  </si>
  <si>
    <t>回访人：赵星火，回访时间：2025-06-27 16:43，回访内容：1；|回访人：赵星火，回访时间：2025-06-27 17:29，回访内容：1</t>
  </si>
  <si>
    <t>114343769</t>
  </si>
  <si>
    <t>段同飞</t>
  </si>
  <si>
    <t>2025-06-14 15:54:45</t>
  </si>
  <si>
    <t xml:space="preserve"> 内推给赵星火老师</t>
  </si>
  <si>
    <t>冯景丽+fengjingli@xdf.cn+ID+北京学校-运营管理部-学员服务管理中心-西南区</t>
  </si>
  <si>
    <t>杨博勋</t>
  </si>
  <si>
    <t>28356119</t>
  </si>
  <si>
    <t>2025-06-14 16:16</t>
  </si>
  <si>
    <t>东北石油大学</t>
  </si>
  <si>
    <t>石油工程学院</t>
  </si>
  <si>
    <t>石油工程</t>
  </si>
  <si>
    <t>2025-06-27 10:44</t>
  </si>
  <si>
    <t>2025-06-27 10:46</t>
  </si>
  <si>
    <t>BJWY1468237162</t>
  </si>
  <si>
    <t>ZVVA260010020</t>
  </si>
  <si>
    <t>回访人：赵星火，回访时间：2025-06-20 20:29，回访内容：表示孩子准备考试，中考完之后再说改到本月优惠截止；|回访人：赵星火，回访时间：2025-06-27 10:44，回访内容：1</t>
  </si>
  <si>
    <t>何静一</t>
  </si>
  <si>
    <t>97983296</t>
  </si>
  <si>
    <t>徐利霞</t>
  </si>
  <si>
    <t>2025-03-24 10:57:06</t>
  </si>
  <si>
    <t>北工商，大四，应用数学，25考研本专业，咨询数学一对一辅导，尽快电话联系；资源录入来源：小表单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t>
  </si>
  <si>
    <t>2025财年小表单-新东方集团官微【新东方】资源</t>
  </si>
  <si>
    <t>程远</t>
  </si>
  <si>
    <t>2025-06-23 10:16:45</t>
  </si>
  <si>
    <t>28453327</t>
  </si>
  <si>
    <t>2025-06-23 11:57</t>
  </si>
  <si>
    <t>数学与统计学院</t>
  </si>
  <si>
    <t>2025-06-26 18:43</t>
  </si>
  <si>
    <t>2025-06-26 18:44</t>
  </si>
  <si>
    <t>KYJY25010</t>
  </si>
  <si>
    <t>26考研英语半年集训营（基础/六月）</t>
  </si>
  <si>
    <t>XDF8170920552</t>
  </si>
  <si>
    <t>KYJY250100062</t>
  </si>
  <si>
    <t>2025-06-26</t>
  </si>
  <si>
    <t xml:space="preserve">回访人：谭悦，回访时间：2025-06-23 11:57，回访内容：跟进半年集训营 英政 理学  ；|回访人：谭悦，回访时间：2025-06-25 19:05，回访内容：微信跟进中，考研学习  集训营    已经去营地看了  ；|回访人：谭悦，回访时间：2025-06-26 18:43，回访内容：签约 </t>
  </si>
  <si>
    <t>KYZ25009</t>
  </si>
  <si>
    <t>26考研半年集训营（住宿费/六月）</t>
  </si>
  <si>
    <t>KYZ250090063</t>
  </si>
  <si>
    <t>KYJZ25010A</t>
  </si>
  <si>
    <t>KYJZ25010A0050</t>
  </si>
  <si>
    <t>KYJZ25010</t>
  </si>
  <si>
    <t>26考研政治半年集训营（基础/六月）</t>
  </si>
  <si>
    <t>KYJZ250100055</t>
  </si>
  <si>
    <t>KYJY25010A</t>
  </si>
  <si>
    <t>26考研英语半年集训营（强冲/英语一）</t>
  </si>
  <si>
    <t>KYJY25010A0051</t>
  </si>
  <si>
    <t>霍盈杉</t>
  </si>
  <si>
    <t>116226230</t>
  </si>
  <si>
    <t>罗志勇</t>
  </si>
  <si>
    <t>2025-06-25 16:30:11</t>
  </si>
  <si>
    <t>续费原因：咨询考研课程 ；该学生为保护期内续费，原顾问：国内大学部-赵星火(zhaoxinghuo@xdf.cn)</t>
  </si>
  <si>
    <t>罗志勇luozhiyong1@xdf.cn</t>
  </si>
  <si>
    <t>28595689</t>
  </si>
  <si>
    <t>2025-06-25 16:52</t>
  </si>
  <si>
    <t>保定理工学院</t>
  </si>
  <si>
    <t>资源与工程技术学院</t>
  </si>
  <si>
    <t>土地资源管理</t>
  </si>
  <si>
    <t>2025-06-25 22:28</t>
  </si>
  <si>
    <t>KYJZ25016</t>
  </si>
  <si>
    <t>26考研政治OMO全程集训营（政英联报）</t>
  </si>
  <si>
    <t>BJWY9038592627</t>
  </si>
  <si>
    <t>KYJZ250160056</t>
  </si>
  <si>
    <t>回访人：赵星火，回访时间：2025-06-25 16:52，回访内容：跟进中咨询暑假集训继续维护学生考虑；|回访人：赵星火，回访时间：2025-06-25 22:28，回访内容：1</t>
  </si>
  <si>
    <t>暑假集训营</t>
  </si>
  <si>
    <t>KYZ25016</t>
  </si>
  <si>
    <t>26考研OMO全程集训营（住宿费/政英）</t>
  </si>
  <si>
    <t>KYZ250160087</t>
  </si>
  <si>
    <t>KYJY25016</t>
  </si>
  <si>
    <t>26考研英语OMO全程集训营（政英一联报）</t>
  </si>
  <si>
    <t>KYJY250160056</t>
  </si>
  <si>
    <t>晁</t>
  </si>
  <si>
    <t>115982569</t>
  </si>
  <si>
    <t>2025-06-25 11:06:12</t>
  </si>
  <si>
    <t>原渠道激活分配谭悦</t>
  </si>
  <si>
    <t>李辰静</t>
  </si>
  <si>
    <t>28590080</t>
  </si>
  <si>
    <t>2025-06-25 11:29</t>
  </si>
  <si>
    <t>河南科技大学</t>
  </si>
  <si>
    <t>临床医学院（第一附属医院）</t>
  </si>
  <si>
    <t>临床医学2</t>
  </si>
  <si>
    <t>2025-06-25 16:57</t>
  </si>
  <si>
    <t>2025-06-25 16:58</t>
  </si>
  <si>
    <t>BJWY0458733632</t>
  </si>
  <si>
    <t>WYFE260050002</t>
  </si>
  <si>
    <t xml:space="preserve">回访人：谭悦，回访时间：2025-06-25 11:29，回访内容：考虑英语蜂鸟  ；|回访人：谭悦，回访时间：2025-06-25 16:57，回访内容：签约 </t>
  </si>
  <si>
    <t>无忧计划-蜂鸟</t>
  </si>
  <si>
    <t>WYFE260060002</t>
  </si>
  <si>
    <t>吴经纬</t>
  </si>
  <si>
    <t>116105691</t>
  </si>
  <si>
    <t>2025-06-25 08:22:25</t>
  </si>
  <si>
    <t>续费原因：家长咨询暑期，顾问已转岗，之前是给谭悦老师维护。若谭悦老师死单激活可能不属于学管渠道，现重新建单分配谭悦老师；该学生为保护期外续费，原顾问部门：国内大学部</t>
  </si>
  <si>
    <t>韦艺鑫weiyixin@xdf.cn</t>
  </si>
  <si>
    <t>28578196</t>
  </si>
  <si>
    <t>2025-06-25 10:54</t>
  </si>
  <si>
    <t>中国劳动关系学院</t>
  </si>
  <si>
    <t>经济管理学院</t>
  </si>
  <si>
    <t>2025-06-25 16:55</t>
  </si>
  <si>
    <t>KYJZ25017</t>
  </si>
  <si>
    <t>BJWY2300146649</t>
  </si>
  <si>
    <t>KYJZ250170041</t>
  </si>
  <si>
    <t xml:space="preserve">回访人：谭悦，回访时间：2025-06-25 10:54，回访内容：跟进暑假集训营   ；|回访人：谭悦，回访时间：2025-06-25 16:55，回访内容：签约 </t>
  </si>
  <si>
    <t>KYJJZ2502</t>
  </si>
  <si>
    <t>26考研经综OMO全程集训营</t>
  </si>
  <si>
    <t>KYJJZ25020009</t>
  </si>
  <si>
    <t>KYJY250170060</t>
  </si>
  <si>
    <t>KYZ25018</t>
  </si>
  <si>
    <t>26考研OMO全程集训营（住宿费/政英数/经综）</t>
  </si>
  <si>
    <t>KYZ250180062</t>
  </si>
  <si>
    <t>冯稼祥</t>
  </si>
  <si>
    <t>114851110</t>
  </si>
  <si>
    <t>2025-06-17 15:45:55</t>
  </si>
  <si>
    <t>续费原因：学生有续报专业课一对一的课程，预计月底之前做决定，辛苦老师跟学生沟通下哈～；该学生为保护期内续费，原顾问：国内大学部-谭悦(tanyue9@xdf.cn)</t>
  </si>
  <si>
    <t>焦子瑞jiaozirui@xdf.cn</t>
  </si>
  <si>
    <t>28413989</t>
  </si>
  <si>
    <t>2025-06-17 16:20</t>
  </si>
  <si>
    <t>合肥工业大学屯溪路校区</t>
  </si>
  <si>
    <t>计算机与信息学院（人工智能学院）</t>
  </si>
  <si>
    <t>2025-06-24 16:43</t>
  </si>
  <si>
    <t>2025-06-24 20:38</t>
  </si>
  <si>
    <t>KYJZ25009A</t>
  </si>
  <si>
    <t>BJWY0702066855</t>
  </si>
  <si>
    <t>KYJZ25009A0014</t>
  </si>
  <si>
    <t xml:space="preserve">回访人：谭悦，回访时间：2025-06-17 16:20，回访内容：跟进专业课，考研学习  ；|回访人：谭悦，回访时间：2025-06-24 16:26，回访内容：跟进续费 专业课 14300  </t>
  </si>
  <si>
    <t>追加优惠</t>
  </si>
  <si>
    <t>LP17507546101754</t>
  </si>
  <si>
    <t>985院校升级费-集训</t>
  </si>
  <si>
    <t>LP17507549141771</t>
  </si>
  <si>
    <t>115715448</t>
  </si>
  <si>
    <t>2025-06-23 08:52:31</t>
  </si>
  <si>
    <t>在职，考新传，11点到知春路校区面询，尽快联系</t>
  </si>
  <si>
    <t>安麒</t>
  </si>
  <si>
    <t>28556825</t>
  </si>
  <si>
    <t>2025-06-23 10:09</t>
  </si>
  <si>
    <t>北京印刷学院</t>
  </si>
  <si>
    <t>设计艺术学院</t>
  </si>
  <si>
    <t>视觉传达设计</t>
  </si>
  <si>
    <t>2025-06-24 14:39</t>
  </si>
  <si>
    <t>2025-06-24 14:58</t>
  </si>
  <si>
    <t>BJWY3081505061</t>
  </si>
  <si>
    <t>回访人：张俊旺，回访时间：2025-06-23 10:09，回访内容：现在在去知春路校区的路上，找老师帮忙接待；|回访人：张俊旺，回访时间：2025-06-23 15:35，回访内容：已发协议，预计明天报名；|回访人：张俊旺，回访时间：2025-06-24 14:39，回访内容：签约</t>
  </si>
  <si>
    <t>王琳曦</t>
  </si>
  <si>
    <t>115738056</t>
  </si>
  <si>
    <t>2025-06-23 10:39:15</t>
  </si>
  <si>
    <t>续费原因：学生想跟郑坚丰老师上课，辛苦谭悦老师沟通；该学生为保护期内续费，原顾问：国内大学部-谭悦(tanyue9@xdf.cn)</t>
  </si>
  <si>
    <t>28542511</t>
  </si>
  <si>
    <t>2025-06-23 15:18</t>
  </si>
  <si>
    <t>艺术设计学部</t>
  </si>
  <si>
    <t>2025-06-24 14:32</t>
  </si>
  <si>
    <t>2025-06-24 16:03</t>
  </si>
  <si>
    <t>LP17507467421077</t>
  </si>
  <si>
    <t>26考研一对一伴学(定制/60小时/无忧)</t>
  </si>
  <si>
    <t>BJWY5108768620</t>
  </si>
  <si>
    <t>回访人：谭悦，回访时间：2025-06-23 15:18，回访内容：微信跟进中  ；|回访人：谭悦，回访时间：2025-06-24 14:29，回访内容：签约 ；|回访人：谭悦，回访时间：2025-06-24 14:29，回访内容：谭悦进行了退单操作!(本条回访记录由系统自动记录)</t>
  </si>
  <si>
    <t>115108405</t>
  </si>
  <si>
    <t>2025-06-18 18:27:16</t>
  </si>
  <si>
    <t>赵星火顾问转介绍工单</t>
  </si>
  <si>
    <t>赵星火zhaoxinghuo@xdf.cn</t>
  </si>
  <si>
    <t>胡依琳</t>
  </si>
  <si>
    <t>28426328</t>
  </si>
  <si>
    <t>2025-06-18 18:40</t>
  </si>
  <si>
    <t>物流学院</t>
  </si>
  <si>
    <t>物流管理</t>
  </si>
  <si>
    <t>2025-06-23 14:50</t>
  </si>
  <si>
    <t>BJWY6250026096</t>
  </si>
  <si>
    <t>KYZ250170017</t>
  </si>
  <si>
    <t>回访人：赵星火，回访时间：2025-06-18 18:40，回访内容：这边姐姐帮助咨询，今晚确定下，跟进中；|回访人：赵星火，回访时间：2025-06-19 11:53，回访内容：担心跟不上给到上课内容前面导学和时间节奏，跟进中继续维护。；|回访人：赵星火，回访时间：2025-06-21 11:50，回访内容：营地参观这边跟进中继续维护时间跟进中继续维护。；|回访人：赵星火，回访时间：2025-06-22 16:36，回访内容：营地试听联系了，现在是回去再问下，明天给回复跟进学生；|回访人：赵星火，回访时间：2025-06-23 14:50，回访内容：1</t>
  </si>
  <si>
    <t>KYJY250170056</t>
  </si>
  <si>
    <t>KYJGZ25020017</t>
  </si>
  <si>
    <t>115354983</t>
  </si>
  <si>
    <t>2025-06-19 17:58:13</t>
  </si>
  <si>
    <t>死单激活流转赵星火</t>
  </si>
  <si>
    <t>李慕贤</t>
  </si>
  <si>
    <t>28477123</t>
  </si>
  <si>
    <t>2025-06-19 18:06</t>
  </si>
  <si>
    <t>北京石油化工学院</t>
  </si>
  <si>
    <t>机械工程学院</t>
  </si>
  <si>
    <t>机械工程</t>
  </si>
  <si>
    <t>2025-06-22 10:47</t>
  </si>
  <si>
    <t>BJWY9338208616</t>
  </si>
  <si>
    <t>WYM260320021</t>
  </si>
  <si>
    <t>回访人：赵星火，回访时间：2025-06-19 18:06，回访内容：想要走读课程，这边跟进学生情况中，邀约讲座，还没确定考什么院校，全科和三科的方案；|回访人：赵星火，回访时间：2025-06-20 16:44，回访内容：跟进学生情况这边微信上继续维护跟进中看下试听；|回访人：赵星火，回访时间：2025-06-21 14:43，回访内容：给到线上的试听，这边线下没来，跟进学生情况这边继续维护中。；|回访人：赵星火，回访时间：2025-06-22 10:47，回访内容：1</t>
  </si>
  <si>
    <t>数学</t>
  </si>
  <si>
    <t>WYM260310021</t>
  </si>
  <si>
    <t>WYM260330022</t>
  </si>
  <si>
    <t>北京市7307</t>
  </si>
  <si>
    <t>115551597</t>
  </si>
  <si>
    <t>2025-06-22 11:33:30</t>
  </si>
  <si>
    <t>渠道录入来源：总部-巨量广告
意向城市：北京市
访客省/城市：北京市
qq: 
访客静态ID：01000003781500056303567923947307
接待分组ID：78500
搜索引擎：
搜索词：
关键词：
设备类型：phone
访客IP：111.196.228.49
对话详细内容：AI-37815-01a 2025-06-22 11:30:37_x000D_
_x000D_
_x000D_
AI-37815-01a 2025-06-22 11:30:39_x000D_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2025-06-22 11:30:41_x000D_
您是想咨询【考研走读班】【考研集训营】【考研规划】还是【在职考研】呢？_x000D_
_x000D_
01000003781500056303567923947307 2025-06-22 11:31:10_x000D_
老师，你好，专业课有培训吗？_x000D_
_x000D_
AI-37815-01a 2025-06-22 11:31:14_x000D_
同学，你现在是在校还是在职呢？_x000D_
_x000D_
01000003781500056303567923947307 2025-06-22 11:31:30_x000D_
在校_x000D_
_x000D_
AI-37815-01a 2025-06-22 11:31:34_x000D_
具体是想报考什么学校和专业呢？_x000D_
_x000D_
01000003781500056303567923947307 2025-06-22 11:31:56_x000D_
北理，人工智能_x000D_
_x000D_
AI-37815-01a 2025-06-22 11:31:59_x000D_
好的，了解。我们新东方在全国32个城市都有校区，您倾向在哪个城市上课，或者希望哪里的老师给您介绍下呢？_x000D_
_x000D_
01000003781500056303567923947307 2025-06-22 11:32:09_x000D_
北京_x000D_
_x000D_
AI-37815-01a 2025-06-22 11:32:13_x000D_
您可以留下您的姓名和电话，我这边可以立刻安排对应校区顾问老师给您回电！_x000D_
_x000D_
01000003781500056303567923947307 2025-06-22 11:32:29_x000D_
13661283905_x000D_
_x000D_
AI-37815-01a 2025-06-22 11:32:33_x000D_
好的，确认一下你的号码是否正确呢~_x000D_
_x000D_
01000003781500056303567923947307 2025-06-22 11:32:45_x000D_
周女士_x000D_
_x000D_
AI-37815-01a 2025-06-22 11:32:49_x000D_
这个手机号是您的微信吗？如果不是您可以留一下您的微信号_x000D_
_x000D_
01000003781500056303567923947307 2025-06-22 11:32:58_x000D_
都是_x000D_
_x000D_
AI-37815-01a 2025-06-22 11:33:01_x000D_
同学怎么称呼呢？_x000D_
_x000D_
01000003781500056303567923947307 2025-06-22 11:33:02_x000D_
一个号_x000D_
_x000D_
AI-37815-01a 2025-06-22 11:33:06_x000D_
这边马上安排顾问老师联系您，预计半个小时左右给您回电请注意接听~_x000D_
_x000D_
01000003781500056303567923947307 2025-06-22 11:33:14_x000D_
周小英_x000D_
_x000D_
AI-37815-01a 2025-06-22 11:33:17_x000D_
稍后老师会联系哈_x000D_
_x000D_
来源页：https://c-37815.p.easyliao.com/
备注：</t>
  </si>
  <si>
    <t>2026财年第1财月总部巨量投放-易聊</t>
  </si>
  <si>
    <t>刘泽宇</t>
  </si>
  <si>
    <t>28518882</t>
  </si>
  <si>
    <t>2025-06-22 11:59</t>
  </si>
  <si>
    <t>北京交通大学</t>
  </si>
  <si>
    <t>计算机与信息技术学院</t>
  </si>
  <si>
    <t>人工智能</t>
  </si>
  <si>
    <t>2025-06-22 18:17</t>
  </si>
  <si>
    <t>2025-06-24 14:17</t>
  </si>
  <si>
    <t>BJWY6304152842</t>
  </si>
  <si>
    <t>WYC260010069</t>
  </si>
  <si>
    <t>回访人：谭悦，回访时间：2025-06-22 11:59，回访内容：北交，大四毕业，考北理工人工智能，专业课自命题，数学很好，了解英语政治和专业课集训  ；|回访人：谭悦，回访时间：2025-06-22 18:17，回访内容：签约</t>
  </si>
  <si>
    <t>总部巨量投放-易聊</t>
  </si>
  <si>
    <t>刘育妃</t>
  </si>
  <si>
    <t>115271245</t>
  </si>
  <si>
    <t>北京国内管理员</t>
  </si>
  <si>
    <t>2025-06-19 15:59:47</t>
  </si>
  <si>
    <t xml:space="preserve">渠道录入来源：SCRM-客服推送
商机ID：5009079448
商机编码：XSJ20250619041350
针对人群：大学
学员号：BJ1220141319
学生学校：山东省滨州市阳信县第二高级中学
咨询课程：专业课
创建人邮箱：wangguibing@xdf.cn
创建时间：2025-06-19 15:59:43
资源类型：单个资源
跟进记录：商机备注：在线咨询   孩子口腔医学专业  咨询考研英语课程      28年考研;接触点：企点-环信；
</t>
  </si>
  <si>
    <t>1</t>
  </si>
  <si>
    <t>28475205</t>
  </si>
  <si>
    <t>2025-06-19 16:35</t>
  </si>
  <si>
    <t>滨州医学院</t>
  </si>
  <si>
    <t>口腔医学院</t>
  </si>
  <si>
    <t>口腔医学</t>
  </si>
  <si>
    <t>2025-06-22 11:15</t>
  </si>
  <si>
    <t>肖凤兰</t>
  </si>
  <si>
    <t>BJWY4695759960</t>
  </si>
  <si>
    <t>ZVVB260010022</t>
  </si>
  <si>
    <t xml:space="preserve">回访人：谭悦，回访时间：2025-06-19 16:35，回访内容：开学大三，五年制。
线下集训，英语集训，八月10号到25号，15800，青岛七月15号到八月30号。
；|回访人：谭悦，回访时间：2025-06-22 11:15，回访内容：签约 </t>
  </si>
  <si>
    <t>28考季</t>
  </si>
  <si>
    <t>SCRM-客服推送</t>
  </si>
  <si>
    <t>115518136</t>
  </si>
  <si>
    <t>2025-06-21 14:46:27</t>
  </si>
  <si>
    <t>赵齐龙</t>
  </si>
  <si>
    <t>28524470</t>
  </si>
  <si>
    <t>2025-06-21 16:21</t>
  </si>
  <si>
    <t>机械与电子控制工程学院</t>
  </si>
  <si>
    <t>车辆工程</t>
  </si>
  <si>
    <t>2025-06-21 20:16</t>
  </si>
  <si>
    <t>2025-06-21 20:19</t>
  </si>
  <si>
    <t>KYJY25011</t>
  </si>
  <si>
    <t>BJWY9454368227</t>
  </si>
  <si>
    <t>KYJY250110026</t>
  </si>
  <si>
    <t>2025-06-21</t>
  </si>
  <si>
    <t>回访人：谭悦，回访时间：2025-06-21 16:21，回访内容：签约 ；|回访人：谭悦，回访时间：2025-06-21 19:27，回访内容：签约；|回访人：谭悦，回访时间：2025-06-21 20:13，回访内容：谭悦进行了退单操作!(本条回访记录由系统自动记录)</t>
  </si>
  <si>
    <t>KYJZ25011</t>
  </si>
  <si>
    <t>KYJZ250110026</t>
  </si>
  <si>
    <t>KYJS25011</t>
  </si>
  <si>
    <t>26考研数学半年集训营（基础/七月）</t>
  </si>
  <si>
    <t>KYJS250110026</t>
  </si>
  <si>
    <t>KYJZ25009A0022</t>
  </si>
  <si>
    <t>KYJS25011A</t>
  </si>
  <si>
    <t>26考研数学半年集训营（强冲）</t>
  </si>
  <si>
    <t>KYJS25011A0026</t>
  </si>
  <si>
    <t>KYZ25012</t>
  </si>
  <si>
    <t>KYZ250120027</t>
  </si>
  <si>
    <t>KYJY25009A</t>
  </si>
  <si>
    <t>KYJY25009A0022</t>
  </si>
  <si>
    <t>LP17505081843045</t>
  </si>
  <si>
    <t>LP17504950772155</t>
  </si>
  <si>
    <t>刘亦轩</t>
  </si>
  <si>
    <t>115535833</t>
  </si>
  <si>
    <t>2025-06-21 14:01:38</t>
  </si>
  <si>
    <t>续费原因：学生续费～；该学生为保护期内续费，原顾问：国内大学部-谭悦(tanyue9@xdf.cn)</t>
  </si>
  <si>
    <t>28492667</t>
  </si>
  <si>
    <t>2025-06-21 14:34</t>
  </si>
  <si>
    <t>北方工业大学</t>
  </si>
  <si>
    <t>数据科学与大数据技术</t>
  </si>
  <si>
    <t>2025-06-21 18:39</t>
  </si>
  <si>
    <t>2025-06-21 19:08</t>
  </si>
  <si>
    <t>LP17505023952663</t>
  </si>
  <si>
    <t>XDF072119095954422</t>
  </si>
  <si>
    <t xml:space="preserve">回访人：谭悦，回访时间：2025-06-21 14:34，回访内容：跟进专业课续费  </t>
  </si>
  <si>
    <t>28467859</t>
  </si>
  <si>
    <t>2025-06-18 21:05</t>
  </si>
  <si>
    <t>2025-06-21 19:45</t>
  </si>
  <si>
    <t>WYP270100030</t>
  </si>
  <si>
    <t>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t>
  </si>
  <si>
    <t>24下考季</t>
  </si>
  <si>
    <t>WYP270120030</t>
  </si>
  <si>
    <t>WYE270130036</t>
  </si>
  <si>
    <t>WYP270110030</t>
  </si>
  <si>
    <t>WYE27016</t>
  </si>
  <si>
    <t>考研英语无忧计划（27考研/英二强化）</t>
  </si>
  <si>
    <t>WYE270160023</t>
  </si>
  <si>
    <t>WYE27030</t>
  </si>
  <si>
    <t>考研英语无忧计划（27考研/英二冲刺）</t>
  </si>
  <si>
    <t>WYE270300010</t>
  </si>
  <si>
    <t>LP17505023712661</t>
  </si>
  <si>
    <t>王钰淇</t>
  </si>
  <si>
    <t>99986497</t>
  </si>
  <si>
    <t>2025-04-17 11:18:43</t>
  </si>
  <si>
    <t>续费原因：10月份后续学校没什么事情想着参加集训营课程；该学生为保护期内续费，原顾问：国内大学部-赵星火(zhaoxinghuo@xdf.cn)</t>
  </si>
  <si>
    <t>郑雪新zhengxuexin@xdf.cn</t>
  </si>
  <si>
    <t>27594248</t>
  </si>
  <si>
    <t>2025-04-17 12:03</t>
  </si>
  <si>
    <t>东北电力大学</t>
  </si>
  <si>
    <t>2025-06-20 19:06</t>
  </si>
  <si>
    <t>2025-06-20 19:07</t>
  </si>
  <si>
    <t>KYZ25023</t>
  </si>
  <si>
    <t>26考研冲刺集训营（住宿费）</t>
  </si>
  <si>
    <t>BJWY4540042254</t>
  </si>
  <si>
    <t>KYZ250230002</t>
  </si>
  <si>
    <t>2025-06-20</t>
  </si>
  <si>
    <t>回访人：赵星火，回访时间：2025-06-17 17:14，回访内容：给到冲刺集训的时间安排，校区内容和收费，跟进学生情况中；|回访人：赵星火，回访时间：2025-06-20 19:06，回访内容：1</t>
  </si>
  <si>
    <t>冲刺集训营</t>
  </si>
  <si>
    <t>KYJZ25022A</t>
  </si>
  <si>
    <t>26考研政治集训营（强冲）</t>
  </si>
  <si>
    <t>KYJZ25022A0005</t>
  </si>
  <si>
    <t>KYJY25022A</t>
  </si>
  <si>
    <t>26考研英语集训营（强冲/英语一）</t>
  </si>
  <si>
    <t>KYJY25022A0006</t>
  </si>
  <si>
    <t>KYJS25022A</t>
  </si>
  <si>
    <t>26考研数学集训营（强冲）</t>
  </si>
  <si>
    <t>KYJS25022A0002</t>
  </si>
  <si>
    <t>115406828</t>
  </si>
  <si>
    <t>2025-06-20 12:03:59</t>
  </si>
  <si>
    <t>王清源</t>
  </si>
  <si>
    <t>28481867</t>
  </si>
  <si>
    <t>2025-06-20 13:26</t>
  </si>
  <si>
    <t>国际传媒教育学院</t>
  </si>
  <si>
    <t>传播学1</t>
  </si>
  <si>
    <t>2025-06-20 16:16</t>
  </si>
  <si>
    <t>BJWY6231306178</t>
  </si>
  <si>
    <t>WYE260740036</t>
  </si>
  <si>
    <t>回访人：赵星火，回访时间：2025-06-20 13:26，回访内容：学生跨考中传政治学，专业课安排好了，这边英政报新东方的，英语基础之前不错后面荒废了，政治很好，辛苦老师联系；|回访人：赵星火，回访时间：2025-06-20 16:16，回访内容：1</t>
  </si>
  <si>
    <t>WYP26061</t>
  </si>
  <si>
    <t>WYP260610041</t>
  </si>
  <si>
    <t>WYP26062</t>
  </si>
  <si>
    <t>WYP260620041</t>
  </si>
  <si>
    <t>WYE260750036</t>
  </si>
  <si>
    <t>WYE26073</t>
  </si>
  <si>
    <t>WYE260730049</t>
  </si>
  <si>
    <t>WYP26063</t>
  </si>
  <si>
    <t>WYP260630043</t>
  </si>
  <si>
    <t>赵佳荟</t>
  </si>
  <si>
    <t>114821131</t>
  </si>
  <si>
    <t>2025-06-17 13:16:28</t>
  </si>
  <si>
    <t>赵佳荟去年是英语二30分，政治58分，今年依然报考中科院生物与医药，上着徐涛的网课，想再报10课时一对一学习政治，及英语的全程网课，现在我在约政治的课前沟通，辛苦顾问直接联系我，我对接报名</t>
  </si>
  <si>
    <t>刘若璇</t>
  </si>
  <si>
    <t>28391125</t>
  </si>
  <si>
    <t>2025-06-17 13:35</t>
  </si>
  <si>
    <t>考研VIP,线上考研产品</t>
  </si>
  <si>
    <t>邯郸学院</t>
  </si>
  <si>
    <t>生命科学与工程学院</t>
  </si>
  <si>
    <t>生物技术</t>
  </si>
  <si>
    <t>2025-06-20 16:13</t>
  </si>
  <si>
    <t>2025-06-20 16:15</t>
  </si>
  <si>
    <t>LP17504072211568</t>
  </si>
  <si>
    <t>BJWY7496014551</t>
  </si>
  <si>
    <t xml:space="preserve">回访人：谭悦，回访时间：2025-06-17 13:35，回访内容：跟进考研，和陈晶老师对接  ；|回访人：谭悦，回访时间：2025-06-20 11:35，回访内容：准备报名 </t>
  </si>
  <si>
    <t>王</t>
  </si>
  <si>
    <t>91249361</t>
  </si>
  <si>
    <t>郭欣宇</t>
  </si>
  <si>
    <t>2024-12-22 09:59:00</t>
  </si>
  <si>
    <t>13911555162，北京，学生家长</t>
  </si>
  <si>
    <t>李瑊</t>
  </si>
  <si>
    <t>26045531</t>
  </si>
  <si>
    <t>2025-06-19 20:36</t>
  </si>
  <si>
    <t>城市建设学部</t>
  </si>
  <si>
    <t>智能建造</t>
  </si>
  <si>
    <t>2025-06-20 10:53</t>
  </si>
  <si>
    <t>2025-06-20 11:00</t>
  </si>
  <si>
    <t>BJWY0758744190</t>
  </si>
  <si>
    <t>回访人：赵星火，回访时间：2025-06-12 16:11，回访内容：跟进学生情况中这边继续维护学生。一起跟进看下学生；|回访人：赵星火，回访时间：2025-06-19 19:52，回访内容：刘创老师跟进；|回访人：刘创，回访时间：2025-06-19 21:51，回访内容：1；|回访人：刘创，回访时间：2025-06-20 10:53，回访内容：1</t>
  </si>
  <si>
    <t>28469430</t>
  </si>
  <si>
    <t>2025-06-19 11:05</t>
  </si>
  <si>
    <t>2025-06-19 11:06</t>
  </si>
  <si>
    <t>2025-06-19 11:07</t>
  </si>
  <si>
    <t xml:space="preserve">回访人：谭悦，回访时间：2025-06-19 11:05，回访内容：1；|回访人：谭悦，回访时间：2025-06-19 11:06，回访内容：签约 </t>
  </si>
  <si>
    <t>KYJS25008</t>
  </si>
  <si>
    <t>26考研数学半年集训营（基础/六月）</t>
  </si>
  <si>
    <t>KYJS250080068</t>
  </si>
  <si>
    <t>2025-06-19</t>
  </si>
  <si>
    <t>KYZ25008</t>
  </si>
  <si>
    <t>KYZ250080068</t>
  </si>
  <si>
    <t>KYJS25008A</t>
  </si>
  <si>
    <t>KYJS25008A0068</t>
  </si>
  <si>
    <t>KYJZ25012A</t>
  </si>
  <si>
    <t>KYJZ25012A0029</t>
  </si>
  <si>
    <t>KYJZ25008</t>
  </si>
  <si>
    <t>KYJZ250080068</t>
  </si>
  <si>
    <t>KYJY25012A</t>
  </si>
  <si>
    <t>KYJY25012A0027</t>
  </si>
  <si>
    <t>KYJY25008</t>
  </si>
  <si>
    <t>KYJY250080068</t>
  </si>
  <si>
    <t>谭颖瑶</t>
  </si>
  <si>
    <t>113579448</t>
  </si>
  <si>
    <t>苏苏</t>
  </si>
  <si>
    <t>2025-06-10 16:56:31</t>
  </si>
  <si>
    <t>批量导入-个性化学员回访</t>
  </si>
  <si>
    <t>2025-06-11 19:37:51</t>
  </si>
  <si>
    <t>28287112</t>
  </si>
  <si>
    <t>2025-06-18 11:50</t>
  </si>
  <si>
    <t>2025-06-18 12:02</t>
  </si>
  <si>
    <t>2025-06-18 12:03</t>
  </si>
  <si>
    <t>BJWY0157013629</t>
  </si>
  <si>
    <t>WYFE260080005</t>
  </si>
  <si>
    <t>回访人：陈伟钰，回访时间：2025-06-11 19:41，回访内容：学生目前在忙毕业的事儿，等忙完毕业的事儿之后，考虑学习上的需要。；|回访人：陈伟钰，回访时间：2025-06-17 19:43，回访内容：没接；|回访人：赵星火，回访时间：2025-06-18 12:02，回访内容：1</t>
  </si>
  <si>
    <t>WYFE260070005</t>
  </si>
  <si>
    <t>南京</t>
  </si>
  <si>
    <t>97353120</t>
  </si>
  <si>
    <t>2025-03-17 13:18:32</t>
  </si>
  <si>
    <t>刘同学</t>
  </si>
  <si>
    <t>王孟夏</t>
  </si>
  <si>
    <t>27154867</t>
  </si>
  <si>
    <t>2025-03-17 13:29</t>
  </si>
  <si>
    <t>南京理工大学</t>
  </si>
  <si>
    <t>电子工程与光电技术学院</t>
  </si>
  <si>
    <t>光电信息科学与工程</t>
  </si>
  <si>
    <t>2025-06-18 19:05</t>
  </si>
  <si>
    <t>2025-06-18 19:15</t>
  </si>
  <si>
    <t>BJWY9949054886</t>
  </si>
  <si>
    <t>KYJZ250080067</t>
  </si>
  <si>
    <t>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t>
  </si>
  <si>
    <t>KYZ250080067</t>
  </si>
  <si>
    <t>KYJS25008A0067</t>
  </si>
  <si>
    <t>KYJS250080067</t>
  </si>
  <si>
    <t>KYJY25008A</t>
  </si>
  <si>
    <t>KYJY25008A0046</t>
  </si>
  <si>
    <t>KYJY250080067</t>
  </si>
  <si>
    <t>KYJZ25008A</t>
  </si>
  <si>
    <t>KYJZ25008A0046</t>
  </si>
  <si>
    <t>LP17502447154311</t>
  </si>
  <si>
    <t>LP17502447844312</t>
  </si>
  <si>
    <t>无</t>
  </si>
  <si>
    <t>97097303</t>
  </si>
  <si>
    <t>2025-03-14 17:11:06</t>
  </si>
  <si>
    <t>原签约单，谭悦激活；</t>
  </si>
  <si>
    <t>石也牧</t>
  </si>
  <si>
    <t>27106698</t>
  </si>
  <si>
    <t>2025-03-14 17:33</t>
  </si>
  <si>
    <t>华中师范大学</t>
  </si>
  <si>
    <t>2025-06-18 11:14</t>
  </si>
  <si>
    <t>2025-06-18 14:01</t>
  </si>
  <si>
    <t>BJWY8950201927</t>
  </si>
  <si>
    <t>WYHP260020082</t>
  </si>
  <si>
    <t xml:space="preserve">回访人：谭悦，回访时间：2025-06-10 19:35，回访内容：微信跟进中 候鸟班   ；|回访人：谭悦，回访时间：2025-06-16 19:12，回访内容：用教室的座位逼单，催促报名中   ；|回访人：谭悦，回访时间：2025-06-18 11:01，回访内容：报名 ；|回访人：谭悦，回访时间：2025-06-18 11:14，回访内容：签约 </t>
  </si>
  <si>
    <t>政治,数学</t>
  </si>
  <si>
    <t>WYHM260020060</t>
  </si>
  <si>
    <t>WYHP26050033</t>
  </si>
  <si>
    <t>WYHM26040021</t>
  </si>
  <si>
    <t>万义</t>
  </si>
  <si>
    <t>114742618</t>
  </si>
  <si>
    <t>2025-06-17 09:46:14</t>
  </si>
  <si>
    <t xml:space="preserve">渠道录入来源：SCRM-客服推送
商机ID：5009071956
商机编码：XSJ20250617002314
针对人群：大学
学员号：BJ2121727
学生学校：北京市东直门中学
咨询课程：数学
创建人邮箱：wangmeng63@xdf.cn
创建时间：2025-06-17 09:46:02
资源类型：单个资源
跟进记录：商机备注：妈妈咨询，咨询考研课程，26届考生，了解现在到考前学习，数学专业，辛苦老师联系;接触点：呼入；
</t>
  </si>
  <si>
    <t>28408673</t>
  </si>
  <si>
    <t>2025-06-17 10:39</t>
  </si>
  <si>
    <t>理学部</t>
  </si>
  <si>
    <t>2025-06-18 10:19</t>
  </si>
  <si>
    <t>2025-06-18 10:24</t>
  </si>
  <si>
    <t>BJWY5748447243</t>
  </si>
  <si>
    <t>WYE260740033</t>
  </si>
  <si>
    <t xml:space="preserve">回访人：谭悦，回访时间：2025-06-17 10:39，回访内容：学数学专业，26考研，目标学校，北工大，；|回访人：谭悦，回访时间：2025-06-18 10:19，回访内容：1；|回访人：谭悦，回访时间：2025-06-18 10:19，回访内容：签约  </t>
  </si>
  <si>
    <t>WYP260610037</t>
  </si>
  <si>
    <t>WYP260620037</t>
  </si>
  <si>
    <t>WYE260750033</t>
  </si>
  <si>
    <t>WYE260730045</t>
  </si>
  <si>
    <t>WYP260630039</t>
  </si>
  <si>
    <t>LP1750210216180</t>
  </si>
  <si>
    <t>考研初试专业课一对一（26考研/无忧50小时）</t>
  </si>
  <si>
    <t>雨欣妈妈</t>
  </si>
  <si>
    <t>97328798</t>
  </si>
  <si>
    <t>2025-03-17 10:22:52</t>
  </si>
  <si>
    <t>内部员工推荐给赵星火老师（TMK主管分配TMK）</t>
  </si>
  <si>
    <t>宋化鹏+songhuapeng@xdf.cn+105759+国际教育运营管理部中关村一部</t>
  </si>
  <si>
    <t>2025-06-17 15:08:31</t>
  </si>
  <si>
    <t>张雨欣</t>
  </si>
  <si>
    <t>28392493</t>
  </si>
  <si>
    <t>2025-06-17 15:10</t>
  </si>
  <si>
    <t>北京外国语大学</t>
  </si>
  <si>
    <t>英语学院</t>
  </si>
  <si>
    <t>2025-06-17 15:20</t>
  </si>
  <si>
    <t>2025-06-17 15:21</t>
  </si>
  <si>
    <t>BJWY5062456767</t>
  </si>
  <si>
    <t>WYS250310043</t>
  </si>
  <si>
    <t>2025-06-17</t>
  </si>
  <si>
    <t>回访人：赵星火，回访时间：2025-06-17 15:10，回访内容：预计缴费跟进中；|回访人：赵星火，回访时间：2025-06-17 15:20，回访内容：1</t>
  </si>
  <si>
    <t>家长</t>
  </si>
  <si>
    <t>114446741</t>
  </si>
  <si>
    <t>2025-06-15 13:29:14</t>
  </si>
  <si>
    <t xml:space="preserve">家长，咨询暑假考研课程 </t>
  </si>
  <si>
    <t>贾佳霖</t>
  </si>
  <si>
    <t>28364229</t>
  </si>
  <si>
    <t>2025-06-15 15:17</t>
  </si>
  <si>
    <t>考研无忧计划,线上考研产品</t>
  </si>
  <si>
    <t>北京化工大学</t>
  </si>
  <si>
    <t>化学工程学院</t>
  </si>
  <si>
    <t>环境工程</t>
  </si>
  <si>
    <t>2025-06-17 10:51</t>
  </si>
  <si>
    <t>2025-06-17 14:45</t>
  </si>
  <si>
    <t>BJWY0479852281</t>
  </si>
  <si>
    <t>WYHE260050077</t>
  </si>
  <si>
    <t xml:space="preserve">回访人：谭悦，回访时间：2025-06-15 15:17，回访内容：孩子在北京，武家长，加我微信  ；|回访人：谭悦，回访时间：2025-06-17 10:51，回访内容：报名单科  </t>
  </si>
  <si>
    <t>WYHE26004</t>
  </si>
  <si>
    <t>WYHE260040037</t>
  </si>
  <si>
    <t>李</t>
  </si>
  <si>
    <t>108562669</t>
  </si>
  <si>
    <t>2025-06-04 20:57:38</t>
  </si>
  <si>
    <t>13904373747，北京，一对一，在校学生</t>
  </si>
  <si>
    <t>李秋实</t>
  </si>
  <si>
    <t>28159640</t>
  </si>
  <si>
    <t>2025-06-05 11:32</t>
  </si>
  <si>
    <t>中国地质大学</t>
  </si>
  <si>
    <t>海洋学院</t>
  </si>
  <si>
    <t>海洋科学</t>
  </si>
  <si>
    <t>2025-06-16 11:35</t>
  </si>
  <si>
    <t>2025-06-16 11:43</t>
  </si>
  <si>
    <t>BJWY9722268066</t>
  </si>
  <si>
    <t>WYE260740029</t>
  </si>
  <si>
    <t>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t>
  </si>
  <si>
    <t>WYP260610032</t>
  </si>
  <si>
    <t>WYP260620032</t>
  </si>
  <si>
    <t>WYM260310012</t>
  </si>
  <si>
    <t>WYM260320012</t>
  </si>
  <si>
    <t>WYE260730038</t>
  </si>
  <si>
    <t>WYE260750029</t>
  </si>
  <si>
    <t>WYP260630034</t>
  </si>
  <si>
    <t>WYM260330012</t>
  </si>
  <si>
    <t>LP1750044922832</t>
  </si>
  <si>
    <t>LP1750044825821</t>
  </si>
  <si>
    <t>114478228</t>
  </si>
  <si>
    <t>2025-06-15 16:44:35</t>
  </si>
  <si>
    <t>已经到知春路校区楼下
新东方考研四六级(知春路校区)</t>
  </si>
  <si>
    <t>杨晓超</t>
  </si>
  <si>
    <t>高尚</t>
  </si>
  <si>
    <t>28366840</t>
  </si>
  <si>
    <t>2025-06-16 14:13</t>
  </si>
  <si>
    <t>自动化科学与电气工程学院</t>
  </si>
  <si>
    <t>自动化</t>
  </si>
  <si>
    <t>2025-06-16 14:38</t>
  </si>
  <si>
    <t>2025-06-16 14:43</t>
  </si>
  <si>
    <t>WYFE26013</t>
  </si>
  <si>
    <t>BJWY2652008035</t>
  </si>
  <si>
    <t>WYFE260130007</t>
  </si>
  <si>
    <t>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t>
  </si>
  <si>
    <t>WYFP26007</t>
  </si>
  <si>
    <t>WYFP260070007</t>
  </si>
  <si>
    <t>WYFP26008</t>
  </si>
  <si>
    <t>WYFP260080007</t>
  </si>
  <si>
    <t>WYFM26007</t>
  </si>
  <si>
    <t>WYFM260070007</t>
  </si>
  <si>
    <t>WYFE26014</t>
  </si>
  <si>
    <t>WYFE260140007</t>
  </si>
  <si>
    <t>WYFM26008</t>
  </si>
  <si>
    <t>WYFM260080007</t>
  </si>
  <si>
    <t>LP17500558801204</t>
  </si>
  <si>
    <t>LP17500559161208</t>
  </si>
  <si>
    <t>89245249</t>
  </si>
  <si>
    <t>2024-11-26 10:29:32</t>
  </si>
  <si>
    <t>杨梦清</t>
  </si>
  <si>
    <t>28359934</t>
  </si>
  <si>
    <t>2025-06-14 23:16</t>
  </si>
  <si>
    <t>山西医科大学</t>
  </si>
  <si>
    <t>口腔医学（五年制）1</t>
  </si>
  <si>
    <t>2025-06-16 14:19</t>
  </si>
  <si>
    <t>常小倩+changxiaoqian@xdf.cn+ID: 097195+产业机构-前途出国-前途北京公司-澳新部</t>
  </si>
  <si>
    <t>BJWY7596554849</t>
  </si>
  <si>
    <t>WYHP26050032</t>
  </si>
  <si>
    <t xml:space="preserve">回访人：谭悦，回访时间：2025-06-14 23:16，回访内容：咨询暑假考研课   ；|回访人：谭悦，回访时间：2025-06-15 20:03，回访内容：微信跟进 协议 候鸟暑假  ；|回访人：谭悦，回访时间：2025-06-16 14:19，回访内容：签约  </t>
  </si>
  <si>
    <t>WYHE260050075</t>
  </si>
  <si>
    <t>WYHE260040035</t>
  </si>
  <si>
    <t>WYHP260020080</t>
  </si>
  <si>
    <t>98903055</t>
  </si>
  <si>
    <t>2025-04-07 10:57:26</t>
  </si>
  <si>
    <t>魏公村直访，VIP接待</t>
  </si>
  <si>
    <t>边星华</t>
  </si>
  <si>
    <t>28436194</t>
  </si>
  <si>
    <t>2025-06-18 21:57</t>
  </si>
  <si>
    <t>首都经济贸易大学</t>
  </si>
  <si>
    <t>财政税务学院</t>
  </si>
  <si>
    <t>资产评估</t>
  </si>
  <si>
    <t>2025-06-18 21:58</t>
  </si>
  <si>
    <t>KYJS25026A</t>
  </si>
  <si>
    <t>26考研数学全年集训营（强冲）</t>
  </si>
  <si>
    <t>BJWY5067256538</t>
  </si>
  <si>
    <t>KYJS25026A0025</t>
  </si>
  <si>
    <t xml:space="preserve">回访人：谭悦，回访时间：2025-06-18 21:57，回访内容：1；|回访人：谭悦，回访时间：2025-06-18 21:57，回访内容：转班 </t>
  </si>
  <si>
    <t>全年集训营,考研专业课150</t>
  </si>
  <si>
    <t>啦啦</t>
  </si>
  <si>
    <t>114465652</t>
  </si>
  <si>
    <t>2025-06-15 10:57:06</t>
  </si>
  <si>
    <t>【王朝群】咨询英语政治暑期营</t>
  </si>
  <si>
    <t>张乐</t>
  </si>
  <si>
    <t>陈怿恺</t>
  </si>
  <si>
    <t>28341169</t>
  </si>
  <si>
    <t>2025-06-16 11:12</t>
  </si>
  <si>
    <t>首都体育学院</t>
  </si>
  <si>
    <t>管理与传播学院</t>
  </si>
  <si>
    <t>新闻学</t>
  </si>
  <si>
    <t>2025-06-16 14:10</t>
  </si>
  <si>
    <t>2025-06-16 14:11</t>
  </si>
  <si>
    <t>BJWY6687592539</t>
  </si>
  <si>
    <t>WYP260620031</t>
  </si>
  <si>
    <t xml:space="preserve">回访人：张乐，回访时间：2025-06-15 11:28，回访内容：首都体育大三今年在做交换生在国外 月底回国，加微信发送知春路的政治 英语候鸟；|回访人：谭悦，回访时间：2025-06-16 14:10，回访内容：签约 </t>
  </si>
  <si>
    <t>WYP260630033</t>
  </si>
  <si>
    <t>WYP260610031</t>
  </si>
  <si>
    <t>WYE260740028</t>
  </si>
  <si>
    <t>WYE260730037</t>
  </si>
  <si>
    <t>WYE260750028</t>
  </si>
  <si>
    <t>114564369</t>
  </si>
  <si>
    <t>2025-06-16 13:55:25</t>
  </si>
  <si>
    <t>谭悦老师死单激活</t>
  </si>
  <si>
    <t>高一</t>
  </si>
  <si>
    <t>宁劭雷</t>
  </si>
  <si>
    <t>28304836</t>
  </si>
  <si>
    <t>2025-06-16 14:00</t>
  </si>
  <si>
    <t>中国人民大学附属中学</t>
  </si>
  <si>
    <t>2025-06-16 14:03</t>
  </si>
  <si>
    <t>BJWY1599745405</t>
  </si>
  <si>
    <t>WYS250310041</t>
  </si>
  <si>
    <t xml:space="preserve">回访人：谭悦，回访时间：2025-06-16 14:01，回访内容：准备报名  ；|回访人：谭悦，回访时间：2025-06-16 14:03，回访内容：签约  </t>
  </si>
  <si>
    <t>周蕊</t>
  </si>
  <si>
    <t>114349473</t>
  </si>
  <si>
    <t>2025-06-14 17:20:04</t>
  </si>
  <si>
    <t>续费原因：辛苦老师联系我，我和学生确认课时续费；该学生为保护期外续费，原顾问部门：国内大学部</t>
  </si>
  <si>
    <t>28298752</t>
  </si>
  <si>
    <t>2025-06-14 17:23</t>
  </si>
  <si>
    <t>中央戏剧学院</t>
  </si>
  <si>
    <t>表演系</t>
  </si>
  <si>
    <t>话剧影视表演</t>
  </si>
  <si>
    <t>2025-06-16 10:14</t>
  </si>
  <si>
    <t>2025-06-16 10:15</t>
  </si>
  <si>
    <t>LP1750040041588</t>
  </si>
  <si>
    <t>BJWY2521518648</t>
  </si>
  <si>
    <t>回访人：赵星火，回访时间：2025-06-14 17:23，回访内容：沟通课时跟进中，这边预计是30多小时继续维护，跟陈晶面谈</t>
  </si>
  <si>
    <t>赵晓婧</t>
  </si>
  <si>
    <t>114450232</t>
  </si>
  <si>
    <t>2025-06-15 15:11:01</t>
  </si>
  <si>
    <t>续费原因：续费续费～；该学生为保护期内续费，原顾问：国内大学部-赵星火(zhaoxinghuo@xdf.cn)</t>
  </si>
  <si>
    <t>28364384</t>
  </si>
  <si>
    <t>2025-06-15 15:25</t>
  </si>
  <si>
    <t>2025-06-15 15:33</t>
  </si>
  <si>
    <t>2025-06-15 15:37</t>
  </si>
  <si>
    <t>LP17499727882492</t>
  </si>
  <si>
    <t>BJWY9595699070</t>
  </si>
  <si>
    <t>2025-06-15</t>
  </si>
  <si>
    <t>回访人：赵星火，回访时间：2025-06-15 15:25，回访内容：1下单跟进</t>
  </si>
  <si>
    <t>杨女士</t>
  </si>
  <si>
    <t>114061569</t>
  </si>
  <si>
    <t>2025-06-13 14:19:50</t>
  </si>
  <si>
    <t xml:space="preserve">渠道录入来源：SCRM-客服推送
商机ID：5009041935
商机编码：XSJ20250613032644
针对人群：在职
学生学校：不详
咨询课程：英语
创建人邮箱：lichunshan@xdf.cn
创建时间：2025-06-13 14:19:44
资源类型：单个资源
跟进记录：商机备注：【呼入组+57640851】本人咨询考研事宜，现居顺义，辛苦老师协助介绍，谢谢;接触点：呼入；
</t>
  </si>
  <si>
    <t>杨秀</t>
  </si>
  <si>
    <t>28324179</t>
  </si>
  <si>
    <t>2025-06-13 14:54</t>
  </si>
  <si>
    <t>工商管理</t>
  </si>
  <si>
    <t>2025-06-15 15:20</t>
  </si>
  <si>
    <t>ZZYG26003</t>
  </si>
  <si>
    <t>考研在职管理类综合全程班（26）</t>
  </si>
  <si>
    <t>BJWY22035556hl</t>
  </si>
  <si>
    <t>BJWY8451183911</t>
  </si>
  <si>
    <t>ZZYG260030027</t>
  </si>
  <si>
    <t xml:space="preserve">回访人：谭悦，回访时间：2025-06-13 14:54，回访内容：在职研，；|回访人：谭悦，回访时间：2025-06-15 15:20，回访内容：签约 </t>
  </si>
  <si>
    <t>管综</t>
  </si>
  <si>
    <t>ZZYD26002</t>
  </si>
  <si>
    <t>考研在职管理类OMO大师班（26）</t>
  </si>
  <si>
    <t>ZZYD260020104</t>
  </si>
  <si>
    <t>ZZYE26003</t>
  </si>
  <si>
    <t>考研在职英语二全程班（26）</t>
  </si>
  <si>
    <t>ZZYE260030025</t>
  </si>
  <si>
    <t>郭女士</t>
  </si>
  <si>
    <t>101330381</t>
  </si>
  <si>
    <t>2025-05-05 08:03:04</t>
  </si>
  <si>
    <t>13911271317，北京，一对一，在校学生</t>
  </si>
  <si>
    <t>杨显婷</t>
  </si>
  <si>
    <t>27735461</t>
  </si>
  <si>
    <t>2025-05-05 17:27</t>
  </si>
  <si>
    <t>应用统计学</t>
  </si>
  <si>
    <t>2025-06-15 18:09</t>
  </si>
  <si>
    <t>2025-06-15 21:31</t>
  </si>
  <si>
    <t>BJWY5113272165</t>
  </si>
  <si>
    <t>WYHM26040019</t>
  </si>
  <si>
    <t xml:space="preserve">回访人：谭悦，回访时间：2025-06-08 19:25，回访内容：微信跟进中 考研学习  ；|回访人：谭悦，回访时间：2025-06-14 00:06，回访内容：1；|回访人：谭悦，回访时间：2025-06-15 15:54，回访内容：微信跟进中 ；|回访人：谭悦，回访时间：2025-06-15 18:09，回访内容：签约  </t>
  </si>
  <si>
    <t>WYHM260020058</t>
  </si>
  <si>
    <t>113913497</t>
  </si>
  <si>
    <t>2025-06-12 10:41:40</t>
  </si>
  <si>
    <t xml:space="preserve">
</t>
  </si>
  <si>
    <t>罗玉骏+luoyujun@xdf.cn+ID+国际教育培训事业部-国际教育北京中心-运营管理部-运营中心-国贸分中心销售一部</t>
  </si>
  <si>
    <t>尹钰涵</t>
  </si>
  <si>
    <t>28287924</t>
  </si>
  <si>
    <t>2025-06-12 10:58</t>
  </si>
  <si>
    <t>2025-06-13 11:00</t>
  </si>
  <si>
    <t>BJWY0389245633</t>
  </si>
  <si>
    <t>ZVVB260010016</t>
  </si>
  <si>
    <t>2025-06-13</t>
  </si>
  <si>
    <t>回访人：赵星火，回访时间：2025-06-12 10:58，回访内容：家在廊坊，分数130+咨询六级，推荐集训学习跟进中；|回访人：赵星火，回访时间：2025-06-13 11:00，回访内容：1</t>
  </si>
  <si>
    <t>盛熙俊</t>
  </si>
  <si>
    <t>114129452</t>
  </si>
  <si>
    <t>2025-06-13 10:33:59</t>
  </si>
  <si>
    <t>续费原因：报课时，在沟通课时中；该学生为保护期内续费，原顾问：国内大学部-赵星火(zhaoxinghuo@xdf.cn)</t>
  </si>
  <si>
    <t>28282628</t>
  </si>
  <si>
    <t>2025-06-13 11:18</t>
  </si>
  <si>
    <t>电气与控制工程学院</t>
  </si>
  <si>
    <t>2025-06-13 14:27</t>
  </si>
  <si>
    <t>2025-06-13 14:42</t>
  </si>
  <si>
    <t>LP17497960241065</t>
  </si>
  <si>
    <t>BJWY6629642109</t>
  </si>
  <si>
    <t>回访人：赵星火，回访时间：2025-06-13 11:18，回访内容：跟老师沟通商量课时中，这边继续维护学生中</t>
  </si>
  <si>
    <t>86554836</t>
  </si>
  <si>
    <t>2024-10-16 18:13:42</t>
  </si>
  <si>
    <t>续费原因：续费六级一对一；该学生为保护期内续费，原顾问：国内大学部-谭悦(tanyue9@xdf.cn)</t>
  </si>
  <si>
    <t>28289278</t>
  </si>
  <si>
    <t>2025-06-12 15:04</t>
  </si>
  <si>
    <t>2025-06-12 15:28</t>
  </si>
  <si>
    <t>2025-06-12 15:30</t>
  </si>
  <si>
    <t>LP17497133371599</t>
  </si>
  <si>
    <t>26考研一对一伴学(60小时/无忧)</t>
  </si>
  <si>
    <t>2025-06-12</t>
  </si>
  <si>
    <t>回访人：谭悦，回访时间：2025-06-12 15:04，回访内容：1</t>
  </si>
  <si>
    <t>六级一对一</t>
  </si>
  <si>
    <t>113686286</t>
  </si>
  <si>
    <t>2025-06-11 14:01:43</t>
  </si>
  <si>
    <t>夏雅静+xiayajing@xdf.cn+138718+培训学校-北京学校-高中一对一部-学员服务管理中心-西南区，赵星火；</t>
  </si>
  <si>
    <t>夏雅静+xiayajing@xdf.cn+138718+培训学校-北京学校-高中一对一部-学员服务管理中心-西南区</t>
  </si>
  <si>
    <t>陈俊烨</t>
  </si>
  <si>
    <t>28264415</t>
  </si>
  <si>
    <t>2025-06-11 14:11</t>
  </si>
  <si>
    <t>2025-06-11 14:58</t>
  </si>
  <si>
    <t>YKS25002</t>
  </si>
  <si>
    <t>六级无忧计划（新大一专属）</t>
  </si>
  <si>
    <t>BJWY8937047439</t>
  </si>
  <si>
    <t>YKS250020001</t>
  </si>
  <si>
    <t>2025-06-11</t>
  </si>
  <si>
    <t>回访人：赵星火，回访时间：2025-06-11 14:11，回访内容：1；|回访人：赵星火，回访时间：2025-06-11 14:58，回访内容：1</t>
  </si>
  <si>
    <t>刘柱山</t>
  </si>
  <si>
    <t>104039821</t>
  </si>
  <si>
    <t>张泽</t>
  </si>
  <si>
    <t>2025-05-28 17:20:05</t>
  </si>
  <si>
    <t>续费原因：【个性化需求】数学一对一在在读，计划扩课政治+英语 谭悦老师分单学员，辛苦老师分配；该学生为保护期外续费，原顾问部门：国内大学部</t>
  </si>
  <si>
    <t>张泽zhangze7@xdf.cn</t>
  </si>
  <si>
    <t>28062626</t>
  </si>
  <si>
    <t>2025-05-28 20:28</t>
  </si>
  <si>
    <t>中央财经大学</t>
  </si>
  <si>
    <t>国际经济与贸易学院</t>
  </si>
  <si>
    <t>国际商务</t>
  </si>
  <si>
    <t>2025-06-10 19:05</t>
  </si>
  <si>
    <t>2025-06-10 19:07</t>
  </si>
  <si>
    <t>LP17495535102837</t>
  </si>
  <si>
    <t>BJWY3477910309</t>
  </si>
  <si>
    <t xml:space="preserve">回访人：谭悦，回访时间：2025-06-01 12:20，回访内容：跟进中 一对一规划  ；|回访人：谭悦，回访时间：2025-06-07 18:08，回访内容：跟进中，考研学习  和家长商量   </t>
  </si>
  <si>
    <t>国内高校-中外合作办学</t>
  </si>
  <si>
    <t>LP17495535102838</t>
  </si>
  <si>
    <t>考研初试专业课一对一伴学班（经综-26考季）</t>
  </si>
  <si>
    <t>113470958</t>
  </si>
  <si>
    <t>关秋冬</t>
  </si>
  <si>
    <t>2025-06-10 08:26:28</t>
  </si>
  <si>
    <t>家长想去校区咨询
IP：北京
搜索词：北京新东方考研咨询</t>
  </si>
  <si>
    <t>杨欣</t>
  </si>
  <si>
    <t>28233523</t>
  </si>
  <si>
    <t>2025-06-10 11:03</t>
  </si>
  <si>
    <t>2025-06-10 11:49</t>
  </si>
  <si>
    <t>XDF3140342751</t>
  </si>
  <si>
    <t>WYFE260130003</t>
  </si>
  <si>
    <t>回访人：赵星火，回访时间：2025-06-10 11:03，回访内容：跟进学生，想要暑假学习基础和强化内容，这边校区面谈；|回访人：赵星火，回访时间：2025-06-10 11:49，回访内容：1</t>
  </si>
  <si>
    <t>英语,数学</t>
  </si>
  <si>
    <t>WYFM260080004</t>
  </si>
  <si>
    <t>WYFE260140003</t>
  </si>
  <si>
    <t>WYFM260070004</t>
  </si>
  <si>
    <t>王郑榆</t>
  </si>
  <si>
    <t>113170803</t>
  </si>
  <si>
    <t>2025-06-08 09:19:24</t>
  </si>
  <si>
    <t>续费原因：准备8月底报名建华老师的一对一，上课时间于明天10月份；该学生为保护期内续费，原顾问：国内大学部-谭悦(tanyue9@xdf.cn)</t>
  </si>
  <si>
    <t>28189711</t>
  </si>
  <si>
    <t>2025-06-08 11:45</t>
  </si>
  <si>
    <t>大连海事大学</t>
  </si>
  <si>
    <t>航海学院</t>
  </si>
  <si>
    <t>航海技术</t>
  </si>
  <si>
    <t>2025-06-08 19:19</t>
  </si>
  <si>
    <t>2025-06-08 19:53</t>
  </si>
  <si>
    <t>LP17493815854935</t>
  </si>
  <si>
    <t>26考研一对一伴学（集训）</t>
  </si>
  <si>
    <t>BJWY9660121768</t>
  </si>
  <si>
    <t>2025-06-08</t>
  </si>
  <si>
    <t xml:space="preserve">回访人：谭悦，回访时间：2025-06-08 11:45，回访内容：跟进中 </t>
  </si>
  <si>
    <t>104481111</t>
  </si>
  <si>
    <t>2025-05-29 10:43:36</t>
  </si>
  <si>
    <t>内部员工推荐给谭悦老师</t>
  </si>
  <si>
    <t>姜悦+jiangyue35@xdf.cn+ID +大学事业部-大学呼和浩特中心-考研项目部-销售管理部</t>
  </si>
  <si>
    <t>刘琛瑾</t>
  </si>
  <si>
    <t>28040514</t>
  </si>
  <si>
    <t>2025-05-29 10:46</t>
  </si>
  <si>
    <t>内蒙古财经大学</t>
  </si>
  <si>
    <t>秘书学</t>
  </si>
  <si>
    <t>2025-06-08 12:50</t>
  </si>
  <si>
    <t>2025-06-08 12:52</t>
  </si>
  <si>
    <t>BJWY9345567986</t>
  </si>
  <si>
    <t>WYFE260070002</t>
  </si>
  <si>
    <t>回访人：谭悦，回访时间：2025-05-31 20:31，回访内容：面谈了，和秋雨分单，跟进中 ；|回访人：谭悦，回访时间：2025-06-06 11:48，回访内容：学生只想报单科英语，已发送订单   ；|回访人：谭悦，回访时间：2025-06-08 12:50，回访内容：签约</t>
  </si>
  <si>
    <t>WYFE260080002</t>
  </si>
  <si>
    <t>宋宇萱</t>
  </si>
  <si>
    <t>108759482</t>
  </si>
  <si>
    <t>2025-06-04 21:42:45</t>
  </si>
  <si>
    <t>续费原因：想报听力的一对一课；该学生为保护期内续费，原顾问：国内大学部-谭悦(tanyue9@xdf.cn)</t>
  </si>
  <si>
    <t>李小龙lixiaolong25@xdf.cn</t>
  </si>
  <si>
    <t>28193170</t>
  </si>
  <si>
    <t>2025-06-05 16:58</t>
  </si>
  <si>
    <t>北京师范大学</t>
  </si>
  <si>
    <t>数学科学学院</t>
  </si>
  <si>
    <t>2025-06-05 16:59</t>
  </si>
  <si>
    <t>2025-06-05 17:11</t>
  </si>
  <si>
    <t>LP17491139892786</t>
  </si>
  <si>
    <t>六级一对一伴学班（定制）</t>
  </si>
  <si>
    <t>BJWY0502776921</t>
  </si>
  <si>
    <t>2025-06-05</t>
  </si>
  <si>
    <t>回访人：谭悦，回访时间：2025-06-05 16:58，回访内容：1</t>
  </si>
  <si>
    <t>核桃巧巧马里奥</t>
  </si>
  <si>
    <t>107414368</t>
  </si>
  <si>
    <t>崔佳慧</t>
  </si>
  <si>
    <t>2025-06-01 16:22:53</t>
  </si>
  <si>
    <t xml:space="preserve">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统一活动id：2507749
统一活动名称：北京大学事业部25年6月小红书专业号投放
渠道名称：网络营销-小红书-专业号投放
线索创建人邮箱：cuijiahui2@xdf.cn
资源跟进人邮箱：cuijiahui2@xdf.cn
备注：用户地区是【nullnull】，在【2025-06-01 16:22:52】留资，私信通线索标签为【--】，来源于【北京新东方考研一对一咨询】投放账户，意向项目是【考研/考博】，留资笔记是【】，备注【null】
</t>
  </si>
  <si>
    <t>2026财年第1财月小红书</t>
  </si>
  <si>
    <t>刘洋</t>
  </si>
  <si>
    <t>28107257</t>
  </si>
  <si>
    <t>2025-06-01 17:16</t>
  </si>
  <si>
    <t>河北大学</t>
  </si>
  <si>
    <t>新闻传播学院</t>
  </si>
  <si>
    <t>2025-06-04 12:09</t>
  </si>
  <si>
    <t>2025-06-04 12:33</t>
  </si>
  <si>
    <t>LP17490101431374</t>
  </si>
  <si>
    <t>BJWY0721126408</t>
  </si>
  <si>
    <t>回访人：谭悦，回访时间：2025-06-01 17:16，回访内容：六月毕业，大四，二战，新传去年考的复旦，今年还想考复旦，英语一57，院校线60分，去年356。
本科是河北大学，河北人，六级474，政治70分，</t>
  </si>
  <si>
    <t>曹泽恒</t>
  </si>
  <si>
    <t>95433067</t>
  </si>
  <si>
    <t>江亚杰</t>
  </si>
  <si>
    <t>2025-02-24 11:32:34</t>
  </si>
  <si>
    <t>续费原因：【VIP项目】学员初试考的很不好，之前沟通过学员，考的不好打算二战，辛苦老师跟进规划二战课程；该学生为保护期外续费，原顾问部门：国内大学部</t>
  </si>
  <si>
    <t>江亚杰jiangyajie2@xdf.cn</t>
  </si>
  <si>
    <t>26816085</t>
  </si>
  <si>
    <t>2025-02-24 12:27</t>
  </si>
  <si>
    <t>2025-06-04 12:01</t>
  </si>
  <si>
    <t>BJWY4116308585</t>
  </si>
  <si>
    <t>KYJZ250080060</t>
  </si>
  <si>
    <t>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t>
  </si>
  <si>
    <t>KYJY250080060</t>
  </si>
  <si>
    <t>KYJS25008A0060</t>
  </si>
  <si>
    <t>KYZ250080060</t>
  </si>
  <si>
    <t>KYJZ25012A0027</t>
  </si>
  <si>
    <t>KYJY25012A0025</t>
  </si>
  <si>
    <t>KYJS250080060</t>
  </si>
  <si>
    <t>107558071</t>
  </si>
  <si>
    <t>黄小妹</t>
  </si>
  <si>
    <t>2025-06-03 10:09:22</t>
  </si>
  <si>
    <t>续费原因：后续转集训营  赵星火老师老生；该学生为保护期内续费，原顾问：国内大学部-赵星火(zhaoxinghuo@xdf.cn)</t>
  </si>
  <si>
    <t>黄小妹huangxiaomei7@xdf.cn</t>
  </si>
  <si>
    <t>28109503</t>
  </si>
  <si>
    <t>2025-06-03 10:57</t>
  </si>
  <si>
    <t>环境科学与工程学院</t>
  </si>
  <si>
    <t>2025-06-03 13:56</t>
  </si>
  <si>
    <t>KYJZ25013A0032</t>
  </si>
  <si>
    <t>回访人：赵星火，回访时间：2025-06-03 10:57，回访内容：已经储值等待团报跟进中；|回访人：赵星火，回访时间：2025-06-03 13:56，回访内容：1</t>
  </si>
  <si>
    <t>KYJY25013A0040</t>
  </si>
  <si>
    <t>KYJZ250100042</t>
  </si>
  <si>
    <t>KYZ250090048</t>
  </si>
  <si>
    <t>KYJY250100048</t>
  </si>
  <si>
    <t>107433193</t>
  </si>
  <si>
    <t>2025-06-02 10:40:46</t>
  </si>
  <si>
    <t>续费原因：投诉学员要求换顾问沟通 转交给谭悦 辛苦老师分配；该学生为保护期内续费，原顾问：国内大学部-赵星火(zhaoxinghuo@xdf.cn)</t>
  </si>
  <si>
    <t>28089554</t>
  </si>
  <si>
    <t>2025-06-02 11:14</t>
  </si>
  <si>
    <t>河北传媒学院</t>
  </si>
  <si>
    <t>影视艺术学院</t>
  </si>
  <si>
    <t>广播电视编导</t>
  </si>
  <si>
    <t>WYFP260040002</t>
  </si>
  <si>
    <t>2025-06-02</t>
  </si>
  <si>
    <t xml:space="preserve">回访人：谭悦，回访时间：2025-06-02 11:14，回访内容：签约，蜂鸟英政  </t>
  </si>
  <si>
    <t>WYFP260030002</t>
  </si>
  <si>
    <t>WYFE260080001</t>
  </si>
  <si>
    <t>WYFE260070001</t>
  </si>
  <si>
    <t>107376534</t>
  </si>
  <si>
    <t>2025-05-31 18:02:04</t>
  </si>
  <si>
    <t>知春路前台直访</t>
  </si>
  <si>
    <t>李千一</t>
  </si>
  <si>
    <t>28084432</t>
  </si>
  <si>
    <t>2025-05-31 18:56</t>
  </si>
  <si>
    <t>2025-06-01 13:18</t>
  </si>
  <si>
    <t>2025-06-01 13:19</t>
  </si>
  <si>
    <t>BJWY6537042214</t>
  </si>
  <si>
    <t>WYHE260060026</t>
  </si>
  <si>
    <t>2025-06-01</t>
  </si>
  <si>
    <t>回访人：赵星火，回访时间：2025-05-31 18:56，回访内容：还没开始学习，秋季还要上课，关注暑假候鸟跟进学生情况中。；|回访人：赵星火，回访时间：2025-06-01 13:18，回访内容：1</t>
  </si>
  <si>
    <t>政治,英语</t>
  </si>
  <si>
    <t>WYHP26050025</t>
  </si>
  <si>
    <t>WYHP260020073</t>
  </si>
  <si>
    <t>WYHE260040027</t>
  </si>
  <si>
    <t>总计</t>
  </si>
  <si>
    <t>求和项:学费</t>
  </si>
  <si>
    <t>代售标签</t>
  </si>
  <si>
    <t>代售标签</t>
    <phoneticPr fontId="1" type="noConversion"/>
  </si>
  <si>
    <t>在线网课</t>
  </si>
  <si>
    <t>(空白)</t>
  </si>
  <si>
    <t>谭悦 汇总</t>
  </si>
  <si>
    <t>赵星火 汇总</t>
  </si>
  <si>
    <t>顾问姓名</t>
    <phoneticPr fontId="1" type="noConversion"/>
  </si>
  <si>
    <t>地面业绩</t>
    <phoneticPr fontId="1" type="noConversion"/>
  </si>
  <si>
    <t>网课代售业绩</t>
    <phoneticPr fontId="1" type="noConversion"/>
  </si>
  <si>
    <t>线下退费</t>
    <phoneticPr fontId="1" type="noConversion"/>
  </si>
  <si>
    <t>网课退费</t>
    <phoneticPr fontId="1" type="noConversion"/>
  </si>
  <si>
    <t>月度目标</t>
    <phoneticPr fontId="1" type="noConversion"/>
  </si>
  <si>
    <t>完成率</t>
    <phoneticPr fontId="1" type="noConversion"/>
  </si>
  <si>
    <t>序号</t>
    <phoneticPr fontId="1" type="noConversion"/>
  </si>
  <si>
    <t>合计</t>
    <phoneticPr fontId="1" type="noConversion"/>
  </si>
  <si>
    <t>谭悦</t>
    <phoneticPr fontId="1" type="noConversion"/>
  </si>
  <si>
    <t>星火</t>
    <phoneticPr fontId="1" type="noConversion"/>
  </si>
  <si>
    <t>业绩合计</t>
    <phoneticPr fontId="1" type="noConversion"/>
  </si>
  <si>
    <t>退费合计</t>
    <phoneticPr fontId="1" type="noConversion"/>
  </si>
  <si>
    <t>综合业绩</t>
    <phoneticPr fontId="1" type="noConversion"/>
  </si>
  <si>
    <t>2025.06个性化顾问业绩</t>
    <phoneticPr fontId="1" type="noConversion"/>
  </si>
  <si>
    <t>业绩奖金表（一人可多条，需写清类别）</t>
  </si>
  <si>
    <t>机构</t>
  </si>
  <si>
    <t>年月</t>
  </si>
  <si>
    <t>工号</t>
  </si>
  <si>
    <t>姓名</t>
  </si>
  <si>
    <t>薪资项目</t>
  </si>
  <si>
    <t>金额</t>
  </si>
  <si>
    <t>北京中心</t>
  </si>
  <si>
    <t>A级学习顾问</t>
  </si>
  <si>
    <t>月度绩效</t>
  </si>
  <si>
    <t>顾问签约奖金</t>
  </si>
  <si>
    <t>组长绩效</t>
  </si>
  <si>
    <t>B级学习顾问</t>
  </si>
  <si>
    <t>顾问</t>
  </si>
  <si>
    <t>转介绍工单目标</t>
  </si>
  <si>
    <t>转介绍工单完成</t>
  </si>
  <si>
    <t>转介绍签约目标</t>
  </si>
  <si>
    <t>转介绍签约完成</t>
  </si>
  <si>
    <t>转介绍签约的份（30）</t>
  </si>
  <si>
    <t>主动转化率目标</t>
  </si>
  <si>
    <t>主动转化率</t>
  </si>
  <si>
    <t>被动转化率目标</t>
  </si>
  <si>
    <t>被动转化率</t>
  </si>
  <si>
    <t>合计得分</t>
  </si>
  <si>
    <t>发放比例</t>
  </si>
  <si>
    <t>月度绩效标准</t>
  </si>
  <si>
    <t>月绩效应发</t>
  </si>
  <si>
    <t>FY26-6月个性化顾问绩效核算</t>
    <phoneticPr fontId="1" type="noConversion"/>
  </si>
  <si>
    <t>顾问转介绍得分（50）</t>
    <phoneticPr fontId="1" type="noConversion"/>
  </si>
  <si>
    <t>转化率得分（20）</t>
    <phoneticPr fontId="1" type="noConversion"/>
  </si>
  <si>
    <t>岗位</t>
  </si>
  <si>
    <t>考核指标1</t>
  </si>
  <si>
    <t>目标值1</t>
  </si>
  <si>
    <t>考核指标2</t>
  </si>
  <si>
    <t>目标值2</t>
  </si>
  <si>
    <t>考核指标3</t>
  </si>
  <si>
    <t>目标值3</t>
  </si>
  <si>
    <t>考核指标4</t>
  </si>
  <si>
    <t>目标值4</t>
  </si>
  <si>
    <t>个性化项目部</t>
  </si>
  <si>
    <t>学习顾问</t>
  </si>
  <si>
    <t>签约业绩（考研线上+线下净现金）</t>
  </si>
  <si>
    <t>老带新签约人头</t>
  </si>
  <si>
    <t>老带新工单</t>
  </si>
  <si>
    <t>转化率</t>
  </si>
  <si>
    <t>满分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</si>
</sst>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76" formatCode="0.0%"/>
    <numFmt numFmtId="177" formatCode="0_ "/>
  </numFmts>
  <fonts count="20">
    <font>
      <sz val="11"/>
      <color indexed="8"/>
      <name val="等线"/>
      <family val="2"/>
      <scheme val="minor"/>
    </font>
    <font>
      <sz val="9"/>
      <name val="等线"/>
      <family val="3"/>
      <charset val="134"/>
      <scheme val="minor"/>
    </font>
    <font>
      <sz val="11"/>
      <color rgb="FF000000"/>
      <name val="等线"/>
      <family val="4"/>
      <charset val="134"/>
      <scheme val="minor"/>
    </font>
    <font>
      <b/>
      <sz val="11"/>
      <color rgb="FFFF0000"/>
      <name val="等线"/>
      <family val="4"/>
      <charset val="134"/>
      <scheme val="minor"/>
    </font>
    <font>
      <sz val="12"/>
      <color rgb="FF222222"/>
      <name val="Microsoft YaHei"/>
      <family val="2"/>
      <charset val="134"/>
    </font>
    <font>
      <b/>
      <sz val="10"/>
      <name val="宋体"/>
      <family val="3"/>
      <charset val="134"/>
    </font>
    <font>
      <sz val="10"/>
      <name val="Calibri"/>
      <family val="2"/>
    </font>
    <font>
      <sz val="11"/>
      <color indexed="8"/>
      <name val="微软雅黑"/>
      <family val="2"/>
      <charset val="134"/>
    </font>
    <font>
      <b/>
      <sz val="11"/>
      <color theme="0"/>
      <name val="微软雅黑"/>
      <family val="2"/>
      <charset val="134"/>
    </font>
    <font>
      <b/>
      <sz val="11"/>
      <color rgb="FFFF0000"/>
      <name val="微软雅黑"/>
      <family val="2"/>
      <charset val="134"/>
    </font>
    <font>
      <b/>
      <sz val="18"/>
      <color theme="0"/>
      <name val="微软雅黑"/>
      <family val="2"/>
      <charset val="134"/>
    </font>
    <font>
      <sz val="11"/>
      <color indexed="8"/>
      <name val="等线"/>
      <family val="2"/>
      <scheme val="minor"/>
    </font>
    <font>
      <b/>
      <sz val="11"/>
      <color rgb="FF000000"/>
      <name val="微软雅黑"/>
      <family val="2"/>
      <charset val="134"/>
    </font>
    <font>
      <sz val="10"/>
      <color rgb="FF000000"/>
      <name val="微软雅黑"/>
      <family val="2"/>
      <charset val="134"/>
    </font>
    <font>
      <b/>
      <sz val="10"/>
      <color rgb="FF000000"/>
      <name val="微软雅黑"/>
      <family val="2"/>
      <charset val="134"/>
    </font>
    <font>
      <b/>
      <sz val="10"/>
      <color rgb="FFC00000"/>
      <name val="微软雅黑"/>
      <family val="2"/>
      <charset val="134"/>
    </font>
    <font>
      <sz val="10"/>
      <color rgb="FF333333"/>
      <name val="微软雅黑"/>
      <family val="2"/>
      <charset val="134"/>
    </font>
    <font>
      <b/>
      <sz val="14"/>
      <color theme="0"/>
      <name val="微软雅黑"/>
      <family val="2"/>
      <charset val="134"/>
    </font>
    <font>
      <b/>
      <sz val="10"/>
      <color rgb="FFFFFFFF"/>
      <name val="微软雅黑"/>
      <family val="2"/>
      <charset val="134"/>
    </font>
    <font>
      <sz val="9"/>
      <color rgb="FF000000"/>
      <name val="微软雅黑"/>
      <family val="2"/>
      <charset val="134"/>
    </font>
  </fonts>
  <fills count="19">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indexed="31"/>
      </patternFill>
    </fill>
    <fill>
      <patternFill patternType="solid">
        <fgColor theme="5" tint="-0.249977111117893"/>
        <bgColor indexed="64"/>
      </patternFill>
    </fill>
    <fill>
      <patternFill patternType="solid">
        <fgColor theme="3"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006450"/>
        <bgColor indexed="64"/>
      </patternFill>
    </fill>
    <fill>
      <patternFill patternType="solid">
        <fgColor rgb="FFF7CAAC"/>
      </patternFill>
    </fill>
    <fill>
      <patternFill patternType="solid">
        <fgColor rgb="FFFEE598"/>
      </patternFill>
    </fill>
    <fill>
      <patternFill patternType="solid">
        <fgColor rgb="FFA8D08D"/>
      </patternFill>
    </fill>
    <fill>
      <patternFill patternType="solid">
        <fgColor rgb="FFF4B083"/>
      </patternFill>
    </fill>
    <fill>
      <patternFill patternType="solid">
        <fgColor rgb="FFFFFF00"/>
      </patternFill>
    </fill>
    <fill>
      <patternFill patternType="solid">
        <fgColor rgb="FFF4B183"/>
      </patternFill>
    </fill>
    <fill>
      <patternFill patternType="solid">
        <fgColor rgb="FF006666"/>
      </patternFill>
    </fill>
    <fill>
      <patternFill patternType="solid">
        <fgColor rgb="FFD8D8D8"/>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9" fontId="11" fillId="0" borderId="0" applyFont="0" applyFill="0" applyBorder="0" applyAlignment="0" applyProtection="0">
      <alignment vertical="center"/>
    </xf>
  </cellStyleXfs>
  <cellXfs count="62">
    <xf numFmtId="0" fontId="0" fillId="0" borderId="0" xfId="0">
      <alignment vertical="center"/>
    </xf>
    <xf numFmtId="8" fontId="0" fillId="2" borderId="0" xfId="0" applyNumberFormat="1" applyFill="1">
      <alignment vertical="center"/>
    </xf>
    <xf numFmtId="0" fontId="0" fillId="2" borderId="0" xfId="0" applyFill="1">
      <alignment vertical="center"/>
    </xf>
    <xf numFmtId="8" fontId="2" fillId="3" borderId="0" xfId="0" applyNumberFormat="1" applyFont="1" applyFill="1">
      <alignment vertical="center"/>
    </xf>
    <xf numFmtId="8" fontId="3" fillId="2" borderId="0" xfId="0" applyNumberFormat="1" applyFont="1" applyFill="1">
      <alignment vertical="center"/>
    </xf>
    <xf numFmtId="8" fontId="3" fillId="0" borderId="0" xfId="0" applyNumberFormat="1" applyFont="1">
      <alignment vertical="center"/>
    </xf>
    <xf numFmtId="0" fontId="4" fillId="0" borderId="0" xfId="0" applyFont="1">
      <alignment vertical="center"/>
    </xf>
    <xf numFmtId="0" fontId="2" fillId="0" borderId="0" xfId="0" applyFont="1">
      <alignment vertical="center"/>
    </xf>
    <xf numFmtId="8" fontId="2" fillId="0" borderId="0" xfId="0" applyNumberFormat="1" applyFont="1">
      <alignment vertical="center"/>
    </xf>
    <xf numFmtId="14" fontId="2" fillId="0" borderId="0" xfId="0" applyNumberFormat="1" applyFont="1">
      <alignment vertical="center"/>
    </xf>
    <xf numFmtId="0" fontId="5" fillId="4" borderId="1" xfId="0" applyFont="1" applyFill="1" applyBorder="1" applyAlignment="1">
      <alignment horizontal="center" vertical="center" wrapText="1"/>
    </xf>
    <xf numFmtId="0" fontId="6" fillId="0" borderId="0" xfId="0" applyFont="1" applyAlignment="1"/>
    <xf numFmtId="0" fontId="0" fillId="0" borderId="0" xfId="0" pivotButton="1">
      <alignment vertical="center"/>
    </xf>
    <xf numFmtId="0" fontId="7" fillId="0" borderId="1" xfId="0" applyFont="1" applyBorder="1" applyAlignment="1">
      <alignment horizontal="center" vertical="center"/>
    </xf>
    <xf numFmtId="8" fontId="7" fillId="0" borderId="1" xfId="0" applyNumberFormat="1" applyFont="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7" fillId="7" borderId="1" xfId="0" applyFont="1" applyFill="1" applyBorder="1" applyAlignment="1">
      <alignment horizontal="center" vertical="center"/>
    </xf>
    <xf numFmtId="8" fontId="7" fillId="8" borderId="1" xfId="0" applyNumberFormat="1" applyFont="1" applyFill="1" applyBorder="1" applyAlignment="1">
      <alignment horizontal="center" vertical="center"/>
    </xf>
    <xf numFmtId="0" fontId="7" fillId="8" borderId="1" xfId="0" applyFont="1" applyFill="1" applyBorder="1" applyAlignment="1">
      <alignment horizontal="center" vertical="center"/>
    </xf>
    <xf numFmtId="8" fontId="7" fillId="9" borderId="1" xfId="0" applyNumberFormat="1" applyFont="1" applyFill="1" applyBorder="1" applyAlignment="1">
      <alignment horizontal="center" vertical="center"/>
    </xf>
    <xf numFmtId="0" fontId="9" fillId="7" borderId="1" xfId="0" applyFont="1" applyFill="1" applyBorder="1" applyAlignment="1">
      <alignment horizontal="center" vertical="center"/>
    </xf>
    <xf numFmtId="8" fontId="9" fillId="8" borderId="1" xfId="0" applyNumberFormat="1" applyFont="1" applyFill="1" applyBorder="1" applyAlignment="1">
      <alignment horizontal="center" vertical="center"/>
    </xf>
    <xf numFmtId="9" fontId="8" fillId="6" borderId="1" xfId="0" applyNumberFormat="1" applyFont="1" applyFill="1" applyBorder="1" applyAlignment="1">
      <alignment horizontal="center" vertical="center"/>
    </xf>
    <xf numFmtId="9" fontId="7" fillId="0" borderId="1" xfId="0" applyNumberFormat="1" applyFont="1" applyBorder="1" applyAlignment="1">
      <alignment horizontal="center" vertical="center"/>
    </xf>
    <xf numFmtId="9" fontId="0" fillId="0" borderId="0" xfId="0" applyNumberFormat="1">
      <alignment vertical="center"/>
    </xf>
    <xf numFmtId="0" fontId="8" fillId="10" borderId="1" xfId="0" applyFont="1" applyFill="1" applyBorder="1" applyAlignment="1">
      <alignment horizontal="center" vertical="center"/>
    </xf>
    <xf numFmtId="9" fontId="9" fillId="9" borderId="1" xfId="0" applyNumberFormat="1" applyFont="1" applyFill="1" applyBorder="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176" fontId="0" fillId="0" borderId="0" xfId="1" applyNumberFormat="1" applyFont="1" applyAlignment="1">
      <alignment horizontal="center" vertical="center"/>
    </xf>
    <xf numFmtId="0" fontId="13" fillId="0" borderId="1" xfId="0" applyFont="1" applyBorder="1" applyAlignment="1">
      <alignment horizontal="center" vertical="center"/>
    </xf>
    <xf numFmtId="0" fontId="14"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4" fillId="11" borderId="4"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4" fillId="13" borderId="4" xfId="0" applyFont="1" applyFill="1" applyBorder="1" applyAlignment="1">
      <alignment horizontal="center" vertical="center" wrapText="1"/>
    </xf>
    <xf numFmtId="0" fontId="15" fillId="14" borderId="4" xfId="0" applyFont="1" applyFill="1" applyBorder="1" applyAlignment="1">
      <alignment horizontal="center" vertical="center" wrapText="1"/>
    </xf>
    <xf numFmtId="0" fontId="15" fillId="0" borderId="4" xfId="0" applyFont="1" applyBorder="1" applyAlignment="1">
      <alignment horizontal="center" vertical="center" wrapText="1"/>
    </xf>
    <xf numFmtId="49" fontId="13" fillId="0" borderId="4" xfId="0" applyNumberFormat="1" applyFont="1" applyBorder="1" applyAlignment="1">
      <alignment horizontal="center" vertical="center"/>
    </xf>
    <xf numFmtId="0" fontId="13" fillId="15" borderId="4" xfId="0" applyFont="1" applyFill="1" applyBorder="1" applyAlignment="1" applyProtection="1">
      <alignment horizontal="center" vertical="center"/>
      <protection locked="0"/>
    </xf>
    <xf numFmtId="177" fontId="13" fillId="11" borderId="4" xfId="0" applyNumberFormat="1" applyFont="1" applyFill="1" applyBorder="1" applyAlignment="1">
      <alignment horizontal="center" vertical="center"/>
    </xf>
    <xf numFmtId="177" fontId="16" fillId="11" borderId="4" xfId="0" applyNumberFormat="1" applyFont="1" applyFill="1" applyBorder="1" applyAlignment="1">
      <alignment horizontal="center" vertical="center"/>
    </xf>
    <xf numFmtId="9" fontId="13" fillId="13" borderId="4" xfId="0" applyNumberFormat="1" applyFont="1" applyFill="1" applyBorder="1" applyAlignment="1">
      <alignment horizontal="center" vertical="center"/>
    </xf>
    <xf numFmtId="177" fontId="16" fillId="13" borderId="4" xfId="0" applyNumberFormat="1" applyFont="1" applyFill="1" applyBorder="1" applyAlignment="1">
      <alignment horizontal="center" vertical="center"/>
    </xf>
    <xf numFmtId="1" fontId="13" fillId="16" borderId="4" xfId="0" applyNumberFormat="1" applyFont="1" applyFill="1" applyBorder="1" applyAlignment="1">
      <alignment horizontal="center" vertical="center"/>
    </xf>
    <xf numFmtId="9" fontId="13" fillId="16"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 fontId="13" fillId="0" borderId="1" xfId="0" applyNumberFormat="1" applyFont="1" applyBorder="1" applyAlignment="1">
      <alignment horizontal="center" vertical="center"/>
    </xf>
    <xf numFmtId="176" fontId="7" fillId="0" borderId="1" xfId="1" applyNumberFormat="1" applyFont="1" applyBorder="1" applyAlignment="1">
      <alignment horizontal="center" vertical="center"/>
    </xf>
    <xf numFmtId="0" fontId="7" fillId="0" borderId="0" xfId="0" applyFont="1">
      <alignment vertical="center"/>
    </xf>
    <xf numFmtId="8" fontId="7" fillId="0" borderId="0" xfId="0" applyNumberFormat="1" applyFont="1">
      <alignment vertical="center"/>
    </xf>
    <xf numFmtId="8" fontId="13" fillId="0" borderId="1" xfId="0" applyNumberFormat="1" applyFont="1" applyBorder="1" applyAlignment="1">
      <alignment horizontal="center" vertical="center"/>
    </xf>
    <xf numFmtId="0" fontId="17" fillId="10" borderId="1"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10" fillId="10" borderId="1" xfId="0" applyFont="1" applyFill="1" applyBorder="1" applyAlignment="1">
      <alignment horizontal="center" vertical="center"/>
    </xf>
    <xf numFmtId="0" fontId="17" fillId="10" borderId="4" xfId="0" applyFont="1" applyFill="1" applyBorder="1" applyAlignment="1">
      <alignment horizontal="center" vertical="center"/>
    </xf>
    <xf numFmtId="0" fontId="18" fillId="17" borderId="4" xfId="0" applyFont="1" applyFill="1" applyBorder="1" applyAlignment="1">
      <alignment horizontal="center" vertical="center"/>
    </xf>
    <xf numFmtId="0" fontId="19" fillId="0" borderId="4" xfId="0" applyFont="1" applyBorder="1" applyAlignment="1">
      <alignment horizontal="center" vertical="center"/>
    </xf>
    <xf numFmtId="0" fontId="19" fillId="18" borderId="4" xfId="0" applyFont="1" applyFill="1" applyBorder="1" applyAlignment="1">
      <alignment horizontal="center" vertical="center"/>
    </xf>
    <xf numFmtId="0" fontId="13" fillId="0" borderId="4" xfId="0" applyFont="1" applyBorder="1" applyAlignment="1">
      <alignment horizontal="center" vertical="center"/>
    </xf>
  </cellXfs>
  <cellStyles count="2">
    <cellStyle name="百分比" xfId="1" builtinId="5"/>
    <cellStyle name="常规" xfId="0" builtinId="0"/>
  </cellStyles>
  <dxfs count="1">
    <dxf>
      <fill>
        <patternFill patternType="solid">
          <fgColor rgb="FFFFFF00"/>
          <bgColor rgb="FF000000"/>
        </patternFill>
      </fill>
    </dxf>
  </dxfs>
  <tableStyles count="0" defaultTableStyle="TableStyleMedium2" defaultPivotStyle="PivotStyleLight16"/>
  <colors>
    <mruColors>
      <color rgb="FF006450"/>
      <color rgb="FF006445"/>
      <color rgb="FFFFFC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12</xdr:col>
      <xdr:colOff>914399</xdr:colOff>
      <xdr:row>1</xdr:row>
      <xdr:rowOff>0</xdr:rowOff>
    </xdr:from>
    <xdr:to>
      <xdr:col>18</xdr:col>
      <xdr:colOff>520048</xdr:colOff>
      <xdr:row>12</xdr:row>
      <xdr:rowOff>101600</xdr:rowOff>
    </xdr:to>
    <xdr:pic>
      <xdr:nvPicPr>
        <xdr:cNvPr id="2" name="图片 1">
          <a:extLst>
            <a:ext uri="{FF2B5EF4-FFF2-40B4-BE49-F238E27FC236}">
              <a16:creationId xmlns:a16="http://schemas.microsoft.com/office/drawing/2014/main" id="{B2B92E17-3C48-FC30-2427-64CD821D3F8B}"/>
            </a:ext>
          </a:extLst>
        </xdr:cNvPr>
        <xdr:cNvPicPr>
          <a:picLocks noChangeAspect="1"/>
        </xdr:cNvPicPr>
      </xdr:nvPicPr>
      <xdr:blipFill>
        <a:blip xmlns:r="http://schemas.openxmlformats.org/officeDocument/2006/relationships" r:embed="rId1"/>
        <a:stretch>
          <a:fillRect/>
        </a:stretch>
      </xdr:blipFill>
      <xdr:spPr>
        <a:xfrm>
          <a:off x="13055599" y="190500"/>
          <a:ext cx="4647549" cy="243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30480</xdr:colOff>
      <xdr:row>5</xdr:row>
      <xdr:rowOff>58420</xdr:rowOff>
    </xdr:from>
    <xdr:to>
      <xdr:col>10</xdr:col>
      <xdr:colOff>639456</xdr:colOff>
      <xdr:row>22</xdr:row>
      <xdr:rowOff>101600</xdr:rowOff>
    </xdr:to>
    <xdr:pic>
      <xdr:nvPicPr>
        <xdr:cNvPr id="2" name="图片 1">
          <a:extLst>
            <a:ext uri="{FF2B5EF4-FFF2-40B4-BE49-F238E27FC236}">
              <a16:creationId xmlns:a16="http://schemas.microsoft.com/office/drawing/2014/main" id="{392910E0-D67D-C17A-03ED-F69E637E3FA3}"/>
            </a:ext>
          </a:extLst>
        </xdr:cNvPr>
        <xdr:cNvPicPr>
          <a:picLocks noChangeAspect="1"/>
        </xdr:cNvPicPr>
      </xdr:nvPicPr>
      <xdr:blipFill>
        <a:blip xmlns:r="http://schemas.openxmlformats.org/officeDocument/2006/relationships" r:embed="rId1"/>
        <a:stretch>
          <a:fillRect/>
        </a:stretch>
      </xdr:blipFill>
      <xdr:spPr>
        <a:xfrm>
          <a:off x="853440" y="1358900"/>
          <a:ext cx="8239136" cy="3324860"/>
        </a:xfrm>
        <a:prstGeom prst="rect">
          <a:avLst/>
        </a:prstGeom>
      </xdr:spPr>
    </xdr:pic>
    <xdr:clientData/>
  </xdr:twoCellAnchor>
  <xdr:twoCellAnchor editAs="oneCell">
    <xdr:from>
      <xdr:col>0</xdr:col>
      <xdr:colOff>802640</xdr:colOff>
      <xdr:row>23</xdr:row>
      <xdr:rowOff>0</xdr:rowOff>
    </xdr:from>
    <xdr:to>
      <xdr:col>10</xdr:col>
      <xdr:colOff>568960</xdr:colOff>
      <xdr:row>41</xdr:row>
      <xdr:rowOff>50800</xdr:rowOff>
    </xdr:to>
    <xdr:pic>
      <xdr:nvPicPr>
        <xdr:cNvPr id="3" name="图片 2">
          <a:extLst>
            <a:ext uri="{FF2B5EF4-FFF2-40B4-BE49-F238E27FC236}">
              <a16:creationId xmlns:a16="http://schemas.microsoft.com/office/drawing/2014/main" id="{32020E07-D4F7-3DB5-7362-4113CC79A1F5}"/>
            </a:ext>
          </a:extLst>
        </xdr:cNvPr>
        <xdr:cNvPicPr>
          <a:picLocks noChangeAspect="1"/>
        </xdr:cNvPicPr>
      </xdr:nvPicPr>
      <xdr:blipFill>
        <a:blip xmlns:r="http://schemas.openxmlformats.org/officeDocument/2006/relationships" r:embed="rId2"/>
        <a:stretch>
          <a:fillRect/>
        </a:stretch>
      </xdr:blipFill>
      <xdr:spPr>
        <a:xfrm>
          <a:off x="802640" y="4775200"/>
          <a:ext cx="8219440" cy="3525520"/>
        </a:xfrm>
        <a:prstGeom prst="rect">
          <a:avLst/>
        </a:prstGeom>
      </xdr:spPr>
    </xdr:pic>
    <xdr:clientData/>
  </xdr:twoCellAnchor>
  <xdr:twoCellAnchor editAs="oneCell">
    <xdr:from>
      <xdr:col>10</xdr:col>
      <xdr:colOff>731520</xdr:colOff>
      <xdr:row>5</xdr:row>
      <xdr:rowOff>22972</xdr:rowOff>
    </xdr:from>
    <xdr:to>
      <xdr:col>18</xdr:col>
      <xdr:colOff>728980</xdr:colOff>
      <xdr:row>22</xdr:row>
      <xdr:rowOff>186937</xdr:rowOff>
    </xdr:to>
    <xdr:pic>
      <xdr:nvPicPr>
        <xdr:cNvPr id="4" name="图片 3">
          <a:extLst>
            <a:ext uri="{FF2B5EF4-FFF2-40B4-BE49-F238E27FC236}">
              <a16:creationId xmlns:a16="http://schemas.microsoft.com/office/drawing/2014/main" id="{4877D5F3-AF6C-10A3-8FA8-CCE8D458B5AB}"/>
            </a:ext>
          </a:extLst>
        </xdr:cNvPr>
        <xdr:cNvPicPr>
          <a:picLocks noChangeAspect="1"/>
        </xdr:cNvPicPr>
      </xdr:nvPicPr>
      <xdr:blipFill>
        <a:blip xmlns:r="http://schemas.openxmlformats.org/officeDocument/2006/relationships" r:embed="rId3"/>
        <a:stretch>
          <a:fillRect/>
        </a:stretch>
      </xdr:blipFill>
      <xdr:spPr>
        <a:xfrm>
          <a:off x="9184640" y="1323452"/>
          <a:ext cx="7312660" cy="3445645"/>
        </a:xfrm>
        <a:prstGeom prst="rect">
          <a:avLst/>
        </a:prstGeom>
      </xdr:spPr>
    </xdr:pic>
    <xdr:clientData/>
  </xdr:twoCellAnchor>
  <xdr:twoCellAnchor editAs="oneCell">
    <xdr:from>
      <xdr:col>10</xdr:col>
      <xdr:colOff>772160</xdr:colOff>
      <xdr:row>23</xdr:row>
      <xdr:rowOff>81280</xdr:rowOff>
    </xdr:from>
    <xdr:to>
      <xdr:col>19</xdr:col>
      <xdr:colOff>396240</xdr:colOff>
      <xdr:row>42</xdr:row>
      <xdr:rowOff>13741</xdr:rowOff>
    </xdr:to>
    <xdr:pic>
      <xdr:nvPicPr>
        <xdr:cNvPr id="5" name="图片 4">
          <a:extLst>
            <a:ext uri="{FF2B5EF4-FFF2-40B4-BE49-F238E27FC236}">
              <a16:creationId xmlns:a16="http://schemas.microsoft.com/office/drawing/2014/main" id="{A9FF3C99-AC7F-D7DE-F860-923CC9D55FB6}"/>
            </a:ext>
          </a:extLst>
        </xdr:cNvPr>
        <xdr:cNvPicPr>
          <a:picLocks noChangeAspect="1"/>
        </xdr:cNvPicPr>
      </xdr:nvPicPr>
      <xdr:blipFill>
        <a:blip xmlns:r="http://schemas.openxmlformats.org/officeDocument/2006/relationships" r:embed="rId4"/>
        <a:stretch>
          <a:fillRect/>
        </a:stretch>
      </xdr:blipFill>
      <xdr:spPr>
        <a:xfrm>
          <a:off x="9225280" y="4856480"/>
          <a:ext cx="7762240" cy="36002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ena" refreshedDate="45839.486068287035" createdVersion="8" refreshedVersion="8" minRefreshableVersion="3" recordCount="287" xr:uid="{12AF2C9C-8FD3-604F-9554-B0BB92B52514}">
  <cacheSource type="worksheet">
    <worksheetSource ref="A11:BO298" sheet="91签约明细"/>
  </cacheSource>
  <cacheFields count="67">
    <cacheField name="代售标签" numFmtId="0">
      <sharedItems containsBlank="1" count="2">
        <m/>
        <s v="在线网课"/>
      </sharedItems>
    </cacheField>
    <cacheField name="序号" numFmtId="0">
      <sharedItems containsSemiMixedTypes="0" containsString="0" containsNumber="1" containsInteger="1" minValue="1" maxValue="287"/>
    </cacheField>
    <cacheField name="学校" numFmtId="0">
      <sharedItems/>
    </cacheField>
    <cacheField name="部门" numFmtId="0">
      <sharedItems/>
    </cacheField>
    <cacheField name="资源姓名" numFmtId="0">
      <sharedItems containsBlank="1"/>
    </cacheField>
    <cacheField name="资源ID" numFmtId="0">
      <sharedItems/>
    </cacheField>
    <cacheField name="资源录入人" numFmtId="0">
      <sharedItems containsBlank="1"/>
    </cacheField>
    <cacheField name="资源录入时间" numFmtId="0">
      <sharedItems/>
    </cacheField>
    <cacheField name="资源描述" numFmtId="0">
      <sharedItems containsBlank="1" longText="1"/>
    </cacheField>
    <cacheField name="市场活动" numFmtId="0">
      <sharedItems containsBlank="1"/>
    </cacheField>
    <cacheField name="资源年级" numFmtId="0">
      <sharedItems containsBlank="1"/>
    </cacheField>
    <cacheField name="分配顾问/TMK" numFmtId="0">
      <sharedItems/>
    </cacheField>
    <cacheField name="一级获取渠道" numFmtId="0">
      <sharedItems/>
    </cacheField>
    <cacheField name="二级获取渠道" numFmtId="0">
      <sharedItems/>
    </cacheField>
    <cacheField name="转介绍人" numFmtId="0">
      <sharedItems containsBlank="1"/>
    </cacheField>
    <cacheField name="TMK激活人" numFmtId="0">
      <sharedItems containsBlank="1"/>
    </cacheField>
    <cacheField name="TMK激活处理时间" numFmtId="0">
      <sharedItems containsBlank="1"/>
    </cacheField>
    <cacheField name="工单姓名" numFmtId="0">
      <sharedItems/>
    </cacheField>
    <cacheField name="跟进顾问" numFmtId="0">
      <sharedItems count="5">
        <s v="谭悦"/>
        <s v="赵星火"/>
        <s v="陈伟钰"/>
        <s v="张俊旺"/>
        <s v="刘创"/>
      </sharedItems>
    </cacheField>
    <cacheField name="工单ID" numFmtId="0">
      <sharedItems/>
    </cacheField>
    <cacheField name="工单类型" numFmtId="0">
      <sharedItems/>
    </cacheField>
    <cacheField name="工单录入时间" numFmtId="0">
      <sharedItems/>
    </cacheField>
    <cacheField name="工单等级" numFmtId="0">
      <sharedItems/>
    </cacheField>
    <cacheField name="咨询课程" numFmtId="0">
      <sharedItems/>
    </cacheField>
    <cacheField name="工单年级" numFmtId="0">
      <sharedItems/>
    </cacheField>
    <cacheField name="学校2" numFmtId="0">
      <sharedItems/>
    </cacheField>
    <cacheField name="院系" numFmtId="0">
      <sharedItems/>
    </cacheField>
    <cacheField name="专业" numFmtId="0">
      <sharedItems/>
    </cacheField>
    <cacheField name="签约学生姓名" numFmtId="0">
      <sharedItems/>
    </cacheField>
    <cacheField name="签约单ID" numFmtId="0">
      <sharedItems containsSemiMixedTypes="0" containsString="0" containsNumber="1" containsInteger="1" minValue="5274013" maxValue="5462238"/>
    </cacheField>
    <cacheField name="签约单录入人" numFmtId="0">
      <sharedItems count="2">
        <s v="谭悦"/>
        <s v="赵星火"/>
      </sharedItems>
    </cacheField>
    <cacheField name="签约单录入时间" numFmtId="0">
      <sharedItems/>
    </cacheField>
    <cacheField name="签约单更新人" numFmtId="0">
      <sharedItems containsBlank="1"/>
    </cacheField>
    <cacheField name="签约单更新时间" numFmtId="0">
      <sharedItems containsBlank="1"/>
    </cacheField>
    <cacheField name="班号" numFmtId="0">
      <sharedItems containsBlank="1"/>
    </cacheField>
    <cacheField name="班级名称" numFmtId="0">
      <sharedItems containsBlank="1"/>
    </cacheField>
    <cacheField name="面询表类型" numFmtId="0">
      <sharedItems containsBlank="1"/>
    </cacheField>
    <cacheField name="订金" numFmtId="0">
      <sharedItems/>
    </cacheField>
    <cacheField name="学费" numFmtId="0">
      <sharedItems containsSemiMixedTypes="0" containsString="0" containsNumber="1" minValue="0" maxValue="66000"/>
    </cacheField>
    <cacheField name="续费类型" numFmtId="0">
      <sharedItems containsBlank="1"/>
    </cacheField>
    <cacheField name="推荐人" numFmtId="0">
      <sharedItems/>
    </cacheField>
    <cacheField name="类型" numFmtId="0">
      <sharedItems/>
    </cacheField>
    <cacheField name="是否交接" numFmtId="0">
      <sharedItems/>
    </cacheField>
    <cacheField name="操作人编号" numFmtId="0">
      <sharedItems containsBlank="1"/>
    </cacheField>
    <cacheField name="学员号" numFmtId="0">
      <sharedItems containsBlank="1"/>
    </cacheField>
    <cacheField name="听课证号" numFmtId="0">
      <sharedItems containsBlank="1"/>
    </cacheField>
    <cacheField name="报班日期" numFmtId="0">
      <sharedItems containsBlank="1"/>
    </cacheField>
    <cacheField name="学员状态" numFmtId="0">
      <sharedItems containsNonDate="0" containsString="0" containsBlank="1"/>
    </cacheField>
    <cacheField name="回访记录" numFmtId="0">
      <sharedItems longText="1"/>
    </cacheField>
    <cacheField name="新老生类型" numFmtId="0">
      <sharedItems containsNonDate="0" containsString="0" containsBlank="1"/>
    </cacheField>
    <cacheField name="退费金额" numFmtId="0">
      <sharedItems containsBlank="1"/>
    </cacheField>
    <cacheField name="退费日期" numFmtId="0">
      <sharedItems containsBlank="1"/>
    </cacheField>
    <cacheField name="课程类型" numFmtId="0">
      <sharedItems containsBlank="1"/>
    </cacheField>
    <cacheField name="客户ID" numFmtId="0">
      <sharedItems containsSemiMixedTypes="0" containsString="0" containsNumber="1" containsInteger="1" minValue="23575151" maxValue="80739300"/>
    </cacheField>
    <cacheField name="是否新东方在线签约" numFmtId="0">
      <sharedItems/>
    </cacheField>
    <cacheField name="考季" numFmtId="0">
      <sharedItems containsBlank="1"/>
    </cacheField>
    <cacheField name="报名产品" numFmtId="0">
      <sharedItems/>
    </cacheField>
    <cacheField name="报名科目" numFmtId="0">
      <sharedItems/>
    </cacheField>
    <cacheField name="意向报考专业" numFmtId="0">
      <sharedItems containsBlank="1"/>
    </cacheField>
    <cacheField name="学校班型/类型" numFmtId="0">
      <sharedItems/>
    </cacheField>
    <cacheField name="是否关联协议" numFmtId="0">
      <sharedItems/>
    </cacheField>
    <cacheField name="特殊备注" numFmtId="0">
      <sharedItems containsBlank="1"/>
    </cacheField>
    <cacheField name="产品品类" numFmtId="0">
      <sharedItems containsNonDate="0" containsString="0" containsBlank="1"/>
    </cacheField>
    <cacheField name="业务类型" numFmtId="0">
      <sharedItems containsBlank="1"/>
    </cacheField>
    <cacheField name="签约列表在线学员ID" numFmtId="0">
      <sharedItems containsString="0" containsBlank="1" containsNumber="1" containsInteger="1" minValue="104315719" maxValue="110462239"/>
    </cacheField>
    <cacheField name="大学生源类型" numFmtId="0">
      <sharedItems containsBlank="1"/>
    </cacheField>
    <cacheField name="资源来源"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x v="0"/>
    <n v="1"/>
    <s v="北京大学部"/>
    <s v="国内大学部"/>
    <s v="同学"/>
    <s v="116722017"/>
    <s v="吴凯龙"/>
    <s v="2025-06-30 13:56:56"/>
    <s v="谭悦9的顾问转介绍工单"/>
    <s v=""/>
    <s v="大二"/>
    <s v="谭悦"/>
    <s v="转介绍"/>
    <s v="顾问转介绍-老带新"/>
    <s v="谭悦tanyue9@xdf.cn"/>
    <m/>
    <m/>
    <s v="姜源"/>
    <x v="0"/>
    <s v="28724631"/>
    <s v="正常工单"/>
    <s v="2025-06-30 14:07"/>
    <s v="A（六个月内有报课意向工单）"/>
    <s v="六级"/>
    <s v="大二"/>
    <s v="西华大学"/>
    <s v="金融"/>
    <s v="金融"/>
    <s v="姜源"/>
    <n v="5461899"/>
    <x v="0"/>
    <s v="2025-06-30 19:54"/>
    <s v="谭悦"/>
    <s v="2025-06-30 19:54"/>
    <s v="ZVVB26001"/>
    <s v="六级暑假集训营（24H冲刺直播）"/>
    <s v="国内考试"/>
    <s v=""/>
    <n v="15000"/>
    <m/>
    <s v="谭悦"/>
    <s v="新签"/>
    <s v="已交接"/>
    <s v="BJWY2011wXCx1W"/>
    <s v="BJWY7326008490"/>
    <s v="ZVVB260010032"/>
    <s v="2025-06-30"/>
    <m/>
    <s v="回访人：谭悦，回访时间：2025-06-30 14:07，回访内容：准备报名六级集训营  ；|回访人：谭悦，回访时间：2025-06-30 19:54，回访内容：1"/>
    <m/>
    <m/>
    <m/>
    <m/>
    <n v="80739196"/>
    <s v="否"/>
    <s v="26上考季"/>
    <s v="六级无忧计划"/>
    <s v=""/>
    <m/>
    <s v="国内高校-C9"/>
    <s v="是"/>
    <s v=""/>
    <m/>
    <s v="报名"/>
    <m/>
    <s v="本地人外地大学(归巢)"/>
    <s v="客服"/>
  </r>
  <r>
    <x v="1"/>
    <n v="2"/>
    <s v="北京大学部"/>
    <s v="国内大学部"/>
    <s v="魏小姐"/>
    <s v="115503604"/>
    <s v="张亚男"/>
    <s v="2025-06-20 19:56:01"/>
    <s v="渠道录入来源：集团百度投放-基木鱼_x000a_账户名：baidu-大学-总部-A22KA00038_x000a_线索ID：250620465438808391_x000a_线索时间：2025-06-20 19:55:56_x000a_页面名称：新东方考研品专_x000a_姓名：魏小姐_x000a_城市：北京_x000a_IP：2409:8a00:8433:4f0:d0aa:bf9:75d3:a380_x000a_来源页：https://aisite.wejianzhan.com/site/wjzswa2z/73c5def5-883c-47c6-9bd9-9ce1d92bf9bf?wd=%E6%96%B0%E4%B8%9C%E6%96%B9%E8%80%83%E7%A0%94&amp;utm_source=0_02_searchengine_Baidu_m_market&amp;utm_medium=CPD&amp;utm_campaign=DXSYB_XX_BD_DXPP-WY_M_240924&amp;utm_1st_id=7&amp;utm_2nd_id=63&amp;xdf_source_channel_code=9ddc99f35fa8479d92b29f6c0ee04c33&amp;wid=65437bc36a42436d8a6ec1e177ccb52f_0_0"/>
    <s v="2026财年第1财月集团百度投放-基木鱼"/>
    <m/>
    <s v="赵星火"/>
    <s v="线上运营-投放"/>
    <s v="集团-百度品专"/>
    <s v=""/>
    <m/>
    <m/>
    <s v="魏小姐"/>
    <x v="1"/>
    <s v="28488427"/>
    <s v="正常工单"/>
    <s v="2025-06-20 20:27"/>
    <s v="A（六个月内有报课意向工单）"/>
    <s v="MBA"/>
    <s v="在职"/>
    <s v="北京工业大学"/>
    <s v="信息学部"/>
    <s v="信息安全（实验班）"/>
    <s v="魏小姐"/>
    <n v="5433227"/>
    <x v="1"/>
    <s v="2025-06-30 20:38"/>
    <s v="赵星火"/>
    <s v="2025-06-30 20:41"/>
    <s v="45374323934"/>
    <s v="2026考研管综全科在职优学班（4期）"/>
    <s v="国内考试"/>
    <s v=""/>
    <n v="11385"/>
    <m/>
    <s v=""/>
    <s v="新签"/>
    <s v="无须交接"/>
    <m/>
    <m/>
    <m/>
    <s v="2025-06-30"/>
    <m/>
    <s v="回访人：赵星火，回访时间：2025-06-21 11:06，回访内容：回访学生现在了解情况跟进中，发送充足介绍内容；|回访人：赵星火，回访时间：2025-06-27 16:52，回访内容：感觉价格贵，在就是重读的话，没有择校服务这些要跟家里在沟通下。；|回访人：赵星火，回访时间：2025-06-30 17:10，回访内容：关注学生这边重读条件，跟进中，要过线不过线的问题。"/>
    <m/>
    <m/>
    <m/>
    <s v="长期班"/>
    <n v="80201508"/>
    <s v="是"/>
    <s v="26考季"/>
    <s v="考研在职管理类冲刺精讲班"/>
    <s v="英语"/>
    <m/>
    <s v="国内高校-211"/>
    <s v="否"/>
    <s v=""/>
    <m/>
    <m/>
    <n v="110462239"/>
    <m/>
    <s v="集团百度投放-基木鱼"/>
  </r>
  <r>
    <x v="0"/>
    <n v="3"/>
    <s v="北京大学部"/>
    <s v="国内大学部"/>
    <s v="郭宸宇"/>
    <s v="116756538"/>
    <s v="李润基"/>
    <s v="2025-06-30 15:42:33"/>
    <s v="续费原因：家长对数学没需求了，想了解六级班课，家长已主动联系谭悦老师（原来的顾问），很信任原顾问谭悦老师；该学生为保护期内续费，原顾问：国内大学部-谭悦(tanyue9@xdf.cn)"/>
    <m/>
    <s v="大一"/>
    <s v="谭悦"/>
    <s v="转介绍"/>
    <s v="学管续费推荐"/>
    <s v="李润基lirunji@xdf.cn"/>
    <m/>
    <m/>
    <s v="郭宸宇"/>
    <x v="0"/>
    <s v="28737200"/>
    <s v="续费工单"/>
    <s v="2025-06-30 15:55"/>
    <s v="A（六个月内有报课意向工单）"/>
    <s v="六级"/>
    <s v="大一"/>
    <s v="北京工业大学"/>
    <s v="经济与管理学院"/>
    <s v="金融学"/>
    <s v="郭宸宇"/>
    <n v="5406309"/>
    <x v="0"/>
    <s v="2025-06-30 19:42"/>
    <s v="谭悦"/>
    <s v="2025-06-30 19:42"/>
    <s v="WYSJ25033"/>
    <s v="六级无忧计划"/>
    <s v="国内考试"/>
    <s v=""/>
    <n v="5180"/>
    <s v="同科续费"/>
    <s v="李润基"/>
    <s v="续班"/>
    <s v="已交接"/>
    <s v="WebReg"/>
    <s v="BJWY5305138836"/>
    <s v="WYSJ250330038"/>
    <s v="2025-06-30"/>
    <m/>
    <s v="回访人：谭悦，回访时间：2025-06-30 15:55，回访内容：微信跟进中， 六级暑假班  ；|回访人：谭悦，回访时间：2025-06-30 19:42，回访内容：签约"/>
    <m/>
    <m/>
    <m/>
    <m/>
    <n v="59798822"/>
    <s v="否"/>
    <s v="25下考季"/>
    <s v="六级无忧计划"/>
    <s v=""/>
    <m/>
    <s v="国内高校-211"/>
    <s v="是"/>
    <s v=""/>
    <m/>
    <s v="报名"/>
    <m/>
    <s v="本地人本地大学(常规)"/>
    <s v="学管续费推荐"/>
  </r>
  <r>
    <x v="1"/>
    <n v="4"/>
    <s v="北京大学部"/>
    <s v="国内大学部"/>
    <s v="上海市4988"/>
    <s v="116596886"/>
    <s v="杨俊42(国内)"/>
    <s v="2025-06-28 18:59:51"/>
    <s v="渠道录入来源：新东方PC官网-客服_x000a_意向城市：北京访客省/城市：上海市_x000a_访客静态ID：01000000034659110818227981814988_x000a_接待分组ID：70447_x000a_搜索引擎：_x000a_搜索词：_x000a_关键词：_x000a_设备类型：pc_x000a_访客IP：124.76.128.169_x000a_对话详细内容：AI-Lbo0rDBXCyBY 2025-06-28 18:56:22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6-28 18:56:25_x000d__x000a_您是想咨询【线下课程】【线上课程】【考研规划】还是【在职考研】呢？**【线下课程】#  **【线上课程】#**【考研规划】#**【在职考研】#_x000d__x000a__x000d__x000a_01000000034659110818227981814988 2025-06-28 18:56:37_x000d__x000a_【线上课程】_x000d__x000a__x000d__x000a_AI-Lbo0rDBXCyBY 2025-06-28 18:56:40_x000d__x000a_同学，你现在是在校还是在职呢？_x000d__x000a__x000d__x000a_01000000034659110818227981814988 2025-06-28 18:56:48_x000d__x000a_在校_x000d__x000a__x000d__x000a_AI-Lbo0rDBXCyBY 2025-06-28 18:56:52_x000d__x000a_具体是想报考什么学校和专业呢？_x000d__x000a__x000d__x000a_01000000034659110818227981814988 2025-06-28 18:57:09_x000d__x000a_想报考上海财经大学的管理科学与工程专业_x000d__x000a__x000d__x000a_AI-Lbo0rDBXCyBY 2025-06-28 18:57:12_x000d__x000a_好的，我这边安排专业老师给您回电，详细沟通一下，请问您的电话是多少呢？_x000d__x000a__x000d__x000a_01000000034659110818227981814988 2025-06-28 18:57:28_x000d__x000a_能不能微信，不方便电话_x000d__x000a__x000d__x000a_AI-Lbo0rDBXCyBY 2025-06-28 18:57:32_x000d__x000a_那方便接收短信吗？您可以先留个电话，我安排顾问先给您发条短信介绍下，或者微信也可以。_x000d__x000a__x000d__x000a_01000000034659110818227981814988 2025-06-28 18:57:50_x000d__x000a_微信号是m17358738071_x000d__x000a__x000d__x000a_AI-Lbo0rDBXCyBY 2025-06-28 18:57:54_x000d__x000a_好的，确认一下您的号码是否正确呢？_x000d__x000a__x000d__x000a_01000000034659110818227981814988 2025-06-28 18:58:16_x000d__x000a_正确_x000d__x000a__x000d__x000a_AI-Lbo0rDBXCyBY 2025-06-28 18:58:20_x000d__x000a_同学怎么称呼呢？_x000d__x000a__x000d__x000a_01000000034659110818227981814988 2025-06-28 18:59:28_x000d__x000a_先加我微信再说别的_x000d__x000a__x000d__x000a_AI-Lbo0rDBXCyBY 2025-06-28 18:59:31_x000d__x000a_这边马上安排顾问老师联系您，预计半个小时左右给您回电请注意接听~_x000d__x000a__x000d__x000a__x000a_来源页：https://www.xdf.cn/beijing/_x000a_备注："/>
    <s v="2026财年第1财月易聊新东方PC官网"/>
    <m/>
    <s v="王静静"/>
    <s v="新东方官网"/>
    <s v="新东方PC官网"/>
    <s v=""/>
    <s v="王静静"/>
    <s v="2025-06-28 19:58:25"/>
    <s v="上海市4988"/>
    <x v="1"/>
    <s v="28693701"/>
    <s v="正常工单"/>
    <s v="2025-06-29 11:05"/>
    <s v="A（六个月内有报课意向工单）"/>
    <s v="考研专业课"/>
    <s v="大三"/>
    <s v="上海财经大学"/>
    <s v="信息管理与工程学院"/>
    <s v="管理科学与工程"/>
    <s v="上海市4988"/>
    <n v="5459675"/>
    <x v="1"/>
    <s v="2025-06-29 20:10"/>
    <s v="赵星火"/>
    <s v="2025-06-29 20:14"/>
    <s v="10684230642"/>
    <s v="2026考研管综全科在校直通车（3期）"/>
    <s v="国内考试"/>
    <s v=""/>
    <n v="10778"/>
    <m/>
    <s v=""/>
    <s v="新签"/>
    <s v="无须交接"/>
    <m/>
    <m/>
    <m/>
    <s v="2025-06-29"/>
    <m/>
    <s v="回访人：赵星火，回访时间：2025-06-29 11:05，回访内容：学生咨询专业课的考研辅导，开学大四考本校管理科技工程也想了解网课的英证数，已经推荐跟家里沟通"/>
    <m/>
    <m/>
    <m/>
    <s v="长期班"/>
    <n v="80705989"/>
    <s v="是"/>
    <s v="26考季"/>
    <s v="考研专业课150"/>
    <s v="专业课150"/>
    <s v="其他"/>
    <s v="国内高校-211"/>
    <s v="否"/>
    <s v=""/>
    <m/>
    <m/>
    <n v="110457362"/>
    <s v="外地人外地大学(常规)"/>
    <s v="新东方官网-易聊"/>
  </r>
  <r>
    <x v="0"/>
    <n v="5"/>
    <s v="北京大学部"/>
    <s v="国内大学部"/>
    <m/>
    <s v="95537575"/>
    <m/>
    <s v="2025-02-25 13:45:01"/>
    <s v="知春路_x000a_赵星火(资源备注人:李雪68;资源备注时间:2025-02-25 13:46)"/>
    <s v=""/>
    <s v="未知"/>
    <s v="赵星火"/>
    <s v="直访"/>
    <s v="直访"/>
    <m/>
    <m/>
    <m/>
    <s v="张文"/>
    <x v="2"/>
    <s v="28714784"/>
    <s v="续费工单"/>
    <s v="2025-06-29 14:15"/>
    <s v="A（六个月内有报课意向工单）"/>
    <s v="考研专业课,考研无忧计划"/>
    <s v="大三"/>
    <s v="北京邮电大学世纪学院"/>
    <s v="计算机科学与技术系"/>
    <s v="计算机科学与技术（移动互联网应用方向）"/>
    <s v="张文"/>
    <n v="5458743"/>
    <x v="1"/>
    <s v="2025-06-29 14:17"/>
    <s v="陈伟钰"/>
    <s v="2025-06-29 15:39"/>
    <m/>
    <m/>
    <s v="国内考试"/>
    <s v=""/>
    <n v="5000"/>
    <m/>
    <s v=""/>
    <s v="分单"/>
    <s v="已交接"/>
    <m/>
    <s v="BJWY3211945534"/>
    <m/>
    <m/>
    <m/>
    <s v="回访人：陈伟钰，回访时间：2025-06-29 14:15，回访内容：1；|回访人：陈伟钰，回访时间：2025-06-29 14:17，回访内容：1"/>
    <m/>
    <m/>
    <m/>
    <m/>
    <n v="67265543"/>
    <s v="否"/>
    <s v="26考季"/>
    <s v="无忧计划-啄木鸟,考研专业课150"/>
    <s v="英语,政治,数学,专业课150"/>
    <m/>
    <s v="国内高校-双非"/>
    <s v="否"/>
    <s v=""/>
    <m/>
    <m/>
    <m/>
    <s v="本地人本地大学(常规)"/>
    <m/>
  </r>
  <r>
    <x v="0"/>
    <n v="6"/>
    <s v="北京大学部"/>
    <s v="国内大学部"/>
    <s v="罗宇航"/>
    <s v="116618352"/>
    <s v="马一鸣"/>
    <s v="2025-06-29 13:03:33"/>
    <s v="续费原因：交3000的升级费，辛苦老师收取一下，学生知道；该学生为保护期内续费，原顾问：国内大学部-谭悦(tanyue9@xdf.cn)"/>
    <m/>
    <s v="大三"/>
    <s v="谭悦"/>
    <s v="转介绍"/>
    <s v="学管续费推荐"/>
    <s v="马一鸣mayiming16@xdf.cn"/>
    <m/>
    <m/>
    <s v="罗宇航"/>
    <x v="0"/>
    <s v="28714516"/>
    <s v="续费工单"/>
    <s v="2025-06-29 13:52"/>
    <s v="A（六个月内有报课意向工单）"/>
    <s v="考研专业课"/>
    <s v="大三"/>
    <s v="天津大学"/>
    <s v="化工学院"/>
    <s v="化学工程与工艺"/>
    <s v="罗宇航"/>
    <n v="5458704"/>
    <x v="0"/>
    <s v="2025-06-29 14:03"/>
    <s v="谭悦"/>
    <s v="2025-07-01 10:11"/>
    <s v="LP17511769792272"/>
    <s v="985院校升级费-无忧"/>
    <s v="国内考试"/>
    <s v=""/>
    <n v="3000"/>
    <m/>
    <s v="马一鸣"/>
    <s v="续班"/>
    <s v="已交接"/>
    <m/>
    <s v="BJWY7777555488"/>
    <m/>
    <s v="2025-06-29"/>
    <m/>
    <s v="回访人：谭悦，回访时间：2025-06-29 13:52，回访内容：1"/>
    <m/>
    <m/>
    <m/>
    <m/>
    <n v="65389384"/>
    <s v="否"/>
    <s v="26考季"/>
    <s v="考研专业课150"/>
    <s v="专业课150"/>
    <s v="其他"/>
    <s v="国内高校-985"/>
    <s v="否"/>
    <s v=""/>
    <m/>
    <m/>
    <m/>
    <s v="本地人本地大学(常规)"/>
    <s v="学管续费推荐"/>
  </r>
  <r>
    <x v="1"/>
    <n v="7"/>
    <s v="北京大学部"/>
    <s v="国内大学部"/>
    <s v="刘菊"/>
    <s v="102646871"/>
    <s v="李雪68"/>
    <s v="2025-05-15 15:14:16"/>
    <s v=""/>
    <s v=""/>
    <s v="大三"/>
    <s v="谭悦"/>
    <s v="转介绍"/>
    <s v="顾问转介绍-老带新"/>
    <s v="吴嘉豪"/>
    <m/>
    <m/>
    <s v="赵翔宇"/>
    <x v="0"/>
    <s v="27898670"/>
    <s v="正常工单"/>
    <s v="2025-05-15 15:28"/>
    <s v="A（六个月内有报课意向工单）"/>
    <s v="线上考研产品"/>
    <s v="大三"/>
    <s v="北京理工大学"/>
    <s v="宇航学院"/>
    <s v="飞行器设计与工程"/>
    <s v="赵翔宇"/>
    <n v="5404397"/>
    <x v="0"/>
    <s v="2025-06-28 12:46"/>
    <s v="谭悦"/>
    <s v="2025-06-28 12:46"/>
    <s v="31181722777"/>
    <s v="2026考研政治直通车 6期"/>
    <s v="国内考试"/>
    <s v=""/>
    <n v="3901.5"/>
    <m/>
    <s v="吴嘉豪"/>
    <s v="新签"/>
    <s v="无须交接"/>
    <m/>
    <m/>
    <m/>
    <s v="2025-06-28"/>
    <m/>
    <s v="回访人：谭悦，回访时间：2025-06-23 15:56，回访内容：邀约来校区沟通 考研规划  ；|回访人：谭悦，回访时间：2025-06-28 12:46，回访内容：签约 "/>
    <m/>
    <m/>
    <m/>
    <s v="长期班"/>
    <n v="30895369"/>
    <s v="是"/>
    <s v="26考季"/>
    <s v="线上直通车"/>
    <s v="政治"/>
    <m/>
    <s v="国内高校-985"/>
    <s v="否"/>
    <s v=""/>
    <m/>
    <m/>
    <n v="104592631"/>
    <s v="本地人本地大学(常规)"/>
    <s v="客服"/>
  </r>
  <r>
    <x v="1"/>
    <n v="8"/>
    <s v="北京大学部"/>
    <s v="国内大学部"/>
    <m/>
    <s v="115078495"/>
    <m/>
    <s v="2025-06-18 15:03:49"/>
    <s v="【小红书资源】_x000a_一会儿到知春路面询"/>
    <s v=""/>
    <s v="未知"/>
    <s v="赵星火"/>
    <s v="线上运营-小红书"/>
    <s v="小红书"/>
    <m/>
    <m/>
    <m/>
    <s v="韩宜航"/>
    <x v="1"/>
    <s v="28704683"/>
    <s v="续费工单"/>
    <s v="2025-06-28 14:12"/>
    <s v="A（六个月内有报课意向工单）"/>
    <s v="线上考研产品"/>
    <s v="大四"/>
    <s v="北京工业大学"/>
    <s v="环境与生命学部"/>
    <s v="化学生物学"/>
    <s v="韩宜航"/>
    <n v="5397207"/>
    <x v="1"/>
    <s v="2025-06-28 14:13"/>
    <s v="赵星火"/>
    <s v="2025-06-28 14:13"/>
    <s v="27469816685"/>
    <s v="2026考研英语直通车  6期,2026考研政治直通车 6期,2026考研数学无忧计划·7期"/>
    <s v="国内考试"/>
    <s v=""/>
    <n v="18814.400000000001"/>
    <m/>
    <s v=""/>
    <s v="续班"/>
    <s v="无须交接"/>
    <m/>
    <m/>
    <m/>
    <s v="2025-06-28"/>
    <m/>
    <s v="回访人：赵星火，回访时间：2025-06-28 14:12，回访内容：1；|回访人：赵星火，回访时间：2025-06-28 14:13，回访内容：1"/>
    <m/>
    <m/>
    <m/>
    <s v="长期班,长期班,长期班"/>
    <n v="80013959"/>
    <s v="是"/>
    <s v="26考季"/>
    <s v="线上直通车"/>
    <s v="英语,政治"/>
    <m/>
    <s v="国内高校-211"/>
    <s v="否"/>
    <s v=""/>
    <m/>
    <m/>
    <n v="108722739"/>
    <s v="外地人本地大学(常规)"/>
    <m/>
  </r>
  <r>
    <x v="0"/>
    <n v="9"/>
    <s v="北京大学部"/>
    <s v="国内大学部"/>
    <m/>
    <s v="100583092"/>
    <m/>
    <s v="2025-04-24 09:32:59"/>
    <s v="18705439787  毕业   想考北大医学或者首都医科大学  临床  咨询北京校区。辛苦老师建单"/>
    <s v=""/>
    <s v="未知"/>
    <s v="谭悦"/>
    <s v="线上运营-投放"/>
    <s v="总部-百度投放"/>
    <m/>
    <m/>
    <m/>
    <s v="刘紫乔"/>
    <x v="0"/>
    <s v="28720818"/>
    <s v="续费工单"/>
    <s v="2025-06-29 22:22"/>
    <s v="A（六个月内有报课意向工单）"/>
    <s v="考研专业课,考研集训营"/>
    <s v="大学已毕业"/>
    <s v="山东大学"/>
    <s v="化学与化工学院"/>
    <s v="应用化学"/>
    <s v="刘紫乔"/>
    <n v="5459865"/>
    <x v="0"/>
    <s v="2025-06-29 22:22"/>
    <s v="谭悦"/>
    <s v="2025-06-29 22:22"/>
    <s v="KYJZ25007A"/>
    <s v="26考研政治全年集训营（强冲）"/>
    <s v="国内考试"/>
    <s v=""/>
    <n v="12577.6"/>
    <s v="同科续费"/>
    <s v=""/>
    <s v="续班"/>
    <s v="已交接"/>
    <s v="BJWY24032w1g8X"/>
    <s v="BJWY4374635320"/>
    <s v="KYJZ25007A0046"/>
    <s v="2025-06-27"/>
    <m/>
    <s v="回访人：谭悦，回访时间：2025-06-29 22:22，回访内容：1；|回访人：谭悦，回访时间：2025-06-29 22:22，回访内容：1"/>
    <m/>
    <m/>
    <m/>
    <m/>
    <n v="69612259"/>
    <s v="否"/>
    <s v="26考季"/>
    <s v="全年集训营,考研专业课300"/>
    <s v="英语,政治,专业课300"/>
    <m/>
    <s v="国内高校-985"/>
    <s v="否"/>
    <s v=""/>
    <m/>
    <s v="转出"/>
    <m/>
    <m/>
    <m/>
  </r>
  <r>
    <x v="0"/>
    <n v="10"/>
    <s v="北京大学部"/>
    <s v="国内大学部"/>
    <m/>
    <s v="98805854"/>
    <m/>
    <s v="2025-04-04 10:21:21"/>
    <s v="咨询考研线下课程（TMK主管分配TMK） 外呼主题：FY25-国内1月死单回访（2.3-2.9）"/>
    <s v=""/>
    <s v="大学已毕业"/>
    <s v="赵星火"/>
    <s v="线上运营-本地生活平台"/>
    <s v="地图标点"/>
    <m/>
    <m/>
    <m/>
    <s v="刘云舒"/>
    <x v="0"/>
    <s v="28701617"/>
    <s v="续费工单"/>
    <s v="2025-06-29 22:20"/>
    <s v="A（六个月内有报课意向工单）"/>
    <s v="考研专业课,考研集训营"/>
    <s v="在职"/>
    <s v="青岛科技大学"/>
    <s v="自动化与电子工程学院"/>
    <s v="电气工程及其自动化"/>
    <s v="刘云舒"/>
    <n v="5459863"/>
    <x v="0"/>
    <s v="2025-06-29 22:21"/>
    <s v="谭悦"/>
    <s v="2025-06-29 22:21"/>
    <s v="KYJZ25007A"/>
    <s v="26考研政治全年集训营（强冲）"/>
    <s v="国内考试"/>
    <s v=""/>
    <n v="5888.9"/>
    <s v="同科续费"/>
    <s v=""/>
    <s v="续班"/>
    <s v="已交接"/>
    <s v="BJWY24032w1g8X"/>
    <s v="BJWY9006140904"/>
    <s v="KYJZ25007A0045"/>
    <s v="2025-06-27"/>
    <m/>
    <s v="回访人：谭悦，回访时间：2025-06-29 22:20，回访内容：1；|回访人：谭悦，回访时间：2025-06-29 22:21，回访内容：1"/>
    <m/>
    <m/>
    <m/>
    <m/>
    <n v="65530077"/>
    <s v="否"/>
    <s v="26考季"/>
    <s v="全年集训营,考研专业课300"/>
    <s v="英语,政治,专业课300"/>
    <m/>
    <s v="国内高校-双非"/>
    <s v="否"/>
    <s v=""/>
    <m/>
    <s v="转出"/>
    <m/>
    <m/>
    <m/>
  </r>
  <r>
    <x v="0"/>
    <n v="11"/>
    <s v="北京大学部"/>
    <s v="国内大学部"/>
    <m/>
    <s v="95475458"/>
    <m/>
    <s v="2025-02-24 16:56:33"/>
    <s v="续费原因：调剂B 区学校 动物学专业 咨询调剂班 只要能上岸就行；该学生为保护期内续费，原顾问：国内大学部-赵星火(zhaoxinghuo@xdf.cn)"/>
    <m/>
    <s v="在职"/>
    <s v="赵星火"/>
    <s v="转介绍"/>
    <s v="学管续费推荐"/>
    <m/>
    <m/>
    <m/>
    <s v="都宣辰"/>
    <x v="1"/>
    <s v="28720769"/>
    <s v="续费工单"/>
    <s v="2025-06-29 21:56"/>
    <s v="A（六个月内有报课意向工单）"/>
    <s v="考研集训营"/>
    <s v="在职"/>
    <s v="牡丹江大学"/>
    <s v="生物学"/>
    <s v="生物"/>
    <s v="都宣辰"/>
    <n v="5459836"/>
    <x v="1"/>
    <s v="2025-06-29 21:57"/>
    <s v="赵星火"/>
    <s v="2025-06-29 21:57"/>
    <s v="KYJZ25007A"/>
    <s v="26考研政治全年集训营（强冲）"/>
    <s v="国内考试"/>
    <s v=""/>
    <n v="12332.2"/>
    <s v="同科续费"/>
    <s v=""/>
    <s v="续班"/>
    <s v="无须交接"/>
    <s v="BJWY24032w1g8X"/>
    <s v="BJWY0159234810"/>
    <s v="KYJZ25007A0037"/>
    <s v="2025-06-27"/>
    <m/>
    <s v="回访人：赵星火，回访时间：2025-06-29 21:56，回访内容：1；|回访人：赵星火，回访时间：2025-06-29 21:57，回访内容：1"/>
    <m/>
    <m/>
    <m/>
    <m/>
    <n v="38708961"/>
    <s v="否"/>
    <s v="26考季"/>
    <s v="全年集训营"/>
    <s v="英语,政治"/>
    <m/>
    <s v="国内高校-双非"/>
    <s v="否"/>
    <s v=""/>
    <m/>
    <s v="转出"/>
    <m/>
    <m/>
    <m/>
  </r>
  <r>
    <x v="0"/>
    <n v="12"/>
    <s v="北京大学部"/>
    <s v="国内大学部"/>
    <m/>
    <s v="98805854"/>
    <m/>
    <s v="2025-04-04 10:21:21"/>
    <s v="咨询考研线下课程（TMK主管分配TMK） 外呼主题：FY25-国内1月死单回访（2.3-2.9）"/>
    <s v=""/>
    <s v="大学已毕业"/>
    <s v="赵星火"/>
    <s v="线上运营-本地生活平台"/>
    <s v="地图标点"/>
    <m/>
    <m/>
    <m/>
    <s v="刘云舒"/>
    <x v="0"/>
    <s v="28701617"/>
    <s v="续费工单"/>
    <s v="2025-06-29 22:20"/>
    <s v="A（六个月内有报课意向工单）"/>
    <s v="考研专业课,考研集训营"/>
    <s v="在职"/>
    <s v="青岛科技大学"/>
    <s v="自动化与电子工程学院"/>
    <s v="电气工程及其自动化"/>
    <s v="刘云舒"/>
    <n v="5405561"/>
    <x v="1"/>
    <s v="2025-06-29 22:21"/>
    <s v="谭悦"/>
    <s v="2025-06-29 22:21"/>
    <m/>
    <m/>
    <s v="国内考试"/>
    <s v=""/>
    <n v="5888.9"/>
    <s v="同科续费"/>
    <s v=""/>
    <s v="分单"/>
    <s v="已交接"/>
    <m/>
    <s v="BJWY9006140904"/>
    <m/>
    <m/>
    <m/>
    <s v="回访人：谭悦，回访时间：2025-06-29 22:20，回访内容：1；|回访人：谭悦，回访时间：2025-06-29 22:21，回访内容：1"/>
    <m/>
    <m/>
    <m/>
    <m/>
    <n v="65530077"/>
    <s v="否"/>
    <s v="26考季"/>
    <s v="全年集训营,考研专业课300"/>
    <s v="英语,政治,专业课300"/>
    <m/>
    <s v="国内高校-双非"/>
    <s v="否"/>
    <s v=""/>
    <m/>
    <m/>
    <m/>
    <m/>
    <m/>
  </r>
  <r>
    <x v="0"/>
    <n v="13"/>
    <s v="北京大学部"/>
    <s v="国内大学部"/>
    <m/>
    <s v="95173408"/>
    <m/>
    <s v="2025-02-20 16:07:50"/>
    <s v="续费原因：如果今年成绩不理想，学员考虑再回来，细节已和顾问刘欢老师对接；该学生为保护期外续费，原顾问部门：国内大学部"/>
    <m/>
    <s v="大学已毕业"/>
    <s v="赵星火"/>
    <s v="转介绍"/>
    <s v="学管续费推荐"/>
    <m/>
    <m/>
    <m/>
    <s v="张显"/>
    <x v="1"/>
    <s v="28720746"/>
    <s v="续费工单"/>
    <s v="2025-06-29 21:50"/>
    <s v="A（六个月内有报课意向工单）"/>
    <s v="考研集训营"/>
    <s v="大学已毕业"/>
    <s v="天津财经大学"/>
    <s v="会计学院"/>
    <s v="财务管理"/>
    <s v="张显"/>
    <n v="5405545"/>
    <x v="1"/>
    <s v="2025-06-29 21:51"/>
    <s v="赵星火"/>
    <s v="2025-06-29 21:51"/>
    <s v="KYJZ25007A"/>
    <s v="26考研政治全年集训营（强冲）"/>
    <s v="国内考试"/>
    <s v=""/>
    <n v="10332.200000000001"/>
    <s v="同科续费"/>
    <s v=""/>
    <s v="续班"/>
    <s v="无须交接"/>
    <s v="BJWY24032w1g8X"/>
    <s v="BJWY3269678401"/>
    <s v="KYJZ25007A0058"/>
    <s v="2025-06-27"/>
    <m/>
    <s v="回访人：赵星火，回访时间：2025-06-29 21:50，回访内容：1；|回访人：赵星火，回访时间：2025-06-29 21:51，回访内容：1"/>
    <m/>
    <m/>
    <m/>
    <m/>
    <n v="52965947"/>
    <s v="否"/>
    <s v="26考季"/>
    <s v="全年集训营"/>
    <s v="英语,政治"/>
    <m/>
    <s v="国内高校-C9"/>
    <s v="否"/>
    <s v=""/>
    <m/>
    <s v="转出"/>
    <m/>
    <m/>
    <m/>
  </r>
  <r>
    <x v="1"/>
    <n v="14"/>
    <s v="北京大学部"/>
    <s v="国内大学部"/>
    <s v="grnv"/>
    <s v="115757231"/>
    <s v="王静静"/>
    <s v="2025-06-23 14:26:30"/>
    <s v="渠道录入来源：集团百度投放-易聊_x000a_意向城市：北京市_x000a_访客省/城市：北京市_x000a_qq: _x000a_访客静态ID：01000000034718973185476658716548_x000a_接待分组ID：51266_x000a_搜索引擎：_x000a_搜索词：_x000a_关键词：_x000a_设备类型：pc_x000a_访客IP：111.192.103.219_x000a_对话详细内容：AI-KvNH7xJ0CD 2025-06-12 20:37:45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6-12 20:37:47_x000d__x000a_您是想咨询【考研走读班】【考研集训营】【考研规划】还是【在职考研】呢？_x000d__x000a__x000d__x000a_01000000034718973185476658716548 2025-06-12 20:38:28_x000d__x000a_在职考研_x000d__x000a__x000d__x000a_AI-KvNH7xJ0CD 2025-06-12 20:38:32_x000d__x000a_您准备[在职读研] 还是[离职读研] ?**在职读研#  **离职读研#_x000d__x000a__x000d__x000a_01000000034718973185476658716548 2025-06-12 20:38:38_x000d__x000a_在职读研_x000d__x000a__x000d__x000a_AI-KvNH7xJ0CD 2025-06-12 20:38:42_x000d__x000a_具体是想报考什么学校和专业呢？_x000d__x000a__x000d__x000a_01000000034718973185476658716548 2025-06-12 20:38:54_x000d__x000a_想报考计算机相关专业_x000d__x000a__x000d__x000a_AI-KvNH7xJ0CD 2025-06-12 20:38:57_x000d__x000a_同学，您可以留下您的联系方式，稍后顾问老师会给您进行专业的择校及专业选择的指导。_x000d__x000a__x000d__x000a_01000000034718973185476658716548 2025-06-12 20:39:08_x000d__x000a_15650706248_x000d__x000a__x000d__x000a__x000a_来源页：https://click.xdf.cn/_x000a_备注：（TMK主管分配TMK）"/>
    <s v="2026财年第1财月百度投放总部-百度投放"/>
    <s v="在职"/>
    <s v="杨沫"/>
    <s v="线上运营-投放"/>
    <s v="总部-百度投放"/>
    <s v=""/>
    <s v="杨沫"/>
    <s v="2025-06-27 16:00:22"/>
    <s v="grnv"/>
    <x v="1"/>
    <s v="28677697"/>
    <s v="正常工单"/>
    <s v="2025-06-27 16:01"/>
    <s v="A（六个月内有报课意向工单）"/>
    <s v="线上考研产品"/>
    <s v="在职"/>
    <s v="北京物资学院"/>
    <s v="法学院"/>
    <s v="法学"/>
    <s v="grnv"/>
    <n v="5367500"/>
    <x v="1"/>
    <s v="2025-06-27 16:01"/>
    <s v="赵星火"/>
    <s v="2025-06-27 16:01"/>
    <s v="80073851582"/>
    <s v="2026考研政治全程班 6班,2026考研英语全程班 6班,2026考研数学全程班 6班,2026考研计算机全程班"/>
    <s v="国内考试"/>
    <s v=""/>
    <n v="4547.5"/>
    <m/>
    <s v=""/>
    <s v="新签"/>
    <s v="无须交接"/>
    <m/>
    <m/>
    <m/>
    <s v="2025-06-27"/>
    <m/>
    <s v="回访人：赵星火，回访时间：2025-06-27 16:01，回访内容：1"/>
    <m/>
    <m/>
    <m/>
    <s v="长期班,长期班,长期班,长期班"/>
    <n v="79611103"/>
    <s v="是"/>
    <s v="26考季"/>
    <s v="线上全程班"/>
    <s v="英语"/>
    <s v="计算机"/>
    <s v="国内高校-双非"/>
    <s v="否"/>
    <s v=""/>
    <m/>
    <m/>
    <n v="110448110"/>
    <m/>
    <m/>
  </r>
  <r>
    <x v="0"/>
    <n v="15"/>
    <s v="北京大学部"/>
    <s v="国内大学部"/>
    <m/>
    <s v="86141900"/>
    <m/>
    <s v="2024-10-11 10:31:47"/>
    <s v="明天下午想到知春路校区面询，两位同学一起，尽快联系_x000a_渠道录入来源：大众点评_x000a_事件名称：在线咨询_x000a_大众点评门店名称：新东方考研四六级(知春路校区)_x000a_店铺绑定的校区：知春路校区_x000a_店铺管理员邮箱：lvmeng2@xdf.cn_x000a_备注：2024-10-11 10:31:45,用户在大众点评新东方考研四六级(知春路校区)在线咨询_x000a_"/>
    <s v="2025财年第5财月大众点评在线咨询"/>
    <s v="大三"/>
    <s v="邓谭(转岗)"/>
    <s v="线上运营-本地生活平台"/>
    <s v="大众点评"/>
    <m/>
    <m/>
    <m/>
    <s v="付豪"/>
    <x v="0"/>
    <s v="28701601"/>
    <s v="续费工单"/>
    <s v="2025-06-29 22:13"/>
    <s v="B（需长时间跟单或只需要规划）"/>
    <s v="考研专业课,考研无忧计划"/>
    <s v="大三"/>
    <s v="北京工商学院"/>
    <s v="化学学院"/>
    <s v="化妆品工程"/>
    <s v="付豪"/>
    <n v="5459853"/>
    <x v="0"/>
    <s v="2025-06-29 22:14"/>
    <s v="谭悦"/>
    <s v="2025-06-29 22:14"/>
    <s v="WYE26034"/>
    <s v="考研英语无忧计划（26考研/英二强化）"/>
    <s v="国内考试"/>
    <s v=""/>
    <n v="6672.4"/>
    <s v="同科续费"/>
    <s v=""/>
    <s v="续班"/>
    <s v="已交接"/>
    <s v="BJWY25030q8UPI"/>
    <s v="BJWY0827309575"/>
    <s v="WYE260340045"/>
    <s v="2025-06-25"/>
    <m/>
    <s v="回访人：谭悦，回访时间：2025-06-29 22:13，回访内容：1；|回访人：谭悦，回访时间：2025-06-29 22:14，回访内容：1"/>
    <m/>
    <m/>
    <m/>
    <m/>
    <n v="65076597"/>
    <s v="否"/>
    <s v="26考季"/>
    <s v="无忧计划-啄木鸟,考研专业课150"/>
    <s v="英语,政治,数学,专业课150"/>
    <m/>
    <s v="国内高校-双非"/>
    <s v="否"/>
    <s v=""/>
    <m/>
    <s v="转出"/>
    <m/>
    <s v="本地人本地大学(常规)"/>
    <m/>
  </r>
  <r>
    <x v="0"/>
    <n v="16"/>
    <s v="北京大学部"/>
    <s v="国内大学部"/>
    <m/>
    <s v="86141900"/>
    <m/>
    <s v="2024-10-11 10:31:47"/>
    <s v="明天下午想到知春路校区面询，两位同学一起，尽快联系_x000a_渠道录入来源：大众点评_x000a_事件名称：在线咨询_x000a_大众点评门店名称：新东方考研四六级(知春路校区)_x000a_店铺绑定的校区：知春路校区_x000a_店铺管理员邮箱：lvmeng2@xdf.cn_x000a_备注：2024-10-11 10:31:45,用户在大众点评新东方考研四六级(知春路校区)在线咨询_x000a_"/>
    <s v="2025财年第5财月大众点评在线咨询"/>
    <s v="大三"/>
    <s v="邓谭(转岗)"/>
    <s v="线上运营-本地生活平台"/>
    <s v="大众点评"/>
    <m/>
    <m/>
    <m/>
    <s v="付豪"/>
    <x v="0"/>
    <s v="28701601"/>
    <s v="续费工单"/>
    <s v="2025-06-29 22:13"/>
    <s v="B（需长时间跟单或只需要规划）"/>
    <s v="考研专业课,考研无忧计划"/>
    <s v="大三"/>
    <s v="北京工商学院"/>
    <s v="化学学院"/>
    <s v="化妆品工程"/>
    <s v="付豪"/>
    <n v="5459853"/>
    <x v="0"/>
    <s v="2025-06-29 22:14"/>
    <s v="谭悦"/>
    <s v="2025-06-29 22:14"/>
    <s v="WYE26035"/>
    <s v="考研英语无忧计划（26考研/英二冲刺）"/>
    <s v="国内考试"/>
    <s v=""/>
    <n v="3177.3"/>
    <s v="同科续费"/>
    <s v=""/>
    <s v="续班"/>
    <s v="已交接"/>
    <s v="BJWY25030q8UPI"/>
    <s v="BJWY0827309575"/>
    <s v="WYE260350045"/>
    <s v="2025-06-25"/>
    <m/>
    <s v="回访人：谭悦，回访时间：2025-06-29 22:13，回访内容：1；|回访人：谭悦，回访时间：2025-06-29 22:14，回访内容：1"/>
    <m/>
    <m/>
    <m/>
    <m/>
    <n v="65076597"/>
    <s v="否"/>
    <s v="26考季"/>
    <s v="无忧计划-啄木鸟,考研专业课150"/>
    <s v="英语,政治,数学,专业课150"/>
    <m/>
    <s v="国内高校-双非"/>
    <s v="否"/>
    <s v=""/>
    <m/>
    <s v="转出"/>
    <m/>
    <s v="本地人本地大学(常规)"/>
    <m/>
  </r>
  <r>
    <x v="0"/>
    <n v="17"/>
    <s v="北京大学部"/>
    <s v="国内大学部"/>
    <m/>
    <s v="94705727"/>
    <m/>
    <s v="2025-02-15 15:43:36"/>
    <s v="准备到知春路校区面询，尽快联系"/>
    <m/>
    <s v="未知"/>
    <s v="刘创"/>
    <s v="线上运营-本地生活平台"/>
    <s v="阿里本地通"/>
    <m/>
    <m/>
    <m/>
    <s v="朱建金"/>
    <x v="0"/>
    <s v="28575704"/>
    <s v="续费工单"/>
    <s v="2025-06-24 20:45"/>
    <s v="B（需长时间跟单或只需要规划）"/>
    <s v="考研专业课,考研无忧计划"/>
    <s v="在职"/>
    <s v="太原理工大学"/>
    <s v="土木工程学院"/>
    <s v="土木工程"/>
    <s v="朱建金"/>
    <n v="5402814"/>
    <x v="0"/>
    <s v="2025-06-24 20:45"/>
    <s v="谭悦"/>
    <s v="2025-06-24 20:46"/>
    <s v="WYE26026"/>
    <s v="考研英语无忧计划（26考研/英一强化）"/>
    <s v="国内考试"/>
    <s v=""/>
    <n v="6746.8"/>
    <s v="同科续费"/>
    <s v=""/>
    <s v="续班"/>
    <s v="已交接"/>
    <s v="BJWY2101498uW2"/>
    <s v="BJWY1520278143"/>
    <s v="WYE260260064"/>
    <s v="2025-06-24"/>
    <m/>
    <s v="回访人：谭悦，回访时间：2025-06-24 20:45，回访内容：1；|回访人：谭悦，回访时间：2025-06-24 20:45，回访内容：1"/>
    <m/>
    <m/>
    <m/>
    <m/>
    <n v="66984003"/>
    <s v="否"/>
    <s v="26考季"/>
    <s v="无忧计划-啄木鸟,考研专业课150"/>
    <s v="英语,政治,数学,专业课150"/>
    <m/>
    <s v="国内高校-211"/>
    <s v="否"/>
    <s v=""/>
    <m/>
    <s v="转出"/>
    <m/>
    <m/>
    <m/>
  </r>
  <r>
    <x v="0"/>
    <n v="18"/>
    <s v="北京大学部"/>
    <s v="国内大学部"/>
    <m/>
    <s v="94705727"/>
    <m/>
    <s v="2025-02-15 15:43:36"/>
    <s v="准备到知春路校区面询，尽快联系"/>
    <m/>
    <s v="未知"/>
    <s v="刘创"/>
    <s v="线上运营-本地生活平台"/>
    <s v="阿里本地通"/>
    <m/>
    <m/>
    <m/>
    <s v="朱建金"/>
    <x v="0"/>
    <s v="28575704"/>
    <s v="续费工单"/>
    <s v="2025-06-24 20:45"/>
    <s v="B（需长时间跟单或只需要规划）"/>
    <s v="考研专业课,考研无忧计划"/>
    <s v="在职"/>
    <s v="太原理工大学"/>
    <s v="土木工程学院"/>
    <s v="土木工程"/>
    <s v="朱建金"/>
    <n v="5402814"/>
    <x v="0"/>
    <s v="2025-06-24 20:45"/>
    <s v="谭悦"/>
    <s v="2025-06-24 20:46"/>
    <s v="WYE26027"/>
    <s v="考研英语无忧计划（26考研/英一冲刺）"/>
    <s v="国内考试"/>
    <s v=""/>
    <n v="3212.8"/>
    <s v="同科续费"/>
    <s v=""/>
    <s v="续班"/>
    <s v="已交接"/>
    <s v="BJWY2101498uW2"/>
    <s v="BJWY1520278143"/>
    <s v="WYE260270062"/>
    <s v="2025-06-24"/>
    <m/>
    <s v="回访人：谭悦，回访时间：2025-06-24 20:45，回访内容：1；|回访人：谭悦，回访时间：2025-06-24 20:45，回访内容：1"/>
    <m/>
    <m/>
    <m/>
    <m/>
    <n v="66984003"/>
    <s v="否"/>
    <s v="26考季"/>
    <s v="无忧计划-啄木鸟,考研专业课150"/>
    <s v="英语,政治,数学,专业课150"/>
    <m/>
    <s v="国内高校-211"/>
    <s v="否"/>
    <s v=""/>
    <m/>
    <s v="转出"/>
    <m/>
    <m/>
    <m/>
  </r>
  <r>
    <x v="1"/>
    <n v="19"/>
    <s v="北京大学部"/>
    <s v="国内大学部"/>
    <s v="胡家睿"/>
    <s v="92377994"/>
    <s v="张琦文"/>
    <s v="2025-01-06 15:45:51"/>
    <s v="续费原因：心脏不舒服去急诊没有考数学，要是成绩还好可能就报一个一对一在家复习了。老师可以跟进问一下；该学生为保护期内续费，原顾问：国内大学部-赵星火(zhaoxinghuo@xdf.cn)"/>
    <m/>
    <s v="大四"/>
    <s v="赵星火"/>
    <s v="转介绍"/>
    <s v="学管续费推荐"/>
    <s v="张琦文zhangqiwen6@xdf.cn"/>
    <m/>
    <m/>
    <s v="胡家睿"/>
    <x v="1"/>
    <s v="26221646"/>
    <s v="续费工单"/>
    <s v="2025-01-06 16:21"/>
    <s v="A（六个月内有报课意向工单）"/>
    <s v="考研集训营"/>
    <s v="大四"/>
    <s v="北京信息科技大学"/>
    <s v="信息与通信工程学院"/>
    <s v="电子信息工程"/>
    <s v="胡家睿"/>
    <n v="5391072"/>
    <x v="1"/>
    <s v="2025-06-22 17:15"/>
    <s v="赵星火"/>
    <s v="2025-06-22 17:15"/>
    <s v="52288160146"/>
    <s v="2026考研英语直通车  6期,2026考研数学直通车 6期,2026考研政治直通车 6期"/>
    <s v="国内考试"/>
    <s v=""/>
    <n v="11336"/>
    <m/>
    <s v="张琦文"/>
    <s v="续班"/>
    <s v="无须交接"/>
    <m/>
    <m/>
    <m/>
    <s v="2025-06-22"/>
    <m/>
    <s v="回访人：赵星火，回访时间：2025-06-14 17:10，回访内容：电话呼出联系联系不上，微信没有回复；|回访人：赵星火，回访时间：2025-06-18 21:21，回访内容：跟进学生情况跟进学生考虑继续维护中。；|回访人：赵星火，回访时间：2025-06-21 20:31，回访内容：电话呼出联系不上学生微信跟进中继续维护。；|回访人：赵星火，回访时间：2025-06-22 17:15，回访内容：1"/>
    <m/>
    <m/>
    <m/>
    <s v="长期班,长期班,长期班"/>
    <n v="44083854"/>
    <s v="是"/>
    <s v="26考季"/>
    <s v="半年集训营"/>
    <s v="英语"/>
    <s v="计算机"/>
    <s v="国内高校-双非"/>
    <s v="否"/>
    <s v=""/>
    <m/>
    <m/>
    <n v="105716491"/>
    <s v="本地人本地大学(常规)"/>
    <s v="学管续费推荐"/>
  </r>
  <r>
    <x v="1"/>
    <n v="20"/>
    <s v="北京大学部"/>
    <s v="国内大学部"/>
    <s v="白兰小字"/>
    <s v="115078495"/>
    <s v="康荧"/>
    <s v="2025-06-18 15:03:49"/>
    <s v="【小红书资源】_x000a_一会儿到知春路面询"/>
    <s v=""/>
    <s v="未知"/>
    <s v="赵星火"/>
    <s v="线上运营-小红书"/>
    <s v="小红书"/>
    <s v=""/>
    <m/>
    <m/>
    <s v="韩宜航"/>
    <x v="1"/>
    <s v="28434788"/>
    <s v="正常工单"/>
    <s v="2025-06-18 16:52"/>
    <s v="A（六个月内有报课意向工单）"/>
    <s v="线上考研产品"/>
    <s v="大四"/>
    <s v="北京工业大学"/>
    <s v="环境与生命学部"/>
    <s v="化学生物学"/>
    <s v="韩宜航"/>
    <n v="5400255"/>
    <x v="1"/>
    <s v="2025-06-18 16:53"/>
    <s v="赵星火"/>
    <s v="2025-06-18 16:53"/>
    <s v="53494503643"/>
    <s v="2026考研英语直通车  6期,2026考研政治直通车 6期"/>
    <s v="国内考试"/>
    <s v=""/>
    <n v="8464"/>
    <m/>
    <s v=""/>
    <s v="新签"/>
    <s v="无须交接"/>
    <m/>
    <m/>
    <m/>
    <s v="2025-06-18"/>
    <m/>
    <s v="回访人：赵星火，回访时间：2025-06-18 16:53，回访内容：1"/>
    <m/>
    <s v="8464.0"/>
    <s v="2025-06-28"/>
    <s v="长期班,长期班"/>
    <n v="80013959"/>
    <s v="是"/>
    <s v="26考季"/>
    <s v="线上直通车"/>
    <s v="英语,政治"/>
    <s v="其他"/>
    <s v="国内高校-211"/>
    <s v="否"/>
    <s v=""/>
    <m/>
    <m/>
    <n v="108722739"/>
    <s v="外地人本地大学(常规)"/>
    <s v="客服"/>
  </r>
  <r>
    <x v="1"/>
    <n v="21"/>
    <s v="北京大学部"/>
    <s v="国内大学部"/>
    <m/>
    <s v="85549363"/>
    <m/>
    <s v="2024-09-29 17:21:48"/>
    <s v="续费原因：了解25考研对应课程，需要先看一下院校，学生家长先问的专业课，但是专业课每个学校考的不一样需要先看一下院校，说了公共课急救班还有一对一模式，孩子在老家可以上线上；该学生为保护期外续费，原顾问部门：国内大学部"/>
    <m/>
    <s v="大学已毕业"/>
    <s v="谭悦"/>
    <s v="转介绍"/>
    <s v="学管续费推荐"/>
    <m/>
    <m/>
    <m/>
    <s v="张鸣政"/>
    <x v="0"/>
    <s v="28387513"/>
    <s v="续费工单"/>
    <s v="2025-06-16 20:18"/>
    <s v="A（六个月内有报课意向工单）"/>
    <s v="教师资格证"/>
    <s v="大学已毕业"/>
    <s v="中国人民大学"/>
    <s v="马克思主义学院"/>
    <s v="中国共产党历史"/>
    <s v="张鸣政"/>
    <n v="5357256"/>
    <x v="0"/>
    <s v="2025-06-16 20:21"/>
    <s v="谭悦"/>
    <s v="2025-06-16 20:21"/>
    <s v="15719805143"/>
    <s v="【2025下】中学教资笔面直通车"/>
    <s v="国内考试"/>
    <s v=""/>
    <n v="3930"/>
    <m/>
    <s v=""/>
    <s v="续班"/>
    <s v="无须交接"/>
    <m/>
    <m/>
    <m/>
    <s v="2025-06-16"/>
    <m/>
    <s v="回访人：谭悦，回访时间：2025-06-16 20:18，回访内容：教资网课 ；|回访人：谭悦，回访时间：2025-06-16 20:21，回访内容：1"/>
    <m/>
    <m/>
    <m/>
    <s v="长期班"/>
    <n v="39017583"/>
    <s v="是"/>
    <s v="25下考季"/>
    <s v="教师资格证笔试"/>
    <s v=""/>
    <m/>
    <s v="国内高校-985"/>
    <s v="否"/>
    <s v=""/>
    <m/>
    <m/>
    <n v="104315719"/>
    <m/>
    <m/>
  </r>
  <r>
    <x v="1"/>
    <n v="22"/>
    <s v="北京大学部"/>
    <s v="国内大学部"/>
    <m/>
    <s v="112561935"/>
    <m/>
    <s v="2025-06-06 12:20:44"/>
    <s v="知春路直访，谭悦接待；销售主管分配TMK主管 外呼主题：寇源-等待工单库2025-05-23"/>
    <m/>
    <s v="大三"/>
    <s v="谭悦"/>
    <s v="线上运营-投放"/>
    <s v="百度投放"/>
    <m/>
    <m/>
    <m/>
    <s v="曹玥"/>
    <x v="0"/>
    <s v="28130808"/>
    <s v="续费工单"/>
    <s v="2025-06-10 15:07"/>
    <s v="A（六个月内有报课意向工单）"/>
    <s v="线上考研产品"/>
    <s v="大三"/>
    <s v="北京农学院"/>
    <s v="植物科学技术学院"/>
    <s v="农学"/>
    <s v="曹玥"/>
    <n v="5351875"/>
    <x v="0"/>
    <s v="2025-06-10 15:07"/>
    <s v="谭悦"/>
    <s v="2025-06-10 15:07"/>
    <s v="06888906157"/>
    <s v="2026考研专业课定制一对一（50h）-A班"/>
    <s v="国内考试"/>
    <s v=""/>
    <n v="18615"/>
    <m/>
    <s v=""/>
    <s v="续班"/>
    <s v="无须交接"/>
    <m/>
    <m/>
    <m/>
    <s v="2025-06-10"/>
    <m/>
    <s v="回访人：谭悦，回访时间：2025-06-10 15:07，回访内容：1；|回访人：谭悦，回访时间：2025-06-10 15:07，回访内容：1"/>
    <m/>
    <m/>
    <m/>
    <s v="长期班"/>
    <n v="67470457"/>
    <s v="是"/>
    <s v="26考季"/>
    <s v="线上无忧计划"/>
    <s v="英语,政治,专业课300"/>
    <m/>
    <s v="国内高校-双非"/>
    <s v="否"/>
    <s v=""/>
    <m/>
    <m/>
    <n v="107462026"/>
    <s v="本地人本地大学(常规)"/>
    <m/>
  </r>
  <r>
    <x v="1"/>
    <n v="23"/>
    <s v="北京大学部"/>
    <s v="国内大学部"/>
    <s v="曹玥"/>
    <s v="103546571"/>
    <s v="杨俊"/>
    <s v="2025-05-23 14:29:17"/>
    <s v="销售主管分配TMK主管"/>
    <m/>
    <s v="大三"/>
    <s v="杨钰杰"/>
    <s v="线上运营-投放"/>
    <s v="百度投放"/>
    <s v=""/>
    <s v="杨钰杰"/>
    <s v="2025-06-06 12:20:44"/>
    <s v="曹玥"/>
    <x v="0"/>
    <s v="28176051"/>
    <s v="正常工单"/>
    <s v="2025-06-06 13:37"/>
    <s v="A（六个月内有报课意向工单）"/>
    <s v="线上考研产品"/>
    <s v="大三"/>
    <s v="北京农学院"/>
    <s v="植物科学技术学院"/>
    <s v="农学"/>
    <s v="曹玥"/>
    <n v="5277327"/>
    <x v="0"/>
    <s v="2025-06-10 15:04"/>
    <s v="谭悦"/>
    <s v="2025-06-10 15:05"/>
    <s v="77410743517"/>
    <s v="2026考研政治无忧计划·11期,2026考研英语一无忧计划·14期"/>
    <s v="国内考试"/>
    <s v=""/>
    <n v="15303.2"/>
    <m/>
    <s v=""/>
    <s v="新签"/>
    <s v="无须交接"/>
    <m/>
    <m/>
    <m/>
    <s v="2025-06-10"/>
    <m/>
    <s v="回访人：谭悦，回访时间：2025-06-06 13:37，回访内容：26考研，植物保护，跟进中   ；|回访人：谭悦，回访时间：2025-06-07 16:44，回访内容：微信跟进中，菁英B计划  ；|回访人：谭悦，回访时间：2025-06-10 15:04，回访内容：签约 "/>
    <m/>
    <m/>
    <m/>
    <s v="长期班,长期班"/>
    <n v="67470457"/>
    <s v="是"/>
    <s v="26考季"/>
    <s v="线上无忧计划"/>
    <s v="英语,政治,专业课300"/>
    <s v="其他"/>
    <s v="国内高校-双非"/>
    <s v="否"/>
    <s v=""/>
    <m/>
    <m/>
    <n v="107462026"/>
    <s v="本地人本地大学(常规)"/>
    <s v="市场"/>
  </r>
  <r>
    <x v="1"/>
    <n v="24"/>
    <s v="北京大学部"/>
    <s v="国内大学部"/>
    <m/>
    <s v="87708587"/>
    <m/>
    <s v="2024-11-05 14:17:45"/>
    <s v="【考博】学生主动微信找的，毕业专业和院校是 大连医科大学 临床医学。咨询考博的英语辅导，线上大班网课，在上班，不方便电话，辛苦老师加微信，手机号是微信；【考博】毕业专业和院校是 大连医科大学 临床医学。咨询考博的英语辅导，线上大班网课，在上班，不方便电话，辛苦老师加微信"/>
    <s v=""/>
    <s v="在职"/>
    <s v="赵星火"/>
    <s v="直访"/>
    <s v="直访"/>
    <m/>
    <m/>
    <m/>
    <s v="1度"/>
    <x v="1"/>
    <s v="28182825"/>
    <s v="续费工单"/>
    <s v="2025-06-07 13:05"/>
    <s v="A（六个月内有报课意向工单）"/>
    <s v="考博"/>
    <s v="在职"/>
    <s v="大连医科大学"/>
    <s v="临床学院"/>
    <s v="临床医学"/>
    <s v="1度"/>
    <n v="5377871"/>
    <x v="1"/>
    <s v="2025-06-07 13:05"/>
    <s v="赵星火"/>
    <s v="2025-06-07 13:06"/>
    <s v="08181547771"/>
    <s v="2026医学考博英语全程班【直播 + 录播】"/>
    <s v="国内考试"/>
    <s v=""/>
    <n v="1824"/>
    <m/>
    <s v=""/>
    <s v="续班"/>
    <s v="无须交接"/>
    <m/>
    <m/>
    <m/>
    <s v="2025-06-07"/>
    <m/>
    <s v="回访人：赵星火，回访时间：2025-06-07 13:05，回访内容：1；|回访人：赵星火，回访时间：2025-06-07 13:05，回访内容：1"/>
    <m/>
    <m/>
    <m/>
    <s v="长期班"/>
    <n v="64038881"/>
    <s v="是"/>
    <m/>
    <s v=""/>
    <s v=""/>
    <m/>
    <s v="国内高校-双非"/>
    <s v="否"/>
    <s v=""/>
    <m/>
    <m/>
    <n v="108979436"/>
    <m/>
    <m/>
  </r>
  <r>
    <x v="0"/>
    <n v="25"/>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P26043"/>
    <s v="考研政治无忧计划（26考研/基础）"/>
    <s v="国内考试"/>
    <s v=""/>
    <n v="6041.5"/>
    <s v="同科续费"/>
    <s v=""/>
    <s v="续班"/>
    <s v="无须交接"/>
    <s v="BJWY25030q8UPI"/>
    <s v="BJWY8264939203"/>
    <s v="WYP260430050"/>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26"/>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P26044"/>
    <s v="考研政治无忧计划（26考研/强化）"/>
    <s v="国内考试"/>
    <s v=""/>
    <n v="3855.3"/>
    <s v="同科续费"/>
    <s v=""/>
    <s v="续班"/>
    <s v="无须交接"/>
    <s v="BJWY25030q8UPI"/>
    <s v="BJWY8264939203"/>
    <s v="WYP260440050"/>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27"/>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P26045"/>
    <s v="考研政治无忧计划（26考研/冲刺）"/>
    <s v="国内考试"/>
    <s v=""/>
    <n v="4578.2"/>
    <s v="同科续费"/>
    <s v=""/>
    <s v="续班"/>
    <s v="无须交接"/>
    <s v="BJWY25030q8UPI"/>
    <s v="BJWY8264939203"/>
    <s v="WYP260450050"/>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28"/>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E26055"/>
    <s v="考研英语无忧计划（26考研/基础）"/>
    <s v="国内考试"/>
    <s v=""/>
    <n v="4015.9"/>
    <s v="同科续费"/>
    <s v=""/>
    <s v="续班"/>
    <s v="无须交接"/>
    <s v="BJWY25030q8UPI"/>
    <s v="BJWY8264939203"/>
    <s v="WYE260550057"/>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29"/>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E26056"/>
    <s v="考研英语无忧计划（26考研/英一强化）"/>
    <s v="国内考试"/>
    <s v=""/>
    <n v="6246.8"/>
    <s v="同科续费"/>
    <s v=""/>
    <s v="续班"/>
    <s v="无须交接"/>
    <s v="BJWY25030q8UPI"/>
    <s v="BJWY8264939203"/>
    <s v="WYE260560029"/>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30"/>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E26057"/>
    <s v="考研英语无忧计划（26考研/英一冲刺）"/>
    <s v="国内考试"/>
    <s v=""/>
    <n v="3212.8"/>
    <s v="同科续费"/>
    <s v=""/>
    <s v="续班"/>
    <s v="无须交接"/>
    <s v="BJWY25030q8UPI"/>
    <s v="BJWY8264939203"/>
    <s v="WYE260570029"/>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31"/>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M26028"/>
    <s v="考研数学无忧计划（26考研/基础）"/>
    <s v="国内考试"/>
    <s v=""/>
    <n v="4045.5"/>
    <s v="同科续费"/>
    <s v=""/>
    <s v="续班"/>
    <s v="无须交接"/>
    <s v="BJWY25030q8UPI"/>
    <s v="BJWY8264939203"/>
    <s v="WYM260280032"/>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32"/>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M26029"/>
    <s v="考研数学无忧计划（26考研/强化）"/>
    <s v="国内考试"/>
    <s v=""/>
    <n v="7068.1"/>
    <s v="同科续费"/>
    <s v=""/>
    <s v="续班"/>
    <s v="无须交接"/>
    <s v="BJWY25030q8UPI"/>
    <s v="BJWY8264939203"/>
    <s v="WYM260290032"/>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33"/>
    <s v="北京大学部"/>
    <s v="国内大学部"/>
    <m/>
    <s v="95923932"/>
    <m/>
    <s v="2025-03-01 15:57:49"/>
    <s v="续费原因：咨询考研，辛苦流转赵星火；该学生为保护期内续费，原顾问：国内大学部-赵星火(zhaoxinghuo@xdf.cn)"/>
    <m/>
    <s v="大三"/>
    <s v="赵星火"/>
    <s v="转介绍"/>
    <s v="学管续费推荐"/>
    <m/>
    <m/>
    <m/>
    <s v="李尚烨"/>
    <x v="1"/>
    <s v="28161284"/>
    <s v="续费工单"/>
    <s v="2025-06-05 14:42"/>
    <s v="A（六个月内有报课意向工单）"/>
    <s v="考研无忧计划"/>
    <s v="大三"/>
    <s v="北京航空航天大学"/>
    <s v="机械工程及自动化学院"/>
    <s v="材料成型及控制工程"/>
    <s v="李尚烨"/>
    <n v="5347627"/>
    <x v="1"/>
    <s v="2025-06-05 14:42"/>
    <s v="赵星火"/>
    <s v="2025-06-05 15:14"/>
    <s v="WYM26030"/>
    <s v="考研数学无忧计划（26考研/冲刺）"/>
    <s v="国内考试"/>
    <s v=""/>
    <n v="3373.4"/>
    <s v="同科续费"/>
    <s v=""/>
    <s v="续班"/>
    <s v="无须交接"/>
    <s v="BJWY25030q8UPI"/>
    <s v="BJWY8264939203"/>
    <s v="WYM260300032"/>
    <s v="2025-06-04"/>
    <m/>
    <s v="回访人：赵星火，回访时间：2025-06-05 14:42，回访内容：1；|回访人：赵星火，回访时间：2025-06-05 14:42，回访内容：1"/>
    <m/>
    <m/>
    <m/>
    <m/>
    <n v="67086969"/>
    <s v="否"/>
    <s v="26考季"/>
    <s v="无忧计划-啄木鸟"/>
    <s v="英语,政治,数学"/>
    <m/>
    <s v="国内高校-985"/>
    <s v="否"/>
    <s v=""/>
    <m/>
    <s v="转出"/>
    <m/>
    <s v="外地人本地大学(常规)"/>
    <m/>
  </r>
  <r>
    <x v="0"/>
    <n v="34"/>
    <s v="北京大学部"/>
    <s v="国内大学部"/>
    <s v="章俊骐"/>
    <s v="116868306"/>
    <s v="刘佳林"/>
    <s v="2025-07-01 10:33:35"/>
    <s v="续费原因：学生更换研究生，需要缴纳500元师资重新匹配费；该学生为保护期内续费，原顾问：国内大学部-谭悦(tanyue9@xdf.cn)"/>
    <m/>
    <s v="大四"/>
    <s v="谭悦"/>
    <s v="转介绍"/>
    <s v="学管续费推荐"/>
    <s v="刘佳林liujialin25@xdf.cn"/>
    <m/>
    <m/>
    <s v="章俊骐"/>
    <x v="0"/>
    <s v="28732371"/>
    <s v="续费工单"/>
    <s v="2025-07-01 10:46"/>
    <s v="A（六个月内有报课意向工单）"/>
    <s v="考研专业课"/>
    <s v="大四"/>
    <s v="福建师范大学"/>
    <s v="计算机与网络空间安全学院"/>
    <s v="网络空间安全"/>
    <s v="章俊骐"/>
    <n v="5406797"/>
    <x v="0"/>
    <s v="2025-07-01 10:48"/>
    <s v="谭悦"/>
    <s v="2025-07-01 10:49"/>
    <s v="LP175133809710126"/>
    <s v="考研专业课匹配费-集训"/>
    <s v="国内考试"/>
    <s v=""/>
    <n v="500"/>
    <m/>
    <s v="刘佳林"/>
    <s v="续班"/>
    <s v="未交接"/>
    <m/>
    <s v="BJWY4692076178"/>
    <m/>
    <s v="2025-07-01"/>
    <m/>
    <s v="回访人：谭悦，回访时间：2025-07-01 10:46，回访内容：升级费500"/>
    <m/>
    <m/>
    <m/>
    <m/>
    <n v="63993771"/>
    <s v="否"/>
    <s v="26考季"/>
    <s v="考研专业课150"/>
    <s v="专业课150"/>
    <s v="其他"/>
    <s v="国内高校-双非"/>
    <s v="否"/>
    <s v=""/>
    <m/>
    <m/>
    <m/>
    <s v="外地人外地大学(常规)"/>
    <s v="学管续费推荐"/>
  </r>
  <r>
    <x v="0"/>
    <n v="35"/>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541513"/>
    <s v="续费工单"/>
    <s v="2025-06-23 14:24"/>
    <s v="A（六个月内有报课意向工单）"/>
    <s v="考研专业课,考研无忧计划"/>
    <s v="大二"/>
    <s v="中央民族大学"/>
    <s v="经济学院"/>
    <s v="经济学"/>
    <s v="丁美希"/>
    <n v="5363227"/>
    <x v="0"/>
    <s v="2025-06-23 14:26"/>
    <m/>
    <m/>
    <s v="LP1750659982995"/>
    <s v="985院校升级费-无忧"/>
    <m/>
    <s v=""/>
    <n v="3000"/>
    <m/>
    <s v=""/>
    <s v="续班"/>
    <s v="未交接"/>
    <m/>
    <s v="BJWY2338747100"/>
    <m/>
    <s v="2025-06-23"/>
    <m/>
    <s v="回访人：谭悦，回访时间：2025-06-23 14:24，回访内容：1"/>
    <m/>
    <m/>
    <m/>
    <m/>
    <n v="51402702"/>
    <s v="否"/>
    <s v="26考季"/>
    <s v="无忧计划-啄木鸟,考研专业课300"/>
    <s v="英语,政治,专业课300"/>
    <s v="其他"/>
    <s v="国内高校-985"/>
    <s v="否"/>
    <m/>
    <m/>
    <m/>
    <m/>
    <s v="本地人本地大学(常规)"/>
    <m/>
  </r>
  <r>
    <x v="0"/>
    <n v="36"/>
    <s v="北京大学部"/>
    <s v="国内大学部"/>
    <m/>
    <s v="101206597"/>
    <m/>
    <s v="2025-05-02 10:21:56"/>
    <s v="13718108181，北京，一对一，家长"/>
    <m/>
    <s v="未知"/>
    <s v="谭悦"/>
    <s v="线上运营-投放"/>
    <s v="巨量广告"/>
    <m/>
    <m/>
    <m/>
    <s v="高旭"/>
    <x v="0"/>
    <s v="28636734"/>
    <s v="续费工单"/>
    <s v="2025-06-30 17:16"/>
    <s v="A（六个月内有报课意向工单）"/>
    <s v="考研专业课,考研集训营"/>
    <s v="大学已毕业"/>
    <s v="江西中医药大学"/>
    <s v="中医学院"/>
    <s v="中医学"/>
    <s v="高旭"/>
    <n v="5432382"/>
    <x v="0"/>
    <s v="2025-06-30 17:18"/>
    <s v="谭悦"/>
    <s v="2025-06-30 17:18"/>
    <s v="KYJY25005A"/>
    <s v="26考研英语全年集训营（强冲/英语一）"/>
    <s v="国内考试"/>
    <s v=""/>
    <n v="18083.8"/>
    <s v="同科续费"/>
    <s v=""/>
    <s v="续班"/>
    <s v="未交接"/>
    <s v="BJWY24032w1g8X"/>
    <s v="BJWY1711738229"/>
    <s v="KYJY25005A0051"/>
    <s v="2025-06-16"/>
    <m/>
    <s v="回访人：谭悦，回访时间：2025-06-30 17:16，回访内容：1；|回访人：谭悦，回访时间：2025-06-30 17:18，回访内容：1"/>
    <m/>
    <m/>
    <m/>
    <m/>
    <n v="69899313"/>
    <s v="否"/>
    <s v="26考季"/>
    <s v="全年集训营,考研专业课300"/>
    <s v="英语,政治,专业课300"/>
    <m/>
    <s v="国内高校-双非"/>
    <s v="否"/>
    <s v=""/>
    <m/>
    <s v="转出"/>
    <m/>
    <m/>
    <m/>
  </r>
  <r>
    <x v="0"/>
    <n v="37"/>
    <s v="北京大学部"/>
    <s v="国内大学部"/>
    <m/>
    <s v="93279543"/>
    <m/>
    <s v="2025-01-17 15:26:42"/>
    <s v="续费原因：【个性化项目】学生复试一对一需求/复试班课需求，学生专业课考的不错，政治和英语主观题不敢估计太高，给学生介绍了复试班课和一对一的时间，价格，优惠 学生说和家长商量一下 也要等等出分的情况（初试定制一对一+专业课+无忧班课）；该学生为保护期外续费，原顾问部门：国内大学部"/>
    <m/>
    <s v="大四"/>
    <s v="赵星火"/>
    <s v="转介绍"/>
    <s v="学管续费推荐"/>
    <m/>
    <m/>
    <m/>
    <s v="邓子萱"/>
    <x v="1"/>
    <s v="28329025"/>
    <s v="续费工单"/>
    <s v="2025-06-13 19:40"/>
    <s v="A（六个月内有报课意向工单）"/>
    <s v="考研复试班"/>
    <s v="大四"/>
    <s v="北京城市学院"/>
    <s v="经济管理学部"/>
    <s v="金融学"/>
    <s v="邓子萱"/>
    <n v="5398622"/>
    <x v="1"/>
    <s v="2025-06-14 15:21"/>
    <m/>
    <m/>
    <s v="LP17498856982112"/>
    <s v="考研一对一伴学班（26考季）"/>
    <m/>
    <s v=""/>
    <n v="0"/>
    <m/>
    <s v=""/>
    <s v="续班"/>
    <s v="未交接"/>
    <m/>
    <s v="BJWY6878369361"/>
    <m/>
    <s v="2025-06-14"/>
    <m/>
    <s v="回访人：赵星火，回访时间：2025-06-13 19:40，回访内容：1"/>
    <m/>
    <m/>
    <m/>
    <m/>
    <n v="53299500"/>
    <s v="否"/>
    <s v="25考季"/>
    <s v="考研复试班"/>
    <s v="英语"/>
    <m/>
    <s v="国内高校-双非"/>
    <s v="否"/>
    <m/>
    <m/>
    <m/>
    <m/>
    <s v="本地人本地大学(常规)"/>
    <m/>
  </r>
  <r>
    <x v="0"/>
    <n v="38"/>
    <s v="北京大学部"/>
    <s v="国内大学部"/>
    <m/>
    <s v="82243811"/>
    <m/>
    <s v="2024-08-13 11:59:07"/>
    <s v="25考研，打算考法硕非法学，想了解下北京的半年集训营，也问了线下走读班，方便回电【死单激活】；渠道录入来源：集团百度投放-易聊_x000a_意向城市：北京_x000a_访客省/城市：淄博市_x000a_qq: _x000a_访客静态ID：01000000034718899556994789708966_x000a_接待分组ID：51266_x000a_搜索引擎：_x000a_搜索词：_x000a_关键词：_x000a_设备类型：pc_x000a_访客IP：218.58.131.6_x000a_对话详细内容：AI-KvNH7xJ0CD 2024-02-27 08:59:33_x000d__x000a_您好同学，欢迎访问新东方考研，【25考研】全新升级，考研线下课程【考研全年/半年集训营】【考研冲刺营】【考研线下走读冲刺班】【25无忧计划】【考研一对一】【在职考研】火热报名中 ，现在报名更有高达8000元优惠！_x000d__x000a_考研在线课程灵活多样，优惠高达3000元！**【考研全年/半年集训营】=019481# **【考研冲刺营】=019481# **【考研线下走读冲刺班】=019481# **【25无忧计划】=019481# **【考研一对一】=019481# **【在职考研】=019481#_x000d__x000a__x000d__x000a_AI-KvNH7xJ0CD 2024-02-27 08:59:37_x000d__x000a_您是想咨询【线上课程】【线下课程】【考研规划】还是【在职考研】呢？_x000d__x000a_**【线上课程】=019481#  **【线下课程】=019481#  **【考研规划】=019481#  **【在职考研】=019481#_x000d__x000a__x000d__x000a_01000000034718899556994789708966 2024-02-27 09:02:28_x000d__x000a_你好，你们全年的学习环境图片是哪个省市的？_x000d__x000a__x000d__x000a_AI-KvNH7xJ0CD 2024-02-27 09:02:32_x000d__x000a_同学，您是在校还是在职呢？_x000d__x000a__x000d__x000a_01000000034718899556994789708966 2024-02-27 09:02:46_x000d__x000a_我是家长，山东的_x000d__x000a__x000d__x000a_AI-KvNH7xJ0CD 2024-02-27 09:02:50_x000d__x000a_具体是想报考什么学校和专业呢？_x000d__x000a__x000d__x000a_01000000034718899556994789708966 2024-02-27 09:02:57_x000d__x000a_法硕_x000d__x000a__x000d__x000a_01000000034718899556994789708966 2024-02-27 09:03:00_x000d__x000a_非法学_x000d__x000a__x000d__x000a_AI-KvNH7xJ0CD 2024-02-27 09:03:04_x000d__x000a_好的，了解。我们新东方在全国32个城市都有校区，您倾向在哪个城市上课，或者希望哪里的老师给您介绍下呢？_x000d__x000a__x000d__x000a_01000000034718899556994789708966 2024-02-27 09:03:21_x000d__x000a_我在淄博_x000d__x000a__x000d__x000a_AI-KvNH7xJ0CD 2024-02-27 09:03:25_x000d__x000a_您可以留下您的姓名和电话，我这边可以立刻安排对应校区顾问老师给您回电！_x000d__x000a__x000d__x000a_01000000034718899556994789708966 2024-02-27 09:03:37_x000d__x000a_先咨询下_x000d__x000a__x000d__x000a_AI-KvNH7xJ0CD 2024-02-27 09:03:40_x000d__x000a_这样，您电话多少，我安排考研部的老师联系您，将课程的详细内容介绍给您_x000d__x000a__x000d__x000a_01000000034718899556994789708966 2024-02-27 09:03:55_x000d__x000a_是你们总部在哪，条件会好些吗_x000d__x000a__x000d__x000a_AI-KvNH7xJ0CD 2024-02-27 09:03:58_x000d__x000a_我们在全国32个城市都有校区，您这边在哪个地区上课方便呢。_x000d__x000a__x000d__x000a_01000000034718899556994789708966 2024-02-27 09:04:01_x000d__x000a_是在北京吗_x000d__x000a__x000d__x000a_AI-KvNH7xJ0CD 2024-02-27 09:04:05_x000d__x000a_这个可以具体安排老师跟您联系一下，同学这边觉得电话方便还是微信方便呢~_x000d__x000a__x000d__x000a_01000000034718899556994789708966 2024-02-27 09:04:10_x000d__x000a_都可以_x000d__x000a__x000d__x000a_AI-KvNH7xJ0CD 2024-02-27 09:04:13_x000d__x000a_您这边方便留个联系方式吗？我们安排专业的老师跟您联系~_x000d__x000a__x000d__x000a_01000000034718899556994789708966 2024-02-27 09:04:20_x000d__x000a_可以推荐一下_x000d__x000a__x000d__x000a_AI-KvNH7xJ0CD 2024-02-27 09:04:23_x000d__x000a_好的，您看您什么时候方便，资深老师给您介绍下，针对您的情况来给些匹配建议，给些适合您当前的规划准备，咨询也是免费的，你的电话或者微信是多少呢？_x000d__x000a__x000d__x000a_01000000034718899556994789708966 2024-02-27 09:04:38_x000d__x000a_18369916805_x000d__x000a__x000d__x000a__x000a_来源页：https://www.xdf.cn/market/360/index.html?utm_source=jituan_searchengine_360_PC_360PP&amp;utm_medium=CPD&amp;utm_campaign=JTQG_360_PP_PC_PP_230530&amp;utm_term=biaoti&amp;utm_1st_id=7&amp;utm_2nd_id=64&amp;xdf_source_channel_code=59fe761d6ffee3da399cdd0c64ce312b_x000a_备注：（TMK主管分配TMK） 外呼主题：FY24-国内2月死单回访（第四周）（TMK主管分配TMK） 外呼主题：FY24-英学5月死单回访（下旬）"/>
    <s v="2024财年第9财月集团百度投放集团百度投放"/>
    <s v="大学已毕业"/>
    <s v="谭悦"/>
    <s v="线上运营-投放"/>
    <s v="总部-百度投放"/>
    <m/>
    <m/>
    <m/>
    <s v="孙艺鸣"/>
    <x v="0"/>
    <s v="28146416"/>
    <s v="续费工单"/>
    <s v="2025-06-03 11:09"/>
    <s v="A（六个月内有报课意向工单）"/>
    <s v="考研专业课,考研集训营"/>
    <s v="大五"/>
    <s v="北京工商大学"/>
    <s v="法学院"/>
    <s v="法学"/>
    <s v="孙艺鸣"/>
    <n v="5345928"/>
    <x v="0"/>
    <s v="2025-06-03 11:10"/>
    <m/>
    <m/>
    <s v="LP1748920245661"/>
    <s v="考研专业课匹配费-集训"/>
    <m/>
    <s v=""/>
    <n v="500"/>
    <m/>
    <s v=""/>
    <s v="续班"/>
    <s v="未交接"/>
    <m/>
    <s v="BJWY4215493869"/>
    <m/>
    <s v="2025-06-03"/>
    <m/>
    <s v="回访人：谭悦，回访时间：2025-06-03 11:09，回访内容：1"/>
    <m/>
    <m/>
    <m/>
    <m/>
    <n v="51534936"/>
    <s v="否"/>
    <s v="26考季"/>
    <s v="全年集训营,考研专业课300"/>
    <s v="英语,政治,专业课300"/>
    <m/>
    <s v="国内高校-双非"/>
    <s v="否"/>
    <m/>
    <m/>
    <m/>
    <m/>
    <s v="外地人本地大学(常规)"/>
    <m/>
  </r>
  <r>
    <x v="0"/>
    <n v="39"/>
    <s v="北京大学部"/>
    <s v="国内大学部"/>
    <m/>
    <s v="116243253"/>
    <m/>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m/>
    <m/>
    <m/>
    <s v="张霄翮"/>
    <x v="0"/>
    <s v="28741462"/>
    <s v="续费工单"/>
    <s v="2025-06-30 21:21"/>
    <s v="A（六个月内有报课意向工单）"/>
    <s v="考研专业课,考研无忧计划"/>
    <s v="大四"/>
    <s v="东北大学"/>
    <s v="江河建筑学院"/>
    <s v="建筑学"/>
    <s v="张霄翮"/>
    <n v="5462238"/>
    <x v="0"/>
    <s v="2025-06-30 21:21"/>
    <s v="谭悦"/>
    <s v="2025-07-01 10:10"/>
    <s v="WYFE26008"/>
    <s v="考研英语无忧计划蜂鸟（26考研/英二冲刺）"/>
    <s v="国内考试"/>
    <s v=""/>
    <n v="3172.8"/>
    <s v="同科续费"/>
    <s v=""/>
    <s v="续班"/>
    <s v="已交接"/>
    <s v="BJWY25030q8UPI"/>
    <s v="BJWY1043586545"/>
    <s v="WYFE260080009"/>
    <s v="2025-06-30"/>
    <m/>
    <s v="回访人：谭悦，回访时间：2025-06-30 21:21，回访内容：1；|回访人：谭悦，回访时间：2025-06-30 21:21，回访内容：1"/>
    <m/>
    <m/>
    <m/>
    <m/>
    <n v="80558403"/>
    <s v="否"/>
    <s v="26考季"/>
    <s v="无忧计划-蜂鸟,考研专业课150"/>
    <s v="英语,政治,数学,专业课150"/>
    <m/>
    <s v="国内高校-985"/>
    <s v="是"/>
    <s v=""/>
    <m/>
    <s v="转出"/>
    <m/>
    <s v="外地人外地大学(常规)"/>
    <m/>
  </r>
  <r>
    <x v="0"/>
    <n v="40"/>
    <s v="北京大学部"/>
    <s v="国内大学部"/>
    <m/>
    <s v="116243253"/>
    <m/>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m/>
    <m/>
    <m/>
    <s v="张霄翮"/>
    <x v="0"/>
    <s v="28741462"/>
    <s v="续费工单"/>
    <s v="2025-06-30 21:21"/>
    <s v="A（六个月内有报课意向工单）"/>
    <s v="考研专业课,考研无忧计划"/>
    <s v="大四"/>
    <s v="东北大学"/>
    <s v="江河建筑学院"/>
    <s v="建筑学"/>
    <s v="张霄翮"/>
    <n v="5462238"/>
    <x v="0"/>
    <s v="2025-06-30 21:21"/>
    <s v="谭悦"/>
    <s v="2025-07-01 10:10"/>
    <s v="WYFE26007"/>
    <s v="考研英语无忧计划蜂鸟（26考研/英二强化）"/>
    <s v="国内考试"/>
    <s v=""/>
    <n v="6660.6"/>
    <s v="同科续费"/>
    <s v=""/>
    <s v="续班"/>
    <s v="已交接"/>
    <s v="BJWY25030q8UPI"/>
    <s v="BJWY1043586545"/>
    <s v="WYFE260070009"/>
    <s v="2025-06-30"/>
    <m/>
    <s v="回访人：谭悦，回访时间：2025-06-30 21:21，回访内容：1；|回访人：谭悦，回访时间：2025-06-30 21:21，回访内容：1"/>
    <m/>
    <m/>
    <m/>
    <m/>
    <n v="80558403"/>
    <s v="否"/>
    <s v="26考季"/>
    <s v="无忧计划-蜂鸟,考研专业课150"/>
    <s v="英语,政治,数学,专业课150"/>
    <m/>
    <s v="国内高校-985"/>
    <s v="是"/>
    <s v=""/>
    <m/>
    <s v="转出"/>
    <m/>
    <s v="外地人外地大学(常规)"/>
    <m/>
  </r>
  <r>
    <x v="0"/>
    <n v="41"/>
    <s v="北京大学部"/>
    <s v="国内大学部"/>
    <m/>
    <s v="91763456"/>
    <m/>
    <s v="2024-12-29 12:04:05"/>
    <s v="死单激活分配赵星火"/>
    <s v=""/>
    <s v="大一"/>
    <s v="赵星火"/>
    <s v="新东方官网"/>
    <s v="新东方PC官网"/>
    <m/>
    <m/>
    <m/>
    <s v="赵佳妮"/>
    <x v="1"/>
    <s v="28729697"/>
    <s v="续费工单"/>
    <s v="2025-06-30 18:52"/>
    <s v="A（六个月内有报课意向工单）"/>
    <s v="六级"/>
    <s v="大二"/>
    <s v="北京林业大学"/>
    <s v="林学院"/>
    <s v="林学"/>
    <s v="赵佳妮"/>
    <n v="5461707"/>
    <x v="1"/>
    <s v="2025-06-30 19:06"/>
    <s v="赵星火"/>
    <s v="2025-06-30 19:06"/>
    <s v="WYS25035"/>
    <s v="六级无忧计划"/>
    <s v="国内考试"/>
    <s v=""/>
    <n v="5680"/>
    <s v="扩科续费"/>
    <s v=""/>
    <s v="续班"/>
    <s v="已交接"/>
    <s v="WebReg"/>
    <s v="BJWY4527677924"/>
    <s v="WYS250350018"/>
    <s v="2025-06-30"/>
    <m/>
    <s v="回访人：赵星火，回访时间：2025-06-30 18:52，回访内容：1；|回访人：赵星火，回访时间：2025-06-30 19:06，回访内容：1"/>
    <m/>
    <m/>
    <m/>
    <m/>
    <n v="59702269"/>
    <s v="否"/>
    <s v="25下考季"/>
    <s v="六级无忧计划"/>
    <s v=""/>
    <m/>
    <s v="国内高校-211"/>
    <s v="是"/>
    <s v=""/>
    <m/>
    <s v="报名"/>
    <m/>
    <s v="本地人本地大学(常规)"/>
    <m/>
  </r>
  <r>
    <x v="0"/>
    <n v="42"/>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KYJY25012"/>
    <s v="26考研英语半年集训营（基础/七月）"/>
    <s v="国内考试"/>
    <s v=""/>
    <n v="9724.1"/>
    <m/>
    <s v=""/>
    <s v="新签"/>
    <s v="已交接"/>
    <s v="BJWY2101498uW2"/>
    <s v="BJWY5556110989"/>
    <s v="KYJY250120049"/>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s v="报名"/>
    <m/>
    <s v="本地人本地大学(常规)"/>
    <s v="新媒体管家-点评"/>
  </r>
  <r>
    <x v="0"/>
    <n v="43"/>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KYJZ25012"/>
    <s v="26考研政治半年集训营（基础/七月）"/>
    <s v="国内考试"/>
    <s v=""/>
    <n v="6864.8"/>
    <m/>
    <s v=""/>
    <s v="新签"/>
    <s v="已交接"/>
    <s v="BJWY2101498uW2"/>
    <s v="BJWY5556110989"/>
    <s v="KYJZ250120041"/>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s v="报名"/>
    <m/>
    <s v="本地人本地大学(常规)"/>
    <s v="新媒体管家-点评"/>
  </r>
  <r>
    <x v="0"/>
    <n v="44"/>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KYJJZ2501"/>
    <s v="26考研经综半年集训营"/>
    <s v="国内考试"/>
    <s v=""/>
    <n v="25000"/>
    <m/>
    <s v=""/>
    <s v="新签"/>
    <s v="已交接"/>
    <s v="BJWY2101498uW2"/>
    <s v="BJWY5556110989"/>
    <s v="KYJJZ25010010"/>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s v="报名"/>
    <m/>
    <s v="本地人本地大学(常规)"/>
    <s v="新媒体管家-点评"/>
  </r>
  <r>
    <x v="0"/>
    <n v="45"/>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KYZ25011"/>
    <s v="26考研半年集训营（住宿费/七月）"/>
    <s v="国内考试"/>
    <s v=""/>
    <n v="24800"/>
    <m/>
    <s v=""/>
    <s v="新签"/>
    <s v="已交接"/>
    <s v="BJWY2101498uW2"/>
    <s v="BJWY5556110989"/>
    <s v="KYZ250110047"/>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s v="报名"/>
    <m/>
    <s v="本地人本地大学(常规)"/>
    <s v="新媒体管家-点评"/>
  </r>
  <r>
    <x v="0"/>
    <n v="46"/>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KYJY25013A"/>
    <s v="26考研英语半年集训营（强冲/英语二）"/>
    <s v="国内考试"/>
    <s v=""/>
    <n v="14825.9"/>
    <m/>
    <s v=""/>
    <s v="新签"/>
    <s v="已交接"/>
    <s v="BJWY2101498uW2"/>
    <s v="BJWY5556110989"/>
    <s v="KYJY25013A0060"/>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s v="报名"/>
    <m/>
    <s v="本地人本地大学(常规)"/>
    <s v="新媒体管家-点评"/>
  </r>
  <r>
    <x v="0"/>
    <n v="47"/>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KYJZ25013A"/>
    <s v="26考研政治半年集训营（强冲）"/>
    <s v="国内考试"/>
    <s v=""/>
    <n v="9685.2000000000007"/>
    <m/>
    <s v=""/>
    <s v="新签"/>
    <s v="已交接"/>
    <s v="BJWY2101498uW2"/>
    <s v="BJWY5556110989"/>
    <s v="KYJZ25013A0045"/>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s v="报名"/>
    <m/>
    <s v="本地人本地大学(常规)"/>
    <s v="新媒体管家-点评"/>
  </r>
  <r>
    <x v="0"/>
    <n v="48"/>
    <s v="北京大学部"/>
    <s v="国内大学部"/>
    <s v="未知"/>
    <s v="116388103"/>
    <s v="吕猛"/>
    <s v="2025-06-27 00:18:50"/>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2026财年第1财月大众点评在线咨询"/>
    <m/>
    <s v="谭悦"/>
    <s v="线上运营-本地生活平台"/>
    <s v="大众点评"/>
    <s v=""/>
    <m/>
    <m/>
    <s v="黄一诺"/>
    <x v="0"/>
    <s v="28622758"/>
    <s v="正常工单"/>
    <s v="2025-06-27 15:30"/>
    <s v="A（六个月内有报课意向工单）"/>
    <s v="考研专业课,考研集训营"/>
    <s v="大四"/>
    <s v="北京服装学院"/>
    <s v="服装艺术与工程学院"/>
    <s v="服装设计与工程"/>
    <s v="黄一诺"/>
    <n v="5460668"/>
    <x v="0"/>
    <s v="2025-06-30 14:38"/>
    <s v="谭悦"/>
    <s v="2025-06-30 14:39"/>
    <s v="LP17512614561757"/>
    <s v="考研初试专业课一对一（26考研/集训30小时）"/>
    <s v="国内考试"/>
    <s v=""/>
    <n v="11300"/>
    <m/>
    <s v=""/>
    <s v="新签"/>
    <s v="已交接"/>
    <s v="BJWY2101498uW2"/>
    <s v="BJWY5556110989"/>
    <m/>
    <s v="2025-06-30"/>
    <m/>
    <s v="回访人：谭悦，回访时间：2025-06-27 15:30，回访内容：26考研，大四毕业，二战，家住在朝阳大悦城，考虑走读班或者住宿集训，；|回访人：谭悦，回访时间：2025-06-29 19:59，回访内容：微信跟进中，明天来营地参观沟通   ；|回访人：谭悦，回访时间：2025-06-30 14:38，回访内容：签约 "/>
    <m/>
    <m/>
    <m/>
    <m/>
    <n v="80739300"/>
    <s v="否"/>
    <s v="26考季"/>
    <s v="半年集训营,考研专业课150"/>
    <s v="英语,政治,经综,专业课150"/>
    <s v="其他"/>
    <s v="国内高校-双非"/>
    <s v="是"/>
    <s v=""/>
    <m/>
    <m/>
    <m/>
    <s v="本地人本地大学(常规)"/>
    <s v="新媒体管家-点评"/>
  </r>
  <r>
    <x v="0"/>
    <n v="49"/>
    <s v="北京大学部"/>
    <s v="国内大学部"/>
    <s v="张家长"/>
    <s v="102473626"/>
    <s v="杨沫"/>
    <s v="2025-05-14 14:34:40"/>
    <s v="杨莹莹+yangyingying18@xdf.cn+ID+北京学校-运营管理部-东南区-刘家窑角门分中心_x000a_谭悦"/>
    <s v=""/>
    <s v="大一"/>
    <s v="谭悦"/>
    <s v="转介绍"/>
    <s v="内部员工推荐"/>
    <s v="杨莹莹+yangyingying18@xdf.cn+ID+北京学校-运营管理部-东南区-刘家窑角门分中心"/>
    <m/>
    <m/>
    <s v="张雅琦"/>
    <x v="0"/>
    <s v="27893786"/>
    <s v="正常工单"/>
    <s v="2025-06-30 17:07"/>
    <s v="A（六个月内有报课意向工单）"/>
    <s v="四级"/>
    <s v="大一"/>
    <s v="衡水学院"/>
    <s v="外国语学院"/>
    <s v="英语"/>
    <s v="张雅琦"/>
    <n v="5433340"/>
    <x v="0"/>
    <s v="2025-06-30 21:12"/>
    <s v="谭悦"/>
    <s v="2025-07-01 10:10"/>
    <s v="ZVVA26001"/>
    <s v="四级暑假集训营（24H冲刺直播）"/>
    <s v="国内考试"/>
    <s v=""/>
    <n v="15000"/>
    <m/>
    <s v="杨莹莹+yangyingying18@xdf.cn+ID+北京学校-运营管理部-东南区-刘家窑角门分中心"/>
    <s v="新签"/>
    <s v="已交接"/>
    <s v="WebReg"/>
    <s v="BJWY4095691646"/>
    <s v="ZVVA260010028"/>
    <s v="2025-06-30"/>
    <m/>
    <s v="回访人：谭悦，回访时间：2025-06-23 19:05，回访内容：不回复  ；|回访人：程远，回访时间：2025-06-30 17:07，回访内容：程远恢复工单, 系统自动生成回访记录!；|回访人：谭悦，回访时间：2025-06-30 21:12，回访内容：准备报名 "/>
    <m/>
    <m/>
    <m/>
    <m/>
    <n v="70439422"/>
    <s v="否"/>
    <s v="25下考季"/>
    <s v="四级无忧计划"/>
    <s v=""/>
    <m/>
    <s v="国内高校-双非"/>
    <s v="是"/>
    <s v=""/>
    <m/>
    <s v="报名"/>
    <m/>
    <s v="外地人外地大学(常规)"/>
    <s v="客服"/>
  </r>
  <r>
    <x v="0"/>
    <n v="50"/>
    <s v="北京大学部"/>
    <s v="国内大学部"/>
    <s v="未告知"/>
    <s v="116595589"/>
    <s v="赵秋侠"/>
    <s v="2025-06-28 18:10:08"/>
    <s v=""/>
    <s v=""/>
    <s v="高三"/>
    <s v="赵星火"/>
    <s v="转介绍"/>
    <s v="内部员工推荐"/>
    <s v="王佳琦+wangjiaqi65@xdf.cn+ID+产业机构-大学事业部-大学沈阳中心-考研项目部-销售管理部"/>
    <m/>
    <m/>
    <s v="邵春晖"/>
    <x v="1"/>
    <s v="28690651"/>
    <s v="正常工单"/>
    <s v="2025-06-28 18:23"/>
    <s v="A（六个月内有报课意向工单）"/>
    <s v="大学预科"/>
    <s v="高三"/>
    <s v="鞍山市鞍钢高中"/>
    <s v="新大一"/>
    <s v="新大一"/>
    <s v="邵春晖"/>
    <n v="5433321"/>
    <x v="1"/>
    <s v="2025-06-30 21:08"/>
    <s v="赵星火"/>
    <s v="2025-06-30 21:08"/>
    <s v="ZVVA26001"/>
    <s v="四级暑假集训营（24H冲刺直播）"/>
    <s v="国内考试"/>
    <s v=""/>
    <n v="15000"/>
    <m/>
    <s v="王佳琦+wangjiaqi65@xdf.cn+ID+产业机构-大学事业部-大学沈阳中心-考研项目部-销售管理部"/>
    <s v="新签"/>
    <s v="已交接"/>
    <s v="WebReg"/>
    <s v="BJWY5696578429"/>
    <s v="ZVVA260010027"/>
    <s v="2025-06-30"/>
    <m/>
    <s v="回访人：赵星火，回访时间：2025-06-28 18:23，回访内容：想要集训学习，北京这边也有地方住，就比较远，想要学习听说和背单词，关注学习管理给到四级集训介绍；|回访人：赵星火，回访时间：2025-06-30 16:49，回访内容：跟进学生担心不放心，跟进学生情况继续维护中。；|回访人：赵星火，回访时间：2025-06-30 21:08，回访内容：1"/>
    <m/>
    <m/>
    <m/>
    <m/>
    <n v="80705238"/>
    <s v="否"/>
    <m/>
    <s v=""/>
    <s v=""/>
    <m/>
    <s v="国内高校-双非"/>
    <s v="是"/>
    <s v=""/>
    <m/>
    <s v="报名"/>
    <m/>
    <m/>
    <s v="客服"/>
  </r>
  <r>
    <x v="0"/>
    <n v="51"/>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33214"/>
    <x v="1"/>
    <s v="2025-06-30 20:34"/>
    <s v="谭悦"/>
    <s v="2025-06-30 20:34"/>
    <m/>
    <m/>
    <s v="国内考试"/>
    <s v=""/>
    <n v="45450"/>
    <s v="同科续费"/>
    <s v=""/>
    <s v="分单"/>
    <s v="已交接"/>
    <m/>
    <s v="BJWY4965756550"/>
    <m/>
    <m/>
    <m/>
    <s v="回访人：谭悦，回访时间：2025-06-30 20:33，回访内容：1；|回访人：谭悦，回访时间：2025-06-30 20:34，回访内容：签约 "/>
    <m/>
    <m/>
    <m/>
    <m/>
    <n v="64203758"/>
    <s v="否"/>
    <s v="26考季"/>
    <s v="半年集训营"/>
    <s v="英语,政治,经综"/>
    <m/>
    <s v="国内高校-211"/>
    <s v="否"/>
    <s v=""/>
    <m/>
    <m/>
    <m/>
    <s v="外地人本地大学(常规)"/>
    <m/>
  </r>
  <r>
    <x v="0"/>
    <n v="52"/>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E26074"/>
    <s v="考研英语无忧计划（26考研/英一强化）"/>
    <s v="国内考试"/>
    <s v=""/>
    <n v="3160.65"/>
    <m/>
    <s v=""/>
    <s v="新签"/>
    <s v="已交接"/>
    <s v="BJWY2101498uW2"/>
    <s v="BJWY2280140260"/>
    <s v="WYE260740058"/>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3"/>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M26033"/>
    <s v="考研数学无忧计划（26考研/冲刺）"/>
    <s v="国内考试"/>
    <s v=""/>
    <n v="1705.3"/>
    <m/>
    <s v=""/>
    <s v="新签"/>
    <s v="已交接"/>
    <s v="BJWY2101498uW2"/>
    <s v="BJWY2280140260"/>
    <s v="WYM260330037"/>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4"/>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P26065"/>
    <s v="考研政治无忧计划（26考研/强化）"/>
    <s v="国内考试"/>
    <s v=""/>
    <n v="1948.95"/>
    <m/>
    <s v=""/>
    <s v="新签"/>
    <s v="已交接"/>
    <s v="BJWY2101498uW2"/>
    <s v="BJWY2280140260"/>
    <s v="WYP260650010"/>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5"/>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M26032"/>
    <s v="考研数学无忧计划（26考研/强化）"/>
    <s v="国内考试"/>
    <s v=""/>
    <n v="3573.05"/>
    <m/>
    <s v=""/>
    <s v="新签"/>
    <s v="已交接"/>
    <s v="BJWY2101498uW2"/>
    <s v="BJWY2280140260"/>
    <s v="WYM260320036"/>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6"/>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M26031"/>
    <s v="考研数学无忧计划（26考研/基础）"/>
    <s v="国内考试"/>
    <s v=""/>
    <n v="2354.9499999999998"/>
    <m/>
    <s v=""/>
    <s v="新签"/>
    <s v="已交接"/>
    <s v="BJWY2101498uW2"/>
    <s v="BJWY2280140260"/>
    <s v="WYM260310036"/>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7"/>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P26066"/>
    <s v="考研政治无忧计划（26考研/冲刺）"/>
    <s v="国内考试"/>
    <s v=""/>
    <n v="2314.35"/>
    <m/>
    <s v=""/>
    <s v="新签"/>
    <s v="已交接"/>
    <s v="BJWY2101498uW2"/>
    <s v="BJWY2280140260"/>
    <s v="WYP260660010"/>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8"/>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E26078"/>
    <s v="考研英语无忧计划（26考研/基础）"/>
    <s v="国内考试"/>
    <s v=""/>
    <n v="2598.6"/>
    <m/>
    <s v=""/>
    <s v="新签"/>
    <s v="已交接"/>
    <s v="BJWY2101498uW2"/>
    <s v="BJWY2280140260"/>
    <s v="WYE260780014"/>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59"/>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E26075"/>
    <s v="考研英语无忧计划（26考研/英一冲刺）"/>
    <s v="国内考试"/>
    <s v=""/>
    <n v="1624.1"/>
    <m/>
    <s v=""/>
    <s v="新签"/>
    <s v="已交接"/>
    <s v="BJWY2101498uW2"/>
    <s v="BJWY2280140260"/>
    <s v="WYE260750058"/>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60"/>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WYP26064"/>
    <s v="考研政治无忧计划（26考研/基础）"/>
    <s v="国内考试"/>
    <s v=""/>
    <n v="3370.05"/>
    <m/>
    <s v=""/>
    <s v="新签"/>
    <s v="已交接"/>
    <s v="BJWY2101498uW2"/>
    <s v="BJWY2280140260"/>
    <s v="WYP260640010"/>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s v="报名"/>
    <m/>
    <s v="本地人本地大学(常规)"/>
    <s v="客服"/>
  </r>
  <r>
    <x v="0"/>
    <n v="61"/>
    <s v="北京大学部"/>
    <s v="国内大学部"/>
    <s v="孙亚静"/>
    <s v="116530527"/>
    <s v="赵秋侠"/>
    <s v="2025-06-28 13:56:04"/>
    <s v="魏公村直访"/>
    <s v=""/>
    <s v="大三"/>
    <s v="谭悦"/>
    <s v="直访"/>
    <s v="直访"/>
    <s v=""/>
    <m/>
    <m/>
    <s v="李星仪"/>
    <x v="0"/>
    <s v="28705832"/>
    <s v="正常工单"/>
    <s v="2025-06-28 15:16"/>
    <s v="A（六个月内有报课意向工单）"/>
    <s v="考研专业课,考研无忧计划"/>
    <s v="大三"/>
    <s v="北京林业大学"/>
    <s v="信息学院"/>
    <s v="计算机科学与技术"/>
    <s v="李星仪"/>
    <n v="5433070"/>
    <x v="0"/>
    <s v="2025-06-30 19:59"/>
    <s v="谭悦"/>
    <s v="2025-06-30 20:00"/>
    <s v="LP17512816676211"/>
    <s v="考研初试专业课一对一（26考研/无忧30小时）"/>
    <s v="国内考试"/>
    <s v=""/>
    <n v="5250"/>
    <m/>
    <s v=""/>
    <s v="新签"/>
    <s v="已交接"/>
    <s v="BJWY2101498uW2"/>
    <s v="BJWY2280140260"/>
    <m/>
    <s v="2025-06-30"/>
    <m/>
    <s v="回访人：谭悦，回访时间：2025-06-28 15:16，回访内容：学生：李星仪  _x000a_专业：电子信息  _x000a_院校：北京林业大学 _x000a_年级：大三  _x000a_四六级 都过 数学有基础    目标院校 没有定现在复习进度就是英语背单词了 数学还可以 专业课刚学完    规划 北交   ，北京科技大学   推荐啄木鸟 也考虑候鸟 已经发送试听课；|回访人：谭悦，回访时间：2025-06-29 22:29，回访内容：跟进中 逼单  ；|回访人：谭悦，回访时间：2025-06-30 19:59，回访内容：签约 "/>
    <m/>
    <m/>
    <m/>
    <m/>
    <n v="74492611"/>
    <s v="否"/>
    <s v="26考季"/>
    <s v="无忧计划-啄木鸟,考研专业课150"/>
    <s v="英语,政治,数学,专业课150"/>
    <s v="其他"/>
    <s v="国内高校-211"/>
    <s v="是"/>
    <s v=""/>
    <m/>
    <m/>
    <m/>
    <s v="本地人本地大学(常规)"/>
    <s v="客服"/>
  </r>
  <r>
    <x v="0"/>
    <n v="62"/>
    <s v="北京大学部"/>
    <s v="国内大学部"/>
    <m/>
    <s v="78869656"/>
    <m/>
    <s v="2024-07-04 11:22:02"/>
    <s v="刚高考完，咨询英语四级方面的辅导，现在方便电话联系；刚高考完，咨询英语四级方面的辅导，现在方便电话联系"/>
    <s v=""/>
    <s v="大一"/>
    <s v="王若飞(离职)"/>
    <s v="线上运营-本地生活平台"/>
    <s v="大众点评"/>
    <m/>
    <m/>
    <m/>
    <s v="阮江"/>
    <x v="0"/>
    <s v="27663688"/>
    <s v="续费工单"/>
    <s v="2025-04-24 18:03"/>
    <s v="A（六个月内有报课意向工单）"/>
    <s v="四级"/>
    <s v="大一"/>
    <s v="北京工业大学"/>
    <s v="信息学部"/>
    <s v="物联网工程"/>
    <s v="阮江"/>
    <n v="5433040"/>
    <x v="0"/>
    <s v="2025-06-30 19:50"/>
    <s v="谭悦"/>
    <s v="2025-06-30 19:50"/>
    <s v="ZVVA26001"/>
    <s v="四级暑假集训营（24H冲刺直播）"/>
    <s v="国内考试"/>
    <s v=""/>
    <n v="15000"/>
    <s v="同科续费"/>
    <s v=""/>
    <s v="续班"/>
    <s v="已交接"/>
    <s v="BJWY2011wXCx1W"/>
    <s v="BJWY4575112970"/>
    <s v="ZVVA260010026"/>
    <s v="2025-06-30"/>
    <m/>
    <s v="回访人：谭悦，回访时间：2025-06-28 20:57，回访内容：微信跟进中，考研学习   ；|回访人：谭悦，回访时间：2025-06-30 14:06，回访内容：准备报名暑假集训 ；|回访人：谭悦，回访时间：2025-06-30 19:50，回访内容：1"/>
    <m/>
    <m/>
    <m/>
    <m/>
    <n v="59834457"/>
    <s v="否"/>
    <s v="25下考季"/>
    <s v="四级无忧计划"/>
    <s v=""/>
    <m/>
    <s v="国内高校-211"/>
    <s v="是"/>
    <s v=""/>
    <m/>
    <s v="报名"/>
    <m/>
    <s v="本地人本地大学(常规)"/>
    <m/>
  </r>
  <r>
    <x v="0"/>
    <n v="63"/>
    <s v="北京大学部"/>
    <s v="国内大学部"/>
    <s v="陈政宇同学"/>
    <s v="98581283"/>
    <s v="吴凯龙"/>
    <s v="2025-04-01 14:19:49"/>
    <s v="谭悦老师内部员工推荐工单"/>
    <s v=""/>
    <s v="大三"/>
    <s v="谭悦"/>
    <s v="转介绍"/>
    <s v="内部员工推荐"/>
    <s v="杨莹莹+yangyingying18@xdf.cn+ID+北京学校-运营管理部"/>
    <m/>
    <m/>
    <s v="陈政宇"/>
    <x v="0"/>
    <s v="27417879"/>
    <s v="续费工单"/>
    <s v="2025-04-01 14:38"/>
    <s v="A（六个月内有报课意向工单）"/>
    <s v="考研VIP"/>
    <s v="大三"/>
    <s v="中央音乐学院"/>
    <s v="音乐学系"/>
    <s v="音乐学"/>
    <s v="陈政宇"/>
    <n v="5432904"/>
    <x v="0"/>
    <s v="2025-06-30 19:13"/>
    <s v="谭悦"/>
    <s v="2025-06-30 19:17"/>
    <s v="LP17512820076320"/>
    <s v="26考研一对一伴学（50h/无忧）"/>
    <s v="国内考试"/>
    <s v=""/>
    <n v="40000"/>
    <m/>
    <s v="杨莹莹+yangyingying18@xdf.cn+ID+北京学校-运营管理部"/>
    <s v="续班"/>
    <s v="已交接"/>
    <m/>
    <s v="BJWY1881829500"/>
    <m/>
    <s v="2025-06-30"/>
    <m/>
    <s v="回访人：谭悦，回访时间：2025-06-24 18:08，回访内容：微信跟进 一对一续费   ；|回访人：谭悦，回访时间：2025-06-30 15:23，回访内容：微信跟进中，半年营 一直没报   "/>
    <m/>
    <m/>
    <m/>
    <m/>
    <n v="51892257"/>
    <s v="否"/>
    <s v="26考季"/>
    <s v="VIP - 伴学"/>
    <s v="英语,政治"/>
    <s v="其他"/>
    <s v="国内高校-211"/>
    <s v="是"/>
    <s v=""/>
    <m/>
    <m/>
    <m/>
    <s v="本地人本地大学(常规)"/>
    <s v="客服"/>
  </r>
  <r>
    <x v="0"/>
    <n v="64"/>
    <s v="北京大学部"/>
    <s v="国内大学部"/>
    <s v="李同学"/>
    <s v="116621997"/>
    <s v="杨沫"/>
    <s v="2025-06-29 15:39:34"/>
    <s v="知春路直访"/>
    <s v=""/>
    <s v="大三"/>
    <s v="张俊旺"/>
    <s v="直访"/>
    <s v="直访"/>
    <s v=""/>
    <m/>
    <m/>
    <s v="李广地"/>
    <x v="0"/>
    <s v="28716368"/>
    <s v="正常工单"/>
    <s v="2025-06-29 20:28"/>
    <s v="A（六个月内有报课意向工单）"/>
    <s v="考研无忧计划"/>
    <s v="大三"/>
    <s v="北京工业大学"/>
    <s v="信息学部"/>
    <s v="通信工程"/>
    <s v="李广地"/>
    <n v="5431884"/>
    <x v="0"/>
    <s v="2025-06-30 14:55"/>
    <s v="谭悦"/>
    <s v="2025-06-30 14:56"/>
    <s v="WYHM2604"/>
    <s v="考研数学无忧计划候鸟（26考研/基础强化）"/>
    <s v="国内考试"/>
    <s v=""/>
    <n v="5502.55"/>
    <m/>
    <s v=""/>
    <s v="新签"/>
    <s v="已交接"/>
    <s v="BJWY25030q8UPI"/>
    <s v="BJWY6311842248"/>
    <s v="WYHM26040030"/>
    <s v="2025-06-30"/>
    <m/>
    <s v="回访人：张俊旺，回访时间：2025-06-29 15:49，回访内容：校区面谈中；|回访人：张俊旺，回访时间：2025-06-29 19:04，回访内容：谭悦老师沟通，晚上决定；|回访人：谭悦，回访时间：2025-06-29 20:56，回访内容：准备报名  ；|回访人：谭悦，回访时间：2025-06-30 14:55，回访内容：签约"/>
    <m/>
    <m/>
    <m/>
    <m/>
    <n v="80723875"/>
    <s v="否"/>
    <s v="26考季"/>
    <s v="无忧计划-候鸟"/>
    <s v="英语,政治,数学"/>
    <s v="其他"/>
    <s v="国内高校-211"/>
    <s v="是"/>
    <s v=""/>
    <m/>
    <s v="报名"/>
    <m/>
    <s v="本地人本地大学(常规)"/>
    <s v="客服"/>
  </r>
  <r>
    <x v="0"/>
    <n v="65"/>
    <s v="北京大学部"/>
    <s v="国内大学部"/>
    <s v="李同学"/>
    <s v="116621997"/>
    <s v="杨沫"/>
    <s v="2025-06-29 15:39:34"/>
    <s v="知春路直访"/>
    <s v=""/>
    <s v="大三"/>
    <s v="张俊旺"/>
    <s v="直访"/>
    <s v="直访"/>
    <s v=""/>
    <m/>
    <m/>
    <s v="李广地"/>
    <x v="0"/>
    <s v="28716368"/>
    <s v="正常工单"/>
    <s v="2025-06-29 20:28"/>
    <s v="A（六个月内有报课意向工单）"/>
    <s v="考研无忧计划"/>
    <s v="大三"/>
    <s v="北京工业大学"/>
    <s v="信息学部"/>
    <s v="通信工程"/>
    <s v="李广地"/>
    <n v="5431884"/>
    <x v="0"/>
    <s v="2025-06-30 14:55"/>
    <s v="谭悦"/>
    <s v="2025-06-30 14:56"/>
    <s v="WYHP26002"/>
    <s v="考研政治无忧计划候鸟（26考研/冲刺）"/>
    <s v="国内考试"/>
    <s v=""/>
    <n v="797.45"/>
    <m/>
    <s v=""/>
    <s v="新签"/>
    <s v="已交接"/>
    <s v="BJWY25030q8UPI"/>
    <s v="BJWY6311842248"/>
    <s v="WYHP260020097"/>
    <s v="2025-06-30"/>
    <m/>
    <s v="回访人：张俊旺，回访时间：2025-06-29 15:49，回访内容：校区面谈中；|回访人：张俊旺，回访时间：2025-06-29 19:04，回访内容：谭悦老师沟通，晚上决定；|回访人：谭悦，回访时间：2025-06-29 20:56，回访内容：准备报名  ；|回访人：谭悦，回访时间：2025-06-30 14:55，回访内容：签约"/>
    <m/>
    <m/>
    <m/>
    <m/>
    <n v="80723875"/>
    <s v="否"/>
    <s v="26考季"/>
    <s v="无忧计划-候鸟"/>
    <s v="英语,政治,数学"/>
    <s v="其他"/>
    <s v="国内高校-211"/>
    <s v="是"/>
    <s v=""/>
    <m/>
    <s v="报名"/>
    <m/>
    <s v="本地人本地大学(常规)"/>
    <s v="客服"/>
  </r>
  <r>
    <x v="0"/>
    <n v="66"/>
    <s v="北京大学部"/>
    <s v="国内大学部"/>
    <s v="李同学"/>
    <s v="116621997"/>
    <s v="杨沫"/>
    <s v="2025-06-29 15:39:34"/>
    <s v="知春路直访"/>
    <s v=""/>
    <s v="大三"/>
    <s v="张俊旺"/>
    <s v="直访"/>
    <s v="直访"/>
    <s v=""/>
    <m/>
    <m/>
    <s v="李广地"/>
    <x v="0"/>
    <s v="28716368"/>
    <s v="正常工单"/>
    <s v="2025-06-29 20:28"/>
    <s v="A（六个月内有报课意向工单）"/>
    <s v="考研无忧计划"/>
    <s v="大三"/>
    <s v="北京工业大学"/>
    <s v="信息学部"/>
    <s v="通信工程"/>
    <s v="李广地"/>
    <n v="5431884"/>
    <x v="0"/>
    <s v="2025-06-30 14:55"/>
    <s v="谭悦"/>
    <s v="2025-06-30 14:56"/>
    <s v="WYHE26005"/>
    <s v="考研英语无忧计划候鸟（26考研/英一冲刺）"/>
    <s v="国内考试"/>
    <s v=""/>
    <n v="797.45"/>
    <m/>
    <s v=""/>
    <s v="新签"/>
    <s v="已交接"/>
    <s v="BJWY25030q8UPI"/>
    <s v="BJWY6311842248"/>
    <s v="WYHE260050090"/>
    <s v="2025-06-30"/>
    <m/>
    <s v="回访人：张俊旺，回访时间：2025-06-29 15:49，回访内容：校区面谈中；|回访人：张俊旺，回访时间：2025-06-29 19:04，回访内容：谭悦老师沟通，晚上决定；|回访人：谭悦，回访时间：2025-06-29 20:56，回访内容：准备报名  ；|回访人：谭悦，回访时间：2025-06-30 14:55，回访内容：签约"/>
    <m/>
    <m/>
    <m/>
    <m/>
    <n v="80723875"/>
    <s v="否"/>
    <s v="26考季"/>
    <s v="无忧计划-候鸟"/>
    <s v="英语,政治,数学"/>
    <s v="其他"/>
    <s v="国内高校-211"/>
    <s v="是"/>
    <s v=""/>
    <m/>
    <s v="报名"/>
    <m/>
    <s v="本地人本地大学(常规)"/>
    <s v="客服"/>
  </r>
  <r>
    <x v="0"/>
    <n v="67"/>
    <s v="北京大学部"/>
    <s v="国内大学部"/>
    <s v="李同学"/>
    <s v="116621997"/>
    <s v="杨沫"/>
    <s v="2025-06-29 15:39:34"/>
    <s v="知春路直访"/>
    <s v=""/>
    <s v="大三"/>
    <s v="张俊旺"/>
    <s v="直访"/>
    <s v="直访"/>
    <s v=""/>
    <m/>
    <m/>
    <s v="李广地"/>
    <x v="0"/>
    <s v="28716368"/>
    <s v="正常工单"/>
    <s v="2025-06-29 20:28"/>
    <s v="A（六个月内有报课意向工单）"/>
    <s v="考研无忧计划"/>
    <s v="大三"/>
    <s v="北京工业大学"/>
    <s v="信息学部"/>
    <s v="通信工程"/>
    <s v="李广地"/>
    <n v="5431884"/>
    <x v="0"/>
    <s v="2025-06-30 14:55"/>
    <s v="谭悦"/>
    <s v="2025-06-30 14:56"/>
    <s v="WYHE26007"/>
    <s v="考研英语无忧计划候鸟（26考研/基础强化）"/>
    <s v="国内考试"/>
    <s v=""/>
    <n v="5502.55"/>
    <m/>
    <s v=""/>
    <s v="新签"/>
    <s v="已交接"/>
    <s v="BJWY25030q8UPI"/>
    <s v="BJWY6311842248"/>
    <s v="WYHE260070006"/>
    <s v="2025-06-30"/>
    <m/>
    <s v="回访人：张俊旺，回访时间：2025-06-29 15:49，回访内容：校区面谈中；|回访人：张俊旺，回访时间：2025-06-29 19:04，回访内容：谭悦老师沟通，晚上决定；|回访人：谭悦，回访时间：2025-06-29 20:56，回访内容：准备报名  ；|回访人：谭悦，回访时间：2025-06-30 14:55，回访内容：签约"/>
    <m/>
    <m/>
    <m/>
    <m/>
    <n v="80723875"/>
    <s v="否"/>
    <s v="26考季"/>
    <s v="无忧计划-候鸟"/>
    <s v="英语,政治,数学"/>
    <s v="其他"/>
    <s v="国内高校-211"/>
    <s v="是"/>
    <s v=""/>
    <m/>
    <s v="报名"/>
    <m/>
    <s v="本地人本地大学(常规)"/>
    <s v="客服"/>
  </r>
  <r>
    <x v="0"/>
    <n v="68"/>
    <s v="北京大学部"/>
    <s v="国内大学部"/>
    <s v="李同学"/>
    <s v="116621997"/>
    <s v="杨沫"/>
    <s v="2025-06-29 15:39:34"/>
    <s v="知春路直访"/>
    <s v=""/>
    <s v="大三"/>
    <s v="张俊旺"/>
    <s v="直访"/>
    <s v="直访"/>
    <s v=""/>
    <m/>
    <m/>
    <s v="李广地"/>
    <x v="0"/>
    <s v="28716368"/>
    <s v="正常工单"/>
    <s v="2025-06-29 20:28"/>
    <s v="A（六个月内有报课意向工单）"/>
    <s v="考研无忧计划"/>
    <s v="大三"/>
    <s v="北京工业大学"/>
    <s v="信息学部"/>
    <s v="通信工程"/>
    <s v="李广地"/>
    <n v="5431884"/>
    <x v="0"/>
    <s v="2025-06-30 14:55"/>
    <s v="谭悦"/>
    <s v="2025-06-30 14:56"/>
    <s v="WYHP2605"/>
    <s v="考研政治无忧计划候鸟（26考研/基础强化）"/>
    <s v="国内考试"/>
    <s v=""/>
    <n v="5502.55"/>
    <m/>
    <s v=""/>
    <s v="新签"/>
    <s v="已交接"/>
    <s v="BJWY25030q8UPI"/>
    <s v="BJWY6311842248"/>
    <s v="WYHP26050048"/>
    <s v="2025-06-30"/>
    <m/>
    <s v="回访人：张俊旺，回访时间：2025-06-29 15:49，回访内容：校区面谈中；|回访人：张俊旺，回访时间：2025-06-29 19:04，回访内容：谭悦老师沟通，晚上决定；|回访人：谭悦，回访时间：2025-06-29 20:56，回访内容：准备报名  ；|回访人：谭悦，回访时间：2025-06-30 14:55，回访内容：签约"/>
    <m/>
    <m/>
    <m/>
    <m/>
    <n v="80723875"/>
    <s v="否"/>
    <s v="26考季"/>
    <s v="无忧计划-候鸟"/>
    <s v="英语,政治,数学"/>
    <s v="其他"/>
    <s v="国内高校-211"/>
    <s v="是"/>
    <s v=""/>
    <m/>
    <s v="报名"/>
    <m/>
    <s v="本地人本地大学(常规)"/>
    <s v="客服"/>
  </r>
  <r>
    <x v="0"/>
    <n v="69"/>
    <s v="北京大学部"/>
    <s v="国内大学部"/>
    <s v="李同学"/>
    <s v="116621997"/>
    <s v="杨沫"/>
    <s v="2025-06-29 15:39:34"/>
    <s v="知春路直访"/>
    <s v=""/>
    <s v="大三"/>
    <s v="张俊旺"/>
    <s v="直访"/>
    <s v="直访"/>
    <s v=""/>
    <m/>
    <m/>
    <s v="李广地"/>
    <x v="0"/>
    <s v="28716368"/>
    <s v="正常工单"/>
    <s v="2025-06-29 20:28"/>
    <s v="A（六个月内有报课意向工单）"/>
    <s v="考研无忧计划"/>
    <s v="大三"/>
    <s v="北京工业大学"/>
    <s v="信息学部"/>
    <s v="通信工程"/>
    <s v="李广地"/>
    <n v="5431884"/>
    <x v="0"/>
    <s v="2025-06-30 14:55"/>
    <s v="谭悦"/>
    <s v="2025-06-30 14:56"/>
    <s v="WYHM26002"/>
    <s v="考研数学无忧计划候鸟（26考研/冲刺）"/>
    <s v="国内考试"/>
    <s v=""/>
    <n v="547.45000000000005"/>
    <m/>
    <s v=""/>
    <s v="新签"/>
    <s v="已交接"/>
    <s v="BJWY25030q8UPI"/>
    <s v="BJWY6311842248"/>
    <s v="WYHM260020069"/>
    <s v="2025-06-30"/>
    <m/>
    <s v="回访人：张俊旺，回访时间：2025-06-29 15:49，回访内容：校区面谈中；|回访人：张俊旺，回访时间：2025-06-29 19:04，回访内容：谭悦老师沟通，晚上决定；|回访人：谭悦，回访时间：2025-06-29 20:56，回访内容：准备报名  ；|回访人：谭悦，回访时间：2025-06-30 14:55，回访内容：签约"/>
    <m/>
    <m/>
    <m/>
    <m/>
    <n v="80723875"/>
    <s v="否"/>
    <s v="26考季"/>
    <s v="无忧计划-候鸟"/>
    <s v="英语,政治,数学"/>
    <s v="其他"/>
    <s v="国内高校-211"/>
    <s v="是"/>
    <s v=""/>
    <m/>
    <s v="报名"/>
    <m/>
    <s v="本地人本地大学(常规)"/>
    <s v="客服"/>
  </r>
  <r>
    <x v="0"/>
    <n v="70"/>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06395"/>
    <x v="0"/>
    <s v="2025-06-30 20:34"/>
    <s v="谭悦"/>
    <s v="2025-06-30 20:34"/>
    <s v="KYJZ25012"/>
    <s v="26考研政治半年集训营（基础/七月）"/>
    <s v="国内考试"/>
    <s v=""/>
    <n v="3432.3"/>
    <s v="同科续费"/>
    <s v=""/>
    <s v="续班"/>
    <s v="已交接"/>
    <s v="BJWY2101498uW2"/>
    <s v="BJWY4965756550"/>
    <s v="KYJZ250120042"/>
    <s v="2025-06-30"/>
    <m/>
    <s v="回访人：谭悦，回访时间：2025-06-30 20:33，回访内容：1；|回访人：谭悦，回访时间：2025-06-30 20:34，回访内容：签约 "/>
    <m/>
    <m/>
    <m/>
    <m/>
    <n v="64203758"/>
    <s v="否"/>
    <s v="26考季"/>
    <s v="半年集训营"/>
    <s v="英语,政治,经综"/>
    <m/>
    <s v="国内高校-211"/>
    <s v="是"/>
    <s v=""/>
    <m/>
    <s v="报名"/>
    <m/>
    <s v="外地人本地大学(常规)"/>
    <m/>
  </r>
  <r>
    <x v="0"/>
    <n v="71"/>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06395"/>
    <x v="0"/>
    <s v="2025-06-30 20:34"/>
    <s v="谭悦"/>
    <s v="2025-06-30 20:34"/>
    <s v="KYJY25012"/>
    <s v="26考研英语半年集训营（基础/七月）"/>
    <s v="国内考试"/>
    <s v=""/>
    <n v="4862.1499999999996"/>
    <s v="同科续费"/>
    <s v=""/>
    <s v="续班"/>
    <s v="已交接"/>
    <s v="BJWY2101498uW2"/>
    <s v="BJWY4965756550"/>
    <s v="KYJY250120050"/>
    <s v="2025-06-30"/>
    <m/>
    <s v="回访人：谭悦，回访时间：2025-06-30 20:33，回访内容：1；|回访人：谭悦，回访时间：2025-06-30 20:34，回访内容：签约 "/>
    <m/>
    <m/>
    <m/>
    <m/>
    <n v="64203758"/>
    <s v="否"/>
    <s v="26考季"/>
    <s v="半年集训营"/>
    <s v="英语,政治,经综"/>
    <m/>
    <s v="国内高校-211"/>
    <s v="是"/>
    <s v=""/>
    <m/>
    <s v="报名"/>
    <m/>
    <s v="外地人本地大学(常规)"/>
    <m/>
  </r>
  <r>
    <x v="0"/>
    <n v="72"/>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06395"/>
    <x v="0"/>
    <s v="2025-06-30 20:34"/>
    <s v="谭悦"/>
    <s v="2025-06-30 20:34"/>
    <s v="KYJJZ2501"/>
    <s v="26考研经综半年集训营"/>
    <s v="国内考试"/>
    <s v=""/>
    <n v="12250"/>
    <s v="同科续费"/>
    <s v=""/>
    <s v="续班"/>
    <s v="已交接"/>
    <s v="BJWY2101498uW2"/>
    <s v="BJWY4965756550"/>
    <s v="KYJJZ25010011"/>
    <s v="2025-06-30"/>
    <m/>
    <s v="回访人：谭悦，回访时间：2025-06-30 20:33，回访内容：1；|回访人：谭悦，回访时间：2025-06-30 20:34，回访内容：签约 "/>
    <m/>
    <m/>
    <m/>
    <m/>
    <n v="64203758"/>
    <s v="否"/>
    <s v="26考季"/>
    <s v="半年集训营"/>
    <s v="英语,政治,经综"/>
    <m/>
    <s v="国内高校-211"/>
    <s v="是"/>
    <s v=""/>
    <m/>
    <s v="报名"/>
    <m/>
    <s v="外地人本地大学(常规)"/>
    <m/>
  </r>
  <r>
    <x v="0"/>
    <n v="73"/>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06395"/>
    <x v="0"/>
    <s v="2025-06-30 20:34"/>
    <s v="谭悦"/>
    <s v="2025-06-30 20:34"/>
    <s v="KYZ25011"/>
    <s v="26考研半年集训营（住宿费/七月）"/>
    <s v="国内考试"/>
    <s v=""/>
    <n v="12400"/>
    <s v="同科续费"/>
    <s v=""/>
    <s v="续班"/>
    <s v="已交接"/>
    <s v="BJWY2101498uW2"/>
    <s v="BJWY4965756550"/>
    <s v="KYZ250110048"/>
    <s v="2025-06-30"/>
    <m/>
    <s v="回访人：谭悦，回访时间：2025-06-30 20:33，回访内容：1；|回访人：谭悦，回访时间：2025-06-30 20:34，回访内容：签约 "/>
    <m/>
    <m/>
    <m/>
    <m/>
    <n v="64203758"/>
    <s v="否"/>
    <s v="26考季"/>
    <s v="半年集训营"/>
    <s v="英语,政治,经综"/>
    <m/>
    <s v="国内高校-211"/>
    <s v="是"/>
    <s v=""/>
    <m/>
    <s v="报名"/>
    <m/>
    <s v="外地人本地大学(常规)"/>
    <m/>
  </r>
  <r>
    <x v="0"/>
    <n v="74"/>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06395"/>
    <x v="0"/>
    <s v="2025-06-30 20:34"/>
    <s v="谭悦"/>
    <s v="2025-06-30 20:34"/>
    <s v="KYJY25013A"/>
    <s v="26考研英语半年集训营（强冲/英语二）"/>
    <s v="国内考试"/>
    <s v=""/>
    <n v="7662.95"/>
    <s v="同科续费"/>
    <s v=""/>
    <s v="续班"/>
    <s v="已交接"/>
    <s v="BJWY2101498uW2"/>
    <s v="BJWY4965756550"/>
    <s v="KYJY25013A0061"/>
    <s v="2025-06-30"/>
    <m/>
    <s v="回访人：谭悦，回访时间：2025-06-30 20:33，回访内容：1；|回访人：谭悦，回访时间：2025-06-30 20:34，回访内容：签约 "/>
    <m/>
    <m/>
    <m/>
    <m/>
    <n v="64203758"/>
    <s v="否"/>
    <s v="26考季"/>
    <s v="半年集训营"/>
    <s v="英语,政治,经综"/>
    <m/>
    <s v="国内高校-211"/>
    <s v="是"/>
    <s v=""/>
    <m/>
    <s v="报名"/>
    <m/>
    <s v="外地人本地大学(常规)"/>
    <m/>
  </r>
  <r>
    <x v="0"/>
    <n v="75"/>
    <s v="北京大学部"/>
    <s v="国内大学部"/>
    <m/>
    <s v="100254299"/>
    <m/>
    <s v="2025-04-20 11:16:06"/>
    <s v="死单激活分配赵星火 外呼主题：FY25-英学1-4月无效资源回访（1.1-4.13）"/>
    <m/>
    <s v="大三"/>
    <s v="赵星火"/>
    <s v="线上运营-本地生活平台"/>
    <s v="知了好学"/>
    <m/>
    <m/>
    <m/>
    <s v="王英帆"/>
    <x v="0"/>
    <s v="28730425"/>
    <s v="续费工单"/>
    <s v="2025-06-30 20:33"/>
    <s v="A（六个月内有报课意向工单）"/>
    <s v="考研集训营"/>
    <s v="大四"/>
    <s v="北京邮电大学"/>
    <s v="电子工程学院"/>
    <s v="电子信息科学与技术"/>
    <s v="王英帆"/>
    <n v="5406395"/>
    <x v="0"/>
    <s v="2025-06-30 20:34"/>
    <s v="谭悦"/>
    <s v="2025-06-30 20:34"/>
    <s v="KYJZ25013A"/>
    <s v="26考研政治半年集训营（强冲）"/>
    <s v="国内考试"/>
    <s v=""/>
    <n v="4842.6000000000004"/>
    <s v="同科续费"/>
    <s v=""/>
    <s v="续班"/>
    <s v="已交接"/>
    <s v="BJWY2101498uW2"/>
    <s v="BJWY4965756550"/>
    <s v="KYJZ25013A0046"/>
    <s v="2025-06-30"/>
    <m/>
    <s v="回访人：谭悦，回访时间：2025-06-30 20:33，回访内容：1；|回访人：谭悦，回访时间：2025-06-30 20:34，回访内容：签约 "/>
    <m/>
    <m/>
    <m/>
    <m/>
    <n v="64203758"/>
    <s v="否"/>
    <s v="26考季"/>
    <s v="半年集训营"/>
    <s v="英语,政治,经综"/>
    <m/>
    <s v="国内高校-211"/>
    <s v="是"/>
    <s v=""/>
    <m/>
    <s v="报名"/>
    <m/>
    <s v="外地人本地大学(常规)"/>
    <m/>
  </r>
  <r>
    <x v="0"/>
    <n v="76"/>
    <s v="北京大学部"/>
    <s v="国内大学部"/>
    <s v="未知"/>
    <s v="116588102"/>
    <s v="李雪68"/>
    <s v="2025-06-28 14:23:29"/>
    <s v="李娜78+lina78@xdf.cn+ID+产业机构-国际教育培训事业部-国际教育北京中心-美研部-服务管理中心-班课项目_x000a_"/>
    <s v=""/>
    <s v="大三"/>
    <s v="谭悦"/>
    <s v="转介绍"/>
    <s v="内部员工推荐"/>
    <s v="李娜78+lina78@xdf.cn+ID+产业机构-国际教育培训事业部-国际教育北京中心-美研部-服务管理中心-班课项目"/>
    <m/>
    <m/>
    <s v="孙凌飞"/>
    <x v="0"/>
    <s v="28704919"/>
    <s v="正常工单"/>
    <s v="2025-06-28 14:28"/>
    <s v="A（六个月内有报课意向工单）"/>
    <s v="考研无忧计划"/>
    <s v="大三"/>
    <s v="天津大学"/>
    <s v="生命科学学院"/>
    <s v="生物科学"/>
    <s v="孙凌飞"/>
    <n v="5405910"/>
    <x v="0"/>
    <s v="2025-06-30 14:44"/>
    <s v="谭悦"/>
    <s v="2025-06-30 14:44"/>
    <s v="WYHP2605"/>
    <s v="考研政治无忧计划候鸟（26考研/基础强化）"/>
    <s v="国内考试"/>
    <s v=""/>
    <n v="10330.4"/>
    <m/>
    <s v="李娜78+lina78@xdf.cn+ID+产业机构-国际教育培训事业部-国际教育北京中心-美研部-服务管理中心-班课项目"/>
    <s v="新签"/>
    <s v="已交接"/>
    <s v="BJWY25030q8UPI"/>
    <s v="BJWY1285019618"/>
    <s v="WYHP26050047"/>
    <s v="2025-06-30"/>
    <m/>
    <s v="回访人：谭悦，回访时间：2025-06-28 14:28，回访内容：咨询英语班课   ；|回访人：谭悦，回访时间：2025-06-29 21:17，回访内容：微信跟进中 考研学习规划 ；|回访人：谭悦，回访时间：2025-06-29 21:41，回访内容：准备报名 候鸟英政  ；|回访人：谭悦，回访时间：2025-06-30 14:44，回访内容：签约"/>
    <m/>
    <m/>
    <m/>
    <m/>
    <n v="30897544"/>
    <s v="否"/>
    <s v="26考季"/>
    <s v="无忧计划-候鸟"/>
    <s v="英语,政治"/>
    <s v="其他"/>
    <s v="国内高校-985"/>
    <s v="是"/>
    <s v=""/>
    <m/>
    <s v="报名"/>
    <m/>
    <s v="外地人外地大学(常规)"/>
    <s v="客服"/>
  </r>
  <r>
    <x v="0"/>
    <n v="77"/>
    <s v="北京大学部"/>
    <s v="国内大学部"/>
    <s v="未知"/>
    <s v="116588102"/>
    <s v="李雪68"/>
    <s v="2025-06-28 14:23:29"/>
    <s v="李娜78+lina78@xdf.cn+ID+产业机构-国际教育培训事业部-国际教育北京中心-美研部-服务管理中心-班课项目_x000a_"/>
    <s v=""/>
    <s v="大三"/>
    <s v="谭悦"/>
    <s v="转介绍"/>
    <s v="内部员工推荐"/>
    <s v="李娜78+lina78@xdf.cn+ID+产业机构-国际教育培训事业部-国际教育北京中心-美研部-服务管理中心-班课项目"/>
    <m/>
    <m/>
    <s v="孙凌飞"/>
    <x v="0"/>
    <s v="28704919"/>
    <s v="正常工单"/>
    <s v="2025-06-28 14:28"/>
    <s v="A（六个月内有报课意向工单）"/>
    <s v="考研无忧计划"/>
    <s v="大三"/>
    <s v="天津大学"/>
    <s v="生命科学学院"/>
    <s v="生物科学"/>
    <s v="孙凌飞"/>
    <n v="5405910"/>
    <x v="0"/>
    <s v="2025-06-30 14:44"/>
    <s v="谭悦"/>
    <s v="2025-06-30 14:44"/>
    <s v="WYHP26002"/>
    <s v="考研政治无忧计划候鸟（26考研/冲刺）"/>
    <s v="国内考试"/>
    <s v=""/>
    <n v="1569.6"/>
    <m/>
    <s v="李娜78+lina78@xdf.cn+ID+产业机构-国际教育培训事业部-国际教育北京中心-美研部-服务管理中心-班课项目"/>
    <s v="新签"/>
    <s v="已交接"/>
    <s v="BJWY25030q8UPI"/>
    <s v="BJWY1285019618"/>
    <s v="WYHP260020096"/>
    <s v="2025-06-30"/>
    <m/>
    <s v="回访人：谭悦，回访时间：2025-06-28 14:28，回访内容：咨询英语班课   ；|回访人：谭悦，回访时间：2025-06-29 21:17，回访内容：微信跟进中 考研学习规划 ；|回访人：谭悦，回访时间：2025-06-29 21:41，回访内容：准备报名 候鸟英政  ；|回访人：谭悦，回访时间：2025-06-30 14:44，回访内容：签约"/>
    <m/>
    <m/>
    <m/>
    <m/>
    <n v="30897544"/>
    <s v="否"/>
    <s v="26考季"/>
    <s v="无忧计划-候鸟"/>
    <s v="英语,政治"/>
    <s v="其他"/>
    <s v="国内高校-985"/>
    <s v="是"/>
    <s v=""/>
    <m/>
    <s v="报名"/>
    <m/>
    <s v="外地人外地大学(常规)"/>
    <s v="客服"/>
  </r>
  <r>
    <x v="0"/>
    <n v="78"/>
    <s v="北京大学部"/>
    <s v="国内大学部"/>
    <s v="未知"/>
    <s v="116588102"/>
    <s v="李雪68"/>
    <s v="2025-06-28 14:23:29"/>
    <s v="李娜78+lina78@xdf.cn+ID+产业机构-国际教育培训事业部-国际教育北京中心-美研部-服务管理中心-班课项目_x000a_"/>
    <s v=""/>
    <s v="大三"/>
    <s v="谭悦"/>
    <s v="转介绍"/>
    <s v="内部员工推荐"/>
    <s v="李娜78+lina78@xdf.cn+ID+产业机构-国际教育培训事业部-国际教育北京中心-美研部-服务管理中心-班课项目"/>
    <m/>
    <m/>
    <s v="孙凌飞"/>
    <x v="0"/>
    <s v="28704919"/>
    <s v="正常工单"/>
    <s v="2025-06-28 14:28"/>
    <s v="A（六个月内有报课意向工单）"/>
    <s v="考研无忧计划"/>
    <s v="大三"/>
    <s v="天津大学"/>
    <s v="生命科学学院"/>
    <s v="生物科学"/>
    <s v="孙凌飞"/>
    <n v="5405910"/>
    <x v="0"/>
    <s v="2025-06-30 14:44"/>
    <s v="谭悦"/>
    <s v="2025-06-30 14:44"/>
    <s v="WYHE26007"/>
    <s v="考研英语无忧计划候鸟（26考研/基础强化）"/>
    <s v="国内考试"/>
    <s v=""/>
    <n v="10830.4"/>
    <m/>
    <s v="李娜78+lina78@xdf.cn+ID+产业机构-国际教育培训事业部-国际教育北京中心-美研部-服务管理中心-班课项目"/>
    <s v="新签"/>
    <s v="已交接"/>
    <s v="BJWY25030q8UPI"/>
    <s v="BJWY1285019618"/>
    <s v="WYHE260070005"/>
    <s v="2025-06-30"/>
    <m/>
    <s v="回访人：谭悦，回访时间：2025-06-28 14:28，回访内容：咨询英语班课   ；|回访人：谭悦，回访时间：2025-06-29 21:17，回访内容：微信跟进中 考研学习规划 ；|回访人：谭悦，回访时间：2025-06-29 21:41，回访内容：准备报名 候鸟英政  ；|回访人：谭悦，回访时间：2025-06-30 14:44，回访内容：签约"/>
    <m/>
    <m/>
    <m/>
    <m/>
    <n v="30897544"/>
    <s v="否"/>
    <s v="26考季"/>
    <s v="无忧计划-候鸟"/>
    <s v="英语,政治"/>
    <s v="其他"/>
    <s v="国内高校-985"/>
    <s v="是"/>
    <s v=""/>
    <m/>
    <s v="报名"/>
    <m/>
    <s v="外地人外地大学(常规)"/>
    <s v="客服"/>
  </r>
  <r>
    <x v="0"/>
    <n v="79"/>
    <s v="北京大学部"/>
    <s v="国内大学部"/>
    <s v="未知"/>
    <s v="116588102"/>
    <s v="李雪68"/>
    <s v="2025-06-28 14:23:29"/>
    <s v="李娜78+lina78@xdf.cn+ID+产业机构-国际教育培训事业部-国际教育北京中心-美研部-服务管理中心-班课项目_x000a_"/>
    <s v=""/>
    <s v="大三"/>
    <s v="谭悦"/>
    <s v="转介绍"/>
    <s v="内部员工推荐"/>
    <s v="李娜78+lina78@xdf.cn+ID+产业机构-国际教育培训事业部-国际教育北京中心-美研部-服务管理中心-班课项目"/>
    <m/>
    <m/>
    <s v="孙凌飞"/>
    <x v="0"/>
    <s v="28704919"/>
    <s v="正常工单"/>
    <s v="2025-06-28 14:28"/>
    <s v="A（六个月内有报课意向工单）"/>
    <s v="考研无忧计划"/>
    <s v="大三"/>
    <s v="天津大学"/>
    <s v="生命科学学院"/>
    <s v="生物科学"/>
    <s v="孙凌飞"/>
    <n v="5405910"/>
    <x v="0"/>
    <s v="2025-06-30 14:44"/>
    <s v="谭悦"/>
    <s v="2025-06-30 14:44"/>
    <s v="WYHE26005"/>
    <s v="考研英语无忧计划候鸟（26考研/英一冲刺）"/>
    <s v="国内考试"/>
    <s v=""/>
    <n v="1569.6"/>
    <m/>
    <s v="李娜78+lina78@xdf.cn+ID+产业机构-国际教育培训事业部-国际教育北京中心-美研部-服务管理中心-班课项目"/>
    <s v="新签"/>
    <s v="已交接"/>
    <s v="BJWY25030q8UPI"/>
    <s v="BJWY1285019618"/>
    <s v="WYHE260050089"/>
    <s v="2025-06-30"/>
    <m/>
    <s v="回访人：谭悦，回访时间：2025-06-28 14:28，回访内容：咨询英语班课   ；|回访人：谭悦，回访时间：2025-06-29 21:17，回访内容：微信跟进中 考研学习规划 ；|回访人：谭悦，回访时间：2025-06-29 21:41，回访内容：准备报名 候鸟英政  ；|回访人：谭悦，回访时间：2025-06-30 14:44，回访内容：签约"/>
    <m/>
    <m/>
    <m/>
    <m/>
    <n v="30897544"/>
    <s v="否"/>
    <s v="26考季"/>
    <s v="无忧计划-候鸟"/>
    <s v="英语,政治"/>
    <s v="其他"/>
    <s v="国内高校-985"/>
    <s v="是"/>
    <s v=""/>
    <m/>
    <s v="报名"/>
    <m/>
    <s v="外地人外地大学(常规)"/>
    <s v="客服"/>
  </r>
  <r>
    <x v="0"/>
    <n v="80"/>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E27029"/>
    <s v="考研英语无忧计划（27考研/英一冲刺）"/>
    <s v="国内考试"/>
    <s v=""/>
    <n v="2141.0500000000002"/>
    <m/>
    <s v=""/>
    <s v="新签"/>
    <s v="已交接"/>
    <s v="BJWY25030q8UPI"/>
    <s v="BJWY1992073878"/>
    <s v="WYE270290007"/>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1"/>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S25035"/>
    <s v="六级无忧计划"/>
    <s v="国内考试"/>
    <s v=""/>
    <n v="1982"/>
    <m/>
    <s v=""/>
    <s v="新签"/>
    <s v="已交接"/>
    <s v="BJWY25030q8UPI"/>
    <s v="BJWY1992073878"/>
    <s v="WYS250350015"/>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2"/>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E27014"/>
    <s v="考研英语无忧计划（27考研/英一强化）"/>
    <s v="国内考试"/>
    <s v=""/>
    <n v="2569.25"/>
    <m/>
    <s v=""/>
    <s v="新签"/>
    <s v="已交接"/>
    <s v="BJWY25030q8UPI"/>
    <s v="BJWY1992073878"/>
    <s v="WYE270140016"/>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3"/>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P27011"/>
    <s v="考研政治无忧计划（27考研/强化）"/>
    <s v="国内考试"/>
    <s v=""/>
    <n v="1468.15"/>
    <m/>
    <s v=""/>
    <s v="新签"/>
    <s v="已交接"/>
    <s v="BJWY25030q8UPI"/>
    <s v="BJWY1992073878"/>
    <s v="WYP270110034"/>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4"/>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E27013"/>
    <s v="考研英语无忧计划（27考研/基础）"/>
    <s v="国内考试"/>
    <s v=""/>
    <n v="1957.5"/>
    <m/>
    <s v=""/>
    <s v="新签"/>
    <s v="已交接"/>
    <s v="BJWY25030q8UPI"/>
    <s v="BJWY1992073878"/>
    <s v="WYE270130041"/>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5"/>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P27012"/>
    <s v="考研政治无忧计划（27考研/冲刺）"/>
    <s v="国内考试"/>
    <s v=""/>
    <n v="1743.4"/>
    <m/>
    <s v=""/>
    <s v="新签"/>
    <s v="已交接"/>
    <s v="BJWY25030q8UPI"/>
    <s v="BJWY1992073878"/>
    <s v="WYP270120034"/>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6"/>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WYP27010"/>
    <s v="考研政治无忧计划（27考研/基础）"/>
    <s v="国内考试"/>
    <s v=""/>
    <n v="2288.65"/>
    <m/>
    <s v=""/>
    <s v="新签"/>
    <s v="已交接"/>
    <s v="BJWY25030q8UPI"/>
    <s v="BJWY1992073878"/>
    <s v="WYP270100034"/>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s v="报名"/>
    <m/>
    <s v="本地人本地大学(常规)"/>
    <s v="客服"/>
  </r>
  <r>
    <x v="0"/>
    <n v="87"/>
    <s v="北京大学部"/>
    <s v="国内大学部"/>
    <s v="肖咏茜"/>
    <s v="116647541"/>
    <s v="赵秋侠"/>
    <s v="2025-06-29 16:27:15"/>
    <s v="魏公村直访"/>
    <s v=""/>
    <s v="未知"/>
    <s v="赵星火"/>
    <s v="直访"/>
    <s v="直访"/>
    <s v=""/>
    <m/>
    <m/>
    <s v="肖咏茜"/>
    <x v="1"/>
    <s v="28700257"/>
    <s v="正常工单"/>
    <s v="2025-06-29 18:39"/>
    <s v="A（六个月内有报课意向工单）"/>
    <s v="考研专业课,考研无忧计划"/>
    <s v="大二"/>
    <s v="首都师范大学"/>
    <s v="美术学院"/>
    <s v="美术学"/>
    <s v="肖咏茜"/>
    <n v="5430845"/>
    <x v="1"/>
    <s v="2025-06-29 20:15"/>
    <s v="赵星火"/>
    <s v="2025-06-29 20:15"/>
    <s v="LP17511988705598"/>
    <s v="考研初试专业课一对一（27考研/无忧50小时）"/>
    <s v="国内考试"/>
    <s v=""/>
    <n v="10500"/>
    <m/>
    <s v=""/>
    <s v="新签"/>
    <s v="已交接"/>
    <s v="BJWY25030q8UPI"/>
    <s v="BJWY1992073878"/>
    <m/>
    <s v="2025-06-29"/>
    <m/>
    <s v="回访人：赵星火，回访时间：2025-06-29 18:39，回访内容：1；|回访人：赵星火，回访时间：2025-06-29 19:33，回访内容：预计缴费跟进学生情况中_x000a_首都师范大学美术师范大二的学生考美术，学这个专业都可以，他们是公费师范生，不允许考其他的专业。了解了北京这边的院校还有考试科目课程，介绍了27无忧计划；|回访人：赵星火，回访时间：2025-06-29 20:15，回访内容：1"/>
    <m/>
    <m/>
    <m/>
    <m/>
    <n v="80714734"/>
    <s v="否"/>
    <s v="27考季"/>
    <s v="无忧计划-啄木鸟,考研专业课300"/>
    <s v="英语,政治,专业课300"/>
    <s v="其他"/>
    <s v="国内高校-双一流(非985/211)"/>
    <s v="是"/>
    <s v=""/>
    <m/>
    <m/>
    <m/>
    <s v="本地人本地大学(常规)"/>
    <s v="客服"/>
  </r>
  <r>
    <x v="0"/>
    <n v="88"/>
    <s v="北京大学部"/>
    <s v="国内大学部"/>
    <s v="未知"/>
    <s v="116359782"/>
    <s v="李雪68"/>
    <s v="2025-06-26 20:06:28"/>
    <s v="激活"/>
    <s v=""/>
    <s v="大三"/>
    <s v="谭悦"/>
    <s v="毛坯数据"/>
    <s v="毛坯数据"/>
    <s v=""/>
    <m/>
    <m/>
    <s v="孙钰宸"/>
    <x v="0"/>
    <s v="28610085"/>
    <s v="续费工单"/>
    <s v="2025-06-26 20:34"/>
    <s v="A（六个月内有报课意向工单）"/>
    <s v="考研专业课,考研集训营"/>
    <s v="大三"/>
    <s v="辽宁大学"/>
    <s v="商学院"/>
    <s v="会计学1"/>
    <s v="孙钰宸"/>
    <n v="5430405"/>
    <x v="0"/>
    <s v="2025-06-29 17:20"/>
    <s v="谭悦"/>
    <s v="2025-06-29 21:00"/>
    <s v="KYZ25017"/>
    <s v="26考研OMO全程集训营（住宿费/英管）"/>
    <s v="国内考试"/>
    <s v=""/>
    <n v="6240"/>
    <m/>
    <s v=""/>
    <s v="续班"/>
    <s v="已交接"/>
    <s v="BJWY25030q8UPI"/>
    <s v="BJWY6660576687"/>
    <s v="KYZ250170020"/>
    <s v="2025-06-29"/>
    <m/>
    <s v="回访人：谭悦，回访时间：2025-06-26 20:34，回访内容：跟进会计专硕，暑假集训营   ；|回访人：谭悦，回访时间：2025-06-28 16:12，回访内容：微信不回复 联系不上  ；|回访人：谭悦，回访时间：2025-06-29 17:20，回访内容：准备报名 "/>
    <m/>
    <m/>
    <m/>
    <m/>
    <n v="30886307"/>
    <s v="否"/>
    <s v="26考季"/>
    <s v="暑假集训营,考研专业课管综"/>
    <s v="英语,管综"/>
    <s v="其他"/>
    <s v="国内高校-211"/>
    <s v="是"/>
    <s v=""/>
    <m/>
    <s v="报名"/>
    <m/>
    <s v="外地人外地大学(常规)"/>
    <s v="客服"/>
  </r>
  <r>
    <x v="0"/>
    <n v="89"/>
    <s v="北京大学部"/>
    <s v="国内大学部"/>
    <s v="未知"/>
    <s v="116359782"/>
    <s v="李雪68"/>
    <s v="2025-06-26 20:06:28"/>
    <s v="激活"/>
    <s v=""/>
    <s v="大三"/>
    <s v="谭悦"/>
    <s v="毛坯数据"/>
    <s v="毛坯数据"/>
    <s v=""/>
    <m/>
    <m/>
    <s v="孙钰宸"/>
    <x v="0"/>
    <s v="28610085"/>
    <s v="续费工单"/>
    <s v="2025-06-26 20:34"/>
    <s v="A（六个月内有报课意向工单）"/>
    <s v="考研专业课,考研集训营"/>
    <s v="大三"/>
    <s v="辽宁大学"/>
    <s v="商学院"/>
    <s v="会计学1"/>
    <s v="孙钰宸"/>
    <n v="5430405"/>
    <x v="0"/>
    <s v="2025-06-29 17:20"/>
    <s v="谭悦"/>
    <s v="2025-06-29 21:00"/>
    <s v="KYJY25017"/>
    <s v="26考研英语OMO全程集训营（政英二联报）"/>
    <s v="国内考试"/>
    <s v=""/>
    <n v="14029.4"/>
    <m/>
    <s v=""/>
    <s v="续班"/>
    <s v="已交接"/>
    <s v="BJWY25030q8UPI"/>
    <s v="BJWY6660576687"/>
    <s v="KYJY250170063"/>
    <s v="2025-06-29"/>
    <m/>
    <s v="回访人：谭悦，回访时间：2025-06-26 20:34，回访内容：跟进会计专硕，暑假集训营   ；|回访人：谭悦，回访时间：2025-06-28 16:12，回访内容：微信不回复 联系不上  ；|回访人：谭悦，回访时间：2025-06-29 17:20，回访内容：准备报名 "/>
    <m/>
    <m/>
    <m/>
    <m/>
    <n v="30886307"/>
    <s v="否"/>
    <s v="26考季"/>
    <s v="暑假集训营,考研专业课管综"/>
    <s v="英语,管综"/>
    <s v="其他"/>
    <s v="国内高校-211"/>
    <s v="是"/>
    <s v=""/>
    <m/>
    <s v="报名"/>
    <m/>
    <s v="外地人外地大学(常规)"/>
    <s v="客服"/>
  </r>
  <r>
    <x v="0"/>
    <n v="90"/>
    <s v="北京大学部"/>
    <s v="国内大学部"/>
    <s v="未知"/>
    <s v="116359782"/>
    <s v="李雪68"/>
    <s v="2025-06-26 20:06:28"/>
    <s v="激活"/>
    <s v=""/>
    <s v="大三"/>
    <s v="谭悦"/>
    <s v="毛坯数据"/>
    <s v="毛坯数据"/>
    <s v=""/>
    <m/>
    <m/>
    <s v="孙钰宸"/>
    <x v="0"/>
    <s v="28610085"/>
    <s v="续费工单"/>
    <s v="2025-06-26 20:34"/>
    <s v="A（六个月内有报课意向工单）"/>
    <s v="考研专业课,考研集训营"/>
    <s v="大三"/>
    <s v="辽宁大学"/>
    <s v="商学院"/>
    <s v="会计学1"/>
    <s v="孙钰宸"/>
    <n v="5430405"/>
    <x v="0"/>
    <s v="2025-06-29 17:20"/>
    <s v="谭悦"/>
    <s v="2025-06-29 21:00"/>
    <s v="KYJGZ2502"/>
    <s v="26考研管综OMO全程集训营"/>
    <s v="国内考试"/>
    <s v=""/>
    <n v="15030.6"/>
    <m/>
    <s v=""/>
    <s v="续班"/>
    <s v="已交接"/>
    <s v="BJWY25030q8UPI"/>
    <s v="BJWY6660576687"/>
    <s v="KYJGZ25020020"/>
    <s v="2025-06-29"/>
    <m/>
    <s v="回访人：谭悦，回访时间：2025-06-26 20:34，回访内容：跟进会计专硕，暑假集训营   ；|回访人：谭悦，回访时间：2025-06-28 16:12，回访内容：微信不回复 联系不上  ；|回访人：谭悦，回访时间：2025-06-29 17:20，回访内容：准备报名 "/>
    <m/>
    <m/>
    <m/>
    <m/>
    <n v="30886307"/>
    <s v="否"/>
    <s v="26考季"/>
    <s v="暑假集训营,考研专业课管综"/>
    <s v="英语,管综"/>
    <s v="其他"/>
    <s v="国内高校-211"/>
    <s v="是"/>
    <s v=""/>
    <m/>
    <s v="报名"/>
    <m/>
    <s v="外地人外地大学(常规)"/>
    <s v="客服"/>
  </r>
  <r>
    <x v="0"/>
    <n v="91"/>
    <s v="北京大学部"/>
    <s v="国内大学部"/>
    <s v="顾安诺"/>
    <s v="114416731"/>
    <s v="陈晶"/>
    <s v="2025-06-16 10:55:32"/>
    <s v="续费原因：就差政治了，需要续费课时，我在沟通课时中；该学生为保护期内续费，原顾问：国内大学部-谭悦(tanyue9@xdf.cn)"/>
    <m/>
    <s v="大学已毕业"/>
    <s v="谭悦"/>
    <s v="转介绍"/>
    <s v="学管续费推荐"/>
    <s v="陈晶chenjing171@xdf.cn"/>
    <m/>
    <m/>
    <s v="顾安诺"/>
    <x v="0"/>
    <s v="28405745"/>
    <s v="续费工单"/>
    <s v="2025-06-16 17:36"/>
    <s v="A（六个月内有报课意向工单）"/>
    <s v="考研VIP"/>
    <s v="大学已毕业"/>
    <s v="上海理工大学"/>
    <s v="管理学院"/>
    <s v="金融学"/>
    <s v="顾安诺"/>
    <n v="5429948"/>
    <x v="0"/>
    <s v="2025-06-29 14:12"/>
    <s v="谭悦"/>
    <s v="2025-06-29 14:14"/>
    <s v="LP17511775212368"/>
    <s v="考研一对一伴学班（定制/26考季）"/>
    <s v="国内考试"/>
    <s v=""/>
    <n v="45000"/>
    <m/>
    <s v="陈晶"/>
    <s v="续班"/>
    <s v="已交接"/>
    <m/>
    <s v="BJWY1221102855"/>
    <m/>
    <s v="2025-06-29"/>
    <m/>
    <s v="回访人：谭悦，回访时间：2025-06-21 12:45，回访内容：陈晶跟进中 ；|回访人：谭悦，回访时间：2025-06-28 15:01，回访内容：准备报名中  "/>
    <m/>
    <m/>
    <m/>
    <m/>
    <n v="45380621"/>
    <s v="否"/>
    <s v="26考季"/>
    <s v="VIP - 伴学"/>
    <s v="英语,政治"/>
    <s v="法硕"/>
    <s v="国内高校-双非"/>
    <s v="是"/>
    <s v=""/>
    <m/>
    <m/>
    <m/>
    <m/>
    <s v="学管续费推荐"/>
  </r>
  <r>
    <x v="0"/>
    <n v="92"/>
    <s v="北京大学部"/>
    <s v="国内大学部"/>
    <s v="位置"/>
    <s v="116540642"/>
    <s v="杨沫"/>
    <s v="2025-06-29 09:37:30"/>
    <s v="知春路直访，在校"/>
    <s v=""/>
    <s v="未知"/>
    <s v="赵星火"/>
    <s v="直访"/>
    <s v="直访"/>
    <s v=""/>
    <m/>
    <m/>
    <s v="孙明麒"/>
    <x v="1"/>
    <s v="28711926"/>
    <s v="正常工单"/>
    <s v="2025-06-29 10:44"/>
    <s v="A（六个月内有报课意向工单）"/>
    <s v="考研无忧计划"/>
    <s v="大三"/>
    <s v="天津理工大学"/>
    <s v="理学院"/>
    <s v="数学与应用数学"/>
    <s v="孙明麒"/>
    <n v="5405468"/>
    <x v="1"/>
    <s v="2025-06-29 20:09"/>
    <s v="赵星火"/>
    <s v="2025-06-29 20:09"/>
    <s v="WYHP26002"/>
    <s v="考研政治无忧计划候鸟（26考研/冲刺）"/>
    <s v="国内考试"/>
    <s v=""/>
    <n v="2000"/>
    <m/>
    <s v=""/>
    <s v="新签"/>
    <s v="已交接"/>
    <s v="BJWY25030q8UPI"/>
    <s v="BJWY6644063530"/>
    <s v="WYHP260020094"/>
    <s v="2025-06-29"/>
    <m/>
    <s v="回访人：赵星火，回访时间：2025-06-29 10:44，回访内容：理学天津在读，这边咨询政治其次英语辅导，孩子有自己考虑这边跟进中，关注价格和座位；|回访人：赵星火，回访时间：2025-06-29 20:09，回访内容：1"/>
    <m/>
    <m/>
    <m/>
    <m/>
    <n v="80647411"/>
    <s v="否"/>
    <s v="26考季"/>
    <s v="无忧计划-候鸟"/>
    <s v="政治"/>
    <s v="其他"/>
    <s v="国内高校-双非"/>
    <s v="是"/>
    <s v=""/>
    <m/>
    <s v="报名"/>
    <m/>
    <s v="本地人外地大学(归巢)"/>
    <s v="客服"/>
  </r>
  <r>
    <x v="0"/>
    <n v="93"/>
    <s v="北京大学部"/>
    <s v="国内大学部"/>
    <s v="位置"/>
    <s v="116540642"/>
    <s v="杨沫"/>
    <s v="2025-06-29 09:37:30"/>
    <s v="知春路直访，在校"/>
    <s v=""/>
    <s v="未知"/>
    <s v="赵星火"/>
    <s v="直访"/>
    <s v="直访"/>
    <s v=""/>
    <m/>
    <m/>
    <s v="孙明麒"/>
    <x v="1"/>
    <s v="28711926"/>
    <s v="正常工单"/>
    <s v="2025-06-29 10:44"/>
    <s v="A（六个月内有报课意向工单）"/>
    <s v="考研无忧计划"/>
    <s v="大三"/>
    <s v="天津理工大学"/>
    <s v="理学院"/>
    <s v="数学与应用数学"/>
    <s v="孙明麒"/>
    <n v="5405468"/>
    <x v="1"/>
    <s v="2025-06-29 20:09"/>
    <s v="赵星火"/>
    <s v="2025-06-29 20:09"/>
    <s v="WYHP2605"/>
    <s v="考研政治无忧计划候鸟（26考研/基础强化）"/>
    <s v="国内考试"/>
    <s v=""/>
    <n v="13300"/>
    <m/>
    <s v=""/>
    <s v="新签"/>
    <s v="已交接"/>
    <s v="BJWY25030q8UPI"/>
    <s v="BJWY6644063530"/>
    <s v="WYHP26050045"/>
    <s v="2025-06-29"/>
    <m/>
    <s v="回访人：赵星火，回访时间：2025-06-29 10:44，回访内容：理学天津在读，这边咨询政治其次英语辅导，孩子有自己考虑这边跟进中，关注价格和座位；|回访人：赵星火，回访时间：2025-06-29 20:09，回访内容：1"/>
    <m/>
    <m/>
    <m/>
    <m/>
    <n v="80647411"/>
    <s v="否"/>
    <s v="26考季"/>
    <s v="无忧计划-候鸟"/>
    <s v="政治"/>
    <s v="其他"/>
    <s v="国内高校-双非"/>
    <s v="是"/>
    <s v=""/>
    <m/>
    <s v="报名"/>
    <m/>
    <s v="本地人外地大学(归巢)"/>
    <s v="客服"/>
  </r>
  <r>
    <x v="0"/>
    <n v="94"/>
    <s v="北京大学部"/>
    <s v="国内大学部"/>
    <s v="aki"/>
    <s v="114098861"/>
    <s v="王朝群"/>
    <s v="2025-06-12 19:03:19"/>
    <s v="【王朝群】咨询考研一对一"/>
    <m/>
    <s v="大三"/>
    <s v="谭悦"/>
    <s v="线上运营-小红书"/>
    <s v="小红书KOS"/>
    <s v=""/>
    <m/>
    <m/>
    <s v="张婧妍"/>
    <x v="0"/>
    <s v="28280417"/>
    <s v="正常工单"/>
    <s v="2025-06-12 19:27"/>
    <s v="A（六个月内有报课意向工单）"/>
    <s v="考研无忧计划"/>
    <s v="大三"/>
    <s v="北京农学院"/>
    <s v="文法与城乡发展学院"/>
    <s v="法学"/>
    <s v="张婧妍"/>
    <n v="5405300"/>
    <x v="0"/>
    <s v="2025-06-29 17:23"/>
    <s v="谭悦"/>
    <s v="2025-06-29 17:24"/>
    <s v="WYE26074"/>
    <s v="考研英语无忧计划（26考研/英一强化）"/>
    <s v="国内考试"/>
    <s v=""/>
    <n v="8400"/>
    <m/>
    <s v=""/>
    <s v="新签"/>
    <s v="已交接"/>
    <s v="BJWY25030q8UPI"/>
    <s v="BJWY2315098761"/>
    <s v="WYE260740056"/>
    <s v="2025-06-29"/>
    <m/>
    <s v="回访人：谭悦，回访时间：2025-06-24 17:33，回访内容：想报七月魏公村班，快满班了  ；|回访人：谭悦，回访时间：2025-06-28 21:29，回访内容：明天下午3点面谈 ；|回访人：谭悦，回访时间：2025-06-29 17:23，回访内容：签约 "/>
    <m/>
    <m/>
    <m/>
    <m/>
    <n v="79609154"/>
    <s v="否"/>
    <s v="26考季"/>
    <s v="无忧计划-啄木鸟"/>
    <s v="英语"/>
    <s v="其他"/>
    <s v="国内高校-双非"/>
    <s v="是"/>
    <s v=""/>
    <m/>
    <s v="报名"/>
    <m/>
    <s v="本地人本地大学(常规)"/>
    <s v="市场"/>
  </r>
  <r>
    <x v="0"/>
    <n v="95"/>
    <s v="北京大学部"/>
    <s v="国内大学部"/>
    <s v="aki"/>
    <s v="114098861"/>
    <s v="王朝群"/>
    <s v="2025-06-12 19:03:19"/>
    <s v="【王朝群】咨询考研一对一"/>
    <m/>
    <s v="大三"/>
    <s v="谭悦"/>
    <s v="线上运营-小红书"/>
    <s v="小红书KOS"/>
    <s v=""/>
    <m/>
    <m/>
    <s v="张婧妍"/>
    <x v="0"/>
    <s v="28280417"/>
    <s v="正常工单"/>
    <s v="2025-06-12 19:27"/>
    <s v="A（六个月内有报课意向工单）"/>
    <s v="考研无忧计划"/>
    <s v="大三"/>
    <s v="北京农学院"/>
    <s v="文法与城乡发展学院"/>
    <s v="法学"/>
    <s v="张婧妍"/>
    <n v="5405300"/>
    <x v="0"/>
    <s v="2025-06-29 17:23"/>
    <s v="谭悦"/>
    <s v="2025-06-29 17:24"/>
    <s v="WYE26075"/>
    <s v="考研英语无忧计划（26考研/英一冲刺）"/>
    <s v="国内考试"/>
    <s v=""/>
    <n v="4000"/>
    <m/>
    <s v=""/>
    <s v="新签"/>
    <s v="已交接"/>
    <s v="BJWY25030q8UPI"/>
    <s v="BJWY2315098761"/>
    <s v="WYE260750056"/>
    <s v="2025-06-29"/>
    <m/>
    <s v="回访人：谭悦，回访时间：2025-06-24 17:33，回访内容：想报七月魏公村班，快满班了  ；|回访人：谭悦，回访时间：2025-06-28 21:29，回访内容：明天下午3点面谈 ；|回访人：谭悦，回访时间：2025-06-29 17:23，回访内容：签约 "/>
    <m/>
    <m/>
    <m/>
    <m/>
    <n v="79609154"/>
    <s v="否"/>
    <s v="26考季"/>
    <s v="无忧计划-啄木鸟"/>
    <s v="英语"/>
    <s v="其他"/>
    <s v="国内高校-双非"/>
    <s v="是"/>
    <s v=""/>
    <m/>
    <s v="报名"/>
    <m/>
    <s v="本地人本地大学(常规)"/>
    <s v="市场"/>
  </r>
  <r>
    <x v="0"/>
    <n v="96"/>
    <s v="北京大学部"/>
    <s v="国内大学部"/>
    <s v="aki"/>
    <s v="114098861"/>
    <s v="王朝群"/>
    <s v="2025-06-12 19:03:19"/>
    <s v="【王朝群】咨询考研一对一"/>
    <m/>
    <s v="大三"/>
    <s v="谭悦"/>
    <s v="线上运营-小红书"/>
    <s v="小红书KOS"/>
    <s v=""/>
    <m/>
    <m/>
    <s v="张婧妍"/>
    <x v="0"/>
    <s v="28280417"/>
    <s v="正常工单"/>
    <s v="2025-06-12 19:27"/>
    <s v="A（六个月内有报课意向工单）"/>
    <s v="考研无忧计划"/>
    <s v="大三"/>
    <s v="北京农学院"/>
    <s v="文法与城乡发展学院"/>
    <s v="法学"/>
    <s v="张婧妍"/>
    <n v="5405300"/>
    <x v="0"/>
    <s v="2025-06-29 17:23"/>
    <s v="谭悦"/>
    <s v="2025-06-29 17:24"/>
    <s v="WYE26078"/>
    <s v="考研英语无忧计划（26考研/基础）"/>
    <s v="国内考试"/>
    <s v=""/>
    <n v="5900"/>
    <m/>
    <s v=""/>
    <s v="新签"/>
    <s v="已交接"/>
    <s v="BJWY25030q8UPI"/>
    <s v="BJWY2315098761"/>
    <s v="WYE260780011"/>
    <s v="2025-06-29"/>
    <m/>
    <s v="回访人：谭悦，回访时间：2025-06-24 17:33，回访内容：想报七月魏公村班，快满班了  ；|回访人：谭悦，回访时间：2025-06-28 21:29，回访内容：明天下午3点面谈 ；|回访人：谭悦，回访时间：2025-06-29 17:23，回访内容：签约 "/>
    <m/>
    <m/>
    <m/>
    <m/>
    <n v="79609154"/>
    <s v="否"/>
    <s v="26考季"/>
    <s v="无忧计划-啄木鸟"/>
    <s v="英语"/>
    <s v="其他"/>
    <s v="国内高校-双非"/>
    <s v="是"/>
    <s v=""/>
    <m/>
    <s v="报名"/>
    <m/>
    <s v="本地人本地大学(常规)"/>
    <s v="市场"/>
  </r>
  <r>
    <x v="0"/>
    <n v="97"/>
    <s v="北京大学部"/>
    <s v="国内大学部"/>
    <s v="未留"/>
    <s v="116232734"/>
    <s v="赵秋侠"/>
    <s v="2025-06-25 17:38:04"/>
    <s v="妈妈咨询，考研英语政治"/>
    <s v=""/>
    <s v="未知"/>
    <s v="谭悦"/>
    <s v="直访"/>
    <s v="直访"/>
    <s v=""/>
    <m/>
    <m/>
    <s v="陈美霖"/>
    <x v="0"/>
    <s v="28704585"/>
    <s v="正常工单"/>
    <s v="2025-06-28 14:03"/>
    <s v="A（六个月内有报课意向工单）"/>
    <s v="考研无忧计划"/>
    <s v="大三"/>
    <s v="中央民族大学"/>
    <s v="美术学院"/>
    <s v="绘画（油画）"/>
    <s v="陈美霖"/>
    <n v="5428857"/>
    <x v="0"/>
    <s v="2025-06-28 16:52"/>
    <s v="谭悦"/>
    <s v="2025-06-28 20:29"/>
    <s v="WYE26078"/>
    <s v="考研英语无忧计划（26考研/基础）"/>
    <s v="国内考试"/>
    <s v=""/>
    <n v="2451"/>
    <m/>
    <s v=""/>
    <s v="新签"/>
    <s v="已交接"/>
    <s v="BJWY24032w1g8X"/>
    <s v="BJWY4704011990"/>
    <s v="WYE260780009"/>
    <s v="2025-06-28"/>
    <m/>
    <s v="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
    <m/>
    <m/>
    <m/>
    <m/>
    <n v="52607974"/>
    <s v="否"/>
    <s v="26考季"/>
    <s v="无忧计划-啄木鸟"/>
    <s v="英语,政治"/>
    <s v="其他"/>
    <s v="国内高校-985"/>
    <s v="是"/>
    <s v=""/>
    <m/>
    <s v="报名"/>
    <m/>
    <s v="本地人本地大学(常规)"/>
    <s v="客服"/>
  </r>
  <r>
    <x v="0"/>
    <n v="98"/>
    <s v="北京大学部"/>
    <s v="国内大学部"/>
    <s v="未留"/>
    <s v="116232734"/>
    <s v="赵秋侠"/>
    <s v="2025-06-25 17:38:04"/>
    <s v="妈妈咨询，考研英语政治"/>
    <s v=""/>
    <s v="未知"/>
    <s v="谭悦"/>
    <s v="直访"/>
    <s v="直访"/>
    <s v=""/>
    <m/>
    <m/>
    <s v="陈美霖"/>
    <x v="0"/>
    <s v="28704585"/>
    <s v="正常工单"/>
    <s v="2025-06-28 14:03"/>
    <s v="A（六个月内有报课意向工单）"/>
    <s v="考研无忧计划"/>
    <s v="大三"/>
    <s v="中央民族大学"/>
    <s v="美术学院"/>
    <s v="绘画（油画）"/>
    <s v="陈美霖"/>
    <n v="5428857"/>
    <x v="0"/>
    <s v="2025-06-28 16:52"/>
    <s v="谭悦"/>
    <s v="2025-06-28 20:29"/>
    <s v="WYP26066"/>
    <s v="考研政治无忧计划（26考研/冲刺）"/>
    <s v="国内考试"/>
    <s v=""/>
    <n v="2183"/>
    <m/>
    <s v=""/>
    <s v="新签"/>
    <s v="已交接"/>
    <s v="BJWY24032w1g8X"/>
    <s v="BJWY4704011990"/>
    <s v="WYP260660006"/>
    <s v="2025-06-28"/>
    <m/>
    <s v="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
    <m/>
    <m/>
    <m/>
    <m/>
    <n v="52607974"/>
    <s v="否"/>
    <s v="26考季"/>
    <s v="无忧计划-啄木鸟"/>
    <s v="英语,政治"/>
    <s v="其他"/>
    <s v="国内高校-985"/>
    <s v="是"/>
    <s v=""/>
    <m/>
    <s v="报名"/>
    <m/>
    <s v="本地人本地大学(常规)"/>
    <s v="客服"/>
  </r>
  <r>
    <x v="0"/>
    <n v="99"/>
    <s v="北京大学部"/>
    <s v="国内大学部"/>
    <s v="未留"/>
    <s v="116232734"/>
    <s v="赵秋侠"/>
    <s v="2025-06-25 17:38:04"/>
    <s v="妈妈咨询，考研英语政治"/>
    <s v=""/>
    <s v="未知"/>
    <s v="谭悦"/>
    <s v="直访"/>
    <s v="直访"/>
    <s v=""/>
    <m/>
    <m/>
    <s v="陈美霖"/>
    <x v="0"/>
    <s v="28704585"/>
    <s v="正常工单"/>
    <s v="2025-06-28 14:03"/>
    <s v="A（六个月内有报课意向工单）"/>
    <s v="考研无忧计划"/>
    <s v="大三"/>
    <s v="中央民族大学"/>
    <s v="美术学院"/>
    <s v="绘画（油画）"/>
    <s v="陈美霖"/>
    <n v="5428857"/>
    <x v="0"/>
    <s v="2025-06-28 16:52"/>
    <s v="谭悦"/>
    <s v="2025-06-28 20:29"/>
    <s v="WYE26076"/>
    <s v="考研英语无忧计划（26考研/英二强化）"/>
    <s v="国内考试"/>
    <s v=""/>
    <n v="3217.05"/>
    <m/>
    <s v=""/>
    <s v="新签"/>
    <s v="已交接"/>
    <s v="BJWY24032w1g8X"/>
    <s v="BJWY4704011990"/>
    <s v="WYE260760023"/>
    <s v="2025-06-28"/>
    <m/>
    <s v="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
    <m/>
    <m/>
    <m/>
    <m/>
    <n v="52607974"/>
    <s v="否"/>
    <s v="26考季"/>
    <s v="无忧计划-啄木鸟"/>
    <s v="英语,政治"/>
    <s v="其他"/>
    <s v="国内高校-985"/>
    <s v="是"/>
    <s v=""/>
    <m/>
    <s v="报名"/>
    <m/>
    <s v="本地人本地大学(常规)"/>
    <s v="客服"/>
  </r>
  <r>
    <x v="0"/>
    <n v="100"/>
    <s v="北京大学部"/>
    <s v="国内大学部"/>
    <s v="未留"/>
    <s v="116232734"/>
    <s v="赵秋侠"/>
    <s v="2025-06-25 17:38:04"/>
    <s v="妈妈咨询，考研英语政治"/>
    <s v=""/>
    <s v="未知"/>
    <s v="谭悦"/>
    <s v="直访"/>
    <s v="直访"/>
    <s v=""/>
    <m/>
    <m/>
    <s v="陈美霖"/>
    <x v="0"/>
    <s v="28704585"/>
    <s v="正常工单"/>
    <s v="2025-06-28 14:03"/>
    <s v="A（六个月内有报课意向工单）"/>
    <s v="考研无忧计划"/>
    <s v="大三"/>
    <s v="中央民族大学"/>
    <s v="美术学院"/>
    <s v="绘画（油画）"/>
    <s v="陈美霖"/>
    <n v="5428857"/>
    <x v="0"/>
    <s v="2025-06-28 16:52"/>
    <s v="谭悦"/>
    <s v="2025-06-28 20:29"/>
    <s v="WYE26077"/>
    <s v="考研英语无忧计划（26考研/英二冲刺）"/>
    <s v="国内考试"/>
    <s v=""/>
    <n v="1281.9000000000001"/>
    <m/>
    <s v=""/>
    <s v="新签"/>
    <s v="已交接"/>
    <s v="BJWY24032w1g8X"/>
    <s v="BJWY4704011990"/>
    <s v="WYE260770023"/>
    <s v="2025-06-28"/>
    <m/>
    <s v="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
    <m/>
    <m/>
    <m/>
    <m/>
    <n v="52607974"/>
    <s v="否"/>
    <s v="26考季"/>
    <s v="无忧计划-啄木鸟"/>
    <s v="英语,政治"/>
    <s v="其他"/>
    <s v="国内高校-985"/>
    <s v="是"/>
    <s v=""/>
    <m/>
    <s v="报名"/>
    <m/>
    <s v="本地人本地大学(常规)"/>
    <s v="客服"/>
  </r>
  <r>
    <x v="0"/>
    <n v="101"/>
    <s v="北京大学部"/>
    <s v="国内大学部"/>
    <s v="未留"/>
    <s v="116232734"/>
    <s v="赵秋侠"/>
    <s v="2025-06-25 17:38:04"/>
    <s v="妈妈咨询，考研英语政治"/>
    <s v=""/>
    <s v="未知"/>
    <s v="谭悦"/>
    <s v="直访"/>
    <s v="直访"/>
    <s v=""/>
    <m/>
    <m/>
    <s v="陈美霖"/>
    <x v="0"/>
    <s v="28704585"/>
    <s v="正常工单"/>
    <s v="2025-06-28 14:03"/>
    <s v="A（六个月内有报课意向工单）"/>
    <s v="考研无忧计划"/>
    <s v="大三"/>
    <s v="中央民族大学"/>
    <s v="美术学院"/>
    <s v="绘画（油画）"/>
    <s v="陈美霖"/>
    <n v="5428857"/>
    <x v="0"/>
    <s v="2025-06-28 16:52"/>
    <s v="谭悦"/>
    <s v="2025-06-28 20:29"/>
    <s v="WYP26064"/>
    <s v="考研政治无忧计划（26考研/基础）"/>
    <s v="国内考试"/>
    <s v=""/>
    <n v="3178.75"/>
    <m/>
    <s v=""/>
    <s v="新签"/>
    <s v="已交接"/>
    <s v="BJWY24032w1g8X"/>
    <s v="BJWY4704011990"/>
    <s v="WYP260640006"/>
    <s v="2025-06-28"/>
    <m/>
    <s v="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
    <m/>
    <m/>
    <m/>
    <m/>
    <n v="52607974"/>
    <s v="否"/>
    <s v="26考季"/>
    <s v="无忧计划-啄木鸟"/>
    <s v="英语,政治"/>
    <s v="其他"/>
    <s v="国内高校-985"/>
    <s v="是"/>
    <s v=""/>
    <m/>
    <s v="报名"/>
    <m/>
    <s v="本地人本地大学(常规)"/>
    <s v="客服"/>
  </r>
  <r>
    <x v="0"/>
    <n v="102"/>
    <s v="北京大学部"/>
    <s v="国内大学部"/>
    <s v="未留"/>
    <s v="116232734"/>
    <s v="赵秋侠"/>
    <s v="2025-06-25 17:38:04"/>
    <s v="妈妈咨询，考研英语政治"/>
    <s v=""/>
    <s v="未知"/>
    <s v="谭悦"/>
    <s v="直访"/>
    <s v="直访"/>
    <s v=""/>
    <m/>
    <m/>
    <s v="陈美霖"/>
    <x v="0"/>
    <s v="28704585"/>
    <s v="正常工单"/>
    <s v="2025-06-28 14:03"/>
    <s v="A（六个月内有报课意向工单）"/>
    <s v="考研无忧计划"/>
    <s v="大三"/>
    <s v="中央民族大学"/>
    <s v="美术学院"/>
    <s v="绘画（油画）"/>
    <s v="陈美霖"/>
    <n v="5428857"/>
    <x v="0"/>
    <s v="2025-06-28 16:52"/>
    <s v="谭悦"/>
    <s v="2025-06-28 20:29"/>
    <s v="WYP26065"/>
    <s v="考研政治无忧计划（26考研/强化）"/>
    <s v="国内考试"/>
    <s v=""/>
    <n v="1838.3"/>
    <m/>
    <s v=""/>
    <s v="新签"/>
    <s v="已交接"/>
    <s v="BJWY24032w1g8X"/>
    <s v="BJWY4704011990"/>
    <s v="WYP260650006"/>
    <s v="2025-06-28"/>
    <m/>
    <s v="回访人：谭悦，回访时间：2025-06-28 14:03，回访内容：准备报名的  伟钰接待 ；|回访人：谭悦，回访时间：2025-06-28 14:05，回访内容：家长下午过来准备报名  ；|回访人：谭悦，回访时间：2025-06-28 16:10，回访内容：还没来  ；|回访人：谭悦，回访时间：2025-06-28 16:52，回访内容：签约 "/>
    <m/>
    <m/>
    <m/>
    <m/>
    <n v="52607974"/>
    <s v="否"/>
    <s v="26考季"/>
    <s v="无忧计划-啄木鸟"/>
    <s v="英语,政治"/>
    <s v="其他"/>
    <s v="国内高校-985"/>
    <s v="是"/>
    <s v=""/>
    <m/>
    <s v="报名"/>
    <m/>
    <s v="本地人本地大学(常规)"/>
    <s v="客服"/>
  </r>
  <r>
    <x v="0"/>
    <n v="103"/>
    <s v="北京大学部"/>
    <s v="国内大学部"/>
    <s v="小然"/>
    <s v="115941042"/>
    <s v="曹伟杰2"/>
    <s v="2025-06-24 13:58:00"/>
    <s v="家长咨询6级集训【本人抖音自产】"/>
    <s v=""/>
    <s v="高三"/>
    <s v="赵星火"/>
    <s v="线上运营-抖音"/>
    <s v="抖音"/>
    <s v=""/>
    <m/>
    <m/>
    <s v="燕科辉"/>
    <x v="1"/>
    <s v="28616842"/>
    <s v="正常工单"/>
    <s v="2025-06-26 11:24"/>
    <s v="A（六个月内有报课意向工单）"/>
    <s v="六级"/>
    <s v="大一"/>
    <s v="重庆大学"/>
    <s v="电气工程学院"/>
    <s v="电气工程及其自动化"/>
    <s v="燕科辉"/>
    <n v="5428768"/>
    <x v="1"/>
    <s v="2025-06-28 16:06"/>
    <s v="赵星火"/>
    <s v="2025-06-28 16:06"/>
    <s v="ZVVB26001"/>
    <s v="六级暑假集训营（24H冲刺直播）"/>
    <s v="国内考试"/>
    <s v=""/>
    <n v="15000"/>
    <m/>
    <s v=""/>
    <s v="新签"/>
    <s v="已交接"/>
    <s v="BJWY2306SVFgG7"/>
    <s v="BJWY3359958068"/>
    <s v="ZVVB260010026"/>
    <s v="2025-06-28"/>
    <m/>
    <s v="回访人：赵星火，回访时间：2025-06-26 11:24，回访内容：这边孩子感觉课程太紧并且想要学习雅思再说，跟进中；|回访人：赵星火，回访时间：2025-06-28 16:06，回访内容：1"/>
    <m/>
    <m/>
    <m/>
    <m/>
    <n v="80408520"/>
    <s v="否"/>
    <s v="25下考季"/>
    <s v="六级无忧计划"/>
    <s v=""/>
    <m/>
    <s v="国内高校-985"/>
    <s v="是"/>
    <s v=""/>
    <m/>
    <s v="报名"/>
    <m/>
    <s v="外地人外地大学(常规)"/>
    <s v="市场"/>
  </r>
  <r>
    <x v="0"/>
    <n v="104"/>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WYFM26004"/>
    <s v="考研数学无忧计划蜂鸟（26考研/冲刺）"/>
    <s v="国内考试"/>
    <s v=""/>
    <n v="1601.75"/>
    <m/>
    <s v=""/>
    <s v="新签"/>
    <s v="已交接"/>
    <s v="BJWY24032w1g8X"/>
    <s v="BJWY1043586545"/>
    <s v="WYFM260040004"/>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s v="报名"/>
    <m/>
    <s v="外地人外地大学(常规)"/>
    <s v="市场"/>
  </r>
  <r>
    <x v="0"/>
    <n v="105"/>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WYFE26006"/>
    <s v="考研英语无忧计划蜂鸟（26考研/英一冲刺）"/>
    <s v="国内考试"/>
    <s v=""/>
    <n v="1586.4"/>
    <m/>
    <s v=""/>
    <s v="新签"/>
    <s v="已交接"/>
    <s v="BJWY24032w1g8X"/>
    <s v="BJWY1043586545"/>
    <s v="WYFE260060004"/>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s v="报名"/>
    <m/>
    <s v="外地人外地大学(常规)"/>
    <s v="市场"/>
  </r>
  <r>
    <x v="0"/>
    <n v="106"/>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WYFE26005"/>
    <s v="考研英语无忧计划蜂鸟（26考研/英一强化）"/>
    <s v="国内考试"/>
    <s v=""/>
    <n v="3330.3"/>
    <m/>
    <s v=""/>
    <s v="新签"/>
    <s v="已交接"/>
    <s v="BJWY24032w1g8X"/>
    <s v="BJWY1043586545"/>
    <s v="WYFE260050004"/>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s v="报名"/>
    <m/>
    <s v="外地人外地大学(常规)"/>
    <s v="市场"/>
  </r>
  <r>
    <x v="0"/>
    <n v="107"/>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WYFP26003"/>
    <s v="考研政治无忧计划蜂鸟（26考研/强化）"/>
    <s v="国内考试"/>
    <s v=""/>
    <n v="2212.5"/>
    <m/>
    <s v=""/>
    <s v="新签"/>
    <s v="已交接"/>
    <s v="BJWY24032w1g8X"/>
    <s v="BJWY1043586545"/>
    <s v="WYFP260030008"/>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s v="报名"/>
    <m/>
    <s v="外地人外地大学(常规)"/>
    <s v="市场"/>
  </r>
  <r>
    <x v="0"/>
    <n v="108"/>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WYFP26004"/>
    <s v="考研政治无忧计划蜂鸟（26考研/冲刺）"/>
    <s v="国内考试"/>
    <s v=""/>
    <n v="2454.15"/>
    <m/>
    <s v=""/>
    <s v="新签"/>
    <s v="已交接"/>
    <s v="BJWY24032w1g8X"/>
    <s v="BJWY1043586545"/>
    <s v="WYFP260040008"/>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s v="报名"/>
    <m/>
    <s v="外地人外地大学(常规)"/>
    <s v="市场"/>
  </r>
  <r>
    <x v="0"/>
    <n v="109"/>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WYFM26003"/>
    <s v="考研数学无忧计划蜂鸟（26考研/强化）"/>
    <s v="国内考试"/>
    <s v=""/>
    <n v="3314.9"/>
    <m/>
    <s v=""/>
    <s v="新签"/>
    <s v="已交接"/>
    <s v="BJWY24032w1g8X"/>
    <s v="BJWY1043586545"/>
    <s v="WYFM260030004"/>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s v="报名"/>
    <m/>
    <s v="外地人外地大学(常规)"/>
    <s v="市场"/>
  </r>
  <r>
    <x v="0"/>
    <n v="110"/>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LP17511125944381"/>
    <s v="26考研一对一伴学（20h/无忧）"/>
    <s v="国内考试"/>
    <s v=""/>
    <n v="8500"/>
    <m/>
    <s v=""/>
    <s v="新签"/>
    <s v="已交接"/>
    <s v="BJWY24032w1g8X"/>
    <s v="BJWY1043586545"/>
    <m/>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m/>
    <m/>
    <s v="外地人外地大学(常规)"/>
    <s v="市场"/>
  </r>
  <r>
    <x v="0"/>
    <n v="111"/>
    <s v="北京大学部"/>
    <s v="国内大学部"/>
    <s v="张"/>
    <s v="116243253"/>
    <s v="曹晗曦"/>
    <s v="2025-06-25 20:31:12"/>
    <s v="家长咨询，孩子本科东北大学，学的建筑，之前考过研，7月30号入职中冶京诚，想考非全日制，软件工程计算机之类的，考虑985的学校，想了解暑期集训和走读，简单介绍了下，现在可以回电，着急回电"/>
    <s v=""/>
    <s v="大四"/>
    <s v="钱雪冰"/>
    <s v="线上运营-私域中台"/>
    <s v="社群、虚拟人"/>
    <s v=""/>
    <m/>
    <m/>
    <s v="张霄翮"/>
    <x v="0"/>
    <s v="28647608"/>
    <s v="正常工单"/>
    <s v="2025-06-28 19:59"/>
    <s v="A（六个月内有报课意向工单）"/>
    <s v="考研专业课,考研无忧计划"/>
    <s v="大四"/>
    <s v="东北大学"/>
    <s v="江河建筑学院"/>
    <s v="建筑学"/>
    <s v="张霄翮"/>
    <n v="5404787"/>
    <x v="0"/>
    <s v="2025-06-28 20:09"/>
    <s v="谭悦"/>
    <s v="2025-06-28 21:07"/>
    <s v="LP17511155874606"/>
    <s v="考研初试专业课一对一（26考研/无忧30小时）"/>
    <s v="国内考试"/>
    <s v=""/>
    <n v="5900"/>
    <m/>
    <s v=""/>
    <s v="新签"/>
    <s v="已交接"/>
    <s v="BJWY24032w1g8X"/>
    <s v="BJWY1043586545"/>
    <m/>
    <s v="2025-06-28"/>
    <m/>
    <s v="回访人：钱雪冰，回访时间：2025-06-25 21:11，回访内容：建筑 跨考软件，沟通了蜂鸟的课程，建议月底过来，租个一个月的房子，然后在这边住。想要在讲讲价；|回访人：钱雪冰，回访时间：2025-06-26 14:08，回访内容：发送了定位 问问家长几号过来。"/>
    <m/>
    <m/>
    <m/>
    <m/>
    <n v="80558403"/>
    <s v="否"/>
    <s v="26考季"/>
    <s v="无忧计划-蜂鸟,考研专业课150"/>
    <s v="英语,政治,数学,专业课150"/>
    <s v="其他"/>
    <s v="国内高校-985"/>
    <s v="否"/>
    <s v=""/>
    <m/>
    <m/>
    <m/>
    <s v="外地人外地大学(常规)"/>
    <s v="市场"/>
  </r>
  <r>
    <x v="0"/>
    <n v="112"/>
    <s v="北京大学部"/>
    <s v="国内大学部"/>
    <s v="林子策"/>
    <s v="116566335"/>
    <s v="郝琨"/>
    <s v="2025-06-28 15:50:27"/>
    <s v="续费原因：学生专业课转408，需要补差价；该学生为保护期内续费，原顾问：国内大学部-谭悦(tanyue9@xdf.cn)"/>
    <m/>
    <s v="在职"/>
    <s v="谭悦"/>
    <s v="转介绍"/>
    <s v="学管续费推荐"/>
    <s v="郝琨haokun@xdf.cn"/>
    <m/>
    <m/>
    <s v="林子策"/>
    <x v="0"/>
    <s v="28627659"/>
    <s v="续费工单"/>
    <s v="2025-06-28 16:05"/>
    <s v="A（六个月内有报课意向工单）"/>
    <s v="考研专业课"/>
    <s v="在职"/>
    <s v="大连民族大学"/>
    <s v="计算机科学与工程学院"/>
    <s v="软件工程和网络工程"/>
    <s v="林子策"/>
    <n v="5404562"/>
    <x v="0"/>
    <s v="2025-06-28 16:05"/>
    <s v="谭悦"/>
    <s v="2025-06-28 16:05"/>
    <s v="WYC26001"/>
    <s v="考研专业课无忧计划（26考研/408计算机）"/>
    <s v="国内考试"/>
    <s v=""/>
    <n v="10000"/>
    <s v="扩科续费"/>
    <s v="郝琨"/>
    <s v="续班"/>
    <s v="已交接"/>
    <s v="BJWY2306SVFgG7"/>
    <s v="BJWY0442645574"/>
    <s v="WYC260010070"/>
    <s v="2025-06-28"/>
    <m/>
    <s v="回访人：谭悦，回访时间：2025-06-28 16:05，回访内容：签约 "/>
    <m/>
    <m/>
    <m/>
    <m/>
    <n v="65129511"/>
    <s v="否"/>
    <s v="26考季"/>
    <s v="考研专业课150"/>
    <s v="专业课150"/>
    <s v="其他"/>
    <s v="国内高校-双非"/>
    <s v="是"/>
    <s v=""/>
    <m/>
    <s v="报名"/>
    <m/>
    <m/>
    <s v="学管续费推荐"/>
  </r>
  <r>
    <x v="0"/>
    <n v="113"/>
    <s v="北京大学部"/>
    <s v="国内大学部"/>
    <s v="闫舒译"/>
    <s v="115895121"/>
    <s v="王天义"/>
    <s v="2025-06-23 19:31:07"/>
    <s v="续费原因：续费英语；该学生为保护期内续费，原顾问：国内大学部-赵星火(zhaoxinghuo@xdf.cn)"/>
    <m/>
    <s v="大三"/>
    <s v="赵星火"/>
    <s v="转介绍"/>
    <s v="学管续费推荐"/>
    <s v="王天义wangtianyi56@xdf.cn"/>
    <m/>
    <m/>
    <s v="闫舒译"/>
    <x v="1"/>
    <s v="28456068"/>
    <s v="续费工单"/>
    <s v="2025-06-23 20:05"/>
    <s v="A（六个月内有报课意向工单）"/>
    <s v="考研VIP"/>
    <s v="大三"/>
    <s v="北京信息科技大学"/>
    <s v="计算机学院"/>
    <s v="计算机科学与技术"/>
    <s v="闫舒译"/>
    <n v="5397393"/>
    <x v="1"/>
    <s v="2025-06-28 15:49"/>
    <s v="赵星火"/>
    <s v="2025-06-28 16:05"/>
    <s v="LP17510969972423"/>
    <s v="考研一对一伴学班（26考季）"/>
    <s v="国内考试"/>
    <s v=""/>
    <n v="16000"/>
    <m/>
    <s v="王天义"/>
    <s v="续班"/>
    <s v="已交接"/>
    <m/>
    <s v="BJWY4925013491"/>
    <m/>
    <s v="2025-06-28"/>
    <m/>
    <s v="回访人：赵星火，回访时间：2025-06-23 20:05，回访内容：沟通续费跟进学生情况中这边继续维护中；|回访人：赵星火，回访时间：2025-06-27 11:49，回访内容：确认下课时需求，学管老师沟通中，继续维护学生"/>
    <m/>
    <m/>
    <m/>
    <m/>
    <n v="49013179"/>
    <s v="否"/>
    <s v="26考季"/>
    <s v="VIP - 伴学"/>
    <s v="英语"/>
    <s v="其他"/>
    <s v="国内高校-双非"/>
    <s v="是"/>
    <s v=""/>
    <m/>
    <m/>
    <m/>
    <s v="本地人本地大学(常规)"/>
    <s v="学管续费推荐"/>
  </r>
  <r>
    <x v="0"/>
    <n v="114"/>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WYHE26006"/>
    <s v="考研英语无忧计划候鸟（26考研/英二冲刺）"/>
    <s v="国内考试"/>
    <s v=""/>
    <n v="1594.9"/>
    <m/>
    <s v=""/>
    <s v="新签"/>
    <s v="已交接"/>
    <s v="BJWY2306SVFgG7"/>
    <s v="BJWY4882284881"/>
    <s v="WYHE260060031"/>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s v="报名"/>
    <m/>
    <s v="本地人本地大学(常规)"/>
    <s v="客服"/>
  </r>
  <r>
    <x v="0"/>
    <n v="115"/>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WYHE26007"/>
    <s v="考研英语无忧计划候鸟（26考研/基础强化）"/>
    <s v="国内考试"/>
    <s v=""/>
    <n v="11005.1"/>
    <m/>
    <s v=""/>
    <s v="新签"/>
    <s v="已交接"/>
    <s v="BJWY2306SVFgG7"/>
    <s v="BJWY4882284881"/>
    <s v="WYHE260070002"/>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s v="报名"/>
    <m/>
    <s v="本地人本地大学(常规)"/>
    <s v="客服"/>
  </r>
  <r>
    <x v="0"/>
    <n v="116"/>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WYHP26002"/>
    <s v="考研政治无忧计划候鸟（26考研/冲刺）"/>
    <s v="国内考试"/>
    <s v=""/>
    <n v="1594.9"/>
    <m/>
    <s v=""/>
    <s v="新签"/>
    <s v="已交接"/>
    <s v="BJWY2306SVFgG7"/>
    <s v="BJWY4882284881"/>
    <s v="WYHP260020089"/>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s v="报名"/>
    <m/>
    <s v="本地人本地大学(常规)"/>
    <s v="客服"/>
  </r>
  <r>
    <x v="0"/>
    <n v="117"/>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WYHP2605"/>
    <s v="考研政治无忧计划候鸟（26考研/基础强化）"/>
    <s v="国内考试"/>
    <s v=""/>
    <n v="11005.1"/>
    <m/>
    <s v=""/>
    <s v="新签"/>
    <s v="已交接"/>
    <s v="BJWY2306SVFgG7"/>
    <s v="BJWY4882284881"/>
    <s v="WYHP26050040"/>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s v="报名"/>
    <m/>
    <s v="本地人本地大学(常规)"/>
    <s v="客服"/>
  </r>
  <r>
    <x v="0"/>
    <n v="118"/>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WYHM26002"/>
    <s v="考研数学无忧计划候鸟（26考研/冲刺）"/>
    <s v="国内考试"/>
    <s v=""/>
    <n v="1594.9"/>
    <m/>
    <s v=""/>
    <s v="新签"/>
    <s v="已交接"/>
    <s v="BJWY2306SVFgG7"/>
    <s v="BJWY4882284881"/>
    <s v="WYHM260020068"/>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s v="报名"/>
    <m/>
    <s v="本地人本地大学(常规)"/>
    <s v="客服"/>
  </r>
  <r>
    <x v="0"/>
    <n v="119"/>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WYHM2604"/>
    <s v="考研数学无忧计划候鸟（26考研/基础强化）"/>
    <s v="国内考试"/>
    <s v=""/>
    <n v="10505.1"/>
    <m/>
    <s v=""/>
    <s v="新签"/>
    <s v="已交接"/>
    <s v="BJWY2306SVFgG7"/>
    <s v="BJWY4882284881"/>
    <s v="WYHM26040029"/>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s v="报名"/>
    <m/>
    <s v="本地人本地大学(常规)"/>
    <s v="客服"/>
  </r>
  <r>
    <x v="0"/>
    <n v="120"/>
    <s v="北京大学部"/>
    <s v="国内大学部"/>
    <s v="韩家长"/>
    <s v="115033598"/>
    <s v="吴凯龙"/>
    <s v="2025-06-18 11:18:04"/>
    <s v="知春路直访，咨询考研，谭悦老师接待"/>
    <s v=""/>
    <s v="未知"/>
    <s v="谭悦"/>
    <s v="直访"/>
    <s v="直访"/>
    <s v=""/>
    <m/>
    <m/>
    <s v="韩承峻"/>
    <x v="0"/>
    <s v="28400459"/>
    <s v="正常工单"/>
    <s v="2025-06-18 12:22"/>
    <s v="A（六个月内有报课意向工单）"/>
    <s v="考研专业课,考研无忧计划"/>
    <s v="大三"/>
    <s v="北京工业大学"/>
    <s v="材料与制造学部"/>
    <s v="材料科学与工程"/>
    <s v="韩承峻"/>
    <n v="5397029"/>
    <x v="0"/>
    <s v="2025-06-28 12:02"/>
    <s v="谭悦"/>
    <s v="2025-06-28 14:13"/>
    <s v="LP17510910621605"/>
    <s v="考研初试专业课一对一（26考研/无忧30小时）"/>
    <s v="国内考试"/>
    <s v=""/>
    <n v="10500"/>
    <m/>
    <s v=""/>
    <s v="新签"/>
    <s v="已交接"/>
    <s v="BJWY2306SVFgG7"/>
    <s v="BJWY4882284881"/>
    <m/>
    <s v="2025-06-28"/>
    <m/>
    <s v="回访人：谭悦，回访时间：2025-06-20 17:06，回访内容：家长说孩子实习时间冲突，跟进中  ；|回访人：谭悦，回访时间：2025-06-24 17:26，回访内容：家长劝孩子上课，孩子不想上，要自学 ，家长也没办法  ；|回访人：谭悦，回访时间：2025-06-28 11:54，回访内容：1；|回访人：谭悦，回访时间：2025-06-28 12:02，回访内容：签约报名 "/>
    <m/>
    <m/>
    <m/>
    <m/>
    <n v="63900482"/>
    <s v="否"/>
    <s v="26考季"/>
    <s v="无忧计划-候鸟,考研专业课150"/>
    <s v="英语,政治,数学,专业课150"/>
    <s v="其他"/>
    <s v="国内高校-211"/>
    <s v="是"/>
    <s v=""/>
    <m/>
    <m/>
    <m/>
    <s v="本地人本地大学(常规)"/>
    <s v="客服"/>
  </r>
  <r>
    <x v="0"/>
    <n v="121"/>
    <s v="北京大学部"/>
    <s v="国内大学部"/>
    <m/>
    <s v="103521996"/>
    <m/>
    <s v="2025-05-23 14:18:38"/>
    <s v="学生觉得来不及，于是准备明年的考试，基础一般，想考211，辛苦老师可以私信了解具体情况_x000a_"/>
    <s v=""/>
    <s v="大三"/>
    <s v="谭悦"/>
    <s v="转介绍"/>
    <s v="学管转介绍"/>
    <m/>
    <m/>
    <m/>
    <s v="程悦"/>
    <x v="0"/>
    <s v="28720806"/>
    <s v="续费工单"/>
    <s v="2025-06-29 22:16"/>
    <s v="A（六个月内有报课意向工单）"/>
    <s v="六级,考研专业课,考研无忧计划"/>
    <s v="大三"/>
    <s v="北京工商大学"/>
    <s v="生物"/>
    <s v="生物"/>
    <s v="程悦"/>
    <n v="5431079"/>
    <x v="0"/>
    <s v="2025-06-29 22:18"/>
    <s v="谭悦"/>
    <s v="2025-06-29 22:18"/>
    <s v="WYS25035"/>
    <s v="六级无忧计划"/>
    <s v="国内考试"/>
    <s v=""/>
    <n v="3964"/>
    <s v="同科续费"/>
    <s v=""/>
    <s v="续班"/>
    <s v="已交接"/>
    <s v="BJWY24032w1g8X"/>
    <s v="BJWY8477545262"/>
    <s v="WYS250350008"/>
    <s v="2025-06-27"/>
    <m/>
    <s v="回访人：谭悦，回访时间：2025-06-29 22:16，回访内容：转班 ；|回访人：谭悦，回访时间：2025-06-29 22:18，回访内容：转班 "/>
    <m/>
    <m/>
    <m/>
    <m/>
    <n v="70870277"/>
    <s v="否"/>
    <s v="27考季"/>
    <s v="无忧计划-啄木鸟,六级无忧计划,考研专业课300"/>
    <s v="英语,政治,专业课300"/>
    <m/>
    <s v="国内高校-双非"/>
    <s v="是"/>
    <s v=""/>
    <m/>
    <s v="转出"/>
    <m/>
    <s v="本地人本地大学(常规)"/>
    <m/>
  </r>
  <r>
    <x v="0"/>
    <n v="122"/>
    <s v="北京大学部"/>
    <s v="国内大学部"/>
    <s v="青山"/>
    <s v="116191479"/>
    <s v="张冰"/>
    <s v="2025-06-26 11:40:04"/>
    <s v="二战考研，咨询能不能匹配华东师范大学创意写作的老师，下午三点以后联系。"/>
    <s v=""/>
    <s v="大四"/>
    <s v="谭悦"/>
    <s v="线上运营-抖音"/>
    <s v="抖音来客"/>
    <s v=""/>
    <m/>
    <m/>
    <s v="王铎晗"/>
    <x v="0"/>
    <s v="28604127"/>
    <s v="正常工单"/>
    <s v="2025-06-26 15:03"/>
    <s v="A（六个月内有报课意向工单）"/>
    <s v="考研专业课"/>
    <s v="大四"/>
    <s v="中国传媒大学"/>
    <s v="人文学院"/>
    <s v="汉语言文学"/>
    <s v="王铎晗"/>
    <n v="5404051"/>
    <x v="0"/>
    <s v="2025-06-27 16:40"/>
    <s v="谭悦"/>
    <s v="2025-06-27 18:08"/>
    <s v="LP17510136211932"/>
    <s v="985院校升级费"/>
    <s v="国内考试"/>
    <s v=""/>
    <n v="3000"/>
    <m/>
    <s v=""/>
    <s v="新签"/>
    <s v="已交接"/>
    <m/>
    <s v="BJWY7929441781"/>
    <m/>
    <s v="2025-06-27"/>
    <m/>
    <s v="回访人：谭悦，回访时间：2025-06-26 15:03，回访内容：家长在开课，先加微信   ；|回访人：谭悦，回访时间：2025-06-26 18:48，回访内容：咨询创意写作考研，英语政治推荐40小时一对一，专业课30小时   "/>
    <m/>
    <m/>
    <m/>
    <m/>
    <n v="80626699"/>
    <s v="否"/>
    <s v="26考季"/>
    <s v="考研专业课300"/>
    <s v="专业课300"/>
    <s v="其他"/>
    <s v="国内高校-211"/>
    <s v="是"/>
    <s v=""/>
    <m/>
    <m/>
    <m/>
    <s v="外地人外地大学(常规)"/>
    <s v="市场"/>
  </r>
  <r>
    <x v="0"/>
    <n v="123"/>
    <s v="北京大学部"/>
    <s v="国内大学部"/>
    <s v="青山"/>
    <s v="116191479"/>
    <s v="张冰"/>
    <s v="2025-06-26 11:40:04"/>
    <s v="二战考研，咨询能不能匹配华东师范大学创意写作的老师，下午三点以后联系。"/>
    <s v=""/>
    <s v="大四"/>
    <s v="谭悦"/>
    <s v="线上运营-抖音"/>
    <s v="抖音来客"/>
    <s v=""/>
    <m/>
    <m/>
    <s v="王铎晗"/>
    <x v="0"/>
    <s v="28604127"/>
    <s v="正常工单"/>
    <s v="2025-06-26 15:03"/>
    <s v="A（六个月内有报课意向工单）"/>
    <s v="考研专业课"/>
    <s v="大四"/>
    <s v="中国传媒大学"/>
    <s v="人文学院"/>
    <s v="汉语言文学"/>
    <s v="王铎晗"/>
    <n v="5404051"/>
    <x v="0"/>
    <s v="2025-06-27 16:40"/>
    <s v="谭悦"/>
    <s v="2025-06-27 18:08"/>
    <s v="LP17510136211931"/>
    <s v="考研初试专业课一对一（26考研/30小时）"/>
    <s v="国内考试"/>
    <s v=""/>
    <n v="18300"/>
    <m/>
    <s v=""/>
    <s v="新签"/>
    <s v="已交接"/>
    <m/>
    <s v="BJWY7929441781"/>
    <m/>
    <s v="2025-06-27"/>
    <m/>
    <s v="回访人：谭悦，回访时间：2025-06-26 15:03，回访内容：家长在开课，先加微信   ；|回访人：谭悦，回访时间：2025-06-26 18:48，回访内容：咨询创意写作考研，英语政治推荐40小时一对一，专业课30小时   "/>
    <m/>
    <m/>
    <m/>
    <m/>
    <n v="80626699"/>
    <s v="否"/>
    <s v="26考季"/>
    <s v="考研专业课300"/>
    <s v="专业课300"/>
    <s v="其他"/>
    <s v="国内高校-211"/>
    <s v="是"/>
    <s v=""/>
    <m/>
    <m/>
    <m/>
    <s v="外地人外地大学(常规)"/>
    <s v="市场"/>
  </r>
  <r>
    <x v="0"/>
    <n v="124"/>
    <s v="北京大学部"/>
    <s v="国内大学部"/>
    <s v="王蕴韬"/>
    <s v="116331747"/>
    <s v="杨沫"/>
    <s v="2025-06-27 16:42:36"/>
    <s v="焦倩文+jiaoqianwen@xdf.cn+ID+产业机构-国际教育培训事业部-国际教育北京中心-英联邦部-英研班课项目_x000a_赵星火_x000a_"/>
    <s v=""/>
    <s v="大二"/>
    <s v="赵星火"/>
    <s v="转介绍"/>
    <s v="内部员工推荐"/>
    <s v="焦倩文+jiaoqianwen@xdf.cn+ID+产业机构-国际教育培训事业部-国际教育北京中心-英联邦部-英研班课项目"/>
    <m/>
    <m/>
    <s v="王蕴韬"/>
    <x v="1"/>
    <s v="28678802"/>
    <s v="正常工单"/>
    <s v="2025-06-27 16:43"/>
    <s v="A（六个月内有报课意向工单）"/>
    <s v="六级"/>
    <s v="大二"/>
    <s v="北京工业大学"/>
    <s v="物理学院"/>
    <s v="物理"/>
    <s v="王蕴韬"/>
    <n v="5396383"/>
    <x v="1"/>
    <s v="2025-06-27 17:29"/>
    <s v="赵星火"/>
    <s v="2025-06-27 17:29"/>
    <s v="WYS25031"/>
    <s v="六级无忧计划"/>
    <s v="国内考试"/>
    <s v=""/>
    <n v="5680"/>
    <m/>
    <s v="焦倩文+jiaoqianwen@xdf.cn+ID+产业机构-国际教育培训事业部-国际教育北京中心-英联邦部-英研班课项目"/>
    <s v="新签"/>
    <s v="已交接"/>
    <s v="WebReg"/>
    <s v="BJWY7763056628"/>
    <s v="WYS250310055"/>
    <s v="2025-06-27"/>
    <m/>
    <s v="回访人：赵星火，回访时间：2025-06-27 16:43，回访内容：1；|回访人：赵星火，回访时间：2025-06-27 17:29，回访内容：1"/>
    <m/>
    <m/>
    <m/>
    <m/>
    <n v="56361116"/>
    <s v="否"/>
    <s v="25下考季"/>
    <s v="六级无忧计划"/>
    <s v=""/>
    <m/>
    <s v="国内高校-211"/>
    <s v="否"/>
    <s v=""/>
    <m/>
    <s v="报名"/>
    <m/>
    <s v="本地人本地大学(常规)"/>
    <s v="客服"/>
  </r>
  <r>
    <x v="0"/>
    <n v="125"/>
    <s v="北京大学部"/>
    <s v="国内大学部"/>
    <s v="未告知"/>
    <s v="114343769"/>
    <s v="段同飞"/>
    <s v="2025-06-14 15:54:45"/>
    <s v=" 内推给赵星火老师"/>
    <s v=""/>
    <s v="未知"/>
    <s v="赵星火"/>
    <s v="转介绍"/>
    <s v="内部员工推荐"/>
    <s v="冯景丽+fengjingli@xdf.cn+ID+北京学校-运营管理部-学员服务管理中心-西南区"/>
    <m/>
    <m/>
    <s v="杨博勋"/>
    <x v="1"/>
    <s v="28356119"/>
    <s v="正常工单"/>
    <s v="2025-06-14 16:16"/>
    <s v="A（六个月内有报课意向工单）"/>
    <s v="四级"/>
    <s v="大二"/>
    <s v="东北石油大学"/>
    <s v="石油工程学院"/>
    <s v="石油工程"/>
    <s v="杨博勋"/>
    <n v="5395689"/>
    <x v="1"/>
    <s v="2025-06-27 10:44"/>
    <s v="赵星火"/>
    <s v="2025-06-27 10:46"/>
    <s v="ZVVA26001"/>
    <s v="四级暑假集训营（24H冲刺直播）"/>
    <s v="国内考试"/>
    <s v=""/>
    <n v="15000"/>
    <m/>
    <s v="冯景丽+fengjingli@xdf.cn+ID+北京学校-运营管理部-学员服务管理中心-西南区"/>
    <s v="新签"/>
    <s v="已交接"/>
    <s v="WebReg"/>
    <s v="BJWY1468237162"/>
    <s v="ZVVA260010020"/>
    <s v="2025-06-27"/>
    <m/>
    <s v="回访人：赵星火，回访时间：2025-06-20 20:29，回访内容：表示孩子准备考试，中考完之后再说改到本月优惠截止；|回访人：赵星火，回访时间：2025-06-27 10:44，回访内容：1"/>
    <m/>
    <m/>
    <m/>
    <m/>
    <n v="56631902"/>
    <s v="否"/>
    <s v="25下考季"/>
    <s v="四级无忧计划"/>
    <s v=""/>
    <m/>
    <s v="国内高校-211"/>
    <s v="是"/>
    <s v=""/>
    <m/>
    <s v="报名"/>
    <m/>
    <s v="外地人外地大学(常规)"/>
    <s v="客服"/>
  </r>
  <r>
    <x v="0"/>
    <n v="126"/>
    <s v="北京大学部"/>
    <s v="国内大学部"/>
    <s v="何静一"/>
    <s v="97983296"/>
    <s v="徐利霞"/>
    <s v="2025-03-24 10:57:06"/>
    <s v="北工商，大四，应用数学，25考研本专业，咨询数学一对一辅导，尽快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s v="2025财年小表单-新东方集团官微【新东方】资源"/>
    <s v="大四"/>
    <s v="程远"/>
    <s v="线上运营-私域中台"/>
    <s v="公众号"/>
    <s v=""/>
    <s v="程远"/>
    <s v="2025-06-23 10:16:45"/>
    <s v="何静一"/>
    <x v="0"/>
    <s v="28453327"/>
    <s v="正常工单"/>
    <s v="2025-06-23 11:57"/>
    <s v="A（六个月内有报课意向工单）"/>
    <s v="考研集训营"/>
    <s v="大四"/>
    <s v="北京工商大学"/>
    <s v="数学与统计学院"/>
    <s v="数学与应用数学"/>
    <s v="何静一"/>
    <n v="5395351"/>
    <x v="0"/>
    <s v="2025-06-26 18:43"/>
    <s v="谭悦"/>
    <s v="2025-06-26 18:44"/>
    <s v="KYJY25010"/>
    <s v="26考研英语半年集训营（基础/六月）"/>
    <s v="国内考试"/>
    <s v=""/>
    <n v="4815"/>
    <m/>
    <s v=""/>
    <s v="新签"/>
    <s v="已交接"/>
    <s v="BJWY2101498uW2"/>
    <s v="XDF8170920552"/>
    <s v="KYJY250100062"/>
    <s v="2025-06-26"/>
    <m/>
    <s v="回访人：谭悦，回访时间：2025-06-23 11:57，回访内容：跟进半年集训营 英政 理学  ；|回访人：谭悦，回访时间：2025-06-25 19:05，回访内容：微信跟进中，考研学习  集训营    已经去营地看了  ；|回访人：谭悦，回访时间：2025-06-26 18:43，回访内容：签约 "/>
    <m/>
    <m/>
    <m/>
    <m/>
    <n v="67686450"/>
    <s v="否"/>
    <s v="26考季"/>
    <s v="半年集训营"/>
    <s v="英语,政治"/>
    <s v="其他"/>
    <s v="国内高校-双非"/>
    <s v="是"/>
    <s v=""/>
    <m/>
    <s v="报名"/>
    <m/>
    <s v="本地人本地大学(常规)"/>
    <m/>
  </r>
  <r>
    <x v="0"/>
    <n v="127"/>
    <s v="北京大学部"/>
    <s v="国内大学部"/>
    <s v="何静一"/>
    <s v="97983296"/>
    <s v="徐利霞"/>
    <s v="2025-03-24 10:57:06"/>
    <s v="北工商，大四，应用数学，25考研本专业，咨询数学一对一辅导，尽快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s v="2025财年小表单-新东方集团官微【新东方】资源"/>
    <s v="大四"/>
    <s v="程远"/>
    <s v="线上运营-私域中台"/>
    <s v="公众号"/>
    <s v=""/>
    <s v="程远"/>
    <s v="2025-06-23 10:16:45"/>
    <s v="何静一"/>
    <x v="0"/>
    <s v="28453327"/>
    <s v="正常工单"/>
    <s v="2025-06-23 11:57"/>
    <s v="A（六个月内有报课意向工单）"/>
    <s v="考研集训营"/>
    <s v="大四"/>
    <s v="北京工商大学"/>
    <s v="数学与统计学院"/>
    <s v="数学与应用数学"/>
    <s v="何静一"/>
    <n v="5395351"/>
    <x v="0"/>
    <s v="2025-06-26 18:43"/>
    <s v="谭悦"/>
    <s v="2025-06-26 18:44"/>
    <s v="KYZ25009"/>
    <s v="26考研半年集训营（住宿费/六月）"/>
    <s v="国内考试"/>
    <s v=""/>
    <n v="14160"/>
    <m/>
    <s v=""/>
    <s v="新签"/>
    <s v="已交接"/>
    <s v="BJWY2101498uW2"/>
    <s v="XDF8170920552"/>
    <s v="KYZ250090063"/>
    <s v="2025-06-26"/>
    <m/>
    <s v="回访人：谭悦，回访时间：2025-06-23 11:57，回访内容：跟进半年集训营 英政 理学  ；|回访人：谭悦，回访时间：2025-06-25 19:05，回访内容：微信跟进中，考研学习  集训营    已经去营地看了  ；|回访人：谭悦，回访时间：2025-06-26 18:43，回访内容：签约 "/>
    <m/>
    <m/>
    <m/>
    <m/>
    <n v="67686450"/>
    <s v="否"/>
    <s v="26考季"/>
    <s v="半年集训营"/>
    <s v="英语,政治"/>
    <s v="其他"/>
    <s v="国内高校-双非"/>
    <s v="是"/>
    <s v=""/>
    <m/>
    <s v="报名"/>
    <m/>
    <s v="本地人本地大学(常规)"/>
    <m/>
  </r>
  <r>
    <x v="0"/>
    <n v="128"/>
    <s v="北京大学部"/>
    <s v="国内大学部"/>
    <s v="何静一"/>
    <s v="97983296"/>
    <s v="徐利霞"/>
    <s v="2025-03-24 10:57:06"/>
    <s v="北工商，大四，应用数学，25考研本专业，咨询数学一对一辅导，尽快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s v="2025财年小表单-新东方集团官微【新东方】资源"/>
    <s v="大四"/>
    <s v="程远"/>
    <s v="线上运营-私域中台"/>
    <s v="公众号"/>
    <s v=""/>
    <s v="程远"/>
    <s v="2025-06-23 10:16:45"/>
    <s v="何静一"/>
    <x v="0"/>
    <s v="28453327"/>
    <s v="正常工单"/>
    <s v="2025-06-23 11:57"/>
    <s v="A（六个月内有报课意向工单）"/>
    <s v="考研集训营"/>
    <s v="大四"/>
    <s v="北京工商大学"/>
    <s v="数学与统计学院"/>
    <s v="数学与应用数学"/>
    <s v="何静一"/>
    <n v="5395351"/>
    <x v="0"/>
    <s v="2025-06-26 18:43"/>
    <s v="谭悦"/>
    <s v="2025-06-26 18:44"/>
    <s v="KYJZ25010A"/>
    <s v="26考研政治半年集训营（强冲）"/>
    <s v="国内考试"/>
    <s v=""/>
    <n v="4795"/>
    <m/>
    <s v=""/>
    <s v="新签"/>
    <s v="已交接"/>
    <s v="BJWY2101498uW2"/>
    <s v="XDF8170920552"/>
    <s v="KYJZ25010A0050"/>
    <s v="2025-06-26"/>
    <m/>
    <s v="回访人：谭悦，回访时间：2025-06-23 11:57，回访内容：跟进半年集训营 英政 理学  ；|回访人：谭悦，回访时间：2025-06-25 19:05，回访内容：微信跟进中，考研学习  集训营    已经去营地看了  ；|回访人：谭悦，回访时间：2025-06-26 18:43，回访内容：签约 "/>
    <m/>
    <m/>
    <m/>
    <m/>
    <n v="67686450"/>
    <s v="否"/>
    <s v="26考季"/>
    <s v="半年集训营"/>
    <s v="英语,政治"/>
    <s v="其他"/>
    <s v="国内高校-双非"/>
    <s v="是"/>
    <s v=""/>
    <m/>
    <s v="报名"/>
    <m/>
    <s v="本地人本地大学(常规)"/>
    <m/>
  </r>
  <r>
    <x v="0"/>
    <n v="129"/>
    <s v="北京大学部"/>
    <s v="国内大学部"/>
    <s v="何静一"/>
    <s v="97983296"/>
    <s v="徐利霞"/>
    <s v="2025-03-24 10:57:06"/>
    <s v="北工商，大四，应用数学，25考研本专业，咨询数学一对一辅导，尽快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s v="2025财年小表单-新东方集团官微【新东方】资源"/>
    <s v="大四"/>
    <s v="程远"/>
    <s v="线上运营-私域中台"/>
    <s v="公众号"/>
    <s v=""/>
    <s v="程远"/>
    <s v="2025-06-23 10:16:45"/>
    <s v="何静一"/>
    <x v="0"/>
    <s v="28453327"/>
    <s v="正常工单"/>
    <s v="2025-06-23 11:57"/>
    <s v="A（六个月内有报课意向工单）"/>
    <s v="考研集训营"/>
    <s v="大四"/>
    <s v="北京工商大学"/>
    <s v="数学与统计学院"/>
    <s v="数学与应用数学"/>
    <s v="何静一"/>
    <n v="5395351"/>
    <x v="0"/>
    <s v="2025-06-26 18:43"/>
    <s v="谭悦"/>
    <s v="2025-06-26 18:44"/>
    <s v="KYJZ25010"/>
    <s v="26考研政治半年集训营（基础/六月）"/>
    <s v="国内考试"/>
    <s v=""/>
    <n v="3405"/>
    <m/>
    <s v=""/>
    <s v="新签"/>
    <s v="已交接"/>
    <s v="BJWY2101498uW2"/>
    <s v="XDF8170920552"/>
    <s v="KYJZ250100055"/>
    <s v="2025-06-26"/>
    <m/>
    <s v="回访人：谭悦，回访时间：2025-06-23 11:57，回访内容：跟进半年集训营 英政 理学  ；|回访人：谭悦，回访时间：2025-06-25 19:05，回访内容：微信跟进中，考研学习  集训营    已经去营地看了  ；|回访人：谭悦，回访时间：2025-06-26 18:43，回访内容：签约 "/>
    <m/>
    <m/>
    <m/>
    <m/>
    <n v="67686450"/>
    <s v="否"/>
    <s v="26考季"/>
    <s v="半年集训营"/>
    <s v="英语,政治"/>
    <s v="其他"/>
    <s v="国内高校-双非"/>
    <s v="是"/>
    <s v=""/>
    <m/>
    <s v="报名"/>
    <m/>
    <s v="本地人本地大学(常规)"/>
    <m/>
  </r>
  <r>
    <x v="0"/>
    <n v="130"/>
    <s v="北京大学部"/>
    <s v="国内大学部"/>
    <s v="何静一"/>
    <s v="97983296"/>
    <s v="徐利霞"/>
    <s v="2025-03-24 10:57:06"/>
    <s v="北工商，大四，应用数学，25考研本专业，咨询数学一对一辅导，尽快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s v="2025财年小表单-新东方集团官微【新东方】资源"/>
    <s v="大四"/>
    <s v="程远"/>
    <s v="线上运营-私域中台"/>
    <s v="公众号"/>
    <s v=""/>
    <s v="程远"/>
    <s v="2025-06-23 10:16:45"/>
    <s v="何静一"/>
    <x v="0"/>
    <s v="28453327"/>
    <s v="正常工单"/>
    <s v="2025-06-23 11:57"/>
    <s v="A（六个月内有报课意向工单）"/>
    <s v="考研集训营"/>
    <s v="大四"/>
    <s v="北京工商大学"/>
    <s v="数学与统计学院"/>
    <s v="数学与应用数学"/>
    <s v="何静一"/>
    <n v="5395351"/>
    <x v="0"/>
    <s v="2025-06-26 18:43"/>
    <s v="谭悦"/>
    <s v="2025-06-26 18:44"/>
    <s v="KYJY25010A"/>
    <s v="26考研英语半年集训营（强冲/英语一）"/>
    <s v="国内考试"/>
    <s v=""/>
    <n v="7575"/>
    <m/>
    <s v=""/>
    <s v="新签"/>
    <s v="已交接"/>
    <s v="BJWY2101498uW2"/>
    <s v="XDF8170920552"/>
    <s v="KYJY25010A0051"/>
    <s v="2025-06-26"/>
    <m/>
    <s v="回访人：谭悦，回访时间：2025-06-23 11:57，回访内容：跟进半年集训营 英政 理学  ；|回访人：谭悦，回访时间：2025-06-25 19:05，回访内容：微信跟进中，考研学习  集训营    已经去营地看了  ；|回访人：谭悦，回访时间：2025-06-26 18:43，回访内容：签约 "/>
    <m/>
    <m/>
    <m/>
    <m/>
    <n v="67686450"/>
    <s v="否"/>
    <s v="26考季"/>
    <s v="半年集训营"/>
    <s v="英语,政治"/>
    <s v="其他"/>
    <s v="国内高校-双非"/>
    <s v="是"/>
    <s v=""/>
    <m/>
    <s v="报名"/>
    <m/>
    <s v="本地人本地大学(常规)"/>
    <m/>
  </r>
  <r>
    <x v="0"/>
    <n v="131"/>
    <s v="北京大学部"/>
    <s v="国内大学部"/>
    <s v="霍盈杉"/>
    <s v="116226230"/>
    <s v="罗志勇"/>
    <s v="2025-06-25 16:30:11"/>
    <s v="续费原因：咨询考研课程 ；该学生为保护期内续费，原顾问：国内大学部-赵星火(zhaoxinghuo@xdf.cn)"/>
    <m/>
    <s v="大三"/>
    <s v="赵星火"/>
    <s v="转介绍"/>
    <s v="学管续费推荐"/>
    <s v="罗志勇luozhiyong1@xdf.cn"/>
    <m/>
    <m/>
    <s v="霍盈杉"/>
    <x v="1"/>
    <s v="28595689"/>
    <s v="续费工单"/>
    <s v="2025-06-25 16:52"/>
    <s v="A（六个月内有报课意向工单）"/>
    <s v="考研集训营"/>
    <s v="大三"/>
    <s v="保定理工学院"/>
    <s v="资源与工程技术学院"/>
    <s v="土地资源管理"/>
    <s v="霍盈杉"/>
    <n v="5365669"/>
    <x v="1"/>
    <s v="2025-06-25 22:28"/>
    <s v="赵星火"/>
    <s v="2025-06-25 22:28"/>
    <s v="KYJZ25016"/>
    <s v="26考研政治OMO全程集训营（政英联报）"/>
    <s v="国内考试"/>
    <s v=""/>
    <n v="11634.5"/>
    <s v="同科续费"/>
    <s v="罗志勇"/>
    <s v="续班"/>
    <s v="已交接"/>
    <s v="BJWY2011wXCx1W"/>
    <s v="BJWY9038592627"/>
    <s v="KYJZ250160056"/>
    <s v="2025-06-25"/>
    <m/>
    <s v="回访人：赵星火，回访时间：2025-06-25 16:52，回访内容：跟进中咨询暑假集训继续维护学生考虑；|回访人：赵星火，回访时间：2025-06-25 22:28，回访内容：1"/>
    <m/>
    <m/>
    <m/>
    <m/>
    <n v="38346789"/>
    <s v="否"/>
    <s v="26考季"/>
    <s v="暑假集训营"/>
    <s v="英语,政治"/>
    <m/>
    <s v="国内高校-双非"/>
    <s v="是"/>
    <s v=""/>
    <m/>
    <s v="报名"/>
    <m/>
    <s v="外地人外地大学(常规)"/>
    <s v="学管续费推荐"/>
  </r>
  <r>
    <x v="0"/>
    <n v="132"/>
    <s v="北京大学部"/>
    <s v="国内大学部"/>
    <s v="霍盈杉"/>
    <s v="116226230"/>
    <s v="罗志勇"/>
    <s v="2025-06-25 16:30:11"/>
    <s v="续费原因：咨询考研课程 ；该学生为保护期内续费，原顾问：国内大学部-赵星火(zhaoxinghuo@xdf.cn)"/>
    <m/>
    <s v="大三"/>
    <s v="赵星火"/>
    <s v="转介绍"/>
    <s v="学管续费推荐"/>
    <s v="罗志勇luozhiyong1@xdf.cn"/>
    <m/>
    <m/>
    <s v="霍盈杉"/>
    <x v="1"/>
    <s v="28595689"/>
    <s v="续费工单"/>
    <s v="2025-06-25 16:52"/>
    <s v="A（六个月内有报课意向工单）"/>
    <s v="考研集训营"/>
    <s v="大三"/>
    <s v="保定理工学院"/>
    <s v="资源与工程技术学院"/>
    <s v="土地资源管理"/>
    <s v="霍盈杉"/>
    <n v="5365669"/>
    <x v="1"/>
    <s v="2025-06-25 22:28"/>
    <s v="赵星火"/>
    <s v="2025-06-25 22:28"/>
    <s v="KYZ25016"/>
    <s v="26考研OMO全程集训营（住宿费/政英）"/>
    <s v="国内考试"/>
    <s v=""/>
    <n v="5440"/>
    <s v="同科续费"/>
    <s v="罗志勇"/>
    <s v="续班"/>
    <s v="已交接"/>
    <s v="BJWY2011wXCx1W"/>
    <s v="BJWY9038592627"/>
    <s v="KYZ250160087"/>
    <s v="2025-06-25"/>
    <m/>
    <s v="回访人：赵星火，回访时间：2025-06-25 16:52，回访内容：跟进中咨询暑假集训继续维护学生考虑；|回访人：赵星火，回访时间：2025-06-25 22:28，回访内容：1"/>
    <m/>
    <m/>
    <m/>
    <m/>
    <n v="38346789"/>
    <s v="否"/>
    <s v="26考季"/>
    <s v="暑假集训营"/>
    <s v="英语,政治"/>
    <m/>
    <s v="国内高校-双非"/>
    <s v="是"/>
    <s v=""/>
    <m/>
    <s v="报名"/>
    <m/>
    <s v="外地人外地大学(常规)"/>
    <s v="学管续费推荐"/>
  </r>
  <r>
    <x v="0"/>
    <n v="133"/>
    <s v="北京大学部"/>
    <s v="国内大学部"/>
    <s v="霍盈杉"/>
    <s v="116226230"/>
    <s v="罗志勇"/>
    <s v="2025-06-25 16:30:11"/>
    <s v="续费原因：咨询考研课程 ；该学生为保护期内续费，原顾问：国内大学部-赵星火(zhaoxinghuo@xdf.cn)"/>
    <m/>
    <s v="大三"/>
    <s v="赵星火"/>
    <s v="转介绍"/>
    <s v="学管续费推荐"/>
    <s v="罗志勇luozhiyong1@xdf.cn"/>
    <m/>
    <m/>
    <s v="霍盈杉"/>
    <x v="1"/>
    <s v="28595689"/>
    <s v="续费工单"/>
    <s v="2025-06-25 16:52"/>
    <s v="A（六个月内有报课意向工单）"/>
    <s v="考研集训营"/>
    <s v="大三"/>
    <s v="保定理工学院"/>
    <s v="资源与工程技术学院"/>
    <s v="土地资源管理"/>
    <s v="霍盈杉"/>
    <n v="5365669"/>
    <x v="1"/>
    <s v="2025-06-25 22:28"/>
    <s v="赵星火"/>
    <s v="2025-06-25 22:28"/>
    <s v="KYJY25016"/>
    <s v="26考研英语OMO全程集训营（政英一联报）"/>
    <s v="国内考试"/>
    <s v=""/>
    <n v="14425.5"/>
    <s v="同科续费"/>
    <s v="罗志勇"/>
    <s v="续班"/>
    <s v="已交接"/>
    <s v="BJWY2011wXCx1W"/>
    <s v="BJWY9038592627"/>
    <s v="KYJY250160056"/>
    <s v="2025-06-25"/>
    <m/>
    <s v="回访人：赵星火，回访时间：2025-06-25 16:52，回访内容：跟进中咨询暑假集训继续维护学生考虑；|回访人：赵星火，回访时间：2025-06-25 22:28，回访内容：1"/>
    <m/>
    <m/>
    <m/>
    <m/>
    <n v="38346789"/>
    <s v="否"/>
    <s v="26考季"/>
    <s v="暑假集训营"/>
    <s v="英语,政治"/>
    <m/>
    <s v="国内高校-双非"/>
    <s v="是"/>
    <s v=""/>
    <m/>
    <s v="报名"/>
    <m/>
    <s v="外地人外地大学(常规)"/>
    <s v="学管续费推荐"/>
  </r>
  <r>
    <x v="0"/>
    <n v="134"/>
    <s v="北京大学部"/>
    <s v="国内大学部"/>
    <s v="晁"/>
    <s v="115982569"/>
    <s v="杨沫"/>
    <s v="2025-06-25 11:06:12"/>
    <s v="原渠道激活分配谭悦"/>
    <s v=""/>
    <s v="大学已毕业"/>
    <s v="谭悦"/>
    <s v="线上运营-私域中台"/>
    <s v="社群、虚拟人"/>
    <s v=""/>
    <m/>
    <m/>
    <s v="李辰静"/>
    <x v="0"/>
    <s v="28590080"/>
    <s v="续费工单"/>
    <s v="2025-06-25 11:29"/>
    <s v="A（六个月内有报课意向工单）"/>
    <s v="考研无忧计划"/>
    <s v="大学已毕业"/>
    <s v="河南科技大学"/>
    <s v="临床医学院（第一附属医院）"/>
    <s v="临床医学2"/>
    <s v="李辰静"/>
    <n v="5365316"/>
    <x v="0"/>
    <s v="2025-06-25 16:57"/>
    <s v="谭悦"/>
    <s v="2025-06-25 16:58"/>
    <s v="WYFE26005"/>
    <s v="考研英语无忧计划蜂鸟（26考研/英一强化）"/>
    <s v="国内考试"/>
    <s v=""/>
    <n v="8170"/>
    <m/>
    <s v=""/>
    <s v="续班"/>
    <s v="已交接"/>
    <s v="BJWY25030q8UPI"/>
    <s v="BJWY0458733632"/>
    <s v="WYFE260050002"/>
    <s v="2025-06-25"/>
    <m/>
    <s v="回访人：谭悦，回访时间：2025-06-25 11:29，回访内容：考虑英语蜂鸟  ；|回访人：谭悦，回访时间：2025-06-25 16:57，回访内容：签约 "/>
    <m/>
    <m/>
    <m/>
    <m/>
    <n v="45562356"/>
    <s v="否"/>
    <s v="26考季"/>
    <s v="无忧计划-蜂鸟"/>
    <s v="英语"/>
    <s v="其他"/>
    <s v="国内高校-双非"/>
    <s v="是"/>
    <s v=""/>
    <m/>
    <s v="报名"/>
    <m/>
    <m/>
    <s v="客服"/>
  </r>
  <r>
    <x v="0"/>
    <n v="135"/>
    <s v="北京大学部"/>
    <s v="国内大学部"/>
    <s v="晁"/>
    <s v="115982569"/>
    <s v="杨沫"/>
    <s v="2025-06-25 11:06:12"/>
    <s v="原渠道激活分配谭悦"/>
    <s v=""/>
    <s v="大学已毕业"/>
    <s v="谭悦"/>
    <s v="线上运营-私域中台"/>
    <s v="社群、虚拟人"/>
    <s v=""/>
    <m/>
    <m/>
    <s v="李辰静"/>
    <x v="0"/>
    <s v="28590080"/>
    <s v="续费工单"/>
    <s v="2025-06-25 11:29"/>
    <s v="A（六个月内有报课意向工单）"/>
    <s v="考研无忧计划"/>
    <s v="大学已毕业"/>
    <s v="河南科技大学"/>
    <s v="临床医学院（第一附属医院）"/>
    <s v="临床医学2"/>
    <s v="李辰静"/>
    <n v="5365316"/>
    <x v="0"/>
    <s v="2025-06-25 16:57"/>
    <s v="谭悦"/>
    <s v="2025-06-25 16:58"/>
    <s v="WYFE26006"/>
    <s v="考研英语无忧计划蜂鸟（26考研/英一冲刺）"/>
    <s v="国内考试"/>
    <s v=""/>
    <n v="4130"/>
    <m/>
    <s v=""/>
    <s v="续班"/>
    <s v="已交接"/>
    <s v="BJWY25030q8UPI"/>
    <s v="BJWY0458733632"/>
    <s v="WYFE260060002"/>
    <s v="2025-06-25"/>
    <m/>
    <s v="回访人：谭悦，回访时间：2025-06-25 11:29，回访内容：考虑英语蜂鸟  ；|回访人：谭悦，回访时间：2025-06-25 16:57，回访内容：签约 "/>
    <m/>
    <m/>
    <m/>
    <m/>
    <n v="45562356"/>
    <s v="否"/>
    <s v="26考季"/>
    <s v="无忧计划-蜂鸟"/>
    <s v="英语"/>
    <s v="其他"/>
    <s v="国内高校-双非"/>
    <s v="是"/>
    <s v=""/>
    <m/>
    <s v="报名"/>
    <m/>
    <m/>
    <s v="客服"/>
  </r>
  <r>
    <x v="0"/>
    <n v="136"/>
    <s v="北京大学部"/>
    <s v="国内大学部"/>
    <s v="吴经纬"/>
    <s v="116105691"/>
    <s v="韦艺鑫"/>
    <s v="2025-06-25 08:22:25"/>
    <s v="续费原因：家长咨询暑期，顾问已转岗，之前是给谭悦老师维护。若谭悦老师死单激活可能不属于学管渠道，现重新建单分配谭悦老师；该学生为保护期外续费，原顾问部门：国内大学部"/>
    <m/>
    <s v="大三"/>
    <s v="谭悦"/>
    <s v="转介绍"/>
    <s v="学管续费推荐"/>
    <s v="韦艺鑫weiyixin@xdf.cn"/>
    <m/>
    <m/>
    <s v="吴经纬"/>
    <x v="0"/>
    <s v="28578196"/>
    <s v="续费工单"/>
    <s v="2025-06-25 10:54"/>
    <s v="A（六个月内有报课意向工单）"/>
    <s v="考研集训营"/>
    <s v="大三"/>
    <s v="中国劳动关系学院"/>
    <s v="经济管理学院"/>
    <s v="经济学"/>
    <s v="吴经纬"/>
    <n v="5365310"/>
    <x v="0"/>
    <s v="2025-06-25 16:55"/>
    <s v="谭悦"/>
    <s v="2025-06-25 16:55"/>
    <s v="KYJZ25017"/>
    <s v="26考研政治OMO全程集训营（政英联报）"/>
    <s v="国内考试"/>
    <s v=""/>
    <n v="12134.5"/>
    <s v="扩科续费"/>
    <s v="韦艺鑫"/>
    <s v="续班"/>
    <s v="已交接"/>
    <s v="WebReg"/>
    <s v="BJWY2300146649"/>
    <s v="KYJZ250170041"/>
    <s v="2025-06-25"/>
    <m/>
    <s v="回访人：谭悦，回访时间：2025-06-25 10:54，回访内容：跟进暑假集训营   ；|回访人：谭悦，回访时间：2025-06-25 16:55，回访内容：签约 "/>
    <m/>
    <m/>
    <m/>
    <m/>
    <n v="62177250"/>
    <s v="否"/>
    <s v="26考季"/>
    <s v="暑假集训营"/>
    <s v="英语,政治,经综"/>
    <s v="其他"/>
    <s v="国内高校-双非"/>
    <s v="是"/>
    <s v=""/>
    <m/>
    <s v="报名"/>
    <m/>
    <s v="本地人本地大学(常规)"/>
    <s v="学管续费推荐"/>
  </r>
  <r>
    <x v="0"/>
    <n v="137"/>
    <s v="北京大学部"/>
    <s v="国内大学部"/>
    <s v="吴经纬"/>
    <s v="116105691"/>
    <s v="韦艺鑫"/>
    <s v="2025-06-25 08:22:25"/>
    <s v="续费原因：家长咨询暑期，顾问已转岗，之前是给谭悦老师维护。若谭悦老师死单激活可能不属于学管渠道，现重新建单分配谭悦老师；该学生为保护期外续费，原顾问部门：国内大学部"/>
    <m/>
    <s v="大三"/>
    <s v="谭悦"/>
    <s v="转介绍"/>
    <s v="学管续费推荐"/>
    <s v="韦艺鑫weiyixin@xdf.cn"/>
    <m/>
    <m/>
    <s v="吴经纬"/>
    <x v="0"/>
    <s v="28578196"/>
    <s v="续费工单"/>
    <s v="2025-06-25 10:54"/>
    <s v="A（六个月内有报课意向工单）"/>
    <s v="考研集训营"/>
    <s v="大三"/>
    <s v="中国劳动关系学院"/>
    <s v="经济管理学院"/>
    <s v="经济学"/>
    <s v="吴经纬"/>
    <n v="5365310"/>
    <x v="0"/>
    <s v="2025-06-25 16:55"/>
    <s v="谭悦"/>
    <s v="2025-06-25 16:55"/>
    <s v="KYJJZ2502"/>
    <s v="26考研经综OMO全程集训营"/>
    <s v="国内考试"/>
    <s v=""/>
    <n v="18260"/>
    <s v="扩科续费"/>
    <s v="韦艺鑫"/>
    <s v="续班"/>
    <s v="已交接"/>
    <s v="WebReg"/>
    <s v="BJWY2300146649"/>
    <s v="KYJJZ25020009"/>
    <s v="2025-06-25"/>
    <m/>
    <s v="回访人：谭悦，回访时间：2025-06-25 10:54，回访内容：跟进暑假集训营   ；|回访人：谭悦，回访时间：2025-06-25 16:55，回访内容：签约 "/>
    <m/>
    <m/>
    <m/>
    <m/>
    <n v="62177250"/>
    <s v="否"/>
    <s v="26考季"/>
    <s v="暑假集训营"/>
    <s v="英语,政治,经综"/>
    <s v="其他"/>
    <s v="国内高校-双非"/>
    <s v="是"/>
    <s v=""/>
    <m/>
    <s v="报名"/>
    <m/>
    <s v="本地人本地大学(常规)"/>
    <s v="学管续费推荐"/>
  </r>
  <r>
    <x v="0"/>
    <n v="138"/>
    <s v="北京大学部"/>
    <s v="国内大学部"/>
    <s v="吴经纬"/>
    <s v="116105691"/>
    <s v="韦艺鑫"/>
    <s v="2025-06-25 08:22:25"/>
    <s v="续费原因：家长咨询暑期，顾问已转岗，之前是给谭悦老师维护。若谭悦老师死单激活可能不属于学管渠道，现重新建单分配谭悦老师；该学生为保护期外续费，原顾问部门：国内大学部"/>
    <m/>
    <s v="大三"/>
    <s v="谭悦"/>
    <s v="转介绍"/>
    <s v="学管续费推荐"/>
    <s v="韦艺鑫weiyixin@xdf.cn"/>
    <m/>
    <m/>
    <s v="吴经纬"/>
    <x v="0"/>
    <s v="28578196"/>
    <s v="续费工单"/>
    <s v="2025-06-25 10:54"/>
    <s v="A（六个月内有报课意向工单）"/>
    <s v="考研集训营"/>
    <s v="大三"/>
    <s v="中国劳动关系学院"/>
    <s v="经济管理学院"/>
    <s v="经济学"/>
    <s v="吴经纬"/>
    <n v="5365310"/>
    <x v="0"/>
    <s v="2025-06-25 16:55"/>
    <s v="谭悦"/>
    <s v="2025-06-25 16:55"/>
    <s v="KYJY25017"/>
    <s v="26考研英语OMO全程集训营（政英二联报）"/>
    <s v="国内考试"/>
    <s v=""/>
    <n v="14425.5"/>
    <s v="扩科续费"/>
    <s v="韦艺鑫"/>
    <s v="续班"/>
    <s v="已交接"/>
    <s v="WebReg"/>
    <s v="BJWY2300146649"/>
    <s v="KYJY250170060"/>
    <s v="2025-06-25"/>
    <m/>
    <s v="回访人：谭悦，回访时间：2025-06-25 10:54，回访内容：跟进暑假集训营   ；|回访人：谭悦，回访时间：2025-06-25 16:55，回访内容：签约 "/>
    <m/>
    <m/>
    <m/>
    <m/>
    <n v="62177250"/>
    <s v="否"/>
    <s v="26考季"/>
    <s v="暑假集训营"/>
    <s v="英语,政治,经综"/>
    <s v="其他"/>
    <s v="国内高校-双非"/>
    <s v="是"/>
    <s v=""/>
    <m/>
    <s v="报名"/>
    <m/>
    <s v="本地人本地大学(常规)"/>
    <s v="学管续费推荐"/>
  </r>
  <r>
    <x v="0"/>
    <n v="139"/>
    <s v="北京大学部"/>
    <s v="国内大学部"/>
    <s v="吴经纬"/>
    <s v="116105691"/>
    <s v="韦艺鑫"/>
    <s v="2025-06-25 08:22:25"/>
    <s v="续费原因：家长咨询暑期，顾问已转岗，之前是给谭悦老师维护。若谭悦老师死单激活可能不属于学管渠道，现重新建单分配谭悦老师；该学生为保护期外续费，原顾问部门：国内大学部"/>
    <m/>
    <s v="大三"/>
    <s v="谭悦"/>
    <s v="转介绍"/>
    <s v="学管续费推荐"/>
    <s v="韦艺鑫weiyixin@xdf.cn"/>
    <m/>
    <m/>
    <s v="吴经纬"/>
    <x v="0"/>
    <s v="28578196"/>
    <s v="续费工单"/>
    <s v="2025-06-25 10:54"/>
    <s v="A（六个月内有报课意向工单）"/>
    <s v="考研集训营"/>
    <s v="大三"/>
    <s v="中国劳动关系学院"/>
    <s v="经济管理学院"/>
    <s v="经济学"/>
    <s v="吴经纬"/>
    <n v="5365310"/>
    <x v="0"/>
    <s v="2025-06-25 16:55"/>
    <s v="谭悦"/>
    <s v="2025-06-25 16:55"/>
    <s v="KYZ25018"/>
    <s v="26考研OMO全程集训营（住宿费/政英数/经综）"/>
    <s v="国内考试"/>
    <s v=""/>
    <n v="7680"/>
    <s v="扩科续费"/>
    <s v="韦艺鑫"/>
    <s v="续班"/>
    <s v="已交接"/>
    <s v="WebReg"/>
    <s v="BJWY2300146649"/>
    <s v="KYZ250180062"/>
    <s v="2025-06-25"/>
    <m/>
    <s v="回访人：谭悦，回访时间：2025-06-25 10:54，回访内容：跟进暑假集训营   ；|回访人：谭悦，回访时间：2025-06-25 16:55，回访内容：签约 "/>
    <m/>
    <m/>
    <m/>
    <m/>
    <n v="62177250"/>
    <s v="否"/>
    <s v="26考季"/>
    <s v="暑假集训营"/>
    <s v="英语,政治,经综"/>
    <s v="其他"/>
    <s v="国内高校-双非"/>
    <s v="是"/>
    <s v=""/>
    <m/>
    <s v="报名"/>
    <m/>
    <s v="本地人本地大学(常规)"/>
    <s v="学管续费推荐"/>
  </r>
  <r>
    <x v="0"/>
    <n v="140"/>
    <s v="北京大学部"/>
    <s v="国内大学部"/>
    <s v="冯稼祥"/>
    <s v="114851110"/>
    <s v="焦子瑞"/>
    <s v="2025-06-17 15:45:55"/>
    <s v="续费原因：学生有续报专业课一对一的课程，预计月底之前做决定，辛苦老师跟学生沟通下哈～；该学生为保护期内续费，原顾问：国内大学部-谭悦(tanyue9@xdf.cn)"/>
    <m/>
    <s v="大四"/>
    <s v="谭悦"/>
    <s v="转介绍"/>
    <s v="学管续费推荐"/>
    <s v="焦子瑞jiaozirui@xdf.cn"/>
    <m/>
    <m/>
    <s v="冯稼祥"/>
    <x v="0"/>
    <s v="28413989"/>
    <s v="续费工单"/>
    <s v="2025-06-17 16:20"/>
    <s v="A（六个月内有报课意向工单）"/>
    <s v="考研专业课"/>
    <s v="大四"/>
    <s v="合肥工业大学屯溪路校区"/>
    <s v="计算机与信息学院（人工智能学院）"/>
    <s v="计算机科学与技术"/>
    <s v="冯稼祥"/>
    <n v="5402685"/>
    <x v="0"/>
    <s v="2025-06-24 16:43"/>
    <s v="谭悦"/>
    <s v="2025-06-24 20:38"/>
    <s v="KYJZ25009A"/>
    <s v="26考研政治半年集训营（强冲）"/>
    <s v="国内考试"/>
    <s v=""/>
    <n v="0.2"/>
    <s v="同科续费"/>
    <s v="焦子瑞"/>
    <s v="续班"/>
    <s v="已交接"/>
    <s v="BJWY24032w1g8X"/>
    <s v="BJWY0702066855"/>
    <s v="KYJZ25009A0014"/>
    <s v="2025-06-24"/>
    <m/>
    <s v="回访人：谭悦，回访时间：2025-06-17 16:20，回访内容：跟进专业课，考研学习  ；|回访人：谭悦，回访时间：2025-06-24 16:26，回访内容：跟进续费 专业课 14300  "/>
    <m/>
    <m/>
    <m/>
    <m/>
    <n v="70944303"/>
    <s v="否"/>
    <s v="26考季"/>
    <s v="考研专业课150"/>
    <s v="专业课150"/>
    <s v="其他"/>
    <s v="国内高校-211"/>
    <s v="是"/>
    <s v=""/>
    <m/>
    <s v="追加优惠"/>
    <m/>
    <s v="外地人外地大学(常规)"/>
    <s v="学管续费推荐"/>
  </r>
  <r>
    <x v="0"/>
    <n v="141"/>
    <s v="北京大学部"/>
    <s v="国内大学部"/>
    <s v="冯稼祥"/>
    <s v="114851110"/>
    <s v="焦子瑞"/>
    <s v="2025-06-17 15:45:55"/>
    <s v="续费原因：学生有续报专业课一对一的课程，预计月底之前做决定，辛苦老师跟学生沟通下哈～；该学生为保护期内续费，原顾问：国内大学部-谭悦(tanyue9@xdf.cn)"/>
    <m/>
    <s v="大四"/>
    <s v="谭悦"/>
    <s v="转介绍"/>
    <s v="学管续费推荐"/>
    <s v="焦子瑞jiaozirui@xdf.cn"/>
    <m/>
    <m/>
    <s v="冯稼祥"/>
    <x v="0"/>
    <s v="28413989"/>
    <s v="续费工单"/>
    <s v="2025-06-17 16:20"/>
    <s v="A（六个月内有报课意向工单）"/>
    <s v="考研专业课"/>
    <s v="大四"/>
    <s v="合肥工业大学屯溪路校区"/>
    <s v="计算机与信息学院（人工智能学院）"/>
    <s v="计算机科学与技术"/>
    <s v="冯稼祥"/>
    <n v="5402685"/>
    <x v="0"/>
    <s v="2025-06-24 16:43"/>
    <s v="谭悦"/>
    <s v="2025-06-24 20:38"/>
    <s v="LP17507546101754"/>
    <s v="985院校升级费-集训"/>
    <s v="国内考试"/>
    <s v=""/>
    <n v="3000"/>
    <s v="同科续费"/>
    <s v="焦子瑞"/>
    <s v="续班"/>
    <s v="已交接"/>
    <s v="BJWY24032w1g8X"/>
    <s v="BJWY0702066855"/>
    <m/>
    <s v="2025-06-24"/>
    <m/>
    <s v="回访人：谭悦，回访时间：2025-06-17 16:20，回访内容：跟进专业课，考研学习  ；|回访人：谭悦，回访时间：2025-06-24 16:26，回访内容：跟进续费 专业课 14300  "/>
    <m/>
    <m/>
    <m/>
    <m/>
    <n v="70944303"/>
    <s v="否"/>
    <s v="26考季"/>
    <s v="考研专业课150"/>
    <s v="专业课150"/>
    <s v="其他"/>
    <s v="国内高校-211"/>
    <s v="是"/>
    <s v=""/>
    <m/>
    <m/>
    <m/>
    <s v="外地人外地大学(常规)"/>
    <s v="学管续费推荐"/>
  </r>
  <r>
    <x v="0"/>
    <n v="142"/>
    <s v="北京大学部"/>
    <s v="国内大学部"/>
    <s v="冯稼祥"/>
    <s v="114851110"/>
    <s v="焦子瑞"/>
    <s v="2025-06-17 15:45:55"/>
    <s v="续费原因：学生有续报专业课一对一的课程，预计月底之前做决定，辛苦老师跟学生沟通下哈～；该学生为保护期内续费，原顾问：国内大学部-谭悦(tanyue9@xdf.cn)"/>
    <m/>
    <s v="大四"/>
    <s v="谭悦"/>
    <s v="转介绍"/>
    <s v="学管续费推荐"/>
    <s v="焦子瑞jiaozirui@xdf.cn"/>
    <m/>
    <m/>
    <s v="冯稼祥"/>
    <x v="0"/>
    <s v="28413989"/>
    <s v="续费工单"/>
    <s v="2025-06-17 16:20"/>
    <s v="A（六个月内有报课意向工单）"/>
    <s v="考研专业课"/>
    <s v="大四"/>
    <s v="合肥工业大学屯溪路校区"/>
    <s v="计算机与信息学院（人工智能学院）"/>
    <s v="计算机科学与技术"/>
    <s v="冯稼祥"/>
    <n v="5402685"/>
    <x v="0"/>
    <s v="2025-06-24 16:43"/>
    <s v="谭悦"/>
    <s v="2025-06-24 20:38"/>
    <s v="LP17507549141771"/>
    <s v="考研初试专业课一对一（26考研/集训30小时）"/>
    <s v="国内考试"/>
    <s v=""/>
    <n v="11300"/>
    <s v="同科续费"/>
    <s v="焦子瑞"/>
    <s v="续班"/>
    <s v="已交接"/>
    <s v="BJWY24032w1g8X"/>
    <s v="BJWY0702066855"/>
    <m/>
    <s v="2025-06-24"/>
    <m/>
    <s v="回访人：谭悦，回访时间：2025-06-17 16:20，回访内容：跟进专业课，考研学习  ；|回访人：谭悦，回访时间：2025-06-24 16:26，回访内容：跟进续费 专业课 14300  "/>
    <m/>
    <m/>
    <m/>
    <m/>
    <n v="70944303"/>
    <s v="否"/>
    <s v="26考季"/>
    <s v="考研专业课150"/>
    <s v="专业课150"/>
    <s v="其他"/>
    <s v="国内高校-211"/>
    <s v="是"/>
    <s v=""/>
    <m/>
    <m/>
    <m/>
    <s v="外地人外地大学(常规)"/>
    <s v="学管续费推荐"/>
  </r>
  <r>
    <x v="0"/>
    <n v="143"/>
    <s v="北京大学部"/>
    <s v="国内大学部"/>
    <s v="同学"/>
    <s v="115715448"/>
    <s v="吕猛"/>
    <s v="2025-06-23 08:52:31"/>
    <s v="在职，考新传，11点到知春路校区面询，尽快联系"/>
    <m/>
    <s v="在职"/>
    <s v="张俊旺"/>
    <s v="线上运营-本地生活平台"/>
    <s v="地图标点"/>
    <s v=""/>
    <m/>
    <m/>
    <s v="安麒"/>
    <x v="3"/>
    <s v="28556825"/>
    <s v="正常工单"/>
    <s v="2025-06-23 10:09"/>
    <s v="B（需长时间跟单或只需要规划）"/>
    <s v="考研集训营"/>
    <s v="在职"/>
    <s v="北京印刷学院"/>
    <s v="设计艺术学院"/>
    <s v="视觉传达设计"/>
    <s v="安麒"/>
    <n v="5364128"/>
    <x v="0"/>
    <s v="2025-06-24 14:39"/>
    <s v="张俊旺"/>
    <s v="2025-06-24 14:58"/>
    <m/>
    <m/>
    <s v="国内考试"/>
    <s v=""/>
    <n v="24650"/>
    <m/>
    <s v=""/>
    <s v="分单"/>
    <s v="已交接"/>
    <m/>
    <s v="BJWY3081505061"/>
    <m/>
    <m/>
    <m/>
    <s v="回访人：张俊旺，回访时间：2025-06-23 10:09，回访内容：现在在去知春路校区的路上，找老师帮忙接待；|回访人：张俊旺，回访时间：2025-06-23 15:35，回访内容：已发协议，预计明天报名；|回访人：张俊旺，回访时间：2025-06-24 14:39，回访内容：签约"/>
    <m/>
    <m/>
    <m/>
    <m/>
    <n v="80429837"/>
    <s v="否"/>
    <s v="26考季"/>
    <s v=""/>
    <s v="英语,政治"/>
    <s v="其他"/>
    <s v="国内高校-双非"/>
    <s v="否"/>
    <s v=""/>
    <m/>
    <m/>
    <m/>
    <m/>
    <s v="客服"/>
  </r>
  <r>
    <x v="0"/>
    <n v="144"/>
    <s v="北京大学部"/>
    <s v="国内大学部"/>
    <s v="王琳曦"/>
    <s v="115738056"/>
    <s v="郝琨"/>
    <s v="2025-06-23 10:39:15"/>
    <s v="续费原因：学生想跟郑坚丰老师上课，辛苦谭悦老师沟通；该学生为保护期内续费，原顾问：国内大学部-谭悦(tanyue9@xdf.cn)"/>
    <m/>
    <s v="大三"/>
    <s v="谭悦"/>
    <s v="转介绍"/>
    <s v="学管续费推荐"/>
    <s v="郝琨haokun@xdf.cn"/>
    <m/>
    <m/>
    <s v="王琳曦"/>
    <x v="0"/>
    <s v="28542511"/>
    <s v="续费工单"/>
    <s v="2025-06-23 15:18"/>
    <s v="A（六个月内有报课意向工单）"/>
    <s v="考研VIP"/>
    <s v="大三"/>
    <s v="北京城市学院"/>
    <s v="艺术设计学部"/>
    <s v="视觉传达设计"/>
    <s v="王琳曦"/>
    <n v="5364119"/>
    <x v="0"/>
    <s v="2025-06-24 14:32"/>
    <s v="谭悦"/>
    <s v="2025-06-24 16:03"/>
    <s v="LP17507467421077"/>
    <s v="26考研一对一伴学(定制/60小时/无忧)"/>
    <s v="国内考试"/>
    <s v=""/>
    <n v="66000"/>
    <m/>
    <s v="郝琨"/>
    <s v="续班"/>
    <s v="已交接"/>
    <m/>
    <s v="BJWY5108768620"/>
    <m/>
    <s v="2025-06-24"/>
    <m/>
    <s v="回访人：谭悦，回访时间：2025-06-23 15:18，回访内容：微信跟进中  ；|回访人：谭悦，回访时间：2025-06-24 14:29，回访内容：签约 ；|回访人：谭悦，回访时间：2025-06-24 14:29，回访内容：谭悦进行了退单操作!(本条回访记录由系统自动记录)"/>
    <m/>
    <m/>
    <m/>
    <m/>
    <n v="59155256"/>
    <s v="否"/>
    <s v="26考季"/>
    <s v="VIP - 伴学"/>
    <s v="英语,政治"/>
    <s v="其他"/>
    <s v="国内高校-双非"/>
    <s v="是"/>
    <s v=""/>
    <m/>
    <m/>
    <m/>
    <s v="本地人本地大学(常规)"/>
    <s v="学管续费推荐"/>
  </r>
  <r>
    <x v="0"/>
    <n v="145"/>
    <s v="北京大学部"/>
    <s v="国内大学部"/>
    <s v="同学"/>
    <s v="115108405"/>
    <s v="吴凯龙"/>
    <s v="2025-06-18 18:27:16"/>
    <s v="赵星火顾问转介绍工单"/>
    <s v=""/>
    <s v="大三"/>
    <s v="赵星火"/>
    <s v="转介绍"/>
    <s v="顾问转介绍-老带新"/>
    <s v="赵星火zhaoxinghuo@xdf.cn"/>
    <m/>
    <m/>
    <s v="胡依琳"/>
    <x v="1"/>
    <s v="28426328"/>
    <s v="正常工单"/>
    <s v="2025-06-18 18:40"/>
    <s v="A（六个月内有报课意向工单）"/>
    <s v="考研专业课,考研集训营"/>
    <s v="大三"/>
    <s v="北京物资学院"/>
    <s v="物流学院"/>
    <s v="物流管理"/>
    <s v="胡依琳"/>
    <n v="5391929"/>
    <x v="1"/>
    <s v="2025-06-23 14:50"/>
    <s v="赵星火"/>
    <s v="2025-06-23 14:50"/>
    <s v="KYZ25017"/>
    <s v="26考研OMO全程集训营（住宿费/英管）"/>
    <s v="国内考试"/>
    <s v=""/>
    <n v="6240"/>
    <m/>
    <s v="赵星火"/>
    <s v="新签"/>
    <s v="已交接"/>
    <s v="BJWY25030q8UPI"/>
    <s v="BJWY6250026096"/>
    <s v="KYZ250170017"/>
    <s v="2025-06-23"/>
    <m/>
    <s v="回访人：赵星火，回访时间：2025-06-18 18:40，回访内容：这边姐姐帮助咨询，今晚确定下，跟进中；|回访人：赵星火，回访时间：2025-06-19 11:53，回访内容：担心跟不上给到上课内容前面导学和时间节奏，跟进中继续维护。；|回访人：赵星火，回访时间：2025-06-21 11:50，回访内容：营地参观这边跟进中继续维护时间跟进中继续维护。；|回访人：赵星火，回访时间：2025-06-22 16:36，回访内容：营地试听联系了，现在是回去再问下，明天给回复跟进学生；|回访人：赵星火，回访时间：2025-06-23 14:50，回访内容：1"/>
    <m/>
    <m/>
    <m/>
    <m/>
    <n v="80058177"/>
    <s v="否"/>
    <s v="26考季"/>
    <s v="暑假集训营,考研专业课管综"/>
    <s v="英语,管综"/>
    <m/>
    <s v="国内高校-双非"/>
    <s v="是"/>
    <s v=""/>
    <m/>
    <s v="报名"/>
    <m/>
    <s v="本地人本地大学(常规)"/>
    <s v="客服"/>
  </r>
  <r>
    <x v="0"/>
    <n v="146"/>
    <s v="北京大学部"/>
    <s v="国内大学部"/>
    <s v="同学"/>
    <s v="115108405"/>
    <s v="吴凯龙"/>
    <s v="2025-06-18 18:27:16"/>
    <s v="赵星火顾问转介绍工单"/>
    <s v=""/>
    <s v="大三"/>
    <s v="赵星火"/>
    <s v="转介绍"/>
    <s v="顾问转介绍-老带新"/>
    <s v="赵星火zhaoxinghuo@xdf.cn"/>
    <m/>
    <m/>
    <s v="胡依琳"/>
    <x v="1"/>
    <s v="28426328"/>
    <s v="正常工单"/>
    <s v="2025-06-18 18:40"/>
    <s v="A（六个月内有报课意向工单）"/>
    <s v="考研专业课,考研集训营"/>
    <s v="大三"/>
    <s v="北京物资学院"/>
    <s v="物流学院"/>
    <s v="物流管理"/>
    <s v="胡依琳"/>
    <n v="5391929"/>
    <x v="1"/>
    <s v="2025-06-23 14:50"/>
    <s v="赵星火"/>
    <s v="2025-06-23 14:50"/>
    <s v="KYJY25017"/>
    <s v="26考研英语OMO全程集训营（政英二联报）"/>
    <s v="国内考试"/>
    <s v=""/>
    <n v="14029.4"/>
    <m/>
    <s v="赵星火"/>
    <s v="新签"/>
    <s v="已交接"/>
    <s v="BJWY25030q8UPI"/>
    <s v="BJWY6250026096"/>
    <s v="KYJY250170056"/>
    <s v="2025-06-23"/>
    <m/>
    <s v="回访人：赵星火，回访时间：2025-06-18 18:40，回访内容：这边姐姐帮助咨询，今晚确定下，跟进中；|回访人：赵星火，回访时间：2025-06-19 11:53，回访内容：担心跟不上给到上课内容前面导学和时间节奏，跟进中继续维护。；|回访人：赵星火，回访时间：2025-06-21 11:50，回访内容：营地参观这边跟进中继续维护时间跟进中继续维护。；|回访人：赵星火，回访时间：2025-06-22 16:36，回访内容：营地试听联系了，现在是回去再问下，明天给回复跟进学生；|回访人：赵星火，回访时间：2025-06-23 14:50，回访内容：1"/>
    <m/>
    <m/>
    <m/>
    <m/>
    <n v="80058177"/>
    <s v="否"/>
    <s v="26考季"/>
    <s v="暑假集训营,考研专业课管综"/>
    <s v="英语,管综"/>
    <m/>
    <s v="国内高校-双非"/>
    <s v="是"/>
    <s v=""/>
    <m/>
    <s v="报名"/>
    <m/>
    <s v="本地人本地大学(常规)"/>
    <s v="客服"/>
  </r>
  <r>
    <x v="0"/>
    <n v="147"/>
    <s v="北京大学部"/>
    <s v="国内大学部"/>
    <s v="同学"/>
    <s v="115108405"/>
    <s v="吴凯龙"/>
    <s v="2025-06-18 18:27:16"/>
    <s v="赵星火顾问转介绍工单"/>
    <s v=""/>
    <s v="大三"/>
    <s v="赵星火"/>
    <s v="转介绍"/>
    <s v="顾问转介绍-老带新"/>
    <s v="赵星火zhaoxinghuo@xdf.cn"/>
    <m/>
    <m/>
    <s v="胡依琳"/>
    <x v="1"/>
    <s v="28426328"/>
    <s v="正常工单"/>
    <s v="2025-06-18 18:40"/>
    <s v="A（六个月内有报课意向工单）"/>
    <s v="考研专业课,考研集训营"/>
    <s v="大三"/>
    <s v="北京物资学院"/>
    <s v="物流学院"/>
    <s v="物流管理"/>
    <s v="胡依琳"/>
    <n v="5391929"/>
    <x v="1"/>
    <s v="2025-06-23 14:50"/>
    <s v="赵星火"/>
    <s v="2025-06-23 14:50"/>
    <s v="KYJGZ2502"/>
    <s v="26考研管综OMO全程集训营"/>
    <s v="国内考试"/>
    <s v=""/>
    <n v="14530.6"/>
    <m/>
    <s v="赵星火"/>
    <s v="新签"/>
    <s v="已交接"/>
    <s v="BJWY25030q8UPI"/>
    <s v="BJWY6250026096"/>
    <s v="KYJGZ25020017"/>
    <s v="2025-06-23"/>
    <m/>
    <s v="回访人：赵星火，回访时间：2025-06-18 18:40，回访内容：这边姐姐帮助咨询，今晚确定下，跟进中；|回访人：赵星火，回访时间：2025-06-19 11:53，回访内容：担心跟不上给到上课内容前面导学和时间节奏，跟进中继续维护。；|回访人：赵星火，回访时间：2025-06-21 11:50，回访内容：营地参观这边跟进中继续维护时间跟进中继续维护。；|回访人：赵星火，回访时间：2025-06-22 16:36，回访内容：营地试听联系了，现在是回去再问下，明天给回复跟进学生；|回访人：赵星火，回访时间：2025-06-23 14:50，回访内容：1"/>
    <m/>
    <m/>
    <m/>
    <m/>
    <n v="80058177"/>
    <s v="否"/>
    <s v="26考季"/>
    <s v="暑假集训营,考研专业课管综"/>
    <s v="英语,管综"/>
    <m/>
    <s v="国内高校-双非"/>
    <s v="是"/>
    <s v=""/>
    <m/>
    <s v="报名"/>
    <m/>
    <s v="本地人本地大学(常规)"/>
    <s v="客服"/>
  </r>
  <r>
    <x v="0"/>
    <n v="148"/>
    <s v="北京大学部"/>
    <s v="国内大学部"/>
    <s v="同学"/>
    <s v="115354983"/>
    <s v="吴凯龙"/>
    <s v="2025-06-19 17:58:13"/>
    <s v="死单激活流转赵星火"/>
    <s v=""/>
    <s v="大三"/>
    <s v="赵星火"/>
    <s v="线上运营-投放"/>
    <s v="总部-巨量广告"/>
    <s v=""/>
    <m/>
    <m/>
    <s v="李慕贤"/>
    <x v="1"/>
    <s v="28477123"/>
    <s v="正常工单"/>
    <s v="2025-06-19 18:06"/>
    <s v="A（六个月内有报课意向工单）"/>
    <s v="考研无忧计划"/>
    <s v="大三"/>
    <s v="北京石油化工学院"/>
    <s v="机械工程学院"/>
    <s v="机械工程"/>
    <s v="李慕贤"/>
    <n v="5390477"/>
    <x v="1"/>
    <s v="2025-06-22 10:47"/>
    <s v="赵星火"/>
    <s v="2025-06-22 10:47"/>
    <s v="WYM26032"/>
    <s v="考研数学无忧计划（26考研/强化）"/>
    <s v="国内考试"/>
    <s v=""/>
    <n v="8300"/>
    <m/>
    <s v=""/>
    <s v="新签"/>
    <s v="已交接"/>
    <s v="BJWY2011wXCx1W"/>
    <s v="BJWY9338208616"/>
    <s v="WYM260320021"/>
    <s v="2025-06-22"/>
    <m/>
    <s v="回访人：赵星火，回访时间：2025-06-19 18:06，回访内容：想要走读课程，这边跟进学生情况中，邀约讲座，还没确定考什么院校，全科和三科的方案；|回访人：赵星火，回访时间：2025-06-20 16:44，回访内容：跟进学生情况这边微信上继续维护跟进中看下试听；|回访人：赵星火，回访时间：2025-06-21 14:43，回访内容：给到线上的试听，这边线下没来，跟进学生情况这边继续维护中。；|回访人：赵星火，回访时间：2025-06-22 10:47，回访内容：1"/>
    <m/>
    <m/>
    <m/>
    <m/>
    <n v="51510524"/>
    <s v="否"/>
    <s v="26考季"/>
    <s v="无忧计划-啄木鸟"/>
    <s v="数学"/>
    <s v="其他"/>
    <s v="国内高校-双非"/>
    <s v="是"/>
    <s v=""/>
    <m/>
    <s v="报名"/>
    <m/>
    <s v="本地人本地大学(常规)"/>
    <s v="客服"/>
  </r>
  <r>
    <x v="0"/>
    <n v="149"/>
    <s v="北京大学部"/>
    <s v="国内大学部"/>
    <s v="同学"/>
    <s v="115354983"/>
    <s v="吴凯龙"/>
    <s v="2025-06-19 17:58:13"/>
    <s v="死单激活流转赵星火"/>
    <s v=""/>
    <s v="大三"/>
    <s v="赵星火"/>
    <s v="线上运营-投放"/>
    <s v="总部-巨量广告"/>
    <s v=""/>
    <m/>
    <m/>
    <s v="李慕贤"/>
    <x v="1"/>
    <s v="28477123"/>
    <s v="正常工单"/>
    <s v="2025-06-19 18:06"/>
    <s v="A（六个月内有报课意向工单）"/>
    <s v="考研无忧计划"/>
    <s v="大三"/>
    <s v="北京石油化工学院"/>
    <s v="机械工程学院"/>
    <s v="机械工程"/>
    <s v="李慕贤"/>
    <n v="5390477"/>
    <x v="1"/>
    <s v="2025-06-22 10:47"/>
    <s v="赵星火"/>
    <s v="2025-06-22 10:47"/>
    <s v="WYM26031"/>
    <s v="考研数学无忧计划（26考研/基础）"/>
    <s v="国内考试"/>
    <s v=""/>
    <n v="5800"/>
    <m/>
    <s v=""/>
    <s v="新签"/>
    <s v="已交接"/>
    <s v="BJWY2011wXCx1W"/>
    <s v="BJWY9338208616"/>
    <s v="WYM260310021"/>
    <s v="2025-06-22"/>
    <m/>
    <s v="回访人：赵星火，回访时间：2025-06-19 18:06，回访内容：想要走读课程，这边跟进学生情况中，邀约讲座，还没确定考什么院校，全科和三科的方案；|回访人：赵星火，回访时间：2025-06-20 16:44，回访内容：跟进学生情况这边微信上继续维护跟进中看下试听；|回访人：赵星火，回访时间：2025-06-21 14:43，回访内容：给到线上的试听，这边线下没来，跟进学生情况这边继续维护中。；|回访人：赵星火，回访时间：2025-06-22 10:47，回访内容：1"/>
    <m/>
    <m/>
    <m/>
    <m/>
    <n v="51510524"/>
    <s v="否"/>
    <s v="26考季"/>
    <s v="无忧计划-啄木鸟"/>
    <s v="数学"/>
    <s v="其他"/>
    <s v="国内高校-双非"/>
    <s v="是"/>
    <s v=""/>
    <m/>
    <s v="报名"/>
    <m/>
    <s v="本地人本地大学(常规)"/>
    <s v="客服"/>
  </r>
  <r>
    <x v="0"/>
    <n v="150"/>
    <s v="北京大学部"/>
    <s v="国内大学部"/>
    <s v="同学"/>
    <s v="115354983"/>
    <s v="吴凯龙"/>
    <s v="2025-06-19 17:58:13"/>
    <s v="死单激活流转赵星火"/>
    <s v=""/>
    <s v="大三"/>
    <s v="赵星火"/>
    <s v="线上运营-投放"/>
    <s v="总部-巨量广告"/>
    <s v=""/>
    <m/>
    <m/>
    <s v="李慕贤"/>
    <x v="1"/>
    <s v="28477123"/>
    <s v="正常工单"/>
    <s v="2025-06-19 18:06"/>
    <s v="A（六个月内有报课意向工单）"/>
    <s v="考研无忧计划"/>
    <s v="大三"/>
    <s v="北京石油化工学院"/>
    <s v="机械工程学院"/>
    <s v="机械工程"/>
    <s v="李慕贤"/>
    <n v="5390477"/>
    <x v="1"/>
    <s v="2025-06-22 10:47"/>
    <s v="赵星火"/>
    <s v="2025-06-22 10:47"/>
    <s v="WYM26033"/>
    <s v="考研数学无忧计划（26考研/冲刺）"/>
    <s v="国内考试"/>
    <s v=""/>
    <n v="4200"/>
    <m/>
    <s v=""/>
    <s v="新签"/>
    <s v="已交接"/>
    <s v="BJWY2011wXCx1W"/>
    <s v="BJWY9338208616"/>
    <s v="WYM260330022"/>
    <s v="2025-06-22"/>
    <m/>
    <s v="回访人：赵星火，回访时间：2025-06-19 18:06，回访内容：想要走读课程，这边跟进学生情况中，邀约讲座，还没确定考什么院校，全科和三科的方案；|回访人：赵星火，回访时间：2025-06-20 16:44，回访内容：跟进学生情况这边微信上继续维护跟进中看下试听；|回访人：赵星火，回访时间：2025-06-21 14:43，回访内容：给到线上的试听，这边线下没来，跟进学生情况这边继续维护中。；|回访人：赵星火，回访时间：2025-06-22 10:47，回访内容：1"/>
    <m/>
    <m/>
    <m/>
    <m/>
    <n v="51510524"/>
    <s v="否"/>
    <s v="26考季"/>
    <s v="无忧计划-啄木鸟"/>
    <s v="数学"/>
    <s v="其他"/>
    <s v="国内高校-双非"/>
    <s v="是"/>
    <s v=""/>
    <m/>
    <s v="报名"/>
    <m/>
    <s v="本地人本地大学(常规)"/>
    <s v="客服"/>
  </r>
  <r>
    <x v="0"/>
    <n v="151"/>
    <s v="北京大学部"/>
    <s v="国内大学部"/>
    <s v="北京市7307"/>
    <s v="115551597"/>
    <s v="张亚男"/>
    <s v="2025-06-22 11:33:30"/>
    <s v="渠道录入来源：总部-巨量广告_x000a_意向城市：北京市_x000a_访客省/城市：北京市_x000a_qq: _x000a_访客静态ID：01000003781500056303567923947307_x000a_接待分组ID：78500_x000a_搜索引擎：_x000a_搜索词：_x000a_关键词：_x000a_设备类型：phone_x000a_访客IP：111.196.228.49_x000a_对话详细内容：AI-37815-01a 2025-06-22 11:30:37_x000d__x000a__x000a__x000d__x000a__x000d__x000a_AI-37815-01a 2025-06-22 11:30:39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01a 2025-06-22 11:30:41_x000d__x000a_您是想咨询【考研走读班】【考研集训营】【考研规划】还是【在职考研】呢？_x000d__x000a__x000d__x000a_01000003781500056303567923947307 2025-06-22 11:31:10_x000d__x000a_老师，你好，专业课有培训吗？_x000d__x000a__x000d__x000a_AI-37815-01a 2025-06-22 11:31:14_x000d__x000a_同学，你现在是在校还是在职呢？_x000d__x000a__x000d__x000a_01000003781500056303567923947307 2025-06-22 11:31:30_x000d__x000a_在校_x000d__x000a__x000d__x000a_AI-37815-01a 2025-06-22 11:31:34_x000d__x000a_具体是想报考什么学校和专业呢？_x000d__x000a__x000d__x000a_01000003781500056303567923947307 2025-06-22 11:31:56_x000d__x000a_北理，人工智能_x000d__x000a__x000d__x000a_AI-37815-01a 2025-06-22 11:31:59_x000d__x000a_好的，了解。我们新东方在全国32个城市都有校区，您倾向在哪个城市上课，或者希望哪里的老师给您介绍下呢？_x000d__x000a__x000d__x000a_01000003781500056303567923947307 2025-06-22 11:32:09_x000d__x000a_北京_x000d__x000a__x000d__x000a_AI-37815-01a 2025-06-22 11:32:13_x000d__x000a_您可以留下您的姓名和电话，我这边可以立刻安排对应校区顾问老师给您回电！_x000d__x000a__x000d__x000a_01000003781500056303567923947307 2025-06-22 11:32:29_x000d__x000a_13661283905_x000d__x000a__x000d__x000a_AI-37815-01a 2025-06-22 11:32:33_x000d__x000a_好的，确认一下你的号码是否正确呢~_x000d__x000a__x000d__x000a_01000003781500056303567923947307 2025-06-22 11:32:45_x000d__x000a_周女士_x000d__x000a__x000d__x000a_AI-37815-01a 2025-06-22 11:32:49_x000d__x000a_这个手机号是您的微信吗？如果不是您可以留一下您的微信号_x000d__x000a__x000d__x000a_01000003781500056303567923947307 2025-06-22 11:32:58_x000d__x000a_都是_x000d__x000a__x000d__x000a_AI-37815-01a 2025-06-22 11:33:01_x000d__x000a_同学怎么称呼呢？_x000d__x000a__x000d__x000a_01000003781500056303567923947307 2025-06-22 11:33:02_x000d__x000a_一个号_x000d__x000a__x000d__x000a_AI-37815-01a 2025-06-22 11:33:06_x000d__x000a_这边马上安排顾问老师联系您，预计半个小时左右给您回电请注意接听~_x000d__x000a__x000d__x000a_01000003781500056303567923947307 2025-06-22 11:33:14_x000d__x000a_周小英_x000d__x000a__x000d__x000a_AI-37815-01a 2025-06-22 11:33:17_x000d__x000a_稍后老师会联系哈_x000d__x000a__x000d__x000a__x000a_来源页：https://c-37815.p.easyliao.com/_x000a_备注："/>
    <s v="2026财年第1财月总部巨量投放-易聊"/>
    <m/>
    <s v="谭悦"/>
    <s v="线上运营-投放"/>
    <s v="总部-巨量广告"/>
    <s v=""/>
    <m/>
    <m/>
    <s v="刘泽宇"/>
    <x v="0"/>
    <s v="28518882"/>
    <s v="正常工单"/>
    <s v="2025-06-22 11:59"/>
    <s v="A（六个月内有报课意向工单）"/>
    <s v="考研无忧计划"/>
    <s v="大四"/>
    <s v="北京交通大学"/>
    <s v="计算机与信息技术学院"/>
    <s v="人工智能"/>
    <s v="刘泽宇"/>
    <n v="5362582"/>
    <x v="0"/>
    <s v="2025-06-22 18:17"/>
    <s v="谭悦"/>
    <s v="2025-06-24 14:17"/>
    <s v="WYC26001"/>
    <s v="考研专业课无忧计划（26考研/408计算机）"/>
    <s v="国内考试"/>
    <s v=""/>
    <n v="18800"/>
    <m/>
    <s v=""/>
    <s v="新签"/>
    <s v="已交接"/>
    <s v="BJWY2101498uW2"/>
    <s v="BJWY6304152842"/>
    <s v="WYC260010069"/>
    <s v="2025-06-22"/>
    <m/>
    <s v="回访人：谭悦，回访时间：2025-06-22 11:59，回访内容：北交，大四毕业，考北理工人工智能，专业课自命题，数学很好，了解英语政治和专业课集训  ；|回访人：谭悦，回访时间：2025-06-22 18:17，回访内容：签约"/>
    <m/>
    <m/>
    <m/>
    <m/>
    <n v="80249839"/>
    <s v="否"/>
    <s v="26考季"/>
    <s v="无忧计划-啄木鸟"/>
    <s v="计算机"/>
    <m/>
    <s v="国内高校-211"/>
    <s v="是"/>
    <s v=""/>
    <m/>
    <s v="报名"/>
    <m/>
    <s v="本地人本地大学(常规)"/>
    <s v="总部巨量投放-易聊"/>
  </r>
  <r>
    <x v="0"/>
    <n v="152"/>
    <s v="北京大学部"/>
    <s v="国内大学部"/>
    <s v="刘育妃"/>
    <s v="115271245"/>
    <s v="北京国内管理员"/>
    <s v="2025-06-19 15:59:47"/>
    <s v="渠道录入来源：SCRM-客服推送_x000a_商机ID：5009079448_x000a_商机编码：XSJ20250619041350_x000a_针对人群：大学_x000a_学员号：BJ1220141319_x000a_学生学校：山东省滨州市阳信县第二高级中学_x000a_咨询课程：专业课_x000a_创建人邮箱：wangguibing@xdf.cn_x000a_创建时间：2025-06-19 15:59:43_x000a_资源类型：单个资源_x000a_跟进记录：商机备注：在线咨询   孩子口腔医学专业  咨询考研英语课程      28年考研;接触点：企点-环信；_x000a_"/>
    <m/>
    <s v="大二"/>
    <s v="谭悦"/>
    <s v="转介绍"/>
    <s v="内部员工推荐"/>
    <s v="1"/>
    <m/>
    <m/>
    <s v="刘育妃"/>
    <x v="0"/>
    <s v="28475205"/>
    <s v="正常工单"/>
    <s v="2025-06-19 16:35"/>
    <s v="A（六个月内有报课意向工单）"/>
    <s v="考研集训营"/>
    <s v="大二"/>
    <s v="滨州医学院"/>
    <s v="口腔医学院"/>
    <s v="口腔医学"/>
    <s v="刘育妃"/>
    <n v="5361877"/>
    <x v="0"/>
    <s v="2025-06-22 11:15"/>
    <s v="谭悦"/>
    <s v="2025-06-22 11:15"/>
    <s v="ZVVB26001"/>
    <s v="六级暑假集训营（24H冲刺直播）"/>
    <s v="国内考试"/>
    <s v=""/>
    <n v="15000"/>
    <m/>
    <s v="肖凤兰"/>
    <s v="新签"/>
    <s v="已交接"/>
    <s v="BJWY25030q8UPI"/>
    <s v="BJWY4695759960"/>
    <s v="ZVVB260010022"/>
    <s v="2025-06-22"/>
    <m/>
    <s v="回访人：谭悦，回访时间：2025-06-19 16:35，回访内容：开学大三，五年制。_x000a_线下集训，英语集训，八月10号到25号，15800，青岛七月15号到八月30号。_x000a_；|回访人：谭悦，回访时间：2025-06-22 11:15，回访内容：签约 "/>
    <m/>
    <m/>
    <m/>
    <m/>
    <n v="43544491"/>
    <s v="否"/>
    <s v="28考季"/>
    <s v="暑假集训营"/>
    <s v="英语,政治"/>
    <s v="其他"/>
    <s v="国内高校-双非"/>
    <s v="是"/>
    <s v=""/>
    <m/>
    <s v="报名"/>
    <m/>
    <s v="外地人外地大学(常规)"/>
    <s v="SCRM-客服推送"/>
  </r>
  <r>
    <x v="0"/>
    <n v="153"/>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JY25011"/>
    <s v="26考研英语半年集训营（基础/七月）"/>
    <s v="国内考试"/>
    <s v=""/>
    <n v="9224.1"/>
    <m/>
    <s v=""/>
    <s v="新签"/>
    <s v="已交接"/>
    <s v="BJWY25030q8UPI"/>
    <s v="BJWY9454368227"/>
    <s v="KYJY250110026"/>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54"/>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JZ25011"/>
    <s v="26考研政治半年集训营（基础/七月）"/>
    <s v="国内考试"/>
    <s v=""/>
    <n v="6864.8"/>
    <m/>
    <s v=""/>
    <s v="新签"/>
    <s v="已交接"/>
    <s v="BJWY25030q8UPI"/>
    <s v="BJWY9454368227"/>
    <s v="KYJZ250110026"/>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55"/>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JS25011"/>
    <s v="26考研数学半年集训营（基础/七月）"/>
    <s v="国内考试"/>
    <s v=""/>
    <n v="8100"/>
    <m/>
    <s v=""/>
    <s v="新签"/>
    <s v="已交接"/>
    <s v="BJWY25030q8UPI"/>
    <s v="BJWY9454368227"/>
    <s v="KYJS250110026"/>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56"/>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JZ25009A"/>
    <s v="26考研政治半年集训营（强冲）"/>
    <s v="国内考试"/>
    <s v=""/>
    <n v="9685.2000000000007"/>
    <m/>
    <s v=""/>
    <s v="新签"/>
    <s v="已交接"/>
    <s v="BJWY25030q8UPI"/>
    <s v="BJWY9454368227"/>
    <s v="KYJZ25009A0022"/>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57"/>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JS25011A"/>
    <s v="26考研数学半年集训营（强冲）"/>
    <s v="国内考试"/>
    <s v=""/>
    <n v="16900"/>
    <m/>
    <s v=""/>
    <s v="新签"/>
    <s v="已交接"/>
    <s v="BJWY25030q8UPI"/>
    <s v="BJWY9454368227"/>
    <s v="KYJS25011A0026"/>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58"/>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Z25012"/>
    <s v="26考研半年集训营（住宿费/七月）"/>
    <s v="国内考试"/>
    <s v=""/>
    <n v="24800"/>
    <m/>
    <s v=""/>
    <s v="新签"/>
    <s v="已交接"/>
    <s v="BJWY25030q8UPI"/>
    <s v="BJWY9454368227"/>
    <s v="KYZ250120027"/>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59"/>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KYJY25009A"/>
    <s v="26考研英语半年集训营（强冲/英语一）"/>
    <s v="国内考试"/>
    <s v=""/>
    <n v="15325.9"/>
    <m/>
    <s v=""/>
    <s v="新签"/>
    <s v="已交接"/>
    <s v="BJWY25030q8UPI"/>
    <s v="BJWY9454368227"/>
    <s v="KYJY25009A0022"/>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s v="报名"/>
    <m/>
    <s v="本地人本地大学(常规)"/>
    <s v="客服"/>
  </r>
  <r>
    <x v="0"/>
    <n v="160"/>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LP17505081843045"/>
    <s v="985院校升级费-集训"/>
    <s v="国内考试"/>
    <s v=""/>
    <n v="3000"/>
    <m/>
    <s v=""/>
    <s v="新签"/>
    <s v="已交接"/>
    <s v="BJWY25030q8UPI"/>
    <s v="BJWY9454368227"/>
    <m/>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m/>
    <m/>
    <s v="本地人本地大学(常规)"/>
    <s v="客服"/>
  </r>
  <r>
    <x v="0"/>
    <n v="161"/>
    <s v="北京大学部"/>
    <s v="国内大学部"/>
    <s v="未留"/>
    <s v="115518136"/>
    <s v="赵秋侠"/>
    <s v="2025-06-21 14:46:27"/>
    <s v="魏公村直访"/>
    <s v=""/>
    <s v="大四"/>
    <s v="谭悦"/>
    <s v="直访"/>
    <s v="直访"/>
    <s v=""/>
    <m/>
    <m/>
    <s v="赵齐龙"/>
    <x v="0"/>
    <s v="28524470"/>
    <s v="正常工单"/>
    <s v="2025-06-21 16:21"/>
    <s v="A（六个月内有报课意向工单）"/>
    <s v="考研专业课,考研集训营"/>
    <s v="大四"/>
    <s v="北京交通大学"/>
    <s v="机械与电子控制工程学院"/>
    <s v="车辆工程"/>
    <s v="赵齐龙"/>
    <n v="5401512"/>
    <x v="0"/>
    <s v="2025-06-21 20:16"/>
    <s v="谭悦"/>
    <s v="2025-06-21 20:19"/>
    <s v="LP17504950772155"/>
    <s v="考研初试专业课一对一（26考研/集训30小时）"/>
    <s v="国内考试"/>
    <s v=""/>
    <n v="11300"/>
    <m/>
    <s v=""/>
    <s v="新签"/>
    <s v="已交接"/>
    <s v="BJWY25030q8UPI"/>
    <s v="BJWY9454368227"/>
    <m/>
    <s v="2025-06-21"/>
    <m/>
    <s v="回访人：谭悦，回访时间：2025-06-21 16:21，回访内容：签约 ；|回访人：谭悦，回访时间：2025-06-21 19:27，回访内容：签约；|回访人：谭悦，回访时间：2025-06-21 20:13，回访内容：谭悦进行了退单操作!(本条回访记录由系统自动记录)"/>
    <m/>
    <m/>
    <m/>
    <m/>
    <n v="80235037"/>
    <s v="否"/>
    <s v="26考季"/>
    <s v="半年集训营"/>
    <s v="英语,政治,数学,专业课150"/>
    <s v="其他"/>
    <s v="国内高校-211"/>
    <s v="是"/>
    <s v=""/>
    <m/>
    <m/>
    <m/>
    <s v="本地人本地大学(常规)"/>
    <s v="客服"/>
  </r>
  <r>
    <x v="0"/>
    <n v="162"/>
    <s v="北京大学部"/>
    <s v="国内大学部"/>
    <s v="刘亦轩"/>
    <s v="115535833"/>
    <s v="王天义"/>
    <s v="2025-06-21 14:01:38"/>
    <s v="续费原因：学生续费～；该学生为保护期内续费，原顾问：国内大学部-谭悦(tanyue9@xdf.cn)"/>
    <m/>
    <s v="大三"/>
    <s v="谭悦"/>
    <s v="转介绍"/>
    <s v="学管续费推荐"/>
    <s v="王天义wangtianyi56@xdf.cn"/>
    <m/>
    <m/>
    <s v="刘亦轩"/>
    <x v="0"/>
    <s v="28492667"/>
    <s v="续费工单"/>
    <s v="2025-06-21 14:34"/>
    <s v="A（六个月内有报课意向工单）"/>
    <s v="考研专业课"/>
    <s v="大三"/>
    <s v="北方工业大学"/>
    <s v="信息学院"/>
    <s v="数据科学与大数据技术"/>
    <s v="刘亦轩"/>
    <n v="5390144"/>
    <x v="0"/>
    <s v="2025-06-21 18:39"/>
    <s v="谭悦"/>
    <s v="2025-06-21 19:08"/>
    <s v="LP17505023952663"/>
    <s v="考研初试专业课一对一（26考研/30小时）"/>
    <s v="国内考试"/>
    <s v=""/>
    <n v="18300"/>
    <m/>
    <s v="王天义"/>
    <s v="续班"/>
    <s v="已交接"/>
    <m/>
    <s v="XDF072119095954422"/>
    <m/>
    <s v="2025-06-21"/>
    <m/>
    <s v="回访人：谭悦，回访时间：2025-06-21 14:34，回访内容：跟进专业课续费  "/>
    <m/>
    <m/>
    <m/>
    <m/>
    <n v="69901008"/>
    <s v="否"/>
    <s v="26考季"/>
    <s v="考研专业课150"/>
    <s v="专业课150"/>
    <s v="其他"/>
    <s v="国内高校-双非"/>
    <s v="是"/>
    <s v=""/>
    <m/>
    <m/>
    <m/>
    <s v="本地人本地大学(常规)"/>
    <s v="学管续费推荐"/>
  </r>
  <r>
    <x v="0"/>
    <n v="163"/>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WYP27010"/>
    <s v="考研政治无忧计划（27考研/基础）"/>
    <s v="国内考试"/>
    <s v=""/>
    <n v="5887.7"/>
    <s v="扩科续费"/>
    <s v=""/>
    <s v="续班"/>
    <s v="已交接"/>
    <s v="BJWY25030q8UPI"/>
    <s v="BJWY2338747100"/>
    <s v="WYP270100030"/>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s v="报名"/>
    <m/>
    <s v="本地人本地大学(常规)"/>
    <m/>
  </r>
  <r>
    <x v="0"/>
    <n v="164"/>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WYP27012"/>
    <s v="考研政治无忧计划（27考研/冲刺）"/>
    <s v="国内考试"/>
    <s v=""/>
    <n v="4043.4"/>
    <s v="扩科续费"/>
    <s v=""/>
    <s v="续班"/>
    <s v="已交接"/>
    <s v="BJWY25030q8UPI"/>
    <s v="BJWY2338747100"/>
    <s v="WYP270120030"/>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s v="报名"/>
    <m/>
    <s v="本地人本地大学(常规)"/>
    <m/>
  </r>
  <r>
    <x v="0"/>
    <n v="165"/>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WYE27013"/>
    <s v="考研英语无忧计划（27考研/基础）"/>
    <s v="国内考试"/>
    <s v=""/>
    <n v="4539.8999999999996"/>
    <s v="扩科续费"/>
    <s v=""/>
    <s v="续班"/>
    <s v="已交接"/>
    <s v="BJWY25030q8UPI"/>
    <s v="BJWY2338747100"/>
    <s v="WYE270130036"/>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s v="报名"/>
    <m/>
    <s v="本地人本地大学(常规)"/>
    <m/>
  </r>
  <r>
    <x v="0"/>
    <n v="166"/>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WYP27011"/>
    <s v="考研政治无忧计划（27考研/强化）"/>
    <s v="国内考试"/>
    <s v=""/>
    <n v="3404.9"/>
    <s v="扩科续费"/>
    <s v=""/>
    <s v="续班"/>
    <s v="已交接"/>
    <s v="BJWY25030q8UPI"/>
    <s v="BJWY2338747100"/>
    <s v="WYP270110030"/>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s v="报名"/>
    <m/>
    <s v="本地人本地大学(常规)"/>
    <m/>
  </r>
  <r>
    <x v="0"/>
    <n v="167"/>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WYE27016"/>
    <s v="考研英语无忧计划（27考研/英二强化）"/>
    <s v="国内考试"/>
    <s v=""/>
    <n v="5958.6"/>
    <s v="扩科续费"/>
    <s v=""/>
    <s v="续班"/>
    <s v="已交接"/>
    <s v="BJWY25030q8UPI"/>
    <s v="BJWY2338747100"/>
    <s v="WYE270160023"/>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s v="报名"/>
    <m/>
    <s v="本地人本地大学(常规)"/>
    <m/>
  </r>
  <r>
    <x v="0"/>
    <n v="168"/>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WYE27030"/>
    <s v="考研英语无忧计划（27考研/英二冲刺）"/>
    <s v="国内考试"/>
    <s v=""/>
    <n v="4465.5"/>
    <s v="扩科续费"/>
    <s v=""/>
    <s v="续班"/>
    <s v="已交接"/>
    <s v="BJWY25030q8UPI"/>
    <s v="BJWY2338747100"/>
    <s v="WYE270300010"/>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s v="报名"/>
    <m/>
    <s v="本地人本地大学(常规)"/>
    <m/>
  </r>
  <r>
    <x v="0"/>
    <n v="169"/>
    <s v="北京大学部"/>
    <s v="国内大学部"/>
    <m/>
    <s v="83091320"/>
    <m/>
    <s v="2024-08-23 10:52:44"/>
    <s v="续费原因：四级考过了，秋季六级小班，辛苦流转；该学生为保护期外续费，原顾问部门：国内大学部"/>
    <m/>
    <s v="大二"/>
    <s v="谭悦"/>
    <s v="转介绍"/>
    <s v="学管续费推荐"/>
    <m/>
    <m/>
    <m/>
    <s v="丁美希"/>
    <x v="0"/>
    <s v="28467859"/>
    <s v="续费工单"/>
    <s v="2025-06-18 21:05"/>
    <s v="A（六个月内有报课意向工单）"/>
    <s v="六级"/>
    <s v="大二"/>
    <s v="中央民族大学"/>
    <s v="经济学院"/>
    <s v="经济学"/>
    <s v="丁美希"/>
    <n v="5361579"/>
    <x v="0"/>
    <s v="2025-06-21 19:45"/>
    <s v="谭悦"/>
    <s v="2025-06-21 19:45"/>
    <s v="LP17505023712661"/>
    <s v="考研初试专业课一对一（27考研/无忧50小时）"/>
    <s v="国内考试"/>
    <s v=""/>
    <n v="21000"/>
    <s v="扩科续费"/>
    <s v=""/>
    <s v="续班"/>
    <s v="已交接"/>
    <s v="BJWY25030q8UPI"/>
    <s v="BJWY2338747100"/>
    <m/>
    <s v="2025-06-21"/>
    <m/>
    <s v="回访人：谭悦，回访时间：2025-06-18 21:05，回访内容：续费；|回访人：谭悦，回访时间：2025-06-18 21:51，回访内容：周六过来报名  ；|回访人：谭悦，回访时间：2025-06-21 12:42，回访内容：下午到校区面谈报名 ；|回访人：谭悦，回访时间：2025-06-21 19:44，回访内容：1；|回访人：谭悦，回访时间：2025-06-21 19:45，回访内容：签约"/>
    <m/>
    <m/>
    <m/>
    <m/>
    <n v="51402702"/>
    <s v="否"/>
    <s v="24下考季"/>
    <s v="六级无忧计划"/>
    <s v=""/>
    <m/>
    <s v="国内高校-985"/>
    <s v="是"/>
    <s v=""/>
    <m/>
    <m/>
    <m/>
    <s v="本地人本地大学(常规)"/>
    <m/>
  </r>
  <r>
    <x v="0"/>
    <n v="170"/>
    <s v="北京大学部"/>
    <s v="国内大学部"/>
    <s v="王钰淇"/>
    <s v="99986497"/>
    <s v="郑雪新"/>
    <s v="2025-04-17 11:18:43"/>
    <s v="续费原因：10月份后续学校没什么事情想着参加集训营课程；该学生为保护期内续费，原顾问：国内大学部-赵星火(zhaoxinghuo@xdf.cn)"/>
    <m/>
    <s v="大三"/>
    <s v="赵星火"/>
    <s v="转介绍"/>
    <s v="学管续费推荐"/>
    <s v="郑雪新zhengxuexin@xdf.cn"/>
    <m/>
    <m/>
    <s v="王钰淇"/>
    <x v="1"/>
    <s v="27594248"/>
    <s v="续费工单"/>
    <s v="2025-04-17 12:03"/>
    <s v="A（六个月内有报课意向工单）"/>
    <s v="考研集训营"/>
    <s v="大三"/>
    <s v="东北电力大学"/>
    <s v="电气工程学院"/>
    <s v="电气工程及其自动化"/>
    <s v="王钰淇"/>
    <n v="5389291"/>
    <x v="1"/>
    <s v="2025-06-20 19:06"/>
    <s v="赵星火"/>
    <s v="2025-06-20 19:07"/>
    <s v="KYZ25023"/>
    <s v="26考研冲刺集训营（住宿费）"/>
    <s v="国内考试"/>
    <s v=""/>
    <n v="12640"/>
    <s v="同科续费"/>
    <s v="郑雪新"/>
    <s v="续班"/>
    <s v="已交接"/>
    <s v="BJWY2306SVFgG7"/>
    <s v="BJWY4540042254"/>
    <s v="KYZ250230002"/>
    <s v="2025-06-20"/>
    <m/>
    <s v="回访人：赵星火，回访时间：2025-06-17 17:14，回访内容：给到冲刺集训的时间安排，校区内容和收费，跟进学生情况中；|回访人：赵星火，回访时间：2025-06-20 19:06，回访内容：1"/>
    <m/>
    <m/>
    <m/>
    <m/>
    <n v="65287981"/>
    <s v="否"/>
    <s v="26考季"/>
    <s v="冲刺集训营"/>
    <s v="英语,政治,数学"/>
    <s v="其他"/>
    <s v="国内高校-双非"/>
    <s v="是"/>
    <s v=""/>
    <m/>
    <s v="报名"/>
    <m/>
    <s v="外地人外地大学(常规)"/>
    <s v="学管续费推荐"/>
  </r>
  <r>
    <x v="0"/>
    <n v="171"/>
    <s v="北京大学部"/>
    <s v="国内大学部"/>
    <s v="王钰淇"/>
    <s v="99986497"/>
    <s v="郑雪新"/>
    <s v="2025-04-17 11:18:43"/>
    <s v="续费原因：10月份后续学校没什么事情想着参加集训营课程；该学生为保护期内续费，原顾问：国内大学部-赵星火(zhaoxinghuo@xdf.cn)"/>
    <m/>
    <s v="大三"/>
    <s v="赵星火"/>
    <s v="转介绍"/>
    <s v="学管续费推荐"/>
    <s v="郑雪新zhengxuexin@xdf.cn"/>
    <m/>
    <m/>
    <s v="王钰淇"/>
    <x v="1"/>
    <s v="27594248"/>
    <s v="续费工单"/>
    <s v="2025-04-17 12:03"/>
    <s v="A（六个月内有报课意向工单）"/>
    <s v="考研集训营"/>
    <s v="大三"/>
    <s v="东北电力大学"/>
    <s v="电气工程学院"/>
    <s v="电气工程及其自动化"/>
    <s v="王钰淇"/>
    <n v="5389291"/>
    <x v="1"/>
    <s v="2025-06-20 19:06"/>
    <s v="赵星火"/>
    <s v="2025-06-20 19:07"/>
    <s v="KYJZ25022A"/>
    <s v="26考研政治集训营（强冲）"/>
    <s v="国内考试"/>
    <s v=""/>
    <n v="9471.7000000000007"/>
    <s v="同科续费"/>
    <s v="郑雪新"/>
    <s v="续班"/>
    <s v="已交接"/>
    <s v="BJWY2306SVFgG7"/>
    <s v="BJWY4540042254"/>
    <s v="KYJZ25022A0005"/>
    <s v="2025-06-20"/>
    <m/>
    <s v="回访人：赵星火，回访时间：2025-06-17 17:14，回访内容：给到冲刺集训的时间安排，校区内容和收费，跟进学生情况中；|回访人：赵星火，回访时间：2025-06-20 19:06，回访内容：1"/>
    <m/>
    <m/>
    <m/>
    <m/>
    <n v="65287981"/>
    <s v="否"/>
    <s v="26考季"/>
    <s v="冲刺集训营"/>
    <s v="英语,政治,数学"/>
    <s v="其他"/>
    <s v="国内高校-双非"/>
    <s v="是"/>
    <s v=""/>
    <m/>
    <s v="报名"/>
    <m/>
    <s v="外地人外地大学(常规)"/>
    <s v="学管续费推荐"/>
  </r>
  <r>
    <x v="0"/>
    <n v="172"/>
    <s v="北京大学部"/>
    <s v="国内大学部"/>
    <s v="王钰淇"/>
    <s v="99986497"/>
    <s v="郑雪新"/>
    <s v="2025-04-17 11:18:43"/>
    <s v="续费原因：10月份后续学校没什么事情想着参加集训营课程；该学生为保护期内续费，原顾问：国内大学部-赵星火(zhaoxinghuo@xdf.cn)"/>
    <m/>
    <s v="大三"/>
    <s v="赵星火"/>
    <s v="转介绍"/>
    <s v="学管续费推荐"/>
    <s v="郑雪新zhengxuexin@xdf.cn"/>
    <m/>
    <m/>
    <s v="王钰淇"/>
    <x v="1"/>
    <s v="27594248"/>
    <s v="续费工单"/>
    <s v="2025-04-17 12:03"/>
    <s v="A（六个月内有报课意向工单）"/>
    <s v="考研集训营"/>
    <s v="大三"/>
    <s v="东北电力大学"/>
    <s v="电气工程学院"/>
    <s v="电气工程及其自动化"/>
    <s v="王钰淇"/>
    <n v="5389291"/>
    <x v="1"/>
    <s v="2025-06-20 19:06"/>
    <s v="赵星火"/>
    <s v="2025-06-20 19:07"/>
    <s v="KYJY25022A"/>
    <s v="26考研英语集训营（强冲/英语一）"/>
    <s v="国内考试"/>
    <s v=""/>
    <n v="14988.3"/>
    <s v="同科续费"/>
    <s v="郑雪新"/>
    <s v="续班"/>
    <s v="已交接"/>
    <s v="BJWY2306SVFgG7"/>
    <s v="BJWY4540042254"/>
    <s v="KYJY25022A0006"/>
    <s v="2025-06-20"/>
    <m/>
    <s v="回访人：赵星火，回访时间：2025-06-17 17:14，回访内容：给到冲刺集训的时间安排，校区内容和收费，跟进学生情况中；|回访人：赵星火，回访时间：2025-06-20 19:06，回访内容：1"/>
    <m/>
    <m/>
    <m/>
    <m/>
    <n v="65287981"/>
    <s v="否"/>
    <s v="26考季"/>
    <s v="冲刺集训营"/>
    <s v="英语,政治,数学"/>
    <s v="其他"/>
    <s v="国内高校-双非"/>
    <s v="是"/>
    <s v=""/>
    <m/>
    <s v="报名"/>
    <m/>
    <s v="外地人外地大学(常规)"/>
    <s v="学管续费推荐"/>
  </r>
  <r>
    <x v="0"/>
    <n v="173"/>
    <s v="北京大学部"/>
    <s v="国内大学部"/>
    <s v="王钰淇"/>
    <s v="99986497"/>
    <s v="郑雪新"/>
    <s v="2025-04-17 11:18:43"/>
    <s v="续费原因：10月份后续学校没什么事情想着参加集训营课程；该学生为保护期内续费，原顾问：国内大学部-赵星火(zhaoxinghuo@xdf.cn)"/>
    <m/>
    <s v="大三"/>
    <s v="赵星火"/>
    <s v="转介绍"/>
    <s v="学管续费推荐"/>
    <s v="郑雪新zhengxuexin@xdf.cn"/>
    <m/>
    <m/>
    <s v="王钰淇"/>
    <x v="1"/>
    <s v="27594248"/>
    <s v="续费工单"/>
    <s v="2025-04-17 12:03"/>
    <s v="A（六个月内有报课意向工单）"/>
    <s v="考研集训营"/>
    <s v="大三"/>
    <s v="东北电力大学"/>
    <s v="电气工程学院"/>
    <s v="电气工程及其自动化"/>
    <s v="王钰淇"/>
    <n v="5389291"/>
    <x v="1"/>
    <s v="2025-06-20 19:06"/>
    <s v="赵星火"/>
    <s v="2025-06-20 19:07"/>
    <s v="KYJS25022A"/>
    <s v="26考研数学集训营（强冲）"/>
    <s v="国内考试"/>
    <s v=""/>
    <n v="16400"/>
    <s v="同科续费"/>
    <s v="郑雪新"/>
    <s v="续班"/>
    <s v="已交接"/>
    <s v="BJWY2306SVFgG7"/>
    <s v="BJWY4540042254"/>
    <s v="KYJS25022A0002"/>
    <s v="2025-06-20"/>
    <m/>
    <s v="回访人：赵星火，回访时间：2025-06-17 17:14，回访内容：给到冲刺集训的时间安排，校区内容和收费，跟进学生情况中；|回访人：赵星火，回访时间：2025-06-20 19:06，回访内容：1"/>
    <m/>
    <m/>
    <m/>
    <m/>
    <n v="65287981"/>
    <s v="否"/>
    <s v="26考季"/>
    <s v="冲刺集训营"/>
    <s v="英语,政治,数学"/>
    <s v="其他"/>
    <s v="国内高校-双非"/>
    <s v="是"/>
    <s v=""/>
    <m/>
    <s v="报名"/>
    <m/>
    <s v="外地人外地大学(常规)"/>
    <s v="学管续费推荐"/>
  </r>
  <r>
    <x v="0"/>
    <n v="174"/>
    <s v="北京大学部"/>
    <s v="国内大学部"/>
    <s v="未知"/>
    <s v="115406828"/>
    <s v="李雪68"/>
    <s v="2025-06-20 12:03:59"/>
    <s v="赵星火"/>
    <s v=""/>
    <s v="大学已毕业"/>
    <s v="赵星火"/>
    <s v="直访"/>
    <s v="直访"/>
    <s v=""/>
    <m/>
    <m/>
    <s v="王清源"/>
    <x v="1"/>
    <s v="28481867"/>
    <s v="正常工单"/>
    <s v="2025-06-20 13:26"/>
    <s v="A（六个月内有报课意向工单）"/>
    <s v="考研无忧计划"/>
    <s v="大学已毕业"/>
    <s v="中国传媒大学"/>
    <s v="国际传媒教育学院"/>
    <s v="传播学1"/>
    <s v="王清源"/>
    <n v="5389051"/>
    <x v="1"/>
    <s v="2025-06-20 16:16"/>
    <s v="赵星火"/>
    <s v="2025-06-20 16:16"/>
    <s v="WYE26074"/>
    <s v="考研英语无忧计划（26考研/英一强化）"/>
    <s v="国内考试"/>
    <s v=""/>
    <n v="6434"/>
    <m/>
    <s v=""/>
    <s v="新签"/>
    <s v="已交接"/>
    <s v="BJWY2306SVFgG7"/>
    <s v="BJWY6231306178"/>
    <s v="WYE260740036"/>
    <s v="2025-06-20"/>
    <m/>
    <s v="回访人：赵星火，回访时间：2025-06-20 13:26，回访内容：学生跨考中传政治学，专业课安排好了，这边英政报新东方的，英语基础之前不错后面荒废了，政治很好，辛苦老师联系；|回访人：赵星火，回访时间：2025-06-20 16:16，回访内容：1"/>
    <m/>
    <m/>
    <m/>
    <m/>
    <n v="39345788"/>
    <s v="否"/>
    <s v="26考季"/>
    <s v="无忧计划-啄木鸟"/>
    <s v="英语,政治"/>
    <s v="其他"/>
    <s v="国内高校-211"/>
    <s v="是"/>
    <s v=""/>
    <m/>
    <s v="报名"/>
    <m/>
    <m/>
    <s v="客服"/>
  </r>
  <r>
    <x v="0"/>
    <n v="175"/>
    <s v="北京大学部"/>
    <s v="国内大学部"/>
    <s v="未知"/>
    <s v="115406828"/>
    <s v="李雪68"/>
    <s v="2025-06-20 12:03:59"/>
    <s v="赵星火"/>
    <s v=""/>
    <s v="大学已毕业"/>
    <s v="赵星火"/>
    <s v="直访"/>
    <s v="直访"/>
    <s v=""/>
    <m/>
    <m/>
    <s v="王清源"/>
    <x v="1"/>
    <s v="28481867"/>
    <s v="正常工单"/>
    <s v="2025-06-20 13:26"/>
    <s v="A（六个月内有报课意向工单）"/>
    <s v="考研无忧计划"/>
    <s v="大学已毕业"/>
    <s v="中国传媒大学"/>
    <s v="国际传媒教育学院"/>
    <s v="传播学1"/>
    <s v="王清源"/>
    <n v="5389051"/>
    <x v="1"/>
    <s v="2025-06-20 16:16"/>
    <s v="赵星火"/>
    <s v="2025-06-20 16:16"/>
    <s v="WYP26061"/>
    <s v="考研政治无忧计划（26考研/基础）"/>
    <s v="国内考试"/>
    <s v=""/>
    <n v="6357.5"/>
    <m/>
    <s v=""/>
    <s v="新签"/>
    <s v="已交接"/>
    <s v="BJWY2306SVFgG7"/>
    <s v="BJWY6231306178"/>
    <s v="WYP260610041"/>
    <s v="2025-06-20"/>
    <m/>
    <s v="回访人：赵星火，回访时间：2025-06-20 13:26，回访内容：学生跨考中传政治学，专业课安排好了，这边英政报新东方的，英语基础之前不错后面荒废了，政治很好，辛苦老师联系；|回访人：赵星火，回访时间：2025-06-20 16:16，回访内容：1"/>
    <m/>
    <m/>
    <m/>
    <m/>
    <n v="39345788"/>
    <s v="否"/>
    <s v="26考季"/>
    <s v="无忧计划-啄木鸟"/>
    <s v="英语,政治"/>
    <s v="其他"/>
    <s v="国内高校-211"/>
    <s v="是"/>
    <s v=""/>
    <m/>
    <s v="报名"/>
    <m/>
    <m/>
    <s v="客服"/>
  </r>
  <r>
    <x v="0"/>
    <n v="176"/>
    <s v="北京大学部"/>
    <s v="国内大学部"/>
    <s v="未知"/>
    <s v="115406828"/>
    <s v="李雪68"/>
    <s v="2025-06-20 12:03:59"/>
    <s v="赵星火"/>
    <s v=""/>
    <s v="大学已毕业"/>
    <s v="赵星火"/>
    <s v="直访"/>
    <s v="直访"/>
    <s v=""/>
    <m/>
    <m/>
    <s v="王清源"/>
    <x v="1"/>
    <s v="28481867"/>
    <s v="正常工单"/>
    <s v="2025-06-20 13:26"/>
    <s v="A（六个月内有报课意向工单）"/>
    <s v="考研无忧计划"/>
    <s v="大学已毕业"/>
    <s v="中国传媒大学"/>
    <s v="国际传媒教育学院"/>
    <s v="传播学1"/>
    <s v="王清源"/>
    <n v="5389051"/>
    <x v="1"/>
    <s v="2025-06-20 16:16"/>
    <s v="赵星火"/>
    <s v="2025-06-20 16:16"/>
    <s v="WYP26062"/>
    <s v="考研政治无忧计划（26考研/强化）"/>
    <s v="国内考试"/>
    <s v=""/>
    <n v="3676.6"/>
    <m/>
    <s v=""/>
    <s v="新签"/>
    <s v="已交接"/>
    <s v="BJWY2306SVFgG7"/>
    <s v="BJWY6231306178"/>
    <s v="WYP260620041"/>
    <s v="2025-06-20"/>
    <m/>
    <s v="回访人：赵星火，回访时间：2025-06-20 13:26，回访内容：学生跨考中传政治学，专业课安排好了，这边英政报新东方的，英语基础之前不错后面荒废了，政治很好，辛苦老师联系；|回访人：赵星火，回访时间：2025-06-20 16:16，回访内容：1"/>
    <m/>
    <m/>
    <m/>
    <m/>
    <n v="39345788"/>
    <s v="否"/>
    <s v="26考季"/>
    <s v="无忧计划-啄木鸟"/>
    <s v="英语,政治"/>
    <s v="其他"/>
    <s v="国内高校-211"/>
    <s v="是"/>
    <s v=""/>
    <m/>
    <s v="报名"/>
    <m/>
    <m/>
    <s v="客服"/>
  </r>
  <r>
    <x v="0"/>
    <n v="177"/>
    <s v="北京大学部"/>
    <s v="国内大学部"/>
    <s v="未知"/>
    <s v="115406828"/>
    <s v="李雪68"/>
    <s v="2025-06-20 12:03:59"/>
    <s v="赵星火"/>
    <s v=""/>
    <s v="大学已毕业"/>
    <s v="赵星火"/>
    <s v="直访"/>
    <s v="直访"/>
    <s v=""/>
    <m/>
    <m/>
    <s v="王清源"/>
    <x v="1"/>
    <s v="28481867"/>
    <s v="正常工单"/>
    <s v="2025-06-20 13:26"/>
    <s v="A（六个月内有报课意向工单）"/>
    <s v="考研无忧计划"/>
    <s v="大学已毕业"/>
    <s v="中国传媒大学"/>
    <s v="国际传媒教育学院"/>
    <s v="传播学1"/>
    <s v="王清源"/>
    <n v="5389051"/>
    <x v="1"/>
    <s v="2025-06-20 16:16"/>
    <s v="赵星火"/>
    <s v="2025-06-20 16:16"/>
    <s v="WYE26075"/>
    <s v="考研英语无忧计划（26考研/英一冲刺）"/>
    <s v="国内考试"/>
    <s v=""/>
    <n v="3063.8"/>
    <m/>
    <s v=""/>
    <s v="新签"/>
    <s v="已交接"/>
    <s v="BJWY2306SVFgG7"/>
    <s v="BJWY6231306178"/>
    <s v="WYE260750036"/>
    <s v="2025-06-20"/>
    <m/>
    <s v="回访人：赵星火，回访时间：2025-06-20 13:26，回访内容：学生跨考中传政治学，专业课安排好了，这边英政报新东方的，英语基础之前不错后面荒废了，政治很好，辛苦老师联系；|回访人：赵星火，回访时间：2025-06-20 16:16，回访内容：1"/>
    <m/>
    <m/>
    <m/>
    <m/>
    <n v="39345788"/>
    <s v="否"/>
    <s v="26考季"/>
    <s v="无忧计划-啄木鸟"/>
    <s v="英语,政治"/>
    <s v="其他"/>
    <s v="国内高校-211"/>
    <s v="是"/>
    <s v=""/>
    <m/>
    <s v="报名"/>
    <m/>
    <m/>
    <s v="客服"/>
  </r>
  <r>
    <x v="0"/>
    <n v="178"/>
    <s v="北京大学部"/>
    <s v="国内大学部"/>
    <s v="未知"/>
    <s v="115406828"/>
    <s v="李雪68"/>
    <s v="2025-06-20 12:03:59"/>
    <s v="赵星火"/>
    <s v=""/>
    <s v="大学已毕业"/>
    <s v="赵星火"/>
    <s v="直访"/>
    <s v="直访"/>
    <s v=""/>
    <m/>
    <m/>
    <s v="王清源"/>
    <x v="1"/>
    <s v="28481867"/>
    <s v="正常工单"/>
    <s v="2025-06-20 13:26"/>
    <s v="A（六个月内有报课意向工单）"/>
    <s v="考研无忧计划"/>
    <s v="大学已毕业"/>
    <s v="中国传媒大学"/>
    <s v="国际传媒教育学院"/>
    <s v="传播学1"/>
    <s v="王清源"/>
    <n v="5389051"/>
    <x v="1"/>
    <s v="2025-06-20 16:16"/>
    <s v="赵星火"/>
    <s v="2025-06-20 16:16"/>
    <s v="WYE26073"/>
    <s v="考研英语无忧计划（26考研/基础）"/>
    <s v="国内考试"/>
    <s v=""/>
    <n v="4902.1000000000004"/>
    <m/>
    <s v=""/>
    <s v="新签"/>
    <s v="已交接"/>
    <s v="BJWY2306SVFgG7"/>
    <s v="BJWY6231306178"/>
    <s v="WYE260730049"/>
    <s v="2025-06-20"/>
    <m/>
    <s v="回访人：赵星火，回访时间：2025-06-20 13:26，回访内容：学生跨考中传政治学，专业课安排好了，这边英政报新东方的，英语基础之前不错后面荒废了，政治很好，辛苦老师联系；|回访人：赵星火，回访时间：2025-06-20 16:16，回访内容：1"/>
    <m/>
    <m/>
    <m/>
    <m/>
    <n v="39345788"/>
    <s v="否"/>
    <s v="26考季"/>
    <s v="无忧计划-啄木鸟"/>
    <s v="英语,政治"/>
    <s v="其他"/>
    <s v="国内高校-211"/>
    <s v="是"/>
    <s v=""/>
    <m/>
    <s v="报名"/>
    <m/>
    <m/>
    <s v="客服"/>
  </r>
  <r>
    <x v="0"/>
    <n v="179"/>
    <s v="北京大学部"/>
    <s v="国内大学部"/>
    <s v="未知"/>
    <s v="115406828"/>
    <s v="李雪68"/>
    <s v="2025-06-20 12:03:59"/>
    <s v="赵星火"/>
    <s v=""/>
    <s v="大学已毕业"/>
    <s v="赵星火"/>
    <s v="直访"/>
    <s v="直访"/>
    <s v=""/>
    <m/>
    <m/>
    <s v="王清源"/>
    <x v="1"/>
    <s v="28481867"/>
    <s v="正常工单"/>
    <s v="2025-06-20 13:26"/>
    <s v="A（六个月内有报课意向工单）"/>
    <s v="考研无忧计划"/>
    <s v="大学已毕业"/>
    <s v="中国传媒大学"/>
    <s v="国际传媒教育学院"/>
    <s v="传播学1"/>
    <s v="王清源"/>
    <n v="5389051"/>
    <x v="1"/>
    <s v="2025-06-20 16:16"/>
    <s v="赵星火"/>
    <s v="2025-06-20 16:16"/>
    <s v="WYP26063"/>
    <s v="考研政治无忧计划（26考研/冲刺）"/>
    <s v="国内考试"/>
    <s v=""/>
    <n v="3866"/>
    <m/>
    <s v=""/>
    <s v="新签"/>
    <s v="已交接"/>
    <s v="BJWY2306SVFgG7"/>
    <s v="BJWY6231306178"/>
    <s v="WYP260630043"/>
    <s v="2025-06-20"/>
    <m/>
    <s v="回访人：赵星火，回访时间：2025-06-20 13:26，回访内容：学生跨考中传政治学，专业课安排好了，这边英政报新东方的，英语基础之前不错后面荒废了，政治很好，辛苦老师联系；|回访人：赵星火，回访时间：2025-06-20 16:16，回访内容：1"/>
    <m/>
    <m/>
    <m/>
    <m/>
    <n v="39345788"/>
    <s v="否"/>
    <s v="26考季"/>
    <s v="无忧计划-啄木鸟"/>
    <s v="英语,政治"/>
    <s v="其他"/>
    <s v="国内高校-211"/>
    <s v="是"/>
    <s v=""/>
    <m/>
    <s v="报名"/>
    <m/>
    <m/>
    <s v="客服"/>
  </r>
  <r>
    <x v="0"/>
    <n v="180"/>
    <s v="北京大学部"/>
    <s v="国内大学部"/>
    <s v="赵佳荟"/>
    <s v="114821131"/>
    <s v="赵秋侠"/>
    <s v="2025-06-17 13:16:28"/>
    <s v="赵佳荟去年是英语二30分，政治58分，今年依然报考中科院生物与医药，上着徐涛的网课，想再报10课时一对一学习政治，及英语的全程网课，现在我在约政治的课前沟通，辛苦顾问直接联系我，我对接报名"/>
    <s v=""/>
    <s v="大四"/>
    <s v="谭悦"/>
    <s v="转介绍"/>
    <s v="学管转介绍"/>
    <s v="刘若璇"/>
    <m/>
    <m/>
    <s v="赵佳荟"/>
    <x v="0"/>
    <s v="28391125"/>
    <s v="正常工单"/>
    <s v="2025-06-17 13:35"/>
    <s v="A（六个月内有报课意向工单）"/>
    <s v="考研VIP,线上考研产品"/>
    <s v="大四"/>
    <s v="邯郸学院"/>
    <s v="生命科学与工程学院"/>
    <s v="生物技术"/>
    <s v="赵佳荟"/>
    <n v="5389046"/>
    <x v="0"/>
    <s v="2025-06-20 16:13"/>
    <s v="谭悦"/>
    <s v="2025-06-20 16:15"/>
    <s v="LP17504072211568"/>
    <s v="考研一对一伴学班（26考季）"/>
    <s v="国内考试"/>
    <s v=""/>
    <n v="11900"/>
    <m/>
    <s v="刘若璇"/>
    <s v="新签"/>
    <s v="已交接"/>
    <m/>
    <s v="BJWY7496014551"/>
    <m/>
    <s v="2025-06-20"/>
    <m/>
    <s v="回访人：谭悦，回访时间：2025-06-17 13:35，回访内容：跟进考研，和陈晶老师对接  ；|回访人：谭悦，回访时间：2025-06-20 11:35，回访内容：准备报名 "/>
    <m/>
    <m/>
    <m/>
    <m/>
    <n v="79918304"/>
    <s v="否"/>
    <s v="26考季"/>
    <s v="VIP - 伴学"/>
    <s v="英语"/>
    <s v="其他"/>
    <s v="国内高校-双非"/>
    <s v="是"/>
    <s v=""/>
    <m/>
    <m/>
    <m/>
    <s v="外地人外地大学(常规)"/>
    <s v="客服"/>
  </r>
  <r>
    <x v="0"/>
    <n v="181"/>
    <s v="北京大学部"/>
    <s v="国内大学部"/>
    <s v="王"/>
    <s v="91249361"/>
    <s v="郭欣宇"/>
    <s v="2024-12-22 09:59:00"/>
    <s v="13911555162，北京，学生家长"/>
    <m/>
    <s v="未知"/>
    <s v="赵星火"/>
    <s v="线上运营-投放"/>
    <s v="巨量广告"/>
    <s v=""/>
    <m/>
    <m/>
    <s v="李瑊"/>
    <x v="4"/>
    <s v="26045531"/>
    <s v="续费工单"/>
    <s v="2025-06-19 20:36"/>
    <s v="A（六个月内有报课意向工单）"/>
    <s v="考研集训营"/>
    <s v="大四"/>
    <s v="北京工业大学"/>
    <s v="城市建设学部"/>
    <s v="智能建造"/>
    <s v="李瑊"/>
    <n v="5388683"/>
    <x v="1"/>
    <s v="2025-06-20 10:53"/>
    <s v="刘创"/>
    <s v="2025-06-20 11:00"/>
    <m/>
    <m/>
    <s v="国内考试"/>
    <s v=""/>
    <n v="47250"/>
    <m/>
    <s v=""/>
    <s v="分单"/>
    <s v="已交接"/>
    <m/>
    <s v="BJWY0758744190"/>
    <m/>
    <m/>
    <m/>
    <s v="回访人：赵星火，回访时间：2025-06-12 16:11，回访内容：跟进学生情况中这边继续维护学生。一起跟进看下学生；|回访人：赵星火，回访时间：2025-06-19 19:52，回访内容：刘创老师跟进；|回访人：刘创，回访时间：2025-06-19 21:51，回访内容：1；|回访人：刘创，回访时间：2025-06-20 10:53，回访内容：1"/>
    <m/>
    <m/>
    <m/>
    <m/>
    <n v="46924973"/>
    <s v="否"/>
    <s v="26考季"/>
    <s v="半年集训营"/>
    <s v="英语,政治,数学"/>
    <s v="其他"/>
    <s v="国内高校-211"/>
    <s v="否"/>
    <s v=""/>
    <m/>
    <m/>
    <m/>
    <s v="本地人本地大学(常规)"/>
    <s v="市场"/>
  </r>
  <r>
    <x v="0"/>
    <n v="182"/>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3"/>
    <x v="1"/>
    <s v="2025-06-19 11:06"/>
    <s v="谭悦"/>
    <s v="2025-06-19 11:07"/>
    <m/>
    <m/>
    <s v="国内考试"/>
    <s v=""/>
    <n v="47170"/>
    <s v="同科续费"/>
    <s v=""/>
    <s v="分单"/>
    <s v="已交接"/>
    <m/>
    <s v="BJWY4965756550"/>
    <m/>
    <m/>
    <m/>
    <s v="回访人：谭悦，回访时间：2025-06-19 11:05，回访内容：1；|回访人：谭悦，回访时间：2025-06-19 11:06，回访内容：签约 "/>
    <m/>
    <m/>
    <m/>
    <m/>
    <n v="64203758"/>
    <s v="否"/>
    <s v="26考季"/>
    <s v="半年集训营"/>
    <s v="英语,政治,数学"/>
    <m/>
    <s v="国内高校-211"/>
    <s v="否"/>
    <s v=""/>
    <m/>
    <m/>
    <m/>
    <s v="外地人本地大学(常规)"/>
    <m/>
  </r>
  <r>
    <x v="0"/>
    <n v="183"/>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JS25008"/>
    <s v="26考研数学半年集训营（基础/六月）"/>
    <s v="国内考试"/>
    <s v=""/>
    <n v="4050"/>
    <s v="同科续费"/>
    <s v=""/>
    <s v="续班"/>
    <s v="已交接"/>
    <s v="BJWY24032w1g8X"/>
    <s v="BJWY4965756550"/>
    <s v="KYJS250080068"/>
    <s v="2025-06-19"/>
    <m/>
    <s v="回访人：谭悦，回访时间：2025-06-19 11:05，回访内容：1；|回访人：谭悦，回访时间：2025-06-19 11:06，回访内容：签约 "/>
    <m/>
    <m/>
    <m/>
    <m/>
    <n v="64203758"/>
    <s v="否"/>
    <s v="26考季"/>
    <s v="半年集训营"/>
    <s v="英语,政治,数学"/>
    <m/>
    <s v="国内高校-211"/>
    <s v="是"/>
    <s v=""/>
    <m/>
    <s v="报名"/>
    <m/>
    <s v="外地人本地大学(常规)"/>
    <m/>
  </r>
  <r>
    <x v="0"/>
    <n v="184"/>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Z25008"/>
    <s v="26考研半年集训营（住宿费/六月）"/>
    <s v="国内考试"/>
    <s v=""/>
    <n v="14080"/>
    <s v="同科续费"/>
    <s v=""/>
    <s v="续班"/>
    <s v="已交接"/>
    <s v="BJWY24032w1g8X"/>
    <s v="BJWY4965756550"/>
    <s v="KYZ250080068"/>
    <s v="2025-06-19"/>
    <m/>
    <s v="回访人：谭悦，回访时间：2025-06-19 11:05，回访内容：1；|回访人：谭悦，回访时间：2025-06-19 11:06，回访内容：签约 "/>
    <m/>
    <m/>
    <m/>
    <m/>
    <n v="64203758"/>
    <s v="否"/>
    <s v="26考季"/>
    <s v="半年集训营"/>
    <s v="英语,政治,数学"/>
    <m/>
    <s v="国内高校-211"/>
    <s v="是"/>
    <s v=""/>
    <m/>
    <s v="转出"/>
    <m/>
    <s v="外地人本地大学(常规)"/>
    <m/>
  </r>
  <r>
    <x v="0"/>
    <n v="185"/>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JS25008A"/>
    <s v="26考研数学半年集训营（强冲）"/>
    <s v="国内考试"/>
    <s v=""/>
    <n v="8450"/>
    <s v="同科续费"/>
    <s v=""/>
    <s v="续班"/>
    <s v="已交接"/>
    <s v="BJWY24032w1g8X"/>
    <s v="BJWY4965756550"/>
    <s v="KYJS25008A0068"/>
    <s v="2025-06-19"/>
    <m/>
    <s v="回访人：谭悦，回访时间：2025-06-19 11:05，回访内容：1；|回访人：谭悦，回访时间：2025-06-19 11:06，回访内容：签约 "/>
    <m/>
    <m/>
    <m/>
    <m/>
    <n v="64203758"/>
    <s v="否"/>
    <s v="26考季"/>
    <s v="半年集训营"/>
    <s v="英语,政治,数学"/>
    <m/>
    <s v="国内高校-211"/>
    <s v="是"/>
    <s v=""/>
    <m/>
    <s v="转出"/>
    <m/>
    <s v="外地人本地大学(常规)"/>
    <m/>
  </r>
  <r>
    <x v="0"/>
    <n v="186"/>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JZ25012A"/>
    <s v="26考研政治半年集训营（强冲）"/>
    <s v="国内考试"/>
    <s v=""/>
    <n v="4851.8999999999996"/>
    <s v="同科续费"/>
    <s v=""/>
    <s v="续班"/>
    <s v="已交接"/>
    <s v="BJWY24032w1g8X"/>
    <s v="BJWY4965756550"/>
    <s v="KYJZ25012A0029"/>
    <s v="2025-06-18"/>
    <m/>
    <s v="回访人：谭悦，回访时间：2025-06-19 11:05，回访内容：1；|回访人：谭悦，回访时间：2025-06-19 11:06，回访内容：签约 "/>
    <m/>
    <m/>
    <m/>
    <m/>
    <n v="64203758"/>
    <s v="否"/>
    <s v="26考季"/>
    <s v="半年集训营"/>
    <s v="英语,政治,数学"/>
    <m/>
    <s v="国内高校-211"/>
    <s v="是"/>
    <s v=""/>
    <m/>
    <s v="转出"/>
    <m/>
    <s v="外地人本地大学(常规)"/>
    <m/>
  </r>
  <r>
    <x v="0"/>
    <n v="187"/>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JZ25008"/>
    <s v="26考研政治半年集训营（基础/六月）"/>
    <s v="国内考试"/>
    <s v=""/>
    <n v="3439"/>
    <s v="同科续费"/>
    <s v=""/>
    <s v="续班"/>
    <s v="已交接"/>
    <s v="BJWY24032w1g8X"/>
    <s v="BJWY4965756550"/>
    <s v="KYJZ250080068"/>
    <s v="2025-06-18"/>
    <m/>
    <s v="回访人：谭悦，回访时间：2025-06-19 11:05，回访内容：1；|回访人：谭悦，回访时间：2025-06-19 11:06，回访内容：签约 "/>
    <m/>
    <m/>
    <m/>
    <m/>
    <n v="64203758"/>
    <s v="否"/>
    <s v="26考季"/>
    <s v="半年集训营"/>
    <s v="英语,政治,数学"/>
    <m/>
    <s v="国内高校-211"/>
    <s v="是"/>
    <s v=""/>
    <m/>
    <s v="转出"/>
    <m/>
    <s v="外地人本地大学(常规)"/>
    <m/>
  </r>
  <r>
    <x v="0"/>
    <n v="188"/>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JY25012A"/>
    <s v="26考研英语半年集训营（强冲/英语二）"/>
    <s v="国内考试"/>
    <s v=""/>
    <n v="7427.65"/>
    <s v="同科续费"/>
    <s v=""/>
    <s v="续班"/>
    <s v="已交接"/>
    <s v="BJWY24032w1g8X"/>
    <s v="BJWY4965756550"/>
    <s v="KYJY25012A0027"/>
    <s v="2025-06-18"/>
    <m/>
    <s v="回访人：谭悦，回访时间：2025-06-19 11:05，回访内容：1；|回访人：谭悦，回访时间：2025-06-19 11:06，回访内容：签约 "/>
    <m/>
    <m/>
    <m/>
    <m/>
    <n v="64203758"/>
    <s v="否"/>
    <s v="26考季"/>
    <s v="半年集训营"/>
    <s v="英语,政治,数学"/>
    <m/>
    <s v="国内高校-211"/>
    <s v="是"/>
    <s v=""/>
    <m/>
    <s v="转出"/>
    <m/>
    <s v="外地人本地大学(常规)"/>
    <m/>
  </r>
  <r>
    <x v="0"/>
    <n v="189"/>
    <s v="北京大学部"/>
    <s v="国内大学部"/>
    <m/>
    <s v="100254299"/>
    <m/>
    <s v="2025-04-20 11:16:06"/>
    <s v="死单激活分配赵星火 外呼主题：FY25-英学1-4月无效资源回访（1.1-4.13）"/>
    <m/>
    <s v="大三"/>
    <s v="赵星火"/>
    <s v="线上运营-本地生活平台"/>
    <s v="知了好学"/>
    <m/>
    <m/>
    <m/>
    <s v="王英帆"/>
    <x v="0"/>
    <s v="28469430"/>
    <s v="续费工单"/>
    <s v="2025-06-19 11:05"/>
    <s v="A（六个月内有报课意向工单）"/>
    <s v="考研集训营"/>
    <s v="大四"/>
    <s v="北京邮电大学"/>
    <s v="电子工程学院"/>
    <s v="电子信息科学与技术"/>
    <s v="王英帆"/>
    <n v="5387930"/>
    <x v="0"/>
    <s v="2025-06-19 11:06"/>
    <s v="谭悦"/>
    <s v="2025-06-19 11:07"/>
    <s v="KYJY25008"/>
    <s v="26考研英语半年集训营（基础/六月）"/>
    <s v="国内考试"/>
    <s v=""/>
    <n v="4871.45"/>
    <s v="同科续费"/>
    <s v=""/>
    <s v="续班"/>
    <s v="已交接"/>
    <s v="BJWY24032w1g8X"/>
    <s v="BJWY4965756550"/>
    <s v="KYJY250080068"/>
    <s v="2025-06-18"/>
    <m/>
    <s v="回访人：谭悦，回访时间：2025-06-19 11:05，回访内容：1；|回访人：谭悦，回访时间：2025-06-19 11:06，回访内容：签约 "/>
    <m/>
    <m/>
    <m/>
    <m/>
    <n v="64203758"/>
    <s v="否"/>
    <s v="26考季"/>
    <s v="半年集训营"/>
    <s v="英语,政治,数学"/>
    <m/>
    <s v="国内高校-211"/>
    <s v="是"/>
    <s v=""/>
    <m/>
    <s v="转出"/>
    <m/>
    <s v="外地人本地大学(常规)"/>
    <m/>
  </r>
  <r>
    <x v="0"/>
    <n v="190"/>
    <s v="北京大学部"/>
    <s v="国内大学部"/>
    <s v="谭颖瑶"/>
    <s v="113579448"/>
    <s v="苏苏"/>
    <s v="2025-06-10 16:56:31"/>
    <m/>
    <s v="批量导入-个性化学员回访"/>
    <s v="大四"/>
    <s v="陈伟钰"/>
    <s v="转介绍"/>
    <s v="老学员续费"/>
    <s v="1"/>
    <s v="陈伟钰"/>
    <s v="2025-06-11 19:37:51"/>
    <s v="谭颖瑶"/>
    <x v="1"/>
    <s v="28287112"/>
    <s v="续费工单"/>
    <s v="2025-06-18 11:50"/>
    <s v="A（六个月内有报课意向工单）"/>
    <s v="考研无忧计划"/>
    <s v="大四"/>
    <s v="中央民族大学"/>
    <s v="管理学院"/>
    <s v="财务管理"/>
    <s v="谭颖瑶"/>
    <n v="5387046"/>
    <x v="1"/>
    <s v="2025-06-18 12:02"/>
    <s v="赵星火"/>
    <s v="2025-06-18 12:03"/>
    <s v="WYFE26008"/>
    <s v="考研英语无忧计划蜂鸟（26考研/英二冲刺）"/>
    <s v="国内考试"/>
    <s v=""/>
    <n v="1065"/>
    <s v="扩科续费"/>
    <s v="1"/>
    <s v="续班"/>
    <s v="已交接"/>
    <s v="BJWY25030q8UPI"/>
    <s v="BJWY0157013629"/>
    <s v="WYFE260080005"/>
    <s v="2025-06-18"/>
    <m/>
    <s v="回访人：陈伟钰，回访时间：2025-06-11 19:41，回访内容：学生目前在忙毕业的事儿，等忙完毕业的事儿之后，考虑学习上的需要。；|回访人：陈伟钰，回访时间：2025-06-17 19:43，回访内容：没接；|回访人：赵星火，回访时间：2025-06-18 12:02，回访内容：1"/>
    <m/>
    <m/>
    <m/>
    <m/>
    <n v="62651853"/>
    <s v="否"/>
    <s v="26考季"/>
    <s v="无忧计划-蜂鸟"/>
    <s v="英语"/>
    <m/>
    <s v="国内高校-985"/>
    <s v="是"/>
    <s v=""/>
    <m/>
    <s v="报名"/>
    <m/>
    <s v="本地人本地大学(常规)"/>
    <s v="客服"/>
  </r>
  <r>
    <x v="0"/>
    <n v="191"/>
    <s v="北京大学部"/>
    <s v="国内大学部"/>
    <s v="谭颖瑶"/>
    <s v="113579448"/>
    <s v="苏苏"/>
    <s v="2025-06-10 16:56:31"/>
    <m/>
    <s v="批量导入-个性化学员回访"/>
    <s v="大四"/>
    <s v="陈伟钰"/>
    <s v="转介绍"/>
    <s v="老学员续费"/>
    <s v="1"/>
    <s v="陈伟钰"/>
    <s v="2025-06-11 19:37:51"/>
    <s v="谭颖瑶"/>
    <x v="1"/>
    <s v="28287112"/>
    <s v="续费工单"/>
    <s v="2025-06-18 11:50"/>
    <s v="A（六个月内有报课意向工单）"/>
    <s v="考研无忧计划"/>
    <s v="大四"/>
    <s v="中央民族大学"/>
    <s v="管理学院"/>
    <s v="财务管理"/>
    <s v="谭颖瑶"/>
    <n v="5387046"/>
    <x v="1"/>
    <s v="2025-06-18 12:02"/>
    <s v="赵星火"/>
    <s v="2025-06-18 12:03"/>
    <s v="WYFE26007"/>
    <s v="考研英语无忧计划蜂鸟（26考研/英二强化）"/>
    <s v="国内考试"/>
    <s v=""/>
    <n v="4335"/>
    <s v="扩科续费"/>
    <s v="1"/>
    <s v="续班"/>
    <s v="已交接"/>
    <s v="BJWY25030q8UPI"/>
    <s v="BJWY0157013629"/>
    <s v="WYFE260070005"/>
    <s v="2025-06-18"/>
    <m/>
    <s v="回访人：陈伟钰，回访时间：2025-06-11 19:41，回访内容：学生目前在忙毕业的事儿，等忙完毕业的事儿之后，考虑学习上的需要。；|回访人：陈伟钰，回访时间：2025-06-17 19:43，回访内容：没接；|回访人：赵星火，回访时间：2025-06-18 12:02，回访内容：1"/>
    <m/>
    <m/>
    <m/>
    <m/>
    <n v="62651853"/>
    <s v="否"/>
    <s v="26考季"/>
    <s v="无忧计划-蜂鸟"/>
    <s v="英语"/>
    <m/>
    <s v="国内高校-985"/>
    <s v="是"/>
    <s v=""/>
    <m/>
    <s v="报名"/>
    <m/>
    <s v="本地人本地大学(常规)"/>
    <s v="客服"/>
  </r>
  <r>
    <x v="0"/>
    <n v="192"/>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JZ25008"/>
    <s v="26考研政治半年集训营（基础/六月）"/>
    <s v="国内考试"/>
    <s v=""/>
    <n v="3438.95"/>
    <m/>
    <s v="刘同学"/>
    <s v="新签"/>
    <s v="已交接"/>
    <s v="BJWY25030q8UPI"/>
    <s v="BJWY9949054886"/>
    <s v="KYJZ250080067"/>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3"/>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Z25008"/>
    <s v="26考研半年集训营（住宿费/六月）"/>
    <s v="国内考试"/>
    <s v=""/>
    <n v="14160"/>
    <m/>
    <s v="刘同学"/>
    <s v="新签"/>
    <s v="已交接"/>
    <s v="BJWY25030q8UPI"/>
    <s v="BJWY9949054886"/>
    <s v="KYZ250080067"/>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4"/>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JS25008A"/>
    <s v="26考研数学半年集训营（强冲）"/>
    <s v="国内考试"/>
    <s v=""/>
    <n v="8450"/>
    <m/>
    <s v="刘同学"/>
    <s v="新签"/>
    <s v="已交接"/>
    <s v="BJWY25030q8UPI"/>
    <s v="BJWY9949054886"/>
    <s v="KYJS25008A0067"/>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5"/>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JS25008"/>
    <s v="26考研数学半年集训营（基础/六月）"/>
    <s v="国内考试"/>
    <s v=""/>
    <n v="4050"/>
    <m/>
    <s v="刘同学"/>
    <s v="新签"/>
    <s v="已交接"/>
    <s v="BJWY25030q8UPI"/>
    <s v="BJWY9949054886"/>
    <s v="KYJS250080067"/>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6"/>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JY25008A"/>
    <s v="26考研英语半年集训营（强冲/英语一）"/>
    <s v="国内考试"/>
    <s v=""/>
    <n v="7677.65"/>
    <m/>
    <s v="刘同学"/>
    <s v="新签"/>
    <s v="已交接"/>
    <s v="BJWY25030q8UPI"/>
    <s v="BJWY9949054886"/>
    <s v="KYJY25008A0046"/>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7"/>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JY25008"/>
    <s v="26考研英语半年集训营（基础/六月）"/>
    <s v="国内考试"/>
    <s v=""/>
    <n v="4621.5"/>
    <m/>
    <s v="刘同学"/>
    <s v="新签"/>
    <s v="已交接"/>
    <s v="BJWY25030q8UPI"/>
    <s v="BJWY9949054886"/>
    <s v="KYJY250080067"/>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8"/>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KYJZ25008A"/>
    <s v="26考研政治半年集训营（强冲）"/>
    <s v="国内考试"/>
    <s v=""/>
    <n v="4601.8999999999996"/>
    <m/>
    <s v="刘同学"/>
    <s v="新签"/>
    <s v="已交接"/>
    <s v="BJWY25030q8UPI"/>
    <s v="BJWY9949054886"/>
    <s v="KYJZ25008A0046"/>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s v="报名"/>
    <m/>
    <s v="外地人外地大学(常规)"/>
    <s v="客服"/>
  </r>
  <r>
    <x v="0"/>
    <n v="199"/>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LP17502447154311"/>
    <s v="985院校升级费-集训"/>
    <s v="国内考试"/>
    <s v=""/>
    <n v="1500"/>
    <m/>
    <s v="刘同学"/>
    <s v="新签"/>
    <s v="已交接"/>
    <s v="BJWY25030q8UPI"/>
    <s v="BJWY9949054886"/>
    <m/>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m/>
    <m/>
    <s v="外地人外地大学(常规)"/>
    <s v="客服"/>
  </r>
  <r>
    <x v="0"/>
    <n v="200"/>
    <s v="北京大学部"/>
    <s v="国内大学部"/>
    <s v="南京"/>
    <s v="97353120"/>
    <s v="赵秋侠"/>
    <s v="2025-03-17 13:18:32"/>
    <s v=""/>
    <s v=""/>
    <s v="大四"/>
    <s v="赵星火"/>
    <s v="转介绍"/>
    <s v="顾问转介绍-老带新"/>
    <s v="刘同学"/>
    <m/>
    <m/>
    <s v="王孟夏"/>
    <x v="1"/>
    <s v="27154867"/>
    <s v="正常工单"/>
    <s v="2025-03-17 13:29"/>
    <s v="A（六个月内有报课意向工单）"/>
    <s v="考研专业课,考研集训营"/>
    <s v="大四"/>
    <s v="南京理工大学"/>
    <s v="电子工程与光电技术学院"/>
    <s v="光电信息科学与工程"/>
    <s v="王孟夏"/>
    <n v="5358983"/>
    <x v="1"/>
    <s v="2025-06-18 19:05"/>
    <s v="赵星火"/>
    <s v="2025-06-18 19:15"/>
    <s v="LP17502447844312"/>
    <s v="考研初试专业课一对一（26考研/集训30小时）"/>
    <s v="国内考试"/>
    <s v=""/>
    <n v="5650"/>
    <m/>
    <s v="刘同学"/>
    <s v="新签"/>
    <s v="已交接"/>
    <s v="BJWY25030q8UPI"/>
    <s v="BJWY9949054886"/>
    <m/>
    <s v="2025-06-18"/>
    <m/>
    <s v="回访人：赵星火，回访时间：2025-06-12 16:07，回访内容：表示还没放假等待放假今天开毕业典礼中、；|回访人：赵星火，回访时间：2025-06-15 14:46，回访内容：明确表示等孩子回来之后，带着孩子一起再说报名；|回访人：赵星火，回访时间：2025-06-17 10:39，回访内容：下午校区面谈跟进学生情况中"/>
    <m/>
    <m/>
    <m/>
    <m/>
    <n v="68188490"/>
    <s v="否"/>
    <s v="26考季"/>
    <s v="半年集训营,考研专业课150"/>
    <s v="英语,政治,数学,专业课150"/>
    <s v="其他"/>
    <s v="国内高校-211"/>
    <s v="是"/>
    <s v=""/>
    <m/>
    <m/>
    <m/>
    <s v="外地人外地大学(常规)"/>
    <s v="客服"/>
  </r>
  <r>
    <x v="0"/>
    <n v="201"/>
    <s v="北京大学部"/>
    <s v="国内大学部"/>
    <s v="无"/>
    <s v="97097303"/>
    <s v="程远"/>
    <s v="2025-03-14 17:11:06"/>
    <s v="原签约单，谭悦激活；"/>
    <s v=""/>
    <s v="大三"/>
    <s v="谭悦"/>
    <s v="转介绍"/>
    <s v="老学员续费"/>
    <s v="谭悦"/>
    <m/>
    <m/>
    <s v="石也牧"/>
    <x v="0"/>
    <s v="27106698"/>
    <s v="续费工单"/>
    <s v="2025-03-14 17:33"/>
    <s v="A（六个月内有报课意向工单）"/>
    <s v="考研无忧计划"/>
    <s v="大三"/>
    <s v="华中师范大学"/>
    <s v="计算机学院"/>
    <s v="计算机科学与技术"/>
    <s v="石也牧"/>
    <n v="5358322"/>
    <x v="0"/>
    <s v="2025-06-18 11:14"/>
    <s v="谭悦"/>
    <s v="2025-06-18 14:01"/>
    <s v="WYHP26002"/>
    <s v="考研政治无忧计划候鸟（26考研/冲刺）"/>
    <s v="国内考试"/>
    <s v=""/>
    <n v="1500"/>
    <m/>
    <s v="谭悦"/>
    <s v="续班"/>
    <s v="已交接"/>
    <s v="BJWY25030q8UPI"/>
    <s v="BJWY8950201927"/>
    <s v="WYHP260020082"/>
    <s v="2025-06-18"/>
    <m/>
    <s v="回访人：谭悦，回访时间：2025-06-10 19:35，回访内容：微信跟进中 候鸟班   ；|回访人：谭悦，回访时间：2025-06-16 19:12，回访内容：用教室的座位逼单，催促报名中   ；|回访人：谭悦，回访时间：2025-06-18 11:01，回访内容：报名 ；|回访人：谭悦，回访时间：2025-06-18 11:14，回访内容：签约 "/>
    <m/>
    <m/>
    <m/>
    <m/>
    <n v="32837325"/>
    <s v="否"/>
    <s v="26考季"/>
    <s v="无忧计划-候鸟"/>
    <s v="政治,数学"/>
    <s v="其他"/>
    <s v="国内高校-211"/>
    <s v="是"/>
    <s v=""/>
    <m/>
    <s v="报名"/>
    <m/>
    <s v="本地人外地大学(归巢)"/>
    <s v="客服"/>
  </r>
  <r>
    <x v="0"/>
    <n v="202"/>
    <s v="北京大学部"/>
    <s v="国内大学部"/>
    <s v="无"/>
    <s v="97097303"/>
    <s v="程远"/>
    <s v="2025-03-14 17:11:06"/>
    <s v="原签约单，谭悦激活；"/>
    <s v=""/>
    <s v="大三"/>
    <s v="谭悦"/>
    <s v="转介绍"/>
    <s v="老学员续费"/>
    <s v="谭悦"/>
    <m/>
    <m/>
    <s v="石也牧"/>
    <x v="0"/>
    <s v="27106698"/>
    <s v="续费工单"/>
    <s v="2025-03-14 17:33"/>
    <s v="A（六个月内有报课意向工单）"/>
    <s v="考研无忧计划"/>
    <s v="大三"/>
    <s v="华中师范大学"/>
    <s v="计算机学院"/>
    <s v="计算机科学与技术"/>
    <s v="石也牧"/>
    <n v="5358322"/>
    <x v="0"/>
    <s v="2025-06-18 11:14"/>
    <s v="谭悦"/>
    <s v="2025-06-18 14:01"/>
    <s v="WYHM26002"/>
    <s v="考研数学无忧计划候鸟（26考研/冲刺）"/>
    <s v="国内考试"/>
    <s v=""/>
    <n v="2000"/>
    <m/>
    <s v="谭悦"/>
    <s v="续班"/>
    <s v="已交接"/>
    <s v="BJWY25030q8UPI"/>
    <s v="BJWY8950201927"/>
    <s v="WYHM260020060"/>
    <s v="2025-06-18"/>
    <m/>
    <s v="回访人：谭悦，回访时间：2025-06-10 19:35，回访内容：微信跟进中 候鸟班   ；|回访人：谭悦，回访时间：2025-06-16 19:12，回访内容：用教室的座位逼单，催促报名中   ；|回访人：谭悦，回访时间：2025-06-18 11:01，回访内容：报名 ；|回访人：谭悦，回访时间：2025-06-18 11:14，回访内容：签约 "/>
    <m/>
    <m/>
    <m/>
    <m/>
    <n v="32837325"/>
    <s v="否"/>
    <s v="26考季"/>
    <s v="无忧计划-候鸟"/>
    <s v="政治,数学"/>
    <s v="其他"/>
    <s v="国内高校-211"/>
    <s v="是"/>
    <s v=""/>
    <m/>
    <s v="报名"/>
    <m/>
    <s v="本地人外地大学(归巢)"/>
    <s v="客服"/>
  </r>
  <r>
    <x v="0"/>
    <n v="203"/>
    <s v="北京大学部"/>
    <s v="国内大学部"/>
    <s v="无"/>
    <s v="97097303"/>
    <s v="程远"/>
    <s v="2025-03-14 17:11:06"/>
    <s v="原签约单，谭悦激活；"/>
    <s v=""/>
    <s v="大三"/>
    <s v="谭悦"/>
    <s v="转介绍"/>
    <s v="老学员续费"/>
    <s v="谭悦"/>
    <m/>
    <m/>
    <s v="石也牧"/>
    <x v="0"/>
    <s v="27106698"/>
    <s v="续费工单"/>
    <s v="2025-03-14 17:33"/>
    <s v="A（六个月内有报课意向工单）"/>
    <s v="考研无忧计划"/>
    <s v="大三"/>
    <s v="华中师范大学"/>
    <s v="计算机学院"/>
    <s v="计算机科学与技术"/>
    <s v="石也牧"/>
    <n v="5358322"/>
    <x v="0"/>
    <s v="2025-06-18 11:14"/>
    <s v="谭悦"/>
    <s v="2025-06-18 14:01"/>
    <s v="WYHP2605"/>
    <s v="考研政治无忧计划候鸟（26考研/基础强化）"/>
    <s v="国内考试"/>
    <s v=""/>
    <n v="13800"/>
    <m/>
    <s v="谭悦"/>
    <s v="续班"/>
    <s v="已交接"/>
    <s v="BJWY25030q8UPI"/>
    <s v="BJWY8950201927"/>
    <s v="WYHP26050033"/>
    <s v="2025-06-18"/>
    <m/>
    <s v="回访人：谭悦，回访时间：2025-06-10 19:35，回访内容：微信跟进中 候鸟班   ；|回访人：谭悦，回访时间：2025-06-16 19:12，回访内容：用教室的座位逼单，催促报名中   ；|回访人：谭悦，回访时间：2025-06-18 11:01，回访内容：报名 ；|回访人：谭悦，回访时间：2025-06-18 11:14，回访内容：签约 "/>
    <m/>
    <m/>
    <m/>
    <m/>
    <n v="32837325"/>
    <s v="否"/>
    <s v="26考季"/>
    <s v="无忧计划-候鸟"/>
    <s v="政治,数学"/>
    <s v="其他"/>
    <s v="国内高校-211"/>
    <s v="是"/>
    <s v=""/>
    <m/>
    <s v="报名"/>
    <m/>
    <s v="本地人外地大学(归巢)"/>
    <s v="客服"/>
  </r>
  <r>
    <x v="0"/>
    <n v="204"/>
    <s v="北京大学部"/>
    <s v="国内大学部"/>
    <s v="无"/>
    <s v="97097303"/>
    <s v="程远"/>
    <s v="2025-03-14 17:11:06"/>
    <s v="原签约单，谭悦激活；"/>
    <s v=""/>
    <s v="大三"/>
    <s v="谭悦"/>
    <s v="转介绍"/>
    <s v="老学员续费"/>
    <s v="谭悦"/>
    <m/>
    <m/>
    <s v="石也牧"/>
    <x v="0"/>
    <s v="27106698"/>
    <s v="续费工单"/>
    <s v="2025-03-14 17:33"/>
    <s v="A（六个月内有报课意向工单）"/>
    <s v="考研无忧计划"/>
    <s v="大三"/>
    <s v="华中师范大学"/>
    <s v="计算机学院"/>
    <s v="计算机科学与技术"/>
    <s v="石也牧"/>
    <n v="5358322"/>
    <x v="0"/>
    <s v="2025-06-18 11:14"/>
    <s v="谭悦"/>
    <s v="2025-06-18 14:01"/>
    <s v="WYHM2604"/>
    <s v="考研数学无忧计划候鸟（26考研/基础强化）"/>
    <s v="国内考试"/>
    <s v=""/>
    <n v="13800"/>
    <m/>
    <s v="谭悦"/>
    <s v="续班"/>
    <s v="已交接"/>
    <s v="BJWY25030q8UPI"/>
    <s v="BJWY8950201927"/>
    <s v="WYHM26040021"/>
    <s v="2025-06-18"/>
    <m/>
    <s v="回访人：谭悦，回访时间：2025-06-10 19:35，回访内容：微信跟进中 候鸟班   ；|回访人：谭悦，回访时间：2025-06-16 19:12，回访内容：用教室的座位逼单，催促报名中   ；|回访人：谭悦，回访时间：2025-06-18 11:01，回访内容：报名 ；|回访人：谭悦，回访时间：2025-06-18 11:14，回访内容：签约 "/>
    <m/>
    <m/>
    <m/>
    <m/>
    <n v="32837325"/>
    <s v="否"/>
    <s v="26考季"/>
    <s v="无忧计划-候鸟"/>
    <s v="政治,数学"/>
    <s v="其他"/>
    <s v="国内高校-211"/>
    <s v="是"/>
    <s v=""/>
    <m/>
    <s v="报名"/>
    <m/>
    <s v="本地人外地大学(归巢)"/>
    <s v="客服"/>
  </r>
  <r>
    <x v="0"/>
    <n v="205"/>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WYE26074"/>
    <s v="考研英语无忧计划（26考研/英一强化）"/>
    <s v="国内考试"/>
    <s v=""/>
    <n v="5934"/>
    <m/>
    <s v=""/>
    <s v="新签"/>
    <s v="已交接"/>
    <s v="BJWY2011wXCx1W"/>
    <s v="BJWY5748447243"/>
    <s v="WYE260740033"/>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s v="报名"/>
    <m/>
    <s v="本地人本地大学(常规)"/>
    <s v="SCRM-客服推送"/>
  </r>
  <r>
    <x v="0"/>
    <n v="206"/>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WYP26061"/>
    <s v="考研政治无忧计划（26考研/基础）"/>
    <s v="国内考试"/>
    <s v=""/>
    <n v="6357.5"/>
    <m/>
    <s v=""/>
    <s v="新签"/>
    <s v="已交接"/>
    <s v="BJWY2011wXCx1W"/>
    <s v="BJWY5748447243"/>
    <s v="WYP260610037"/>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s v="报名"/>
    <m/>
    <s v="本地人本地大学(常规)"/>
    <s v="SCRM-客服推送"/>
  </r>
  <r>
    <x v="0"/>
    <n v="207"/>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WYP26062"/>
    <s v="考研政治无忧计划（26考研/强化）"/>
    <s v="国内考试"/>
    <s v=""/>
    <n v="3676.6"/>
    <m/>
    <s v=""/>
    <s v="新签"/>
    <s v="已交接"/>
    <s v="BJWY2011wXCx1W"/>
    <s v="BJWY5748447243"/>
    <s v="WYP260620037"/>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s v="报名"/>
    <m/>
    <s v="本地人本地大学(常规)"/>
    <s v="SCRM-客服推送"/>
  </r>
  <r>
    <x v="0"/>
    <n v="208"/>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WYE26075"/>
    <s v="考研英语无忧计划（26考研/英一冲刺）"/>
    <s v="国内考试"/>
    <s v=""/>
    <n v="3063.8"/>
    <m/>
    <s v=""/>
    <s v="新签"/>
    <s v="已交接"/>
    <s v="BJWY2011wXCx1W"/>
    <s v="BJWY5748447243"/>
    <s v="WYE260750033"/>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s v="报名"/>
    <m/>
    <s v="本地人本地大学(常规)"/>
    <s v="SCRM-客服推送"/>
  </r>
  <r>
    <x v="0"/>
    <n v="209"/>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WYE26073"/>
    <s v="考研英语无忧计划（26考研/基础）"/>
    <s v="国内考试"/>
    <s v=""/>
    <n v="4902.1000000000004"/>
    <m/>
    <s v=""/>
    <s v="新签"/>
    <s v="已交接"/>
    <s v="BJWY2011wXCx1W"/>
    <s v="BJWY5748447243"/>
    <s v="WYE260730045"/>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s v="报名"/>
    <m/>
    <s v="本地人本地大学(常规)"/>
    <s v="SCRM-客服推送"/>
  </r>
  <r>
    <x v="0"/>
    <n v="210"/>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WYP26063"/>
    <s v="考研政治无忧计划（26考研/冲刺）"/>
    <s v="国内考试"/>
    <s v=""/>
    <n v="4366"/>
    <m/>
    <s v=""/>
    <s v="新签"/>
    <s v="已交接"/>
    <s v="BJWY2011wXCx1W"/>
    <s v="BJWY5748447243"/>
    <s v="WYP260630039"/>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s v="报名"/>
    <m/>
    <s v="本地人本地大学(常规)"/>
    <s v="SCRM-客服推送"/>
  </r>
  <r>
    <x v="0"/>
    <n v="211"/>
    <s v="北京大学部"/>
    <s v="国内大学部"/>
    <s v="万义"/>
    <s v="114742618"/>
    <s v="北京国内管理员"/>
    <s v="2025-06-17 09:46:14"/>
    <s v="渠道录入来源：SCRM-客服推送_x000a_商机ID：5009071956_x000a_商机编码：XSJ20250617002314_x000a_针对人群：大学_x000a_学员号：BJ2121727_x000a_学生学校：北京市东直门中学_x000a_咨询课程：数学_x000a_创建人邮箱：wangmeng63@xdf.cn_x000a_创建时间：2025-06-17 09:46:02_x000a_资源类型：单个资源_x000a_跟进记录：商机备注：妈妈咨询，咨询考研课程，26届考生，了解现在到考前学习，数学专业，辛苦老师联系;接触点：呼入；_x000a_"/>
    <m/>
    <s v="大三"/>
    <s v="谭悦"/>
    <s v="新东方官网"/>
    <s v="新东方PC官网"/>
    <s v=""/>
    <m/>
    <m/>
    <s v="万义"/>
    <x v="0"/>
    <s v="28408673"/>
    <s v="正常工单"/>
    <s v="2025-06-17 10:39"/>
    <s v="A（六个月内有报课意向工单）"/>
    <s v="考研专业课,考研无忧计划"/>
    <s v="大三"/>
    <s v="北京工业大学"/>
    <s v="理学部"/>
    <s v="数学与应用数学"/>
    <s v="万义"/>
    <n v="5358241"/>
    <x v="0"/>
    <s v="2025-06-18 10:19"/>
    <s v="谭悦"/>
    <s v="2025-06-18 10:24"/>
    <s v="LP1750210216180"/>
    <s v="考研初试专业课一对一（26考研/无忧50小时）"/>
    <s v="国内考试"/>
    <s v=""/>
    <n v="21500"/>
    <m/>
    <s v=""/>
    <s v="新签"/>
    <s v="已交接"/>
    <s v="BJWY2011wXCx1W"/>
    <s v="BJWY5748447243"/>
    <m/>
    <s v="2025-06-18"/>
    <m/>
    <s v="回访人：谭悦，回访时间：2025-06-17 10:39，回访内容：学数学专业，26考研，目标学校，北工大，；|回访人：谭悦，回访时间：2025-06-18 10:19，回访内容：1；|回访人：谭悦，回访时间：2025-06-18 10:19，回访内容：签约  "/>
    <m/>
    <m/>
    <m/>
    <m/>
    <n v="79971116"/>
    <s v="否"/>
    <s v="26考季"/>
    <s v="无忧计划-啄木鸟,考研专业课300"/>
    <s v="英语,政治,专业课300"/>
    <s v="其他"/>
    <s v="国内高校-211"/>
    <s v="是"/>
    <s v=""/>
    <m/>
    <m/>
    <m/>
    <s v="本地人本地大学(常规)"/>
    <s v="SCRM-客服推送"/>
  </r>
  <r>
    <x v="0"/>
    <n v="212"/>
    <s v="北京大学部"/>
    <s v="国内大学部"/>
    <s v="雨欣妈妈"/>
    <s v="97328798"/>
    <s v="王静静"/>
    <s v="2025-03-17 10:22:52"/>
    <s v="内部员工推荐给赵星火老师（TMK主管分配TMK）"/>
    <s v=""/>
    <s v="大四"/>
    <s v="赵秋侠"/>
    <s v="转介绍"/>
    <s v="内部员工推荐"/>
    <s v="宋化鹏+songhuapeng@xdf.cn+105759+国际教育运营管理部中关村一部"/>
    <s v="赵秋侠"/>
    <s v="2025-06-17 15:08:31"/>
    <s v="张雨欣"/>
    <x v="1"/>
    <s v="28392493"/>
    <s v="正常工单"/>
    <s v="2025-06-17 15:10"/>
    <s v="A（六个月内有报课意向工单）"/>
    <s v="六级"/>
    <s v="大四"/>
    <s v="北京外国语大学"/>
    <s v="英语学院"/>
    <s v="英语"/>
    <s v="张雨欣"/>
    <n v="5357737"/>
    <x v="1"/>
    <s v="2025-06-17 15:20"/>
    <s v="赵星火"/>
    <s v="2025-06-17 15:21"/>
    <s v="WYS25031"/>
    <s v="六级无忧计划"/>
    <s v="国内考试"/>
    <s v=""/>
    <n v="5680"/>
    <m/>
    <s v="宋化鹏+songhuapeng@xdf.cn+105759+国际教育运营管理部中关村一部"/>
    <s v="新签"/>
    <s v="已交接"/>
    <s v="WebReg"/>
    <s v="BJWY5062456767"/>
    <s v="WYS250310043"/>
    <s v="2025-06-17"/>
    <m/>
    <s v="回访人：赵星火，回访时间：2025-06-17 15:10，回访内容：预计缴费跟进中；|回访人：赵星火，回访时间：2025-06-17 15:20，回访内容：1"/>
    <m/>
    <m/>
    <m/>
    <m/>
    <n v="65405970"/>
    <s v="否"/>
    <s v="25下考季"/>
    <s v="六级无忧计划"/>
    <s v=""/>
    <m/>
    <s v="国内高校-211"/>
    <s v="否"/>
    <s v=""/>
    <m/>
    <s v="报名"/>
    <m/>
    <s v="本地人本地大学(常规)"/>
    <m/>
  </r>
  <r>
    <x v="0"/>
    <n v="213"/>
    <s v="北京大学部"/>
    <s v="国内大学部"/>
    <s v="家长"/>
    <s v="114446741"/>
    <s v="吕猛"/>
    <s v="2025-06-15 13:29:14"/>
    <s v="家长，咨询暑假考研课程 "/>
    <s v=""/>
    <s v="大三"/>
    <s v="谭悦"/>
    <s v="线上运营-本地生活平台"/>
    <s v="地图标点"/>
    <s v=""/>
    <m/>
    <m/>
    <s v="贾佳霖"/>
    <x v="0"/>
    <s v="28364229"/>
    <s v="正常工单"/>
    <s v="2025-06-15 15:17"/>
    <s v="A（六个月内有报课意向工单）"/>
    <s v="考研无忧计划,线上考研产品"/>
    <s v="大三"/>
    <s v="北京化工大学"/>
    <s v="化学工程学院"/>
    <s v="环境工程"/>
    <s v="贾佳霖"/>
    <n v="5357464"/>
    <x v="0"/>
    <s v="2025-06-17 10:51"/>
    <s v="谭悦"/>
    <s v="2025-06-17 14:45"/>
    <s v="WYHE26005"/>
    <s v="考研英语无忧计划候鸟（26考研/英一冲刺）"/>
    <s v="国内考试"/>
    <s v=""/>
    <n v="1500"/>
    <m/>
    <s v=""/>
    <s v="新签"/>
    <s v="已交接"/>
    <s v="BJWY25030q8UPI"/>
    <s v="BJWY0479852281"/>
    <s v="WYHE260050077"/>
    <s v="2025-06-17"/>
    <m/>
    <s v="回访人：谭悦，回访时间：2025-06-15 15:17，回访内容：孩子在北京，武家长，加我微信  ；|回访人：谭悦，回访时间：2025-06-17 10:51，回访内容：报名单科  "/>
    <m/>
    <m/>
    <m/>
    <m/>
    <n v="79753776"/>
    <s v="否"/>
    <s v="26考季"/>
    <s v="无忧计划-候鸟"/>
    <s v="英语,政治,数学"/>
    <s v="其他"/>
    <s v="国内高校-211"/>
    <s v="是"/>
    <s v=""/>
    <m/>
    <s v="报名"/>
    <m/>
    <s v="本地人本地大学(常规)"/>
    <s v="市场"/>
  </r>
  <r>
    <x v="0"/>
    <n v="214"/>
    <s v="北京大学部"/>
    <s v="国内大学部"/>
    <s v="家长"/>
    <s v="114446741"/>
    <s v="吕猛"/>
    <s v="2025-06-15 13:29:14"/>
    <s v="家长，咨询暑假考研课程 "/>
    <s v=""/>
    <s v="大三"/>
    <s v="谭悦"/>
    <s v="线上运营-本地生活平台"/>
    <s v="地图标点"/>
    <s v=""/>
    <m/>
    <m/>
    <s v="贾佳霖"/>
    <x v="0"/>
    <s v="28364229"/>
    <s v="正常工单"/>
    <s v="2025-06-15 15:17"/>
    <s v="A（六个月内有报课意向工单）"/>
    <s v="考研无忧计划,线上考研产品"/>
    <s v="大三"/>
    <s v="北京化工大学"/>
    <s v="化学工程学院"/>
    <s v="环境工程"/>
    <s v="贾佳霖"/>
    <n v="5357464"/>
    <x v="0"/>
    <s v="2025-06-17 10:51"/>
    <s v="谭悦"/>
    <s v="2025-06-17 14:45"/>
    <s v="WYHE26004"/>
    <s v="考研英语无忧计划候鸟（26考研/基础强化）"/>
    <s v="国内考试"/>
    <s v=""/>
    <n v="13800"/>
    <m/>
    <s v=""/>
    <s v="新签"/>
    <s v="已交接"/>
    <s v="BJWY25030q8UPI"/>
    <s v="BJWY0479852281"/>
    <s v="WYHE260040037"/>
    <s v="2025-06-17"/>
    <m/>
    <s v="回访人：谭悦，回访时间：2025-06-15 15:17，回访内容：孩子在北京，武家长，加我微信  ；|回访人：谭悦，回访时间：2025-06-17 10:51，回访内容：报名单科  "/>
    <m/>
    <m/>
    <m/>
    <m/>
    <n v="79753776"/>
    <s v="否"/>
    <s v="26考季"/>
    <s v="无忧计划-候鸟"/>
    <s v="英语,政治,数学"/>
    <s v="其他"/>
    <s v="国内高校-211"/>
    <s v="是"/>
    <s v=""/>
    <m/>
    <s v="报名"/>
    <m/>
    <s v="本地人本地大学(常规)"/>
    <s v="市场"/>
  </r>
  <r>
    <x v="0"/>
    <n v="215"/>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E26074"/>
    <s v="考研英语无忧计划（26考研/英一强化）"/>
    <s v="国内考试"/>
    <s v=""/>
    <n v="3410.65"/>
    <m/>
    <s v=""/>
    <s v="新签"/>
    <s v="已交接"/>
    <s v="BJWY24032w1g8X"/>
    <s v="BJWY9722268066"/>
    <s v="WYE260740029"/>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16"/>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P26061"/>
    <s v="考研政治无忧计划（26考研/基础）"/>
    <s v="国内考试"/>
    <s v=""/>
    <n v="3370.05"/>
    <m/>
    <s v=""/>
    <s v="新签"/>
    <s v="已交接"/>
    <s v="BJWY24032w1g8X"/>
    <s v="BJWY9722268066"/>
    <s v="WYP260610032"/>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17"/>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P26062"/>
    <s v="考研政治无忧计划（26考研/强化）"/>
    <s v="国内考试"/>
    <s v=""/>
    <n v="1948.95"/>
    <m/>
    <s v=""/>
    <s v="新签"/>
    <s v="已交接"/>
    <s v="BJWY24032w1g8X"/>
    <s v="BJWY9722268066"/>
    <s v="WYP260620032"/>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18"/>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M26031"/>
    <s v="考研数学无忧计划（26考研/基础）"/>
    <s v="国内考试"/>
    <s v=""/>
    <n v="2354.9499999999998"/>
    <m/>
    <s v=""/>
    <s v="新签"/>
    <s v="已交接"/>
    <s v="BJWY24032w1g8X"/>
    <s v="BJWY9722268066"/>
    <s v="WYM260310012"/>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19"/>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M26032"/>
    <s v="考研数学无忧计划（26考研/强化）"/>
    <s v="国内考试"/>
    <s v=""/>
    <n v="3573.05"/>
    <m/>
    <s v=""/>
    <s v="新签"/>
    <s v="已交接"/>
    <s v="BJWY24032w1g8X"/>
    <s v="BJWY9722268066"/>
    <s v="WYM260320012"/>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20"/>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E26073"/>
    <s v="考研英语无忧计划（26考研/基础）"/>
    <s v="国内考试"/>
    <s v=""/>
    <n v="2598.6"/>
    <m/>
    <s v=""/>
    <s v="新签"/>
    <s v="已交接"/>
    <s v="BJWY24032w1g8X"/>
    <s v="BJWY9722268066"/>
    <s v="WYE260730038"/>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21"/>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E26075"/>
    <s v="考研英语无忧计划（26考研/英一冲刺）"/>
    <s v="国内考试"/>
    <s v=""/>
    <n v="1374.1"/>
    <m/>
    <s v=""/>
    <s v="新签"/>
    <s v="已交接"/>
    <s v="BJWY24032w1g8X"/>
    <s v="BJWY9722268066"/>
    <s v="WYE260750029"/>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22"/>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P26063"/>
    <s v="考研政治无忧计划（26考研/冲刺）"/>
    <s v="国内考试"/>
    <s v=""/>
    <n v="2314.35"/>
    <m/>
    <s v=""/>
    <s v="新签"/>
    <s v="已交接"/>
    <s v="BJWY24032w1g8X"/>
    <s v="BJWY9722268066"/>
    <s v="WYP260630034"/>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23"/>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WYM26033"/>
    <s v="考研数学无忧计划（26考研/冲刺）"/>
    <s v="国内考试"/>
    <s v=""/>
    <n v="1705.3"/>
    <m/>
    <s v=""/>
    <s v="新签"/>
    <s v="已交接"/>
    <s v="BJWY24032w1g8X"/>
    <s v="BJWY9722268066"/>
    <s v="WYM260330012"/>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s v="报名"/>
    <m/>
    <s v="外地人本地大学(常规)"/>
    <s v="市场"/>
  </r>
  <r>
    <x v="0"/>
    <n v="224"/>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LP1750044922832"/>
    <s v="985院校升级费-无忧"/>
    <s v="国内考试"/>
    <s v=""/>
    <n v="1500"/>
    <m/>
    <s v=""/>
    <s v="新签"/>
    <s v="已交接"/>
    <s v="BJWY24032w1g8X"/>
    <s v="BJWY9722268066"/>
    <m/>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m/>
    <m/>
    <s v="外地人本地大学(常规)"/>
    <s v="市场"/>
  </r>
  <r>
    <x v="0"/>
    <n v="225"/>
    <s v="北京大学部"/>
    <s v="国内大学部"/>
    <s v="李"/>
    <s v="108562669"/>
    <s v="郭欣宇"/>
    <s v="2025-06-04 20:57:38"/>
    <s v="13904373747，北京，一对一，在校学生"/>
    <m/>
    <s v="未知"/>
    <s v="赵星火"/>
    <s v="线上运营-投放"/>
    <s v="巨量广告"/>
    <s v=""/>
    <m/>
    <m/>
    <s v="李秋实"/>
    <x v="1"/>
    <s v="28159640"/>
    <s v="正常工单"/>
    <s v="2025-06-05 11:32"/>
    <s v="A（六个月内有报课意向工单）"/>
    <s v="考研专业课,考研无忧计划"/>
    <s v="大三"/>
    <s v="中国地质大学"/>
    <s v="海洋学院"/>
    <s v="海洋科学"/>
    <s v="李秋实"/>
    <n v="5399405"/>
    <x v="1"/>
    <s v="2025-06-16 11:35"/>
    <s v="赵星火"/>
    <s v="2025-06-16 11:43"/>
    <s v="LP1750044825821"/>
    <s v="考研初试专业课一对一（26考研/无忧30小时）"/>
    <s v="国内考试"/>
    <s v=""/>
    <n v="5250"/>
    <m/>
    <s v=""/>
    <s v="新签"/>
    <s v="已交接"/>
    <s v="BJWY24032w1g8X"/>
    <s v="BJWY9722268066"/>
    <m/>
    <s v="2025-06-16"/>
    <m/>
    <s v="回访人：赵星火，回访时间：2025-06-08 15:43，回访内容：1；|回访人：赵星火，回访时间：2025-06-08 15:48，回访内容：营地面谈了钱老师沟通，这边看下 具体考虑，主要是身体不好。；|回访人：赵星火，回访时间：2025-06-09 17:20，回访内容：表示优先走读班，跟刘欢老师一起跟进沟通中。；|回访人：赵星火，回访时间：2025-06-11 15:25，回访内容：预计20号左右，确定现在在忙，没有时间"/>
    <m/>
    <m/>
    <m/>
    <m/>
    <n v="75026590"/>
    <s v="否"/>
    <s v="26考季"/>
    <s v="无忧计划-啄木鸟,考研专业课150"/>
    <s v="英语,政治,数学,专业课150"/>
    <m/>
    <s v="国内高校-211"/>
    <s v="是"/>
    <s v=""/>
    <m/>
    <m/>
    <m/>
    <s v="外地人本地大学(常规)"/>
    <s v="市场"/>
  </r>
  <r>
    <x v="0"/>
    <n v="226"/>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WYFE26013"/>
    <s v="考研英语无忧计划蜂鸟（26考研/英一强化）"/>
    <s v="国内考试"/>
    <s v=""/>
    <n v="3330.3"/>
    <m/>
    <s v=""/>
    <s v="新签"/>
    <s v="已交接"/>
    <s v="BJWY2306SVFgG7"/>
    <s v="BJWY2652008035"/>
    <s v="WYFE260130007"/>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s v="报名"/>
    <m/>
    <s v="本地人本地大学(常规)"/>
    <s v="客服"/>
  </r>
  <r>
    <x v="0"/>
    <n v="227"/>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WYFP26007"/>
    <s v="考研政治无忧计划蜂鸟（26考研/强化）"/>
    <s v="国内考试"/>
    <s v=""/>
    <n v="2212.5"/>
    <m/>
    <s v=""/>
    <s v="新签"/>
    <s v="已交接"/>
    <s v="BJWY2306SVFgG7"/>
    <s v="BJWY2652008035"/>
    <s v="WYFP260070007"/>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s v="报名"/>
    <m/>
    <s v="本地人本地大学(常规)"/>
    <s v="客服"/>
  </r>
  <r>
    <x v="0"/>
    <n v="228"/>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WYFP26008"/>
    <s v="考研政治无忧计划蜂鸟（26考研/冲刺）"/>
    <s v="国内考试"/>
    <s v=""/>
    <n v="2704.15"/>
    <m/>
    <s v=""/>
    <s v="新签"/>
    <s v="已交接"/>
    <s v="BJWY2306SVFgG7"/>
    <s v="BJWY2652008035"/>
    <s v="WYFP260080007"/>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s v="报名"/>
    <m/>
    <s v="本地人本地大学(常规)"/>
    <s v="客服"/>
  </r>
  <r>
    <x v="0"/>
    <n v="229"/>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WYFM26007"/>
    <s v="考研数学无忧计划蜂鸟（26考研/强化）"/>
    <s v="国内考试"/>
    <s v=""/>
    <n v="3314.9"/>
    <m/>
    <s v=""/>
    <s v="新签"/>
    <s v="已交接"/>
    <s v="BJWY2306SVFgG7"/>
    <s v="BJWY2652008035"/>
    <s v="WYFM260070007"/>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s v="报名"/>
    <m/>
    <s v="本地人本地大学(常规)"/>
    <s v="客服"/>
  </r>
  <r>
    <x v="0"/>
    <n v="230"/>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WYFE26014"/>
    <s v="考研英语无忧计划蜂鸟（26考研/英一冲刺）"/>
    <s v="国内考试"/>
    <s v=""/>
    <n v="1586.4"/>
    <m/>
    <s v=""/>
    <s v="新签"/>
    <s v="已交接"/>
    <s v="BJWY2306SVFgG7"/>
    <s v="BJWY2652008035"/>
    <s v="WYFE260140007"/>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s v="报名"/>
    <m/>
    <s v="本地人本地大学(常规)"/>
    <s v="客服"/>
  </r>
  <r>
    <x v="0"/>
    <n v="231"/>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WYFM26008"/>
    <s v="考研数学无忧计划蜂鸟（26考研/冲刺）"/>
    <s v="国内考试"/>
    <s v=""/>
    <n v="1351.75"/>
    <m/>
    <s v=""/>
    <s v="新签"/>
    <s v="已交接"/>
    <s v="BJWY2306SVFgG7"/>
    <s v="BJWY2652008035"/>
    <s v="WYFM260080007"/>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s v="报名"/>
    <m/>
    <s v="本地人本地大学(常规)"/>
    <s v="客服"/>
  </r>
  <r>
    <x v="0"/>
    <n v="232"/>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LP17500558801204"/>
    <s v="985院校升级费-无忧"/>
    <s v="国内考试"/>
    <s v=""/>
    <n v="1500"/>
    <m/>
    <s v=""/>
    <s v="新签"/>
    <s v="已交接"/>
    <s v="BJWY2306SVFgG7"/>
    <s v="BJWY2652008035"/>
    <m/>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m/>
    <m/>
    <s v="本地人本地大学(常规)"/>
    <s v="客服"/>
  </r>
  <r>
    <x v="0"/>
    <n v="233"/>
    <s v="北京大学部"/>
    <s v="国内大学部"/>
    <s v="同学"/>
    <s v="114478228"/>
    <s v="吕猛"/>
    <s v="2025-06-15 16:44:35"/>
    <s v="已经到知春路校区楼下_x000a__x000a_新东方考研四六级(知春路校区)"/>
    <s v=""/>
    <s v="未知"/>
    <s v="杨晓超"/>
    <s v="线上运营-本地生活平台"/>
    <s v="阿里本地通"/>
    <s v=""/>
    <m/>
    <m/>
    <s v="高尚"/>
    <x v="1"/>
    <s v="28366840"/>
    <s v="正常工单"/>
    <s v="2025-06-16 14:13"/>
    <s v="A（六个月内有报课意向工单）"/>
    <s v="考研专业课,考研无忧计划"/>
    <s v="大四"/>
    <s v="北京航空航天大学"/>
    <s v="自动化科学与电气工程学院"/>
    <s v="自动化"/>
    <s v="高尚"/>
    <n v="5385549"/>
    <x v="1"/>
    <s v="2025-06-16 14:38"/>
    <s v="赵星火"/>
    <s v="2025-06-16 14:43"/>
    <s v="LP17500559161208"/>
    <s v="考研初试专业课一对一（26考研/无忧30小时）"/>
    <s v="国内考试"/>
    <s v=""/>
    <n v="5900"/>
    <m/>
    <s v=""/>
    <s v="新签"/>
    <s v="已交接"/>
    <s v="BJWY2306SVFgG7"/>
    <s v="BJWY2652008035"/>
    <m/>
    <s v="2025-06-16"/>
    <m/>
    <s v="回访人：杨晓超，回访时间：2025-06-15 17:45，回访内容：北航在读大四，忙完了毕业，已经在附近组了房子，咨询走读单科英语，数学跟着张宇政治有自己的学习计划，推荐知春路强冲班专业课也咨询一下介绍了去年200多分，英政40多分，数学和专业课都是60多分高尚 18629977399意向可以逼单中"/>
    <m/>
    <m/>
    <m/>
    <m/>
    <n v="79768935"/>
    <s v="否"/>
    <s v="26考季"/>
    <s v="无忧计划-蜂鸟,考研专业课150"/>
    <s v="英语,政治,数学,专业课150"/>
    <s v="其他"/>
    <s v="国内高校-985"/>
    <s v="是"/>
    <s v=""/>
    <m/>
    <m/>
    <m/>
    <s v="本地人本地大学(常规)"/>
    <s v="客服"/>
  </r>
  <r>
    <x v="0"/>
    <n v="234"/>
    <s v="北京大学部"/>
    <s v="国内大学部"/>
    <m/>
    <s v="89245249"/>
    <m/>
    <s v="2024-11-26 10:29:32"/>
    <s v=""/>
    <s v=""/>
    <s v="大三"/>
    <s v="谭悦"/>
    <s v="转介绍"/>
    <s v="内部员工推荐"/>
    <m/>
    <m/>
    <m/>
    <s v="杨梦清"/>
    <x v="0"/>
    <s v="28359934"/>
    <s v="续费工单"/>
    <s v="2025-06-14 23:16"/>
    <s v="A（六个月内有报课意向工单）"/>
    <s v="考研无忧计划"/>
    <s v="大三"/>
    <s v="山西医科大学"/>
    <s v="口腔医学院"/>
    <s v="口腔医学（五年制）1"/>
    <s v="杨梦清"/>
    <n v="5385524"/>
    <x v="0"/>
    <s v="2025-06-16 14:19"/>
    <s v="谭悦"/>
    <s v="2025-06-16 14:19"/>
    <s v="WYHP2605"/>
    <s v="考研政治无忧计划候鸟（26考研/基础强化）"/>
    <s v="国内考试"/>
    <s v=""/>
    <n v="10830.4"/>
    <m/>
    <s v="常小倩+changxiaoqian@xdf.cn+ID: 097195+产业机构-前途出国-前途北京公司-澳新部"/>
    <s v="续班"/>
    <s v="已交接"/>
    <s v="BJWY24032w1g8X"/>
    <s v="BJWY7596554849"/>
    <s v="WYHP26050032"/>
    <s v="2025-06-16"/>
    <m/>
    <s v="回访人：谭悦，回访时间：2025-06-14 23:16，回访内容：咨询暑假考研课   ；|回访人：谭悦，回访时间：2025-06-15 20:03，回访内容：微信跟进 协议 候鸟暑假  ；|回访人：谭悦，回访时间：2025-06-16 14:19，回访内容：签约  "/>
    <m/>
    <m/>
    <m/>
    <m/>
    <n v="64688587"/>
    <s v="否"/>
    <s v="26考季"/>
    <s v="无忧计划-候鸟"/>
    <s v="英语,政治"/>
    <m/>
    <s v="国内高校-双非"/>
    <s v="是"/>
    <s v=""/>
    <m/>
    <s v="报名"/>
    <m/>
    <s v="本地人本地大学(常规)"/>
    <m/>
  </r>
  <r>
    <x v="0"/>
    <n v="235"/>
    <s v="北京大学部"/>
    <s v="国内大学部"/>
    <m/>
    <s v="89245249"/>
    <m/>
    <s v="2024-11-26 10:29:32"/>
    <s v=""/>
    <s v=""/>
    <s v="大三"/>
    <s v="谭悦"/>
    <s v="转介绍"/>
    <s v="内部员工推荐"/>
    <m/>
    <m/>
    <m/>
    <s v="杨梦清"/>
    <x v="0"/>
    <s v="28359934"/>
    <s v="续费工单"/>
    <s v="2025-06-14 23:16"/>
    <s v="A（六个月内有报课意向工单）"/>
    <s v="考研无忧计划"/>
    <s v="大三"/>
    <s v="山西医科大学"/>
    <s v="口腔医学院"/>
    <s v="口腔医学（五年制）1"/>
    <s v="杨梦清"/>
    <n v="5385524"/>
    <x v="0"/>
    <s v="2025-06-16 14:19"/>
    <s v="谭悦"/>
    <s v="2025-06-16 14:19"/>
    <s v="WYHE26005"/>
    <s v="考研英语无忧计划候鸟（26考研/英一冲刺）"/>
    <s v="国内考试"/>
    <s v=""/>
    <n v="1069.5999999999999"/>
    <m/>
    <s v="常小倩+changxiaoqian@xdf.cn+ID: 097195+产业机构-前途出国-前途北京公司-澳新部"/>
    <s v="续班"/>
    <s v="已交接"/>
    <s v="BJWY24032w1g8X"/>
    <s v="BJWY7596554849"/>
    <s v="WYHE260050075"/>
    <s v="2025-06-16"/>
    <m/>
    <s v="回访人：谭悦，回访时间：2025-06-14 23:16，回访内容：咨询暑假考研课   ；|回访人：谭悦，回访时间：2025-06-15 20:03，回访内容：微信跟进 协议 候鸟暑假  ；|回访人：谭悦，回访时间：2025-06-16 14:19，回访内容：签约  "/>
    <m/>
    <m/>
    <m/>
    <m/>
    <n v="64688587"/>
    <s v="否"/>
    <s v="26考季"/>
    <s v="无忧计划-候鸟"/>
    <s v="英语,政治"/>
    <m/>
    <s v="国内高校-双非"/>
    <s v="是"/>
    <s v=""/>
    <m/>
    <s v="报名"/>
    <m/>
    <s v="本地人本地大学(常规)"/>
    <m/>
  </r>
  <r>
    <x v="0"/>
    <n v="236"/>
    <s v="北京大学部"/>
    <s v="国内大学部"/>
    <m/>
    <s v="89245249"/>
    <m/>
    <s v="2024-11-26 10:29:32"/>
    <s v=""/>
    <s v=""/>
    <s v="大三"/>
    <s v="谭悦"/>
    <s v="转介绍"/>
    <s v="内部员工推荐"/>
    <m/>
    <m/>
    <m/>
    <s v="杨梦清"/>
    <x v="0"/>
    <s v="28359934"/>
    <s v="续费工单"/>
    <s v="2025-06-14 23:16"/>
    <s v="A（六个月内有报课意向工单）"/>
    <s v="考研无忧计划"/>
    <s v="大三"/>
    <s v="山西医科大学"/>
    <s v="口腔医学院"/>
    <s v="口腔医学（五年制）1"/>
    <s v="杨梦清"/>
    <n v="5385524"/>
    <x v="0"/>
    <s v="2025-06-16 14:19"/>
    <s v="谭悦"/>
    <s v="2025-06-16 14:19"/>
    <s v="WYHE26004"/>
    <s v="考研英语无忧计划候鸟（26考研/基础强化）"/>
    <s v="国内考试"/>
    <s v=""/>
    <n v="10830.4"/>
    <m/>
    <s v="常小倩+changxiaoqian@xdf.cn+ID: 097195+产业机构-前途出国-前途北京公司-澳新部"/>
    <s v="续班"/>
    <s v="已交接"/>
    <s v="BJWY24032w1g8X"/>
    <s v="BJWY7596554849"/>
    <s v="WYHE260040035"/>
    <s v="2025-06-16"/>
    <m/>
    <s v="回访人：谭悦，回访时间：2025-06-14 23:16，回访内容：咨询暑假考研课   ；|回访人：谭悦，回访时间：2025-06-15 20:03，回访内容：微信跟进 协议 候鸟暑假  ；|回访人：谭悦，回访时间：2025-06-16 14:19，回访内容：签约  "/>
    <m/>
    <m/>
    <m/>
    <m/>
    <n v="64688587"/>
    <s v="否"/>
    <s v="26考季"/>
    <s v="无忧计划-候鸟"/>
    <s v="英语,政治"/>
    <m/>
    <s v="国内高校-双非"/>
    <s v="是"/>
    <s v=""/>
    <m/>
    <s v="报名"/>
    <m/>
    <s v="本地人本地大学(常规)"/>
    <m/>
  </r>
  <r>
    <x v="0"/>
    <n v="237"/>
    <s v="北京大学部"/>
    <s v="国内大学部"/>
    <m/>
    <s v="89245249"/>
    <m/>
    <s v="2024-11-26 10:29:32"/>
    <s v=""/>
    <s v=""/>
    <s v="大三"/>
    <s v="谭悦"/>
    <s v="转介绍"/>
    <s v="内部员工推荐"/>
    <m/>
    <m/>
    <m/>
    <s v="杨梦清"/>
    <x v="0"/>
    <s v="28359934"/>
    <s v="续费工单"/>
    <s v="2025-06-14 23:16"/>
    <s v="A（六个月内有报课意向工单）"/>
    <s v="考研无忧计划"/>
    <s v="大三"/>
    <s v="山西医科大学"/>
    <s v="口腔医学院"/>
    <s v="口腔医学（五年制）1"/>
    <s v="杨梦清"/>
    <n v="5385524"/>
    <x v="0"/>
    <s v="2025-06-16 14:19"/>
    <s v="谭悦"/>
    <s v="2025-06-16 14:19"/>
    <s v="WYHP26002"/>
    <s v="考研政治无忧计划候鸟（26考研/冲刺）"/>
    <s v="国内考试"/>
    <s v=""/>
    <n v="1569.6"/>
    <m/>
    <s v="常小倩+changxiaoqian@xdf.cn+ID: 097195+产业机构-前途出国-前途北京公司-澳新部"/>
    <s v="续班"/>
    <s v="已交接"/>
    <s v="BJWY24032w1g8X"/>
    <s v="BJWY7596554849"/>
    <s v="WYHP260020080"/>
    <s v="2025-06-16"/>
    <m/>
    <s v="回访人：谭悦，回访时间：2025-06-14 23:16，回访内容：咨询暑假考研课   ；|回访人：谭悦，回访时间：2025-06-15 20:03，回访内容：微信跟进 协议 候鸟暑假  ；|回访人：谭悦，回访时间：2025-06-16 14:19，回访内容：签约  "/>
    <m/>
    <m/>
    <m/>
    <m/>
    <n v="64688587"/>
    <s v="否"/>
    <s v="26考季"/>
    <s v="无忧计划-候鸟"/>
    <s v="英语,政治"/>
    <m/>
    <s v="国内高校-双非"/>
    <s v="是"/>
    <s v=""/>
    <m/>
    <s v="报名"/>
    <m/>
    <s v="本地人本地大学(常规)"/>
    <m/>
  </r>
  <r>
    <x v="0"/>
    <n v="238"/>
    <s v="北京大学部"/>
    <s v="国内大学部"/>
    <m/>
    <s v="98903055"/>
    <m/>
    <s v="2025-04-07 10:57:26"/>
    <s v="魏公村直访，VIP接待"/>
    <s v=""/>
    <s v="未知"/>
    <s v="谭悦"/>
    <s v="直访"/>
    <s v="直访"/>
    <m/>
    <m/>
    <m/>
    <s v="边星华"/>
    <x v="0"/>
    <s v="28436194"/>
    <s v="续费工单"/>
    <s v="2025-06-18 21:57"/>
    <s v="A（六个月内有报课意向工单）"/>
    <s v="考研专业课,考研集训营"/>
    <s v="在职"/>
    <s v="首都经济贸易大学"/>
    <s v="财政税务学院"/>
    <s v="资产评估"/>
    <s v="边星华"/>
    <n v="5359098"/>
    <x v="0"/>
    <s v="2025-06-18 21:57"/>
    <s v="谭悦"/>
    <s v="2025-06-18 21:58"/>
    <s v="KYJS25026A"/>
    <s v="26考研数学全年集训营（强冲）"/>
    <s v="国内考试"/>
    <s v=""/>
    <n v="8330"/>
    <s v="同科续费"/>
    <s v=""/>
    <s v="续班"/>
    <s v="已交接"/>
    <s v="BJWY2306SVFgG7"/>
    <s v="BJWY5067256538"/>
    <s v="KYJS25026A0025"/>
    <s v="2025-06-16"/>
    <m/>
    <s v="回访人：谭悦，回访时间：2025-06-18 21:57，回访内容：1；|回访人：谭悦，回访时间：2025-06-18 21:57，回访内容：转班 "/>
    <m/>
    <m/>
    <m/>
    <m/>
    <n v="68886424"/>
    <s v="否"/>
    <s v="26考季"/>
    <s v="全年集训营,考研专业课150"/>
    <s v="英语,政治,数学,专业课150"/>
    <m/>
    <s v="国内高校-双非"/>
    <s v="是"/>
    <s v=""/>
    <m/>
    <s v="转出"/>
    <m/>
    <m/>
    <m/>
  </r>
  <r>
    <x v="0"/>
    <n v="239"/>
    <s v="北京大学部"/>
    <s v="国内大学部"/>
    <s v="啦啦"/>
    <s v="114465652"/>
    <s v="王朝群"/>
    <s v="2025-06-15 10:57:06"/>
    <s v="【王朝群】咨询英语政治暑期营"/>
    <m/>
    <s v="大三"/>
    <s v="张乐"/>
    <s v="线上运营-小红书"/>
    <s v="小红书KOS"/>
    <s v=""/>
    <m/>
    <m/>
    <s v="陈怿恺"/>
    <x v="0"/>
    <s v="28341169"/>
    <s v="正常工单"/>
    <s v="2025-06-16 11:12"/>
    <s v="B（需长时间跟单或只需要规划）"/>
    <s v="考研无忧计划"/>
    <s v="大三"/>
    <s v="首都体育学院"/>
    <s v="管理与传播学院"/>
    <s v="新闻学"/>
    <s v="陈怿恺"/>
    <n v="5356798"/>
    <x v="0"/>
    <s v="2025-06-16 14:10"/>
    <s v="谭悦"/>
    <s v="2025-06-16 14:11"/>
    <s v="WYP26062"/>
    <s v="考研政治无忧计划（26考研/强化）"/>
    <s v="国内考试"/>
    <s v=""/>
    <n v="1838.25"/>
    <m/>
    <s v=""/>
    <s v="新签"/>
    <s v="已交接"/>
    <s v="BJWY24032w1g8X"/>
    <s v="BJWY6687592539"/>
    <s v="WYP260620031"/>
    <s v="2025-06-16"/>
    <m/>
    <s v="回访人：张乐，回访时间：2025-06-15 11:28，回访内容：首都体育大三今年在做交换生在国外 月底回国，加微信发送知春路的政治 英语候鸟；|回访人：谭悦，回访时间：2025-06-16 14:10，回访内容：签约 "/>
    <m/>
    <m/>
    <m/>
    <m/>
    <n v="79764579"/>
    <s v="否"/>
    <s v="26考季"/>
    <s v="无忧计划-啄木鸟"/>
    <s v="英语,政治"/>
    <s v="其他"/>
    <s v="国内高校-双非"/>
    <s v="是"/>
    <s v=""/>
    <m/>
    <s v="报名"/>
    <m/>
    <s v="本地人本地大学(常规)"/>
    <s v="市场"/>
  </r>
  <r>
    <x v="0"/>
    <n v="240"/>
    <s v="北京大学部"/>
    <s v="国内大学部"/>
    <s v="啦啦"/>
    <s v="114465652"/>
    <s v="王朝群"/>
    <s v="2025-06-15 10:57:06"/>
    <s v="【王朝群】咨询英语政治暑期营"/>
    <m/>
    <s v="大三"/>
    <s v="张乐"/>
    <s v="线上运营-小红书"/>
    <s v="小红书KOS"/>
    <s v=""/>
    <m/>
    <m/>
    <s v="陈怿恺"/>
    <x v="0"/>
    <s v="28341169"/>
    <s v="正常工单"/>
    <s v="2025-06-16 11:12"/>
    <s v="B（需长时间跟单或只需要规划）"/>
    <s v="考研无忧计划"/>
    <s v="大三"/>
    <s v="首都体育学院"/>
    <s v="管理与传播学院"/>
    <s v="新闻学"/>
    <s v="陈怿恺"/>
    <n v="5356798"/>
    <x v="0"/>
    <s v="2025-06-16 14:10"/>
    <s v="谭悦"/>
    <s v="2025-06-16 14:11"/>
    <s v="WYP26063"/>
    <s v="考研政治无忧计划（26考研/冲刺）"/>
    <s v="国内考试"/>
    <s v=""/>
    <n v="2183"/>
    <m/>
    <s v=""/>
    <s v="新签"/>
    <s v="已交接"/>
    <s v="BJWY24032w1g8X"/>
    <s v="BJWY6687592539"/>
    <s v="WYP260630033"/>
    <s v="2025-06-16"/>
    <m/>
    <s v="回访人：张乐，回访时间：2025-06-15 11:28，回访内容：首都体育大三今年在做交换生在国外 月底回国，加微信发送知春路的政治 英语候鸟；|回访人：谭悦，回访时间：2025-06-16 14:10，回访内容：签约 "/>
    <m/>
    <m/>
    <m/>
    <m/>
    <n v="79764579"/>
    <s v="否"/>
    <s v="26考季"/>
    <s v="无忧计划-啄木鸟"/>
    <s v="英语,政治"/>
    <s v="其他"/>
    <s v="国内高校-双非"/>
    <s v="是"/>
    <s v=""/>
    <m/>
    <s v="报名"/>
    <m/>
    <s v="本地人本地大学(常规)"/>
    <s v="市场"/>
  </r>
  <r>
    <x v="0"/>
    <n v="241"/>
    <s v="北京大学部"/>
    <s v="国内大学部"/>
    <s v="啦啦"/>
    <s v="114465652"/>
    <s v="王朝群"/>
    <s v="2025-06-15 10:57:06"/>
    <s v="【王朝群】咨询英语政治暑期营"/>
    <m/>
    <s v="大三"/>
    <s v="张乐"/>
    <s v="线上运营-小红书"/>
    <s v="小红书KOS"/>
    <s v=""/>
    <m/>
    <m/>
    <s v="陈怿恺"/>
    <x v="0"/>
    <s v="28341169"/>
    <s v="正常工单"/>
    <s v="2025-06-16 11:12"/>
    <s v="B（需长时间跟单或只需要规划）"/>
    <s v="考研无忧计划"/>
    <s v="大三"/>
    <s v="首都体育学院"/>
    <s v="管理与传播学院"/>
    <s v="新闻学"/>
    <s v="陈怿恺"/>
    <n v="5356798"/>
    <x v="0"/>
    <s v="2025-06-16 14:10"/>
    <s v="谭悦"/>
    <s v="2025-06-16 14:11"/>
    <s v="WYP26061"/>
    <s v="考研政治无忧计划（26考研/基础）"/>
    <s v="国内考试"/>
    <s v=""/>
    <n v="3178.75"/>
    <m/>
    <s v=""/>
    <s v="新签"/>
    <s v="已交接"/>
    <s v="BJWY24032w1g8X"/>
    <s v="BJWY6687592539"/>
    <s v="WYP260610031"/>
    <s v="2025-06-16"/>
    <m/>
    <s v="回访人：张乐，回访时间：2025-06-15 11:28，回访内容：首都体育大三今年在做交换生在国外 月底回国，加微信发送知春路的政治 英语候鸟；|回访人：谭悦，回访时间：2025-06-16 14:10，回访内容：签约 "/>
    <m/>
    <m/>
    <m/>
    <m/>
    <n v="79764579"/>
    <s v="否"/>
    <s v="26考季"/>
    <s v="无忧计划-啄木鸟"/>
    <s v="英语,政治"/>
    <s v="其他"/>
    <s v="国内高校-双非"/>
    <s v="是"/>
    <s v=""/>
    <m/>
    <s v="报名"/>
    <m/>
    <s v="本地人本地大学(常规)"/>
    <s v="市场"/>
  </r>
  <r>
    <x v="0"/>
    <n v="242"/>
    <s v="北京大学部"/>
    <s v="国内大学部"/>
    <s v="啦啦"/>
    <s v="114465652"/>
    <s v="王朝群"/>
    <s v="2025-06-15 10:57:06"/>
    <s v="【王朝群】咨询英语政治暑期营"/>
    <m/>
    <s v="大三"/>
    <s v="张乐"/>
    <s v="线上运营-小红书"/>
    <s v="小红书KOS"/>
    <s v=""/>
    <m/>
    <m/>
    <s v="陈怿恺"/>
    <x v="0"/>
    <s v="28341169"/>
    <s v="正常工单"/>
    <s v="2025-06-16 11:12"/>
    <s v="B（需长时间跟单或只需要规划）"/>
    <s v="考研无忧计划"/>
    <s v="大三"/>
    <s v="首都体育学院"/>
    <s v="管理与传播学院"/>
    <s v="新闻学"/>
    <s v="陈怿恺"/>
    <n v="5356798"/>
    <x v="0"/>
    <s v="2025-06-16 14:10"/>
    <s v="谭悦"/>
    <s v="2025-06-16 14:11"/>
    <s v="WYE26074"/>
    <s v="考研英语无忧计划（26考研/英一强化）"/>
    <s v="国内考试"/>
    <s v=""/>
    <n v="3217.05"/>
    <m/>
    <s v=""/>
    <s v="新签"/>
    <s v="已交接"/>
    <s v="BJWY24032w1g8X"/>
    <s v="BJWY6687592539"/>
    <s v="WYE260740028"/>
    <s v="2025-06-16"/>
    <m/>
    <s v="回访人：张乐，回访时间：2025-06-15 11:28，回访内容：首都体育大三今年在做交换生在国外 月底回国，加微信发送知春路的政治 英语候鸟；|回访人：谭悦，回访时间：2025-06-16 14:10，回访内容：签约 "/>
    <m/>
    <m/>
    <m/>
    <m/>
    <n v="79764579"/>
    <s v="否"/>
    <s v="26考季"/>
    <s v="无忧计划-啄木鸟"/>
    <s v="英语,政治"/>
    <s v="其他"/>
    <s v="国内高校-双非"/>
    <s v="是"/>
    <s v=""/>
    <m/>
    <s v="报名"/>
    <m/>
    <s v="本地人本地大学(常规)"/>
    <s v="市场"/>
  </r>
  <r>
    <x v="0"/>
    <n v="243"/>
    <s v="北京大学部"/>
    <s v="国内大学部"/>
    <s v="啦啦"/>
    <s v="114465652"/>
    <s v="王朝群"/>
    <s v="2025-06-15 10:57:06"/>
    <s v="【王朝群】咨询英语政治暑期营"/>
    <m/>
    <s v="大三"/>
    <s v="张乐"/>
    <s v="线上运营-小红书"/>
    <s v="小红书KOS"/>
    <s v=""/>
    <m/>
    <m/>
    <s v="陈怿恺"/>
    <x v="0"/>
    <s v="28341169"/>
    <s v="正常工单"/>
    <s v="2025-06-16 11:12"/>
    <s v="B（需长时间跟单或只需要规划）"/>
    <s v="考研无忧计划"/>
    <s v="大三"/>
    <s v="首都体育学院"/>
    <s v="管理与传播学院"/>
    <s v="新闻学"/>
    <s v="陈怿恺"/>
    <n v="5356798"/>
    <x v="0"/>
    <s v="2025-06-16 14:10"/>
    <s v="谭悦"/>
    <s v="2025-06-16 14:11"/>
    <s v="WYE26073"/>
    <s v="考研英语无忧计划（26考研/基础）"/>
    <s v="国内考试"/>
    <s v=""/>
    <n v="2451.0500000000002"/>
    <m/>
    <s v=""/>
    <s v="新签"/>
    <s v="已交接"/>
    <s v="BJWY24032w1g8X"/>
    <s v="BJWY6687592539"/>
    <s v="WYE260730037"/>
    <s v="2025-06-16"/>
    <m/>
    <s v="回访人：张乐，回访时间：2025-06-15 11:28，回访内容：首都体育大三今年在做交换生在国外 月底回国，加微信发送知春路的政治 英语候鸟；|回访人：谭悦，回访时间：2025-06-16 14:10，回访内容：签约 "/>
    <m/>
    <m/>
    <m/>
    <m/>
    <n v="79764579"/>
    <s v="否"/>
    <s v="26考季"/>
    <s v="无忧计划-啄木鸟"/>
    <s v="英语,政治"/>
    <s v="其他"/>
    <s v="国内高校-双非"/>
    <s v="是"/>
    <s v=""/>
    <m/>
    <s v="报名"/>
    <m/>
    <s v="本地人本地大学(常规)"/>
    <s v="市场"/>
  </r>
  <r>
    <x v="0"/>
    <n v="244"/>
    <s v="北京大学部"/>
    <s v="国内大学部"/>
    <s v="啦啦"/>
    <s v="114465652"/>
    <s v="王朝群"/>
    <s v="2025-06-15 10:57:06"/>
    <s v="【王朝群】咨询英语政治暑期营"/>
    <m/>
    <s v="大三"/>
    <s v="张乐"/>
    <s v="线上运营-小红书"/>
    <s v="小红书KOS"/>
    <s v=""/>
    <m/>
    <m/>
    <s v="陈怿恺"/>
    <x v="0"/>
    <s v="28341169"/>
    <s v="正常工单"/>
    <s v="2025-06-16 11:12"/>
    <s v="B（需长时间跟单或只需要规划）"/>
    <s v="考研无忧计划"/>
    <s v="大三"/>
    <s v="首都体育学院"/>
    <s v="管理与传播学院"/>
    <s v="新闻学"/>
    <s v="陈怿恺"/>
    <n v="5356798"/>
    <x v="0"/>
    <s v="2025-06-16 14:10"/>
    <s v="谭悦"/>
    <s v="2025-06-16 14:11"/>
    <s v="WYE26075"/>
    <s v="考研英语无忧计划（26考研/英一冲刺）"/>
    <s v="国内考试"/>
    <s v=""/>
    <n v="1281.9000000000001"/>
    <m/>
    <s v=""/>
    <s v="新签"/>
    <s v="已交接"/>
    <s v="BJWY24032w1g8X"/>
    <s v="BJWY6687592539"/>
    <s v="WYE260750028"/>
    <s v="2025-06-16"/>
    <m/>
    <s v="回访人：张乐，回访时间：2025-06-15 11:28，回访内容：首都体育大三今年在做交换生在国外 月底回国，加微信发送知春路的政治 英语候鸟；|回访人：谭悦，回访时间：2025-06-16 14:10，回访内容：签约 "/>
    <m/>
    <m/>
    <m/>
    <m/>
    <n v="79764579"/>
    <s v="否"/>
    <s v="26考季"/>
    <s v="无忧计划-啄木鸟"/>
    <s v="英语,政治"/>
    <s v="其他"/>
    <s v="国内高校-双非"/>
    <s v="是"/>
    <s v=""/>
    <m/>
    <s v="报名"/>
    <m/>
    <s v="本地人本地大学(常规)"/>
    <s v="市场"/>
  </r>
  <r>
    <x v="0"/>
    <n v="245"/>
    <s v="北京大学部"/>
    <s v="国内大学部"/>
    <s v="同学"/>
    <s v="114564369"/>
    <s v="段同飞"/>
    <s v="2025-06-16 13:55:25"/>
    <s v="谭悦老师死单激活"/>
    <s v=""/>
    <s v="高一"/>
    <s v="谭悦"/>
    <s v="线上运营-投放"/>
    <s v="总部-百度投放"/>
    <s v=""/>
    <m/>
    <m/>
    <s v="宁劭雷"/>
    <x v="0"/>
    <s v="28304836"/>
    <s v="正常工单"/>
    <s v="2025-06-16 14:00"/>
    <s v="A（六个月内有报课意向工单）"/>
    <s v="六级"/>
    <s v="高一"/>
    <s v="中国人民大学附属中学"/>
    <s v="高一"/>
    <s v="高一"/>
    <s v="宁劭雷"/>
    <n v="5356783"/>
    <x v="0"/>
    <s v="2025-06-16 14:03"/>
    <s v="谭悦"/>
    <s v="2025-06-16 14:03"/>
    <s v="WYS25031"/>
    <s v="六级无忧计划"/>
    <s v="国内考试"/>
    <s v=""/>
    <n v="6180"/>
    <m/>
    <s v=""/>
    <s v="新签"/>
    <s v="已交接"/>
    <s v="WebReg"/>
    <s v="BJWY1599745405"/>
    <s v="WYS250310041"/>
    <s v="2025-06-16"/>
    <m/>
    <s v="回访人：谭悦，回访时间：2025-06-16 14:01，回访内容：准备报名  ；|回访人：谭悦，回访时间：2025-06-16 14:03，回访内容：签约  "/>
    <m/>
    <m/>
    <m/>
    <m/>
    <n v="64179186"/>
    <s v="否"/>
    <s v="25下考季"/>
    <s v="六级无忧计划"/>
    <s v=""/>
    <m/>
    <s v="国内高校-双非"/>
    <s v="是"/>
    <s v=""/>
    <m/>
    <s v="报名"/>
    <m/>
    <m/>
    <s v="客服"/>
  </r>
  <r>
    <x v="0"/>
    <n v="246"/>
    <s v="北京大学部"/>
    <s v="国内大学部"/>
    <s v="周蕊"/>
    <s v="114349473"/>
    <s v="陈晶"/>
    <s v="2025-06-14 17:20:04"/>
    <s v="续费原因：辛苦老师联系我，我和学生确认课时续费；该学生为保护期外续费，原顾问部门：国内大学部"/>
    <m/>
    <s v="在职"/>
    <s v="赵星火"/>
    <s v="转介绍"/>
    <s v="学管续费推荐"/>
    <s v="陈晶chenjing171@xdf.cn"/>
    <m/>
    <m/>
    <s v="周蕊"/>
    <x v="1"/>
    <s v="28298752"/>
    <s v="续费工单"/>
    <s v="2025-06-14 17:23"/>
    <s v="A（六个月内有报课意向工单）"/>
    <s v="考研VIP"/>
    <s v="在职"/>
    <s v="中央戏剧学院"/>
    <s v="表演系"/>
    <s v="话剧影视表演"/>
    <s v="周蕊"/>
    <n v="5356560"/>
    <x v="1"/>
    <s v="2025-06-16 10:14"/>
    <s v="赵星火"/>
    <s v="2025-06-16 10:15"/>
    <s v="LP1750040041588"/>
    <s v="考研一对一伴学班（26考季）"/>
    <s v="国内考试"/>
    <s v=""/>
    <n v="24600"/>
    <m/>
    <s v="陈晶"/>
    <s v="续班"/>
    <s v="已交接"/>
    <m/>
    <s v="BJWY2521518648"/>
    <m/>
    <s v="2025-06-16"/>
    <m/>
    <s v="回访人：赵星火，回访时间：2025-06-14 17:23，回访内容：沟通课时跟进中，这边预计是30多小时继续维护，跟陈晶面谈"/>
    <m/>
    <m/>
    <m/>
    <m/>
    <n v="38767811"/>
    <s v="否"/>
    <s v="26考季"/>
    <s v="VIP - 伴学"/>
    <s v="英语"/>
    <s v="其他"/>
    <s v="国内高校-双一流(非985/211)"/>
    <s v="是"/>
    <s v=""/>
    <m/>
    <m/>
    <m/>
    <m/>
    <s v="学管续费推荐"/>
  </r>
  <r>
    <x v="0"/>
    <n v="247"/>
    <s v="北京大学部"/>
    <s v="国内大学部"/>
    <s v="赵晓婧"/>
    <s v="114450232"/>
    <s v="王天义"/>
    <s v="2025-06-15 15:11:01"/>
    <s v="续费原因：续费续费～；该学生为保护期内续费，原顾问：国内大学部-赵星火(zhaoxinghuo@xdf.cn)"/>
    <m/>
    <s v="大四"/>
    <s v="赵星火"/>
    <s v="转介绍"/>
    <s v="学管续费推荐"/>
    <s v="王天义wangtianyi56@xdf.cn"/>
    <m/>
    <m/>
    <s v="赵晓婧"/>
    <x v="1"/>
    <s v="28364384"/>
    <s v="续费工单"/>
    <s v="2025-06-15 15:25"/>
    <s v="A（六个月内有报课意向工单）"/>
    <s v="考研VIP"/>
    <s v="大四"/>
    <s v="北京工商大学"/>
    <s v="法学院"/>
    <s v="法学"/>
    <s v="赵晓婧"/>
    <n v="5399074"/>
    <x v="1"/>
    <s v="2025-06-15 15:33"/>
    <s v="赵星火"/>
    <s v="2025-06-15 15:37"/>
    <s v="LP17499727882492"/>
    <s v="考研一对一伴学班（定制/26考季）"/>
    <s v="国内考试"/>
    <s v=""/>
    <n v="23000"/>
    <m/>
    <s v="王天义"/>
    <s v="续班"/>
    <s v="已交接"/>
    <m/>
    <s v="BJWY9595699070"/>
    <m/>
    <s v="2025-06-15"/>
    <m/>
    <s v="回访人：赵星火，回访时间：2025-06-15 15:25，回访内容：1下单跟进"/>
    <m/>
    <m/>
    <m/>
    <m/>
    <n v="52346304"/>
    <s v="否"/>
    <s v="26考季"/>
    <s v="VIP - 伴学"/>
    <s v="英语"/>
    <s v="其他"/>
    <s v="国内高校-双非"/>
    <s v="是"/>
    <s v=""/>
    <m/>
    <m/>
    <m/>
    <s v="外地人外地大学(常规)"/>
    <s v="学管续费推荐"/>
  </r>
  <r>
    <x v="0"/>
    <n v="248"/>
    <s v="北京大学部"/>
    <s v="国内大学部"/>
    <s v="杨女士"/>
    <s v="114061569"/>
    <s v="北京国内管理员"/>
    <s v="2025-06-13 14:19:50"/>
    <s v="渠道录入来源：SCRM-客服推送_x000a_商机ID：5009041935_x000a_商机编码：XSJ20250613032644_x000a_针对人群：在职_x000a_学生学校：不详_x000a_咨询课程：英语_x000a_创建人邮箱：lichunshan@xdf.cn_x000a_创建时间：2025-06-13 14:19:44_x000a_资源类型：单个资源_x000a_跟进记录：商机备注：【呼入组+57640851】本人咨询考研事宜，现居顺义，辛苦老师协助介绍，谢谢;接触点：呼入；_x000a_"/>
    <m/>
    <s v="在职"/>
    <s v="谭悦"/>
    <s v="线上运营-本地生活平台"/>
    <s v="大众点评"/>
    <s v=""/>
    <m/>
    <m/>
    <s v="杨秀"/>
    <x v="0"/>
    <s v="28324179"/>
    <s v="正常工单"/>
    <s v="2025-06-13 14:54"/>
    <s v="A（六个月内有报课意向工单）"/>
    <s v="考研无忧计划"/>
    <s v="在职"/>
    <s v="北京城市学院"/>
    <s v="经济管理学部"/>
    <s v="工商管理"/>
    <s v="杨秀"/>
    <n v="5399067"/>
    <x v="0"/>
    <s v="2025-06-15 15:20"/>
    <s v="谭悦"/>
    <s v="2025-06-15 15:20"/>
    <s v="ZZYG26003"/>
    <s v="考研在职管理类综合全程班（26）"/>
    <s v="国内考试"/>
    <s v=""/>
    <n v="16119.7"/>
    <m/>
    <s v=""/>
    <s v="新签"/>
    <s v="已交接"/>
    <s v="BJWY22035556hl"/>
    <s v="BJWY8451183911"/>
    <s v="ZZYG260030027"/>
    <s v="2025-06-15"/>
    <m/>
    <s v="回访人：谭悦，回访时间：2025-06-13 14:54，回访内容：在职研，；|回访人：谭悦，回访时间：2025-06-15 15:20，回访内容：签约 "/>
    <m/>
    <m/>
    <m/>
    <m/>
    <n v="79668490"/>
    <s v="否"/>
    <s v="26考季"/>
    <s v="无忧计划-啄木鸟"/>
    <s v="英语,管综"/>
    <s v="管综"/>
    <s v="国内高校-双非"/>
    <s v="是"/>
    <s v=""/>
    <m/>
    <s v="报名"/>
    <m/>
    <m/>
    <s v="SCRM-客服推送"/>
  </r>
  <r>
    <x v="0"/>
    <n v="249"/>
    <s v="北京大学部"/>
    <s v="国内大学部"/>
    <s v="杨女士"/>
    <s v="114061569"/>
    <s v="北京国内管理员"/>
    <s v="2025-06-13 14:19:50"/>
    <s v="渠道录入来源：SCRM-客服推送_x000a_商机ID：5009041935_x000a_商机编码：XSJ20250613032644_x000a_针对人群：在职_x000a_学生学校：不详_x000a_咨询课程：英语_x000a_创建人邮箱：lichunshan@xdf.cn_x000a_创建时间：2025-06-13 14:19:44_x000a_资源类型：单个资源_x000a_跟进记录：商机备注：【呼入组+57640851】本人咨询考研事宜，现居顺义，辛苦老师协助介绍，谢谢;接触点：呼入；_x000a_"/>
    <m/>
    <s v="在职"/>
    <s v="谭悦"/>
    <s v="线上运营-本地生活平台"/>
    <s v="大众点评"/>
    <s v=""/>
    <m/>
    <m/>
    <s v="杨秀"/>
    <x v="0"/>
    <s v="28324179"/>
    <s v="正常工单"/>
    <s v="2025-06-13 14:54"/>
    <s v="A（六个月内有报课意向工单）"/>
    <s v="考研无忧计划"/>
    <s v="在职"/>
    <s v="北京城市学院"/>
    <s v="经济管理学部"/>
    <s v="工商管理"/>
    <s v="杨秀"/>
    <n v="5399067"/>
    <x v="0"/>
    <s v="2025-06-15 15:20"/>
    <s v="谭悦"/>
    <s v="2025-06-15 15:20"/>
    <s v="ZZYD26002"/>
    <s v="考研在职管理类OMO大师班（26）"/>
    <s v="国内考试"/>
    <s v=""/>
    <n v="2134.6999999999998"/>
    <m/>
    <s v=""/>
    <s v="新签"/>
    <s v="已交接"/>
    <s v="BJWY22035556hl"/>
    <s v="BJWY8451183911"/>
    <s v="ZZYD260020104"/>
    <s v="2025-06-15"/>
    <m/>
    <s v="回访人：谭悦，回访时间：2025-06-13 14:54，回访内容：在职研，；|回访人：谭悦，回访时间：2025-06-15 15:20，回访内容：签约 "/>
    <m/>
    <m/>
    <m/>
    <m/>
    <n v="79668490"/>
    <s v="否"/>
    <s v="26考季"/>
    <s v="无忧计划-啄木鸟"/>
    <s v="英语,管综"/>
    <s v="管综"/>
    <s v="国内高校-双非"/>
    <s v="是"/>
    <s v=""/>
    <m/>
    <s v="报名"/>
    <m/>
    <m/>
    <s v="SCRM-客服推送"/>
  </r>
  <r>
    <x v="0"/>
    <n v="250"/>
    <s v="北京大学部"/>
    <s v="国内大学部"/>
    <s v="杨女士"/>
    <s v="114061569"/>
    <s v="北京国内管理员"/>
    <s v="2025-06-13 14:19:50"/>
    <s v="渠道录入来源：SCRM-客服推送_x000a_商机ID：5009041935_x000a_商机编码：XSJ20250613032644_x000a_针对人群：在职_x000a_学生学校：不详_x000a_咨询课程：英语_x000a_创建人邮箱：lichunshan@xdf.cn_x000a_创建时间：2025-06-13 14:19:44_x000a_资源类型：单个资源_x000a_跟进记录：商机备注：【呼入组+57640851】本人咨询考研事宜，现居顺义，辛苦老师协助介绍，谢谢;接触点：呼入；_x000a_"/>
    <m/>
    <s v="在职"/>
    <s v="谭悦"/>
    <s v="线上运营-本地生活平台"/>
    <s v="大众点评"/>
    <s v=""/>
    <m/>
    <m/>
    <s v="杨秀"/>
    <x v="0"/>
    <s v="28324179"/>
    <s v="正常工单"/>
    <s v="2025-06-13 14:54"/>
    <s v="A（六个月内有报课意向工单）"/>
    <s v="考研无忧计划"/>
    <s v="在职"/>
    <s v="北京城市学院"/>
    <s v="经济管理学部"/>
    <s v="工商管理"/>
    <s v="杨秀"/>
    <n v="5399067"/>
    <x v="0"/>
    <s v="2025-06-15 15:20"/>
    <s v="谭悦"/>
    <s v="2025-06-15 15:20"/>
    <s v="ZZYE26003"/>
    <s v="考研在职英语二全程班（26）"/>
    <s v="国内考试"/>
    <s v=""/>
    <n v="12045.6"/>
    <m/>
    <s v=""/>
    <s v="新签"/>
    <s v="已交接"/>
    <s v="BJWY22035556hl"/>
    <s v="BJWY8451183911"/>
    <s v="ZZYE260030025"/>
    <s v="2025-06-15"/>
    <m/>
    <s v="回访人：谭悦，回访时间：2025-06-13 14:54，回访内容：在职研，；|回访人：谭悦，回访时间：2025-06-15 15:20，回访内容：签约 "/>
    <m/>
    <m/>
    <m/>
    <m/>
    <n v="79668490"/>
    <s v="否"/>
    <s v="26考季"/>
    <s v="无忧计划-啄木鸟"/>
    <s v="英语,管综"/>
    <s v="管综"/>
    <s v="国内高校-双非"/>
    <s v="是"/>
    <s v=""/>
    <m/>
    <s v="报名"/>
    <m/>
    <m/>
    <s v="SCRM-客服推送"/>
  </r>
  <r>
    <x v="0"/>
    <n v="251"/>
    <s v="北京大学部"/>
    <s v="国内大学部"/>
    <s v="郭女士"/>
    <s v="101330381"/>
    <s v="郭欣宇"/>
    <s v="2025-05-05 08:03:04"/>
    <s v="13911271317，北京，一对一，在校学生"/>
    <m/>
    <s v="未知"/>
    <s v="谭悦"/>
    <s v="线上运营-投放"/>
    <s v="巨量广告"/>
    <s v=""/>
    <m/>
    <m/>
    <s v="杨显婷"/>
    <x v="0"/>
    <s v="27735461"/>
    <s v="正常工单"/>
    <s v="2025-05-05 17:27"/>
    <s v="A（六个月内有报课意向工单）"/>
    <s v="考研VIP"/>
    <s v="大二"/>
    <s v="北京物资学院"/>
    <s v="信息学院"/>
    <s v="应用统计学"/>
    <s v="杨显婷"/>
    <n v="5356198"/>
    <x v="0"/>
    <s v="2025-06-15 18:09"/>
    <s v="谭悦"/>
    <s v="2025-06-15 21:31"/>
    <s v="WYHM2604"/>
    <s v="考研数学无忧计划候鸟（26考研/基础强化）"/>
    <s v="国内考试"/>
    <s v=""/>
    <n v="13300"/>
    <m/>
    <s v=""/>
    <s v="新签"/>
    <s v="已交接"/>
    <s v="BJWY22035556hl"/>
    <s v="BJWY5113272165"/>
    <s v="WYHM26040019"/>
    <s v="2025-06-15"/>
    <m/>
    <s v="回访人：谭悦，回访时间：2025-06-08 19:25，回访内容：微信跟进中 考研学习  ；|回访人：谭悦，回访时间：2025-06-14 00:06，回访内容：1；|回访人：谭悦，回访时间：2025-06-15 15:54，回访内容：微信跟进中 ；|回访人：谭悦，回访时间：2025-06-15 18:09，回访内容：签约  "/>
    <m/>
    <m/>
    <m/>
    <m/>
    <n v="44495810"/>
    <s v="否"/>
    <s v="26考季"/>
    <s v="VIP - 伴学"/>
    <s v="英语,政治,数学,专业课150"/>
    <s v="其他"/>
    <s v="国内高校-双非"/>
    <s v="是"/>
    <s v=""/>
    <m/>
    <s v="报名"/>
    <m/>
    <s v="本地人本地大学(常规)"/>
    <s v="市场"/>
  </r>
  <r>
    <x v="0"/>
    <n v="252"/>
    <s v="北京大学部"/>
    <s v="国内大学部"/>
    <s v="郭女士"/>
    <s v="101330381"/>
    <s v="郭欣宇"/>
    <s v="2025-05-05 08:03:04"/>
    <s v="13911271317，北京，一对一，在校学生"/>
    <m/>
    <s v="未知"/>
    <s v="谭悦"/>
    <s v="线上运营-投放"/>
    <s v="巨量广告"/>
    <s v=""/>
    <m/>
    <m/>
    <s v="杨显婷"/>
    <x v="0"/>
    <s v="27735461"/>
    <s v="正常工单"/>
    <s v="2025-05-05 17:27"/>
    <s v="A（六个月内有报课意向工单）"/>
    <s v="考研VIP"/>
    <s v="大二"/>
    <s v="北京物资学院"/>
    <s v="信息学院"/>
    <s v="应用统计学"/>
    <s v="杨显婷"/>
    <n v="5356198"/>
    <x v="0"/>
    <s v="2025-06-15 18:09"/>
    <s v="谭悦"/>
    <s v="2025-06-15 21:31"/>
    <s v="WYHM26002"/>
    <s v="考研数学无忧计划候鸟（26考研/冲刺）"/>
    <s v="国内考试"/>
    <s v=""/>
    <n v="2000"/>
    <m/>
    <s v=""/>
    <s v="新签"/>
    <s v="已交接"/>
    <s v="BJWY22035556hl"/>
    <s v="BJWY5113272165"/>
    <s v="WYHM260020058"/>
    <s v="2025-06-15"/>
    <m/>
    <s v="回访人：谭悦，回访时间：2025-06-08 19:25，回访内容：微信跟进中 考研学习  ；|回访人：谭悦，回访时间：2025-06-14 00:06，回访内容：1；|回访人：谭悦，回访时间：2025-06-15 15:54，回访内容：微信跟进中 ；|回访人：谭悦，回访时间：2025-06-15 18:09，回访内容：签约  "/>
    <m/>
    <m/>
    <m/>
    <m/>
    <n v="44495810"/>
    <s v="否"/>
    <s v="26考季"/>
    <s v="VIP - 伴学"/>
    <s v="英语,政治,数学,专业课150"/>
    <s v="其他"/>
    <s v="国内高校-双非"/>
    <s v="是"/>
    <s v=""/>
    <m/>
    <s v="报名"/>
    <m/>
    <s v="本地人本地大学(常规)"/>
    <s v="市场"/>
  </r>
  <r>
    <x v="0"/>
    <n v="253"/>
    <s v="北京大学部"/>
    <s v="国内大学部"/>
    <s v="未告知"/>
    <s v="113913497"/>
    <s v="段同飞"/>
    <s v="2025-06-12 10:41:40"/>
    <s v="_x000a_"/>
    <s v=""/>
    <s v="大一"/>
    <s v="赵星火"/>
    <s v="转介绍"/>
    <s v="内部员工推荐"/>
    <s v="罗玉骏+luoyujun@xdf.cn+ID+国际教育培训事业部-国际教育北京中心-运营管理部-运营中心-国贸分中心销售一部"/>
    <m/>
    <m/>
    <s v="尹钰涵"/>
    <x v="1"/>
    <s v="28287924"/>
    <s v="正常工单"/>
    <s v="2025-06-12 10:58"/>
    <s v="A（六个月内有报课意向工单）"/>
    <s v="大学预科"/>
    <s v="高三"/>
    <s v="新大一"/>
    <s v="新大一"/>
    <s v="新大一"/>
    <s v="尹钰涵"/>
    <n v="5382524"/>
    <x v="1"/>
    <s v="2025-06-13 11:00"/>
    <s v="赵星火"/>
    <s v="2025-06-13 11:00"/>
    <s v="ZVVB26001"/>
    <s v="六级暑假集训营（24H冲刺直播）"/>
    <s v="国内考试"/>
    <s v=""/>
    <n v="16000"/>
    <m/>
    <s v="罗玉骏+luoyujun@xdf.cn+ID+国际教育培训事业部-国际教育北京中心-运营管理部-运营中心-国贸分中心销售一部"/>
    <s v="新签"/>
    <s v="已交接"/>
    <s v="WebReg"/>
    <s v="BJWY0389245633"/>
    <s v="ZVVB260010016"/>
    <s v="2025-06-13"/>
    <m/>
    <s v="回访人：赵星火，回访时间：2025-06-12 10:58，回访内容：家在廊坊，分数130+咨询六级，推荐集训学习跟进中；|回访人：赵星火，回访时间：2025-06-13 11:00，回访内容：1"/>
    <m/>
    <m/>
    <m/>
    <m/>
    <n v="79544904"/>
    <s v="否"/>
    <m/>
    <s v=""/>
    <s v=""/>
    <m/>
    <s v="国内高校-985"/>
    <s v="是"/>
    <s v=""/>
    <m/>
    <s v="报名"/>
    <m/>
    <m/>
    <s v="客服"/>
  </r>
  <r>
    <x v="0"/>
    <n v="254"/>
    <s v="北京大学部"/>
    <s v="国内大学部"/>
    <s v="盛熙俊"/>
    <s v="114129452"/>
    <s v="陈晶"/>
    <s v="2025-06-13 10:33:59"/>
    <s v="续费原因：报课时，在沟通课时中；该学生为保护期内续费，原顾问：国内大学部-赵星火(zhaoxinghuo@xdf.cn)"/>
    <m/>
    <s v="大学已毕业"/>
    <s v="赵星火"/>
    <s v="转介绍"/>
    <s v="学管续费推荐"/>
    <s v="陈晶chenjing171@xdf.cn"/>
    <m/>
    <m/>
    <s v="盛熙俊"/>
    <x v="1"/>
    <s v="28282628"/>
    <s v="续费工单"/>
    <s v="2025-06-13 11:18"/>
    <s v="A（六个月内有报课意向工单）"/>
    <s v="考研VIP"/>
    <s v="大学已毕业"/>
    <s v="北方工业大学"/>
    <s v="电气与控制工程学院"/>
    <s v="电气工程及其自动化"/>
    <s v="盛熙俊"/>
    <n v="5353974"/>
    <x v="1"/>
    <s v="2025-06-13 14:27"/>
    <s v="赵星火"/>
    <s v="2025-06-13 14:42"/>
    <s v="LP17497960241065"/>
    <s v="考研一对一伴学班（26考季）"/>
    <s v="国内考试"/>
    <s v=""/>
    <n v="30400"/>
    <m/>
    <s v="陈晶"/>
    <s v="续班"/>
    <s v="已交接"/>
    <m/>
    <s v="BJWY6629642109"/>
    <m/>
    <s v="2025-06-13"/>
    <m/>
    <s v="回访人：赵星火，回访时间：2025-06-13 11:18，回访内容：跟老师沟通商量课时中，这边继续维护学生中"/>
    <m/>
    <m/>
    <m/>
    <m/>
    <n v="39367274"/>
    <s v="否"/>
    <s v="26考季"/>
    <s v="VIP - 伴学"/>
    <s v="英语"/>
    <s v="其他"/>
    <s v="国内高校-双非"/>
    <s v="是"/>
    <s v=""/>
    <m/>
    <m/>
    <m/>
    <m/>
    <s v="学管续费推荐"/>
  </r>
  <r>
    <x v="0"/>
    <n v="255"/>
    <s v="北京大学部"/>
    <s v="国内大学部"/>
    <m/>
    <s v="86554836"/>
    <m/>
    <s v="2024-10-16 18:13:42"/>
    <s v="续费原因：续费六级一对一；该学生为保护期内续费，原顾问：国内大学部-谭悦(tanyue9@xdf.cn)"/>
    <m/>
    <s v="大三"/>
    <s v="谭悦"/>
    <s v="转介绍"/>
    <s v="学管续费推荐"/>
    <m/>
    <m/>
    <m/>
    <s v="孙洢妮"/>
    <x v="0"/>
    <s v="28289278"/>
    <s v="续费工单"/>
    <s v="2025-06-12 15:04"/>
    <s v="A（六个月内有报课意向工单）"/>
    <s v="六级"/>
    <s v="大三"/>
    <s v="首都师范大学"/>
    <s v="美术学院"/>
    <s v="美术学"/>
    <s v="孙洢妮"/>
    <n v="5353333"/>
    <x v="0"/>
    <s v="2025-06-12 15:28"/>
    <s v="谭悦"/>
    <s v="2025-06-12 15:30"/>
    <s v="LP17497133371599"/>
    <s v="26考研一对一伴学(60小时/无忧)"/>
    <s v="国内考试"/>
    <s v=""/>
    <n v="46800"/>
    <m/>
    <s v=""/>
    <s v="续班"/>
    <s v="已交接"/>
    <m/>
    <s v="BJWY3739115067"/>
    <m/>
    <s v="2025-06-12"/>
    <m/>
    <s v="回访人：谭悦，回访时间：2025-06-12 15:04，回访内容：1"/>
    <m/>
    <m/>
    <m/>
    <m/>
    <n v="51896947"/>
    <s v="否"/>
    <s v="24下考季"/>
    <s v="六级一对一"/>
    <s v=""/>
    <m/>
    <s v="国内高校-双一流(非985/211)"/>
    <s v="是"/>
    <s v=""/>
    <m/>
    <m/>
    <m/>
    <s v="本地人本地大学(常规)"/>
    <m/>
  </r>
  <r>
    <x v="0"/>
    <n v="256"/>
    <s v="北京大学部"/>
    <s v="国内大学部"/>
    <s v="无"/>
    <s v="113686286"/>
    <s v="程远"/>
    <s v="2025-06-11 14:01:43"/>
    <s v="夏雅静+xiayajing@xdf.cn+138718+培训学校-北京学校-高中一对一部-学员服务管理中心-西南区，赵星火；"/>
    <s v=""/>
    <s v="未知"/>
    <s v="赵星火"/>
    <s v="转介绍"/>
    <s v="内部员工推荐"/>
    <s v="夏雅静+xiayajing@xdf.cn+138718+培训学校-北京学校-高中一对一部-学员服务管理中心-西南区"/>
    <m/>
    <m/>
    <s v="陈俊烨"/>
    <x v="1"/>
    <s v="28264415"/>
    <s v="正常工单"/>
    <s v="2025-06-11 14:11"/>
    <s v="A（六个月内有报课意向工单）"/>
    <s v="大学预科"/>
    <s v="高三"/>
    <s v="新大一"/>
    <s v="新大一"/>
    <s v="新大一"/>
    <s v="陈俊烨"/>
    <n v="5352509"/>
    <x v="1"/>
    <s v="2025-06-11 14:58"/>
    <s v="赵星火"/>
    <s v="2025-06-11 14:58"/>
    <s v="YKS25002"/>
    <s v="六级无忧计划（新大一专属）"/>
    <s v="国内考试"/>
    <s v=""/>
    <n v="5680"/>
    <m/>
    <s v="夏雅静+xiayajing@xdf.cn+138718+培训学校-北京学校-高中一对一部-学员服务管理中心-西南区"/>
    <s v="新签"/>
    <s v="已交接"/>
    <s v="BJWY22035556hl"/>
    <s v="BJWY8937047439"/>
    <s v="YKS250020001"/>
    <s v="2025-06-11"/>
    <m/>
    <s v="回访人：赵星火，回访时间：2025-06-11 14:11，回访内容：1；|回访人：赵星火，回访时间：2025-06-11 14:58，回访内容：1"/>
    <m/>
    <m/>
    <m/>
    <m/>
    <n v="79455959"/>
    <s v="否"/>
    <m/>
    <s v=""/>
    <s v=""/>
    <m/>
    <s v="国内高校-C9"/>
    <s v="是"/>
    <s v=""/>
    <m/>
    <s v="报名"/>
    <m/>
    <m/>
    <s v="客服"/>
  </r>
  <r>
    <x v="0"/>
    <n v="257"/>
    <s v="北京大学部"/>
    <s v="国内大学部"/>
    <s v="刘柱山"/>
    <s v="104039821"/>
    <s v="张泽"/>
    <s v="2025-05-28 17:20:05"/>
    <s v="续费原因：【个性化需求】数学一对一在在读，计划扩课政治+英语 谭悦老师分单学员，辛苦老师分配；该学生为保护期外续费，原顾问部门：国内大学部"/>
    <m/>
    <s v="大三"/>
    <s v="谭悦"/>
    <s v="转介绍"/>
    <s v="学管续费推荐"/>
    <s v="张泽zhangze7@xdf.cn"/>
    <m/>
    <m/>
    <s v="刘柱山"/>
    <x v="0"/>
    <s v="28062626"/>
    <s v="续费工单"/>
    <s v="2025-05-28 20:28"/>
    <s v="A（六个月内有报课意向工单）"/>
    <s v="考研VIP"/>
    <s v="大三"/>
    <s v="中央财经大学"/>
    <s v="国际经济与贸易学院"/>
    <s v="国际商务"/>
    <s v="刘柱山"/>
    <n v="5380799"/>
    <x v="0"/>
    <s v="2025-06-10 19:05"/>
    <s v="谭悦"/>
    <s v="2025-06-10 19:07"/>
    <s v="LP17495535102837"/>
    <s v="考研一对一伴学班（定制/26考季）"/>
    <s v="国内考试"/>
    <s v=""/>
    <n v="25400"/>
    <m/>
    <s v="张泽"/>
    <s v="续班"/>
    <s v="已交接"/>
    <m/>
    <s v="BJWY3477910309"/>
    <m/>
    <s v="2025-06-10"/>
    <m/>
    <s v="回访人：谭悦，回访时间：2025-06-01 12:20，回访内容：跟进中 一对一规划  ；|回访人：谭悦，回访时间：2025-06-07 18:08，回访内容：跟进中，考研学习  和家长商量   "/>
    <m/>
    <m/>
    <m/>
    <m/>
    <n v="61985429"/>
    <s v="否"/>
    <s v="26考季"/>
    <s v="VIP - 伴学"/>
    <s v="英语,政治"/>
    <s v="其他"/>
    <s v="国内高校-中外合作办学"/>
    <s v="是"/>
    <s v=""/>
    <m/>
    <m/>
    <m/>
    <s v="本地人本地大学(常规)"/>
    <s v="学管续费推荐"/>
  </r>
  <r>
    <x v="0"/>
    <n v="258"/>
    <s v="北京大学部"/>
    <s v="国内大学部"/>
    <s v="刘柱山"/>
    <s v="104039821"/>
    <s v="张泽"/>
    <s v="2025-05-28 17:20:05"/>
    <s v="续费原因：【个性化需求】数学一对一在在读，计划扩课政治+英语 谭悦老师分单学员，辛苦老师分配；该学生为保护期外续费，原顾问部门：国内大学部"/>
    <m/>
    <s v="大三"/>
    <s v="谭悦"/>
    <s v="转介绍"/>
    <s v="学管续费推荐"/>
    <s v="张泽zhangze7@xdf.cn"/>
    <m/>
    <m/>
    <s v="刘柱山"/>
    <x v="0"/>
    <s v="28062626"/>
    <s v="续费工单"/>
    <s v="2025-05-28 20:28"/>
    <s v="A（六个月内有报课意向工单）"/>
    <s v="考研VIP"/>
    <s v="大三"/>
    <s v="中央财经大学"/>
    <s v="国际经济与贸易学院"/>
    <s v="国际商务"/>
    <s v="刘柱山"/>
    <n v="5380799"/>
    <x v="0"/>
    <s v="2025-06-10 19:05"/>
    <s v="谭悦"/>
    <s v="2025-06-10 19:07"/>
    <s v="LP17495535102838"/>
    <s v="考研初试专业课一对一伴学班（经综-26考季）"/>
    <s v="国内考试"/>
    <s v=""/>
    <n v="21600"/>
    <m/>
    <s v="张泽"/>
    <s v="续班"/>
    <s v="已交接"/>
    <m/>
    <s v="BJWY3477910309"/>
    <m/>
    <s v="2025-06-10"/>
    <m/>
    <s v="回访人：谭悦，回访时间：2025-06-01 12:20，回访内容：跟进中 一对一规划  ；|回访人：谭悦，回访时间：2025-06-07 18:08，回访内容：跟进中，考研学习  和家长商量   "/>
    <m/>
    <m/>
    <m/>
    <m/>
    <n v="61985429"/>
    <s v="否"/>
    <s v="26考季"/>
    <s v="VIP - 伴学"/>
    <s v="英语,政治"/>
    <s v="其他"/>
    <s v="国内高校-中外合作办学"/>
    <s v="是"/>
    <s v=""/>
    <m/>
    <m/>
    <m/>
    <s v="本地人本地大学(常规)"/>
    <s v="学管续费推荐"/>
  </r>
  <r>
    <x v="0"/>
    <n v="259"/>
    <s v="北京大学部"/>
    <s v="国内大学部"/>
    <s v="家长"/>
    <s v="113470958"/>
    <s v="关秋冬"/>
    <s v="2025-06-10 08:26:28"/>
    <s v="家长想去校区咨询_x000a_IP：北京_x000a_搜索词：北京新东方考研咨询"/>
    <m/>
    <s v="未知"/>
    <s v="赵星火"/>
    <s v="线上运营-投放"/>
    <s v="百度投放"/>
    <s v=""/>
    <m/>
    <m/>
    <s v="杨欣"/>
    <x v="1"/>
    <s v="28233523"/>
    <s v="续费工单"/>
    <s v="2025-06-10 11:03"/>
    <s v="A（六个月内有报课意向工单）"/>
    <s v="考研无忧计划"/>
    <s v="大二"/>
    <s v="北京信息科技大学"/>
    <s v="信息与通信工程学院"/>
    <s v="电子信息工程"/>
    <s v="杨欣"/>
    <n v="5380430"/>
    <x v="1"/>
    <s v="2025-06-10 11:49"/>
    <s v="赵星火"/>
    <s v="2025-06-10 11:49"/>
    <s v="WYFE26013"/>
    <s v="考研英语无忧计划蜂鸟（26考研/英一强化）"/>
    <s v="国内考试"/>
    <s v=""/>
    <n v="8568.2000000000007"/>
    <m/>
    <s v=""/>
    <s v="续班"/>
    <s v="已交接"/>
    <s v="BJWY22035556hl"/>
    <s v="XDF3140342751"/>
    <s v="WYFE260130003"/>
    <s v="2025-06-10"/>
    <m/>
    <s v="回访人：赵星火，回访时间：2025-06-10 11:03，回访内容：跟进学生，想要暑假学习基础和强化内容，这边校区面谈；|回访人：赵星火，回访时间：2025-06-10 11:49，回访内容：1"/>
    <m/>
    <m/>
    <m/>
    <m/>
    <n v="63745532"/>
    <s v="否"/>
    <s v="26考季"/>
    <s v="无忧计划-候鸟"/>
    <s v="英语,数学"/>
    <s v="其他"/>
    <s v="国内高校-双非"/>
    <s v="是"/>
    <s v=""/>
    <m/>
    <s v="报名"/>
    <m/>
    <s v="本地人本地大学(常规)"/>
    <s v="市场"/>
  </r>
  <r>
    <x v="0"/>
    <n v="260"/>
    <s v="北京大学部"/>
    <s v="国内大学部"/>
    <s v="家长"/>
    <s v="113470958"/>
    <s v="关秋冬"/>
    <s v="2025-06-10 08:26:28"/>
    <s v="家长想去校区咨询_x000a_IP：北京_x000a_搜索词：北京新东方考研咨询"/>
    <m/>
    <s v="未知"/>
    <s v="赵星火"/>
    <s v="线上运营-投放"/>
    <s v="百度投放"/>
    <s v=""/>
    <m/>
    <m/>
    <s v="杨欣"/>
    <x v="1"/>
    <s v="28233523"/>
    <s v="续费工单"/>
    <s v="2025-06-10 11:03"/>
    <s v="A（六个月内有报课意向工单）"/>
    <s v="考研无忧计划"/>
    <s v="大二"/>
    <s v="北京信息科技大学"/>
    <s v="信息与通信工程学院"/>
    <s v="电子信息工程"/>
    <s v="杨欣"/>
    <n v="5380430"/>
    <x v="1"/>
    <s v="2025-06-10 11:49"/>
    <s v="赵星火"/>
    <s v="2025-06-10 11:49"/>
    <s v="WYFM26008"/>
    <s v="考研数学无忧计划蜂鸟（26考研/冲刺）"/>
    <s v="国内考试"/>
    <s v=""/>
    <n v="4121.2"/>
    <m/>
    <s v=""/>
    <s v="续班"/>
    <s v="已交接"/>
    <s v="BJWY22035556hl"/>
    <s v="XDF3140342751"/>
    <s v="WYFM260080004"/>
    <s v="2025-06-10"/>
    <m/>
    <s v="回访人：赵星火，回访时间：2025-06-10 11:03，回访内容：跟进学生，想要暑假学习基础和强化内容，这边校区面谈；|回访人：赵星火，回访时间：2025-06-10 11:49，回访内容：1"/>
    <m/>
    <m/>
    <m/>
    <m/>
    <n v="63745532"/>
    <s v="否"/>
    <s v="26考季"/>
    <s v="无忧计划-候鸟"/>
    <s v="英语,数学"/>
    <s v="其他"/>
    <s v="国内高校-双非"/>
    <s v="是"/>
    <s v=""/>
    <m/>
    <s v="报名"/>
    <m/>
    <s v="本地人本地大学(常规)"/>
    <s v="市场"/>
  </r>
  <r>
    <x v="0"/>
    <n v="261"/>
    <s v="北京大学部"/>
    <s v="国内大学部"/>
    <s v="家长"/>
    <s v="113470958"/>
    <s v="关秋冬"/>
    <s v="2025-06-10 08:26:28"/>
    <s v="家长想去校区咨询_x000a_IP：北京_x000a_搜索词：北京新东方考研咨询"/>
    <m/>
    <s v="未知"/>
    <s v="赵星火"/>
    <s v="线上运营-投放"/>
    <s v="百度投放"/>
    <s v=""/>
    <m/>
    <m/>
    <s v="杨欣"/>
    <x v="1"/>
    <s v="28233523"/>
    <s v="续费工单"/>
    <s v="2025-06-10 11:03"/>
    <s v="A（六个月内有报课意向工单）"/>
    <s v="考研无忧计划"/>
    <s v="大二"/>
    <s v="北京信息科技大学"/>
    <s v="信息与通信工程学院"/>
    <s v="电子信息工程"/>
    <s v="杨欣"/>
    <n v="5380430"/>
    <x v="1"/>
    <s v="2025-06-10 11:49"/>
    <s v="赵星火"/>
    <s v="2025-06-10 11:49"/>
    <s v="WYFE26014"/>
    <s v="考研英语无忧计划蜂鸟（26考研/英一冲刺）"/>
    <s v="国内考试"/>
    <s v=""/>
    <n v="4081.7"/>
    <m/>
    <s v=""/>
    <s v="续班"/>
    <s v="已交接"/>
    <s v="BJWY22035556hl"/>
    <s v="XDF3140342751"/>
    <s v="WYFE260140003"/>
    <s v="2025-06-10"/>
    <m/>
    <s v="回访人：赵星火，回访时间：2025-06-10 11:03，回访内容：跟进学生，想要暑假学习基础和强化内容，这边校区面谈；|回访人：赵星火，回访时间：2025-06-10 11:49，回访内容：1"/>
    <m/>
    <m/>
    <m/>
    <m/>
    <n v="63745532"/>
    <s v="否"/>
    <s v="26考季"/>
    <s v="无忧计划-候鸟"/>
    <s v="英语,数学"/>
    <s v="其他"/>
    <s v="国内高校-双非"/>
    <s v="是"/>
    <s v=""/>
    <m/>
    <s v="报名"/>
    <m/>
    <s v="本地人本地大学(常规)"/>
    <s v="市场"/>
  </r>
  <r>
    <x v="0"/>
    <n v="262"/>
    <s v="北京大学部"/>
    <s v="国内大学部"/>
    <s v="家长"/>
    <s v="113470958"/>
    <s v="关秋冬"/>
    <s v="2025-06-10 08:26:28"/>
    <s v="家长想去校区咨询_x000a_IP：北京_x000a_搜索词：北京新东方考研咨询"/>
    <m/>
    <s v="未知"/>
    <s v="赵星火"/>
    <s v="线上运营-投放"/>
    <s v="百度投放"/>
    <s v=""/>
    <m/>
    <m/>
    <s v="杨欣"/>
    <x v="1"/>
    <s v="28233523"/>
    <s v="续费工单"/>
    <s v="2025-06-10 11:03"/>
    <s v="A（六个月内有报课意向工单）"/>
    <s v="考研无忧计划"/>
    <s v="大二"/>
    <s v="北京信息科技大学"/>
    <s v="信息与通信工程学院"/>
    <s v="电子信息工程"/>
    <s v="杨欣"/>
    <n v="5380430"/>
    <x v="1"/>
    <s v="2025-06-10 11:49"/>
    <s v="赵星火"/>
    <s v="2025-06-10 11:49"/>
    <s v="WYFM26007"/>
    <s v="考研数学无忧计划蜂鸟（26考研/强化）"/>
    <s v="国内考试"/>
    <s v=""/>
    <n v="8528.9"/>
    <m/>
    <s v=""/>
    <s v="续班"/>
    <s v="已交接"/>
    <s v="BJWY22035556hl"/>
    <s v="XDF3140342751"/>
    <s v="WYFM260070004"/>
    <s v="2025-06-10"/>
    <m/>
    <s v="回访人：赵星火，回访时间：2025-06-10 11:03，回访内容：跟进学生，想要暑假学习基础和强化内容，这边校区面谈；|回访人：赵星火，回访时间：2025-06-10 11:49，回访内容：1"/>
    <m/>
    <m/>
    <m/>
    <m/>
    <n v="63745532"/>
    <s v="否"/>
    <s v="26考季"/>
    <s v="无忧计划-候鸟"/>
    <s v="英语,数学"/>
    <s v="其他"/>
    <s v="国内高校-双非"/>
    <s v="是"/>
    <s v=""/>
    <m/>
    <s v="报名"/>
    <m/>
    <s v="本地人本地大学(常规)"/>
    <s v="市场"/>
  </r>
  <r>
    <x v="0"/>
    <n v="263"/>
    <s v="北京大学部"/>
    <s v="国内大学部"/>
    <s v="王郑榆"/>
    <s v="113170803"/>
    <s v="郑雪新"/>
    <s v="2025-06-08 09:19:24"/>
    <s v="续费原因：准备8月底报名建华老师的一对一，上课时间于明天10月份；该学生为保护期内续费，原顾问：国内大学部-谭悦(tanyue9@xdf.cn)"/>
    <m/>
    <s v="大三"/>
    <s v="谭悦"/>
    <s v="转介绍"/>
    <s v="学管续费推荐"/>
    <s v="郑雪新zhengxuexin@xdf.cn"/>
    <m/>
    <m/>
    <s v="王郑榆"/>
    <x v="0"/>
    <s v="28189711"/>
    <s v="续费工单"/>
    <s v="2025-06-08 11:45"/>
    <s v="A（六个月内有报课意向工单）"/>
    <s v="考研VIP"/>
    <s v="大三"/>
    <s v="大连海事大学"/>
    <s v="航海学院"/>
    <s v="航海技术"/>
    <s v="王郑榆"/>
    <n v="5350390"/>
    <x v="0"/>
    <s v="2025-06-08 19:19"/>
    <s v="谭悦"/>
    <s v="2025-06-08 19:53"/>
    <s v="LP17493815854935"/>
    <s v="26考研一对一伴学（集训）"/>
    <s v="国内考试"/>
    <s v=""/>
    <n v="33000"/>
    <m/>
    <s v="郑雪新"/>
    <s v="续班"/>
    <s v="已交接"/>
    <m/>
    <s v="BJWY9660121768"/>
    <m/>
    <s v="2025-06-08"/>
    <m/>
    <s v="回访人：谭悦，回访时间：2025-06-08 11:45，回访内容：跟进中 "/>
    <m/>
    <m/>
    <m/>
    <m/>
    <n v="60702996"/>
    <s v="否"/>
    <s v="26考季"/>
    <s v="VIP - 伴学"/>
    <s v="英语,政治,数学"/>
    <s v="其他"/>
    <s v="国内高校-211"/>
    <s v="是"/>
    <s v=""/>
    <m/>
    <m/>
    <m/>
    <s v="外地人外地大学(常规)"/>
    <s v="学管续费推荐"/>
  </r>
  <r>
    <x v="0"/>
    <n v="264"/>
    <s v="北京大学部"/>
    <s v="国内大学部"/>
    <s v="刘同学"/>
    <s v="104481111"/>
    <s v="段同飞"/>
    <s v="2025-05-29 10:43:36"/>
    <s v="内部员工推荐给谭悦老师"/>
    <s v=""/>
    <s v="大三"/>
    <s v="谭悦"/>
    <s v="转介绍"/>
    <s v="内部员工推荐"/>
    <s v="姜悦+jiangyue35@xdf.cn+ID +大学事业部-大学呼和浩特中心-考研项目部-销售管理部"/>
    <m/>
    <m/>
    <s v="刘琛瑾"/>
    <x v="0"/>
    <s v="28040514"/>
    <s v="正常工单"/>
    <s v="2025-05-29 10:46"/>
    <s v="A（六个月内有报课意向工单）"/>
    <s v="考研无忧计划"/>
    <s v="大三"/>
    <s v="内蒙古财经大学"/>
    <s v="人文学院"/>
    <s v="秘书学"/>
    <s v="刘琛瑾"/>
    <n v="5276425"/>
    <x v="0"/>
    <s v="2025-06-08 12:50"/>
    <s v="谭悦"/>
    <s v="2025-06-08 12:52"/>
    <s v="WYFE26007"/>
    <s v="考研英语无忧计划蜂鸟（26考研/英二强化）"/>
    <s v="国内考试"/>
    <s v=""/>
    <n v="4335"/>
    <m/>
    <s v="姜悦+jiangyue35@xdf.cn+ID +大学事业部-大学呼和浩特中心-考研项目部-销售管理部"/>
    <s v="新签"/>
    <s v="已交接"/>
    <s v="BJWY25030q8UPI"/>
    <s v="BJWY9345567986"/>
    <s v="WYFE260070002"/>
    <s v="2025-06-08"/>
    <m/>
    <s v="回访人：谭悦，回访时间：2025-05-31 20:31，回访内容：面谈了，和秋雨分单，跟进中 ；|回访人：谭悦，回访时间：2025-06-06 11:48，回访内容：学生只想报单科英语，已发送订单   ；|回访人：谭悦，回访时间：2025-06-08 12:50，回访内容：签约"/>
    <m/>
    <m/>
    <m/>
    <m/>
    <n v="71468788"/>
    <s v="否"/>
    <s v="26考季"/>
    <s v="无忧计划-蜂鸟"/>
    <s v="英语"/>
    <m/>
    <s v="国内高校-双非"/>
    <s v="是"/>
    <s v=""/>
    <m/>
    <s v="报名"/>
    <m/>
    <s v="外地人外地大学(常规)"/>
    <s v="客服"/>
  </r>
  <r>
    <x v="0"/>
    <n v="265"/>
    <s v="北京大学部"/>
    <s v="国内大学部"/>
    <s v="刘同学"/>
    <s v="104481111"/>
    <s v="段同飞"/>
    <s v="2025-05-29 10:43:36"/>
    <s v="内部员工推荐给谭悦老师"/>
    <s v=""/>
    <s v="大三"/>
    <s v="谭悦"/>
    <s v="转介绍"/>
    <s v="内部员工推荐"/>
    <s v="姜悦+jiangyue35@xdf.cn+ID +大学事业部-大学呼和浩特中心-考研项目部-销售管理部"/>
    <m/>
    <m/>
    <s v="刘琛瑾"/>
    <x v="0"/>
    <s v="28040514"/>
    <s v="正常工单"/>
    <s v="2025-05-29 10:46"/>
    <s v="A（六个月内有报课意向工单）"/>
    <s v="考研无忧计划"/>
    <s v="大三"/>
    <s v="内蒙古财经大学"/>
    <s v="人文学院"/>
    <s v="秘书学"/>
    <s v="刘琛瑾"/>
    <n v="5276425"/>
    <x v="0"/>
    <s v="2025-06-08 12:50"/>
    <s v="谭悦"/>
    <s v="2025-06-08 12:52"/>
    <s v="WYFE26008"/>
    <s v="考研英语无忧计划蜂鸟（26考研/英二冲刺）"/>
    <s v="国内考试"/>
    <s v=""/>
    <n v="2065"/>
    <m/>
    <s v="姜悦+jiangyue35@xdf.cn+ID +大学事业部-大学呼和浩特中心-考研项目部-销售管理部"/>
    <s v="新签"/>
    <s v="已交接"/>
    <s v="BJWY25030q8UPI"/>
    <s v="BJWY9345567986"/>
    <s v="WYFE260080002"/>
    <s v="2025-06-08"/>
    <m/>
    <s v="回访人：谭悦，回访时间：2025-05-31 20:31，回访内容：面谈了，和秋雨分单，跟进中 ；|回访人：谭悦，回访时间：2025-06-06 11:48，回访内容：学生只想报单科英语，已发送订单   ；|回访人：谭悦，回访时间：2025-06-08 12:50，回访内容：签约"/>
    <m/>
    <m/>
    <m/>
    <m/>
    <n v="71468788"/>
    <s v="否"/>
    <s v="26考季"/>
    <s v="无忧计划-蜂鸟"/>
    <s v="英语"/>
    <m/>
    <s v="国内高校-双非"/>
    <s v="是"/>
    <s v=""/>
    <m/>
    <s v="报名"/>
    <m/>
    <s v="外地人外地大学(常规)"/>
    <s v="客服"/>
  </r>
  <r>
    <x v="0"/>
    <n v="266"/>
    <s v="北京大学部"/>
    <s v="国内大学部"/>
    <s v="宋宇萱"/>
    <s v="108759482"/>
    <s v="李小龙"/>
    <s v="2025-06-04 21:42:45"/>
    <s v="续费原因：想报听力的一对一课；该学生为保护期内续费，原顾问：国内大学部-谭悦(tanyue9@xdf.cn)"/>
    <m/>
    <s v="大四"/>
    <s v="谭悦"/>
    <s v="转介绍"/>
    <s v="学管续费推荐"/>
    <s v="李小龙lixiaolong25@xdf.cn"/>
    <m/>
    <m/>
    <s v="宋宇萱"/>
    <x v="0"/>
    <s v="28193170"/>
    <s v="续费工单"/>
    <s v="2025-06-05 16:58"/>
    <s v="A（六个月内有报课意向工单）"/>
    <s v="六级"/>
    <s v="大四"/>
    <s v="北京师范大学"/>
    <s v="数学科学学院"/>
    <s v="数学与应用数学"/>
    <s v="宋宇萱"/>
    <n v="5347800"/>
    <x v="0"/>
    <s v="2025-06-05 16:59"/>
    <s v="谭悦"/>
    <s v="2025-06-05 17:11"/>
    <s v="LP17491139892786"/>
    <s v="六级一对一伴学班（定制）"/>
    <s v="国内考试"/>
    <s v=""/>
    <n v="2600"/>
    <m/>
    <s v="李小龙"/>
    <s v="续班"/>
    <s v="已交接"/>
    <m/>
    <s v="BJWY0502776921"/>
    <m/>
    <s v="2025-06-05"/>
    <m/>
    <s v="回访人：谭悦，回访时间：2025-06-05 16:58，回访内容：1"/>
    <m/>
    <m/>
    <m/>
    <m/>
    <n v="69749473"/>
    <s v="否"/>
    <s v="25下考季"/>
    <s v="六级一对一"/>
    <s v=""/>
    <m/>
    <s v="国内高校-985"/>
    <s v="是"/>
    <s v=""/>
    <m/>
    <m/>
    <m/>
    <s v="本地人本地大学(常规)"/>
    <s v="学管续费推荐"/>
  </r>
  <r>
    <x v="0"/>
    <n v="267"/>
    <s v="北京大学部"/>
    <s v="国内大学部"/>
    <s v="核桃巧巧马里奥"/>
    <s v="107414368"/>
    <s v="崔佳慧"/>
    <s v="2025-06-01 16:22:53"/>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507749_x000a_统一活动名称：北京大学事业部25年6月小红书专业号投放_x000a_渠道名称：网络营销-小红书-专业号投放_x000a_线索创建人邮箱：cuijiahui2@xdf.cn_x000a_资源跟进人邮箱：cuijiahui2@xdf.cn_x000a_备注：用户地区是【nullnull】，在【2025-06-01 16:22:52】留资，私信通线索标签为【--】，来源于【北京新东方考研一对一咨询】投放账户，意向项目是【考研/考博】，留资笔记是【】，备注【null】_x000a_"/>
    <s v="2026财年第1财月小红书"/>
    <s v="未知"/>
    <s v="谭悦"/>
    <s v="线上运营-小红书"/>
    <s v="小红书"/>
    <s v=""/>
    <m/>
    <m/>
    <s v="刘洋"/>
    <x v="0"/>
    <s v="28107257"/>
    <s v="正常工单"/>
    <s v="2025-06-01 17:16"/>
    <s v="A（六个月内有报课意向工单）"/>
    <s v="考研VIP"/>
    <s v="大四"/>
    <s v="河北大学"/>
    <s v="新闻传播学院"/>
    <s v="新闻学"/>
    <s v="刘洋"/>
    <n v="5375626"/>
    <x v="0"/>
    <s v="2025-06-04 12:09"/>
    <s v="谭悦"/>
    <s v="2025-06-04 12:33"/>
    <s v="LP17490101431374"/>
    <s v="考研一对一伴学班（定制/26考季）"/>
    <s v="国内考试"/>
    <s v=""/>
    <n v="57000"/>
    <m/>
    <s v=""/>
    <s v="续班"/>
    <s v="已交接"/>
    <m/>
    <s v="BJWY0721126408"/>
    <m/>
    <s v="2025-06-04"/>
    <m/>
    <s v="回访人：谭悦，回访时间：2025-06-01 17:16，回访内容：六月毕业，大四，二战，新传去年考的复旦，今年还想考复旦，英语一57，院校线60分，去年356。_x000a_本科是河北大学，河北人，六级474，政治70分，"/>
    <m/>
    <m/>
    <m/>
    <m/>
    <n v="23575151"/>
    <s v="否"/>
    <s v="26考季"/>
    <s v="VIP - 伴学"/>
    <s v="英语,政治"/>
    <s v="其他"/>
    <s v="国内高校-双非"/>
    <s v="是"/>
    <s v=""/>
    <m/>
    <m/>
    <m/>
    <s v="外地人外地大学(常规)"/>
    <s v="小红书"/>
  </r>
  <r>
    <x v="0"/>
    <n v="268"/>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JZ25008"/>
    <s v="26考研政治半年集训营（基础/六月）"/>
    <s v="国内考试"/>
    <s v=""/>
    <n v="6877.9"/>
    <m/>
    <s v="江亚杰"/>
    <s v="续班"/>
    <s v="已交接"/>
    <s v="BJWY25030q8UPI"/>
    <s v="BJWY4116308585"/>
    <s v="KYJZ250080060"/>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69"/>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JY25008"/>
    <s v="26考研英语半年集训营（基础/六月）"/>
    <s v="国内考试"/>
    <s v=""/>
    <n v="9743"/>
    <m/>
    <s v="江亚杰"/>
    <s v="续班"/>
    <s v="已交接"/>
    <s v="BJWY25030q8UPI"/>
    <s v="BJWY4116308585"/>
    <s v="KYJY250080060"/>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70"/>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JS25008A"/>
    <s v="26考研数学半年集训营（强冲）"/>
    <s v="国内考试"/>
    <s v=""/>
    <n v="16900"/>
    <m/>
    <s v="江亚杰"/>
    <s v="续班"/>
    <s v="已交接"/>
    <s v="BJWY25030q8UPI"/>
    <s v="BJWY4116308585"/>
    <s v="KYJS25008A0060"/>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71"/>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Z25008"/>
    <s v="26考研半年集训营（住宿费/六月）"/>
    <s v="国内考试"/>
    <s v=""/>
    <n v="28320"/>
    <m/>
    <s v="江亚杰"/>
    <s v="续班"/>
    <s v="已交接"/>
    <s v="BJWY25030q8UPI"/>
    <s v="BJWY4116308585"/>
    <s v="KYZ250080060"/>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72"/>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JZ25012A"/>
    <s v="26考研政治半年集训营（强冲）"/>
    <s v="国内考试"/>
    <s v=""/>
    <n v="9703.7999999999993"/>
    <m/>
    <s v="江亚杰"/>
    <s v="续班"/>
    <s v="已交接"/>
    <s v="BJWY25030q8UPI"/>
    <s v="BJWY4116308585"/>
    <s v="KYJZ25012A0027"/>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73"/>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JY25012A"/>
    <s v="26考研英语半年集训营（强冲/英语二）"/>
    <s v="国内考试"/>
    <s v=""/>
    <n v="15355.3"/>
    <m/>
    <s v="江亚杰"/>
    <s v="续班"/>
    <s v="已交接"/>
    <s v="BJWY25030q8UPI"/>
    <s v="BJWY4116308585"/>
    <s v="KYJY25012A0025"/>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74"/>
    <s v="北京大学部"/>
    <s v="国内大学部"/>
    <s v="曹泽恒"/>
    <s v="95433067"/>
    <s v="江亚杰"/>
    <s v="2025-02-24 11:32:34"/>
    <s v="续费原因：【VIP项目】学员初试考的很不好，之前沟通过学员，考的不好打算二战，辛苦老师跟进规划二战课程；该学生为保护期外续费，原顾问部门：国内大学部"/>
    <m/>
    <s v="大四"/>
    <s v="赵星火"/>
    <s v="转介绍"/>
    <s v="学管续费推荐"/>
    <s v="江亚杰jiangyajie2@xdf.cn"/>
    <m/>
    <m/>
    <s v="曹泽恒"/>
    <x v="1"/>
    <s v="26816085"/>
    <s v="续费工单"/>
    <s v="2025-02-24 12:27"/>
    <s v="A（六个月内有报课意向工单）"/>
    <s v="考研集训营"/>
    <s v="大四"/>
    <s v="北京工业大学"/>
    <s v="城市建设学部"/>
    <s v="土木工程"/>
    <s v="曹泽恒"/>
    <n v="5375620"/>
    <x v="1"/>
    <s v="2025-06-04 12:01"/>
    <s v="赵星火"/>
    <s v="2025-06-04 12:01"/>
    <s v="KYJS25008"/>
    <s v="26考研数学半年集训营（基础/六月）"/>
    <s v="国内考试"/>
    <s v=""/>
    <n v="6100"/>
    <m/>
    <s v="江亚杰"/>
    <s v="续班"/>
    <s v="已交接"/>
    <s v="BJWY25030q8UPI"/>
    <s v="BJWY4116308585"/>
    <s v="KYJS250080060"/>
    <s v="2025-06-04"/>
    <m/>
    <s v="回访人：赵星火，回访时间：2025-05-29 11:05，回访内容：了解集训学习中，这边看下数学基础弱给到薄弱点，了解学生需求解决问题。；|回访人：赵星火，回访时间：2025-05-30 15:34，回访内容：介绍集训或者走读内容跟进学生情况中，继续维护；|回访人：赵星火，回访时间：2025-05-31 19:02，回访内容：就计划端午节之后报名跟进时间安排看下什么时间；|回访人：赵星火，回访时间：2025-06-04 12:01，回访内容：1"/>
    <m/>
    <m/>
    <m/>
    <m/>
    <n v="33140368"/>
    <s v="否"/>
    <s v="26考季"/>
    <s v="半年集训营"/>
    <s v="英语,政治,数学"/>
    <m/>
    <s v="国内高校-211"/>
    <s v="是"/>
    <s v=""/>
    <m/>
    <s v="报名"/>
    <m/>
    <s v="本地人本地大学(常规)"/>
    <s v="学管续费推荐"/>
  </r>
  <r>
    <x v="0"/>
    <n v="275"/>
    <s v="北京大学部"/>
    <s v="国内大学部"/>
    <s v="赵祥辰"/>
    <s v="107558071"/>
    <s v="黄小妹"/>
    <s v="2025-06-03 10:09:22"/>
    <s v="续费原因：后续转集训营  赵星火老师老生；该学生为保护期内续费，原顾问：国内大学部-赵星火(zhaoxinghuo@xdf.cn)"/>
    <m/>
    <s v="大四"/>
    <s v="赵星火"/>
    <s v="转介绍"/>
    <s v="学管续费推荐"/>
    <s v="黄小妹huangxiaomei7@xdf.cn"/>
    <m/>
    <m/>
    <s v="赵祥辰"/>
    <x v="1"/>
    <s v="28109503"/>
    <s v="续费工单"/>
    <s v="2025-06-03 10:57"/>
    <s v="A（六个月内有报课意向工单）"/>
    <s v="考研集训营"/>
    <s v="大四"/>
    <s v="北京林业大学"/>
    <s v="环境科学与工程学院"/>
    <s v="环境工程"/>
    <s v="赵祥辰"/>
    <n v="5375024"/>
    <x v="1"/>
    <s v="2025-06-03 13:56"/>
    <s v="赵星火"/>
    <s v="2025-06-03 13:56"/>
    <s v="KYJZ25013A"/>
    <s v="26考研政治半年集训营（强冲）"/>
    <s v="国内考试"/>
    <s v=""/>
    <n v="9703.7000000000007"/>
    <s v="扩科续费"/>
    <s v="黄小妹"/>
    <s v="续班"/>
    <s v="已交接"/>
    <s v="BJWY22035556hl"/>
    <s v="BJWY8097075006"/>
    <s v="KYJZ25013A0032"/>
    <s v="2025-06-03"/>
    <m/>
    <s v="回访人：赵星火，回访时间：2025-06-03 10:57，回访内容：已经储值等待团报跟进中；|回访人：赵星火，回访时间：2025-06-03 13:56，回访内容：1"/>
    <m/>
    <m/>
    <m/>
    <m/>
    <n v="51497172"/>
    <s v="否"/>
    <s v="26考季"/>
    <s v="半年集训营"/>
    <s v="英语,政治"/>
    <s v="其他"/>
    <s v="国内高校-211"/>
    <s v="是"/>
    <s v=""/>
    <m/>
    <s v="报名"/>
    <m/>
    <s v="外地人本地大学(常规)"/>
    <s v="学管续费推荐"/>
  </r>
  <r>
    <x v="0"/>
    <n v="276"/>
    <s v="北京大学部"/>
    <s v="国内大学部"/>
    <s v="赵祥辰"/>
    <s v="107558071"/>
    <s v="黄小妹"/>
    <s v="2025-06-03 10:09:22"/>
    <s v="续费原因：后续转集训营  赵星火老师老生；该学生为保护期内续费，原顾问：国内大学部-赵星火(zhaoxinghuo@xdf.cn)"/>
    <m/>
    <s v="大四"/>
    <s v="赵星火"/>
    <s v="转介绍"/>
    <s v="学管续费推荐"/>
    <s v="黄小妹huangxiaomei7@xdf.cn"/>
    <m/>
    <m/>
    <s v="赵祥辰"/>
    <x v="1"/>
    <s v="28109503"/>
    <s v="续费工单"/>
    <s v="2025-06-03 10:57"/>
    <s v="A（六个月内有报课意向工单）"/>
    <s v="考研集训营"/>
    <s v="大四"/>
    <s v="北京林业大学"/>
    <s v="环境科学与工程学院"/>
    <s v="环境工程"/>
    <s v="赵祥辰"/>
    <n v="5375024"/>
    <x v="1"/>
    <s v="2025-06-03 13:56"/>
    <s v="赵星火"/>
    <s v="2025-06-03 13:56"/>
    <s v="KYJY25013A"/>
    <s v="26考研英语半年集训营（强冲/英语二）"/>
    <s v="国内考试"/>
    <s v=""/>
    <n v="15355.3"/>
    <s v="扩科续费"/>
    <s v="黄小妹"/>
    <s v="续班"/>
    <s v="已交接"/>
    <s v="BJWY22035556hl"/>
    <s v="BJWY8097075006"/>
    <s v="KYJY25013A0040"/>
    <s v="2025-06-03"/>
    <m/>
    <s v="回访人：赵星火，回访时间：2025-06-03 10:57，回访内容：已经储值等待团报跟进中；|回访人：赵星火，回访时间：2025-06-03 13:56，回访内容：1"/>
    <m/>
    <m/>
    <m/>
    <m/>
    <n v="51497172"/>
    <s v="否"/>
    <s v="26考季"/>
    <s v="半年集训营"/>
    <s v="英语,政治"/>
    <s v="其他"/>
    <s v="国内高校-211"/>
    <s v="是"/>
    <s v=""/>
    <m/>
    <s v="报名"/>
    <m/>
    <s v="外地人本地大学(常规)"/>
    <s v="学管续费推荐"/>
  </r>
  <r>
    <x v="0"/>
    <n v="277"/>
    <s v="北京大学部"/>
    <s v="国内大学部"/>
    <s v="赵祥辰"/>
    <s v="107558071"/>
    <s v="黄小妹"/>
    <s v="2025-06-03 10:09:22"/>
    <s v="续费原因：后续转集训营  赵星火老师老生；该学生为保护期内续费，原顾问：国内大学部-赵星火(zhaoxinghuo@xdf.cn)"/>
    <m/>
    <s v="大四"/>
    <s v="赵星火"/>
    <s v="转介绍"/>
    <s v="学管续费推荐"/>
    <s v="黄小妹huangxiaomei7@xdf.cn"/>
    <m/>
    <m/>
    <s v="赵祥辰"/>
    <x v="1"/>
    <s v="28109503"/>
    <s v="续费工单"/>
    <s v="2025-06-03 10:57"/>
    <s v="A（六个月内有报课意向工单）"/>
    <s v="考研集训营"/>
    <s v="大四"/>
    <s v="北京林业大学"/>
    <s v="环境科学与工程学院"/>
    <s v="环境工程"/>
    <s v="赵祥辰"/>
    <n v="5375024"/>
    <x v="1"/>
    <s v="2025-06-03 13:56"/>
    <s v="赵星火"/>
    <s v="2025-06-03 13:56"/>
    <s v="KYJZ25010"/>
    <s v="26考研政治半年集训营（基础/六月）"/>
    <s v="国内考试"/>
    <s v=""/>
    <n v="6378"/>
    <s v="扩科续费"/>
    <s v="黄小妹"/>
    <s v="续班"/>
    <s v="已交接"/>
    <s v="BJWY22035556hl"/>
    <s v="BJWY8097075006"/>
    <s v="KYJZ250100042"/>
    <s v="2025-06-03"/>
    <m/>
    <s v="回访人：赵星火，回访时间：2025-06-03 10:57，回访内容：已经储值等待团报跟进中；|回访人：赵星火，回访时间：2025-06-03 13:56，回访内容：1"/>
    <m/>
    <m/>
    <m/>
    <m/>
    <n v="51497172"/>
    <s v="否"/>
    <s v="26考季"/>
    <s v="半年集训营"/>
    <s v="英语,政治"/>
    <s v="其他"/>
    <s v="国内高校-211"/>
    <s v="是"/>
    <s v=""/>
    <m/>
    <s v="报名"/>
    <m/>
    <s v="外地人本地大学(常规)"/>
    <s v="学管续费推荐"/>
  </r>
  <r>
    <x v="0"/>
    <n v="278"/>
    <s v="北京大学部"/>
    <s v="国内大学部"/>
    <s v="赵祥辰"/>
    <s v="107558071"/>
    <s v="黄小妹"/>
    <s v="2025-06-03 10:09:22"/>
    <s v="续费原因：后续转集训营  赵星火老师老生；该学生为保护期内续费，原顾问：国内大学部-赵星火(zhaoxinghuo@xdf.cn)"/>
    <m/>
    <s v="大四"/>
    <s v="赵星火"/>
    <s v="转介绍"/>
    <s v="学管续费推荐"/>
    <s v="黄小妹huangxiaomei7@xdf.cn"/>
    <m/>
    <m/>
    <s v="赵祥辰"/>
    <x v="1"/>
    <s v="28109503"/>
    <s v="续费工单"/>
    <s v="2025-06-03 10:57"/>
    <s v="A（六个月内有报课意向工单）"/>
    <s v="考研集训营"/>
    <s v="大四"/>
    <s v="北京林业大学"/>
    <s v="环境科学与工程学院"/>
    <s v="环境工程"/>
    <s v="赵祥辰"/>
    <n v="5375024"/>
    <x v="1"/>
    <s v="2025-06-03 13:56"/>
    <s v="赵星火"/>
    <s v="2025-06-03 13:56"/>
    <s v="KYZ25009"/>
    <s v="26考研半年集训营（住宿费/六月）"/>
    <s v="国内考试"/>
    <s v=""/>
    <n v="28320"/>
    <s v="扩科续费"/>
    <s v="黄小妹"/>
    <s v="续班"/>
    <s v="已交接"/>
    <s v="BJWY22035556hl"/>
    <s v="BJWY8097075006"/>
    <s v="KYZ250090048"/>
    <s v="2025-06-03"/>
    <m/>
    <s v="回访人：赵星火，回访时间：2025-06-03 10:57，回访内容：已经储值等待团报跟进中；|回访人：赵星火，回访时间：2025-06-03 13:56，回访内容：1"/>
    <m/>
    <m/>
    <m/>
    <m/>
    <n v="51497172"/>
    <s v="否"/>
    <s v="26考季"/>
    <s v="半年集训营"/>
    <s v="英语,政治"/>
    <s v="其他"/>
    <s v="国内高校-211"/>
    <s v="是"/>
    <s v=""/>
    <m/>
    <s v="报名"/>
    <m/>
    <s v="外地人本地大学(常规)"/>
    <s v="学管续费推荐"/>
  </r>
  <r>
    <x v="0"/>
    <n v="279"/>
    <s v="北京大学部"/>
    <s v="国内大学部"/>
    <s v="赵祥辰"/>
    <s v="107558071"/>
    <s v="黄小妹"/>
    <s v="2025-06-03 10:09:22"/>
    <s v="续费原因：后续转集训营  赵星火老师老生；该学生为保护期内续费，原顾问：国内大学部-赵星火(zhaoxinghuo@xdf.cn)"/>
    <m/>
    <s v="大四"/>
    <s v="赵星火"/>
    <s v="转介绍"/>
    <s v="学管续费推荐"/>
    <s v="黄小妹huangxiaomei7@xdf.cn"/>
    <m/>
    <m/>
    <s v="赵祥辰"/>
    <x v="1"/>
    <s v="28109503"/>
    <s v="续费工单"/>
    <s v="2025-06-03 10:57"/>
    <s v="A（六个月内有报课意向工单）"/>
    <s v="考研集训营"/>
    <s v="大四"/>
    <s v="北京林业大学"/>
    <s v="环境科学与工程学院"/>
    <s v="环境工程"/>
    <s v="赵祥辰"/>
    <n v="5375024"/>
    <x v="1"/>
    <s v="2025-06-03 13:56"/>
    <s v="赵星火"/>
    <s v="2025-06-03 13:56"/>
    <s v="KYJY25010"/>
    <s v="26考研英语半年集训营（基础/六月）"/>
    <s v="国内考试"/>
    <s v=""/>
    <n v="9743"/>
    <s v="扩科续费"/>
    <s v="黄小妹"/>
    <s v="续班"/>
    <s v="已交接"/>
    <s v="BJWY22035556hl"/>
    <s v="BJWY8097075006"/>
    <s v="KYJY250100048"/>
    <s v="2025-06-03"/>
    <m/>
    <s v="回访人：赵星火，回访时间：2025-06-03 10:57，回访内容：已经储值等待团报跟进中；|回访人：赵星火，回访时间：2025-06-03 13:56，回访内容：1"/>
    <m/>
    <m/>
    <m/>
    <m/>
    <n v="51497172"/>
    <s v="否"/>
    <s v="26考季"/>
    <s v="半年集训营"/>
    <s v="英语,政治"/>
    <s v="其他"/>
    <s v="国内高校-211"/>
    <s v="是"/>
    <s v=""/>
    <m/>
    <s v="报名"/>
    <m/>
    <s v="外地人本地大学(常规)"/>
    <s v="学管续费推荐"/>
  </r>
  <r>
    <x v="0"/>
    <n v="280"/>
    <s v="北京大学部"/>
    <s v="国内大学部"/>
    <s v="乔怡娜"/>
    <s v="107433193"/>
    <s v="张泽"/>
    <s v="2025-06-02 10:40:46"/>
    <s v="续费原因：投诉学员要求换顾问沟通 转交给谭悦 辛苦老师分配；该学生为保护期内续费，原顾问：国内大学部-赵星火(zhaoxinghuo@xdf.cn)"/>
    <m/>
    <s v="大四"/>
    <s v="谭悦"/>
    <s v="转介绍"/>
    <s v="学管续费推荐"/>
    <s v="张泽zhangze7@xdf.cn"/>
    <m/>
    <m/>
    <s v="乔怡娜"/>
    <x v="0"/>
    <s v="28089554"/>
    <s v="续费工单"/>
    <s v="2025-06-02 11:14"/>
    <s v="A（六个月内有报课意向工单）"/>
    <s v="考研无忧计划"/>
    <s v="大四"/>
    <s v="河北传媒学院"/>
    <s v="影视艺术学院"/>
    <s v="广播电视编导"/>
    <s v="乔怡娜"/>
    <n v="5345220"/>
    <x v="0"/>
    <s v="2025-06-02 11:14"/>
    <s v="谭悦"/>
    <s v="2025-06-02 11:14"/>
    <s v="WYFP26004"/>
    <s v="考研政治无忧计划蜂鸟（26考研/冲刺）"/>
    <s v="国内考试"/>
    <s v=""/>
    <n v="1640"/>
    <s v="扩科续费"/>
    <s v="张泽"/>
    <s v="续班"/>
    <s v="已交接"/>
    <s v="BJWY2011wXCx1W"/>
    <s v="BJWY3184144484"/>
    <s v="WYFP260040002"/>
    <s v="2025-06-02"/>
    <m/>
    <s v="回访人：谭悦，回访时间：2025-06-02 11:14，回访内容：签约，蜂鸟英政  "/>
    <m/>
    <m/>
    <m/>
    <m/>
    <n v="48767920"/>
    <s v="否"/>
    <s v="26考季"/>
    <s v="无忧计划-蜂鸟"/>
    <s v="英语,政治"/>
    <s v="其他"/>
    <s v="国内高校-双非"/>
    <s v="否"/>
    <s v=""/>
    <m/>
    <s v="报名"/>
    <m/>
    <s v="外地人外地大学(常规)"/>
    <s v="学管续费推荐"/>
  </r>
  <r>
    <x v="0"/>
    <n v="281"/>
    <s v="北京大学部"/>
    <s v="国内大学部"/>
    <s v="乔怡娜"/>
    <s v="107433193"/>
    <s v="张泽"/>
    <s v="2025-06-02 10:40:46"/>
    <s v="续费原因：投诉学员要求换顾问沟通 转交给谭悦 辛苦老师分配；该学生为保护期内续费，原顾问：国内大学部-赵星火(zhaoxinghuo@xdf.cn)"/>
    <m/>
    <s v="大四"/>
    <s v="谭悦"/>
    <s v="转介绍"/>
    <s v="学管续费推荐"/>
    <s v="张泽zhangze7@xdf.cn"/>
    <m/>
    <m/>
    <s v="乔怡娜"/>
    <x v="0"/>
    <s v="28089554"/>
    <s v="续费工单"/>
    <s v="2025-06-02 11:14"/>
    <s v="A（六个月内有报课意向工单）"/>
    <s v="考研无忧计划"/>
    <s v="大四"/>
    <s v="河北传媒学院"/>
    <s v="影视艺术学院"/>
    <s v="广播电视编导"/>
    <s v="乔怡娜"/>
    <n v="5345220"/>
    <x v="0"/>
    <s v="2025-06-02 11:14"/>
    <s v="谭悦"/>
    <s v="2025-06-02 11:14"/>
    <s v="WYFP26003"/>
    <s v="考研政治无忧计划蜂鸟（26考研/强化）"/>
    <s v="国内考试"/>
    <s v=""/>
    <n v="360"/>
    <s v="扩科续费"/>
    <s v="张泽"/>
    <s v="续班"/>
    <s v="已交接"/>
    <s v="BJWY2011wXCx1W"/>
    <s v="BJWY3184144484"/>
    <s v="WYFP260030002"/>
    <s v="2025-06-02"/>
    <m/>
    <s v="回访人：谭悦，回访时间：2025-06-02 11:14，回访内容：签约，蜂鸟英政  "/>
    <m/>
    <m/>
    <m/>
    <m/>
    <n v="48767920"/>
    <s v="否"/>
    <s v="26考季"/>
    <s v="无忧计划-蜂鸟"/>
    <s v="英语,政治"/>
    <s v="其他"/>
    <s v="国内高校-双非"/>
    <s v="否"/>
    <s v=""/>
    <m/>
    <s v="报名"/>
    <m/>
    <s v="外地人外地大学(常规)"/>
    <s v="学管续费推荐"/>
  </r>
  <r>
    <x v="0"/>
    <n v="282"/>
    <s v="北京大学部"/>
    <s v="国内大学部"/>
    <s v="乔怡娜"/>
    <s v="107433193"/>
    <s v="张泽"/>
    <s v="2025-06-02 10:40:46"/>
    <s v="续费原因：投诉学员要求换顾问沟通 转交给谭悦 辛苦老师分配；该学生为保护期内续费，原顾问：国内大学部-赵星火(zhaoxinghuo@xdf.cn)"/>
    <m/>
    <s v="大四"/>
    <s v="谭悦"/>
    <s v="转介绍"/>
    <s v="学管续费推荐"/>
    <s v="张泽zhangze7@xdf.cn"/>
    <m/>
    <m/>
    <s v="乔怡娜"/>
    <x v="0"/>
    <s v="28089554"/>
    <s v="续费工单"/>
    <s v="2025-06-02 11:14"/>
    <s v="A（六个月内有报课意向工单）"/>
    <s v="考研无忧计划"/>
    <s v="大四"/>
    <s v="河北传媒学院"/>
    <s v="影视艺术学院"/>
    <s v="广播电视编导"/>
    <s v="乔怡娜"/>
    <n v="5345220"/>
    <x v="0"/>
    <s v="2025-06-02 11:14"/>
    <s v="谭悦"/>
    <s v="2025-06-02 11:14"/>
    <s v="WYFE26008"/>
    <s v="考研英语无忧计划蜂鸟（26考研/英二冲刺）"/>
    <s v="国内考试"/>
    <s v=""/>
    <n v="130"/>
    <s v="扩科续费"/>
    <s v="张泽"/>
    <s v="续班"/>
    <s v="已交接"/>
    <s v="BJWY2011wXCx1W"/>
    <s v="BJWY3184144484"/>
    <s v="WYFE260080001"/>
    <s v="2025-06-02"/>
    <m/>
    <s v="回访人：谭悦，回访时间：2025-06-02 11:14，回访内容：签约，蜂鸟英政  "/>
    <m/>
    <m/>
    <m/>
    <m/>
    <n v="48767920"/>
    <s v="否"/>
    <s v="26考季"/>
    <s v="无忧计划-蜂鸟"/>
    <s v="英语,政治"/>
    <s v="其他"/>
    <s v="国内高校-双非"/>
    <s v="否"/>
    <s v=""/>
    <m/>
    <s v="报名"/>
    <m/>
    <s v="外地人外地大学(常规)"/>
    <s v="学管续费推荐"/>
  </r>
  <r>
    <x v="0"/>
    <n v="283"/>
    <s v="北京大学部"/>
    <s v="国内大学部"/>
    <s v="乔怡娜"/>
    <s v="107433193"/>
    <s v="张泽"/>
    <s v="2025-06-02 10:40:46"/>
    <s v="续费原因：投诉学员要求换顾问沟通 转交给谭悦 辛苦老师分配；该学生为保护期内续费，原顾问：国内大学部-赵星火(zhaoxinghuo@xdf.cn)"/>
    <m/>
    <s v="大四"/>
    <s v="谭悦"/>
    <s v="转介绍"/>
    <s v="学管续费推荐"/>
    <s v="张泽zhangze7@xdf.cn"/>
    <m/>
    <m/>
    <s v="乔怡娜"/>
    <x v="0"/>
    <s v="28089554"/>
    <s v="续费工单"/>
    <s v="2025-06-02 11:14"/>
    <s v="A（六个月内有报课意向工单）"/>
    <s v="考研无忧计划"/>
    <s v="大四"/>
    <s v="河北传媒学院"/>
    <s v="影视艺术学院"/>
    <s v="广播电视编导"/>
    <s v="乔怡娜"/>
    <n v="5345220"/>
    <x v="0"/>
    <s v="2025-06-02 11:14"/>
    <s v="谭悦"/>
    <s v="2025-06-02 11:14"/>
    <s v="WYFE26007"/>
    <s v="考研英语无忧计划蜂鸟（26考研/英二强化）"/>
    <s v="国内考试"/>
    <s v=""/>
    <n v="1870"/>
    <s v="扩科续费"/>
    <s v="张泽"/>
    <s v="续班"/>
    <s v="已交接"/>
    <s v="BJWY2011wXCx1W"/>
    <s v="BJWY3184144484"/>
    <s v="WYFE260070001"/>
    <s v="2025-06-02"/>
    <m/>
    <s v="回访人：谭悦，回访时间：2025-06-02 11:14，回访内容：签约，蜂鸟英政  "/>
    <m/>
    <m/>
    <m/>
    <m/>
    <n v="48767920"/>
    <s v="否"/>
    <s v="26考季"/>
    <s v="无忧计划-蜂鸟"/>
    <s v="英语,政治"/>
    <s v="其他"/>
    <s v="国内高校-双非"/>
    <s v="否"/>
    <s v=""/>
    <m/>
    <s v="报名"/>
    <m/>
    <s v="外地人外地大学(常规)"/>
    <s v="学管续费推荐"/>
  </r>
  <r>
    <x v="0"/>
    <n v="284"/>
    <s v="北京大学部"/>
    <s v="国内大学部"/>
    <s v="同学"/>
    <s v="107376534"/>
    <s v="段同飞"/>
    <s v="2025-05-31 18:02:04"/>
    <s v="知春路前台直访"/>
    <s v=""/>
    <s v="未知"/>
    <s v="赵星火"/>
    <s v="直访"/>
    <s v="直访"/>
    <s v=""/>
    <m/>
    <m/>
    <s v="李千一"/>
    <x v="1"/>
    <s v="28084432"/>
    <s v="正常工单"/>
    <s v="2025-05-31 18:56"/>
    <s v="A（六个月内有报课意向工单）"/>
    <s v="考研无忧计划"/>
    <s v="大三"/>
    <s v="北京工商大学"/>
    <s v="经济学院"/>
    <s v="金融学"/>
    <s v="李千一"/>
    <n v="5274013"/>
    <x v="1"/>
    <s v="2025-06-01 13:18"/>
    <s v="赵星火"/>
    <s v="2025-06-01 13:19"/>
    <s v="WYHE26006"/>
    <s v="考研英语无忧计划候鸟（26考研/英二冲刺）"/>
    <s v="国内考试"/>
    <s v=""/>
    <n v="1569.6"/>
    <m/>
    <s v=""/>
    <s v="新签"/>
    <s v="已交接"/>
    <s v="BJWY2306SVFgG7"/>
    <s v="BJWY6537042214"/>
    <s v="WYHE260060026"/>
    <s v="2025-06-01"/>
    <m/>
    <s v="回访人：赵星火，回访时间：2025-05-31 18:56，回访内容：还没开始学习，秋季还要上课，关注暑假候鸟跟进学生情况中。；|回访人：赵星火，回访时间：2025-06-01 13:18，回访内容：1"/>
    <m/>
    <m/>
    <m/>
    <m/>
    <n v="74057181"/>
    <s v="否"/>
    <s v="26考季"/>
    <s v="无忧计划-候鸟"/>
    <s v="政治,英语"/>
    <s v="其他"/>
    <s v="国内高校-985"/>
    <s v="是"/>
    <s v=""/>
    <m/>
    <s v="报名"/>
    <m/>
    <s v="本地人本地大学(常规)"/>
    <s v="客服"/>
  </r>
  <r>
    <x v="0"/>
    <n v="285"/>
    <s v="北京大学部"/>
    <s v="国内大学部"/>
    <s v="同学"/>
    <s v="107376534"/>
    <s v="段同飞"/>
    <s v="2025-05-31 18:02:04"/>
    <s v="知春路前台直访"/>
    <s v=""/>
    <s v="未知"/>
    <s v="赵星火"/>
    <s v="直访"/>
    <s v="直访"/>
    <s v=""/>
    <m/>
    <m/>
    <s v="李千一"/>
    <x v="1"/>
    <s v="28084432"/>
    <s v="正常工单"/>
    <s v="2025-05-31 18:56"/>
    <s v="A（六个月内有报课意向工单）"/>
    <s v="考研无忧计划"/>
    <s v="大三"/>
    <s v="北京工商大学"/>
    <s v="经济学院"/>
    <s v="金融学"/>
    <s v="李千一"/>
    <n v="5274013"/>
    <x v="1"/>
    <s v="2025-06-01 13:18"/>
    <s v="赵星火"/>
    <s v="2025-06-01 13:19"/>
    <s v="WYHP2605"/>
    <s v="考研政治无忧计划候鸟（26考研/基础强化）"/>
    <s v="国内考试"/>
    <s v=""/>
    <n v="10830.4"/>
    <m/>
    <s v=""/>
    <s v="新签"/>
    <s v="已交接"/>
    <s v="BJWY2306SVFgG7"/>
    <s v="BJWY6537042214"/>
    <s v="WYHP26050025"/>
    <s v="2025-06-01"/>
    <m/>
    <s v="回访人：赵星火，回访时间：2025-05-31 18:56，回访内容：还没开始学习，秋季还要上课，关注暑假候鸟跟进学生情况中。；|回访人：赵星火，回访时间：2025-06-01 13:18，回访内容：1"/>
    <m/>
    <m/>
    <m/>
    <m/>
    <n v="74057181"/>
    <s v="否"/>
    <s v="26考季"/>
    <s v="无忧计划-候鸟"/>
    <s v="政治,英语"/>
    <s v="其他"/>
    <s v="国内高校-985"/>
    <s v="是"/>
    <s v=""/>
    <m/>
    <s v="报名"/>
    <m/>
    <s v="本地人本地大学(常规)"/>
    <s v="客服"/>
  </r>
  <r>
    <x v="0"/>
    <n v="286"/>
    <s v="北京大学部"/>
    <s v="国内大学部"/>
    <s v="同学"/>
    <s v="107376534"/>
    <s v="段同飞"/>
    <s v="2025-05-31 18:02:04"/>
    <s v="知春路前台直访"/>
    <s v=""/>
    <s v="未知"/>
    <s v="赵星火"/>
    <s v="直访"/>
    <s v="直访"/>
    <s v=""/>
    <m/>
    <m/>
    <s v="李千一"/>
    <x v="1"/>
    <s v="28084432"/>
    <s v="正常工单"/>
    <s v="2025-05-31 18:56"/>
    <s v="A（六个月内有报课意向工单）"/>
    <s v="考研无忧计划"/>
    <s v="大三"/>
    <s v="北京工商大学"/>
    <s v="经济学院"/>
    <s v="金融学"/>
    <s v="李千一"/>
    <n v="5274013"/>
    <x v="1"/>
    <s v="2025-06-01 13:18"/>
    <s v="赵星火"/>
    <s v="2025-06-01 13:19"/>
    <s v="WYHP26002"/>
    <s v="考研政治无忧计划候鸟（26考研/冲刺）"/>
    <s v="国内考试"/>
    <s v=""/>
    <n v="1569.6"/>
    <m/>
    <s v=""/>
    <s v="新签"/>
    <s v="已交接"/>
    <s v="BJWY2306SVFgG7"/>
    <s v="BJWY6537042214"/>
    <s v="WYHP260020073"/>
    <s v="2025-06-01"/>
    <m/>
    <s v="回访人：赵星火，回访时间：2025-05-31 18:56，回访内容：还没开始学习，秋季还要上课，关注暑假候鸟跟进学生情况中。；|回访人：赵星火，回访时间：2025-06-01 13:18，回访内容：1"/>
    <m/>
    <m/>
    <m/>
    <m/>
    <n v="74057181"/>
    <s v="否"/>
    <s v="26考季"/>
    <s v="无忧计划-候鸟"/>
    <s v="政治,英语"/>
    <s v="其他"/>
    <s v="国内高校-985"/>
    <s v="是"/>
    <s v=""/>
    <m/>
    <s v="报名"/>
    <m/>
    <s v="本地人本地大学(常规)"/>
    <s v="客服"/>
  </r>
  <r>
    <x v="0"/>
    <n v="287"/>
    <s v="北京大学部"/>
    <s v="国内大学部"/>
    <s v="同学"/>
    <s v="107376534"/>
    <s v="段同飞"/>
    <s v="2025-05-31 18:02:04"/>
    <s v="知春路前台直访"/>
    <s v=""/>
    <s v="未知"/>
    <s v="赵星火"/>
    <s v="直访"/>
    <s v="直访"/>
    <s v=""/>
    <m/>
    <m/>
    <s v="李千一"/>
    <x v="1"/>
    <s v="28084432"/>
    <s v="正常工单"/>
    <s v="2025-05-31 18:56"/>
    <s v="A（六个月内有报课意向工单）"/>
    <s v="考研无忧计划"/>
    <s v="大三"/>
    <s v="北京工商大学"/>
    <s v="经济学院"/>
    <s v="金融学"/>
    <s v="李千一"/>
    <n v="5274013"/>
    <x v="1"/>
    <s v="2025-06-01 13:18"/>
    <s v="赵星火"/>
    <s v="2025-06-01 13:19"/>
    <s v="WYHE26004"/>
    <s v="考研英语无忧计划候鸟（26考研/基础强化）"/>
    <s v="国内考试"/>
    <s v=""/>
    <n v="10330.4"/>
    <m/>
    <s v=""/>
    <s v="新签"/>
    <s v="已交接"/>
    <s v="BJWY2306SVFgG7"/>
    <s v="BJWY6537042214"/>
    <s v="WYHE260040027"/>
    <s v="2025-06-01"/>
    <m/>
    <s v="回访人：赵星火，回访时间：2025-05-31 18:56，回访内容：还没开始学习，秋季还要上课，关注暑假候鸟跟进学生情况中。；|回访人：赵星火，回访时间：2025-06-01 13:18，回访内容：1"/>
    <m/>
    <m/>
    <m/>
    <m/>
    <n v="74057181"/>
    <s v="否"/>
    <s v="26考季"/>
    <s v="无忧计划-候鸟"/>
    <s v="政治,英语"/>
    <s v="其他"/>
    <s v="国内高校-985"/>
    <s v="是"/>
    <s v=""/>
    <m/>
    <s v="报名"/>
    <m/>
    <s v="本地人本地大学(常规)"/>
    <s v="客服"/>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BE280-38ED-884A-A7A7-8150982EBEEB}" name="数据透视表9" cacheId="145" applyNumberFormats="0" applyBorderFormats="0" applyFontFormats="0" applyPatternFormats="0" applyAlignmentFormats="0" applyWidthHeightFormats="1" dataCaption="值" updatedVersion="8" minRefreshableVersion="3" useAutoFormatting="1" itemPrintTitles="1" createdVersion="8" indent="0" compact="0" compactData="0" multipleFieldFilters="0">
  <location ref="B2:D9" firstHeaderRow="1" firstDataRow="1" firstDataCol="2"/>
  <pivotFields count="67">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2"/>
        <item x="4"/>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0"/>
    <field x="0"/>
  </rowFields>
  <rowItems count="7">
    <i>
      <x/>
      <x/>
    </i>
    <i r="1">
      <x v="1"/>
    </i>
    <i t="default">
      <x/>
    </i>
    <i>
      <x v="1"/>
      <x/>
    </i>
    <i r="1">
      <x v="1"/>
    </i>
    <i t="default">
      <x v="1"/>
    </i>
    <i t="grand">
      <x/>
    </i>
  </rowItems>
  <colItems count="1">
    <i/>
  </colItems>
  <dataFields count="1">
    <dataField name="求和项:学费"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9D94-3B48-104D-A073-45B9CF3BE268}">
  <dimension ref="B2:L20"/>
  <sheetViews>
    <sheetView showGridLines="0" zoomScale="125" workbookViewId="0">
      <selection activeCell="I8" sqref="I8"/>
    </sheetView>
  </sheetViews>
  <sheetFormatPr baseColWidth="10" defaultRowHeight="15"/>
  <cols>
    <col min="3" max="9" width="18.5" customWidth="1"/>
  </cols>
  <sheetData>
    <row r="2" spans="2:12" ht="21">
      <c r="B2" s="53" t="s">
        <v>3276</v>
      </c>
      <c r="C2" s="53"/>
      <c r="D2" s="53"/>
      <c r="E2" s="53"/>
      <c r="F2" s="53"/>
      <c r="G2" s="53"/>
      <c r="H2" s="53"/>
      <c r="I2" s="53"/>
    </row>
    <row r="3" spans="2:12" ht="17">
      <c r="B3" s="26" t="s">
        <v>1310</v>
      </c>
      <c r="C3" s="26" t="s">
        <v>3277</v>
      </c>
      <c r="D3" s="26" t="s">
        <v>3278</v>
      </c>
      <c r="E3" s="26" t="s">
        <v>3279</v>
      </c>
      <c r="F3" s="26" t="s">
        <v>3280</v>
      </c>
      <c r="G3" s="26" t="s">
        <v>1312</v>
      </c>
      <c r="H3" s="26" t="s">
        <v>3281</v>
      </c>
      <c r="I3" s="26" t="s">
        <v>3282</v>
      </c>
    </row>
    <row r="4" spans="2:12" ht="16">
      <c r="B4" s="31">
        <v>1</v>
      </c>
      <c r="C4" s="31" t="s">
        <v>3283</v>
      </c>
      <c r="D4" s="31">
        <v>2025.06</v>
      </c>
      <c r="E4" s="31">
        <v>238256</v>
      </c>
      <c r="F4" s="31" t="s">
        <v>94</v>
      </c>
      <c r="G4" s="31" t="s">
        <v>3284</v>
      </c>
      <c r="H4" s="31" t="s">
        <v>3285</v>
      </c>
      <c r="I4" s="48">
        <f>顾问绩效!R4</f>
        <v>800</v>
      </c>
    </row>
    <row r="5" spans="2:12" ht="16">
      <c r="B5" s="31">
        <v>2</v>
      </c>
      <c r="C5" s="31" t="s">
        <v>3283</v>
      </c>
      <c r="D5" s="31">
        <v>2025.06</v>
      </c>
      <c r="E5" s="31">
        <v>238256</v>
      </c>
      <c r="F5" s="31" t="s">
        <v>94</v>
      </c>
      <c r="G5" s="31" t="s">
        <v>3284</v>
      </c>
      <c r="H5" s="31" t="s">
        <v>3286</v>
      </c>
      <c r="I5" s="52">
        <f>业绩汇总表!M8</f>
        <v>6519.6664000000019</v>
      </c>
    </row>
    <row r="6" spans="2:12" ht="16">
      <c r="B6" s="31">
        <v>3</v>
      </c>
      <c r="C6" s="31" t="s">
        <v>3283</v>
      </c>
      <c r="D6" s="31">
        <v>2025.06</v>
      </c>
      <c r="E6" s="31">
        <v>238256</v>
      </c>
      <c r="F6" s="31" t="s">
        <v>94</v>
      </c>
      <c r="G6" s="31" t="s">
        <v>3284</v>
      </c>
      <c r="H6" s="31" t="s">
        <v>3287</v>
      </c>
      <c r="I6" s="31">
        <v>0</v>
      </c>
    </row>
    <row r="7" spans="2:12" ht="16">
      <c r="B7" s="31">
        <v>4</v>
      </c>
      <c r="C7" s="31" t="s">
        <v>3283</v>
      </c>
      <c r="D7" s="31">
        <v>2025.06</v>
      </c>
      <c r="E7" s="31">
        <v>341422</v>
      </c>
      <c r="F7" s="31" t="s">
        <v>1382</v>
      </c>
      <c r="G7" s="31" t="s">
        <v>3288</v>
      </c>
      <c r="H7" s="31" t="s">
        <v>3285</v>
      </c>
      <c r="I7" s="48">
        <f>顾问绩效!R5</f>
        <v>2000</v>
      </c>
    </row>
    <row r="8" spans="2:12" ht="16">
      <c r="B8" s="31">
        <v>5</v>
      </c>
      <c r="C8" s="31" t="s">
        <v>3283</v>
      </c>
      <c r="D8" s="31">
        <v>2025.06</v>
      </c>
      <c r="E8" s="31">
        <v>341422</v>
      </c>
      <c r="F8" s="31" t="s">
        <v>1382</v>
      </c>
      <c r="G8" s="31" t="s">
        <v>3288</v>
      </c>
      <c r="H8" s="31" t="s">
        <v>3286</v>
      </c>
      <c r="I8" s="52">
        <f>业绩汇总表!M7</f>
        <v>38700.500999999997</v>
      </c>
    </row>
    <row r="9" spans="2:12" ht="16">
      <c r="B9" s="31">
        <v>6</v>
      </c>
      <c r="C9" s="31" t="s">
        <v>3283</v>
      </c>
      <c r="D9" s="31">
        <v>2025.06</v>
      </c>
      <c r="E9" s="31">
        <v>341422</v>
      </c>
      <c r="F9" s="31" t="s">
        <v>1382</v>
      </c>
      <c r="G9" s="31" t="s">
        <v>3288</v>
      </c>
      <c r="H9" s="31" t="s">
        <v>3287</v>
      </c>
      <c r="I9" s="31">
        <v>0</v>
      </c>
    </row>
    <row r="13" spans="2:12">
      <c r="J13" s="28"/>
      <c r="K13" s="28"/>
      <c r="L13" s="29"/>
    </row>
    <row r="14" spans="2:12">
      <c r="J14" s="28"/>
      <c r="K14" s="28"/>
      <c r="L14" s="29"/>
    </row>
    <row r="15" spans="2:12">
      <c r="J15" s="28"/>
      <c r="K15" s="28"/>
      <c r="L15" s="30"/>
    </row>
    <row r="16" spans="2:12">
      <c r="J16" s="28"/>
      <c r="K16" s="28"/>
      <c r="L16" s="28"/>
    </row>
    <row r="17" spans="10:12">
      <c r="J17" s="28"/>
      <c r="K17" s="28"/>
      <c r="L17" s="28"/>
    </row>
    <row r="18" spans="10:12">
      <c r="J18" s="28"/>
      <c r="K18" s="28"/>
      <c r="L18" s="28"/>
    </row>
    <row r="19" spans="10:12">
      <c r="J19" s="28"/>
      <c r="K19" s="28"/>
      <c r="L19" s="28"/>
    </row>
    <row r="20" spans="10:12">
      <c r="J20" s="28"/>
    </row>
  </sheetData>
  <mergeCells count="1">
    <mergeCell ref="B2:I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3CC9-30E7-2447-A782-5CDD378EEAD1}">
  <dimension ref="B5:M9"/>
  <sheetViews>
    <sheetView showGridLines="0" workbookViewId="0">
      <selection activeCell="M17" sqref="M17"/>
    </sheetView>
  </sheetViews>
  <sheetFormatPr baseColWidth="10" defaultRowHeight="15"/>
  <cols>
    <col min="2" max="11" width="13.5" customWidth="1"/>
    <col min="12" max="12" width="13.5" style="25" customWidth="1"/>
    <col min="13" max="13" width="12" bestFit="1" customWidth="1"/>
  </cols>
  <sheetData>
    <row r="5" spans="2:13" ht="26">
      <c r="B5" s="56" t="s">
        <v>3275</v>
      </c>
      <c r="C5" s="56"/>
      <c r="D5" s="56"/>
      <c r="E5" s="56"/>
      <c r="F5" s="56"/>
      <c r="G5" s="56"/>
      <c r="H5" s="56"/>
      <c r="I5" s="56"/>
      <c r="J5" s="56"/>
      <c r="K5" s="56"/>
      <c r="L5" s="56"/>
    </row>
    <row r="6" spans="2:13" ht="17">
      <c r="B6" s="26" t="s">
        <v>3268</v>
      </c>
      <c r="C6" s="26" t="s">
        <v>3261</v>
      </c>
      <c r="D6" s="26" t="s">
        <v>3266</v>
      </c>
      <c r="E6" s="26" t="s">
        <v>3262</v>
      </c>
      <c r="F6" s="26" t="s">
        <v>3263</v>
      </c>
      <c r="G6" s="26" t="s">
        <v>3272</v>
      </c>
      <c r="H6" s="15" t="s">
        <v>3264</v>
      </c>
      <c r="I6" s="15" t="s">
        <v>3265</v>
      </c>
      <c r="J6" s="15" t="s">
        <v>3273</v>
      </c>
      <c r="K6" s="16" t="s">
        <v>3274</v>
      </c>
      <c r="L6" s="23" t="s">
        <v>3267</v>
      </c>
      <c r="M6" s="50"/>
    </row>
    <row r="7" spans="2:13" ht="17">
      <c r="B7" s="13">
        <v>1</v>
      </c>
      <c r="C7" s="13" t="s">
        <v>3270</v>
      </c>
      <c r="D7" s="13">
        <v>1100000</v>
      </c>
      <c r="E7" s="13">
        <f>GETPIVOTDATA("学费",'91签约明细'!$B$2,"代售标签",,"签约单录入人","谭悦")</f>
        <v>1468317.2</v>
      </c>
      <c r="F7" s="13">
        <f>GETPIVOTDATA("学费",'91签约明细'!$B$2,"代售标签","在线网课","签约单录入人","谭悦")</f>
        <v>41749.699999999997</v>
      </c>
      <c r="G7" s="13">
        <f>E7+F7</f>
        <v>1510066.9</v>
      </c>
      <c r="H7" s="14">
        <f>'退费（取自钉钉客服退费表单）'!X19</f>
        <v>220050.20000000004</v>
      </c>
      <c r="I7" s="13">
        <v>0</v>
      </c>
      <c r="J7" s="14">
        <f>H7+I7</f>
        <v>220050.20000000004</v>
      </c>
      <c r="K7" s="14">
        <f>G7-J7</f>
        <v>1290016.7</v>
      </c>
      <c r="L7" s="24">
        <f>K7/D7</f>
        <v>1.1727424545454546</v>
      </c>
      <c r="M7" s="51">
        <f>K7*3%</f>
        <v>38700.500999999997</v>
      </c>
    </row>
    <row r="8" spans="2:13" ht="17">
      <c r="B8" s="13">
        <v>2</v>
      </c>
      <c r="C8" s="13" t="s">
        <v>3271</v>
      </c>
      <c r="D8" s="13">
        <v>1150000</v>
      </c>
      <c r="E8" s="13">
        <f>GETPIVOTDATA("学费",'91签约明细'!$B$2,"代售标签",,"签约单录入人","赵星火")</f>
        <v>922880.80000000016</v>
      </c>
      <c r="F8" s="13">
        <f>GETPIVOTDATA("学费",'91签约明细'!$B$2,"代售标签","在线网课","签约单录入人","赵星火")</f>
        <v>67148.899999999994</v>
      </c>
      <c r="G8" s="13">
        <f t="shared" ref="G8:G9" si="0">E8+F8</f>
        <v>990029.70000000019</v>
      </c>
      <c r="H8" s="14">
        <f>SUM('退费（取自钉钉客服退费表单）'!X21:X34)</f>
        <v>166607.40000000005</v>
      </c>
      <c r="I8" s="14">
        <f>'退费（取自钉钉客服退费表单）'!X35</f>
        <v>8464</v>
      </c>
      <c r="J8" s="14">
        <f t="shared" ref="J8:J9" si="1">H8+I8</f>
        <v>175071.40000000005</v>
      </c>
      <c r="K8" s="14">
        <f>G8-J8</f>
        <v>814958.30000000016</v>
      </c>
      <c r="L8" s="49">
        <f>K8/D8</f>
        <v>0.70865939130434796</v>
      </c>
      <c r="M8" s="51">
        <f>K8*0.008</f>
        <v>6519.6664000000019</v>
      </c>
    </row>
    <row r="9" spans="2:13" ht="17">
      <c r="B9" s="54" t="s">
        <v>3269</v>
      </c>
      <c r="C9" s="55"/>
      <c r="D9" s="17">
        <f>SUM(D7:D8)</f>
        <v>2250000</v>
      </c>
      <c r="E9" s="17">
        <f>SUM(E7:E8)</f>
        <v>2391198</v>
      </c>
      <c r="F9" s="17">
        <f>SUM(F7:F8)</f>
        <v>108898.59999999999</v>
      </c>
      <c r="G9" s="21">
        <f t="shared" si="0"/>
        <v>2500096.6</v>
      </c>
      <c r="H9" s="18">
        <f>SUM(H7:H8)</f>
        <v>386657.60000000009</v>
      </c>
      <c r="I9" s="19">
        <f>SUM(I7:I8)</f>
        <v>8464</v>
      </c>
      <c r="J9" s="22">
        <f t="shared" si="1"/>
        <v>395121.60000000009</v>
      </c>
      <c r="K9" s="20">
        <f t="shared" ref="K9" si="2">G9-J9</f>
        <v>2104975</v>
      </c>
      <c r="L9" s="27">
        <f t="shared" ref="L9" si="3">K9/D9</f>
        <v>0.9355444444444444</v>
      </c>
    </row>
  </sheetData>
  <mergeCells count="2">
    <mergeCell ref="B9:C9"/>
    <mergeCell ref="B5:L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334"/>
  <sheetViews>
    <sheetView topLeftCell="A32" workbookViewId="0">
      <selection activeCell="E336" sqref="E336"/>
    </sheetView>
  </sheetViews>
  <sheetFormatPr baseColWidth="10" defaultColWidth="8.83203125" defaultRowHeight="15"/>
  <cols>
    <col min="13" max="25" width="0" hidden="1" customWidth="1"/>
    <col min="30" max="30" width="8.83203125" style="2"/>
    <col min="37" max="37" width="12" bestFit="1"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2" t="s">
        <v>29</v>
      </c>
      <c r="AE1" t="s">
        <v>30</v>
      </c>
      <c r="AF1" t="s">
        <v>31</v>
      </c>
      <c r="AG1" t="s">
        <v>32</v>
      </c>
      <c r="AH1" t="s">
        <v>33</v>
      </c>
      <c r="AI1" t="s">
        <v>34</v>
      </c>
      <c r="AJ1" t="s">
        <v>35</v>
      </c>
      <c r="AK1" t="s">
        <v>36</v>
      </c>
      <c r="AL1" t="s">
        <v>37</v>
      </c>
      <c r="AM1" t="s">
        <v>38</v>
      </c>
      <c r="AN1" t="s">
        <v>39</v>
      </c>
      <c r="AO1" t="s">
        <v>40</v>
      </c>
      <c r="AP1" t="s">
        <v>41</v>
      </c>
      <c r="AQ1" t="s">
        <v>42</v>
      </c>
      <c r="AR1" t="s">
        <v>42</v>
      </c>
    </row>
    <row r="2" spans="1:44" hidden="1">
      <c r="A2" t="s">
        <v>43</v>
      </c>
      <c r="B2" t="s">
        <v>44</v>
      </c>
      <c r="C2" t="s">
        <v>45</v>
      </c>
      <c r="D2" t="s">
        <v>46</v>
      </c>
      <c r="F2" t="s">
        <v>47</v>
      </c>
      <c r="H2" t="s">
        <v>48</v>
      </c>
      <c r="I2" t="s">
        <v>49</v>
      </c>
      <c r="K2" t="s">
        <v>50</v>
      </c>
      <c r="M2" t="s">
        <v>51</v>
      </c>
      <c r="Z2" t="s">
        <v>52</v>
      </c>
      <c r="AB2" t="s">
        <v>53</v>
      </c>
      <c r="AD2"/>
      <c r="AF2" t="s">
        <v>54</v>
      </c>
      <c r="AG2" t="s">
        <v>46</v>
      </c>
      <c r="AH2" t="s">
        <v>55</v>
      </c>
      <c r="AI2" t="s">
        <v>56</v>
      </c>
      <c r="AJ2" t="s">
        <v>57</v>
      </c>
      <c r="AK2" s="1">
        <v>46230</v>
      </c>
      <c r="AL2" t="s">
        <v>58</v>
      </c>
      <c r="AM2" t="s">
        <v>59</v>
      </c>
      <c r="AP2" t="s">
        <v>60</v>
      </c>
    </row>
    <row r="3" spans="1:44" hidden="1">
      <c r="A3" t="s">
        <v>43</v>
      </c>
      <c r="B3" t="s">
        <v>44</v>
      </c>
      <c r="C3" t="s">
        <v>61</v>
      </c>
      <c r="D3" t="s">
        <v>46</v>
      </c>
      <c r="F3" t="s">
        <v>47</v>
      </c>
      <c r="H3" t="s">
        <v>48</v>
      </c>
      <c r="I3" t="s">
        <v>49</v>
      </c>
      <c r="K3" t="s">
        <v>50</v>
      </c>
      <c r="M3" t="s">
        <v>51</v>
      </c>
      <c r="Z3" t="s">
        <v>52</v>
      </c>
      <c r="AB3" t="s">
        <v>62</v>
      </c>
      <c r="AD3"/>
      <c r="AF3" t="s">
        <v>54</v>
      </c>
      <c r="AG3" t="s">
        <v>46</v>
      </c>
      <c r="AH3" t="s">
        <v>55</v>
      </c>
      <c r="AI3" t="s">
        <v>56</v>
      </c>
      <c r="AJ3" t="s">
        <v>57</v>
      </c>
      <c r="AK3" s="1">
        <v>7721</v>
      </c>
      <c r="AL3" t="s">
        <v>58</v>
      </c>
      <c r="AM3" t="s">
        <v>59</v>
      </c>
      <c r="AP3" t="s">
        <v>60</v>
      </c>
    </row>
    <row r="4" spans="1:44" hidden="1">
      <c r="A4" t="s">
        <v>43</v>
      </c>
      <c r="B4" t="s">
        <v>44</v>
      </c>
      <c r="C4" t="s">
        <v>63</v>
      </c>
      <c r="D4" t="s">
        <v>46</v>
      </c>
      <c r="F4" t="s">
        <v>47</v>
      </c>
      <c r="H4" t="s">
        <v>48</v>
      </c>
      <c r="I4" t="s">
        <v>49</v>
      </c>
      <c r="K4" t="s">
        <v>50</v>
      </c>
      <c r="M4" t="s">
        <v>51</v>
      </c>
      <c r="Z4" t="s">
        <v>52</v>
      </c>
      <c r="AB4" t="s">
        <v>64</v>
      </c>
      <c r="AD4"/>
      <c r="AF4" t="s">
        <v>54</v>
      </c>
      <c r="AG4" t="s">
        <v>46</v>
      </c>
      <c r="AH4" t="s">
        <v>55</v>
      </c>
      <c r="AI4" t="s">
        <v>56</v>
      </c>
      <c r="AJ4" t="s">
        <v>57</v>
      </c>
      <c r="AK4" s="1">
        <v>5060</v>
      </c>
      <c r="AL4" t="s">
        <v>58</v>
      </c>
      <c r="AM4" t="s">
        <v>59</v>
      </c>
      <c r="AP4" t="s">
        <v>60</v>
      </c>
    </row>
    <row r="5" spans="1:44" hidden="1">
      <c r="A5" t="s">
        <v>43</v>
      </c>
      <c r="B5" t="s">
        <v>44</v>
      </c>
      <c r="C5" t="s">
        <v>65</v>
      </c>
      <c r="D5" t="s">
        <v>46</v>
      </c>
      <c r="F5" t="s">
        <v>47</v>
      </c>
      <c r="H5" t="s">
        <v>48</v>
      </c>
      <c r="I5" t="s">
        <v>49</v>
      </c>
      <c r="K5" t="s">
        <v>50</v>
      </c>
      <c r="M5" t="s">
        <v>51</v>
      </c>
      <c r="Z5" t="s">
        <v>52</v>
      </c>
      <c r="AB5" t="s">
        <v>66</v>
      </c>
      <c r="AD5"/>
      <c r="AF5" t="s">
        <v>54</v>
      </c>
      <c r="AG5" t="s">
        <v>46</v>
      </c>
      <c r="AH5" t="s">
        <v>55</v>
      </c>
      <c r="AI5" t="s">
        <v>56</v>
      </c>
      <c r="AJ5" t="s">
        <v>57</v>
      </c>
      <c r="AK5" s="1">
        <v>4310</v>
      </c>
      <c r="AL5" t="s">
        <v>58</v>
      </c>
      <c r="AM5" t="s">
        <v>59</v>
      </c>
      <c r="AP5" t="s">
        <v>60</v>
      </c>
    </row>
    <row r="6" spans="1:44" hidden="1">
      <c r="A6" t="s">
        <v>67</v>
      </c>
      <c r="B6" t="s">
        <v>44</v>
      </c>
      <c r="C6" t="s">
        <v>68</v>
      </c>
      <c r="D6" t="s">
        <v>69</v>
      </c>
      <c r="F6" t="s">
        <v>70</v>
      </c>
      <c r="H6" t="s">
        <v>71</v>
      </c>
      <c r="I6" t="s">
        <v>72</v>
      </c>
      <c r="K6" t="s">
        <v>50</v>
      </c>
      <c r="M6" t="s">
        <v>51</v>
      </c>
      <c r="Z6" t="s">
        <v>73</v>
      </c>
      <c r="AB6" t="s">
        <v>74</v>
      </c>
      <c r="AD6"/>
      <c r="AF6" t="s">
        <v>54</v>
      </c>
      <c r="AG6" t="s">
        <v>69</v>
      </c>
      <c r="AH6" t="s">
        <v>55</v>
      </c>
      <c r="AI6" t="s">
        <v>75</v>
      </c>
      <c r="AJ6" t="s">
        <v>76</v>
      </c>
      <c r="AK6" s="1">
        <v>8388</v>
      </c>
      <c r="AL6" t="s">
        <v>77</v>
      </c>
      <c r="AM6" t="s">
        <v>78</v>
      </c>
      <c r="AP6" t="s">
        <v>60</v>
      </c>
    </row>
    <row r="7" spans="1:44" hidden="1">
      <c r="A7" t="s">
        <v>77</v>
      </c>
      <c r="B7" t="s">
        <v>44</v>
      </c>
      <c r="C7" t="s">
        <v>79</v>
      </c>
      <c r="D7" t="s">
        <v>80</v>
      </c>
      <c r="F7" t="s">
        <v>81</v>
      </c>
      <c r="H7" t="s">
        <v>82</v>
      </c>
      <c r="I7" t="s">
        <v>83</v>
      </c>
      <c r="K7" t="s">
        <v>50</v>
      </c>
      <c r="M7" t="s">
        <v>51</v>
      </c>
      <c r="Z7" t="s">
        <v>84</v>
      </c>
      <c r="AB7" t="s">
        <v>85</v>
      </c>
      <c r="AD7"/>
      <c r="AF7" t="s">
        <v>54</v>
      </c>
      <c r="AG7" t="s">
        <v>80</v>
      </c>
      <c r="AH7" t="s">
        <v>55</v>
      </c>
      <c r="AI7" t="s">
        <v>86</v>
      </c>
      <c r="AJ7" t="s">
        <v>87</v>
      </c>
      <c r="AK7" s="1">
        <v>19331.400000000001</v>
      </c>
      <c r="AL7" t="s">
        <v>88</v>
      </c>
      <c r="AM7" t="s">
        <v>89</v>
      </c>
      <c r="AO7" t="s">
        <v>90</v>
      </c>
      <c r="AP7" t="s">
        <v>60</v>
      </c>
    </row>
    <row r="8" spans="1:44">
      <c r="A8" t="s">
        <v>91</v>
      </c>
      <c r="B8" t="s">
        <v>44</v>
      </c>
      <c r="C8" t="s">
        <v>92</v>
      </c>
      <c r="D8" t="s">
        <v>93</v>
      </c>
      <c r="F8" s="2" t="s">
        <v>94</v>
      </c>
      <c r="H8" t="s">
        <v>95</v>
      </c>
      <c r="I8" t="s">
        <v>96</v>
      </c>
      <c r="J8" t="s">
        <v>97</v>
      </c>
      <c r="K8" t="s">
        <v>50</v>
      </c>
      <c r="M8" t="s">
        <v>51</v>
      </c>
      <c r="Z8" t="s">
        <v>73</v>
      </c>
      <c r="AB8" t="s">
        <v>98</v>
      </c>
      <c r="AC8" t="s">
        <v>99</v>
      </c>
      <c r="AD8"/>
      <c r="AF8" t="s">
        <v>54</v>
      </c>
      <c r="AG8" t="s">
        <v>93</v>
      </c>
      <c r="AH8" t="s">
        <v>100</v>
      </c>
      <c r="AI8" t="s">
        <v>101</v>
      </c>
      <c r="AJ8" t="s">
        <v>102</v>
      </c>
      <c r="AK8" s="1">
        <v>4000</v>
      </c>
      <c r="AL8" t="s">
        <v>91</v>
      </c>
      <c r="AM8" t="s">
        <v>103</v>
      </c>
      <c r="AP8" t="s">
        <v>60</v>
      </c>
    </row>
    <row r="9" spans="1:44" hidden="1">
      <c r="A9" t="s">
        <v>104</v>
      </c>
      <c r="B9" t="s">
        <v>44</v>
      </c>
      <c r="C9" t="s">
        <v>105</v>
      </c>
      <c r="D9" t="s">
        <v>106</v>
      </c>
      <c r="F9" t="s">
        <v>47</v>
      </c>
      <c r="H9" t="s">
        <v>95</v>
      </c>
      <c r="I9" t="s">
        <v>97</v>
      </c>
      <c r="K9" t="s">
        <v>50</v>
      </c>
      <c r="M9" t="s">
        <v>51</v>
      </c>
      <c r="Z9" t="s">
        <v>73</v>
      </c>
      <c r="AB9" t="s">
        <v>107</v>
      </c>
      <c r="AD9"/>
      <c r="AF9" t="s">
        <v>54</v>
      </c>
      <c r="AG9" t="s">
        <v>106</v>
      </c>
      <c r="AH9" t="s">
        <v>55</v>
      </c>
      <c r="AI9" t="s">
        <v>108</v>
      </c>
      <c r="AJ9" t="s">
        <v>109</v>
      </c>
      <c r="AK9" s="1">
        <v>32600</v>
      </c>
      <c r="AL9" t="s">
        <v>88</v>
      </c>
      <c r="AM9" t="s">
        <v>110</v>
      </c>
      <c r="AP9" t="s">
        <v>60</v>
      </c>
    </row>
    <row r="10" spans="1:44" hidden="1">
      <c r="A10" t="s">
        <v>88</v>
      </c>
      <c r="B10" t="s">
        <v>44</v>
      </c>
      <c r="C10" t="s">
        <v>111</v>
      </c>
      <c r="D10" t="s">
        <v>112</v>
      </c>
      <c r="F10" t="s">
        <v>112</v>
      </c>
      <c r="H10" t="s">
        <v>113</v>
      </c>
      <c r="I10" t="s">
        <v>49</v>
      </c>
      <c r="K10" t="s">
        <v>114</v>
      </c>
      <c r="L10" t="s">
        <v>115</v>
      </c>
      <c r="O10" t="s">
        <v>116</v>
      </c>
      <c r="AB10" t="s">
        <v>117</v>
      </c>
      <c r="AD10"/>
      <c r="AF10" t="s">
        <v>54</v>
      </c>
      <c r="AG10" t="s">
        <v>112</v>
      </c>
      <c r="AH10" t="s">
        <v>55</v>
      </c>
      <c r="AI10" t="s">
        <v>118</v>
      </c>
      <c r="AJ10" t="s">
        <v>119</v>
      </c>
      <c r="AK10" s="1">
        <v>95000</v>
      </c>
      <c r="AL10" t="s">
        <v>88</v>
      </c>
      <c r="AM10" t="s">
        <v>120</v>
      </c>
      <c r="AP10" t="s">
        <v>60</v>
      </c>
    </row>
    <row r="11" spans="1:44" hidden="1">
      <c r="A11" t="s">
        <v>88</v>
      </c>
      <c r="B11" t="s">
        <v>44</v>
      </c>
      <c r="C11" t="s">
        <v>121</v>
      </c>
      <c r="D11" t="s">
        <v>112</v>
      </c>
      <c r="F11" t="s">
        <v>112</v>
      </c>
      <c r="H11" t="s">
        <v>122</v>
      </c>
      <c r="I11" t="s">
        <v>49</v>
      </c>
      <c r="K11" t="s">
        <v>114</v>
      </c>
      <c r="L11" t="s">
        <v>115</v>
      </c>
      <c r="O11" t="s">
        <v>123</v>
      </c>
      <c r="AB11" t="s">
        <v>124</v>
      </c>
      <c r="AD11"/>
      <c r="AF11" t="s">
        <v>54</v>
      </c>
      <c r="AG11" t="s">
        <v>112</v>
      </c>
      <c r="AH11" t="s">
        <v>55</v>
      </c>
      <c r="AI11" t="s">
        <v>125</v>
      </c>
      <c r="AJ11" t="s">
        <v>126</v>
      </c>
      <c r="AK11" s="1">
        <v>75920</v>
      </c>
      <c r="AL11" t="s">
        <v>127</v>
      </c>
      <c r="AM11" t="s">
        <v>128</v>
      </c>
      <c r="AP11" t="s">
        <v>60</v>
      </c>
    </row>
    <row r="12" spans="1:44" hidden="1">
      <c r="A12" t="s">
        <v>88</v>
      </c>
      <c r="B12" t="s">
        <v>44</v>
      </c>
      <c r="C12" t="s">
        <v>129</v>
      </c>
      <c r="D12" t="s">
        <v>112</v>
      </c>
      <c r="F12" t="s">
        <v>112</v>
      </c>
      <c r="H12" t="s">
        <v>122</v>
      </c>
      <c r="I12" t="s">
        <v>49</v>
      </c>
      <c r="K12" t="s">
        <v>114</v>
      </c>
      <c r="L12" t="s">
        <v>115</v>
      </c>
      <c r="O12" t="s">
        <v>123</v>
      </c>
      <c r="AB12" t="s">
        <v>124</v>
      </c>
      <c r="AD12"/>
      <c r="AF12" t="s">
        <v>54</v>
      </c>
      <c r="AG12" t="s">
        <v>112</v>
      </c>
      <c r="AH12" t="s">
        <v>55</v>
      </c>
      <c r="AI12" t="s">
        <v>125</v>
      </c>
      <c r="AJ12" t="s">
        <v>126</v>
      </c>
      <c r="AK12" s="1">
        <v>11000</v>
      </c>
      <c r="AL12" t="s">
        <v>131</v>
      </c>
      <c r="AM12" t="s">
        <v>128</v>
      </c>
      <c r="AP12" t="s">
        <v>60</v>
      </c>
    </row>
    <row r="13" spans="1:44" hidden="1">
      <c r="A13" t="s">
        <v>88</v>
      </c>
      <c r="B13" t="s">
        <v>44</v>
      </c>
      <c r="C13" t="s">
        <v>132</v>
      </c>
      <c r="D13" t="s">
        <v>133</v>
      </c>
      <c r="E13" t="s">
        <v>134</v>
      </c>
      <c r="F13" t="s">
        <v>135</v>
      </c>
      <c r="H13" t="s">
        <v>136</v>
      </c>
      <c r="I13" t="s">
        <v>96</v>
      </c>
      <c r="K13" t="s">
        <v>50</v>
      </c>
      <c r="M13" t="s">
        <v>51</v>
      </c>
      <c r="Z13" t="s">
        <v>73</v>
      </c>
      <c r="AB13" t="s">
        <v>137</v>
      </c>
      <c r="AD13"/>
      <c r="AF13" t="s">
        <v>54</v>
      </c>
      <c r="AG13" t="s">
        <v>133</v>
      </c>
      <c r="AH13" t="s">
        <v>55</v>
      </c>
      <c r="AI13" t="s">
        <v>138</v>
      </c>
      <c r="AJ13" t="s">
        <v>139</v>
      </c>
      <c r="AK13" s="1">
        <v>2960</v>
      </c>
      <c r="AL13" t="s">
        <v>140</v>
      </c>
      <c r="AM13" t="s">
        <v>120</v>
      </c>
      <c r="AP13" t="s">
        <v>60</v>
      </c>
    </row>
    <row r="14" spans="1:44" hidden="1">
      <c r="A14" t="s">
        <v>88</v>
      </c>
      <c r="B14" t="s">
        <v>44</v>
      </c>
      <c r="C14" t="s">
        <v>141</v>
      </c>
      <c r="D14" t="s">
        <v>142</v>
      </c>
      <c r="F14" t="s">
        <v>112</v>
      </c>
      <c r="H14" t="s">
        <v>82</v>
      </c>
      <c r="I14" t="s">
        <v>96</v>
      </c>
      <c r="J14" t="s">
        <v>97</v>
      </c>
      <c r="K14" t="s">
        <v>114</v>
      </c>
      <c r="L14" t="s">
        <v>143</v>
      </c>
      <c r="Q14" t="s">
        <v>144</v>
      </c>
      <c r="AB14" t="s">
        <v>145</v>
      </c>
      <c r="AC14" t="s">
        <v>146</v>
      </c>
      <c r="AD14"/>
      <c r="AF14" t="s">
        <v>54</v>
      </c>
      <c r="AG14" t="s">
        <v>142</v>
      </c>
      <c r="AH14" t="s">
        <v>100</v>
      </c>
      <c r="AI14" t="s">
        <v>147</v>
      </c>
      <c r="AJ14" t="s">
        <v>148</v>
      </c>
      <c r="AK14" s="1">
        <v>25500</v>
      </c>
      <c r="AL14" t="s">
        <v>88</v>
      </c>
      <c r="AM14" t="s">
        <v>149</v>
      </c>
      <c r="AP14" t="s">
        <v>60</v>
      </c>
    </row>
    <row r="15" spans="1:44" hidden="1">
      <c r="A15" t="s">
        <v>88</v>
      </c>
      <c r="B15" t="s">
        <v>44</v>
      </c>
      <c r="C15" t="s">
        <v>150</v>
      </c>
      <c r="D15" t="s">
        <v>151</v>
      </c>
      <c r="F15" t="s">
        <v>152</v>
      </c>
      <c r="G15" t="s">
        <v>60</v>
      </c>
      <c r="H15" t="s">
        <v>153</v>
      </c>
      <c r="I15" t="s">
        <v>97</v>
      </c>
      <c r="K15" t="s">
        <v>50</v>
      </c>
      <c r="M15" t="s">
        <v>51</v>
      </c>
      <c r="Z15" t="s">
        <v>84</v>
      </c>
      <c r="AB15" t="s">
        <v>154</v>
      </c>
      <c r="AD15"/>
      <c r="AF15" t="s">
        <v>54</v>
      </c>
      <c r="AG15" t="s">
        <v>151</v>
      </c>
      <c r="AH15" t="s">
        <v>55</v>
      </c>
      <c r="AI15" t="s">
        <v>155</v>
      </c>
      <c r="AJ15" t="s">
        <v>156</v>
      </c>
      <c r="AK15" s="1">
        <v>2942.4</v>
      </c>
      <c r="AL15" t="s">
        <v>157</v>
      </c>
      <c r="AM15" t="s">
        <v>158</v>
      </c>
      <c r="AP15" t="s">
        <v>60</v>
      </c>
    </row>
    <row r="16" spans="1:44" hidden="1">
      <c r="A16" t="s">
        <v>88</v>
      </c>
      <c r="B16" t="s">
        <v>44</v>
      </c>
      <c r="C16" t="s">
        <v>159</v>
      </c>
      <c r="D16" t="s">
        <v>151</v>
      </c>
      <c r="F16" t="s">
        <v>152</v>
      </c>
      <c r="G16" t="s">
        <v>60</v>
      </c>
      <c r="H16" t="s">
        <v>153</v>
      </c>
      <c r="I16" t="s">
        <v>97</v>
      </c>
      <c r="K16" t="s">
        <v>50</v>
      </c>
      <c r="M16" t="s">
        <v>51</v>
      </c>
      <c r="Z16" t="s">
        <v>84</v>
      </c>
      <c r="AB16" t="s">
        <v>154</v>
      </c>
      <c r="AD16"/>
      <c r="AF16" t="s">
        <v>54</v>
      </c>
      <c r="AG16" t="s">
        <v>151</v>
      </c>
      <c r="AH16" t="s">
        <v>55</v>
      </c>
      <c r="AI16" t="s">
        <v>155</v>
      </c>
      <c r="AJ16" t="s">
        <v>156</v>
      </c>
      <c r="AK16" s="1">
        <v>3445.6</v>
      </c>
      <c r="AL16" t="s">
        <v>157</v>
      </c>
      <c r="AM16" t="s">
        <v>158</v>
      </c>
      <c r="AP16" t="s">
        <v>60</v>
      </c>
    </row>
    <row r="17" spans="1:42" hidden="1">
      <c r="A17" t="s">
        <v>88</v>
      </c>
      <c r="B17" t="s">
        <v>44</v>
      </c>
      <c r="C17" t="s">
        <v>160</v>
      </c>
      <c r="D17" t="s">
        <v>151</v>
      </c>
      <c r="F17" t="s">
        <v>152</v>
      </c>
      <c r="G17" t="s">
        <v>60</v>
      </c>
      <c r="H17" t="s">
        <v>153</v>
      </c>
      <c r="I17" t="s">
        <v>97</v>
      </c>
      <c r="K17" t="s">
        <v>50</v>
      </c>
      <c r="M17" t="s">
        <v>51</v>
      </c>
      <c r="Z17" t="s">
        <v>84</v>
      </c>
      <c r="AB17" t="s">
        <v>154</v>
      </c>
      <c r="AD17"/>
      <c r="AF17" t="s">
        <v>54</v>
      </c>
      <c r="AG17" t="s">
        <v>151</v>
      </c>
      <c r="AH17" t="s">
        <v>55</v>
      </c>
      <c r="AI17" t="s">
        <v>155</v>
      </c>
      <c r="AJ17" t="s">
        <v>156</v>
      </c>
      <c r="AK17" s="1">
        <v>4577.6000000000004</v>
      </c>
      <c r="AL17" t="s">
        <v>157</v>
      </c>
      <c r="AM17" t="s">
        <v>158</v>
      </c>
      <c r="AP17" t="s">
        <v>60</v>
      </c>
    </row>
    <row r="18" spans="1:42" hidden="1">
      <c r="A18" t="s">
        <v>88</v>
      </c>
      <c r="B18" t="s">
        <v>44</v>
      </c>
      <c r="C18" t="s">
        <v>161</v>
      </c>
      <c r="D18" t="s">
        <v>151</v>
      </c>
      <c r="F18" t="s">
        <v>152</v>
      </c>
      <c r="G18" t="s">
        <v>60</v>
      </c>
      <c r="H18" t="s">
        <v>153</v>
      </c>
      <c r="I18" t="s">
        <v>97</v>
      </c>
      <c r="K18" t="s">
        <v>50</v>
      </c>
      <c r="M18" t="s">
        <v>51</v>
      </c>
      <c r="Z18" t="s">
        <v>84</v>
      </c>
      <c r="AB18" t="s">
        <v>154</v>
      </c>
      <c r="AD18"/>
      <c r="AF18" t="s">
        <v>54</v>
      </c>
      <c r="AG18" t="s">
        <v>151</v>
      </c>
      <c r="AH18" t="s">
        <v>55</v>
      </c>
      <c r="AI18" t="s">
        <v>155</v>
      </c>
      <c r="AJ18" t="s">
        <v>156</v>
      </c>
      <c r="AK18" s="1">
        <v>28334.6</v>
      </c>
      <c r="AL18" t="s">
        <v>157</v>
      </c>
      <c r="AM18" t="s">
        <v>158</v>
      </c>
      <c r="AP18" t="s">
        <v>60</v>
      </c>
    </row>
    <row r="19" spans="1:42" hidden="1">
      <c r="A19" t="s">
        <v>88</v>
      </c>
      <c r="B19" t="s">
        <v>44</v>
      </c>
      <c r="C19" t="s">
        <v>162</v>
      </c>
      <c r="D19" t="s">
        <v>163</v>
      </c>
      <c r="F19" t="s">
        <v>164</v>
      </c>
      <c r="H19" t="s">
        <v>165</v>
      </c>
      <c r="I19" t="s">
        <v>97</v>
      </c>
      <c r="K19" t="s">
        <v>50</v>
      </c>
      <c r="M19" t="s">
        <v>51</v>
      </c>
      <c r="Z19" t="s">
        <v>84</v>
      </c>
      <c r="AB19" t="s">
        <v>166</v>
      </c>
      <c r="AD19"/>
      <c r="AF19" t="s">
        <v>54</v>
      </c>
      <c r="AG19" t="s">
        <v>163</v>
      </c>
      <c r="AH19" t="s">
        <v>55</v>
      </c>
      <c r="AI19" t="s">
        <v>167</v>
      </c>
      <c r="AJ19" t="s">
        <v>168</v>
      </c>
      <c r="AK19" s="1">
        <v>10528</v>
      </c>
      <c r="AL19" t="s">
        <v>140</v>
      </c>
      <c r="AM19" t="s">
        <v>169</v>
      </c>
      <c r="AO19" t="s">
        <v>90</v>
      </c>
      <c r="AP19" t="s">
        <v>60</v>
      </c>
    </row>
    <row r="20" spans="1:42" hidden="1">
      <c r="A20" t="s">
        <v>88</v>
      </c>
      <c r="B20" t="s">
        <v>44</v>
      </c>
      <c r="C20" t="s">
        <v>170</v>
      </c>
      <c r="D20" t="s">
        <v>163</v>
      </c>
      <c r="F20" t="s">
        <v>164</v>
      </c>
      <c r="H20" t="s">
        <v>165</v>
      </c>
      <c r="I20" t="s">
        <v>97</v>
      </c>
      <c r="K20" t="s">
        <v>50</v>
      </c>
      <c r="M20" t="s">
        <v>51</v>
      </c>
      <c r="Z20" t="s">
        <v>84</v>
      </c>
      <c r="AB20" t="s">
        <v>166</v>
      </c>
      <c r="AD20"/>
      <c r="AF20" t="s">
        <v>54</v>
      </c>
      <c r="AG20" t="s">
        <v>163</v>
      </c>
      <c r="AH20" t="s">
        <v>55</v>
      </c>
      <c r="AI20" t="s">
        <v>167</v>
      </c>
      <c r="AJ20" t="s">
        <v>168</v>
      </c>
      <c r="AK20" s="1">
        <v>2717.3</v>
      </c>
      <c r="AL20" t="s">
        <v>140</v>
      </c>
      <c r="AM20" t="s">
        <v>169</v>
      </c>
      <c r="AO20" t="s">
        <v>90</v>
      </c>
      <c r="AP20" t="s">
        <v>60</v>
      </c>
    </row>
    <row r="21" spans="1:42" hidden="1">
      <c r="A21" t="s">
        <v>88</v>
      </c>
      <c r="B21" t="s">
        <v>44</v>
      </c>
      <c r="C21" t="s">
        <v>171</v>
      </c>
      <c r="D21" t="s">
        <v>172</v>
      </c>
      <c r="F21" t="s">
        <v>173</v>
      </c>
      <c r="H21" t="s">
        <v>174</v>
      </c>
      <c r="I21" t="s">
        <v>97</v>
      </c>
      <c r="K21" t="s">
        <v>50</v>
      </c>
      <c r="M21" t="s">
        <v>51</v>
      </c>
      <c r="Z21" t="s">
        <v>73</v>
      </c>
      <c r="AB21" t="s">
        <v>175</v>
      </c>
      <c r="AD21"/>
      <c r="AF21" t="s">
        <v>54</v>
      </c>
      <c r="AG21" t="s">
        <v>172</v>
      </c>
      <c r="AH21" t="s">
        <v>55</v>
      </c>
      <c r="AI21" t="s">
        <v>176</v>
      </c>
      <c r="AJ21" t="s">
        <v>177</v>
      </c>
      <c r="AK21" s="1">
        <v>13588</v>
      </c>
      <c r="AL21" t="s">
        <v>131</v>
      </c>
      <c r="AM21" t="s">
        <v>120</v>
      </c>
      <c r="AP21" t="s">
        <v>60</v>
      </c>
    </row>
    <row r="22" spans="1:42" hidden="1">
      <c r="A22" t="s">
        <v>88</v>
      </c>
      <c r="B22" t="s">
        <v>44</v>
      </c>
      <c r="C22" t="s">
        <v>178</v>
      </c>
      <c r="D22" t="s">
        <v>179</v>
      </c>
      <c r="F22" t="s">
        <v>180</v>
      </c>
      <c r="H22" t="s">
        <v>181</v>
      </c>
      <c r="I22" t="s">
        <v>182</v>
      </c>
      <c r="K22" t="s">
        <v>50</v>
      </c>
      <c r="M22" t="s">
        <v>51</v>
      </c>
      <c r="Z22" t="s">
        <v>183</v>
      </c>
      <c r="AB22" t="s">
        <v>184</v>
      </c>
      <c r="AD22"/>
      <c r="AF22" t="s">
        <v>54</v>
      </c>
      <c r="AG22" t="s">
        <v>179</v>
      </c>
      <c r="AH22" t="s">
        <v>55</v>
      </c>
      <c r="AI22" t="s">
        <v>185</v>
      </c>
      <c r="AJ22" t="s">
        <v>186</v>
      </c>
      <c r="AK22" s="1">
        <v>3600</v>
      </c>
      <c r="AL22" t="s">
        <v>88</v>
      </c>
      <c r="AM22" t="s">
        <v>187</v>
      </c>
      <c r="AO22" t="s">
        <v>90</v>
      </c>
      <c r="AP22" t="s">
        <v>60</v>
      </c>
    </row>
    <row r="23" spans="1:42" hidden="1">
      <c r="A23" t="s">
        <v>157</v>
      </c>
      <c r="B23" t="s">
        <v>44</v>
      </c>
      <c r="C23" t="s">
        <v>188</v>
      </c>
      <c r="D23" t="s">
        <v>142</v>
      </c>
      <c r="F23" t="s">
        <v>152</v>
      </c>
      <c r="H23" t="s">
        <v>189</v>
      </c>
      <c r="I23" t="s">
        <v>97</v>
      </c>
      <c r="K23" t="s">
        <v>50</v>
      </c>
      <c r="M23" t="s">
        <v>190</v>
      </c>
      <c r="Y23" t="s">
        <v>191</v>
      </c>
      <c r="AB23" t="s">
        <v>192</v>
      </c>
      <c r="AD23"/>
      <c r="AF23" t="s">
        <v>54</v>
      </c>
      <c r="AG23" t="s">
        <v>142</v>
      </c>
      <c r="AH23" t="s">
        <v>55</v>
      </c>
      <c r="AI23" t="s">
        <v>193</v>
      </c>
      <c r="AJ23" t="s">
        <v>194</v>
      </c>
      <c r="AK23" s="1">
        <v>2055.6</v>
      </c>
      <c r="AL23" t="s">
        <v>157</v>
      </c>
      <c r="AM23" t="s">
        <v>195</v>
      </c>
      <c r="AP23" t="s">
        <v>60</v>
      </c>
    </row>
    <row r="24" spans="1:42" hidden="1">
      <c r="A24" t="s">
        <v>157</v>
      </c>
      <c r="B24" t="s">
        <v>44</v>
      </c>
      <c r="C24" t="s">
        <v>196</v>
      </c>
      <c r="D24" t="s">
        <v>142</v>
      </c>
      <c r="F24" t="s">
        <v>152</v>
      </c>
      <c r="H24" t="s">
        <v>189</v>
      </c>
      <c r="I24" t="s">
        <v>97</v>
      </c>
      <c r="K24" t="s">
        <v>114</v>
      </c>
      <c r="L24" t="s">
        <v>197</v>
      </c>
      <c r="P24" t="s">
        <v>191</v>
      </c>
      <c r="AB24" t="s">
        <v>192</v>
      </c>
      <c r="AD24"/>
      <c r="AF24" t="s">
        <v>54</v>
      </c>
      <c r="AG24" t="s">
        <v>142</v>
      </c>
      <c r="AH24" t="s">
        <v>55</v>
      </c>
      <c r="AI24" t="s">
        <v>193</v>
      </c>
      <c r="AJ24" t="s">
        <v>194</v>
      </c>
      <c r="AK24" s="1">
        <v>10500</v>
      </c>
      <c r="AL24" t="s">
        <v>157</v>
      </c>
      <c r="AM24" t="s">
        <v>195</v>
      </c>
      <c r="AP24" t="s">
        <v>60</v>
      </c>
    </row>
    <row r="25" spans="1:42" hidden="1">
      <c r="A25" t="s">
        <v>88</v>
      </c>
      <c r="B25" t="s">
        <v>44</v>
      </c>
      <c r="C25" t="s">
        <v>198</v>
      </c>
      <c r="D25" t="s">
        <v>106</v>
      </c>
      <c r="F25" t="s">
        <v>199</v>
      </c>
      <c r="H25" t="s">
        <v>153</v>
      </c>
      <c r="I25" t="s">
        <v>97</v>
      </c>
      <c r="K25" t="s">
        <v>114</v>
      </c>
      <c r="L25" t="s">
        <v>115</v>
      </c>
      <c r="O25" t="s">
        <v>84</v>
      </c>
      <c r="AB25" t="s">
        <v>200</v>
      </c>
      <c r="AD25"/>
      <c r="AF25" t="s">
        <v>54</v>
      </c>
      <c r="AG25" t="s">
        <v>106</v>
      </c>
      <c r="AH25" t="s">
        <v>55</v>
      </c>
      <c r="AI25" t="s">
        <v>155</v>
      </c>
      <c r="AJ25" t="s">
        <v>156</v>
      </c>
      <c r="AK25" s="1">
        <v>10000</v>
      </c>
      <c r="AL25" t="s">
        <v>131</v>
      </c>
      <c r="AM25" t="s">
        <v>158</v>
      </c>
      <c r="AP25" t="s">
        <v>60</v>
      </c>
    </row>
    <row r="26" spans="1:42" hidden="1">
      <c r="A26" t="s">
        <v>202</v>
      </c>
      <c r="B26" t="s">
        <v>44</v>
      </c>
      <c r="C26" t="s">
        <v>203</v>
      </c>
      <c r="D26" t="s">
        <v>204</v>
      </c>
      <c r="F26" t="s">
        <v>173</v>
      </c>
      <c r="H26" t="s">
        <v>165</v>
      </c>
      <c r="I26" t="s">
        <v>97</v>
      </c>
      <c r="K26" t="s">
        <v>50</v>
      </c>
      <c r="M26" t="s">
        <v>51</v>
      </c>
      <c r="Z26" t="s">
        <v>205</v>
      </c>
      <c r="AB26" t="s">
        <v>206</v>
      </c>
      <c r="AD26"/>
      <c r="AF26" t="s">
        <v>54</v>
      </c>
      <c r="AG26" t="s">
        <v>204</v>
      </c>
      <c r="AH26" t="s">
        <v>55</v>
      </c>
      <c r="AI26" t="s">
        <v>207</v>
      </c>
      <c r="AJ26" t="s">
        <v>208</v>
      </c>
      <c r="AK26" s="1">
        <v>4451.1000000000004</v>
      </c>
      <c r="AL26" t="s">
        <v>157</v>
      </c>
      <c r="AM26" t="s">
        <v>120</v>
      </c>
      <c r="AP26" t="s">
        <v>60</v>
      </c>
    </row>
    <row r="27" spans="1:42" hidden="1">
      <c r="A27" t="s">
        <v>202</v>
      </c>
      <c r="B27" t="s">
        <v>44</v>
      </c>
      <c r="C27" t="s">
        <v>209</v>
      </c>
      <c r="D27" t="s">
        <v>204</v>
      </c>
      <c r="F27" t="s">
        <v>173</v>
      </c>
      <c r="H27" t="s">
        <v>165</v>
      </c>
      <c r="I27" t="s">
        <v>97</v>
      </c>
      <c r="K27" t="s">
        <v>114</v>
      </c>
      <c r="L27" t="s">
        <v>115</v>
      </c>
      <c r="O27" t="s">
        <v>205</v>
      </c>
      <c r="AB27" t="s">
        <v>206</v>
      </c>
      <c r="AD27"/>
      <c r="AF27" t="s">
        <v>54</v>
      </c>
      <c r="AG27" t="s">
        <v>204</v>
      </c>
      <c r="AH27" t="s">
        <v>55</v>
      </c>
      <c r="AI27" t="s">
        <v>207</v>
      </c>
      <c r="AJ27" t="s">
        <v>208</v>
      </c>
      <c r="AK27" s="1">
        <v>17357.7</v>
      </c>
      <c r="AL27" t="s">
        <v>157</v>
      </c>
      <c r="AM27" t="s">
        <v>120</v>
      </c>
      <c r="AP27" t="s">
        <v>60</v>
      </c>
    </row>
    <row r="28" spans="1:42" hidden="1">
      <c r="A28" t="s">
        <v>58</v>
      </c>
      <c r="B28" t="s">
        <v>210</v>
      </c>
      <c r="D28" t="s">
        <v>204</v>
      </c>
      <c r="F28" t="s">
        <v>112</v>
      </c>
      <c r="H28" t="s">
        <v>165</v>
      </c>
      <c r="I28" t="s">
        <v>97</v>
      </c>
      <c r="AD28" s="1">
        <v>11900</v>
      </c>
      <c r="AE28" t="s">
        <v>211</v>
      </c>
      <c r="AF28" t="s">
        <v>54</v>
      </c>
      <c r="AG28" t="s">
        <v>204</v>
      </c>
      <c r="AI28" t="s">
        <v>212</v>
      </c>
      <c r="AJ28" t="s">
        <v>213</v>
      </c>
      <c r="AK28" s="2"/>
      <c r="AL28" t="s">
        <v>157</v>
      </c>
      <c r="AM28" t="s">
        <v>120</v>
      </c>
      <c r="AP28" t="s">
        <v>60</v>
      </c>
    </row>
    <row r="29" spans="1:42" hidden="1">
      <c r="A29" t="s">
        <v>157</v>
      </c>
      <c r="B29" t="s">
        <v>44</v>
      </c>
      <c r="C29" t="s">
        <v>214</v>
      </c>
      <c r="D29" t="s">
        <v>215</v>
      </c>
      <c r="F29" t="s">
        <v>47</v>
      </c>
      <c r="H29" t="s">
        <v>113</v>
      </c>
      <c r="I29" t="s">
        <v>49</v>
      </c>
      <c r="K29" t="s">
        <v>114</v>
      </c>
      <c r="L29" t="s">
        <v>115</v>
      </c>
      <c r="O29" t="s">
        <v>216</v>
      </c>
      <c r="AB29" t="s">
        <v>217</v>
      </c>
      <c r="AD29"/>
      <c r="AF29" t="s">
        <v>54</v>
      </c>
      <c r="AG29" t="s">
        <v>215</v>
      </c>
      <c r="AH29" t="s">
        <v>55</v>
      </c>
      <c r="AI29" t="s">
        <v>218</v>
      </c>
      <c r="AJ29" t="s">
        <v>219</v>
      </c>
      <c r="AK29" s="1">
        <v>23500</v>
      </c>
      <c r="AL29" t="s">
        <v>131</v>
      </c>
      <c r="AM29" t="s">
        <v>120</v>
      </c>
      <c r="AP29" t="s">
        <v>60</v>
      </c>
    </row>
    <row r="30" spans="1:42">
      <c r="A30" t="s">
        <v>157</v>
      </c>
      <c r="B30" t="s">
        <v>210</v>
      </c>
      <c r="D30" t="s">
        <v>163</v>
      </c>
      <c r="F30" s="2" t="s">
        <v>94</v>
      </c>
      <c r="H30" t="s">
        <v>220</v>
      </c>
      <c r="I30" t="s">
        <v>97</v>
      </c>
      <c r="AD30" s="1">
        <v>44800</v>
      </c>
      <c r="AE30" t="s">
        <v>221</v>
      </c>
      <c r="AF30" t="s">
        <v>54</v>
      </c>
      <c r="AG30" t="s">
        <v>163</v>
      </c>
      <c r="AI30" t="s">
        <v>222</v>
      </c>
      <c r="AJ30" t="s">
        <v>223</v>
      </c>
      <c r="AK30" s="2"/>
      <c r="AL30" t="s">
        <v>157</v>
      </c>
      <c r="AM30" t="s">
        <v>224</v>
      </c>
      <c r="AP30" t="s">
        <v>60</v>
      </c>
    </row>
    <row r="31" spans="1:42">
      <c r="A31" t="s">
        <v>157</v>
      </c>
      <c r="B31" t="s">
        <v>44</v>
      </c>
      <c r="C31" t="s">
        <v>225</v>
      </c>
      <c r="D31" t="s">
        <v>226</v>
      </c>
      <c r="F31" s="2" t="s">
        <v>227</v>
      </c>
      <c r="H31" t="s">
        <v>228</v>
      </c>
      <c r="I31" t="s">
        <v>97</v>
      </c>
      <c r="K31" t="s">
        <v>50</v>
      </c>
      <c r="M31" t="s">
        <v>51</v>
      </c>
      <c r="Z31" t="s">
        <v>84</v>
      </c>
      <c r="AB31" t="s">
        <v>229</v>
      </c>
      <c r="AD31"/>
      <c r="AF31" t="s">
        <v>54</v>
      </c>
      <c r="AG31" t="s">
        <v>226</v>
      </c>
      <c r="AH31" t="s">
        <v>55</v>
      </c>
      <c r="AI31" t="s">
        <v>230</v>
      </c>
      <c r="AJ31" t="s">
        <v>231</v>
      </c>
      <c r="AK31" s="1">
        <v>1979.6</v>
      </c>
      <c r="AL31" t="s">
        <v>131</v>
      </c>
      <c r="AM31" t="s">
        <v>232</v>
      </c>
      <c r="AP31" t="s">
        <v>60</v>
      </c>
    </row>
    <row r="32" spans="1:42">
      <c r="A32" t="s">
        <v>157</v>
      </c>
      <c r="B32" t="s">
        <v>44</v>
      </c>
      <c r="C32" t="s">
        <v>233</v>
      </c>
      <c r="D32" t="s">
        <v>163</v>
      </c>
      <c r="F32" s="2" t="s">
        <v>94</v>
      </c>
      <c r="H32" t="s">
        <v>234</v>
      </c>
      <c r="I32" t="s">
        <v>97</v>
      </c>
      <c r="K32" t="s">
        <v>50</v>
      </c>
      <c r="M32" t="s">
        <v>51</v>
      </c>
      <c r="Z32" t="s">
        <v>216</v>
      </c>
      <c r="AB32" t="s">
        <v>235</v>
      </c>
      <c r="AD32"/>
      <c r="AF32" t="s">
        <v>54</v>
      </c>
      <c r="AG32" t="s">
        <v>163</v>
      </c>
      <c r="AH32" t="s">
        <v>55</v>
      </c>
      <c r="AI32" t="s">
        <v>236</v>
      </c>
      <c r="AJ32" t="s">
        <v>237</v>
      </c>
      <c r="AK32" s="1">
        <v>25758.3</v>
      </c>
      <c r="AM32" t="s">
        <v>238</v>
      </c>
      <c r="AP32" t="s">
        <v>60</v>
      </c>
    </row>
    <row r="33" spans="1:42" hidden="1">
      <c r="A33" t="s">
        <v>157</v>
      </c>
      <c r="B33" t="s">
        <v>44</v>
      </c>
      <c r="C33" t="s">
        <v>239</v>
      </c>
      <c r="D33" t="s">
        <v>163</v>
      </c>
      <c r="F33" t="s">
        <v>152</v>
      </c>
      <c r="H33" t="s">
        <v>240</v>
      </c>
      <c r="I33" t="s">
        <v>97</v>
      </c>
      <c r="K33" t="s">
        <v>50</v>
      </c>
      <c r="M33" t="s">
        <v>190</v>
      </c>
      <c r="Y33" t="s">
        <v>241</v>
      </c>
      <c r="AB33" t="s">
        <v>242</v>
      </c>
      <c r="AD33"/>
      <c r="AF33" t="s">
        <v>54</v>
      </c>
      <c r="AG33" t="s">
        <v>163</v>
      </c>
      <c r="AH33" t="s">
        <v>55</v>
      </c>
      <c r="AI33" t="s">
        <v>243</v>
      </c>
      <c r="AJ33" t="s">
        <v>244</v>
      </c>
      <c r="AK33" s="1">
        <v>11702</v>
      </c>
      <c r="AL33" t="s">
        <v>245</v>
      </c>
      <c r="AM33" t="s">
        <v>246</v>
      </c>
      <c r="AP33" t="s">
        <v>60</v>
      </c>
    </row>
    <row r="34" spans="1:42" hidden="1">
      <c r="A34" t="s">
        <v>157</v>
      </c>
      <c r="B34" t="s">
        <v>44</v>
      </c>
      <c r="C34" t="s">
        <v>247</v>
      </c>
      <c r="D34" t="s">
        <v>248</v>
      </c>
      <c r="F34" t="s">
        <v>249</v>
      </c>
      <c r="H34" t="s">
        <v>250</v>
      </c>
      <c r="I34" t="s">
        <v>96</v>
      </c>
      <c r="K34" t="s">
        <v>50</v>
      </c>
      <c r="M34" t="s">
        <v>51</v>
      </c>
      <c r="Z34" t="s">
        <v>251</v>
      </c>
      <c r="AB34" t="s">
        <v>252</v>
      </c>
      <c r="AD34"/>
      <c r="AF34" t="s">
        <v>54</v>
      </c>
      <c r="AG34" t="s">
        <v>248</v>
      </c>
      <c r="AH34" t="s">
        <v>55</v>
      </c>
      <c r="AI34" t="s">
        <v>253</v>
      </c>
      <c r="AJ34" t="s">
        <v>254</v>
      </c>
      <c r="AK34" s="1">
        <v>4640</v>
      </c>
      <c r="AL34" t="s">
        <v>131</v>
      </c>
      <c r="AM34" t="s">
        <v>89</v>
      </c>
      <c r="AP34" t="s">
        <v>60</v>
      </c>
    </row>
    <row r="35" spans="1:42">
      <c r="A35" t="s">
        <v>157</v>
      </c>
      <c r="B35" t="s">
        <v>44</v>
      </c>
      <c r="C35" t="s">
        <v>255</v>
      </c>
      <c r="D35" t="s">
        <v>256</v>
      </c>
      <c r="F35" s="2" t="s">
        <v>227</v>
      </c>
      <c r="H35" t="s">
        <v>95</v>
      </c>
      <c r="I35" t="s">
        <v>96</v>
      </c>
      <c r="J35" t="s">
        <v>97</v>
      </c>
      <c r="K35" t="s">
        <v>114</v>
      </c>
      <c r="L35" t="s">
        <v>143</v>
      </c>
      <c r="Q35" t="s">
        <v>257</v>
      </c>
      <c r="AB35" t="s">
        <v>258</v>
      </c>
      <c r="AC35" t="s">
        <v>259</v>
      </c>
      <c r="AD35"/>
      <c r="AF35" t="s">
        <v>54</v>
      </c>
      <c r="AG35" t="s">
        <v>256</v>
      </c>
      <c r="AH35" t="s">
        <v>100</v>
      </c>
      <c r="AI35" t="s">
        <v>260</v>
      </c>
      <c r="AJ35" t="s">
        <v>261</v>
      </c>
      <c r="AK35" s="1">
        <v>46800</v>
      </c>
      <c r="AL35" t="s">
        <v>131</v>
      </c>
      <c r="AM35" t="s">
        <v>149</v>
      </c>
      <c r="AP35" t="s">
        <v>60</v>
      </c>
    </row>
    <row r="36" spans="1:42" hidden="1">
      <c r="A36" t="s">
        <v>157</v>
      </c>
      <c r="B36" t="s">
        <v>44</v>
      </c>
      <c r="C36" t="s">
        <v>262</v>
      </c>
      <c r="D36" t="s">
        <v>263</v>
      </c>
      <c r="F36" t="s">
        <v>180</v>
      </c>
      <c r="H36" t="s">
        <v>95</v>
      </c>
      <c r="I36" t="s">
        <v>182</v>
      </c>
      <c r="K36" t="s">
        <v>50</v>
      </c>
      <c r="M36" t="s">
        <v>51</v>
      </c>
      <c r="Z36" t="s">
        <v>123</v>
      </c>
      <c r="AB36" t="s">
        <v>264</v>
      </c>
      <c r="AD36"/>
      <c r="AF36" t="s">
        <v>54</v>
      </c>
      <c r="AG36" t="s">
        <v>263</v>
      </c>
      <c r="AH36" t="s">
        <v>55</v>
      </c>
      <c r="AI36" t="s">
        <v>265</v>
      </c>
      <c r="AJ36" t="s">
        <v>266</v>
      </c>
      <c r="AK36" s="1">
        <v>38640</v>
      </c>
      <c r="AL36" t="s">
        <v>157</v>
      </c>
      <c r="AM36" t="s">
        <v>120</v>
      </c>
      <c r="AP36" t="s">
        <v>60</v>
      </c>
    </row>
    <row r="37" spans="1:42" hidden="1">
      <c r="A37" t="s">
        <v>157</v>
      </c>
      <c r="B37" t="s">
        <v>210</v>
      </c>
      <c r="D37" t="s">
        <v>179</v>
      </c>
      <c r="F37" t="s">
        <v>180</v>
      </c>
      <c r="H37" t="s">
        <v>165</v>
      </c>
      <c r="I37" t="s">
        <v>182</v>
      </c>
      <c r="AD37" s="1">
        <v>6800</v>
      </c>
      <c r="AE37" t="s">
        <v>268</v>
      </c>
      <c r="AF37" t="s">
        <v>54</v>
      </c>
      <c r="AG37" t="s">
        <v>179</v>
      </c>
      <c r="AI37" t="s">
        <v>269</v>
      </c>
      <c r="AJ37" t="s">
        <v>270</v>
      </c>
      <c r="AK37" s="2"/>
      <c r="AL37" t="s">
        <v>157</v>
      </c>
      <c r="AM37" t="s">
        <v>224</v>
      </c>
      <c r="AP37" t="s">
        <v>60</v>
      </c>
    </row>
    <row r="38" spans="1:42" hidden="1">
      <c r="A38" t="s">
        <v>157</v>
      </c>
      <c r="B38" t="s">
        <v>44</v>
      </c>
      <c r="C38" t="s">
        <v>271</v>
      </c>
      <c r="D38" t="s">
        <v>272</v>
      </c>
      <c r="E38" t="s">
        <v>134</v>
      </c>
      <c r="F38" t="s">
        <v>273</v>
      </c>
      <c r="H38" t="s">
        <v>95</v>
      </c>
      <c r="I38" t="s">
        <v>72</v>
      </c>
      <c r="J38" t="s">
        <v>72</v>
      </c>
      <c r="K38" t="s">
        <v>50</v>
      </c>
      <c r="M38" t="s">
        <v>274</v>
      </c>
      <c r="S38" t="s">
        <v>275</v>
      </c>
      <c r="AB38" t="s">
        <v>276</v>
      </c>
      <c r="AC38" t="s">
        <v>277</v>
      </c>
      <c r="AD38"/>
      <c r="AF38" t="s">
        <v>54</v>
      </c>
      <c r="AG38" t="s">
        <v>272</v>
      </c>
      <c r="AH38" t="s">
        <v>100</v>
      </c>
      <c r="AI38" t="s">
        <v>278</v>
      </c>
      <c r="AJ38" t="s">
        <v>279</v>
      </c>
      <c r="AK38" s="1">
        <v>1800</v>
      </c>
      <c r="AL38" t="s">
        <v>127</v>
      </c>
      <c r="AM38" t="s">
        <v>280</v>
      </c>
      <c r="AP38" t="s">
        <v>60</v>
      </c>
    </row>
    <row r="39" spans="1:42" hidden="1">
      <c r="A39" t="s">
        <v>127</v>
      </c>
      <c r="B39" t="s">
        <v>44</v>
      </c>
      <c r="C39" t="s">
        <v>281</v>
      </c>
      <c r="D39" t="s">
        <v>282</v>
      </c>
      <c r="F39" t="s">
        <v>282</v>
      </c>
      <c r="H39" t="s">
        <v>165</v>
      </c>
      <c r="I39" t="s">
        <v>182</v>
      </c>
      <c r="K39" t="s">
        <v>50</v>
      </c>
      <c r="M39" t="s">
        <v>51</v>
      </c>
      <c r="Z39" t="s">
        <v>183</v>
      </c>
      <c r="AB39" t="s">
        <v>283</v>
      </c>
      <c r="AD39"/>
      <c r="AF39" t="s">
        <v>54</v>
      </c>
      <c r="AG39" t="s">
        <v>284</v>
      </c>
      <c r="AH39" t="s">
        <v>55</v>
      </c>
      <c r="AI39" t="s">
        <v>285</v>
      </c>
      <c r="AJ39" t="s">
        <v>286</v>
      </c>
      <c r="AK39" s="1">
        <v>4500</v>
      </c>
      <c r="AL39" t="s">
        <v>127</v>
      </c>
      <c r="AM39" t="s">
        <v>120</v>
      </c>
      <c r="AP39" t="s">
        <v>60</v>
      </c>
    </row>
    <row r="40" spans="1:42" hidden="1">
      <c r="A40" t="s">
        <v>127</v>
      </c>
      <c r="B40" t="s">
        <v>44</v>
      </c>
      <c r="C40" t="s">
        <v>287</v>
      </c>
      <c r="D40" t="s">
        <v>282</v>
      </c>
      <c r="F40" t="s">
        <v>282</v>
      </c>
      <c r="H40" t="s">
        <v>165</v>
      </c>
      <c r="I40" t="s">
        <v>182</v>
      </c>
      <c r="K40" t="s">
        <v>50</v>
      </c>
      <c r="M40" t="s">
        <v>51</v>
      </c>
      <c r="Z40" t="s">
        <v>183</v>
      </c>
      <c r="AB40" t="s">
        <v>283</v>
      </c>
      <c r="AD40"/>
      <c r="AF40" t="s">
        <v>54</v>
      </c>
      <c r="AG40" t="s">
        <v>284</v>
      </c>
      <c r="AH40" t="s">
        <v>55</v>
      </c>
      <c r="AI40" t="s">
        <v>285</v>
      </c>
      <c r="AJ40" t="s">
        <v>286</v>
      </c>
      <c r="AK40" s="1">
        <v>5850</v>
      </c>
      <c r="AL40" t="s">
        <v>127</v>
      </c>
      <c r="AM40" t="s">
        <v>120</v>
      </c>
      <c r="AP40" t="s">
        <v>60</v>
      </c>
    </row>
    <row r="41" spans="1:42" hidden="1">
      <c r="A41" t="s">
        <v>140</v>
      </c>
      <c r="B41" t="s">
        <v>44</v>
      </c>
      <c r="C41" t="s">
        <v>288</v>
      </c>
      <c r="D41" t="s">
        <v>263</v>
      </c>
      <c r="F41" t="s">
        <v>180</v>
      </c>
      <c r="H41" t="s">
        <v>82</v>
      </c>
      <c r="I41" t="s">
        <v>182</v>
      </c>
      <c r="K41" t="s">
        <v>114</v>
      </c>
      <c r="L41" t="s">
        <v>115</v>
      </c>
      <c r="O41" t="s">
        <v>73</v>
      </c>
      <c r="AB41" t="s">
        <v>289</v>
      </c>
      <c r="AD41"/>
      <c r="AF41" t="s">
        <v>54</v>
      </c>
      <c r="AG41" t="s">
        <v>263</v>
      </c>
      <c r="AH41" t="s">
        <v>55</v>
      </c>
      <c r="AI41" t="s">
        <v>290</v>
      </c>
      <c r="AJ41" t="s">
        <v>291</v>
      </c>
      <c r="AK41" s="1">
        <v>12150</v>
      </c>
      <c r="AL41" t="s">
        <v>140</v>
      </c>
      <c r="AM41" t="s">
        <v>292</v>
      </c>
      <c r="AO41" t="s">
        <v>90</v>
      </c>
      <c r="AP41" t="s">
        <v>60</v>
      </c>
    </row>
    <row r="42" spans="1:42" hidden="1">
      <c r="A42" t="s">
        <v>140</v>
      </c>
      <c r="B42" t="s">
        <v>44</v>
      </c>
      <c r="C42" t="s">
        <v>293</v>
      </c>
      <c r="D42" t="s">
        <v>256</v>
      </c>
      <c r="F42" t="s">
        <v>152</v>
      </c>
      <c r="H42" t="s">
        <v>294</v>
      </c>
      <c r="I42" t="s">
        <v>97</v>
      </c>
      <c r="K42" t="s">
        <v>50</v>
      </c>
      <c r="M42" t="s">
        <v>51</v>
      </c>
      <c r="Z42" t="s">
        <v>205</v>
      </c>
      <c r="AB42" t="s">
        <v>295</v>
      </c>
      <c r="AD42"/>
      <c r="AF42" t="s">
        <v>54</v>
      </c>
      <c r="AG42" t="s">
        <v>256</v>
      </c>
      <c r="AH42" t="s">
        <v>55</v>
      </c>
      <c r="AI42" t="s">
        <v>296</v>
      </c>
      <c r="AJ42" t="s">
        <v>297</v>
      </c>
      <c r="AK42" s="1">
        <v>10015.4</v>
      </c>
      <c r="AL42" t="s">
        <v>298</v>
      </c>
      <c r="AM42" t="s">
        <v>299</v>
      </c>
      <c r="AP42" t="s">
        <v>60</v>
      </c>
    </row>
    <row r="43" spans="1:42" hidden="1">
      <c r="A43" t="s">
        <v>140</v>
      </c>
      <c r="B43" t="s">
        <v>44</v>
      </c>
      <c r="C43" t="s">
        <v>300</v>
      </c>
      <c r="D43" t="s">
        <v>256</v>
      </c>
      <c r="F43" t="s">
        <v>152</v>
      </c>
      <c r="H43" t="s">
        <v>294</v>
      </c>
      <c r="I43" t="s">
        <v>97</v>
      </c>
      <c r="K43" t="s">
        <v>50</v>
      </c>
      <c r="M43" t="s">
        <v>51</v>
      </c>
      <c r="Z43" t="s">
        <v>205</v>
      </c>
      <c r="AB43" t="s">
        <v>295</v>
      </c>
      <c r="AD43"/>
      <c r="AF43" t="s">
        <v>54</v>
      </c>
      <c r="AG43" t="s">
        <v>256</v>
      </c>
      <c r="AH43" t="s">
        <v>55</v>
      </c>
      <c r="AI43" t="s">
        <v>296</v>
      </c>
      <c r="AJ43" t="s">
        <v>297</v>
      </c>
      <c r="AK43" s="1">
        <v>170.2</v>
      </c>
      <c r="AL43" t="s">
        <v>298</v>
      </c>
      <c r="AM43" t="s">
        <v>299</v>
      </c>
      <c r="AP43" t="s">
        <v>60</v>
      </c>
    </row>
    <row r="44" spans="1:42" hidden="1">
      <c r="A44" t="s">
        <v>140</v>
      </c>
      <c r="B44" t="s">
        <v>44</v>
      </c>
      <c r="C44" t="s">
        <v>301</v>
      </c>
      <c r="D44" t="s">
        <v>256</v>
      </c>
      <c r="F44" t="s">
        <v>152</v>
      </c>
      <c r="H44" t="s">
        <v>294</v>
      </c>
      <c r="I44" t="s">
        <v>97</v>
      </c>
      <c r="K44" t="s">
        <v>50</v>
      </c>
      <c r="M44" t="s">
        <v>51</v>
      </c>
      <c r="Z44" t="s">
        <v>205</v>
      </c>
      <c r="AB44" t="s">
        <v>295</v>
      </c>
      <c r="AD44"/>
      <c r="AF44" t="s">
        <v>54</v>
      </c>
      <c r="AG44" t="s">
        <v>256</v>
      </c>
      <c r="AH44" t="s">
        <v>55</v>
      </c>
      <c r="AI44" t="s">
        <v>296</v>
      </c>
      <c r="AJ44" t="s">
        <v>297</v>
      </c>
      <c r="AK44" s="1">
        <v>9739.7999999999993</v>
      </c>
      <c r="AL44" t="s">
        <v>298</v>
      </c>
      <c r="AM44" t="s">
        <v>299</v>
      </c>
      <c r="AP44" t="s">
        <v>60</v>
      </c>
    </row>
    <row r="45" spans="1:42">
      <c r="A45" t="s">
        <v>140</v>
      </c>
      <c r="B45" t="s">
        <v>44</v>
      </c>
      <c r="C45" t="s">
        <v>233</v>
      </c>
      <c r="D45" t="s">
        <v>163</v>
      </c>
      <c r="F45" s="2" t="s">
        <v>94</v>
      </c>
      <c r="H45" t="s">
        <v>240</v>
      </c>
      <c r="I45" t="s">
        <v>97</v>
      </c>
      <c r="K45" t="s">
        <v>50</v>
      </c>
      <c r="M45" t="s">
        <v>190</v>
      </c>
      <c r="Y45" t="s">
        <v>241</v>
      </c>
      <c r="AB45" t="s">
        <v>302</v>
      </c>
      <c r="AD45"/>
      <c r="AF45" t="s">
        <v>54</v>
      </c>
      <c r="AG45" t="s">
        <v>163</v>
      </c>
      <c r="AH45" t="s">
        <v>55</v>
      </c>
      <c r="AI45" t="s">
        <v>236</v>
      </c>
      <c r="AJ45" t="s">
        <v>237</v>
      </c>
      <c r="AK45" s="1">
        <v>21026.2</v>
      </c>
      <c r="AL45" t="s">
        <v>131</v>
      </c>
      <c r="AM45" t="s">
        <v>120</v>
      </c>
      <c r="AP45" t="s">
        <v>60</v>
      </c>
    </row>
    <row r="46" spans="1:42">
      <c r="A46" t="s">
        <v>140</v>
      </c>
      <c r="B46" t="s">
        <v>44</v>
      </c>
      <c r="C46" t="s">
        <v>303</v>
      </c>
      <c r="D46" t="s">
        <v>163</v>
      </c>
      <c r="F46" s="2" t="s">
        <v>94</v>
      </c>
      <c r="H46" t="s">
        <v>240</v>
      </c>
      <c r="I46" t="s">
        <v>97</v>
      </c>
      <c r="K46" t="s">
        <v>50</v>
      </c>
      <c r="M46" t="s">
        <v>190</v>
      </c>
      <c r="Y46" t="s">
        <v>241</v>
      </c>
      <c r="AB46" t="s">
        <v>302</v>
      </c>
      <c r="AD46"/>
      <c r="AF46" t="s">
        <v>54</v>
      </c>
      <c r="AG46" t="s">
        <v>163</v>
      </c>
      <c r="AH46" t="s">
        <v>55</v>
      </c>
      <c r="AI46" t="s">
        <v>236</v>
      </c>
      <c r="AJ46" t="s">
        <v>237</v>
      </c>
      <c r="AK46" s="1">
        <v>4732.1000000000004</v>
      </c>
      <c r="AL46" t="s">
        <v>131</v>
      </c>
      <c r="AM46" t="s">
        <v>120</v>
      </c>
      <c r="AP46" t="s">
        <v>60</v>
      </c>
    </row>
    <row r="47" spans="1:42">
      <c r="A47" t="s">
        <v>140</v>
      </c>
      <c r="B47" t="s">
        <v>44</v>
      </c>
      <c r="C47" t="s">
        <v>304</v>
      </c>
      <c r="D47" t="s">
        <v>305</v>
      </c>
      <c r="F47" s="2" t="s">
        <v>306</v>
      </c>
      <c r="H47" t="s">
        <v>181</v>
      </c>
      <c r="I47" t="s">
        <v>49</v>
      </c>
      <c r="K47" t="s">
        <v>50</v>
      </c>
      <c r="M47" t="s">
        <v>51</v>
      </c>
      <c r="Z47" t="s">
        <v>73</v>
      </c>
      <c r="AB47" t="s">
        <v>307</v>
      </c>
      <c r="AD47"/>
      <c r="AF47" t="s">
        <v>54</v>
      </c>
      <c r="AG47" t="s">
        <v>305</v>
      </c>
      <c r="AH47" t="s">
        <v>55</v>
      </c>
      <c r="AI47" t="s">
        <v>308</v>
      </c>
      <c r="AJ47" t="s">
        <v>309</v>
      </c>
      <c r="AK47" s="1">
        <v>6233.4</v>
      </c>
      <c r="AL47" t="s">
        <v>310</v>
      </c>
      <c r="AM47" t="s">
        <v>311</v>
      </c>
      <c r="AP47" t="s">
        <v>60</v>
      </c>
    </row>
    <row r="48" spans="1:42" hidden="1">
      <c r="A48" t="s">
        <v>140</v>
      </c>
      <c r="B48" t="s">
        <v>44</v>
      </c>
      <c r="C48" t="s">
        <v>312</v>
      </c>
      <c r="D48" t="s">
        <v>305</v>
      </c>
      <c r="F48" t="s">
        <v>152</v>
      </c>
      <c r="H48" t="s">
        <v>234</v>
      </c>
      <c r="I48" t="s">
        <v>49</v>
      </c>
      <c r="K48" t="s">
        <v>114</v>
      </c>
      <c r="L48" t="s">
        <v>313</v>
      </c>
      <c r="N48" t="s">
        <v>314</v>
      </c>
      <c r="AA48" t="s">
        <v>315</v>
      </c>
      <c r="AB48" t="s">
        <v>316</v>
      </c>
      <c r="AD48"/>
      <c r="AF48" t="s">
        <v>54</v>
      </c>
      <c r="AG48" t="s">
        <v>305</v>
      </c>
      <c r="AH48" t="s">
        <v>55</v>
      </c>
      <c r="AI48" t="s">
        <v>317</v>
      </c>
      <c r="AJ48" t="s">
        <v>318</v>
      </c>
      <c r="AK48" s="1">
        <v>16000</v>
      </c>
      <c r="AL48" t="s">
        <v>131</v>
      </c>
      <c r="AM48" t="s">
        <v>319</v>
      </c>
      <c r="AP48" t="s">
        <v>60</v>
      </c>
    </row>
    <row r="49" spans="1:42" hidden="1">
      <c r="A49" t="s">
        <v>88</v>
      </c>
      <c r="B49" t="s">
        <v>44</v>
      </c>
      <c r="C49" t="s">
        <v>320</v>
      </c>
      <c r="D49" t="s">
        <v>321</v>
      </c>
      <c r="F49" t="s">
        <v>322</v>
      </c>
      <c r="H49" t="s">
        <v>95</v>
      </c>
      <c r="I49" t="s">
        <v>96</v>
      </c>
      <c r="K49" t="s">
        <v>50</v>
      </c>
      <c r="M49" t="s">
        <v>51</v>
      </c>
      <c r="Z49" t="s">
        <v>116</v>
      </c>
      <c r="AB49" t="s">
        <v>323</v>
      </c>
      <c r="AD49"/>
      <c r="AF49" t="s">
        <v>54</v>
      </c>
      <c r="AG49" t="s">
        <v>321</v>
      </c>
      <c r="AH49" t="s">
        <v>55</v>
      </c>
      <c r="AI49" t="s">
        <v>324</v>
      </c>
      <c r="AJ49" t="s">
        <v>325</v>
      </c>
      <c r="AK49" s="1">
        <v>265500</v>
      </c>
      <c r="AL49" t="s">
        <v>131</v>
      </c>
      <c r="AM49" t="s">
        <v>326</v>
      </c>
      <c r="AP49" t="s">
        <v>60</v>
      </c>
    </row>
    <row r="50" spans="1:42" hidden="1">
      <c r="A50" t="s">
        <v>140</v>
      </c>
      <c r="B50" t="s">
        <v>44</v>
      </c>
      <c r="C50" t="s">
        <v>327</v>
      </c>
      <c r="D50" t="s">
        <v>328</v>
      </c>
      <c r="F50" t="s">
        <v>329</v>
      </c>
      <c r="H50" t="s">
        <v>330</v>
      </c>
      <c r="I50" t="s">
        <v>96</v>
      </c>
      <c r="K50" t="s">
        <v>114</v>
      </c>
      <c r="L50" t="s">
        <v>115</v>
      </c>
      <c r="O50" t="s">
        <v>331</v>
      </c>
      <c r="AB50" t="s">
        <v>332</v>
      </c>
      <c r="AD50"/>
      <c r="AF50" t="s">
        <v>54</v>
      </c>
      <c r="AG50" t="s">
        <v>328</v>
      </c>
      <c r="AH50" t="s">
        <v>55</v>
      </c>
      <c r="AI50" t="s">
        <v>333</v>
      </c>
      <c r="AJ50" t="s">
        <v>334</v>
      </c>
      <c r="AK50" s="1">
        <v>31300</v>
      </c>
      <c r="AL50" t="s">
        <v>131</v>
      </c>
      <c r="AM50" t="s">
        <v>89</v>
      </c>
      <c r="AP50" t="s">
        <v>60</v>
      </c>
    </row>
    <row r="51" spans="1:42" hidden="1">
      <c r="A51" t="s">
        <v>140</v>
      </c>
      <c r="B51" t="s">
        <v>44</v>
      </c>
      <c r="C51" t="s">
        <v>335</v>
      </c>
      <c r="D51" t="s">
        <v>226</v>
      </c>
      <c r="F51" t="s">
        <v>336</v>
      </c>
      <c r="H51" t="s">
        <v>330</v>
      </c>
      <c r="I51" t="s">
        <v>97</v>
      </c>
      <c r="K51" t="s">
        <v>114</v>
      </c>
      <c r="L51" t="s">
        <v>115</v>
      </c>
      <c r="O51" t="s">
        <v>331</v>
      </c>
      <c r="AB51" t="s">
        <v>337</v>
      </c>
      <c r="AD51"/>
      <c r="AF51" t="s">
        <v>54</v>
      </c>
      <c r="AG51" t="s">
        <v>226</v>
      </c>
      <c r="AH51" t="s">
        <v>55</v>
      </c>
      <c r="AI51" t="s">
        <v>338</v>
      </c>
      <c r="AJ51" t="s">
        <v>339</v>
      </c>
      <c r="AK51" s="1">
        <v>10000</v>
      </c>
      <c r="AL51" t="s">
        <v>340</v>
      </c>
      <c r="AM51" t="s">
        <v>341</v>
      </c>
      <c r="AP51" t="s">
        <v>60</v>
      </c>
    </row>
    <row r="52" spans="1:42" hidden="1">
      <c r="A52" t="s">
        <v>298</v>
      </c>
      <c r="B52" t="s">
        <v>44</v>
      </c>
      <c r="C52" t="s">
        <v>342</v>
      </c>
      <c r="D52" t="s">
        <v>328</v>
      </c>
      <c r="F52" t="s">
        <v>343</v>
      </c>
      <c r="H52" t="s">
        <v>122</v>
      </c>
      <c r="I52" t="s">
        <v>96</v>
      </c>
      <c r="K52" t="s">
        <v>50</v>
      </c>
      <c r="M52" t="s">
        <v>51</v>
      </c>
      <c r="Z52" t="s">
        <v>73</v>
      </c>
      <c r="AB52" t="s">
        <v>344</v>
      </c>
      <c r="AD52"/>
      <c r="AF52" t="s">
        <v>54</v>
      </c>
      <c r="AG52" t="s">
        <v>328</v>
      </c>
      <c r="AH52" t="s">
        <v>55</v>
      </c>
      <c r="AI52" t="s">
        <v>345</v>
      </c>
      <c r="AJ52" t="s">
        <v>346</v>
      </c>
      <c r="AK52" s="1">
        <v>3100</v>
      </c>
      <c r="AL52" t="s">
        <v>298</v>
      </c>
      <c r="AM52" t="s">
        <v>347</v>
      </c>
      <c r="AO52" t="s">
        <v>90</v>
      </c>
      <c r="AP52" t="s">
        <v>60</v>
      </c>
    </row>
    <row r="53" spans="1:42" hidden="1">
      <c r="A53" t="s">
        <v>140</v>
      </c>
      <c r="B53" t="s">
        <v>210</v>
      </c>
      <c r="D53" t="s">
        <v>80</v>
      </c>
      <c r="F53" t="s">
        <v>81</v>
      </c>
      <c r="H53" t="s">
        <v>153</v>
      </c>
      <c r="I53" t="s">
        <v>83</v>
      </c>
      <c r="AD53" s="1">
        <v>5439.3</v>
      </c>
      <c r="AE53" t="s">
        <v>349</v>
      </c>
      <c r="AF53" t="s">
        <v>54</v>
      </c>
      <c r="AG53" t="s">
        <v>80</v>
      </c>
      <c r="AI53" t="s">
        <v>350</v>
      </c>
      <c r="AJ53" t="s">
        <v>351</v>
      </c>
      <c r="AK53" s="2"/>
      <c r="AM53" t="s">
        <v>238</v>
      </c>
      <c r="AP53" t="s">
        <v>60</v>
      </c>
    </row>
    <row r="54" spans="1:42" hidden="1">
      <c r="A54" t="s">
        <v>140</v>
      </c>
      <c r="B54" t="s">
        <v>210</v>
      </c>
      <c r="D54" t="s">
        <v>80</v>
      </c>
      <c r="F54" t="s">
        <v>81</v>
      </c>
      <c r="H54" t="s">
        <v>95</v>
      </c>
      <c r="I54" t="s">
        <v>83</v>
      </c>
      <c r="AD54" s="1">
        <v>7860.7</v>
      </c>
      <c r="AE54" t="s">
        <v>353</v>
      </c>
      <c r="AF54" t="s">
        <v>54</v>
      </c>
      <c r="AG54" t="s">
        <v>80</v>
      </c>
      <c r="AI54" t="s">
        <v>350</v>
      </c>
      <c r="AJ54" t="s">
        <v>351</v>
      </c>
      <c r="AK54" s="2"/>
      <c r="AM54" t="s">
        <v>238</v>
      </c>
      <c r="AP54" t="s">
        <v>60</v>
      </c>
    </row>
    <row r="55" spans="1:42" hidden="1">
      <c r="A55" t="s">
        <v>298</v>
      </c>
      <c r="B55" t="s">
        <v>210</v>
      </c>
      <c r="D55" t="s">
        <v>142</v>
      </c>
      <c r="F55" t="s">
        <v>354</v>
      </c>
      <c r="H55" t="s">
        <v>113</v>
      </c>
      <c r="I55" t="s">
        <v>97</v>
      </c>
      <c r="AD55" s="1">
        <v>9349.7000000000007</v>
      </c>
      <c r="AE55" t="s">
        <v>355</v>
      </c>
      <c r="AF55" t="s">
        <v>54</v>
      </c>
      <c r="AG55" t="s">
        <v>142</v>
      </c>
      <c r="AI55" t="s">
        <v>356</v>
      </c>
      <c r="AJ55" t="s">
        <v>357</v>
      </c>
      <c r="AK55" s="2"/>
      <c r="AL55" t="s">
        <v>298</v>
      </c>
      <c r="AM55" t="s">
        <v>224</v>
      </c>
      <c r="AP55" t="s">
        <v>60</v>
      </c>
    </row>
    <row r="56" spans="1:42" hidden="1">
      <c r="A56" t="s">
        <v>298</v>
      </c>
      <c r="B56" t="s">
        <v>210</v>
      </c>
      <c r="D56" t="s">
        <v>163</v>
      </c>
      <c r="F56" t="s">
        <v>47</v>
      </c>
      <c r="H56" t="s">
        <v>153</v>
      </c>
      <c r="I56" t="s">
        <v>97</v>
      </c>
      <c r="AD56" s="1">
        <v>9849.7000000000007</v>
      </c>
      <c r="AE56" t="s">
        <v>358</v>
      </c>
      <c r="AF56" t="s">
        <v>54</v>
      </c>
      <c r="AG56" t="s">
        <v>163</v>
      </c>
      <c r="AI56" t="s">
        <v>359</v>
      </c>
      <c r="AJ56" t="s">
        <v>360</v>
      </c>
      <c r="AK56" s="2"/>
      <c r="AL56" t="s">
        <v>298</v>
      </c>
      <c r="AM56" t="s">
        <v>224</v>
      </c>
      <c r="AP56" t="s">
        <v>60</v>
      </c>
    </row>
    <row r="57" spans="1:42" hidden="1">
      <c r="A57" t="s">
        <v>140</v>
      </c>
      <c r="B57" t="s">
        <v>44</v>
      </c>
      <c r="C57" t="s">
        <v>361</v>
      </c>
      <c r="D57" t="s">
        <v>80</v>
      </c>
      <c r="F57" t="s">
        <v>81</v>
      </c>
      <c r="H57" t="s">
        <v>95</v>
      </c>
      <c r="I57" t="s">
        <v>83</v>
      </c>
      <c r="J57" t="s">
        <v>83</v>
      </c>
      <c r="K57" t="s">
        <v>114</v>
      </c>
      <c r="L57" t="s">
        <v>197</v>
      </c>
      <c r="P57" t="s">
        <v>191</v>
      </c>
      <c r="AB57" t="s">
        <v>362</v>
      </c>
      <c r="AC57" t="s">
        <v>348</v>
      </c>
      <c r="AD57"/>
      <c r="AF57" t="s">
        <v>54</v>
      </c>
      <c r="AG57" t="s">
        <v>80</v>
      </c>
      <c r="AH57" t="s">
        <v>100</v>
      </c>
      <c r="AI57" t="s">
        <v>350</v>
      </c>
      <c r="AJ57" t="s">
        <v>351</v>
      </c>
      <c r="AK57" s="1">
        <v>5439.3</v>
      </c>
      <c r="AL57" t="s">
        <v>363</v>
      </c>
      <c r="AM57" t="s">
        <v>364</v>
      </c>
      <c r="AP57" t="s">
        <v>60</v>
      </c>
    </row>
    <row r="58" spans="1:42" hidden="1">
      <c r="A58" t="s">
        <v>140</v>
      </c>
      <c r="B58" t="s">
        <v>44</v>
      </c>
      <c r="C58" t="s">
        <v>365</v>
      </c>
      <c r="D58" t="s">
        <v>80</v>
      </c>
      <c r="F58" t="s">
        <v>81</v>
      </c>
      <c r="H58" t="s">
        <v>95</v>
      </c>
      <c r="I58" t="s">
        <v>83</v>
      </c>
      <c r="J58" t="s">
        <v>83</v>
      </c>
      <c r="K58" t="s">
        <v>114</v>
      </c>
      <c r="L58" t="s">
        <v>197</v>
      </c>
      <c r="P58" t="s">
        <v>191</v>
      </c>
      <c r="AB58" t="s">
        <v>366</v>
      </c>
      <c r="AC58" t="s">
        <v>352</v>
      </c>
      <c r="AD58"/>
      <c r="AF58" t="s">
        <v>54</v>
      </c>
      <c r="AG58" t="s">
        <v>80</v>
      </c>
      <c r="AH58" t="s">
        <v>100</v>
      </c>
      <c r="AI58" t="s">
        <v>350</v>
      </c>
      <c r="AJ58" t="s">
        <v>351</v>
      </c>
      <c r="AK58" s="1">
        <v>7860.7</v>
      </c>
      <c r="AL58" t="s">
        <v>363</v>
      </c>
      <c r="AM58" t="s">
        <v>364</v>
      </c>
      <c r="AP58" t="s">
        <v>60</v>
      </c>
    </row>
    <row r="59" spans="1:42" hidden="1">
      <c r="A59" t="s">
        <v>298</v>
      </c>
      <c r="B59" t="s">
        <v>44</v>
      </c>
      <c r="C59" t="s">
        <v>367</v>
      </c>
      <c r="D59" t="s">
        <v>368</v>
      </c>
      <c r="F59" t="s">
        <v>173</v>
      </c>
      <c r="H59" t="s">
        <v>165</v>
      </c>
      <c r="I59" t="s">
        <v>97</v>
      </c>
      <c r="K59" t="s">
        <v>50</v>
      </c>
      <c r="M59" t="s">
        <v>51</v>
      </c>
      <c r="Z59" t="s">
        <v>205</v>
      </c>
      <c r="AB59" t="s">
        <v>369</v>
      </c>
      <c r="AD59"/>
      <c r="AF59" t="s">
        <v>54</v>
      </c>
      <c r="AG59" t="s">
        <v>368</v>
      </c>
      <c r="AH59" t="s">
        <v>55</v>
      </c>
      <c r="AI59" t="s">
        <v>370</v>
      </c>
      <c r="AJ59" t="s">
        <v>371</v>
      </c>
      <c r="AK59" s="1">
        <v>594</v>
      </c>
      <c r="AL59" t="s">
        <v>310</v>
      </c>
      <c r="AM59" t="s">
        <v>372</v>
      </c>
      <c r="AP59" t="s">
        <v>60</v>
      </c>
    </row>
    <row r="60" spans="1:42" hidden="1">
      <c r="A60" t="s">
        <v>298</v>
      </c>
      <c r="B60" t="s">
        <v>44</v>
      </c>
      <c r="C60" t="s">
        <v>373</v>
      </c>
      <c r="D60" t="s">
        <v>368</v>
      </c>
      <c r="F60" t="s">
        <v>173</v>
      </c>
      <c r="H60" t="s">
        <v>165</v>
      </c>
      <c r="I60" t="s">
        <v>97</v>
      </c>
      <c r="K60" t="s">
        <v>114</v>
      </c>
      <c r="L60" t="s">
        <v>115</v>
      </c>
      <c r="O60" t="s">
        <v>205</v>
      </c>
      <c r="AB60" t="s">
        <v>369</v>
      </c>
      <c r="AD60"/>
      <c r="AF60" t="s">
        <v>54</v>
      </c>
      <c r="AG60" t="s">
        <v>368</v>
      </c>
      <c r="AH60" t="s">
        <v>55</v>
      </c>
      <c r="AI60" t="s">
        <v>370</v>
      </c>
      <c r="AJ60" t="s">
        <v>371</v>
      </c>
      <c r="AK60" s="1">
        <v>11900</v>
      </c>
      <c r="AL60" t="s">
        <v>310</v>
      </c>
      <c r="AM60" t="s">
        <v>372</v>
      </c>
      <c r="AP60" t="s">
        <v>60</v>
      </c>
    </row>
    <row r="61" spans="1:42" hidden="1">
      <c r="A61" t="s">
        <v>374</v>
      </c>
      <c r="B61" t="s">
        <v>210</v>
      </c>
      <c r="D61" t="s">
        <v>375</v>
      </c>
      <c r="F61" t="s">
        <v>47</v>
      </c>
      <c r="H61" t="s">
        <v>376</v>
      </c>
      <c r="I61" t="s">
        <v>97</v>
      </c>
      <c r="AD61" s="1">
        <v>12250</v>
      </c>
      <c r="AE61" t="s">
        <v>377</v>
      </c>
      <c r="AF61" t="s">
        <v>54</v>
      </c>
      <c r="AG61" t="s">
        <v>375</v>
      </c>
      <c r="AI61" t="s">
        <v>378</v>
      </c>
      <c r="AJ61" t="s">
        <v>379</v>
      </c>
      <c r="AK61" s="2"/>
      <c r="AL61" t="s">
        <v>374</v>
      </c>
      <c r="AM61" t="s">
        <v>224</v>
      </c>
      <c r="AP61" t="s">
        <v>60</v>
      </c>
    </row>
    <row r="62" spans="1:42" hidden="1">
      <c r="A62" t="s">
        <v>374</v>
      </c>
      <c r="B62" t="s">
        <v>44</v>
      </c>
      <c r="C62" t="s">
        <v>380</v>
      </c>
      <c r="D62" t="s">
        <v>151</v>
      </c>
      <c r="F62" t="s">
        <v>381</v>
      </c>
      <c r="H62" t="s">
        <v>113</v>
      </c>
      <c r="I62" t="s">
        <v>97</v>
      </c>
      <c r="K62" t="s">
        <v>50</v>
      </c>
      <c r="M62" t="s">
        <v>51</v>
      </c>
      <c r="Z62" t="s">
        <v>382</v>
      </c>
      <c r="AB62" t="s">
        <v>383</v>
      </c>
      <c r="AD62"/>
      <c r="AF62" t="s">
        <v>54</v>
      </c>
      <c r="AG62" t="s">
        <v>151</v>
      </c>
      <c r="AH62" t="s">
        <v>55</v>
      </c>
      <c r="AI62" t="s">
        <v>384</v>
      </c>
      <c r="AJ62" t="s">
        <v>385</v>
      </c>
      <c r="AK62" s="1">
        <v>674.3</v>
      </c>
      <c r="AL62" t="s">
        <v>386</v>
      </c>
      <c r="AM62" t="s">
        <v>387</v>
      </c>
      <c r="AP62" t="s">
        <v>60</v>
      </c>
    </row>
    <row r="63" spans="1:42" hidden="1">
      <c r="A63" t="s">
        <v>374</v>
      </c>
      <c r="B63" t="s">
        <v>44</v>
      </c>
      <c r="C63" t="s">
        <v>388</v>
      </c>
      <c r="D63" t="s">
        <v>151</v>
      </c>
      <c r="F63" t="s">
        <v>381</v>
      </c>
      <c r="H63" t="s">
        <v>113</v>
      </c>
      <c r="I63" t="s">
        <v>97</v>
      </c>
      <c r="K63" t="s">
        <v>50</v>
      </c>
      <c r="M63" t="s">
        <v>51</v>
      </c>
      <c r="Z63" t="s">
        <v>382</v>
      </c>
      <c r="AB63" t="s">
        <v>383</v>
      </c>
      <c r="AD63"/>
      <c r="AF63" t="s">
        <v>54</v>
      </c>
      <c r="AG63" t="s">
        <v>151</v>
      </c>
      <c r="AH63" t="s">
        <v>55</v>
      </c>
      <c r="AI63" t="s">
        <v>384</v>
      </c>
      <c r="AJ63" t="s">
        <v>385</v>
      </c>
      <c r="AK63" s="1">
        <v>1316.9</v>
      </c>
      <c r="AL63" t="s">
        <v>386</v>
      </c>
      <c r="AM63" t="s">
        <v>387</v>
      </c>
      <c r="AP63" t="s">
        <v>60</v>
      </c>
    </row>
    <row r="64" spans="1:42" hidden="1">
      <c r="A64" t="s">
        <v>374</v>
      </c>
      <c r="B64" t="s">
        <v>44</v>
      </c>
      <c r="C64" t="s">
        <v>389</v>
      </c>
      <c r="D64" t="s">
        <v>151</v>
      </c>
      <c r="F64" t="s">
        <v>381</v>
      </c>
      <c r="H64" t="s">
        <v>113</v>
      </c>
      <c r="I64" t="s">
        <v>97</v>
      </c>
      <c r="K64" t="s">
        <v>50</v>
      </c>
      <c r="M64" t="s">
        <v>51</v>
      </c>
      <c r="Z64" t="s">
        <v>382</v>
      </c>
      <c r="AB64" t="s">
        <v>383</v>
      </c>
      <c r="AD64"/>
      <c r="AF64" t="s">
        <v>54</v>
      </c>
      <c r="AG64" t="s">
        <v>151</v>
      </c>
      <c r="AH64" t="s">
        <v>55</v>
      </c>
      <c r="AI64" t="s">
        <v>384</v>
      </c>
      <c r="AJ64" t="s">
        <v>385</v>
      </c>
      <c r="AK64" s="1">
        <v>25062.400000000001</v>
      </c>
      <c r="AL64" t="s">
        <v>390</v>
      </c>
      <c r="AM64" t="s">
        <v>387</v>
      </c>
      <c r="AP64" t="s">
        <v>60</v>
      </c>
    </row>
    <row r="65" spans="1:42">
      <c r="A65" t="s">
        <v>374</v>
      </c>
      <c r="B65" t="s">
        <v>44</v>
      </c>
      <c r="C65" t="s">
        <v>391</v>
      </c>
      <c r="D65" t="s">
        <v>248</v>
      </c>
      <c r="F65" s="2" t="s">
        <v>94</v>
      </c>
      <c r="H65" t="s">
        <v>234</v>
      </c>
      <c r="I65" t="s">
        <v>97</v>
      </c>
      <c r="K65" t="s">
        <v>50</v>
      </c>
      <c r="M65" t="s">
        <v>51</v>
      </c>
      <c r="Z65" t="s">
        <v>216</v>
      </c>
      <c r="AB65" t="s">
        <v>392</v>
      </c>
      <c r="AD65"/>
      <c r="AF65" t="s">
        <v>54</v>
      </c>
      <c r="AG65" t="s">
        <v>248</v>
      </c>
      <c r="AH65" t="s">
        <v>55</v>
      </c>
      <c r="AI65" t="s">
        <v>236</v>
      </c>
      <c r="AJ65" t="s">
        <v>237</v>
      </c>
      <c r="AK65" s="1">
        <v>727</v>
      </c>
      <c r="AL65" t="s">
        <v>393</v>
      </c>
      <c r="AM65" t="s">
        <v>394</v>
      </c>
      <c r="AP65" t="s">
        <v>60</v>
      </c>
    </row>
    <row r="66" spans="1:42" hidden="1">
      <c r="A66" t="s">
        <v>374</v>
      </c>
      <c r="B66" t="s">
        <v>210</v>
      </c>
      <c r="D66" t="s">
        <v>395</v>
      </c>
      <c r="F66" t="s">
        <v>199</v>
      </c>
      <c r="H66" t="s">
        <v>48</v>
      </c>
      <c r="I66" t="s">
        <v>97</v>
      </c>
      <c r="AD66" s="1">
        <v>1552.8</v>
      </c>
      <c r="AE66" t="s">
        <v>396</v>
      </c>
      <c r="AF66" t="s">
        <v>54</v>
      </c>
      <c r="AG66" t="s">
        <v>395</v>
      </c>
      <c r="AI66" t="s">
        <v>397</v>
      </c>
      <c r="AJ66" t="s">
        <v>398</v>
      </c>
      <c r="AK66" s="2"/>
      <c r="AL66" t="s">
        <v>374</v>
      </c>
      <c r="AM66" t="s">
        <v>224</v>
      </c>
      <c r="AP66" t="s">
        <v>60</v>
      </c>
    </row>
    <row r="67" spans="1:42" hidden="1">
      <c r="A67" t="s">
        <v>298</v>
      </c>
      <c r="B67" t="s">
        <v>44</v>
      </c>
      <c r="C67" t="s">
        <v>399</v>
      </c>
      <c r="D67" t="s">
        <v>400</v>
      </c>
      <c r="F67" t="s">
        <v>401</v>
      </c>
      <c r="H67" t="s">
        <v>165</v>
      </c>
      <c r="I67" t="s">
        <v>83</v>
      </c>
      <c r="K67" t="s">
        <v>50</v>
      </c>
      <c r="M67" t="s">
        <v>190</v>
      </c>
      <c r="Y67" t="s">
        <v>241</v>
      </c>
      <c r="AB67" t="s">
        <v>402</v>
      </c>
      <c r="AD67"/>
      <c r="AF67" t="s">
        <v>54</v>
      </c>
      <c r="AG67" t="s">
        <v>400</v>
      </c>
      <c r="AH67" t="s">
        <v>55</v>
      </c>
      <c r="AI67" t="s">
        <v>403</v>
      </c>
      <c r="AJ67" t="s">
        <v>404</v>
      </c>
      <c r="AK67" s="1">
        <v>3000</v>
      </c>
      <c r="AL67" t="s">
        <v>363</v>
      </c>
      <c r="AM67" t="s">
        <v>89</v>
      </c>
      <c r="AO67" t="s">
        <v>90</v>
      </c>
      <c r="AP67" t="s">
        <v>60</v>
      </c>
    </row>
    <row r="68" spans="1:42" hidden="1">
      <c r="A68" t="s">
        <v>363</v>
      </c>
      <c r="B68" t="s">
        <v>44</v>
      </c>
      <c r="C68" t="s">
        <v>405</v>
      </c>
      <c r="D68" t="s">
        <v>282</v>
      </c>
      <c r="F68" t="s">
        <v>282</v>
      </c>
      <c r="H68" t="s">
        <v>406</v>
      </c>
      <c r="I68" t="s">
        <v>182</v>
      </c>
      <c r="K68" t="s">
        <v>50</v>
      </c>
      <c r="M68" t="s">
        <v>51</v>
      </c>
      <c r="Z68" t="s">
        <v>183</v>
      </c>
      <c r="AB68" t="s">
        <v>407</v>
      </c>
      <c r="AD68"/>
      <c r="AF68" t="s">
        <v>54</v>
      </c>
      <c r="AG68" t="s">
        <v>282</v>
      </c>
      <c r="AH68" t="s">
        <v>55</v>
      </c>
      <c r="AI68" t="s">
        <v>408</v>
      </c>
      <c r="AJ68" t="s">
        <v>409</v>
      </c>
      <c r="AK68" s="1">
        <v>12150</v>
      </c>
      <c r="AL68" t="s">
        <v>363</v>
      </c>
      <c r="AM68" t="s">
        <v>89</v>
      </c>
      <c r="AO68" t="s">
        <v>90</v>
      </c>
      <c r="AP68" t="s">
        <v>60</v>
      </c>
    </row>
    <row r="69" spans="1:42" hidden="1">
      <c r="A69" t="s">
        <v>363</v>
      </c>
      <c r="B69" t="s">
        <v>210</v>
      </c>
      <c r="D69" t="s">
        <v>368</v>
      </c>
      <c r="F69" t="s">
        <v>47</v>
      </c>
      <c r="H69" t="s">
        <v>410</v>
      </c>
      <c r="I69" t="s">
        <v>97</v>
      </c>
      <c r="AD69" s="1">
        <v>9959.6</v>
      </c>
      <c r="AE69" t="s">
        <v>411</v>
      </c>
      <c r="AF69" t="s">
        <v>54</v>
      </c>
      <c r="AG69" t="s">
        <v>368</v>
      </c>
      <c r="AI69" t="s">
        <v>412</v>
      </c>
      <c r="AJ69" t="s">
        <v>413</v>
      </c>
      <c r="AK69" s="2"/>
      <c r="AL69" t="s">
        <v>363</v>
      </c>
      <c r="AM69" t="s">
        <v>224</v>
      </c>
      <c r="AP69" t="s">
        <v>60</v>
      </c>
    </row>
    <row r="70" spans="1:42" hidden="1">
      <c r="A70" t="s">
        <v>363</v>
      </c>
      <c r="B70" t="s">
        <v>44</v>
      </c>
      <c r="C70" t="s">
        <v>414</v>
      </c>
      <c r="D70" t="s">
        <v>415</v>
      </c>
      <c r="F70" t="s">
        <v>336</v>
      </c>
      <c r="H70" t="s">
        <v>416</v>
      </c>
      <c r="I70" t="s">
        <v>72</v>
      </c>
      <c r="K70" t="s">
        <v>50</v>
      </c>
      <c r="M70" t="s">
        <v>190</v>
      </c>
      <c r="Y70" t="s">
        <v>241</v>
      </c>
      <c r="AB70" t="s">
        <v>417</v>
      </c>
      <c r="AD70"/>
      <c r="AF70" t="s">
        <v>54</v>
      </c>
      <c r="AG70" t="s">
        <v>415</v>
      </c>
      <c r="AH70" t="s">
        <v>55</v>
      </c>
      <c r="AI70" t="s">
        <v>418</v>
      </c>
      <c r="AJ70" t="s">
        <v>419</v>
      </c>
      <c r="AK70" s="1">
        <v>10100</v>
      </c>
      <c r="AL70" t="s">
        <v>340</v>
      </c>
      <c r="AM70" t="s">
        <v>420</v>
      </c>
      <c r="AP70" t="s">
        <v>60</v>
      </c>
    </row>
    <row r="71" spans="1:42" hidden="1">
      <c r="A71" t="s">
        <v>363</v>
      </c>
      <c r="B71" t="s">
        <v>44</v>
      </c>
      <c r="C71" t="s">
        <v>421</v>
      </c>
      <c r="D71" t="s">
        <v>415</v>
      </c>
      <c r="F71" t="s">
        <v>135</v>
      </c>
      <c r="H71" t="s">
        <v>82</v>
      </c>
      <c r="I71" t="s">
        <v>72</v>
      </c>
      <c r="K71" t="s">
        <v>114</v>
      </c>
      <c r="L71" t="s">
        <v>143</v>
      </c>
      <c r="Q71" t="s">
        <v>422</v>
      </c>
      <c r="AB71" t="s">
        <v>423</v>
      </c>
      <c r="AD71"/>
      <c r="AF71" t="s">
        <v>54</v>
      </c>
      <c r="AG71" t="s">
        <v>135</v>
      </c>
      <c r="AH71" t="s">
        <v>55</v>
      </c>
      <c r="AI71" t="s">
        <v>424</v>
      </c>
      <c r="AJ71" t="s">
        <v>425</v>
      </c>
      <c r="AK71" s="1">
        <v>500</v>
      </c>
      <c r="AL71" t="s">
        <v>426</v>
      </c>
      <c r="AM71" t="s">
        <v>427</v>
      </c>
      <c r="AP71" t="s">
        <v>60</v>
      </c>
    </row>
    <row r="72" spans="1:42" hidden="1">
      <c r="A72" t="s">
        <v>363</v>
      </c>
      <c r="B72" t="s">
        <v>44</v>
      </c>
      <c r="C72" t="s">
        <v>428</v>
      </c>
      <c r="D72" t="s">
        <v>368</v>
      </c>
      <c r="F72" t="s">
        <v>152</v>
      </c>
      <c r="H72" t="s">
        <v>189</v>
      </c>
      <c r="I72" t="s">
        <v>97</v>
      </c>
      <c r="K72" t="s">
        <v>114</v>
      </c>
      <c r="L72" t="s">
        <v>115</v>
      </c>
      <c r="O72" t="s">
        <v>84</v>
      </c>
      <c r="AB72" t="s">
        <v>429</v>
      </c>
      <c r="AD72"/>
      <c r="AF72" t="s">
        <v>54</v>
      </c>
      <c r="AG72" t="s">
        <v>368</v>
      </c>
      <c r="AH72" t="s">
        <v>55</v>
      </c>
      <c r="AI72" t="s">
        <v>430</v>
      </c>
      <c r="AJ72" t="s">
        <v>431</v>
      </c>
      <c r="AK72" s="1">
        <v>2999</v>
      </c>
      <c r="AL72" t="s">
        <v>340</v>
      </c>
      <c r="AM72" t="s">
        <v>432</v>
      </c>
      <c r="AP72" t="s">
        <v>60</v>
      </c>
    </row>
    <row r="73" spans="1:42" hidden="1">
      <c r="A73" t="s">
        <v>363</v>
      </c>
      <c r="B73" t="s">
        <v>44</v>
      </c>
      <c r="C73" t="s">
        <v>433</v>
      </c>
      <c r="D73" t="s">
        <v>368</v>
      </c>
      <c r="F73" t="s">
        <v>152</v>
      </c>
      <c r="H73" t="s">
        <v>189</v>
      </c>
      <c r="I73" t="s">
        <v>97</v>
      </c>
      <c r="K73" t="s">
        <v>114</v>
      </c>
      <c r="L73" t="s">
        <v>115</v>
      </c>
      <c r="O73" t="s">
        <v>84</v>
      </c>
      <c r="AB73" t="s">
        <v>429</v>
      </c>
      <c r="AD73"/>
      <c r="AF73" t="s">
        <v>54</v>
      </c>
      <c r="AG73" t="s">
        <v>368</v>
      </c>
      <c r="AH73" t="s">
        <v>55</v>
      </c>
      <c r="AI73" t="s">
        <v>430</v>
      </c>
      <c r="AJ73" t="s">
        <v>431</v>
      </c>
      <c r="AK73" s="1">
        <v>5333.4</v>
      </c>
      <c r="AL73" t="s">
        <v>340</v>
      </c>
      <c r="AM73" t="s">
        <v>434</v>
      </c>
      <c r="AP73" t="s">
        <v>60</v>
      </c>
    </row>
    <row r="74" spans="1:42" hidden="1">
      <c r="A74" t="s">
        <v>363</v>
      </c>
      <c r="B74" t="s">
        <v>44</v>
      </c>
      <c r="C74" t="s">
        <v>435</v>
      </c>
      <c r="D74" t="s">
        <v>368</v>
      </c>
      <c r="F74" t="s">
        <v>152</v>
      </c>
      <c r="H74" t="s">
        <v>189</v>
      </c>
      <c r="I74" t="s">
        <v>97</v>
      </c>
      <c r="K74" t="s">
        <v>114</v>
      </c>
      <c r="L74" t="s">
        <v>115</v>
      </c>
      <c r="O74" t="s">
        <v>84</v>
      </c>
      <c r="AB74" t="s">
        <v>429</v>
      </c>
      <c r="AD74"/>
      <c r="AF74" t="s">
        <v>54</v>
      </c>
      <c r="AG74" t="s">
        <v>368</v>
      </c>
      <c r="AH74" t="s">
        <v>55</v>
      </c>
      <c r="AI74" t="s">
        <v>430</v>
      </c>
      <c r="AJ74" t="s">
        <v>431</v>
      </c>
      <c r="AK74" s="1">
        <v>6800.7</v>
      </c>
      <c r="AL74" t="s">
        <v>340</v>
      </c>
      <c r="AM74" t="s">
        <v>436</v>
      </c>
      <c r="AP74" t="s">
        <v>60</v>
      </c>
    </row>
    <row r="75" spans="1:42" hidden="1">
      <c r="A75" t="s">
        <v>131</v>
      </c>
      <c r="B75" t="s">
        <v>210</v>
      </c>
      <c r="D75" t="s">
        <v>151</v>
      </c>
      <c r="F75" t="s">
        <v>70</v>
      </c>
      <c r="H75" t="s">
        <v>95</v>
      </c>
      <c r="I75" t="s">
        <v>97</v>
      </c>
      <c r="AD75" s="1">
        <v>9849.7000000000007</v>
      </c>
      <c r="AE75" t="s">
        <v>437</v>
      </c>
      <c r="AF75" t="s">
        <v>54</v>
      </c>
      <c r="AG75" t="s">
        <v>151</v>
      </c>
      <c r="AI75" t="s">
        <v>438</v>
      </c>
      <c r="AJ75" t="s">
        <v>439</v>
      </c>
      <c r="AK75" s="2"/>
      <c r="AL75" t="s">
        <v>131</v>
      </c>
      <c r="AM75" t="s">
        <v>224</v>
      </c>
      <c r="AP75" t="s">
        <v>60</v>
      </c>
    </row>
    <row r="76" spans="1:42" hidden="1">
      <c r="A76" t="s">
        <v>131</v>
      </c>
      <c r="B76" t="s">
        <v>210</v>
      </c>
      <c r="D76" t="s">
        <v>151</v>
      </c>
      <c r="F76" t="s">
        <v>329</v>
      </c>
      <c r="H76" t="s">
        <v>189</v>
      </c>
      <c r="I76" t="s">
        <v>97</v>
      </c>
      <c r="AD76" s="1">
        <v>9959.6</v>
      </c>
      <c r="AE76" t="s">
        <v>440</v>
      </c>
      <c r="AF76" t="s">
        <v>54</v>
      </c>
      <c r="AG76" t="s">
        <v>151</v>
      </c>
      <c r="AI76" t="s">
        <v>441</v>
      </c>
      <c r="AJ76" t="s">
        <v>442</v>
      </c>
      <c r="AK76" s="2"/>
      <c r="AL76" t="s">
        <v>131</v>
      </c>
      <c r="AM76" t="s">
        <v>224</v>
      </c>
      <c r="AP76" t="s">
        <v>60</v>
      </c>
    </row>
    <row r="77" spans="1:42" hidden="1">
      <c r="A77" t="s">
        <v>131</v>
      </c>
      <c r="B77" t="s">
        <v>44</v>
      </c>
      <c r="C77" t="s">
        <v>443</v>
      </c>
      <c r="D77" t="s">
        <v>444</v>
      </c>
      <c r="F77" t="s">
        <v>47</v>
      </c>
      <c r="H77" t="s">
        <v>234</v>
      </c>
      <c r="I77" t="s">
        <v>49</v>
      </c>
      <c r="K77" t="s">
        <v>114</v>
      </c>
      <c r="L77" t="s">
        <v>313</v>
      </c>
      <c r="N77" t="s">
        <v>314</v>
      </c>
      <c r="AA77" t="s">
        <v>445</v>
      </c>
      <c r="AB77" t="s">
        <v>446</v>
      </c>
      <c r="AD77"/>
      <c r="AF77" t="s">
        <v>54</v>
      </c>
      <c r="AG77" t="s">
        <v>444</v>
      </c>
      <c r="AH77" t="s">
        <v>55</v>
      </c>
      <c r="AI77" t="s">
        <v>447</v>
      </c>
      <c r="AJ77" t="s">
        <v>448</v>
      </c>
      <c r="AK77" s="1">
        <v>20000</v>
      </c>
      <c r="AL77" t="s">
        <v>131</v>
      </c>
      <c r="AM77" t="s">
        <v>450</v>
      </c>
      <c r="AP77" t="s">
        <v>60</v>
      </c>
    </row>
    <row r="78" spans="1:42" hidden="1">
      <c r="A78" t="s">
        <v>374</v>
      </c>
      <c r="B78" t="s">
        <v>44</v>
      </c>
      <c r="C78" t="s">
        <v>451</v>
      </c>
      <c r="D78" t="s">
        <v>80</v>
      </c>
      <c r="F78" t="s">
        <v>401</v>
      </c>
      <c r="H78" t="s">
        <v>452</v>
      </c>
      <c r="I78" t="s">
        <v>83</v>
      </c>
      <c r="K78" t="s">
        <v>50</v>
      </c>
      <c r="M78" t="s">
        <v>51</v>
      </c>
      <c r="Z78" t="s">
        <v>52</v>
      </c>
      <c r="AB78" t="s">
        <v>453</v>
      </c>
      <c r="AD78"/>
      <c r="AF78" t="s">
        <v>54</v>
      </c>
      <c r="AG78" t="s">
        <v>80</v>
      </c>
      <c r="AH78" t="s">
        <v>55</v>
      </c>
      <c r="AI78" t="s">
        <v>454</v>
      </c>
      <c r="AJ78" t="s">
        <v>455</v>
      </c>
      <c r="AK78" s="1">
        <v>9862.9</v>
      </c>
      <c r="AL78" t="s">
        <v>456</v>
      </c>
      <c r="AM78" t="s">
        <v>103</v>
      </c>
      <c r="AP78" t="s">
        <v>60</v>
      </c>
    </row>
    <row r="79" spans="1:42" hidden="1">
      <c r="A79" t="s">
        <v>374</v>
      </c>
      <c r="B79" t="s">
        <v>44</v>
      </c>
      <c r="C79" t="s">
        <v>457</v>
      </c>
      <c r="D79" t="s">
        <v>80</v>
      </c>
      <c r="F79" t="s">
        <v>401</v>
      </c>
      <c r="H79" t="s">
        <v>452</v>
      </c>
      <c r="I79" t="s">
        <v>83</v>
      </c>
      <c r="K79" t="s">
        <v>50</v>
      </c>
      <c r="M79" t="s">
        <v>51</v>
      </c>
      <c r="Z79" t="s">
        <v>52</v>
      </c>
      <c r="AB79" t="s">
        <v>453</v>
      </c>
      <c r="AD79"/>
      <c r="AF79" t="s">
        <v>54</v>
      </c>
      <c r="AG79" t="s">
        <v>80</v>
      </c>
      <c r="AH79" t="s">
        <v>55</v>
      </c>
      <c r="AI79" t="s">
        <v>454</v>
      </c>
      <c r="AJ79" t="s">
        <v>455</v>
      </c>
      <c r="AK79" s="1">
        <v>2430</v>
      </c>
      <c r="AL79" t="s">
        <v>456</v>
      </c>
      <c r="AM79" t="s">
        <v>103</v>
      </c>
      <c r="AP79" t="s">
        <v>60</v>
      </c>
    </row>
    <row r="80" spans="1:42" hidden="1">
      <c r="A80" t="s">
        <v>131</v>
      </c>
      <c r="B80" t="s">
        <v>44</v>
      </c>
      <c r="C80" t="s">
        <v>458</v>
      </c>
      <c r="D80" t="s">
        <v>80</v>
      </c>
      <c r="F80" t="s">
        <v>401</v>
      </c>
      <c r="H80" t="s">
        <v>452</v>
      </c>
      <c r="I80" t="s">
        <v>83</v>
      </c>
      <c r="K80" t="s">
        <v>50</v>
      </c>
      <c r="M80" t="s">
        <v>51</v>
      </c>
      <c r="Z80" t="s">
        <v>52</v>
      </c>
      <c r="AB80" t="s">
        <v>459</v>
      </c>
      <c r="AD80"/>
      <c r="AF80" t="s">
        <v>54</v>
      </c>
      <c r="AG80" t="s">
        <v>80</v>
      </c>
      <c r="AH80" t="s">
        <v>55</v>
      </c>
      <c r="AI80" t="s">
        <v>454</v>
      </c>
      <c r="AJ80" t="s">
        <v>455</v>
      </c>
      <c r="AK80" s="1">
        <v>8605.6</v>
      </c>
      <c r="AL80" t="s">
        <v>456</v>
      </c>
      <c r="AM80" t="s">
        <v>103</v>
      </c>
      <c r="AP80" t="s">
        <v>60</v>
      </c>
    </row>
    <row r="81" spans="1:42" hidden="1">
      <c r="A81" t="s">
        <v>131</v>
      </c>
      <c r="B81" t="s">
        <v>44</v>
      </c>
      <c r="C81" t="s">
        <v>460</v>
      </c>
      <c r="D81" t="s">
        <v>179</v>
      </c>
      <c r="F81" t="s">
        <v>180</v>
      </c>
      <c r="H81" t="s">
        <v>165</v>
      </c>
      <c r="I81" t="s">
        <v>182</v>
      </c>
      <c r="K81" t="s">
        <v>50</v>
      </c>
      <c r="M81" t="s">
        <v>51</v>
      </c>
      <c r="Z81" t="s">
        <v>183</v>
      </c>
      <c r="AB81" t="s">
        <v>461</v>
      </c>
      <c r="AD81"/>
      <c r="AF81" t="s">
        <v>54</v>
      </c>
      <c r="AG81" t="s">
        <v>179</v>
      </c>
      <c r="AH81" t="s">
        <v>55</v>
      </c>
      <c r="AI81" t="s">
        <v>462</v>
      </c>
      <c r="AJ81" t="s">
        <v>463</v>
      </c>
      <c r="AK81" s="1">
        <v>6625</v>
      </c>
      <c r="AL81" t="s">
        <v>456</v>
      </c>
      <c r="AM81" t="s">
        <v>464</v>
      </c>
      <c r="AP81" t="s">
        <v>60</v>
      </c>
    </row>
    <row r="82" spans="1:42" hidden="1">
      <c r="A82" t="s">
        <v>131</v>
      </c>
      <c r="B82" t="s">
        <v>44</v>
      </c>
      <c r="C82" t="s">
        <v>465</v>
      </c>
      <c r="D82" t="s">
        <v>466</v>
      </c>
      <c r="F82" t="s">
        <v>112</v>
      </c>
      <c r="H82" t="s">
        <v>220</v>
      </c>
      <c r="I82" t="s">
        <v>49</v>
      </c>
      <c r="J82" t="s">
        <v>49</v>
      </c>
      <c r="K82" t="s">
        <v>114</v>
      </c>
      <c r="L82" t="s">
        <v>115</v>
      </c>
      <c r="O82" t="s">
        <v>205</v>
      </c>
      <c r="AB82" t="s">
        <v>467</v>
      </c>
      <c r="AC82" t="s">
        <v>468</v>
      </c>
      <c r="AD82"/>
      <c r="AF82" t="s">
        <v>54</v>
      </c>
      <c r="AG82" t="s">
        <v>466</v>
      </c>
      <c r="AH82" t="s">
        <v>100</v>
      </c>
      <c r="AI82" t="s">
        <v>469</v>
      </c>
      <c r="AJ82" t="s">
        <v>470</v>
      </c>
      <c r="AK82" s="1">
        <v>17402</v>
      </c>
      <c r="AL82" t="s">
        <v>456</v>
      </c>
      <c r="AM82" t="s">
        <v>103</v>
      </c>
      <c r="AP82" t="s">
        <v>60</v>
      </c>
    </row>
    <row r="83" spans="1:42" hidden="1">
      <c r="A83" t="s">
        <v>131</v>
      </c>
      <c r="B83" t="s">
        <v>44</v>
      </c>
      <c r="C83" t="s">
        <v>471</v>
      </c>
      <c r="D83" t="s">
        <v>472</v>
      </c>
      <c r="F83" t="s">
        <v>70</v>
      </c>
      <c r="H83" t="s">
        <v>95</v>
      </c>
      <c r="I83" t="s">
        <v>72</v>
      </c>
      <c r="K83" t="s">
        <v>114</v>
      </c>
      <c r="L83" t="s">
        <v>115</v>
      </c>
      <c r="O83" t="s">
        <v>73</v>
      </c>
      <c r="AB83" t="s">
        <v>473</v>
      </c>
      <c r="AD83"/>
      <c r="AF83" t="s">
        <v>54</v>
      </c>
      <c r="AG83" t="s">
        <v>472</v>
      </c>
      <c r="AH83" t="s">
        <v>55</v>
      </c>
      <c r="AI83" t="s">
        <v>474</v>
      </c>
      <c r="AJ83" t="s">
        <v>475</v>
      </c>
      <c r="AK83" s="1">
        <v>9748</v>
      </c>
      <c r="AL83" t="s">
        <v>456</v>
      </c>
      <c r="AM83" t="s">
        <v>476</v>
      </c>
      <c r="AP83" t="s">
        <v>60</v>
      </c>
    </row>
    <row r="84" spans="1:42" hidden="1">
      <c r="A84" t="s">
        <v>456</v>
      </c>
      <c r="B84" t="s">
        <v>44</v>
      </c>
      <c r="C84" t="s">
        <v>477</v>
      </c>
      <c r="D84" t="s">
        <v>415</v>
      </c>
      <c r="F84" t="s">
        <v>47</v>
      </c>
      <c r="H84" t="s">
        <v>228</v>
      </c>
      <c r="I84" t="s">
        <v>72</v>
      </c>
      <c r="K84" t="s">
        <v>114</v>
      </c>
      <c r="L84" t="s">
        <v>197</v>
      </c>
      <c r="P84" t="s">
        <v>191</v>
      </c>
      <c r="AB84" t="s">
        <v>478</v>
      </c>
      <c r="AD84"/>
      <c r="AF84" t="s">
        <v>54</v>
      </c>
      <c r="AG84" t="s">
        <v>415</v>
      </c>
      <c r="AH84" t="s">
        <v>55</v>
      </c>
      <c r="AI84" t="s">
        <v>479</v>
      </c>
      <c r="AJ84" t="s">
        <v>480</v>
      </c>
      <c r="AK84" s="1">
        <v>15300</v>
      </c>
      <c r="AL84" t="s">
        <v>456</v>
      </c>
      <c r="AM84" t="s">
        <v>476</v>
      </c>
      <c r="AP84" t="s">
        <v>60</v>
      </c>
    </row>
    <row r="85" spans="1:42" hidden="1">
      <c r="A85" t="s">
        <v>456</v>
      </c>
      <c r="B85" t="s">
        <v>44</v>
      </c>
      <c r="C85" t="s">
        <v>481</v>
      </c>
      <c r="D85" t="s">
        <v>284</v>
      </c>
      <c r="F85" t="s">
        <v>284</v>
      </c>
      <c r="H85" t="s">
        <v>482</v>
      </c>
      <c r="I85" t="s">
        <v>182</v>
      </c>
      <c r="K85" t="s">
        <v>50</v>
      </c>
      <c r="M85" t="s">
        <v>51</v>
      </c>
      <c r="Z85" t="s">
        <v>73</v>
      </c>
      <c r="AB85" t="s">
        <v>483</v>
      </c>
      <c r="AD85"/>
      <c r="AF85" t="s">
        <v>54</v>
      </c>
      <c r="AG85" t="s">
        <v>284</v>
      </c>
      <c r="AH85" t="s">
        <v>55</v>
      </c>
      <c r="AI85" t="s">
        <v>484</v>
      </c>
      <c r="AJ85" t="s">
        <v>485</v>
      </c>
      <c r="AK85" s="1">
        <v>15765</v>
      </c>
      <c r="AL85" t="s">
        <v>456</v>
      </c>
      <c r="AM85" t="s">
        <v>476</v>
      </c>
      <c r="AP85" t="s">
        <v>60</v>
      </c>
    </row>
    <row r="86" spans="1:42" hidden="1">
      <c r="A86" t="s">
        <v>456</v>
      </c>
      <c r="B86" t="s">
        <v>44</v>
      </c>
      <c r="C86" t="s">
        <v>486</v>
      </c>
      <c r="D86" t="s">
        <v>179</v>
      </c>
      <c r="F86" t="s">
        <v>180</v>
      </c>
      <c r="H86" t="s">
        <v>153</v>
      </c>
      <c r="I86" t="s">
        <v>182</v>
      </c>
      <c r="K86" t="s">
        <v>50</v>
      </c>
      <c r="M86" t="s">
        <v>51</v>
      </c>
      <c r="Z86" t="s">
        <v>183</v>
      </c>
      <c r="AB86" t="s">
        <v>487</v>
      </c>
      <c r="AD86"/>
      <c r="AF86" t="s">
        <v>54</v>
      </c>
      <c r="AG86" t="s">
        <v>179</v>
      </c>
      <c r="AH86" t="s">
        <v>55</v>
      </c>
      <c r="AI86" t="s">
        <v>488</v>
      </c>
      <c r="AJ86" t="s">
        <v>489</v>
      </c>
      <c r="AK86" s="1">
        <v>18940</v>
      </c>
      <c r="AL86" t="s">
        <v>456</v>
      </c>
      <c r="AM86" t="s">
        <v>490</v>
      </c>
      <c r="AP86" t="s">
        <v>60</v>
      </c>
    </row>
    <row r="87" spans="1:42" hidden="1">
      <c r="A87" t="s">
        <v>456</v>
      </c>
      <c r="B87" t="s">
        <v>210</v>
      </c>
      <c r="D87" t="s">
        <v>329</v>
      </c>
      <c r="F87" t="s">
        <v>329</v>
      </c>
      <c r="H87" t="s">
        <v>95</v>
      </c>
      <c r="I87" t="s">
        <v>97</v>
      </c>
      <c r="AD87" s="1">
        <v>13300</v>
      </c>
      <c r="AE87" t="s">
        <v>491</v>
      </c>
      <c r="AF87" t="s">
        <v>54</v>
      </c>
      <c r="AG87" t="s">
        <v>329</v>
      </c>
      <c r="AI87" t="s">
        <v>492</v>
      </c>
      <c r="AJ87" t="s">
        <v>493</v>
      </c>
      <c r="AK87" s="2"/>
      <c r="AL87" t="s">
        <v>456</v>
      </c>
      <c r="AM87" t="s">
        <v>224</v>
      </c>
      <c r="AP87" t="s">
        <v>60</v>
      </c>
    </row>
    <row r="88" spans="1:42" hidden="1">
      <c r="A88" t="s">
        <v>456</v>
      </c>
      <c r="B88" t="s">
        <v>44</v>
      </c>
      <c r="C88" t="s">
        <v>494</v>
      </c>
      <c r="D88" t="s">
        <v>226</v>
      </c>
      <c r="F88" t="s">
        <v>343</v>
      </c>
      <c r="G88" t="s">
        <v>60</v>
      </c>
      <c r="H88" t="s">
        <v>330</v>
      </c>
      <c r="I88" t="s">
        <v>97</v>
      </c>
      <c r="K88" t="s">
        <v>114</v>
      </c>
      <c r="L88" t="s">
        <v>115</v>
      </c>
      <c r="O88" t="s">
        <v>116</v>
      </c>
      <c r="AB88" t="s">
        <v>495</v>
      </c>
      <c r="AD88"/>
      <c r="AF88" t="s">
        <v>54</v>
      </c>
      <c r="AG88" t="s">
        <v>226</v>
      </c>
      <c r="AH88" t="s">
        <v>55</v>
      </c>
      <c r="AI88" t="s">
        <v>496</v>
      </c>
      <c r="AJ88" t="s">
        <v>497</v>
      </c>
      <c r="AK88" s="1">
        <v>17800</v>
      </c>
      <c r="AL88" t="s">
        <v>426</v>
      </c>
      <c r="AM88" t="s">
        <v>498</v>
      </c>
      <c r="AP88" t="s">
        <v>60</v>
      </c>
    </row>
    <row r="89" spans="1:42" hidden="1">
      <c r="A89" t="s">
        <v>456</v>
      </c>
      <c r="B89" t="s">
        <v>210</v>
      </c>
      <c r="D89" t="s">
        <v>284</v>
      </c>
      <c r="F89" t="s">
        <v>284</v>
      </c>
      <c r="H89" t="s">
        <v>165</v>
      </c>
      <c r="I89" t="s">
        <v>182</v>
      </c>
      <c r="AD89" s="1">
        <v>6800</v>
      </c>
      <c r="AE89" t="s">
        <v>499</v>
      </c>
      <c r="AF89" t="s">
        <v>54</v>
      </c>
      <c r="AG89" t="s">
        <v>284</v>
      </c>
      <c r="AI89" t="s">
        <v>500</v>
      </c>
      <c r="AJ89" t="s">
        <v>501</v>
      </c>
      <c r="AK89" s="2"/>
      <c r="AL89" t="s">
        <v>456</v>
      </c>
      <c r="AM89" t="s">
        <v>224</v>
      </c>
      <c r="AP89" t="s">
        <v>60</v>
      </c>
    </row>
    <row r="90" spans="1:42" hidden="1">
      <c r="A90" t="s">
        <v>456</v>
      </c>
      <c r="B90" t="s">
        <v>44</v>
      </c>
      <c r="C90" t="s">
        <v>502</v>
      </c>
      <c r="D90" t="s">
        <v>282</v>
      </c>
      <c r="F90" t="s">
        <v>180</v>
      </c>
      <c r="H90" t="s">
        <v>482</v>
      </c>
      <c r="I90" t="s">
        <v>182</v>
      </c>
      <c r="K90" t="s">
        <v>50</v>
      </c>
      <c r="M90" t="s">
        <v>51</v>
      </c>
      <c r="Z90" t="s">
        <v>73</v>
      </c>
      <c r="AB90" t="s">
        <v>503</v>
      </c>
      <c r="AD90"/>
      <c r="AF90" t="s">
        <v>54</v>
      </c>
      <c r="AG90" t="s">
        <v>282</v>
      </c>
      <c r="AH90" t="s">
        <v>55</v>
      </c>
      <c r="AI90" t="s">
        <v>504</v>
      </c>
      <c r="AJ90" t="s">
        <v>505</v>
      </c>
      <c r="AK90" s="1">
        <v>22915</v>
      </c>
      <c r="AL90" t="s">
        <v>340</v>
      </c>
      <c r="AM90" t="s">
        <v>506</v>
      </c>
      <c r="AO90" t="s">
        <v>90</v>
      </c>
      <c r="AP90" t="s">
        <v>60</v>
      </c>
    </row>
    <row r="91" spans="1:42" hidden="1">
      <c r="A91" t="s">
        <v>456</v>
      </c>
      <c r="B91" t="s">
        <v>44</v>
      </c>
      <c r="C91" t="s">
        <v>507</v>
      </c>
      <c r="D91" t="s">
        <v>282</v>
      </c>
      <c r="F91" t="s">
        <v>180</v>
      </c>
      <c r="H91" t="s">
        <v>508</v>
      </c>
      <c r="I91" t="s">
        <v>182</v>
      </c>
      <c r="K91" t="s">
        <v>50</v>
      </c>
      <c r="M91" t="s">
        <v>51</v>
      </c>
      <c r="Z91" t="s">
        <v>73</v>
      </c>
      <c r="AB91" t="s">
        <v>503</v>
      </c>
      <c r="AD91"/>
      <c r="AF91" t="s">
        <v>54</v>
      </c>
      <c r="AG91" t="s">
        <v>282</v>
      </c>
      <c r="AH91" t="s">
        <v>55</v>
      </c>
      <c r="AI91" t="s">
        <v>509</v>
      </c>
      <c r="AJ91" t="s">
        <v>510</v>
      </c>
      <c r="AK91" s="1">
        <v>22265</v>
      </c>
      <c r="AL91" t="s">
        <v>340</v>
      </c>
      <c r="AM91" t="s">
        <v>511</v>
      </c>
      <c r="AP91" t="s">
        <v>60</v>
      </c>
    </row>
    <row r="92" spans="1:42" hidden="1">
      <c r="A92" t="s">
        <v>340</v>
      </c>
      <c r="B92" t="s">
        <v>44</v>
      </c>
      <c r="C92" t="s">
        <v>512</v>
      </c>
      <c r="D92" t="s">
        <v>179</v>
      </c>
      <c r="F92" t="s">
        <v>180</v>
      </c>
      <c r="H92" t="s">
        <v>165</v>
      </c>
      <c r="I92" t="s">
        <v>182</v>
      </c>
      <c r="K92" t="s">
        <v>114</v>
      </c>
      <c r="L92" t="s">
        <v>115</v>
      </c>
      <c r="O92" t="s">
        <v>73</v>
      </c>
      <c r="AB92" t="s">
        <v>513</v>
      </c>
      <c r="AD92"/>
      <c r="AF92" t="s">
        <v>54</v>
      </c>
      <c r="AG92" t="s">
        <v>179</v>
      </c>
      <c r="AH92" t="s">
        <v>55</v>
      </c>
      <c r="AI92" t="s">
        <v>269</v>
      </c>
      <c r="AJ92" t="s">
        <v>270</v>
      </c>
      <c r="AK92" s="1">
        <v>76</v>
      </c>
      <c r="AL92" t="s">
        <v>514</v>
      </c>
      <c r="AM92" t="s">
        <v>120</v>
      </c>
      <c r="AP92" t="s">
        <v>60</v>
      </c>
    </row>
    <row r="93" spans="1:42" hidden="1">
      <c r="A93" t="s">
        <v>363</v>
      </c>
      <c r="B93" t="s">
        <v>44</v>
      </c>
      <c r="C93" t="s">
        <v>515</v>
      </c>
      <c r="D93" t="s">
        <v>180</v>
      </c>
      <c r="F93" t="s">
        <v>180</v>
      </c>
      <c r="G93" t="s">
        <v>60</v>
      </c>
      <c r="H93" t="s">
        <v>165</v>
      </c>
      <c r="I93" t="s">
        <v>182</v>
      </c>
      <c r="K93" t="s">
        <v>114</v>
      </c>
      <c r="L93" t="s">
        <v>197</v>
      </c>
      <c r="P93" t="s">
        <v>516</v>
      </c>
      <c r="AB93" t="s">
        <v>517</v>
      </c>
      <c r="AD93"/>
      <c r="AF93" t="s">
        <v>54</v>
      </c>
      <c r="AG93" t="s">
        <v>180</v>
      </c>
      <c r="AH93" t="s">
        <v>55</v>
      </c>
      <c r="AI93" t="s">
        <v>518</v>
      </c>
      <c r="AJ93" t="s">
        <v>519</v>
      </c>
      <c r="AK93" s="1">
        <v>6800</v>
      </c>
      <c r="AL93" t="s">
        <v>340</v>
      </c>
      <c r="AM93" t="s">
        <v>520</v>
      </c>
      <c r="AP93" t="s">
        <v>60</v>
      </c>
    </row>
    <row r="94" spans="1:42" hidden="1">
      <c r="A94" t="s">
        <v>363</v>
      </c>
      <c r="B94" t="s">
        <v>44</v>
      </c>
      <c r="C94" t="s">
        <v>521</v>
      </c>
      <c r="D94" t="s">
        <v>180</v>
      </c>
      <c r="F94" t="s">
        <v>180</v>
      </c>
      <c r="G94" t="s">
        <v>60</v>
      </c>
      <c r="H94" t="s">
        <v>165</v>
      </c>
      <c r="I94" t="s">
        <v>182</v>
      </c>
      <c r="K94" t="s">
        <v>114</v>
      </c>
      <c r="L94" t="s">
        <v>115</v>
      </c>
      <c r="O94" t="s">
        <v>52</v>
      </c>
      <c r="AB94" t="s">
        <v>517</v>
      </c>
      <c r="AD94"/>
      <c r="AF94" t="s">
        <v>54</v>
      </c>
      <c r="AG94" t="s">
        <v>180</v>
      </c>
      <c r="AH94" t="s">
        <v>55</v>
      </c>
      <c r="AI94" t="s">
        <v>269</v>
      </c>
      <c r="AJ94" t="s">
        <v>270</v>
      </c>
      <c r="AK94" s="1">
        <v>6724</v>
      </c>
      <c r="AL94" t="s">
        <v>340</v>
      </c>
      <c r="AM94" t="s">
        <v>120</v>
      </c>
      <c r="AP94" t="s">
        <v>60</v>
      </c>
    </row>
    <row r="95" spans="1:42" hidden="1">
      <c r="A95" t="s">
        <v>340</v>
      </c>
      <c r="B95" t="s">
        <v>44</v>
      </c>
      <c r="C95" t="s">
        <v>522</v>
      </c>
      <c r="D95" t="s">
        <v>226</v>
      </c>
      <c r="F95" t="s">
        <v>336</v>
      </c>
      <c r="H95" t="s">
        <v>376</v>
      </c>
      <c r="I95" t="s">
        <v>97</v>
      </c>
      <c r="K95" t="s">
        <v>114</v>
      </c>
      <c r="L95" t="s">
        <v>115</v>
      </c>
      <c r="O95" t="s">
        <v>331</v>
      </c>
      <c r="AB95" t="s">
        <v>523</v>
      </c>
      <c r="AD95"/>
      <c r="AF95" t="s">
        <v>54</v>
      </c>
      <c r="AG95" t="s">
        <v>226</v>
      </c>
      <c r="AH95" t="s">
        <v>55</v>
      </c>
      <c r="AI95" t="s">
        <v>524</v>
      </c>
      <c r="AJ95" t="s">
        <v>525</v>
      </c>
      <c r="AK95" s="1">
        <v>21000</v>
      </c>
      <c r="AL95" t="s">
        <v>514</v>
      </c>
      <c r="AM95" t="s">
        <v>527</v>
      </c>
      <c r="AP95" t="s">
        <v>60</v>
      </c>
    </row>
    <row r="96" spans="1:42">
      <c r="A96" t="s">
        <v>340</v>
      </c>
      <c r="B96" t="s">
        <v>44</v>
      </c>
      <c r="C96" t="s">
        <v>528</v>
      </c>
      <c r="D96" t="s">
        <v>529</v>
      </c>
      <c r="F96" s="2" t="s">
        <v>227</v>
      </c>
      <c r="G96" t="s">
        <v>134</v>
      </c>
      <c r="H96" t="s">
        <v>228</v>
      </c>
      <c r="I96" t="s">
        <v>97</v>
      </c>
      <c r="K96" t="s">
        <v>50</v>
      </c>
      <c r="M96" t="s">
        <v>51</v>
      </c>
      <c r="Z96" t="s">
        <v>84</v>
      </c>
      <c r="AB96" t="s">
        <v>530</v>
      </c>
      <c r="AD96"/>
      <c r="AF96" t="s">
        <v>54</v>
      </c>
      <c r="AG96" t="s">
        <v>529</v>
      </c>
      <c r="AH96" t="s">
        <v>55</v>
      </c>
      <c r="AI96" t="s">
        <v>230</v>
      </c>
      <c r="AJ96" t="s">
        <v>231</v>
      </c>
      <c r="AK96" s="1">
        <v>0</v>
      </c>
      <c r="AL96" t="s">
        <v>426</v>
      </c>
      <c r="AM96" t="s">
        <v>531</v>
      </c>
      <c r="AP96" t="s">
        <v>60</v>
      </c>
    </row>
    <row r="97" spans="1:42">
      <c r="A97" t="s">
        <v>340</v>
      </c>
      <c r="B97" t="s">
        <v>44</v>
      </c>
      <c r="C97" t="s">
        <v>532</v>
      </c>
      <c r="D97" t="s">
        <v>529</v>
      </c>
      <c r="F97" s="2" t="s">
        <v>227</v>
      </c>
      <c r="G97" t="s">
        <v>134</v>
      </c>
      <c r="H97" t="s">
        <v>228</v>
      </c>
      <c r="I97" t="s">
        <v>97</v>
      </c>
      <c r="K97" t="s">
        <v>50</v>
      </c>
      <c r="M97" t="s">
        <v>51</v>
      </c>
      <c r="Z97" t="s">
        <v>84</v>
      </c>
      <c r="AB97" t="s">
        <v>530</v>
      </c>
      <c r="AD97"/>
      <c r="AF97" t="s">
        <v>54</v>
      </c>
      <c r="AG97" t="s">
        <v>529</v>
      </c>
      <c r="AH97" t="s">
        <v>55</v>
      </c>
      <c r="AI97" t="s">
        <v>230</v>
      </c>
      <c r="AJ97" t="s">
        <v>231</v>
      </c>
      <c r="AK97" s="1">
        <v>3140.1</v>
      </c>
      <c r="AL97" t="s">
        <v>426</v>
      </c>
      <c r="AM97" t="s">
        <v>531</v>
      </c>
      <c r="AP97" t="s">
        <v>60</v>
      </c>
    </row>
    <row r="98" spans="1:42">
      <c r="A98" t="s">
        <v>340</v>
      </c>
      <c r="B98" t="s">
        <v>44</v>
      </c>
      <c r="C98" t="s">
        <v>533</v>
      </c>
      <c r="D98" t="s">
        <v>529</v>
      </c>
      <c r="F98" s="2" t="s">
        <v>227</v>
      </c>
      <c r="G98" t="s">
        <v>134</v>
      </c>
      <c r="H98" t="s">
        <v>228</v>
      </c>
      <c r="I98" t="s">
        <v>97</v>
      </c>
      <c r="K98" t="s">
        <v>50</v>
      </c>
      <c r="M98" t="s">
        <v>51</v>
      </c>
      <c r="Z98" t="s">
        <v>84</v>
      </c>
      <c r="AB98" t="s">
        <v>530</v>
      </c>
      <c r="AD98"/>
      <c r="AF98" t="s">
        <v>54</v>
      </c>
      <c r="AG98" t="s">
        <v>529</v>
      </c>
      <c r="AH98" t="s">
        <v>55</v>
      </c>
      <c r="AI98" t="s">
        <v>230</v>
      </c>
      <c r="AJ98" t="s">
        <v>231</v>
      </c>
      <c r="AK98" s="1">
        <v>0</v>
      </c>
      <c r="AL98" t="s">
        <v>426</v>
      </c>
      <c r="AM98" t="s">
        <v>531</v>
      </c>
      <c r="AP98" t="s">
        <v>60</v>
      </c>
    </row>
    <row r="99" spans="1:42">
      <c r="A99" t="s">
        <v>340</v>
      </c>
      <c r="B99" t="s">
        <v>44</v>
      </c>
      <c r="C99" t="s">
        <v>534</v>
      </c>
      <c r="D99" t="s">
        <v>529</v>
      </c>
      <c r="F99" s="2" t="s">
        <v>227</v>
      </c>
      <c r="G99" t="s">
        <v>134</v>
      </c>
      <c r="H99" t="s">
        <v>228</v>
      </c>
      <c r="I99" t="s">
        <v>97</v>
      </c>
      <c r="K99" t="s">
        <v>50</v>
      </c>
      <c r="M99" t="s">
        <v>51</v>
      </c>
      <c r="Z99" t="s">
        <v>84</v>
      </c>
      <c r="AB99" t="s">
        <v>530</v>
      </c>
      <c r="AD99"/>
      <c r="AF99" t="s">
        <v>54</v>
      </c>
      <c r="AG99" t="s">
        <v>529</v>
      </c>
      <c r="AH99" t="s">
        <v>55</v>
      </c>
      <c r="AI99" t="s">
        <v>230</v>
      </c>
      <c r="AJ99" t="s">
        <v>231</v>
      </c>
      <c r="AK99" s="1">
        <v>3595</v>
      </c>
      <c r="AL99" t="s">
        <v>426</v>
      </c>
      <c r="AM99" t="s">
        <v>531</v>
      </c>
      <c r="AP99" t="s">
        <v>60</v>
      </c>
    </row>
    <row r="100" spans="1:42">
      <c r="A100" t="s">
        <v>340</v>
      </c>
      <c r="B100" t="s">
        <v>44</v>
      </c>
      <c r="C100" t="s">
        <v>535</v>
      </c>
      <c r="D100" t="s">
        <v>529</v>
      </c>
      <c r="F100" s="2" t="s">
        <v>227</v>
      </c>
      <c r="G100" t="s">
        <v>134</v>
      </c>
      <c r="H100" t="s">
        <v>228</v>
      </c>
      <c r="I100" t="s">
        <v>97</v>
      </c>
      <c r="K100" t="s">
        <v>50</v>
      </c>
      <c r="M100" t="s">
        <v>51</v>
      </c>
      <c r="Z100" t="s">
        <v>84</v>
      </c>
      <c r="AB100" t="s">
        <v>530</v>
      </c>
      <c r="AD100"/>
      <c r="AF100" t="s">
        <v>54</v>
      </c>
      <c r="AG100" t="s">
        <v>529</v>
      </c>
      <c r="AH100" t="s">
        <v>55</v>
      </c>
      <c r="AI100" t="s">
        <v>230</v>
      </c>
      <c r="AJ100" t="s">
        <v>231</v>
      </c>
      <c r="AK100" s="1">
        <v>0</v>
      </c>
      <c r="AL100" t="s">
        <v>426</v>
      </c>
      <c r="AM100" t="s">
        <v>531</v>
      </c>
      <c r="AP100" t="s">
        <v>60</v>
      </c>
    </row>
    <row r="101" spans="1:42">
      <c r="A101" t="s">
        <v>340</v>
      </c>
      <c r="B101" t="s">
        <v>44</v>
      </c>
      <c r="C101" t="s">
        <v>536</v>
      </c>
      <c r="D101" t="s">
        <v>529</v>
      </c>
      <c r="F101" s="2" t="s">
        <v>227</v>
      </c>
      <c r="G101" t="s">
        <v>134</v>
      </c>
      <c r="H101" t="s">
        <v>228</v>
      </c>
      <c r="I101" t="s">
        <v>97</v>
      </c>
      <c r="K101" t="s">
        <v>50</v>
      </c>
      <c r="M101" t="s">
        <v>51</v>
      </c>
      <c r="Z101" t="s">
        <v>84</v>
      </c>
      <c r="AB101" t="s">
        <v>530</v>
      </c>
      <c r="AD101"/>
      <c r="AF101" t="s">
        <v>54</v>
      </c>
      <c r="AG101" t="s">
        <v>529</v>
      </c>
      <c r="AH101" t="s">
        <v>55</v>
      </c>
      <c r="AI101" t="s">
        <v>230</v>
      </c>
      <c r="AJ101" t="s">
        <v>231</v>
      </c>
      <c r="AK101" s="1">
        <v>2530.3000000000002</v>
      </c>
      <c r="AL101" t="s">
        <v>426</v>
      </c>
      <c r="AM101" t="s">
        <v>531</v>
      </c>
      <c r="AP101" t="s">
        <v>60</v>
      </c>
    </row>
    <row r="102" spans="1:42">
      <c r="A102" t="s">
        <v>340</v>
      </c>
      <c r="B102" t="s">
        <v>44</v>
      </c>
      <c r="C102" t="s">
        <v>537</v>
      </c>
      <c r="D102" t="s">
        <v>529</v>
      </c>
      <c r="F102" s="2" t="s">
        <v>227</v>
      </c>
      <c r="G102" t="s">
        <v>134</v>
      </c>
      <c r="H102" t="s">
        <v>228</v>
      </c>
      <c r="I102" t="s">
        <v>97</v>
      </c>
      <c r="K102" t="s">
        <v>50</v>
      </c>
      <c r="M102" t="s">
        <v>51</v>
      </c>
      <c r="Z102" t="s">
        <v>84</v>
      </c>
      <c r="AB102" t="s">
        <v>530</v>
      </c>
      <c r="AD102"/>
      <c r="AF102" t="s">
        <v>54</v>
      </c>
      <c r="AG102" t="s">
        <v>529</v>
      </c>
      <c r="AH102" t="s">
        <v>55</v>
      </c>
      <c r="AI102" t="s">
        <v>230</v>
      </c>
      <c r="AJ102" t="s">
        <v>231</v>
      </c>
      <c r="AK102" s="1">
        <v>11152.3</v>
      </c>
      <c r="AL102" t="s">
        <v>426</v>
      </c>
      <c r="AM102" t="s">
        <v>531</v>
      </c>
      <c r="AP102" t="s">
        <v>60</v>
      </c>
    </row>
    <row r="103" spans="1:42" hidden="1">
      <c r="A103" t="s">
        <v>426</v>
      </c>
      <c r="B103" t="s">
        <v>44</v>
      </c>
      <c r="C103" t="s">
        <v>538</v>
      </c>
      <c r="D103" t="s">
        <v>284</v>
      </c>
      <c r="F103" t="s">
        <v>284</v>
      </c>
      <c r="H103" t="s">
        <v>165</v>
      </c>
      <c r="I103" t="s">
        <v>182</v>
      </c>
      <c r="J103" t="s">
        <v>182</v>
      </c>
      <c r="K103" t="s">
        <v>50</v>
      </c>
      <c r="M103" t="s">
        <v>51</v>
      </c>
      <c r="Z103" t="s">
        <v>183</v>
      </c>
      <c r="AB103" t="s">
        <v>539</v>
      </c>
      <c r="AC103" t="s">
        <v>267</v>
      </c>
      <c r="AD103"/>
      <c r="AF103" t="s">
        <v>54</v>
      </c>
      <c r="AG103" t="s">
        <v>284</v>
      </c>
      <c r="AH103" t="s">
        <v>100</v>
      </c>
      <c r="AI103" t="s">
        <v>540</v>
      </c>
      <c r="AJ103" t="s">
        <v>541</v>
      </c>
      <c r="AK103" s="1">
        <v>6150</v>
      </c>
      <c r="AL103" t="s">
        <v>426</v>
      </c>
      <c r="AM103" t="s">
        <v>542</v>
      </c>
      <c r="AP103" t="s">
        <v>60</v>
      </c>
    </row>
    <row r="104" spans="1:42" hidden="1">
      <c r="A104" t="s">
        <v>426</v>
      </c>
      <c r="B104" t="s">
        <v>44</v>
      </c>
      <c r="C104" t="s">
        <v>543</v>
      </c>
      <c r="D104" t="s">
        <v>395</v>
      </c>
      <c r="F104" t="s">
        <v>343</v>
      </c>
      <c r="G104" t="s">
        <v>60</v>
      </c>
      <c r="H104" t="s">
        <v>113</v>
      </c>
      <c r="I104" t="s">
        <v>97</v>
      </c>
      <c r="K104" t="s">
        <v>50</v>
      </c>
      <c r="M104" t="s">
        <v>190</v>
      </c>
      <c r="Y104" t="s">
        <v>191</v>
      </c>
      <c r="AB104" t="s">
        <v>544</v>
      </c>
      <c r="AD104"/>
      <c r="AF104" t="s">
        <v>54</v>
      </c>
      <c r="AG104" t="s">
        <v>395</v>
      </c>
      <c r="AH104" t="s">
        <v>55</v>
      </c>
      <c r="AI104" t="s">
        <v>545</v>
      </c>
      <c r="AJ104" t="s">
        <v>546</v>
      </c>
      <c r="AK104" s="1">
        <v>12500</v>
      </c>
      <c r="AM104" t="s">
        <v>547</v>
      </c>
      <c r="AP104" t="s">
        <v>60</v>
      </c>
    </row>
    <row r="105" spans="1:42">
      <c r="A105" t="s">
        <v>426</v>
      </c>
      <c r="B105" t="s">
        <v>44</v>
      </c>
      <c r="C105" t="s">
        <v>548</v>
      </c>
      <c r="D105" t="s">
        <v>472</v>
      </c>
      <c r="F105" s="2" t="s">
        <v>94</v>
      </c>
      <c r="G105" t="s">
        <v>60</v>
      </c>
      <c r="H105" t="s">
        <v>95</v>
      </c>
      <c r="I105" t="s">
        <v>72</v>
      </c>
      <c r="K105" t="s">
        <v>50</v>
      </c>
      <c r="M105" t="s">
        <v>51</v>
      </c>
      <c r="Z105" t="s">
        <v>331</v>
      </c>
      <c r="AB105" t="s">
        <v>549</v>
      </c>
      <c r="AD105"/>
      <c r="AF105" t="s">
        <v>54</v>
      </c>
      <c r="AG105" t="s">
        <v>472</v>
      </c>
      <c r="AH105" t="s">
        <v>55</v>
      </c>
      <c r="AI105" t="s">
        <v>550</v>
      </c>
      <c r="AJ105" t="s">
        <v>551</v>
      </c>
      <c r="AK105" s="1">
        <v>20400</v>
      </c>
      <c r="AL105" t="s">
        <v>393</v>
      </c>
      <c r="AM105" t="s">
        <v>552</v>
      </c>
      <c r="AP105" t="s">
        <v>60</v>
      </c>
    </row>
    <row r="106" spans="1:42">
      <c r="A106" t="s">
        <v>131</v>
      </c>
      <c r="B106" t="s">
        <v>44</v>
      </c>
      <c r="C106" t="s">
        <v>553</v>
      </c>
      <c r="D106" t="s">
        <v>80</v>
      </c>
      <c r="F106" s="2" t="s">
        <v>94</v>
      </c>
      <c r="H106" t="s">
        <v>122</v>
      </c>
      <c r="I106" t="s">
        <v>83</v>
      </c>
      <c r="K106" t="s">
        <v>50</v>
      </c>
      <c r="M106" t="s">
        <v>51</v>
      </c>
      <c r="Z106" t="s">
        <v>205</v>
      </c>
      <c r="AB106" t="s">
        <v>554</v>
      </c>
      <c r="AD106"/>
      <c r="AF106" t="s">
        <v>54</v>
      </c>
      <c r="AG106" t="s">
        <v>80</v>
      </c>
      <c r="AH106" t="s">
        <v>55</v>
      </c>
      <c r="AI106" t="s">
        <v>555</v>
      </c>
      <c r="AJ106" t="s">
        <v>556</v>
      </c>
      <c r="AK106" s="1">
        <v>11146.5</v>
      </c>
      <c r="AL106" t="s">
        <v>393</v>
      </c>
      <c r="AM106" t="s">
        <v>557</v>
      </c>
      <c r="AP106" t="s">
        <v>60</v>
      </c>
    </row>
    <row r="107" spans="1:42">
      <c r="A107" t="s">
        <v>131</v>
      </c>
      <c r="B107" t="s">
        <v>44</v>
      </c>
      <c r="C107" t="s">
        <v>558</v>
      </c>
      <c r="D107" t="s">
        <v>80</v>
      </c>
      <c r="F107" s="2" t="s">
        <v>94</v>
      </c>
      <c r="H107" t="s">
        <v>122</v>
      </c>
      <c r="I107" t="s">
        <v>83</v>
      </c>
      <c r="K107" t="s">
        <v>50</v>
      </c>
      <c r="M107" t="s">
        <v>51</v>
      </c>
      <c r="Z107" t="s">
        <v>205</v>
      </c>
      <c r="AB107" t="s">
        <v>554</v>
      </c>
      <c r="AD107"/>
      <c r="AF107" t="s">
        <v>54</v>
      </c>
      <c r="AG107" t="s">
        <v>80</v>
      </c>
      <c r="AH107" t="s">
        <v>55</v>
      </c>
      <c r="AI107" t="s">
        <v>555</v>
      </c>
      <c r="AJ107" t="s">
        <v>556</v>
      </c>
      <c r="AK107" s="1">
        <v>10907</v>
      </c>
      <c r="AL107" t="s">
        <v>310</v>
      </c>
      <c r="AM107" t="s">
        <v>557</v>
      </c>
      <c r="AP107" t="s">
        <v>60</v>
      </c>
    </row>
    <row r="108" spans="1:42">
      <c r="A108" t="s">
        <v>131</v>
      </c>
      <c r="B108" t="s">
        <v>44</v>
      </c>
      <c r="C108" t="s">
        <v>559</v>
      </c>
      <c r="D108" t="s">
        <v>80</v>
      </c>
      <c r="F108" s="2" t="s">
        <v>94</v>
      </c>
      <c r="H108" t="s">
        <v>122</v>
      </c>
      <c r="I108" t="s">
        <v>83</v>
      </c>
      <c r="K108" t="s">
        <v>50</v>
      </c>
      <c r="M108" t="s">
        <v>51</v>
      </c>
      <c r="Z108" t="s">
        <v>205</v>
      </c>
      <c r="AB108" t="s">
        <v>554</v>
      </c>
      <c r="AD108"/>
      <c r="AF108" t="s">
        <v>54</v>
      </c>
      <c r="AG108" t="s">
        <v>80</v>
      </c>
      <c r="AH108" t="s">
        <v>55</v>
      </c>
      <c r="AI108" t="s">
        <v>555</v>
      </c>
      <c r="AJ108" t="s">
        <v>556</v>
      </c>
      <c r="AK108" s="1">
        <v>4760.7</v>
      </c>
      <c r="AL108" t="s">
        <v>393</v>
      </c>
      <c r="AM108" t="s">
        <v>557</v>
      </c>
      <c r="AP108" t="s">
        <v>60</v>
      </c>
    </row>
    <row r="109" spans="1:42">
      <c r="A109" t="s">
        <v>131</v>
      </c>
      <c r="B109" t="s">
        <v>44</v>
      </c>
      <c r="C109" t="s">
        <v>560</v>
      </c>
      <c r="D109" t="s">
        <v>80</v>
      </c>
      <c r="F109" s="2" t="s">
        <v>94</v>
      </c>
      <c r="H109" t="s">
        <v>122</v>
      </c>
      <c r="I109" t="s">
        <v>83</v>
      </c>
      <c r="K109" t="s">
        <v>50</v>
      </c>
      <c r="M109" t="s">
        <v>51</v>
      </c>
      <c r="Z109" t="s">
        <v>205</v>
      </c>
      <c r="AB109" t="s">
        <v>554</v>
      </c>
      <c r="AD109"/>
      <c r="AF109" t="s">
        <v>54</v>
      </c>
      <c r="AG109" t="s">
        <v>80</v>
      </c>
      <c r="AH109" t="s">
        <v>55</v>
      </c>
      <c r="AI109" t="s">
        <v>555</v>
      </c>
      <c r="AJ109" t="s">
        <v>556</v>
      </c>
      <c r="AK109" s="1">
        <v>2166.1999999999998</v>
      </c>
      <c r="AL109" t="s">
        <v>393</v>
      </c>
      <c r="AM109" t="s">
        <v>557</v>
      </c>
      <c r="AP109" t="s">
        <v>60</v>
      </c>
    </row>
    <row r="110" spans="1:42" hidden="1">
      <c r="A110" t="s">
        <v>426</v>
      </c>
      <c r="B110" t="s">
        <v>44</v>
      </c>
      <c r="C110" t="s">
        <v>561</v>
      </c>
      <c r="D110" t="s">
        <v>400</v>
      </c>
      <c r="F110" t="s">
        <v>562</v>
      </c>
      <c r="H110" t="s">
        <v>122</v>
      </c>
      <c r="I110" t="s">
        <v>83</v>
      </c>
      <c r="K110" t="s">
        <v>114</v>
      </c>
      <c r="L110" t="s">
        <v>197</v>
      </c>
      <c r="P110" t="s">
        <v>241</v>
      </c>
      <c r="AB110" t="s">
        <v>563</v>
      </c>
      <c r="AD110"/>
      <c r="AF110" t="s">
        <v>54</v>
      </c>
      <c r="AG110" t="s">
        <v>400</v>
      </c>
      <c r="AH110" t="s">
        <v>55</v>
      </c>
      <c r="AI110" t="s">
        <v>564</v>
      </c>
      <c r="AJ110" t="s">
        <v>565</v>
      </c>
      <c r="AK110" s="1">
        <v>11545.6</v>
      </c>
      <c r="AL110" t="s">
        <v>58</v>
      </c>
      <c r="AM110" t="s">
        <v>566</v>
      </c>
      <c r="AP110" t="s">
        <v>60</v>
      </c>
    </row>
    <row r="111" spans="1:42" hidden="1">
      <c r="A111" t="s">
        <v>426</v>
      </c>
      <c r="B111" t="s">
        <v>44</v>
      </c>
      <c r="C111" t="s">
        <v>567</v>
      </c>
      <c r="D111" t="s">
        <v>400</v>
      </c>
      <c r="F111" t="s">
        <v>562</v>
      </c>
      <c r="H111" t="s">
        <v>122</v>
      </c>
      <c r="I111" t="s">
        <v>83</v>
      </c>
      <c r="K111" t="s">
        <v>114</v>
      </c>
      <c r="L111" t="s">
        <v>197</v>
      </c>
      <c r="P111" t="s">
        <v>241</v>
      </c>
      <c r="AB111" t="s">
        <v>563</v>
      </c>
      <c r="AD111"/>
      <c r="AF111" t="s">
        <v>54</v>
      </c>
      <c r="AG111" t="s">
        <v>400</v>
      </c>
      <c r="AH111" t="s">
        <v>55</v>
      </c>
      <c r="AI111" t="s">
        <v>564</v>
      </c>
      <c r="AJ111" t="s">
        <v>565</v>
      </c>
      <c r="AK111" s="1">
        <v>16419.7</v>
      </c>
      <c r="AL111" t="s">
        <v>58</v>
      </c>
      <c r="AM111" t="s">
        <v>566</v>
      </c>
      <c r="AP111" t="s">
        <v>60</v>
      </c>
    </row>
    <row r="112" spans="1:42" hidden="1">
      <c r="A112" t="s">
        <v>426</v>
      </c>
      <c r="B112" t="s">
        <v>44</v>
      </c>
      <c r="C112" t="s">
        <v>568</v>
      </c>
      <c r="D112" t="s">
        <v>400</v>
      </c>
      <c r="F112" t="s">
        <v>562</v>
      </c>
      <c r="H112" t="s">
        <v>122</v>
      </c>
      <c r="I112" t="s">
        <v>83</v>
      </c>
      <c r="K112" t="s">
        <v>114</v>
      </c>
      <c r="L112" t="s">
        <v>197</v>
      </c>
      <c r="P112" t="s">
        <v>241</v>
      </c>
      <c r="AB112" t="s">
        <v>563</v>
      </c>
      <c r="AD112"/>
      <c r="AF112" t="s">
        <v>54</v>
      </c>
      <c r="AG112" t="s">
        <v>400</v>
      </c>
      <c r="AH112" t="s">
        <v>55</v>
      </c>
      <c r="AI112" t="s">
        <v>564</v>
      </c>
      <c r="AJ112" t="s">
        <v>565</v>
      </c>
      <c r="AK112" s="1">
        <v>2134.6999999999998</v>
      </c>
      <c r="AL112" t="s">
        <v>58</v>
      </c>
      <c r="AM112" t="s">
        <v>566</v>
      </c>
      <c r="AP112" t="s">
        <v>60</v>
      </c>
    </row>
    <row r="113" spans="1:42" hidden="1">
      <c r="A113" t="s">
        <v>426</v>
      </c>
      <c r="B113" t="s">
        <v>44</v>
      </c>
      <c r="C113" t="s">
        <v>569</v>
      </c>
      <c r="D113" t="s">
        <v>256</v>
      </c>
      <c r="F113" t="s">
        <v>570</v>
      </c>
      <c r="H113" t="s">
        <v>181</v>
      </c>
      <c r="I113" t="s">
        <v>97</v>
      </c>
      <c r="J113" t="s">
        <v>571</v>
      </c>
      <c r="K113" t="s">
        <v>114</v>
      </c>
      <c r="L113" t="s">
        <v>197</v>
      </c>
      <c r="P113" t="s">
        <v>572</v>
      </c>
      <c r="AB113" t="s">
        <v>573</v>
      </c>
      <c r="AC113" t="s">
        <v>201</v>
      </c>
      <c r="AD113"/>
      <c r="AF113" t="s">
        <v>54</v>
      </c>
      <c r="AG113" t="s">
        <v>256</v>
      </c>
      <c r="AH113" t="s">
        <v>100</v>
      </c>
      <c r="AI113" t="s">
        <v>574</v>
      </c>
      <c r="AJ113" t="s">
        <v>575</v>
      </c>
      <c r="AK113" s="1">
        <v>10000</v>
      </c>
      <c r="AM113" t="s">
        <v>576</v>
      </c>
      <c r="AP113" t="s">
        <v>60</v>
      </c>
    </row>
    <row r="114" spans="1:42" hidden="1">
      <c r="A114" t="s">
        <v>426</v>
      </c>
      <c r="B114" t="s">
        <v>44</v>
      </c>
      <c r="C114" t="s">
        <v>577</v>
      </c>
      <c r="D114" t="s">
        <v>93</v>
      </c>
      <c r="F114" t="s">
        <v>578</v>
      </c>
      <c r="H114" t="s">
        <v>95</v>
      </c>
      <c r="I114" t="s">
        <v>96</v>
      </c>
      <c r="J114" t="s">
        <v>96</v>
      </c>
      <c r="K114" t="s">
        <v>114</v>
      </c>
      <c r="L114" t="s">
        <v>143</v>
      </c>
      <c r="Q114" t="s">
        <v>257</v>
      </c>
      <c r="AB114" t="s">
        <v>579</v>
      </c>
      <c r="AC114" t="s">
        <v>580</v>
      </c>
      <c r="AD114"/>
      <c r="AF114" t="s">
        <v>54</v>
      </c>
      <c r="AG114" t="s">
        <v>93</v>
      </c>
      <c r="AH114" t="s">
        <v>100</v>
      </c>
      <c r="AI114" t="s">
        <v>581</v>
      </c>
      <c r="AJ114" t="s">
        <v>582</v>
      </c>
      <c r="AK114" s="1">
        <v>12000</v>
      </c>
      <c r="AL114" t="s">
        <v>514</v>
      </c>
      <c r="AM114" t="s">
        <v>583</v>
      </c>
      <c r="AP114" t="s">
        <v>60</v>
      </c>
    </row>
    <row r="115" spans="1:42" hidden="1">
      <c r="A115" t="s">
        <v>426</v>
      </c>
      <c r="B115" t="s">
        <v>44</v>
      </c>
      <c r="C115" t="s">
        <v>584</v>
      </c>
      <c r="D115" t="s">
        <v>321</v>
      </c>
      <c r="F115" t="s">
        <v>570</v>
      </c>
      <c r="H115" t="s">
        <v>95</v>
      </c>
      <c r="I115" t="s">
        <v>96</v>
      </c>
      <c r="J115" t="s">
        <v>96</v>
      </c>
      <c r="K115" t="s">
        <v>114</v>
      </c>
      <c r="L115" t="s">
        <v>143</v>
      </c>
      <c r="Q115" t="s">
        <v>144</v>
      </c>
      <c r="AB115" t="s">
        <v>585</v>
      </c>
      <c r="AC115" t="s">
        <v>586</v>
      </c>
      <c r="AD115"/>
      <c r="AF115" t="s">
        <v>54</v>
      </c>
      <c r="AG115" t="s">
        <v>321</v>
      </c>
      <c r="AH115" t="s">
        <v>100</v>
      </c>
      <c r="AI115" t="s">
        <v>587</v>
      </c>
      <c r="AJ115" t="s">
        <v>588</v>
      </c>
      <c r="AK115" s="1">
        <v>66134</v>
      </c>
      <c r="AL115" t="s">
        <v>393</v>
      </c>
      <c r="AM115" t="s">
        <v>149</v>
      </c>
      <c r="AP115" t="s">
        <v>60</v>
      </c>
    </row>
    <row r="116" spans="1:42" hidden="1">
      <c r="A116" t="s">
        <v>393</v>
      </c>
      <c r="B116" t="s">
        <v>44</v>
      </c>
      <c r="C116" t="s">
        <v>589</v>
      </c>
      <c r="D116" t="s">
        <v>590</v>
      </c>
      <c r="F116" t="s">
        <v>336</v>
      </c>
      <c r="H116" t="s">
        <v>82</v>
      </c>
      <c r="I116" t="s">
        <v>97</v>
      </c>
      <c r="K116" t="s">
        <v>114</v>
      </c>
      <c r="L116" t="s">
        <v>115</v>
      </c>
      <c r="O116" t="s">
        <v>84</v>
      </c>
      <c r="AB116" t="s">
        <v>591</v>
      </c>
      <c r="AD116"/>
      <c r="AF116" t="s">
        <v>54</v>
      </c>
      <c r="AG116" t="s">
        <v>590</v>
      </c>
      <c r="AH116" t="s">
        <v>55</v>
      </c>
      <c r="AI116" t="s">
        <v>592</v>
      </c>
      <c r="AJ116" t="s">
        <v>593</v>
      </c>
      <c r="AK116" s="1">
        <v>24166.3</v>
      </c>
      <c r="AL116" t="s">
        <v>514</v>
      </c>
      <c r="AM116" t="s">
        <v>594</v>
      </c>
      <c r="AP116" t="s">
        <v>60</v>
      </c>
    </row>
    <row r="117" spans="1:42" hidden="1">
      <c r="A117" t="s">
        <v>393</v>
      </c>
      <c r="B117" t="s">
        <v>44</v>
      </c>
      <c r="C117" t="s">
        <v>595</v>
      </c>
      <c r="D117" t="s">
        <v>596</v>
      </c>
      <c r="F117" t="s">
        <v>596</v>
      </c>
      <c r="H117" t="s">
        <v>220</v>
      </c>
      <c r="I117" t="s">
        <v>97</v>
      </c>
      <c r="K117" t="s">
        <v>114</v>
      </c>
      <c r="L117" t="s">
        <v>313</v>
      </c>
      <c r="N117" t="s">
        <v>314</v>
      </c>
      <c r="AA117" t="s">
        <v>597</v>
      </c>
      <c r="AB117" t="s">
        <v>598</v>
      </c>
      <c r="AD117"/>
      <c r="AF117" t="s">
        <v>54</v>
      </c>
      <c r="AG117" t="s">
        <v>596</v>
      </c>
      <c r="AH117" t="s">
        <v>55</v>
      </c>
      <c r="AI117" t="s">
        <v>599</v>
      </c>
      <c r="AJ117" t="s">
        <v>600</v>
      </c>
      <c r="AK117" s="1">
        <v>5000</v>
      </c>
      <c r="AL117" t="s">
        <v>310</v>
      </c>
      <c r="AM117" t="s">
        <v>601</v>
      </c>
      <c r="AP117" t="s">
        <v>60</v>
      </c>
    </row>
    <row r="118" spans="1:42" hidden="1">
      <c r="A118" t="s">
        <v>426</v>
      </c>
      <c r="B118" t="s">
        <v>44</v>
      </c>
      <c r="C118" t="s">
        <v>602</v>
      </c>
      <c r="D118" t="s">
        <v>395</v>
      </c>
      <c r="F118" t="s">
        <v>343</v>
      </c>
      <c r="G118" t="s">
        <v>60</v>
      </c>
      <c r="H118" t="s">
        <v>113</v>
      </c>
      <c r="I118" t="s">
        <v>97</v>
      </c>
      <c r="K118" t="s">
        <v>50</v>
      </c>
      <c r="M118" t="s">
        <v>190</v>
      </c>
      <c r="Y118" t="s">
        <v>191</v>
      </c>
      <c r="AB118" t="s">
        <v>544</v>
      </c>
      <c r="AD118"/>
      <c r="AF118" t="s">
        <v>54</v>
      </c>
      <c r="AG118" t="s">
        <v>395</v>
      </c>
      <c r="AH118" t="s">
        <v>55</v>
      </c>
      <c r="AI118" t="s">
        <v>545</v>
      </c>
      <c r="AJ118" t="s">
        <v>546</v>
      </c>
      <c r="AK118" s="1">
        <v>38.700000000000003</v>
      </c>
      <c r="AL118" t="s">
        <v>58</v>
      </c>
      <c r="AM118" t="s">
        <v>603</v>
      </c>
      <c r="AP118" t="s">
        <v>60</v>
      </c>
    </row>
    <row r="119" spans="1:42" hidden="1">
      <c r="A119" t="s">
        <v>393</v>
      </c>
      <c r="B119" t="s">
        <v>210</v>
      </c>
      <c r="D119" t="s">
        <v>604</v>
      </c>
      <c r="F119" t="s">
        <v>605</v>
      </c>
      <c r="G119" t="s">
        <v>60</v>
      </c>
      <c r="H119" t="s">
        <v>416</v>
      </c>
      <c r="I119" t="s">
        <v>72</v>
      </c>
      <c r="AD119" s="1">
        <v>4680</v>
      </c>
      <c r="AE119" t="s">
        <v>606</v>
      </c>
      <c r="AF119" t="s">
        <v>54</v>
      </c>
      <c r="AG119" t="s">
        <v>605</v>
      </c>
      <c r="AI119" t="s">
        <v>607</v>
      </c>
      <c r="AJ119" t="s">
        <v>608</v>
      </c>
      <c r="AK119" s="2"/>
      <c r="AL119" t="s">
        <v>393</v>
      </c>
      <c r="AM119" t="s">
        <v>224</v>
      </c>
      <c r="AP119" t="s">
        <v>60</v>
      </c>
    </row>
    <row r="120" spans="1:42">
      <c r="A120" t="s">
        <v>310</v>
      </c>
      <c r="B120" t="s">
        <v>210</v>
      </c>
      <c r="D120" t="s">
        <v>529</v>
      </c>
      <c r="F120" s="2" t="s">
        <v>227</v>
      </c>
      <c r="H120" t="s">
        <v>228</v>
      </c>
      <c r="I120" t="s">
        <v>97</v>
      </c>
      <c r="AD120" s="1">
        <v>7890.6</v>
      </c>
      <c r="AE120" t="s">
        <v>609</v>
      </c>
      <c r="AF120" t="s">
        <v>54</v>
      </c>
      <c r="AG120" t="s">
        <v>529</v>
      </c>
      <c r="AI120" t="s">
        <v>230</v>
      </c>
      <c r="AJ120" t="s">
        <v>231</v>
      </c>
      <c r="AK120" s="2"/>
      <c r="AL120" t="s">
        <v>310</v>
      </c>
      <c r="AM120" t="s">
        <v>610</v>
      </c>
      <c r="AP120" t="s">
        <v>60</v>
      </c>
    </row>
    <row r="121" spans="1:42" hidden="1">
      <c r="A121" t="s">
        <v>310</v>
      </c>
      <c r="B121" t="s">
        <v>44</v>
      </c>
      <c r="C121" t="s">
        <v>611</v>
      </c>
      <c r="D121" t="s">
        <v>226</v>
      </c>
      <c r="F121" t="s">
        <v>612</v>
      </c>
      <c r="H121" t="s">
        <v>613</v>
      </c>
      <c r="I121" t="s">
        <v>97</v>
      </c>
      <c r="K121" t="s">
        <v>114</v>
      </c>
      <c r="L121" t="s">
        <v>115</v>
      </c>
      <c r="O121" t="s">
        <v>331</v>
      </c>
      <c r="AB121" t="s">
        <v>614</v>
      </c>
      <c r="AD121"/>
      <c r="AF121" t="s">
        <v>54</v>
      </c>
      <c r="AG121" t="s">
        <v>226</v>
      </c>
      <c r="AH121" t="s">
        <v>55</v>
      </c>
      <c r="AI121" t="s">
        <v>615</v>
      </c>
      <c r="AJ121" t="s">
        <v>616</v>
      </c>
      <c r="AK121" s="1">
        <v>21500</v>
      </c>
      <c r="AL121" t="s">
        <v>514</v>
      </c>
      <c r="AM121" t="s">
        <v>617</v>
      </c>
      <c r="AP121" t="s">
        <v>60</v>
      </c>
    </row>
    <row r="122" spans="1:42" hidden="1">
      <c r="A122" t="s">
        <v>310</v>
      </c>
      <c r="B122" t="s">
        <v>210</v>
      </c>
      <c r="D122" t="s">
        <v>329</v>
      </c>
      <c r="F122" t="s">
        <v>329</v>
      </c>
      <c r="H122" t="s">
        <v>122</v>
      </c>
      <c r="I122" t="s">
        <v>97</v>
      </c>
      <c r="AD122" s="1">
        <v>19300</v>
      </c>
      <c r="AE122" t="s">
        <v>618</v>
      </c>
      <c r="AF122" t="s">
        <v>54</v>
      </c>
      <c r="AG122" t="s">
        <v>329</v>
      </c>
      <c r="AI122" t="s">
        <v>619</v>
      </c>
      <c r="AJ122" t="s">
        <v>620</v>
      </c>
      <c r="AK122" s="2"/>
      <c r="AL122" t="s">
        <v>310</v>
      </c>
      <c r="AM122" t="s">
        <v>224</v>
      </c>
      <c r="AP122" t="s">
        <v>60</v>
      </c>
    </row>
    <row r="123" spans="1:42" hidden="1">
      <c r="A123" t="s">
        <v>245</v>
      </c>
      <c r="B123" t="s">
        <v>210</v>
      </c>
      <c r="D123" t="s">
        <v>621</v>
      </c>
      <c r="F123" t="s">
        <v>70</v>
      </c>
      <c r="H123" t="s">
        <v>240</v>
      </c>
      <c r="I123" t="s">
        <v>72</v>
      </c>
      <c r="AD123" s="1">
        <v>5680</v>
      </c>
      <c r="AE123" t="s">
        <v>622</v>
      </c>
      <c r="AF123" t="s">
        <v>54</v>
      </c>
      <c r="AG123" t="s">
        <v>621</v>
      </c>
      <c r="AI123" t="s">
        <v>623</v>
      </c>
      <c r="AJ123" t="s">
        <v>624</v>
      </c>
      <c r="AK123" s="2"/>
      <c r="AM123" t="s">
        <v>625</v>
      </c>
      <c r="AP123" t="s">
        <v>60</v>
      </c>
    </row>
    <row r="124" spans="1:42" hidden="1">
      <c r="A124" t="s">
        <v>245</v>
      </c>
      <c r="B124" t="s">
        <v>210</v>
      </c>
      <c r="D124" t="s">
        <v>46</v>
      </c>
      <c r="F124" t="s">
        <v>46</v>
      </c>
      <c r="H124" t="s">
        <v>71</v>
      </c>
      <c r="I124" t="s">
        <v>49</v>
      </c>
      <c r="AD124" s="1">
        <v>0</v>
      </c>
      <c r="AE124" t="s">
        <v>626</v>
      </c>
      <c r="AF124" t="s">
        <v>54</v>
      </c>
      <c r="AG124" t="s">
        <v>46</v>
      </c>
      <c r="AI124" t="s">
        <v>626</v>
      </c>
      <c r="AJ124" t="s">
        <v>626</v>
      </c>
      <c r="AK124" s="2"/>
      <c r="AL124" t="s">
        <v>245</v>
      </c>
      <c r="AM124" t="s">
        <v>224</v>
      </c>
      <c r="AP124" t="s">
        <v>60</v>
      </c>
    </row>
    <row r="125" spans="1:42" hidden="1">
      <c r="A125" t="s">
        <v>245</v>
      </c>
      <c r="B125" t="s">
        <v>44</v>
      </c>
      <c r="C125" t="s">
        <v>627</v>
      </c>
      <c r="D125" t="s">
        <v>562</v>
      </c>
      <c r="F125" t="s">
        <v>562</v>
      </c>
      <c r="G125" t="s">
        <v>60</v>
      </c>
      <c r="H125" t="s">
        <v>122</v>
      </c>
      <c r="I125" t="s">
        <v>97</v>
      </c>
      <c r="J125" t="s">
        <v>97</v>
      </c>
      <c r="K125" t="s">
        <v>50</v>
      </c>
      <c r="M125" t="s">
        <v>628</v>
      </c>
      <c r="X125" t="s">
        <v>144</v>
      </c>
      <c r="AB125" t="s">
        <v>629</v>
      </c>
      <c r="AC125" t="s">
        <v>630</v>
      </c>
      <c r="AD125"/>
      <c r="AF125" t="s">
        <v>54</v>
      </c>
      <c r="AG125" t="s">
        <v>562</v>
      </c>
      <c r="AH125" t="s">
        <v>100</v>
      </c>
      <c r="AI125" t="s">
        <v>631</v>
      </c>
      <c r="AJ125" t="s">
        <v>632</v>
      </c>
      <c r="AK125" s="1">
        <v>13100</v>
      </c>
      <c r="AL125" t="s">
        <v>245</v>
      </c>
      <c r="AM125" t="s">
        <v>149</v>
      </c>
      <c r="AP125" t="s">
        <v>60</v>
      </c>
    </row>
    <row r="126" spans="1:42" hidden="1">
      <c r="A126" t="s">
        <v>245</v>
      </c>
      <c r="B126" t="s">
        <v>44</v>
      </c>
      <c r="C126" t="s">
        <v>543</v>
      </c>
      <c r="D126" t="s">
        <v>395</v>
      </c>
      <c r="F126" t="s">
        <v>343</v>
      </c>
      <c r="H126" t="s">
        <v>113</v>
      </c>
      <c r="I126" t="s">
        <v>97</v>
      </c>
      <c r="K126" t="s">
        <v>50</v>
      </c>
      <c r="M126" t="s">
        <v>190</v>
      </c>
      <c r="Y126" t="s">
        <v>241</v>
      </c>
      <c r="AB126" t="s">
        <v>544</v>
      </c>
      <c r="AD126"/>
      <c r="AF126" t="s">
        <v>54</v>
      </c>
      <c r="AG126" t="s">
        <v>395</v>
      </c>
      <c r="AH126" t="s">
        <v>55</v>
      </c>
      <c r="AI126" t="s">
        <v>545</v>
      </c>
      <c r="AJ126" t="s">
        <v>546</v>
      </c>
      <c r="AK126" s="1">
        <v>8300</v>
      </c>
      <c r="AL126" t="s">
        <v>58</v>
      </c>
      <c r="AM126" t="s">
        <v>603</v>
      </c>
      <c r="AP126" t="s">
        <v>60</v>
      </c>
    </row>
    <row r="127" spans="1:42" hidden="1">
      <c r="A127" t="s">
        <v>245</v>
      </c>
      <c r="B127" t="s">
        <v>44</v>
      </c>
      <c r="C127" t="s">
        <v>633</v>
      </c>
      <c r="D127" t="s">
        <v>395</v>
      </c>
      <c r="F127" t="s">
        <v>343</v>
      </c>
      <c r="H127" t="s">
        <v>113</v>
      </c>
      <c r="I127" t="s">
        <v>97</v>
      </c>
      <c r="K127" t="s">
        <v>50</v>
      </c>
      <c r="M127" t="s">
        <v>190</v>
      </c>
      <c r="Y127" t="s">
        <v>241</v>
      </c>
      <c r="AB127" t="s">
        <v>544</v>
      </c>
      <c r="AD127"/>
      <c r="AF127" t="s">
        <v>54</v>
      </c>
      <c r="AG127" t="s">
        <v>395</v>
      </c>
      <c r="AH127" t="s">
        <v>55</v>
      </c>
      <c r="AI127" t="s">
        <v>545</v>
      </c>
      <c r="AJ127" t="s">
        <v>546</v>
      </c>
      <c r="AK127" s="1">
        <v>4200</v>
      </c>
      <c r="AL127" t="s">
        <v>58</v>
      </c>
      <c r="AM127" t="s">
        <v>603</v>
      </c>
      <c r="AP127" t="s">
        <v>60</v>
      </c>
    </row>
    <row r="128" spans="1:42" hidden="1">
      <c r="A128" t="s">
        <v>245</v>
      </c>
      <c r="B128" t="s">
        <v>44</v>
      </c>
      <c r="C128" t="s">
        <v>634</v>
      </c>
      <c r="D128" t="s">
        <v>395</v>
      </c>
      <c r="F128" t="s">
        <v>381</v>
      </c>
      <c r="H128" t="s">
        <v>294</v>
      </c>
      <c r="I128" t="s">
        <v>97</v>
      </c>
      <c r="K128" t="s">
        <v>114</v>
      </c>
      <c r="L128" t="s">
        <v>197</v>
      </c>
      <c r="P128" t="s">
        <v>241</v>
      </c>
      <c r="AB128" t="s">
        <v>635</v>
      </c>
      <c r="AD128"/>
      <c r="AF128" t="s">
        <v>54</v>
      </c>
      <c r="AG128" t="s">
        <v>395</v>
      </c>
      <c r="AH128" t="s">
        <v>55</v>
      </c>
      <c r="AI128" t="s">
        <v>636</v>
      </c>
      <c r="AJ128" t="s">
        <v>637</v>
      </c>
      <c r="AK128" s="1">
        <v>28300</v>
      </c>
      <c r="AL128" t="s">
        <v>245</v>
      </c>
      <c r="AM128" t="s">
        <v>89</v>
      </c>
      <c r="AP128" t="s">
        <v>60</v>
      </c>
    </row>
    <row r="129" spans="1:42" hidden="1">
      <c r="A129" t="s">
        <v>245</v>
      </c>
      <c r="B129" t="s">
        <v>44</v>
      </c>
      <c r="C129" t="s">
        <v>638</v>
      </c>
      <c r="D129" t="s">
        <v>284</v>
      </c>
      <c r="F129" t="s">
        <v>180</v>
      </c>
      <c r="H129" t="s">
        <v>165</v>
      </c>
      <c r="I129" t="s">
        <v>182</v>
      </c>
      <c r="K129" t="s">
        <v>50</v>
      </c>
      <c r="M129" t="s">
        <v>51</v>
      </c>
      <c r="Z129" t="s">
        <v>183</v>
      </c>
      <c r="AB129" t="s">
        <v>639</v>
      </c>
      <c r="AD129"/>
      <c r="AF129" t="s">
        <v>54</v>
      </c>
      <c r="AG129" t="s">
        <v>284</v>
      </c>
      <c r="AH129" t="s">
        <v>55</v>
      </c>
      <c r="AI129" t="s">
        <v>640</v>
      </c>
      <c r="AJ129" t="s">
        <v>641</v>
      </c>
      <c r="AK129" s="1">
        <v>4125</v>
      </c>
      <c r="AL129" t="s">
        <v>245</v>
      </c>
      <c r="AM129" t="s">
        <v>120</v>
      </c>
      <c r="AP129" t="s">
        <v>60</v>
      </c>
    </row>
    <row r="130" spans="1:42" hidden="1">
      <c r="A130" t="s">
        <v>245</v>
      </c>
      <c r="B130" t="s">
        <v>44</v>
      </c>
      <c r="C130" t="s">
        <v>642</v>
      </c>
      <c r="D130" t="s">
        <v>263</v>
      </c>
      <c r="F130" t="s">
        <v>180</v>
      </c>
      <c r="H130" t="s">
        <v>95</v>
      </c>
      <c r="I130" t="s">
        <v>182</v>
      </c>
      <c r="K130" t="s">
        <v>50</v>
      </c>
      <c r="M130" t="s">
        <v>51</v>
      </c>
      <c r="Z130" t="s">
        <v>123</v>
      </c>
      <c r="AB130" t="s">
        <v>643</v>
      </c>
      <c r="AD130"/>
      <c r="AF130" t="s">
        <v>54</v>
      </c>
      <c r="AG130" t="s">
        <v>263</v>
      </c>
      <c r="AH130" t="s">
        <v>55</v>
      </c>
      <c r="AI130" t="s">
        <v>644</v>
      </c>
      <c r="AJ130" t="s">
        <v>645</v>
      </c>
      <c r="AK130" s="1">
        <v>9275</v>
      </c>
      <c r="AL130" t="s">
        <v>245</v>
      </c>
      <c r="AM130" t="s">
        <v>646</v>
      </c>
      <c r="AP130" t="s">
        <v>60</v>
      </c>
    </row>
    <row r="131" spans="1:42" hidden="1">
      <c r="A131" t="s">
        <v>245</v>
      </c>
      <c r="B131" t="s">
        <v>44</v>
      </c>
      <c r="C131" t="s">
        <v>647</v>
      </c>
      <c r="D131" t="s">
        <v>648</v>
      </c>
      <c r="F131" t="s">
        <v>70</v>
      </c>
      <c r="H131" t="s">
        <v>234</v>
      </c>
      <c r="I131" t="s">
        <v>49</v>
      </c>
      <c r="K131" t="s">
        <v>50</v>
      </c>
      <c r="M131" t="s">
        <v>51</v>
      </c>
      <c r="Z131" t="s">
        <v>84</v>
      </c>
      <c r="AB131" t="s">
        <v>649</v>
      </c>
      <c r="AD131"/>
      <c r="AF131" t="s">
        <v>54</v>
      </c>
      <c r="AG131" t="s">
        <v>648</v>
      </c>
      <c r="AH131" t="s">
        <v>55</v>
      </c>
      <c r="AI131" t="s">
        <v>650</v>
      </c>
      <c r="AJ131" t="s">
        <v>651</v>
      </c>
      <c r="AK131" s="1">
        <v>12750.6</v>
      </c>
      <c r="AL131" t="s">
        <v>652</v>
      </c>
      <c r="AM131" t="s">
        <v>653</v>
      </c>
      <c r="AP131" t="s">
        <v>60</v>
      </c>
    </row>
    <row r="132" spans="1:42" hidden="1">
      <c r="A132" t="s">
        <v>245</v>
      </c>
      <c r="B132" t="s">
        <v>44</v>
      </c>
      <c r="C132" t="s">
        <v>654</v>
      </c>
      <c r="D132" t="s">
        <v>648</v>
      </c>
      <c r="F132" t="s">
        <v>70</v>
      </c>
      <c r="H132" t="s">
        <v>234</v>
      </c>
      <c r="I132" t="s">
        <v>49</v>
      </c>
      <c r="K132" t="s">
        <v>50</v>
      </c>
      <c r="M132" t="s">
        <v>51</v>
      </c>
      <c r="Z132" t="s">
        <v>84</v>
      </c>
      <c r="AB132" t="s">
        <v>649</v>
      </c>
      <c r="AD132"/>
      <c r="AF132" t="s">
        <v>54</v>
      </c>
      <c r="AG132" t="s">
        <v>648</v>
      </c>
      <c r="AH132" t="s">
        <v>55</v>
      </c>
      <c r="AI132" t="s">
        <v>650</v>
      </c>
      <c r="AJ132" t="s">
        <v>651</v>
      </c>
      <c r="AK132" s="1">
        <v>7520</v>
      </c>
      <c r="AL132" t="s">
        <v>652</v>
      </c>
      <c r="AM132" t="s">
        <v>653</v>
      </c>
      <c r="AP132" t="s">
        <v>60</v>
      </c>
    </row>
    <row r="133" spans="1:42" hidden="1">
      <c r="A133" t="s">
        <v>245</v>
      </c>
      <c r="B133" t="s">
        <v>44</v>
      </c>
      <c r="C133" t="s">
        <v>655</v>
      </c>
      <c r="D133" t="s">
        <v>648</v>
      </c>
      <c r="F133" t="s">
        <v>70</v>
      </c>
      <c r="H133" t="s">
        <v>234</v>
      </c>
      <c r="I133" t="s">
        <v>49</v>
      </c>
      <c r="K133" t="s">
        <v>50</v>
      </c>
      <c r="M133" t="s">
        <v>51</v>
      </c>
      <c r="Z133" t="s">
        <v>84</v>
      </c>
      <c r="AB133" t="s">
        <v>649</v>
      </c>
      <c r="AD133"/>
      <c r="AF133" t="s">
        <v>54</v>
      </c>
      <c r="AG133" t="s">
        <v>648</v>
      </c>
      <c r="AH133" t="s">
        <v>55</v>
      </c>
      <c r="AI133" t="s">
        <v>650</v>
      </c>
      <c r="AJ133" t="s">
        <v>651</v>
      </c>
      <c r="AK133" s="1">
        <v>12080.7</v>
      </c>
      <c r="AL133" t="s">
        <v>652</v>
      </c>
      <c r="AM133" t="s">
        <v>653</v>
      </c>
      <c r="AP133" t="s">
        <v>60</v>
      </c>
    </row>
    <row r="134" spans="1:42" hidden="1">
      <c r="A134" t="s">
        <v>245</v>
      </c>
      <c r="B134" t="s">
        <v>44</v>
      </c>
      <c r="C134" t="s">
        <v>656</v>
      </c>
      <c r="D134" t="s">
        <v>648</v>
      </c>
      <c r="F134" t="s">
        <v>70</v>
      </c>
      <c r="H134" t="s">
        <v>234</v>
      </c>
      <c r="I134" t="s">
        <v>49</v>
      </c>
      <c r="K134" t="s">
        <v>50</v>
      </c>
      <c r="M134" t="s">
        <v>51</v>
      </c>
      <c r="Z134" t="s">
        <v>84</v>
      </c>
      <c r="AB134" t="s">
        <v>649</v>
      </c>
      <c r="AD134"/>
      <c r="AF134" t="s">
        <v>54</v>
      </c>
      <c r="AG134" t="s">
        <v>648</v>
      </c>
      <c r="AH134" t="s">
        <v>55</v>
      </c>
      <c r="AI134" t="s">
        <v>650</v>
      </c>
      <c r="AJ134" t="s">
        <v>651</v>
      </c>
      <c r="AK134" s="1">
        <v>6302.1</v>
      </c>
      <c r="AL134" t="s">
        <v>652</v>
      </c>
      <c r="AM134" t="s">
        <v>653</v>
      </c>
      <c r="AP134" t="s">
        <v>60</v>
      </c>
    </row>
    <row r="135" spans="1:42" hidden="1">
      <c r="A135" t="s">
        <v>245</v>
      </c>
      <c r="B135" t="s">
        <v>44</v>
      </c>
      <c r="C135" t="s">
        <v>657</v>
      </c>
      <c r="D135" t="s">
        <v>179</v>
      </c>
      <c r="F135" t="s">
        <v>180</v>
      </c>
      <c r="H135" t="s">
        <v>95</v>
      </c>
      <c r="I135" t="s">
        <v>182</v>
      </c>
      <c r="K135" t="s">
        <v>50</v>
      </c>
      <c r="M135" t="s">
        <v>51</v>
      </c>
      <c r="Z135" t="s">
        <v>183</v>
      </c>
      <c r="AB135" t="s">
        <v>658</v>
      </c>
      <c r="AD135"/>
      <c r="AF135" t="s">
        <v>54</v>
      </c>
      <c r="AG135" t="s">
        <v>179</v>
      </c>
      <c r="AH135" t="s">
        <v>55</v>
      </c>
      <c r="AI135" t="s">
        <v>659</v>
      </c>
      <c r="AJ135" t="s">
        <v>660</v>
      </c>
      <c r="AK135" s="1">
        <v>5951</v>
      </c>
      <c r="AL135" t="s">
        <v>514</v>
      </c>
      <c r="AM135" t="s">
        <v>464</v>
      </c>
      <c r="AP135" t="s">
        <v>60</v>
      </c>
    </row>
    <row r="136" spans="1:42" hidden="1">
      <c r="A136" t="s">
        <v>245</v>
      </c>
      <c r="B136" t="s">
        <v>44</v>
      </c>
      <c r="C136" t="s">
        <v>661</v>
      </c>
      <c r="D136" t="s">
        <v>47</v>
      </c>
      <c r="F136" t="s">
        <v>47</v>
      </c>
      <c r="H136" t="s">
        <v>220</v>
      </c>
      <c r="I136" t="s">
        <v>97</v>
      </c>
      <c r="J136" t="s">
        <v>72</v>
      </c>
      <c r="K136" t="s">
        <v>114</v>
      </c>
      <c r="L136" t="s">
        <v>143</v>
      </c>
      <c r="Q136" t="s">
        <v>144</v>
      </c>
      <c r="AB136" t="s">
        <v>662</v>
      </c>
      <c r="AC136" t="s">
        <v>663</v>
      </c>
      <c r="AD136"/>
      <c r="AF136" t="s">
        <v>54</v>
      </c>
      <c r="AG136" t="s">
        <v>47</v>
      </c>
      <c r="AH136" t="s">
        <v>100</v>
      </c>
      <c r="AI136" t="s">
        <v>664</v>
      </c>
      <c r="AJ136" t="s">
        <v>665</v>
      </c>
      <c r="AK136" s="1">
        <v>3957</v>
      </c>
      <c r="AL136" t="s">
        <v>245</v>
      </c>
      <c r="AM136" t="s">
        <v>280</v>
      </c>
      <c r="AP136" t="s">
        <v>60</v>
      </c>
    </row>
    <row r="137" spans="1:42" hidden="1">
      <c r="A137" t="s">
        <v>245</v>
      </c>
      <c r="B137" t="s">
        <v>44</v>
      </c>
      <c r="C137" t="s">
        <v>666</v>
      </c>
      <c r="D137" t="s">
        <v>106</v>
      </c>
      <c r="F137" t="s">
        <v>343</v>
      </c>
      <c r="H137" t="s">
        <v>330</v>
      </c>
      <c r="I137" t="s">
        <v>97</v>
      </c>
      <c r="K137" t="s">
        <v>114</v>
      </c>
      <c r="L137" t="s">
        <v>115</v>
      </c>
      <c r="O137" t="s">
        <v>123</v>
      </c>
      <c r="AB137" t="s">
        <v>667</v>
      </c>
      <c r="AD137"/>
      <c r="AF137" t="s">
        <v>54</v>
      </c>
      <c r="AG137" t="s">
        <v>106</v>
      </c>
      <c r="AH137" t="s">
        <v>55</v>
      </c>
      <c r="AI137" t="s">
        <v>668</v>
      </c>
      <c r="AJ137" t="s">
        <v>669</v>
      </c>
      <c r="AK137" s="1">
        <v>10000</v>
      </c>
      <c r="AL137" t="s">
        <v>670</v>
      </c>
      <c r="AM137" t="s">
        <v>671</v>
      </c>
      <c r="AP137" t="s">
        <v>60</v>
      </c>
    </row>
    <row r="138" spans="1:42" hidden="1">
      <c r="A138" t="s">
        <v>514</v>
      </c>
      <c r="B138" t="s">
        <v>210</v>
      </c>
      <c r="D138" t="s">
        <v>142</v>
      </c>
      <c r="F138" t="s">
        <v>562</v>
      </c>
      <c r="H138" t="s">
        <v>189</v>
      </c>
      <c r="I138" t="s">
        <v>97</v>
      </c>
      <c r="AD138" s="1">
        <v>12800</v>
      </c>
      <c r="AE138" t="s">
        <v>672</v>
      </c>
      <c r="AF138" t="s">
        <v>54</v>
      </c>
      <c r="AG138" t="s">
        <v>142</v>
      </c>
      <c r="AI138" t="s">
        <v>673</v>
      </c>
      <c r="AJ138" t="s">
        <v>674</v>
      </c>
      <c r="AK138" s="2"/>
      <c r="AL138" t="s">
        <v>514</v>
      </c>
      <c r="AM138" t="s">
        <v>224</v>
      </c>
      <c r="AP138" t="s">
        <v>60</v>
      </c>
    </row>
    <row r="139" spans="1:42" hidden="1">
      <c r="A139" t="s">
        <v>514</v>
      </c>
      <c r="B139" t="s">
        <v>210</v>
      </c>
      <c r="D139" t="s">
        <v>675</v>
      </c>
      <c r="F139" t="s">
        <v>152</v>
      </c>
      <c r="G139" t="s">
        <v>60</v>
      </c>
      <c r="H139" t="s">
        <v>48</v>
      </c>
      <c r="I139" t="s">
        <v>49</v>
      </c>
      <c r="AD139" s="1">
        <v>24500</v>
      </c>
      <c r="AE139" t="s">
        <v>676</v>
      </c>
      <c r="AF139" t="s">
        <v>54</v>
      </c>
      <c r="AG139" t="s">
        <v>152</v>
      </c>
      <c r="AI139" t="s">
        <v>677</v>
      </c>
      <c r="AJ139" t="s">
        <v>678</v>
      </c>
      <c r="AK139" s="2"/>
      <c r="AL139" t="s">
        <v>514</v>
      </c>
      <c r="AM139" t="s">
        <v>224</v>
      </c>
      <c r="AP139" t="s">
        <v>60</v>
      </c>
    </row>
    <row r="140" spans="1:42" hidden="1">
      <c r="A140" t="s">
        <v>514</v>
      </c>
      <c r="B140" t="s">
        <v>210</v>
      </c>
      <c r="D140" t="s">
        <v>151</v>
      </c>
      <c r="F140" t="s">
        <v>562</v>
      </c>
      <c r="H140" t="s">
        <v>482</v>
      </c>
      <c r="I140" t="s">
        <v>97</v>
      </c>
      <c r="AD140" s="1">
        <v>16736</v>
      </c>
      <c r="AE140" t="s">
        <v>679</v>
      </c>
      <c r="AF140" t="s">
        <v>54</v>
      </c>
      <c r="AG140" t="s">
        <v>151</v>
      </c>
      <c r="AI140" t="s">
        <v>680</v>
      </c>
      <c r="AJ140" t="s">
        <v>681</v>
      </c>
      <c r="AK140" s="2"/>
      <c r="AL140" t="s">
        <v>514</v>
      </c>
      <c r="AM140" t="s">
        <v>224</v>
      </c>
      <c r="AP140" t="s">
        <v>60</v>
      </c>
    </row>
    <row r="141" spans="1:42" hidden="1">
      <c r="A141" t="s">
        <v>514</v>
      </c>
      <c r="B141" t="s">
        <v>44</v>
      </c>
      <c r="C141" t="s">
        <v>682</v>
      </c>
      <c r="D141" t="s">
        <v>93</v>
      </c>
      <c r="F141" t="s">
        <v>683</v>
      </c>
      <c r="H141" t="s">
        <v>95</v>
      </c>
      <c r="I141" t="s">
        <v>96</v>
      </c>
      <c r="J141" t="s">
        <v>49</v>
      </c>
      <c r="K141" t="s">
        <v>50</v>
      </c>
      <c r="M141" t="s">
        <v>628</v>
      </c>
      <c r="X141" t="s">
        <v>257</v>
      </c>
      <c r="AB141" t="s">
        <v>684</v>
      </c>
      <c r="AC141" t="s">
        <v>685</v>
      </c>
      <c r="AD141"/>
      <c r="AF141" t="s">
        <v>54</v>
      </c>
      <c r="AG141" t="s">
        <v>93</v>
      </c>
      <c r="AH141" t="s">
        <v>100</v>
      </c>
      <c r="AI141" t="s">
        <v>686</v>
      </c>
      <c r="AJ141" t="s">
        <v>687</v>
      </c>
      <c r="AK141" s="1">
        <v>27500</v>
      </c>
      <c r="AP141" t="s">
        <v>60</v>
      </c>
    </row>
    <row r="142" spans="1:42" hidden="1">
      <c r="A142" t="s">
        <v>514</v>
      </c>
      <c r="B142" t="s">
        <v>210</v>
      </c>
      <c r="D142" t="s">
        <v>604</v>
      </c>
      <c r="F142" t="s">
        <v>688</v>
      </c>
      <c r="G142" t="s">
        <v>60</v>
      </c>
      <c r="H142" t="s">
        <v>234</v>
      </c>
      <c r="I142" t="s">
        <v>72</v>
      </c>
      <c r="AD142" s="1">
        <v>5680</v>
      </c>
      <c r="AE142" t="s">
        <v>689</v>
      </c>
      <c r="AF142" t="s">
        <v>54</v>
      </c>
      <c r="AG142" t="s">
        <v>688</v>
      </c>
      <c r="AI142" t="s">
        <v>690</v>
      </c>
      <c r="AJ142" t="s">
        <v>691</v>
      </c>
      <c r="AK142" s="2"/>
      <c r="AM142" t="s">
        <v>692</v>
      </c>
      <c r="AP142" t="s">
        <v>60</v>
      </c>
    </row>
    <row r="143" spans="1:42" hidden="1">
      <c r="A143" t="s">
        <v>514</v>
      </c>
      <c r="B143" t="s">
        <v>44</v>
      </c>
      <c r="C143" t="s">
        <v>693</v>
      </c>
      <c r="D143" t="s">
        <v>529</v>
      </c>
      <c r="F143" t="s">
        <v>164</v>
      </c>
      <c r="G143" t="s">
        <v>60</v>
      </c>
      <c r="H143" t="s">
        <v>95</v>
      </c>
      <c r="I143" t="s">
        <v>97</v>
      </c>
      <c r="K143" t="s">
        <v>50</v>
      </c>
      <c r="M143" t="s">
        <v>51</v>
      </c>
      <c r="Z143" t="s">
        <v>73</v>
      </c>
      <c r="AB143" t="s">
        <v>694</v>
      </c>
      <c r="AD143"/>
      <c r="AF143" t="s">
        <v>54</v>
      </c>
      <c r="AG143" t="s">
        <v>529</v>
      </c>
      <c r="AH143" t="s">
        <v>55</v>
      </c>
      <c r="AI143" t="s">
        <v>695</v>
      </c>
      <c r="AJ143" t="s">
        <v>696</v>
      </c>
      <c r="AK143" s="1">
        <v>4300</v>
      </c>
      <c r="AL143" t="s">
        <v>697</v>
      </c>
      <c r="AM143" t="s">
        <v>698</v>
      </c>
      <c r="AP143" t="s">
        <v>60</v>
      </c>
    </row>
    <row r="144" spans="1:42" hidden="1">
      <c r="A144" t="s">
        <v>514</v>
      </c>
      <c r="B144" t="s">
        <v>44</v>
      </c>
      <c r="C144" t="s">
        <v>699</v>
      </c>
      <c r="D144" t="s">
        <v>529</v>
      </c>
      <c r="F144" t="s">
        <v>164</v>
      </c>
      <c r="G144" t="s">
        <v>60</v>
      </c>
      <c r="H144" t="s">
        <v>95</v>
      </c>
      <c r="I144" t="s">
        <v>97</v>
      </c>
      <c r="K144" t="s">
        <v>50</v>
      </c>
      <c r="M144" t="s">
        <v>51</v>
      </c>
      <c r="Z144" t="s">
        <v>73</v>
      </c>
      <c r="AB144" t="s">
        <v>694</v>
      </c>
      <c r="AD144"/>
      <c r="AF144" t="s">
        <v>54</v>
      </c>
      <c r="AG144" t="s">
        <v>529</v>
      </c>
      <c r="AH144" t="s">
        <v>55</v>
      </c>
      <c r="AI144" t="s">
        <v>695</v>
      </c>
      <c r="AJ144" t="s">
        <v>696</v>
      </c>
      <c r="AK144" s="1">
        <v>6116.1</v>
      </c>
      <c r="AL144" t="s">
        <v>390</v>
      </c>
      <c r="AM144" t="s">
        <v>698</v>
      </c>
      <c r="AP144" t="s">
        <v>60</v>
      </c>
    </row>
    <row r="145" spans="1:42" hidden="1">
      <c r="A145" t="s">
        <v>514</v>
      </c>
      <c r="B145" t="s">
        <v>44</v>
      </c>
      <c r="C145" t="s">
        <v>682</v>
      </c>
      <c r="D145" t="s">
        <v>93</v>
      </c>
      <c r="F145" t="s">
        <v>683</v>
      </c>
      <c r="H145" t="s">
        <v>95</v>
      </c>
      <c r="I145" t="s">
        <v>96</v>
      </c>
      <c r="J145" t="s">
        <v>49</v>
      </c>
      <c r="K145" t="s">
        <v>50</v>
      </c>
      <c r="M145" t="s">
        <v>628</v>
      </c>
      <c r="X145" t="s">
        <v>257</v>
      </c>
      <c r="AB145" t="s">
        <v>684</v>
      </c>
      <c r="AC145" t="s">
        <v>685</v>
      </c>
      <c r="AD145"/>
      <c r="AF145" t="s">
        <v>54</v>
      </c>
      <c r="AG145" t="s">
        <v>93</v>
      </c>
      <c r="AH145" t="s">
        <v>100</v>
      </c>
      <c r="AI145" t="s">
        <v>686</v>
      </c>
      <c r="AJ145" t="s">
        <v>687</v>
      </c>
      <c r="AK145" s="1">
        <v>27500</v>
      </c>
      <c r="AL145" t="s">
        <v>514</v>
      </c>
      <c r="AM145" t="s">
        <v>700</v>
      </c>
      <c r="AP145" t="s">
        <v>60</v>
      </c>
    </row>
    <row r="146" spans="1:42" hidden="1">
      <c r="A146" t="s">
        <v>514</v>
      </c>
      <c r="B146" t="s">
        <v>44</v>
      </c>
      <c r="C146" t="s">
        <v>701</v>
      </c>
      <c r="D146" t="s">
        <v>621</v>
      </c>
      <c r="F146" t="s">
        <v>329</v>
      </c>
      <c r="H146" t="s">
        <v>122</v>
      </c>
      <c r="I146" t="s">
        <v>72</v>
      </c>
      <c r="K146" t="s">
        <v>50</v>
      </c>
      <c r="M146" t="s">
        <v>51</v>
      </c>
      <c r="Z146" t="s">
        <v>73</v>
      </c>
      <c r="AB146" t="s">
        <v>702</v>
      </c>
      <c r="AD146"/>
      <c r="AF146" t="s">
        <v>54</v>
      </c>
      <c r="AG146" t="s">
        <v>621</v>
      </c>
      <c r="AH146" t="s">
        <v>55</v>
      </c>
      <c r="AI146" t="s">
        <v>703</v>
      </c>
      <c r="AJ146" t="s">
        <v>704</v>
      </c>
      <c r="AK146" s="1">
        <v>1300</v>
      </c>
      <c r="AM146" t="s">
        <v>705</v>
      </c>
    </row>
    <row r="147" spans="1:42" hidden="1">
      <c r="A147" t="s">
        <v>514</v>
      </c>
      <c r="B147" t="s">
        <v>44</v>
      </c>
      <c r="C147" t="s">
        <v>706</v>
      </c>
      <c r="D147" t="s">
        <v>596</v>
      </c>
      <c r="F147" t="s">
        <v>164</v>
      </c>
      <c r="H147" t="s">
        <v>220</v>
      </c>
      <c r="I147" t="s">
        <v>97</v>
      </c>
      <c r="K147" t="s">
        <v>114</v>
      </c>
      <c r="L147" t="s">
        <v>313</v>
      </c>
      <c r="N147" t="s">
        <v>314</v>
      </c>
      <c r="AA147" t="s">
        <v>707</v>
      </c>
      <c r="AB147" t="s">
        <v>708</v>
      </c>
      <c r="AD147"/>
      <c r="AF147" t="s">
        <v>54</v>
      </c>
      <c r="AG147" t="s">
        <v>596</v>
      </c>
      <c r="AH147" t="s">
        <v>55</v>
      </c>
      <c r="AI147" t="s">
        <v>599</v>
      </c>
      <c r="AJ147" t="s">
        <v>600</v>
      </c>
      <c r="AK147" s="1">
        <v>18422</v>
      </c>
      <c r="AL147" t="s">
        <v>652</v>
      </c>
      <c r="AM147" t="s">
        <v>709</v>
      </c>
      <c r="AP147" t="s">
        <v>60</v>
      </c>
    </row>
    <row r="148" spans="1:42" hidden="1">
      <c r="A148" t="s">
        <v>514</v>
      </c>
      <c r="B148" t="s">
        <v>44</v>
      </c>
      <c r="C148" t="s">
        <v>710</v>
      </c>
      <c r="D148" t="s">
        <v>621</v>
      </c>
      <c r="F148" t="s">
        <v>354</v>
      </c>
      <c r="H148" t="s">
        <v>122</v>
      </c>
      <c r="I148" t="s">
        <v>72</v>
      </c>
      <c r="K148" t="s">
        <v>50</v>
      </c>
      <c r="M148" t="s">
        <v>51</v>
      </c>
      <c r="Z148" t="s">
        <v>52</v>
      </c>
      <c r="AB148" t="s">
        <v>711</v>
      </c>
      <c r="AD148"/>
      <c r="AF148" t="s">
        <v>54</v>
      </c>
      <c r="AG148" t="s">
        <v>621</v>
      </c>
      <c r="AH148" t="s">
        <v>55</v>
      </c>
      <c r="AI148" t="s">
        <v>712</v>
      </c>
      <c r="AJ148" t="s">
        <v>713</v>
      </c>
      <c r="AK148" s="1">
        <v>7500</v>
      </c>
      <c r="AM148" t="s">
        <v>714</v>
      </c>
    </row>
    <row r="149" spans="1:42" hidden="1">
      <c r="A149" t="s">
        <v>514</v>
      </c>
      <c r="B149" t="s">
        <v>44</v>
      </c>
      <c r="C149" t="s">
        <v>715</v>
      </c>
      <c r="D149" t="s">
        <v>716</v>
      </c>
      <c r="F149" t="s">
        <v>112</v>
      </c>
      <c r="H149" t="s">
        <v>717</v>
      </c>
      <c r="I149" t="s">
        <v>49</v>
      </c>
      <c r="J149" t="s">
        <v>49</v>
      </c>
      <c r="K149" t="s">
        <v>114</v>
      </c>
      <c r="L149" t="s">
        <v>197</v>
      </c>
      <c r="P149" t="s">
        <v>191</v>
      </c>
      <c r="AB149" t="s">
        <v>718</v>
      </c>
      <c r="AC149" t="s">
        <v>719</v>
      </c>
      <c r="AD149"/>
      <c r="AF149" t="s">
        <v>54</v>
      </c>
      <c r="AG149" t="s">
        <v>716</v>
      </c>
      <c r="AH149" t="s">
        <v>100</v>
      </c>
      <c r="AI149" t="s">
        <v>720</v>
      </c>
      <c r="AJ149" t="s">
        <v>721</v>
      </c>
      <c r="AK149" s="1">
        <v>92800</v>
      </c>
      <c r="AL149" t="s">
        <v>58</v>
      </c>
      <c r="AM149" t="s">
        <v>722</v>
      </c>
      <c r="AP149" t="s">
        <v>60</v>
      </c>
    </row>
    <row r="150" spans="1:42" hidden="1">
      <c r="A150" t="s">
        <v>514</v>
      </c>
      <c r="B150" t="s">
        <v>44</v>
      </c>
      <c r="C150" t="s">
        <v>723</v>
      </c>
      <c r="D150" t="s">
        <v>716</v>
      </c>
      <c r="F150" t="s">
        <v>164</v>
      </c>
      <c r="H150" t="s">
        <v>95</v>
      </c>
      <c r="I150" t="s">
        <v>49</v>
      </c>
      <c r="K150" t="s">
        <v>114</v>
      </c>
      <c r="L150" t="s">
        <v>115</v>
      </c>
      <c r="O150" t="s">
        <v>73</v>
      </c>
      <c r="AB150" t="s">
        <v>724</v>
      </c>
      <c r="AD150"/>
      <c r="AF150" t="s">
        <v>54</v>
      </c>
      <c r="AG150" t="s">
        <v>716</v>
      </c>
      <c r="AH150" t="s">
        <v>55</v>
      </c>
      <c r="AI150" t="s">
        <v>725</v>
      </c>
      <c r="AJ150" t="s">
        <v>726</v>
      </c>
      <c r="AK150" s="1">
        <v>89200</v>
      </c>
      <c r="AL150" t="s">
        <v>58</v>
      </c>
      <c r="AM150" t="s">
        <v>727</v>
      </c>
      <c r="AP150" t="s">
        <v>60</v>
      </c>
    </row>
    <row r="151" spans="1:42" hidden="1">
      <c r="A151" t="s">
        <v>58</v>
      </c>
      <c r="B151" t="s">
        <v>44</v>
      </c>
      <c r="C151" t="s">
        <v>728</v>
      </c>
      <c r="D151" t="s">
        <v>215</v>
      </c>
      <c r="F151" t="s">
        <v>164</v>
      </c>
      <c r="H151" t="s">
        <v>95</v>
      </c>
      <c r="I151" t="s">
        <v>49</v>
      </c>
      <c r="K151" t="s">
        <v>114</v>
      </c>
      <c r="L151" t="s">
        <v>115</v>
      </c>
      <c r="O151" t="s">
        <v>216</v>
      </c>
      <c r="AB151" t="s">
        <v>729</v>
      </c>
      <c r="AD151"/>
      <c r="AF151" t="s">
        <v>54</v>
      </c>
      <c r="AG151" t="s">
        <v>215</v>
      </c>
      <c r="AH151" t="s">
        <v>55</v>
      </c>
      <c r="AI151" t="s">
        <v>725</v>
      </c>
      <c r="AJ151" t="s">
        <v>726</v>
      </c>
      <c r="AK151" s="1">
        <v>11000</v>
      </c>
      <c r="AL151" t="s">
        <v>652</v>
      </c>
      <c r="AM151" t="s">
        <v>730</v>
      </c>
      <c r="AP151" t="s">
        <v>60</v>
      </c>
    </row>
    <row r="152" spans="1:42" hidden="1">
      <c r="A152" t="s">
        <v>514</v>
      </c>
      <c r="B152" t="s">
        <v>44</v>
      </c>
      <c r="C152" t="s">
        <v>731</v>
      </c>
      <c r="D152" t="s">
        <v>466</v>
      </c>
      <c r="F152" t="s">
        <v>732</v>
      </c>
      <c r="H152" t="s">
        <v>220</v>
      </c>
      <c r="I152" t="s">
        <v>49</v>
      </c>
      <c r="K152" t="s">
        <v>114</v>
      </c>
      <c r="L152" t="s">
        <v>115</v>
      </c>
      <c r="O152" t="s">
        <v>73</v>
      </c>
      <c r="AB152" t="s">
        <v>733</v>
      </c>
      <c r="AD152"/>
      <c r="AF152" t="s">
        <v>54</v>
      </c>
      <c r="AG152" t="s">
        <v>466</v>
      </c>
      <c r="AH152" t="s">
        <v>55</v>
      </c>
      <c r="AI152" t="s">
        <v>734</v>
      </c>
      <c r="AJ152" t="s">
        <v>735</v>
      </c>
      <c r="AK152" s="1">
        <v>83337.5</v>
      </c>
      <c r="AL152" t="s">
        <v>697</v>
      </c>
      <c r="AM152" t="s">
        <v>736</v>
      </c>
      <c r="AP152" t="s">
        <v>60</v>
      </c>
    </row>
    <row r="153" spans="1:42" hidden="1">
      <c r="A153" t="s">
        <v>58</v>
      </c>
      <c r="B153" t="s">
        <v>44</v>
      </c>
      <c r="C153" t="s">
        <v>737</v>
      </c>
      <c r="D153" t="s">
        <v>282</v>
      </c>
      <c r="F153" t="s">
        <v>282</v>
      </c>
      <c r="H153" t="s">
        <v>165</v>
      </c>
      <c r="I153" t="s">
        <v>182</v>
      </c>
      <c r="K153" t="s">
        <v>114</v>
      </c>
      <c r="L153" t="s">
        <v>197</v>
      </c>
      <c r="P153" t="s">
        <v>241</v>
      </c>
      <c r="AB153" t="s">
        <v>738</v>
      </c>
      <c r="AD153"/>
      <c r="AF153" t="s">
        <v>54</v>
      </c>
      <c r="AG153" t="s">
        <v>282</v>
      </c>
      <c r="AH153" t="s">
        <v>55</v>
      </c>
      <c r="AI153" t="s">
        <v>739</v>
      </c>
      <c r="AJ153" t="s">
        <v>740</v>
      </c>
      <c r="AK153" s="1">
        <v>31600</v>
      </c>
      <c r="AL153" t="s">
        <v>741</v>
      </c>
      <c r="AM153" t="s">
        <v>742</v>
      </c>
      <c r="AP153" t="s">
        <v>60</v>
      </c>
    </row>
    <row r="154" spans="1:42" hidden="1">
      <c r="A154" t="s">
        <v>58</v>
      </c>
      <c r="B154" t="s">
        <v>44</v>
      </c>
      <c r="C154" t="s">
        <v>743</v>
      </c>
      <c r="D154" t="s">
        <v>46</v>
      </c>
      <c r="F154" t="s">
        <v>47</v>
      </c>
      <c r="H154" t="s">
        <v>48</v>
      </c>
      <c r="I154" t="s">
        <v>49</v>
      </c>
      <c r="K154" t="s">
        <v>50</v>
      </c>
      <c r="M154" t="s">
        <v>51</v>
      </c>
      <c r="Z154" t="s">
        <v>52</v>
      </c>
      <c r="AB154" t="s">
        <v>744</v>
      </c>
      <c r="AD154"/>
      <c r="AF154" t="s">
        <v>54</v>
      </c>
      <c r="AG154" t="s">
        <v>46</v>
      </c>
      <c r="AH154" t="s">
        <v>55</v>
      </c>
      <c r="AI154" t="s">
        <v>56</v>
      </c>
      <c r="AJ154" t="s">
        <v>57</v>
      </c>
      <c r="AK154" s="1">
        <v>27200</v>
      </c>
      <c r="AL154" t="s">
        <v>58</v>
      </c>
      <c r="AM154" t="s">
        <v>59</v>
      </c>
      <c r="AP154" t="s">
        <v>60</v>
      </c>
    </row>
    <row r="155" spans="1:42" hidden="1">
      <c r="A155" t="s">
        <v>58</v>
      </c>
      <c r="B155" t="s">
        <v>210</v>
      </c>
      <c r="D155" t="s">
        <v>204</v>
      </c>
      <c r="F155" t="s">
        <v>112</v>
      </c>
      <c r="H155" t="s">
        <v>165</v>
      </c>
      <c r="I155" t="s">
        <v>97</v>
      </c>
      <c r="AD155" s="1">
        <v>11900</v>
      </c>
      <c r="AE155" t="s">
        <v>745</v>
      </c>
      <c r="AF155" t="s">
        <v>54</v>
      </c>
      <c r="AG155" t="s">
        <v>204</v>
      </c>
      <c r="AI155" t="s">
        <v>212</v>
      </c>
      <c r="AJ155" t="s">
        <v>213</v>
      </c>
      <c r="AK155" s="2"/>
      <c r="AL155" t="s">
        <v>58</v>
      </c>
      <c r="AM155" t="s">
        <v>224</v>
      </c>
      <c r="AP155" t="s">
        <v>60</v>
      </c>
    </row>
    <row r="156" spans="1:42" hidden="1">
      <c r="A156" t="s">
        <v>58</v>
      </c>
      <c r="B156" t="s">
        <v>44</v>
      </c>
      <c r="C156" t="s">
        <v>746</v>
      </c>
      <c r="D156" t="s">
        <v>472</v>
      </c>
      <c r="F156" t="s">
        <v>747</v>
      </c>
      <c r="G156" t="s">
        <v>134</v>
      </c>
      <c r="H156" t="s">
        <v>748</v>
      </c>
      <c r="I156" t="s">
        <v>72</v>
      </c>
      <c r="K156" t="s">
        <v>50</v>
      </c>
      <c r="M156" t="s">
        <v>51</v>
      </c>
      <c r="Z156" t="s">
        <v>73</v>
      </c>
      <c r="AB156" t="s">
        <v>749</v>
      </c>
      <c r="AD156"/>
      <c r="AF156" t="s">
        <v>54</v>
      </c>
      <c r="AG156" t="s">
        <v>472</v>
      </c>
      <c r="AH156" t="s">
        <v>55</v>
      </c>
      <c r="AI156" t="s">
        <v>750</v>
      </c>
      <c r="AJ156" t="s">
        <v>751</v>
      </c>
      <c r="AK156" s="1">
        <v>7500</v>
      </c>
      <c r="AL156" t="s">
        <v>58</v>
      </c>
      <c r="AM156" t="s">
        <v>394</v>
      </c>
      <c r="AP156" t="s">
        <v>60</v>
      </c>
    </row>
    <row r="157" spans="1:42" hidden="1">
      <c r="A157" t="s">
        <v>514</v>
      </c>
      <c r="B157" t="s">
        <v>44</v>
      </c>
      <c r="C157" t="s">
        <v>752</v>
      </c>
      <c r="D157" t="s">
        <v>272</v>
      </c>
      <c r="F157" t="s">
        <v>135</v>
      </c>
      <c r="H157" t="s">
        <v>95</v>
      </c>
      <c r="I157" t="s">
        <v>72</v>
      </c>
      <c r="K157" t="s">
        <v>50</v>
      </c>
      <c r="M157" t="s">
        <v>190</v>
      </c>
      <c r="Y157" t="s">
        <v>241</v>
      </c>
      <c r="AB157" t="s">
        <v>753</v>
      </c>
      <c r="AD157"/>
      <c r="AF157" t="s">
        <v>54</v>
      </c>
      <c r="AG157" t="s">
        <v>272</v>
      </c>
      <c r="AH157" t="s">
        <v>55</v>
      </c>
      <c r="AI157" t="s">
        <v>754</v>
      </c>
      <c r="AJ157" t="s">
        <v>755</v>
      </c>
      <c r="AK157" s="1">
        <v>1800</v>
      </c>
      <c r="AM157" t="s">
        <v>714</v>
      </c>
    </row>
    <row r="158" spans="1:42" hidden="1">
      <c r="A158" t="s">
        <v>58</v>
      </c>
      <c r="B158" t="s">
        <v>44</v>
      </c>
      <c r="C158" t="s">
        <v>756</v>
      </c>
      <c r="D158" t="s">
        <v>466</v>
      </c>
      <c r="F158" t="s">
        <v>336</v>
      </c>
      <c r="H158" t="s">
        <v>757</v>
      </c>
      <c r="I158" t="s">
        <v>49</v>
      </c>
      <c r="J158" t="s">
        <v>49</v>
      </c>
      <c r="K158" t="s">
        <v>50</v>
      </c>
      <c r="M158" t="s">
        <v>628</v>
      </c>
      <c r="X158" t="s">
        <v>257</v>
      </c>
      <c r="AB158" t="s">
        <v>758</v>
      </c>
      <c r="AC158" t="s">
        <v>759</v>
      </c>
      <c r="AD158"/>
      <c r="AF158" t="s">
        <v>54</v>
      </c>
      <c r="AG158" t="s">
        <v>466</v>
      </c>
      <c r="AH158" t="s">
        <v>100</v>
      </c>
      <c r="AI158" t="s">
        <v>760</v>
      </c>
      <c r="AJ158" t="s">
        <v>761</v>
      </c>
      <c r="AK158" s="1">
        <v>12400</v>
      </c>
      <c r="AL158" t="s">
        <v>741</v>
      </c>
      <c r="AM158" t="s">
        <v>762</v>
      </c>
      <c r="AP158" t="s">
        <v>60</v>
      </c>
    </row>
    <row r="159" spans="1:42" hidden="1">
      <c r="A159" t="s">
        <v>58</v>
      </c>
      <c r="B159" t="s">
        <v>44</v>
      </c>
      <c r="C159" t="s">
        <v>763</v>
      </c>
      <c r="D159" t="s">
        <v>466</v>
      </c>
      <c r="F159" t="s">
        <v>336</v>
      </c>
      <c r="H159" t="s">
        <v>757</v>
      </c>
      <c r="I159" t="s">
        <v>49</v>
      </c>
      <c r="J159" t="s">
        <v>49</v>
      </c>
      <c r="K159" t="s">
        <v>50</v>
      </c>
      <c r="M159" t="s">
        <v>628</v>
      </c>
      <c r="X159" t="s">
        <v>257</v>
      </c>
      <c r="AB159" t="s">
        <v>758</v>
      </c>
      <c r="AC159" t="s">
        <v>759</v>
      </c>
      <c r="AD159"/>
      <c r="AF159" t="s">
        <v>54</v>
      </c>
      <c r="AG159" t="s">
        <v>466</v>
      </c>
      <c r="AH159" t="s">
        <v>100</v>
      </c>
      <c r="AI159" t="s">
        <v>760</v>
      </c>
      <c r="AJ159" t="s">
        <v>761</v>
      </c>
      <c r="AK159" s="1">
        <v>345</v>
      </c>
      <c r="AL159" t="s">
        <v>741</v>
      </c>
      <c r="AM159" t="s">
        <v>764</v>
      </c>
      <c r="AP159" t="s">
        <v>60</v>
      </c>
    </row>
    <row r="160" spans="1:42" hidden="1">
      <c r="A160" t="s">
        <v>58</v>
      </c>
      <c r="B160" t="s">
        <v>44</v>
      </c>
      <c r="C160" t="s">
        <v>765</v>
      </c>
      <c r="D160" t="s">
        <v>466</v>
      </c>
      <c r="F160" t="s">
        <v>336</v>
      </c>
      <c r="H160" t="s">
        <v>757</v>
      </c>
      <c r="I160" t="s">
        <v>49</v>
      </c>
      <c r="J160" t="s">
        <v>49</v>
      </c>
      <c r="K160" t="s">
        <v>50</v>
      </c>
      <c r="M160" t="s">
        <v>628</v>
      </c>
      <c r="X160" t="s">
        <v>257</v>
      </c>
      <c r="AB160" t="s">
        <v>758</v>
      </c>
      <c r="AC160" t="s">
        <v>759</v>
      </c>
      <c r="AD160"/>
      <c r="AF160" t="s">
        <v>54</v>
      </c>
      <c r="AG160" t="s">
        <v>466</v>
      </c>
      <c r="AH160" t="s">
        <v>100</v>
      </c>
      <c r="AI160" t="s">
        <v>760</v>
      </c>
      <c r="AJ160" t="s">
        <v>761</v>
      </c>
      <c r="AK160" s="1">
        <v>28320</v>
      </c>
      <c r="AL160" t="s">
        <v>741</v>
      </c>
      <c r="AM160" t="s">
        <v>766</v>
      </c>
      <c r="AP160" t="s">
        <v>60</v>
      </c>
    </row>
    <row r="161" spans="1:42" hidden="1">
      <c r="A161" t="s">
        <v>58</v>
      </c>
      <c r="B161" t="s">
        <v>44</v>
      </c>
      <c r="C161" t="s">
        <v>767</v>
      </c>
      <c r="D161" t="s">
        <v>466</v>
      </c>
      <c r="F161" t="s">
        <v>336</v>
      </c>
      <c r="H161" t="s">
        <v>757</v>
      </c>
      <c r="I161" t="s">
        <v>49</v>
      </c>
      <c r="J161" t="s">
        <v>49</v>
      </c>
      <c r="K161" t="s">
        <v>50</v>
      </c>
      <c r="M161" t="s">
        <v>628</v>
      </c>
      <c r="X161" t="s">
        <v>257</v>
      </c>
      <c r="AB161" t="s">
        <v>758</v>
      </c>
      <c r="AC161" t="s">
        <v>759</v>
      </c>
      <c r="AD161"/>
      <c r="AF161" t="s">
        <v>54</v>
      </c>
      <c r="AG161" t="s">
        <v>466</v>
      </c>
      <c r="AH161" t="s">
        <v>100</v>
      </c>
      <c r="AI161" t="s">
        <v>760</v>
      </c>
      <c r="AJ161" t="s">
        <v>761</v>
      </c>
      <c r="AK161" s="1">
        <v>534.79999999999995</v>
      </c>
      <c r="AL161" t="s">
        <v>741</v>
      </c>
      <c r="AM161" t="s">
        <v>768</v>
      </c>
      <c r="AP161" t="s">
        <v>60</v>
      </c>
    </row>
    <row r="162" spans="1:42" hidden="1">
      <c r="A162" t="s">
        <v>58</v>
      </c>
      <c r="B162" t="s">
        <v>44</v>
      </c>
      <c r="C162" t="s">
        <v>769</v>
      </c>
      <c r="D162" t="s">
        <v>466</v>
      </c>
      <c r="F162" t="s">
        <v>336</v>
      </c>
      <c r="H162" t="s">
        <v>757</v>
      </c>
      <c r="I162" t="s">
        <v>49</v>
      </c>
      <c r="J162" t="s">
        <v>49</v>
      </c>
      <c r="K162" t="s">
        <v>50</v>
      </c>
      <c r="M162" t="s">
        <v>628</v>
      </c>
      <c r="X162" t="s">
        <v>257</v>
      </c>
      <c r="AB162" t="s">
        <v>758</v>
      </c>
      <c r="AC162" t="s">
        <v>759</v>
      </c>
      <c r="AD162"/>
      <c r="AF162" t="s">
        <v>54</v>
      </c>
      <c r="AG162" t="s">
        <v>466</v>
      </c>
      <c r="AH162" t="s">
        <v>100</v>
      </c>
      <c r="AI162" t="s">
        <v>760</v>
      </c>
      <c r="AJ162" t="s">
        <v>761</v>
      </c>
      <c r="AK162" s="1">
        <v>17770</v>
      </c>
      <c r="AL162" t="s">
        <v>741</v>
      </c>
      <c r="AM162" t="s">
        <v>770</v>
      </c>
      <c r="AP162" t="s">
        <v>60</v>
      </c>
    </row>
    <row r="163" spans="1:42" hidden="1">
      <c r="A163" t="s">
        <v>514</v>
      </c>
      <c r="B163" t="s">
        <v>44</v>
      </c>
      <c r="C163" t="s">
        <v>771</v>
      </c>
      <c r="D163" t="s">
        <v>529</v>
      </c>
      <c r="F163" t="s">
        <v>570</v>
      </c>
      <c r="H163" t="s">
        <v>772</v>
      </c>
      <c r="I163" t="s">
        <v>97</v>
      </c>
      <c r="J163" t="s">
        <v>49</v>
      </c>
      <c r="K163" t="s">
        <v>50</v>
      </c>
      <c r="M163" t="s">
        <v>51</v>
      </c>
      <c r="Z163" t="s">
        <v>73</v>
      </c>
      <c r="AB163" t="s">
        <v>773</v>
      </c>
      <c r="AC163" t="s">
        <v>774</v>
      </c>
      <c r="AD163"/>
      <c r="AF163" t="s">
        <v>54</v>
      </c>
      <c r="AG163" t="s">
        <v>529</v>
      </c>
      <c r="AH163" t="s">
        <v>100</v>
      </c>
      <c r="AI163" t="s">
        <v>775</v>
      </c>
      <c r="AJ163" t="s">
        <v>776</v>
      </c>
      <c r="AK163" s="1">
        <v>0</v>
      </c>
      <c r="AL163" t="s">
        <v>670</v>
      </c>
      <c r="AM163" t="s">
        <v>777</v>
      </c>
      <c r="AP163" t="s">
        <v>60</v>
      </c>
    </row>
    <row r="164" spans="1:42" hidden="1">
      <c r="A164" t="s">
        <v>514</v>
      </c>
      <c r="B164" t="s">
        <v>44</v>
      </c>
      <c r="C164" t="s">
        <v>778</v>
      </c>
      <c r="D164" t="s">
        <v>529</v>
      </c>
      <c r="F164" t="s">
        <v>570</v>
      </c>
      <c r="H164" t="s">
        <v>772</v>
      </c>
      <c r="I164" t="s">
        <v>97</v>
      </c>
      <c r="J164" t="s">
        <v>49</v>
      </c>
      <c r="K164" t="s">
        <v>50</v>
      </c>
      <c r="M164" t="s">
        <v>51</v>
      </c>
      <c r="Z164" t="s">
        <v>73</v>
      </c>
      <c r="AB164" t="s">
        <v>773</v>
      </c>
      <c r="AC164" t="s">
        <v>774</v>
      </c>
      <c r="AD164"/>
      <c r="AF164" t="s">
        <v>54</v>
      </c>
      <c r="AG164" t="s">
        <v>529</v>
      </c>
      <c r="AH164" t="s">
        <v>100</v>
      </c>
      <c r="AI164" t="s">
        <v>775</v>
      </c>
      <c r="AJ164" t="s">
        <v>776</v>
      </c>
      <c r="AK164" s="1">
        <v>3741.4</v>
      </c>
      <c r="AL164" t="s">
        <v>670</v>
      </c>
      <c r="AM164" t="s">
        <v>779</v>
      </c>
      <c r="AP164" t="s">
        <v>60</v>
      </c>
    </row>
    <row r="165" spans="1:42" hidden="1">
      <c r="A165" t="s">
        <v>514</v>
      </c>
      <c r="B165" t="s">
        <v>44</v>
      </c>
      <c r="C165" t="s">
        <v>780</v>
      </c>
      <c r="D165" t="s">
        <v>529</v>
      </c>
      <c r="F165" t="s">
        <v>570</v>
      </c>
      <c r="H165" t="s">
        <v>772</v>
      </c>
      <c r="I165" t="s">
        <v>97</v>
      </c>
      <c r="J165" t="s">
        <v>49</v>
      </c>
      <c r="K165" t="s">
        <v>50</v>
      </c>
      <c r="M165" t="s">
        <v>51</v>
      </c>
      <c r="Z165" t="s">
        <v>73</v>
      </c>
      <c r="AB165" t="s">
        <v>773</v>
      </c>
      <c r="AC165" t="s">
        <v>774</v>
      </c>
      <c r="AD165"/>
      <c r="AF165" t="s">
        <v>54</v>
      </c>
      <c r="AG165" t="s">
        <v>529</v>
      </c>
      <c r="AH165" t="s">
        <v>100</v>
      </c>
      <c r="AI165" t="s">
        <v>775</v>
      </c>
      <c r="AJ165" t="s">
        <v>776</v>
      </c>
      <c r="AK165" s="1">
        <v>10005.6</v>
      </c>
      <c r="AL165" t="s">
        <v>670</v>
      </c>
      <c r="AM165" t="s">
        <v>779</v>
      </c>
      <c r="AP165" t="s">
        <v>60</v>
      </c>
    </row>
    <row r="166" spans="1:42" hidden="1">
      <c r="A166" t="s">
        <v>514</v>
      </c>
      <c r="B166" t="s">
        <v>44</v>
      </c>
      <c r="C166" t="s">
        <v>781</v>
      </c>
      <c r="D166" t="s">
        <v>529</v>
      </c>
      <c r="F166" t="s">
        <v>570</v>
      </c>
      <c r="H166" t="s">
        <v>772</v>
      </c>
      <c r="I166" t="s">
        <v>97</v>
      </c>
      <c r="J166" t="s">
        <v>49</v>
      </c>
      <c r="K166" t="s">
        <v>50</v>
      </c>
      <c r="M166" t="s">
        <v>51</v>
      </c>
      <c r="Z166" t="s">
        <v>73</v>
      </c>
      <c r="AB166" t="s">
        <v>773</v>
      </c>
      <c r="AC166" t="s">
        <v>774</v>
      </c>
      <c r="AD166"/>
      <c r="AF166" t="s">
        <v>54</v>
      </c>
      <c r="AG166" t="s">
        <v>529</v>
      </c>
      <c r="AH166" t="s">
        <v>100</v>
      </c>
      <c r="AI166" t="s">
        <v>775</v>
      </c>
      <c r="AJ166" t="s">
        <v>776</v>
      </c>
      <c r="AK166" s="1">
        <v>2872</v>
      </c>
      <c r="AL166" t="s">
        <v>670</v>
      </c>
      <c r="AM166" t="s">
        <v>779</v>
      </c>
      <c r="AP166" t="s">
        <v>60</v>
      </c>
    </row>
    <row r="167" spans="1:42">
      <c r="A167" t="s">
        <v>58</v>
      </c>
      <c r="B167" t="s">
        <v>210</v>
      </c>
      <c r="D167" t="s">
        <v>716</v>
      </c>
      <c r="F167" s="2" t="s">
        <v>227</v>
      </c>
      <c r="G167" t="s">
        <v>60</v>
      </c>
      <c r="H167" t="s">
        <v>782</v>
      </c>
      <c r="I167" t="s">
        <v>49</v>
      </c>
      <c r="AD167" s="1">
        <v>94500</v>
      </c>
      <c r="AE167" t="s">
        <v>783</v>
      </c>
      <c r="AF167" t="s">
        <v>54</v>
      </c>
      <c r="AG167" t="s">
        <v>227</v>
      </c>
      <c r="AI167" t="s">
        <v>784</v>
      </c>
      <c r="AJ167" t="s">
        <v>785</v>
      </c>
      <c r="AK167" s="2"/>
      <c r="AL167" t="s">
        <v>741</v>
      </c>
      <c r="AM167" t="s">
        <v>224</v>
      </c>
      <c r="AP167" t="s">
        <v>60</v>
      </c>
    </row>
    <row r="168" spans="1:42" hidden="1">
      <c r="A168" t="s">
        <v>741</v>
      </c>
      <c r="B168" t="s">
        <v>44</v>
      </c>
      <c r="C168" t="s">
        <v>786</v>
      </c>
      <c r="D168" t="s">
        <v>46</v>
      </c>
      <c r="F168" t="s">
        <v>787</v>
      </c>
      <c r="H168" t="s">
        <v>294</v>
      </c>
      <c r="I168" t="s">
        <v>49</v>
      </c>
      <c r="J168" t="s">
        <v>49</v>
      </c>
      <c r="K168" t="s">
        <v>114</v>
      </c>
      <c r="L168" t="s">
        <v>197</v>
      </c>
      <c r="P168" t="s">
        <v>191</v>
      </c>
      <c r="AB168" t="s">
        <v>788</v>
      </c>
      <c r="AC168" t="s">
        <v>789</v>
      </c>
      <c r="AD168"/>
      <c r="AF168" t="s">
        <v>54</v>
      </c>
      <c r="AG168" t="s">
        <v>46</v>
      </c>
      <c r="AH168" t="s">
        <v>100</v>
      </c>
      <c r="AI168" t="s">
        <v>790</v>
      </c>
      <c r="AJ168" t="s">
        <v>791</v>
      </c>
      <c r="AK168" s="1">
        <v>90600</v>
      </c>
      <c r="AL168" t="s">
        <v>741</v>
      </c>
      <c r="AM168" t="s">
        <v>792</v>
      </c>
      <c r="AP168" t="s">
        <v>60</v>
      </c>
    </row>
    <row r="169" spans="1:42" hidden="1">
      <c r="A169" t="s">
        <v>741</v>
      </c>
      <c r="B169" t="s">
        <v>44</v>
      </c>
      <c r="C169" t="s">
        <v>793</v>
      </c>
      <c r="D169" t="s">
        <v>93</v>
      </c>
      <c r="F169" t="s">
        <v>562</v>
      </c>
      <c r="H169" t="s">
        <v>95</v>
      </c>
      <c r="I169" t="s">
        <v>96</v>
      </c>
      <c r="K169" t="s">
        <v>50</v>
      </c>
      <c r="M169" t="s">
        <v>51</v>
      </c>
      <c r="Z169" t="s">
        <v>73</v>
      </c>
      <c r="AB169" t="s">
        <v>794</v>
      </c>
      <c r="AD169"/>
      <c r="AF169" t="s">
        <v>54</v>
      </c>
      <c r="AG169" t="s">
        <v>93</v>
      </c>
      <c r="AH169" t="s">
        <v>55</v>
      </c>
      <c r="AI169" t="s">
        <v>795</v>
      </c>
      <c r="AJ169" t="s">
        <v>796</v>
      </c>
      <c r="AK169" s="1">
        <v>8300</v>
      </c>
      <c r="AL169" t="s">
        <v>797</v>
      </c>
      <c r="AM169" t="s">
        <v>798</v>
      </c>
    </row>
    <row r="170" spans="1:42" hidden="1">
      <c r="A170" t="s">
        <v>741</v>
      </c>
      <c r="B170" t="s">
        <v>44</v>
      </c>
      <c r="C170" t="s">
        <v>799</v>
      </c>
      <c r="D170" t="s">
        <v>800</v>
      </c>
      <c r="F170" t="s">
        <v>732</v>
      </c>
      <c r="H170" t="s">
        <v>801</v>
      </c>
      <c r="I170" t="s">
        <v>49</v>
      </c>
      <c r="K170" t="s">
        <v>114</v>
      </c>
      <c r="L170" t="s">
        <v>115</v>
      </c>
      <c r="O170" t="s">
        <v>205</v>
      </c>
      <c r="AB170" t="s">
        <v>802</v>
      </c>
      <c r="AD170"/>
      <c r="AF170" t="s">
        <v>54</v>
      </c>
      <c r="AG170" t="s">
        <v>800</v>
      </c>
      <c r="AH170" t="s">
        <v>55</v>
      </c>
      <c r="AI170" t="s">
        <v>803</v>
      </c>
      <c r="AJ170" t="s">
        <v>804</v>
      </c>
      <c r="AK170" s="1">
        <v>41180</v>
      </c>
      <c r="AL170" t="s">
        <v>741</v>
      </c>
      <c r="AM170" t="s">
        <v>805</v>
      </c>
      <c r="AP170" t="s">
        <v>60</v>
      </c>
    </row>
    <row r="171" spans="1:42" hidden="1">
      <c r="A171" t="s">
        <v>741</v>
      </c>
      <c r="B171" t="s">
        <v>44</v>
      </c>
      <c r="C171" t="s">
        <v>806</v>
      </c>
      <c r="D171" t="s">
        <v>800</v>
      </c>
      <c r="F171" t="s">
        <v>732</v>
      </c>
      <c r="H171" t="s">
        <v>801</v>
      </c>
      <c r="I171" t="s">
        <v>49</v>
      </c>
      <c r="K171" t="s">
        <v>114</v>
      </c>
      <c r="L171" t="s">
        <v>115</v>
      </c>
      <c r="O171" t="s">
        <v>205</v>
      </c>
      <c r="AB171" t="s">
        <v>807</v>
      </c>
      <c r="AD171"/>
      <c r="AF171" t="s">
        <v>54</v>
      </c>
      <c r="AG171" t="s">
        <v>800</v>
      </c>
      <c r="AH171" t="s">
        <v>55</v>
      </c>
      <c r="AI171" t="s">
        <v>803</v>
      </c>
      <c r="AJ171" t="s">
        <v>804</v>
      </c>
      <c r="AK171" s="1">
        <v>28320</v>
      </c>
      <c r="AL171" t="s">
        <v>741</v>
      </c>
      <c r="AM171" t="s">
        <v>805</v>
      </c>
      <c r="AP171" t="s">
        <v>60</v>
      </c>
    </row>
    <row r="172" spans="1:42" hidden="1">
      <c r="A172" t="s">
        <v>741</v>
      </c>
      <c r="B172" t="s">
        <v>44</v>
      </c>
      <c r="C172" t="s">
        <v>808</v>
      </c>
      <c r="D172" t="s">
        <v>466</v>
      </c>
      <c r="F172" t="s">
        <v>562</v>
      </c>
      <c r="H172" t="s">
        <v>122</v>
      </c>
      <c r="I172" t="s">
        <v>49</v>
      </c>
      <c r="J172" t="s">
        <v>49</v>
      </c>
      <c r="K172" t="s">
        <v>114</v>
      </c>
      <c r="L172" t="s">
        <v>143</v>
      </c>
      <c r="Q172" t="s">
        <v>257</v>
      </c>
      <c r="AB172" t="s">
        <v>809</v>
      </c>
      <c r="AC172" t="s">
        <v>810</v>
      </c>
      <c r="AD172"/>
      <c r="AF172" t="s">
        <v>54</v>
      </c>
      <c r="AG172" t="s">
        <v>466</v>
      </c>
      <c r="AH172" t="s">
        <v>100</v>
      </c>
      <c r="AI172" t="s">
        <v>811</v>
      </c>
      <c r="AJ172" t="s">
        <v>812</v>
      </c>
      <c r="AK172" s="1">
        <v>64700</v>
      </c>
      <c r="AL172" t="s">
        <v>386</v>
      </c>
      <c r="AM172" t="s">
        <v>149</v>
      </c>
      <c r="AP172" t="s">
        <v>60</v>
      </c>
    </row>
    <row r="173" spans="1:42" hidden="1">
      <c r="A173" t="s">
        <v>741</v>
      </c>
      <c r="B173" t="s">
        <v>210</v>
      </c>
      <c r="D173" t="s">
        <v>800</v>
      </c>
      <c r="F173" t="s">
        <v>813</v>
      </c>
      <c r="H173" t="s">
        <v>165</v>
      </c>
      <c r="I173" t="s">
        <v>49</v>
      </c>
      <c r="AD173" s="1">
        <v>23399.9</v>
      </c>
      <c r="AE173" t="s">
        <v>814</v>
      </c>
      <c r="AF173" t="s">
        <v>54</v>
      </c>
      <c r="AG173" t="s">
        <v>800</v>
      </c>
      <c r="AI173" t="s">
        <v>815</v>
      </c>
      <c r="AJ173" t="s">
        <v>816</v>
      </c>
      <c r="AK173" s="2"/>
      <c r="AL173" t="s">
        <v>741</v>
      </c>
      <c r="AM173" t="s">
        <v>224</v>
      </c>
      <c r="AP173" t="s">
        <v>60</v>
      </c>
    </row>
    <row r="174" spans="1:42" hidden="1">
      <c r="A174" t="s">
        <v>386</v>
      </c>
      <c r="B174" t="s">
        <v>44</v>
      </c>
      <c r="C174" t="s">
        <v>817</v>
      </c>
      <c r="D174" t="s">
        <v>179</v>
      </c>
      <c r="F174" t="s">
        <v>179</v>
      </c>
      <c r="H174" t="s">
        <v>508</v>
      </c>
      <c r="I174" t="s">
        <v>182</v>
      </c>
      <c r="K174" t="s">
        <v>50</v>
      </c>
      <c r="M174" t="s">
        <v>51</v>
      </c>
      <c r="Z174" t="s">
        <v>183</v>
      </c>
      <c r="AB174" t="s">
        <v>818</v>
      </c>
      <c r="AD174"/>
      <c r="AF174" t="s">
        <v>54</v>
      </c>
      <c r="AG174" t="s">
        <v>179</v>
      </c>
      <c r="AH174" t="s">
        <v>55</v>
      </c>
      <c r="AI174" t="s">
        <v>819</v>
      </c>
      <c r="AJ174" t="s">
        <v>820</v>
      </c>
      <c r="AK174" s="1">
        <v>6800</v>
      </c>
      <c r="AL174" t="s">
        <v>386</v>
      </c>
      <c r="AM174" t="s">
        <v>821</v>
      </c>
      <c r="AP174" t="s">
        <v>60</v>
      </c>
    </row>
    <row r="175" spans="1:42" hidden="1">
      <c r="A175" t="s">
        <v>386</v>
      </c>
      <c r="B175" t="s">
        <v>44</v>
      </c>
      <c r="C175" t="s">
        <v>822</v>
      </c>
      <c r="D175" t="s">
        <v>93</v>
      </c>
      <c r="F175" t="s">
        <v>578</v>
      </c>
      <c r="H175" t="s">
        <v>95</v>
      </c>
      <c r="I175" t="s">
        <v>96</v>
      </c>
      <c r="J175" t="s">
        <v>96</v>
      </c>
      <c r="K175" t="s">
        <v>50</v>
      </c>
      <c r="M175" t="s">
        <v>628</v>
      </c>
      <c r="X175" t="s">
        <v>257</v>
      </c>
      <c r="AB175" t="s">
        <v>823</v>
      </c>
      <c r="AC175" t="s">
        <v>580</v>
      </c>
      <c r="AD175"/>
      <c r="AF175" t="s">
        <v>54</v>
      </c>
      <c r="AG175" t="s">
        <v>93</v>
      </c>
      <c r="AH175" t="s">
        <v>100</v>
      </c>
      <c r="AI175" t="s">
        <v>581</v>
      </c>
      <c r="AJ175" t="s">
        <v>582</v>
      </c>
      <c r="AK175" s="1">
        <v>16600</v>
      </c>
      <c r="AL175" t="s">
        <v>390</v>
      </c>
      <c r="AM175" t="s">
        <v>103</v>
      </c>
      <c r="AP175" t="s">
        <v>60</v>
      </c>
    </row>
    <row r="176" spans="1:42" hidden="1">
      <c r="A176" t="s">
        <v>670</v>
      </c>
      <c r="B176" t="s">
        <v>44</v>
      </c>
      <c r="C176" t="s">
        <v>824</v>
      </c>
      <c r="D176" t="s">
        <v>142</v>
      </c>
      <c r="F176" t="s">
        <v>112</v>
      </c>
      <c r="H176" t="s">
        <v>122</v>
      </c>
      <c r="I176" t="s">
        <v>97</v>
      </c>
      <c r="K176" t="s">
        <v>114</v>
      </c>
      <c r="L176" t="s">
        <v>197</v>
      </c>
      <c r="P176" t="s">
        <v>516</v>
      </c>
      <c r="AB176" t="s">
        <v>825</v>
      </c>
      <c r="AD176"/>
      <c r="AF176" t="s">
        <v>54</v>
      </c>
      <c r="AG176" t="s">
        <v>142</v>
      </c>
      <c r="AH176" t="s">
        <v>55</v>
      </c>
      <c r="AI176" t="s">
        <v>826</v>
      </c>
      <c r="AJ176" t="s">
        <v>827</v>
      </c>
      <c r="AK176" s="1">
        <v>45300</v>
      </c>
      <c r="AL176" t="s">
        <v>697</v>
      </c>
      <c r="AM176" t="s">
        <v>829</v>
      </c>
      <c r="AP176" t="s">
        <v>60</v>
      </c>
    </row>
    <row r="177" spans="1:42" hidden="1">
      <c r="A177" t="s">
        <v>670</v>
      </c>
      <c r="B177" t="s">
        <v>210</v>
      </c>
      <c r="D177" t="s">
        <v>472</v>
      </c>
      <c r="F177" t="s">
        <v>381</v>
      </c>
      <c r="H177" t="s">
        <v>122</v>
      </c>
      <c r="I177" t="s">
        <v>72</v>
      </c>
      <c r="AD177" s="1">
        <v>6180</v>
      </c>
      <c r="AE177" t="s">
        <v>830</v>
      </c>
      <c r="AF177" t="s">
        <v>54</v>
      </c>
      <c r="AG177" t="s">
        <v>472</v>
      </c>
      <c r="AI177" t="s">
        <v>831</v>
      </c>
      <c r="AJ177" t="s">
        <v>832</v>
      </c>
      <c r="AK177" s="2"/>
      <c r="AL177" t="s">
        <v>670</v>
      </c>
      <c r="AM177" t="s">
        <v>224</v>
      </c>
      <c r="AP177" t="s">
        <v>60</v>
      </c>
    </row>
    <row r="178" spans="1:42" hidden="1">
      <c r="A178" t="s">
        <v>670</v>
      </c>
      <c r="B178" t="s">
        <v>210</v>
      </c>
      <c r="D178" t="s">
        <v>151</v>
      </c>
      <c r="F178" t="s">
        <v>354</v>
      </c>
      <c r="H178" t="s">
        <v>95</v>
      </c>
      <c r="I178" t="s">
        <v>97</v>
      </c>
      <c r="AD178" s="1">
        <v>17500</v>
      </c>
      <c r="AE178" t="s">
        <v>833</v>
      </c>
      <c r="AF178" t="s">
        <v>54</v>
      </c>
      <c r="AG178" t="s">
        <v>151</v>
      </c>
      <c r="AI178" t="s">
        <v>834</v>
      </c>
      <c r="AJ178" t="s">
        <v>835</v>
      </c>
      <c r="AK178" s="2"/>
      <c r="AL178" t="s">
        <v>670</v>
      </c>
      <c r="AM178" t="s">
        <v>224</v>
      </c>
      <c r="AP178" t="s">
        <v>60</v>
      </c>
    </row>
    <row r="179" spans="1:42" hidden="1">
      <c r="A179" t="s">
        <v>58</v>
      </c>
      <c r="B179" t="s">
        <v>44</v>
      </c>
      <c r="C179" t="s">
        <v>836</v>
      </c>
      <c r="D179" t="s">
        <v>466</v>
      </c>
      <c r="F179" t="s">
        <v>837</v>
      </c>
      <c r="H179" t="s">
        <v>838</v>
      </c>
      <c r="I179" t="s">
        <v>49</v>
      </c>
      <c r="K179" t="s">
        <v>114</v>
      </c>
      <c r="L179" t="s">
        <v>115</v>
      </c>
      <c r="O179" t="s">
        <v>116</v>
      </c>
      <c r="AB179" t="s">
        <v>839</v>
      </c>
      <c r="AD179"/>
      <c r="AF179" t="s">
        <v>54</v>
      </c>
      <c r="AG179" t="s">
        <v>466</v>
      </c>
      <c r="AH179" t="s">
        <v>55</v>
      </c>
      <c r="AI179" t="s">
        <v>840</v>
      </c>
      <c r="AJ179" t="s">
        <v>841</v>
      </c>
      <c r="AK179" s="1">
        <v>28320</v>
      </c>
      <c r="AL179" t="s">
        <v>390</v>
      </c>
      <c r="AM179" t="s">
        <v>842</v>
      </c>
      <c r="AP179" t="s">
        <v>60</v>
      </c>
    </row>
    <row r="180" spans="1:42" hidden="1">
      <c r="A180" t="s">
        <v>58</v>
      </c>
      <c r="B180" t="s">
        <v>44</v>
      </c>
      <c r="C180" t="s">
        <v>843</v>
      </c>
      <c r="D180" t="s">
        <v>466</v>
      </c>
      <c r="F180" t="s">
        <v>837</v>
      </c>
      <c r="H180" t="s">
        <v>838</v>
      </c>
      <c r="I180" t="s">
        <v>49</v>
      </c>
      <c r="K180" t="s">
        <v>114</v>
      </c>
      <c r="L180" t="s">
        <v>115</v>
      </c>
      <c r="O180" t="s">
        <v>116</v>
      </c>
      <c r="AB180" t="s">
        <v>839</v>
      </c>
      <c r="AD180"/>
      <c r="AF180" t="s">
        <v>54</v>
      </c>
      <c r="AG180" t="s">
        <v>466</v>
      </c>
      <c r="AH180" t="s">
        <v>55</v>
      </c>
      <c r="AI180" t="s">
        <v>840</v>
      </c>
      <c r="AJ180" t="s">
        <v>841</v>
      </c>
      <c r="AK180" s="1">
        <v>8594.5</v>
      </c>
      <c r="AL180" t="s">
        <v>390</v>
      </c>
      <c r="AM180" t="s">
        <v>842</v>
      </c>
      <c r="AP180" t="s">
        <v>60</v>
      </c>
    </row>
    <row r="181" spans="1:42" hidden="1">
      <c r="A181" t="s">
        <v>670</v>
      </c>
      <c r="B181" t="s">
        <v>44</v>
      </c>
      <c r="C181" t="s">
        <v>844</v>
      </c>
      <c r="D181" t="s">
        <v>466</v>
      </c>
      <c r="F181" t="s">
        <v>837</v>
      </c>
      <c r="H181" t="s">
        <v>838</v>
      </c>
      <c r="I181" t="s">
        <v>49</v>
      </c>
      <c r="K181" t="s">
        <v>50</v>
      </c>
      <c r="M181" t="s">
        <v>51</v>
      </c>
      <c r="Z181" t="s">
        <v>116</v>
      </c>
      <c r="AB181" t="s">
        <v>845</v>
      </c>
      <c r="AD181"/>
      <c r="AF181" t="s">
        <v>54</v>
      </c>
      <c r="AG181" t="s">
        <v>466</v>
      </c>
      <c r="AH181" t="s">
        <v>55</v>
      </c>
      <c r="AI181" t="s">
        <v>840</v>
      </c>
      <c r="AJ181" t="s">
        <v>841</v>
      </c>
      <c r="AK181" s="1">
        <v>6680</v>
      </c>
      <c r="AL181" t="s">
        <v>390</v>
      </c>
      <c r="AM181" t="s">
        <v>842</v>
      </c>
      <c r="AP181" t="s">
        <v>60</v>
      </c>
    </row>
    <row r="182" spans="1:42" hidden="1">
      <c r="A182" t="s">
        <v>670</v>
      </c>
      <c r="B182" t="s">
        <v>44</v>
      </c>
      <c r="C182" t="s">
        <v>846</v>
      </c>
      <c r="D182" t="s">
        <v>466</v>
      </c>
      <c r="F182" t="s">
        <v>837</v>
      </c>
      <c r="H182" t="s">
        <v>838</v>
      </c>
      <c r="I182" t="s">
        <v>49</v>
      </c>
      <c r="K182" t="s">
        <v>50</v>
      </c>
      <c r="M182" t="s">
        <v>51</v>
      </c>
      <c r="Z182" t="s">
        <v>116</v>
      </c>
      <c r="AB182" t="s">
        <v>845</v>
      </c>
      <c r="AD182"/>
      <c r="AF182" t="s">
        <v>54</v>
      </c>
      <c r="AG182" t="s">
        <v>466</v>
      </c>
      <c r="AH182" t="s">
        <v>55</v>
      </c>
      <c r="AI182" t="s">
        <v>840</v>
      </c>
      <c r="AJ182" t="s">
        <v>841</v>
      </c>
      <c r="AK182" s="1">
        <v>8100</v>
      </c>
      <c r="AL182" t="s">
        <v>390</v>
      </c>
      <c r="AM182" t="s">
        <v>842</v>
      </c>
      <c r="AP182" t="s">
        <v>60</v>
      </c>
    </row>
    <row r="183" spans="1:42" hidden="1">
      <c r="A183" t="s">
        <v>670</v>
      </c>
      <c r="B183" t="s">
        <v>44</v>
      </c>
      <c r="C183" t="s">
        <v>847</v>
      </c>
      <c r="D183" t="s">
        <v>466</v>
      </c>
      <c r="F183" t="s">
        <v>837</v>
      </c>
      <c r="H183" t="s">
        <v>838</v>
      </c>
      <c r="I183" t="s">
        <v>49</v>
      </c>
      <c r="K183" t="s">
        <v>50</v>
      </c>
      <c r="M183" t="s">
        <v>51</v>
      </c>
      <c r="Z183" t="s">
        <v>116</v>
      </c>
      <c r="AB183" t="s">
        <v>845</v>
      </c>
      <c r="AD183"/>
      <c r="AF183" t="s">
        <v>54</v>
      </c>
      <c r="AG183" t="s">
        <v>466</v>
      </c>
      <c r="AH183" t="s">
        <v>55</v>
      </c>
      <c r="AI183" t="s">
        <v>840</v>
      </c>
      <c r="AJ183" t="s">
        <v>841</v>
      </c>
      <c r="AK183" s="1">
        <v>40737.5</v>
      </c>
      <c r="AL183" t="s">
        <v>390</v>
      </c>
      <c r="AM183" t="s">
        <v>842</v>
      </c>
      <c r="AP183" t="s">
        <v>60</v>
      </c>
    </row>
    <row r="184" spans="1:42" hidden="1">
      <c r="A184" t="s">
        <v>670</v>
      </c>
      <c r="B184" t="s">
        <v>44</v>
      </c>
      <c r="C184" t="s">
        <v>848</v>
      </c>
      <c r="D184" t="s">
        <v>800</v>
      </c>
      <c r="E184" t="s">
        <v>134</v>
      </c>
      <c r="F184" t="s">
        <v>152</v>
      </c>
      <c r="H184" t="s">
        <v>95</v>
      </c>
      <c r="I184" t="s">
        <v>49</v>
      </c>
      <c r="J184" t="s">
        <v>49</v>
      </c>
      <c r="K184" t="s">
        <v>114</v>
      </c>
      <c r="L184" t="s">
        <v>115</v>
      </c>
      <c r="O184" t="s">
        <v>205</v>
      </c>
      <c r="AB184" t="s">
        <v>849</v>
      </c>
      <c r="AC184" t="s">
        <v>850</v>
      </c>
      <c r="AD184"/>
      <c r="AF184" t="s">
        <v>54</v>
      </c>
      <c r="AG184" t="s">
        <v>800</v>
      </c>
      <c r="AH184" t="s">
        <v>100</v>
      </c>
      <c r="AI184" t="s">
        <v>851</v>
      </c>
      <c r="AJ184" t="s">
        <v>852</v>
      </c>
      <c r="AK184" s="1">
        <v>65700</v>
      </c>
      <c r="AL184" t="s">
        <v>390</v>
      </c>
      <c r="AM184" t="s">
        <v>853</v>
      </c>
      <c r="AP184" t="s">
        <v>60</v>
      </c>
    </row>
    <row r="185" spans="1:42" hidden="1">
      <c r="A185" t="s">
        <v>670</v>
      </c>
      <c r="B185" t="s">
        <v>44</v>
      </c>
      <c r="C185" t="s">
        <v>854</v>
      </c>
      <c r="D185" t="s">
        <v>855</v>
      </c>
      <c r="F185" t="s">
        <v>336</v>
      </c>
      <c r="H185" t="s">
        <v>48</v>
      </c>
      <c r="I185" t="s">
        <v>97</v>
      </c>
      <c r="K185" t="s">
        <v>50</v>
      </c>
      <c r="M185" t="s">
        <v>190</v>
      </c>
      <c r="Y185" t="s">
        <v>572</v>
      </c>
      <c r="AB185" t="s">
        <v>856</v>
      </c>
      <c r="AD185"/>
      <c r="AF185" t="s">
        <v>54</v>
      </c>
      <c r="AG185" t="s">
        <v>855</v>
      </c>
      <c r="AH185" t="s">
        <v>55</v>
      </c>
      <c r="AI185" t="s">
        <v>857</v>
      </c>
      <c r="AJ185" t="s">
        <v>858</v>
      </c>
      <c r="AK185" s="1">
        <v>38.700000000000003</v>
      </c>
      <c r="AL185" t="s">
        <v>390</v>
      </c>
      <c r="AM185" t="s">
        <v>859</v>
      </c>
      <c r="AP185" t="s">
        <v>60</v>
      </c>
    </row>
    <row r="186" spans="1:42" hidden="1">
      <c r="A186" t="s">
        <v>670</v>
      </c>
      <c r="B186" t="s">
        <v>44</v>
      </c>
      <c r="C186" t="s">
        <v>860</v>
      </c>
      <c r="D186" t="s">
        <v>855</v>
      </c>
      <c r="F186" t="s">
        <v>336</v>
      </c>
      <c r="H186" t="s">
        <v>48</v>
      </c>
      <c r="I186" t="s">
        <v>97</v>
      </c>
      <c r="K186" t="s">
        <v>50</v>
      </c>
      <c r="M186" t="s">
        <v>190</v>
      </c>
      <c r="Y186" t="s">
        <v>572</v>
      </c>
      <c r="AB186" t="s">
        <v>856</v>
      </c>
      <c r="AD186"/>
      <c r="AF186" t="s">
        <v>54</v>
      </c>
      <c r="AG186" t="s">
        <v>855</v>
      </c>
      <c r="AH186" t="s">
        <v>55</v>
      </c>
      <c r="AI186" t="s">
        <v>857</v>
      </c>
      <c r="AJ186" t="s">
        <v>858</v>
      </c>
      <c r="AK186" s="1">
        <v>8496.7999999999993</v>
      </c>
      <c r="AL186" t="s">
        <v>390</v>
      </c>
      <c r="AM186" t="s">
        <v>859</v>
      </c>
      <c r="AP186" t="s">
        <v>60</v>
      </c>
    </row>
    <row r="187" spans="1:42" hidden="1">
      <c r="A187" t="s">
        <v>670</v>
      </c>
      <c r="B187" t="s">
        <v>44</v>
      </c>
      <c r="C187" t="s">
        <v>861</v>
      </c>
      <c r="D187" t="s">
        <v>855</v>
      </c>
      <c r="F187" t="s">
        <v>336</v>
      </c>
      <c r="H187" t="s">
        <v>48</v>
      </c>
      <c r="I187" t="s">
        <v>97</v>
      </c>
      <c r="K187" t="s">
        <v>50</v>
      </c>
      <c r="M187" t="s">
        <v>190</v>
      </c>
      <c r="Y187" t="s">
        <v>572</v>
      </c>
      <c r="AB187" t="s">
        <v>856</v>
      </c>
      <c r="AD187"/>
      <c r="AF187" t="s">
        <v>54</v>
      </c>
      <c r="AG187" t="s">
        <v>855</v>
      </c>
      <c r="AH187" t="s">
        <v>55</v>
      </c>
      <c r="AI187" t="s">
        <v>857</v>
      </c>
      <c r="AJ187" t="s">
        <v>858</v>
      </c>
      <c r="AK187" s="1">
        <v>3700</v>
      </c>
      <c r="AL187" t="s">
        <v>390</v>
      </c>
      <c r="AM187" t="s">
        <v>859</v>
      </c>
      <c r="AP187" t="s">
        <v>60</v>
      </c>
    </row>
    <row r="188" spans="1:42" hidden="1">
      <c r="A188" t="s">
        <v>390</v>
      </c>
      <c r="B188" t="s">
        <v>44</v>
      </c>
      <c r="C188" t="s">
        <v>862</v>
      </c>
      <c r="D188" t="s">
        <v>328</v>
      </c>
      <c r="F188" t="s">
        <v>787</v>
      </c>
      <c r="H188" t="s">
        <v>95</v>
      </c>
      <c r="I188" t="s">
        <v>96</v>
      </c>
      <c r="K188" t="s">
        <v>114</v>
      </c>
      <c r="L188" t="s">
        <v>313</v>
      </c>
      <c r="N188" t="s">
        <v>314</v>
      </c>
      <c r="AA188" t="s">
        <v>863</v>
      </c>
      <c r="AB188" t="s">
        <v>864</v>
      </c>
      <c r="AD188"/>
      <c r="AF188" t="s">
        <v>54</v>
      </c>
      <c r="AG188" t="s">
        <v>328</v>
      </c>
      <c r="AH188" t="s">
        <v>55</v>
      </c>
      <c r="AI188" t="s">
        <v>865</v>
      </c>
      <c r="AJ188" t="s">
        <v>866</v>
      </c>
      <c r="AK188" s="1">
        <v>26800</v>
      </c>
      <c r="AL188" t="s">
        <v>797</v>
      </c>
      <c r="AM188" t="s">
        <v>867</v>
      </c>
      <c r="AP188" t="s">
        <v>60</v>
      </c>
    </row>
    <row r="189" spans="1:42" hidden="1">
      <c r="A189" t="s">
        <v>390</v>
      </c>
      <c r="B189" t="s">
        <v>44</v>
      </c>
      <c r="C189" t="s">
        <v>868</v>
      </c>
      <c r="D189" t="s">
        <v>163</v>
      </c>
      <c r="F189" t="s">
        <v>152</v>
      </c>
      <c r="H189" t="s">
        <v>240</v>
      </c>
      <c r="I189" t="s">
        <v>97</v>
      </c>
      <c r="K189" t="s">
        <v>114</v>
      </c>
      <c r="L189" t="s">
        <v>115</v>
      </c>
      <c r="O189" t="s">
        <v>52</v>
      </c>
      <c r="AB189" t="s">
        <v>869</v>
      </c>
      <c r="AD189"/>
      <c r="AF189" t="s">
        <v>54</v>
      </c>
      <c r="AG189" t="s">
        <v>163</v>
      </c>
      <c r="AH189" t="s">
        <v>55</v>
      </c>
      <c r="AI189" t="s">
        <v>243</v>
      </c>
      <c r="AJ189" t="s">
        <v>244</v>
      </c>
      <c r="AK189" s="1">
        <v>7702</v>
      </c>
      <c r="AL189" t="s">
        <v>390</v>
      </c>
      <c r="AM189" t="s">
        <v>870</v>
      </c>
      <c r="AP189" t="s">
        <v>60</v>
      </c>
    </row>
    <row r="190" spans="1:42" hidden="1">
      <c r="A190" t="s">
        <v>390</v>
      </c>
      <c r="B190" t="s">
        <v>210</v>
      </c>
      <c r="D190" t="s">
        <v>529</v>
      </c>
      <c r="F190" t="s">
        <v>164</v>
      </c>
      <c r="G190" t="s">
        <v>60</v>
      </c>
      <c r="H190" t="s">
        <v>95</v>
      </c>
      <c r="I190" t="s">
        <v>97</v>
      </c>
      <c r="AD190" s="1">
        <v>4300</v>
      </c>
      <c r="AE190" t="s">
        <v>871</v>
      </c>
      <c r="AF190" t="s">
        <v>54</v>
      </c>
      <c r="AG190" t="s">
        <v>529</v>
      </c>
      <c r="AI190" t="s">
        <v>695</v>
      </c>
      <c r="AJ190" t="s">
        <v>696</v>
      </c>
      <c r="AK190" s="2"/>
      <c r="AL190" t="s">
        <v>390</v>
      </c>
      <c r="AM190" t="s">
        <v>872</v>
      </c>
      <c r="AP190" t="s">
        <v>60</v>
      </c>
    </row>
    <row r="191" spans="1:42" hidden="1">
      <c r="A191" t="s">
        <v>390</v>
      </c>
      <c r="B191" t="s">
        <v>44</v>
      </c>
      <c r="C191" t="s">
        <v>693</v>
      </c>
      <c r="D191" t="s">
        <v>529</v>
      </c>
      <c r="F191" t="s">
        <v>164</v>
      </c>
      <c r="G191" t="s">
        <v>60</v>
      </c>
      <c r="H191" t="s">
        <v>95</v>
      </c>
      <c r="I191" t="s">
        <v>97</v>
      </c>
      <c r="K191" t="s">
        <v>50</v>
      </c>
      <c r="M191" t="s">
        <v>51</v>
      </c>
      <c r="Z191" t="s">
        <v>73</v>
      </c>
      <c r="AB191" t="s">
        <v>873</v>
      </c>
      <c r="AD191"/>
      <c r="AF191" t="s">
        <v>54</v>
      </c>
      <c r="AG191" t="s">
        <v>529</v>
      </c>
      <c r="AH191" t="s">
        <v>55</v>
      </c>
      <c r="AI191" t="s">
        <v>695</v>
      </c>
      <c r="AJ191" t="s">
        <v>696</v>
      </c>
      <c r="AK191" s="1">
        <v>4200</v>
      </c>
      <c r="AM191" t="s">
        <v>874</v>
      </c>
      <c r="AP191" t="s">
        <v>60</v>
      </c>
    </row>
    <row r="192" spans="1:42" hidden="1">
      <c r="A192" t="s">
        <v>390</v>
      </c>
      <c r="B192" t="s">
        <v>210</v>
      </c>
      <c r="D192" t="s">
        <v>142</v>
      </c>
      <c r="F192" t="s">
        <v>354</v>
      </c>
      <c r="H192" t="s">
        <v>122</v>
      </c>
      <c r="I192" t="s">
        <v>97</v>
      </c>
      <c r="AD192" s="1">
        <v>29300</v>
      </c>
      <c r="AE192" t="s">
        <v>875</v>
      </c>
      <c r="AF192" t="s">
        <v>54</v>
      </c>
      <c r="AG192" t="s">
        <v>142</v>
      </c>
      <c r="AI192" t="s">
        <v>876</v>
      </c>
      <c r="AJ192" t="s">
        <v>877</v>
      </c>
      <c r="AK192" s="2"/>
      <c r="AL192" t="s">
        <v>390</v>
      </c>
      <c r="AM192" t="s">
        <v>224</v>
      </c>
      <c r="AP192" t="s">
        <v>60</v>
      </c>
    </row>
    <row r="193" spans="1:42">
      <c r="A193" t="s">
        <v>390</v>
      </c>
      <c r="B193" t="s">
        <v>44</v>
      </c>
      <c r="C193" t="s">
        <v>878</v>
      </c>
      <c r="D193" t="s">
        <v>256</v>
      </c>
      <c r="F193" s="2" t="s">
        <v>94</v>
      </c>
      <c r="H193" t="s">
        <v>95</v>
      </c>
      <c r="I193" t="s">
        <v>97</v>
      </c>
      <c r="K193" t="s">
        <v>50</v>
      </c>
      <c r="M193" t="s">
        <v>190</v>
      </c>
      <c r="Y193" t="s">
        <v>241</v>
      </c>
      <c r="AB193" t="s">
        <v>879</v>
      </c>
      <c r="AD193"/>
      <c r="AF193" t="s">
        <v>54</v>
      </c>
      <c r="AG193" t="s">
        <v>256</v>
      </c>
      <c r="AH193" t="s">
        <v>55</v>
      </c>
      <c r="AI193" t="s">
        <v>880</v>
      </c>
      <c r="AJ193" t="s">
        <v>881</v>
      </c>
      <c r="AK193" s="1">
        <v>11623.1</v>
      </c>
      <c r="AL193" t="s">
        <v>697</v>
      </c>
      <c r="AM193" t="s">
        <v>89</v>
      </c>
      <c r="AP193" t="s">
        <v>60</v>
      </c>
    </row>
    <row r="194" spans="1:42">
      <c r="A194" t="s">
        <v>390</v>
      </c>
      <c r="B194" t="s">
        <v>44</v>
      </c>
      <c r="C194" t="s">
        <v>882</v>
      </c>
      <c r="D194" t="s">
        <v>256</v>
      </c>
      <c r="F194" s="2" t="s">
        <v>94</v>
      </c>
      <c r="H194" t="s">
        <v>95</v>
      </c>
      <c r="I194" t="s">
        <v>97</v>
      </c>
      <c r="K194" t="s">
        <v>50</v>
      </c>
      <c r="M194" t="s">
        <v>190</v>
      </c>
      <c r="Y194" t="s">
        <v>241</v>
      </c>
      <c r="AB194" t="s">
        <v>879</v>
      </c>
      <c r="AD194"/>
      <c r="AF194" t="s">
        <v>54</v>
      </c>
      <c r="AG194" t="s">
        <v>256</v>
      </c>
      <c r="AH194" t="s">
        <v>55</v>
      </c>
      <c r="AI194" t="s">
        <v>880</v>
      </c>
      <c r="AJ194" t="s">
        <v>881</v>
      </c>
      <c r="AK194" s="1">
        <v>443.6</v>
      </c>
      <c r="AL194" t="s">
        <v>697</v>
      </c>
      <c r="AM194" t="s">
        <v>89</v>
      </c>
      <c r="AP194" t="s">
        <v>60</v>
      </c>
    </row>
    <row r="195" spans="1:42" hidden="1">
      <c r="A195" t="s">
        <v>390</v>
      </c>
      <c r="B195" t="s">
        <v>210</v>
      </c>
      <c r="D195" t="s">
        <v>106</v>
      </c>
      <c r="F195" t="s">
        <v>152</v>
      </c>
      <c r="H195" t="s">
        <v>95</v>
      </c>
      <c r="I195" t="s">
        <v>96</v>
      </c>
      <c r="AD195" s="1">
        <v>18800</v>
      </c>
      <c r="AE195" t="s">
        <v>884</v>
      </c>
      <c r="AF195" t="s">
        <v>54</v>
      </c>
      <c r="AG195" t="s">
        <v>106</v>
      </c>
      <c r="AI195" t="s">
        <v>885</v>
      </c>
      <c r="AJ195" t="s">
        <v>886</v>
      </c>
      <c r="AK195" s="2"/>
      <c r="AM195" t="s">
        <v>887</v>
      </c>
      <c r="AP195" t="s">
        <v>60</v>
      </c>
    </row>
    <row r="196" spans="1:42" hidden="1">
      <c r="A196" t="s">
        <v>390</v>
      </c>
      <c r="B196" t="s">
        <v>44</v>
      </c>
      <c r="C196" t="s">
        <v>888</v>
      </c>
      <c r="D196" t="s">
        <v>106</v>
      </c>
      <c r="F196" t="s">
        <v>152</v>
      </c>
      <c r="H196" t="s">
        <v>95</v>
      </c>
      <c r="I196" t="s">
        <v>96</v>
      </c>
      <c r="J196" t="s">
        <v>97</v>
      </c>
      <c r="K196" t="s">
        <v>114</v>
      </c>
      <c r="L196" t="s">
        <v>143</v>
      </c>
      <c r="Q196" t="s">
        <v>144</v>
      </c>
      <c r="AB196" t="s">
        <v>884</v>
      </c>
      <c r="AC196" t="s">
        <v>883</v>
      </c>
      <c r="AD196"/>
      <c r="AF196" t="s">
        <v>54</v>
      </c>
      <c r="AG196" t="s">
        <v>106</v>
      </c>
      <c r="AH196" t="s">
        <v>100</v>
      </c>
      <c r="AI196" t="s">
        <v>885</v>
      </c>
      <c r="AJ196" t="s">
        <v>886</v>
      </c>
      <c r="AK196" s="1">
        <v>18800</v>
      </c>
      <c r="AM196" t="s">
        <v>714</v>
      </c>
    </row>
    <row r="197" spans="1:42" hidden="1">
      <c r="A197" t="s">
        <v>697</v>
      </c>
      <c r="B197" t="s">
        <v>44</v>
      </c>
      <c r="C197" t="s">
        <v>889</v>
      </c>
      <c r="D197" t="s">
        <v>46</v>
      </c>
      <c r="E197" t="s">
        <v>134</v>
      </c>
      <c r="F197" t="s">
        <v>813</v>
      </c>
      <c r="G197" t="s">
        <v>60</v>
      </c>
      <c r="H197" t="s">
        <v>165</v>
      </c>
      <c r="I197" t="s">
        <v>49</v>
      </c>
      <c r="J197" t="s">
        <v>49</v>
      </c>
      <c r="K197" t="s">
        <v>114</v>
      </c>
      <c r="L197" t="s">
        <v>197</v>
      </c>
      <c r="P197" t="s">
        <v>241</v>
      </c>
      <c r="AB197" t="s">
        <v>890</v>
      </c>
      <c r="AC197" t="s">
        <v>891</v>
      </c>
      <c r="AD197"/>
      <c r="AF197" t="s">
        <v>54</v>
      </c>
      <c r="AG197" t="s">
        <v>46</v>
      </c>
      <c r="AH197" t="s">
        <v>100</v>
      </c>
      <c r="AI197" t="s">
        <v>815</v>
      </c>
      <c r="AJ197" t="s">
        <v>816</v>
      </c>
      <c r="AK197" s="1">
        <v>31580.1</v>
      </c>
      <c r="AL197" t="s">
        <v>697</v>
      </c>
      <c r="AM197" t="s">
        <v>103</v>
      </c>
      <c r="AP197" t="s">
        <v>60</v>
      </c>
    </row>
    <row r="198" spans="1:42" hidden="1">
      <c r="A198" t="s">
        <v>697</v>
      </c>
      <c r="B198" t="s">
        <v>44</v>
      </c>
      <c r="C198" t="s">
        <v>892</v>
      </c>
      <c r="D198" t="s">
        <v>46</v>
      </c>
      <c r="E198" t="s">
        <v>134</v>
      </c>
      <c r="F198" t="s">
        <v>813</v>
      </c>
      <c r="G198" t="s">
        <v>60</v>
      </c>
      <c r="H198" t="s">
        <v>165</v>
      </c>
      <c r="I198" t="s">
        <v>49</v>
      </c>
      <c r="J198" t="s">
        <v>49</v>
      </c>
      <c r="K198" t="s">
        <v>114</v>
      </c>
      <c r="L198" t="s">
        <v>197</v>
      </c>
      <c r="P198" t="s">
        <v>241</v>
      </c>
      <c r="AB198" t="s">
        <v>890</v>
      </c>
      <c r="AC198" t="s">
        <v>893</v>
      </c>
      <c r="AD198"/>
      <c r="AF198" t="s">
        <v>54</v>
      </c>
      <c r="AG198" t="s">
        <v>46</v>
      </c>
      <c r="AH198" t="s">
        <v>100</v>
      </c>
      <c r="AI198" t="s">
        <v>815</v>
      </c>
      <c r="AJ198" t="s">
        <v>816</v>
      </c>
      <c r="AK198" s="1">
        <v>8777.7000000000007</v>
      </c>
      <c r="AL198" t="s">
        <v>697</v>
      </c>
      <c r="AM198" t="s">
        <v>103</v>
      </c>
      <c r="AP198" t="s">
        <v>60</v>
      </c>
    </row>
    <row r="199" spans="1:42" hidden="1">
      <c r="A199" t="s">
        <v>697</v>
      </c>
      <c r="B199" t="s">
        <v>44</v>
      </c>
      <c r="C199" t="s">
        <v>894</v>
      </c>
      <c r="D199" t="s">
        <v>46</v>
      </c>
      <c r="E199" t="s">
        <v>134</v>
      </c>
      <c r="F199" t="s">
        <v>813</v>
      </c>
      <c r="G199" t="s">
        <v>60</v>
      </c>
      <c r="H199" t="s">
        <v>165</v>
      </c>
      <c r="I199" t="s">
        <v>49</v>
      </c>
      <c r="J199" t="s">
        <v>49</v>
      </c>
      <c r="K199" t="s">
        <v>114</v>
      </c>
      <c r="L199" t="s">
        <v>197</v>
      </c>
      <c r="P199" t="s">
        <v>241</v>
      </c>
      <c r="AB199" t="s">
        <v>890</v>
      </c>
      <c r="AC199" t="s">
        <v>895</v>
      </c>
      <c r="AD199"/>
      <c r="AF199" t="s">
        <v>54</v>
      </c>
      <c r="AG199" t="s">
        <v>46</v>
      </c>
      <c r="AH199" t="s">
        <v>100</v>
      </c>
      <c r="AI199" t="s">
        <v>815</v>
      </c>
      <c r="AJ199" t="s">
        <v>816</v>
      </c>
      <c r="AK199" s="1">
        <v>14622.2</v>
      </c>
      <c r="AL199" t="s">
        <v>697</v>
      </c>
      <c r="AM199" t="s">
        <v>103</v>
      </c>
      <c r="AP199" t="s">
        <v>60</v>
      </c>
    </row>
    <row r="200" spans="1:42" hidden="1">
      <c r="A200" t="s">
        <v>697</v>
      </c>
      <c r="B200" t="s">
        <v>44</v>
      </c>
      <c r="C200" t="s">
        <v>896</v>
      </c>
      <c r="D200" t="s">
        <v>46</v>
      </c>
      <c r="F200" t="s">
        <v>813</v>
      </c>
      <c r="G200" t="s">
        <v>60</v>
      </c>
      <c r="H200" t="s">
        <v>165</v>
      </c>
      <c r="I200" t="s">
        <v>49</v>
      </c>
      <c r="J200" t="s">
        <v>49</v>
      </c>
      <c r="K200" t="s">
        <v>114</v>
      </c>
      <c r="L200" t="s">
        <v>197</v>
      </c>
      <c r="P200" t="s">
        <v>241</v>
      </c>
      <c r="AB200" t="s">
        <v>897</v>
      </c>
      <c r="AC200" t="s">
        <v>898</v>
      </c>
      <c r="AD200"/>
      <c r="AF200" t="s">
        <v>54</v>
      </c>
      <c r="AG200" t="s">
        <v>46</v>
      </c>
      <c r="AH200" t="s">
        <v>100</v>
      </c>
      <c r="AI200" t="s">
        <v>815</v>
      </c>
      <c r="AJ200" t="s">
        <v>816</v>
      </c>
      <c r="AK200" s="1">
        <v>28320</v>
      </c>
      <c r="AL200" t="s">
        <v>670</v>
      </c>
      <c r="AM200" t="s">
        <v>103</v>
      </c>
      <c r="AP200" t="s">
        <v>60</v>
      </c>
    </row>
    <row r="201" spans="1:42" hidden="1">
      <c r="A201" t="s">
        <v>697</v>
      </c>
      <c r="B201" t="s">
        <v>44</v>
      </c>
      <c r="C201" t="s">
        <v>899</v>
      </c>
      <c r="D201" t="s">
        <v>590</v>
      </c>
      <c r="F201" t="s">
        <v>570</v>
      </c>
      <c r="H201" t="s">
        <v>482</v>
      </c>
      <c r="I201" t="s">
        <v>97</v>
      </c>
      <c r="K201" t="s">
        <v>50</v>
      </c>
      <c r="M201" t="s">
        <v>51</v>
      </c>
      <c r="Z201" t="s">
        <v>123</v>
      </c>
      <c r="AB201" t="s">
        <v>900</v>
      </c>
      <c r="AD201"/>
      <c r="AF201" t="s">
        <v>54</v>
      </c>
      <c r="AG201" t="s">
        <v>590</v>
      </c>
      <c r="AH201" t="s">
        <v>55</v>
      </c>
      <c r="AI201" t="s">
        <v>901</v>
      </c>
      <c r="AJ201" t="s">
        <v>902</v>
      </c>
      <c r="AK201" s="1">
        <v>11572</v>
      </c>
      <c r="AL201" t="s">
        <v>903</v>
      </c>
      <c r="AM201" t="s">
        <v>904</v>
      </c>
    </row>
    <row r="202" spans="1:42" hidden="1">
      <c r="A202" t="s">
        <v>697</v>
      </c>
      <c r="B202" t="s">
        <v>44</v>
      </c>
      <c r="C202" t="s">
        <v>905</v>
      </c>
      <c r="D202" t="s">
        <v>590</v>
      </c>
      <c r="F202" t="s">
        <v>81</v>
      </c>
      <c r="H202" t="s">
        <v>906</v>
      </c>
      <c r="I202" t="s">
        <v>97</v>
      </c>
      <c r="K202" t="s">
        <v>50</v>
      </c>
      <c r="M202" t="s">
        <v>51</v>
      </c>
      <c r="Z202" t="s">
        <v>205</v>
      </c>
      <c r="AB202" t="s">
        <v>907</v>
      </c>
      <c r="AD202"/>
      <c r="AF202" t="s">
        <v>54</v>
      </c>
      <c r="AG202" t="s">
        <v>590</v>
      </c>
      <c r="AH202" t="s">
        <v>55</v>
      </c>
      <c r="AI202" t="s">
        <v>908</v>
      </c>
      <c r="AJ202" t="s">
        <v>909</v>
      </c>
      <c r="AK202" s="1">
        <v>8799.7000000000007</v>
      </c>
      <c r="AL202" t="s">
        <v>903</v>
      </c>
      <c r="AM202" t="s">
        <v>910</v>
      </c>
    </row>
    <row r="203" spans="1:42" hidden="1">
      <c r="A203" t="s">
        <v>670</v>
      </c>
      <c r="B203" t="s">
        <v>44</v>
      </c>
      <c r="C203" t="s">
        <v>911</v>
      </c>
      <c r="D203" t="s">
        <v>305</v>
      </c>
      <c r="F203" t="s">
        <v>249</v>
      </c>
      <c r="H203" t="s">
        <v>122</v>
      </c>
      <c r="I203" t="s">
        <v>49</v>
      </c>
      <c r="K203" t="s">
        <v>50</v>
      </c>
      <c r="M203" t="s">
        <v>51</v>
      </c>
      <c r="Z203" t="s">
        <v>52</v>
      </c>
      <c r="AB203" t="s">
        <v>912</v>
      </c>
      <c r="AD203"/>
      <c r="AF203" t="s">
        <v>54</v>
      </c>
      <c r="AG203" t="s">
        <v>305</v>
      </c>
      <c r="AH203" t="s">
        <v>55</v>
      </c>
      <c r="AI203" t="s">
        <v>913</v>
      </c>
      <c r="AJ203" t="s">
        <v>914</v>
      </c>
      <c r="AK203" s="1">
        <v>10740</v>
      </c>
      <c r="AL203" t="s">
        <v>915</v>
      </c>
      <c r="AM203" t="s">
        <v>916</v>
      </c>
      <c r="AP203" t="s">
        <v>60</v>
      </c>
    </row>
    <row r="204" spans="1:42" hidden="1">
      <c r="A204" t="s">
        <v>697</v>
      </c>
      <c r="B204" t="s">
        <v>44</v>
      </c>
      <c r="C204" t="s">
        <v>917</v>
      </c>
      <c r="D204" t="s">
        <v>648</v>
      </c>
      <c r="F204" t="s">
        <v>249</v>
      </c>
      <c r="H204" t="s">
        <v>122</v>
      </c>
      <c r="I204" t="s">
        <v>49</v>
      </c>
      <c r="K204" t="s">
        <v>50</v>
      </c>
      <c r="M204" t="s">
        <v>51</v>
      </c>
      <c r="Z204" t="s">
        <v>52</v>
      </c>
      <c r="AB204" t="s">
        <v>918</v>
      </c>
      <c r="AD204"/>
      <c r="AF204" t="s">
        <v>54</v>
      </c>
      <c r="AG204" t="s">
        <v>648</v>
      </c>
      <c r="AH204" t="s">
        <v>55</v>
      </c>
      <c r="AI204" t="s">
        <v>913</v>
      </c>
      <c r="AJ204" t="s">
        <v>914</v>
      </c>
      <c r="AK204" s="1">
        <v>845</v>
      </c>
      <c r="AL204" t="s">
        <v>652</v>
      </c>
      <c r="AM204" t="s">
        <v>916</v>
      </c>
      <c r="AP204" t="s">
        <v>60</v>
      </c>
    </row>
    <row r="205" spans="1:42" hidden="1">
      <c r="A205" t="s">
        <v>697</v>
      </c>
      <c r="B205" t="s">
        <v>44</v>
      </c>
      <c r="C205" t="s">
        <v>919</v>
      </c>
      <c r="D205" t="s">
        <v>648</v>
      </c>
      <c r="F205" t="s">
        <v>249</v>
      </c>
      <c r="H205" t="s">
        <v>122</v>
      </c>
      <c r="I205" t="s">
        <v>49</v>
      </c>
      <c r="K205" t="s">
        <v>50</v>
      </c>
      <c r="M205" t="s">
        <v>51</v>
      </c>
      <c r="Z205" t="s">
        <v>52</v>
      </c>
      <c r="AB205" t="s">
        <v>918</v>
      </c>
      <c r="AD205"/>
      <c r="AF205" t="s">
        <v>54</v>
      </c>
      <c r="AG205" t="s">
        <v>648</v>
      </c>
      <c r="AH205" t="s">
        <v>55</v>
      </c>
      <c r="AI205" t="s">
        <v>913</v>
      </c>
      <c r="AJ205" t="s">
        <v>914</v>
      </c>
      <c r="AK205" s="1">
        <v>15760</v>
      </c>
      <c r="AL205" t="s">
        <v>652</v>
      </c>
      <c r="AM205" t="s">
        <v>916</v>
      </c>
      <c r="AP205" t="s">
        <v>60</v>
      </c>
    </row>
    <row r="206" spans="1:42" hidden="1">
      <c r="A206" t="s">
        <v>697</v>
      </c>
      <c r="B206" t="s">
        <v>44</v>
      </c>
      <c r="C206" t="s">
        <v>920</v>
      </c>
      <c r="D206" t="s">
        <v>648</v>
      </c>
      <c r="F206" t="s">
        <v>249</v>
      </c>
      <c r="H206" t="s">
        <v>122</v>
      </c>
      <c r="I206" t="s">
        <v>49</v>
      </c>
      <c r="K206" t="s">
        <v>50</v>
      </c>
      <c r="M206" t="s">
        <v>51</v>
      </c>
      <c r="Z206" t="s">
        <v>52</v>
      </c>
      <c r="AB206" t="s">
        <v>918</v>
      </c>
      <c r="AD206"/>
      <c r="AF206" t="s">
        <v>54</v>
      </c>
      <c r="AG206" t="s">
        <v>648</v>
      </c>
      <c r="AH206" t="s">
        <v>55</v>
      </c>
      <c r="AI206" t="s">
        <v>913</v>
      </c>
      <c r="AJ206" t="s">
        <v>914</v>
      </c>
      <c r="AK206" s="1">
        <v>12700</v>
      </c>
      <c r="AL206" t="s">
        <v>652</v>
      </c>
      <c r="AM206" t="s">
        <v>916</v>
      </c>
      <c r="AP206" t="s">
        <v>60</v>
      </c>
    </row>
    <row r="207" spans="1:42" hidden="1">
      <c r="A207" t="s">
        <v>697</v>
      </c>
      <c r="B207" t="s">
        <v>44</v>
      </c>
      <c r="C207" t="s">
        <v>921</v>
      </c>
      <c r="D207" t="s">
        <v>648</v>
      </c>
      <c r="F207" t="s">
        <v>249</v>
      </c>
      <c r="H207" t="s">
        <v>122</v>
      </c>
      <c r="I207" t="s">
        <v>49</v>
      </c>
      <c r="K207" t="s">
        <v>50</v>
      </c>
      <c r="M207" t="s">
        <v>51</v>
      </c>
      <c r="Z207" t="s">
        <v>52</v>
      </c>
      <c r="AB207" t="s">
        <v>918</v>
      </c>
      <c r="AD207"/>
      <c r="AF207" t="s">
        <v>54</v>
      </c>
      <c r="AG207" t="s">
        <v>648</v>
      </c>
      <c r="AH207" t="s">
        <v>55</v>
      </c>
      <c r="AI207" t="s">
        <v>913</v>
      </c>
      <c r="AJ207" t="s">
        <v>914</v>
      </c>
      <c r="AK207" s="1">
        <v>1207.0999999999999</v>
      </c>
      <c r="AL207" t="s">
        <v>652</v>
      </c>
      <c r="AM207" t="s">
        <v>916</v>
      </c>
      <c r="AP207" t="s">
        <v>60</v>
      </c>
    </row>
    <row r="208" spans="1:42" hidden="1">
      <c r="A208" t="s">
        <v>697</v>
      </c>
      <c r="B208" t="s">
        <v>44</v>
      </c>
      <c r="C208" t="s">
        <v>922</v>
      </c>
      <c r="D208" t="s">
        <v>648</v>
      </c>
      <c r="F208" t="s">
        <v>249</v>
      </c>
      <c r="H208" t="s">
        <v>122</v>
      </c>
      <c r="I208" t="s">
        <v>49</v>
      </c>
      <c r="K208" t="s">
        <v>50</v>
      </c>
      <c r="M208" t="s">
        <v>51</v>
      </c>
      <c r="Z208" t="s">
        <v>52</v>
      </c>
      <c r="AB208" t="s">
        <v>918</v>
      </c>
      <c r="AD208"/>
      <c r="AF208" t="s">
        <v>54</v>
      </c>
      <c r="AG208" t="s">
        <v>648</v>
      </c>
      <c r="AH208" t="s">
        <v>55</v>
      </c>
      <c r="AI208" t="s">
        <v>913</v>
      </c>
      <c r="AJ208" t="s">
        <v>914</v>
      </c>
      <c r="AK208" s="1">
        <v>18070</v>
      </c>
      <c r="AL208" t="s">
        <v>652</v>
      </c>
      <c r="AM208" t="s">
        <v>916</v>
      </c>
      <c r="AP208" t="s">
        <v>60</v>
      </c>
    </row>
    <row r="209" spans="1:42" hidden="1">
      <c r="A209" t="s">
        <v>697</v>
      </c>
      <c r="B209" t="s">
        <v>44</v>
      </c>
      <c r="C209" t="s">
        <v>923</v>
      </c>
      <c r="D209" t="s">
        <v>648</v>
      </c>
      <c r="F209" t="s">
        <v>249</v>
      </c>
      <c r="H209" t="s">
        <v>122</v>
      </c>
      <c r="I209" t="s">
        <v>49</v>
      </c>
      <c r="K209" t="s">
        <v>50</v>
      </c>
      <c r="M209" t="s">
        <v>51</v>
      </c>
      <c r="Z209" t="s">
        <v>52</v>
      </c>
      <c r="AB209" t="s">
        <v>918</v>
      </c>
      <c r="AD209"/>
      <c r="AF209" t="s">
        <v>54</v>
      </c>
      <c r="AG209" t="s">
        <v>648</v>
      </c>
      <c r="AH209" t="s">
        <v>55</v>
      </c>
      <c r="AI209" t="s">
        <v>913</v>
      </c>
      <c r="AJ209" t="s">
        <v>914</v>
      </c>
      <c r="AK209" s="1">
        <v>639.29999999999995</v>
      </c>
      <c r="AL209" t="s">
        <v>652</v>
      </c>
      <c r="AM209" t="s">
        <v>916</v>
      </c>
      <c r="AP209" t="s">
        <v>60</v>
      </c>
    </row>
    <row r="210" spans="1:42" hidden="1">
      <c r="A210" t="s">
        <v>697</v>
      </c>
      <c r="B210" t="s">
        <v>44</v>
      </c>
      <c r="C210" t="s">
        <v>924</v>
      </c>
      <c r="D210" t="s">
        <v>648</v>
      </c>
      <c r="F210" t="s">
        <v>249</v>
      </c>
      <c r="H210" t="s">
        <v>122</v>
      </c>
      <c r="I210" t="s">
        <v>49</v>
      </c>
      <c r="K210" t="s">
        <v>50</v>
      </c>
      <c r="M210" t="s">
        <v>51</v>
      </c>
      <c r="Z210" t="s">
        <v>52</v>
      </c>
      <c r="AB210" t="s">
        <v>918</v>
      </c>
      <c r="AD210"/>
      <c r="AF210" t="s">
        <v>54</v>
      </c>
      <c r="AG210" t="s">
        <v>648</v>
      </c>
      <c r="AH210" t="s">
        <v>55</v>
      </c>
      <c r="AI210" t="s">
        <v>913</v>
      </c>
      <c r="AJ210" t="s">
        <v>914</v>
      </c>
      <c r="AK210" s="1">
        <v>29120</v>
      </c>
      <c r="AL210" t="s">
        <v>652</v>
      </c>
      <c r="AM210" t="s">
        <v>916</v>
      </c>
      <c r="AP210" t="s">
        <v>60</v>
      </c>
    </row>
    <row r="211" spans="1:42" hidden="1">
      <c r="A211" t="s">
        <v>514</v>
      </c>
      <c r="B211" t="s">
        <v>44</v>
      </c>
      <c r="C211" t="s">
        <v>925</v>
      </c>
      <c r="D211" t="s">
        <v>926</v>
      </c>
      <c r="F211" t="s">
        <v>732</v>
      </c>
      <c r="H211" t="s">
        <v>220</v>
      </c>
      <c r="I211" t="s">
        <v>49</v>
      </c>
      <c r="K211" t="s">
        <v>50</v>
      </c>
      <c r="M211" t="s">
        <v>51</v>
      </c>
      <c r="Z211" t="s">
        <v>73</v>
      </c>
      <c r="AB211" t="s">
        <v>927</v>
      </c>
      <c r="AD211"/>
      <c r="AF211" t="s">
        <v>54</v>
      </c>
      <c r="AG211" t="s">
        <v>926</v>
      </c>
      <c r="AH211" t="s">
        <v>55</v>
      </c>
      <c r="AI211" t="s">
        <v>734</v>
      </c>
      <c r="AJ211" t="s">
        <v>735</v>
      </c>
      <c r="AK211" s="1">
        <v>9140</v>
      </c>
      <c r="AL211" t="s">
        <v>928</v>
      </c>
      <c r="AM211" t="s">
        <v>929</v>
      </c>
    </row>
    <row r="212" spans="1:42" hidden="1">
      <c r="A212" t="s">
        <v>514</v>
      </c>
      <c r="B212" t="s">
        <v>44</v>
      </c>
      <c r="C212" t="s">
        <v>930</v>
      </c>
      <c r="D212" t="s">
        <v>466</v>
      </c>
      <c r="F212" t="s">
        <v>732</v>
      </c>
      <c r="H212" t="s">
        <v>220</v>
      </c>
      <c r="I212" t="s">
        <v>49</v>
      </c>
      <c r="K212" t="s">
        <v>114</v>
      </c>
      <c r="L212" t="s">
        <v>115</v>
      </c>
      <c r="O212" t="s">
        <v>73</v>
      </c>
      <c r="AB212" t="s">
        <v>733</v>
      </c>
      <c r="AD212"/>
      <c r="AF212" t="s">
        <v>54</v>
      </c>
      <c r="AG212" t="s">
        <v>466</v>
      </c>
      <c r="AH212" t="s">
        <v>55</v>
      </c>
      <c r="AI212" t="s">
        <v>734</v>
      </c>
      <c r="AJ212" t="s">
        <v>735</v>
      </c>
      <c r="AK212" s="1">
        <v>9374.5</v>
      </c>
      <c r="AL212" t="s">
        <v>697</v>
      </c>
      <c r="AM212" t="s">
        <v>929</v>
      </c>
    </row>
    <row r="213" spans="1:42" hidden="1">
      <c r="A213" t="s">
        <v>697</v>
      </c>
      <c r="B213" t="s">
        <v>44</v>
      </c>
      <c r="C213" t="s">
        <v>931</v>
      </c>
      <c r="D213" t="s">
        <v>466</v>
      </c>
      <c r="F213" t="s">
        <v>732</v>
      </c>
      <c r="H213" t="s">
        <v>220</v>
      </c>
      <c r="I213" t="s">
        <v>49</v>
      </c>
      <c r="K213" t="s">
        <v>50</v>
      </c>
      <c r="M213" t="s">
        <v>51</v>
      </c>
      <c r="Z213" t="s">
        <v>73</v>
      </c>
      <c r="AB213" t="s">
        <v>733</v>
      </c>
      <c r="AD213"/>
      <c r="AF213" t="s">
        <v>54</v>
      </c>
      <c r="AG213" t="s">
        <v>466</v>
      </c>
      <c r="AH213" t="s">
        <v>55</v>
      </c>
      <c r="AI213" t="s">
        <v>734</v>
      </c>
      <c r="AJ213" t="s">
        <v>735</v>
      </c>
      <c r="AK213" s="1">
        <v>28320</v>
      </c>
      <c r="AL213" t="s">
        <v>697</v>
      </c>
      <c r="AM213" t="s">
        <v>929</v>
      </c>
    </row>
    <row r="214" spans="1:42" hidden="1">
      <c r="A214" t="s">
        <v>697</v>
      </c>
      <c r="B214" t="s">
        <v>44</v>
      </c>
      <c r="C214" t="s">
        <v>932</v>
      </c>
      <c r="D214" t="s">
        <v>466</v>
      </c>
      <c r="F214" t="s">
        <v>732</v>
      </c>
      <c r="H214" t="s">
        <v>220</v>
      </c>
      <c r="I214" t="s">
        <v>49</v>
      </c>
      <c r="K214" t="s">
        <v>50</v>
      </c>
      <c r="M214" t="s">
        <v>51</v>
      </c>
      <c r="Z214" t="s">
        <v>73</v>
      </c>
      <c r="AB214" t="s">
        <v>733</v>
      </c>
      <c r="AD214"/>
      <c r="AF214" t="s">
        <v>54</v>
      </c>
      <c r="AG214" t="s">
        <v>466</v>
      </c>
      <c r="AH214" t="s">
        <v>55</v>
      </c>
      <c r="AI214" t="s">
        <v>734</v>
      </c>
      <c r="AJ214" t="s">
        <v>735</v>
      </c>
      <c r="AK214" s="1">
        <v>6680</v>
      </c>
      <c r="AL214" t="s">
        <v>697</v>
      </c>
      <c r="AM214" t="s">
        <v>929</v>
      </c>
    </row>
    <row r="215" spans="1:42" hidden="1">
      <c r="A215" t="s">
        <v>697</v>
      </c>
      <c r="B215" t="s">
        <v>44</v>
      </c>
      <c r="C215" t="s">
        <v>933</v>
      </c>
      <c r="D215" t="s">
        <v>466</v>
      </c>
      <c r="F215" t="s">
        <v>732</v>
      </c>
      <c r="H215" t="s">
        <v>220</v>
      </c>
      <c r="I215" t="s">
        <v>49</v>
      </c>
      <c r="K215" t="s">
        <v>50</v>
      </c>
      <c r="M215" t="s">
        <v>51</v>
      </c>
      <c r="Z215" t="s">
        <v>73</v>
      </c>
      <c r="AB215" t="s">
        <v>733</v>
      </c>
      <c r="AD215"/>
      <c r="AF215" t="s">
        <v>54</v>
      </c>
      <c r="AG215" t="s">
        <v>466</v>
      </c>
      <c r="AH215" t="s">
        <v>55</v>
      </c>
      <c r="AI215" t="s">
        <v>734</v>
      </c>
      <c r="AJ215" t="s">
        <v>735</v>
      </c>
      <c r="AK215" s="1">
        <v>8100</v>
      </c>
      <c r="AL215" t="s">
        <v>697</v>
      </c>
      <c r="AM215" t="s">
        <v>929</v>
      </c>
    </row>
    <row r="216" spans="1:42" hidden="1">
      <c r="A216" t="s">
        <v>697</v>
      </c>
      <c r="B216" t="s">
        <v>44</v>
      </c>
      <c r="C216" t="s">
        <v>934</v>
      </c>
      <c r="D216" t="s">
        <v>466</v>
      </c>
      <c r="F216" t="s">
        <v>732</v>
      </c>
      <c r="H216" t="s">
        <v>220</v>
      </c>
      <c r="I216" t="s">
        <v>49</v>
      </c>
      <c r="K216" t="s">
        <v>50</v>
      </c>
      <c r="M216" t="s">
        <v>51</v>
      </c>
      <c r="Z216" t="s">
        <v>73</v>
      </c>
      <c r="AB216" t="s">
        <v>733</v>
      </c>
      <c r="AD216"/>
      <c r="AF216" t="s">
        <v>54</v>
      </c>
      <c r="AG216" t="s">
        <v>466</v>
      </c>
      <c r="AH216" t="s">
        <v>55</v>
      </c>
      <c r="AI216" t="s">
        <v>734</v>
      </c>
      <c r="AJ216" t="s">
        <v>735</v>
      </c>
      <c r="AK216" s="1">
        <v>40237.5</v>
      </c>
      <c r="AL216" t="s">
        <v>697</v>
      </c>
      <c r="AM216" t="s">
        <v>929</v>
      </c>
    </row>
    <row r="217" spans="1:42" hidden="1">
      <c r="A217" t="s">
        <v>697</v>
      </c>
      <c r="B217" t="s">
        <v>44</v>
      </c>
      <c r="C217" t="s">
        <v>935</v>
      </c>
      <c r="D217" t="s">
        <v>284</v>
      </c>
      <c r="F217" t="s">
        <v>180</v>
      </c>
      <c r="H217" t="s">
        <v>165</v>
      </c>
      <c r="I217" t="s">
        <v>182</v>
      </c>
      <c r="K217" t="s">
        <v>50</v>
      </c>
      <c r="M217" t="s">
        <v>190</v>
      </c>
      <c r="Y217" t="s">
        <v>241</v>
      </c>
      <c r="AB217" t="s">
        <v>936</v>
      </c>
      <c r="AD217"/>
      <c r="AF217" t="s">
        <v>54</v>
      </c>
      <c r="AG217" t="s">
        <v>284</v>
      </c>
      <c r="AH217" t="s">
        <v>55</v>
      </c>
      <c r="AI217" t="s">
        <v>937</v>
      </c>
      <c r="AJ217" t="s">
        <v>938</v>
      </c>
      <c r="AK217" s="1">
        <v>23890</v>
      </c>
      <c r="AL217" t="s">
        <v>697</v>
      </c>
      <c r="AM217" t="s">
        <v>939</v>
      </c>
      <c r="AP217" t="s">
        <v>60</v>
      </c>
    </row>
    <row r="218" spans="1:42" hidden="1">
      <c r="A218" t="s">
        <v>697</v>
      </c>
      <c r="B218" t="s">
        <v>44</v>
      </c>
      <c r="C218" t="s">
        <v>940</v>
      </c>
      <c r="D218" t="s">
        <v>263</v>
      </c>
      <c r="F218" t="s">
        <v>180</v>
      </c>
      <c r="H218" t="s">
        <v>153</v>
      </c>
      <c r="I218" t="s">
        <v>182</v>
      </c>
      <c r="K218" t="s">
        <v>50</v>
      </c>
      <c r="M218" t="s">
        <v>51</v>
      </c>
      <c r="Z218" t="s">
        <v>183</v>
      </c>
      <c r="AB218" t="s">
        <v>941</v>
      </c>
      <c r="AD218"/>
      <c r="AF218" t="s">
        <v>54</v>
      </c>
      <c r="AG218" t="s">
        <v>263</v>
      </c>
      <c r="AH218" t="s">
        <v>55</v>
      </c>
      <c r="AI218" t="s">
        <v>942</v>
      </c>
      <c r="AJ218" t="s">
        <v>943</v>
      </c>
      <c r="AK218" s="1">
        <v>21970</v>
      </c>
      <c r="AL218" t="s">
        <v>697</v>
      </c>
      <c r="AM218" t="s">
        <v>89</v>
      </c>
      <c r="AP218" t="s">
        <v>60</v>
      </c>
    </row>
    <row r="219" spans="1:42">
      <c r="A219" t="s">
        <v>697</v>
      </c>
      <c r="B219" t="s">
        <v>210</v>
      </c>
      <c r="D219" t="s">
        <v>151</v>
      </c>
      <c r="F219" s="2" t="s">
        <v>227</v>
      </c>
      <c r="H219" t="s">
        <v>376</v>
      </c>
      <c r="I219" t="s">
        <v>97</v>
      </c>
      <c r="AD219" s="1">
        <v>9959.6</v>
      </c>
      <c r="AE219" t="s">
        <v>944</v>
      </c>
      <c r="AF219" t="s">
        <v>54</v>
      </c>
      <c r="AG219" t="s">
        <v>151</v>
      </c>
      <c r="AI219" t="s">
        <v>945</v>
      </c>
      <c r="AJ219" t="s">
        <v>946</v>
      </c>
      <c r="AK219" s="2"/>
      <c r="AL219" t="s">
        <v>652</v>
      </c>
      <c r="AM219" t="s">
        <v>224</v>
      </c>
      <c r="AP219" t="s">
        <v>60</v>
      </c>
    </row>
    <row r="220" spans="1:42" hidden="1">
      <c r="A220" t="s">
        <v>652</v>
      </c>
      <c r="B220" t="s">
        <v>44</v>
      </c>
      <c r="C220" t="s">
        <v>947</v>
      </c>
      <c r="D220" t="s">
        <v>133</v>
      </c>
      <c r="F220" t="s">
        <v>135</v>
      </c>
      <c r="H220" t="s">
        <v>948</v>
      </c>
      <c r="I220" t="s">
        <v>96</v>
      </c>
      <c r="K220" t="s">
        <v>50</v>
      </c>
      <c r="M220" t="s">
        <v>190</v>
      </c>
      <c r="Y220" t="s">
        <v>241</v>
      </c>
      <c r="AB220" t="s">
        <v>949</v>
      </c>
      <c r="AD220"/>
      <c r="AF220" t="s">
        <v>54</v>
      </c>
      <c r="AG220" t="s">
        <v>133</v>
      </c>
      <c r="AH220" t="s">
        <v>55</v>
      </c>
      <c r="AI220" t="s">
        <v>950</v>
      </c>
      <c r="AJ220" t="s">
        <v>951</v>
      </c>
      <c r="AK220" s="1">
        <v>3000</v>
      </c>
      <c r="AM220" t="s">
        <v>714</v>
      </c>
    </row>
    <row r="221" spans="1:42" hidden="1">
      <c r="A221" t="s">
        <v>652</v>
      </c>
      <c r="B221" t="s">
        <v>210</v>
      </c>
      <c r="D221" t="s">
        <v>855</v>
      </c>
      <c r="F221" t="s">
        <v>249</v>
      </c>
      <c r="H221" t="s">
        <v>113</v>
      </c>
      <c r="I221" t="s">
        <v>97</v>
      </c>
      <c r="AD221" s="1">
        <v>9459.6</v>
      </c>
      <c r="AE221" t="s">
        <v>952</v>
      </c>
      <c r="AF221" t="s">
        <v>54</v>
      </c>
      <c r="AG221" t="s">
        <v>855</v>
      </c>
      <c r="AI221" t="s">
        <v>953</v>
      </c>
      <c r="AJ221" t="s">
        <v>954</v>
      </c>
      <c r="AK221" s="2"/>
      <c r="AL221" t="s">
        <v>652</v>
      </c>
      <c r="AM221" t="s">
        <v>224</v>
      </c>
      <c r="AP221" t="s">
        <v>60</v>
      </c>
    </row>
    <row r="222" spans="1:42" hidden="1">
      <c r="A222" t="s">
        <v>652</v>
      </c>
      <c r="B222" t="s">
        <v>44</v>
      </c>
      <c r="C222" t="s">
        <v>955</v>
      </c>
      <c r="D222" t="s">
        <v>956</v>
      </c>
      <c r="F222" t="s">
        <v>732</v>
      </c>
      <c r="H222" t="s">
        <v>250</v>
      </c>
      <c r="I222" t="s">
        <v>49</v>
      </c>
      <c r="K222" t="s">
        <v>114</v>
      </c>
      <c r="L222" t="s">
        <v>197</v>
      </c>
      <c r="P222" t="s">
        <v>191</v>
      </c>
      <c r="AB222" t="s">
        <v>957</v>
      </c>
      <c r="AD222"/>
      <c r="AF222" t="s">
        <v>54</v>
      </c>
      <c r="AG222" t="s">
        <v>956</v>
      </c>
      <c r="AH222" t="s">
        <v>100</v>
      </c>
      <c r="AI222" t="s">
        <v>958</v>
      </c>
      <c r="AJ222" t="s">
        <v>959</v>
      </c>
      <c r="AK222" s="1">
        <v>51800</v>
      </c>
      <c r="AL222" t="s">
        <v>960</v>
      </c>
      <c r="AM222" t="s">
        <v>280</v>
      </c>
      <c r="AP222" t="s">
        <v>60</v>
      </c>
    </row>
    <row r="223" spans="1:42" hidden="1">
      <c r="A223" t="s">
        <v>652</v>
      </c>
      <c r="B223" t="s">
        <v>44</v>
      </c>
      <c r="C223" t="s">
        <v>961</v>
      </c>
      <c r="D223" t="s">
        <v>596</v>
      </c>
      <c r="F223" t="s">
        <v>354</v>
      </c>
      <c r="H223" t="s">
        <v>165</v>
      </c>
      <c r="I223" t="s">
        <v>97</v>
      </c>
      <c r="K223" t="s">
        <v>114</v>
      </c>
      <c r="L223" t="s">
        <v>115</v>
      </c>
      <c r="O223" t="s">
        <v>123</v>
      </c>
      <c r="AB223" t="s">
        <v>962</v>
      </c>
      <c r="AD223"/>
      <c r="AF223" t="s">
        <v>54</v>
      </c>
      <c r="AG223" t="s">
        <v>596</v>
      </c>
      <c r="AH223" t="s">
        <v>55</v>
      </c>
      <c r="AI223" t="s">
        <v>963</v>
      </c>
      <c r="AJ223" t="s">
        <v>964</v>
      </c>
      <c r="AK223" s="1">
        <v>21300</v>
      </c>
      <c r="AL223" t="s">
        <v>903</v>
      </c>
      <c r="AM223" t="s">
        <v>89</v>
      </c>
      <c r="AP223" t="s">
        <v>60</v>
      </c>
    </row>
    <row r="224" spans="1:42" hidden="1">
      <c r="A224" t="s">
        <v>697</v>
      </c>
      <c r="B224" t="s">
        <v>44</v>
      </c>
      <c r="C224" t="s">
        <v>965</v>
      </c>
      <c r="D224" t="s">
        <v>400</v>
      </c>
      <c r="F224" t="s">
        <v>81</v>
      </c>
      <c r="H224" t="s">
        <v>966</v>
      </c>
      <c r="I224" t="s">
        <v>83</v>
      </c>
      <c r="K224" t="s">
        <v>114</v>
      </c>
      <c r="L224" t="s">
        <v>115</v>
      </c>
      <c r="O224" t="s">
        <v>205</v>
      </c>
      <c r="AB224" t="s">
        <v>967</v>
      </c>
      <c r="AD224"/>
      <c r="AF224" t="s">
        <v>54</v>
      </c>
      <c r="AG224" t="s">
        <v>400</v>
      </c>
      <c r="AH224" t="s">
        <v>55</v>
      </c>
      <c r="AI224" t="s">
        <v>968</v>
      </c>
      <c r="AJ224" t="s">
        <v>969</v>
      </c>
      <c r="AK224" s="1">
        <v>16619.7</v>
      </c>
      <c r="AL224" t="s">
        <v>652</v>
      </c>
      <c r="AM224" t="s">
        <v>970</v>
      </c>
      <c r="AP224" t="s">
        <v>60</v>
      </c>
    </row>
    <row r="225" spans="1:42" hidden="1">
      <c r="A225" t="s">
        <v>697</v>
      </c>
      <c r="B225" t="s">
        <v>44</v>
      </c>
      <c r="C225" t="s">
        <v>971</v>
      </c>
      <c r="D225" t="s">
        <v>400</v>
      </c>
      <c r="F225" t="s">
        <v>81</v>
      </c>
      <c r="H225" t="s">
        <v>966</v>
      </c>
      <c r="I225" t="s">
        <v>83</v>
      </c>
      <c r="K225" t="s">
        <v>114</v>
      </c>
      <c r="L225" t="s">
        <v>115</v>
      </c>
      <c r="O225" t="s">
        <v>205</v>
      </c>
      <c r="AB225" t="s">
        <v>967</v>
      </c>
      <c r="AD225"/>
      <c r="AF225" t="s">
        <v>54</v>
      </c>
      <c r="AG225" t="s">
        <v>400</v>
      </c>
      <c r="AH225" t="s">
        <v>55</v>
      </c>
      <c r="AI225" t="s">
        <v>968</v>
      </c>
      <c r="AJ225" t="s">
        <v>969</v>
      </c>
      <c r="AK225" s="1">
        <v>12045.6</v>
      </c>
      <c r="AL225" t="s">
        <v>652</v>
      </c>
      <c r="AM225" t="s">
        <v>972</v>
      </c>
      <c r="AP225" t="s">
        <v>60</v>
      </c>
    </row>
    <row r="226" spans="1:42" hidden="1">
      <c r="A226" t="s">
        <v>697</v>
      </c>
      <c r="B226" t="s">
        <v>44</v>
      </c>
      <c r="C226" t="s">
        <v>973</v>
      </c>
      <c r="D226" t="s">
        <v>400</v>
      </c>
      <c r="F226" t="s">
        <v>81</v>
      </c>
      <c r="H226" t="s">
        <v>966</v>
      </c>
      <c r="I226" t="s">
        <v>83</v>
      </c>
      <c r="K226" t="s">
        <v>114</v>
      </c>
      <c r="L226" t="s">
        <v>115</v>
      </c>
      <c r="O226" t="s">
        <v>205</v>
      </c>
      <c r="AB226" t="s">
        <v>967</v>
      </c>
      <c r="AD226"/>
      <c r="AF226" t="s">
        <v>54</v>
      </c>
      <c r="AG226" t="s">
        <v>400</v>
      </c>
      <c r="AH226" t="s">
        <v>55</v>
      </c>
      <c r="AI226" t="s">
        <v>968</v>
      </c>
      <c r="AJ226" t="s">
        <v>969</v>
      </c>
      <c r="AK226" s="1">
        <v>1634.7</v>
      </c>
      <c r="AL226" t="s">
        <v>652</v>
      </c>
      <c r="AM226" t="s">
        <v>974</v>
      </c>
      <c r="AP226" t="s">
        <v>60</v>
      </c>
    </row>
    <row r="227" spans="1:42" hidden="1">
      <c r="A227" t="s">
        <v>652</v>
      </c>
      <c r="B227" t="s">
        <v>44</v>
      </c>
      <c r="C227" t="s">
        <v>975</v>
      </c>
      <c r="D227" t="s">
        <v>46</v>
      </c>
      <c r="F227" t="s">
        <v>976</v>
      </c>
      <c r="H227" t="s">
        <v>122</v>
      </c>
      <c r="I227" t="s">
        <v>49</v>
      </c>
      <c r="J227" t="s">
        <v>49</v>
      </c>
      <c r="K227" t="s">
        <v>50</v>
      </c>
      <c r="M227" t="s">
        <v>977</v>
      </c>
      <c r="U227" t="s">
        <v>978</v>
      </c>
      <c r="AB227" t="s">
        <v>979</v>
      </c>
      <c r="AC227" t="s">
        <v>980</v>
      </c>
      <c r="AD227"/>
      <c r="AF227" t="s">
        <v>54</v>
      </c>
      <c r="AG227" t="s">
        <v>46</v>
      </c>
      <c r="AH227" t="s">
        <v>100</v>
      </c>
      <c r="AI227" t="s">
        <v>981</v>
      </c>
      <c r="AJ227" t="s">
        <v>982</v>
      </c>
      <c r="AK227" s="1">
        <v>9100</v>
      </c>
      <c r="AL227" t="s">
        <v>652</v>
      </c>
      <c r="AM227" t="s">
        <v>280</v>
      </c>
      <c r="AP227" t="s">
        <v>60</v>
      </c>
    </row>
    <row r="228" spans="1:42" hidden="1">
      <c r="A228" t="s">
        <v>652</v>
      </c>
      <c r="B228" t="s">
        <v>44</v>
      </c>
      <c r="C228" t="s">
        <v>983</v>
      </c>
      <c r="D228" t="s">
        <v>46</v>
      </c>
      <c r="F228" t="s">
        <v>976</v>
      </c>
      <c r="H228" t="s">
        <v>122</v>
      </c>
      <c r="I228" t="s">
        <v>49</v>
      </c>
      <c r="J228" t="s">
        <v>49</v>
      </c>
      <c r="K228" t="s">
        <v>50</v>
      </c>
      <c r="M228" t="s">
        <v>977</v>
      </c>
      <c r="U228" t="s">
        <v>978</v>
      </c>
      <c r="AB228" t="s">
        <v>979</v>
      </c>
      <c r="AC228" t="s">
        <v>984</v>
      </c>
      <c r="AD228"/>
      <c r="AF228" t="s">
        <v>54</v>
      </c>
      <c r="AG228" t="s">
        <v>46</v>
      </c>
      <c r="AH228" t="s">
        <v>100</v>
      </c>
      <c r="AI228" t="s">
        <v>981</v>
      </c>
      <c r="AJ228" t="s">
        <v>982</v>
      </c>
      <c r="AK228" s="1">
        <v>4960</v>
      </c>
      <c r="AL228" t="s">
        <v>652</v>
      </c>
      <c r="AM228" t="s">
        <v>280</v>
      </c>
      <c r="AP228" t="s">
        <v>60</v>
      </c>
    </row>
    <row r="229" spans="1:42" hidden="1">
      <c r="A229" t="s">
        <v>652</v>
      </c>
      <c r="B229" t="s">
        <v>44</v>
      </c>
      <c r="C229" t="s">
        <v>985</v>
      </c>
      <c r="D229" t="s">
        <v>46</v>
      </c>
      <c r="F229" t="s">
        <v>976</v>
      </c>
      <c r="H229" t="s">
        <v>122</v>
      </c>
      <c r="I229" t="s">
        <v>49</v>
      </c>
      <c r="J229" t="s">
        <v>49</v>
      </c>
      <c r="K229" t="s">
        <v>50</v>
      </c>
      <c r="M229" t="s">
        <v>977</v>
      </c>
      <c r="U229" t="s">
        <v>978</v>
      </c>
      <c r="AB229" t="s">
        <v>979</v>
      </c>
      <c r="AC229" t="s">
        <v>986</v>
      </c>
      <c r="AD229"/>
      <c r="AF229" t="s">
        <v>54</v>
      </c>
      <c r="AG229" t="s">
        <v>46</v>
      </c>
      <c r="AH229" t="s">
        <v>100</v>
      </c>
      <c r="AI229" t="s">
        <v>981</v>
      </c>
      <c r="AJ229" t="s">
        <v>982</v>
      </c>
      <c r="AK229" s="1">
        <v>4030</v>
      </c>
      <c r="AL229" t="s">
        <v>652</v>
      </c>
      <c r="AM229" t="s">
        <v>280</v>
      </c>
      <c r="AP229" t="s">
        <v>60</v>
      </c>
    </row>
    <row r="230" spans="1:42" hidden="1">
      <c r="A230" t="s">
        <v>652</v>
      </c>
      <c r="B230" t="s">
        <v>44</v>
      </c>
      <c r="C230" t="s">
        <v>987</v>
      </c>
      <c r="D230" t="s">
        <v>395</v>
      </c>
      <c r="F230" t="s">
        <v>976</v>
      </c>
      <c r="H230" t="s">
        <v>113</v>
      </c>
      <c r="I230" t="s">
        <v>97</v>
      </c>
      <c r="K230" t="s">
        <v>50</v>
      </c>
      <c r="M230" t="s">
        <v>190</v>
      </c>
      <c r="Y230" t="s">
        <v>241</v>
      </c>
      <c r="AB230" t="s">
        <v>544</v>
      </c>
      <c r="AD230"/>
      <c r="AF230" t="s">
        <v>54</v>
      </c>
      <c r="AG230" t="s">
        <v>395</v>
      </c>
      <c r="AH230" t="s">
        <v>55</v>
      </c>
      <c r="AI230" t="s">
        <v>988</v>
      </c>
      <c r="AJ230" t="s">
        <v>989</v>
      </c>
      <c r="AK230" s="1">
        <v>1174.5</v>
      </c>
      <c r="AL230" t="s">
        <v>990</v>
      </c>
      <c r="AM230" t="s">
        <v>991</v>
      </c>
      <c r="AP230" t="s">
        <v>60</v>
      </c>
    </row>
    <row r="231" spans="1:42" hidden="1">
      <c r="A231" t="s">
        <v>652</v>
      </c>
      <c r="B231" t="s">
        <v>44</v>
      </c>
      <c r="C231" t="s">
        <v>992</v>
      </c>
      <c r="D231" t="s">
        <v>395</v>
      </c>
      <c r="F231" t="s">
        <v>976</v>
      </c>
      <c r="H231" t="s">
        <v>113</v>
      </c>
      <c r="I231" t="s">
        <v>97</v>
      </c>
      <c r="K231" t="s">
        <v>50</v>
      </c>
      <c r="M231" t="s">
        <v>190</v>
      </c>
      <c r="Y231" t="s">
        <v>241</v>
      </c>
      <c r="AB231" t="s">
        <v>544</v>
      </c>
      <c r="AD231"/>
      <c r="AF231" t="s">
        <v>54</v>
      </c>
      <c r="AG231" t="s">
        <v>395</v>
      </c>
      <c r="AH231" t="s">
        <v>55</v>
      </c>
      <c r="AI231" t="s">
        <v>988</v>
      </c>
      <c r="AJ231" t="s">
        <v>989</v>
      </c>
      <c r="AK231" s="1">
        <v>1208.9000000000001</v>
      </c>
      <c r="AL231" t="s">
        <v>990</v>
      </c>
      <c r="AM231" t="s">
        <v>991</v>
      </c>
      <c r="AP231" t="s">
        <v>60</v>
      </c>
    </row>
    <row r="232" spans="1:42" hidden="1">
      <c r="A232" t="s">
        <v>652</v>
      </c>
      <c r="B232" t="s">
        <v>44</v>
      </c>
      <c r="C232" t="s">
        <v>993</v>
      </c>
      <c r="D232" t="s">
        <v>284</v>
      </c>
      <c r="F232" t="s">
        <v>284</v>
      </c>
      <c r="H232" t="s">
        <v>165</v>
      </c>
      <c r="I232" t="s">
        <v>182</v>
      </c>
      <c r="J232" t="s">
        <v>182</v>
      </c>
      <c r="K232" t="s">
        <v>114</v>
      </c>
      <c r="L232" t="s">
        <v>197</v>
      </c>
      <c r="P232" t="s">
        <v>241</v>
      </c>
      <c r="AB232" t="s">
        <v>994</v>
      </c>
      <c r="AC232" t="s">
        <v>995</v>
      </c>
      <c r="AD232"/>
      <c r="AF232" t="s">
        <v>54</v>
      </c>
      <c r="AG232" t="s">
        <v>284</v>
      </c>
      <c r="AH232" t="s">
        <v>100</v>
      </c>
      <c r="AI232" t="s">
        <v>500</v>
      </c>
      <c r="AJ232" t="s">
        <v>501</v>
      </c>
      <c r="AK232" s="1">
        <v>8000</v>
      </c>
      <c r="AL232" t="s">
        <v>652</v>
      </c>
      <c r="AM232" t="s">
        <v>996</v>
      </c>
      <c r="AP232" t="s">
        <v>60</v>
      </c>
    </row>
    <row r="233" spans="1:42" hidden="1">
      <c r="A233" t="s">
        <v>652</v>
      </c>
      <c r="B233" t="s">
        <v>44</v>
      </c>
      <c r="C233" t="s">
        <v>997</v>
      </c>
      <c r="D233" t="s">
        <v>395</v>
      </c>
      <c r="F233" t="s">
        <v>976</v>
      </c>
      <c r="H233" t="s">
        <v>113</v>
      </c>
      <c r="I233" t="s">
        <v>97</v>
      </c>
      <c r="K233" t="s">
        <v>114</v>
      </c>
      <c r="L233" t="s">
        <v>197</v>
      </c>
      <c r="P233" t="s">
        <v>516</v>
      </c>
      <c r="AB233" t="s">
        <v>544</v>
      </c>
      <c r="AD233"/>
      <c r="AF233" t="s">
        <v>54</v>
      </c>
      <c r="AG233" t="s">
        <v>395</v>
      </c>
      <c r="AH233" t="s">
        <v>55</v>
      </c>
      <c r="AI233" t="s">
        <v>988</v>
      </c>
      <c r="AJ233" t="s">
        <v>989</v>
      </c>
      <c r="AK233" s="1">
        <v>21200</v>
      </c>
      <c r="AL233" t="s">
        <v>797</v>
      </c>
      <c r="AM233" t="s">
        <v>998</v>
      </c>
      <c r="AP233" t="s">
        <v>60</v>
      </c>
    </row>
    <row r="234" spans="1:42">
      <c r="A234" t="s">
        <v>652</v>
      </c>
      <c r="B234" t="s">
        <v>44</v>
      </c>
      <c r="C234" t="s">
        <v>999</v>
      </c>
      <c r="D234" t="s">
        <v>328</v>
      </c>
      <c r="E234" t="s">
        <v>60</v>
      </c>
      <c r="F234" s="2" t="s">
        <v>227</v>
      </c>
      <c r="H234" t="s">
        <v>95</v>
      </c>
      <c r="I234" t="s">
        <v>96</v>
      </c>
      <c r="K234" t="s">
        <v>50</v>
      </c>
      <c r="M234" t="s">
        <v>51</v>
      </c>
      <c r="Z234" t="s">
        <v>73</v>
      </c>
      <c r="AB234" t="s">
        <v>1000</v>
      </c>
      <c r="AD234"/>
      <c r="AF234" t="s">
        <v>54</v>
      </c>
      <c r="AG234" t="s">
        <v>328</v>
      </c>
      <c r="AH234" t="s">
        <v>55</v>
      </c>
      <c r="AI234" t="s">
        <v>1001</v>
      </c>
      <c r="AJ234" t="s">
        <v>1002</v>
      </c>
      <c r="AK234" s="1">
        <v>500</v>
      </c>
      <c r="AL234" t="s">
        <v>903</v>
      </c>
      <c r="AM234" t="s">
        <v>1003</v>
      </c>
      <c r="AP234" t="s">
        <v>60</v>
      </c>
    </row>
    <row r="235" spans="1:42" hidden="1">
      <c r="A235" t="s">
        <v>652</v>
      </c>
      <c r="B235" t="s">
        <v>210</v>
      </c>
      <c r="D235" t="s">
        <v>395</v>
      </c>
      <c r="F235" t="s">
        <v>329</v>
      </c>
      <c r="H235" t="s">
        <v>330</v>
      </c>
      <c r="I235" t="s">
        <v>97</v>
      </c>
      <c r="AD235" s="1">
        <v>9739.7999999999993</v>
      </c>
      <c r="AE235" t="s">
        <v>1004</v>
      </c>
      <c r="AF235" t="s">
        <v>54</v>
      </c>
      <c r="AG235" t="s">
        <v>395</v>
      </c>
      <c r="AI235" t="s">
        <v>1005</v>
      </c>
      <c r="AJ235" t="s">
        <v>1006</v>
      </c>
      <c r="AK235" s="2"/>
      <c r="AL235" t="s">
        <v>652</v>
      </c>
      <c r="AM235" t="s">
        <v>224</v>
      </c>
      <c r="AP235" t="s">
        <v>60</v>
      </c>
    </row>
    <row r="236" spans="1:42" hidden="1">
      <c r="A236" t="s">
        <v>652</v>
      </c>
      <c r="B236" t="s">
        <v>44</v>
      </c>
      <c r="C236" t="s">
        <v>1007</v>
      </c>
      <c r="D236" t="s">
        <v>282</v>
      </c>
      <c r="F236" t="s">
        <v>282</v>
      </c>
      <c r="H236" t="s">
        <v>234</v>
      </c>
      <c r="I236" t="s">
        <v>182</v>
      </c>
      <c r="K236" t="s">
        <v>50</v>
      </c>
      <c r="M236" t="s">
        <v>190</v>
      </c>
      <c r="Y236" t="s">
        <v>241</v>
      </c>
      <c r="AB236" t="s">
        <v>1008</v>
      </c>
      <c r="AD236"/>
      <c r="AF236" t="s">
        <v>54</v>
      </c>
      <c r="AG236" t="s">
        <v>282</v>
      </c>
      <c r="AH236" t="s">
        <v>55</v>
      </c>
      <c r="AI236" t="s">
        <v>1009</v>
      </c>
      <c r="AJ236" t="s">
        <v>1010</v>
      </c>
      <c r="AK236" s="1">
        <v>24540</v>
      </c>
      <c r="AL236" t="s">
        <v>652</v>
      </c>
      <c r="AM236" t="s">
        <v>120</v>
      </c>
      <c r="AP236" t="s">
        <v>60</v>
      </c>
    </row>
    <row r="237" spans="1:42" hidden="1">
      <c r="A237" t="s">
        <v>652</v>
      </c>
      <c r="B237" t="s">
        <v>210</v>
      </c>
      <c r="D237" t="s">
        <v>112</v>
      </c>
      <c r="F237" t="s">
        <v>112</v>
      </c>
      <c r="H237" t="s">
        <v>113</v>
      </c>
      <c r="I237" t="s">
        <v>49</v>
      </c>
      <c r="AD237" s="1">
        <v>9497.7999999999993</v>
      </c>
      <c r="AE237" t="s">
        <v>1011</v>
      </c>
      <c r="AF237" t="s">
        <v>54</v>
      </c>
      <c r="AG237" t="s">
        <v>112</v>
      </c>
      <c r="AI237" t="s">
        <v>1012</v>
      </c>
      <c r="AJ237" t="s">
        <v>1013</v>
      </c>
      <c r="AK237" s="2"/>
      <c r="AL237" t="s">
        <v>652</v>
      </c>
      <c r="AM237" t="s">
        <v>224</v>
      </c>
      <c r="AP237" t="s">
        <v>60</v>
      </c>
    </row>
    <row r="238" spans="1:42" hidden="1">
      <c r="A238" t="s">
        <v>652</v>
      </c>
      <c r="B238" t="s">
        <v>44</v>
      </c>
      <c r="C238" t="s">
        <v>1014</v>
      </c>
      <c r="D238" t="s">
        <v>1015</v>
      </c>
      <c r="F238" t="s">
        <v>249</v>
      </c>
      <c r="H238" t="s">
        <v>948</v>
      </c>
      <c r="I238" t="s">
        <v>72</v>
      </c>
      <c r="K238" t="s">
        <v>50</v>
      </c>
      <c r="M238" t="s">
        <v>51</v>
      </c>
      <c r="Z238" t="s">
        <v>84</v>
      </c>
      <c r="AB238" t="s">
        <v>1016</v>
      </c>
      <c r="AD238"/>
      <c r="AF238" t="s">
        <v>54</v>
      </c>
      <c r="AG238" t="s">
        <v>1015</v>
      </c>
      <c r="AH238" t="s">
        <v>55</v>
      </c>
      <c r="AI238" t="s">
        <v>1017</v>
      </c>
      <c r="AJ238" t="s">
        <v>1018</v>
      </c>
      <c r="AK238" s="1">
        <v>4450</v>
      </c>
      <c r="AM238" t="s">
        <v>714</v>
      </c>
      <c r="AP238" t="s">
        <v>134</v>
      </c>
    </row>
    <row r="239" spans="1:42" hidden="1">
      <c r="A239" t="s">
        <v>652</v>
      </c>
      <c r="B239" t="s">
        <v>44</v>
      </c>
      <c r="C239" t="s">
        <v>1019</v>
      </c>
      <c r="D239" t="s">
        <v>466</v>
      </c>
      <c r="F239" t="s">
        <v>570</v>
      </c>
      <c r="H239" t="s">
        <v>330</v>
      </c>
      <c r="I239" t="s">
        <v>49</v>
      </c>
      <c r="J239" t="s">
        <v>49</v>
      </c>
      <c r="K239" t="s">
        <v>50</v>
      </c>
      <c r="M239" t="s">
        <v>628</v>
      </c>
      <c r="X239" t="s">
        <v>257</v>
      </c>
      <c r="AB239" t="s">
        <v>1020</v>
      </c>
      <c r="AC239" t="s">
        <v>810</v>
      </c>
      <c r="AD239"/>
      <c r="AF239" t="s">
        <v>54</v>
      </c>
      <c r="AG239" t="s">
        <v>466</v>
      </c>
      <c r="AH239" t="s">
        <v>100</v>
      </c>
      <c r="AI239" t="s">
        <v>1021</v>
      </c>
      <c r="AJ239" t="s">
        <v>1022</v>
      </c>
      <c r="AK239" s="1">
        <v>29549</v>
      </c>
      <c r="AL239" t="s">
        <v>960</v>
      </c>
      <c r="AM239" t="s">
        <v>280</v>
      </c>
      <c r="AP239" t="s">
        <v>60</v>
      </c>
    </row>
    <row r="240" spans="1:42" hidden="1">
      <c r="A240" t="s">
        <v>652</v>
      </c>
      <c r="B240" t="s">
        <v>44</v>
      </c>
      <c r="C240" t="s">
        <v>1023</v>
      </c>
      <c r="D240" t="s">
        <v>466</v>
      </c>
      <c r="F240" t="s">
        <v>570</v>
      </c>
      <c r="H240" t="s">
        <v>330</v>
      </c>
      <c r="I240" t="s">
        <v>49</v>
      </c>
      <c r="J240" t="s">
        <v>49</v>
      </c>
      <c r="K240" t="s">
        <v>50</v>
      </c>
      <c r="M240" t="s">
        <v>628</v>
      </c>
      <c r="X240" t="s">
        <v>257</v>
      </c>
      <c r="AB240" t="s">
        <v>1020</v>
      </c>
      <c r="AC240" t="s">
        <v>810</v>
      </c>
      <c r="AD240"/>
      <c r="AF240" t="s">
        <v>54</v>
      </c>
      <c r="AG240" t="s">
        <v>466</v>
      </c>
      <c r="AH240" t="s">
        <v>100</v>
      </c>
      <c r="AI240" t="s">
        <v>1021</v>
      </c>
      <c r="AJ240" t="s">
        <v>1022</v>
      </c>
      <c r="AK240" s="1">
        <v>7671.5</v>
      </c>
      <c r="AL240" t="s">
        <v>960</v>
      </c>
      <c r="AM240" t="s">
        <v>280</v>
      </c>
      <c r="AP240" t="s">
        <v>60</v>
      </c>
    </row>
    <row r="241" spans="1:42" hidden="1">
      <c r="A241" t="s">
        <v>652</v>
      </c>
      <c r="B241" t="s">
        <v>44</v>
      </c>
      <c r="C241" t="s">
        <v>1024</v>
      </c>
      <c r="D241" t="s">
        <v>466</v>
      </c>
      <c r="F241" t="s">
        <v>570</v>
      </c>
      <c r="H241" t="s">
        <v>330</v>
      </c>
      <c r="I241" t="s">
        <v>49</v>
      </c>
      <c r="J241" t="s">
        <v>49</v>
      </c>
      <c r="K241" t="s">
        <v>50</v>
      </c>
      <c r="M241" t="s">
        <v>628</v>
      </c>
      <c r="X241" t="s">
        <v>257</v>
      </c>
      <c r="AB241" t="s">
        <v>1020</v>
      </c>
      <c r="AC241" t="s">
        <v>810</v>
      </c>
      <c r="AD241"/>
      <c r="AF241" t="s">
        <v>54</v>
      </c>
      <c r="AG241" t="s">
        <v>466</v>
      </c>
      <c r="AH241" t="s">
        <v>100</v>
      </c>
      <c r="AI241" t="s">
        <v>1021</v>
      </c>
      <c r="AJ241" t="s">
        <v>1022</v>
      </c>
      <c r="AK241" s="1">
        <v>11319.5</v>
      </c>
      <c r="AL241" t="s">
        <v>960</v>
      </c>
      <c r="AM241" t="s">
        <v>280</v>
      </c>
      <c r="AP241" t="s">
        <v>60</v>
      </c>
    </row>
    <row r="242" spans="1:42" hidden="1">
      <c r="A242" t="s">
        <v>652</v>
      </c>
      <c r="B242" t="s">
        <v>44</v>
      </c>
      <c r="C242" t="s">
        <v>1025</v>
      </c>
      <c r="D242" t="s">
        <v>466</v>
      </c>
      <c r="F242" t="s">
        <v>570</v>
      </c>
      <c r="H242" t="s">
        <v>330</v>
      </c>
      <c r="I242" t="s">
        <v>49</v>
      </c>
      <c r="J242" t="s">
        <v>49</v>
      </c>
      <c r="K242" t="s">
        <v>50</v>
      </c>
      <c r="M242" t="s">
        <v>628</v>
      </c>
      <c r="X242" t="s">
        <v>257</v>
      </c>
      <c r="AB242" t="s">
        <v>1020</v>
      </c>
      <c r="AC242" t="s">
        <v>810</v>
      </c>
      <c r="AD242"/>
      <c r="AF242" t="s">
        <v>54</v>
      </c>
      <c r="AG242" t="s">
        <v>466</v>
      </c>
      <c r="AH242" t="s">
        <v>100</v>
      </c>
      <c r="AI242" t="s">
        <v>1021</v>
      </c>
      <c r="AJ242" t="s">
        <v>1022</v>
      </c>
      <c r="AK242" s="1">
        <v>41760</v>
      </c>
      <c r="AL242" t="s">
        <v>960</v>
      </c>
      <c r="AM242" t="s">
        <v>280</v>
      </c>
      <c r="AP242" t="s">
        <v>60</v>
      </c>
    </row>
    <row r="243" spans="1:42">
      <c r="A243" t="s">
        <v>960</v>
      </c>
      <c r="B243" t="s">
        <v>210</v>
      </c>
      <c r="D243" t="s">
        <v>163</v>
      </c>
      <c r="F243" s="2" t="s">
        <v>227</v>
      </c>
      <c r="H243" t="s">
        <v>153</v>
      </c>
      <c r="I243" t="s">
        <v>97</v>
      </c>
      <c r="AD243" s="1">
        <v>9849.7000000000007</v>
      </c>
      <c r="AE243" t="s">
        <v>1026</v>
      </c>
      <c r="AF243" t="s">
        <v>54</v>
      </c>
      <c r="AG243" t="s">
        <v>163</v>
      </c>
      <c r="AI243" t="s">
        <v>1027</v>
      </c>
      <c r="AJ243" t="s">
        <v>1028</v>
      </c>
      <c r="AK243" s="2"/>
      <c r="AL243" t="s">
        <v>960</v>
      </c>
      <c r="AM243" t="s">
        <v>224</v>
      </c>
      <c r="AP243" t="s">
        <v>60</v>
      </c>
    </row>
    <row r="244" spans="1:42" hidden="1">
      <c r="A244" t="s">
        <v>960</v>
      </c>
      <c r="B244" t="s">
        <v>210</v>
      </c>
      <c r="D244" t="s">
        <v>163</v>
      </c>
      <c r="F244" t="s">
        <v>249</v>
      </c>
      <c r="H244" t="s">
        <v>153</v>
      </c>
      <c r="I244" t="s">
        <v>97</v>
      </c>
      <c r="AD244" s="1">
        <v>9349.7000000000007</v>
      </c>
      <c r="AE244" t="s">
        <v>1026</v>
      </c>
      <c r="AF244" t="s">
        <v>54</v>
      </c>
      <c r="AG244" t="s">
        <v>163</v>
      </c>
      <c r="AI244" t="s">
        <v>1029</v>
      </c>
      <c r="AJ244" t="s">
        <v>1030</v>
      </c>
      <c r="AK244" s="2"/>
      <c r="AL244" t="s">
        <v>960</v>
      </c>
      <c r="AM244" t="s">
        <v>224</v>
      </c>
      <c r="AP244" t="s">
        <v>60</v>
      </c>
    </row>
    <row r="245" spans="1:42" hidden="1">
      <c r="A245" t="s">
        <v>960</v>
      </c>
      <c r="B245" t="s">
        <v>210</v>
      </c>
      <c r="D245" t="s">
        <v>46</v>
      </c>
      <c r="F245" t="s">
        <v>46</v>
      </c>
      <c r="H245" t="s">
        <v>71</v>
      </c>
      <c r="I245" t="s">
        <v>49</v>
      </c>
      <c r="AD245" s="1">
        <v>0</v>
      </c>
      <c r="AE245" t="s">
        <v>1031</v>
      </c>
      <c r="AF245" t="s">
        <v>54</v>
      </c>
      <c r="AG245" t="s">
        <v>46</v>
      </c>
      <c r="AI245" t="s">
        <v>1032</v>
      </c>
      <c r="AJ245" t="s">
        <v>1033</v>
      </c>
      <c r="AK245" s="2"/>
      <c r="AL245" t="s">
        <v>960</v>
      </c>
      <c r="AM245" t="s">
        <v>224</v>
      </c>
      <c r="AP245" t="s">
        <v>60</v>
      </c>
    </row>
    <row r="246" spans="1:42" hidden="1">
      <c r="A246" t="s">
        <v>960</v>
      </c>
      <c r="B246" t="s">
        <v>210</v>
      </c>
      <c r="D246" t="s">
        <v>151</v>
      </c>
      <c r="F246" t="s">
        <v>112</v>
      </c>
      <c r="H246" t="s">
        <v>113</v>
      </c>
      <c r="I246" t="s">
        <v>97</v>
      </c>
      <c r="AD246" s="1">
        <v>9849.7000000000007</v>
      </c>
      <c r="AE246" t="s">
        <v>1034</v>
      </c>
      <c r="AF246" t="s">
        <v>54</v>
      </c>
      <c r="AG246" t="s">
        <v>151</v>
      </c>
      <c r="AI246" t="s">
        <v>1035</v>
      </c>
      <c r="AJ246" t="s">
        <v>1036</v>
      </c>
      <c r="AK246" s="2"/>
      <c r="AL246" t="s">
        <v>960</v>
      </c>
      <c r="AM246" t="s">
        <v>224</v>
      </c>
      <c r="AP246" t="s">
        <v>60</v>
      </c>
    </row>
    <row r="247" spans="1:42" hidden="1">
      <c r="A247" t="s">
        <v>960</v>
      </c>
      <c r="B247" t="s">
        <v>210</v>
      </c>
      <c r="D247" t="s">
        <v>529</v>
      </c>
      <c r="F247" t="s">
        <v>249</v>
      </c>
      <c r="H247" t="s">
        <v>240</v>
      </c>
      <c r="I247" t="s">
        <v>97</v>
      </c>
      <c r="AD247" s="1">
        <v>9333</v>
      </c>
      <c r="AE247" t="s">
        <v>1037</v>
      </c>
      <c r="AF247" t="s">
        <v>54</v>
      </c>
      <c r="AG247" t="s">
        <v>529</v>
      </c>
      <c r="AI247" t="s">
        <v>1038</v>
      </c>
      <c r="AJ247" t="s">
        <v>1039</v>
      </c>
      <c r="AK247" s="2"/>
      <c r="AL247" t="s">
        <v>960</v>
      </c>
      <c r="AM247" t="s">
        <v>224</v>
      </c>
      <c r="AP247" t="s">
        <v>60</v>
      </c>
    </row>
    <row r="248" spans="1:42">
      <c r="A248" t="s">
        <v>960</v>
      </c>
      <c r="B248" t="s">
        <v>44</v>
      </c>
      <c r="C248" t="s">
        <v>1040</v>
      </c>
      <c r="D248" t="s">
        <v>248</v>
      </c>
      <c r="F248" s="2" t="s">
        <v>227</v>
      </c>
      <c r="H248" t="s">
        <v>122</v>
      </c>
      <c r="I248" t="s">
        <v>97</v>
      </c>
      <c r="J248" t="s">
        <v>97</v>
      </c>
      <c r="K248" t="s">
        <v>50</v>
      </c>
      <c r="M248" t="s">
        <v>628</v>
      </c>
      <c r="X248" t="s">
        <v>257</v>
      </c>
      <c r="AB248" t="s">
        <v>1041</v>
      </c>
      <c r="AC248" t="s">
        <v>883</v>
      </c>
      <c r="AD248"/>
      <c r="AF248" t="s">
        <v>54</v>
      </c>
      <c r="AG248" t="s">
        <v>248</v>
      </c>
      <c r="AH248" t="s">
        <v>100</v>
      </c>
      <c r="AI248" t="s">
        <v>1042</v>
      </c>
      <c r="AJ248" t="s">
        <v>1043</v>
      </c>
      <c r="AK248" s="1">
        <v>8873</v>
      </c>
      <c r="AL248" t="s">
        <v>797</v>
      </c>
      <c r="AM248" t="s">
        <v>280</v>
      </c>
      <c r="AP248" t="s">
        <v>60</v>
      </c>
    </row>
    <row r="249" spans="1:42" hidden="1">
      <c r="A249" t="s">
        <v>960</v>
      </c>
      <c r="B249" t="s">
        <v>44</v>
      </c>
      <c r="C249" t="s">
        <v>1044</v>
      </c>
      <c r="D249" t="s">
        <v>172</v>
      </c>
      <c r="F249" t="s">
        <v>112</v>
      </c>
      <c r="H249" t="s">
        <v>122</v>
      </c>
      <c r="I249" t="s">
        <v>97</v>
      </c>
      <c r="K249" t="s">
        <v>50</v>
      </c>
      <c r="M249" t="s">
        <v>51</v>
      </c>
      <c r="Z249" t="s">
        <v>73</v>
      </c>
      <c r="AB249" t="s">
        <v>1045</v>
      </c>
      <c r="AD249"/>
      <c r="AF249" t="s">
        <v>54</v>
      </c>
      <c r="AG249" t="s">
        <v>172</v>
      </c>
      <c r="AH249" t="s">
        <v>55</v>
      </c>
      <c r="AI249" t="s">
        <v>826</v>
      </c>
      <c r="AJ249" t="s">
        <v>827</v>
      </c>
      <c r="AK249" s="1">
        <v>8747</v>
      </c>
      <c r="AL249" t="s">
        <v>903</v>
      </c>
      <c r="AM249" t="s">
        <v>1046</v>
      </c>
    </row>
    <row r="250" spans="1:42" hidden="1">
      <c r="A250" t="s">
        <v>960</v>
      </c>
      <c r="B250" t="s">
        <v>44</v>
      </c>
      <c r="C250" t="s">
        <v>1047</v>
      </c>
      <c r="D250" t="s">
        <v>305</v>
      </c>
      <c r="F250" t="s">
        <v>732</v>
      </c>
      <c r="H250" t="s">
        <v>250</v>
      </c>
      <c r="I250" t="s">
        <v>49</v>
      </c>
      <c r="J250" t="s">
        <v>49</v>
      </c>
      <c r="K250" t="s">
        <v>114</v>
      </c>
      <c r="L250" t="s">
        <v>197</v>
      </c>
      <c r="P250" t="s">
        <v>191</v>
      </c>
      <c r="AB250" t="s">
        <v>1048</v>
      </c>
      <c r="AC250" t="s">
        <v>130</v>
      </c>
      <c r="AD250"/>
      <c r="AF250" t="s">
        <v>54</v>
      </c>
      <c r="AG250" t="s">
        <v>305</v>
      </c>
      <c r="AH250" t="s">
        <v>100</v>
      </c>
      <c r="AI250" t="s">
        <v>958</v>
      </c>
      <c r="AJ250" t="s">
        <v>959</v>
      </c>
      <c r="AK250" s="1">
        <v>14500</v>
      </c>
      <c r="AL250" t="s">
        <v>928</v>
      </c>
      <c r="AM250" t="s">
        <v>103</v>
      </c>
      <c r="AP250" t="s">
        <v>60</v>
      </c>
    </row>
    <row r="251" spans="1:42" hidden="1">
      <c r="A251" t="s">
        <v>960</v>
      </c>
      <c r="B251" t="s">
        <v>44</v>
      </c>
      <c r="C251" t="s">
        <v>1049</v>
      </c>
      <c r="D251" t="s">
        <v>328</v>
      </c>
      <c r="F251" t="s">
        <v>249</v>
      </c>
      <c r="H251" t="s">
        <v>838</v>
      </c>
      <c r="I251" t="s">
        <v>96</v>
      </c>
      <c r="J251" t="s">
        <v>96</v>
      </c>
      <c r="K251" t="s">
        <v>114</v>
      </c>
      <c r="L251" t="s">
        <v>143</v>
      </c>
      <c r="Q251" t="s">
        <v>422</v>
      </c>
      <c r="AB251" t="s">
        <v>1050</v>
      </c>
      <c r="AC251" t="s">
        <v>1051</v>
      </c>
      <c r="AD251"/>
      <c r="AF251" t="s">
        <v>54</v>
      </c>
      <c r="AG251" t="s">
        <v>328</v>
      </c>
      <c r="AH251" t="s">
        <v>100</v>
      </c>
      <c r="AI251" t="s">
        <v>1052</v>
      </c>
      <c r="AJ251" t="s">
        <v>1053</v>
      </c>
      <c r="AK251" s="1">
        <v>64600</v>
      </c>
      <c r="AL251" t="s">
        <v>990</v>
      </c>
      <c r="AM251" t="s">
        <v>1054</v>
      </c>
      <c r="AP251" t="s">
        <v>60</v>
      </c>
    </row>
    <row r="252" spans="1:42" hidden="1">
      <c r="A252" t="s">
        <v>960</v>
      </c>
      <c r="B252" t="s">
        <v>44</v>
      </c>
      <c r="C252" t="s">
        <v>1055</v>
      </c>
      <c r="D252" t="s">
        <v>112</v>
      </c>
      <c r="F252" t="s">
        <v>112</v>
      </c>
      <c r="H252" t="s">
        <v>95</v>
      </c>
      <c r="I252" t="s">
        <v>97</v>
      </c>
      <c r="J252" t="s">
        <v>97</v>
      </c>
      <c r="K252" t="s">
        <v>114</v>
      </c>
      <c r="L252" t="s">
        <v>143</v>
      </c>
      <c r="Q252" t="s">
        <v>144</v>
      </c>
      <c r="AB252" t="s">
        <v>1056</v>
      </c>
      <c r="AC252" t="s">
        <v>1057</v>
      </c>
      <c r="AD252"/>
      <c r="AF252" t="s">
        <v>54</v>
      </c>
      <c r="AG252" t="s">
        <v>112</v>
      </c>
      <c r="AH252" t="s">
        <v>100</v>
      </c>
      <c r="AI252" t="s">
        <v>1058</v>
      </c>
      <c r="AJ252" t="s">
        <v>1059</v>
      </c>
      <c r="AK252" s="1">
        <v>43800</v>
      </c>
      <c r="AL252" t="s">
        <v>960</v>
      </c>
      <c r="AM252" t="s">
        <v>120</v>
      </c>
      <c r="AP252" t="s">
        <v>60</v>
      </c>
    </row>
    <row r="253" spans="1:42" hidden="1">
      <c r="A253" t="s">
        <v>960</v>
      </c>
      <c r="B253" t="s">
        <v>44</v>
      </c>
      <c r="C253" t="s">
        <v>1060</v>
      </c>
      <c r="D253" t="s">
        <v>179</v>
      </c>
      <c r="F253" t="s">
        <v>179</v>
      </c>
      <c r="H253" t="s">
        <v>95</v>
      </c>
      <c r="I253" t="s">
        <v>182</v>
      </c>
      <c r="K253" t="s">
        <v>50</v>
      </c>
      <c r="M253" t="s">
        <v>51</v>
      </c>
      <c r="Z253" t="s">
        <v>183</v>
      </c>
      <c r="AB253" t="s">
        <v>1061</v>
      </c>
      <c r="AD253"/>
      <c r="AF253" t="s">
        <v>54</v>
      </c>
      <c r="AG253" t="s">
        <v>179</v>
      </c>
      <c r="AH253" t="s">
        <v>55</v>
      </c>
      <c r="AI253" t="s">
        <v>1062</v>
      </c>
      <c r="AJ253" t="s">
        <v>1063</v>
      </c>
      <c r="AK253" s="1">
        <v>1780</v>
      </c>
      <c r="AL253" t="s">
        <v>928</v>
      </c>
      <c r="AM253" t="s">
        <v>89</v>
      </c>
      <c r="AP253" t="s">
        <v>60</v>
      </c>
    </row>
    <row r="254" spans="1:42" hidden="1">
      <c r="A254" t="s">
        <v>670</v>
      </c>
      <c r="B254" t="s">
        <v>44</v>
      </c>
      <c r="C254" t="s">
        <v>1064</v>
      </c>
      <c r="D254" t="s">
        <v>80</v>
      </c>
      <c r="F254" t="s">
        <v>401</v>
      </c>
      <c r="H254" t="s">
        <v>153</v>
      </c>
      <c r="I254" t="s">
        <v>83</v>
      </c>
      <c r="K254" t="s">
        <v>50</v>
      </c>
      <c r="M254" t="s">
        <v>51</v>
      </c>
      <c r="Z254" t="s">
        <v>205</v>
      </c>
      <c r="AB254" t="s">
        <v>1065</v>
      </c>
      <c r="AD254"/>
      <c r="AF254" t="s">
        <v>54</v>
      </c>
      <c r="AG254" t="s">
        <v>80</v>
      </c>
      <c r="AH254" t="s">
        <v>55</v>
      </c>
      <c r="AI254" t="s">
        <v>1066</v>
      </c>
      <c r="AJ254" t="s">
        <v>1067</v>
      </c>
      <c r="AK254" s="1">
        <v>8479.4</v>
      </c>
      <c r="AL254" t="s">
        <v>928</v>
      </c>
      <c r="AM254" t="s">
        <v>1068</v>
      </c>
    </row>
    <row r="255" spans="1:42" hidden="1">
      <c r="A255" t="s">
        <v>670</v>
      </c>
      <c r="B255" t="s">
        <v>44</v>
      </c>
      <c r="C255" t="s">
        <v>1069</v>
      </c>
      <c r="D255" t="s">
        <v>80</v>
      </c>
      <c r="F255" t="s">
        <v>401</v>
      </c>
      <c r="H255" t="s">
        <v>153</v>
      </c>
      <c r="I255" t="s">
        <v>83</v>
      </c>
      <c r="K255" t="s">
        <v>50</v>
      </c>
      <c r="M255" t="s">
        <v>51</v>
      </c>
      <c r="Z255" t="s">
        <v>205</v>
      </c>
      <c r="AB255" t="s">
        <v>1065</v>
      </c>
      <c r="AD255"/>
      <c r="AF255" t="s">
        <v>54</v>
      </c>
      <c r="AG255" t="s">
        <v>80</v>
      </c>
      <c r="AH255" t="s">
        <v>55</v>
      </c>
      <c r="AI255" t="s">
        <v>1066</v>
      </c>
      <c r="AJ255" t="s">
        <v>1067</v>
      </c>
      <c r="AK255" s="1">
        <v>10608.5</v>
      </c>
      <c r="AL255" t="s">
        <v>928</v>
      </c>
      <c r="AM255" t="s">
        <v>1068</v>
      </c>
    </row>
    <row r="256" spans="1:42" hidden="1">
      <c r="A256" t="s">
        <v>670</v>
      </c>
      <c r="B256" t="s">
        <v>44</v>
      </c>
      <c r="C256" t="s">
        <v>1070</v>
      </c>
      <c r="D256" t="s">
        <v>80</v>
      </c>
      <c r="F256" t="s">
        <v>401</v>
      </c>
      <c r="H256" t="s">
        <v>153</v>
      </c>
      <c r="I256" t="s">
        <v>83</v>
      </c>
      <c r="K256" t="s">
        <v>50</v>
      </c>
      <c r="M256" t="s">
        <v>51</v>
      </c>
      <c r="Z256" t="s">
        <v>205</v>
      </c>
      <c r="AB256" t="s">
        <v>1071</v>
      </c>
      <c r="AD256"/>
      <c r="AF256" t="s">
        <v>54</v>
      </c>
      <c r="AG256" t="s">
        <v>80</v>
      </c>
      <c r="AH256" t="s">
        <v>55</v>
      </c>
      <c r="AI256" t="s">
        <v>1066</v>
      </c>
      <c r="AJ256" t="s">
        <v>1067</v>
      </c>
      <c r="AK256" s="1">
        <v>1582.6</v>
      </c>
      <c r="AL256" t="s">
        <v>928</v>
      </c>
      <c r="AM256" t="s">
        <v>1068</v>
      </c>
    </row>
    <row r="257" spans="1:42" hidden="1">
      <c r="A257" t="s">
        <v>670</v>
      </c>
      <c r="B257" t="s">
        <v>44</v>
      </c>
      <c r="C257" t="s">
        <v>1072</v>
      </c>
      <c r="D257" t="s">
        <v>80</v>
      </c>
      <c r="F257" t="s">
        <v>401</v>
      </c>
      <c r="H257" t="s">
        <v>153</v>
      </c>
      <c r="I257" t="s">
        <v>83</v>
      </c>
      <c r="K257" t="s">
        <v>50</v>
      </c>
      <c r="M257" t="s">
        <v>51</v>
      </c>
      <c r="Z257" t="s">
        <v>205</v>
      </c>
      <c r="AB257" t="s">
        <v>1065</v>
      </c>
      <c r="AD257"/>
      <c r="AF257" t="s">
        <v>54</v>
      </c>
      <c r="AG257" t="s">
        <v>80</v>
      </c>
      <c r="AH257" t="s">
        <v>55</v>
      </c>
      <c r="AI257" t="s">
        <v>1066</v>
      </c>
      <c r="AJ257" t="s">
        <v>1067</v>
      </c>
      <c r="AK257" s="1">
        <v>5057.7</v>
      </c>
      <c r="AL257" t="s">
        <v>928</v>
      </c>
      <c r="AM257" t="s">
        <v>1068</v>
      </c>
    </row>
    <row r="258" spans="1:42" hidden="1">
      <c r="A258" t="s">
        <v>670</v>
      </c>
      <c r="B258" t="s">
        <v>44</v>
      </c>
      <c r="C258" t="s">
        <v>1073</v>
      </c>
      <c r="D258" t="s">
        <v>80</v>
      </c>
      <c r="F258" t="s">
        <v>401</v>
      </c>
      <c r="H258" t="s">
        <v>153</v>
      </c>
      <c r="I258" t="s">
        <v>83</v>
      </c>
      <c r="K258" t="s">
        <v>50</v>
      </c>
      <c r="M258" t="s">
        <v>51</v>
      </c>
      <c r="Z258" t="s">
        <v>205</v>
      </c>
      <c r="AB258" t="s">
        <v>1065</v>
      </c>
      <c r="AD258"/>
      <c r="AF258" t="s">
        <v>54</v>
      </c>
      <c r="AG258" t="s">
        <v>80</v>
      </c>
      <c r="AH258" t="s">
        <v>55</v>
      </c>
      <c r="AI258" t="s">
        <v>1066</v>
      </c>
      <c r="AJ258" t="s">
        <v>1067</v>
      </c>
      <c r="AK258" s="1">
        <v>6693.9</v>
      </c>
      <c r="AL258" t="s">
        <v>928</v>
      </c>
      <c r="AM258" t="s">
        <v>1068</v>
      </c>
    </row>
    <row r="259" spans="1:42" hidden="1">
      <c r="A259" t="s">
        <v>960</v>
      </c>
      <c r="B259" t="s">
        <v>44</v>
      </c>
      <c r="C259" t="s">
        <v>1074</v>
      </c>
      <c r="D259" t="s">
        <v>106</v>
      </c>
      <c r="F259" t="s">
        <v>562</v>
      </c>
      <c r="H259" t="s">
        <v>228</v>
      </c>
      <c r="I259" t="s">
        <v>97</v>
      </c>
      <c r="K259" t="s">
        <v>50</v>
      </c>
      <c r="M259" t="s">
        <v>51</v>
      </c>
      <c r="Z259" t="s">
        <v>116</v>
      </c>
      <c r="AB259" t="s">
        <v>1075</v>
      </c>
      <c r="AD259"/>
      <c r="AF259" t="s">
        <v>54</v>
      </c>
      <c r="AG259" t="s">
        <v>106</v>
      </c>
      <c r="AH259" t="s">
        <v>55</v>
      </c>
      <c r="AI259" t="s">
        <v>1076</v>
      </c>
      <c r="AJ259" t="s">
        <v>1077</v>
      </c>
      <c r="AK259" s="1">
        <v>6366.7</v>
      </c>
      <c r="AL259" t="s">
        <v>903</v>
      </c>
      <c r="AM259" t="s">
        <v>1078</v>
      </c>
    </row>
    <row r="260" spans="1:42" hidden="1">
      <c r="A260" t="s">
        <v>928</v>
      </c>
      <c r="B260" t="s">
        <v>210</v>
      </c>
      <c r="D260" t="s">
        <v>46</v>
      </c>
      <c r="F260" t="s">
        <v>46</v>
      </c>
      <c r="H260" t="s">
        <v>71</v>
      </c>
      <c r="I260" t="s">
        <v>49</v>
      </c>
      <c r="AD260" s="1">
        <v>0</v>
      </c>
      <c r="AE260" t="s">
        <v>1079</v>
      </c>
      <c r="AF260" t="s">
        <v>54</v>
      </c>
      <c r="AG260" t="s">
        <v>46</v>
      </c>
      <c r="AI260" t="s">
        <v>1079</v>
      </c>
      <c r="AJ260" t="s">
        <v>1079</v>
      </c>
      <c r="AK260" s="2"/>
      <c r="AL260" t="s">
        <v>990</v>
      </c>
      <c r="AM260" t="s">
        <v>1080</v>
      </c>
      <c r="AP260" t="s">
        <v>60</v>
      </c>
    </row>
    <row r="261" spans="1:42" hidden="1">
      <c r="A261" t="s">
        <v>928</v>
      </c>
      <c r="B261" t="s">
        <v>44</v>
      </c>
      <c r="C261" t="s">
        <v>1081</v>
      </c>
      <c r="D261" t="s">
        <v>142</v>
      </c>
      <c r="F261" t="s">
        <v>273</v>
      </c>
      <c r="H261" t="s">
        <v>228</v>
      </c>
      <c r="I261" t="s">
        <v>97</v>
      </c>
      <c r="K261" t="s">
        <v>50</v>
      </c>
      <c r="M261" t="s">
        <v>190</v>
      </c>
      <c r="Y261" t="s">
        <v>516</v>
      </c>
      <c r="AB261" t="s">
        <v>1082</v>
      </c>
      <c r="AD261"/>
      <c r="AF261" t="s">
        <v>54</v>
      </c>
      <c r="AG261" t="s">
        <v>142</v>
      </c>
      <c r="AH261" t="s">
        <v>55</v>
      </c>
      <c r="AI261" t="s">
        <v>1083</v>
      </c>
      <c r="AJ261" t="s">
        <v>1084</v>
      </c>
      <c r="AK261" s="1">
        <v>4687</v>
      </c>
      <c r="AL261" t="s">
        <v>928</v>
      </c>
      <c r="AM261" t="s">
        <v>1085</v>
      </c>
    </row>
    <row r="262" spans="1:42" hidden="1">
      <c r="A262" t="s">
        <v>928</v>
      </c>
      <c r="B262" t="s">
        <v>44</v>
      </c>
      <c r="C262" t="s">
        <v>1086</v>
      </c>
      <c r="D262" t="s">
        <v>142</v>
      </c>
      <c r="F262" t="s">
        <v>273</v>
      </c>
      <c r="H262" t="s">
        <v>228</v>
      </c>
      <c r="I262" t="s">
        <v>97</v>
      </c>
      <c r="K262" t="s">
        <v>114</v>
      </c>
      <c r="L262" t="s">
        <v>197</v>
      </c>
      <c r="P262" t="s">
        <v>516</v>
      </c>
      <c r="AB262" t="s">
        <v>1082</v>
      </c>
      <c r="AD262"/>
      <c r="AF262" t="s">
        <v>54</v>
      </c>
      <c r="AG262" t="s">
        <v>142</v>
      </c>
      <c r="AH262" t="s">
        <v>55</v>
      </c>
      <c r="AI262" t="s">
        <v>1083</v>
      </c>
      <c r="AJ262" t="s">
        <v>1084</v>
      </c>
      <c r="AK262" s="1">
        <v>14468.7</v>
      </c>
      <c r="AL262" t="s">
        <v>928</v>
      </c>
      <c r="AM262" t="s">
        <v>1087</v>
      </c>
    </row>
    <row r="263" spans="1:42" hidden="1">
      <c r="A263" t="s">
        <v>928</v>
      </c>
      <c r="B263" t="s">
        <v>44</v>
      </c>
      <c r="C263" t="s">
        <v>1088</v>
      </c>
      <c r="D263" t="s">
        <v>142</v>
      </c>
      <c r="F263" t="s">
        <v>273</v>
      </c>
      <c r="H263" t="s">
        <v>228</v>
      </c>
      <c r="I263" t="s">
        <v>97</v>
      </c>
      <c r="K263" t="s">
        <v>50</v>
      </c>
      <c r="M263" t="s">
        <v>190</v>
      </c>
      <c r="Y263" t="s">
        <v>516</v>
      </c>
      <c r="AB263" t="s">
        <v>1082</v>
      </c>
      <c r="AD263"/>
      <c r="AF263" t="s">
        <v>54</v>
      </c>
      <c r="AG263" t="s">
        <v>142</v>
      </c>
      <c r="AH263" t="s">
        <v>55</v>
      </c>
      <c r="AI263" t="s">
        <v>1083</v>
      </c>
      <c r="AJ263" t="s">
        <v>1084</v>
      </c>
      <c r="AK263" s="1">
        <v>5127.7</v>
      </c>
      <c r="AL263" t="s">
        <v>928</v>
      </c>
      <c r="AM263" t="s">
        <v>1085</v>
      </c>
    </row>
    <row r="264" spans="1:42" hidden="1">
      <c r="A264" t="s">
        <v>928</v>
      </c>
      <c r="B264" t="s">
        <v>44</v>
      </c>
      <c r="C264" t="s">
        <v>1089</v>
      </c>
      <c r="D264" t="s">
        <v>151</v>
      </c>
      <c r="F264" t="s">
        <v>1090</v>
      </c>
      <c r="H264" t="s">
        <v>181</v>
      </c>
      <c r="I264" t="s">
        <v>97</v>
      </c>
      <c r="J264" t="s">
        <v>97</v>
      </c>
      <c r="K264" t="s">
        <v>114</v>
      </c>
      <c r="L264" t="s">
        <v>143</v>
      </c>
      <c r="Q264" t="s">
        <v>257</v>
      </c>
      <c r="AB264" t="s">
        <v>1091</v>
      </c>
      <c r="AC264" t="s">
        <v>201</v>
      </c>
      <c r="AD264"/>
      <c r="AF264" t="s">
        <v>54</v>
      </c>
      <c r="AG264" t="s">
        <v>151</v>
      </c>
      <c r="AH264" t="s">
        <v>100</v>
      </c>
      <c r="AI264" t="s">
        <v>1092</v>
      </c>
      <c r="AJ264" t="s">
        <v>1093</v>
      </c>
      <c r="AK264" s="1">
        <v>10000</v>
      </c>
      <c r="AL264" t="s">
        <v>797</v>
      </c>
      <c r="AM264" t="s">
        <v>280</v>
      </c>
      <c r="AP264" t="s">
        <v>60</v>
      </c>
    </row>
    <row r="265" spans="1:42" hidden="1">
      <c r="A265" t="s">
        <v>928</v>
      </c>
      <c r="B265" t="s">
        <v>210</v>
      </c>
      <c r="D265" t="s">
        <v>142</v>
      </c>
      <c r="F265" t="s">
        <v>976</v>
      </c>
      <c r="H265" t="s">
        <v>95</v>
      </c>
      <c r="I265" t="s">
        <v>97</v>
      </c>
      <c r="AD265" s="1">
        <v>45300</v>
      </c>
      <c r="AE265" t="s">
        <v>1094</v>
      </c>
      <c r="AF265" t="s">
        <v>54</v>
      </c>
      <c r="AG265" t="s">
        <v>142</v>
      </c>
      <c r="AI265" t="s">
        <v>1095</v>
      </c>
      <c r="AJ265" t="s">
        <v>1096</v>
      </c>
      <c r="AK265" s="2"/>
      <c r="AM265" t="s">
        <v>1097</v>
      </c>
      <c r="AP265" t="s">
        <v>60</v>
      </c>
    </row>
    <row r="266" spans="1:42" hidden="1">
      <c r="A266" t="s">
        <v>928</v>
      </c>
      <c r="B266" t="s">
        <v>44</v>
      </c>
      <c r="C266" t="s">
        <v>1098</v>
      </c>
      <c r="D266" t="s">
        <v>263</v>
      </c>
      <c r="F266" t="s">
        <v>263</v>
      </c>
      <c r="H266" t="s">
        <v>95</v>
      </c>
      <c r="I266" t="s">
        <v>182</v>
      </c>
      <c r="K266" t="s">
        <v>50</v>
      </c>
      <c r="M266" t="s">
        <v>51</v>
      </c>
      <c r="Z266" t="s">
        <v>183</v>
      </c>
      <c r="AB266" t="s">
        <v>1099</v>
      </c>
      <c r="AD266"/>
      <c r="AF266" t="s">
        <v>54</v>
      </c>
      <c r="AG266" t="s">
        <v>263</v>
      </c>
      <c r="AH266" t="s">
        <v>55</v>
      </c>
      <c r="AI266" t="s">
        <v>1100</v>
      </c>
      <c r="AJ266" t="s">
        <v>1101</v>
      </c>
      <c r="AK266" s="1">
        <v>16020</v>
      </c>
      <c r="AL266" t="s">
        <v>990</v>
      </c>
      <c r="AM266" t="s">
        <v>1102</v>
      </c>
      <c r="AP266" t="s">
        <v>60</v>
      </c>
    </row>
    <row r="267" spans="1:42" hidden="1">
      <c r="A267" t="s">
        <v>928</v>
      </c>
      <c r="B267" t="s">
        <v>210</v>
      </c>
      <c r="D267" t="s">
        <v>142</v>
      </c>
      <c r="F267" t="s">
        <v>273</v>
      </c>
      <c r="H267" t="s">
        <v>228</v>
      </c>
      <c r="I267" t="s">
        <v>97</v>
      </c>
      <c r="AD267" s="1">
        <v>10422.799999999999</v>
      </c>
      <c r="AE267" t="s">
        <v>1103</v>
      </c>
      <c r="AF267" t="s">
        <v>54</v>
      </c>
      <c r="AG267" t="s">
        <v>142</v>
      </c>
      <c r="AI267" t="s">
        <v>1083</v>
      </c>
      <c r="AJ267" t="s">
        <v>1084</v>
      </c>
      <c r="AK267" s="2"/>
      <c r="AL267" t="s">
        <v>928</v>
      </c>
      <c r="AM267" t="s">
        <v>1104</v>
      </c>
      <c r="AP267" t="s">
        <v>60</v>
      </c>
    </row>
    <row r="268" spans="1:42" hidden="1">
      <c r="A268" t="s">
        <v>928</v>
      </c>
      <c r="B268" t="s">
        <v>210</v>
      </c>
      <c r="D268" t="s">
        <v>256</v>
      </c>
      <c r="F268" t="s">
        <v>578</v>
      </c>
      <c r="H268" t="s">
        <v>1105</v>
      </c>
      <c r="I268" t="s">
        <v>97</v>
      </c>
      <c r="AD268" s="1">
        <v>9959.6</v>
      </c>
      <c r="AE268" t="s">
        <v>1106</v>
      </c>
      <c r="AF268" t="s">
        <v>54</v>
      </c>
      <c r="AG268" t="s">
        <v>256</v>
      </c>
      <c r="AI268" t="s">
        <v>1107</v>
      </c>
      <c r="AJ268" t="s">
        <v>1108</v>
      </c>
      <c r="AK268" s="2"/>
      <c r="AL268" t="s">
        <v>928</v>
      </c>
      <c r="AM268" t="s">
        <v>224</v>
      </c>
      <c r="AP268" t="s">
        <v>60</v>
      </c>
    </row>
    <row r="269" spans="1:42" hidden="1">
      <c r="A269" t="s">
        <v>928</v>
      </c>
      <c r="B269" t="s">
        <v>210</v>
      </c>
      <c r="D269" t="s">
        <v>163</v>
      </c>
      <c r="F269" t="s">
        <v>336</v>
      </c>
      <c r="H269" t="s">
        <v>406</v>
      </c>
      <c r="I269" t="s">
        <v>97</v>
      </c>
      <c r="AD269" s="1">
        <v>9739.7999999999993</v>
      </c>
      <c r="AE269" t="s">
        <v>1109</v>
      </c>
      <c r="AF269" t="s">
        <v>54</v>
      </c>
      <c r="AG269" t="s">
        <v>163</v>
      </c>
      <c r="AI269" t="s">
        <v>1110</v>
      </c>
      <c r="AJ269" t="s">
        <v>1111</v>
      </c>
      <c r="AK269" s="2"/>
      <c r="AL269" t="s">
        <v>928</v>
      </c>
      <c r="AM269" t="s">
        <v>224</v>
      </c>
      <c r="AP269" t="s">
        <v>60</v>
      </c>
    </row>
    <row r="270" spans="1:42" hidden="1">
      <c r="A270" t="s">
        <v>928</v>
      </c>
      <c r="B270" t="s">
        <v>44</v>
      </c>
      <c r="C270" t="s">
        <v>1112</v>
      </c>
      <c r="D270" t="s">
        <v>151</v>
      </c>
      <c r="F270" t="s">
        <v>336</v>
      </c>
      <c r="H270" t="s">
        <v>406</v>
      </c>
      <c r="I270" t="s">
        <v>97</v>
      </c>
      <c r="J270" t="s">
        <v>97</v>
      </c>
      <c r="K270" t="s">
        <v>114</v>
      </c>
      <c r="L270" t="s">
        <v>143</v>
      </c>
      <c r="Q270" t="s">
        <v>257</v>
      </c>
      <c r="AB270" t="s">
        <v>1113</v>
      </c>
      <c r="AC270" t="s">
        <v>1114</v>
      </c>
      <c r="AD270"/>
      <c r="AF270" t="s">
        <v>54</v>
      </c>
      <c r="AG270" t="s">
        <v>151</v>
      </c>
      <c r="AH270" t="s">
        <v>100</v>
      </c>
      <c r="AI270" t="s">
        <v>1115</v>
      </c>
      <c r="AJ270" t="s">
        <v>1116</v>
      </c>
      <c r="AK270" s="1">
        <v>22622.5</v>
      </c>
      <c r="AL270" t="s">
        <v>797</v>
      </c>
      <c r="AM270" t="s">
        <v>280</v>
      </c>
      <c r="AP270" t="s">
        <v>60</v>
      </c>
    </row>
    <row r="271" spans="1:42" hidden="1">
      <c r="A271" t="s">
        <v>990</v>
      </c>
      <c r="B271" t="s">
        <v>44</v>
      </c>
      <c r="C271" t="s">
        <v>1117</v>
      </c>
      <c r="D271" t="s">
        <v>226</v>
      </c>
      <c r="F271" t="s">
        <v>336</v>
      </c>
      <c r="H271" t="s">
        <v>406</v>
      </c>
      <c r="I271" t="s">
        <v>97</v>
      </c>
      <c r="J271" t="s">
        <v>97</v>
      </c>
      <c r="K271" t="s">
        <v>114</v>
      </c>
      <c r="L271" t="s">
        <v>143</v>
      </c>
      <c r="Q271" t="s">
        <v>257</v>
      </c>
      <c r="AB271" t="s">
        <v>1118</v>
      </c>
      <c r="AC271" t="s">
        <v>526</v>
      </c>
      <c r="AD271"/>
      <c r="AF271" t="s">
        <v>54</v>
      </c>
      <c r="AG271" t="s">
        <v>226</v>
      </c>
      <c r="AH271" t="s">
        <v>100</v>
      </c>
      <c r="AI271" t="s">
        <v>1115</v>
      </c>
      <c r="AJ271" t="s">
        <v>1116</v>
      </c>
      <c r="AK271" s="1">
        <v>21000</v>
      </c>
      <c r="AL271" t="s">
        <v>903</v>
      </c>
      <c r="AM271" t="s">
        <v>1119</v>
      </c>
      <c r="AP271" t="s">
        <v>60</v>
      </c>
    </row>
    <row r="272" spans="1:42" hidden="1">
      <c r="A272" t="s">
        <v>990</v>
      </c>
      <c r="B272" t="s">
        <v>210</v>
      </c>
      <c r="D272" t="s">
        <v>1120</v>
      </c>
      <c r="F272" t="s">
        <v>47</v>
      </c>
      <c r="H272" t="s">
        <v>228</v>
      </c>
      <c r="I272" t="s">
        <v>72</v>
      </c>
      <c r="AD272" s="1">
        <v>5680</v>
      </c>
      <c r="AE272" t="s">
        <v>1121</v>
      </c>
      <c r="AF272" t="s">
        <v>54</v>
      </c>
      <c r="AG272" t="s">
        <v>1120</v>
      </c>
      <c r="AI272" t="s">
        <v>1122</v>
      </c>
      <c r="AJ272" t="s">
        <v>1123</v>
      </c>
      <c r="AK272" s="2"/>
      <c r="AL272" t="s">
        <v>990</v>
      </c>
      <c r="AM272" t="s">
        <v>224</v>
      </c>
      <c r="AP272" t="s">
        <v>60</v>
      </c>
    </row>
    <row r="273" spans="1:42" hidden="1">
      <c r="A273" t="s">
        <v>990</v>
      </c>
      <c r="B273" t="s">
        <v>210</v>
      </c>
      <c r="D273" t="s">
        <v>1120</v>
      </c>
      <c r="F273" t="s">
        <v>70</v>
      </c>
      <c r="H273" t="s">
        <v>153</v>
      </c>
      <c r="I273" t="s">
        <v>72</v>
      </c>
      <c r="AD273" s="1">
        <v>5680</v>
      </c>
      <c r="AE273" t="s">
        <v>1124</v>
      </c>
      <c r="AF273" t="s">
        <v>54</v>
      </c>
      <c r="AG273" t="s">
        <v>1120</v>
      </c>
      <c r="AI273" t="s">
        <v>1125</v>
      </c>
      <c r="AJ273" t="s">
        <v>1126</v>
      </c>
      <c r="AK273" s="2"/>
      <c r="AL273" t="s">
        <v>990</v>
      </c>
      <c r="AM273" t="s">
        <v>224</v>
      </c>
      <c r="AP273" t="s">
        <v>60</v>
      </c>
    </row>
    <row r="274" spans="1:42" hidden="1">
      <c r="A274" t="s">
        <v>990</v>
      </c>
      <c r="B274" t="s">
        <v>210</v>
      </c>
      <c r="D274" t="s">
        <v>1120</v>
      </c>
      <c r="F274" t="s">
        <v>249</v>
      </c>
      <c r="H274" t="s">
        <v>1105</v>
      </c>
      <c r="I274" t="s">
        <v>72</v>
      </c>
      <c r="AD274" s="1">
        <v>5980</v>
      </c>
      <c r="AE274" t="s">
        <v>1127</v>
      </c>
      <c r="AF274" t="s">
        <v>54</v>
      </c>
      <c r="AG274" t="s">
        <v>1120</v>
      </c>
      <c r="AI274" t="s">
        <v>1128</v>
      </c>
      <c r="AJ274" t="s">
        <v>1129</v>
      </c>
      <c r="AK274" s="2"/>
      <c r="AL274" t="s">
        <v>903</v>
      </c>
      <c r="AM274" t="s">
        <v>224</v>
      </c>
      <c r="AP274" t="s">
        <v>60</v>
      </c>
    </row>
    <row r="275" spans="1:42">
      <c r="A275" t="s">
        <v>990</v>
      </c>
      <c r="B275" t="s">
        <v>210</v>
      </c>
      <c r="D275" t="s">
        <v>1120</v>
      </c>
      <c r="F275" s="2" t="s">
        <v>227</v>
      </c>
      <c r="H275" t="s">
        <v>508</v>
      </c>
      <c r="I275" t="s">
        <v>72</v>
      </c>
      <c r="AD275" s="1">
        <v>6480</v>
      </c>
      <c r="AE275" t="s">
        <v>1130</v>
      </c>
      <c r="AF275" t="s">
        <v>54</v>
      </c>
      <c r="AG275" t="s">
        <v>1120</v>
      </c>
      <c r="AI275" t="s">
        <v>1131</v>
      </c>
      <c r="AJ275" t="s">
        <v>1132</v>
      </c>
      <c r="AK275" s="2"/>
      <c r="AL275" t="s">
        <v>990</v>
      </c>
      <c r="AM275" t="s">
        <v>224</v>
      </c>
      <c r="AP275" t="s">
        <v>60</v>
      </c>
    </row>
    <row r="276" spans="1:42" hidden="1">
      <c r="A276" t="s">
        <v>990</v>
      </c>
      <c r="B276" t="s">
        <v>44</v>
      </c>
      <c r="C276" t="s">
        <v>1133</v>
      </c>
      <c r="D276" t="s">
        <v>179</v>
      </c>
      <c r="F276" t="s">
        <v>180</v>
      </c>
      <c r="H276" t="s">
        <v>95</v>
      </c>
      <c r="I276" t="s">
        <v>182</v>
      </c>
      <c r="K276" t="s">
        <v>50</v>
      </c>
      <c r="M276" t="s">
        <v>51</v>
      </c>
      <c r="Z276" t="s">
        <v>183</v>
      </c>
      <c r="AB276" t="s">
        <v>1134</v>
      </c>
      <c r="AD276"/>
      <c r="AF276" t="s">
        <v>54</v>
      </c>
      <c r="AG276" t="s">
        <v>179</v>
      </c>
      <c r="AH276" t="s">
        <v>55</v>
      </c>
      <c r="AI276" t="s">
        <v>1135</v>
      </c>
      <c r="AJ276" t="s">
        <v>1136</v>
      </c>
      <c r="AK276" s="1">
        <v>3060</v>
      </c>
      <c r="AL276" t="s">
        <v>990</v>
      </c>
      <c r="AM276" t="s">
        <v>1137</v>
      </c>
      <c r="AP276" t="s">
        <v>60</v>
      </c>
    </row>
    <row r="277" spans="1:42" hidden="1">
      <c r="A277" t="s">
        <v>990</v>
      </c>
      <c r="B277" t="s">
        <v>44</v>
      </c>
      <c r="C277" t="s">
        <v>1138</v>
      </c>
      <c r="D277" t="s">
        <v>179</v>
      </c>
      <c r="F277" t="s">
        <v>179</v>
      </c>
      <c r="H277" t="s">
        <v>95</v>
      </c>
      <c r="I277" t="s">
        <v>182</v>
      </c>
      <c r="K277" t="s">
        <v>114</v>
      </c>
      <c r="L277" t="s">
        <v>115</v>
      </c>
      <c r="O277" t="s">
        <v>73</v>
      </c>
      <c r="AB277" t="s">
        <v>1139</v>
      </c>
      <c r="AD277"/>
      <c r="AF277" t="s">
        <v>54</v>
      </c>
      <c r="AG277" t="s">
        <v>179</v>
      </c>
      <c r="AH277" t="s">
        <v>55</v>
      </c>
      <c r="AI277" t="s">
        <v>1140</v>
      </c>
      <c r="AJ277" t="s">
        <v>1141</v>
      </c>
      <c r="AK277" s="1">
        <v>8150</v>
      </c>
      <c r="AL277" t="s">
        <v>990</v>
      </c>
      <c r="AM277" t="s">
        <v>1142</v>
      </c>
    </row>
    <row r="278" spans="1:42" hidden="1">
      <c r="A278" t="s">
        <v>990</v>
      </c>
      <c r="B278" t="s">
        <v>210</v>
      </c>
      <c r="D278" t="s">
        <v>855</v>
      </c>
      <c r="F278" t="s">
        <v>343</v>
      </c>
      <c r="G278" t="s">
        <v>60</v>
      </c>
      <c r="H278" t="s">
        <v>838</v>
      </c>
      <c r="I278" t="s">
        <v>97</v>
      </c>
      <c r="AD278" s="1">
        <v>8668.1</v>
      </c>
      <c r="AE278" t="s">
        <v>1143</v>
      </c>
      <c r="AF278" t="s">
        <v>54</v>
      </c>
      <c r="AG278" t="s">
        <v>855</v>
      </c>
      <c r="AI278" t="s">
        <v>1144</v>
      </c>
      <c r="AJ278" t="s">
        <v>1145</v>
      </c>
      <c r="AK278" s="2"/>
      <c r="AL278" t="s">
        <v>990</v>
      </c>
      <c r="AM278" t="s">
        <v>224</v>
      </c>
      <c r="AP278" t="s">
        <v>60</v>
      </c>
    </row>
    <row r="279" spans="1:42" hidden="1">
      <c r="A279" t="s">
        <v>990</v>
      </c>
      <c r="B279" t="s">
        <v>44</v>
      </c>
      <c r="C279" t="s">
        <v>1146</v>
      </c>
      <c r="D279" t="s">
        <v>368</v>
      </c>
      <c r="F279" t="s">
        <v>336</v>
      </c>
      <c r="H279" t="s">
        <v>153</v>
      </c>
      <c r="I279" t="s">
        <v>97</v>
      </c>
      <c r="K279" t="s">
        <v>114</v>
      </c>
      <c r="L279" t="s">
        <v>197</v>
      </c>
      <c r="P279" t="s">
        <v>241</v>
      </c>
      <c r="AB279" t="s">
        <v>1147</v>
      </c>
      <c r="AD279"/>
      <c r="AF279" t="s">
        <v>54</v>
      </c>
      <c r="AG279" t="s">
        <v>368</v>
      </c>
      <c r="AH279" t="s">
        <v>55</v>
      </c>
      <c r="AI279" t="s">
        <v>1148</v>
      </c>
      <c r="AJ279" t="s">
        <v>1149</v>
      </c>
      <c r="AK279" s="1">
        <v>4933.3</v>
      </c>
      <c r="AL279" t="s">
        <v>990</v>
      </c>
      <c r="AM279" t="s">
        <v>1150</v>
      </c>
    </row>
    <row r="280" spans="1:42" hidden="1">
      <c r="A280" t="s">
        <v>990</v>
      </c>
      <c r="B280" t="s">
        <v>44</v>
      </c>
      <c r="C280" t="s">
        <v>1151</v>
      </c>
      <c r="D280" t="s">
        <v>368</v>
      </c>
      <c r="F280" t="s">
        <v>336</v>
      </c>
      <c r="H280" t="s">
        <v>153</v>
      </c>
      <c r="I280" t="s">
        <v>97</v>
      </c>
      <c r="K280" t="s">
        <v>50</v>
      </c>
      <c r="M280" t="s">
        <v>190</v>
      </c>
      <c r="Y280" t="s">
        <v>241</v>
      </c>
      <c r="AB280" t="s">
        <v>1147</v>
      </c>
      <c r="AD280"/>
      <c r="AF280" t="s">
        <v>54</v>
      </c>
      <c r="AG280" t="s">
        <v>368</v>
      </c>
      <c r="AH280" t="s">
        <v>55</v>
      </c>
      <c r="AI280" t="s">
        <v>1148</v>
      </c>
      <c r="AJ280" t="s">
        <v>1149</v>
      </c>
      <c r="AK280" s="1">
        <v>452.9</v>
      </c>
      <c r="AL280" t="s">
        <v>990</v>
      </c>
      <c r="AM280" t="s">
        <v>1150</v>
      </c>
    </row>
    <row r="281" spans="1:42" hidden="1">
      <c r="A281" t="s">
        <v>990</v>
      </c>
      <c r="B281" t="s">
        <v>44</v>
      </c>
      <c r="C281" t="s">
        <v>1152</v>
      </c>
      <c r="D281" t="s">
        <v>368</v>
      </c>
      <c r="F281" t="s">
        <v>336</v>
      </c>
      <c r="H281" t="s">
        <v>153</v>
      </c>
      <c r="I281" t="s">
        <v>97</v>
      </c>
      <c r="K281" t="s">
        <v>114</v>
      </c>
      <c r="L281" t="s">
        <v>197</v>
      </c>
      <c r="P281" t="s">
        <v>241</v>
      </c>
      <c r="AB281" t="s">
        <v>1147</v>
      </c>
      <c r="AD281"/>
      <c r="AF281" t="s">
        <v>54</v>
      </c>
      <c r="AG281" t="s">
        <v>368</v>
      </c>
      <c r="AH281" t="s">
        <v>55</v>
      </c>
      <c r="AI281" t="s">
        <v>1148</v>
      </c>
      <c r="AJ281" t="s">
        <v>1149</v>
      </c>
      <c r="AK281" s="1">
        <v>10913.6</v>
      </c>
      <c r="AL281" t="s">
        <v>990</v>
      </c>
      <c r="AM281" t="s">
        <v>1150</v>
      </c>
    </row>
    <row r="282" spans="1:42" hidden="1">
      <c r="A282" t="s">
        <v>990</v>
      </c>
      <c r="B282" t="s">
        <v>210</v>
      </c>
      <c r="D282" t="s">
        <v>368</v>
      </c>
      <c r="F282" t="s">
        <v>249</v>
      </c>
      <c r="H282" t="s">
        <v>1153</v>
      </c>
      <c r="I282" t="s">
        <v>97</v>
      </c>
      <c r="AD282" s="1">
        <v>11900</v>
      </c>
      <c r="AE282" t="s">
        <v>1154</v>
      </c>
      <c r="AF282" t="s">
        <v>54</v>
      </c>
      <c r="AG282" t="s">
        <v>368</v>
      </c>
      <c r="AI282" t="s">
        <v>1155</v>
      </c>
      <c r="AJ282" t="s">
        <v>1156</v>
      </c>
      <c r="AK282" s="2"/>
      <c r="AL282" t="s">
        <v>990</v>
      </c>
      <c r="AM282" t="s">
        <v>224</v>
      </c>
      <c r="AP282" t="s">
        <v>60</v>
      </c>
    </row>
    <row r="283" spans="1:42" hidden="1">
      <c r="A283" t="s">
        <v>990</v>
      </c>
      <c r="B283" t="s">
        <v>44</v>
      </c>
      <c r="C283" t="s">
        <v>1157</v>
      </c>
      <c r="D283" t="s">
        <v>328</v>
      </c>
      <c r="F283" t="s">
        <v>249</v>
      </c>
      <c r="H283" t="s">
        <v>838</v>
      </c>
      <c r="I283" t="s">
        <v>96</v>
      </c>
      <c r="J283" t="s">
        <v>96</v>
      </c>
      <c r="K283" t="s">
        <v>114</v>
      </c>
      <c r="L283" t="s">
        <v>143</v>
      </c>
      <c r="Q283" t="s">
        <v>422</v>
      </c>
      <c r="AB283" t="s">
        <v>1158</v>
      </c>
      <c r="AC283" t="s">
        <v>1051</v>
      </c>
      <c r="AD283"/>
      <c r="AF283" t="s">
        <v>54</v>
      </c>
      <c r="AG283" t="s">
        <v>328</v>
      </c>
      <c r="AH283" t="s">
        <v>100</v>
      </c>
      <c r="AI283" t="s">
        <v>1052</v>
      </c>
      <c r="AJ283" t="s">
        <v>1053</v>
      </c>
      <c r="AK283" s="1">
        <v>64600</v>
      </c>
      <c r="AM283" t="s">
        <v>1159</v>
      </c>
      <c r="AP283" t="s">
        <v>60</v>
      </c>
    </row>
    <row r="284" spans="1:42" hidden="1">
      <c r="A284" t="s">
        <v>990</v>
      </c>
      <c r="B284" t="s">
        <v>44</v>
      </c>
      <c r="C284" t="s">
        <v>1160</v>
      </c>
      <c r="D284" t="s">
        <v>855</v>
      </c>
      <c r="F284" t="s">
        <v>1161</v>
      </c>
      <c r="G284" t="s">
        <v>60</v>
      </c>
      <c r="H284" t="s">
        <v>95</v>
      </c>
      <c r="I284" t="s">
        <v>97</v>
      </c>
      <c r="K284" t="s">
        <v>114</v>
      </c>
      <c r="L284" t="s">
        <v>197</v>
      </c>
      <c r="P284" t="s">
        <v>572</v>
      </c>
      <c r="AB284" t="s">
        <v>1162</v>
      </c>
      <c r="AD284"/>
      <c r="AF284" t="s">
        <v>54</v>
      </c>
      <c r="AG284" t="s">
        <v>855</v>
      </c>
      <c r="AH284" t="s">
        <v>55</v>
      </c>
      <c r="AI284" t="s">
        <v>1163</v>
      </c>
      <c r="AJ284" t="s">
        <v>1164</v>
      </c>
      <c r="AK284" s="1">
        <v>4337.3</v>
      </c>
      <c r="AL284" t="s">
        <v>797</v>
      </c>
      <c r="AM284" t="s">
        <v>1165</v>
      </c>
    </row>
    <row r="285" spans="1:42" hidden="1">
      <c r="A285" t="s">
        <v>990</v>
      </c>
      <c r="B285" t="s">
        <v>44</v>
      </c>
      <c r="C285" t="s">
        <v>1166</v>
      </c>
      <c r="D285" t="s">
        <v>855</v>
      </c>
      <c r="F285" t="s">
        <v>1161</v>
      </c>
      <c r="G285" t="s">
        <v>60</v>
      </c>
      <c r="H285" t="s">
        <v>95</v>
      </c>
      <c r="I285" t="s">
        <v>97</v>
      </c>
      <c r="K285" t="s">
        <v>114</v>
      </c>
      <c r="L285" t="s">
        <v>197</v>
      </c>
      <c r="P285" t="s">
        <v>572</v>
      </c>
      <c r="AB285" t="s">
        <v>1162</v>
      </c>
      <c r="AD285"/>
      <c r="AF285" t="s">
        <v>54</v>
      </c>
      <c r="AG285" t="s">
        <v>855</v>
      </c>
      <c r="AH285" t="s">
        <v>55</v>
      </c>
      <c r="AI285" t="s">
        <v>1163</v>
      </c>
      <c r="AJ285" t="s">
        <v>1164</v>
      </c>
      <c r="AK285" s="1">
        <v>932.3</v>
      </c>
      <c r="AL285" t="s">
        <v>797</v>
      </c>
      <c r="AM285" t="s">
        <v>1165</v>
      </c>
    </row>
    <row r="286" spans="1:42" hidden="1">
      <c r="A286" t="s">
        <v>990</v>
      </c>
      <c r="B286" t="s">
        <v>44</v>
      </c>
      <c r="C286" t="s">
        <v>1167</v>
      </c>
      <c r="D286" t="s">
        <v>855</v>
      </c>
      <c r="F286" t="s">
        <v>1161</v>
      </c>
      <c r="G286" t="s">
        <v>60</v>
      </c>
      <c r="H286" t="s">
        <v>95</v>
      </c>
      <c r="I286" t="s">
        <v>97</v>
      </c>
      <c r="K286" t="s">
        <v>114</v>
      </c>
      <c r="L286" t="s">
        <v>197</v>
      </c>
      <c r="P286" t="s">
        <v>572</v>
      </c>
      <c r="AB286" t="s">
        <v>1162</v>
      </c>
      <c r="AD286"/>
      <c r="AF286" t="s">
        <v>54</v>
      </c>
      <c r="AG286" t="s">
        <v>855</v>
      </c>
      <c r="AH286" t="s">
        <v>55</v>
      </c>
      <c r="AI286" t="s">
        <v>1163</v>
      </c>
      <c r="AJ286" t="s">
        <v>1164</v>
      </c>
      <c r="AK286" s="1">
        <v>7300.8</v>
      </c>
      <c r="AL286" t="s">
        <v>797</v>
      </c>
      <c r="AM286" t="s">
        <v>1165</v>
      </c>
    </row>
    <row r="287" spans="1:42" hidden="1">
      <c r="A287" t="s">
        <v>990</v>
      </c>
      <c r="B287" t="s">
        <v>44</v>
      </c>
      <c r="C287" t="s">
        <v>1168</v>
      </c>
      <c r="D287" t="s">
        <v>256</v>
      </c>
      <c r="F287" t="s">
        <v>47</v>
      </c>
      <c r="G287" t="s">
        <v>60</v>
      </c>
      <c r="H287" t="s">
        <v>95</v>
      </c>
      <c r="I287" t="s">
        <v>97</v>
      </c>
      <c r="K287" t="s">
        <v>114</v>
      </c>
      <c r="L287" t="s">
        <v>197</v>
      </c>
      <c r="P287" t="s">
        <v>191</v>
      </c>
      <c r="AB287" t="s">
        <v>1169</v>
      </c>
      <c r="AD287"/>
      <c r="AF287" t="s">
        <v>54</v>
      </c>
      <c r="AG287" t="s">
        <v>256</v>
      </c>
      <c r="AH287" t="s">
        <v>55</v>
      </c>
      <c r="AI287" t="s">
        <v>1170</v>
      </c>
      <c r="AJ287" t="s">
        <v>1171</v>
      </c>
      <c r="AK287" s="1">
        <v>15300</v>
      </c>
      <c r="AM287" t="s">
        <v>714</v>
      </c>
    </row>
    <row r="288" spans="1:42" hidden="1">
      <c r="A288" t="s">
        <v>990</v>
      </c>
      <c r="B288" t="s">
        <v>210</v>
      </c>
      <c r="D288" t="s">
        <v>112</v>
      </c>
      <c r="F288" t="s">
        <v>112</v>
      </c>
      <c r="H288" t="s">
        <v>220</v>
      </c>
      <c r="I288" t="s">
        <v>72</v>
      </c>
      <c r="AD288" s="1">
        <v>3964</v>
      </c>
      <c r="AE288" t="s">
        <v>1172</v>
      </c>
      <c r="AF288" t="s">
        <v>54</v>
      </c>
      <c r="AG288" t="s">
        <v>112</v>
      </c>
      <c r="AI288" t="s">
        <v>1173</v>
      </c>
      <c r="AJ288" t="s">
        <v>1174</v>
      </c>
      <c r="AK288" s="2"/>
      <c r="AL288" t="s">
        <v>990</v>
      </c>
      <c r="AM288" t="s">
        <v>224</v>
      </c>
      <c r="AP288" t="s">
        <v>60</v>
      </c>
    </row>
    <row r="289" spans="1:42" hidden="1">
      <c r="A289" t="s">
        <v>990</v>
      </c>
      <c r="B289" t="s">
        <v>44</v>
      </c>
      <c r="C289" t="s">
        <v>1175</v>
      </c>
      <c r="D289" t="s">
        <v>800</v>
      </c>
      <c r="F289" t="s">
        <v>336</v>
      </c>
      <c r="H289" t="s">
        <v>95</v>
      </c>
      <c r="I289" t="s">
        <v>49</v>
      </c>
      <c r="J289" t="s">
        <v>49</v>
      </c>
      <c r="K289" t="s">
        <v>50</v>
      </c>
      <c r="M289" t="s">
        <v>51</v>
      </c>
      <c r="Z289" t="s">
        <v>205</v>
      </c>
      <c r="AB289" t="s">
        <v>1176</v>
      </c>
      <c r="AC289" t="s">
        <v>449</v>
      </c>
      <c r="AD289"/>
      <c r="AF289" t="s">
        <v>54</v>
      </c>
      <c r="AG289" t="s">
        <v>800</v>
      </c>
      <c r="AH289" t="s">
        <v>100</v>
      </c>
      <c r="AI289" t="s">
        <v>1177</v>
      </c>
      <c r="AJ289" t="s">
        <v>1178</v>
      </c>
      <c r="AK289" s="1">
        <v>14913.2</v>
      </c>
      <c r="AL289" t="s">
        <v>915</v>
      </c>
      <c r="AM289" t="s">
        <v>853</v>
      </c>
      <c r="AP289" t="s">
        <v>60</v>
      </c>
    </row>
    <row r="290" spans="1:42" hidden="1">
      <c r="A290" t="s">
        <v>990</v>
      </c>
      <c r="B290" t="s">
        <v>44</v>
      </c>
      <c r="C290" t="s">
        <v>1179</v>
      </c>
      <c r="D290" t="s">
        <v>800</v>
      </c>
      <c r="F290" t="s">
        <v>336</v>
      </c>
      <c r="H290" t="s">
        <v>95</v>
      </c>
      <c r="I290" t="s">
        <v>49</v>
      </c>
      <c r="J290" t="s">
        <v>49</v>
      </c>
      <c r="K290" t="s">
        <v>50</v>
      </c>
      <c r="M290" t="s">
        <v>51</v>
      </c>
      <c r="Z290" t="s">
        <v>205</v>
      </c>
      <c r="AB290" t="s">
        <v>1180</v>
      </c>
      <c r="AC290" t="s">
        <v>449</v>
      </c>
      <c r="AD290"/>
      <c r="AF290" t="s">
        <v>54</v>
      </c>
      <c r="AG290" t="s">
        <v>800</v>
      </c>
      <c r="AH290" t="s">
        <v>100</v>
      </c>
      <c r="AI290" t="s">
        <v>1177</v>
      </c>
      <c r="AJ290" t="s">
        <v>1178</v>
      </c>
      <c r="AK290" s="1">
        <v>8733.9</v>
      </c>
      <c r="AL290" t="s">
        <v>915</v>
      </c>
      <c r="AM290" t="s">
        <v>853</v>
      </c>
      <c r="AP290" t="s">
        <v>60</v>
      </c>
    </row>
    <row r="291" spans="1:42" hidden="1">
      <c r="A291" t="s">
        <v>797</v>
      </c>
      <c r="B291" t="s">
        <v>44</v>
      </c>
      <c r="C291" t="s">
        <v>1181</v>
      </c>
      <c r="D291" t="s">
        <v>444</v>
      </c>
      <c r="F291" t="s">
        <v>70</v>
      </c>
      <c r="H291" t="s">
        <v>234</v>
      </c>
      <c r="I291" t="s">
        <v>49</v>
      </c>
      <c r="K291" t="s">
        <v>50</v>
      </c>
      <c r="M291" t="s">
        <v>51</v>
      </c>
      <c r="Z291" t="s">
        <v>84</v>
      </c>
      <c r="AB291" t="s">
        <v>1182</v>
      </c>
      <c r="AD291"/>
      <c r="AF291" t="s">
        <v>54</v>
      </c>
      <c r="AG291" t="s">
        <v>444</v>
      </c>
      <c r="AH291" t="s">
        <v>55</v>
      </c>
      <c r="AI291" t="s">
        <v>650</v>
      </c>
      <c r="AJ291" t="s">
        <v>651</v>
      </c>
      <c r="AK291" s="1">
        <v>4220</v>
      </c>
      <c r="AL291" t="s">
        <v>797</v>
      </c>
      <c r="AM291" t="s">
        <v>1183</v>
      </c>
      <c r="AP291" t="s">
        <v>60</v>
      </c>
    </row>
    <row r="292" spans="1:42" hidden="1">
      <c r="A292" t="s">
        <v>797</v>
      </c>
      <c r="B292" t="s">
        <v>44</v>
      </c>
      <c r="C292" t="s">
        <v>1184</v>
      </c>
      <c r="D292" t="s">
        <v>395</v>
      </c>
      <c r="F292" t="s">
        <v>976</v>
      </c>
      <c r="H292" t="s">
        <v>113</v>
      </c>
      <c r="I292" t="s">
        <v>97</v>
      </c>
      <c r="K292" t="s">
        <v>114</v>
      </c>
      <c r="L292" t="s">
        <v>197</v>
      </c>
      <c r="P292" t="s">
        <v>241</v>
      </c>
      <c r="AB292" t="s">
        <v>544</v>
      </c>
      <c r="AD292"/>
      <c r="AF292" t="s">
        <v>54</v>
      </c>
      <c r="AG292" t="s">
        <v>395</v>
      </c>
      <c r="AH292" t="s">
        <v>55</v>
      </c>
      <c r="AI292" t="s">
        <v>988</v>
      </c>
      <c r="AJ292" t="s">
        <v>989</v>
      </c>
      <c r="AK292" s="1">
        <v>3862.2</v>
      </c>
      <c r="AL292" t="s">
        <v>797</v>
      </c>
      <c r="AM292" t="s">
        <v>998</v>
      </c>
      <c r="AP292" t="s">
        <v>60</v>
      </c>
    </row>
    <row r="293" spans="1:42" hidden="1">
      <c r="A293" t="s">
        <v>797</v>
      </c>
      <c r="B293" t="s">
        <v>44</v>
      </c>
      <c r="C293" t="s">
        <v>1185</v>
      </c>
      <c r="D293" t="s">
        <v>395</v>
      </c>
      <c r="F293" t="s">
        <v>343</v>
      </c>
      <c r="H293" t="s">
        <v>113</v>
      </c>
      <c r="I293" t="s">
        <v>97</v>
      </c>
      <c r="J293" t="s">
        <v>97</v>
      </c>
      <c r="K293" t="s">
        <v>114</v>
      </c>
      <c r="L293" t="s">
        <v>143</v>
      </c>
      <c r="Q293" t="s">
        <v>257</v>
      </c>
      <c r="AB293" t="s">
        <v>1186</v>
      </c>
      <c r="AC293" t="s">
        <v>201</v>
      </c>
      <c r="AD293"/>
      <c r="AF293" t="s">
        <v>54</v>
      </c>
      <c r="AG293" t="s">
        <v>395</v>
      </c>
      <c r="AH293" t="s">
        <v>100</v>
      </c>
      <c r="AI293" t="s">
        <v>1187</v>
      </c>
      <c r="AJ293" t="s">
        <v>1188</v>
      </c>
      <c r="AK293" s="1">
        <v>2000</v>
      </c>
      <c r="AL293" t="s">
        <v>797</v>
      </c>
      <c r="AM293" t="s">
        <v>280</v>
      </c>
      <c r="AP293" t="s">
        <v>60</v>
      </c>
    </row>
    <row r="294" spans="1:42" hidden="1">
      <c r="A294" t="s">
        <v>797</v>
      </c>
      <c r="B294" t="s">
        <v>44</v>
      </c>
      <c r="C294" t="s">
        <v>1189</v>
      </c>
      <c r="D294" t="s">
        <v>395</v>
      </c>
      <c r="F294" t="s">
        <v>343</v>
      </c>
      <c r="H294" t="s">
        <v>113</v>
      </c>
      <c r="I294" t="s">
        <v>97</v>
      </c>
      <c r="J294" t="s">
        <v>97</v>
      </c>
      <c r="K294" t="s">
        <v>50</v>
      </c>
      <c r="M294" t="s">
        <v>628</v>
      </c>
      <c r="X294" t="s">
        <v>257</v>
      </c>
      <c r="AB294" t="s">
        <v>1186</v>
      </c>
      <c r="AC294" t="s">
        <v>201</v>
      </c>
      <c r="AD294"/>
      <c r="AF294" t="s">
        <v>54</v>
      </c>
      <c r="AG294" t="s">
        <v>395</v>
      </c>
      <c r="AH294" t="s">
        <v>100</v>
      </c>
      <c r="AI294" t="s">
        <v>1187</v>
      </c>
      <c r="AJ294" t="s">
        <v>1188</v>
      </c>
      <c r="AK294" s="1">
        <v>7833.3</v>
      </c>
      <c r="AL294" t="s">
        <v>797</v>
      </c>
      <c r="AM294" t="s">
        <v>280</v>
      </c>
      <c r="AP294" t="s">
        <v>60</v>
      </c>
    </row>
    <row r="295" spans="1:42" hidden="1">
      <c r="A295" t="s">
        <v>797</v>
      </c>
      <c r="B295" t="s">
        <v>44</v>
      </c>
      <c r="C295" t="s">
        <v>1190</v>
      </c>
      <c r="D295" t="s">
        <v>142</v>
      </c>
      <c r="F295" t="s">
        <v>273</v>
      </c>
      <c r="H295" t="s">
        <v>228</v>
      </c>
      <c r="I295" t="s">
        <v>97</v>
      </c>
      <c r="K295" t="s">
        <v>114</v>
      </c>
      <c r="L295" t="s">
        <v>197</v>
      </c>
      <c r="P295" t="s">
        <v>516</v>
      </c>
      <c r="AB295" t="s">
        <v>1191</v>
      </c>
      <c r="AD295"/>
      <c r="AF295" t="s">
        <v>54</v>
      </c>
      <c r="AG295" t="s">
        <v>142</v>
      </c>
      <c r="AH295" t="s">
        <v>55</v>
      </c>
      <c r="AI295" t="s">
        <v>1083</v>
      </c>
      <c r="AJ295" t="s">
        <v>1084</v>
      </c>
      <c r="AK295" s="1">
        <v>11329.1</v>
      </c>
      <c r="AL295" t="s">
        <v>797</v>
      </c>
      <c r="AM295" t="s">
        <v>1192</v>
      </c>
    </row>
    <row r="296" spans="1:42" hidden="1">
      <c r="A296" t="s">
        <v>797</v>
      </c>
      <c r="B296" t="s">
        <v>44</v>
      </c>
      <c r="C296" t="s">
        <v>1193</v>
      </c>
      <c r="D296" t="s">
        <v>142</v>
      </c>
      <c r="F296" t="s">
        <v>273</v>
      </c>
      <c r="H296" t="s">
        <v>228</v>
      </c>
      <c r="I296" t="s">
        <v>97</v>
      </c>
      <c r="K296" t="s">
        <v>114</v>
      </c>
      <c r="L296" t="s">
        <v>197</v>
      </c>
      <c r="P296" t="s">
        <v>516</v>
      </c>
      <c r="AB296" t="s">
        <v>1194</v>
      </c>
      <c r="AD296"/>
      <c r="AF296" t="s">
        <v>54</v>
      </c>
      <c r="AG296" t="s">
        <v>142</v>
      </c>
      <c r="AH296" t="s">
        <v>55</v>
      </c>
      <c r="AI296" t="s">
        <v>1083</v>
      </c>
      <c r="AJ296" t="s">
        <v>1084</v>
      </c>
      <c r="AK296" s="1">
        <v>2384.3000000000002</v>
      </c>
      <c r="AM296" t="s">
        <v>1195</v>
      </c>
    </row>
    <row r="297" spans="1:42" hidden="1">
      <c r="A297" t="s">
        <v>797</v>
      </c>
      <c r="B297" t="s">
        <v>44</v>
      </c>
      <c r="C297" t="s">
        <v>1196</v>
      </c>
      <c r="D297" t="s">
        <v>142</v>
      </c>
      <c r="F297" t="s">
        <v>976</v>
      </c>
      <c r="H297" t="s">
        <v>95</v>
      </c>
      <c r="I297" t="s">
        <v>97</v>
      </c>
      <c r="J297" t="s">
        <v>97</v>
      </c>
      <c r="K297" t="s">
        <v>114</v>
      </c>
      <c r="L297" t="s">
        <v>143</v>
      </c>
      <c r="Q297" t="s">
        <v>144</v>
      </c>
      <c r="AB297" t="s">
        <v>1197</v>
      </c>
      <c r="AC297" t="s">
        <v>828</v>
      </c>
      <c r="AD297"/>
      <c r="AF297" t="s">
        <v>54</v>
      </c>
      <c r="AG297" t="s">
        <v>142</v>
      </c>
      <c r="AH297" t="s">
        <v>100</v>
      </c>
      <c r="AI297" t="s">
        <v>1095</v>
      </c>
      <c r="AJ297" t="s">
        <v>1096</v>
      </c>
      <c r="AK297" s="1">
        <v>45300</v>
      </c>
      <c r="AL297" t="s">
        <v>797</v>
      </c>
      <c r="AM297" t="s">
        <v>149</v>
      </c>
      <c r="AP297" t="s">
        <v>60</v>
      </c>
    </row>
    <row r="298" spans="1:42" hidden="1">
      <c r="A298" t="s">
        <v>797</v>
      </c>
      <c r="B298" t="s">
        <v>44</v>
      </c>
      <c r="C298" t="s">
        <v>1198</v>
      </c>
      <c r="D298" t="s">
        <v>142</v>
      </c>
      <c r="F298" t="s">
        <v>329</v>
      </c>
      <c r="H298" t="s">
        <v>113</v>
      </c>
      <c r="I298" t="s">
        <v>97</v>
      </c>
      <c r="J298" t="s">
        <v>97</v>
      </c>
      <c r="K298" t="s">
        <v>114</v>
      </c>
      <c r="L298" t="s">
        <v>115</v>
      </c>
      <c r="O298" t="s">
        <v>205</v>
      </c>
      <c r="AB298" t="s">
        <v>1199</v>
      </c>
      <c r="AC298" t="s">
        <v>1200</v>
      </c>
      <c r="AD298"/>
      <c r="AF298" t="s">
        <v>54</v>
      </c>
      <c r="AG298" t="s">
        <v>142</v>
      </c>
      <c r="AH298" t="s">
        <v>100</v>
      </c>
      <c r="AI298" t="s">
        <v>1201</v>
      </c>
      <c r="AJ298" t="s">
        <v>1202</v>
      </c>
      <c r="AK298" s="1">
        <v>4144.2</v>
      </c>
      <c r="AL298" t="s">
        <v>797</v>
      </c>
      <c r="AM298" t="s">
        <v>280</v>
      </c>
      <c r="AP298" t="s">
        <v>60</v>
      </c>
    </row>
    <row r="299" spans="1:42" hidden="1">
      <c r="A299" t="s">
        <v>797</v>
      </c>
      <c r="B299" t="s">
        <v>44</v>
      </c>
      <c r="C299" t="s">
        <v>1203</v>
      </c>
      <c r="D299" t="s">
        <v>142</v>
      </c>
      <c r="F299" t="s">
        <v>329</v>
      </c>
      <c r="H299" t="s">
        <v>113</v>
      </c>
      <c r="I299" t="s">
        <v>97</v>
      </c>
      <c r="J299" t="s">
        <v>97</v>
      </c>
      <c r="K299" t="s">
        <v>50</v>
      </c>
      <c r="M299" t="s">
        <v>51</v>
      </c>
      <c r="Z299" t="s">
        <v>205</v>
      </c>
      <c r="AB299" t="s">
        <v>1199</v>
      </c>
      <c r="AC299" t="s">
        <v>1204</v>
      </c>
      <c r="AD299"/>
      <c r="AF299" t="s">
        <v>54</v>
      </c>
      <c r="AG299" t="s">
        <v>142</v>
      </c>
      <c r="AH299" t="s">
        <v>100</v>
      </c>
      <c r="AI299" t="s">
        <v>1201</v>
      </c>
      <c r="AJ299" t="s">
        <v>1202</v>
      </c>
      <c r="AK299" s="1">
        <v>8091.3</v>
      </c>
      <c r="AL299" t="s">
        <v>797</v>
      </c>
      <c r="AM299" t="s">
        <v>280</v>
      </c>
      <c r="AP299" t="s">
        <v>60</v>
      </c>
    </row>
    <row r="300" spans="1:42" hidden="1">
      <c r="A300" t="s">
        <v>797</v>
      </c>
      <c r="B300" t="s">
        <v>210</v>
      </c>
      <c r="D300" t="s">
        <v>368</v>
      </c>
      <c r="F300" t="s">
        <v>444</v>
      </c>
      <c r="H300" t="s">
        <v>95</v>
      </c>
      <c r="I300" t="s">
        <v>97</v>
      </c>
      <c r="AD300" s="1">
        <v>9459.6</v>
      </c>
      <c r="AE300" t="s">
        <v>1205</v>
      </c>
      <c r="AF300" t="s">
        <v>54</v>
      </c>
      <c r="AG300" t="s">
        <v>368</v>
      </c>
      <c r="AI300" t="s">
        <v>1206</v>
      </c>
      <c r="AJ300" t="s">
        <v>1207</v>
      </c>
      <c r="AK300" s="2"/>
      <c r="AL300" t="s">
        <v>797</v>
      </c>
      <c r="AM300" t="s">
        <v>224</v>
      </c>
      <c r="AP300" t="s">
        <v>60</v>
      </c>
    </row>
    <row r="301" spans="1:42" hidden="1">
      <c r="A301" t="s">
        <v>797</v>
      </c>
      <c r="B301" t="s">
        <v>44</v>
      </c>
      <c r="C301" t="s">
        <v>1208</v>
      </c>
      <c r="D301" t="s">
        <v>529</v>
      </c>
      <c r="F301" t="s">
        <v>81</v>
      </c>
      <c r="H301" t="s">
        <v>95</v>
      </c>
      <c r="I301" t="s">
        <v>97</v>
      </c>
      <c r="K301" t="s">
        <v>50</v>
      </c>
      <c r="M301" t="s">
        <v>190</v>
      </c>
      <c r="Y301" t="s">
        <v>572</v>
      </c>
      <c r="AB301" t="s">
        <v>1209</v>
      </c>
      <c r="AD301"/>
      <c r="AF301" t="s">
        <v>54</v>
      </c>
      <c r="AG301" t="s">
        <v>529</v>
      </c>
      <c r="AH301" t="s">
        <v>55</v>
      </c>
      <c r="AI301" t="s">
        <v>908</v>
      </c>
      <c r="AJ301" t="s">
        <v>909</v>
      </c>
      <c r="AK301" s="1">
        <v>1728.1</v>
      </c>
      <c r="AL301" t="s">
        <v>797</v>
      </c>
      <c r="AM301" t="s">
        <v>1210</v>
      </c>
    </row>
    <row r="302" spans="1:42" hidden="1">
      <c r="A302" t="s">
        <v>797</v>
      </c>
      <c r="B302" t="s">
        <v>44</v>
      </c>
      <c r="C302" t="s">
        <v>1211</v>
      </c>
      <c r="D302" t="s">
        <v>596</v>
      </c>
      <c r="F302" t="s">
        <v>732</v>
      </c>
      <c r="H302" t="s">
        <v>330</v>
      </c>
      <c r="I302" t="s">
        <v>97</v>
      </c>
      <c r="K302" t="s">
        <v>50</v>
      </c>
      <c r="M302" t="s">
        <v>51</v>
      </c>
      <c r="Z302" t="s">
        <v>116</v>
      </c>
      <c r="AB302" t="s">
        <v>1212</v>
      </c>
      <c r="AD302"/>
      <c r="AF302" t="s">
        <v>54</v>
      </c>
      <c r="AG302" t="s">
        <v>596</v>
      </c>
      <c r="AH302" t="s">
        <v>55</v>
      </c>
      <c r="AI302" t="s">
        <v>1213</v>
      </c>
      <c r="AJ302" t="s">
        <v>1214</v>
      </c>
      <c r="AK302" s="1">
        <v>11046.7</v>
      </c>
      <c r="AM302" t="s">
        <v>714</v>
      </c>
    </row>
    <row r="303" spans="1:42" hidden="1">
      <c r="A303" t="s">
        <v>797</v>
      </c>
      <c r="B303" t="s">
        <v>44</v>
      </c>
      <c r="C303" t="s">
        <v>1215</v>
      </c>
      <c r="D303" t="s">
        <v>956</v>
      </c>
      <c r="F303" t="s">
        <v>444</v>
      </c>
      <c r="G303" t="s">
        <v>60</v>
      </c>
      <c r="H303" t="s">
        <v>82</v>
      </c>
      <c r="I303" t="s">
        <v>49</v>
      </c>
      <c r="K303" t="s">
        <v>114</v>
      </c>
      <c r="L303" t="s">
        <v>197</v>
      </c>
      <c r="P303" t="s">
        <v>241</v>
      </c>
      <c r="AB303" t="s">
        <v>1216</v>
      </c>
      <c r="AD303"/>
      <c r="AF303" t="s">
        <v>54</v>
      </c>
      <c r="AG303" t="s">
        <v>956</v>
      </c>
      <c r="AH303" t="s">
        <v>55</v>
      </c>
      <c r="AI303" t="s">
        <v>1217</v>
      </c>
      <c r="AJ303" t="s">
        <v>1218</v>
      </c>
      <c r="AK303" s="1">
        <v>31300</v>
      </c>
      <c r="AL303" t="s">
        <v>915</v>
      </c>
      <c r="AM303" t="s">
        <v>853</v>
      </c>
      <c r="AP303" t="s">
        <v>60</v>
      </c>
    </row>
    <row r="304" spans="1:42" hidden="1">
      <c r="A304" t="s">
        <v>797</v>
      </c>
      <c r="B304" t="s">
        <v>44</v>
      </c>
      <c r="C304" t="s">
        <v>1219</v>
      </c>
      <c r="D304" t="s">
        <v>263</v>
      </c>
      <c r="F304" t="s">
        <v>263</v>
      </c>
      <c r="H304" t="s">
        <v>95</v>
      </c>
      <c r="I304" t="s">
        <v>182</v>
      </c>
      <c r="K304" t="s">
        <v>50</v>
      </c>
      <c r="M304" t="s">
        <v>51</v>
      </c>
      <c r="Z304" t="s">
        <v>183</v>
      </c>
      <c r="AB304" t="s">
        <v>1220</v>
      </c>
      <c r="AD304"/>
      <c r="AF304" t="s">
        <v>54</v>
      </c>
      <c r="AG304" t="s">
        <v>263</v>
      </c>
      <c r="AH304" t="s">
        <v>55</v>
      </c>
      <c r="AI304" t="s">
        <v>1221</v>
      </c>
      <c r="AJ304" t="s">
        <v>1222</v>
      </c>
      <c r="AK304" s="1">
        <v>10180</v>
      </c>
      <c r="AL304" t="s">
        <v>915</v>
      </c>
      <c r="AM304" t="s">
        <v>1223</v>
      </c>
    </row>
    <row r="305" spans="1:42" hidden="1">
      <c r="F305" t="s">
        <v>444</v>
      </c>
      <c r="AD305"/>
      <c r="AF305" t="s">
        <v>54</v>
      </c>
      <c r="AG305" t="s">
        <v>1224</v>
      </c>
      <c r="AK305" s="2"/>
      <c r="AO305" t="s">
        <v>1217</v>
      </c>
      <c r="AP305" t="s">
        <v>60</v>
      </c>
    </row>
    <row r="306" spans="1:42" hidden="1">
      <c r="A306" t="s">
        <v>915</v>
      </c>
      <c r="B306" t="s">
        <v>210</v>
      </c>
      <c r="D306" t="s">
        <v>163</v>
      </c>
      <c r="F306" t="s">
        <v>152</v>
      </c>
      <c r="H306" t="s">
        <v>189</v>
      </c>
      <c r="I306" t="s">
        <v>97</v>
      </c>
      <c r="AD306" s="1">
        <v>28800</v>
      </c>
      <c r="AE306" t="s">
        <v>1225</v>
      </c>
      <c r="AF306" t="s">
        <v>54</v>
      </c>
      <c r="AG306" t="s">
        <v>163</v>
      </c>
      <c r="AI306" t="s">
        <v>1226</v>
      </c>
      <c r="AJ306" t="s">
        <v>1227</v>
      </c>
      <c r="AK306" s="2"/>
      <c r="AL306" t="s">
        <v>915</v>
      </c>
      <c r="AM306" t="s">
        <v>224</v>
      </c>
    </row>
    <row r="307" spans="1:42" hidden="1">
      <c r="A307" t="s">
        <v>915</v>
      </c>
      <c r="B307" t="s">
        <v>44</v>
      </c>
      <c r="C307" t="s">
        <v>1228</v>
      </c>
      <c r="D307" t="s">
        <v>375</v>
      </c>
      <c r="F307" t="s">
        <v>1229</v>
      </c>
      <c r="H307" t="s">
        <v>189</v>
      </c>
      <c r="I307" t="s">
        <v>97</v>
      </c>
      <c r="K307" t="s">
        <v>50</v>
      </c>
      <c r="M307" t="s">
        <v>51</v>
      </c>
      <c r="Z307" t="s">
        <v>73</v>
      </c>
      <c r="AB307" t="s">
        <v>1230</v>
      </c>
      <c r="AD307"/>
      <c r="AF307" t="s">
        <v>54</v>
      </c>
      <c r="AG307" t="s">
        <v>375</v>
      </c>
      <c r="AH307" t="s">
        <v>55</v>
      </c>
      <c r="AI307" t="s">
        <v>1231</v>
      </c>
      <c r="AJ307" t="s">
        <v>1232</v>
      </c>
      <c r="AK307" s="1">
        <v>16282.6</v>
      </c>
      <c r="AM307" t="s">
        <v>714</v>
      </c>
    </row>
    <row r="308" spans="1:42" hidden="1">
      <c r="AD308"/>
      <c r="AF308" t="s">
        <v>54</v>
      </c>
      <c r="AG308" t="s">
        <v>1224</v>
      </c>
      <c r="AK308" s="2"/>
      <c r="AP308" t="s">
        <v>60</v>
      </c>
    </row>
    <row r="309" spans="1:42" hidden="1">
      <c r="A309" t="s">
        <v>915</v>
      </c>
      <c r="B309" t="s">
        <v>44</v>
      </c>
      <c r="C309" t="s">
        <v>1233</v>
      </c>
      <c r="D309" t="s">
        <v>368</v>
      </c>
      <c r="F309" t="s">
        <v>562</v>
      </c>
      <c r="G309" t="s">
        <v>60</v>
      </c>
      <c r="H309" t="s">
        <v>95</v>
      </c>
      <c r="I309" t="s">
        <v>97</v>
      </c>
      <c r="K309" t="s">
        <v>50</v>
      </c>
      <c r="M309" t="s">
        <v>190</v>
      </c>
      <c r="Y309" t="s">
        <v>572</v>
      </c>
      <c r="AB309" t="s">
        <v>1234</v>
      </c>
      <c r="AD309"/>
      <c r="AF309" t="s">
        <v>54</v>
      </c>
      <c r="AG309" t="s">
        <v>368</v>
      </c>
      <c r="AH309" t="s">
        <v>55</v>
      </c>
      <c r="AI309" t="s">
        <v>1235</v>
      </c>
      <c r="AJ309" t="s">
        <v>1236</v>
      </c>
      <c r="AK309" s="1">
        <v>207.9</v>
      </c>
      <c r="AL309" t="s">
        <v>903</v>
      </c>
      <c r="AM309" t="s">
        <v>89</v>
      </c>
    </row>
    <row r="310" spans="1:42" hidden="1">
      <c r="A310" t="s">
        <v>915</v>
      </c>
      <c r="B310" t="s">
        <v>44</v>
      </c>
      <c r="C310" t="s">
        <v>1237</v>
      </c>
      <c r="D310" t="s">
        <v>368</v>
      </c>
      <c r="F310" t="s">
        <v>562</v>
      </c>
      <c r="G310" t="s">
        <v>60</v>
      </c>
      <c r="H310" t="s">
        <v>95</v>
      </c>
      <c r="I310" t="s">
        <v>97</v>
      </c>
      <c r="K310" t="s">
        <v>50</v>
      </c>
      <c r="M310" t="s">
        <v>190</v>
      </c>
      <c r="Y310" t="s">
        <v>572</v>
      </c>
      <c r="AB310" t="s">
        <v>1234</v>
      </c>
      <c r="AD310"/>
      <c r="AF310" t="s">
        <v>54</v>
      </c>
      <c r="AG310" t="s">
        <v>368</v>
      </c>
      <c r="AH310" t="s">
        <v>55</v>
      </c>
      <c r="AI310" t="s">
        <v>1235</v>
      </c>
      <c r="AJ310" t="s">
        <v>1236</v>
      </c>
      <c r="AK310" s="1">
        <v>3827.7</v>
      </c>
      <c r="AL310" t="s">
        <v>903</v>
      </c>
      <c r="AM310" t="s">
        <v>89</v>
      </c>
    </row>
    <row r="311" spans="1:42" hidden="1">
      <c r="A311" t="s">
        <v>915</v>
      </c>
      <c r="B311" t="s">
        <v>44</v>
      </c>
      <c r="C311" t="s">
        <v>1237</v>
      </c>
      <c r="D311" t="s">
        <v>368</v>
      </c>
      <c r="F311" t="s">
        <v>562</v>
      </c>
      <c r="G311" t="s">
        <v>60</v>
      </c>
      <c r="H311" t="s">
        <v>95</v>
      </c>
      <c r="I311" t="s">
        <v>97</v>
      </c>
      <c r="K311" t="s">
        <v>114</v>
      </c>
      <c r="L311" t="s">
        <v>197</v>
      </c>
      <c r="P311" t="s">
        <v>572</v>
      </c>
      <c r="AB311" t="s">
        <v>1234</v>
      </c>
      <c r="AD311"/>
      <c r="AF311" t="s">
        <v>54</v>
      </c>
      <c r="AG311" t="s">
        <v>368</v>
      </c>
      <c r="AH311" t="s">
        <v>55</v>
      </c>
      <c r="AI311" t="s">
        <v>1235</v>
      </c>
      <c r="AJ311" t="s">
        <v>1236</v>
      </c>
      <c r="AK311" s="1">
        <v>4800</v>
      </c>
      <c r="AM311" t="s">
        <v>1238</v>
      </c>
    </row>
    <row r="312" spans="1:42" hidden="1">
      <c r="A312" t="s">
        <v>1239</v>
      </c>
      <c r="B312" t="s">
        <v>44</v>
      </c>
      <c r="C312" t="s">
        <v>1240</v>
      </c>
      <c r="D312" t="s">
        <v>1241</v>
      </c>
      <c r="F312" t="s">
        <v>273</v>
      </c>
      <c r="H312" t="s">
        <v>113</v>
      </c>
      <c r="I312" t="s">
        <v>97</v>
      </c>
      <c r="K312" t="s">
        <v>50</v>
      </c>
      <c r="M312" t="s">
        <v>51</v>
      </c>
      <c r="Z312" t="s">
        <v>116</v>
      </c>
      <c r="AB312" t="s">
        <v>1242</v>
      </c>
      <c r="AD312"/>
      <c r="AF312" t="s">
        <v>54</v>
      </c>
      <c r="AG312" t="s">
        <v>1241</v>
      </c>
      <c r="AH312" t="s">
        <v>55</v>
      </c>
      <c r="AI312" t="s">
        <v>1243</v>
      </c>
      <c r="AJ312" t="s">
        <v>1244</v>
      </c>
      <c r="AK312" s="1">
        <v>34860</v>
      </c>
      <c r="AM312" t="s">
        <v>1245</v>
      </c>
    </row>
    <row r="313" spans="1:42" hidden="1">
      <c r="A313" t="s">
        <v>903</v>
      </c>
      <c r="B313" t="s">
        <v>44</v>
      </c>
      <c r="C313" t="s">
        <v>1246</v>
      </c>
      <c r="D313" t="s">
        <v>415</v>
      </c>
      <c r="F313" t="s">
        <v>135</v>
      </c>
      <c r="H313" t="s">
        <v>234</v>
      </c>
      <c r="I313" t="s">
        <v>72</v>
      </c>
      <c r="K313" t="s">
        <v>114</v>
      </c>
      <c r="L313" t="s">
        <v>197</v>
      </c>
      <c r="P313" t="s">
        <v>191</v>
      </c>
      <c r="AB313" t="s">
        <v>1247</v>
      </c>
      <c r="AD313"/>
      <c r="AF313" t="s">
        <v>54</v>
      </c>
      <c r="AG313" t="s">
        <v>415</v>
      </c>
      <c r="AH313" t="s">
        <v>55</v>
      </c>
      <c r="AI313" t="s">
        <v>1248</v>
      </c>
      <c r="AJ313" t="s">
        <v>1249</v>
      </c>
      <c r="AK313" s="1">
        <v>15500</v>
      </c>
      <c r="AM313" t="s">
        <v>714</v>
      </c>
    </row>
    <row r="314" spans="1:42" hidden="1">
      <c r="A314" t="s">
        <v>903</v>
      </c>
      <c r="B314" t="s">
        <v>210</v>
      </c>
      <c r="D314" t="s">
        <v>163</v>
      </c>
      <c r="F314" t="s">
        <v>354</v>
      </c>
      <c r="H314" t="s">
        <v>113</v>
      </c>
      <c r="I314" t="s">
        <v>97</v>
      </c>
      <c r="AD314" s="1">
        <v>9441.5</v>
      </c>
      <c r="AE314" t="s">
        <v>221</v>
      </c>
      <c r="AF314" t="s">
        <v>54</v>
      </c>
      <c r="AG314" t="s">
        <v>163</v>
      </c>
      <c r="AI314" t="s">
        <v>1250</v>
      </c>
      <c r="AJ314" t="s">
        <v>1251</v>
      </c>
      <c r="AK314" s="2"/>
      <c r="AL314" t="s">
        <v>903</v>
      </c>
      <c r="AM314" t="s">
        <v>224</v>
      </c>
      <c r="AP314" t="s">
        <v>60</v>
      </c>
    </row>
    <row r="315" spans="1:42" hidden="1">
      <c r="A315" t="s">
        <v>903</v>
      </c>
      <c r="B315" t="s">
        <v>44</v>
      </c>
      <c r="C315" t="s">
        <v>1252</v>
      </c>
      <c r="D315" t="s">
        <v>368</v>
      </c>
      <c r="F315" t="s">
        <v>381</v>
      </c>
      <c r="G315" t="s">
        <v>60</v>
      </c>
      <c r="H315" t="s">
        <v>250</v>
      </c>
      <c r="I315" t="s">
        <v>97</v>
      </c>
      <c r="J315" t="s">
        <v>97</v>
      </c>
      <c r="K315" t="s">
        <v>50</v>
      </c>
      <c r="M315" t="s">
        <v>190</v>
      </c>
      <c r="Y315" t="s">
        <v>572</v>
      </c>
      <c r="AB315" t="s">
        <v>1253</v>
      </c>
      <c r="AC315" t="s">
        <v>1254</v>
      </c>
      <c r="AD315"/>
      <c r="AF315" t="s">
        <v>54</v>
      </c>
      <c r="AG315" t="s">
        <v>368</v>
      </c>
      <c r="AH315" t="s">
        <v>100</v>
      </c>
      <c r="AI315" t="s">
        <v>1255</v>
      </c>
      <c r="AJ315" t="s">
        <v>1256</v>
      </c>
      <c r="AK315" s="1">
        <v>8644.6</v>
      </c>
      <c r="AL315" t="s">
        <v>903</v>
      </c>
      <c r="AM315" t="s">
        <v>103</v>
      </c>
    </row>
    <row r="316" spans="1:42" hidden="1">
      <c r="A316" t="s">
        <v>903</v>
      </c>
      <c r="B316" t="s">
        <v>44</v>
      </c>
      <c r="C316" t="s">
        <v>1257</v>
      </c>
      <c r="D316" t="s">
        <v>282</v>
      </c>
      <c r="F316" t="s">
        <v>282</v>
      </c>
      <c r="H316" t="s">
        <v>508</v>
      </c>
      <c r="I316" t="s">
        <v>182</v>
      </c>
      <c r="J316" t="s">
        <v>182</v>
      </c>
      <c r="K316" t="s">
        <v>114</v>
      </c>
      <c r="L316" t="s">
        <v>143</v>
      </c>
      <c r="Q316" t="s">
        <v>144</v>
      </c>
      <c r="AB316" t="s">
        <v>1258</v>
      </c>
      <c r="AC316" t="s">
        <v>1259</v>
      </c>
      <c r="AD316"/>
      <c r="AF316" t="s">
        <v>54</v>
      </c>
      <c r="AG316" t="s">
        <v>282</v>
      </c>
      <c r="AH316" t="s">
        <v>100</v>
      </c>
      <c r="AI316" t="s">
        <v>1260</v>
      </c>
      <c r="AJ316" t="s">
        <v>1261</v>
      </c>
      <c r="AK316" s="1">
        <v>25340</v>
      </c>
      <c r="AL316" t="s">
        <v>903</v>
      </c>
      <c r="AM316" t="s">
        <v>103</v>
      </c>
      <c r="AP316" t="s">
        <v>60</v>
      </c>
    </row>
    <row r="317" spans="1:42" hidden="1">
      <c r="A317" t="s">
        <v>903</v>
      </c>
      <c r="B317" t="s">
        <v>44</v>
      </c>
      <c r="C317" t="s">
        <v>1262</v>
      </c>
      <c r="D317" t="s">
        <v>368</v>
      </c>
      <c r="F317" t="s">
        <v>381</v>
      </c>
      <c r="G317" t="s">
        <v>60</v>
      </c>
      <c r="H317" t="s">
        <v>250</v>
      </c>
      <c r="I317" t="s">
        <v>97</v>
      </c>
      <c r="J317" t="s">
        <v>97</v>
      </c>
      <c r="K317" t="s">
        <v>114</v>
      </c>
      <c r="L317" t="s">
        <v>197</v>
      </c>
      <c r="P317" t="s">
        <v>572</v>
      </c>
      <c r="AB317" t="s">
        <v>1253</v>
      </c>
      <c r="AC317" t="s">
        <v>1254</v>
      </c>
      <c r="AD317"/>
      <c r="AF317" t="s">
        <v>54</v>
      </c>
      <c r="AG317" t="s">
        <v>368</v>
      </c>
      <c r="AH317" t="s">
        <v>100</v>
      </c>
      <c r="AI317" t="s">
        <v>1255</v>
      </c>
      <c r="AJ317" t="s">
        <v>1256</v>
      </c>
      <c r="AK317" s="1">
        <v>3894.1</v>
      </c>
      <c r="AL317" t="s">
        <v>903</v>
      </c>
      <c r="AM317" t="s">
        <v>103</v>
      </c>
    </row>
    <row r="318" spans="1:42" hidden="1">
      <c r="A318" t="s">
        <v>903</v>
      </c>
      <c r="B318" t="s">
        <v>44</v>
      </c>
      <c r="C318" t="s">
        <v>1263</v>
      </c>
      <c r="D318" t="s">
        <v>368</v>
      </c>
      <c r="F318" t="s">
        <v>562</v>
      </c>
      <c r="G318" t="s">
        <v>60</v>
      </c>
      <c r="H318" t="s">
        <v>95</v>
      </c>
      <c r="I318" t="s">
        <v>97</v>
      </c>
      <c r="K318" t="s">
        <v>114</v>
      </c>
      <c r="L318" t="s">
        <v>197</v>
      </c>
      <c r="P318" t="s">
        <v>572</v>
      </c>
      <c r="AB318" t="s">
        <v>1234</v>
      </c>
      <c r="AD318"/>
      <c r="AF318" t="s">
        <v>54</v>
      </c>
      <c r="AG318" t="s">
        <v>368</v>
      </c>
      <c r="AH318" t="s">
        <v>55</v>
      </c>
      <c r="AI318" t="s">
        <v>1235</v>
      </c>
      <c r="AJ318" t="s">
        <v>1236</v>
      </c>
      <c r="AK318" s="1">
        <v>4800</v>
      </c>
    </row>
    <row r="319" spans="1:42" hidden="1">
      <c r="A319" t="s">
        <v>903</v>
      </c>
      <c r="B319" t="s">
        <v>44</v>
      </c>
      <c r="C319" t="s">
        <v>1264</v>
      </c>
      <c r="D319" t="s">
        <v>395</v>
      </c>
      <c r="F319" t="s">
        <v>1229</v>
      </c>
      <c r="H319" t="s">
        <v>174</v>
      </c>
      <c r="I319" t="s">
        <v>97</v>
      </c>
      <c r="K319" t="s">
        <v>114</v>
      </c>
      <c r="L319" t="s">
        <v>197</v>
      </c>
      <c r="P319" t="s">
        <v>241</v>
      </c>
      <c r="AB319" t="s">
        <v>1265</v>
      </c>
      <c r="AD319"/>
      <c r="AF319" t="s">
        <v>54</v>
      </c>
      <c r="AG319" t="s">
        <v>395</v>
      </c>
      <c r="AH319" t="s">
        <v>55</v>
      </c>
      <c r="AI319" t="s">
        <v>1266</v>
      </c>
      <c r="AJ319" t="s">
        <v>1267</v>
      </c>
      <c r="AK319" s="1">
        <v>4200</v>
      </c>
    </row>
    <row r="320" spans="1:42" hidden="1">
      <c r="A320" t="s">
        <v>903</v>
      </c>
      <c r="B320" t="s">
        <v>44</v>
      </c>
      <c r="C320" t="s">
        <v>1268</v>
      </c>
      <c r="D320" t="s">
        <v>395</v>
      </c>
      <c r="F320" t="s">
        <v>1229</v>
      </c>
      <c r="H320" t="s">
        <v>174</v>
      </c>
      <c r="I320" t="s">
        <v>97</v>
      </c>
      <c r="K320" t="s">
        <v>50</v>
      </c>
      <c r="M320" t="s">
        <v>190</v>
      </c>
      <c r="Y320" t="s">
        <v>241</v>
      </c>
      <c r="AB320" t="s">
        <v>1265</v>
      </c>
      <c r="AD320"/>
      <c r="AF320" t="s">
        <v>54</v>
      </c>
      <c r="AG320" t="s">
        <v>395</v>
      </c>
      <c r="AH320" t="s">
        <v>55</v>
      </c>
      <c r="AI320" t="s">
        <v>1266</v>
      </c>
      <c r="AJ320" t="s">
        <v>1267</v>
      </c>
      <c r="AK320" s="1">
        <v>8496.7999999999993</v>
      </c>
    </row>
    <row r="321" spans="1:42" hidden="1">
      <c r="A321" t="s">
        <v>903</v>
      </c>
      <c r="B321" t="s">
        <v>44</v>
      </c>
      <c r="C321" t="s">
        <v>1269</v>
      </c>
      <c r="D321" t="s">
        <v>395</v>
      </c>
      <c r="F321" t="s">
        <v>1229</v>
      </c>
      <c r="H321" t="s">
        <v>174</v>
      </c>
      <c r="I321" t="s">
        <v>97</v>
      </c>
      <c r="K321" t="s">
        <v>50</v>
      </c>
      <c r="M321" t="s">
        <v>190</v>
      </c>
      <c r="Y321" t="s">
        <v>241</v>
      </c>
      <c r="AB321" t="s">
        <v>1265</v>
      </c>
      <c r="AD321"/>
      <c r="AF321" t="s">
        <v>54</v>
      </c>
      <c r="AG321" t="s">
        <v>395</v>
      </c>
      <c r="AH321" t="s">
        <v>55</v>
      </c>
      <c r="AI321" t="s">
        <v>1266</v>
      </c>
      <c r="AJ321" t="s">
        <v>1267</v>
      </c>
      <c r="AK321" s="1">
        <v>38.700000000000003</v>
      </c>
    </row>
    <row r="322" spans="1:42">
      <c r="A322" t="s">
        <v>903</v>
      </c>
      <c r="B322" t="s">
        <v>210</v>
      </c>
      <c r="D322" t="s">
        <v>375</v>
      </c>
      <c r="F322" s="2" t="s">
        <v>227</v>
      </c>
      <c r="H322" t="s">
        <v>294</v>
      </c>
      <c r="I322" t="s">
        <v>97</v>
      </c>
      <c r="AD322" s="1">
        <v>12800</v>
      </c>
      <c r="AE322" t="s">
        <v>1270</v>
      </c>
      <c r="AF322" t="s">
        <v>54</v>
      </c>
      <c r="AG322" t="s">
        <v>375</v>
      </c>
      <c r="AI322" t="s">
        <v>1271</v>
      </c>
      <c r="AJ322" t="s">
        <v>1272</v>
      </c>
      <c r="AK322" s="2"/>
      <c r="AL322" t="s">
        <v>903</v>
      </c>
      <c r="AM322" t="s">
        <v>224</v>
      </c>
      <c r="AP322" t="s">
        <v>60</v>
      </c>
    </row>
    <row r="323" spans="1:42" hidden="1">
      <c r="A323" t="s">
        <v>903</v>
      </c>
      <c r="B323" t="s">
        <v>210</v>
      </c>
      <c r="D323" t="s">
        <v>368</v>
      </c>
      <c r="F323" t="s">
        <v>562</v>
      </c>
      <c r="G323" t="s">
        <v>60</v>
      </c>
      <c r="H323" t="s">
        <v>95</v>
      </c>
      <c r="I323" t="s">
        <v>97</v>
      </c>
      <c r="AD323" s="1">
        <v>4800</v>
      </c>
      <c r="AE323" t="s">
        <v>1273</v>
      </c>
      <c r="AF323" t="s">
        <v>54</v>
      </c>
      <c r="AG323" t="s">
        <v>368</v>
      </c>
      <c r="AI323" t="s">
        <v>1235</v>
      </c>
      <c r="AJ323" t="s">
        <v>1236</v>
      </c>
      <c r="AK323" s="2"/>
      <c r="AL323" t="s">
        <v>903</v>
      </c>
      <c r="AM323" t="s">
        <v>224</v>
      </c>
    </row>
    <row r="324" spans="1:42" hidden="1">
      <c r="A324" t="s">
        <v>903</v>
      </c>
      <c r="B324" t="s">
        <v>44</v>
      </c>
      <c r="C324" t="s">
        <v>1274</v>
      </c>
      <c r="D324" t="s">
        <v>444</v>
      </c>
      <c r="F324" t="s">
        <v>570</v>
      </c>
      <c r="H324" t="s">
        <v>1275</v>
      </c>
      <c r="I324" t="s">
        <v>49</v>
      </c>
      <c r="K324" t="s">
        <v>114</v>
      </c>
      <c r="L324" t="s">
        <v>313</v>
      </c>
      <c r="N324" t="s">
        <v>1276</v>
      </c>
      <c r="AB324" t="s">
        <v>1277</v>
      </c>
      <c r="AD324"/>
      <c r="AF324" t="s">
        <v>54</v>
      </c>
      <c r="AG324" t="s">
        <v>444</v>
      </c>
      <c r="AH324" t="s">
        <v>55</v>
      </c>
      <c r="AI324" t="s">
        <v>1278</v>
      </c>
      <c r="AJ324" t="s">
        <v>1279</v>
      </c>
      <c r="AK324" s="1">
        <v>14000</v>
      </c>
    </row>
    <row r="325" spans="1:42" hidden="1">
      <c r="A325" t="s">
        <v>903</v>
      </c>
      <c r="B325" t="s">
        <v>44</v>
      </c>
      <c r="C325" t="s">
        <v>1280</v>
      </c>
      <c r="D325" t="s">
        <v>163</v>
      </c>
      <c r="F325" t="s">
        <v>336</v>
      </c>
      <c r="H325" t="s">
        <v>113</v>
      </c>
      <c r="I325" t="s">
        <v>97</v>
      </c>
      <c r="K325" t="s">
        <v>50</v>
      </c>
      <c r="M325" t="s">
        <v>51</v>
      </c>
      <c r="Z325" t="s">
        <v>116</v>
      </c>
      <c r="AB325" t="s">
        <v>1281</v>
      </c>
      <c r="AD325"/>
      <c r="AF325" t="s">
        <v>54</v>
      </c>
      <c r="AG325" t="s">
        <v>151</v>
      </c>
      <c r="AH325" t="s">
        <v>55</v>
      </c>
      <c r="AI325" t="s">
        <v>1282</v>
      </c>
      <c r="AJ325" t="s">
        <v>1283</v>
      </c>
      <c r="AK325" s="1">
        <v>3772.5</v>
      </c>
      <c r="AL325" t="s">
        <v>903</v>
      </c>
      <c r="AM325" t="s">
        <v>1284</v>
      </c>
    </row>
    <row r="326" spans="1:42" hidden="1">
      <c r="A326" t="s">
        <v>903</v>
      </c>
      <c r="B326" t="s">
        <v>44</v>
      </c>
      <c r="C326" t="s">
        <v>1285</v>
      </c>
      <c r="D326" t="s">
        <v>163</v>
      </c>
      <c r="F326" t="s">
        <v>336</v>
      </c>
      <c r="H326" t="s">
        <v>113</v>
      </c>
      <c r="I326" t="s">
        <v>97</v>
      </c>
      <c r="K326" t="s">
        <v>50</v>
      </c>
      <c r="M326" t="s">
        <v>51</v>
      </c>
      <c r="Z326" t="s">
        <v>116</v>
      </c>
      <c r="AB326" t="s">
        <v>1281</v>
      </c>
      <c r="AD326"/>
      <c r="AF326" t="s">
        <v>54</v>
      </c>
      <c r="AG326" t="s">
        <v>151</v>
      </c>
      <c r="AH326" t="s">
        <v>55</v>
      </c>
      <c r="AI326" t="s">
        <v>1282</v>
      </c>
      <c r="AJ326" t="s">
        <v>1283</v>
      </c>
      <c r="AK326" s="1">
        <v>70.400000000000006</v>
      </c>
      <c r="AL326" t="s">
        <v>903</v>
      </c>
      <c r="AM326" t="s">
        <v>1284</v>
      </c>
    </row>
    <row r="327" spans="1:42" hidden="1">
      <c r="A327" t="s">
        <v>903</v>
      </c>
      <c r="B327" t="s">
        <v>44</v>
      </c>
      <c r="C327" t="s">
        <v>1286</v>
      </c>
      <c r="D327" t="s">
        <v>163</v>
      </c>
      <c r="F327" t="s">
        <v>336</v>
      </c>
      <c r="H327" t="s">
        <v>113</v>
      </c>
      <c r="I327" t="s">
        <v>97</v>
      </c>
      <c r="K327" t="s">
        <v>50</v>
      </c>
      <c r="M327" t="s">
        <v>51</v>
      </c>
      <c r="Z327" t="s">
        <v>116</v>
      </c>
      <c r="AB327" t="s">
        <v>1281</v>
      </c>
      <c r="AD327"/>
      <c r="AF327" t="s">
        <v>54</v>
      </c>
      <c r="AG327" t="s">
        <v>151</v>
      </c>
      <c r="AH327" t="s">
        <v>55</v>
      </c>
      <c r="AI327" t="s">
        <v>1282</v>
      </c>
      <c r="AJ327" t="s">
        <v>1283</v>
      </c>
      <c r="AK327" s="1">
        <v>7171.9</v>
      </c>
      <c r="AL327" t="s">
        <v>903</v>
      </c>
      <c r="AM327" t="s">
        <v>1284</v>
      </c>
    </row>
    <row r="328" spans="1:42" hidden="1">
      <c r="A328" t="s">
        <v>903</v>
      </c>
      <c r="B328" t="s">
        <v>44</v>
      </c>
      <c r="C328" t="s">
        <v>1287</v>
      </c>
      <c r="D328" t="s">
        <v>368</v>
      </c>
      <c r="F328" t="s">
        <v>562</v>
      </c>
      <c r="G328" t="s">
        <v>60</v>
      </c>
      <c r="H328" t="s">
        <v>95</v>
      </c>
      <c r="I328" t="s">
        <v>97</v>
      </c>
      <c r="K328" t="s">
        <v>114</v>
      </c>
      <c r="L328" t="s">
        <v>197</v>
      </c>
      <c r="P328" t="s">
        <v>241</v>
      </c>
      <c r="AB328" t="s">
        <v>1234</v>
      </c>
      <c r="AD328"/>
      <c r="AF328" t="s">
        <v>54</v>
      </c>
      <c r="AG328" t="s">
        <v>368</v>
      </c>
      <c r="AH328" t="s">
        <v>55</v>
      </c>
      <c r="AI328" t="s">
        <v>1235</v>
      </c>
      <c r="AJ328" t="s">
        <v>1236</v>
      </c>
      <c r="AK328" s="1">
        <v>5169.2</v>
      </c>
      <c r="AL328" t="s">
        <v>903</v>
      </c>
      <c r="AM328" t="s">
        <v>89</v>
      </c>
    </row>
    <row r="329" spans="1:42" hidden="1">
      <c r="A329" t="s">
        <v>903</v>
      </c>
      <c r="B329" t="s">
        <v>44</v>
      </c>
      <c r="C329" t="s">
        <v>1288</v>
      </c>
      <c r="D329" t="s">
        <v>151</v>
      </c>
      <c r="F329" t="s">
        <v>562</v>
      </c>
      <c r="H329" t="s">
        <v>228</v>
      </c>
      <c r="I329" t="s">
        <v>97</v>
      </c>
      <c r="K329" t="s">
        <v>50</v>
      </c>
      <c r="M329" t="s">
        <v>51</v>
      </c>
      <c r="Z329" t="s">
        <v>116</v>
      </c>
      <c r="AB329" t="s">
        <v>1289</v>
      </c>
      <c r="AD329"/>
      <c r="AF329" t="s">
        <v>54</v>
      </c>
      <c r="AG329" t="s">
        <v>151</v>
      </c>
      <c r="AH329" t="s">
        <v>55</v>
      </c>
      <c r="AI329" t="s">
        <v>1076</v>
      </c>
      <c r="AJ329" t="s">
        <v>1077</v>
      </c>
      <c r="AK329" s="1">
        <v>657.3</v>
      </c>
    </row>
    <row r="330" spans="1:42" hidden="1">
      <c r="A330" t="s">
        <v>903</v>
      </c>
      <c r="B330" t="s">
        <v>44</v>
      </c>
      <c r="C330" t="s">
        <v>1290</v>
      </c>
      <c r="D330" t="s">
        <v>151</v>
      </c>
      <c r="F330" t="s">
        <v>562</v>
      </c>
      <c r="H330" t="s">
        <v>228</v>
      </c>
      <c r="I330" t="s">
        <v>97</v>
      </c>
      <c r="K330" t="s">
        <v>50</v>
      </c>
      <c r="M330" t="s">
        <v>51</v>
      </c>
      <c r="Z330" t="s">
        <v>116</v>
      </c>
      <c r="AB330" t="s">
        <v>1289</v>
      </c>
      <c r="AD330"/>
      <c r="AF330" t="s">
        <v>54</v>
      </c>
      <c r="AG330" t="s">
        <v>151</v>
      </c>
      <c r="AH330" t="s">
        <v>55</v>
      </c>
      <c r="AI330" t="s">
        <v>1076</v>
      </c>
      <c r="AJ330" t="s">
        <v>1077</v>
      </c>
      <c r="AK330" s="1">
        <v>520.5</v>
      </c>
    </row>
    <row r="331" spans="1:42" hidden="1">
      <c r="A331" t="s">
        <v>903</v>
      </c>
      <c r="B331" t="s">
        <v>44</v>
      </c>
      <c r="C331" t="s">
        <v>1291</v>
      </c>
      <c r="D331" t="s">
        <v>151</v>
      </c>
      <c r="F331" t="s">
        <v>562</v>
      </c>
      <c r="H331" t="s">
        <v>228</v>
      </c>
      <c r="I331" t="s">
        <v>97</v>
      </c>
      <c r="K331" t="s">
        <v>50</v>
      </c>
      <c r="M331" t="s">
        <v>51</v>
      </c>
      <c r="Z331" t="s">
        <v>116</v>
      </c>
      <c r="AB331" t="s">
        <v>1289</v>
      </c>
      <c r="AD331"/>
      <c r="AF331" t="s">
        <v>54</v>
      </c>
      <c r="AG331" t="s">
        <v>151</v>
      </c>
      <c r="AH331" t="s">
        <v>55</v>
      </c>
      <c r="AI331" t="s">
        <v>1076</v>
      </c>
      <c r="AJ331" t="s">
        <v>1077</v>
      </c>
      <c r="AK331" s="1">
        <v>1036.5</v>
      </c>
    </row>
    <row r="332" spans="1:42" hidden="1">
      <c r="A332" t="s">
        <v>903</v>
      </c>
      <c r="B332" t="s">
        <v>44</v>
      </c>
      <c r="C332" t="s">
        <v>1292</v>
      </c>
      <c r="D332" t="s">
        <v>151</v>
      </c>
      <c r="F332" t="s">
        <v>562</v>
      </c>
      <c r="H332" t="s">
        <v>228</v>
      </c>
      <c r="I332" t="s">
        <v>97</v>
      </c>
      <c r="K332" t="s">
        <v>50</v>
      </c>
      <c r="M332" t="s">
        <v>51</v>
      </c>
      <c r="Z332" t="s">
        <v>116</v>
      </c>
      <c r="AB332" t="s">
        <v>1293</v>
      </c>
      <c r="AD332"/>
      <c r="AF332" t="s">
        <v>54</v>
      </c>
      <c r="AG332" t="s">
        <v>151</v>
      </c>
      <c r="AH332" t="s">
        <v>55</v>
      </c>
      <c r="AI332" t="s">
        <v>1076</v>
      </c>
      <c r="AJ332" t="s">
        <v>1077</v>
      </c>
      <c r="AK332" s="1">
        <v>10593.9</v>
      </c>
    </row>
    <row r="333" spans="1:42" hidden="1">
      <c r="A333" t="s">
        <v>903</v>
      </c>
      <c r="B333" t="s">
        <v>44</v>
      </c>
      <c r="C333" t="s">
        <v>1294</v>
      </c>
      <c r="D333" t="s">
        <v>444</v>
      </c>
      <c r="F333" t="s">
        <v>336</v>
      </c>
      <c r="H333" t="s">
        <v>122</v>
      </c>
      <c r="I333" t="s">
        <v>49</v>
      </c>
      <c r="K333" t="s">
        <v>114</v>
      </c>
      <c r="L333" t="s">
        <v>115</v>
      </c>
      <c r="O333" t="s">
        <v>251</v>
      </c>
      <c r="AB333" t="s">
        <v>1295</v>
      </c>
      <c r="AD333"/>
      <c r="AF333" t="s">
        <v>54</v>
      </c>
      <c r="AG333" t="s">
        <v>444</v>
      </c>
      <c r="AH333" t="s">
        <v>55</v>
      </c>
      <c r="AI333" t="s">
        <v>1296</v>
      </c>
      <c r="AJ333" t="s">
        <v>1297</v>
      </c>
      <c r="AK333" s="1">
        <v>20800</v>
      </c>
      <c r="AL333" t="s">
        <v>903</v>
      </c>
      <c r="AM333" t="s">
        <v>1298</v>
      </c>
    </row>
    <row r="334" spans="1:42">
      <c r="A334" t="s">
        <v>903</v>
      </c>
      <c r="B334" t="s">
        <v>210</v>
      </c>
      <c r="D334" t="s">
        <v>375</v>
      </c>
      <c r="F334" s="2" t="s">
        <v>227</v>
      </c>
      <c r="H334" t="s">
        <v>294</v>
      </c>
      <c r="I334" t="s">
        <v>97</v>
      </c>
      <c r="AD334" s="1">
        <v>9833.2999999999993</v>
      </c>
      <c r="AE334" t="s">
        <v>1270</v>
      </c>
      <c r="AF334" t="s">
        <v>54</v>
      </c>
      <c r="AG334" t="s">
        <v>375</v>
      </c>
      <c r="AI334" t="s">
        <v>1271</v>
      </c>
      <c r="AJ334" t="s">
        <v>1272</v>
      </c>
      <c r="AK334" s="2"/>
    </row>
  </sheetData>
  <autoFilter ref="A1:AR334" xr:uid="{00000000-0001-0000-0000-000000000000}">
    <filterColumn colId="5">
      <colorFilter dxfId="0"/>
    </filterColumn>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6BEF1-7206-FF48-9B1D-0060615233A6}">
  <dimension ref="A1:AN36"/>
  <sheetViews>
    <sheetView topLeftCell="O6" workbookViewId="0">
      <selection activeCell="X36" sqref="X36"/>
    </sheetView>
  </sheetViews>
  <sheetFormatPr baseColWidth="10" defaultRowHeight="15"/>
  <cols>
    <col min="24" max="24" width="12.6640625" bestFit="1" customWidth="1"/>
  </cols>
  <sheetData>
    <row r="1" spans="1:31">
      <c r="A1" t="s">
        <v>0</v>
      </c>
      <c r="B1" t="s">
        <v>1</v>
      </c>
      <c r="C1" t="s">
        <v>2</v>
      </c>
      <c r="D1" t="s">
        <v>3</v>
      </c>
      <c r="E1" t="s">
        <v>4</v>
      </c>
      <c r="F1" t="s">
        <v>5</v>
      </c>
      <c r="G1" t="s">
        <v>6</v>
      </c>
      <c r="H1" t="s">
        <v>7</v>
      </c>
      <c r="I1" t="s">
        <v>8</v>
      </c>
      <c r="J1" t="s">
        <v>9</v>
      </c>
      <c r="K1" t="s">
        <v>10</v>
      </c>
      <c r="L1" t="s">
        <v>11</v>
      </c>
      <c r="M1" t="s">
        <v>25</v>
      </c>
      <c r="N1" t="s">
        <v>26</v>
      </c>
      <c r="O1" t="s">
        <v>27</v>
      </c>
      <c r="P1" t="s">
        <v>28</v>
      </c>
      <c r="Q1" s="2" t="s">
        <v>29</v>
      </c>
      <c r="R1" t="s">
        <v>30</v>
      </c>
      <c r="S1" t="s">
        <v>31</v>
      </c>
      <c r="T1" t="s">
        <v>32</v>
      </c>
      <c r="U1" t="s">
        <v>33</v>
      </c>
      <c r="V1" t="s">
        <v>34</v>
      </c>
      <c r="W1" t="s">
        <v>35</v>
      </c>
      <c r="X1" t="s">
        <v>36</v>
      </c>
      <c r="Y1" t="s">
        <v>37</v>
      </c>
      <c r="Z1" t="s">
        <v>38</v>
      </c>
      <c r="AA1" t="s">
        <v>39</v>
      </c>
      <c r="AB1" t="s">
        <v>40</v>
      </c>
      <c r="AC1" t="s">
        <v>41</v>
      </c>
      <c r="AD1" t="s">
        <v>42</v>
      </c>
      <c r="AE1" t="s">
        <v>42</v>
      </c>
    </row>
    <row r="2" spans="1:31">
      <c r="A2" t="s">
        <v>157</v>
      </c>
      <c r="B2" t="s">
        <v>44</v>
      </c>
      <c r="C2" t="s">
        <v>225</v>
      </c>
      <c r="D2" t="s">
        <v>226</v>
      </c>
      <c r="F2" s="2" t="s">
        <v>227</v>
      </c>
      <c r="H2" t="s">
        <v>228</v>
      </c>
      <c r="I2" t="s">
        <v>97</v>
      </c>
      <c r="K2" t="s">
        <v>50</v>
      </c>
      <c r="M2" t="s">
        <v>84</v>
      </c>
      <c r="O2" t="s">
        <v>229</v>
      </c>
      <c r="S2" t="s">
        <v>54</v>
      </c>
      <c r="T2" t="s">
        <v>226</v>
      </c>
      <c r="U2" t="s">
        <v>55</v>
      </c>
      <c r="V2" t="s">
        <v>230</v>
      </c>
      <c r="W2" t="s">
        <v>231</v>
      </c>
      <c r="X2" s="1">
        <v>1979.6</v>
      </c>
      <c r="Y2" t="s">
        <v>131</v>
      </c>
      <c r="Z2" t="s">
        <v>232</v>
      </c>
      <c r="AC2" t="s">
        <v>60</v>
      </c>
    </row>
    <row r="3" spans="1:31">
      <c r="A3" t="s">
        <v>157</v>
      </c>
      <c r="B3" t="s">
        <v>44</v>
      </c>
      <c r="C3" t="s">
        <v>255</v>
      </c>
      <c r="D3" t="s">
        <v>256</v>
      </c>
      <c r="F3" s="2" t="s">
        <v>227</v>
      </c>
      <c r="H3" t="s">
        <v>95</v>
      </c>
      <c r="I3" t="s">
        <v>96</v>
      </c>
      <c r="J3" t="s">
        <v>97</v>
      </c>
      <c r="K3" t="s">
        <v>114</v>
      </c>
      <c r="L3" t="s">
        <v>143</v>
      </c>
      <c r="O3" t="s">
        <v>258</v>
      </c>
      <c r="P3" t="s">
        <v>259</v>
      </c>
      <c r="S3" t="s">
        <v>54</v>
      </c>
      <c r="T3" t="s">
        <v>256</v>
      </c>
      <c r="U3" t="s">
        <v>100</v>
      </c>
      <c r="V3" t="s">
        <v>260</v>
      </c>
      <c r="W3" t="s">
        <v>261</v>
      </c>
      <c r="X3" s="1">
        <v>46800</v>
      </c>
      <c r="Y3" t="s">
        <v>131</v>
      </c>
      <c r="Z3" t="s">
        <v>149</v>
      </c>
      <c r="AC3" t="s">
        <v>60</v>
      </c>
    </row>
    <row r="4" spans="1:31">
      <c r="A4" t="s">
        <v>340</v>
      </c>
      <c r="B4" t="s">
        <v>44</v>
      </c>
      <c r="C4" t="s">
        <v>528</v>
      </c>
      <c r="D4" t="s">
        <v>529</v>
      </c>
      <c r="F4" s="2" t="s">
        <v>227</v>
      </c>
      <c r="G4" t="s">
        <v>134</v>
      </c>
      <c r="H4" t="s">
        <v>228</v>
      </c>
      <c r="I4" t="s">
        <v>97</v>
      </c>
      <c r="K4" t="s">
        <v>50</v>
      </c>
      <c r="M4" t="s">
        <v>84</v>
      </c>
      <c r="O4" t="s">
        <v>530</v>
      </c>
      <c r="S4" t="s">
        <v>54</v>
      </c>
      <c r="T4" t="s">
        <v>529</v>
      </c>
      <c r="U4" t="s">
        <v>55</v>
      </c>
      <c r="V4" t="s">
        <v>230</v>
      </c>
      <c r="W4" t="s">
        <v>231</v>
      </c>
      <c r="X4" s="1">
        <v>0</v>
      </c>
      <c r="Y4" t="s">
        <v>426</v>
      </c>
      <c r="Z4" t="s">
        <v>531</v>
      </c>
      <c r="AC4" t="s">
        <v>60</v>
      </c>
    </row>
    <row r="5" spans="1:31">
      <c r="A5" t="s">
        <v>340</v>
      </c>
      <c r="B5" t="s">
        <v>44</v>
      </c>
      <c r="C5" t="s">
        <v>532</v>
      </c>
      <c r="D5" t="s">
        <v>529</v>
      </c>
      <c r="F5" s="2" t="s">
        <v>227</v>
      </c>
      <c r="G5" t="s">
        <v>134</v>
      </c>
      <c r="H5" t="s">
        <v>228</v>
      </c>
      <c r="I5" t="s">
        <v>97</v>
      </c>
      <c r="K5" t="s">
        <v>50</v>
      </c>
      <c r="M5" t="s">
        <v>84</v>
      </c>
      <c r="O5" t="s">
        <v>530</v>
      </c>
      <c r="S5" t="s">
        <v>54</v>
      </c>
      <c r="T5" t="s">
        <v>529</v>
      </c>
      <c r="U5" t="s">
        <v>55</v>
      </c>
      <c r="V5" t="s">
        <v>230</v>
      </c>
      <c r="W5" t="s">
        <v>231</v>
      </c>
      <c r="X5" s="1">
        <v>3140.1</v>
      </c>
      <c r="Y5" t="s">
        <v>426</v>
      </c>
      <c r="Z5" t="s">
        <v>531</v>
      </c>
      <c r="AC5" t="s">
        <v>60</v>
      </c>
    </row>
    <row r="6" spans="1:31">
      <c r="A6" t="s">
        <v>340</v>
      </c>
      <c r="B6" t="s">
        <v>44</v>
      </c>
      <c r="C6" t="s">
        <v>533</v>
      </c>
      <c r="D6" t="s">
        <v>529</v>
      </c>
      <c r="F6" s="2" t="s">
        <v>227</v>
      </c>
      <c r="G6" t="s">
        <v>134</v>
      </c>
      <c r="H6" t="s">
        <v>228</v>
      </c>
      <c r="I6" t="s">
        <v>97</v>
      </c>
      <c r="K6" t="s">
        <v>50</v>
      </c>
      <c r="M6" t="s">
        <v>84</v>
      </c>
      <c r="O6" t="s">
        <v>530</v>
      </c>
      <c r="S6" t="s">
        <v>54</v>
      </c>
      <c r="T6" t="s">
        <v>529</v>
      </c>
      <c r="U6" t="s">
        <v>55</v>
      </c>
      <c r="V6" t="s">
        <v>230</v>
      </c>
      <c r="W6" t="s">
        <v>231</v>
      </c>
      <c r="X6" s="1">
        <v>0</v>
      </c>
      <c r="Y6" t="s">
        <v>426</v>
      </c>
      <c r="Z6" t="s">
        <v>531</v>
      </c>
      <c r="AC6" t="s">
        <v>60</v>
      </c>
    </row>
    <row r="7" spans="1:31">
      <c r="A7" t="s">
        <v>340</v>
      </c>
      <c r="B7" t="s">
        <v>44</v>
      </c>
      <c r="C7" t="s">
        <v>534</v>
      </c>
      <c r="D7" t="s">
        <v>529</v>
      </c>
      <c r="F7" s="2" t="s">
        <v>227</v>
      </c>
      <c r="G7" t="s">
        <v>134</v>
      </c>
      <c r="H7" t="s">
        <v>228</v>
      </c>
      <c r="I7" t="s">
        <v>97</v>
      </c>
      <c r="K7" t="s">
        <v>50</v>
      </c>
      <c r="M7" t="s">
        <v>84</v>
      </c>
      <c r="O7" t="s">
        <v>530</v>
      </c>
      <c r="S7" t="s">
        <v>54</v>
      </c>
      <c r="T7" t="s">
        <v>529</v>
      </c>
      <c r="U7" t="s">
        <v>55</v>
      </c>
      <c r="V7" t="s">
        <v>230</v>
      </c>
      <c r="W7" t="s">
        <v>231</v>
      </c>
      <c r="X7" s="1">
        <v>3595</v>
      </c>
      <c r="Y7" t="s">
        <v>426</v>
      </c>
      <c r="Z7" t="s">
        <v>531</v>
      </c>
      <c r="AC7" t="s">
        <v>60</v>
      </c>
    </row>
    <row r="8" spans="1:31">
      <c r="A8" t="s">
        <v>340</v>
      </c>
      <c r="B8" t="s">
        <v>44</v>
      </c>
      <c r="C8" t="s">
        <v>535</v>
      </c>
      <c r="D8" t="s">
        <v>529</v>
      </c>
      <c r="F8" s="2" t="s">
        <v>227</v>
      </c>
      <c r="G8" t="s">
        <v>134</v>
      </c>
      <c r="H8" t="s">
        <v>228</v>
      </c>
      <c r="I8" t="s">
        <v>97</v>
      </c>
      <c r="K8" t="s">
        <v>50</v>
      </c>
      <c r="M8" t="s">
        <v>84</v>
      </c>
      <c r="O8" t="s">
        <v>530</v>
      </c>
      <c r="S8" t="s">
        <v>54</v>
      </c>
      <c r="T8" t="s">
        <v>529</v>
      </c>
      <c r="U8" t="s">
        <v>55</v>
      </c>
      <c r="V8" t="s">
        <v>230</v>
      </c>
      <c r="W8" t="s">
        <v>231</v>
      </c>
      <c r="X8" s="1">
        <v>0</v>
      </c>
      <c r="Y8" t="s">
        <v>426</v>
      </c>
      <c r="Z8" t="s">
        <v>531</v>
      </c>
      <c r="AC8" t="s">
        <v>60</v>
      </c>
    </row>
    <row r="9" spans="1:31">
      <c r="A9" t="s">
        <v>340</v>
      </c>
      <c r="B9" t="s">
        <v>44</v>
      </c>
      <c r="C9" t="s">
        <v>536</v>
      </c>
      <c r="D9" t="s">
        <v>529</v>
      </c>
      <c r="F9" s="2" t="s">
        <v>227</v>
      </c>
      <c r="G9" t="s">
        <v>134</v>
      </c>
      <c r="H9" t="s">
        <v>228</v>
      </c>
      <c r="I9" t="s">
        <v>97</v>
      </c>
      <c r="K9" t="s">
        <v>50</v>
      </c>
      <c r="M9" t="s">
        <v>84</v>
      </c>
      <c r="O9" t="s">
        <v>530</v>
      </c>
      <c r="S9" t="s">
        <v>54</v>
      </c>
      <c r="T9" t="s">
        <v>529</v>
      </c>
      <c r="U9" t="s">
        <v>55</v>
      </c>
      <c r="V9" t="s">
        <v>230</v>
      </c>
      <c r="W9" t="s">
        <v>231</v>
      </c>
      <c r="X9" s="1">
        <v>2530.3000000000002</v>
      </c>
      <c r="Y9" t="s">
        <v>426</v>
      </c>
      <c r="Z9" t="s">
        <v>531</v>
      </c>
      <c r="AC9" t="s">
        <v>60</v>
      </c>
    </row>
    <row r="10" spans="1:31">
      <c r="A10" t="s">
        <v>340</v>
      </c>
      <c r="B10" t="s">
        <v>44</v>
      </c>
      <c r="C10" t="s">
        <v>537</v>
      </c>
      <c r="D10" t="s">
        <v>529</v>
      </c>
      <c r="F10" s="2" t="s">
        <v>227</v>
      </c>
      <c r="G10" t="s">
        <v>134</v>
      </c>
      <c r="H10" t="s">
        <v>228</v>
      </c>
      <c r="I10" t="s">
        <v>97</v>
      </c>
      <c r="K10" t="s">
        <v>50</v>
      </c>
      <c r="M10" t="s">
        <v>84</v>
      </c>
      <c r="O10" t="s">
        <v>530</v>
      </c>
      <c r="S10" t="s">
        <v>54</v>
      </c>
      <c r="T10" t="s">
        <v>529</v>
      </c>
      <c r="U10" t="s">
        <v>55</v>
      </c>
      <c r="V10" t="s">
        <v>230</v>
      </c>
      <c r="W10" t="s">
        <v>231</v>
      </c>
      <c r="X10" s="1">
        <v>11152.3</v>
      </c>
      <c r="Y10" t="s">
        <v>426</v>
      </c>
      <c r="Z10" t="s">
        <v>531</v>
      </c>
      <c r="AC10" t="s">
        <v>60</v>
      </c>
    </row>
    <row r="11" spans="1:31">
      <c r="A11" t="s">
        <v>310</v>
      </c>
      <c r="B11" t="s">
        <v>210</v>
      </c>
      <c r="D11" t="s">
        <v>529</v>
      </c>
      <c r="F11" s="2" t="s">
        <v>227</v>
      </c>
      <c r="H11" t="s">
        <v>228</v>
      </c>
      <c r="I11" t="s">
        <v>97</v>
      </c>
      <c r="R11" t="s">
        <v>609</v>
      </c>
      <c r="S11" t="s">
        <v>54</v>
      </c>
      <c r="T11" t="s">
        <v>529</v>
      </c>
      <c r="V11" t="s">
        <v>230</v>
      </c>
      <c r="W11" t="s">
        <v>231</v>
      </c>
      <c r="X11" s="1">
        <v>7890.6</v>
      </c>
      <c r="Y11" t="s">
        <v>310</v>
      </c>
      <c r="Z11" t="s">
        <v>610</v>
      </c>
      <c r="AC11" t="s">
        <v>60</v>
      </c>
    </row>
    <row r="12" spans="1:31">
      <c r="A12" t="s">
        <v>58</v>
      </c>
      <c r="B12" t="s">
        <v>210</v>
      </c>
      <c r="D12" t="s">
        <v>716</v>
      </c>
      <c r="F12" s="2" t="s">
        <v>227</v>
      </c>
      <c r="G12" t="s">
        <v>60</v>
      </c>
      <c r="H12" t="s">
        <v>782</v>
      </c>
      <c r="I12" t="s">
        <v>49</v>
      </c>
      <c r="R12" t="s">
        <v>783</v>
      </c>
      <c r="S12" t="s">
        <v>54</v>
      </c>
      <c r="T12" t="s">
        <v>227</v>
      </c>
      <c r="V12" t="s">
        <v>784</v>
      </c>
      <c r="W12" t="s">
        <v>785</v>
      </c>
      <c r="X12" s="1">
        <v>94500</v>
      </c>
      <c r="Y12" t="s">
        <v>741</v>
      </c>
      <c r="Z12" t="s">
        <v>224</v>
      </c>
      <c r="AC12" t="s">
        <v>60</v>
      </c>
    </row>
    <row r="13" spans="1:31">
      <c r="A13" t="s">
        <v>697</v>
      </c>
      <c r="B13" t="s">
        <v>210</v>
      </c>
      <c r="D13" t="s">
        <v>151</v>
      </c>
      <c r="F13" s="2" t="s">
        <v>227</v>
      </c>
      <c r="H13" t="s">
        <v>376</v>
      </c>
      <c r="I13" t="s">
        <v>97</v>
      </c>
      <c r="R13" t="s">
        <v>944</v>
      </c>
      <c r="S13" t="s">
        <v>54</v>
      </c>
      <c r="T13" t="s">
        <v>151</v>
      </c>
      <c r="V13" t="s">
        <v>945</v>
      </c>
      <c r="W13" t="s">
        <v>946</v>
      </c>
      <c r="X13" s="1">
        <v>9959.6</v>
      </c>
      <c r="Y13" t="s">
        <v>652</v>
      </c>
      <c r="Z13" t="s">
        <v>224</v>
      </c>
      <c r="AC13" t="s">
        <v>60</v>
      </c>
    </row>
    <row r="14" spans="1:31">
      <c r="A14" t="s">
        <v>652</v>
      </c>
      <c r="B14" t="s">
        <v>44</v>
      </c>
      <c r="C14" t="s">
        <v>999</v>
      </c>
      <c r="D14" t="s">
        <v>328</v>
      </c>
      <c r="E14" t="s">
        <v>60</v>
      </c>
      <c r="F14" s="2" t="s">
        <v>227</v>
      </c>
      <c r="H14" t="s">
        <v>95</v>
      </c>
      <c r="I14" t="s">
        <v>96</v>
      </c>
      <c r="K14" t="s">
        <v>50</v>
      </c>
      <c r="M14" t="s">
        <v>73</v>
      </c>
      <c r="O14" t="s">
        <v>1000</v>
      </c>
      <c r="S14" t="s">
        <v>54</v>
      </c>
      <c r="T14" t="s">
        <v>328</v>
      </c>
      <c r="U14" t="s">
        <v>55</v>
      </c>
      <c r="V14" t="s">
        <v>1001</v>
      </c>
      <c r="W14" t="s">
        <v>1002</v>
      </c>
      <c r="X14" s="1">
        <v>500</v>
      </c>
      <c r="Y14" t="s">
        <v>903</v>
      </c>
      <c r="Z14" t="s">
        <v>1003</v>
      </c>
      <c r="AC14" t="s">
        <v>60</v>
      </c>
    </row>
    <row r="15" spans="1:31">
      <c r="A15" t="s">
        <v>960</v>
      </c>
      <c r="B15" t="s">
        <v>210</v>
      </c>
      <c r="D15" t="s">
        <v>163</v>
      </c>
      <c r="F15" s="2" t="s">
        <v>227</v>
      </c>
      <c r="H15" t="s">
        <v>153</v>
      </c>
      <c r="I15" t="s">
        <v>97</v>
      </c>
      <c r="R15" t="s">
        <v>1026</v>
      </c>
      <c r="S15" t="s">
        <v>54</v>
      </c>
      <c r="T15" t="s">
        <v>163</v>
      </c>
      <c r="V15" t="s">
        <v>1027</v>
      </c>
      <c r="W15" t="s">
        <v>1028</v>
      </c>
      <c r="X15" s="1">
        <v>9849.7000000000007</v>
      </c>
      <c r="Y15" t="s">
        <v>960</v>
      </c>
      <c r="Z15" t="s">
        <v>224</v>
      </c>
      <c r="AC15" t="s">
        <v>60</v>
      </c>
    </row>
    <row r="16" spans="1:31">
      <c r="A16" t="s">
        <v>960</v>
      </c>
      <c r="B16" t="s">
        <v>44</v>
      </c>
      <c r="C16" t="s">
        <v>1040</v>
      </c>
      <c r="D16" t="s">
        <v>248</v>
      </c>
      <c r="F16" s="2" t="s">
        <v>227</v>
      </c>
      <c r="H16" t="s">
        <v>122</v>
      </c>
      <c r="I16" t="s">
        <v>97</v>
      </c>
      <c r="J16" t="s">
        <v>97</v>
      </c>
      <c r="K16" t="s">
        <v>50</v>
      </c>
      <c r="O16" t="s">
        <v>1041</v>
      </c>
      <c r="P16" t="s">
        <v>883</v>
      </c>
      <c r="S16" t="s">
        <v>54</v>
      </c>
      <c r="T16" t="s">
        <v>248</v>
      </c>
      <c r="U16" t="s">
        <v>100</v>
      </c>
      <c r="V16" t="s">
        <v>1042</v>
      </c>
      <c r="W16" t="s">
        <v>1043</v>
      </c>
      <c r="X16" s="1">
        <v>8873</v>
      </c>
      <c r="Y16" t="s">
        <v>797</v>
      </c>
      <c r="Z16" t="s">
        <v>280</v>
      </c>
      <c r="AC16" t="s">
        <v>60</v>
      </c>
    </row>
    <row r="17" spans="1:31">
      <c r="A17" t="s">
        <v>990</v>
      </c>
      <c r="B17" t="s">
        <v>210</v>
      </c>
      <c r="D17" t="s">
        <v>1120</v>
      </c>
      <c r="F17" s="2" t="s">
        <v>227</v>
      </c>
      <c r="H17" t="s">
        <v>508</v>
      </c>
      <c r="I17" t="s">
        <v>72</v>
      </c>
      <c r="R17" t="s">
        <v>1130</v>
      </c>
      <c r="S17" t="s">
        <v>54</v>
      </c>
      <c r="T17" t="s">
        <v>1120</v>
      </c>
      <c r="V17" t="s">
        <v>1131</v>
      </c>
      <c r="W17" t="s">
        <v>1132</v>
      </c>
      <c r="X17" s="1">
        <v>6480</v>
      </c>
      <c r="Y17" t="s">
        <v>990</v>
      </c>
      <c r="Z17" t="s">
        <v>224</v>
      </c>
      <c r="AC17" t="s">
        <v>60</v>
      </c>
    </row>
    <row r="18" spans="1:31">
      <c r="A18" t="s">
        <v>903</v>
      </c>
      <c r="B18" t="s">
        <v>210</v>
      </c>
      <c r="D18" t="s">
        <v>375</v>
      </c>
      <c r="F18" s="2" t="s">
        <v>227</v>
      </c>
      <c r="H18" t="s">
        <v>294</v>
      </c>
      <c r="I18" t="s">
        <v>97</v>
      </c>
      <c r="R18" t="s">
        <v>1270</v>
      </c>
      <c r="S18" t="s">
        <v>54</v>
      </c>
      <c r="T18" t="s">
        <v>375</v>
      </c>
      <c r="V18" t="s">
        <v>1271</v>
      </c>
      <c r="W18" t="s">
        <v>1272</v>
      </c>
      <c r="X18" s="1">
        <v>12800</v>
      </c>
      <c r="Y18" t="s">
        <v>903</v>
      </c>
      <c r="Z18" t="s">
        <v>224</v>
      </c>
      <c r="AC18" t="s">
        <v>60</v>
      </c>
    </row>
    <row r="19" spans="1:31">
      <c r="F19" s="2"/>
      <c r="W19" s="2" t="s">
        <v>1307</v>
      </c>
      <c r="X19" s="4">
        <f>SUM(X2:X18)</f>
        <v>220050.20000000004</v>
      </c>
    </row>
    <row r="20" spans="1:31">
      <c r="A20" t="s">
        <v>91</v>
      </c>
      <c r="B20" t="s">
        <v>44</v>
      </c>
      <c r="C20" t="s">
        <v>92</v>
      </c>
      <c r="D20" t="s">
        <v>93</v>
      </c>
      <c r="F20" s="2" t="s">
        <v>94</v>
      </c>
      <c r="H20" t="s">
        <v>95</v>
      </c>
      <c r="I20" t="s">
        <v>96</v>
      </c>
      <c r="J20" t="s">
        <v>97</v>
      </c>
      <c r="K20" t="s">
        <v>50</v>
      </c>
      <c r="M20" t="s">
        <v>73</v>
      </c>
      <c r="O20" t="s">
        <v>98</v>
      </c>
      <c r="P20" t="s">
        <v>99</v>
      </c>
      <c r="S20" t="s">
        <v>54</v>
      </c>
      <c r="T20" t="s">
        <v>93</v>
      </c>
      <c r="U20" t="s">
        <v>100</v>
      </c>
      <c r="V20" t="s">
        <v>101</v>
      </c>
      <c r="W20" t="s">
        <v>102</v>
      </c>
      <c r="X20" s="1"/>
      <c r="Y20" t="s">
        <v>91</v>
      </c>
      <c r="Z20" t="s">
        <v>103</v>
      </c>
      <c r="AC20" t="s">
        <v>60</v>
      </c>
      <c r="AD20" t="s">
        <v>1299</v>
      </c>
      <c r="AE20" s="1">
        <v>4000</v>
      </c>
    </row>
    <row r="21" spans="1:31">
      <c r="A21" t="s">
        <v>157</v>
      </c>
      <c r="B21" t="s">
        <v>210</v>
      </c>
      <c r="D21" t="s">
        <v>163</v>
      </c>
      <c r="F21" s="2" t="s">
        <v>94</v>
      </c>
      <c r="H21" t="s">
        <v>220</v>
      </c>
      <c r="I21" t="s">
        <v>97</v>
      </c>
      <c r="R21" t="s">
        <v>221</v>
      </c>
      <c r="S21" t="s">
        <v>54</v>
      </c>
      <c r="T21" t="s">
        <v>163</v>
      </c>
      <c r="V21" t="s">
        <v>222</v>
      </c>
      <c r="W21" t="s">
        <v>223</v>
      </c>
      <c r="X21" s="1">
        <v>44800</v>
      </c>
      <c r="Y21" t="s">
        <v>157</v>
      </c>
      <c r="Z21" t="s">
        <v>224</v>
      </c>
      <c r="AC21" t="s">
        <v>60</v>
      </c>
    </row>
    <row r="22" spans="1:31">
      <c r="A22" t="s">
        <v>157</v>
      </c>
      <c r="B22" t="s">
        <v>44</v>
      </c>
      <c r="C22" t="s">
        <v>233</v>
      </c>
      <c r="D22" t="s">
        <v>163</v>
      </c>
      <c r="F22" s="2" t="s">
        <v>94</v>
      </c>
      <c r="H22" t="s">
        <v>234</v>
      </c>
      <c r="I22" t="s">
        <v>97</v>
      </c>
      <c r="K22" t="s">
        <v>50</v>
      </c>
      <c r="M22" t="s">
        <v>216</v>
      </c>
      <c r="O22" t="s">
        <v>235</v>
      </c>
      <c r="S22" t="s">
        <v>54</v>
      </c>
      <c r="T22" t="s">
        <v>163</v>
      </c>
      <c r="U22" t="s">
        <v>55</v>
      </c>
      <c r="V22" t="s">
        <v>236</v>
      </c>
      <c r="W22" t="s">
        <v>237</v>
      </c>
      <c r="X22" s="1">
        <v>25758.3</v>
      </c>
      <c r="Z22" t="s">
        <v>238</v>
      </c>
      <c r="AC22" t="s">
        <v>60</v>
      </c>
    </row>
    <row r="23" spans="1:31">
      <c r="A23" t="s">
        <v>140</v>
      </c>
      <c r="B23" t="s">
        <v>44</v>
      </c>
      <c r="C23" t="s">
        <v>233</v>
      </c>
      <c r="D23" t="s">
        <v>163</v>
      </c>
      <c r="F23" s="2" t="s">
        <v>94</v>
      </c>
      <c r="H23" t="s">
        <v>240</v>
      </c>
      <c r="I23" t="s">
        <v>97</v>
      </c>
      <c r="K23" t="s">
        <v>50</v>
      </c>
      <c r="O23" t="s">
        <v>302</v>
      </c>
      <c r="S23" t="s">
        <v>54</v>
      </c>
      <c r="T23" t="s">
        <v>163</v>
      </c>
      <c r="U23" t="s">
        <v>55</v>
      </c>
      <c r="V23" t="s">
        <v>236</v>
      </c>
      <c r="W23" t="s">
        <v>237</v>
      </c>
      <c r="X23" s="1">
        <v>21026.2</v>
      </c>
      <c r="Y23" t="s">
        <v>131</v>
      </c>
      <c r="Z23" t="s">
        <v>120</v>
      </c>
      <c r="AC23" t="s">
        <v>60</v>
      </c>
    </row>
    <row r="24" spans="1:31">
      <c r="A24" t="s">
        <v>140</v>
      </c>
      <c r="B24" t="s">
        <v>44</v>
      </c>
      <c r="C24" t="s">
        <v>303</v>
      </c>
      <c r="D24" t="s">
        <v>163</v>
      </c>
      <c r="F24" s="2" t="s">
        <v>94</v>
      </c>
      <c r="H24" t="s">
        <v>240</v>
      </c>
      <c r="I24" t="s">
        <v>97</v>
      </c>
      <c r="K24" t="s">
        <v>50</v>
      </c>
      <c r="O24" t="s">
        <v>302</v>
      </c>
      <c r="S24" t="s">
        <v>54</v>
      </c>
      <c r="T24" t="s">
        <v>163</v>
      </c>
      <c r="U24" t="s">
        <v>55</v>
      </c>
      <c r="V24" t="s">
        <v>236</v>
      </c>
      <c r="W24" t="s">
        <v>237</v>
      </c>
      <c r="X24" s="1">
        <v>4732.1000000000004</v>
      </c>
      <c r="Y24" t="s">
        <v>131</v>
      </c>
      <c r="Z24" t="s">
        <v>120</v>
      </c>
      <c r="AC24" t="s">
        <v>60</v>
      </c>
    </row>
    <row r="25" spans="1:31">
      <c r="A25" t="s">
        <v>374</v>
      </c>
      <c r="B25" t="s">
        <v>44</v>
      </c>
      <c r="C25" t="s">
        <v>391</v>
      </c>
      <c r="D25" t="s">
        <v>248</v>
      </c>
      <c r="F25" s="2" t="s">
        <v>94</v>
      </c>
      <c r="H25" t="s">
        <v>234</v>
      </c>
      <c r="I25" t="s">
        <v>97</v>
      </c>
      <c r="K25" t="s">
        <v>50</v>
      </c>
      <c r="M25" t="s">
        <v>216</v>
      </c>
      <c r="O25" t="s">
        <v>392</v>
      </c>
      <c r="S25" t="s">
        <v>54</v>
      </c>
      <c r="T25" t="s">
        <v>248</v>
      </c>
      <c r="U25" t="s">
        <v>55</v>
      </c>
      <c r="V25" t="s">
        <v>236</v>
      </c>
      <c r="W25" t="s">
        <v>237</v>
      </c>
      <c r="X25" s="1">
        <v>727</v>
      </c>
      <c r="Y25" t="s">
        <v>393</v>
      </c>
      <c r="Z25" t="s">
        <v>394</v>
      </c>
      <c r="AC25" t="s">
        <v>60</v>
      </c>
    </row>
    <row r="26" spans="1:31">
      <c r="A26" t="s">
        <v>426</v>
      </c>
      <c r="B26" t="s">
        <v>44</v>
      </c>
      <c r="C26" t="s">
        <v>548</v>
      </c>
      <c r="D26" t="s">
        <v>472</v>
      </c>
      <c r="F26" s="2" t="s">
        <v>94</v>
      </c>
      <c r="G26" t="s">
        <v>60</v>
      </c>
      <c r="H26" t="s">
        <v>95</v>
      </c>
      <c r="I26" t="s">
        <v>72</v>
      </c>
      <c r="K26" t="s">
        <v>50</v>
      </c>
      <c r="M26" t="s">
        <v>331</v>
      </c>
      <c r="O26" t="s">
        <v>549</v>
      </c>
      <c r="S26" t="s">
        <v>54</v>
      </c>
      <c r="T26" t="s">
        <v>472</v>
      </c>
      <c r="U26" t="s">
        <v>55</v>
      </c>
      <c r="V26" t="s">
        <v>550</v>
      </c>
      <c r="W26" t="s">
        <v>551</v>
      </c>
      <c r="X26" s="1">
        <v>20400</v>
      </c>
      <c r="Y26" t="s">
        <v>393</v>
      </c>
      <c r="Z26" t="s">
        <v>552</v>
      </c>
      <c r="AC26" t="s">
        <v>60</v>
      </c>
    </row>
    <row r="27" spans="1:31">
      <c r="A27" t="s">
        <v>131</v>
      </c>
      <c r="B27" t="s">
        <v>44</v>
      </c>
      <c r="C27" t="s">
        <v>553</v>
      </c>
      <c r="D27" t="s">
        <v>80</v>
      </c>
      <c r="F27" s="2" t="s">
        <v>94</v>
      </c>
      <c r="H27" t="s">
        <v>122</v>
      </c>
      <c r="I27" t="s">
        <v>83</v>
      </c>
      <c r="K27" t="s">
        <v>50</v>
      </c>
      <c r="M27" t="s">
        <v>205</v>
      </c>
      <c r="O27" t="s">
        <v>554</v>
      </c>
      <c r="S27" t="s">
        <v>54</v>
      </c>
      <c r="T27" t="s">
        <v>80</v>
      </c>
      <c r="U27" t="s">
        <v>55</v>
      </c>
      <c r="V27" t="s">
        <v>555</v>
      </c>
      <c r="W27" t="s">
        <v>556</v>
      </c>
      <c r="X27" s="1">
        <v>11146.5</v>
      </c>
      <c r="Y27" t="s">
        <v>393</v>
      </c>
      <c r="Z27" t="s">
        <v>557</v>
      </c>
      <c r="AC27" t="s">
        <v>60</v>
      </c>
    </row>
    <row r="28" spans="1:31">
      <c r="A28" t="s">
        <v>131</v>
      </c>
      <c r="B28" t="s">
        <v>44</v>
      </c>
      <c r="C28" t="s">
        <v>558</v>
      </c>
      <c r="D28" t="s">
        <v>80</v>
      </c>
      <c r="F28" s="2" t="s">
        <v>94</v>
      </c>
      <c r="H28" t="s">
        <v>122</v>
      </c>
      <c r="I28" t="s">
        <v>83</v>
      </c>
      <c r="K28" t="s">
        <v>50</v>
      </c>
      <c r="M28" t="s">
        <v>205</v>
      </c>
      <c r="O28" t="s">
        <v>554</v>
      </c>
      <c r="S28" t="s">
        <v>54</v>
      </c>
      <c r="T28" t="s">
        <v>80</v>
      </c>
      <c r="U28" t="s">
        <v>55</v>
      </c>
      <c r="V28" t="s">
        <v>555</v>
      </c>
      <c r="W28" t="s">
        <v>556</v>
      </c>
      <c r="X28" s="1">
        <v>10907</v>
      </c>
      <c r="Y28" t="s">
        <v>310</v>
      </c>
      <c r="Z28" t="s">
        <v>557</v>
      </c>
      <c r="AC28" t="s">
        <v>60</v>
      </c>
    </row>
    <row r="29" spans="1:31">
      <c r="A29" t="s">
        <v>131</v>
      </c>
      <c r="B29" t="s">
        <v>44</v>
      </c>
      <c r="C29" t="s">
        <v>559</v>
      </c>
      <c r="D29" t="s">
        <v>80</v>
      </c>
      <c r="F29" s="2" t="s">
        <v>94</v>
      </c>
      <c r="H29" t="s">
        <v>122</v>
      </c>
      <c r="I29" t="s">
        <v>83</v>
      </c>
      <c r="K29" t="s">
        <v>50</v>
      </c>
      <c r="M29" t="s">
        <v>205</v>
      </c>
      <c r="O29" t="s">
        <v>554</v>
      </c>
      <c r="S29" t="s">
        <v>54</v>
      </c>
      <c r="T29" t="s">
        <v>80</v>
      </c>
      <c r="U29" t="s">
        <v>55</v>
      </c>
      <c r="V29" t="s">
        <v>555</v>
      </c>
      <c r="W29" t="s">
        <v>556</v>
      </c>
      <c r="X29" s="1">
        <v>4760.7</v>
      </c>
      <c r="Y29" t="s">
        <v>393</v>
      </c>
      <c r="Z29" t="s">
        <v>557</v>
      </c>
      <c r="AC29" t="s">
        <v>60</v>
      </c>
    </row>
    <row r="30" spans="1:31">
      <c r="A30" t="s">
        <v>131</v>
      </c>
      <c r="B30" t="s">
        <v>44</v>
      </c>
      <c r="C30" t="s">
        <v>560</v>
      </c>
      <c r="D30" t="s">
        <v>80</v>
      </c>
      <c r="F30" s="2" t="s">
        <v>94</v>
      </c>
      <c r="H30" t="s">
        <v>122</v>
      </c>
      <c r="I30" t="s">
        <v>83</v>
      </c>
      <c r="K30" t="s">
        <v>50</v>
      </c>
      <c r="M30" t="s">
        <v>205</v>
      </c>
      <c r="O30" t="s">
        <v>554</v>
      </c>
      <c r="S30" t="s">
        <v>54</v>
      </c>
      <c r="T30" t="s">
        <v>80</v>
      </c>
      <c r="U30" t="s">
        <v>55</v>
      </c>
      <c r="V30" t="s">
        <v>555</v>
      </c>
      <c r="W30" t="s">
        <v>556</v>
      </c>
      <c r="X30" s="1">
        <v>2166.1999999999998</v>
      </c>
      <c r="Y30" t="s">
        <v>393</v>
      </c>
      <c r="Z30" t="s">
        <v>557</v>
      </c>
      <c r="AC30" t="s">
        <v>60</v>
      </c>
    </row>
    <row r="31" spans="1:31">
      <c r="A31" t="s">
        <v>390</v>
      </c>
      <c r="B31" t="s">
        <v>44</v>
      </c>
      <c r="C31" t="s">
        <v>878</v>
      </c>
      <c r="D31" t="s">
        <v>256</v>
      </c>
      <c r="F31" s="2" t="s">
        <v>94</v>
      </c>
      <c r="H31" t="s">
        <v>95</v>
      </c>
      <c r="I31" t="s">
        <v>97</v>
      </c>
      <c r="K31" t="s">
        <v>50</v>
      </c>
      <c r="O31" t="s">
        <v>879</v>
      </c>
      <c r="S31" t="s">
        <v>54</v>
      </c>
      <c r="T31" t="s">
        <v>256</v>
      </c>
      <c r="U31" t="s">
        <v>55</v>
      </c>
      <c r="V31" t="s">
        <v>880</v>
      </c>
      <c r="W31" t="s">
        <v>881</v>
      </c>
      <c r="X31" s="1">
        <v>11623.1</v>
      </c>
      <c r="Y31" t="s">
        <v>697</v>
      </c>
      <c r="Z31" t="s">
        <v>89</v>
      </c>
      <c r="AC31" t="s">
        <v>60</v>
      </c>
    </row>
    <row r="32" spans="1:31">
      <c r="A32" t="s">
        <v>390</v>
      </c>
      <c r="B32" t="s">
        <v>44</v>
      </c>
      <c r="C32" t="s">
        <v>882</v>
      </c>
      <c r="D32" t="s">
        <v>256</v>
      </c>
      <c r="F32" s="2" t="s">
        <v>94</v>
      </c>
      <c r="H32" t="s">
        <v>95</v>
      </c>
      <c r="I32" t="s">
        <v>97</v>
      </c>
      <c r="K32" t="s">
        <v>50</v>
      </c>
      <c r="O32" t="s">
        <v>879</v>
      </c>
      <c r="S32" t="s">
        <v>54</v>
      </c>
      <c r="T32" t="s">
        <v>256</v>
      </c>
      <c r="U32" t="s">
        <v>55</v>
      </c>
      <c r="V32" t="s">
        <v>880</v>
      </c>
      <c r="W32" t="s">
        <v>881</v>
      </c>
      <c r="X32" s="1">
        <v>443.6</v>
      </c>
      <c r="Y32" t="s">
        <v>697</v>
      </c>
      <c r="Z32" t="s">
        <v>89</v>
      </c>
      <c r="AC32" t="s">
        <v>60</v>
      </c>
    </row>
    <row r="33" spans="1:40">
      <c r="A33" t="s">
        <v>140</v>
      </c>
      <c r="B33" t="s">
        <v>44</v>
      </c>
      <c r="C33" t="s">
        <v>304</v>
      </c>
      <c r="D33" t="s">
        <v>305</v>
      </c>
      <c r="F33" s="2" t="s">
        <v>306</v>
      </c>
      <c r="H33" t="s">
        <v>181</v>
      </c>
      <c r="I33" t="s">
        <v>49</v>
      </c>
      <c r="K33" t="s">
        <v>50</v>
      </c>
      <c r="M33" t="s">
        <v>73</v>
      </c>
      <c r="O33" t="s">
        <v>307</v>
      </c>
      <c r="S33" t="s">
        <v>54</v>
      </c>
      <c r="T33" t="s">
        <v>305</v>
      </c>
      <c r="U33" t="s">
        <v>55</v>
      </c>
      <c r="V33" t="s">
        <v>308</v>
      </c>
      <c r="W33" t="s">
        <v>309</v>
      </c>
      <c r="X33" s="1">
        <f>AE33/2</f>
        <v>3116.7</v>
      </c>
      <c r="Y33" t="s">
        <v>310</v>
      </c>
      <c r="Z33" t="s">
        <v>311</v>
      </c>
      <c r="AC33" t="s">
        <v>60</v>
      </c>
      <c r="AD33" t="s">
        <v>1300</v>
      </c>
      <c r="AE33" s="3">
        <v>6233.4</v>
      </c>
    </row>
    <row r="34" spans="1:40">
      <c r="C34" s="7">
        <v>18733849</v>
      </c>
      <c r="D34" s="7" t="s">
        <v>151</v>
      </c>
      <c r="E34" s="7" t="b">
        <v>0</v>
      </c>
      <c r="F34" s="7" t="s">
        <v>1309</v>
      </c>
      <c r="G34" s="7" t="b">
        <v>0</v>
      </c>
      <c r="H34" s="7" t="s">
        <v>181</v>
      </c>
      <c r="I34" s="7" t="s">
        <v>97</v>
      </c>
      <c r="J34" s="7" t="s">
        <v>97</v>
      </c>
      <c r="K34" s="7" t="s">
        <v>114</v>
      </c>
      <c r="L34" s="7" t="s">
        <v>143</v>
      </c>
      <c r="M34" s="7"/>
      <c r="N34" s="7"/>
      <c r="O34" s="7"/>
      <c r="P34" s="7"/>
      <c r="Q34" s="7" t="s">
        <v>257</v>
      </c>
      <c r="R34" s="7"/>
      <c r="S34" s="7"/>
      <c r="T34" s="7" t="s">
        <v>151</v>
      </c>
      <c r="U34" s="7" t="s">
        <v>100</v>
      </c>
      <c r="V34" s="7" t="s">
        <v>1092</v>
      </c>
      <c r="W34" s="7" t="s">
        <v>1093</v>
      </c>
      <c r="X34" s="1">
        <f>AE34/2</f>
        <v>5000</v>
      </c>
      <c r="Y34" s="9">
        <v>45836</v>
      </c>
      <c r="Z34" s="7" t="s">
        <v>1306</v>
      </c>
      <c r="AA34" s="7"/>
      <c r="AC34" s="7" t="b">
        <v>1</v>
      </c>
      <c r="AD34" t="s">
        <v>1300</v>
      </c>
      <c r="AE34" s="8">
        <v>10000</v>
      </c>
      <c r="AM34" s="7" t="s">
        <v>1305</v>
      </c>
      <c r="AN34" s="7"/>
    </row>
    <row r="35" spans="1:40" ht="18">
      <c r="F35" s="2" t="s">
        <v>1303</v>
      </c>
      <c r="I35" t="s">
        <v>1302</v>
      </c>
      <c r="O35" s="7" t="s">
        <v>1304</v>
      </c>
      <c r="V35" s="6" t="s">
        <v>1301</v>
      </c>
      <c r="W35" s="6">
        <v>108722739</v>
      </c>
      <c r="X35" s="6">
        <v>8464</v>
      </c>
      <c r="Y35" t="s">
        <v>797</v>
      </c>
      <c r="AE35" s="3"/>
    </row>
    <row r="36" spans="1:40">
      <c r="W36" s="2" t="s">
        <v>1308</v>
      </c>
      <c r="X36" s="5">
        <f>SUM(X20:X34:X35)</f>
        <v>175071.40000000005</v>
      </c>
    </row>
  </sheetData>
  <autoFilter ref="A1:XEQ1" xr:uid="{D816BEF1-7206-FF48-9B1D-0060615233A6}"/>
  <sortState xmlns:xlrd2="http://schemas.microsoft.com/office/spreadsheetml/2017/richdata2" ref="A2:AE32">
    <sortCondition ref="F2:F32"/>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4C24-18EA-AF4C-B7EE-EB5073C9BFFD}">
  <dimension ref="B2:R5"/>
  <sheetViews>
    <sheetView showGridLines="0" topLeftCell="C1" zoomScale="125" workbookViewId="0">
      <selection activeCell="J5" sqref="J5"/>
    </sheetView>
  </sheetViews>
  <sheetFormatPr baseColWidth="10" defaultRowHeight="15"/>
  <cols>
    <col min="10" max="10" width="13.6640625" customWidth="1"/>
    <col min="12" max="12" width="12.6640625" customWidth="1"/>
    <col min="14" max="14" width="18.5" customWidth="1"/>
  </cols>
  <sheetData>
    <row r="2" spans="2:18" ht="21">
      <c r="B2" s="57" t="s">
        <v>3303</v>
      </c>
      <c r="C2" s="57"/>
      <c r="D2" s="57"/>
      <c r="E2" s="57"/>
      <c r="F2" s="57"/>
      <c r="G2" s="57"/>
      <c r="H2" s="57"/>
      <c r="I2" s="57"/>
      <c r="J2" s="57"/>
      <c r="K2" s="57"/>
      <c r="L2" s="57"/>
      <c r="M2" s="57"/>
      <c r="N2" s="57"/>
      <c r="O2" s="57"/>
      <c r="P2" s="57"/>
      <c r="Q2" s="57"/>
      <c r="R2" s="57"/>
    </row>
    <row r="3" spans="2:18" ht="34">
      <c r="B3" s="32" t="s">
        <v>3279</v>
      </c>
      <c r="C3" s="33" t="s">
        <v>3289</v>
      </c>
      <c r="D3" s="34" t="s">
        <v>3290</v>
      </c>
      <c r="E3" s="34" t="s">
        <v>3291</v>
      </c>
      <c r="F3" s="34" t="s">
        <v>3304</v>
      </c>
      <c r="G3" s="35" t="s">
        <v>3292</v>
      </c>
      <c r="H3" s="35" t="s">
        <v>3293</v>
      </c>
      <c r="I3" s="35" t="s">
        <v>3294</v>
      </c>
      <c r="J3" s="36" t="s">
        <v>3295</v>
      </c>
      <c r="K3" s="36" t="s">
        <v>3296</v>
      </c>
      <c r="L3" s="36" t="s">
        <v>3297</v>
      </c>
      <c r="M3" s="36" t="s">
        <v>3298</v>
      </c>
      <c r="N3" s="36" t="s">
        <v>3305</v>
      </c>
      <c r="O3" s="37" t="s">
        <v>3299</v>
      </c>
      <c r="P3" s="37" t="s">
        <v>3300</v>
      </c>
      <c r="Q3" s="32" t="s">
        <v>3301</v>
      </c>
      <c r="R3" s="38" t="s">
        <v>3302</v>
      </c>
    </row>
    <row r="4" spans="2:18" ht="16">
      <c r="B4" s="39">
        <v>238256</v>
      </c>
      <c r="C4" s="40" t="s">
        <v>1303</v>
      </c>
      <c r="D4" s="41">
        <v>3</v>
      </c>
      <c r="E4" s="41">
        <v>3</v>
      </c>
      <c r="F4" s="42">
        <v>50</v>
      </c>
      <c r="G4" s="35">
        <v>1</v>
      </c>
      <c r="H4" s="35">
        <v>2</v>
      </c>
      <c r="I4" s="35">
        <v>30</v>
      </c>
      <c r="J4" s="43">
        <v>0.3</v>
      </c>
      <c r="K4" s="43">
        <f>39/135</f>
        <v>0.28888888888888886</v>
      </c>
      <c r="L4" s="43">
        <v>0.1</v>
      </c>
      <c r="M4" s="43">
        <f>3/60</f>
        <v>0.05</v>
      </c>
      <c r="N4" s="44">
        <v>0</v>
      </c>
      <c r="O4" s="45">
        <f>F4+I4+N4</f>
        <v>80</v>
      </c>
      <c r="P4" s="46">
        <f>IF(AND(O4&lt;70),0,IF(AND(O4&gt;=70,O4&lt;90),O4/100,1))</f>
        <v>0.8</v>
      </c>
      <c r="Q4" s="47">
        <v>1000</v>
      </c>
      <c r="R4" s="47">
        <f>Q4*P4</f>
        <v>800</v>
      </c>
    </row>
    <row r="5" spans="2:18" ht="16">
      <c r="B5" s="39">
        <v>341422</v>
      </c>
      <c r="C5" s="40" t="s">
        <v>3270</v>
      </c>
      <c r="D5" s="41">
        <v>3</v>
      </c>
      <c r="E5" s="41">
        <v>7</v>
      </c>
      <c r="F5" s="42">
        <v>50</v>
      </c>
      <c r="G5" s="35">
        <v>1</v>
      </c>
      <c r="H5" s="35">
        <v>2</v>
      </c>
      <c r="I5" s="35">
        <v>30</v>
      </c>
      <c r="J5" s="43">
        <v>0.3</v>
      </c>
      <c r="K5" s="43">
        <f>52/132</f>
        <v>0.39393939393939392</v>
      </c>
      <c r="L5" s="43">
        <v>0.1</v>
      </c>
      <c r="M5" s="43">
        <f>8/51</f>
        <v>0.15686274509803921</v>
      </c>
      <c r="N5" s="44">
        <v>20</v>
      </c>
      <c r="O5" s="45">
        <f>F5+I5+N5</f>
        <v>100</v>
      </c>
      <c r="P5" s="46">
        <f>IF(AND(O5&lt;70),0,IF(AND(O5&gt;=70,O5&lt;90),O5/100,1))</f>
        <v>1</v>
      </c>
      <c r="Q5" s="47">
        <v>2000</v>
      </c>
      <c r="R5" s="47">
        <f>Q5*P5</f>
        <v>2000</v>
      </c>
    </row>
  </sheetData>
  <mergeCells count="1">
    <mergeCell ref="B2:R2"/>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654E-8388-2B4B-9574-38D50D22C666}">
  <dimension ref="A2:BO298"/>
  <sheetViews>
    <sheetView workbookViewId="0">
      <selection activeCell="E23" sqref="E23"/>
    </sheetView>
  </sheetViews>
  <sheetFormatPr baseColWidth="10" defaultRowHeight="15"/>
  <cols>
    <col min="2" max="2" width="13.5" bestFit="1" customWidth="1"/>
    <col min="3" max="3" width="11.83203125" bestFit="1" customWidth="1"/>
    <col min="4" max="4" width="11.6640625" bestFit="1" customWidth="1"/>
  </cols>
  <sheetData>
    <row r="2" spans="1:67">
      <c r="B2" s="12" t="s">
        <v>1338</v>
      </c>
      <c r="C2" s="12" t="s">
        <v>3255</v>
      </c>
      <c r="D2" t="s">
        <v>3254</v>
      </c>
    </row>
    <row r="3" spans="1:67">
      <c r="B3" t="s">
        <v>1382</v>
      </c>
      <c r="C3" t="s">
        <v>3257</v>
      </c>
      <c r="D3">
        <v>41749.699999999997</v>
      </c>
    </row>
    <row r="4" spans="1:67">
      <c r="C4" t="s">
        <v>3258</v>
      </c>
      <c r="D4">
        <v>1468317.2</v>
      </c>
    </row>
    <row r="5" spans="1:67">
      <c r="B5" t="s">
        <v>3259</v>
      </c>
      <c r="D5">
        <v>1510066.9</v>
      </c>
    </row>
    <row r="6" spans="1:67">
      <c r="B6" t="s">
        <v>94</v>
      </c>
      <c r="C6" t="s">
        <v>3257</v>
      </c>
      <c r="D6">
        <v>67148.899999999994</v>
      </c>
    </row>
    <row r="7" spans="1:67">
      <c r="C7" t="s">
        <v>3258</v>
      </c>
      <c r="D7">
        <v>922880.80000000016</v>
      </c>
    </row>
    <row r="8" spans="1:67">
      <c r="B8" t="s">
        <v>3260</v>
      </c>
      <c r="D8">
        <v>990029.70000000019</v>
      </c>
    </row>
    <row r="9" spans="1:67">
      <c r="B9" t="s">
        <v>3253</v>
      </c>
      <c r="D9">
        <v>2500096.6</v>
      </c>
    </row>
    <row r="11" spans="1:67" ht="30">
      <c r="A11" s="10" t="s">
        <v>3256</v>
      </c>
      <c r="B11" s="10" t="s">
        <v>1310</v>
      </c>
      <c r="C11" s="10" t="s">
        <v>1311</v>
      </c>
      <c r="D11" s="10" t="s">
        <v>1312</v>
      </c>
      <c r="E11" s="10" t="s">
        <v>1313</v>
      </c>
      <c r="F11" s="10" t="s">
        <v>1314</v>
      </c>
      <c r="G11" s="10" t="s">
        <v>1315</v>
      </c>
      <c r="H11" s="10" t="s">
        <v>1316</v>
      </c>
      <c r="I11" s="10" t="s">
        <v>1317</v>
      </c>
      <c r="J11" s="10" t="s">
        <v>1318</v>
      </c>
      <c r="K11" s="10" t="s">
        <v>1319</v>
      </c>
      <c r="L11" s="10" t="s">
        <v>1320</v>
      </c>
      <c r="M11" s="10" t="s">
        <v>1321</v>
      </c>
      <c r="N11" s="10" t="s">
        <v>1322</v>
      </c>
      <c r="O11" s="10" t="s">
        <v>1323</v>
      </c>
      <c r="P11" s="10" t="s">
        <v>1324</v>
      </c>
      <c r="Q11" s="10" t="s">
        <v>1325</v>
      </c>
      <c r="R11" s="10" t="s">
        <v>1326</v>
      </c>
      <c r="S11" s="10" t="s">
        <v>1327</v>
      </c>
      <c r="T11" s="10" t="s">
        <v>1328</v>
      </c>
      <c r="U11" s="10" t="s">
        <v>1329</v>
      </c>
      <c r="V11" s="10" t="s">
        <v>1330</v>
      </c>
      <c r="W11" s="10" t="s">
        <v>1331</v>
      </c>
      <c r="X11" s="10" t="s">
        <v>1332</v>
      </c>
      <c r="Y11" s="10" t="s">
        <v>1333</v>
      </c>
      <c r="Z11" s="10" t="s">
        <v>1311</v>
      </c>
      <c r="AA11" s="10" t="s">
        <v>1334</v>
      </c>
      <c r="AB11" s="10" t="s">
        <v>1335</v>
      </c>
      <c r="AC11" s="10" t="s">
        <v>1336</v>
      </c>
      <c r="AD11" s="10" t="s">
        <v>1337</v>
      </c>
      <c r="AE11" s="10" t="s">
        <v>1338</v>
      </c>
      <c r="AF11" s="10" t="s">
        <v>1339</v>
      </c>
      <c r="AG11" s="10" t="s">
        <v>1340</v>
      </c>
      <c r="AH11" s="10" t="s">
        <v>1341</v>
      </c>
      <c r="AI11" s="10" t="s">
        <v>1342</v>
      </c>
      <c r="AJ11" s="10" t="s">
        <v>1343</v>
      </c>
      <c r="AK11" s="10" t="s">
        <v>1344</v>
      </c>
      <c r="AL11" s="10" t="s">
        <v>1345</v>
      </c>
      <c r="AM11" s="10" t="s">
        <v>1346</v>
      </c>
      <c r="AN11" s="10" t="s">
        <v>1347</v>
      </c>
      <c r="AO11" s="10" t="s">
        <v>1348</v>
      </c>
      <c r="AP11" s="10" t="s">
        <v>1349</v>
      </c>
      <c r="AQ11" s="10" t="s">
        <v>1350</v>
      </c>
      <c r="AR11" s="10" t="s">
        <v>1351</v>
      </c>
      <c r="AS11" s="10" t="s">
        <v>1352</v>
      </c>
      <c r="AT11" s="10" t="s">
        <v>1353</v>
      </c>
      <c r="AU11" s="10" t="s">
        <v>1354</v>
      </c>
      <c r="AV11" s="10" t="s">
        <v>1355</v>
      </c>
      <c r="AW11" s="10" t="s">
        <v>1356</v>
      </c>
      <c r="AX11" s="10" t="s">
        <v>1357</v>
      </c>
      <c r="AY11" s="10" t="s">
        <v>36</v>
      </c>
      <c r="AZ11" s="10" t="s">
        <v>1358</v>
      </c>
      <c r="BA11" s="10" t="s">
        <v>1359</v>
      </c>
      <c r="BB11" s="10" t="s">
        <v>1360</v>
      </c>
      <c r="BC11" s="10" t="s">
        <v>1361</v>
      </c>
      <c r="BD11" s="10" t="s">
        <v>1362</v>
      </c>
      <c r="BE11" s="10" t="s">
        <v>1363</v>
      </c>
      <c r="BF11" s="10" t="s">
        <v>1364</v>
      </c>
      <c r="BG11" s="10" t="s">
        <v>1365</v>
      </c>
      <c r="BH11" s="10" t="s">
        <v>1366</v>
      </c>
      <c r="BI11" s="10" t="s">
        <v>1367</v>
      </c>
      <c r="BJ11" s="10" t="s">
        <v>1368</v>
      </c>
      <c r="BK11" s="10" t="s">
        <v>1369</v>
      </c>
      <c r="BL11" s="10" t="s">
        <v>1370</v>
      </c>
      <c r="BM11" s="10" t="s">
        <v>1371</v>
      </c>
      <c r="BN11" s="10" t="s">
        <v>1372</v>
      </c>
      <c r="BO11" s="10" t="s">
        <v>1373</v>
      </c>
    </row>
    <row r="12" spans="1:67">
      <c r="B12" s="11">
        <v>1</v>
      </c>
      <c r="C12" s="11" t="s">
        <v>1374</v>
      </c>
      <c r="D12" s="11" t="s">
        <v>1375</v>
      </c>
      <c r="E12" s="11" t="s">
        <v>1376</v>
      </c>
      <c r="F12" s="11" t="s">
        <v>1377</v>
      </c>
      <c r="G12" s="11" t="s">
        <v>1378</v>
      </c>
      <c r="H12" s="11" t="s">
        <v>1379</v>
      </c>
      <c r="I12" s="11" t="s">
        <v>1380</v>
      </c>
      <c r="J12" s="11" t="s">
        <v>134</v>
      </c>
      <c r="K12" s="11" t="s">
        <v>1381</v>
      </c>
      <c r="L12" s="11" t="s">
        <v>1382</v>
      </c>
      <c r="M12" s="11" t="s">
        <v>1383</v>
      </c>
      <c r="N12" s="11" t="s">
        <v>113</v>
      </c>
      <c r="O12" s="11" t="s">
        <v>1384</v>
      </c>
      <c r="P12" s="11"/>
      <c r="Q12" s="11"/>
      <c r="R12" s="11" t="s">
        <v>1385</v>
      </c>
      <c r="S12" s="11" t="s">
        <v>1382</v>
      </c>
      <c r="T12" s="11" t="s">
        <v>1386</v>
      </c>
      <c r="U12" s="11" t="s">
        <v>1387</v>
      </c>
      <c r="V12" s="11" t="s">
        <v>1388</v>
      </c>
      <c r="W12" s="11" t="s">
        <v>1389</v>
      </c>
      <c r="X12" s="11" t="s">
        <v>1390</v>
      </c>
      <c r="Y12" s="11" t="s">
        <v>1381</v>
      </c>
      <c r="Z12" s="11" t="s">
        <v>1391</v>
      </c>
      <c r="AA12" s="11" t="s">
        <v>1392</v>
      </c>
      <c r="AB12" s="11" t="s">
        <v>1392</v>
      </c>
      <c r="AC12" s="11" t="s">
        <v>1385</v>
      </c>
      <c r="AD12" s="11">
        <v>5461899</v>
      </c>
      <c r="AE12" s="11" t="s">
        <v>1382</v>
      </c>
      <c r="AF12" s="11" t="s">
        <v>1393</v>
      </c>
      <c r="AG12" s="11" t="s">
        <v>1382</v>
      </c>
      <c r="AH12" s="11" t="s">
        <v>1393</v>
      </c>
      <c r="AI12" s="11" t="s">
        <v>1394</v>
      </c>
      <c r="AJ12" s="11" t="s">
        <v>1395</v>
      </c>
      <c r="AK12" s="11" t="s">
        <v>1396</v>
      </c>
      <c r="AL12" s="11" t="s">
        <v>134</v>
      </c>
      <c r="AM12" s="11">
        <v>15000</v>
      </c>
      <c r="AN12" s="11"/>
      <c r="AO12" s="11" t="s">
        <v>1382</v>
      </c>
      <c r="AP12" s="11" t="s">
        <v>1397</v>
      </c>
      <c r="AQ12" s="11" t="s">
        <v>1398</v>
      </c>
      <c r="AR12" s="11" t="s">
        <v>1399</v>
      </c>
      <c r="AS12" s="11" t="s">
        <v>1400</v>
      </c>
      <c r="AT12" s="11" t="s">
        <v>1401</v>
      </c>
      <c r="AU12" s="11" t="s">
        <v>54</v>
      </c>
      <c r="AV12" s="11"/>
      <c r="AW12" s="11" t="s">
        <v>1402</v>
      </c>
      <c r="AX12" s="11"/>
      <c r="AY12" s="11"/>
      <c r="AZ12" s="11"/>
      <c r="BA12" s="11"/>
      <c r="BB12" s="11">
        <v>80739196</v>
      </c>
      <c r="BC12" s="11" t="s">
        <v>1403</v>
      </c>
      <c r="BD12" s="11" t="s">
        <v>1404</v>
      </c>
      <c r="BE12" s="11" t="s">
        <v>1405</v>
      </c>
      <c r="BF12" s="11" t="s">
        <v>134</v>
      </c>
      <c r="BG12" s="11"/>
      <c r="BH12" s="11" t="s">
        <v>1406</v>
      </c>
      <c r="BI12" s="11" t="s">
        <v>1407</v>
      </c>
      <c r="BJ12" s="11" t="s">
        <v>134</v>
      </c>
      <c r="BK12" s="11"/>
      <c r="BL12" s="11" t="s">
        <v>1408</v>
      </c>
      <c r="BM12" s="11"/>
      <c r="BN12" s="11" t="s">
        <v>1409</v>
      </c>
      <c r="BO12" s="11" t="s">
        <v>1410</v>
      </c>
    </row>
    <row r="13" spans="1:67">
      <c r="A13" t="s">
        <v>1302</v>
      </c>
      <c r="B13" s="11">
        <v>2</v>
      </c>
      <c r="C13" s="11" t="s">
        <v>1374</v>
      </c>
      <c r="D13" s="11" t="s">
        <v>1375</v>
      </c>
      <c r="E13" s="11" t="s">
        <v>1411</v>
      </c>
      <c r="F13" s="11" t="s">
        <v>1412</v>
      </c>
      <c r="G13" s="11" t="s">
        <v>1413</v>
      </c>
      <c r="H13" s="11" t="s">
        <v>1414</v>
      </c>
      <c r="I13" s="11" t="s">
        <v>1415</v>
      </c>
      <c r="J13" s="11" t="s">
        <v>1416</v>
      </c>
      <c r="K13" s="11"/>
      <c r="L13" s="11" t="s">
        <v>94</v>
      </c>
      <c r="M13" s="11" t="s">
        <v>1417</v>
      </c>
      <c r="N13" s="11" t="s">
        <v>250</v>
      </c>
      <c r="O13" s="11" t="s">
        <v>134</v>
      </c>
      <c r="P13" s="11"/>
      <c r="Q13" s="11"/>
      <c r="R13" s="11" t="s">
        <v>1411</v>
      </c>
      <c r="S13" s="11" t="s">
        <v>94</v>
      </c>
      <c r="T13" s="11" t="s">
        <v>1418</v>
      </c>
      <c r="U13" s="11" t="s">
        <v>1387</v>
      </c>
      <c r="V13" s="11" t="s">
        <v>1419</v>
      </c>
      <c r="W13" s="11" t="s">
        <v>1389</v>
      </c>
      <c r="X13" s="11" t="s">
        <v>1420</v>
      </c>
      <c r="Y13" s="11" t="s">
        <v>1421</v>
      </c>
      <c r="Z13" s="11" t="s">
        <v>1422</v>
      </c>
      <c r="AA13" s="11" t="s">
        <v>1423</v>
      </c>
      <c r="AB13" s="11" t="s">
        <v>1424</v>
      </c>
      <c r="AC13" s="11" t="s">
        <v>1411</v>
      </c>
      <c r="AD13" s="11">
        <v>5433227</v>
      </c>
      <c r="AE13" s="11" t="s">
        <v>94</v>
      </c>
      <c r="AF13" s="11" t="s">
        <v>1425</v>
      </c>
      <c r="AG13" s="11" t="s">
        <v>94</v>
      </c>
      <c r="AH13" s="11" t="s">
        <v>1426</v>
      </c>
      <c r="AI13" s="11" t="s">
        <v>1427</v>
      </c>
      <c r="AJ13" s="11" t="s">
        <v>1428</v>
      </c>
      <c r="AK13" s="11" t="s">
        <v>1396</v>
      </c>
      <c r="AL13" s="11" t="s">
        <v>134</v>
      </c>
      <c r="AM13" s="11">
        <v>11385</v>
      </c>
      <c r="AN13" s="11"/>
      <c r="AO13" s="11" t="s">
        <v>134</v>
      </c>
      <c r="AP13" s="11" t="s">
        <v>1397</v>
      </c>
      <c r="AQ13" s="11" t="s">
        <v>1429</v>
      </c>
      <c r="AR13" s="11"/>
      <c r="AS13" s="11"/>
      <c r="AT13" s="11"/>
      <c r="AU13" s="11" t="s">
        <v>54</v>
      </c>
      <c r="AV13" s="11"/>
      <c r="AW13" s="11" t="s">
        <v>1430</v>
      </c>
      <c r="AX13" s="11"/>
      <c r="AY13" s="11"/>
      <c r="AZ13" s="11"/>
      <c r="BA13" s="11" t="s">
        <v>1431</v>
      </c>
      <c r="BB13" s="11">
        <v>80201508</v>
      </c>
      <c r="BC13" s="11" t="s">
        <v>1407</v>
      </c>
      <c r="BD13" s="11" t="s">
        <v>1432</v>
      </c>
      <c r="BE13" s="11" t="s">
        <v>1433</v>
      </c>
      <c r="BF13" s="11" t="s">
        <v>1434</v>
      </c>
      <c r="BG13" s="11"/>
      <c r="BH13" s="11" t="s">
        <v>1435</v>
      </c>
      <c r="BI13" s="11" t="s">
        <v>1403</v>
      </c>
      <c r="BJ13" s="11" t="s">
        <v>134</v>
      </c>
      <c r="BK13" s="11"/>
      <c r="BL13" s="11"/>
      <c r="BM13" s="11">
        <v>110462239</v>
      </c>
      <c r="BN13" s="11"/>
      <c r="BO13" s="11" t="s">
        <v>1436</v>
      </c>
    </row>
    <row r="14" spans="1:67">
      <c r="B14" s="11">
        <v>3</v>
      </c>
      <c r="C14" s="11" t="s">
        <v>1374</v>
      </c>
      <c r="D14" s="11" t="s">
        <v>1375</v>
      </c>
      <c r="E14" s="11" t="s">
        <v>1437</v>
      </c>
      <c r="F14" s="11" t="s">
        <v>1438</v>
      </c>
      <c r="G14" s="11" t="s">
        <v>133</v>
      </c>
      <c r="H14" s="11" t="s">
        <v>1439</v>
      </c>
      <c r="I14" s="11" t="s">
        <v>1440</v>
      </c>
      <c r="J14" s="11"/>
      <c r="K14" s="11" t="s">
        <v>1441</v>
      </c>
      <c r="L14" s="11" t="s">
        <v>1382</v>
      </c>
      <c r="M14" s="11" t="s">
        <v>1383</v>
      </c>
      <c r="N14" s="11" t="s">
        <v>95</v>
      </c>
      <c r="O14" s="11" t="s">
        <v>1442</v>
      </c>
      <c r="P14" s="11"/>
      <c r="Q14" s="11"/>
      <c r="R14" s="11" t="s">
        <v>1437</v>
      </c>
      <c r="S14" s="11" t="s">
        <v>1382</v>
      </c>
      <c r="T14" s="11" t="s">
        <v>1443</v>
      </c>
      <c r="U14" s="11" t="s">
        <v>1444</v>
      </c>
      <c r="V14" s="11" t="s">
        <v>1445</v>
      </c>
      <c r="W14" s="11" t="s">
        <v>1389</v>
      </c>
      <c r="X14" s="11" t="s">
        <v>1390</v>
      </c>
      <c r="Y14" s="11" t="s">
        <v>1441</v>
      </c>
      <c r="Z14" s="11" t="s">
        <v>1422</v>
      </c>
      <c r="AA14" s="11" t="s">
        <v>1446</v>
      </c>
      <c r="AB14" s="11" t="s">
        <v>1447</v>
      </c>
      <c r="AC14" s="11" t="s">
        <v>1437</v>
      </c>
      <c r="AD14" s="11">
        <v>5406309</v>
      </c>
      <c r="AE14" s="11" t="s">
        <v>1382</v>
      </c>
      <c r="AF14" s="11" t="s">
        <v>1448</v>
      </c>
      <c r="AG14" s="11" t="s">
        <v>1382</v>
      </c>
      <c r="AH14" s="11" t="s">
        <v>1448</v>
      </c>
      <c r="AI14" s="11" t="s">
        <v>1449</v>
      </c>
      <c r="AJ14" s="11" t="s">
        <v>1405</v>
      </c>
      <c r="AK14" s="11" t="s">
        <v>1396</v>
      </c>
      <c r="AL14" s="11" t="s">
        <v>134</v>
      </c>
      <c r="AM14" s="11">
        <v>5180</v>
      </c>
      <c r="AN14" s="11" t="s">
        <v>1450</v>
      </c>
      <c r="AO14" s="11" t="s">
        <v>133</v>
      </c>
      <c r="AP14" s="11" t="s">
        <v>1451</v>
      </c>
      <c r="AQ14" s="11" t="s">
        <v>1398</v>
      </c>
      <c r="AR14" s="11" t="s">
        <v>1452</v>
      </c>
      <c r="AS14" s="11" t="s">
        <v>1453</v>
      </c>
      <c r="AT14" s="11" t="s">
        <v>1454</v>
      </c>
      <c r="AU14" s="11" t="s">
        <v>54</v>
      </c>
      <c r="AV14" s="11"/>
      <c r="AW14" s="11" t="s">
        <v>1455</v>
      </c>
      <c r="AX14" s="11"/>
      <c r="AY14" s="11"/>
      <c r="AZ14" s="11"/>
      <c r="BA14" s="11"/>
      <c r="BB14" s="11">
        <v>59798822</v>
      </c>
      <c r="BC14" s="11" t="s">
        <v>1403</v>
      </c>
      <c r="BD14" s="11" t="s">
        <v>1456</v>
      </c>
      <c r="BE14" s="11" t="s">
        <v>1405</v>
      </c>
      <c r="BF14" s="11" t="s">
        <v>134</v>
      </c>
      <c r="BG14" s="11"/>
      <c r="BH14" s="11" t="s">
        <v>1435</v>
      </c>
      <c r="BI14" s="11" t="s">
        <v>1407</v>
      </c>
      <c r="BJ14" s="11" t="s">
        <v>134</v>
      </c>
      <c r="BK14" s="11"/>
      <c r="BL14" s="11" t="s">
        <v>1408</v>
      </c>
      <c r="BM14" s="11"/>
      <c r="BN14" s="11" t="s">
        <v>1457</v>
      </c>
      <c r="BO14" s="11" t="s">
        <v>95</v>
      </c>
    </row>
    <row r="15" spans="1:67">
      <c r="A15" t="s">
        <v>1302</v>
      </c>
      <c r="B15" s="11">
        <v>4</v>
      </c>
      <c r="C15" s="11" t="s">
        <v>1374</v>
      </c>
      <c r="D15" s="11" t="s">
        <v>1375</v>
      </c>
      <c r="E15" s="11" t="s">
        <v>1458</v>
      </c>
      <c r="F15" s="11" t="s">
        <v>1459</v>
      </c>
      <c r="G15" s="11" t="s">
        <v>1460</v>
      </c>
      <c r="H15" s="11" t="s">
        <v>1461</v>
      </c>
      <c r="I15" s="11" t="s">
        <v>1462</v>
      </c>
      <c r="J15" s="11" t="s">
        <v>1463</v>
      </c>
      <c r="K15" s="11"/>
      <c r="L15" s="11" t="s">
        <v>1464</v>
      </c>
      <c r="M15" s="11" t="s">
        <v>1465</v>
      </c>
      <c r="N15" s="11" t="s">
        <v>234</v>
      </c>
      <c r="O15" s="11" t="s">
        <v>134</v>
      </c>
      <c r="P15" s="11" t="s">
        <v>1464</v>
      </c>
      <c r="Q15" s="11" t="s">
        <v>1466</v>
      </c>
      <c r="R15" s="11" t="s">
        <v>1458</v>
      </c>
      <c r="S15" s="11" t="s">
        <v>94</v>
      </c>
      <c r="T15" s="11" t="s">
        <v>1467</v>
      </c>
      <c r="U15" s="11" t="s">
        <v>1387</v>
      </c>
      <c r="V15" s="11" t="s">
        <v>1468</v>
      </c>
      <c r="W15" s="11" t="s">
        <v>1389</v>
      </c>
      <c r="X15" s="11" t="s">
        <v>1469</v>
      </c>
      <c r="Y15" s="11" t="s">
        <v>1470</v>
      </c>
      <c r="Z15" s="11" t="s">
        <v>1471</v>
      </c>
      <c r="AA15" s="11" t="s">
        <v>1472</v>
      </c>
      <c r="AB15" s="11" t="s">
        <v>1473</v>
      </c>
      <c r="AC15" s="11" t="s">
        <v>1458</v>
      </c>
      <c r="AD15" s="11">
        <v>5459675</v>
      </c>
      <c r="AE15" s="11" t="s">
        <v>94</v>
      </c>
      <c r="AF15" s="11" t="s">
        <v>1474</v>
      </c>
      <c r="AG15" s="11" t="s">
        <v>94</v>
      </c>
      <c r="AH15" s="11" t="s">
        <v>1475</v>
      </c>
      <c r="AI15" s="11" t="s">
        <v>1476</v>
      </c>
      <c r="AJ15" s="11" t="s">
        <v>1477</v>
      </c>
      <c r="AK15" s="11" t="s">
        <v>1396</v>
      </c>
      <c r="AL15" s="11" t="s">
        <v>134</v>
      </c>
      <c r="AM15" s="11">
        <v>10778</v>
      </c>
      <c r="AN15" s="11"/>
      <c r="AO15" s="11" t="s">
        <v>134</v>
      </c>
      <c r="AP15" s="11" t="s">
        <v>1397</v>
      </c>
      <c r="AQ15" s="11" t="s">
        <v>1429</v>
      </c>
      <c r="AR15" s="11"/>
      <c r="AS15" s="11"/>
      <c r="AT15" s="11"/>
      <c r="AU15" s="11" t="s">
        <v>1478</v>
      </c>
      <c r="AV15" s="11"/>
      <c r="AW15" s="11" t="s">
        <v>1479</v>
      </c>
      <c r="AX15" s="11"/>
      <c r="AY15" s="11"/>
      <c r="AZ15" s="11"/>
      <c r="BA15" s="11" t="s">
        <v>1431</v>
      </c>
      <c r="BB15" s="11">
        <v>80705989</v>
      </c>
      <c r="BC15" s="11" t="s">
        <v>1407</v>
      </c>
      <c r="BD15" s="11" t="s">
        <v>1432</v>
      </c>
      <c r="BE15" s="11" t="s">
        <v>1480</v>
      </c>
      <c r="BF15" s="11" t="s">
        <v>1481</v>
      </c>
      <c r="BG15" s="11" t="s">
        <v>1482</v>
      </c>
      <c r="BH15" s="11" t="s">
        <v>1435</v>
      </c>
      <c r="BI15" s="11" t="s">
        <v>1403</v>
      </c>
      <c r="BJ15" s="11" t="s">
        <v>134</v>
      </c>
      <c r="BK15" s="11"/>
      <c r="BL15" s="11"/>
      <c r="BM15" s="11">
        <v>110457362</v>
      </c>
      <c r="BN15" s="11" t="s">
        <v>1483</v>
      </c>
      <c r="BO15" s="11" t="s">
        <v>1484</v>
      </c>
    </row>
    <row r="16" spans="1:67">
      <c r="B16" s="11">
        <v>5</v>
      </c>
      <c r="C16" s="11" t="s">
        <v>1374</v>
      </c>
      <c r="D16" s="11" t="s">
        <v>1375</v>
      </c>
      <c r="E16" s="11"/>
      <c r="F16" s="11" t="s">
        <v>1485</v>
      </c>
      <c r="G16" s="11"/>
      <c r="H16" s="11" t="s">
        <v>1486</v>
      </c>
      <c r="I16" s="11" t="s">
        <v>1487</v>
      </c>
      <c r="J16" s="11" t="s">
        <v>134</v>
      </c>
      <c r="K16" s="11" t="s">
        <v>1488</v>
      </c>
      <c r="L16" s="11" t="s">
        <v>94</v>
      </c>
      <c r="M16" s="11" t="s">
        <v>181</v>
      </c>
      <c r="N16" s="11" t="s">
        <v>181</v>
      </c>
      <c r="O16" s="11"/>
      <c r="P16" s="11"/>
      <c r="Q16" s="11"/>
      <c r="R16" s="11" t="s">
        <v>1092</v>
      </c>
      <c r="S16" s="11" t="s">
        <v>1489</v>
      </c>
      <c r="T16" s="11" t="s">
        <v>1490</v>
      </c>
      <c r="U16" s="11" t="s">
        <v>1444</v>
      </c>
      <c r="V16" s="11" t="s">
        <v>1491</v>
      </c>
      <c r="W16" s="11" t="s">
        <v>1389</v>
      </c>
      <c r="X16" s="11" t="s">
        <v>1492</v>
      </c>
      <c r="Y16" s="11" t="s">
        <v>1470</v>
      </c>
      <c r="Z16" s="11" t="s">
        <v>1493</v>
      </c>
      <c r="AA16" s="11" t="s">
        <v>1494</v>
      </c>
      <c r="AB16" s="11" t="s">
        <v>1495</v>
      </c>
      <c r="AC16" s="11" t="s">
        <v>1092</v>
      </c>
      <c r="AD16" s="11">
        <v>5458743</v>
      </c>
      <c r="AE16" s="11" t="s">
        <v>94</v>
      </c>
      <c r="AF16" s="11" t="s">
        <v>1496</v>
      </c>
      <c r="AG16" s="11" t="s">
        <v>1489</v>
      </c>
      <c r="AH16" s="11" t="s">
        <v>1497</v>
      </c>
      <c r="AI16" s="11"/>
      <c r="AJ16" s="11"/>
      <c r="AK16" s="11" t="s">
        <v>1396</v>
      </c>
      <c r="AL16" s="11" t="s">
        <v>134</v>
      </c>
      <c r="AM16" s="11">
        <v>5000</v>
      </c>
      <c r="AN16" s="11"/>
      <c r="AO16" s="11" t="s">
        <v>134</v>
      </c>
      <c r="AP16" s="11" t="s">
        <v>1498</v>
      </c>
      <c r="AQ16" s="11" t="s">
        <v>1398</v>
      </c>
      <c r="AR16" s="11"/>
      <c r="AS16" s="11" t="s">
        <v>1093</v>
      </c>
      <c r="AT16" s="11"/>
      <c r="AU16" s="11"/>
      <c r="AV16" s="11"/>
      <c r="AW16" s="11" t="s">
        <v>1499</v>
      </c>
      <c r="AX16" s="11"/>
      <c r="AY16" s="11"/>
      <c r="AZ16" s="11"/>
      <c r="BA16" s="11"/>
      <c r="BB16" s="11">
        <v>67265543</v>
      </c>
      <c r="BC16" s="11" t="s">
        <v>1403</v>
      </c>
      <c r="BD16" s="11" t="s">
        <v>1432</v>
      </c>
      <c r="BE16" s="11" t="s">
        <v>1500</v>
      </c>
      <c r="BF16" s="11" t="s">
        <v>1501</v>
      </c>
      <c r="BG16" s="11"/>
      <c r="BH16" s="11" t="s">
        <v>1502</v>
      </c>
      <c r="BI16" s="11" t="s">
        <v>1403</v>
      </c>
      <c r="BJ16" s="11" t="s">
        <v>134</v>
      </c>
      <c r="BK16" s="11"/>
      <c r="BL16" s="11"/>
      <c r="BM16" s="11"/>
      <c r="BN16" s="11" t="s">
        <v>1457</v>
      </c>
      <c r="BO16" s="11"/>
    </row>
    <row r="17" spans="1:67">
      <c r="B17" s="11">
        <v>6</v>
      </c>
      <c r="C17" s="11" t="s">
        <v>1374</v>
      </c>
      <c r="D17" s="11" t="s">
        <v>1375</v>
      </c>
      <c r="E17" s="11" t="s">
        <v>1503</v>
      </c>
      <c r="F17" s="11" t="s">
        <v>1504</v>
      </c>
      <c r="G17" s="11" t="s">
        <v>1505</v>
      </c>
      <c r="H17" s="11" t="s">
        <v>1506</v>
      </c>
      <c r="I17" s="11" t="s">
        <v>1507</v>
      </c>
      <c r="J17" s="11"/>
      <c r="K17" s="11" t="s">
        <v>1470</v>
      </c>
      <c r="L17" s="11" t="s">
        <v>1382</v>
      </c>
      <c r="M17" s="11" t="s">
        <v>1383</v>
      </c>
      <c r="N17" s="11" t="s">
        <v>95</v>
      </c>
      <c r="O17" s="11" t="s">
        <v>1508</v>
      </c>
      <c r="P17" s="11"/>
      <c r="Q17" s="11"/>
      <c r="R17" s="11" t="s">
        <v>1503</v>
      </c>
      <c r="S17" s="11" t="s">
        <v>1382</v>
      </c>
      <c r="T17" s="11" t="s">
        <v>1509</v>
      </c>
      <c r="U17" s="11" t="s">
        <v>1444</v>
      </c>
      <c r="V17" s="11" t="s">
        <v>1510</v>
      </c>
      <c r="W17" s="11" t="s">
        <v>1389</v>
      </c>
      <c r="X17" s="11" t="s">
        <v>1469</v>
      </c>
      <c r="Y17" s="11" t="s">
        <v>1470</v>
      </c>
      <c r="Z17" s="11" t="s">
        <v>1511</v>
      </c>
      <c r="AA17" s="11" t="s">
        <v>1512</v>
      </c>
      <c r="AB17" s="11" t="s">
        <v>1513</v>
      </c>
      <c r="AC17" s="11" t="s">
        <v>1503</v>
      </c>
      <c r="AD17" s="11">
        <v>5458704</v>
      </c>
      <c r="AE17" s="11" t="s">
        <v>1382</v>
      </c>
      <c r="AF17" s="11" t="s">
        <v>1514</v>
      </c>
      <c r="AG17" s="11" t="s">
        <v>1382</v>
      </c>
      <c r="AH17" s="11" t="s">
        <v>1515</v>
      </c>
      <c r="AI17" s="11" t="s">
        <v>1516</v>
      </c>
      <c r="AJ17" s="11" t="s">
        <v>1517</v>
      </c>
      <c r="AK17" s="11" t="s">
        <v>1396</v>
      </c>
      <c r="AL17" s="11" t="s">
        <v>134</v>
      </c>
      <c r="AM17" s="11">
        <v>3000</v>
      </c>
      <c r="AN17" s="11"/>
      <c r="AO17" s="11" t="s">
        <v>1505</v>
      </c>
      <c r="AP17" s="11" t="s">
        <v>1451</v>
      </c>
      <c r="AQ17" s="11" t="s">
        <v>1398</v>
      </c>
      <c r="AR17" s="11"/>
      <c r="AS17" s="11" t="s">
        <v>1518</v>
      </c>
      <c r="AT17" s="11"/>
      <c r="AU17" s="11" t="s">
        <v>1478</v>
      </c>
      <c r="AV17" s="11"/>
      <c r="AW17" s="11" t="s">
        <v>1519</v>
      </c>
      <c r="AX17" s="11"/>
      <c r="AY17" s="11"/>
      <c r="AZ17" s="11"/>
      <c r="BA17" s="11"/>
      <c r="BB17" s="11">
        <v>65389384</v>
      </c>
      <c r="BC17" s="11" t="s">
        <v>1403</v>
      </c>
      <c r="BD17" s="11" t="s">
        <v>1432</v>
      </c>
      <c r="BE17" s="11" t="s">
        <v>1480</v>
      </c>
      <c r="BF17" s="11" t="s">
        <v>1481</v>
      </c>
      <c r="BG17" s="11" t="s">
        <v>1482</v>
      </c>
      <c r="BH17" s="11" t="s">
        <v>1520</v>
      </c>
      <c r="BI17" s="11" t="s">
        <v>1403</v>
      </c>
      <c r="BJ17" s="11" t="s">
        <v>134</v>
      </c>
      <c r="BK17" s="11"/>
      <c r="BL17" s="11"/>
      <c r="BM17" s="11"/>
      <c r="BN17" s="11" t="s">
        <v>1457</v>
      </c>
      <c r="BO17" s="11" t="s">
        <v>95</v>
      </c>
    </row>
    <row r="18" spans="1:67">
      <c r="A18" t="s">
        <v>1302</v>
      </c>
      <c r="B18" s="11">
        <v>7</v>
      </c>
      <c r="C18" s="11" t="s">
        <v>1374</v>
      </c>
      <c r="D18" s="11" t="s">
        <v>1375</v>
      </c>
      <c r="E18" s="11" t="s">
        <v>1521</v>
      </c>
      <c r="F18" s="11" t="s">
        <v>1522</v>
      </c>
      <c r="G18" s="11" t="s">
        <v>1523</v>
      </c>
      <c r="H18" s="11" t="s">
        <v>1524</v>
      </c>
      <c r="I18" s="11" t="s">
        <v>134</v>
      </c>
      <c r="J18" s="11" t="s">
        <v>134</v>
      </c>
      <c r="K18" s="11" t="s">
        <v>1470</v>
      </c>
      <c r="L18" s="11" t="s">
        <v>1382</v>
      </c>
      <c r="M18" s="11" t="s">
        <v>1383</v>
      </c>
      <c r="N18" s="11" t="s">
        <v>113</v>
      </c>
      <c r="O18" s="11" t="s">
        <v>1525</v>
      </c>
      <c r="P18" s="11"/>
      <c r="Q18" s="11"/>
      <c r="R18" s="11" t="s">
        <v>1526</v>
      </c>
      <c r="S18" s="11" t="s">
        <v>1382</v>
      </c>
      <c r="T18" s="11" t="s">
        <v>1527</v>
      </c>
      <c r="U18" s="11" t="s">
        <v>1387</v>
      </c>
      <c r="V18" s="11" t="s">
        <v>1528</v>
      </c>
      <c r="W18" s="11" t="s">
        <v>1389</v>
      </c>
      <c r="X18" s="11" t="s">
        <v>1529</v>
      </c>
      <c r="Y18" s="11" t="s">
        <v>1470</v>
      </c>
      <c r="Z18" s="11" t="s">
        <v>1530</v>
      </c>
      <c r="AA18" s="11" t="s">
        <v>1531</v>
      </c>
      <c r="AB18" s="11" t="s">
        <v>1532</v>
      </c>
      <c r="AC18" s="11" t="s">
        <v>1526</v>
      </c>
      <c r="AD18" s="11">
        <v>5404397</v>
      </c>
      <c r="AE18" s="11" t="s">
        <v>1382</v>
      </c>
      <c r="AF18" s="11" t="s">
        <v>1533</v>
      </c>
      <c r="AG18" s="11" t="s">
        <v>1382</v>
      </c>
      <c r="AH18" s="11" t="s">
        <v>1533</v>
      </c>
      <c r="AI18" s="11" t="s">
        <v>1534</v>
      </c>
      <c r="AJ18" s="11" t="s">
        <v>1535</v>
      </c>
      <c r="AK18" s="11" t="s">
        <v>1396</v>
      </c>
      <c r="AL18" s="11" t="s">
        <v>134</v>
      </c>
      <c r="AM18" s="11">
        <v>3901.5</v>
      </c>
      <c r="AN18" s="11"/>
      <c r="AO18" s="11" t="s">
        <v>1525</v>
      </c>
      <c r="AP18" s="11" t="s">
        <v>1397</v>
      </c>
      <c r="AQ18" s="11" t="s">
        <v>1429</v>
      </c>
      <c r="AR18" s="11"/>
      <c r="AS18" s="11"/>
      <c r="AT18" s="11"/>
      <c r="AU18" s="11" t="s">
        <v>1536</v>
      </c>
      <c r="AV18" s="11"/>
      <c r="AW18" s="11" t="s">
        <v>1537</v>
      </c>
      <c r="AX18" s="11"/>
      <c r="AY18" s="11"/>
      <c r="AZ18" s="11"/>
      <c r="BA18" s="11" t="s">
        <v>1431</v>
      </c>
      <c r="BB18" s="11">
        <v>30895369</v>
      </c>
      <c r="BC18" s="11" t="s">
        <v>1407</v>
      </c>
      <c r="BD18" s="11" t="s">
        <v>1432</v>
      </c>
      <c r="BE18" s="11" t="s">
        <v>1538</v>
      </c>
      <c r="BF18" s="11" t="s">
        <v>1539</v>
      </c>
      <c r="BG18" s="11"/>
      <c r="BH18" s="11" t="s">
        <v>1520</v>
      </c>
      <c r="BI18" s="11" t="s">
        <v>1403</v>
      </c>
      <c r="BJ18" s="11" t="s">
        <v>134</v>
      </c>
      <c r="BK18" s="11"/>
      <c r="BL18" s="11"/>
      <c r="BM18" s="11">
        <v>104592631</v>
      </c>
      <c r="BN18" s="11" t="s">
        <v>1457</v>
      </c>
      <c r="BO18" s="11" t="s">
        <v>1410</v>
      </c>
    </row>
    <row r="19" spans="1:67">
      <c r="A19" t="s">
        <v>1302</v>
      </c>
      <c r="B19" s="11">
        <v>8</v>
      </c>
      <c r="C19" s="11" t="s">
        <v>1374</v>
      </c>
      <c r="D19" s="11" t="s">
        <v>1375</v>
      </c>
      <c r="E19" s="11"/>
      <c r="F19" s="11" t="s">
        <v>1540</v>
      </c>
      <c r="G19" s="11"/>
      <c r="H19" s="11" t="s">
        <v>1541</v>
      </c>
      <c r="I19" s="11" t="s">
        <v>1542</v>
      </c>
      <c r="J19" s="11" t="s">
        <v>134</v>
      </c>
      <c r="K19" s="11" t="s">
        <v>1488</v>
      </c>
      <c r="L19" s="11" t="s">
        <v>94</v>
      </c>
      <c r="M19" s="11" t="s">
        <v>1543</v>
      </c>
      <c r="N19" s="11" t="s">
        <v>165</v>
      </c>
      <c r="O19" s="11"/>
      <c r="P19" s="11"/>
      <c r="Q19" s="11"/>
      <c r="R19" s="11" t="s">
        <v>1544</v>
      </c>
      <c r="S19" s="11" t="s">
        <v>94</v>
      </c>
      <c r="T19" s="11" t="s">
        <v>1545</v>
      </c>
      <c r="U19" s="11" t="s">
        <v>1444</v>
      </c>
      <c r="V19" s="11" t="s">
        <v>1546</v>
      </c>
      <c r="W19" s="11" t="s">
        <v>1389</v>
      </c>
      <c r="X19" s="11" t="s">
        <v>1529</v>
      </c>
      <c r="Y19" s="11" t="s">
        <v>1547</v>
      </c>
      <c r="Z19" s="11" t="s">
        <v>1422</v>
      </c>
      <c r="AA19" s="11" t="s">
        <v>1548</v>
      </c>
      <c r="AB19" s="11" t="s">
        <v>1549</v>
      </c>
      <c r="AC19" s="11" t="s">
        <v>1544</v>
      </c>
      <c r="AD19" s="11">
        <v>5397207</v>
      </c>
      <c r="AE19" s="11" t="s">
        <v>94</v>
      </c>
      <c r="AF19" s="11" t="s">
        <v>1550</v>
      </c>
      <c r="AG19" s="11" t="s">
        <v>94</v>
      </c>
      <c r="AH19" s="11" t="s">
        <v>1550</v>
      </c>
      <c r="AI19" s="11" t="s">
        <v>1551</v>
      </c>
      <c r="AJ19" s="11" t="s">
        <v>1552</v>
      </c>
      <c r="AK19" s="11" t="s">
        <v>1396</v>
      </c>
      <c r="AL19" s="11" t="s">
        <v>134</v>
      </c>
      <c r="AM19" s="11">
        <v>18814.400000000001</v>
      </c>
      <c r="AN19" s="11"/>
      <c r="AO19" s="11" t="s">
        <v>134</v>
      </c>
      <c r="AP19" s="11" t="s">
        <v>1451</v>
      </c>
      <c r="AQ19" s="11" t="s">
        <v>1429</v>
      </c>
      <c r="AR19" s="11"/>
      <c r="AS19" s="11"/>
      <c r="AT19" s="11"/>
      <c r="AU19" s="11" t="s">
        <v>1536</v>
      </c>
      <c r="AV19" s="11"/>
      <c r="AW19" s="11" t="s">
        <v>1553</v>
      </c>
      <c r="AX19" s="11"/>
      <c r="AY19" s="11"/>
      <c r="AZ19" s="11"/>
      <c r="BA19" s="11" t="s">
        <v>1554</v>
      </c>
      <c r="BB19" s="11">
        <v>80013959</v>
      </c>
      <c r="BC19" s="11" t="s">
        <v>1407</v>
      </c>
      <c r="BD19" s="11" t="s">
        <v>1432</v>
      </c>
      <c r="BE19" s="11" t="s">
        <v>1538</v>
      </c>
      <c r="BF19" s="11" t="s">
        <v>1555</v>
      </c>
      <c r="BG19" s="11"/>
      <c r="BH19" s="11" t="s">
        <v>1435</v>
      </c>
      <c r="BI19" s="11" t="s">
        <v>1403</v>
      </c>
      <c r="BJ19" s="11" t="s">
        <v>134</v>
      </c>
      <c r="BK19" s="11"/>
      <c r="BL19" s="11"/>
      <c r="BM19" s="11">
        <v>108722739</v>
      </c>
      <c r="BN19" s="11" t="s">
        <v>1556</v>
      </c>
      <c r="BO19" s="11"/>
    </row>
    <row r="20" spans="1:67">
      <c r="B20" s="11">
        <v>9</v>
      </c>
      <c r="C20" s="11" t="s">
        <v>1374</v>
      </c>
      <c r="D20" s="11" t="s">
        <v>1375</v>
      </c>
      <c r="E20" s="11"/>
      <c r="F20" s="11" t="s">
        <v>1557</v>
      </c>
      <c r="G20" s="11"/>
      <c r="H20" s="11" t="s">
        <v>1558</v>
      </c>
      <c r="I20" s="11" t="s">
        <v>1559</v>
      </c>
      <c r="J20" s="11" t="s">
        <v>134</v>
      </c>
      <c r="K20" s="11" t="s">
        <v>1488</v>
      </c>
      <c r="L20" s="11" t="s">
        <v>1382</v>
      </c>
      <c r="M20" s="11" t="s">
        <v>1417</v>
      </c>
      <c r="N20" s="11" t="s">
        <v>330</v>
      </c>
      <c r="O20" s="11"/>
      <c r="P20" s="11"/>
      <c r="Q20" s="11"/>
      <c r="R20" s="11" t="s">
        <v>1560</v>
      </c>
      <c r="S20" s="11" t="s">
        <v>1382</v>
      </c>
      <c r="T20" s="11" t="s">
        <v>1561</v>
      </c>
      <c r="U20" s="11" t="s">
        <v>1444</v>
      </c>
      <c r="V20" s="11" t="s">
        <v>1562</v>
      </c>
      <c r="W20" s="11" t="s">
        <v>1389</v>
      </c>
      <c r="X20" s="11" t="s">
        <v>1563</v>
      </c>
      <c r="Y20" s="11" t="s">
        <v>1564</v>
      </c>
      <c r="Z20" s="11" t="s">
        <v>1565</v>
      </c>
      <c r="AA20" s="11" t="s">
        <v>1566</v>
      </c>
      <c r="AB20" s="11" t="s">
        <v>1567</v>
      </c>
      <c r="AC20" s="11" t="s">
        <v>1560</v>
      </c>
      <c r="AD20" s="11">
        <v>5459865</v>
      </c>
      <c r="AE20" s="11" t="s">
        <v>1382</v>
      </c>
      <c r="AF20" s="11" t="s">
        <v>1562</v>
      </c>
      <c r="AG20" s="11" t="s">
        <v>1382</v>
      </c>
      <c r="AH20" s="11" t="s">
        <v>1562</v>
      </c>
      <c r="AI20" s="11" t="s">
        <v>1568</v>
      </c>
      <c r="AJ20" s="11" t="s">
        <v>1569</v>
      </c>
      <c r="AK20" s="11" t="s">
        <v>1396</v>
      </c>
      <c r="AL20" s="11" t="s">
        <v>134</v>
      </c>
      <c r="AM20" s="11">
        <v>12577.6</v>
      </c>
      <c r="AN20" s="11" t="s">
        <v>1450</v>
      </c>
      <c r="AO20" s="11" t="s">
        <v>134</v>
      </c>
      <c r="AP20" s="11" t="s">
        <v>1451</v>
      </c>
      <c r="AQ20" s="11" t="s">
        <v>1398</v>
      </c>
      <c r="AR20" s="11" t="s">
        <v>1570</v>
      </c>
      <c r="AS20" s="11" t="s">
        <v>1571</v>
      </c>
      <c r="AT20" s="11" t="s">
        <v>1572</v>
      </c>
      <c r="AU20" s="11" t="s">
        <v>1573</v>
      </c>
      <c r="AV20" s="11"/>
      <c r="AW20" s="11" t="s">
        <v>1574</v>
      </c>
      <c r="AX20" s="11"/>
      <c r="AY20" s="11"/>
      <c r="AZ20" s="11"/>
      <c r="BA20" s="11"/>
      <c r="BB20" s="11">
        <v>69612259</v>
      </c>
      <c r="BC20" s="11" t="s">
        <v>1403</v>
      </c>
      <c r="BD20" s="11" t="s">
        <v>1432</v>
      </c>
      <c r="BE20" s="11" t="s">
        <v>1575</v>
      </c>
      <c r="BF20" s="11" t="s">
        <v>1576</v>
      </c>
      <c r="BG20" s="11"/>
      <c r="BH20" s="11" t="s">
        <v>1520</v>
      </c>
      <c r="BI20" s="11" t="s">
        <v>1403</v>
      </c>
      <c r="BJ20" s="11" t="s">
        <v>134</v>
      </c>
      <c r="BK20" s="11"/>
      <c r="BL20" s="11" t="s">
        <v>1577</v>
      </c>
      <c r="BM20" s="11"/>
      <c r="BN20" s="11"/>
      <c r="BO20" s="11"/>
    </row>
    <row r="21" spans="1:67">
      <c r="B21" s="11">
        <v>10</v>
      </c>
      <c r="C21" s="11" t="s">
        <v>1374</v>
      </c>
      <c r="D21" s="11" t="s">
        <v>1375</v>
      </c>
      <c r="E21" s="11"/>
      <c r="F21" s="11" t="s">
        <v>1578</v>
      </c>
      <c r="G21" s="11"/>
      <c r="H21" s="11" t="s">
        <v>1579</v>
      </c>
      <c r="I21" s="11" t="s">
        <v>1580</v>
      </c>
      <c r="J21" s="11" t="s">
        <v>134</v>
      </c>
      <c r="K21" s="11" t="s">
        <v>1564</v>
      </c>
      <c r="L21" s="11" t="s">
        <v>94</v>
      </c>
      <c r="M21" s="11" t="s">
        <v>1581</v>
      </c>
      <c r="N21" s="11" t="s">
        <v>1153</v>
      </c>
      <c r="O21" s="11"/>
      <c r="P21" s="11"/>
      <c r="Q21" s="11"/>
      <c r="R21" s="11" t="s">
        <v>1582</v>
      </c>
      <c r="S21" s="11" t="s">
        <v>1382</v>
      </c>
      <c r="T21" s="11" t="s">
        <v>1583</v>
      </c>
      <c r="U21" s="11" t="s">
        <v>1444</v>
      </c>
      <c r="V21" s="11" t="s">
        <v>1584</v>
      </c>
      <c r="W21" s="11" t="s">
        <v>1389</v>
      </c>
      <c r="X21" s="11" t="s">
        <v>1563</v>
      </c>
      <c r="Y21" s="11" t="s">
        <v>1421</v>
      </c>
      <c r="Z21" s="11" t="s">
        <v>1585</v>
      </c>
      <c r="AA21" s="11" t="s">
        <v>1586</v>
      </c>
      <c r="AB21" s="11" t="s">
        <v>1587</v>
      </c>
      <c r="AC21" s="11" t="s">
        <v>1582</v>
      </c>
      <c r="AD21" s="11">
        <v>5459863</v>
      </c>
      <c r="AE21" s="11" t="s">
        <v>1382</v>
      </c>
      <c r="AF21" s="11" t="s">
        <v>1588</v>
      </c>
      <c r="AG21" s="11" t="s">
        <v>1382</v>
      </c>
      <c r="AH21" s="11" t="s">
        <v>1588</v>
      </c>
      <c r="AI21" s="11" t="s">
        <v>1568</v>
      </c>
      <c r="AJ21" s="11" t="s">
        <v>1569</v>
      </c>
      <c r="AK21" s="11" t="s">
        <v>1396</v>
      </c>
      <c r="AL21" s="11" t="s">
        <v>134</v>
      </c>
      <c r="AM21" s="11">
        <v>5888.9</v>
      </c>
      <c r="AN21" s="11" t="s">
        <v>1450</v>
      </c>
      <c r="AO21" s="11" t="s">
        <v>134</v>
      </c>
      <c r="AP21" s="11" t="s">
        <v>1451</v>
      </c>
      <c r="AQ21" s="11" t="s">
        <v>1398</v>
      </c>
      <c r="AR21" s="11" t="s">
        <v>1570</v>
      </c>
      <c r="AS21" s="11" t="s">
        <v>1589</v>
      </c>
      <c r="AT21" s="11" t="s">
        <v>1590</v>
      </c>
      <c r="AU21" s="11" t="s">
        <v>1573</v>
      </c>
      <c r="AV21" s="11"/>
      <c r="AW21" s="11" t="s">
        <v>1591</v>
      </c>
      <c r="AX21" s="11"/>
      <c r="AY21" s="11"/>
      <c r="AZ21" s="11"/>
      <c r="BA21" s="11"/>
      <c r="BB21" s="11">
        <v>65530077</v>
      </c>
      <c r="BC21" s="11" t="s">
        <v>1403</v>
      </c>
      <c r="BD21" s="11" t="s">
        <v>1432</v>
      </c>
      <c r="BE21" s="11" t="s">
        <v>1575</v>
      </c>
      <c r="BF21" s="11" t="s">
        <v>1576</v>
      </c>
      <c r="BG21" s="11"/>
      <c r="BH21" s="11" t="s">
        <v>1502</v>
      </c>
      <c r="BI21" s="11" t="s">
        <v>1403</v>
      </c>
      <c r="BJ21" s="11" t="s">
        <v>134</v>
      </c>
      <c r="BK21" s="11"/>
      <c r="BL21" s="11" t="s">
        <v>1577</v>
      </c>
      <c r="BM21" s="11"/>
      <c r="BN21" s="11"/>
      <c r="BO21" s="11"/>
    </row>
    <row r="22" spans="1:67">
      <c r="B22" s="11">
        <v>11</v>
      </c>
      <c r="C22" s="11" t="s">
        <v>1374</v>
      </c>
      <c r="D22" s="11" t="s">
        <v>1375</v>
      </c>
      <c r="E22" s="11"/>
      <c r="F22" s="11" t="s">
        <v>1592</v>
      </c>
      <c r="G22" s="11"/>
      <c r="H22" s="11" t="s">
        <v>1593</v>
      </c>
      <c r="I22" s="11" t="s">
        <v>1594</v>
      </c>
      <c r="J22" s="11"/>
      <c r="K22" s="11" t="s">
        <v>1421</v>
      </c>
      <c r="L22" s="11" t="s">
        <v>94</v>
      </c>
      <c r="M22" s="11" t="s">
        <v>1383</v>
      </c>
      <c r="N22" s="11" t="s">
        <v>95</v>
      </c>
      <c r="O22" s="11"/>
      <c r="P22" s="11"/>
      <c r="Q22" s="11"/>
      <c r="R22" s="11" t="s">
        <v>1595</v>
      </c>
      <c r="S22" s="11" t="s">
        <v>94</v>
      </c>
      <c r="T22" s="11" t="s">
        <v>1596</v>
      </c>
      <c r="U22" s="11" t="s">
        <v>1444</v>
      </c>
      <c r="V22" s="11" t="s">
        <v>1597</v>
      </c>
      <c r="W22" s="11" t="s">
        <v>1389</v>
      </c>
      <c r="X22" s="11" t="s">
        <v>1598</v>
      </c>
      <c r="Y22" s="11" t="s">
        <v>1421</v>
      </c>
      <c r="Z22" s="11" t="s">
        <v>1599</v>
      </c>
      <c r="AA22" s="11" t="s">
        <v>1600</v>
      </c>
      <c r="AB22" s="11" t="s">
        <v>1601</v>
      </c>
      <c r="AC22" s="11" t="s">
        <v>1595</v>
      </c>
      <c r="AD22" s="11">
        <v>5459836</v>
      </c>
      <c r="AE22" s="11" t="s">
        <v>94</v>
      </c>
      <c r="AF22" s="11" t="s">
        <v>1602</v>
      </c>
      <c r="AG22" s="11" t="s">
        <v>94</v>
      </c>
      <c r="AH22" s="11" t="s">
        <v>1602</v>
      </c>
      <c r="AI22" s="11" t="s">
        <v>1568</v>
      </c>
      <c r="AJ22" s="11" t="s">
        <v>1569</v>
      </c>
      <c r="AK22" s="11" t="s">
        <v>1396</v>
      </c>
      <c r="AL22" s="11" t="s">
        <v>134</v>
      </c>
      <c r="AM22" s="11">
        <v>12332.2</v>
      </c>
      <c r="AN22" s="11" t="s">
        <v>1450</v>
      </c>
      <c r="AO22" s="11" t="s">
        <v>134</v>
      </c>
      <c r="AP22" s="11" t="s">
        <v>1451</v>
      </c>
      <c r="AQ22" s="11" t="s">
        <v>1429</v>
      </c>
      <c r="AR22" s="11" t="s">
        <v>1570</v>
      </c>
      <c r="AS22" s="11" t="s">
        <v>1603</v>
      </c>
      <c r="AT22" s="11" t="s">
        <v>1604</v>
      </c>
      <c r="AU22" s="11" t="s">
        <v>1573</v>
      </c>
      <c r="AV22" s="11"/>
      <c r="AW22" s="11" t="s">
        <v>1605</v>
      </c>
      <c r="AX22" s="11"/>
      <c r="AY22" s="11"/>
      <c r="AZ22" s="11"/>
      <c r="BA22" s="11"/>
      <c r="BB22" s="11">
        <v>38708961</v>
      </c>
      <c r="BC22" s="11" t="s">
        <v>1403</v>
      </c>
      <c r="BD22" s="11" t="s">
        <v>1432</v>
      </c>
      <c r="BE22" s="11" t="s">
        <v>1606</v>
      </c>
      <c r="BF22" s="11" t="s">
        <v>1555</v>
      </c>
      <c r="BG22" s="11"/>
      <c r="BH22" s="11" t="s">
        <v>1502</v>
      </c>
      <c r="BI22" s="11" t="s">
        <v>1403</v>
      </c>
      <c r="BJ22" s="11" t="s">
        <v>134</v>
      </c>
      <c r="BK22" s="11"/>
      <c r="BL22" s="11" t="s">
        <v>1577</v>
      </c>
      <c r="BM22" s="11"/>
      <c r="BN22" s="11"/>
      <c r="BO22" s="11"/>
    </row>
    <row r="23" spans="1:67">
      <c r="B23" s="11">
        <v>12</v>
      </c>
      <c r="C23" s="11" t="s">
        <v>1374</v>
      </c>
      <c r="D23" s="11" t="s">
        <v>1375</v>
      </c>
      <c r="E23" s="11"/>
      <c r="F23" s="11" t="s">
        <v>1578</v>
      </c>
      <c r="G23" s="11"/>
      <c r="H23" s="11" t="s">
        <v>1579</v>
      </c>
      <c r="I23" s="11" t="s">
        <v>1580</v>
      </c>
      <c r="J23" s="11" t="s">
        <v>134</v>
      </c>
      <c r="K23" s="11" t="s">
        <v>1564</v>
      </c>
      <c r="L23" s="11" t="s">
        <v>94</v>
      </c>
      <c r="M23" s="11" t="s">
        <v>1581</v>
      </c>
      <c r="N23" s="11" t="s">
        <v>1153</v>
      </c>
      <c r="O23" s="11"/>
      <c r="P23" s="11"/>
      <c r="Q23" s="11"/>
      <c r="R23" s="11" t="s">
        <v>1582</v>
      </c>
      <c r="S23" s="11" t="s">
        <v>1382</v>
      </c>
      <c r="T23" s="11" t="s">
        <v>1583</v>
      </c>
      <c r="U23" s="11" t="s">
        <v>1444</v>
      </c>
      <c r="V23" s="11" t="s">
        <v>1584</v>
      </c>
      <c r="W23" s="11" t="s">
        <v>1389</v>
      </c>
      <c r="X23" s="11" t="s">
        <v>1563</v>
      </c>
      <c r="Y23" s="11" t="s">
        <v>1421</v>
      </c>
      <c r="Z23" s="11" t="s">
        <v>1585</v>
      </c>
      <c r="AA23" s="11" t="s">
        <v>1586</v>
      </c>
      <c r="AB23" s="11" t="s">
        <v>1587</v>
      </c>
      <c r="AC23" s="11" t="s">
        <v>1582</v>
      </c>
      <c r="AD23" s="11">
        <v>5405561</v>
      </c>
      <c r="AE23" s="11" t="s">
        <v>94</v>
      </c>
      <c r="AF23" s="11" t="s">
        <v>1588</v>
      </c>
      <c r="AG23" s="11" t="s">
        <v>1382</v>
      </c>
      <c r="AH23" s="11" t="s">
        <v>1588</v>
      </c>
      <c r="AI23" s="11"/>
      <c r="AJ23" s="11"/>
      <c r="AK23" s="11" t="s">
        <v>1396</v>
      </c>
      <c r="AL23" s="11" t="s">
        <v>134</v>
      </c>
      <c r="AM23" s="11">
        <v>5888.9</v>
      </c>
      <c r="AN23" s="11" t="s">
        <v>1450</v>
      </c>
      <c r="AO23" s="11" t="s">
        <v>134</v>
      </c>
      <c r="AP23" s="11" t="s">
        <v>1498</v>
      </c>
      <c r="AQ23" s="11" t="s">
        <v>1398</v>
      </c>
      <c r="AR23" s="11"/>
      <c r="AS23" s="11" t="s">
        <v>1589</v>
      </c>
      <c r="AT23" s="11"/>
      <c r="AU23" s="11"/>
      <c r="AV23" s="11"/>
      <c r="AW23" s="11" t="s">
        <v>1591</v>
      </c>
      <c r="AX23" s="11"/>
      <c r="AY23" s="11"/>
      <c r="AZ23" s="11"/>
      <c r="BA23" s="11"/>
      <c r="BB23" s="11">
        <v>65530077</v>
      </c>
      <c r="BC23" s="11" t="s">
        <v>1403</v>
      </c>
      <c r="BD23" s="11" t="s">
        <v>1432</v>
      </c>
      <c r="BE23" s="11" t="s">
        <v>1575</v>
      </c>
      <c r="BF23" s="11" t="s">
        <v>1576</v>
      </c>
      <c r="BG23" s="11"/>
      <c r="BH23" s="11" t="s">
        <v>1502</v>
      </c>
      <c r="BI23" s="11" t="s">
        <v>1403</v>
      </c>
      <c r="BJ23" s="11" t="s">
        <v>134</v>
      </c>
      <c r="BK23" s="11"/>
      <c r="BL23" s="11"/>
      <c r="BM23" s="11"/>
      <c r="BN23" s="11"/>
      <c r="BO23" s="11"/>
    </row>
    <row r="24" spans="1:67">
      <c r="B24" s="11">
        <v>13</v>
      </c>
      <c r="C24" s="11" t="s">
        <v>1374</v>
      </c>
      <c r="D24" s="11" t="s">
        <v>1375</v>
      </c>
      <c r="E24" s="11"/>
      <c r="F24" s="11" t="s">
        <v>1607</v>
      </c>
      <c r="G24" s="11"/>
      <c r="H24" s="11" t="s">
        <v>1608</v>
      </c>
      <c r="I24" s="11" t="s">
        <v>1609</v>
      </c>
      <c r="J24" s="11"/>
      <c r="K24" s="11" t="s">
        <v>1564</v>
      </c>
      <c r="L24" s="11" t="s">
        <v>94</v>
      </c>
      <c r="M24" s="11" t="s">
        <v>1383</v>
      </c>
      <c r="N24" s="11" t="s">
        <v>95</v>
      </c>
      <c r="O24" s="11"/>
      <c r="P24" s="11"/>
      <c r="Q24" s="11"/>
      <c r="R24" s="11" t="s">
        <v>1610</v>
      </c>
      <c r="S24" s="11" t="s">
        <v>94</v>
      </c>
      <c r="T24" s="11" t="s">
        <v>1611</v>
      </c>
      <c r="U24" s="11" t="s">
        <v>1444</v>
      </c>
      <c r="V24" s="11" t="s">
        <v>1612</v>
      </c>
      <c r="W24" s="11" t="s">
        <v>1389</v>
      </c>
      <c r="X24" s="11" t="s">
        <v>1598</v>
      </c>
      <c r="Y24" s="11" t="s">
        <v>1564</v>
      </c>
      <c r="Z24" s="11" t="s">
        <v>1613</v>
      </c>
      <c r="AA24" s="11" t="s">
        <v>1614</v>
      </c>
      <c r="AB24" s="11" t="s">
        <v>1615</v>
      </c>
      <c r="AC24" s="11" t="s">
        <v>1610</v>
      </c>
      <c r="AD24" s="11">
        <v>5405545</v>
      </c>
      <c r="AE24" s="11" t="s">
        <v>94</v>
      </c>
      <c r="AF24" s="11" t="s">
        <v>1616</v>
      </c>
      <c r="AG24" s="11" t="s">
        <v>94</v>
      </c>
      <c r="AH24" s="11" t="s">
        <v>1616</v>
      </c>
      <c r="AI24" s="11" t="s">
        <v>1568</v>
      </c>
      <c r="AJ24" s="11" t="s">
        <v>1569</v>
      </c>
      <c r="AK24" s="11" t="s">
        <v>1396</v>
      </c>
      <c r="AL24" s="11" t="s">
        <v>134</v>
      </c>
      <c r="AM24" s="11">
        <v>10332.200000000001</v>
      </c>
      <c r="AN24" s="11" t="s">
        <v>1450</v>
      </c>
      <c r="AO24" s="11" t="s">
        <v>134</v>
      </c>
      <c r="AP24" s="11" t="s">
        <v>1451</v>
      </c>
      <c r="AQ24" s="11" t="s">
        <v>1429</v>
      </c>
      <c r="AR24" s="11" t="s">
        <v>1570</v>
      </c>
      <c r="AS24" s="11" t="s">
        <v>1617</v>
      </c>
      <c r="AT24" s="11" t="s">
        <v>1618</v>
      </c>
      <c r="AU24" s="11" t="s">
        <v>1573</v>
      </c>
      <c r="AV24" s="11"/>
      <c r="AW24" s="11" t="s">
        <v>1619</v>
      </c>
      <c r="AX24" s="11"/>
      <c r="AY24" s="11"/>
      <c r="AZ24" s="11"/>
      <c r="BA24" s="11"/>
      <c r="BB24" s="11">
        <v>52965947</v>
      </c>
      <c r="BC24" s="11" t="s">
        <v>1403</v>
      </c>
      <c r="BD24" s="11" t="s">
        <v>1432</v>
      </c>
      <c r="BE24" s="11" t="s">
        <v>1606</v>
      </c>
      <c r="BF24" s="11" t="s">
        <v>1555</v>
      </c>
      <c r="BG24" s="11"/>
      <c r="BH24" s="11" t="s">
        <v>1406</v>
      </c>
      <c r="BI24" s="11" t="s">
        <v>1403</v>
      </c>
      <c r="BJ24" s="11" t="s">
        <v>134</v>
      </c>
      <c r="BK24" s="11"/>
      <c r="BL24" s="11" t="s">
        <v>1577</v>
      </c>
      <c r="BM24" s="11"/>
      <c r="BN24" s="11"/>
      <c r="BO24" s="11"/>
    </row>
    <row r="25" spans="1:67">
      <c r="A25" t="s">
        <v>1302</v>
      </c>
      <c r="B25" s="11">
        <v>14</v>
      </c>
      <c r="C25" s="11" t="s">
        <v>1374</v>
      </c>
      <c r="D25" s="11" t="s">
        <v>1375</v>
      </c>
      <c r="E25" s="11" t="s">
        <v>1620</v>
      </c>
      <c r="F25" s="11" t="s">
        <v>1621</v>
      </c>
      <c r="G25" s="11" t="s">
        <v>1464</v>
      </c>
      <c r="H25" s="11" t="s">
        <v>1622</v>
      </c>
      <c r="I25" s="11" t="s">
        <v>1623</v>
      </c>
      <c r="J25" s="11" t="s">
        <v>1624</v>
      </c>
      <c r="K25" s="11" t="s">
        <v>1421</v>
      </c>
      <c r="L25" s="11" t="s">
        <v>1625</v>
      </c>
      <c r="M25" s="11" t="s">
        <v>1417</v>
      </c>
      <c r="N25" s="11" t="s">
        <v>330</v>
      </c>
      <c r="O25" s="11" t="s">
        <v>134</v>
      </c>
      <c r="P25" s="11" t="s">
        <v>1625</v>
      </c>
      <c r="Q25" s="11" t="s">
        <v>1626</v>
      </c>
      <c r="R25" s="11" t="s">
        <v>1620</v>
      </c>
      <c r="S25" s="11" t="s">
        <v>94</v>
      </c>
      <c r="T25" s="11" t="s">
        <v>1627</v>
      </c>
      <c r="U25" s="11" t="s">
        <v>1387</v>
      </c>
      <c r="V25" s="11" t="s">
        <v>1628</v>
      </c>
      <c r="W25" s="11" t="s">
        <v>1389</v>
      </c>
      <c r="X25" s="11" t="s">
        <v>1529</v>
      </c>
      <c r="Y25" s="11" t="s">
        <v>1421</v>
      </c>
      <c r="Z25" s="11" t="s">
        <v>1629</v>
      </c>
      <c r="AA25" s="11" t="s">
        <v>1630</v>
      </c>
      <c r="AB25" s="11" t="s">
        <v>1631</v>
      </c>
      <c r="AC25" s="11" t="s">
        <v>1620</v>
      </c>
      <c r="AD25" s="11">
        <v>5367500</v>
      </c>
      <c r="AE25" s="11" t="s">
        <v>94</v>
      </c>
      <c r="AF25" s="11" t="s">
        <v>1628</v>
      </c>
      <c r="AG25" s="11" t="s">
        <v>94</v>
      </c>
      <c r="AH25" s="11" t="s">
        <v>1628</v>
      </c>
      <c r="AI25" s="11" t="s">
        <v>1632</v>
      </c>
      <c r="AJ25" s="11" t="s">
        <v>1633</v>
      </c>
      <c r="AK25" s="11" t="s">
        <v>1396</v>
      </c>
      <c r="AL25" s="11" t="s">
        <v>134</v>
      </c>
      <c r="AM25" s="11">
        <v>4547.5</v>
      </c>
      <c r="AN25" s="11"/>
      <c r="AO25" s="11" t="s">
        <v>134</v>
      </c>
      <c r="AP25" s="11" t="s">
        <v>1397</v>
      </c>
      <c r="AQ25" s="11" t="s">
        <v>1429</v>
      </c>
      <c r="AR25" s="11"/>
      <c r="AS25" s="11"/>
      <c r="AT25" s="11"/>
      <c r="AU25" s="11" t="s">
        <v>1573</v>
      </c>
      <c r="AV25" s="11"/>
      <c r="AW25" s="11" t="s">
        <v>1634</v>
      </c>
      <c r="AX25" s="11"/>
      <c r="AY25" s="11"/>
      <c r="AZ25" s="11"/>
      <c r="BA25" s="11" t="s">
        <v>1635</v>
      </c>
      <c r="BB25" s="11">
        <v>79611103</v>
      </c>
      <c r="BC25" s="11" t="s">
        <v>1407</v>
      </c>
      <c r="BD25" s="11" t="s">
        <v>1432</v>
      </c>
      <c r="BE25" s="11" t="s">
        <v>1636</v>
      </c>
      <c r="BF25" s="11" t="s">
        <v>1434</v>
      </c>
      <c r="BG25" s="11" t="s">
        <v>1637</v>
      </c>
      <c r="BH25" s="11" t="s">
        <v>1502</v>
      </c>
      <c r="BI25" s="11" t="s">
        <v>1403</v>
      </c>
      <c r="BJ25" s="11" t="s">
        <v>134</v>
      </c>
      <c r="BK25" s="11"/>
      <c r="BL25" s="11"/>
      <c r="BM25" s="11">
        <v>110448110</v>
      </c>
      <c r="BN25" s="11"/>
      <c r="BO25" s="11"/>
    </row>
    <row r="26" spans="1:67">
      <c r="B26" s="11">
        <v>15</v>
      </c>
      <c r="C26" s="11" t="s">
        <v>1374</v>
      </c>
      <c r="D26" s="11" t="s">
        <v>1375</v>
      </c>
      <c r="E26" s="11"/>
      <c r="F26" s="11" t="s">
        <v>1638</v>
      </c>
      <c r="G26" s="11"/>
      <c r="H26" s="11" t="s">
        <v>1639</v>
      </c>
      <c r="I26" s="11" t="s">
        <v>1640</v>
      </c>
      <c r="J26" s="11" t="s">
        <v>1641</v>
      </c>
      <c r="K26" s="11" t="s">
        <v>1470</v>
      </c>
      <c r="L26" s="11" t="s">
        <v>1642</v>
      </c>
      <c r="M26" s="11" t="s">
        <v>1581</v>
      </c>
      <c r="N26" s="11" t="s">
        <v>153</v>
      </c>
      <c r="O26" s="11"/>
      <c r="P26" s="11"/>
      <c r="Q26" s="11"/>
      <c r="R26" s="11" t="s">
        <v>1027</v>
      </c>
      <c r="S26" s="11" t="s">
        <v>1382</v>
      </c>
      <c r="T26" s="11" t="s">
        <v>1643</v>
      </c>
      <c r="U26" s="11" t="s">
        <v>1444</v>
      </c>
      <c r="V26" s="11" t="s">
        <v>1644</v>
      </c>
      <c r="W26" s="11" t="s">
        <v>1645</v>
      </c>
      <c r="X26" s="11" t="s">
        <v>1492</v>
      </c>
      <c r="Y26" s="11" t="s">
        <v>1470</v>
      </c>
      <c r="Z26" s="11" t="s">
        <v>1646</v>
      </c>
      <c r="AA26" s="11" t="s">
        <v>1647</v>
      </c>
      <c r="AB26" s="11" t="s">
        <v>1648</v>
      </c>
      <c r="AC26" s="11" t="s">
        <v>1027</v>
      </c>
      <c r="AD26" s="11">
        <v>5459853</v>
      </c>
      <c r="AE26" s="11" t="s">
        <v>1382</v>
      </c>
      <c r="AF26" s="11" t="s">
        <v>1649</v>
      </c>
      <c r="AG26" s="11" t="s">
        <v>1382</v>
      </c>
      <c r="AH26" s="11" t="s">
        <v>1649</v>
      </c>
      <c r="AI26" s="11" t="s">
        <v>1650</v>
      </c>
      <c r="AJ26" s="11" t="s">
        <v>1651</v>
      </c>
      <c r="AK26" s="11" t="s">
        <v>1396</v>
      </c>
      <c r="AL26" s="11" t="s">
        <v>134</v>
      </c>
      <c r="AM26" s="11">
        <v>6672.4</v>
      </c>
      <c r="AN26" s="11" t="s">
        <v>1450</v>
      </c>
      <c r="AO26" s="11" t="s">
        <v>134</v>
      </c>
      <c r="AP26" s="11" t="s">
        <v>1451</v>
      </c>
      <c r="AQ26" s="11" t="s">
        <v>1398</v>
      </c>
      <c r="AR26" s="11" t="s">
        <v>1652</v>
      </c>
      <c r="AS26" s="11" t="s">
        <v>1028</v>
      </c>
      <c r="AT26" s="11" t="s">
        <v>1653</v>
      </c>
      <c r="AU26" s="11" t="s">
        <v>1654</v>
      </c>
      <c r="AV26" s="11"/>
      <c r="AW26" s="11" t="s">
        <v>1655</v>
      </c>
      <c r="AX26" s="11"/>
      <c r="AY26" s="11"/>
      <c r="AZ26" s="11"/>
      <c r="BA26" s="11"/>
      <c r="BB26" s="11">
        <v>65076597</v>
      </c>
      <c r="BC26" s="11" t="s">
        <v>1403</v>
      </c>
      <c r="BD26" s="11" t="s">
        <v>1432</v>
      </c>
      <c r="BE26" s="11" t="s">
        <v>1500</v>
      </c>
      <c r="BF26" s="11" t="s">
        <v>1501</v>
      </c>
      <c r="BG26" s="11"/>
      <c r="BH26" s="11" t="s">
        <v>1502</v>
      </c>
      <c r="BI26" s="11" t="s">
        <v>1403</v>
      </c>
      <c r="BJ26" s="11" t="s">
        <v>134</v>
      </c>
      <c r="BK26" s="11"/>
      <c r="BL26" s="11" t="s">
        <v>1577</v>
      </c>
      <c r="BM26" s="11"/>
      <c r="BN26" s="11" t="s">
        <v>1457</v>
      </c>
      <c r="BO26" s="11"/>
    </row>
    <row r="27" spans="1:67">
      <c r="B27" s="11">
        <v>16</v>
      </c>
      <c r="C27" s="11" t="s">
        <v>1374</v>
      </c>
      <c r="D27" s="11" t="s">
        <v>1375</v>
      </c>
      <c r="E27" s="11"/>
      <c r="F27" s="11" t="s">
        <v>1638</v>
      </c>
      <c r="G27" s="11"/>
      <c r="H27" s="11" t="s">
        <v>1639</v>
      </c>
      <c r="I27" s="11" t="s">
        <v>1640</v>
      </c>
      <c r="J27" s="11" t="s">
        <v>1641</v>
      </c>
      <c r="K27" s="11" t="s">
        <v>1470</v>
      </c>
      <c r="L27" s="11" t="s">
        <v>1642</v>
      </c>
      <c r="M27" s="11" t="s">
        <v>1581</v>
      </c>
      <c r="N27" s="11" t="s">
        <v>153</v>
      </c>
      <c r="O27" s="11"/>
      <c r="P27" s="11"/>
      <c r="Q27" s="11"/>
      <c r="R27" s="11" t="s">
        <v>1027</v>
      </c>
      <c r="S27" s="11" t="s">
        <v>1382</v>
      </c>
      <c r="T27" s="11" t="s">
        <v>1643</v>
      </c>
      <c r="U27" s="11" t="s">
        <v>1444</v>
      </c>
      <c r="V27" s="11" t="s">
        <v>1644</v>
      </c>
      <c r="W27" s="11" t="s">
        <v>1645</v>
      </c>
      <c r="X27" s="11" t="s">
        <v>1492</v>
      </c>
      <c r="Y27" s="11" t="s">
        <v>1470</v>
      </c>
      <c r="Z27" s="11" t="s">
        <v>1646</v>
      </c>
      <c r="AA27" s="11" t="s">
        <v>1647</v>
      </c>
      <c r="AB27" s="11" t="s">
        <v>1648</v>
      </c>
      <c r="AC27" s="11" t="s">
        <v>1027</v>
      </c>
      <c r="AD27" s="11">
        <v>5459853</v>
      </c>
      <c r="AE27" s="11" t="s">
        <v>1382</v>
      </c>
      <c r="AF27" s="11" t="s">
        <v>1649</v>
      </c>
      <c r="AG27" s="11" t="s">
        <v>1382</v>
      </c>
      <c r="AH27" s="11" t="s">
        <v>1649</v>
      </c>
      <c r="AI27" s="11" t="s">
        <v>1656</v>
      </c>
      <c r="AJ27" s="11" t="s">
        <v>1657</v>
      </c>
      <c r="AK27" s="11" t="s">
        <v>1396</v>
      </c>
      <c r="AL27" s="11" t="s">
        <v>134</v>
      </c>
      <c r="AM27" s="11">
        <v>3177.3</v>
      </c>
      <c r="AN27" s="11" t="s">
        <v>1450</v>
      </c>
      <c r="AO27" s="11" t="s">
        <v>134</v>
      </c>
      <c r="AP27" s="11" t="s">
        <v>1451</v>
      </c>
      <c r="AQ27" s="11" t="s">
        <v>1398</v>
      </c>
      <c r="AR27" s="11" t="s">
        <v>1652</v>
      </c>
      <c r="AS27" s="11" t="s">
        <v>1028</v>
      </c>
      <c r="AT27" s="11" t="s">
        <v>1658</v>
      </c>
      <c r="AU27" s="11" t="s">
        <v>1654</v>
      </c>
      <c r="AV27" s="11"/>
      <c r="AW27" s="11" t="s">
        <v>1655</v>
      </c>
      <c r="AX27" s="11"/>
      <c r="AY27" s="11"/>
      <c r="AZ27" s="11"/>
      <c r="BA27" s="11"/>
      <c r="BB27" s="11">
        <v>65076597</v>
      </c>
      <c r="BC27" s="11" t="s">
        <v>1403</v>
      </c>
      <c r="BD27" s="11" t="s">
        <v>1432</v>
      </c>
      <c r="BE27" s="11" t="s">
        <v>1500</v>
      </c>
      <c r="BF27" s="11" t="s">
        <v>1501</v>
      </c>
      <c r="BG27" s="11"/>
      <c r="BH27" s="11" t="s">
        <v>1502</v>
      </c>
      <c r="BI27" s="11" t="s">
        <v>1403</v>
      </c>
      <c r="BJ27" s="11" t="s">
        <v>134</v>
      </c>
      <c r="BK27" s="11"/>
      <c r="BL27" s="11" t="s">
        <v>1577</v>
      </c>
      <c r="BM27" s="11"/>
      <c r="BN27" s="11" t="s">
        <v>1457</v>
      </c>
      <c r="BO27" s="11"/>
    </row>
    <row r="28" spans="1:67">
      <c r="B28" s="11">
        <v>17</v>
      </c>
      <c r="C28" s="11" t="s">
        <v>1374</v>
      </c>
      <c r="D28" s="11" t="s">
        <v>1375</v>
      </c>
      <c r="E28" s="11"/>
      <c r="F28" s="11" t="s">
        <v>1659</v>
      </c>
      <c r="G28" s="11"/>
      <c r="H28" s="11" t="s">
        <v>1660</v>
      </c>
      <c r="I28" s="11" t="s">
        <v>1661</v>
      </c>
      <c r="J28" s="11"/>
      <c r="K28" s="11" t="s">
        <v>1488</v>
      </c>
      <c r="L28" s="11" t="s">
        <v>1662</v>
      </c>
      <c r="M28" s="11" t="s">
        <v>1581</v>
      </c>
      <c r="N28" s="11" t="s">
        <v>376</v>
      </c>
      <c r="O28" s="11"/>
      <c r="P28" s="11"/>
      <c r="Q28" s="11"/>
      <c r="R28" s="11" t="s">
        <v>945</v>
      </c>
      <c r="S28" s="11" t="s">
        <v>1382</v>
      </c>
      <c r="T28" s="11" t="s">
        <v>1663</v>
      </c>
      <c r="U28" s="11" t="s">
        <v>1444</v>
      </c>
      <c r="V28" s="11" t="s">
        <v>1664</v>
      </c>
      <c r="W28" s="11" t="s">
        <v>1645</v>
      </c>
      <c r="X28" s="11" t="s">
        <v>1492</v>
      </c>
      <c r="Y28" s="11" t="s">
        <v>1421</v>
      </c>
      <c r="Z28" s="11" t="s">
        <v>1665</v>
      </c>
      <c r="AA28" s="11" t="s">
        <v>1666</v>
      </c>
      <c r="AB28" s="11" t="s">
        <v>1667</v>
      </c>
      <c r="AC28" s="11" t="s">
        <v>945</v>
      </c>
      <c r="AD28" s="11">
        <v>5402814</v>
      </c>
      <c r="AE28" s="11" t="s">
        <v>1382</v>
      </c>
      <c r="AF28" s="11" t="s">
        <v>1664</v>
      </c>
      <c r="AG28" s="11" t="s">
        <v>1382</v>
      </c>
      <c r="AH28" s="11" t="s">
        <v>1668</v>
      </c>
      <c r="AI28" s="11" t="s">
        <v>1669</v>
      </c>
      <c r="AJ28" s="11" t="s">
        <v>1670</v>
      </c>
      <c r="AK28" s="11" t="s">
        <v>1396</v>
      </c>
      <c r="AL28" s="11" t="s">
        <v>134</v>
      </c>
      <c r="AM28" s="11">
        <v>6746.8</v>
      </c>
      <c r="AN28" s="11" t="s">
        <v>1450</v>
      </c>
      <c r="AO28" s="11" t="s">
        <v>134</v>
      </c>
      <c r="AP28" s="11" t="s">
        <v>1451</v>
      </c>
      <c r="AQ28" s="11" t="s">
        <v>1398</v>
      </c>
      <c r="AR28" s="11" t="s">
        <v>1671</v>
      </c>
      <c r="AS28" s="11" t="s">
        <v>946</v>
      </c>
      <c r="AT28" s="11" t="s">
        <v>1672</v>
      </c>
      <c r="AU28" s="11" t="s">
        <v>1673</v>
      </c>
      <c r="AV28" s="11"/>
      <c r="AW28" s="11" t="s">
        <v>1674</v>
      </c>
      <c r="AX28" s="11"/>
      <c r="AY28" s="11"/>
      <c r="AZ28" s="11"/>
      <c r="BA28" s="11"/>
      <c r="BB28" s="11">
        <v>66984003</v>
      </c>
      <c r="BC28" s="11" t="s">
        <v>1403</v>
      </c>
      <c r="BD28" s="11" t="s">
        <v>1432</v>
      </c>
      <c r="BE28" s="11" t="s">
        <v>1500</v>
      </c>
      <c r="BF28" s="11" t="s">
        <v>1501</v>
      </c>
      <c r="BG28" s="11"/>
      <c r="BH28" s="11" t="s">
        <v>1435</v>
      </c>
      <c r="BI28" s="11" t="s">
        <v>1403</v>
      </c>
      <c r="BJ28" s="11" t="s">
        <v>134</v>
      </c>
      <c r="BK28" s="11"/>
      <c r="BL28" s="11" t="s">
        <v>1577</v>
      </c>
      <c r="BM28" s="11"/>
      <c r="BN28" s="11"/>
      <c r="BO28" s="11"/>
    </row>
    <row r="29" spans="1:67">
      <c r="B29" s="11">
        <v>18</v>
      </c>
      <c r="C29" s="11" t="s">
        <v>1374</v>
      </c>
      <c r="D29" s="11" t="s">
        <v>1375</v>
      </c>
      <c r="E29" s="11"/>
      <c r="F29" s="11" t="s">
        <v>1659</v>
      </c>
      <c r="G29" s="11"/>
      <c r="H29" s="11" t="s">
        <v>1660</v>
      </c>
      <c r="I29" s="11" t="s">
        <v>1661</v>
      </c>
      <c r="J29" s="11"/>
      <c r="K29" s="11" t="s">
        <v>1488</v>
      </c>
      <c r="L29" s="11" t="s">
        <v>1662</v>
      </c>
      <c r="M29" s="11" t="s">
        <v>1581</v>
      </c>
      <c r="N29" s="11" t="s">
        <v>376</v>
      </c>
      <c r="O29" s="11"/>
      <c r="P29" s="11"/>
      <c r="Q29" s="11"/>
      <c r="R29" s="11" t="s">
        <v>945</v>
      </c>
      <c r="S29" s="11" t="s">
        <v>1382</v>
      </c>
      <c r="T29" s="11" t="s">
        <v>1663</v>
      </c>
      <c r="U29" s="11" t="s">
        <v>1444</v>
      </c>
      <c r="V29" s="11" t="s">
        <v>1664</v>
      </c>
      <c r="W29" s="11" t="s">
        <v>1645</v>
      </c>
      <c r="X29" s="11" t="s">
        <v>1492</v>
      </c>
      <c r="Y29" s="11" t="s">
        <v>1421</v>
      </c>
      <c r="Z29" s="11" t="s">
        <v>1665</v>
      </c>
      <c r="AA29" s="11" t="s">
        <v>1666</v>
      </c>
      <c r="AB29" s="11" t="s">
        <v>1667</v>
      </c>
      <c r="AC29" s="11" t="s">
        <v>945</v>
      </c>
      <c r="AD29" s="11">
        <v>5402814</v>
      </c>
      <c r="AE29" s="11" t="s">
        <v>1382</v>
      </c>
      <c r="AF29" s="11" t="s">
        <v>1664</v>
      </c>
      <c r="AG29" s="11" t="s">
        <v>1382</v>
      </c>
      <c r="AH29" s="11" t="s">
        <v>1668</v>
      </c>
      <c r="AI29" s="11" t="s">
        <v>1675</v>
      </c>
      <c r="AJ29" s="11" t="s">
        <v>1676</v>
      </c>
      <c r="AK29" s="11" t="s">
        <v>1396</v>
      </c>
      <c r="AL29" s="11" t="s">
        <v>134</v>
      </c>
      <c r="AM29" s="11">
        <v>3212.8</v>
      </c>
      <c r="AN29" s="11" t="s">
        <v>1450</v>
      </c>
      <c r="AO29" s="11" t="s">
        <v>134</v>
      </c>
      <c r="AP29" s="11" t="s">
        <v>1451</v>
      </c>
      <c r="AQ29" s="11" t="s">
        <v>1398</v>
      </c>
      <c r="AR29" s="11" t="s">
        <v>1671</v>
      </c>
      <c r="AS29" s="11" t="s">
        <v>946</v>
      </c>
      <c r="AT29" s="11" t="s">
        <v>1677</v>
      </c>
      <c r="AU29" s="11" t="s">
        <v>1673</v>
      </c>
      <c r="AV29" s="11"/>
      <c r="AW29" s="11" t="s">
        <v>1674</v>
      </c>
      <c r="AX29" s="11"/>
      <c r="AY29" s="11"/>
      <c r="AZ29" s="11"/>
      <c r="BA29" s="11"/>
      <c r="BB29" s="11">
        <v>66984003</v>
      </c>
      <c r="BC29" s="11" t="s">
        <v>1403</v>
      </c>
      <c r="BD29" s="11" t="s">
        <v>1432</v>
      </c>
      <c r="BE29" s="11" t="s">
        <v>1500</v>
      </c>
      <c r="BF29" s="11" t="s">
        <v>1501</v>
      </c>
      <c r="BG29" s="11"/>
      <c r="BH29" s="11" t="s">
        <v>1435</v>
      </c>
      <c r="BI29" s="11" t="s">
        <v>1403</v>
      </c>
      <c r="BJ29" s="11" t="s">
        <v>134</v>
      </c>
      <c r="BK29" s="11"/>
      <c r="BL29" s="11" t="s">
        <v>1577</v>
      </c>
      <c r="BM29" s="11"/>
      <c r="BN29" s="11"/>
      <c r="BO29" s="11"/>
    </row>
    <row r="30" spans="1:67">
      <c r="A30" t="s">
        <v>1302</v>
      </c>
      <c r="B30" s="11">
        <v>19</v>
      </c>
      <c r="C30" s="11" t="s">
        <v>1374</v>
      </c>
      <c r="D30" s="11" t="s">
        <v>1375</v>
      </c>
      <c r="E30" s="11" t="s">
        <v>1678</v>
      </c>
      <c r="F30" s="11" t="s">
        <v>1679</v>
      </c>
      <c r="G30" s="11" t="s">
        <v>1680</v>
      </c>
      <c r="H30" s="11" t="s">
        <v>1681</v>
      </c>
      <c r="I30" s="11" t="s">
        <v>1682</v>
      </c>
      <c r="J30" s="11"/>
      <c r="K30" s="11" t="s">
        <v>1547</v>
      </c>
      <c r="L30" s="11" t="s">
        <v>94</v>
      </c>
      <c r="M30" s="11" t="s">
        <v>1383</v>
      </c>
      <c r="N30" s="11" t="s">
        <v>95</v>
      </c>
      <c r="O30" s="11" t="s">
        <v>1683</v>
      </c>
      <c r="P30" s="11"/>
      <c r="Q30" s="11"/>
      <c r="R30" s="11" t="s">
        <v>1678</v>
      </c>
      <c r="S30" s="11" t="s">
        <v>94</v>
      </c>
      <c r="T30" s="11" t="s">
        <v>1684</v>
      </c>
      <c r="U30" s="11" t="s">
        <v>1444</v>
      </c>
      <c r="V30" s="11" t="s">
        <v>1685</v>
      </c>
      <c r="W30" s="11" t="s">
        <v>1389</v>
      </c>
      <c r="X30" s="11" t="s">
        <v>1598</v>
      </c>
      <c r="Y30" s="11" t="s">
        <v>1547</v>
      </c>
      <c r="Z30" s="11" t="s">
        <v>1686</v>
      </c>
      <c r="AA30" s="11" t="s">
        <v>1687</v>
      </c>
      <c r="AB30" s="11" t="s">
        <v>1688</v>
      </c>
      <c r="AC30" s="11" t="s">
        <v>1678</v>
      </c>
      <c r="AD30" s="11">
        <v>5391072</v>
      </c>
      <c r="AE30" s="11" t="s">
        <v>94</v>
      </c>
      <c r="AF30" s="11" t="s">
        <v>1689</v>
      </c>
      <c r="AG30" s="11" t="s">
        <v>94</v>
      </c>
      <c r="AH30" s="11" t="s">
        <v>1689</v>
      </c>
      <c r="AI30" s="11" t="s">
        <v>1690</v>
      </c>
      <c r="AJ30" s="11" t="s">
        <v>1691</v>
      </c>
      <c r="AK30" s="11" t="s">
        <v>1396</v>
      </c>
      <c r="AL30" s="11" t="s">
        <v>134</v>
      </c>
      <c r="AM30" s="11">
        <v>11336</v>
      </c>
      <c r="AN30" s="11"/>
      <c r="AO30" s="11" t="s">
        <v>1680</v>
      </c>
      <c r="AP30" s="11" t="s">
        <v>1451</v>
      </c>
      <c r="AQ30" s="11" t="s">
        <v>1429</v>
      </c>
      <c r="AR30" s="11"/>
      <c r="AS30" s="11"/>
      <c r="AT30" s="11"/>
      <c r="AU30" s="11" t="s">
        <v>1692</v>
      </c>
      <c r="AV30" s="11"/>
      <c r="AW30" s="11" t="s">
        <v>1693</v>
      </c>
      <c r="AX30" s="11"/>
      <c r="AY30" s="11"/>
      <c r="AZ30" s="11"/>
      <c r="BA30" s="11" t="s">
        <v>1554</v>
      </c>
      <c r="BB30" s="11">
        <v>44083854</v>
      </c>
      <c r="BC30" s="11" t="s">
        <v>1407</v>
      </c>
      <c r="BD30" s="11" t="s">
        <v>1432</v>
      </c>
      <c r="BE30" s="11" t="s">
        <v>1694</v>
      </c>
      <c r="BF30" s="11" t="s">
        <v>1434</v>
      </c>
      <c r="BG30" s="11" t="s">
        <v>1637</v>
      </c>
      <c r="BH30" s="11" t="s">
        <v>1502</v>
      </c>
      <c r="BI30" s="11" t="s">
        <v>1403</v>
      </c>
      <c r="BJ30" s="11" t="s">
        <v>134</v>
      </c>
      <c r="BK30" s="11"/>
      <c r="BL30" s="11"/>
      <c r="BM30" s="11">
        <v>105716491</v>
      </c>
      <c r="BN30" s="11" t="s">
        <v>1457</v>
      </c>
      <c r="BO30" s="11" t="s">
        <v>95</v>
      </c>
    </row>
    <row r="31" spans="1:67">
      <c r="A31" t="s">
        <v>1302</v>
      </c>
      <c r="B31" s="11">
        <v>20</v>
      </c>
      <c r="C31" s="11" t="s">
        <v>1374</v>
      </c>
      <c r="D31" s="11" t="s">
        <v>1375</v>
      </c>
      <c r="E31" s="11" t="s">
        <v>1695</v>
      </c>
      <c r="F31" s="11" t="s">
        <v>1540</v>
      </c>
      <c r="G31" s="11" t="s">
        <v>1696</v>
      </c>
      <c r="H31" s="11" t="s">
        <v>1541</v>
      </c>
      <c r="I31" s="11" t="s">
        <v>1542</v>
      </c>
      <c r="J31" s="11" t="s">
        <v>134</v>
      </c>
      <c r="K31" s="11" t="s">
        <v>1488</v>
      </c>
      <c r="L31" s="11" t="s">
        <v>94</v>
      </c>
      <c r="M31" s="11" t="s">
        <v>1543</v>
      </c>
      <c r="N31" s="11" t="s">
        <v>165</v>
      </c>
      <c r="O31" s="11" t="s">
        <v>134</v>
      </c>
      <c r="P31" s="11"/>
      <c r="Q31" s="11"/>
      <c r="R31" s="11" t="s">
        <v>1544</v>
      </c>
      <c r="S31" s="11" t="s">
        <v>94</v>
      </c>
      <c r="T31" s="11" t="s">
        <v>1697</v>
      </c>
      <c r="U31" s="11" t="s">
        <v>1387</v>
      </c>
      <c r="V31" s="11" t="s">
        <v>1698</v>
      </c>
      <c r="W31" s="11" t="s">
        <v>1389</v>
      </c>
      <c r="X31" s="11" t="s">
        <v>1529</v>
      </c>
      <c r="Y31" s="11" t="s">
        <v>1547</v>
      </c>
      <c r="Z31" s="11" t="s">
        <v>1422</v>
      </c>
      <c r="AA31" s="11" t="s">
        <v>1548</v>
      </c>
      <c r="AB31" s="11" t="s">
        <v>1549</v>
      </c>
      <c r="AC31" s="11" t="s">
        <v>1544</v>
      </c>
      <c r="AD31" s="11">
        <v>5400255</v>
      </c>
      <c r="AE31" s="11" t="s">
        <v>94</v>
      </c>
      <c r="AF31" s="11" t="s">
        <v>1699</v>
      </c>
      <c r="AG31" s="11" t="s">
        <v>94</v>
      </c>
      <c r="AH31" s="11" t="s">
        <v>1699</v>
      </c>
      <c r="AI31" s="11" t="s">
        <v>1700</v>
      </c>
      <c r="AJ31" s="11" t="s">
        <v>1701</v>
      </c>
      <c r="AK31" s="11" t="s">
        <v>1396</v>
      </c>
      <c r="AL31" s="11" t="s">
        <v>134</v>
      </c>
      <c r="AM31" s="11">
        <v>8464</v>
      </c>
      <c r="AN31" s="11"/>
      <c r="AO31" s="11" t="s">
        <v>134</v>
      </c>
      <c r="AP31" s="11" t="s">
        <v>1397</v>
      </c>
      <c r="AQ31" s="11" t="s">
        <v>1429</v>
      </c>
      <c r="AR31" s="11"/>
      <c r="AS31" s="11"/>
      <c r="AT31" s="11"/>
      <c r="AU31" s="11" t="s">
        <v>1702</v>
      </c>
      <c r="AV31" s="11"/>
      <c r="AW31" s="11" t="s">
        <v>1703</v>
      </c>
      <c r="AX31" s="11"/>
      <c r="AY31" s="11" t="s">
        <v>1704</v>
      </c>
      <c r="AZ31" s="11" t="s">
        <v>1536</v>
      </c>
      <c r="BA31" s="11" t="s">
        <v>1705</v>
      </c>
      <c r="BB31" s="11">
        <v>80013959</v>
      </c>
      <c r="BC31" s="11" t="s">
        <v>1407</v>
      </c>
      <c r="BD31" s="11" t="s">
        <v>1432</v>
      </c>
      <c r="BE31" s="11" t="s">
        <v>1538</v>
      </c>
      <c r="BF31" s="11" t="s">
        <v>1555</v>
      </c>
      <c r="BG31" s="11" t="s">
        <v>1482</v>
      </c>
      <c r="BH31" s="11" t="s">
        <v>1435</v>
      </c>
      <c r="BI31" s="11" t="s">
        <v>1403</v>
      </c>
      <c r="BJ31" s="11" t="s">
        <v>134</v>
      </c>
      <c r="BK31" s="11"/>
      <c r="BL31" s="11"/>
      <c r="BM31" s="11">
        <v>108722739</v>
      </c>
      <c r="BN31" s="11" t="s">
        <v>1556</v>
      </c>
      <c r="BO31" s="11" t="s">
        <v>1410</v>
      </c>
    </row>
    <row r="32" spans="1:67">
      <c r="A32" t="s">
        <v>1302</v>
      </c>
      <c r="B32" s="11">
        <v>21</v>
      </c>
      <c r="C32" s="11" t="s">
        <v>1374</v>
      </c>
      <c r="D32" s="11" t="s">
        <v>1375</v>
      </c>
      <c r="E32" s="11"/>
      <c r="F32" s="11" t="s">
        <v>1706</v>
      </c>
      <c r="G32" s="11"/>
      <c r="H32" s="11" t="s">
        <v>1707</v>
      </c>
      <c r="I32" s="11" t="s">
        <v>1708</v>
      </c>
      <c r="J32" s="11"/>
      <c r="K32" s="11" t="s">
        <v>1564</v>
      </c>
      <c r="L32" s="11" t="s">
        <v>1382</v>
      </c>
      <c r="M32" s="11" t="s">
        <v>1383</v>
      </c>
      <c r="N32" s="11" t="s">
        <v>95</v>
      </c>
      <c r="O32" s="11"/>
      <c r="P32" s="11"/>
      <c r="Q32" s="11"/>
      <c r="R32" s="11" t="s">
        <v>1709</v>
      </c>
      <c r="S32" s="11" t="s">
        <v>1382</v>
      </c>
      <c r="T32" s="11" t="s">
        <v>1710</v>
      </c>
      <c r="U32" s="11" t="s">
        <v>1444</v>
      </c>
      <c r="V32" s="11" t="s">
        <v>1711</v>
      </c>
      <c r="W32" s="11" t="s">
        <v>1389</v>
      </c>
      <c r="X32" s="11" t="s">
        <v>1712</v>
      </c>
      <c r="Y32" s="11" t="s">
        <v>1564</v>
      </c>
      <c r="Z32" s="11" t="s">
        <v>1713</v>
      </c>
      <c r="AA32" s="11" t="s">
        <v>1714</v>
      </c>
      <c r="AB32" s="11" t="s">
        <v>1715</v>
      </c>
      <c r="AC32" s="11" t="s">
        <v>1709</v>
      </c>
      <c r="AD32" s="11">
        <v>5357256</v>
      </c>
      <c r="AE32" s="11" t="s">
        <v>1382</v>
      </c>
      <c r="AF32" s="11" t="s">
        <v>1716</v>
      </c>
      <c r="AG32" s="11" t="s">
        <v>1382</v>
      </c>
      <c r="AH32" s="11" t="s">
        <v>1716</v>
      </c>
      <c r="AI32" s="11" t="s">
        <v>1717</v>
      </c>
      <c r="AJ32" s="11" t="s">
        <v>1718</v>
      </c>
      <c r="AK32" s="11" t="s">
        <v>1396</v>
      </c>
      <c r="AL32" s="11" t="s">
        <v>134</v>
      </c>
      <c r="AM32" s="11">
        <v>3930</v>
      </c>
      <c r="AN32" s="11"/>
      <c r="AO32" s="11" t="s">
        <v>134</v>
      </c>
      <c r="AP32" s="11" t="s">
        <v>1451</v>
      </c>
      <c r="AQ32" s="11" t="s">
        <v>1429</v>
      </c>
      <c r="AR32" s="11"/>
      <c r="AS32" s="11"/>
      <c r="AT32" s="11"/>
      <c r="AU32" s="11" t="s">
        <v>1719</v>
      </c>
      <c r="AV32" s="11"/>
      <c r="AW32" s="11" t="s">
        <v>1720</v>
      </c>
      <c r="AX32" s="11"/>
      <c r="AY32" s="11"/>
      <c r="AZ32" s="11"/>
      <c r="BA32" s="11" t="s">
        <v>1431</v>
      </c>
      <c r="BB32" s="11">
        <v>39017583</v>
      </c>
      <c r="BC32" s="11" t="s">
        <v>1407</v>
      </c>
      <c r="BD32" s="11" t="s">
        <v>1456</v>
      </c>
      <c r="BE32" s="11" t="s">
        <v>1721</v>
      </c>
      <c r="BF32" s="11" t="s">
        <v>134</v>
      </c>
      <c r="BG32" s="11"/>
      <c r="BH32" s="11" t="s">
        <v>1520</v>
      </c>
      <c r="BI32" s="11" t="s">
        <v>1403</v>
      </c>
      <c r="BJ32" s="11" t="s">
        <v>134</v>
      </c>
      <c r="BK32" s="11"/>
      <c r="BL32" s="11"/>
      <c r="BM32" s="11">
        <v>104315719</v>
      </c>
      <c r="BN32" s="11"/>
      <c r="BO32" s="11"/>
    </row>
    <row r="33" spans="1:67">
      <c r="A33" t="s">
        <v>1302</v>
      </c>
      <c r="B33" s="11">
        <v>22</v>
      </c>
      <c r="C33" s="11" t="s">
        <v>1374</v>
      </c>
      <c r="D33" s="11" t="s">
        <v>1375</v>
      </c>
      <c r="E33" s="11"/>
      <c r="F33" s="11" t="s">
        <v>1722</v>
      </c>
      <c r="G33" s="11"/>
      <c r="H33" s="11" t="s">
        <v>1723</v>
      </c>
      <c r="I33" s="11" t="s">
        <v>1724</v>
      </c>
      <c r="J33" s="11"/>
      <c r="K33" s="11" t="s">
        <v>1470</v>
      </c>
      <c r="L33" s="11" t="s">
        <v>1382</v>
      </c>
      <c r="M33" s="11" t="s">
        <v>1417</v>
      </c>
      <c r="N33" s="11" t="s">
        <v>220</v>
      </c>
      <c r="O33" s="11"/>
      <c r="P33" s="11"/>
      <c r="Q33" s="11"/>
      <c r="R33" s="11" t="s">
        <v>1725</v>
      </c>
      <c r="S33" s="11" t="s">
        <v>1382</v>
      </c>
      <c r="T33" s="11" t="s">
        <v>1726</v>
      </c>
      <c r="U33" s="11" t="s">
        <v>1444</v>
      </c>
      <c r="V33" s="11" t="s">
        <v>1727</v>
      </c>
      <c r="W33" s="11" t="s">
        <v>1389</v>
      </c>
      <c r="X33" s="11" t="s">
        <v>1529</v>
      </c>
      <c r="Y33" s="11" t="s">
        <v>1470</v>
      </c>
      <c r="Z33" s="11" t="s">
        <v>1728</v>
      </c>
      <c r="AA33" s="11" t="s">
        <v>1729</v>
      </c>
      <c r="AB33" s="11" t="s">
        <v>1730</v>
      </c>
      <c r="AC33" s="11" t="s">
        <v>1725</v>
      </c>
      <c r="AD33" s="11">
        <v>5351875</v>
      </c>
      <c r="AE33" s="11" t="s">
        <v>1382</v>
      </c>
      <c r="AF33" s="11" t="s">
        <v>1727</v>
      </c>
      <c r="AG33" s="11" t="s">
        <v>1382</v>
      </c>
      <c r="AH33" s="11" t="s">
        <v>1727</v>
      </c>
      <c r="AI33" s="11" t="s">
        <v>1731</v>
      </c>
      <c r="AJ33" s="11" t="s">
        <v>1732</v>
      </c>
      <c r="AK33" s="11" t="s">
        <v>1396</v>
      </c>
      <c r="AL33" s="11" t="s">
        <v>134</v>
      </c>
      <c r="AM33" s="11">
        <v>18615</v>
      </c>
      <c r="AN33" s="11"/>
      <c r="AO33" s="11" t="s">
        <v>134</v>
      </c>
      <c r="AP33" s="11" t="s">
        <v>1451</v>
      </c>
      <c r="AQ33" s="11" t="s">
        <v>1429</v>
      </c>
      <c r="AR33" s="11"/>
      <c r="AS33" s="11"/>
      <c r="AT33" s="11"/>
      <c r="AU33" s="11" t="s">
        <v>1733</v>
      </c>
      <c r="AV33" s="11"/>
      <c r="AW33" s="11" t="s">
        <v>1734</v>
      </c>
      <c r="AX33" s="11"/>
      <c r="AY33" s="11"/>
      <c r="AZ33" s="11"/>
      <c r="BA33" s="11" t="s">
        <v>1431</v>
      </c>
      <c r="BB33" s="11">
        <v>67470457</v>
      </c>
      <c r="BC33" s="11" t="s">
        <v>1407</v>
      </c>
      <c r="BD33" s="11" t="s">
        <v>1432</v>
      </c>
      <c r="BE33" s="11" t="s">
        <v>1735</v>
      </c>
      <c r="BF33" s="11" t="s">
        <v>1576</v>
      </c>
      <c r="BG33" s="11"/>
      <c r="BH33" s="11" t="s">
        <v>1502</v>
      </c>
      <c r="BI33" s="11" t="s">
        <v>1403</v>
      </c>
      <c r="BJ33" s="11" t="s">
        <v>134</v>
      </c>
      <c r="BK33" s="11"/>
      <c r="BL33" s="11"/>
      <c r="BM33" s="11">
        <v>107462026</v>
      </c>
      <c r="BN33" s="11" t="s">
        <v>1457</v>
      </c>
      <c r="BO33" s="11"/>
    </row>
    <row r="34" spans="1:67">
      <c r="A34" t="s">
        <v>1302</v>
      </c>
      <c r="B34" s="11">
        <v>23</v>
      </c>
      <c r="C34" s="11" t="s">
        <v>1374</v>
      </c>
      <c r="D34" s="11" t="s">
        <v>1375</v>
      </c>
      <c r="E34" s="11" t="s">
        <v>1725</v>
      </c>
      <c r="F34" s="11" t="s">
        <v>1736</v>
      </c>
      <c r="G34" s="11" t="s">
        <v>1737</v>
      </c>
      <c r="H34" s="11" t="s">
        <v>1738</v>
      </c>
      <c r="I34" s="11" t="s">
        <v>1739</v>
      </c>
      <c r="J34" s="11"/>
      <c r="K34" s="11" t="s">
        <v>1470</v>
      </c>
      <c r="L34" s="11" t="s">
        <v>1740</v>
      </c>
      <c r="M34" s="11" t="s">
        <v>1417</v>
      </c>
      <c r="N34" s="11" t="s">
        <v>220</v>
      </c>
      <c r="O34" s="11" t="s">
        <v>134</v>
      </c>
      <c r="P34" s="11" t="s">
        <v>1740</v>
      </c>
      <c r="Q34" s="11" t="s">
        <v>1723</v>
      </c>
      <c r="R34" s="11" t="s">
        <v>1725</v>
      </c>
      <c r="S34" s="11" t="s">
        <v>1382</v>
      </c>
      <c r="T34" s="11" t="s">
        <v>1741</v>
      </c>
      <c r="U34" s="11" t="s">
        <v>1387</v>
      </c>
      <c r="V34" s="11" t="s">
        <v>1742</v>
      </c>
      <c r="W34" s="11" t="s">
        <v>1389</v>
      </c>
      <c r="X34" s="11" t="s">
        <v>1529</v>
      </c>
      <c r="Y34" s="11" t="s">
        <v>1470</v>
      </c>
      <c r="Z34" s="11" t="s">
        <v>1728</v>
      </c>
      <c r="AA34" s="11" t="s">
        <v>1729</v>
      </c>
      <c r="AB34" s="11" t="s">
        <v>1730</v>
      </c>
      <c r="AC34" s="11" t="s">
        <v>1725</v>
      </c>
      <c r="AD34" s="11">
        <v>5277327</v>
      </c>
      <c r="AE34" s="11" t="s">
        <v>1382</v>
      </c>
      <c r="AF34" s="11" t="s">
        <v>1743</v>
      </c>
      <c r="AG34" s="11" t="s">
        <v>1382</v>
      </c>
      <c r="AH34" s="11" t="s">
        <v>1744</v>
      </c>
      <c r="AI34" s="11" t="s">
        <v>1745</v>
      </c>
      <c r="AJ34" s="11" t="s">
        <v>1746</v>
      </c>
      <c r="AK34" s="11" t="s">
        <v>1396</v>
      </c>
      <c r="AL34" s="11" t="s">
        <v>134</v>
      </c>
      <c r="AM34" s="11">
        <v>15303.2</v>
      </c>
      <c r="AN34" s="11"/>
      <c r="AO34" s="11" t="s">
        <v>134</v>
      </c>
      <c r="AP34" s="11" t="s">
        <v>1397</v>
      </c>
      <c r="AQ34" s="11" t="s">
        <v>1429</v>
      </c>
      <c r="AR34" s="11"/>
      <c r="AS34" s="11"/>
      <c r="AT34" s="11"/>
      <c r="AU34" s="11" t="s">
        <v>1733</v>
      </c>
      <c r="AV34" s="11"/>
      <c r="AW34" s="11" t="s">
        <v>1747</v>
      </c>
      <c r="AX34" s="11"/>
      <c r="AY34" s="11"/>
      <c r="AZ34" s="11"/>
      <c r="BA34" s="11" t="s">
        <v>1705</v>
      </c>
      <c r="BB34" s="11">
        <v>67470457</v>
      </c>
      <c r="BC34" s="11" t="s">
        <v>1407</v>
      </c>
      <c r="BD34" s="11" t="s">
        <v>1432</v>
      </c>
      <c r="BE34" s="11" t="s">
        <v>1735</v>
      </c>
      <c r="BF34" s="11" t="s">
        <v>1576</v>
      </c>
      <c r="BG34" s="11" t="s">
        <v>1482</v>
      </c>
      <c r="BH34" s="11" t="s">
        <v>1502</v>
      </c>
      <c r="BI34" s="11" t="s">
        <v>1403</v>
      </c>
      <c r="BJ34" s="11" t="s">
        <v>134</v>
      </c>
      <c r="BK34" s="11"/>
      <c r="BL34" s="11"/>
      <c r="BM34" s="11">
        <v>107462026</v>
      </c>
      <c r="BN34" s="11" t="s">
        <v>1457</v>
      </c>
      <c r="BO34" s="11" t="s">
        <v>1748</v>
      </c>
    </row>
    <row r="35" spans="1:67">
      <c r="A35" t="s">
        <v>1302</v>
      </c>
      <c r="B35" s="11">
        <v>24</v>
      </c>
      <c r="C35" s="11" t="s">
        <v>1374</v>
      </c>
      <c r="D35" s="11" t="s">
        <v>1375</v>
      </c>
      <c r="E35" s="11"/>
      <c r="F35" s="11" t="s">
        <v>1749</v>
      </c>
      <c r="G35" s="11"/>
      <c r="H35" s="11" t="s">
        <v>1750</v>
      </c>
      <c r="I35" s="11" t="s">
        <v>1751</v>
      </c>
      <c r="J35" s="11" t="s">
        <v>134</v>
      </c>
      <c r="K35" s="11" t="s">
        <v>1421</v>
      </c>
      <c r="L35" s="11" t="s">
        <v>94</v>
      </c>
      <c r="M35" s="11" t="s">
        <v>181</v>
      </c>
      <c r="N35" s="11" t="s">
        <v>181</v>
      </c>
      <c r="O35" s="11"/>
      <c r="P35" s="11"/>
      <c r="Q35" s="11"/>
      <c r="R35" s="11" t="s">
        <v>1752</v>
      </c>
      <c r="S35" s="11" t="s">
        <v>94</v>
      </c>
      <c r="T35" s="11" t="s">
        <v>1753</v>
      </c>
      <c r="U35" s="11" t="s">
        <v>1444</v>
      </c>
      <c r="V35" s="11" t="s">
        <v>1754</v>
      </c>
      <c r="W35" s="11" t="s">
        <v>1389</v>
      </c>
      <c r="X35" s="11" t="s">
        <v>1755</v>
      </c>
      <c r="Y35" s="11" t="s">
        <v>1421</v>
      </c>
      <c r="Z35" s="11" t="s">
        <v>1756</v>
      </c>
      <c r="AA35" s="11" t="s">
        <v>1757</v>
      </c>
      <c r="AB35" s="11" t="s">
        <v>1758</v>
      </c>
      <c r="AC35" s="11" t="s">
        <v>1752</v>
      </c>
      <c r="AD35" s="11">
        <v>5377871</v>
      </c>
      <c r="AE35" s="11" t="s">
        <v>94</v>
      </c>
      <c r="AF35" s="11" t="s">
        <v>1754</v>
      </c>
      <c r="AG35" s="11" t="s">
        <v>94</v>
      </c>
      <c r="AH35" s="11" t="s">
        <v>1759</v>
      </c>
      <c r="AI35" s="11" t="s">
        <v>1760</v>
      </c>
      <c r="AJ35" s="11" t="s">
        <v>1761</v>
      </c>
      <c r="AK35" s="11" t="s">
        <v>1396</v>
      </c>
      <c r="AL35" s="11" t="s">
        <v>134</v>
      </c>
      <c r="AM35" s="11">
        <v>1824</v>
      </c>
      <c r="AN35" s="11"/>
      <c r="AO35" s="11" t="s">
        <v>134</v>
      </c>
      <c r="AP35" s="11" t="s">
        <v>1451</v>
      </c>
      <c r="AQ35" s="11" t="s">
        <v>1429</v>
      </c>
      <c r="AR35" s="11"/>
      <c r="AS35" s="11"/>
      <c r="AT35" s="11"/>
      <c r="AU35" s="11" t="s">
        <v>1762</v>
      </c>
      <c r="AV35" s="11"/>
      <c r="AW35" s="11" t="s">
        <v>1763</v>
      </c>
      <c r="AX35" s="11"/>
      <c r="AY35" s="11"/>
      <c r="AZ35" s="11"/>
      <c r="BA35" s="11" t="s">
        <v>1431</v>
      </c>
      <c r="BB35" s="11">
        <v>64038881</v>
      </c>
      <c r="BC35" s="11" t="s">
        <v>1407</v>
      </c>
      <c r="BD35" s="11"/>
      <c r="BE35" s="11" t="s">
        <v>134</v>
      </c>
      <c r="BF35" s="11" t="s">
        <v>134</v>
      </c>
      <c r="BG35" s="11"/>
      <c r="BH35" s="11" t="s">
        <v>1502</v>
      </c>
      <c r="BI35" s="11" t="s">
        <v>1403</v>
      </c>
      <c r="BJ35" s="11" t="s">
        <v>134</v>
      </c>
      <c r="BK35" s="11"/>
      <c r="BL35" s="11"/>
      <c r="BM35" s="11">
        <v>108979436</v>
      </c>
      <c r="BN35" s="11"/>
      <c r="BO35" s="11"/>
    </row>
    <row r="36" spans="1:67">
      <c r="B36" s="11">
        <v>25</v>
      </c>
      <c r="C36" s="11" t="s">
        <v>1374</v>
      </c>
      <c r="D36" s="11" t="s">
        <v>1375</v>
      </c>
      <c r="E36" s="11"/>
      <c r="F36" s="11" t="s">
        <v>1764</v>
      </c>
      <c r="G36" s="11"/>
      <c r="H36" s="11" t="s">
        <v>1765</v>
      </c>
      <c r="I36" s="11" t="s">
        <v>1766</v>
      </c>
      <c r="J36" s="11"/>
      <c r="K36" s="11" t="s">
        <v>1470</v>
      </c>
      <c r="L36" s="11" t="s">
        <v>94</v>
      </c>
      <c r="M36" s="11" t="s">
        <v>1383</v>
      </c>
      <c r="N36" s="11" t="s">
        <v>95</v>
      </c>
      <c r="O36" s="11"/>
      <c r="P36" s="11"/>
      <c r="Q36" s="11"/>
      <c r="R36" s="11" t="s">
        <v>222</v>
      </c>
      <c r="S36" s="11" t="s">
        <v>94</v>
      </c>
      <c r="T36" s="11" t="s">
        <v>1767</v>
      </c>
      <c r="U36" s="11" t="s">
        <v>1444</v>
      </c>
      <c r="V36" s="11" t="s">
        <v>1768</v>
      </c>
      <c r="W36" s="11" t="s">
        <v>1389</v>
      </c>
      <c r="X36" s="11" t="s">
        <v>1769</v>
      </c>
      <c r="Y36" s="11" t="s">
        <v>1470</v>
      </c>
      <c r="Z36" s="11" t="s">
        <v>1770</v>
      </c>
      <c r="AA36" s="11" t="s">
        <v>1771</v>
      </c>
      <c r="AB36" s="11" t="s">
        <v>1772</v>
      </c>
      <c r="AC36" s="11" t="s">
        <v>222</v>
      </c>
      <c r="AD36" s="11">
        <v>5347627</v>
      </c>
      <c r="AE36" s="11" t="s">
        <v>94</v>
      </c>
      <c r="AF36" s="11" t="s">
        <v>1768</v>
      </c>
      <c r="AG36" s="11" t="s">
        <v>94</v>
      </c>
      <c r="AH36" s="11" t="s">
        <v>1773</v>
      </c>
      <c r="AI36" s="11" t="s">
        <v>1774</v>
      </c>
      <c r="AJ36" s="11" t="s">
        <v>1775</v>
      </c>
      <c r="AK36" s="11" t="s">
        <v>1396</v>
      </c>
      <c r="AL36" s="11" t="s">
        <v>134</v>
      </c>
      <c r="AM36" s="11">
        <v>6041.5</v>
      </c>
      <c r="AN36" s="11" t="s">
        <v>1450</v>
      </c>
      <c r="AO36" s="11" t="s">
        <v>134</v>
      </c>
      <c r="AP36" s="11" t="s">
        <v>1451</v>
      </c>
      <c r="AQ36" s="11" t="s">
        <v>1429</v>
      </c>
      <c r="AR36" s="11" t="s">
        <v>1652</v>
      </c>
      <c r="AS36" s="11" t="s">
        <v>223</v>
      </c>
      <c r="AT36" s="11" t="s">
        <v>1776</v>
      </c>
      <c r="AU36" s="11" t="s">
        <v>1777</v>
      </c>
      <c r="AV36" s="11"/>
      <c r="AW36" s="11" t="s">
        <v>1778</v>
      </c>
      <c r="AX36" s="11"/>
      <c r="AY36" s="11"/>
      <c r="AZ36" s="11"/>
      <c r="BA36" s="11"/>
      <c r="BB36" s="11">
        <v>67086969</v>
      </c>
      <c r="BC36" s="11" t="s">
        <v>1403</v>
      </c>
      <c r="BD36" s="11" t="s">
        <v>1432</v>
      </c>
      <c r="BE36" s="11" t="s">
        <v>1779</v>
      </c>
      <c r="BF36" s="11" t="s">
        <v>1780</v>
      </c>
      <c r="BG36" s="11"/>
      <c r="BH36" s="11" t="s">
        <v>1520</v>
      </c>
      <c r="BI36" s="11" t="s">
        <v>1403</v>
      </c>
      <c r="BJ36" s="11" t="s">
        <v>134</v>
      </c>
      <c r="BK36" s="11"/>
      <c r="BL36" s="11" t="s">
        <v>1577</v>
      </c>
      <c r="BM36" s="11"/>
      <c r="BN36" s="11" t="s">
        <v>1556</v>
      </c>
      <c r="BO36" s="11"/>
    </row>
    <row r="37" spans="1:67">
      <c r="B37" s="11">
        <v>26</v>
      </c>
      <c r="C37" s="11" t="s">
        <v>1374</v>
      </c>
      <c r="D37" s="11" t="s">
        <v>1375</v>
      </c>
      <c r="E37" s="11"/>
      <c r="F37" s="11" t="s">
        <v>1764</v>
      </c>
      <c r="G37" s="11"/>
      <c r="H37" s="11" t="s">
        <v>1765</v>
      </c>
      <c r="I37" s="11" t="s">
        <v>1766</v>
      </c>
      <c r="J37" s="11"/>
      <c r="K37" s="11" t="s">
        <v>1470</v>
      </c>
      <c r="L37" s="11" t="s">
        <v>94</v>
      </c>
      <c r="M37" s="11" t="s">
        <v>1383</v>
      </c>
      <c r="N37" s="11" t="s">
        <v>95</v>
      </c>
      <c r="O37" s="11"/>
      <c r="P37" s="11"/>
      <c r="Q37" s="11"/>
      <c r="R37" s="11" t="s">
        <v>222</v>
      </c>
      <c r="S37" s="11" t="s">
        <v>94</v>
      </c>
      <c r="T37" s="11" t="s">
        <v>1767</v>
      </c>
      <c r="U37" s="11" t="s">
        <v>1444</v>
      </c>
      <c r="V37" s="11" t="s">
        <v>1768</v>
      </c>
      <c r="W37" s="11" t="s">
        <v>1389</v>
      </c>
      <c r="X37" s="11" t="s">
        <v>1769</v>
      </c>
      <c r="Y37" s="11" t="s">
        <v>1470</v>
      </c>
      <c r="Z37" s="11" t="s">
        <v>1770</v>
      </c>
      <c r="AA37" s="11" t="s">
        <v>1771</v>
      </c>
      <c r="AB37" s="11" t="s">
        <v>1772</v>
      </c>
      <c r="AC37" s="11" t="s">
        <v>222</v>
      </c>
      <c r="AD37" s="11">
        <v>5347627</v>
      </c>
      <c r="AE37" s="11" t="s">
        <v>94</v>
      </c>
      <c r="AF37" s="11" t="s">
        <v>1768</v>
      </c>
      <c r="AG37" s="11" t="s">
        <v>94</v>
      </c>
      <c r="AH37" s="11" t="s">
        <v>1773</v>
      </c>
      <c r="AI37" s="11" t="s">
        <v>1781</v>
      </c>
      <c r="AJ37" s="11" t="s">
        <v>1782</v>
      </c>
      <c r="AK37" s="11" t="s">
        <v>1396</v>
      </c>
      <c r="AL37" s="11" t="s">
        <v>134</v>
      </c>
      <c r="AM37" s="11">
        <v>3855.3</v>
      </c>
      <c r="AN37" s="11" t="s">
        <v>1450</v>
      </c>
      <c r="AO37" s="11" t="s">
        <v>134</v>
      </c>
      <c r="AP37" s="11" t="s">
        <v>1451</v>
      </c>
      <c r="AQ37" s="11" t="s">
        <v>1429</v>
      </c>
      <c r="AR37" s="11" t="s">
        <v>1652</v>
      </c>
      <c r="AS37" s="11" t="s">
        <v>223</v>
      </c>
      <c r="AT37" s="11" t="s">
        <v>1783</v>
      </c>
      <c r="AU37" s="11" t="s">
        <v>1777</v>
      </c>
      <c r="AV37" s="11"/>
      <c r="AW37" s="11" t="s">
        <v>1778</v>
      </c>
      <c r="AX37" s="11"/>
      <c r="AY37" s="11"/>
      <c r="AZ37" s="11"/>
      <c r="BA37" s="11"/>
      <c r="BB37" s="11">
        <v>67086969</v>
      </c>
      <c r="BC37" s="11" t="s">
        <v>1403</v>
      </c>
      <c r="BD37" s="11" t="s">
        <v>1432</v>
      </c>
      <c r="BE37" s="11" t="s">
        <v>1779</v>
      </c>
      <c r="BF37" s="11" t="s">
        <v>1780</v>
      </c>
      <c r="BG37" s="11"/>
      <c r="BH37" s="11" t="s">
        <v>1520</v>
      </c>
      <c r="BI37" s="11" t="s">
        <v>1403</v>
      </c>
      <c r="BJ37" s="11" t="s">
        <v>134</v>
      </c>
      <c r="BK37" s="11"/>
      <c r="BL37" s="11" t="s">
        <v>1577</v>
      </c>
      <c r="BM37" s="11"/>
      <c r="BN37" s="11" t="s">
        <v>1556</v>
      </c>
      <c r="BO37" s="11"/>
    </row>
    <row r="38" spans="1:67">
      <c r="B38" s="11">
        <v>27</v>
      </c>
      <c r="C38" s="11" t="s">
        <v>1374</v>
      </c>
      <c r="D38" s="11" t="s">
        <v>1375</v>
      </c>
      <c r="E38" s="11"/>
      <c r="F38" s="11" t="s">
        <v>1764</v>
      </c>
      <c r="G38" s="11"/>
      <c r="H38" s="11" t="s">
        <v>1765</v>
      </c>
      <c r="I38" s="11" t="s">
        <v>1766</v>
      </c>
      <c r="J38" s="11"/>
      <c r="K38" s="11" t="s">
        <v>1470</v>
      </c>
      <c r="L38" s="11" t="s">
        <v>94</v>
      </c>
      <c r="M38" s="11" t="s">
        <v>1383</v>
      </c>
      <c r="N38" s="11" t="s">
        <v>95</v>
      </c>
      <c r="O38" s="11"/>
      <c r="P38" s="11"/>
      <c r="Q38" s="11"/>
      <c r="R38" s="11" t="s">
        <v>222</v>
      </c>
      <c r="S38" s="11" t="s">
        <v>94</v>
      </c>
      <c r="T38" s="11" t="s">
        <v>1767</v>
      </c>
      <c r="U38" s="11" t="s">
        <v>1444</v>
      </c>
      <c r="V38" s="11" t="s">
        <v>1768</v>
      </c>
      <c r="W38" s="11" t="s">
        <v>1389</v>
      </c>
      <c r="X38" s="11" t="s">
        <v>1769</v>
      </c>
      <c r="Y38" s="11" t="s">
        <v>1470</v>
      </c>
      <c r="Z38" s="11" t="s">
        <v>1770</v>
      </c>
      <c r="AA38" s="11" t="s">
        <v>1771</v>
      </c>
      <c r="AB38" s="11" t="s">
        <v>1772</v>
      </c>
      <c r="AC38" s="11" t="s">
        <v>222</v>
      </c>
      <c r="AD38" s="11">
        <v>5347627</v>
      </c>
      <c r="AE38" s="11" t="s">
        <v>94</v>
      </c>
      <c r="AF38" s="11" t="s">
        <v>1768</v>
      </c>
      <c r="AG38" s="11" t="s">
        <v>94</v>
      </c>
      <c r="AH38" s="11" t="s">
        <v>1773</v>
      </c>
      <c r="AI38" s="11" t="s">
        <v>1784</v>
      </c>
      <c r="AJ38" s="11" t="s">
        <v>1785</v>
      </c>
      <c r="AK38" s="11" t="s">
        <v>1396</v>
      </c>
      <c r="AL38" s="11" t="s">
        <v>134</v>
      </c>
      <c r="AM38" s="11">
        <v>4578.2</v>
      </c>
      <c r="AN38" s="11" t="s">
        <v>1450</v>
      </c>
      <c r="AO38" s="11" t="s">
        <v>134</v>
      </c>
      <c r="AP38" s="11" t="s">
        <v>1451</v>
      </c>
      <c r="AQ38" s="11" t="s">
        <v>1429</v>
      </c>
      <c r="AR38" s="11" t="s">
        <v>1652</v>
      </c>
      <c r="AS38" s="11" t="s">
        <v>223</v>
      </c>
      <c r="AT38" s="11" t="s">
        <v>1786</v>
      </c>
      <c r="AU38" s="11" t="s">
        <v>1777</v>
      </c>
      <c r="AV38" s="11"/>
      <c r="AW38" s="11" t="s">
        <v>1778</v>
      </c>
      <c r="AX38" s="11"/>
      <c r="AY38" s="11"/>
      <c r="AZ38" s="11"/>
      <c r="BA38" s="11"/>
      <c r="BB38" s="11">
        <v>67086969</v>
      </c>
      <c r="BC38" s="11" t="s">
        <v>1403</v>
      </c>
      <c r="BD38" s="11" t="s">
        <v>1432</v>
      </c>
      <c r="BE38" s="11" t="s">
        <v>1779</v>
      </c>
      <c r="BF38" s="11" t="s">
        <v>1780</v>
      </c>
      <c r="BG38" s="11"/>
      <c r="BH38" s="11" t="s">
        <v>1520</v>
      </c>
      <c r="BI38" s="11" t="s">
        <v>1403</v>
      </c>
      <c r="BJ38" s="11" t="s">
        <v>134</v>
      </c>
      <c r="BK38" s="11"/>
      <c r="BL38" s="11" t="s">
        <v>1577</v>
      </c>
      <c r="BM38" s="11"/>
      <c r="BN38" s="11" t="s">
        <v>1556</v>
      </c>
      <c r="BO38" s="11"/>
    </row>
    <row r="39" spans="1:67">
      <c r="B39" s="11">
        <v>28</v>
      </c>
      <c r="C39" s="11" t="s">
        <v>1374</v>
      </c>
      <c r="D39" s="11" t="s">
        <v>1375</v>
      </c>
      <c r="E39" s="11"/>
      <c r="F39" s="11" t="s">
        <v>1764</v>
      </c>
      <c r="G39" s="11"/>
      <c r="H39" s="11" t="s">
        <v>1765</v>
      </c>
      <c r="I39" s="11" t="s">
        <v>1766</v>
      </c>
      <c r="J39" s="11"/>
      <c r="K39" s="11" t="s">
        <v>1470</v>
      </c>
      <c r="L39" s="11" t="s">
        <v>94</v>
      </c>
      <c r="M39" s="11" t="s">
        <v>1383</v>
      </c>
      <c r="N39" s="11" t="s">
        <v>95</v>
      </c>
      <c r="O39" s="11"/>
      <c r="P39" s="11"/>
      <c r="Q39" s="11"/>
      <c r="R39" s="11" t="s">
        <v>222</v>
      </c>
      <c r="S39" s="11" t="s">
        <v>94</v>
      </c>
      <c r="T39" s="11" t="s">
        <v>1767</v>
      </c>
      <c r="U39" s="11" t="s">
        <v>1444</v>
      </c>
      <c r="V39" s="11" t="s">
        <v>1768</v>
      </c>
      <c r="W39" s="11" t="s">
        <v>1389</v>
      </c>
      <c r="X39" s="11" t="s">
        <v>1769</v>
      </c>
      <c r="Y39" s="11" t="s">
        <v>1470</v>
      </c>
      <c r="Z39" s="11" t="s">
        <v>1770</v>
      </c>
      <c r="AA39" s="11" t="s">
        <v>1771</v>
      </c>
      <c r="AB39" s="11" t="s">
        <v>1772</v>
      </c>
      <c r="AC39" s="11" t="s">
        <v>222</v>
      </c>
      <c r="AD39" s="11">
        <v>5347627</v>
      </c>
      <c r="AE39" s="11" t="s">
        <v>94</v>
      </c>
      <c r="AF39" s="11" t="s">
        <v>1768</v>
      </c>
      <c r="AG39" s="11" t="s">
        <v>94</v>
      </c>
      <c r="AH39" s="11" t="s">
        <v>1773</v>
      </c>
      <c r="AI39" s="11" t="s">
        <v>1787</v>
      </c>
      <c r="AJ39" s="11" t="s">
        <v>1788</v>
      </c>
      <c r="AK39" s="11" t="s">
        <v>1396</v>
      </c>
      <c r="AL39" s="11" t="s">
        <v>134</v>
      </c>
      <c r="AM39" s="11">
        <v>4015.9</v>
      </c>
      <c r="AN39" s="11" t="s">
        <v>1450</v>
      </c>
      <c r="AO39" s="11" t="s">
        <v>134</v>
      </c>
      <c r="AP39" s="11" t="s">
        <v>1451</v>
      </c>
      <c r="AQ39" s="11" t="s">
        <v>1429</v>
      </c>
      <c r="AR39" s="11" t="s">
        <v>1652</v>
      </c>
      <c r="AS39" s="11" t="s">
        <v>223</v>
      </c>
      <c r="AT39" s="11" t="s">
        <v>1789</v>
      </c>
      <c r="AU39" s="11" t="s">
        <v>1777</v>
      </c>
      <c r="AV39" s="11"/>
      <c r="AW39" s="11" t="s">
        <v>1778</v>
      </c>
      <c r="AX39" s="11"/>
      <c r="AY39" s="11"/>
      <c r="AZ39" s="11"/>
      <c r="BA39" s="11"/>
      <c r="BB39" s="11">
        <v>67086969</v>
      </c>
      <c r="BC39" s="11" t="s">
        <v>1403</v>
      </c>
      <c r="BD39" s="11" t="s">
        <v>1432</v>
      </c>
      <c r="BE39" s="11" t="s">
        <v>1779</v>
      </c>
      <c r="BF39" s="11" t="s">
        <v>1780</v>
      </c>
      <c r="BG39" s="11"/>
      <c r="BH39" s="11" t="s">
        <v>1520</v>
      </c>
      <c r="BI39" s="11" t="s">
        <v>1403</v>
      </c>
      <c r="BJ39" s="11" t="s">
        <v>134</v>
      </c>
      <c r="BK39" s="11"/>
      <c r="BL39" s="11" t="s">
        <v>1577</v>
      </c>
      <c r="BM39" s="11"/>
      <c r="BN39" s="11" t="s">
        <v>1556</v>
      </c>
      <c r="BO39" s="11"/>
    </row>
    <row r="40" spans="1:67">
      <c r="B40" s="11">
        <v>29</v>
      </c>
      <c r="C40" s="11" t="s">
        <v>1374</v>
      </c>
      <c r="D40" s="11" t="s">
        <v>1375</v>
      </c>
      <c r="E40" s="11"/>
      <c r="F40" s="11" t="s">
        <v>1764</v>
      </c>
      <c r="G40" s="11"/>
      <c r="H40" s="11" t="s">
        <v>1765</v>
      </c>
      <c r="I40" s="11" t="s">
        <v>1766</v>
      </c>
      <c r="J40" s="11"/>
      <c r="K40" s="11" t="s">
        <v>1470</v>
      </c>
      <c r="L40" s="11" t="s">
        <v>94</v>
      </c>
      <c r="M40" s="11" t="s">
        <v>1383</v>
      </c>
      <c r="N40" s="11" t="s">
        <v>95</v>
      </c>
      <c r="O40" s="11"/>
      <c r="P40" s="11"/>
      <c r="Q40" s="11"/>
      <c r="R40" s="11" t="s">
        <v>222</v>
      </c>
      <c r="S40" s="11" t="s">
        <v>94</v>
      </c>
      <c r="T40" s="11" t="s">
        <v>1767</v>
      </c>
      <c r="U40" s="11" t="s">
        <v>1444</v>
      </c>
      <c r="V40" s="11" t="s">
        <v>1768</v>
      </c>
      <c r="W40" s="11" t="s">
        <v>1389</v>
      </c>
      <c r="X40" s="11" t="s">
        <v>1769</v>
      </c>
      <c r="Y40" s="11" t="s">
        <v>1470</v>
      </c>
      <c r="Z40" s="11" t="s">
        <v>1770</v>
      </c>
      <c r="AA40" s="11" t="s">
        <v>1771</v>
      </c>
      <c r="AB40" s="11" t="s">
        <v>1772</v>
      </c>
      <c r="AC40" s="11" t="s">
        <v>222</v>
      </c>
      <c r="AD40" s="11">
        <v>5347627</v>
      </c>
      <c r="AE40" s="11" t="s">
        <v>94</v>
      </c>
      <c r="AF40" s="11" t="s">
        <v>1768</v>
      </c>
      <c r="AG40" s="11" t="s">
        <v>94</v>
      </c>
      <c r="AH40" s="11" t="s">
        <v>1773</v>
      </c>
      <c r="AI40" s="11" t="s">
        <v>1790</v>
      </c>
      <c r="AJ40" s="11" t="s">
        <v>1670</v>
      </c>
      <c r="AK40" s="11" t="s">
        <v>1396</v>
      </c>
      <c r="AL40" s="11" t="s">
        <v>134</v>
      </c>
      <c r="AM40" s="11">
        <v>6246.8</v>
      </c>
      <c r="AN40" s="11" t="s">
        <v>1450</v>
      </c>
      <c r="AO40" s="11" t="s">
        <v>134</v>
      </c>
      <c r="AP40" s="11" t="s">
        <v>1451</v>
      </c>
      <c r="AQ40" s="11" t="s">
        <v>1429</v>
      </c>
      <c r="AR40" s="11" t="s">
        <v>1652</v>
      </c>
      <c r="AS40" s="11" t="s">
        <v>223</v>
      </c>
      <c r="AT40" s="11" t="s">
        <v>1791</v>
      </c>
      <c r="AU40" s="11" t="s">
        <v>1777</v>
      </c>
      <c r="AV40" s="11"/>
      <c r="AW40" s="11" t="s">
        <v>1778</v>
      </c>
      <c r="AX40" s="11"/>
      <c r="AY40" s="11"/>
      <c r="AZ40" s="11"/>
      <c r="BA40" s="11"/>
      <c r="BB40" s="11">
        <v>67086969</v>
      </c>
      <c r="BC40" s="11" t="s">
        <v>1403</v>
      </c>
      <c r="BD40" s="11" t="s">
        <v>1432</v>
      </c>
      <c r="BE40" s="11" t="s">
        <v>1779</v>
      </c>
      <c r="BF40" s="11" t="s">
        <v>1780</v>
      </c>
      <c r="BG40" s="11"/>
      <c r="BH40" s="11" t="s">
        <v>1520</v>
      </c>
      <c r="BI40" s="11" t="s">
        <v>1403</v>
      </c>
      <c r="BJ40" s="11" t="s">
        <v>134</v>
      </c>
      <c r="BK40" s="11"/>
      <c r="BL40" s="11" t="s">
        <v>1577</v>
      </c>
      <c r="BM40" s="11"/>
      <c r="BN40" s="11" t="s">
        <v>1556</v>
      </c>
      <c r="BO40" s="11"/>
    </row>
    <row r="41" spans="1:67">
      <c r="B41" s="11">
        <v>30</v>
      </c>
      <c r="C41" s="11" t="s">
        <v>1374</v>
      </c>
      <c r="D41" s="11" t="s">
        <v>1375</v>
      </c>
      <c r="E41" s="11"/>
      <c r="F41" s="11" t="s">
        <v>1764</v>
      </c>
      <c r="G41" s="11"/>
      <c r="H41" s="11" t="s">
        <v>1765</v>
      </c>
      <c r="I41" s="11" t="s">
        <v>1766</v>
      </c>
      <c r="J41" s="11"/>
      <c r="K41" s="11" t="s">
        <v>1470</v>
      </c>
      <c r="L41" s="11" t="s">
        <v>94</v>
      </c>
      <c r="M41" s="11" t="s">
        <v>1383</v>
      </c>
      <c r="N41" s="11" t="s">
        <v>95</v>
      </c>
      <c r="O41" s="11"/>
      <c r="P41" s="11"/>
      <c r="Q41" s="11"/>
      <c r="R41" s="11" t="s">
        <v>222</v>
      </c>
      <c r="S41" s="11" t="s">
        <v>94</v>
      </c>
      <c r="T41" s="11" t="s">
        <v>1767</v>
      </c>
      <c r="U41" s="11" t="s">
        <v>1444</v>
      </c>
      <c r="V41" s="11" t="s">
        <v>1768</v>
      </c>
      <c r="W41" s="11" t="s">
        <v>1389</v>
      </c>
      <c r="X41" s="11" t="s">
        <v>1769</v>
      </c>
      <c r="Y41" s="11" t="s">
        <v>1470</v>
      </c>
      <c r="Z41" s="11" t="s">
        <v>1770</v>
      </c>
      <c r="AA41" s="11" t="s">
        <v>1771</v>
      </c>
      <c r="AB41" s="11" t="s">
        <v>1772</v>
      </c>
      <c r="AC41" s="11" t="s">
        <v>222</v>
      </c>
      <c r="AD41" s="11">
        <v>5347627</v>
      </c>
      <c r="AE41" s="11" t="s">
        <v>94</v>
      </c>
      <c r="AF41" s="11" t="s">
        <v>1768</v>
      </c>
      <c r="AG41" s="11" t="s">
        <v>94</v>
      </c>
      <c r="AH41" s="11" t="s">
        <v>1773</v>
      </c>
      <c r="AI41" s="11" t="s">
        <v>1792</v>
      </c>
      <c r="AJ41" s="11" t="s">
        <v>1676</v>
      </c>
      <c r="AK41" s="11" t="s">
        <v>1396</v>
      </c>
      <c r="AL41" s="11" t="s">
        <v>134</v>
      </c>
      <c r="AM41" s="11">
        <v>3212.8</v>
      </c>
      <c r="AN41" s="11" t="s">
        <v>1450</v>
      </c>
      <c r="AO41" s="11" t="s">
        <v>134</v>
      </c>
      <c r="AP41" s="11" t="s">
        <v>1451</v>
      </c>
      <c r="AQ41" s="11" t="s">
        <v>1429</v>
      </c>
      <c r="AR41" s="11" t="s">
        <v>1652</v>
      </c>
      <c r="AS41" s="11" t="s">
        <v>223</v>
      </c>
      <c r="AT41" s="11" t="s">
        <v>1793</v>
      </c>
      <c r="AU41" s="11" t="s">
        <v>1777</v>
      </c>
      <c r="AV41" s="11"/>
      <c r="AW41" s="11" t="s">
        <v>1778</v>
      </c>
      <c r="AX41" s="11"/>
      <c r="AY41" s="11"/>
      <c r="AZ41" s="11"/>
      <c r="BA41" s="11"/>
      <c r="BB41" s="11">
        <v>67086969</v>
      </c>
      <c r="BC41" s="11" t="s">
        <v>1403</v>
      </c>
      <c r="BD41" s="11" t="s">
        <v>1432</v>
      </c>
      <c r="BE41" s="11" t="s">
        <v>1779</v>
      </c>
      <c r="BF41" s="11" t="s">
        <v>1780</v>
      </c>
      <c r="BG41" s="11"/>
      <c r="BH41" s="11" t="s">
        <v>1520</v>
      </c>
      <c r="BI41" s="11" t="s">
        <v>1403</v>
      </c>
      <c r="BJ41" s="11" t="s">
        <v>134</v>
      </c>
      <c r="BK41" s="11"/>
      <c r="BL41" s="11" t="s">
        <v>1577</v>
      </c>
      <c r="BM41" s="11"/>
      <c r="BN41" s="11" t="s">
        <v>1556</v>
      </c>
      <c r="BO41" s="11"/>
    </row>
    <row r="42" spans="1:67">
      <c r="B42" s="11">
        <v>31</v>
      </c>
      <c r="C42" s="11" t="s">
        <v>1374</v>
      </c>
      <c r="D42" s="11" t="s">
        <v>1375</v>
      </c>
      <c r="E42" s="11"/>
      <c r="F42" s="11" t="s">
        <v>1764</v>
      </c>
      <c r="G42" s="11"/>
      <c r="H42" s="11" t="s">
        <v>1765</v>
      </c>
      <c r="I42" s="11" t="s">
        <v>1766</v>
      </c>
      <c r="J42" s="11"/>
      <c r="K42" s="11" t="s">
        <v>1470</v>
      </c>
      <c r="L42" s="11" t="s">
        <v>94</v>
      </c>
      <c r="M42" s="11" t="s">
        <v>1383</v>
      </c>
      <c r="N42" s="11" t="s">
        <v>95</v>
      </c>
      <c r="O42" s="11"/>
      <c r="P42" s="11"/>
      <c r="Q42" s="11"/>
      <c r="R42" s="11" t="s">
        <v>222</v>
      </c>
      <c r="S42" s="11" t="s">
        <v>94</v>
      </c>
      <c r="T42" s="11" t="s">
        <v>1767</v>
      </c>
      <c r="U42" s="11" t="s">
        <v>1444</v>
      </c>
      <c r="V42" s="11" t="s">
        <v>1768</v>
      </c>
      <c r="W42" s="11" t="s">
        <v>1389</v>
      </c>
      <c r="X42" s="11" t="s">
        <v>1769</v>
      </c>
      <c r="Y42" s="11" t="s">
        <v>1470</v>
      </c>
      <c r="Z42" s="11" t="s">
        <v>1770</v>
      </c>
      <c r="AA42" s="11" t="s">
        <v>1771</v>
      </c>
      <c r="AB42" s="11" t="s">
        <v>1772</v>
      </c>
      <c r="AC42" s="11" t="s">
        <v>222</v>
      </c>
      <c r="AD42" s="11">
        <v>5347627</v>
      </c>
      <c r="AE42" s="11" t="s">
        <v>94</v>
      </c>
      <c r="AF42" s="11" t="s">
        <v>1768</v>
      </c>
      <c r="AG42" s="11" t="s">
        <v>94</v>
      </c>
      <c r="AH42" s="11" t="s">
        <v>1773</v>
      </c>
      <c r="AI42" s="11" t="s">
        <v>1794</v>
      </c>
      <c r="AJ42" s="11" t="s">
        <v>1795</v>
      </c>
      <c r="AK42" s="11" t="s">
        <v>1396</v>
      </c>
      <c r="AL42" s="11" t="s">
        <v>134</v>
      </c>
      <c r="AM42" s="11">
        <v>4045.5</v>
      </c>
      <c r="AN42" s="11" t="s">
        <v>1450</v>
      </c>
      <c r="AO42" s="11" t="s">
        <v>134</v>
      </c>
      <c r="AP42" s="11" t="s">
        <v>1451</v>
      </c>
      <c r="AQ42" s="11" t="s">
        <v>1429</v>
      </c>
      <c r="AR42" s="11" t="s">
        <v>1652</v>
      </c>
      <c r="AS42" s="11" t="s">
        <v>223</v>
      </c>
      <c r="AT42" s="11" t="s">
        <v>1796</v>
      </c>
      <c r="AU42" s="11" t="s">
        <v>1777</v>
      </c>
      <c r="AV42" s="11"/>
      <c r="AW42" s="11" t="s">
        <v>1778</v>
      </c>
      <c r="AX42" s="11"/>
      <c r="AY42" s="11"/>
      <c r="AZ42" s="11"/>
      <c r="BA42" s="11"/>
      <c r="BB42" s="11">
        <v>67086969</v>
      </c>
      <c r="BC42" s="11" t="s">
        <v>1403</v>
      </c>
      <c r="BD42" s="11" t="s">
        <v>1432</v>
      </c>
      <c r="BE42" s="11" t="s">
        <v>1779</v>
      </c>
      <c r="BF42" s="11" t="s">
        <v>1780</v>
      </c>
      <c r="BG42" s="11"/>
      <c r="BH42" s="11" t="s">
        <v>1520</v>
      </c>
      <c r="BI42" s="11" t="s">
        <v>1403</v>
      </c>
      <c r="BJ42" s="11" t="s">
        <v>134</v>
      </c>
      <c r="BK42" s="11"/>
      <c r="BL42" s="11" t="s">
        <v>1577</v>
      </c>
      <c r="BM42" s="11"/>
      <c r="BN42" s="11" t="s">
        <v>1556</v>
      </c>
      <c r="BO42" s="11"/>
    </row>
    <row r="43" spans="1:67">
      <c r="B43" s="11">
        <v>32</v>
      </c>
      <c r="C43" s="11" t="s">
        <v>1374</v>
      </c>
      <c r="D43" s="11" t="s">
        <v>1375</v>
      </c>
      <c r="E43" s="11"/>
      <c r="F43" s="11" t="s">
        <v>1764</v>
      </c>
      <c r="G43" s="11"/>
      <c r="H43" s="11" t="s">
        <v>1765</v>
      </c>
      <c r="I43" s="11" t="s">
        <v>1766</v>
      </c>
      <c r="J43" s="11"/>
      <c r="K43" s="11" t="s">
        <v>1470</v>
      </c>
      <c r="L43" s="11" t="s">
        <v>94</v>
      </c>
      <c r="M43" s="11" t="s">
        <v>1383</v>
      </c>
      <c r="N43" s="11" t="s">
        <v>95</v>
      </c>
      <c r="O43" s="11"/>
      <c r="P43" s="11"/>
      <c r="Q43" s="11"/>
      <c r="R43" s="11" t="s">
        <v>222</v>
      </c>
      <c r="S43" s="11" t="s">
        <v>94</v>
      </c>
      <c r="T43" s="11" t="s">
        <v>1767</v>
      </c>
      <c r="U43" s="11" t="s">
        <v>1444</v>
      </c>
      <c r="V43" s="11" t="s">
        <v>1768</v>
      </c>
      <c r="W43" s="11" t="s">
        <v>1389</v>
      </c>
      <c r="X43" s="11" t="s">
        <v>1769</v>
      </c>
      <c r="Y43" s="11" t="s">
        <v>1470</v>
      </c>
      <c r="Z43" s="11" t="s">
        <v>1770</v>
      </c>
      <c r="AA43" s="11" t="s">
        <v>1771</v>
      </c>
      <c r="AB43" s="11" t="s">
        <v>1772</v>
      </c>
      <c r="AC43" s="11" t="s">
        <v>222</v>
      </c>
      <c r="AD43" s="11">
        <v>5347627</v>
      </c>
      <c r="AE43" s="11" t="s">
        <v>94</v>
      </c>
      <c r="AF43" s="11" t="s">
        <v>1768</v>
      </c>
      <c r="AG43" s="11" t="s">
        <v>94</v>
      </c>
      <c r="AH43" s="11" t="s">
        <v>1773</v>
      </c>
      <c r="AI43" s="11" t="s">
        <v>1797</v>
      </c>
      <c r="AJ43" s="11" t="s">
        <v>1798</v>
      </c>
      <c r="AK43" s="11" t="s">
        <v>1396</v>
      </c>
      <c r="AL43" s="11" t="s">
        <v>134</v>
      </c>
      <c r="AM43" s="11">
        <v>7068.1</v>
      </c>
      <c r="AN43" s="11" t="s">
        <v>1450</v>
      </c>
      <c r="AO43" s="11" t="s">
        <v>134</v>
      </c>
      <c r="AP43" s="11" t="s">
        <v>1451</v>
      </c>
      <c r="AQ43" s="11" t="s">
        <v>1429</v>
      </c>
      <c r="AR43" s="11" t="s">
        <v>1652</v>
      </c>
      <c r="AS43" s="11" t="s">
        <v>223</v>
      </c>
      <c r="AT43" s="11" t="s">
        <v>1799</v>
      </c>
      <c r="AU43" s="11" t="s">
        <v>1777</v>
      </c>
      <c r="AV43" s="11"/>
      <c r="AW43" s="11" t="s">
        <v>1778</v>
      </c>
      <c r="AX43" s="11"/>
      <c r="AY43" s="11"/>
      <c r="AZ43" s="11"/>
      <c r="BA43" s="11"/>
      <c r="BB43" s="11">
        <v>67086969</v>
      </c>
      <c r="BC43" s="11" t="s">
        <v>1403</v>
      </c>
      <c r="BD43" s="11" t="s">
        <v>1432</v>
      </c>
      <c r="BE43" s="11" t="s">
        <v>1779</v>
      </c>
      <c r="BF43" s="11" t="s">
        <v>1780</v>
      </c>
      <c r="BG43" s="11"/>
      <c r="BH43" s="11" t="s">
        <v>1520</v>
      </c>
      <c r="BI43" s="11" t="s">
        <v>1403</v>
      </c>
      <c r="BJ43" s="11" t="s">
        <v>134</v>
      </c>
      <c r="BK43" s="11"/>
      <c r="BL43" s="11" t="s">
        <v>1577</v>
      </c>
      <c r="BM43" s="11"/>
      <c r="BN43" s="11" t="s">
        <v>1556</v>
      </c>
      <c r="BO43" s="11"/>
    </row>
    <row r="44" spans="1:67">
      <c r="B44" s="11">
        <v>33</v>
      </c>
      <c r="C44" s="11" t="s">
        <v>1374</v>
      </c>
      <c r="D44" s="11" t="s">
        <v>1375</v>
      </c>
      <c r="E44" s="11"/>
      <c r="F44" s="11" t="s">
        <v>1764</v>
      </c>
      <c r="G44" s="11"/>
      <c r="H44" s="11" t="s">
        <v>1765</v>
      </c>
      <c r="I44" s="11" t="s">
        <v>1766</v>
      </c>
      <c r="J44" s="11"/>
      <c r="K44" s="11" t="s">
        <v>1470</v>
      </c>
      <c r="L44" s="11" t="s">
        <v>94</v>
      </c>
      <c r="M44" s="11" t="s">
        <v>1383</v>
      </c>
      <c r="N44" s="11" t="s">
        <v>95</v>
      </c>
      <c r="O44" s="11"/>
      <c r="P44" s="11"/>
      <c r="Q44" s="11"/>
      <c r="R44" s="11" t="s">
        <v>222</v>
      </c>
      <c r="S44" s="11" t="s">
        <v>94</v>
      </c>
      <c r="T44" s="11" t="s">
        <v>1767</v>
      </c>
      <c r="U44" s="11" t="s">
        <v>1444</v>
      </c>
      <c r="V44" s="11" t="s">
        <v>1768</v>
      </c>
      <c r="W44" s="11" t="s">
        <v>1389</v>
      </c>
      <c r="X44" s="11" t="s">
        <v>1769</v>
      </c>
      <c r="Y44" s="11" t="s">
        <v>1470</v>
      </c>
      <c r="Z44" s="11" t="s">
        <v>1770</v>
      </c>
      <c r="AA44" s="11" t="s">
        <v>1771</v>
      </c>
      <c r="AB44" s="11" t="s">
        <v>1772</v>
      </c>
      <c r="AC44" s="11" t="s">
        <v>222</v>
      </c>
      <c r="AD44" s="11">
        <v>5347627</v>
      </c>
      <c r="AE44" s="11" t="s">
        <v>94</v>
      </c>
      <c r="AF44" s="11" t="s">
        <v>1768</v>
      </c>
      <c r="AG44" s="11" t="s">
        <v>94</v>
      </c>
      <c r="AH44" s="11" t="s">
        <v>1773</v>
      </c>
      <c r="AI44" s="11" t="s">
        <v>1800</v>
      </c>
      <c r="AJ44" s="11" t="s">
        <v>1801</v>
      </c>
      <c r="AK44" s="11" t="s">
        <v>1396</v>
      </c>
      <c r="AL44" s="11" t="s">
        <v>134</v>
      </c>
      <c r="AM44" s="11">
        <v>3373.4</v>
      </c>
      <c r="AN44" s="11" t="s">
        <v>1450</v>
      </c>
      <c r="AO44" s="11" t="s">
        <v>134</v>
      </c>
      <c r="AP44" s="11" t="s">
        <v>1451</v>
      </c>
      <c r="AQ44" s="11" t="s">
        <v>1429</v>
      </c>
      <c r="AR44" s="11" t="s">
        <v>1652</v>
      </c>
      <c r="AS44" s="11" t="s">
        <v>223</v>
      </c>
      <c r="AT44" s="11" t="s">
        <v>1802</v>
      </c>
      <c r="AU44" s="11" t="s">
        <v>1777</v>
      </c>
      <c r="AV44" s="11"/>
      <c r="AW44" s="11" t="s">
        <v>1778</v>
      </c>
      <c r="AX44" s="11"/>
      <c r="AY44" s="11"/>
      <c r="AZ44" s="11"/>
      <c r="BA44" s="11"/>
      <c r="BB44" s="11">
        <v>67086969</v>
      </c>
      <c r="BC44" s="11" t="s">
        <v>1403</v>
      </c>
      <c r="BD44" s="11" t="s">
        <v>1432</v>
      </c>
      <c r="BE44" s="11" t="s">
        <v>1779</v>
      </c>
      <c r="BF44" s="11" t="s">
        <v>1780</v>
      </c>
      <c r="BG44" s="11"/>
      <c r="BH44" s="11" t="s">
        <v>1520</v>
      </c>
      <c r="BI44" s="11" t="s">
        <v>1403</v>
      </c>
      <c r="BJ44" s="11" t="s">
        <v>134</v>
      </c>
      <c r="BK44" s="11"/>
      <c r="BL44" s="11" t="s">
        <v>1577</v>
      </c>
      <c r="BM44" s="11"/>
      <c r="BN44" s="11" t="s">
        <v>1556</v>
      </c>
      <c r="BO44" s="11"/>
    </row>
    <row r="45" spans="1:67">
      <c r="B45" s="11">
        <v>34</v>
      </c>
      <c r="C45" s="11" t="s">
        <v>1374</v>
      </c>
      <c r="D45" s="11" t="s">
        <v>1375</v>
      </c>
      <c r="E45" s="11" t="s">
        <v>1803</v>
      </c>
      <c r="F45" s="11" t="s">
        <v>1804</v>
      </c>
      <c r="G45" s="11" t="s">
        <v>1805</v>
      </c>
      <c r="H45" s="11" t="s">
        <v>1806</v>
      </c>
      <c r="I45" s="11" t="s">
        <v>1807</v>
      </c>
      <c r="J45" s="11"/>
      <c r="K45" s="11" t="s">
        <v>1547</v>
      </c>
      <c r="L45" s="11" t="s">
        <v>1382</v>
      </c>
      <c r="M45" s="11" t="s">
        <v>1383</v>
      </c>
      <c r="N45" s="11" t="s">
        <v>95</v>
      </c>
      <c r="O45" s="11" t="s">
        <v>1808</v>
      </c>
      <c r="P45" s="11"/>
      <c r="Q45" s="11"/>
      <c r="R45" s="11" t="s">
        <v>1803</v>
      </c>
      <c r="S45" s="11" t="s">
        <v>1382</v>
      </c>
      <c r="T45" s="11" t="s">
        <v>1809</v>
      </c>
      <c r="U45" s="11" t="s">
        <v>1444</v>
      </c>
      <c r="V45" s="11" t="s">
        <v>1810</v>
      </c>
      <c r="W45" s="11" t="s">
        <v>1389</v>
      </c>
      <c r="X45" s="11" t="s">
        <v>1469</v>
      </c>
      <c r="Y45" s="11" t="s">
        <v>1547</v>
      </c>
      <c r="Z45" s="11" t="s">
        <v>1811</v>
      </c>
      <c r="AA45" s="11" t="s">
        <v>1812</v>
      </c>
      <c r="AB45" s="11" t="s">
        <v>1813</v>
      </c>
      <c r="AC45" s="11" t="s">
        <v>1803</v>
      </c>
      <c r="AD45" s="11">
        <v>5406797</v>
      </c>
      <c r="AE45" s="11" t="s">
        <v>1382</v>
      </c>
      <c r="AF45" s="11" t="s">
        <v>1814</v>
      </c>
      <c r="AG45" s="11" t="s">
        <v>1382</v>
      </c>
      <c r="AH45" s="11" t="s">
        <v>1815</v>
      </c>
      <c r="AI45" s="11" t="s">
        <v>1816</v>
      </c>
      <c r="AJ45" s="11" t="s">
        <v>1817</v>
      </c>
      <c r="AK45" s="11" t="s">
        <v>1396</v>
      </c>
      <c r="AL45" s="11" t="s">
        <v>134</v>
      </c>
      <c r="AM45" s="11">
        <v>500</v>
      </c>
      <c r="AN45" s="11"/>
      <c r="AO45" s="11" t="s">
        <v>1805</v>
      </c>
      <c r="AP45" s="11" t="s">
        <v>1451</v>
      </c>
      <c r="AQ45" s="11" t="s">
        <v>1818</v>
      </c>
      <c r="AR45" s="11"/>
      <c r="AS45" s="11" t="s">
        <v>1819</v>
      </c>
      <c r="AT45" s="11"/>
      <c r="AU45" s="11" t="s">
        <v>1820</v>
      </c>
      <c r="AV45" s="11"/>
      <c r="AW45" s="11" t="s">
        <v>1821</v>
      </c>
      <c r="AX45" s="11"/>
      <c r="AY45" s="11"/>
      <c r="AZ45" s="11"/>
      <c r="BA45" s="11"/>
      <c r="BB45" s="11">
        <v>63993771</v>
      </c>
      <c r="BC45" s="11" t="s">
        <v>1403</v>
      </c>
      <c r="BD45" s="11" t="s">
        <v>1432</v>
      </c>
      <c r="BE45" s="11" t="s">
        <v>1480</v>
      </c>
      <c r="BF45" s="11" t="s">
        <v>1481</v>
      </c>
      <c r="BG45" s="11" t="s">
        <v>1482</v>
      </c>
      <c r="BH45" s="11" t="s">
        <v>1502</v>
      </c>
      <c r="BI45" s="11" t="s">
        <v>1403</v>
      </c>
      <c r="BJ45" s="11" t="s">
        <v>134</v>
      </c>
      <c r="BK45" s="11"/>
      <c r="BL45" s="11"/>
      <c r="BM45" s="11"/>
      <c r="BN45" s="11" t="s">
        <v>1483</v>
      </c>
      <c r="BO45" s="11" t="s">
        <v>95</v>
      </c>
    </row>
    <row r="46" spans="1:67">
      <c r="B46" s="11">
        <v>35</v>
      </c>
      <c r="C46" s="11" t="s">
        <v>1374</v>
      </c>
      <c r="D46" s="11" t="s">
        <v>1375</v>
      </c>
      <c r="E46" s="11"/>
      <c r="F46" s="11" t="s">
        <v>1822</v>
      </c>
      <c r="G46" s="11"/>
      <c r="H46" s="11" t="s">
        <v>1823</v>
      </c>
      <c r="I46" s="11" t="s">
        <v>1824</v>
      </c>
      <c r="J46" s="11"/>
      <c r="K46" s="11" t="s">
        <v>1381</v>
      </c>
      <c r="L46" s="11" t="s">
        <v>1382</v>
      </c>
      <c r="M46" s="11" t="s">
        <v>1383</v>
      </c>
      <c r="N46" s="11" t="s">
        <v>95</v>
      </c>
      <c r="O46" s="11"/>
      <c r="P46" s="11"/>
      <c r="Q46" s="11"/>
      <c r="R46" s="11" t="s">
        <v>1825</v>
      </c>
      <c r="S46" s="11" t="s">
        <v>1382</v>
      </c>
      <c r="T46" s="11" t="s">
        <v>1826</v>
      </c>
      <c r="U46" s="11" t="s">
        <v>1444</v>
      </c>
      <c r="V46" s="11" t="s">
        <v>1827</v>
      </c>
      <c r="W46" s="11" t="s">
        <v>1389</v>
      </c>
      <c r="X46" s="11" t="s">
        <v>1492</v>
      </c>
      <c r="Y46" s="11" t="s">
        <v>1381</v>
      </c>
      <c r="Z46" s="11" t="s">
        <v>1828</v>
      </c>
      <c r="AA46" s="11" t="s">
        <v>1829</v>
      </c>
      <c r="AB46" s="11" t="s">
        <v>1830</v>
      </c>
      <c r="AC46" s="11" t="s">
        <v>1825</v>
      </c>
      <c r="AD46" s="11">
        <v>5363227</v>
      </c>
      <c r="AE46" s="11" t="s">
        <v>1382</v>
      </c>
      <c r="AF46" s="11" t="s">
        <v>1831</v>
      </c>
      <c r="AG46" s="11"/>
      <c r="AH46" s="11"/>
      <c r="AI46" s="11" t="s">
        <v>1832</v>
      </c>
      <c r="AJ46" s="11" t="s">
        <v>1517</v>
      </c>
      <c r="AK46" s="11"/>
      <c r="AL46" s="11" t="s">
        <v>134</v>
      </c>
      <c r="AM46" s="11">
        <v>3000</v>
      </c>
      <c r="AN46" s="11"/>
      <c r="AO46" s="11" t="s">
        <v>134</v>
      </c>
      <c r="AP46" s="11" t="s">
        <v>1451</v>
      </c>
      <c r="AQ46" s="11" t="s">
        <v>1818</v>
      </c>
      <c r="AR46" s="11"/>
      <c r="AS46" s="11" t="s">
        <v>1833</v>
      </c>
      <c r="AT46" s="11"/>
      <c r="AU46" s="11" t="s">
        <v>1834</v>
      </c>
      <c r="AV46" s="11"/>
      <c r="AW46" s="11" t="s">
        <v>1835</v>
      </c>
      <c r="AX46" s="11"/>
      <c r="AY46" s="11"/>
      <c r="AZ46" s="11"/>
      <c r="BA46" s="11"/>
      <c r="BB46" s="11">
        <v>51402702</v>
      </c>
      <c r="BC46" s="11" t="s">
        <v>1403</v>
      </c>
      <c r="BD46" s="11" t="s">
        <v>1432</v>
      </c>
      <c r="BE46" s="11" t="s">
        <v>1836</v>
      </c>
      <c r="BF46" s="11" t="s">
        <v>1576</v>
      </c>
      <c r="BG46" s="11" t="s">
        <v>1482</v>
      </c>
      <c r="BH46" s="11" t="s">
        <v>1520</v>
      </c>
      <c r="BI46" s="11" t="s">
        <v>1403</v>
      </c>
      <c r="BJ46" s="11"/>
      <c r="BK46" s="11"/>
      <c r="BL46" s="11"/>
      <c r="BM46" s="11"/>
      <c r="BN46" s="11" t="s">
        <v>1457</v>
      </c>
      <c r="BO46" s="11"/>
    </row>
    <row r="47" spans="1:67">
      <c r="B47" s="11">
        <v>36</v>
      </c>
      <c r="C47" s="11" t="s">
        <v>1374</v>
      </c>
      <c r="D47" s="11" t="s">
        <v>1375</v>
      </c>
      <c r="E47" s="11"/>
      <c r="F47" s="11" t="s">
        <v>1837</v>
      </c>
      <c r="G47" s="11"/>
      <c r="H47" s="11" t="s">
        <v>1838</v>
      </c>
      <c r="I47" s="11" t="s">
        <v>1839</v>
      </c>
      <c r="J47" s="11"/>
      <c r="K47" s="11" t="s">
        <v>1488</v>
      </c>
      <c r="L47" s="11" t="s">
        <v>1382</v>
      </c>
      <c r="M47" s="11" t="s">
        <v>1417</v>
      </c>
      <c r="N47" s="11" t="s">
        <v>48</v>
      </c>
      <c r="O47" s="11"/>
      <c r="P47" s="11"/>
      <c r="Q47" s="11"/>
      <c r="R47" s="11" t="s">
        <v>1840</v>
      </c>
      <c r="S47" s="11" t="s">
        <v>1382</v>
      </c>
      <c r="T47" s="11" t="s">
        <v>1841</v>
      </c>
      <c r="U47" s="11" t="s">
        <v>1444</v>
      </c>
      <c r="V47" s="11" t="s">
        <v>1842</v>
      </c>
      <c r="W47" s="11" t="s">
        <v>1389</v>
      </c>
      <c r="X47" s="11" t="s">
        <v>1563</v>
      </c>
      <c r="Y47" s="11" t="s">
        <v>1564</v>
      </c>
      <c r="Z47" s="11" t="s">
        <v>1843</v>
      </c>
      <c r="AA47" s="11" t="s">
        <v>1844</v>
      </c>
      <c r="AB47" s="11" t="s">
        <v>1845</v>
      </c>
      <c r="AC47" s="11" t="s">
        <v>1840</v>
      </c>
      <c r="AD47" s="11">
        <v>5432382</v>
      </c>
      <c r="AE47" s="11" t="s">
        <v>1382</v>
      </c>
      <c r="AF47" s="11" t="s">
        <v>1846</v>
      </c>
      <c r="AG47" s="11" t="s">
        <v>1382</v>
      </c>
      <c r="AH47" s="11" t="s">
        <v>1846</v>
      </c>
      <c r="AI47" s="11" t="s">
        <v>1847</v>
      </c>
      <c r="AJ47" s="11" t="s">
        <v>1848</v>
      </c>
      <c r="AK47" s="11" t="s">
        <v>1396</v>
      </c>
      <c r="AL47" s="11" t="s">
        <v>134</v>
      </c>
      <c r="AM47" s="11">
        <v>18083.8</v>
      </c>
      <c r="AN47" s="11" t="s">
        <v>1450</v>
      </c>
      <c r="AO47" s="11" t="s">
        <v>134</v>
      </c>
      <c r="AP47" s="11" t="s">
        <v>1451</v>
      </c>
      <c r="AQ47" s="11" t="s">
        <v>1818</v>
      </c>
      <c r="AR47" s="11" t="s">
        <v>1570</v>
      </c>
      <c r="AS47" s="11" t="s">
        <v>1849</v>
      </c>
      <c r="AT47" s="11" t="s">
        <v>1850</v>
      </c>
      <c r="AU47" s="11" t="s">
        <v>1719</v>
      </c>
      <c r="AV47" s="11"/>
      <c r="AW47" s="11" t="s">
        <v>1851</v>
      </c>
      <c r="AX47" s="11"/>
      <c r="AY47" s="11"/>
      <c r="AZ47" s="11"/>
      <c r="BA47" s="11"/>
      <c r="BB47" s="11">
        <v>69899313</v>
      </c>
      <c r="BC47" s="11" t="s">
        <v>1403</v>
      </c>
      <c r="BD47" s="11" t="s">
        <v>1432</v>
      </c>
      <c r="BE47" s="11" t="s">
        <v>1575</v>
      </c>
      <c r="BF47" s="11" t="s">
        <v>1576</v>
      </c>
      <c r="BG47" s="11"/>
      <c r="BH47" s="11" t="s">
        <v>1502</v>
      </c>
      <c r="BI47" s="11" t="s">
        <v>1403</v>
      </c>
      <c r="BJ47" s="11" t="s">
        <v>134</v>
      </c>
      <c r="BK47" s="11"/>
      <c r="BL47" s="11" t="s">
        <v>1577</v>
      </c>
      <c r="BM47" s="11"/>
      <c r="BN47" s="11"/>
      <c r="BO47" s="11"/>
    </row>
    <row r="48" spans="1:67">
      <c r="B48" s="11">
        <v>37</v>
      </c>
      <c r="C48" s="11" t="s">
        <v>1374</v>
      </c>
      <c r="D48" s="11" t="s">
        <v>1375</v>
      </c>
      <c r="E48" s="11"/>
      <c r="F48" s="11" t="s">
        <v>1852</v>
      </c>
      <c r="G48" s="11"/>
      <c r="H48" s="11" t="s">
        <v>1853</v>
      </c>
      <c r="I48" s="11" t="s">
        <v>1854</v>
      </c>
      <c r="J48" s="11"/>
      <c r="K48" s="11" t="s">
        <v>1547</v>
      </c>
      <c r="L48" s="11" t="s">
        <v>94</v>
      </c>
      <c r="M48" s="11" t="s">
        <v>1383</v>
      </c>
      <c r="N48" s="11" t="s">
        <v>95</v>
      </c>
      <c r="O48" s="11"/>
      <c r="P48" s="11"/>
      <c r="Q48" s="11"/>
      <c r="R48" s="11" t="s">
        <v>1855</v>
      </c>
      <c r="S48" s="11" t="s">
        <v>94</v>
      </c>
      <c r="T48" s="11" t="s">
        <v>1856</v>
      </c>
      <c r="U48" s="11" t="s">
        <v>1444</v>
      </c>
      <c r="V48" s="11" t="s">
        <v>1857</v>
      </c>
      <c r="W48" s="11" t="s">
        <v>1389</v>
      </c>
      <c r="X48" s="11" t="s">
        <v>1858</v>
      </c>
      <c r="Y48" s="11" t="s">
        <v>1547</v>
      </c>
      <c r="Z48" s="11" t="s">
        <v>1859</v>
      </c>
      <c r="AA48" s="11" t="s">
        <v>1860</v>
      </c>
      <c r="AB48" s="11" t="s">
        <v>1447</v>
      </c>
      <c r="AC48" s="11" t="s">
        <v>1855</v>
      </c>
      <c r="AD48" s="11">
        <v>5398622</v>
      </c>
      <c r="AE48" s="11" t="s">
        <v>94</v>
      </c>
      <c r="AF48" s="11" t="s">
        <v>1861</v>
      </c>
      <c r="AG48" s="11"/>
      <c r="AH48" s="11"/>
      <c r="AI48" s="11" t="s">
        <v>1862</v>
      </c>
      <c r="AJ48" s="11" t="s">
        <v>1863</v>
      </c>
      <c r="AK48" s="11"/>
      <c r="AL48" s="11" t="s">
        <v>134</v>
      </c>
      <c r="AM48" s="11">
        <v>0</v>
      </c>
      <c r="AN48" s="11"/>
      <c r="AO48" s="11" t="s">
        <v>134</v>
      </c>
      <c r="AP48" s="11" t="s">
        <v>1451</v>
      </c>
      <c r="AQ48" s="11" t="s">
        <v>1818</v>
      </c>
      <c r="AR48" s="11"/>
      <c r="AS48" s="11" t="s">
        <v>1864</v>
      </c>
      <c r="AT48" s="11"/>
      <c r="AU48" s="11" t="s">
        <v>1865</v>
      </c>
      <c r="AV48" s="11"/>
      <c r="AW48" s="11" t="s">
        <v>1866</v>
      </c>
      <c r="AX48" s="11"/>
      <c r="AY48" s="11"/>
      <c r="AZ48" s="11"/>
      <c r="BA48" s="11"/>
      <c r="BB48" s="11">
        <v>53299500</v>
      </c>
      <c r="BC48" s="11" t="s">
        <v>1403</v>
      </c>
      <c r="BD48" s="11" t="s">
        <v>1867</v>
      </c>
      <c r="BE48" s="11" t="s">
        <v>1858</v>
      </c>
      <c r="BF48" s="11" t="s">
        <v>1434</v>
      </c>
      <c r="BG48" s="11"/>
      <c r="BH48" s="11" t="s">
        <v>1502</v>
      </c>
      <c r="BI48" s="11" t="s">
        <v>1403</v>
      </c>
      <c r="BJ48" s="11"/>
      <c r="BK48" s="11"/>
      <c r="BL48" s="11"/>
      <c r="BM48" s="11"/>
      <c r="BN48" s="11" t="s">
        <v>1457</v>
      </c>
      <c r="BO48" s="11"/>
    </row>
    <row r="49" spans="2:67">
      <c r="B49" s="11">
        <v>38</v>
      </c>
      <c r="C49" s="11" t="s">
        <v>1374</v>
      </c>
      <c r="D49" s="11" t="s">
        <v>1375</v>
      </c>
      <c r="E49" s="11"/>
      <c r="F49" s="11" t="s">
        <v>1868</v>
      </c>
      <c r="G49" s="11"/>
      <c r="H49" s="11" t="s">
        <v>1869</v>
      </c>
      <c r="I49" s="11" t="s">
        <v>1870</v>
      </c>
      <c r="J49" s="11" t="s">
        <v>1871</v>
      </c>
      <c r="K49" s="11" t="s">
        <v>1564</v>
      </c>
      <c r="L49" s="11" t="s">
        <v>1382</v>
      </c>
      <c r="M49" s="11" t="s">
        <v>1417</v>
      </c>
      <c r="N49" s="11" t="s">
        <v>330</v>
      </c>
      <c r="O49" s="11"/>
      <c r="P49" s="11"/>
      <c r="Q49" s="11"/>
      <c r="R49" s="11" t="s">
        <v>1872</v>
      </c>
      <c r="S49" s="11" t="s">
        <v>1382</v>
      </c>
      <c r="T49" s="11" t="s">
        <v>1873</v>
      </c>
      <c r="U49" s="11" t="s">
        <v>1444</v>
      </c>
      <c r="V49" s="11" t="s">
        <v>1874</v>
      </c>
      <c r="W49" s="11" t="s">
        <v>1389</v>
      </c>
      <c r="X49" s="11" t="s">
        <v>1563</v>
      </c>
      <c r="Y49" s="11" t="s">
        <v>1875</v>
      </c>
      <c r="Z49" s="11" t="s">
        <v>1876</v>
      </c>
      <c r="AA49" s="11" t="s">
        <v>1630</v>
      </c>
      <c r="AB49" s="11" t="s">
        <v>1631</v>
      </c>
      <c r="AC49" s="11" t="s">
        <v>1872</v>
      </c>
      <c r="AD49" s="11">
        <v>5345928</v>
      </c>
      <c r="AE49" s="11" t="s">
        <v>1382</v>
      </c>
      <c r="AF49" s="11" t="s">
        <v>1877</v>
      </c>
      <c r="AG49" s="11"/>
      <c r="AH49" s="11"/>
      <c r="AI49" s="11" t="s">
        <v>1878</v>
      </c>
      <c r="AJ49" s="11" t="s">
        <v>1817</v>
      </c>
      <c r="AK49" s="11"/>
      <c r="AL49" s="11" t="s">
        <v>134</v>
      </c>
      <c r="AM49" s="11">
        <v>500</v>
      </c>
      <c r="AN49" s="11"/>
      <c r="AO49" s="11" t="s">
        <v>134</v>
      </c>
      <c r="AP49" s="11" t="s">
        <v>1451</v>
      </c>
      <c r="AQ49" s="11" t="s">
        <v>1818</v>
      </c>
      <c r="AR49" s="11"/>
      <c r="AS49" s="11" t="s">
        <v>1879</v>
      </c>
      <c r="AT49" s="11"/>
      <c r="AU49" s="11" t="s">
        <v>1880</v>
      </c>
      <c r="AV49" s="11"/>
      <c r="AW49" s="11" t="s">
        <v>1881</v>
      </c>
      <c r="AX49" s="11"/>
      <c r="AY49" s="11"/>
      <c r="AZ49" s="11"/>
      <c r="BA49" s="11"/>
      <c r="BB49" s="11">
        <v>51534936</v>
      </c>
      <c r="BC49" s="11" t="s">
        <v>1403</v>
      </c>
      <c r="BD49" s="11" t="s">
        <v>1432</v>
      </c>
      <c r="BE49" s="11" t="s">
        <v>1575</v>
      </c>
      <c r="BF49" s="11" t="s">
        <v>1576</v>
      </c>
      <c r="BG49" s="11"/>
      <c r="BH49" s="11" t="s">
        <v>1502</v>
      </c>
      <c r="BI49" s="11" t="s">
        <v>1403</v>
      </c>
      <c r="BJ49" s="11"/>
      <c r="BK49" s="11"/>
      <c r="BL49" s="11"/>
      <c r="BM49" s="11"/>
      <c r="BN49" s="11" t="s">
        <v>1556</v>
      </c>
      <c r="BO49" s="11"/>
    </row>
    <row r="50" spans="2:67">
      <c r="B50" s="11">
        <v>39</v>
      </c>
      <c r="C50" s="11" t="s">
        <v>1374</v>
      </c>
      <c r="D50" s="11" t="s">
        <v>1375</v>
      </c>
      <c r="E50" s="11"/>
      <c r="F50" s="11" t="s">
        <v>1882</v>
      </c>
      <c r="G50" s="11"/>
      <c r="H50" s="11" t="s">
        <v>1883</v>
      </c>
      <c r="I50" s="11" t="s">
        <v>1884</v>
      </c>
      <c r="J50" s="11" t="s">
        <v>134</v>
      </c>
      <c r="K50" s="11" t="s">
        <v>1547</v>
      </c>
      <c r="L50" s="11" t="s">
        <v>47</v>
      </c>
      <c r="M50" s="11" t="s">
        <v>1885</v>
      </c>
      <c r="N50" s="11" t="s">
        <v>294</v>
      </c>
      <c r="O50" s="11"/>
      <c r="P50" s="11"/>
      <c r="Q50" s="11"/>
      <c r="R50" s="11" t="s">
        <v>1271</v>
      </c>
      <c r="S50" s="11" t="s">
        <v>1382</v>
      </c>
      <c r="T50" s="11" t="s">
        <v>1886</v>
      </c>
      <c r="U50" s="11" t="s">
        <v>1444</v>
      </c>
      <c r="V50" s="11" t="s">
        <v>1887</v>
      </c>
      <c r="W50" s="11" t="s">
        <v>1389</v>
      </c>
      <c r="X50" s="11" t="s">
        <v>1492</v>
      </c>
      <c r="Y50" s="11" t="s">
        <v>1547</v>
      </c>
      <c r="Z50" s="11" t="s">
        <v>1888</v>
      </c>
      <c r="AA50" s="11" t="s">
        <v>1889</v>
      </c>
      <c r="AB50" s="11" t="s">
        <v>1890</v>
      </c>
      <c r="AC50" s="11" t="s">
        <v>1271</v>
      </c>
      <c r="AD50" s="11">
        <v>5462238</v>
      </c>
      <c r="AE50" s="11" t="s">
        <v>1382</v>
      </c>
      <c r="AF50" s="11" t="s">
        <v>1887</v>
      </c>
      <c r="AG50" s="11" t="s">
        <v>1382</v>
      </c>
      <c r="AH50" s="11" t="s">
        <v>1891</v>
      </c>
      <c r="AI50" s="11" t="s">
        <v>1892</v>
      </c>
      <c r="AJ50" s="11" t="s">
        <v>1893</v>
      </c>
      <c r="AK50" s="11" t="s">
        <v>1396</v>
      </c>
      <c r="AL50" s="11" t="s">
        <v>134</v>
      </c>
      <c r="AM50" s="11">
        <v>3172.8</v>
      </c>
      <c r="AN50" s="11" t="s">
        <v>1450</v>
      </c>
      <c r="AO50" s="11" t="s">
        <v>134</v>
      </c>
      <c r="AP50" s="11" t="s">
        <v>1451</v>
      </c>
      <c r="AQ50" s="11" t="s">
        <v>1398</v>
      </c>
      <c r="AR50" s="11" t="s">
        <v>1652</v>
      </c>
      <c r="AS50" s="11" t="s">
        <v>1272</v>
      </c>
      <c r="AT50" s="11" t="s">
        <v>1894</v>
      </c>
      <c r="AU50" s="11" t="s">
        <v>54</v>
      </c>
      <c r="AV50" s="11"/>
      <c r="AW50" s="11" t="s">
        <v>1895</v>
      </c>
      <c r="AX50" s="11"/>
      <c r="AY50" s="11"/>
      <c r="AZ50" s="11"/>
      <c r="BA50" s="11"/>
      <c r="BB50" s="11">
        <v>80558403</v>
      </c>
      <c r="BC50" s="11" t="s">
        <v>1403</v>
      </c>
      <c r="BD50" s="11" t="s">
        <v>1432</v>
      </c>
      <c r="BE50" s="11" t="s">
        <v>1896</v>
      </c>
      <c r="BF50" s="11" t="s">
        <v>1501</v>
      </c>
      <c r="BG50" s="11"/>
      <c r="BH50" s="11" t="s">
        <v>1520</v>
      </c>
      <c r="BI50" s="11" t="s">
        <v>1407</v>
      </c>
      <c r="BJ50" s="11" t="s">
        <v>134</v>
      </c>
      <c r="BK50" s="11"/>
      <c r="BL50" s="11" t="s">
        <v>1577</v>
      </c>
      <c r="BM50" s="11"/>
      <c r="BN50" s="11" t="s">
        <v>1483</v>
      </c>
      <c r="BO50" s="11"/>
    </row>
    <row r="51" spans="2:67">
      <c r="B51" s="11">
        <v>40</v>
      </c>
      <c r="C51" s="11" t="s">
        <v>1374</v>
      </c>
      <c r="D51" s="11" t="s">
        <v>1375</v>
      </c>
      <c r="E51" s="11"/>
      <c r="F51" s="11" t="s">
        <v>1882</v>
      </c>
      <c r="G51" s="11"/>
      <c r="H51" s="11" t="s">
        <v>1883</v>
      </c>
      <c r="I51" s="11" t="s">
        <v>1884</v>
      </c>
      <c r="J51" s="11" t="s">
        <v>134</v>
      </c>
      <c r="K51" s="11" t="s">
        <v>1547</v>
      </c>
      <c r="L51" s="11" t="s">
        <v>47</v>
      </c>
      <c r="M51" s="11" t="s">
        <v>1885</v>
      </c>
      <c r="N51" s="11" t="s">
        <v>294</v>
      </c>
      <c r="O51" s="11"/>
      <c r="P51" s="11"/>
      <c r="Q51" s="11"/>
      <c r="R51" s="11" t="s">
        <v>1271</v>
      </c>
      <c r="S51" s="11" t="s">
        <v>1382</v>
      </c>
      <c r="T51" s="11" t="s">
        <v>1886</v>
      </c>
      <c r="U51" s="11" t="s">
        <v>1444</v>
      </c>
      <c r="V51" s="11" t="s">
        <v>1887</v>
      </c>
      <c r="W51" s="11" t="s">
        <v>1389</v>
      </c>
      <c r="X51" s="11" t="s">
        <v>1492</v>
      </c>
      <c r="Y51" s="11" t="s">
        <v>1547</v>
      </c>
      <c r="Z51" s="11" t="s">
        <v>1888</v>
      </c>
      <c r="AA51" s="11" t="s">
        <v>1889</v>
      </c>
      <c r="AB51" s="11" t="s">
        <v>1890</v>
      </c>
      <c r="AC51" s="11" t="s">
        <v>1271</v>
      </c>
      <c r="AD51" s="11">
        <v>5462238</v>
      </c>
      <c r="AE51" s="11" t="s">
        <v>1382</v>
      </c>
      <c r="AF51" s="11" t="s">
        <v>1887</v>
      </c>
      <c r="AG51" s="11" t="s">
        <v>1382</v>
      </c>
      <c r="AH51" s="11" t="s">
        <v>1891</v>
      </c>
      <c r="AI51" s="11" t="s">
        <v>1897</v>
      </c>
      <c r="AJ51" s="11" t="s">
        <v>1898</v>
      </c>
      <c r="AK51" s="11" t="s">
        <v>1396</v>
      </c>
      <c r="AL51" s="11" t="s">
        <v>134</v>
      </c>
      <c r="AM51" s="11">
        <v>6660.6</v>
      </c>
      <c r="AN51" s="11" t="s">
        <v>1450</v>
      </c>
      <c r="AO51" s="11" t="s">
        <v>134</v>
      </c>
      <c r="AP51" s="11" t="s">
        <v>1451</v>
      </c>
      <c r="AQ51" s="11" t="s">
        <v>1398</v>
      </c>
      <c r="AR51" s="11" t="s">
        <v>1652</v>
      </c>
      <c r="AS51" s="11" t="s">
        <v>1272</v>
      </c>
      <c r="AT51" s="11" t="s">
        <v>1899</v>
      </c>
      <c r="AU51" s="11" t="s">
        <v>54</v>
      </c>
      <c r="AV51" s="11"/>
      <c r="AW51" s="11" t="s">
        <v>1895</v>
      </c>
      <c r="AX51" s="11"/>
      <c r="AY51" s="11"/>
      <c r="AZ51" s="11"/>
      <c r="BA51" s="11"/>
      <c r="BB51" s="11">
        <v>80558403</v>
      </c>
      <c r="BC51" s="11" t="s">
        <v>1403</v>
      </c>
      <c r="BD51" s="11" t="s">
        <v>1432</v>
      </c>
      <c r="BE51" s="11" t="s">
        <v>1896</v>
      </c>
      <c r="BF51" s="11" t="s">
        <v>1501</v>
      </c>
      <c r="BG51" s="11"/>
      <c r="BH51" s="11" t="s">
        <v>1520</v>
      </c>
      <c r="BI51" s="11" t="s">
        <v>1407</v>
      </c>
      <c r="BJ51" s="11" t="s">
        <v>134</v>
      </c>
      <c r="BK51" s="11"/>
      <c r="BL51" s="11" t="s">
        <v>1577</v>
      </c>
      <c r="BM51" s="11"/>
      <c r="BN51" s="11" t="s">
        <v>1483</v>
      </c>
      <c r="BO51" s="11"/>
    </row>
    <row r="52" spans="2:67">
      <c r="B52" s="11">
        <v>41</v>
      </c>
      <c r="C52" s="11" t="s">
        <v>1374</v>
      </c>
      <c r="D52" s="11" t="s">
        <v>1375</v>
      </c>
      <c r="E52" s="11"/>
      <c r="F52" s="11" t="s">
        <v>1900</v>
      </c>
      <c r="G52" s="11"/>
      <c r="H52" s="11" t="s">
        <v>1901</v>
      </c>
      <c r="I52" s="11" t="s">
        <v>1902</v>
      </c>
      <c r="J52" s="11" t="s">
        <v>134</v>
      </c>
      <c r="K52" s="11" t="s">
        <v>1441</v>
      </c>
      <c r="L52" s="11" t="s">
        <v>94</v>
      </c>
      <c r="M52" s="11" t="s">
        <v>1465</v>
      </c>
      <c r="N52" s="11" t="s">
        <v>234</v>
      </c>
      <c r="O52" s="11"/>
      <c r="P52" s="11"/>
      <c r="Q52" s="11"/>
      <c r="R52" s="11" t="s">
        <v>1903</v>
      </c>
      <c r="S52" s="11" t="s">
        <v>94</v>
      </c>
      <c r="T52" s="11" t="s">
        <v>1904</v>
      </c>
      <c r="U52" s="11" t="s">
        <v>1444</v>
      </c>
      <c r="V52" s="11" t="s">
        <v>1905</v>
      </c>
      <c r="W52" s="11" t="s">
        <v>1389</v>
      </c>
      <c r="X52" s="11" t="s">
        <v>1390</v>
      </c>
      <c r="Y52" s="11" t="s">
        <v>1381</v>
      </c>
      <c r="Z52" s="11" t="s">
        <v>1906</v>
      </c>
      <c r="AA52" s="11" t="s">
        <v>1907</v>
      </c>
      <c r="AB52" s="11" t="s">
        <v>1908</v>
      </c>
      <c r="AC52" s="11" t="s">
        <v>1903</v>
      </c>
      <c r="AD52" s="11">
        <v>5461707</v>
      </c>
      <c r="AE52" s="11" t="s">
        <v>94</v>
      </c>
      <c r="AF52" s="11" t="s">
        <v>1909</v>
      </c>
      <c r="AG52" s="11" t="s">
        <v>94</v>
      </c>
      <c r="AH52" s="11" t="s">
        <v>1909</v>
      </c>
      <c r="AI52" s="11" t="s">
        <v>1910</v>
      </c>
      <c r="AJ52" s="11" t="s">
        <v>1405</v>
      </c>
      <c r="AK52" s="11" t="s">
        <v>1396</v>
      </c>
      <c r="AL52" s="11" t="s">
        <v>134</v>
      </c>
      <c r="AM52" s="11">
        <v>5680</v>
      </c>
      <c r="AN52" s="11" t="s">
        <v>1911</v>
      </c>
      <c r="AO52" s="11" t="s">
        <v>134</v>
      </c>
      <c r="AP52" s="11" t="s">
        <v>1451</v>
      </c>
      <c r="AQ52" s="11" t="s">
        <v>1398</v>
      </c>
      <c r="AR52" s="11" t="s">
        <v>1452</v>
      </c>
      <c r="AS52" s="11" t="s">
        <v>1912</v>
      </c>
      <c r="AT52" s="11" t="s">
        <v>1913</v>
      </c>
      <c r="AU52" s="11" t="s">
        <v>54</v>
      </c>
      <c r="AV52" s="11"/>
      <c r="AW52" s="11" t="s">
        <v>1914</v>
      </c>
      <c r="AX52" s="11"/>
      <c r="AY52" s="11"/>
      <c r="AZ52" s="11"/>
      <c r="BA52" s="11"/>
      <c r="BB52" s="11">
        <v>59702269</v>
      </c>
      <c r="BC52" s="11" t="s">
        <v>1403</v>
      </c>
      <c r="BD52" s="11" t="s">
        <v>1456</v>
      </c>
      <c r="BE52" s="11" t="s">
        <v>1405</v>
      </c>
      <c r="BF52" s="11" t="s">
        <v>134</v>
      </c>
      <c r="BG52" s="11"/>
      <c r="BH52" s="11" t="s">
        <v>1435</v>
      </c>
      <c r="BI52" s="11" t="s">
        <v>1407</v>
      </c>
      <c r="BJ52" s="11" t="s">
        <v>134</v>
      </c>
      <c r="BK52" s="11"/>
      <c r="BL52" s="11" t="s">
        <v>1408</v>
      </c>
      <c r="BM52" s="11"/>
      <c r="BN52" s="11" t="s">
        <v>1457</v>
      </c>
      <c r="BO52" s="11"/>
    </row>
    <row r="53" spans="2:67">
      <c r="B53" s="11">
        <v>42</v>
      </c>
      <c r="C53" s="11" t="s">
        <v>1374</v>
      </c>
      <c r="D53" s="11" t="s">
        <v>1375</v>
      </c>
      <c r="E53" s="11" t="s">
        <v>1488</v>
      </c>
      <c r="F53" s="11" t="s">
        <v>1915</v>
      </c>
      <c r="G53" s="11" t="s">
        <v>1916</v>
      </c>
      <c r="H53" s="11" t="s">
        <v>1917</v>
      </c>
      <c r="I53" s="11" t="s">
        <v>1918</v>
      </c>
      <c r="J53" s="11" t="s">
        <v>1919</v>
      </c>
      <c r="K53" s="11"/>
      <c r="L53" s="11" t="s">
        <v>1382</v>
      </c>
      <c r="M53" s="11" t="s">
        <v>1581</v>
      </c>
      <c r="N53" s="11" t="s">
        <v>153</v>
      </c>
      <c r="O53" s="11" t="s">
        <v>134</v>
      </c>
      <c r="P53" s="11"/>
      <c r="Q53" s="11"/>
      <c r="R53" s="11" t="s">
        <v>1920</v>
      </c>
      <c r="S53" s="11" t="s">
        <v>1382</v>
      </c>
      <c r="T53" s="11" t="s">
        <v>1921</v>
      </c>
      <c r="U53" s="11" t="s">
        <v>1387</v>
      </c>
      <c r="V53" s="11" t="s">
        <v>1922</v>
      </c>
      <c r="W53" s="11" t="s">
        <v>1389</v>
      </c>
      <c r="X53" s="11" t="s">
        <v>1563</v>
      </c>
      <c r="Y53" s="11" t="s">
        <v>1547</v>
      </c>
      <c r="Z53" s="11" t="s">
        <v>1923</v>
      </c>
      <c r="AA53" s="11" t="s">
        <v>1924</v>
      </c>
      <c r="AB53" s="11" t="s">
        <v>1925</v>
      </c>
      <c r="AC53" s="11" t="s">
        <v>1920</v>
      </c>
      <c r="AD53" s="11">
        <v>5460668</v>
      </c>
      <c r="AE53" s="11" t="s">
        <v>1382</v>
      </c>
      <c r="AF53" s="11" t="s">
        <v>1926</v>
      </c>
      <c r="AG53" s="11" t="s">
        <v>1382</v>
      </c>
      <c r="AH53" s="11" t="s">
        <v>1927</v>
      </c>
      <c r="AI53" s="11" t="s">
        <v>1928</v>
      </c>
      <c r="AJ53" s="11" t="s">
        <v>1929</v>
      </c>
      <c r="AK53" s="11" t="s">
        <v>1396</v>
      </c>
      <c r="AL53" s="11" t="s">
        <v>134</v>
      </c>
      <c r="AM53" s="11">
        <v>9724.1</v>
      </c>
      <c r="AN53" s="11"/>
      <c r="AO53" s="11" t="s">
        <v>134</v>
      </c>
      <c r="AP53" s="11" t="s">
        <v>1397</v>
      </c>
      <c r="AQ53" s="11" t="s">
        <v>1398</v>
      </c>
      <c r="AR53" s="11" t="s">
        <v>1671</v>
      </c>
      <c r="AS53" s="11" t="s">
        <v>1930</v>
      </c>
      <c r="AT53" s="11" t="s">
        <v>1931</v>
      </c>
      <c r="AU53" s="11" t="s">
        <v>54</v>
      </c>
      <c r="AV53" s="11"/>
      <c r="AW53" s="11" t="s">
        <v>1932</v>
      </c>
      <c r="AX53" s="11"/>
      <c r="AY53" s="11"/>
      <c r="AZ53" s="11"/>
      <c r="BA53" s="11"/>
      <c r="BB53" s="11">
        <v>80739300</v>
      </c>
      <c r="BC53" s="11" t="s">
        <v>1403</v>
      </c>
      <c r="BD53" s="11" t="s">
        <v>1432</v>
      </c>
      <c r="BE53" s="11" t="s">
        <v>1933</v>
      </c>
      <c r="BF53" s="11" t="s">
        <v>1934</v>
      </c>
      <c r="BG53" s="11" t="s">
        <v>1482</v>
      </c>
      <c r="BH53" s="11" t="s">
        <v>1502</v>
      </c>
      <c r="BI53" s="11" t="s">
        <v>1407</v>
      </c>
      <c r="BJ53" s="11" t="s">
        <v>134</v>
      </c>
      <c r="BK53" s="11"/>
      <c r="BL53" s="11" t="s">
        <v>1408</v>
      </c>
      <c r="BM53" s="11"/>
      <c r="BN53" s="11" t="s">
        <v>1457</v>
      </c>
      <c r="BO53" s="11" t="s">
        <v>1935</v>
      </c>
    </row>
    <row r="54" spans="2:67">
      <c r="B54" s="11">
        <v>43</v>
      </c>
      <c r="C54" s="11" t="s">
        <v>1374</v>
      </c>
      <c r="D54" s="11" t="s">
        <v>1375</v>
      </c>
      <c r="E54" s="11" t="s">
        <v>1488</v>
      </c>
      <c r="F54" s="11" t="s">
        <v>1915</v>
      </c>
      <c r="G54" s="11" t="s">
        <v>1916</v>
      </c>
      <c r="H54" s="11" t="s">
        <v>1917</v>
      </c>
      <c r="I54" s="11" t="s">
        <v>1918</v>
      </c>
      <c r="J54" s="11" t="s">
        <v>1919</v>
      </c>
      <c r="K54" s="11"/>
      <c r="L54" s="11" t="s">
        <v>1382</v>
      </c>
      <c r="M54" s="11" t="s">
        <v>1581</v>
      </c>
      <c r="N54" s="11" t="s">
        <v>153</v>
      </c>
      <c r="O54" s="11" t="s">
        <v>134</v>
      </c>
      <c r="P54" s="11"/>
      <c r="Q54" s="11"/>
      <c r="R54" s="11" t="s">
        <v>1920</v>
      </c>
      <c r="S54" s="11" t="s">
        <v>1382</v>
      </c>
      <c r="T54" s="11" t="s">
        <v>1921</v>
      </c>
      <c r="U54" s="11" t="s">
        <v>1387</v>
      </c>
      <c r="V54" s="11" t="s">
        <v>1922</v>
      </c>
      <c r="W54" s="11" t="s">
        <v>1389</v>
      </c>
      <c r="X54" s="11" t="s">
        <v>1563</v>
      </c>
      <c r="Y54" s="11" t="s">
        <v>1547</v>
      </c>
      <c r="Z54" s="11" t="s">
        <v>1923</v>
      </c>
      <c r="AA54" s="11" t="s">
        <v>1924</v>
      </c>
      <c r="AB54" s="11" t="s">
        <v>1925</v>
      </c>
      <c r="AC54" s="11" t="s">
        <v>1920</v>
      </c>
      <c r="AD54" s="11">
        <v>5460668</v>
      </c>
      <c r="AE54" s="11" t="s">
        <v>1382</v>
      </c>
      <c r="AF54" s="11" t="s">
        <v>1926</v>
      </c>
      <c r="AG54" s="11" t="s">
        <v>1382</v>
      </c>
      <c r="AH54" s="11" t="s">
        <v>1927</v>
      </c>
      <c r="AI54" s="11" t="s">
        <v>1936</v>
      </c>
      <c r="AJ54" s="11" t="s">
        <v>1937</v>
      </c>
      <c r="AK54" s="11" t="s">
        <v>1396</v>
      </c>
      <c r="AL54" s="11" t="s">
        <v>134</v>
      </c>
      <c r="AM54" s="11">
        <v>6864.8</v>
      </c>
      <c r="AN54" s="11"/>
      <c r="AO54" s="11" t="s">
        <v>134</v>
      </c>
      <c r="AP54" s="11" t="s">
        <v>1397</v>
      </c>
      <c r="AQ54" s="11" t="s">
        <v>1398</v>
      </c>
      <c r="AR54" s="11" t="s">
        <v>1671</v>
      </c>
      <c r="AS54" s="11" t="s">
        <v>1930</v>
      </c>
      <c r="AT54" s="11" t="s">
        <v>1938</v>
      </c>
      <c r="AU54" s="11" t="s">
        <v>54</v>
      </c>
      <c r="AV54" s="11"/>
      <c r="AW54" s="11" t="s">
        <v>1932</v>
      </c>
      <c r="AX54" s="11"/>
      <c r="AY54" s="11"/>
      <c r="AZ54" s="11"/>
      <c r="BA54" s="11"/>
      <c r="BB54" s="11">
        <v>80739300</v>
      </c>
      <c r="BC54" s="11" t="s">
        <v>1403</v>
      </c>
      <c r="BD54" s="11" t="s">
        <v>1432</v>
      </c>
      <c r="BE54" s="11" t="s">
        <v>1933</v>
      </c>
      <c r="BF54" s="11" t="s">
        <v>1934</v>
      </c>
      <c r="BG54" s="11" t="s">
        <v>1482</v>
      </c>
      <c r="BH54" s="11" t="s">
        <v>1502</v>
      </c>
      <c r="BI54" s="11" t="s">
        <v>1407</v>
      </c>
      <c r="BJ54" s="11" t="s">
        <v>134</v>
      </c>
      <c r="BK54" s="11"/>
      <c r="BL54" s="11" t="s">
        <v>1408</v>
      </c>
      <c r="BM54" s="11"/>
      <c r="BN54" s="11" t="s">
        <v>1457</v>
      </c>
      <c r="BO54" s="11" t="s">
        <v>1935</v>
      </c>
    </row>
    <row r="55" spans="2:67">
      <c r="B55" s="11">
        <v>44</v>
      </c>
      <c r="C55" s="11" t="s">
        <v>1374</v>
      </c>
      <c r="D55" s="11" t="s">
        <v>1375</v>
      </c>
      <c r="E55" s="11" t="s">
        <v>1488</v>
      </c>
      <c r="F55" s="11" t="s">
        <v>1915</v>
      </c>
      <c r="G55" s="11" t="s">
        <v>1916</v>
      </c>
      <c r="H55" s="11" t="s">
        <v>1917</v>
      </c>
      <c r="I55" s="11" t="s">
        <v>1918</v>
      </c>
      <c r="J55" s="11" t="s">
        <v>1919</v>
      </c>
      <c r="K55" s="11"/>
      <c r="L55" s="11" t="s">
        <v>1382</v>
      </c>
      <c r="M55" s="11" t="s">
        <v>1581</v>
      </c>
      <c r="N55" s="11" t="s">
        <v>153</v>
      </c>
      <c r="O55" s="11" t="s">
        <v>134</v>
      </c>
      <c r="P55" s="11"/>
      <c r="Q55" s="11"/>
      <c r="R55" s="11" t="s">
        <v>1920</v>
      </c>
      <c r="S55" s="11" t="s">
        <v>1382</v>
      </c>
      <c r="T55" s="11" t="s">
        <v>1921</v>
      </c>
      <c r="U55" s="11" t="s">
        <v>1387</v>
      </c>
      <c r="V55" s="11" t="s">
        <v>1922</v>
      </c>
      <c r="W55" s="11" t="s">
        <v>1389</v>
      </c>
      <c r="X55" s="11" t="s">
        <v>1563</v>
      </c>
      <c r="Y55" s="11" t="s">
        <v>1547</v>
      </c>
      <c r="Z55" s="11" t="s">
        <v>1923</v>
      </c>
      <c r="AA55" s="11" t="s">
        <v>1924</v>
      </c>
      <c r="AB55" s="11" t="s">
        <v>1925</v>
      </c>
      <c r="AC55" s="11" t="s">
        <v>1920</v>
      </c>
      <c r="AD55" s="11">
        <v>5460668</v>
      </c>
      <c r="AE55" s="11" t="s">
        <v>1382</v>
      </c>
      <c r="AF55" s="11" t="s">
        <v>1926</v>
      </c>
      <c r="AG55" s="11" t="s">
        <v>1382</v>
      </c>
      <c r="AH55" s="11" t="s">
        <v>1927</v>
      </c>
      <c r="AI55" s="11" t="s">
        <v>1939</v>
      </c>
      <c r="AJ55" s="11" t="s">
        <v>1940</v>
      </c>
      <c r="AK55" s="11" t="s">
        <v>1396</v>
      </c>
      <c r="AL55" s="11" t="s">
        <v>134</v>
      </c>
      <c r="AM55" s="11">
        <v>25000</v>
      </c>
      <c r="AN55" s="11"/>
      <c r="AO55" s="11" t="s">
        <v>134</v>
      </c>
      <c r="AP55" s="11" t="s">
        <v>1397</v>
      </c>
      <c r="AQ55" s="11" t="s">
        <v>1398</v>
      </c>
      <c r="AR55" s="11" t="s">
        <v>1671</v>
      </c>
      <c r="AS55" s="11" t="s">
        <v>1930</v>
      </c>
      <c r="AT55" s="11" t="s">
        <v>1941</v>
      </c>
      <c r="AU55" s="11" t="s">
        <v>54</v>
      </c>
      <c r="AV55" s="11"/>
      <c r="AW55" s="11" t="s">
        <v>1932</v>
      </c>
      <c r="AX55" s="11"/>
      <c r="AY55" s="11"/>
      <c r="AZ55" s="11"/>
      <c r="BA55" s="11"/>
      <c r="BB55" s="11">
        <v>80739300</v>
      </c>
      <c r="BC55" s="11" t="s">
        <v>1403</v>
      </c>
      <c r="BD55" s="11" t="s">
        <v>1432</v>
      </c>
      <c r="BE55" s="11" t="s">
        <v>1933</v>
      </c>
      <c r="BF55" s="11" t="s">
        <v>1934</v>
      </c>
      <c r="BG55" s="11" t="s">
        <v>1482</v>
      </c>
      <c r="BH55" s="11" t="s">
        <v>1502</v>
      </c>
      <c r="BI55" s="11" t="s">
        <v>1407</v>
      </c>
      <c r="BJ55" s="11" t="s">
        <v>134</v>
      </c>
      <c r="BK55" s="11"/>
      <c r="BL55" s="11" t="s">
        <v>1408</v>
      </c>
      <c r="BM55" s="11"/>
      <c r="BN55" s="11" t="s">
        <v>1457</v>
      </c>
      <c r="BO55" s="11" t="s">
        <v>1935</v>
      </c>
    </row>
    <row r="56" spans="2:67">
      <c r="B56" s="11">
        <v>45</v>
      </c>
      <c r="C56" s="11" t="s">
        <v>1374</v>
      </c>
      <c r="D56" s="11" t="s">
        <v>1375</v>
      </c>
      <c r="E56" s="11" t="s">
        <v>1488</v>
      </c>
      <c r="F56" s="11" t="s">
        <v>1915</v>
      </c>
      <c r="G56" s="11" t="s">
        <v>1916</v>
      </c>
      <c r="H56" s="11" t="s">
        <v>1917</v>
      </c>
      <c r="I56" s="11" t="s">
        <v>1918</v>
      </c>
      <c r="J56" s="11" t="s">
        <v>1919</v>
      </c>
      <c r="K56" s="11"/>
      <c r="L56" s="11" t="s">
        <v>1382</v>
      </c>
      <c r="M56" s="11" t="s">
        <v>1581</v>
      </c>
      <c r="N56" s="11" t="s">
        <v>153</v>
      </c>
      <c r="O56" s="11" t="s">
        <v>134</v>
      </c>
      <c r="P56" s="11"/>
      <c r="Q56" s="11"/>
      <c r="R56" s="11" t="s">
        <v>1920</v>
      </c>
      <c r="S56" s="11" t="s">
        <v>1382</v>
      </c>
      <c r="T56" s="11" t="s">
        <v>1921</v>
      </c>
      <c r="U56" s="11" t="s">
        <v>1387</v>
      </c>
      <c r="V56" s="11" t="s">
        <v>1922</v>
      </c>
      <c r="W56" s="11" t="s">
        <v>1389</v>
      </c>
      <c r="X56" s="11" t="s">
        <v>1563</v>
      </c>
      <c r="Y56" s="11" t="s">
        <v>1547</v>
      </c>
      <c r="Z56" s="11" t="s">
        <v>1923</v>
      </c>
      <c r="AA56" s="11" t="s">
        <v>1924</v>
      </c>
      <c r="AB56" s="11" t="s">
        <v>1925</v>
      </c>
      <c r="AC56" s="11" t="s">
        <v>1920</v>
      </c>
      <c r="AD56" s="11">
        <v>5460668</v>
      </c>
      <c r="AE56" s="11" t="s">
        <v>1382</v>
      </c>
      <c r="AF56" s="11" t="s">
        <v>1926</v>
      </c>
      <c r="AG56" s="11" t="s">
        <v>1382</v>
      </c>
      <c r="AH56" s="11" t="s">
        <v>1927</v>
      </c>
      <c r="AI56" s="11" t="s">
        <v>1942</v>
      </c>
      <c r="AJ56" s="11" t="s">
        <v>1943</v>
      </c>
      <c r="AK56" s="11" t="s">
        <v>1396</v>
      </c>
      <c r="AL56" s="11" t="s">
        <v>134</v>
      </c>
      <c r="AM56" s="11">
        <v>24800</v>
      </c>
      <c r="AN56" s="11"/>
      <c r="AO56" s="11" t="s">
        <v>134</v>
      </c>
      <c r="AP56" s="11" t="s">
        <v>1397</v>
      </c>
      <c r="AQ56" s="11" t="s">
        <v>1398</v>
      </c>
      <c r="AR56" s="11" t="s">
        <v>1671</v>
      </c>
      <c r="AS56" s="11" t="s">
        <v>1930</v>
      </c>
      <c r="AT56" s="11" t="s">
        <v>1944</v>
      </c>
      <c r="AU56" s="11" t="s">
        <v>54</v>
      </c>
      <c r="AV56" s="11"/>
      <c r="AW56" s="11" t="s">
        <v>1932</v>
      </c>
      <c r="AX56" s="11"/>
      <c r="AY56" s="11"/>
      <c r="AZ56" s="11"/>
      <c r="BA56" s="11"/>
      <c r="BB56" s="11">
        <v>80739300</v>
      </c>
      <c r="BC56" s="11" t="s">
        <v>1403</v>
      </c>
      <c r="BD56" s="11" t="s">
        <v>1432</v>
      </c>
      <c r="BE56" s="11" t="s">
        <v>1933</v>
      </c>
      <c r="BF56" s="11" t="s">
        <v>1934</v>
      </c>
      <c r="BG56" s="11" t="s">
        <v>1482</v>
      </c>
      <c r="BH56" s="11" t="s">
        <v>1502</v>
      </c>
      <c r="BI56" s="11" t="s">
        <v>1407</v>
      </c>
      <c r="BJ56" s="11" t="s">
        <v>134</v>
      </c>
      <c r="BK56" s="11"/>
      <c r="BL56" s="11" t="s">
        <v>1408</v>
      </c>
      <c r="BM56" s="11"/>
      <c r="BN56" s="11" t="s">
        <v>1457</v>
      </c>
      <c r="BO56" s="11" t="s">
        <v>1935</v>
      </c>
    </row>
    <row r="57" spans="2:67">
      <c r="B57" s="11">
        <v>46</v>
      </c>
      <c r="C57" s="11" t="s">
        <v>1374</v>
      </c>
      <c r="D57" s="11" t="s">
        <v>1375</v>
      </c>
      <c r="E57" s="11" t="s">
        <v>1488</v>
      </c>
      <c r="F57" s="11" t="s">
        <v>1915</v>
      </c>
      <c r="G57" s="11" t="s">
        <v>1916</v>
      </c>
      <c r="H57" s="11" t="s">
        <v>1917</v>
      </c>
      <c r="I57" s="11" t="s">
        <v>1918</v>
      </c>
      <c r="J57" s="11" t="s">
        <v>1919</v>
      </c>
      <c r="K57" s="11"/>
      <c r="L57" s="11" t="s">
        <v>1382</v>
      </c>
      <c r="M57" s="11" t="s">
        <v>1581</v>
      </c>
      <c r="N57" s="11" t="s">
        <v>153</v>
      </c>
      <c r="O57" s="11" t="s">
        <v>134</v>
      </c>
      <c r="P57" s="11"/>
      <c r="Q57" s="11"/>
      <c r="R57" s="11" t="s">
        <v>1920</v>
      </c>
      <c r="S57" s="11" t="s">
        <v>1382</v>
      </c>
      <c r="T57" s="11" t="s">
        <v>1921</v>
      </c>
      <c r="U57" s="11" t="s">
        <v>1387</v>
      </c>
      <c r="V57" s="11" t="s">
        <v>1922</v>
      </c>
      <c r="W57" s="11" t="s">
        <v>1389</v>
      </c>
      <c r="X57" s="11" t="s">
        <v>1563</v>
      </c>
      <c r="Y57" s="11" t="s">
        <v>1547</v>
      </c>
      <c r="Z57" s="11" t="s">
        <v>1923</v>
      </c>
      <c r="AA57" s="11" t="s">
        <v>1924</v>
      </c>
      <c r="AB57" s="11" t="s">
        <v>1925</v>
      </c>
      <c r="AC57" s="11" t="s">
        <v>1920</v>
      </c>
      <c r="AD57" s="11">
        <v>5460668</v>
      </c>
      <c r="AE57" s="11" t="s">
        <v>1382</v>
      </c>
      <c r="AF57" s="11" t="s">
        <v>1926</v>
      </c>
      <c r="AG57" s="11" t="s">
        <v>1382</v>
      </c>
      <c r="AH57" s="11" t="s">
        <v>1927</v>
      </c>
      <c r="AI57" s="11" t="s">
        <v>1945</v>
      </c>
      <c r="AJ57" s="11" t="s">
        <v>1946</v>
      </c>
      <c r="AK57" s="11" t="s">
        <v>1396</v>
      </c>
      <c r="AL57" s="11" t="s">
        <v>134</v>
      </c>
      <c r="AM57" s="11">
        <v>14825.9</v>
      </c>
      <c r="AN57" s="11"/>
      <c r="AO57" s="11" t="s">
        <v>134</v>
      </c>
      <c r="AP57" s="11" t="s">
        <v>1397</v>
      </c>
      <c r="AQ57" s="11" t="s">
        <v>1398</v>
      </c>
      <c r="AR57" s="11" t="s">
        <v>1671</v>
      </c>
      <c r="AS57" s="11" t="s">
        <v>1930</v>
      </c>
      <c r="AT57" s="11" t="s">
        <v>1947</v>
      </c>
      <c r="AU57" s="11" t="s">
        <v>54</v>
      </c>
      <c r="AV57" s="11"/>
      <c r="AW57" s="11" t="s">
        <v>1932</v>
      </c>
      <c r="AX57" s="11"/>
      <c r="AY57" s="11"/>
      <c r="AZ57" s="11"/>
      <c r="BA57" s="11"/>
      <c r="BB57" s="11">
        <v>80739300</v>
      </c>
      <c r="BC57" s="11" t="s">
        <v>1403</v>
      </c>
      <c r="BD57" s="11" t="s">
        <v>1432</v>
      </c>
      <c r="BE57" s="11" t="s">
        <v>1933</v>
      </c>
      <c r="BF57" s="11" t="s">
        <v>1934</v>
      </c>
      <c r="BG57" s="11" t="s">
        <v>1482</v>
      </c>
      <c r="BH57" s="11" t="s">
        <v>1502</v>
      </c>
      <c r="BI57" s="11" t="s">
        <v>1407</v>
      </c>
      <c r="BJ57" s="11" t="s">
        <v>134</v>
      </c>
      <c r="BK57" s="11"/>
      <c r="BL57" s="11" t="s">
        <v>1408</v>
      </c>
      <c r="BM57" s="11"/>
      <c r="BN57" s="11" t="s">
        <v>1457</v>
      </c>
      <c r="BO57" s="11" t="s">
        <v>1935</v>
      </c>
    </row>
    <row r="58" spans="2:67">
      <c r="B58" s="11">
        <v>47</v>
      </c>
      <c r="C58" s="11" t="s">
        <v>1374</v>
      </c>
      <c r="D58" s="11" t="s">
        <v>1375</v>
      </c>
      <c r="E58" s="11" t="s">
        <v>1488</v>
      </c>
      <c r="F58" s="11" t="s">
        <v>1915</v>
      </c>
      <c r="G58" s="11" t="s">
        <v>1916</v>
      </c>
      <c r="H58" s="11" t="s">
        <v>1917</v>
      </c>
      <c r="I58" s="11" t="s">
        <v>1918</v>
      </c>
      <c r="J58" s="11" t="s">
        <v>1919</v>
      </c>
      <c r="K58" s="11"/>
      <c r="L58" s="11" t="s">
        <v>1382</v>
      </c>
      <c r="M58" s="11" t="s">
        <v>1581</v>
      </c>
      <c r="N58" s="11" t="s">
        <v>153</v>
      </c>
      <c r="O58" s="11" t="s">
        <v>134</v>
      </c>
      <c r="P58" s="11"/>
      <c r="Q58" s="11"/>
      <c r="R58" s="11" t="s">
        <v>1920</v>
      </c>
      <c r="S58" s="11" t="s">
        <v>1382</v>
      </c>
      <c r="T58" s="11" t="s">
        <v>1921</v>
      </c>
      <c r="U58" s="11" t="s">
        <v>1387</v>
      </c>
      <c r="V58" s="11" t="s">
        <v>1922</v>
      </c>
      <c r="W58" s="11" t="s">
        <v>1389</v>
      </c>
      <c r="X58" s="11" t="s">
        <v>1563</v>
      </c>
      <c r="Y58" s="11" t="s">
        <v>1547</v>
      </c>
      <c r="Z58" s="11" t="s">
        <v>1923</v>
      </c>
      <c r="AA58" s="11" t="s">
        <v>1924</v>
      </c>
      <c r="AB58" s="11" t="s">
        <v>1925</v>
      </c>
      <c r="AC58" s="11" t="s">
        <v>1920</v>
      </c>
      <c r="AD58" s="11">
        <v>5460668</v>
      </c>
      <c r="AE58" s="11" t="s">
        <v>1382</v>
      </c>
      <c r="AF58" s="11" t="s">
        <v>1926</v>
      </c>
      <c r="AG58" s="11" t="s">
        <v>1382</v>
      </c>
      <c r="AH58" s="11" t="s">
        <v>1927</v>
      </c>
      <c r="AI58" s="11" t="s">
        <v>1948</v>
      </c>
      <c r="AJ58" s="11" t="s">
        <v>1949</v>
      </c>
      <c r="AK58" s="11" t="s">
        <v>1396</v>
      </c>
      <c r="AL58" s="11" t="s">
        <v>134</v>
      </c>
      <c r="AM58" s="11">
        <v>9685.2000000000007</v>
      </c>
      <c r="AN58" s="11"/>
      <c r="AO58" s="11" t="s">
        <v>134</v>
      </c>
      <c r="AP58" s="11" t="s">
        <v>1397</v>
      </c>
      <c r="AQ58" s="11" t="s">
        <v>1398</v>
      </c>
      <c r="AR58" s="11" t="s">
        <v>1671</v>
      </c>
      <c r="AS58" s="11" t="s">
        <v>1930</v>
      </c>
      <c r="AT58" s="11" t="s">
        <v>1950</v>
      </c>
      <c r="AU58" s="11" t="s">
        <v>54</v>
      </c>
      <c r="AV58" s="11"/>
      <c r="AW58" s="11" t="s">
        <v>1932</v>
      </c>
      <c r="AX58" s="11"/>
      <c r="AY58" s="11"/>
      <c r="AZ58" s="11"/>
      <c r="BA58" s="11"/>
      <c r="BB58" s="11">
        <v>80739300</v>
      </c>
      <c r="BC58" s="11" t="s">
        <v>1403</v>
      </c>
      <c r="BD58" s="11" t="s">
        <v>1432</v>
      </c>
      <c r="BE58" s="11" t="s">
        <v>1933</v>
      </c>
      <c r="BF58" s="11" t="s">
        <v>1934</v>
      </c>
      <c r="BG58" s="11" t="s">
        <v>1482</v>
      </c>
      <c r="BH58" s="11" t="s">
        <v>1502</v>
      </c>
      <c r="BI58" s="11" t="s">
        <v>1407</v>
      </c>
      <c r="BJ58" s="11" t="s">
        <v>134</v>
      </c>
      <c r="BK58" s="11"/>
      <c r="BL58" s="11" t="s">
        <v>1408</v>
      </c>
      <c r="BM58" s="11"/>
      <c r="BN58" s="11" t="s">
        <v>1457</v>
      </c>
      <c r="BO58" s="11" t="s">
        <v>1935</v>
      </c>
    </row>
    <row r="59" spans="2:67">
      <c r="B59" s="11">
        <v>48</v>
      </c>
      <c r="C59" s="11" t="s">
        <v>1374</v>
      </c>
      <c r="D59" s="11" t="s">
        <v>1375</v>
      </c>
      <c r="E59" s="11" t="s">
        <v>1488</v>
      </c>
      <c r="F59" s="11" t="s">
        <v>1915</v>
      </c>
      <c r="G59" s="11" t="s">
        <v>1916</v>
      </c>
      <c r="H59" s="11" t="s">
        <v>1917</v>
      </c>
      <c r="I59" s="11" t="s">
        <v>1918</v>
      </c>
      <c r="J59" s="11" t="s">
        <v>1919</v>
      </c>
      <c r="K59" s="11"/>
      <c r="L59" s="11" t="s">
        <v>1382</v>
      </c>
      <c r="M59" s="11" t="s">
        <v>1581</v>
      </c>
      <c r="N59" s="11" t="s">
        <v>153</v>
      </c>
      <c r="O59" s="11" t="s">
        <v>134</v>
      </c>
      <c r="P59" s="11"/>
      <c r="Q59" s="11"/>
      <c r="R59" s="11" t="s">
        <v>1920</v>
      </c>
      <c r="S59" s="11" t="s">
        <v>1382</v>
      </c>
      <c r="T59" s="11" t="s">
        <v>1921</v>
      </c>
      <c r="U59" s="11" t="s">
        <v>1387</v>
      </c>
      <c r="V59" s="11" t="s">
        <v>1922</v>
      </c>
      <c r="W59" s="11" t="s">
        <v>1389</v>
      </c>
      <c r="X59" s="11" t="s">
        <v>1563</v>
      </c>
      <c r="Y59" s="11" t="s">
        <v>1547</v>
      </c>
      <c r="Z59" s="11" t="s">
        <v>1923</v>
      </c>
      <c r="AA59" s="11" t="s">
        <v>1924</v>
      </c>
      <c r="AB59" s="11" t="s">
        <v>1925</v>
      </c>
      <c r="AC59" s="11" t="s">
        <v>1920</v>
      </c>
      <c r="AD59" s="11">
        <v>5460668</v>
      </c>
      <c r="AE59" s="11" t="s">
        <v>1382</v>
      </c>
      <c r="AF59" s="11" t="s">
        <v>1926</v>
      </c>
      <c r="AG59" s="11" t="s">
        <v>1382</v>
      </c>
      <c r="AH59" s="11" t="s">
        <v>1927</v>
      </c>
      <c r="AI59" s="11" t="s">
        <v>1951</v>
      </c>
      <c r="AJ59" s="11" t="s">
        <v>1952</v>
      </c>
      <c r="AK59" s="11" t="s">
        <v>1396</v>
      </c>
      <c r="AL59" s="11" t="s">
        <v>134</v>
      </c>
      <c r="AM59" s="11">
        <v>11300</v>
      </c>
      <c r="AN59" s="11"/>
      <c r="AO59" s="11" t="s">
        <v>134</v>
      </c>
      <c r="AP59" s="11" t="s">
        <v>1397</v>
      </c>
      <c r="AQ59" s="11" t="s">
        <v>1398</v>
      </c>
      <c r="AR59" s="11" t="s">
        <v>1671</v>
      </c>
      <c r="AS59" s="11" t="s">
        <v>1930</v>
      </c>
      <c r="AT59" s="11"/>
      <c r="AU59" s="11" t="s">
        <v>54</v>
      </c>
      <c r="AV59" s="11"/>
      <c r="AW59" s="11" t="s">
        <v>1932</v>
      </c>
      <c r="AX59" s="11"/>
      <c r="AY59" s="11"/>
      <c r="AZ59" s="11"/>
      <c r="BA59" s="11"/>
      <c r="BB59" s="11">
        <v>80739300</v>
      </c>
      <c r="BC59" s="11" t="s">
        <v>1403</v>
      </c>
      <c r="BD59" s="11" t="s">
        <v>1432</v>
      </c>
      <c r="BE59" s="11" t="s">
        <v>1933</v>
      </c>
      <c r="BF59" s="11" t="s">
        <v>1934</v>
      </c>
      <c r="BG59" s="11" t="s">
        <v>1482</v>
      </c>
      <c r="BH59" s="11" t="s">
        <v>1502</v>
      </c>
      <c r="BI59" s="11" t="s">
        <v>1407</v>
      </c>
      <c r="BJ59" s="11" t="s">
        <v>134</v>
      </c>
      <c r="BK59" s="11"/>
      <c r="BL59" s="11"/>
      <c r="BM59" s="11"/>
      <c r="BN59" s="11" t="s">
        <v>1457</v>
      </c>
      <c r="BO59" s="11" t="s">
        <v>1935</v>
      </c>
    </row>
    <row r="60" spans="2:67">
      <c r="B60" s="11">
        <v>49</v>
      </c>
      <c r="C60" s="11" t="s">
        <v>1374</v>
      </c>
      <c r="D60" s="11" t="s">
        <v>1375</v>
      </c>
      <c r="E60" s="11" t="s">
        <v>1953</v>
      </c>
      <c r="F60" s="11" t="s">
        <v>1954</v>
      </c>
      <c r="G60" s="11" t="s">
        <v>1625</v>
      </c>
      <c r="H60" s="11" t="s">
        <v>1955</v>
      </c>
      <c r="I60" s="11" t="s">
        <v>1956</v>
      </c>
      <c r="J60" s="11" t="s">
        <v>134</v>
      </c>
      <c r="K60" s="11" t="s">
        <v>1441</v>
      </c>
      <c r="L60" s="11" t="s">
        <v>1382</v>
      </c>
      <c r="M60" s="11" t="s">
        <v>1383</v>
      </c>
      <c r="N60" s="11" t="s">
        <v>1957</v>
      </c>
      <c r="O60" s="11" t="s">
        <v>1958</v>
      </c>
      <c r="P60" s="11"/>
      <c r="Q60" s="11"/>
      <c r="R60" s="11" t="s">
        <v>1959</v>
      </c>
      <c r="S60" s="11" t="s">
        <v>1382</v>
      </c>
      <c r="T60" s="11" t="s">
        <v>1960</v>
      </c>
      <c r="U60" s="11" t="s">
        <v>1387</v>
      </c>
      <c r="V60" s="11" t="s">
        <v>1961</v>
      </c>
      <c r="W60" s="11" t="s">
        <v>1389</v>
      </c>
      <c r="X60" s="11" t="s">
        <v>1962</v>
      </c>
      <c r="Y60" s="11" t="s">
        <v>1441</v>
      </c>
      <c r="Z60" s="11" t="s">
        <v>1963</v>
      </c>
      <c r="AA60" s="11" t="s">
        <v>1964</v>
      </c>
      <c r="AB60" s="11" t="s">
        <v>1434</v>
      </c>
      <c r="AC60" s="11" t="s">
        <v>1959</v>
      </c>
      <c r="AD60" s="11">
        <v>5433340</v>
      </c>
      <c r="AE60" s="11" t="s">
        <v>1382</v>
      </c>
      <c r="AF60" s="11" t="s">
        <v>1965</v>
      </c>
      <c r="AG60" s="11" t="s">
        <v>1382</v>
      </c>
      <c r="AH60" s="11" t="s">
        <v>1891</v>
      </c>
      <c r="AI60" s="11" t="s">
        <v>1966</v>
      </c>
      <c r="AJ60" s="11" t="s">
        <v>1967</v>
      </c>
      <c r="AK60" s="11" t="s">
        <v>1396</v>
      </c>
      <c r="AL60" s="11" t="s">
        <v>134</v>
      </c>
      <c r="AM60" s="11">
        <v>15000</v>
      </c>
      <c r="AN60" s="11"/>
      <c r="AO60" s="11" t="s">
        <v>1958</v>
      </c>
      <c r="AP60" s="11" t="s">
        <v>1397</v>
      </c>
      <c r="AQ60" s="11" t="s">
        <v>1398</v>
      </c>
      <c r="AR60" s="11" t="s">
        <v>1452</v>
      </c>
      <c r="AS60" s="11" t="s">
        <v>1968</v>
      </c>
      <c r="AT60" s="11" t="s">
        <v>1969</v>
      </c>
      <c r="AU60" s="11" t="s">
        <v>54</v>
      </c>
      <c r="AV60" s="11"/>
      <c r="AW60" s="11" t="s">
        <v>1970</v>
      </c>
      <c r="AX60" s="11"/>
      <c r="AY60" s="11"/>
      <c r="AZ60" s="11"/>
      <c r="BA60" s="11"/>
      <c r="BB60" s="11">
        <v>70439422</v>
      </c>
      <c r="BC60" s="11" t="s">
        <v>1403</v>
      </c>
      <c r="BD60" s="11" t="s">
        <v>1456</v>
      </c>
      <c r="BE60" s="11" t="s">
        <v>1971</v>
      </c>
      <c r="BF60" s="11" t="s">
        <v>134</v>
      </c>
      <c r="BG60" s="11"/>
      <c r="BH60" s="11" t="s">
        <v>1502</v>
      </c>
      <c r="BI60" s="11" t="s">
        <v>1407</v>
      </c>
      <c r="BJ60" s="11" t="s">
        <v>134</v>
      </c>
      <c r="BK60" s="11"/>
      <c r="BL60" s="11" t="s">
        <v>1408</v>
      </c>
      <c r="BM60" s="11"/>
      <c r="BN60" s="11" t="s">
        <v>1483</v>
      </c>
      <c r="BO60" s="11" t="s">
        <v>1410</v>
      </c>
    </row>
    <row r="61" spans="2:67">
      <c r="B61" s="11">
        <v>50</v>
      </c>
      <c r="C61" s="11" t="s">
        <v>1374</v>
      </c>
      <c r="D61" s="11" t="s">
        <v>1375</v>
      </c>
      <c r="E61" s="11" t="s">
        <v>1972</v>
      </c>
      <c r="F61" s="11" t="s">
        <v>1973</v>
      </c>
      <c r="G61" s="11" t="s">
        <v>1974</v>
      </c>
      <c r="H61" s="11" t="s">
        <v>1975</v>
      </c>
      <c r="I61" s="11" t="s">
        <v>134</v>
      </c>
      <c r="J61" s="11" t="s">
        <v>134</v>
      </c>
      <c r="K61" s="11" t="s">
        <v>1976</v>
      </c>
      <c r="L61" s="11" t="s">
        <v>94</v>
      </c>
      <c r="M61" s="11" t="s">
        <v>1383</v>
      </c>
      <c r="N61" s="11" t="s">
        <v>1957</v>
      </c>
      <c r="O61" s="11" t="s">
        <v>1977</v>
      </c>
      <c r="P61" s="11"/>
      <c r="Q61" s="11"/>
      <c r="R61" s="11" t="s">
        <v>1978</v>
      </c>
      <c r="S61" s="11" t="s">
        <v>94</v>
      </c>
      <c r="T61" s="11" t="s">
        <v>1979</v>
      </c>
      <c r="U61" s="11" t="s">
        <v>1387</v>
      </c>
      <c r="V61" s="11" t="s">
        <v>1980</v>
      </c>
      <c r="W61" s="11" t="s">
        <v>1389</v>
      </c>
      <c r="X61" s="11" t="s">
        <v>1981</v>
      </c>
      <c r="Y61" s="11" t="s">
        <v>1976</v>
      </c>
      <c r="Z61" s="11" t="s">
        <v>1982</v>
      </c>
      <c r="AA61" s="11" t="s">
        <v>1983</v>
      </c>
      <c r="AB61" s="11" t="s">
        <v>1983</v>
      </c>
      <c r="AC61" s="11" t="s">
        <v>1978</v>
      </c>
      <c r="AD61" s="11">
        <v>5433321</v>
      </c>
      <c r="AE61" s="11" t="s">
        <v>94</v>
      </c>
      <c r="AF61" s="11" t="s">
        <v>1984</v>
      </c>
      <c r="AG61" s="11" t="s">
        <v>94</v>
      </c>
      <c r="AH61" s="11" t="s">
        <v>1984</v>
      </c>
      <c r="AI61" s="11" t="s">
        <v>1966</v>
      </c>
      <c r="AJ61" s="11" t="s">
        <v>1967</v>
      </c>
      <c r="AK61" s="11" t="s">
        <v>1396</v>
      </c>
      <c r="AL61" s="11" t="s">
        <v>134</v>
      </c>
      <c r="AM61" s="11">
        <v>15000</v>
      </c>
      <c r="AN61" s="11"/>
      <c r="AO61" s="11" t="s">
        <v>1977</v>
      </c>
      <c r="AP61" s="11" t="s">
        <v>1397</v>
      </c>
      <c r="AQ61" s="11" t="s">
        <v>1398</v>
      </c>
      <c r="AR61" s="11" t="s">
        <v>1452</v>
      </c>
      <c r="AS61" s="11" t="s">
        <v>1985</v>
      </c>
      <c r="AT61" s="11" t="s">
        <v>1986</v>
      </c>
      <c r="AU61" s="11" t="s">
        <v>54</v>
      </c>
      <c r="AV61" s="11"/>
      <c r="AW61" s="11" t="s">
        <v>1987</v>
      </c>
      <c r="AX61" s="11"/>
      <c r="AY61" s="11"/>
      <c r="AZ61" s="11"/>
      <c r="BA61" s="11"/>
      <c r="BB61" s="11">
        <v>80705238</v>
      </c>
      <c r="BC61" s="11" t="s">
        <v>1403</v>
      </c>
      <c r="BD61" s="11"/>
      <c r="BE61" s="11" t="s">
        <v>134</v>
      </c>
      <c r="BF61" s="11" t="s">
        <v>134</v>
      </c>
      <c r="BG61" s="11"/>
      <c r="BH61" s="11" t="s">
        <v>1502</v>
      </c>
      <c r="BI61" s="11" t="s">
        <v>1407</v>
      </c>
      <c r="BJ61" s="11" t="s">
        <v>134</v>
      </c>
      <c r="BK61" s="11"/>
      <c r="BL61" s="11" t="s">
        <v>1408</v>
      </c>
      <c r="BM61" s="11"/>
      <c r="BN61" s="11"/>
      <c r="BO61" s="11" t="s">
        <v>1410</v>
      </c>
    </row>
    <row r="62" spans="2:67">
      <c r="B62" s="11">
        <v>51</v>
      </c>
      <c r="C62" s="11" t="s">
        <v>1374</v>
      </c>
      <c r="D62" s="11" t="s">
        <v>1375</v>
      </c>
      <c r="E62" s="11"/>
      <c r="F62" s="11" t="s">
        <v>1988</v>
      </c>
      <c r="G62" s="11"/>
      <c r="H62" s="11" t="s">
        <v>1989</v>
      </c>
      <c r="I62" s="11" t="s">
        <v>1990</v>
      </c>
      <c r="J62" s="11"/>
      <c r="K62" s="11" t="s">
        <v>1470</v>
      </c>
      <c r="L62" s="11" t="s">
        <v>94</v>
      </c>
      <c r="M62" s="11" t="s">
        <v>1581</v>
      </c>
      <c r="N62" s="11" t="s">
        <v>782</v>
      </c>
      <c r="O62" s="11"/>
      <c r="P62" s="11"/>
      <c r="Q62" s="11"/>
      <c r="R62" s="11" t="s">
        <v>784</v>
      </c>
      <c r="S62" s="11" t="s">
        <v>1382</v>
      </c>
      <c r="T62" s="11" t="s">
        <v>1991</v>
      </c>
      <c r="U62" s="11" t="s">
        <v>1444</v>
      </c>
      <c r="V62" s="11" t="s">
        <v>1992</v>
      </c>
      <c r="W62" s="11" t="s">
        <v>1389</v>
      </c>
      <c r="X62" s="11" t="s">
        <v>1598</v>
      </c>
      <c r="Y62" s="11" t="s">
        <v>1547</v>
      </c>
      <c r="Z62" s="11" t="s">
        <v>1993</v>
      </c>
      <c r="AA62" s="11" t="s">
        <v>1994</v>
      </c>
      <c r="AB62" s="11" t="s">
        <v>1995</v>
      </c>
      <c r="AC62" s="11" t="s">
        <v>784</v>
      </c>
      <c r="AD62" s="11">
        <v>5433214</v>
      </c>
      <c r="AE62" s="11" t="s">
        <v>94</v>
      </c>
      <c r="AF62" s="11" t="s">
        <v>1996</v>
      </c>
      <c r="AG62" s="11" t="s">
        <v>1382</v>
      </c>
      <c r="AH62" s="11" t="s">
        <v>1996</v>
      </c>
      <c r="AI62" s="11"/>
      <c r="AJ62" s="11"/>
      <c r="AK62" s="11" t="s">
        <v>1396</v>
      </c>
      <c r="AL62" s="11" t="s">
        <v>134</v>
      </c>
      <c r="AM62" s="11">
        <v>45450</v>
      </c>
      <c r="AN62" s="11" t="s">
        <v>1450</v>
      </c>
      <c r="AO62" s="11" t="s">
        <v>134</v>
      </c>
      <c r="AP62" s="11" t="s">
        <v>1498</v>
      </c>
      <c r="AQ62" s="11" t="s">
        <v>1398</v>
      </c>
      <c r="AR62" s="11"/>
      <c r="AS62" s="11" t="s">
        <v>785</v>
      </c>
      <c r="AT62" s="11"/>
      <c r="AU62" s="11"/>
      <c r="AV62" s="11"/>
      <c r="AW62" s="11" t="s">
        <v>1997</v>
      </c>
      <c r="AX62" s="11"/>
      <c r="AY62" s="11"/>
      <c r="AZ62" s="11"/>
      <c r="BA62" s="11"/>
      <c r="BB62" s="11">
        <v>64203758</v>
      </c>
      <c r="BC62" s="11" t="s">
        <v>1403</v>
      </c>
      <c r="BD62" s="11" t="s">
        <v>1432</v>
      </c>
      <c r="BE62" s="11" t="s">
        <v>1694</v>
      </c>
      <c r="BF62" s="11" t="s">
        <v>1998</v>
      </c>
      <c r="BG62" s="11"/>
      <c r="BH62" s="11" t="s">
        <v>1435</v>
      </c>
      <c r="BI62" s="11" t="s">
        <v>1403</v>
      </c>
      <c r="BJ62" s="11" t="s">
        <v>134</v>
      </c>
      <c r="BK62" s="11"/>
      <c r="BL62" s="11"/>
      <c r="BM62" s="11"/>
      <c r="BN62" s="11" t="s">
        <v>1556</v>
      </c>
      <c r="BO62" s="11"/>
    </row>
    <row r="63" spans="2:67">
      <c r="B63" s="11">
        <v>52</v>
      </c>
      <c r="C63" s="11" t="s">
        <v>1374</v>
      </c>
      <c r="D63" s="11" t="s">
        <v>1375</v>
      </c>
      <c r="E63" s="11" t="s">
        <v>1999</v>
      </c>
      <c r="F63" s="11" t="s">
        <v>2000</v>
      </c>
      <c r="G63" s="11" t="s">
        <v>1974</v>
      </c>
      <c r="H63" s="11" t="s">
        <v>2001</v>
      </c>
      <c r="I63" s="11" t="s">
        <v>2002</v>
      </c>
      <c r="J63" s="11" t="s">
        <v>134</v>
      </c>
      <c r="K63" s="11" t="s">
        <v>1470</v>
      </c>
      <c r="L63" s="11" t="s">
        <v>1382</v>
      </c>
      <c r="M63" s="11" t="s">
        <v>181</v>
      </c>
      <c r="N63" s="11" t="s">
        <v>181</v>
      </c>
      <c r="O63" s="11" t="s">
        <v>134</v>
      </c>
      <c r="P63" s="11"/>
      <c r="Q63" s="11"/>
      <c r="R63" s="11" t="s">
        <v>2003</v>
      </c>
      <c r="S63" s="11" t="s">
        <v>1382</v>
      </c>
      <c r="T63" s="11" t="s">
        <v>2004</v>
      </c>
      <c r="U63" s="11" t="s">
        <v>1387</v>
      </c>
      <c r="V63" s="11" t="s">
        <v>2005</v>
      </c>
      <c r="W63" s="11" t="s">
        <v>1389</v>
      </c>
      <c r="X63" s="11" t="s">
        <v>1492</v>
      </c>
      <c r="Y63" s="11" t="s">
        <v>1470</v>
      </c>
      <c r="Z63" s="11" t="s">
        <v>1906</v>
      </c>
      <c r="AA63" s="11" t="s">
        <v>2006</v>
      </c>
      <c r="AB63" s="11" t="s">
        <v>2007</v>
      </c>
      <c r="AC63" s="11" t="s">
        <v>2003</v>
      </c>
      <c r="AD63" s="11">
        <v>5433070</v>
      </c>
      <c r="AE63" s="11" t="s">
        <v>1382</v>
      </c>
      <c r="AF63" s="11" t="s">
        <v>2008</v>
      </c>
      <c r="AG63" s="11" t="s">
        <v>1382</v>
      </c>
      <c r="AH63" s="11" t="s">
        <v>2009</v>
      </c>
      <c r="AI63" s="11" t="s">
        <v>2010</v>
      </c>
      <c r="AJ63" s="11" t="s">
        <v>1670</v>
      </c>
      <c r="AK63" s="11" t="s">
        <v>1396</v>
      </c>
      <c r="AL63" s="11" t="s">
        <v>134</v>
      </c>
      <c r="AM63" s="11">
        <v>3160.65</v>
      </c>
      <c r="AN63" s="11"/>
      <c r="AO63" s="11" t="s">
        <v>134</v>
      </c>
      <c r="AP63" s="11" t="s">
        <v>1397</v>
      </c>
      <c r="AQ63" s="11" t="s">
        <v>1398</v>
      </c>
      <c r="AR63" s="11" t="s">
        <v>1671</v>
      </c>
      <c r="AS63" s="11" t="s">
        <v>2011</v>
      </c>
      <c r="AT63" s="11" t="s">
        <v>2012</v>
      </c>
      <c r="AU63" s="11" t="s">
        <v>54</v>
      </c>
      <c r="AV63" s="11"/>
      <c r="AW63" s="11" t="s">
        <v>2013</v>
      </c>
      <c r="AX63" s="11"/>
      <c r="AY63" s="11"/>
      <c r="AZ63" s="11"/>
      <c r="BA63" s="11"/>
      <c r="BB63" s="11">
        <v>74492611</v>
      </c>
      <c r="BC63" s="11" t="s">
        <v>1403</v>
      </c>
      <c r="BD63" s="11" t="s">
        <v>1432</v>
      </c>
      <c r="BE63" s="11" t="s">
        <v>1500</v>
      </c>
      <c r="BF63" s="11" t="s">
        <v>1501</v>
      </c>
      <c r="BG63" s="11" t="s">
        <v>1482</v>
      </c>
      <c r="BH63" s="11" t="s">
        <v>1435</v>
      </c>
      <c r="BI63" s="11" t="s">
        <v>1407</v>
      </c>
      <c r="BJ63" s="11" t="s">
        <v>134</v>
      </c>
      <c r="BK63" s="11"/>
      <c r="BL63" s="11" t="s">
        <v>1408</v>
      </c>
      <c r="BM63" s="11"/>
      <c r="BN63" s="11" t="s">
        <v>1457</v>
      </c>
      <c r="BO63" s="11" t="s">
        <v>1410</v>
      </c>
    </row>
    <row r="64" spans="2:67">
      <c r="B64" s="11">
        <v>53</v>
      </c>
      <c r="C64" s="11" t="s">
        <v>1374</v>
      </c>
      <c r="D64" s="11" t="s">
        <v>1375</v>
      </c>
      <c r="E64" s="11" t="s">
        <v>1999</v>
      </c>
      <c r="F64" s="11" t="s">
        <v>2000</v>
      </c>
      <c r="G64" s="11" t="s">
        <v>1974</v>
      </c>
      <c r="H64" s="11" t="s">
        <v>2001</v>
      </c>
      <c r="I64" s="11" t="s">
        <v>2002</v>
      </c>
      <c r="J64" s="11" t="s">
        <v>134</v>
      </c>
      <c r="K64" s="11" t="s">
        <v>1470</v>
      </c>
      <c r="L64" s="11" t="s">
        <v>1382</v>
      </c>
      <c r="M64" s="11" t="s">
        <v>181</v>
      </c>
      <c r="N64" s="11" t="s">
        <v>181</v>
      </c>
      <c r="O64" s="11" t="s">
        <v>134</v>
      </c>
      <c r="P64" s="11"/>
      <c r="Q64" s="11"/>
      <c r="R64" s="11" t="s">
        <v>2003</v>
      </c>
      <c r="S64" s="11" t="s">
        <v>1382</v>
      </c>
      <c r="T64" s="11" t="s">
        <v>2004</v>
      </c>
      <c r="U64" s="11" t="s">
        <v>1387</v>
      </c>
      <c r="V64" s="11" t="s">
        <v>2005</v>
      </c>
      <c r="W64" s="11" t="s">
        <v>1389</v>
      </c>
      <c r="X64" s="11" t="s">
        <v>1492</v>
      </c>
      <c r="Y64" s="11" t="s">
        <v>1470</v>
      </c>
      <c r="Z64" s="11" t="s">
        <v>1906</v>
      </c>
      <c r="AA64" s="11" t="s">
        <v>2006</v>
      </c>
      <c r="AB64" s="11" t="s">
        <v>2007</v>
      </c>
      <c r="AC64" s="11" t="s">
        <v>2003</v>
      </c>
      <c r="AD64" s="11">
        <v>5433070</v>
      </c>
      <c r="AE64" s="11" t="s">
        <v>1382</v>
      </c>
      <c r="AF64" s="11" t="s">
        <v>2008</v>
      </c>
      <c r="AG64" s="11" t="s">
        <v>1382</v>
      </c>
      <c r="AH64" s="11" t="s">
        <v>2009</v>
      </c>
      <c r="AI64" s="11" t="s">
        <v>2014</v>
      </c>
      <c r="AJ64" s="11" t="s">
        <v>1801</v>
      </c>
      <c r="AK64" s="11" t="s">
        <v>1396</v>
      </c>
      <c r="AL64" s="11" t="s">
        <v>134</v>
      </c>
      <c r="AM64" s="11">
        <v>1705.3</v>
      </c>
      <c r="AN64" s="11"/>
      <c r="AO64" s="11" t="s">
        <v>134</v>
      </c>
      <c r="AP64" s="11" t="s">
        <v>1397</v>
      </c>
      <c r="AQ64" s="11" t="s">
        <v>1398</v>
      </c>
      <c r="AR64" s="11" t="s">
        <v>1671</v>
      </c>
      <c r="AS64" s="11" t="s">
        <v>2011</v>
      </c>
      <c r="AT64" s="11" t="s">
        <v>2015</v>
      </c>
      <c r="AU64" s="11" t="s">
        <v>54</v>
      </c>
      <c r="AV64" s="11"/>
      <c r="AW64" s="11" t="s">
        <v>2013</v>
      </c>
      <c r="AX64" s="11"/>
      <c r="AY64" s="11"/>
      <c r="AZ64" s="11"/>
      <c r="BA64" s="11"/>
      <c r="BB64" s="11">
        <v>74492611</v>
      </c>
      <c r="BC64" s="11" t="s">
        <v>1403</v>
      </c>
      <c r="BD64" s="11" t="s">
        <v>1432</v>
      </c>
      <c r="BE64" s="11" t="s">
        <v>1500</v>
      </c>
      <c r="BF64" s="11" t="s">
        <v>1501</v>
      </c>
      <c r="BG64" s="11" t="s">
        <v>1482</v>
      </c>
      <c r="BH64" s="11" t="s">
        <v>1435</v>
      </c>
      <c r="BI64" s="11" t="s">
        <v>1407</v>
      </c>
      <c r="BJ64" s="11" t="s">
        <v>134</v>
      </c>
      <c r="BK64" s="11"/>
      <c r="BL64" s="11" t="s">
        <v>1408</v>
      </c>
      <c r="BM64" s="11"/>
      <c r="BN64" s="11" t="s">
        <v>1457</v>
      </c>
      <c r="BO64" s="11" t="s">
        <v>1410</v>
      </c>
    </row>
    <row r="65" spans="2:67">
      <c r="B65" s="11">
        <v>54</v>
      </c>
      <c r="C65" s="11" t="s">
        <v>1374</v>
      </c>
      <c r="D65" s="11" t="s">
        <v>1375</v>
      </c>
      <c r="E65" s="11" t="s">
        <v>1999</v>
      </c>
      <c r="F65" s="11" t="s">
        <v>2000</v>
      </c>
      <c r="G65" s="11" t="s">
        <v>1974</v>
      </c>
      <c r="H65" s="11" t="s">
        <v>2001</v>
      </c>
      <c r="I65" s="11" t="s">
        <v>2002</v>
      </c>
      <c r="J65" s="11" t="s">
        <v>134</v>
      </c>
      <c r="K65" s="11" t="s">
        <v>1470</v>
      </c>
      <c r="L65" s="11" t="s">
        <v>1382</v>
      </c>
      <c r="M65" s="11" t="s">
        <v>181</v>
      </c>
      <c r="N65" s="11" t="s">
        <v>181</v>
      </c>
      <c r="O65" s="11" t="s">
        <v>134</v>
      </c>
      <c r="P65" s="11"/>
      <c r="Q65" s="11"/>
      <c r="R65" s="11" t="s">
        <v>2003</v>
      </c>
      <c r="S65" s="11" t="s">
        <v>1382</v>
      </c>
      <c r="T65" s="11" t="s">
        <v>2004</v>
      </c>
      <c r="U65" s="11" t="s">
        <v>1387</v>
      </c>
      <c r="V65" s="11" t="s">
        <v>2005</v>
      </c>
      <c r="W65" s="11" t="s">
        <v>1389</v>
      </c>
      <c r="X65" s="11" t="s">
        <v>1492</v>
      </c>
      <c r="Y65" s="11" t="s">
        <v>1470</v>
      </c>
      <c r="Z65" s="11" t="s">
        <v>1906</v>
      </c>
      <c r="AA65" s="11" t="s">
        <v>2006</v>
      </c>
      <c r="AB65" s="11" t="s">
        <v>2007</v>
      </c>
      <c r="AC65" s="11" t="s">
        <v>2003</v>
      </c>
      <c r="AD65" s="11">
        <v>5433070</v>
      </c>
      <c r="AE65" s="11" t="s">
        <v>1382</v>
      </c>
      <c r="AF65" s="11" t="s">
        <v>2008</v>
      </c>
      <c r="AG65" s="11" t="s">
        <v>1382</v>
      </c>
      <c r="AH65" s="11" t="s">
        <v>2009</v>
      </c>
      <c r="AI65" s="11" t="s">
        <v>2016</v>
      </c>
      <c r="AJ65" s="11" t="s">
        <v>1782</v>
      </c>
      <c r="AK65" s="11" t="s">
        <v>1396</v>
      </c>
      <c r="AL65" s="11" t="s">
        <v>134</v>
      </c>
      <c r="AM65" s="11">
        <v>1948.95</v>
      </c>
      <c r="AN65" s="11"/>
      <c r="AO65" s="11" t="s">
        <v>134</v>
      </c>
      <c r="AP65" s="11" t="s">
        <v>1397</v>
      </c>
      <c r="AQ65" s="11" t="s">
        <v>1398</v>
      </c>
      <c r="AR65" s="11" t="s">
        <v>1671</v>
      </c>
      <c r="AS65" s="11" t="s">
        <v>2011</v>
      </c>
      <c r="AT65" s="11" t="s">
        <v>2017</v>
      </c>
      <c r="AU65" s="11" t="s">
        <v>54</v>
      </c>
      <c r="AV65" s="11"/>
      <c r="AW65" s="11" t="s">
        <v>2013</v>
      </c>
      <c r="AX65" s="11"/>
      <c r="AY65" s="11"/>
      <c r="AZ65" s="11"/>
      <c r="BA65" s="11"/>
      <c r="BB65" s="11">
        <v>74492611</v>
      </c>
      <c r="BC65" s="11" t="s">
        <v>1403</v>
      </c>
      <c r="BD65" s="11" t="s">
        <v>1432</v>
      </c>
      <c r="BE65" s="11" t="s">
        <v>1500</v>
      </c>
      <c r="BF65" s="11" t="s">
        <v>1501</v>
      </c>
      <c r="BG65" s="11" t="s">
        <v>1482</v>
      </c>
      <c r="BH65" s="11" t="s">
        <v>1435</v>
      </c>
      <c r="BI65" s="11" t="s">
        <v>1407</v>
      </c>
      <c r="BJ65" s="11" t="s">
        <v>134</v>
      </c>
      <c r="BK65" s="11"/>
      <c r="BL65" s="11" t="s">
        <v>1408</v>
      </c>
      <c r="BM65" s="11"/>
      <c r="BN65" s="11" t="s">
        <v>1457</v>
      </c>
      <c r="BO65" s="11" t="s">
        <v>1410</v>
      </c>
    </row>
    <row r="66" spans="2:67">
      <c r="B66" s="11">
        <v>55</v>
      </c>
      <c r="C66" s="11" t="s">
        <v>1374</v>
      </c>
      <c r="D66" s="11" t="s">
        <v>1375</v>
      </c>
      <c r="E66" s="11" t="s">
        <v>1999</v>
      </c>
      <c r="F66" s="11" t="s">
        <v>2000</v>
      </c>
      <c r="G66" s="11" t="s">
        <v>1974</v>
      </c>
      <c r="H66" s="11" t="s">
        <v>2001</v>
      </c>
      <c r="I66" s="11" t="s">
        <v>2002</v>
      </c>
      <c r="J66" s="11" t="s">
        <v>134</v>
      </c>
      <c r="K66" s="11" t="s">
        <v>1470</v>
      </c>
      <c r="L66" s="11" t="s">
        <v>1382</v>
      </c>
      <c r="M66" s="11" t="s">
        <v>181</v>
      </c>
      <c r="N66" s="11" t="s">
        <v>181</v>
      </c>
      <c r="O66" s="11" t="s">
        <v>134</v>
      </c>
      <c r="P66" s="11"/>
      <c r="Q66" s="11"/>
      <c r="R66" s="11" t="s">
        <v>2003</v>
      </c>
      <c r="S66" s="11" t="s">
        <v>1382</v>
      </c>
      <c r="T66" s="11" t="s">
        <v>2004</v>
      </c>
      <c r="U66" s="11" t="s">
        <v>1387</v>
      </c>
      <c r="V66" s="11" t="s">
        <v>2005</v>
      </c>
      <c r="W66" s="11" t="s">
        <v>1389</v>
      </c>
      <c r="X66" s="11" t="s">
        <v>1492</v>
      </c>
      <c r="Y66" s="11" t="s">
        <v>1470</v>
      </c>
      <c r="Z66" s="11" t="s">
        <v>1906</v>
      </c>
      <c r="AA66" s="11" t="s">
        <v>2006</v>
      </c>
      <c r="AB66" s="11" t="s">
        <v>2007</v>
      </c>
      <c r="AC66" s="11" t="s">
        <v>2003</v>
      </c>
      <c r="AD66" s="11">
        <v>5433070</v>
      </c>
      <c r="AE66" s="11" t="s">
        <v>1382</v>
      </c>
      <c r="AF66" s="11" t="s">
        <v>2008</v>
      </c>
      <c r="AG66" s="11" t="s">
        <v>1382</v>
      </c>
      <c r="AH66" s="11" t="s">
        <v>2009</v>
      </c>
      <c r="AI66" s="11" t="s">
        <v>2018</v>
      </c>
      <c r="AJ66" s="11" t="s">
        <v>1798</v>
      </c>
      <c r="AK66" s="11" t="s">
        <v>1396</v>
      </c>
      <c r="AL66" s="11" t="s">
        <v>134</v>
      </c>
      <c r="AM66" s="11">
        <v>3573.05</v>
      </c>
      <c r="AN66" s="11"/>
      <c r="AO66" s="11" t="s">
        <v>134</v>
      </c>
      <c r="AP66" s="11" t="s">
        <v>1397</v>
      </c>
      <c r="AQ66" s="11" t="s">
        <v>1398</v>
      </c>
      <c r="AR66" s="11" t="s">
        <v>1671</v>
      </c>
      <c r="AS66" s="11" t="s">
        <v>2011</v>
      </c>
      <c r="AT66" s="11" t="s">
        <v>2019</v>
      </c>
      <c r="AU66" s="11" t="s">
        <v>54</v>
      </c>
      <c r="AV66" s="11"/>
      <c r="AW66" s="11" t="s">
        <v>2013</v>
      </c>
      <c r="AX66" s="11"/>
      <c r="AY66" s="11"/>
      <c r="AZ66" s="11"/>
      <c r="BA66" s="11"/>
      <c r="BB66" s="11">
        <v>74492611</v>
      </c>
      <c r="BC66" s="11" t="s">
        <v>1403</v>
      </c>
      <c r="BD66" s="11" t="s">
        <v>1432</v>
      </c>
      <c r="BE66" s="11" t="s">
        <v>1500</v>
      </c>
      <c r="BF66" s="11" t="s">
        <v>1501</v>
      </c>
      <c r="BG66" s="11" t="s">
        <v>1482</v>
      </c>
      <c r="BH66" s="11" t="s">
        <v>1435</v>
      </c>
      <c r="BI66" s="11" t="s">
        <v>1407</v>
      </c>
      <c r="BJ66" s="11" t="s">
        <v>134</v>
      </c>
      <c r="BK66" s="11"/>
      <c r="BL66" s="11" t="s">
        <v>1408</v>
      </c>
      <c r="BM66" s="11"/>
      <c r="BN66" s="11" t="s">
        <v>1457</v>
      </c>
      <c r="BO66" s="11" t="s">
        <v>1410</v>
      </c>
    </row>
    <row r="67" spans="2:67">
      <c r="B67" s="11">
        <v>56</v>
      </c>
      <c r="C67" s="11" t="s">
        <v>1374</v>
      </c>
      <c r="D67" s="11" t="s">
        <v>1375</v>
      </c>
      <c r="E67" s="11" t="s">
        <v>1999</v>
      </c>
      <c r="F67" s="11" t="s">
        <v>2000</v>
      </c>
      <c r="G67" s="11" t="s">
        <v>1974</v>
      </c>
      <c r="H67" s="11" t="s">
        <v>2001</v>
      </c>
      <c r="I67" s="11" t="s">
        <v>2002</v>
      </c>
      <c r="J67" s="11" t="s">
        <v>134</v>
      </c>
      <c r="K67" s="11" t="s">
        <v>1470</v>
      </c>
      <c r="L67" s="11" t="s">
        <v>1382</v>
      </c>
      <c r="M67" s="11" t="s">
        <v>181</v>
      </c>
      <c r="N67" s="11" t="s">
        <v>181</v>
      </c>
      <c r="O67" s="11" t="s">
        <v>134</v>
      </c>
      <c r="P67" s="11"/>
      <c r="Q67" s="11"/>
      <c r="R67" s="11" t="s">
        <v>2003</v>
      </c>
      <c r="S67" s="11" t="s">
        <v>1382</v>
      </c>
      <c r="T67" s="11" t="s">
        <v>2004</v>
      </c>
      <c r="U67" s="11" t="s">
        <v>1387</v>
      </c>
      <c r="V67" s="11" t="s">
        <v>2005</v>
      </c>
      <c r="W67" s="11" t="s">
        <v>1389</v>
      </c>
      <c r="X67" s="11" t="s">
        <v>1492</v>
      </c>
      <c r="Y67" s="11" t="s">
        <v>1470</v>
      </c>
      <c r="Z67" s="11" t="s">
        <v>1906</v>
      </c>
      <c r="AA67" s="11" t="s">
        <v>2006</v>
      </c>
      <c r="AB67" s="11" t="s">
        <v>2007</v>
      </c>
      <c r="AC67" s="11" t="s">
        <v>2003</v>
      </c>
      <c r="AD67" s="11">
        <v>5433070</v>
      </c>
      <c r="AE67" s="11" t="s">
        <v>1382</v>
      </c>
      <c r="AF67" s="11" t="s">
        <v>2008</v>
      </c>
      <c r="AG67" s="11" t="s">
        <v>1382</v>
      </c>
      <c r="AH67" s="11" t="s">
        <v>2009</v>
      </c>
      <c r="AI67" s="11" t="s">
        <v>2020</v>
      </c>
      <c r="AJ67" s="11" t="s">
        <v>1795</v>
      </c>
      <c r="AK67" s="11" t="s">
        <v>1396</v>
      </c>
      <c r="AL67" s="11" t="s">
        <v>134</v>
      </c>
      <c r="AM67" s="11">
        <v>2354.9499999999998</v>
      </c>
      <c r="AN67" s="11"/>
      <c r="AO67" s="11" t="s">
        <v>134</v>
      </c>
      <c r="AP67" s="11" t="s">
        <v>1397</v>
      </c>
      <c r="AQ67" s="11" t="s">
        <v>1398</v>
      </c>
      <c r="AR67" s="11" t="s">
        <v>1671</v>
      </c>
      <c r="AS67" s="11" t="s">
        <v>2011</v>
      </c>
      <c r="AT67" s="11" t="s">
        <v>2021</v>
      </c>
      <c r="AU67" s="11" t="s">
        <v>54</v>
      </c>
      <c r="AV67" s="11"/>
      <c r="AW67" s="11" t="s">
        <v>2013</v>
      </c>
      <c r="AX67" s="11"/>
      <c r="AY67" s="11"/>
      <c r="AZ67" s="11"/>
      <c r="BA67" s="11"/>
      <c r="BB67" s="11">
        <v>74492611</v>
      </c>
      <c r="BC67" s="11" t="s">
        <v>1403</v>
      </c>
      <c r="BD67" s="11" t="s">
        <v>1432</v>
      </c>
      <c r="BE67" s="11" t="s">
        <v>1500</v>
      </c>
      <c r="BF67" s="11" t="s">
        <v>1501</v>
      </c>
      <c r="BG67" s="11" t="s">
        <v>1482</v>
      </c>
      <c r="BH67" s="11" t="s">
        <v>1435</v>
      </c>
      <c r="BI67" s="11" t="s">
        <v>1407</v>
      </c>
      <c r="BJ67" s="11" t="s">
        <v>134</v>
      </c>
      <c r="BK67" s="11"/>
      <c r="BL67" s="11" t="s">
        <v>1408</v>
      </c>
      <c r="BM67" s="11"/>
      <c r="BN67" s="11" t="s">
        <v>1457</v>
      </c>
      <c r="BO67" s="11" t="s">
        <v>1410</v>
      </c>
    </row>
    <row r="68" spans="2:67">
      <c r="B68" s="11">
        <v>57</v>
      </c>
      <c r="C68" s="11" t="s">
        <v>1374</v>
      </c>
      <c r="D68" s="11" t="s">
        <v>1375</v>
      </c>
      <c r="E68" s="11" t="s">
        <v>1999</v>
      </c>
      <c r="F68" s="11" t="s">
        <v>2000</v>
      </c>
      <c r="G68" s="11" t="s">
        <v>1974</v>
      </c>
      <c r="H68" s="11" t="s">
        <v>2001</v>
      </c>
      <c r="I68" s="11" t="s">
        <v>2002</v>
      </c>
      <c r="J68" s="11" t="s">
        <v>134</v>
      </c>
      <c r="K68" s="11" t="s">
        <v>1470</v>
      </c>
      <c r="L68" s="11" t="s">
        <v>1382</v>
      </c>
      <c r="M68" s="11" t="s">
        <v>181</v>
      </c>
      <c r="N68" s="11" t="s">
        <v>181</v>
      </c>
      <c r="O68" s="11" t="s">
        <v>134</v>
      </c>
      <c r="P68" s="11"/>
      <c r="Q68" s="11"/>
      <c r="R68" s="11" t="s">
        <v>2003</v>
      </c>
      <c r="S68" s="11" t="s">
        <v>1382</v>
      </c>
      <c r="T68" s="11" t="s">
        <v>2004</v>
      </c>
      <c r="U68" s="11" t="s">
        <v>1387</v>
      </c>
      <c r="V68" s="11" t="s">
        <v>2005</v>
      </c>
      <c r="W68" s="11" t="s">
        <v>1389</v>
      </c>
      <c r="X68" s="11" t="s">
        <v>1492</v>
      </c>
      <c r="Y68" s="11" t="s">
        <v>1470</v>
      </c>
      <c r="Z68" s="11" t="s">
        <v>1906</v>
      </c>
      <c r="AA68" s="11" t="s">
        <v>2006</v>
      </c>
      <c r="AB68" s="11" t="s">
        <v>2007</v>
      </c>
      <c r="AC68" s="11" t="s">
        <v>2003</v>
      </c>
      <c r="AD68" s="11">
        <v>5433070</v>
      </c>
      <c r="AE68" s="11" t="s">
        <v>1382</v>
      </c>
      <c r="AF68" s="11" t="s">
        <v>2008</v>
      </c>
      <c r="AG68" s="11" t="s">
        <v>1382</v>
      </c>
      <c r="AH68" s="11" t="s">
        <v>2009</v>
      </c>
      <c r="AI68" s="11" t="s">
        <v>2022</v>
      </c>
      <c r="AJ68" s="11" t="s">
        <v>1785</v>
      </c>
      <c r="AK68" s="11" t="s">
        <v>1396</v>
      </c>
      <c r="AL68" s="11" t="s">
        <v>134</v>
      </c>
      <c r="AM68" s="11">
        <v>2314.35</v>
      </c>
      <c r="AN68" s="11"/>
      <c r="AO68" s="11" t="s">
        <v>134</v>
      </c>
      <c r="AP68" s="11" t="s">
        <v>1397</v>
      </c>
      <c r="AQ68" s="11" t="s">
        <v>1398</v>
      </c>
      <c r="AR68" s="11" t="s">
        <v>1671</v>
      </c>
      <c r="AS68" s="11" t="s">
        <v>2011</v>
      </c>
      <c r="AT68" s="11" t="s">
        <v>2023</v>
      </c>
      <c r="AU68" s="11" t="s">
        <v>54</v>
      </c>
      <c r="AV68" s="11"/>
      <c r="AW68" s="11" t="s">
        <v>2013</v>
      </c>
      <c r="AX68" s="11"/>
      <c r="AY68" s="11"/>
      <c r="AZ68" s="11"/>
      <c r="BA68" s="11"/>
      <c r="BB68" s="11">
        <v>74492611</v>
      </c>
      <c r="BC68" s="11" t="s">
        <v>1403</v>
      </c>
      <c r="BD68" s="11" t="s">
        <v>1432</v>
      </c>
      <c r="BE68" s="11" t="s">
        <v>1500</v>
      </c>
      <c r="BF68" s="11" t="s">
        <v>1501</v>
      </c>
      <c r="BG68" s="11" t="s">
        <v>1482</v>
      </c>
      <c r="BH68" s="11" t="s">
        <v>1435</v>
      </c>
      <c r="BI68" s="11" t="s">
        <v>1407</v>
      </c>
      <c r="BJ68" s="11" t="s">
        <v>134</v>
      </c>
      <c r="BK68" s="11"/>
      <c r="BL68" s="11" t="s">
        <v>1408</v>
      </c>
      <c r="BM68" s="11"/>
      <c r="BN68" s="11" t="s">
        <v>1457</v>
      </c>
      <c r="BO68" s="11" t="s">
        <v>1410</v>
      </c>
    </row>
    <row r="69" spans="2:67">
      <c r="B69" s="11">
        <v>58</v>
      </c>
      <c r="C69" s="11" t="s">
        <v>1374</v>
      </c>
      <c r="D69" s="11" t="s">
        <v>1375</v>
      </c>
      <c r="E69" s="11" t="s">
        <v>1999</v>
      </c>
      <c r="F69" s="11" t="s">
        <v>2000</v>
      </c>
      <c r="G69" s="11" t="s">
        <v>1974</v>
      </c>
      <c r="H69" s="11" t="s">
        <v>2001</v>
      </c>
      <c r="I69" s="11" t="s">
        <v>2002</v>
      </c>
      <c r="J69" s="11" t="s">
        <v>134</v>
      </c>
      <c r="K69" s="11" t="s">
        <v>1470</v>
      </c>
      <c r="L69" s="11" t="s">
        <v>1382</v>
      </c>
      <c r="M69" s="11" t="s">
        <v>181</v>
      </c>
      <c r="N69" s="11" t="s">
        <v>181</v>
      </c>
      <c r="O69" s="11" t="s">
        <v>134</v>
      </c>
      <c r="P69" s="11"/>
      <c r="Q69" s="11"/>
      <c r="R69" s="11" t="s">
        <v>2003</v>
      </c>
      <c r="S69" s="11" t="s">
        <v>1382</v>
      </c>
      <c r="T69" s="11" t="s">
        <v>2004</v>
      </c>
      <c r="U69" s="11" t="s">
        <v>1387</v>
      </c>
      <c r="V69" s="11" t="s">
        <v>2005</v>
      </c>
      <c r="W69" s="11" t="s">
        <v>1389</v>
      </c>
      <c r="X69" s="11" t="s">
        <v>1492</v>
      </c>
      <c r="Y69" s="11" t="s">
        <v>1470</v>
      </c>
      <c r="Z69" s="11" t="s">
        <v>1906</v>
      </c>
      <c r="AA69" s="11" t="s">
        <v>2006</v>
      </c>
      <c r="AB69" s="11" t="s">
        <v>2007</v>
      </c>
      <c r="AC69" s="11" t="s">
        <v>2003</v>
      </c>
      <c r="AD69" s="11">
        <v>5433070</v>
      </c>
      <c r="AE69" s="11" t="s">
        <v>1382</v>
      </c>
      <c r="AF69" s="11" t="s">
        <v>2008</v>
      </c>
      <c r="AG69" s="11" t="s">
        <v>1382</v>
      </c>
      <c r="AH69" s="11" t="s">
        <v>2009</v>
      </c>
      <c r="AI69" s="11" t="s">
        <v>2024</v>
      </c>
      <c r="AJ69" s="11" t="s">
        <v>1788</v>
      </c>
      <c r="AK69" s="11" t="s">
        <v>1396</v>
      </c>
      <c r="AL69" s="11" t="s">
        <v>134</v>
      </c>
      <c r="AM69" s="11">
        <v>2598.6</v>
      </c>
      <c r="AN69" s="11"/>
      <c r="AO69" s="11" t="s">
        <v>134</v>
      </c>
      <c r="AP69" s="11" t="s">
        <v>1397</v>
      </c>
      <c r="AQ69" s="11" t="s">
        <v>1398</v>
      </c>
      <c r="AR69" s="11" t="s">
        <v>1671</v>
      </c>
      <c r="AS69" s="11" t="s">
        <v>2011</v>
      </c>
      <c r="AT69" s="11" t="s">
        <v>2025</v>
      </c>
      <c r="AU69" s="11" t="s">
        <v>54</v>
      </c>
      <c r="AV69" s="11"/>
      <c r="AW69" s="11" t="s">
        <v>2013</v>
      </c>
      <c r="AX69" s="11"/>
      <c r="AY69" s="11"/>
      <c r="AZ69" s="11"/>
      <c r="BA69" s="11"/>
      <c r="BB69" s="11">
        <v>74492611</v>
      </c>
      <c r="BC69" s="11" t="s">
        <v>1403</v>
      </c>
      <c r="BD69" s="11" t="s">
        <v>1432</v>
      </c>
      <c r="BE69" s="11" t="s">
        <v>1500</v>
      </c>
      <c r="BF69" s="11" t="s">
        <v>1501</v>
      </c>
      <c r="BG69" s="11" t="s">
        <v>1482</v>
      </c>
      <c r="BH69" s="11" t="s">
        <v>1435</v>
      </c>
      <c r="BI69" s="11" t="s">
        <v>1407</v>
      </c>
      <c r="BJ69" s="11" t="s">
        <v>134</v>
      </c>
      <c r="BK69" s="11"/>
      <c r="BL69" s="11" t="s">
        <v>1408</v>
      </c>
      <c r="BM69" s="11"/>
      <c r="BN69" s="11" t="s">
        <v>1457</v>
      </c>
      <c r="BO69" s="11" t="s">
        <v>1410</v>
      </c>
    </row>
    <row r="70" spans="2:67">
      <c r="B70" s="11">
        <v>59</v>
      </c>
      <c r="C70" s="11" t="s">
        <v>1374</v>
      </c>
      <c r="D70" s="11" t="s">
        <v>1375</v>
      </c>
      <c r="E70" s="11" t="s">
        <v>1999</v>
      </c>
      <c r="F70" s="11" t="s">
        <v>2000</v>
      </c>
      <c r="G70" s="11" t="s">
        <v>1974</v>
      </c>
      <c r="H70" s="11" t="s">
        <v>2001</v>
      </c>
      <c r="I70" s="11" t="s">
        <v>2002</v>
      </c>
      <c r="J70" s="11" t="s">
        <v>134</v>
      </c>
      <c r="K70" s="11" t="s">
        <v>1470</v>
      </c>
      <c r="L70" s="11" t="s">
        <v>1382</v>
      </c>
      <c r="M70" s="11" t="s">
        <v>181</v>
      </c>
      <c r="N70" s="11" t="s">
        <v>181</v>
      </c>
      <c r="O70" s="11" t="s">
        <v>134</v>
      </c>
      <c r="P70" s="11"/>
      <c r="Q70" s="11"/>
      <c r="R70" s="11" t="s">
        <v>2003</v>
      </c>
      <c r="S70" s="11" t="s">
        <v>1382</v>
      </c>
      <c r="T70" s="11" t="s">
        <v>2004</v>
      </c>
      <c r="U70" s="11" t="s">
        <v>1387</v>
      </c>
      <c r="V70" s="11" t="s">
        <v>2005</v>
      </c>
      <c r="W70" s="11" t="s">
        <v>1389</v>
      </c>
      <c r="X70" s="11" t="s">
        <v>1492</v>
      </c>
      <c r="Y70" s="11" t="s">
        <v>1470</v>
      </c>
      <c r="Z70" s="11" t="s">
        <v>1906</v>
      </c>
      <c r="AA70" s="11" t="s">
        <v>2006</v>
      </c>
      <c r="AB70" s="11" t="s">
        <v>2007</v>
      </c>
      <c r="AC70" s="11" t="s">
        <v>2003</v>
      </c>
      <c r="AD70" s="11">
        <v>5433070</v>
      </c>
      <c r="AE70" s="11" t="s">
        <v>1382</v>
      </c>
      <c r="AF70" s="11" t="s">
        <v>2008</v>
      </c>
      <c r="AG70" s="11" t="s">
        <v>1382</v>
      </c>
      <c r="AH70" s="11" t="s">
        <v>2009</v>
      </c>
      <c r="AI70" s="11" t="s">
        <v>2026</v>
      </c>
      <c r="AJ70" s="11" t="s">
        <v>1676</v>
      </c>
      <c r="AK70" s="11" t="s">
        <v>1396</v>
      </c>
      <c r="AL70" s="11" t="s">
        <v>134</v>
      </c>
      <c r="AM70" s="11">
        <v>1624.1</v>
      </c>
      <c r="AN70" s="11"/>
      <c r="AO70" s="11" t="s">
        <v>134</v>
      </c>
      <c r="AP70" s="11" t="s">
        <v>1397</v>
      </c>
      <c r="AQ70" s="11" t="s">
        <v>1398</v>
      </c>
      <c r="AR70" s="11" t="s">
        <v>1671</v>
      </c>
      <c r="AS70" s="11" t="s">
        <v>2011</v>
      </c>
      <c r="AT70" s="11" t="s">
        <v>2027</v>
      </c>
      <c r="AU70" s="11" t="s">
        <v>54</v>
      </c>
      <c r="AV70" s="11"/>
      <c r="AW70" s="11" t="s">
        <v>2013</v>
      </c>
      <c r="AX70" s="11"/>
      <c r="AY70" s="11"/>
      <c r="AZ70" s="11"/>
      <c r="BA70" s="11"/>
      <c r="BB70" s="11">
        <v>74492611</v>
      </c>
      <c r="BC70" s="11" t="s">
        <v>1403</v>
      </c>
      <c r="BD70" s="11" t="s">
        <v>1432</v>
      </c>
      <c r="BE70" s="11" t="s">
        <v>1500</v>
      </c>
      <c r="BF70" s="11" t="s">
        <v>1501</v>
      </c>
      <c r="BG70" s="11" t="s">
        <v>1482</v>
      </c>
      <c r="BH70" s="11" t="s">
        <v>1435</v>
      </c>
      <c r="BI70" s="11" t="s">
        <v>1407</v>
      </c>
      <c r="BJ70" s="11" t="s">
        <v>134</v>
      </c>
      <c r="BK70" s="11"/>
      <c r="BL70" s="11" t="s">
        <v>1408</v>
      </c>
      <c r="BM70" s="11"/>
      <c r="BN70" s="11" t="s">
        <v>1457</v>
      </c>
      <c r="BO70" s="11" t="s">
        <v>1410</v>
      </c>
    </row>
    <row r="71" spans="2:67">
      <c r="B71" s="11">
        <v>60</v>
      </c>
      <c r="C71" s="11" t="s">
        <v>1374</v>
      </c>
      <c r="D71" s="11" t="s">
        <v>1375</v>
      </c>
      <c r="E71" s="11" t="s">
        <v>1999</v>
      </c>
      <c r="F71" s="11" t="s">
        <v>2000</v>
      </c>
      <c r="G71" s="11" t="s">
        <v>1974</v>
      </c>
      <c r="H71" s="11" t="s">
        <v>2001</v>
      </c>
      <c r="I71" s="11" t="s">
        <v>2002</v>
      </c>
      <c r="J71" s="11" t="s">
        <v>134</v>
      </c>
      <c r="K71" s="11" t="s">
        <v>1470</v>
      </c>
      <c r="L71" s="11" t="s">
        <v>1382</v>
      </c>
      <c r="M71" s="11" t="s">
        <v>181</v>
      </c>
      <c r="N71" s="11" t="s">
        <v>181</v>
      </c>
      <c r="O71" s="11" t="s">
        <v>134</v>
      </c>
      <c r="P71" s="11"/>
      <c r="Q71" s="11"/>
      <c r="R71" s="11" t="s">
        <v>2003</v>
      </c>
      <c r="S71" s="11" t="s">
        <v>1382</v>
      </c>
      <c r="T71" s="11" t="s">
        <v>2004</v>
      </c>
      <c r="U71" s="11" t="s">
        <v>1387</v>
      </c>
      <c r="V71" s="11" t="s">
        <v>2005</v>
      </c>
      <c r="W71" s="11" t="s">
        <v>1389</v>
      </c>
      <c r="X71" s="11" t="s">
        <v>1492</v>
      </c>
      <c r="Y71" s="11" t="s">
        <v>1470</v>
      </c>
      <c r="Z71" s="11" t="s">
        <v>1906</v>
      </c>
      <c r="AA71" s="11" t="s">
        <v>2006</v>
      </c>
      <c r="AB71" s="11" t="s">
        <v>2007</v>
      </c>
      <c r="AC71" s="11" t="s">
        <v>2003</v>
      </c>
      <c r="AD71" s="11">
        <v>5433070</v>
      </c>
      <c r="AE71" s="11" t="s">
        <v>1382</v>
      </c>
      <c r="AF71" s="11" t="s">
        <v>2008</v>
      </c>
      <c r="AG71" s="11" t="s">
        <v>1382</v>
      </c>
      <c r="AH71" s="11" t="s">
        <v>2009</v>
      </c>
      <c r="AI71" s="11" t="s">
        <v>2028</v>
      </c>
      <c r="AJ71" s="11" t="s">
        <v>1775</v>
      </c>
      <c r="AK71" s="11" t="s">
        <v>1396</v>
      </c>
      <c r="AL71" s="11" t="s">
        <v>134</v>
      </c>
      <c r="AM71" s="11">
        <v>3370.05</v>
      </c>
      <c r="AN71" s="11"/>
      <c r="AO71" s="11" t="s">
        <v>134</v>
      </c>
      <c r="AP71" s="11" t="s">
        <v>1397</v>
      </c>
      <c r="AQ71" s="11" t="s">
        <v>1398</v>
      </c>
      <c r="AR71" s="11" t="s">
        <v>1671</v>
      </c>
      <c r="AS71" s="11" t="s">
        <v>2011</v>
      </c>
      <c r="AT71" s="11" t="s">
        <v>2029</v>
      </c>
      <c r="AU71" s="11" t="s">
        <v>54</v>
      </c>
      <c r="AV71" s="11"/>
      <c r="AW71" s="11" t="s">
        <v>2013</v>
      </c>
      <c r="AX71" s="11"/>
      <c r="AY71" s="11"/>
      <c r="AZ71" s="11"/>
      <c r="BA71" s="11"/>
      <c r="BB71" s="11">
        <v>74492611</v>
      </c>
      <c r="BC71" s="11" t="s">
        <v>1403</v>
      </c>
      <c r="BD71" s="11" t="s">
        <v>1432</v>
      </c>
      <c r="BE71" s="11" t="s">
        <v>1500</v>
      </c>
      <c r="BF71" s="11" t="s">
        <v>1501</v>
      </c>
      <c r="BG71" s="11" t="s">
        <v>1482</v>
      </c>
      <c r="BH71" s="11" t="s">
        <v>1435</v>
      </c>
      <c r="BI71" s="11" t="s">
        <v>1407</v>
      </c>
      <c r="BJ71" s="11" t="s">
        <v>134</v>
      </c>
      <c r="BK71" s="11"/>
      <c r="BL71" s="11" t="s">
        <v>1408</v>
      </c>
      <c r="BM71" s="11"/>
      <c r="BN71" s="11" t="s">
        <v>1457</v>
      </c>
      <c r="BO71" s="11" t="s">
        <v>1410</v>
      </c>
    </row>
    <row r="72" spans="2:67">
      <c r="B72" s="11">
        <v>61</v>
      </c>
      <c r="C72" s="11" t="s">
        <v>1374</v>
      </c>
      <c r="D72" s="11" t="s">
        <v>1375</v>
      </c>
      <c r="E72" s="11" t="s">
        <v>1999</v>
      </c>
      <c r="F72" s="11" t="s">
        <v>2000</v>
      </c>
      <c r="G72" s="11" t="s">
        <v>1974</v>
      </c>
      <c r="H72" s="11" t="s">
        <v>2001</v>
      </c>
      <c r="I72" s="11" t="s">
        <v>2002</v>
      </c>
      <c r="J72" s="11" t="s">
        <v>134</v>
      </c>
      <c r="K72" s="11" t="s">
        <v>1470</v>
      </c>
      <c r="L72" s="11" t="s">
        <v>1382</v>
      </c>
      <c r="M72" s="11" t="s">
        <v>181</v>
      </c>
      <c r="N72" s="11" t="s">
        <v>181</v>
      </c>
      <c r="O72" s="11" t="s">
        <v>134</v>
      </c>
      <c r="P72" s="11"/>
      <c r="Q72" s="11"/>
      <c r="R72" s="11" t="s">
        <v>2003</v>
      </c>
      <c r="S72" s="11" t="s">
        <v>1382</v>
      </c>
      <c r="T72" s="11" t="s">
        <v>2004</v>
      </c>
      <c r="U72" s="11" t="s">
        <v>1387</v>
      </c>
      <c r="V72" s="11" t="s">
        <v>2005</v>
      </c>
      <c r="W72" s="11" t="s">
        <v>1389</v>
      </c>
      <c r="X72" s="11" t="s">
        <v>1492</v>
      </c>
      <c r="Y72" s="11" t="s">
        <v>1470</v>
      </c>
      <c r="Z72" s="11" t="s">
        <v>1906</v>
      </c>
      <c r="AA72" s="11" t="s">
        <v>2006</v>
      </c>
      <c r="AB72" s="11" t="s">
        <v>2007</v>
      </c>
      <c r="AC72" s="11" t="s">
        <v>2003</v>
      </c>
      <c r="AD72" s="11">
        <v>5433070</v>
      </c>
      <c r="AE72" s="11" t="s">
        <v>1382</v>
      </c>
      <c r="AF72" s="11" t="s">
        <v>2008</v>
      </c>
      <c r="AG72" s="11" t="s">
        <v>1382</v>
      </c>
      <c r="AH72" s="11" t="s">
        <v>2009</v>
      </c>
      <c r="AI72" s="11" t="s">
        <v>2030</v>
      </c>
      <c r="AJ72" s="11" t="s">
        <v>2031</v>
      </c>
      <c r="AK72" s="11" t="s">
        <v>1396</v>
      </c>
      <c r="AL72" s="11" t="s">
        <v>134</v>
      </c>
      <c r="AM72" s="11">
        <v>5250</v>
      </c>
      <c r="AN72" s="11"/>
      <c r="AO72" s="11" t="s">
        <v>134</v>
      </c>
      <c r="AP72" s="11" t="s">
        <v>1397</v>
      </c>
      <c r="AQ72" s="11" t="s">
        <v>1398</v>
      </c>
      <c r="AR72" s="11" t="s">
        <v>1671</v>
      </c>
      <c r="AS72" s="11" t="s">
        <v>2011</v>
      </c>
      <c r="AT72" s="11"/>
      <c r="AU72" s="11" t="s">
        <v>54</v>
      </c>
      <c r="AV72" s="11"/>
      <c r="AW72" s="11" t="s">
        <v>2013</v>
      </c>
      <c r="AX72" s="11"/>
      <c r="AY72" s="11"/>
      <c r="AZ72" s="11"/>
      <c r="BA72" s="11"/>
      <c r="BB72" s="11">
        <v>74492611</v>
      </c>
      <c r="BC72" s="11" t="s">
        <v>1403</v>
      </c>
      <c r="BD72" s="11" t="s">
        <v>1432</v>
      </c>
      <c r="BE72" s="11" t="s">
        <v>1500</v>
      </c>
      <c r="BF72" s="11" t="s">
        <v>1501</v>
      </c>
      <c r="BG72" s="11" t="s">
        <v>1482</v>
      </c>
      <c r="BH72" s="11" t="s">
        <v>1435</v>
      </c>
      <c r="BI72" s="11" t="s">
        <v>1407</v>
      </c>
      <c r="BJ72" s="11" t="s">
        <v>134</v>
      </c>
      <c r="BK72" s="11"/>
      <c r="BL72" s="11"/>
      <c r="BM72" s="11"/>
      <c r="BN72" s="11" t="s">
        <v>1457</v>
      </c>
      <c r="BO72" s="11" t="s">
        <v>1410</v>
      </c>
    </row>
    <row r="73" spans="2:67">
      <c r="B73" s="11">
        <v>62</v>
      </c>
      <c r="C73" s="11" t="s">
        <v>1374</v>
      </c>
      <c r="D73" s="11" t="s">
        <v>1375</v>
      </c>
      <c r="E73" s="11"/>
      <c r="F73" s="11" t="s">
        <v>2032</v>
      </c>
      <c r="G73" s="11"/>
      <c r="H73" s="11" t="s">
        <v>2033</v>
      </c>
      <c r="I73" s="11" t="s">
        <v>2034</v>
      </c>
      <c r="J73" s="11" t="s">
        <v>134</v>
      </c>
      <c r="K73" s="11" t="s">
        <v>1441</v>
      </c>
      <c r="L73" s="11" t="s">
        <v>2035</v>
      </c>
      <c r="M73" s="11" t="s">
        <v>1581</v>
      </c>
      <c r="N73" s="11" t="s">
        <v>153</v>
      </c>
      <c r="O73" s="11"/>
      <c r="P73" s="11"/>
      <c r="Q73" s="11"/>
      <c r="R73" s="11" t="s">
        <v>2036</v>
      </c>
      <c r="S73" s="11" t="s">
        <v>1382</v>
      </c>
      <c r="T73" s="11" t="s">
        <v>2037</v>
      </c>
      <c r="U73" s="11" t="s">
        <v>1444</v>
      </c>
      <c r="V73" s="11" t="s">
        <v>2038</v>
      </c>
      <c r="W73" s="11" t="s">
        <v>1389</v>
      </c>
      <c r="X73" s="11" t="s">
        <v>1962</v>
      </c>
      <c r="Y73" s="11" t="s">
        <v>1441</v>
      </c>
      <c r="Z73" s="11" t="s">
        <v>1422</v>
      </c>
      <c r="AA73" s="11" t="s">
        <v>1423</v>
      </c>
      <c r="AB73" s="11" t="s">
        <v>2039</v>
      </c>
      <c r="AC73" s="11" t="s">
        <v>2036</v>
      </c>
      <c r="AD73" s="11">
        <v>5433040</v>
      </c>
      <c r="AE73" s="11" t="s">
        <v>1382</v>
      </c>
      <c r="AF73" s="11" t="s">
        <v>2040</v>
      </c>
      <c r="AG73" s="11" t="s">
        <v>1382</v>
      </c>
      <c r="AH73" s="11" t="s">
        <v>2040</v>
      </c>
      <c r="AI73" s="11" t="s">
        <v>1966</v>
      </c>
      <c r="AJ73" s="11" t="s">
        <v>1967</v>
      </c>
      <c r="AK73" s="11" t="s">
        <v>1396</v>
      </c>
      <c r="AL73" s="11" t="s">
        <v>134</v>
      </c>
      <c r="AM73" s="11">
        <v>15000</v>
      </c>
      <c r="AN73" s="11" t="s">
        <v>1450</v>
      </c>
      <c r="AO73" s="11" t="s">
        <v>134</v>
      </c>
      <c r="AP73" s="11" t="s">
        <v>1451</v>
      </c>
      <c r="AQ73" s="11" t="s">
        <v>1398</v>
      </c>
      <c r="AR73" s="11" t="s">
        <v>1399</v>
      </c>
      <c r="AS73" s="11" t="s">
        <v>2041</v>
      </c>
      <c r="AT73" s="11" t="s">
        <v>2042</v>
      </c>
      <c r="AU73" s="11" t="s">
        <v>54</v>
      </c>
      <c r="AV73" s="11"/>
      <c r="AW73" s="11" t="s">
        <v>2043</v>
      </c>
      <c r="AX73" s="11"/>
      <c r="AY73" s="11"/>
      <c r="AZ73" s="11"/>
      <c r="BA73" s="11"/>
      <c r="BB73" s="11">
        <v>59834457</v>
      </c>
      <c r="BC73" s="11" t="s">
        <v>1403</v>
      </c>
      <c r="BD73" s="11" t="s">
        <v>1456</v>
      </c>
      <c r="BE73" s="11" t="s">
        <v>1971</v>
      </c>
      <c r="BF73" s="11" t="s">
        <v>134</v>
      </c>
      <c r="BG73" s="11"/>
      <c r="BH73" s="11" t="s">
        <v>1435</v>
      </c>
      <c r="BI73" s="11" t="s">
        <v>1407</v>
      </c>
      <c r="BJ73" s="11" t="s">
        <v>134</v>
      </c>
      <c r="BK73" s="11"/>
      <c r="BL73" s="11" t="s">
        <v>1408</v>
      </c>
      <c r="BM73" s="11"/>
      <c r="BN73" s="11" t="s">
        <v>1457</v>
      </c>
      <c r="BO73" s="11"/>
    </row>
    <row r="74" spans="2:67">
      <c r="B74" s="11">
        <v>63</v>
      </c>
      <c r="C74" s="11" t="s">
        <v>1374</v>
      </c>
      <c r="D74" s="11" t="s">
        <v>1375</v>
      </c>
      <c r="E74" s="11" t="s">
        <v>2044</v>
      </c>
      <c r="F74" s="11" t="s">
        <v>2045</v>
      </c>
      <c r="G74" s="11" t="s">
        <v>1378</v>
      </c>
      <c r="H74" s="11" t="s">
        <v>2046</v>
      </c>
      <c r="I74" s="11" t="s">
        <v>2047</v>
      </c>
      <c r="J74" s="11" t="s">
        <v>134</v>
      </c>
      <c r="K74" s="11" t="s">
        <v>1470</v>
      </c>
      <c r="L74" s="11" t="s">
        <v>1382</v>
      </c>
      <c r="M74" s="11" t="s">
        <v>1383</v>
      </c>
      <c r="N74" s="11" t="s">
        <v>1957</v>
      </c>
      <c r="O74" s="11" t="s">
        <v>2048</v>
      </c>
      <c r="P74" s="11"/>
      <c r="Q74" s="11"/>
      <c r="R74" s="11" t="s">
        <v>2049</v>
      </c>
      <c r="S74" s="11" t="s">
        <v>1382</v>
      </c>
      <c r="T74" s="11" t="s">
        <v>2050</v>
      </c>
      <c r="U74" s="11" t="s">
        <v>1444</v>
      </c>
      <c r="V74" s="11" t="s">
        <v>2051</v>
      </c>
      <c r="W74" s="11" t="s">
        <v>1389</v>
      </c>
      <c r="X74" s="11" t="s">
        <v>2052</v>
      </c>
      <c r="Y74" s="11" t="s">
        <v>1470</v>
      </c>
      <c r="Z74" s="11" t="s">
        <v>2053</v>
      </c>
      <c r="AA74" s="11" t="s">
        <v>2054</v>
      </c>
      <c r="AB74" s="11" t="s">
        <v>2055</v>
      </c>
      <c r="AC74" s="11" t="s">
        <v>2049</v>
      </c>
      <c r="AD74" s="11">
        <v>5432904</v>
      </c>
      <c r="AE74" s="11" t="s">
        <v>1382</v>
      </c>
      <c r="AF74" s="11" t="s">
        <v>2056</v>
      </c>
      <c r="AG74" s="11" t="s">
        <v>1382</v>
      </c>
      <c r="AH74" s="11" t="s">
        <v>2057</v>
      </c>
      <c r="AI74" s="11" t="s">
        <v>2058</v>
      </c>
      <c r="AJ74" s="11" t="s">
        <v>2059</v>
      </c>
      <c r="AK74" s="11" t="s">
        <v>1396</v>
      </c>
      <c r="AL74" s="11" t="s">
        <v>134</v>
      </c>
      <c r="AM74" s="11">
        <v>40000</v>
      </c>
      <c r="AN74" s="11"/>
      <c r="AO74" s="11" t="s">
        <v>2048</v>
      </c>
      <c r="AP74" s="11" t="s">
        <v>1451</v>
      </c>
      <c r="AQ74" s="11" t="s">
        <v>1398</v>
      </c>
      <c r="AR74" s="11"/>
      <c r="AS74" s="11" t="s">
        <v>2060</v>
      </c>
      <c r="AT74" s="11"/>
      <c r="AU74" s="11" t="s">
        <v>54</v>
      </c>
      <c r="AV74" s="11"/>
      <c r="AW74" s="11" t="s">
        <v>2061</v>
      </c>
      <c r="AX74" s="11"/>
      <c r="AY74" s="11"/>
      <c r="AZ74" s="11"/>
      <c r="BA74" s="11"/>
      <c r="BB74" s="11">
        <v>51892257</v>
      </c>
      <c r="BC74" s="11" t="s">
        <v>1403</v>
      </c>
      <c r="BD74" s="11" t="s">
        <v>1432</v>
      </c>
      <c r="BE74" s="11" t="s">
        <v>2062</v>
      </c>
      <c r="BF74" s="11" t="s">
        <v>1555</v>
      </c>
      <c r="BG74" s="11" t="s">
        <v>1482</v>
      </c>
      <c r="BH74" s="11" t="s">
        <v>1435</v>
      </c>
      <c r="BI74" s="11" t="s">
        <v>1407</v>
      </c>
      <c r="BJ74" s="11" t="s">
        <v>134</v>
      </c>
      <c r="BK74" s="11"/>
      <c r="BL74" s="11"/>
      <c r="BM74" s="11"/>
      <c r="BN74" s="11" t="s">
        <v>1457</v>
      </c>
      <c r="BO74" s="11" t="s">
        <v>1410</v>
      </c>
    </row>
    <row r="75" spans="2:67">
      <c r="B75" s="11">
        <v>64</v>
      </c>
      <c r="C75" s="11" t="s">
        <v>1374</v>
      </c>
      <c r="D75" s="11" t="s">
        <v>1375</v>
      </c>
      <c r="E75" s="11" t="s">
        <v>2063</v>
      </c>
      <c r="F75" s="11" t="s">
        <v>2064</v>
      </c>
      <c r="G75" s="11" t="s">
        <v>1625</v>
      </c>
      <c r="H75" s="11" t="s">
        <v>2065</v>
      </c>
      <c r="I75" s="11" t="s">
        <v>2066</v>
      </c>
      <c r="J75" s="11" t="s">
        <v>134</v>
      </c>
      <c r="K75" s="11" t="s">
        <v>1470</v>
      </c>
      <c r="L75" s="11" t="s">
        <v>1229</v>
      </c>
      <c r="M75" s="11" t="s">
        <v>181</v>
      </c>
      <c r="N75" s="11" t="s">
        <v>181</v>
      </c>
      <c r="O75" s="11" t="s">
        <v>134</v>
      </c>
      <c r="P75" s="11"/>
      <c r="Q75" s="11"/>
      <c r="R75" s="11" t="s">
        <v>2067</v>
      </c>
      <c r="S75" s="11" t="s">
        <v>1382</v>
      </c>
      <c r="T75" s="11" t="s">
        <v>2068</v>
      </c>
      <c r="U75" s="11" t="s">
        <v>1387</v>
      </c>
      <c r="V75" s="11" t="s">
        <v>2069</v>
      </c>
      <c r="W75" s="11" t="s">
        <v>1389</v>
      </c>
      <c r="X75" s="11" t="s">
        <v>1769</v>
      </c>
      <c r="Y75" s="11" t="s">
        <v>1470</v>
      </c>
      <c r="Z75" s="11" t="s">
        <v>1422</v>
      </c>
      <c r="AA75" s="11" t="s">
        <v>1423</v>
      </c>
      <c r="AB75" s="11" t="s">
        <v>2070</v>
      </c>
      <c r="AC75" s="11" t="s">
        <v>2067</v>
      </c>
      <c r="AD75" s="11">
        <v>5431884</v>
      </c>
      <c r="AE75" s="11" t="s">
        <v>1382</v>
      </c>
      <c r="AF75" s="11" t="s">
        <v>2071</v>
      </c>
      <c r="AG75" s="11" t="s">
        <v>1382</v>
      </c>
      <c r="AH75" s="11" t="s">
        <v>2072</v>
      </c>
      <c r="AI75" s="11" t="s">
        <v>2073</v>
      </c>
      <c r="AJ75" s="11" t="s">
        <v>2074</v>
      </c>
      <c r="AK75" s="11" t="s">
        <v>1396</v>
      </c>
      <c r="AL75" s="11" t="s">
        <v>134</v>
      </c>
      <c r="AM75" s="11">
        <v>5502.55</v>
      </c>
      <c r="AN75" s="11"/>
      <c r="AO75" s="11" t="s">
        <v>134</v>
      </c>
      <c r="AP75" s="11" t="s">
        <v>1397</v>
      </c>
      <c r="AQ75" s="11" t="s">
        <v>1398</v>
      </c>
      <c r="AR75" s="11" t="s">
        <v>1652</v>
      </c>
      <c r="AS75" s="11" t="s">
        <v>2075</v>
      </c>
      <c r="AT75" s="11" t="s">
        <v>2076</v>
      </c>
      <c r="AU75" s="11" t="s">
        <v>54</v>
      </c>
      <c r="AV75" s="11"/>
      <c r="AW75" s="11" t="s">
        <v>2077</v>
      </c>
      <c r="AX75" s="11"/>
      <c r="AY75" s="11"/>
      <c r="AZ75" s="11"/>
      <c r="BA75" s="11"/>
      <c r="BB75" s="11">
        <v>80723875</v>
      </c>
      <c r="BC75" s="11" t="s">
        <v>1403</v>
      </c>
      <c r="BD75" s="11" t="s">
        <v>1432</v>
      </c>
      <c r="BE75" s="11" t="s">
        <v>2078</v>
      </c>
      <c r="BF75" s="11" t="s">
        <v>1780</v>
      </c>
      <c r="BG75" s="11" t="s">
        <v>1482</v>
      </c>
      <c r="BH75" s="11" t="s">
        <v>1435</v>
      </c>
      <c r="BI75" s="11" t="s">
        <v>1407</v>
      </c>
      <c r="BJ75" s="11" t="s">
        <v>134</v>
      </c>
      <c r="BK75" s="11"/>
      <c r="BL75" s="11" t="s">
        <v>1408</v>
      </c>
      <c r="BM75" s="11"/>
      <c r="BN75" s="11" t="s">
        <v>1457</v>
      </c>
      <c r="BO75" s="11" t="s">
        <v>1410</v>
      </c>
    </row>
    <row r="76" spans="2:67">
      <c r="B76" s="11">
        <v>65</v>
      </c>
      <c r="C76" s="11" t="s">
        <v>1374</v>
      </c>
      <c r="D76" s="11" t="s">
        <v>1375</v>
      </c>
      <c r="E76" s="11" t="s">
        <v>2063</v>
      </c>
      <c r="F76" s="11" t="s">
        <v>2064</v>
      </c>
      <c r="G76" s="11" t="s">
        <v>1625</v>
      </c>
      <c r="H76" s="11" t="s">
        <v>2065</v>
      </c>
      <c r="I76" s="11" t="s">
        <v>2066</v>
      </c>
      <c r="J76" s="11" t="s">
        <v>134</v>
      </c>
      <c r="K76" s="11" t="s">
        <v>1470</v>
      </c>
      <c r="L76" s="11" t="s">
        <v>1229</v>
      </c>
      <c r="M76" s="11" t="s">
        <v>181</v>
      </c>
      <c r="N76" s="11" t="s">
        <v>181</v>
      </c>
      <c r="O76" s="11" t="s">
        <v>134</v>
      </c>
      <c r="P76" s="11"/>
      <c r="Q76" s="11"/>
      <c r="R76" s="11" t="s">
        <v>2067</v>
      </c>
      <c r="S76" s="11" t="s">
        <v>1382</v>
      </c>
      <c r="T76" s="11" t="s">
        <v>2068</v>
      </c>
      <c r="U76" s="11" t="s">
        <v>1387</v>
      </c>
      <c r="V76" s="11" t="s">
        <v>2069</v>
      </c>
      <c r="W76" s="11" t="s">
        <v>1389</v>
      </c>
      <c r="X76" s="11" t="s">
        <v>1769</v>
      </c>
      <c r="Y76" s="11" t="s">
        <v>1470</v>
      </c>
      <c r="Z76" s="11" t="s">
        <v>1422</v>
      </c>
      <c r="AA76" s="11" t="s">
        <v>1423</v>
      </c>
      <c r="AB76" s="11" t="s">
        <v>2070</v>
      </c>
      <c r="AC76" s="11" t="s">
        <v>2067</v>
      </c>
      <c r="AD76" s="11">
        <v>5431884</v>
      </c>
      <c r="AE76" s="11" t="s">
        <v>1382</v>
      </c>
      <c r="AF76" s="11" t="s">
        <v>2071</v>
      </c>
      <c r="AG76" s="11" t="s">
        <v>1382</v>
      </c>
      <c r="AH76" s="11" t="s">
        <v>2072</v>
      </c>
      <c r="AI76" s="11" t="s">
        <v>2079</v>
      </c>
      <c r="AJ76" s="11" t="s">
        <v>2080</v>
      </c>
      <c r="AK76" s="11" t="s">
        <v>1396</v>
      </c>
      <c r="AL76" s="11" t="s">
        <v>134</v>
      </c>
      <c r="AM76" s="11">
        <v>797.45</v>
      </c>
      <c r="AN76" s="11"/>
      <c r="AO76" s="11" t="s">
        <v>134</v>
      </c>
      <c r="AP76" s="11" t="s">
        <v>1397</v>
      </c>
      <c r="AQ76" s="11" t="s">
        <v>1398</v>
      </c>
      <c r="AR76" s="11" t="s">
        <v>1652</v>
      </c>
      <c r="AS76" s="11" t="s">
        <v>2075</v>
      </c>
      <c r="AT76" s="11" t="s">
        <v>2081</v>
      </c>
      <c r="AU76" s="11" t="s">
        <v>54</v>
      </c>
      <c r="AV76" s="11"/>
      <c r="AW76" s="11" t="s">
        <v>2077</v>
      </c>
      <c r="AX76" s="11"/>
      <c r="AY76" s="11"/>
      <c r="AZ76" s="11"/>
      <c r="BA76" s="11"/>
      <c r="BB76" s="11">
        <v>80723875</v>
      </c>
      <c r="BC76" s="11" t="s">
        <v>1403</v>
      </c>
      <c r="BD76" s="11" t="s">
        <v>1432</v>
      </c>
      <c r="BE76" s="11" t="s">
        <v>2078</v>
      </c>
      <c r="BF76" s="11" t="s">
        <v>1780</v>
      </c>
      <c r="BG76" s="11" t="s">
        <v>1482</v>
      </c>
      <c r="BH76" s="11" t="s">
        <v>1435</v>
      </c>
      <c r="BI76" s="11" t="s">
        <v>1407</v>
      </c>
      <c r="BJ76" s="11" t="s">
        <v>134</v>
      </c>
      <c r="BK76" s="11"/>
      <c r="BL76" s="11" t="s">
        <v>1408</v>
      </c>
      <c r="BM76" s="11"/>
      <c r="BN76" s="11" t="s">
        <v>1457</v>
      </c>
      <c r="BO76" s="11" t="s">
        <v>1410</v>
      </c>
    </row>
    <row r="77" spans="2:67">
      <c r="B77" s="11">
        <v>66</v>
      </c>
      <c r="C77" s="11" t="s">
        <v>1374</v>
      </c>
      <c r="D77" s="11" t="s">
        <v>1375</v>
      </c>
      <c r="E77" s="11" t="s">
        <v>2063</v>
      </c>
      <c r="F77" s="11" t="s">
        <v>2064</v>
      </c>
      <c r="G77" s="11" t="s">
        <v>1625</v>
      </c>
      <c r="H77" s="11" t="s">
        <v>2065</v>
      </c>
      <c r="I77" s="11" t="s">
        <v>2066</v>
      </c>
      <c r="J77" s="11" t="s">
        <v>134</v>
      </c>
      <c r="K77" s="11" t="s">
        <v>1470</v>
      </c>
      <c r="L77" s="11" t="s">
        <v>1229</v>
      </c>
      <c r="M77" s="11" t="s">
        <v>181</v>
      </c>
      <c r="N77" s="11" t="s">
        <v>181</v>
      </c>
      <c r="O77" s="11" t="s">
        <v>134</v>
      </c>
      <c r="P77" s="11"/>
      <c r="Q77" s="11"/>
      <c r="R77" s="11" t="s">
        <v>2067</v>
      </c>
      <c r="S77" s="11" t="s">
        <v>1382</v>
      </c>
      <c r="T77" s="11" t="s">
        <v>2068</v>
      </c>
      <c r="U77" s="11" t="s">
        <v>1387</v>
      </c>
      <c r="V77" s="11" t="s">
        <v>2069</v>
      </c>
      <c r="W77" s="11" t="s">
        <v>1389</v>
      </c>
      <c r="X77" s="11" t="s">
        <v>1769</v>
      </c>
      <c r="Y77" s="11" t="s">
        <v>1470</v>
      </c>
      <c r="Z77" s="11" t="s">
        <v>1422</v>
      </c>
      <c r="AA77" s="11" t="s">
        <v>1423</v>
      </c>
      <c r="AB77" s="11" t="s">
        <v>2070</v>
      </c>
      <c r="AC77" s="11" t="s">
        <v>2067</v>
      </c>
      <c r="AD77" s="11">
        <v>5431884</v>
      </c>
      <c r="AE77" s="11" t="s">
        <v>1382</v>
      </c>
      <c r="AF77" s="11" t="s">
        <v>2071</v>
      </c>
      <c r="AG77" s="11" t="s">
        <v>1382</v>
      </c>
      <c r="AH77" s="11" t="s">
        <v>2072</v>
      </c>
      <c r="AI77" s="11" t="s">
        <v>2082</v>
      </c>
      <c r="AJ77" s="11" t="s">
        <v>2083</v>
      </c>
      <c r="AK77" s="11" t="s">
        <v>1396</v>
      </c>
      <c r="AL77" s="11" t="s">
        <v>134</v>
      </c>
      <c r="AM77" s="11">
        <v>797.45</v>
      </c>
      <c r="AN77" s="11"/>
      <c r="AO77" s="11" t="s">
        <v>134</v>
      </c>
      <c r="AP77" s="11" t="s">
        <v>1397</v>
      </c>
      <c r="AQ77" s="11" t="s">
        <v>1398</v>
      </c>
      <c r="AR77" s="11" t="s">
        <v>1652</v>
      </c>
      <c r="AS77" s="11" t="s">
        <v>2075</v>
      </c>
      <c r="AT77" s="11" t="s">
        <v>2084</v>
      </c>
      <c r="AU77" s="11" t="s">
        <v>54</v>
      </c>
      <c r="AV77" s="11"/>
      <c r="AW77" s="11" t="s">
        <v>2077</v>
      </c>
      <c r="AX77" s="11"/>
      <c r="AY77" s="11"/>
      <c r="AZ77" s="11"/>
      <c r="BA77" s="11"/>
      <c r="BB77" s="11">
        <v>80723875</v>
      </c>
      <c r="BC77" s="11" t="s">
        <v>1403</v>
      </c>
      <c r="BD77" s="11" t="s">
        <v>1432</v>
      </c>
      <c r="BE77" s="11" t="s">
        <v>2078</v>
      </c>
      <c r="BF77" s="11" t="s">
        <v>1780</v>
      </c>
      <c r="BG77" s="11" t="s">
        <v>1482</v>
      </c>
      <c r="BH77" s="11" t="s">
        <v>1435</v>
      </c>
      <c r="BI77" s="11" t="s">
        <v>1407</v>
      </c>
      <c r="BJ77" s="11" t="s">
        <v>134</v>
      </c>
      <c r="BK77" s="11"/>
      <c r="BL77" s="11" t="s">
        <v>1408</v>
      </c>
      <c r="BM77" s="11"/>
      <c r="BN77" s="11" t="s">
        <v>1457</v>
      </c>
      <c r="BO77" s="11" t="s">
        <v>1410</v>
      </c>
    </row>
    <row r="78" spans="2:67">
      <c r="B78" s="11">
        <v>67</v>
      </c>
      <c r="C78" s="11" t="s">
        <v>1374</v>
      </c>
      <c r="D78" s="11" t="s">
        <v>1375</v>
      </c>
      <c r="E78" s="11" t="s">
        <v>2063</v>
      </c>
      <c r="F78" s="11" t="s">
        <v>2064</v>
      </c>
      <c r="G78" s="11" t="s">
        <v>1625</v>
      </c>
      <c r="H78" s="11" t="s">
        <v>2065</v>
      </c>
      <c r="I78" s="11" t="s">
        <v>2066</v>
      </c>
      <c r="J78" s="11" t="s">
        <v>134</v>
      </c>
      <c r="K78" s="11" t="s">
        <v>1470</v>
      </c>
      <c r="L78" s="11" t="s">
        <v>1229</v>
      </c>
      <c r="M78" s="11" t="s">
        <v>181</v>
      </c>
      <c r="N78" s="11" t="s">
        <v>181</v>
      </c>
      <c r="O78" s="11" t="s">
        <v>134</v>
      </c>
      <c r="P78" s="11"/>
      <c r="Q78" s="11"/>
      <c r="R78" s="11" t="s">
        <v>2067</v>
      </c>
      <c r="S78" s="11" t="s">
        <v>1382</v>
      </c>
      <c r="T78" s="11" t="s">
        <v>2068</v>
      </c>
      <c r="U78" s="11" t="s">
        <v>1387</v>
      </c>
      <c r="V78" s="11" t="s">
        <v>2069</v>
      </c>
      <c r="W78" s="11" t="s">
        <v>1389</v>
      </c>
      <c r="X78" s="11" t="s">
        <v>1769</v>
      </c>
      <c r="Y78" s="11" t="s">
        <v>1470</v>
      </c>
      <c r="Z78" s="11" t="s">
        <v>1422</v>
      </c>
      <c r="AA78" s="11" t="s">
        <v>1423</v>
      </c>
      <c r="AB78" s="11" t="s">
        <v>2070</v>
      </c>
      <c r="AC78" s="11" t="s">
        <v>2067</v>
      </c>
      <c r="AD78" s="11">
        <v>5431884</v>
      </c>
      <c r="AE78" s="11" t="s">
        <v>1382</v>
      </c>
      <c r="AF78" s="11" t="s">
        <v>2071</v>
      </c>
      <c r="AG78" s="11" t="s">
        <v>1382</v>
      </c>
      <c r="AH78" s="11" t="s">
        <v>2072</v>
      </c>
      <c r="AI78" s="11" t="s">
        <v>2085</v>
      </c>
      <c r="AJ78" s="11" t="s">
        <v>2086</v>
      </c>
      <c r="AK78" s="11" t="s">
        <v>1396</v>
      </c>
      <c r="AL78" s="11" t="s">
        <v>134</v>
      </c>
      <c r="AM78" s="11">
        <v>5502.55</v>
      </c>
      <c r="AN78" s="11"/>
      <c r="AO78" s="11" t="s">
        <v>134</v>
      </c>
      <c r="AP78" s="11" t="s">
        <v>1397</v>
      </c>
      <c r="AQ78" s="11" t="s">
        <v>1398</v>
      </c>
      <c r="AR78" s="11" t="s">
        <v>1652</v>
      </c>
      <c r="AS78" s="11" t="s">
        <v>2075</v>
      </c>
      <c r="AT78" s="11" t="s">
        <v>2087</v>
      </c>
      <c r="AU78" s="11" t="s">
        <v>54</v>
      </c>
      <c r="AV78" s="11"/>
      <c r="AW78" s="11" t="s">
        <v>2077</v>
      </c>
      <c r="AX78" s="11"/>
      <c r="AY78" s="11"/>
      <c r="AZ78" s="11"/>
      <c r="BA78" s="11"/>
      <c r="BB78" s="11">
        <v>80723875</v>
      </c>
      <c r="BC78" s="11" t="s">
        <v>1403</v>
      </c>
      <c r="BD78" s="11" t="s">
        <v>1432</v>
      </c>
      <c r="BE78" s="11" t="s">
        <v>2078</v>
      </c>
      <c r="BF78" s="11" t="s">
        <v>1780</v>
      </c>
      <c r="BG78" s="11" t="s">
        <v>1482</v>
      </c>
      <c r="BH78" s="11" t="s">
        <v>1435</v>
      </c>
      <c r="BI78" s="11" t="s">
        <v>1407</v>
      </c>
      <c r="BJ78" s="11" t="s">
        <v>134</v>
      </c>
      <c r="BK78" s="11"/>
      <c r="BL78" s="11" t="s">
        <v>1408</v>
      </c>
      <c r="BM78" s="11"/>
      <c r="BN78" s="11" t="s">
        <v>1457</v>
      </c>
      <c r="BO78" s="11" t="s">
        <v>1410</v>
      </c>
    </row>
    <row r="79" spans="2:67">
      <c r="B79" s="11">
        <v>68</v>
      </c>
      <c r="C79" s="11" t="s">
        <v>1374</v>
      </c>
      <c r="D79" s="11" t="s">
        <v>1375</v>
      </c>
      <c r="E79" s="11" t="s">
        <v>2063</v>
      </c>
      <c r="F79" s="11" t="s">
        <v>2064</v>
      </c>
      <c r="G79" s="11" t="s">
        <v>1625</v>
      </c>
      <c r="H79" s="11" t="s">
        <v>2065</v>
      </c>
      <c r="I79" s="11" t="s">
        <v>2066</v>
      </c>
      <c r="J79" s="11" t="s">
        <v>134</v>
      </c>
      <c r="K79" s="11" t="s">
        <v>1470</v>
      </c>
      <c r="L79" s="11" t="s">
        <v>1229</v>
      </c>
      <c r="M79" s="11" t="s">
        <v>181</v>
      </c>
      <c r="N79" s="11" t="s">
        <v>181</v>
      </c>
      <c r="O79" s="11" t="s">
        <v>134</v>
      </c>
      <c r="P79" s="11"/>
      <c r="Q79" s="11"/>
      <c r="R79" s="11" t="s">
        <v>2067</v>
      </c>
      <c r="S79" s="11" t="s">
        <v>1382</v>
      </c>
      <c r="T79" s="11" t="s">
        <v>2068</v>
      </c>
      <c r="U79" s="11" t="s">
        <v>1387</v>
      </c>
      <c r="V79" s="11" t="s">
        <v>2069</v>
      </c>
      <c r="W79" s="11" t="s">
        <v>1389</v>
      </c>
      <c r="X79" s="11" t="s">
        <v>1769</v>
      </c>
      <c r="Y79" s="11" t="s">
        <v>1470</v>
      </c>
      <c r="Z79" s="11" t="s">
        <v>1422</v>
      </c>
      <c r="AA79" s="11" t="s">
        <v>1423</v>
      </c>
      <c r="AB79" s="11" t="s">
        <v>2070</v>
      </c>
      <c r="AC79" s="11" t="s">
        <v>2067</v>
      </c>
      <c r="AD79" s="11">
        <v>5431884</v>
      </c>
      <c r="AE79" s="11" t="s">
        <v>1382</v>
      </c>
      <c r="AF79" s="11" t="s">
        <v>2071</v>
      </c>
      <c r="AG79" s="11" t="s">
        <v>1382</v>
      </c>
      <c r="AH79" s="11" t="s">
        <v>2072</v>
      </c>
      <c r="AI79" s="11" t="s">
        <v>2088</v>
      </c>
      <c r="AJ79" s="11" t="s">
        <v>2089</v>
      </c>
      <c r="AK79" s="11" t="s">
        <v>1396</v>
      </c>
      <c r="AL79" s="11" t="s">
        <v>134</v>
      </c>
      <c r="AM79" s="11">
        <v>5502.55</v>
      </c>
      <c r="AN79" s="11"/>
      <c r="AO79" s="11" t="s">
        <v>134</v>
      </c>
      <c r="AP79" s="11" t="s">
        <v>1397</v>
      </c>
      <c r="AQ79" s="11" t="s">
        <v>1398</v>
      </c>
      <c r="AR79" s="11" t="s">
        <v>1652</v>
      </c>
      <c r="AS79" s="11" t="s">
        <v>2075</v>
      </c>
      <c r="AT79" s="11" t="s">
        <v>2090</v>
      </c>
      <c r="AU79" s="11" t="s">
        <v>54</v>
      </c>
      <c r="AV79" s="11"/>
      <c r="AW79" s="11" t="s">
        <v>2077</v>
      </c>
      <c r="AX79" s="11"/>
      <c r="AY79" s="11"/>
      <c r="AZ79" s="11"/>
      <c r="BA79" s="11"/>
      <c r="BB79" s="11">
        <v>80723875</v>
      </c>
      <c r="BC79" s="11" t="s">
        <v>1403</v>
      </c>
      <c r="BD79" s="11" t="s">
        <v>1432</v>
      </c>
      <c r="BE79" s="11" t="s">
        <v>2078</v>
      </c>
      <c r="BF79" s="11" t="s">
        <v>1780</v>
      </c>
      <c r="BG79" s="11" t="s">
        <v>1482</v>
      </c>
      <c r="BH79" s="11" t="s">
        <v>1435</v>
      </c>
      <c r="BI79" s="11" t="s">
        <v>1407</v>
      </c>
      <c r="BJ79" s="11" t="s">
        <v>134</v>
      </c>
      <c r="BK79" s="11"/>
      <c r="BL79" s="11" t="s">
        <v>1408</v>
      </c>
      <c r="BM79" s="11"/>
      <c r="BN79" s="11" t="s">
        <v>1457</v>
      </c>
      <c r="BO79" s="11" t="s">
        <v>1410</v>
      </c>
    </row>
    <row r="80" spans="2:67">
      <c r="B80" s="11">
        <v>69</v>
      </c>
      <c r="C80" s="11" t="s">
        <v>1374</v>
      </c>
      <c r="D80" s="11" t="s">
        <v>1375</v>
      </c>
      <c r="E80" s="11" t="s">
        <v>2063</v>
      </c>
      <c r="F80" s="11" t="s">
        <v>2064</v>
      </c>
      <c r="G80" s="11" t="s">
        <v>1625</v>
      </c>
      <c r="H80" s="11" t="s">
        <v>2065</v>
      </c>
      <c r="I80" s="11" t="s">
        <v>2066</v>
      </c>
      <c r="J80" s="11" t="s">
        <v>134</v>
      </c>
      <c r="K80" s="11" t="s">
        <v>1470</v>
      </c>
      <c r="L80" s="11" t="s">
        <v>1229</v>
      </c>
      <c r="M80" s="11" t="s">
        <v>181</v>
      </c>
      <c r="N80" s="11" t="s">
        <v>181</v>
      </c>
      <c r="O80" s="11" t="s">
        <v>134</v>
      </c>
      <c r="P80" s="11"/>
      <c r="Q80" s="11"/>
      <c r="R80" s="11" t="s">
        <v>2067</v>
      </c>
      <c r="S80" s="11" t="s">
        <v>1382</v>
      </c>
      <c r="T80" s="11" t="s">
        <v>2068</v>
      </c>
      <c r="U80" s="11" t="s">
        <v>1387</v>
      </c>
      <c r="V80" s="11" t="s">
        <v>2069</v>
      </c>
      <c r="W80" s="11" t="s">
        <v>1389</v>
      </c>
      <c r="X80" s="11" t="s">
        <v>1769</v>
      </c>
      <c r="Y80" s="11" t="s">
        <v>1470</v>
      </c>
      <c r="Z80" s="11" t="s">
        <v>1422</v>
      </c>
      <c r="AA80" s="11" t="s">
        <v>1423</v>
      </c>
      <c r="AB80" s="11" t="s">
        <v>2070</v>
      </c>
      <c r="AC80" s="11" t="s">
        <v>2067</v>
      </c>
      <c r="AD80" s="11">
        <v>5431884</v>
      </c>
      <c r="AE80" s="11" t="s">
        <v>1382</v>
      </c>
      <c r="AF80" s="11" t="s">
        <v>2071</v>
      </c>
      <c r="AG80" s="11" t="s">
        <v>1382</v>
      </c>
      <c r="AH80" s="11" t="s">
        <v>2072</v>
      </c>
      <c r="AI80" s="11" t="s">
        <v>2091</v>
      </c>
      <c r="AJ80" s="11" t="s">
        <v>2092</v>
      </c>
      <c r="AK80" s="11" t="s">
        <v>1396</v>
      </c>
      <c r="AL80" s="11" t="s">
        <v>134</v>
      </c>
      <c r="AM80" s="11">
        <v>547.45000000000005</v>
      </c>
      <c r="AN80" s="11"/>
      <c r="AO80" s="11" t="s">
        <v>134</v>
      </c>
      <c r="AP80" s="11" t="s">
        <v>1397</v>
      </c>
      <c r="AQ80" s="11" t="s">
        <v>1398</v>
      </c>
      <c r="AR80" s="11" t="s">
        <v>1652</v>
      </c>
      <c r="AS80" s="11" t="s">
        <v>2075</v>
      </c>
      <c r="AT80" s="11" t="s">
        <v>2093</v>
      </c>
      <c r="AU80" s="11" t="s">
        <v>54</v>
      </c>
      <c r="AV80" s="11"/>
      <c r="AW80" s="11" t="s">
        <v>2077</v>
      </c>
      <c r="AX80" s="11"/>
      <c r="AY80" s="11"/>
      <c r="AZ80" s="11"/>
      <c r="BA80" s="11"/>
      <c r="BB80" s="11">
        <v>80723875</v>
      </c>
      <c r="BC80" s="11" t="s">
        <v>1403</v>
      </c>
      <c r="BD80" s="11" t="s">
        <v>1432</v>
      </c>
      <c r="BE80" s="11" t="s">
        <v>2078</v>
      </c>
      <c r="BF80" s="11" t="s">
        <v>1780</v>
      </c>
      <c r="BG80" s="11" t="s">
        <v>1482</v>
      </c>
      <c r="BH80" s="11" t="s">
        <v>1435</v>
      </c>
      <c r="BI80" s="11" t="s">
        <v>1407</v>
      </c>
      <c r="BJ80" s="11" t="s">
        <v>134</v>
      </c>
      <c r="BK80" s="11"/>
      <c r="BL80" s="11" t="s">
        <v>1408</v>
      </c>
      <c r="BM80" s="11"/>
      <c r="BN80" s="11" t="s">
        <v>1457</v>
      </c>
      <c r="BO80" s="11" t="s">
        <v>1410</v>
      </c>
    </row>
    <row r="81" spans="2:67">
      <c r="B81" s="11">
        <v>70</v>
      </c>
      <c r="C81" s="11" t="s">
        <v>1374</v>
      </c>
      <c r="D81" s="11" t="s">
        <v>1375</v>
      </c>
      <c r="E81" s="11"/>
      <c r="F81" s="11" t="s">
        <v>1988</v>
      </c>
      <c r="G81" s="11"/>
      <c r="H81" s="11" t="s">
        <v>1989</v>
      </c>
      <c r="I81" s="11" t="s">
        <v>1990</v>
      </c>
      <c r="J81" s="11"/>
      <c r="K81" s="11" t="s">
        <v>1470</v>
      </c>
      <c r="L81" s="11" t="s">
        <v>94</v>
      </c>
      <c r="M81" s="11" t="s">
        <v>1581</v>
      </c>
      <c r="N81" s="11" t="s">
        <v>782</v>
      </c>
      <c r="O81" s="11"/>
      <c r="P81" s="11"/>
      <c r="Q81" s="11"/>
      <c r="R81" s="11" t="s">
        <v>784</v>
      </c>
      <c r="S81" s="11" t="s">
        <v>1382</v>
      </c>
      <c r="T81" s="11" t="s">
        <v>1991</v>
      </c>
      <c r="U81" s="11" t="s">
        <v>1444</v>
      </c>
      <c r="V81" s="11" t="s">
        <v>1992</v>
      </c>
      <c r="W81" s="11" t="s">
        <v>1389</v>
      </c>
      <c r="X81" s="11" t="s">
        <v>1598</v>
      </c>
      <c r="Y81" s="11" t="s">
        <v>1547</v>
      </c>
      <c r="Z81" s="11" t="s">
        <v>1993</v>
      </c>
      <c r="AA81" s="11" t="s">
        <v>1994</v>
      </c>
      <c r="AB81" s="11" t="s">
        <v>1995</v>
      </c>
      <c r="AC81" s="11" t="s">
        <v>784</v>
      </c>
      <c r="AD81" s="11">
        <v>5406395</v>
      </c>
      <c r="AE81" s="11" t="s">
        <v>1382</v>
      </c>
      <c r="AF81" s="11" t="s">
        <v>1996</v>
      </c>
      <c r="AG81" s="11" t="s">
        <v>1382</v>
      </c>
      <c r="AH81" s="11" t="s">
        <v>1996</v>
      </c>
      <c r="AI81" s="11" t="s">
        <v>1936</v>
      </c>
      <c r="AJ81" s="11" t="s">
        <v>1937</v>
      </c>
      <c r="AK81" s="11" t="s">
        <v>1396</v>
      </c>
      <c r="AL81" s="11" t="s">
        <v>134</v>
      </c>
      <c r="AM81" s="11">
        <v>3432.3</v>
      </c>
      <c r="AN81" s="11" t="s">
        <v>1450</v>
      </c>
      <c r="AO81" s="11" t="s">
        <v>134</v>
      </c>
      <c r="AP81" s="11" t="s">
        <v>1451</v>
      </c>
      <c r="AQ81" s="11" t="s">
        <v>1398</v>
      </c>
      <c r="AR81" s="11" t="s">
        <v>1671</v>
      </c>
      <c r="AS81" s="11" t="s">
        <v>785</v>
      </c>
      <c r="AT81" s="11" t="s">
        <v>2094</v>
      </c>
      <c r="AU81" s="11" t="s">
        <v>54</v>
      </c>
      <c r="AV81" s="11"/>
      <c r="AW81" s="11" t="s">
        <v>1997</v>
      </c>
      <c r="AX81" s="11"/>
      <c r="AY81" s="11"/>
      <c r="AZ81" s="11"/>
      <c r="BA81" s="11"/>
      <c r="BB81" s="11">
        <v>64203758</v>
      </c>
      <c r="BC81" s="11" t="s">
        <v>1403</v>
      </c>
      <c r="BD81" s="11" t="s">
        <v>1432</v>
      </c>
      <c r="BE81" s="11" t="s">
        <v>1694</v>
      </c>
      <c r="BF81" s="11" t="s">
        <v>1998</v>
      </c>
      <c r="BG81" s="11"/>
      <c r="BH81" s="11" t="s">
        <v>1435</v>
      </c>
      <c r="BI81" s="11" t="s">
        <v>1407</v>
      </c>
      <c r="BJ81" s="11" t="s">
        <v>134</v>
      </c>
      <c r="BK81" s="11"/>
      <c r="BL81" s="11" t="s">
        <v>1408</v>
      </c>
      <c r="BM81" s="11"/>
      <c r="BN81" s="11" t="s">
        <v>1556</v>
      </c>
      <c r="BO81" s="11"/>
    </row>
    <row r="82" spans="2:67">
      <c r="B82" s="11">
        <v>71</v>
      </c>
      <c r="C82" s="11" t="s">
        <v>1374</v>
      </c>
      <c r="D82" s="11" t="s">
        <v>1375</v>
      </c>
      <c r="E82" s="11"/>
      <c r="F82" s="11" t="s">
        <v>1988</v>
      </c>
      <c r="G82" s="11"/>
      <c r="H82" s="11" t="s">
        <v>1989</v>
      </c>
      <c r="I82" s="11" t="s">
        <v>1990</v>
      </c>
      <c r="J82" s="11"/>
      <c r="K82" s="11" t="s">
        <v>1470</v>
      </c>
      <c r="L82" s="11" t="s">
        <v>94</v>
      </c>
      <c r="M82" s="11" t="s">
        <v>1581</v>
      </c>
      <c r="N82" s="11" t="s">
        <v>782</v>
      </c>
      <c r="O82" s="11"/>
      <c r="P82" s="11"/>
      <c r="Q82" s="11"/>
      <c r="R82" s="11" t="s">
        <v>784</v>
      </c>
      <c r="S82" s="11" t="s">
        <v>1382</v>
      </c>
      <c r="T82" s="11" t="s">
        <v>1991</v>
      </c>
      <c r="U82" s="11" t="s">
        <v>1444</v>
      </c>
      <c r="V82" s="11" t="s">
        <v>1992</v>
      </c>
      <c r="W82" s="11" t="s">
        <v>1389</v>
      </c>
      <c r="X82" s="11" t="s">
        <v>1598</v>
      </c>
      <c r="Y82" s="11" t="s">
        <v>1547</v>
      </c>
      <c r="Z82" s="11" t="s">
        <v>1993</v>
      </c>
      <c r="AA82" s="11" t="s">
        <v>1994</v>
      </c>
      <c r="AB82" s="11" t="s">
        <v>1995</v>
      </c>
      <c r="AC82" s="11" t="s">
        <v>784</v>
      </c>
      <c r="AD82" s="11">
        <v>5406395</v>
      </c>
      <c r="AE82" s="11" t="s">
        <v>1382</v>
      </c>
      <c r="AF82" s="11" t="s">
        <v>1996</v>
      </c>
      <c r="AG82" s="11" t="s">
        <v>1382</v>
      </c>
      <c r="AH82" s="11" t="s">
        <v>1996</v>
      </c>
      <c r="AI82" s="11" t="s">
        <v>1928</v>
      </c>
      <c r="AJ82" s="11" t="s">
        <v>1929</v>
      </c>
      <c r="AK82" s="11" t="s">
        <v>1396</v>
      </c>
      <c r="AL82" s="11" t="s">
        <v>134</v>
      </c>
      <c r="AM82" s="11">
        <v>4862.1499999999996</v>
      </c>
      <c r="AN82" s="11" t="s">
        <v>1450</v>
      </c>
      <c r="AO82" s="11" t="s">
        <v>134</v>
      </c>
      <c r="AP82" s="11" t="s">
        <v>1451</v>
      </c>
      <c r="AQ82" s="11" t="s">
        <v>1398</v>
      </c>
      <c r="AR82" s="11" t="s">
        <v>1671</v>
      </c>
      <c r="AS82" s="11" t="s">
        <v>785</v>
      </c>
      <c r="AT82" s="11" t="s">
        <v>2095</v>
      </c>
      <c r="AU82" s="11" t="s">
        <v>54</v>
      </c>
      <c r="AV82" s="11"/>
      <c r="AW82" s="11" t="s">
        <v>1997</v>
      </c>
      <c r="AX82" s="11"/>
      <c r="AY82" s="11"/>
      <c r="AZ82" s="11"/>
      <c r="BA82" s="11"/>
      <c r="BB82" s="11">
        <v>64203758</v>
      </c>
      <c r="BC82" s="11" t="s">
        <v>1403</v>
      </c>
      <c r="BD82" s="11" t="s">
        <v>1432</v>
      </c>
      <c r="BE82" s="11" t="s">
        <v>1694</v>
      </c>
      <c r="BF82" s="11" t="s">
        <v>1998</v>
      </c>
      <c r="BG82" s="11"/>
      <c r="BH82" s="11" t="s">
        <v>1435</v>
      </c>
      <c r="BI82" s="11" t="s">
        <v>1407</v>
      </c>
      <c r="BJ82" s="11" t="s">
        <v>134</v>
      </c>
      <c r="BK82" s="11"/>
      <c r="BL82" s="11" t="s">
        <v>1408</v>
      </c>
      <c r="BM82" s="11"/>
      <c r="BN82" s="11" t="s">
        <v>1556</v>
      </c>
      <c r="BO82" s="11"/>
    </row>
    <row r="83" spans="2:67">
      <c r="B83" s="11">
        <v>72</v>
      </c>
      <c r="C83" s="11" t="s">
        <v>1374</v>
      </c>
      <c r="D83" s="11" t="s">
        <v>1375</v>
      </c>
      <c r="E83" s="11"/>
      <c r="F83" s="11" t="s">
        <v>1988</v>
      </c>
      <c r="G83" s="11"/>
      <c r="H83" s="11" t="s">
        <v>1989</v>
      </c>
      <c r="I83" s="11" t="s">
        <v>1990</v>
      </c>
      <c r="J83" s="11"/>
      <c r="K83" s="11" t="s">
        <v>1470</v>
      </c>
      <c r="L83" s="11" t="s">
        <v>94</v>
      </c>
      <c r="M83" s="11" t="s">
        <v>1581</v>
      </c>
      <c r="N83" s="11" t="s">
        <v>782</v>
      </c>
      <c r="O83" s="11"/>
      <c r="P83" s="11"/>
      <c r="Q83" s="11"/>
      <c r="R83" s="11" t="s">
        <v>784</v>
      </c>
      <c r="S83" s="11" t="s">
        <v>1382</v>
      </c>
      <c r="T83" s="11" t="s">
        <v>1991</v>
      </c>
      <c r="U83" s="11" t="s">
        <v>1444</v>
      </c>
      <c r="V83" s="11" t="s">
        <v>1992</v>
      </c>
      <c r="W83" s="11" t="s">
        <v>1389</v>
      </c>
      <c r="X83" s="11" t="s">
        <v>1598</v>
      </c>
      <c r="Y83" s="11" t="s">
        <v>1547</v>
      </c>
      <c r="Z83" s="11" t="s">
        <v>1993</v>
      </c>
      <c r="AA83" s="11" t="s">
        <v>1994</v>
      </c>
      <c r="AB83" s="11" t="s">
        <v>1995</v>
      </c>
      <c r="AC83" s="11" t="s">
        <v>784</v>
      </c>
      <c r="AD83" s="11">
        <v>5406395</v>
      </c>
      <c r="AE83" s="11" t="s">
        <v>1382</v>
      </c>
      <c r="AF83" s="11" t="s">
        <v>1996</v>
      </c>
      <c r="AG83" s="11" t="s">
        <v>1382</v>
      </c>
      <c r="AH83" s="11" t="s">
        <v>1996</v>
      </c>
      <c r="AI83" s="11" t="s">
        <v>1939</v>
      </c>
      <c r="AJ83" s="11" t="s">
        <v>1940</v>
      </c>
      <c r="AK83" s="11" t="s">
        <v>1396</v>
      </c>
      <c r="AL83" s="11" t="s">
        <v>134</v>
      </c>
      <c r="AM83" s="11">
        <v>12250</v>
      </c>
      <c r="AN83" s="11" t="s">
        <v>1450</v>
      </c>
      <c r="AO83" s="11" t="s">
        <v>134</v>
      </c>
      <c r="AP83" s="11" t="s">
        <v>1451</v>
      </c>
      <c r="AQ83" s="11" t="s">
        <v>1398</v>
      </c>
      <c r="AR83" s="11" t="s">
        <v>1671</v>
      </c>
      <c r="AS83" s="11" t="s">
        <v>785</v>
      </c>
      <c r="AT83" s="11" t="s">
        <v>2096</v>
      </c>
      <c r="AU83" s="11" t="s">
        <v>54</v>
      </c>
      <c r="AV83" s="11"/>
      <c r="AW83" s="11" t="s">
        <v>1997</v>
      </c>
      <c r="AX83" s="11"/>
      <c r="AY83" s="11"/>
      <c r="AZ83" s="11"/>
      <c r="BA83" s="11"/>
      <c r="BB83" s="11">
        <v>64203758</v>
      </c>
      <c r="BC83" s="11" t="s">
        <v>1403</v>
      </c>
      <c r="BD83" s="11" t="s">
        <v>1432</v>
      </c>
      <c r="BE83" s="11" t="s">
        <v>1694</v>
      </c>
      <c r="BF83" s="11" t="s">
        <v>1998</v>
      </c>
      <c r="BG83" s="11"/>
      <c r="BH83" s="11" t="s">
        <v>1435</v>
      </c>
      <c r="BI83" s="11" t="s">
        <v>1407</v>
      </c>
      <c r="BJ83" s="11" t="s">
        <v>134</v>
      </c>
      <c r="BK83" s="11"/>
      <c r="BL83" s="11" t="s">
        <v>1408</v>
      </c>
      <c r="BM83" s="11"/>
      <c r="BN83" s="11" t="s">
        <v>1556</v>
      </c>
      <c r="BO83" s="11"/>
    </row>
    <row r="84" spans="2:67">
      <c r="B84" s="11">
        <v>73</v>
      </c>
      <c r="C84" s="11" t="s">
        <v>1374</v>
      </c>
      <c r="D84" s="11" t="s">
        <v>1375</v>
      </c>
      <c r="E84" s="11"/>
      <c r="F84" s="11" t="s">
        <v>1988</v>
      </c>
      <c r="G84" s="11"/>
      <c r="H84" s="11" t="s">
        <v>1989</v>
      </c>
      <c r="I84" s="11" t="s">
        <v>1990</v>
      </c>
      <c r="J84" s="11"/>
      <c r="K84" s="11" t="s">
        <v>1470</v>
      </c>
      <c r="L84" s="11" t="s">
        <v>94</v>
      </c>
      <c r="M84" s="11" t="s">
        <v>1581</v>
      </c>
      <c r="N84" s="11" t="s">
        <v>782</v>
      </c>
      <c r="O84" s="11"/>
      <c r="P84" s="11"/>
      <c r="Q84" s="11"/>
      <c r="R84" s="11" t="s">
        <v>784</v>
      </c>
      <c r="S84" s="11" t="s">
        <v>1382</v>
      </c>
      <c r="T84" s="11" t="s">
        <v>1991</v>
      </c>
      <c r="U84" s="11" t="s">
        <v>1444</v>
      </c>
      <c r="V84" s="11" t="s">
        <v>1992</v>
      </c>
      <c r="W84" s="11" t="s">
        <v>1389</v>
      </c>
      <c r="X84" s="11" t="s">
        <v>1598</v>
      </c>
      <c r="Y84" s="11" t="s">
        <v>1547</v>
      </c>
      <c r="Z84" s="11" t="s">
        <v>1993</v>
      </c>
      <c r="AA84" s="11" t="s">
        <v>1994</v>
      </c>
      <c r="AB84" s="11" t="s">
        <v>1995</v>
      </c>
      <c r="AC84" s="11" t="s">
        <v>784</v>
      </c>
      <c r="AD84" s="11">
        <v>5406395</v>
      </c>
      <c r="AE84" s="11" t="s">
        <v>1382</v>
      </c>
      <c r="AF84" s="11" t="s">
        <v>1996</v>
      </c>
      <c r="AG84" s="11" t="s">
        <v>1382</v>
      </c>
      <c r="AH84" s="11" t="s">
        <v>1996</v>
      </c>
      <c r="AI84" s="11" t="s">
        <v>1942</v>
      </c>
      <c r="AJ84" s="11" t="s">
        <v>1943</v>
      </c>
      <c r="AK84" s="11" t="s">
        <v>1396</v>
      </c>
      <c r="AL84" s="11" t="s">
        <v>134</v>
      </c>
      <c r="AM84" s="11">
        <v>12400</v>
      </c>
      <c r="AN84" s="11" t="s">
        <v>1450</v>
      </c>
      <c r="AO84" s="11" t="s">
        <v>134</v>
      </c>
      <c r="AP84" s="11" t="s">
        <v>1451</v>
      </c>
      <c r="AQ84" s="11" t="s">
        <v>1398</v>
      </c>
      <c r="AR84" s="11" t="s">
        <v>1671</v>
      </c>
      <c r="AS84" s="11" t="s">
        <v>785</v>
      </c>
      <c r="AT84" s="11" t="s">
        <v>2097</v>
      </c>
      <c r="AU84" s="11" t="s">
        <v>54</v>
      </c>
      <c r="AV84" s="11"/>
      <c r="AW84" s="11" t="s">
        <v>1997</v>
      </c>
      <c r="AX84" s="11"/>
      <c r="AY84" s="11"/>
      <c r="AZ84" s="11"/>
      <c r="BA84" s="11"/>
      <c r="BB84" s="11">
        <v>64203758</v>
      </c>
      <c r="BC84" s="11" t="s">
        <v>1403</v>
      </c>
      <c r="BD84" s="11" t="s">
        <v>1432</v>
      </c>
      <c r="BE84" s="11" t="s">
        <v>1694</v>
      </c>
      <c r="BF84" s="11" t="s">
        <v>1998</v>
      </c>
      <c r="BG84" s="11"/>
      <c r="BH84" s="11" t="s">
        <v>1435</v>
      </c>
      <c r="BI84" s="11" t="s">
        <v>1407</v>
      </c>
      <c r="BJ84" s="11" t="s">
        <v>134</v>
      </c>
      <c r="BK84" s="11"/>
      <c r="BL84" s="11" t="s">
        <v>1408</v>
      </c>
      <c r="BM84" s="11"/>
      <c r="BN84" s="11" t="s">
        <v>1556</v>
      </c>
      <c r="BO84" s="11"/>
    </row>
    <row r="85" spans="2:67">
      <c r="B85" s="11">
        <v>74</v>
      </c>
      <c r="C85" s="11" t="s">
        <v>1374</v>
      </c>
      <c r="D85" s="11" t="s">
        <v>1375</v>
      </c>
      <c r="E85" s="11"/>
      <c r="F85" s="11" t="s">
        <v>1988</v>
      </c>
      <c r="G85" s="11"/>
      <c r="H85" s="11" t="s">
        <v>1989</v>
      </c>
      <c r="I85" s="11" t="s">
        <v>1990</v>
      </c>
      <c r="J85" s="11"/>
      <c r="K85" s="11" t="s">
        <v>1470</v>
      </c>
      <c r="L85" s="11" t="s">
        <v>94</v>
      </c>
      <c r="M85" s="11" t="s">
        <v>1581</v>
      </c>
      <c r="N85" s="11" t="s">
        <v>782</v>
      </c>
      <c r="O85" s="11"/>
      <c r="P85" s="11"/>
      <c r="Q85" s="11"/>
      <c r="R85" s="11" t="s">
        <v>784</v>
      </c>
      <c r="S85" s="11" t="s">
        <v>1382</v>
      </c>
      <c r="T85" s="11" t="s">
        <v>1991</v>
      </c>
      <c r="U85" s="11" t="s">
        <v>1444</v>
      </c>
      <c r="V85" s="11" t="s">
        <v>1992</v>
      </c>
      <c r="W85" s="11" t="s">
        <v>1389</v>
      </c>
      <c r="X85" s="11" t="s">
        <v>1598</v>
      </c>
      <c r="Y85" s="11" t="s">
        <v>1547</v>
      </c>
      <c r="Z85" s="11" t="s">
        <v>1993</v>
      </c>
      <c r="AA85" s="11" t="s">
        <v>1994</v>
      </c>
      <c r="AB85" s="11" t="s">
        <v>1995</v>
      </c>
      <c r="AC85" s="11" t="s">
        <v>784</v>
      </c>
      <c r="AD85" s="11">
        <v>5406395</v>
      </c>
      <c r="AE85" s="11" t="s">
        <v>1382</v>
      </c>
      <c r="AF85" s="11" t="s">
        <v>1996</v>
      </c>
      <c r="AG85" s="11" t="s">
        <v>1382</v>
      </c>
      <c r="AH85" s="11" t="s">
        <v>1996</v>
      </c>
      <c r="AI85" s="11" t="s">
        <v>1945</v>
      </c>
      <c r="AJ85" s="11" t="s">
        <v>1946</v>
      </c>
      <c r="AK85" s="11" t="s">
        <v>1396</v>
      </c>
      <c r="AL85" s="11" t="s">
        <v>134</v>
      </c>
      <c r="AM85" s="11">
        <v>7662.95</v>
      </c>
      <c r="AN85" s="11" t="s">
        <v>1450</v>
      </c>
      <c r="AO85" s="11" t="s">
        <v>134</v>
      </c>
      <c r="AP85" s="11" t="s">
        <v>1451</v>
      </c>
      <c r="AQ85" s="11" t="s">
        <v>1398</v>
      </c>
      <c r="AR85" s="11" t="s">
        <v>1671</v>
      </c>
      <c r="AS85" s="11" t="s">
        <v>785</v>
      </c>
      <c r="AT85" s="11" t="s">
        <v>2098</v>
      </c>
      <c r="AU85" s="11" t="s">
        <v>54</v>
      </c>
      <c r="AV85" s="11"/>
      <c r="AW85" s="11" t="s">
        <v>1997</v>
      </c>
      <c r="AX85" s="11"/>
      <c r="AY85" s="11"/>
      <c r="AZ85" s="11"/>
      <c r="BA85" s="11"/>
      <c r="BB85" s="11">
        <v>64203758</v>
      </c>
      <c r="BC85" s="11" t="s">
        <v>1403</v>
      </c>
      <c r="BD85" s="11" t="s">
        <v>1432</v>
      </c>
      <c r="BE85" s="11" t="s">
        <v>1694</v>
      </c>
      <c r="BF85" s="11" t="s">
        <v>1998</v>
      </c>
      <c r="BG85" s="11"/>
      <c r="BH85" s="11" t="s">
        <v>1435</v>
      </c>
      <c r="BI85" s="11" t="s">
        <v>1407</v>
      </c>
      <c r="BJ85" s="11" t="s">
        <v>134</v>
      </c>
      <c r="BK85" s="11"/>
      <c r="BL85" s="11" t="s">
        <v>1408</v>
      </c>
      <c r="BM85" s="11"/>
      <c r="BN85" s="11" t="s">
        <v>1556</v>
      </c>
      <c r="BO85" s="11"/>
    </row>
    <row r="86" spans="2:67">
      <c r="B86" s="11">
        <v>75</v>
      </c>
      <c r="C86" s="11" t="s">
        <v>1374</v>
      </c>
      <c r="D86" s="11" t="s">
        <v>1375</v>
      </c>
      <c r="E86" s="11"/>
      <c r="F86" s="11" t="s">
        <v>1988</v>
      </c>
      <c r="G86" s="11"/>
      <c r="H86" s="11" t="s">
        <v>1989</v>
      </c>
      <c r="I86" s="11" t="s">
        <v>1990</v>
      </c>
      <c r="J86" s="11"/>
      <c r="K86" s="11" t="s">
        <v>1470</v>
      </c>
      <c r="L86" s="11" t="s">
        <v>94</v>
      </c>
      <c r="M86" s="11" t="s">
        <v>1581</v>
      </c>
      <c r="N86" s="11" t="s">
        <v>782</v>
      </c>
      <c r="O86" s="11"/>
      <c r="P86" s="11"/>
      <c r="Q86" s="11"/>
      <c r="R86" s="11" t="s">
        <v>784</v>
      </c>
      <c r="S86" s="11" t="s">
        <v>1382</v>
      </c>
      <c r="T86" s="11" t="s">
        <v>1991</v>
      </c>
      <c r="U86" s="11" t="s">
        <v>1444</v>
      </c>
      <c r="V86" s="11" t="s">
        <v>1992</v>
      </c>
      <c r="W86" s="11" t="s">
        <v>1389</v>
      </c>
      <c r="X86" s="11" t="s">
        <v>1598</v>
      </c>
      <c r="Y86" s="11" t="s">
        <v>1547</v>
      </c>
      <c r="Z86" s="11" t="s">
        <v>1993</v>
      </c>
      <c r="AA86" s="11" t="s">
        <v>1994</v>
      </c>
      <c r="AB86" s="11" t="s">
        <v>1995</v>
      </c>
      <c r="AC86" s="11" t="s">
        <v>784</v>
      </c>
      <c r="AD86" s="11">
        <v>5406395</v>
      </c>
      <c r="AE86" s="11" t="s">
        <v>1382</v>
      </c>
      <c r="AF86" s="11" t="s">
        <v>1996</v>
      </c>
      <c r="AG86" s="11" t="s">
        <v>1382</v>
      </c>
      <c r="AH86" s="11" t="s">
        <v>1996</v>
      </c>
      <c r="AI86" s="11" t="s">
        <v>1948</v>
      </c>
      <c r="AJ86" s="11" t="s">
        <v>1949</v>
      </c>
      <c r="AK86" s="11" t="s">
        <v>1396</v>
      </c>
      <c r="AL86" s="11" t="s">
        <v>134</v>
      </c>
      <c r="AM86" s="11">
        <v>4842.6000000000004</v>
      </c>
      <c r="AN86" s="11" t="s">
        <v>1450</v>
      </c>
      <c r="AO86" s="11" t="s">
        <v>134</v>
      </c>
      <c r="AP86" s="11" t="s">
        <v>1451</v>
      </c>
      <c r="AQ86" s="11" t="s">
        <v>1398</v>
      </c>
      <c r="AR86" s="11" t="s">
        <v>1671</v>
      </c>
      <c r="AS86" s="11" t="s">
        <v>785</v>
      </c>
      <c r="AT86" s="11" t="s">
        <v>2099</v>
      </c>
      <c r="AU86" s="11" t="s">
        <v>54</v>
      </c>
      <c r="AV86" s="11"/>
      <c r="AW86" s="11" t="s">
        <v>1997</v>
      </c>
      <c r="AX86" s="11"/>
      <c r="AY86" s="11"/>
      <c r="AZ86" s="11"/>
      <c r="BA86" s="11"/>
      <c r="BB86" s="11">
        <v>64203758</v>
      </c>
      <c r="BC86" s="11" t="s">
        <v>1403</v>
      </c>
      <c r="BD86" s="11" t="s">
        <v>1432</v>
      </c>
      <c r="BE86" s="11" t="s">
        <v>1694</v>
      </c>
      <c r="BF86" s="11" t="s">
        <v>1998</v>
      </c>
      <c r="BG86" s="11"/>
      <c r="BH86" s="11" t="s">
        <v>1435</v>
      </c>
      <c r="BI86" s="11" t="s">
        <v>1407</v>
      </c>
      <c r="BJ86" s="11" t="s">
        <v>134</v>
      </c>
      <c r="BK86" s="11"/>
      <c r="BL86" s="11" t="s">
        <v>1408</v>
      </c>
      <c r="BM86" s="11"/>
      <c r="BN86" s="11" t="s">
        <v>1556</v>
      </c>
      <c r="BO86" s="11"/>
    </row>
    <row r="87" spans="2:67">
      <c r="B87" s="11">
        <v>76</v>
      </c>
      <c r="C87" s="11" t="s">
        <v>1374</v>
      </c>
      <c r="D87" s="11" t="s">
        <v>1375</v>
      </c>
      <c r="E87" s="11" t="s">
        <v>1488</v>
      </c>
      <c r="F87" s="11" t="s">
        <v>2100</v>
      </c>
      <c r="G87" s="11" t="s">
        <v>1523</v>
      </c>
      <c r="H87" s="11" t="s">
        <v>2101</v>
      </c>
      <c r="I87" s="11" t="s">
        <v>2102</v>
      </c>
      <c r="J87" s="11" t="s">
        <v>134</v>
      </c>
      <c r="K87" s="11" t="s">
        <v>1470</v>
      </c>
      <c r="L87" s="11" t="s">
        <v>1382</v>
      </c>
      <c r="M87" s="11" t="s">
        <v>1383</v>
      </c>
      <c r="N87" s="11" t="s">
        <v>1957</v>
      </c>
      <c r="O87" s="11" t="s">
        <v>2103</v>
      </c>
      <c r="P87" s="11"/>
      <c r="Q87" s="11"/>
      <c r="R87" s="11" t="s">
        <v>2104</v>
      </c>
      <c r="S87" s="11" t="s">
        <v>1382</v>
      </c>
      <c r="T87" s="11" t="s">
        <v>2105</v>
      </c>
      <c r="U87" s="11" t="s">
        <v>1387</v>
      </c>
      <c r="V87" s="11" t="s">
        <v>2106</v>
      </c>
      <c r="W87" s="11" t="s">
        <v>1389</v>
      </c>
      <c r="X87" s="11" t="s">
        <v>1769</v>
      </c>
      <c r="Y87" s="11" t="s">
        <v>1470</v>
      </c>
      <c r="Z87" s="11" t="s">
        <v>1511</v>
      </c>
      <c r="AA87" s="11" t="s">
        <v>2107</v>
      </c>
      <c r="AB87" s="11" t="s">
        <v>2108</v>
      </c>
      <c r="AC87" s="11" t="s">
        <v>2104</v>
      </c>
      <c r="AD87" s="11">
        <v>5405910</v>
      </c>
      <c r="AE87" s="11" t="s">
        <v>1382</v>
      </c>
      <c r="AF87" s="11" t="s">
        <v>2109</v>
      </c>
      <c r="AG87" s="11" t="s">
        <v>1382</v>
      </c>
      <c r="AH87" s="11" t="s">
        <v>2109</v>
      </c>
      <c r="AI87" s="11" t="s">
        <v>2088</v>
      </c>
      <c r="AJ87" s="11" t="s">
        <v>2089</v>
      </c>
      <c r="AK87" s="11" t="s">
        <v>1396</v>
      </c>
      <c r="AL87" s="11" t="s">
        <v>134</v>
      </c>
      <c r="AM87" s="11">
        <v>10330.4</v>
      </c>
      <c r="AN87" s="11"/>
      <c r="AO87" s="11" t="s">
        <v>2103</v>
      </c>
      <c r="AP87" s="11" t="s">
        <v>1397</v>
      </c>
      <c r="AQ87" s="11" t="s">
        <v>1398</v>
      </c>
      <c r="AR87" s="11" t="s">
        <v>1652</v>
      </c>
      <c r="AS87" s="11" t="s">
        <v>2110</v>
      </c>
      <c r="AT87" s="11" t="s">
        <v>2111</v>
      </c>
      <c r="AU87" s="11" t="s">
        <v>54</v>
      </c>
      <c r="AV87" s="11"/>
      <c r="AW87" s="11" t="s">
        <v>2112</v>
      </c>
      <c r="AX87" s="11"/>
      <c r="AY87" s="11"/>
      <c r="AZ87" s="11"/>
      <c r="BA87" s="11"/>
      <c r="BB87" s="11">
        <v>30897544</v>
      </c>
      <c r="BC87" s="11" t="s">
        <v>1403</v>
      </c>
      <c r="BD87" s="11" t="s">
        <v>1432</v>
      </c>
      <c r="BE87" s="11" t="s">
        <v>2078</v>
      </c>
      <c r="BF87" s="11" t="s">
        <v>1555</v>
      </c>
      <c r="BG87" s="11" t="s">
        <v>1482</v>
      </c>
      <c r="BH87" s="11" t="s">
        <v>1520</v>
      </c>
      <c r="BI87" s="11" t="s">
        <v>1407</v>
      </c>
      <c r="BJ87" s="11" t="s">
        <v>134</v>
      </c>
      <c r="BK87" s="11"/>
      <c r="BL87" s="11" t="s">
        <v>1408</v>
      </c>
      <c r="BM87" s="11"/>
      <c r="BN87" s="11" t="s">
        <v>1483</v>
      </c>
      <c r="BO87" s="11" t="s">
        <v>1410</v>
      </c>
    </row>
    <row r="88" spans="2:67">
      <c r="B88" s="11">
        <v>77</v>
      </c>
      <c r="C88" s="11" t="s">
        <v>1374</v>
      </c>
      <c r="D88" s="11" t="s">
        <v>1375</v>
      </c>
      <c r="E88" s="11" t="s">
        <v>1488</v>
      </c>
      <c r="F88" s="11" t="s">
        <v>2100</v>
      </c>
      <c r="G88" s="11" t="s">
        <v>1523</v>
      </c>
      <c r="H88" s="11" t="s">
        <v>2101</v>
      </c>
      <c r="I88" s="11" t="s">
        <v>2102</v>
      </c>
      <c r="J88" s="11" t="s">
        <v>134</v>
      </c>
      <c r="K88" s="11" t="s">
        <v>1470</v>
      </c>
      <c r="L88" s="11" t="s">
        <v>1382</v>
      </c>
      <c r="M88" s="11" t="s">
        <v>1383</v>
      </c>
      <c r="N88" s="11" t="s">
        <v>1957</v>
      </c>
      <c r="O88" s="11" t="s">
        <v>2103</v>
      </c>
      <c r="P88" s="11"/>
      <c r="Q88" s="11"/>
      <c r="R88" s="11" t="s">
        <v>2104</v>
      </c>
      <c r="S88" s="11" t="s">
        <v>1382</v>
      </c>
      <c r="T88" s="11" t="s">
        <v>2105</v>
      </c>
      <c r="U88" s="11" t="s">
        <v>1387</v>
      </c>
      <c r="V88" s="11" t="s">
        <v>2106</v>
      </c>
      <c r="W88" s="11" t="s">
        <v>1389</v>
      </c>
      <c r="X88" s="11" t="s">
        <v>1769</v>
      </c>
      <c r="Y88" s="11" t="s">
        <v>1470</v>
      </c>
      <c r="Z88" s="11" t="s">
        <v>1511</v>
      </c>
      <c r="AA88" s="11" t="s">
        <v>2107</v>
      </c>
      <c r="AB88" s="11" t="s">
        <v>2108</v>
      </c>
      <c r="AC88" s="11" t="s">
        <v>2104</v>
      </c>
      <c r="AD88" s="11">
        <v>5405910</v>
      </c>
      <c r="AE88" s="11" t="s">
        <v>1382</v>
      </c>
      <c r="AF88" s="11" t="s">
        <v>2109</v>
      </c>
      <c r="AG88" s="11" t="s">
        <v>1382</v>
      </c>
      <c r="AH88" s="11" t="s">
        <v>2109</v>
      </c>
      <c r="AI88" s="11" t="s">
        <v>2079</v>
      </c>
      <c r="AJ88" s="11" t="s">
        <v>2080</v>
      </c>
      <c r="AK88" s="11" t="s">
        <v>1396</v>
      </c>
      <c r="AL88" s="11" t="s">
        <v>134</v>
      </c>
      <c r="AM88" s="11">
        <v>1569.6</v>
      </c>
      <c r="AN88" s="11"/>
      <c r="AO88" s="11" t="s">
        <v>2103</v>
      </c>
      <c r="AP88" s="11" t="s">
        <v>1397</v>
      </c>
      <c r="AQ88" s="11" t="s">
        <v>1398</v>
      </c>
      <c r="AR88" s="11" t="s">
        <v>1652</v>
      </c>
      <c r="AS88" s="11" t="s">
        <v>2110</v>
      </c>
      <c r="AT88" s="11" t="s">
        <v>2113</v>
      </c>
      <c r="AU88" s="11" t="s">
        <v>54</v>
      </c>
      <c r="AV88" s="11"/>
      <c r="AW88" s="11" t="s">
        <v>2112</v>
      </c>
      <c r="AX88" s="11"/>
      <c r="AY88" s="11"/>
      <c r="AZ88" s="11"/>
      <c r="BA88" s="11"/>
      <c r="BB88" s="11">
        <v>30897544</v>
      </c>
      <c r="BC88" s="11" t="s">
        <v>1403</v>
      </c>
      <c r="BD88" s="11" t="s">
        <v>1432</v>
      </c>
      <c r="BE88" s="11" t="s">
        <v>2078</v>
      </c>
      <c r="BF88" s="11" t="s">
        <v>1555</v>
      </c>
      <c r="BG88" s="11" t="s">
        <v>1482</v>
      </c>
      <c r="BH88" s="11" t="s">
        <v>1520</v>
      </c>
      <c r="BI88" s="11" t="s">
        <v>1407</v>
      </c>
      <c r="BJ88" s="11" t="s">
        <v>134</v>
      </c>
      <c r="BK88" s="11"/>
      <c r="BL88" s="11" t="s">
        <v>1408</v>
      </c>
      <c r="BM88" s="11"/>
      <c r="BN88" s="11" t="s">
        <v>1483</v>
      </c>
      <c r="BO88" s="11" t="s">
        <v>1410</v>
      </c>
    </row>
    <row r="89" spans="2:67">
      <c r="B89" s="11">
        <v>78</v>
      </c>
      <c r="C89" s="11" t="s">
        <v>1374</v>
      </c>
      <c r="D89" s="11" t="s">
        <v>1375</v>
      </c>
      <c r="E89" s="11" t="s">
        <v>1488</v>
      </c>
      <c r="F89" s="11" t="s">
        <v>2100</v>
      </c>
      <c r="G89" s="11" t="s">
        <v>1523</v>
      </c>
      <c r="H89" s="11" t="s">
        <v>2101</v>
      </c>
      <c r="I89" s="11" t="s">
        <v>2102</v>
      </c>
      <c r="J89" s="11" t="s">
        <v>134</v>
      </c>
      <c r="K89" s="11" t="s">
        <v>1470</v>
      </c>
      <c r="L89" s="11" t="s">
        <v>1382</v>
      </c>
      <c r="M89" s="11" t="s">
        <v>1383</v>
      </c>
      <c r="N89" s="11" t="s">
        <v>1957</v>
      </c>
      <c r="O89" s="11" t="s">
        <v>2103</v>
      </c>
      <c r="P89" s="11"/>
      <c r="Q89" s="11"/>
      <c r="R89" s="11" t="s">
        <v>2104</v>
      </c>
      <c r="S89" s="11" t="s">
        <v>1382</v>
      </c>
      <c r="T89" s="11" t="s">
        <v>2105</v>
      </c>
      <c r="U89" s="11" t="s">
        <v>1387</v>
      </c>
      <c r="V89" s="11" t="s">
        <v>2106</v>
      </c>
      <c r="W89" s="11" t="s">
        <v>1389</v>
      </c>
      <c r="X89" s="11" t="s">
        <v>1769</v>
      </c>
      <c r="Y89" s="11" t="s">
        <v>1470</v>
      </c>
      <c r="Z89" s="11" t="s">
        <v>1511</v>
      </c>
      <c r="AA89" s="11" t="s">
        <v>2107</v>
      </c>
      <c r="AB89" s="11" t="s">
        <v>2108</v>
      </c>
      <c r="AC89" s="11" t="s">
        <v>2104</v>
      </c>
      <c r="AD89" s="11">
        <v>5405910</v>
      </c>
      <c r="AE89" s="11" t="s">
        <v>1382</v>
      </c>
      <c r="AF89" s="11" t="s">
        <v>2109</v>
      </c>
      <c r="AG89" s="11" t="s">
        <v>1382</v>
      </c>
      <c r="AH89" s="11" t="s">
        <v>2109</v>
      </c>
      <c r="AI89" s="11" t="s">
        <v>2085</v>
      </c>
      <c r="AJ89" s="11" t="s">
        <v>2086</v>
      </c>
      <c r="AK89" s="11" t="s">
        <v>1396</v>
      </c>
      <c r="AL89" s="11" t="s">
        <v>134</v>
      </c>
      <c r="AM89" s="11">
        <v>10830.4</v>
      </c>
      <c r="AN89" s="11"/>
      <c r="AO89" s="11" t="s">
        <v>2103</v>
      </c>
      <c r="AP89" s="11" t="s">
        <v>1397</v>
      </c>
      <c r="AQ89" s="11" t="s">
        <v>1398</v>
      </c>
      <c r="AR89" s="11" t="s">
        <v>1652</v>
      </c>
      <c r="AS89" s="11" t="s">
        <v>2110</v>
      </c>
      <c r="AT89" s="11" t="s">
        <v>2114</v>
      </c>
      <c r="AU89" s="11" t="s">
        <v>54</v>
      </c>
      <c r="AV89" s="11"/>
      <c r="AW89" s="11" t="s">
        <v>2112</v>
      </c>
      <c r="AX89" s="11"/>
      <c r="AY89" s="11"/>
      <c r="AZ89" s="11"/>
      <c r="BA89" s="11"/>
      <c r="BB89" s="11">
        <v>30897544</v>
      </c>
      <c r="BC89" s="11" t="s">
        <v>1403</v>
      </c>
      <c r="BD89" s="11" t="s">
        <v>1432</v>
      </c>
      <c r="BE89" s="11" t="s">
        <v>2078</v>
      </c>
      <c r="BF89" s="11" t="s">
        <v>1555</v>
      </c>
      <c r="BG89" s="11" t="s">
        <v>1482</v>
      </c>
      <c r="BH89" s="11" t="s">
        <v>1520</v>
      </c>
      <c r="BI89" s="11" t="s">
        <v>1407</v>
      </c>
      <c r="BJ89" s="11" t="s">
        <v>134</v>
      </c>
      <c r="BK89" s="11"/>
      <c r="BL89" s="11" t="s">
        <v>1408</v>
      </c>
      <c r="BM89" s="11"/>
      <c r="BN89" s="11" t="s">
        <v>1483</v>
      </c>
      <c r="BO89" s="11" t="s">
        <v>1410</v>
      </c>
    </row>
    <row r="90" spans="2:67">
      <c r="B90" s="11">
        <v>79</v>
      </c>
      <c r="C90" s="11" t="s">
        <v>1374</v>
      </c>
      <c r="D90" s="11" t="s">
        <v>1375</v>
      </c>
      <c r="E90" s="11" t="s">
        <v>1488</v>
      </c>
      <c r="F90" s="11" t="s">
        <v>2100</v>
      </c>
      <c r="G90" s="11" t="s">
        <v>1523</v>
      </c>
      <c r="H90" s="11" t="s">
        <v>2101</v>
      </c>
      <c r="I90" s="11" t="s">
        <v>2102</v>
      </c>
      <c r="J90" s="11" t="s">
        <v>134</v>
      </c>
      <c r="K90" s="11" t="s">
        <v>1470</v>
      </c>
      <c r="L90" s="11" t="s">
        <v>1382</v>
      </c>
      <c r="M90" s="11" t="s">
        <v>1383</v>
      </c>
      <c r="N90" s="11" t="s">
        <v>1957</v>
      </c>
      <c r="O90" s="11" t="s">
        <v>2103</v>
      </c>
      <c r="P90" s="11"/>
      <c r="Q90" s="11"/>
      <c r="R90" s="11" t="s">
        <v>2104</v>
      </c>
      <c r="S90" s="11" t="s">
        <v>1382</v>
      </c>
      <c r="T90" s="11" t="s">
        <v>2105</v>
      </c>
      <c r="U90" s="11" t="s">
        <v>1387</v>
      </c>
      <c r="V90" s="11" t="s">
        <v>2106</v>
      </c>
      <c r="W90" s="11" t="s">
        <v>1389</v>
      </c>
      <c r="X90" s="11" t="s">
        <v>1769</v>
      </c>
      <c r="Y90" s="11" t="s">
        <v>1470</v>
      </c>
      <c r="Z90" s="11" t="s">
        <v>1511</v>
      </c>
      <c r="AA90" s="11" t="s">
        <v>2107</v>
      </c>
      <c r="AB90" s="11" t="s">
        <v>2108</v>
      </c>
      <c r="AC90" s="11" t="s">
        <v>2104</v>
      </c>
      <c r="AD90" s="11">
        <v>5405910</v>
      </c>
      <c r="AE90" s="11" t="s">
        <v>1382</v>
      </c>
      <c r="AF90" s="11" t="s">
        <v>2109</v>
      </c>
      <c r="AG90" s="11" t="s">
        <v>1382</v>
      </c>
      <c r="AH90" s="11" t="s">
        <v>2109</v>
      </c>
      <c r="AI90" s="11" t="s">
        <v>2082</v>
      </c>
      <c r="AJ90" s="11" t="s">
        <v>2083</v>
      </c>
      <c r="AK90" s="11" t="s">
        <v>1396</v>
      </c>
      <c r="AL90" s="11" t="s">
        <v>134</v>
      </c>
      <c r="AM90" s="11">
        <v>1569.6</v>
      </c>
      <c r="AN90" s="11"/>
      <c r="AO90" s="11" t="s">
        <v>2103</v>
      </c>
      <c r="AP90" s="11" t="s">
        <v>1397</v>
      </c>
      <c r="AQ90" s="11" t="s">
        <v>1398</v>
      </c>
      <c r="AR90" s="11" t="s">
        <v>1652</v>
      </c>
      <c r="AS90" s="11" t="s">
        <v>2110</v>
      </c>
      <c r="AT90" s="11" t="s">
        <v>2115</v>
      </c>
      <c r="AU90" s="11" t="s">
        <v>54</v>
      </c>
      <c r="AV90" s="11"/>
      <c r="AW90" s="11" t="s">
        <v>2112</v>
      </c>
      <c r="AX90" s="11"/>
      <c r="AY90" s="11"/>
      <c r="AZ90" s="11"/>
      <c r="BA90" s="11"/>
      <c r="BB90" s="11">
        <v>30897544</v>
      </c>
      <c r="BC90" s="11" t="s">
        <v>1403</v>
      </c>
      <c r="BD90" s="11" t="s">
        <v>1432</v>
      </c>
      <c r="BE90" s="11" t="s">
        <v>2078</v>
      </c>
      <c r="BF90" s="11" t="s">
        <v>1555</v>
      </c>
      <c r="BG90" s="11" t="s">
        <v>1482</v>
      </c>
      <c r="BH90" s="11" t="s">
        <v>1520</v>
      </c>
      <c r="BI90" s="11" t="s">
        <v>1407</v>
      </c>
      <c r="BJ90" s="11" t="s">
        <v>134</v>
      </c>
      <c r="BK90" s="11"/>
      <c r="BL90" s="11" t="s">
        <v>1408</v>
      </c>
      <c r="BM90" s="11"/>
      <c r="BN90" s="11" t="s">
        <v>1483</v>
      </c>
      <c r="BO90" s="11" t="s">
        <v>1410</v>
      </c>
    </row>
    <row r="91" spans="2:67">
      <c r="B91" s="11">
        <v>80</v>
      </c>
      <c r="C91" s="11" t="s">
        <v>1374</v>
      </c>
      <c r="D91" s="11" t="s">
        <v>1375</v>
      </c>
      <c r="E91" s="11" t="s">
        <v>2116</v>
      </c>
      <c r="F91" s="11" t="s">
        <v>2117</v>
      </c>
      <c r="G91" s="11" t="s">
        <v>1974</v>
      </c>
      <c r="H91" s="11" t="s">
        <v>2118</v>
      </c>
      <c r="I91" s="11" t="s">
        <v>2002</v>
      </c>
      <c r="J91" s="11" t="s">
        <v>134</v>
      </c>
      <c r="K91" s="11" t="s">
        <v>1488</v>
      </c>
      <c r="L91" s="11" t="s">
        <v>94</v>
      </c>
      <c r="M91" s="11" t="s">
        <v>181</v>
      </c>
      <c r="N91" s="11" t="s">
        <v>181</v>
      </c>
      <c r="O91" s="11" t="s">
        <v>134</v>
      </c>
      <c r="P91" s="11"/>
      <c r="Q91" s="11"/>
      <c r="R91" s="11" t="s">
        <v>2116</v>
      </c>
      <c r="S91" s="11" t="s">
        <v>94</v>
      </c>
      <c r="T91" s="11" t="s">
        <v>2119</v>
      </c>
      <c r="U91" s="11" t="s">
        <v>1387</v>
      </c>
      <c r="V91" s="11" t="s">
        <v>2120</v>
      </c>
      <c r="W91" s="11" t="s">
        <v>1389</v>
      </c>
      <c r="X91" s="11" t="s">
        <v>1492</v>
      </c>
      <c r="Y91" s="11" t="s">
        <v>1381</v>
      </c>
      <c r="Z91" s="11" t="s">
        <v>2121</v>
      </c>
      <c r="AA91" s="11" t="s">
        <v>2122</v>
      </c>
      <c r="AB91" s="11" t="s">
        <v>2123</v>
      </c>
      <c r="AC91" s="11" t="s">
        <v>2116</v>
      </c>
      <c r="AD91" s="11">
        <v>5430845</v>
      </c>
      <c r="AE91" s="11" t="s">
        <v>94</v>
      </c>
      <c r="AF91" s="11" t="s">
        <v>2124</v>
      </c>
      <c r="AG91" s="11" t="s">
        <v>94</v>
      </c>
      <c r="AH91" s="11" t="s">
        <v>2124</v>
      </c>
      <c r="AI91" s="11" t="s">
        <v>2125</v>
      </c>
      <c r="AJ91" s="11" t="s">
        <v>2126</v>
      </c>
      <c r="AK91" s="11" t="s">
        <v>1396</v>
      </c>
      <c r="AL91" s="11" t="s">
        <v>134</v>
      </c>
      <c r="AM91" s="11">
        <v>2141.0500000000002</v>
      </c>
      <c r="AN91" s="11"/>
      <c r="AO91" s="11" t="s">
        <v>134</v>
      </c>
      <c r="AP91" s="11" t="s">
        <v>1397</v>
      </c>
      <c r="AQ91" s="11" t="s">
        <v>1398</v>
      </c>
      <c r="AR91" s="11" t="s">
        <v>1652</v>
      </c>
      <c r="AS91" s="11" t="s">
        <v>2127</v>
      </c>
      <c r="AT91" s="11" t="s">
        <v>2128</v>
      </c>
      <c r="AU91" s="11" t="s">
        <v>1478</v>
      </c>
      <c r="AV91" s="11"/>
      <c r="AW91" s="11" t="s">
        <v>2129</v>
      </c>
      <c r="AX91" s="11"/>
      <c r="AY91" s="11"/>
      <c r="AZ91" s="11"/>
      <c r="BA91" s="11"/>
      <c r="BB91" s="11">
        <v>80714734</v>
      </c>
      <c r="BC91" s="11" t="s">
        <v>1403</v>
      </c>
      <c r="BD91" s="11" t="s">
        <v>2130</v>
      </c>
      <c r="BE91" s="11" t="s">
        <v>1836</v>
      </c>
      <c r="BF91" s="11" t="s">
        <v>1576</v>
      </c>
      <c r="BG91" s="11" t="s">
        <v>1482</v>
      </c>
      <c r="BH91" s="11" t="s">
        <v>2131</v>
      </c>
      <c r="BI91" s="11" t="s">
        <v>1407</v>
      </c>
      <c r="BJ91" s="11" t="s">
        <v>134</v>
      </c>
      <c r="BK91" s="11"/>
      <c r="BL91" s="11" t="s">
        <v>1408</v>
      </c>
      <c r="BM91" s="11"/>
      <c r="BN91" s="11" t="s">
        <v>1457</v>
      </c>
      <c r="BO91" s="11" t="s">
        <v>1410</v>
      </c>
    </row>
    <row r="92" spans="2:67">
      <c r="B92" s="11">
        <v>81</v>
      </c>
      <c r="C92" s="11" t="s">
        <v>1374</v>
      </c>
      <c r="D92" s="11" t="s">
        <v>1375</v>
      </c>
      <c r="E92" s="11" t="s">
        <v>2116</v>
      </c>
      <c r="F92" s="11" t="s">
        <v>2117</v>
      </c>
      <c r="G92" s="11" t="s">
        <v>1974</v>
      </c>
      <c r="H92" s="11" t="s">
        <v>2118</v>
      </c>
      <c r="I92" s="11" t="s">
        <v>2002</v>
      </c>
      <c r="J92" s="11" t="s">
        <v>134</v>
      </c>
      <c r="K92" s="11" t="s">
        <v>1488</v>
      </c>
      <c r="L92" s="11" t="s">
        <v>94</v>
      </c>
      <c r="M92" s="11" t="s">
        <v>181</v>
      </c>
      <c r="N92" s="11" t="s">
        <v>181</v>
      </c>
      <c r="O92" s="11" t="s">
        <v>134</v>
      </c>
      <c r="P92" s="11"/>
      <c r="Q92" s="11"/>
      <c r="R92" s="11" t="s">
        <v>2116</v>
      </c>
      <c r="S92" s="11" t="s">
        <v>94</v>
      </c>
      <c r="T92" s="11" t="s">
        <v>2119</v>
      </c>
      <c r="U92" s="11" t="s">
        <v>1387</v>
      </c>
      <c r="V92" s="11" t="s">
        <v>2120</v>
      </c>
      <c r="W92" s="11" t="s">
        <v>1389</v>
      </c>
      <c r="X92" s="11" t="s">
        <v>1492</v>
      </c>
      <c r="Y92" s="11" t="s">
        <v>1381</v>
      </c>
      <c r="Z92" s="11" t="s">
        <v>2121</v>
      </c>
      <c r="AA92" s="11" t="s">
        <v>2122</v>
      </c>
      <c r="AB92" s="11" t="s">
        <v>2123</v>
      </c>
      <c r="AC92" s="11" t="s">
        <v>2116</v>
      </c>
      <c r="AD92" s="11">
        <v>5430845</v>
      </c>
      <c r="AE92" s="11" t="s">
        <v>94</v>
      </c>
      <c r="AF92" s="11" t="s">
        <v>2124</v>
      </c>
      <c r="AG92" s="11" t="s">
        <v>94</v>
      </c>
      <c r="AH92" s="11" t="s">
        <v>2124</v>
      </c>
      <c r="AI92" s="11" t="s">
        <v>1910</v>
      </c>
      <c r="AJ92" s="11" t="s">
        <v>1405</v>
      </c>
      <c r="AK92" s="11" t="s">
        <v>1396</v>
      </c>
      <c r="AL92" s="11" t="s">
        <v>134</v>
      </c>
      <c r="AM92" s="11">
        <v>1982</v>
      </c>
      <c r="AN92" s="11"/>
      <c r="AO92" s="11" t="s">
        <v>134</v>
      </c>
      <c r="AP92" s="11" t="s">
        <v>1397</v>
      </c>
      <c r="AQ92" s="11" t="s">
        <v>1398</v>
      </c>
      <c r="AR92" s="11" t="s">
        <v>1652</v>
      </c>
      <c r="AS92" s="11" t="s">
        <v>2127</v>
      </c>
      <c r="AT92" s="11" t="s">
        <v>2132</v>
      </c>
      <c r="AU92" s="11" t="s">
        <v>1478</v>
      </c>
      <c r="AV92" s="11"/>
      <c r="AW92" s="11" t="s">
        <v>2129</v>
      </c>
      <c r="AX92" s="11"/>
      <c r="AY92" s="11"/>
      <c r="AZ92" s="11"/>
      <c r="BA92" s="11"/>
      <c r="BB92" s="11">
        <v>80714734</v>
      </c>
      <c r="BC92" s="11" t="s">
        <v>1403</v>
      </c>
      <c r="BD92" s="11" t="s">
        <v>2130</v>
      </c>
      <c r="BE92" s="11" t="s">
        <v>1836</v>
      </c>
      <c r="BF92" s="11" t="s">
        <v>1576</v>
      </c>
      <c r="BG92" s="11" t="s">
        <v>1482</v>
      </c>
      <c r="BH92" s="11" t="s">
        <v>2131</v>
      </c>
      <c r="BI92" s="11" t="s">
        <v>1407</v>
      </c>
      <c r="BJ92" s="11" t="s">
        <v>134</v>
      </c>
      <c r="BK92" s="11"/>
      <c r="BL92" s="11" t="s">
        <v>1408</v>
      </c>
      <c r="BM92" s="11"/>
      <c r="BN92" s="11" t="s">
        <v>1457</v>
      </c>
      <c r="BO92" s="11" t="s">
        <v>1410</v>
      </c>
    </row>
    <row r="93" spans="2:67">
      <c r="B93" s="11">
        <v>82</v>
      </c>
      <c r="C93" s="11" t="s">
        <v>1374</v>
      </c>
      <c r="D93" s="11" t="s">
        <v>1375</v>
      </c>
      <c r="E93" s="11" t="s">
        <v>2116</v>
      </c>
      <c r="F93" s="11" t="s">
        <v>2117</v>
      </c>
      <c r="G93" s="11" t="s">
        <v>1974</v>
      </c>
      <c r="H93" s="11" t="s">
        <v>2118</v>
      </c>
      <c r="I93" s="11" t="s">
        <v>2002</v>
      </c>
      <c r="J93" s="11" t="s">
        <v>134</v>
      </c>
      <c r="K93" s="11" t="s">
        <v>1488</v>
      </c>
      <c r="L93" s="11" t="s">
        <v>94</v>
      </c>
      <c r="M93" s="11" t="s">
        <v>181</v>
      </c>
      <c r="N93" s="11" t="s">
        <v>181</v>
      </c>
      <c r="O93" s="11" t="s">
        <v>134</v>
      </c>
      <c r="P93" s="11"/>
      <c r="Q93" s="11"/>
      <c r="R93" s="11" t="s">
        <v>2116</v>
      </c>
      <c r="S93" s="11" t="s">
        <v>94</v>
      </c>
      <c r="T93" s="11" t="s">
        <v>2119</v>
      </c>
      <c r="U93" s="11" t="s">
        <v>1387</v>
      </c>
      <c r="V93" s="11" t="s">
        <v>2120</v>
      </c>
      <c r="W93" s="11" t="s">
        <v>1389</v>
      </c>
      <c r="X93" s="11" t="s">
        <v>1492</v>
      </c>
      <c r="Y93" s="11" t="s">
        <v>1381</v>
      </c>
      <c r="Z93" s="11" t="s">
        <v>2121</v>
      </c>
      <c r="AA93" s="11" t="s">
        <v>2122</v>
      </c>
      <c r="AB93" s="11" t="s">
        <v>2123</v>
      </c>
      <c r="AC93" s="11" t="s">
        <v>2116</v>
      </c>
      <c r="AD93" s="11">
        <v>5430845</v>
      </c>
      <c r="AE93" s="11" t="s">
        <v>94</v>
      </c>
      <c r="AF93" s="11" t="s">
        <v>2124</v>
      </c>
      <c r="AG93" s="11" t="s">
        <v>94</v>
      </c>
      <c r="AH93" s="11" t="s">
        <v>2124</v>
      </c>
      <c r="AI93" s="11" t="s">
        <v>2133</v>
      </c>
      <c r="AJ93" s="11" t="s">
        <v>2134</v>
      </c>
      <c r="AK93" s="11" t="s">
        <v>1396</v>
      </c>
      <c r="AL93" s="11" t="s">
        <v>134</v>
      </c>
      <c r="AM93" s="11">
        <v>2569.25</v>
      </c>
      <c r="AN93" s="11"/>
      <c r="AO93" s="11" t="s">
        <v>134</v>
      </c>
      <c r="AP93" s="11" t="s">
        <v>1397</v>
      </c>
      <c r="AQ93" s="11" t="s">
        <v>1398</v>
      </c>
      <c r="AR93" s="11" t="s">
        <v>1652</v>
      </c>
      <c r="AS93" s="11" t="s">
        <v>2127</v>
      </c>
      <c r="AT93" s="11" t="s">
        <v>2135</v>
      </c>
      <c r="AU93" s="11" t="s">
        <v>1478</v>
      </c>
      <c r="AV93" s="11"/>
      <c r="AW93" s="11" t="s">
        <v>2129</v>
      </c>
      <c r="AX93" s="11"/>
      <c r="AY93" s="11"/>
      <c r="AZ93" s="11"/>
      <c r="BA93" s="11"/>
      <c r="BB93" s="11">
        <v>80714734</v>
      </c>
      <c r="BC93" s="11" t="s">
        <v>1403</v>
      </c>
      <c r="BD93" s="11" t="s">
        <v>2130</v>
      </c>
      <c r="BE93" s="11" t="s">
        <v>1836</v>
      </c>
      <c r="BF93" s="11" t="s">
        <v>1576</v>
      </c>
      <c r="BG93" s="11" t="s">
        <v>1482</v>
      </c>
      <c r="BH93" s="11" t="s">
        <v>2131</v>
      </c>
      <c r="BI93" s="11" t="s">
        <v>1407</v>
      </c>
      <c r="BJ93" s="11" t="s">
        <v>134</v>
      </c>
      <c r="BK93" s="11"/>
      <c r="BL93" s="11" t="s">
        <v>1408</v>
      </c>
      <c r="BM93" s="11"/>
      <c r="BN93" s="11" t="s">
        <v>1457</v>
      </c>
      <c r="BO93" s="11" t="s">
        <v>1410</v>
      </c>
    </row>
    <row r="94" spans="2:67">
      <c r="B94" s="11">
        <v>83</v>
      </c>
      <c r="C94" s="11" t="s">
        <v>1374</v>
      </c>
      <c r="D94" s="11" t="s">
        <v>1375</v>
      </c>
      <c r="E94" s="11" t="s">
        <v>2116</v>
      </c>
      <c r="F94" s="11" t="s">
        <v>2117</v>
      </c>
      <c r="G94" s="11" t="s">
        <v>1974</v>
      </c>
      <c r="H94" s="11" t="s">
        <v>2118</v>
      </c>
      <c r="I94" s="11" t="s">
        <v>2002</v>
      </c>
      <c r="J94" s="11" t="s">
        <v>134</v>
      </c>
      <c r="K94" s="11" t="s">
        <v>1488</v>
      </c>
      <c r="L94" s="11" t="s">
        <v>94</v>
      </c>
      <c r="M94" s="11" t="s">
        <v>181</v>
      </c>
      <c r="N94" s="11" t="s">
        <v>181</v>
      </c>
      <c r="O94" s="11" t="s">
        <v>134</v>
      </c>
      <c r="P94" s="11"/>
      <c r="Q94" s="11"/>
      <c r="R94" s="11" t="s">
        <v>2116</v>
      </c>
      <c r="S94" s="11" t="s">
        <v>94</v>
      </c>
      <c r="T94" s="11" t="s">
        <v>2119</v>
      </c>
      <c r="U94" s="11" t="s">
        <v>1387</v>
      </c>
      <c r="V94" s="11" t="s">
        <v>2120</v>
      </c>
      <c r="W94" s="11" t="s">
        <v>1389</v>
      </c>
      <c r="X94" s="11" t="s">
        <v>1492</v>
      </c>
      <c r="Y94" s="11" t="s">
        <v>1381</v>
      </c>
      <c r="Z94" s="11" t="s">
        <v>2121</v>
      </c>
      <c r="AA94" s="11" t="s">
        <v>2122</v>
      </c>
      <c r="AB94" s="11" t="s">
        <v>2123</v>
      </c>
      <c r="AC94" s="11" t="s">
        <v>2116</v>
      </c>
      <c r="AD94" s="11">
        <v>5430845</v>
      </c>
      <c r="AE94" s="11" t="s">
        <v>94</v>
      </c>
      <c r="AF94" s="11" t="s">
        <v>2124</v>
      </c>
      <c r="AG94" s="11" t="s">
        <v>94</v>
      </c>
      <c r="AH94" s="11" t="s">
        <v>2124</v>
      </c>
      <c r="AI94" s="11" t="s">
        <v>2136</v>
      </c>
      <c r="AJ94" s="11" t="s">
        <v>2137</v>
      </c>
      <c r="AK94" s="11" t="s">
        <v>1396</v>
      </c>
      <c r="AL94" s="11" t="s">
        <v>134</v>
      </c>
      <c r="AM94" s="11">
        <v>1468.15</v>
      </c>
      <c r="AN94" s="11"/>
      <c r="AO94" s="11" t="s">
        <v>134</v>
      </c>
      <c r="AP94" s="11" t="s">
        <v>1397</v>
      </c>
      <c r="AQ94" s="11" t="s">
        <v>1398</v>
      </c>
      <c r="AR94" s="11" t="s">
        <v>1652</v>
      </c>
      <c r="AS94" s="11" t="s">
        <v>2127</v>
      </c>
      <c r="AT94" s="11" t="s">
        <v>2138</v>
      </c>
      <c r="AU94" s="11" t="s">
        <v>1478</v>
      </c>
      <c r="AV94" s="11"/>
      <c r="AW94" s="11" t="s">
        <v>2129</v>
      </c>
      <c r="AX94" s="11"/>
      <c r="AY94" s="11"/>
      <c r="AZ94" s="11"/>
      <c r="BA94" s="11"/>
      <c r="BB94" s="11">
        <v>80714734</v>
      </c>
      <c r="BC94" s="11" t="s">
        <v>1403</v>
      </c>
      <c r="BD94" s="11" t="s">
        <v>2130</v>
      </c>
      <c r="BE94" s="11" t="s">
        <v>1836</v>
      </c>
      <c r="BF94" s="11" t="s">
        <v>1576</v>
      </c>
      <c r="BG94" s="11" t="s">
        <v>1482</v>
      </c>
      <c r="BH94" s="11" t="s">
        <v>2131</v>
      </c>
      <c r="BI94" s="11" t="s">
        <v>1407</v>
      </c>
      <c r="BJ94" s="11" t="s">
        <v>134</v>
      </c>
      <c r="BK94" s="11"/>
      <c r="BL94" s="11" t="s">
        <v>1408</v>
      </c>
      <c r="BM94" s="11"/>
      <c r="BN94" s="11" t="s">
        <v>1457</v>
      </c>
      <c r="BO94" s="11" t="s">
        <v>1410</v>
      </c>
    </row>
    <row r="95" spans="2:67">
      <c r="B95" s="11">
        <v>84</v>
      </c>
      <c r="C95" s="11" t="s">
        <v>1374</v>
      </c>
      <c r="D95" s="11" t="s">
        <v>1375</v>
      </c>
      <c r="E95" s="11" t="s">
        <v>2116</v>
      </c>
      <c r="F95" s="11" t="s">
        <v>2117</v>
      </c>
      <c r="G95" s="11" t="s">
        <v>1974</v>
      </c>
      <c r="H95" s="11" t="s">
        <v>2118</v>
      </c>
      <c r="I95" s="11" t="s">
        <v>2002</v>
      </c>
      <c r="J95" s="11" t="s">
        <v>134</v>
      </c>
      <c r="K95" s="11" t="s">
        <v>1488</v>
      </c>
      <c r="L95" s="11" t="s">
        <v>94</v>
      </c>
      <c r="M95" s="11" t="s">
        <v>181</v>
      </c>
      <c r="N95" s="11" t="s">
        <v>181</v>
      </c>
      <c r="O95" s="11" t="s">
        <v>134</v>
      </c>
      <c r="P95" s="11"/>
      <c r="Q95" s="11"/>
      <c r="R95" s="11" t="s">
        <v>2116</v>
      </c>
      <c r="S95" s="11" t="s">
        <v>94</v>
      </c>
      <c r="T95" s="11" t="s">
        <v>2119</v>
      </c>
      <c r="U95" s="11" t="s">
        <v>1387</v>
      </c>
      <c r="V95" s="11" t="s">
        <v>2120</v>
      </c>
      <c r="W95" s="11" t="s">
        <v>1389</v>
      </c>
      <c r="X95" s="11" t="s">
        <v>1492</v>
      </c>
      <c r="Y95" s="11" t="s">
        <v>1381</v>
      </c>
      <c r="Z95" s="11" t="s">
        <v>2121</v>
      </c>
      <c r="AA95" s="11" t="s">
        <v>2122</v>
      </c>
      <c r="AB95" s="11" t="s">
        <v>2123</v>
      </c>
      <c r="AC95" s="11" t="s">
        <v>2116</v>
      </c>
      <c r="AD95" s="11">
        <v>5430845</v>
      </c>
      <c r="AE95" s="11" t="s">
        <v>94</v>
      </c>
      <c r="AF95" s="11" t="s">
        <v>2124</v>
      </c>
      <c r="AG95" s="11" t="s">
        <v>94</v>
      </c>
      <c r="AH95" s="11" t="s">
        <v>2124</v>
      </c>
      <c r="AI95" s="11" t="s">
        <v>2139</v>
      </c>
      <c r="AJ95" s="11" t="s">
        <v>2140</v>
      </c>
      <c r="AK95" s="11" t="s">
        <v>1396</v>
      </c>
      <c r="AL95" s="11" t="s">
        <v>134</v>
      </c>
      <c r="AM95" s="11">
        <v>1957.5</v>
      </c>
      <c r="AN95" s="11"/>
      <c r="AO95" s="11" t="s">
        <v>134</v>
      </c>
      <c r="AP95" s="11" t="s">
        <v>1397</v>
      </c>
      <c r="AQ95" s="11" t="s">
        <v>1398</v>
      </c>
      <c r="AR95" s="11" t="s">
        <v>1652</v>
      </c>
      <c r="AS95" s="11" t="s">
        <v>2127</v>
      </c>
      <c r="AT95" s="11" t="s">
        <v>2141</v>
      </c>
      <c r="AU95" s="11" t="s">
        <v>1478</v>
      </c>
      <c r="AV95" s="11"/>
      <c r="AW95" s="11" t="s">
        <v>2129</v>
      </c>
      <c r="AX95" s="11"/>
      <c r="AY95" s="11"/>
      <c r="AZ95" s="11"/>
      <c r="BA95" s="11"/>
      <c r="BB95" s="11">
        <v>80714734</v>
      </c>
      <c r="BC95" s="11" t="s">
        <v>1403</v>
      </c>
      <c r="BD95" s="11" t="s">
        <v>2130</v>
      </c>
      <c r="BE95" s="11" t="s">
        <v>1836</v>
      </c>
      <c r="BF95" s="11" t="s">
        <v>1576</v>
      </c>
      <c r="BG95" s="11" t="s">
        <v>1482</v>
      </c>
      <c r="BH95" s="11" t="s">
        <v>2131</v>
      </c>
      <c r="BI95" s="11" t="s">
        <v>1407</v>
      </c>
      <c r="BJ95" s="11" t="s">
        <v>134</v>
      </c>
      <c r="BK95" s="11"/>
      <c r="BL95" s="11" t="s">
        <v>1408</v>
      </c>
      <c r="BM95" s="11"/>
      <c r="BN95" s="11" t="s">
        <v>1457</v>
      </c>
      <c r="BO95" s="11" t="s">
        <v>1410</v>
      </c>
    </row>
    <row r="96" spans="2:67">
      <c r="B96" s="11">
        <v>85</v>
      </c>
      <c r="C96" s="11" t="s">
        <v>1374</v>
      </c>
      <c r="D96" s="11" t="s">
        <v>1375</v>
      </c>
      <c r="E96" s="11" t="s">
        <v>2116</v>
      </c>
      <c r="F96" s="11" t="s">
        <v>2117</v>
      </c>
      <c r="G96" s="11" t="s">
        <v>1974</v>
      </c>
      <c r="H96" s="11" t="s">
        <v>2118</v>
      </c>
      <c r="I96" s="11" t="s">
        <v>2002</v>
      </c>
      <c r="J96" s="11" t="s">
        <v>134</v>
      </c>
      <c r="K96" s="11" t="s">
        <v>1488</v>
      </c>
      <c r="L96" s="11" t="s">
        <v>94</v>
      </c>
      <c r="M96" s="11" t="s">
        <v>181</v>
      </c>
      <c r="N96" s="11" t="s">
        <v>181</v>
      </c>
      <c r="O96" s="11" t="s">
        <v>134</v>
      </c>
      <c r="P96" s="11"/>
      <c r="Q96" s="11"/>
      <c r="R96" s="11" t="s">
        <v>2116</v>
      </c>
      <c r="S96" s="11" t="s">
        <v>94</v>
      </c>
      <c r="T96" s="11" t="s">
        <v>2119</v>
      </c>
      <c r="U96" s="11" t="s">
        <v>1387</v>
      </c>
      <c r="V96" s="11" t="s">
        <v>2120</v>
      </c>
      <c r="W96" s="11" t="s">
        <v>1389</v>
      </c>
      <c r="X96" s="11" t="s">
        <v>1492</v>
      </c>
      <c r="Y96" s="11" t="s">
        <v>1381</v>
      </c>
      <c r="Z96" s="11" t="s">
        <v>2121</v>
      </c>
      <c r="AA96" s="11" t="s">
        <v>2122</v>
      </c>
      <c r="AB96" s="11" t="s">
        <v>2123</v>
      </c>
      <c r="AC96" s="11" t="s">
        <v>2116</v>
      </c>
      <c r="AD96" s="11">
        <v>5430845</v>
      </c>
      <c r="AE96" s="11" t="s">
        <v>94</v>
      </c>
      <c r="AF96" s="11" t="s">
        <v>2124</v>
      </c>
      <c r="AG96" s="11" t="s">
        <v>94</v>
      </c>
      <c r="AH96" s="11" t="s">
        <v>2124</v>
      </c>
      <c r="AI96" s="11" t="s">
        <v>2142</v>
      </c>
      <c r="AJ96" s="11" t="s">
        <v>2143</v>
      </c>
      <c r="AK96" s="11" t="s">
        <v>1396</v>
      </c>
      <c r="AL96" s="11" t="s">
        <v>134</v>
      </c>
      <c r="AM96" s="11">
        <v>1743.4</v>
      </c>
      <c r="AN96" s="11"/>
      <c r="AO96" s="11" t="s">
        <v>134</v>
      </c>
      <c r="AP96" s="11" t="s">
        <v>1397</v>
      </c>
      <c r="AQ96" s="11" t="s">
        <v>1398</v>
      </c>
      <c r="AR96" s="11" t="s">
        <v>1652</v>
      </c>
      <c r="AS96" s="11" t="s">
        <v>2127</v>
      </c>
      <c r="AT96" s="11" t="s">
        <v>2144</v>
      </c>
      <c r="AU96" s="11" t="s">
        <v>1478</v>
      </c>
      <c r="AV96" s="11"/>
      <c r="AW96" s="11" t="s">
        <v>2129</v>
      </c>
      <c r="AX96" s="11"/>
      <c r="AY96" s="11"/>
      <c r="AZ96" s="11"/>
      <c r="BA96" s="11"/>
      <c r="BB96" s="11">
        <v>80714734</v>
      </c>
      <c r="BC96" s="11" t="s">
        <v>1403</v>
      </c>
      <c r="BD96" s="11" t="s">
        <v>2130</v>
      </c>
      <c r="BE96" s="11" t="s">
        <v>1836</v>
      </c>
      <c r="BF96" s="11" t="s">
        <v>1576</v>
      </c>
      <c r="BG96" s="11" t="s">
        <v>1482</v>
      </c>
      <c r="BH96" s="11" t="s">
        <v>2131</v>
      </c>
      <c r="BI96" s="11" t="s">
        <v>1407</v>
      </c>
      <c r="BJ96" s="11" t="s">
        <v>134</v>
      </c>
      <c r="BK96" s="11"/>
      <c r="BL96" s="11" t="s">
        <v>1408</v>
      </c>
      <c r="BM96" s="11"/>
      <c r="BN96" s="11" t="s">
        <v>1457</v>
      </c>
      <c r="BO96" s="11" t="s">
        <v>1410</v>
      </c>
    </row>
    <row r="97" spans="2:67">
      <c r="B97" s="11">
        <v>86</v>
      </c>
      <c r="C97" s="11" t="s">
        <v>1374</v>
      </c>
      <c r="D97" s="11" t="s">
        <v>1375</v>
      </c>
      <c r="E97" s="11" t="s">
        <v>2116</v>
      </c>
      <c r="F97" s="11" t="s">
        <v>2117</v>
      </c>
      <c r="G97" s="11" t="s">
        <v>1974</v>
      </c>
      <c r="H97" s="11" t="s">
        <v>2118</v>
      </c>
      <c r="I97" s="11" t="s">
        <v>2002</v>
      </c>
      <c r="J97" s="11" t="s">
        <v>134</v>
      </c>
      <c r="K97" s="11" t="s">
        <v>1488</v>
      </c>
      <c r="L97" s="11" t="s">
        <v>94</v>
      </c>
      <c r="M97" s="11" t="s">
        <v>181</v>
      </c>
      <c r="N97" s="11" t="s">
        <v>181</v>
      </c>
      <c r="O97" s="11" t="s">
        <v>134</v>
      </c>
      <c r="P97" s="11"/>
      <c r="Q97" s="11"/>
      <c r="R97" s="11" t="s">
        <v>2116</v>
      </c>
      <c r="S97" s="11" t="s">
        <v>94</v>
      </c>
      <c r="T97" s="11" t="s">
        <v>2119</v>
      </c>
      <c r="U97" s="11" t="s">
        <v>1387</v>
      </c>
      <c r="V97" s="11" t="s">
        <v>2120</v>
      </c>
      <c r="W97" s="11" t="s">
        <v>1389</v>
      </c>
      <c r="X97" s="11" t="s">
        <v>1492</v>
      </c>
      <c r="Y97" s="11" t="s">
        <v>1381</v>
      </c>
      <c r="Z97" s="11" t="s">
        <v>2121</v>
      </c>
      <c r="AA97" s="11" t="s">
        <v>2122</v>
      </c>
      <c r="AB97" s="11" t="s">
        <v>2123</v>
      </c>
      <c r="AC97" s="11" t="s">
        <v>2116</v>
      </c>
      <c r="AD97" s="11">
        <v>5430845</v>
      </c>
      <c r="AE97" s="11" t="s">
        <v>94</v>
      </c>
      <c r="AF97" s="11" t="s">
        <v>2124</v>
      </c>
      <c r="AG97" s="11" t="s">
        <v>94</v>
      </c>
      <c r="AH97" s="11" t="s">
        <v>2124</v>
      </c>
      <c r="AI97" s="11" t="s">
        <v>2145</v>
      </c>
      <c r="AJ97" s="11" t="s">
        <v>2146</v>
      </c>
      <c r="AK97" s="11" t="s">
        <v>1396</v>
      </c>
      <c r="AL97" s="11" t="s">
        <v>134</v>
      </c>
      <c r="AM97" s="11">
        <v>2288.65</v>
      </c>
      <c r="AN97" s="11"/>
      <c r="AO97" s="11" t="s">
        <v>134</v>
      </c>
      <c r="AP97" s="11" t="s">
        <v>1397</v>
      </c>
      <c r="AQ97" s="11" t="s">
        <v>1398</v>
      </c>
      <c r="AR97" s="11" t="s">
        <v>1652</v>
      </c>
      <c r="AS97" s="11" t="s">
        <v>2127</v>
      </c>
      <c r="AT97" s="11" t="s">
        <v>2147</v>
      </c>
      <c r="AU97" s="11" t="s">
        <v>1478</v>
      </c>
      <c r="AV97" s="11"/>
      <c r="AW97" s="11" t="s">
        <v>2129</v>
      </c>
      <c r="AX97" s="11"/>
      <c r="AY97" s="11"/>
      <c r="AZ97" s="11"/>
      <c r="BA97" s="11"/>
      <c r="BB97" s="11">
        <v>80714734</v>
      </c>
      <c r="BC97" s="11" t="s">
        <v>1403</v>
      </c>
      <c r="BD97" s="11" t="s">
        <v>2130</v>
      </c>
      <c r="BE97" s="11" t="s">
        <v>1836</v>
      </c>
      <c r="BF97" s="11" t="s">
        <v>1576</v>
      </c>
      <c r="BG97" s="11" t="s">
        <v>1482</v>
      </c>
      <c r="BH97" s="11" t="s">
        <v>2131</v>
      </c>
      <c r="BI97" s="11" t="s">
        <v>1407</v>
      </c>
      <c r="BJ97" s="11" t="s">
        <v>134</v>
      </c>
      <c r="BK97" s="11"/>
      <c r="BL97" s="11" t="s">
        <v>1408</v>
      </c>
      <c r="BM97" s="11"/>
      <c r="BN97" s="11" t="s">
        <v>1457</v>
      </c>
      <c r="BO97" s="11" t="s">
        <v>1410</v>
      </c>
    </row>
    <row r="98" spans="2:67">
      <c r="B98" s="11">
        <v>87</v>
      </c>
      <c r="C98" s="11" t="s">
        <v>1374</v>
      </c>
      <c r="D98" s="11" t="s">
        <v>1375</v>
      </c>
      <c r="E98" s="11" t="s">
        <v>2116</v>
      </c>
      <c r="F98" s="11" t="s">
        <v>2117</v>
      </c>
      <c r="G98" s="11" t="s">
        <v>1974</v>
      </c>
      <c r="H98" s="11" t="s">
        <v>2118</v>
      </c>
      <c r="I98" s="11" t="s">
        <v>2002</v>
      </c>
      <c r="J98" s="11" t="s">
        <v>134</v>
      </c>
      <c r="K98" s="11" t="s">
        <v>1488</v>
      </c>
      <c r="L98" s="11" t="s">
        <v>94</v>
      </c>
      <c r="M98" s="11" t="s">
        <v>181</v>
      </c>
      <c r="N98" s="11" t="s">
        <v>181</v>
      </c>
      <c r="O98" s="11" t="s">
        <v>134</v>
      </c>
      <c r="P98" s="11"/>
      <c r="Q98" s="11"/>
      <c r="R98" s="11" t="s">
        <v>2116</v>
      </c>
      <c r="S98" s="11" t="s">
        <v>94</v>
      </c>
      <c r="T98" s="11" t="s">
        <v>2119</v>
      </c>
      <c r="U98" s="11" t="s">
        <v>1387</v>
      </c>
      <c r="V98" s="11" t="s">
        <v>2120</v>
      </c>
      <c r="W98" s="11" t="s">
        <v>1389</v>
      </c>
      <c r="X98" s="11" t="s">
        <v>1492</v>
      </c>
      <c r="Y98" s="11" t="s">
        <v>1381</v>
      </c>
      <c r="Z98" s="11" t="s">
        <v>2121</v>
      </c>
      <c r="AA98" s="11" t="s">
        <v>2122</v>
      </c>
      <c r="AB98" s="11" t="s">
        <v>2123</v>
      </c>
      <c r="AC98" s="11" t="s">
        <v>2116</v>
      </c>
      <c r="AD98" s="11">
        <v>5430845</v>
      </c>
      <c r="AE98" s="11" t="s">
        <v>94</v>
      </c>
      <c r="AF98" s="11" t="s">
        <v>2124</v>
      </c>
      <c r="AG98" s="11" t="s">
        <v>94</v>
      </c>
      <c r="AH98" s="11" t="s">
        <v>2124</v>
      </c>
      <c r="AI98" s="11" t="s">
        <v>2148</v>
      </c>
      <c r="AJ98" s="11" t="s">
        <v>2149</v>
      </c>
      <c r="AK98" s="11" t="s">
        <v>1396</v>
      </c>
      <c r="AL98" s="11" t="s">
        <v>134</v>
      </c>
      <c r="AM98" s="11">
        <v>10500</v>
      </c>
      <c r="AN98" s="11"/>
      <c r="AO98" s="11" t="s">
        <v>134</v>
      </c>
      <c r="AP98" s="11" t="s">
        <v>1397</v>
      </c>
      <c r="AQ98" s="11" t="s">
        <v>1398</v>
      </c>
      <c r="AR98" s="11" t="s">
        <v>1652</v>
      </c>
      <c r="AS98" s="11" t="s">
        <v>2127</v>
      </c>
      <c r="AT98" s="11"/>
      <c r="AU98" s="11" t="s">
        <v>1478</v>
      </c>
      <c r="AV98" s="11"/>
      <c r="AW98" s="11" t="s">
        <v>2129</v>
      </c>
      <c r="AX98" s="11"/>
      <c r="AY98" s="11"/>
      <c r="AZ98" s="11"/>
      <c r="BA98" s="11"/>
      <c r="BB98" s="11">
        <v>80714734</v>
      </c>
      <c r="BC98" s="11" t="s">
        <v>1403</v>
      </c>
      <c r="BD98" s="11" t="s">
        <v>2130</v>
      </c>
      <c r="BE98" s="11" t="s">
        <v>1836</v>
      </c>
      <c r="BF98" s="11" t="s">
        <v>1576</v>
      </c>
      <c r="BG98" s="11" t="s">
        <v>1482</v>
      </c>
      <c r="BH98" s="11" t="s">
        <v>2131</v>
      </c>
      <c r="BI98" s="11" t="s">
        <v>1407</v>
      </c>
      <c r="BJ98" s="11" t="s">
        <v>134</v>
      </c>
      <c r="BK98" s="11"/>
      <c r="BL98" s="11"/>
      <c r="BM98" s="11"/>
      <c r="BN98" s="11" t="s">
        <v>1457</v>
      </c>
      <c r="BO98" s="11" t="s">
        <v>1410</v>
      </c>
    </row>
    <row r="99" spans="2:67">
      <c r="B99" s="11">
        <v>88</v>
      </c>
      <c r="C99" s="11" t="s">
        <v>1374</v>
      </c>
      <c r="D99" s="11" t="s">
        <v>1375</v>
      </c>
      <c r="E99" s="11" t="s">
        <v>1488</v>
      </c>
      <c r="F99" s="11" t="s">
        <v>2150</v>
      </c>
      <c r="G99" s="11" t="s">
        <v>1523</v>
      </c>
      <c r="H99" s="11" t="s">
        <v>2151</v>
      </c>
      <c r="I99" s="11" t="s">
        <v>2152</v>
      </c>
      <c r="J99" s="11" t="s">
        <v>134</v>
      </c>
      <c r="K99" s="11" t="s">
        <v>1470</v>
      </c>
      <c r="L99" s="11" t="s">
        <v>1382</v>
      </c>
      <c r="M99" s="11" t="s">
        <v>2153</v>
      </c>
      <c r="N99" s="11" t="s">
        <v>2153</v>
      </c>
      <c r="O99" s="11" t="s">
        <v>134</v>
      </c>
      <c r="P99" s="11"/>
      <c r="Q99" s="11"/>
      <c r="R99" s="11" t="s">
        <v>2154</v>
      </c>
      <c r="S99" s="11" t="s">
        <v>1382</v>
      </c>
      <c r="T99" s="11" t="s">
        <v>2155</v>
      </c>
      <c r="U99" s="11" t="s">
        <v>1444</v>
      </c>
      <c r="V99" s="11" t="s">
        <v>2156</v>
      </c>
      <c r="W99" s="11" t="s">
        <v>1389</v>
      </c>
      <c r="X99" s="11" t="s">
        <v>1563</v>
      </c>
      <c r="Y99" s="11" t="s">
        <v>1470</v>
      </c>
      <c r="Z99" s="11" t="s">
        <v>2157</v>
      </c>
      <c r="AA99" s="11" t="s">
        <v>2158</v>
      </c>
      <c r="AB99" s="11" t="s">
        <v>2159</v>
      </c>
      <c r="AC99" s="11" t="s">
        <v>2154</v>
      </c>
      <c r="AD99" s="11">
        <v>5430405</v>
      </c>
      <c r="AE99" s="11" t="s">
        <v>1382</v>
      </c>
      <c r="AF99" s="11" t="s">
        <v>2160</v>
      </c>
      <c r="AG99" s="11" t="s">
        <v>1382</v>
      </c>
      <c r="AH99" s="11" t="s">
        <v>2161</v>
      </c>
      <c r="AI99" s="11" t="s">
        <v>2162</v>
      </c>
      <c r="AJ99" s="11" t="s">
        <v>2163</v>
      </c>
      <c r="AK99" s="11" t="s">
        <v>1396</v>
      </c>
      <c r="AL99" s="11" t="s">
        <v>134</v>
      </c>
      <c r="AM99" s="11">
        <v>6240</v>
      </c>
      <c r="AN99" s="11"/>
      <c r="AO99" s="11" t="s">
        <v>134</v>
      </c>
      <c r="AP99" s="11" t="s">
        <v>1451</v>
      </c>
      <c r="AQ99" s="11" t="s">
        <v>1398</v>
      </c>
      <c r="AR99" s="11" t="s">
        <v>1652</v>
      </c>
      <c r="AS99" s="11" t="s">
        <v>2164</v>
      </c>
      <c r="AT99" s="11" t="s">
        <v>2165</v>
      </c>
      <c r="AU99" s="11" t="s">
        <v>1478</v>
      </c>
      <c r="AV99" s="11"/>
      <c r="AW99" s="11" t="s">
        <v>2166</v>
      </c>
      <c r="AX99" s="11"/>
      <c r="AY99" s="11"/>
      <c r="AZ99" s="11"/>
      <c r="BA99" s="11"/>
      <c r="BB99" s="11">
        <v>30886307</v>
      </c>
      <c r="BC99" s="11" t="s">
        <v>1403</v>
      </c>
      <c r="BD99" s="11" t="s">
        <v>1432</v>
      </c>
      <c r="BE99" s="11" t="s">
        <v>2167</v>
      </c>
      <c r="BF99" s="11" t="s">
        <v>2168</v>
      </c>
      <c r="BG99" s="11" t="s">
        <v>1482</v>
      </c>
      <c r="BH99" s="11" t="s">
        <v>1435</v>
      </c>
      <c r="BI99" s="11" t="s">
        <v>1407</v>
      </c>
      <c r="BJ99" s="11" t="s">
        <v>134</v>
      </c>
      <c r="BK99" s="11"/>
      <c r="BL99" s="11" t="s">
        <v>1408</v>
      </c>
      <c r="BM99" s="11"/>
      <c r="BN99" s="11" t="s">
        <v>1483</v>
      </c>
      <c r="BO99" s="11" t="s">
        <v>1410</v>
      </c>
    </row>
    <row r="100" spans="2:67">
      <c r="B100" s="11">
        <v>89</v>
      </c>
      <c r="C100" s="11" t="s">
        <v>1374</v>
      </c>
      <c r="D100" s="11" t="s">
        <v>1375</v>
      </c>
      <c r="E100" s="11" t="s">
        <v>1488</v>
      </c>
      <c r="F100" s="11" t="s">
        <v>2150</v>
      </c>
      <c r="G100" s="11" t="s">
        <v>1523</v>
      </c>
      <c r="H100" s="11" t="s">
        <v>2151</v>
      </c>
      <c r="I100" s="11" t="s">
        <v>2152</v>
      </c>
      <c r="J100" s="11" t="s">
        <v>134</v>
      </c>
      <c r="K100" s="11" t="s">
        <v>1470</v>
      </c>
      <c r="L100" s="11" t="s">
        <v>1382</v>
      </c>
      <c r="M100" s="11" t="s">
        <v>2153</v>
      </c>
      <c r="N100" s="11" t="s">
        <v>2153</v>
      </c>
      <c r="O100" s="11" t="s">
        <v>134</v>
      </c>
      <c r="P100" s="11"/>
      <c r="Q100" s="11"/>
      <c r="R100" s="11" t="s">
        <v>2154</v>
      </c>
      <c r="S100" s="11" t="s">
        <v>1382</v>
      </c>
      <c r="T100" s="11" t="s">
        <v>2155</v>
      </c>
      <c r="U100" s="11" t="s">
        <v>1444</v>
      </c>
      <c r="V100" s="11" t="s">
        <v>2156</v>
      </c>
      <c r="W100" s="11" t="s">
        <v>1389</v>
      </c>
      <c r="X100" s="11" t="s">
        <v>1563</v>
      </c>
      <c r="Y100" s="11" t="s">
        <v>1470</v>
      </c>
      <c r="Z100" s="11" t="s">
        <v>2157</v>
      </c>
      <c r="AA100" s="11" t="s">
        <v>2158</v>
      </c>
      <c r="AB100" s="11" t="s">
        <v>2159</v>
      </c>
      <c r="AC100" s="11" t="s">
        <v>2154</v>
      </c>
      <c r="AD100" s="11">
        <v>5430405</v>
      </c>
      <c r="AE100" s="11" t="s">
        <v>1382</v>
      </c>
      <c r="AF100" s="11" t="s">
        <v>2160</v>
      </c>
      <c r="AG100" s="11" t="s">
        <v>1382</v>
      </c>
      <c r="AH100" s="11" t="s">
        <v>2161</v>
      </c>
      <c r="AI100" s="11" t="s">
        <v>2169</v>
      </c>
      <c r="AJ100" s="11" t="s">
        <v>2170</v>
      </c>
      <c r="AK100" s="11" t="s">
        <v>1396</v>
      </c>
      <c r="AL100" s="11" t="s">
        <v>134</v>
      </c>
      <c r="AM100" s="11">
        <v>14029.4</v>
      </c>
      <c r="AN100" s="11"/>
      <c r="AO100" s="11" t="s">
        <v>134</v>
      </c>
      <c r="AP100" s="11" t="s">
        <v>1451</v>
      </c>
      <c r="AQ100" s="11" t="s">
        <v>1398</v>
      </c>
      <c r="AR100" s="11" t="s">
        <v>1652</v>
      </c>
      <c r="AS100" s="11" t="s">
        <v>2164</v>
      </c>
      <c r="AT100" s="11" t="s">
        <v>2171</v>
      </c>
      <c r="AU100" s="11" t="s">
        <v>1478</v>
      </c>
      <c r="AV100" s="11"/>
      <c r="AW100" s="11" t="s">
        <v>2166</v>
      </c>
      <c r="AX100" s="11"/>
      <c r="AY100" s="11"/>
      <c r="AZ100" s="11"/>
      <c r="BA100" s="11"/>
      <c r="BB100" s="11">
        <v>30886307</v>
      </c>
      <c r="BC100" s="11" t="s">
        <v>1403</v>
      </c>
      <c r="BD100" s="11" t="s">
        <v>1432</v>
      </c>
      <c r="BE100" s="11" t="s">
        <v>2167</v>
      </c>
      <c r="BF100" s="11" t="s">
        <v>2168</v>
      </c>
      <c r="BG100" s="11" t="s">
        <v>1482</v>
      </c>
      <c r="BH100" s="11" t="s">
        <v>1435</v>
      </c>
      <c r="BI100" s="11" t="s">
        <v>1407</v>
      </c>
      <c r="BJ100" s="11" t="s">
        <v>134</v>
      </c>
      <c r="BK100" s="11"/>
      <c r="BL100" s="11" t="s">
        <v>1408</v>
      </c>
      <c r="BM100" s="11"/>
      <c r="BN100" s="11" t="s">
        <v>1483</v>
      </c>
      <c r="BO100" s="11" t="s">
        <v>1410</v>
      </c>
    </row>
    <row r="101" spans="2:67">
      <c r="B101" s="11">
        <v>90</v>
      </c>
      <c r="C101" s="11" t="s">
        <v>1374</v>
      </c>
      <c r="D101" s="11" t="s">
        <v>1375</v>
      </c>
      <c r="E101" s="11" t="s">
        <v>1488</v>
      </c>
      <c r="F101" s="11" t="s">
        <v>2150</v>
      </c>
      <c r="G101" s="11" t="s">
        <v>1523</v>
      </c>
      <c r="H101" s="11" t="s">
        <v>2151</v>
      </c>
      <c r="I101" s="11" t="s">
        <v>2152</v>
      </c>
      <c r="J101" s="11" t="s">
        <v>134</v>
      </c>
      <c r="K101" s="11" t="s">
        <v>1470</v>
      </c>
      <c r="L101" s="11" t="s">
        <v>1382</v>
      </c>
      <c r="M101" s="11" t="s">
        <v>2153</v>
      </c>
      <c r="N101" s="11" t="s">
        <v>2153</v>
      </c>
      <c r="O101" s="11" t="s">
        <v>134</v>
      </c>
      <c r="P101" s="11"/>
      <c r="Q101" s="11"/>
      <c r="R101" s="11" t="s">
        <v>2154</v>
      </c>
      <c r="S101" s="11" t="s">
        <v>1382</v>
      </c>
      <c r="T101" s="11" t="s">
        <v>2155</v>
      </c>
      <c r="U101" s="11" t="s">
        <v>1444</v>
      </c>
      <c r="V101" s="11" t="s">
        <v>2156</v>
      </c>
      <c r="W101" s="11" t="s">
        <v>1389</v>
      </c>
      <c r="X101" s="11" t="s">
        <v>1563</v>
      </c>
      <c r="Y101" s="11" t="s">
        <v>1470</v>
      </c>
      <c r="Z101" s="11" t="s">
        <v>2157</v>
      </c>
      <c r="AA101" s="11" t="s">
        <v>2158</v>
      </c>
      <c r="AB101" s="11" t="s">
        <v>2159</v>
      </c>
      <c r="AC101" s="11" t="s">
        <v>2154</v>
      </c>
      <c r="AD101" s="11">
        <v>5430405</v>
      </c>
      <c r="AE101" s="11" t="s">
        <v>1382</v>
      </c>
      <c r="AF101" s="11" t="s">
        <v>2160</v>
      </c>
      <c r="AG101" s="11" t="s">
        <v>1382</v>
      </c>
      <c r="AH101" s="11" t="s">
        <v>2161</v>
      </c>
      <c r="AI101" s="11" t="s">
        <v>2172</v>
      </c>
      <c r="AJ101" s="11" t="s">
        <v>2173</v>
      </c>
      <c r="AK101" s="11" t="s">
        <v>1396</v>
      </c>
      <c r="AL101" s="11" t="s">
        <v>134</v>
      </c>
      <c r="AM101" s="11">
        <v>15030.6</v>
      </c>
      <c r="AN101" s="11"/>
      <c r="AO101" s="11" t="s">
        <v>134</v>
      </c>
      <c r="AP101" s="11" t="s">
        <v>1451</v>
      </c>
      <c r="AQ101" s="11" t="s">
        <v>1398</v>
      </c>
      <c r="AR101" s="11" t="s">
        <v>1652</v>
      </c>
      <c r="AS101" s="11" t="s">
        <v>2164</v>
      </c>
      <c r="AT101" s="11" t="s">
        <v>2174</v>
      </c>
      <c r="AU101" s="11" t="s">
        <v>1478</v>
      </c>
      <c r="AV101" s="11"/>
      <c r="AW101" s="11" t="s">
        <v>2166</v>
      </c>
      <c r="AX101" s="11"/>
      <c r="AY101" s="11"/>
      <c r="AZ101" s="11"/>
      <c r="BA101" s="11"/>
      <c r="BB101" s="11">
        <v>30886307</v>
      </c>
      <c r="BC101" s="11" t="s">
        <v>1403</v>
      </c>
      <c r="BD101" s="11" t="s">
        <v>1432</v>
      </c>
      <c r="BE101" s="11" t="s">
        <v>2167</v>
      </c>
      <c r="BF101" s="11" t="s">
        <v>2168</v>
      </c>
      <c r="BG101" s="11" t="s">
        <v>1482</v>
      </c>
      <c r="BH101" s="11" t="s">
        <v>1435</v>
      </c>
      <c r="BI101" s="11" t="s">
        <v>1407</v>
      </c>
      <c r="BJ101" s="11" t="s">
        <v>134</v>
      </c>
      <c r="BK101" s="11"/>
      <c r="BL101" s="11" t="s">
        <v>1408</v>
      </c>
      <c r="BM101" s="11"/>
      <c r="BN101" s="11" t="s">
        <v>1483</v>
      </c>
      <c r="BO101" s="11" t="s">
        <v>1410</v>
      </c>
    </row>
    <row r="102" spans="2:67">
      <c r="B102" s="11">
        <v>91</v>
      </c>
      <c r="C102" s="11" t="s">
        <v>1374</v>
      </c>
      <c r="D102" s="11" t="s">
        <v>1375</v>
      </c>
      <c r="E102" s="11" t="s">
        <v>2175</v>
      </c>
      <c r="F102" s="11" t="s">
        <v>2176</v>
      </c>
      <c r="G102" s="11" t="s">
        <v>2177</v>
      </c>
      <c r="H102" s="11" t="s">
        <v>2178</v>
      </c>
      <c r="I102" s="11" t="s">
        <v>2179</v>
      </c>
      <c r="J102" s="11"/>
      <c r="K102" s="11" t="s">
        <v>1564</v>
      </c>
      <c r="L102" s="11" t="s">
        <v>1382</v>
      </c>
      <c r="M102" s="11" t="s">
        <v>1383</v>
      </c>
      <c r="N102" s="11" t="s">
        <v>95</v>
      </c>
      <c r="O102" s="11" t="s">
        <v>2180</v>
      </c>
      <c r="P102" s="11"/>
      <c r="Q102" s="11"/>
      <c r="R102" s="11" t="s">
        <v>2175</v>
      </c>
      <c r="S102" s="11" t="s">
        <v>1382</v>
      </c>
      <c r="T102" s="11" t="s">
        <v>2181</v>
      </c>
      <c r="U102" s="11" t="s">
        <v>1444</v>
      </c>
      <c r="V102" s="11" t="s">
        <v>2182</v>
      </c>
      <c r="W102" s="11" t="s">
        <v>1389</v>
      </c>
      <c r="X102" s="11" t="s">
        <v>2052</v>
      </c>
      <c r="Y102" s="11" t="s">
        <v>1564</v>
      </c>
      <c r="Z102" s="11" t="s">
        <v>2183</v>
      </c>
      <c r="AA102" s="11" t="s">
        <v>2184</v>
      </c>
      <c r="AB102" s="11" t="s">
        <v>1447</v>
      </c>
      <c r="AC102" s="11" t="s">
        <v>2175</v>
      </c>
      <c r="AD102" s="11">
        <v>5429948</v>
      </c>
      <c r="AE102" s="11" t="s">
        <v>1382</v>
      </c>
      <c r="AF102" s="11" t="s">
        <v>2185</v>
      </c>
      <c r="AG102" s="11" t="s">
        <v>1382</v>
      </c>
      <c r="AH102" s="11" t="s">
        <v>2186</v>
      </c>
      <c r="AI102" s="11" t="s">
        <v>2187</v>
      </c>
      <c r="AJ102" s="11" t="s">
        <v>2188</v>
      </c>
      <c r="AK102" s="11" t="s">
        <v>1396</v>
      </c>
      <c r="AL102" s="11" t="s">
        <v>134</v>
      </c>
      <c r="AM102" s="11">
        <v>45000</v>
      </c>
      <c r="AN102" s="11"/>
      <c r="AO102" s="11" t="s">
        <v>2177</v>
      </c>
      <c r="AP102" s="11" t="s">
        <v>1451</v>
      </c>
      <c r="AQ102" s="11" t="s">
        <v>1398</v>
      </c>
      <c r="AR102" s="11"/>
      <c r="AS102" s="11" t="s">
        <v>2189</v>
      </c>
      <c r="AT102" s="11"/>
      <c r="AU102" s="11" t="s">
        <v>1478</v>
      </c>
      <c r="AV102" s="11"/>
      <c r="AW102" s="11" t="s">
        <v>2190</v>
      </c>
      <c r="AX102" s="11"/>
      <c r="AY102" s="11"/>
      <c r="AZ102" s="11"/>
      <c r="BA102" s="11"/>
      <c r="BB102" s="11">
        <v>45380621</v>
      </c>
      <c r="BC102" s="11" t="s">
        <v>1403</v>
      </c>
      <c r="BD102" s="11" t="s">
        <v>1432</v>
      </c>
      <c r="BE102" s="11" t="s">
        <v>2062</v>
      </c>
      <c r="BF102" s="11" t="s">
        <v>1555</v>
      </c>
      <c r="BG102" s="11" t="s">
        <v>2191</v>
      </c>
      <c r="BH102" s="11" t="s">
        <v>1502</v>
      </c>
      <c r="BI102" s="11" t="s">
        <v>1407</v>
      </c>
      <c r="BJ102" s="11" t="s">
        <v>134</v>
      </c>
      <c r="BK102" s="11"/>
      <c r="BL102" s="11"/>
      <c r="BM102" s="11"/>
      <c r="BN102" s="11"/>
      <c r="BO102" s="11" t="s">
        <v>95</v>
      </c>
    </row>
    <row r="103" spans="2:67">
      <c r="B103" s="11">
        <v>92</v>
      </c>
      <c r="C103" s="11" t="s">
        <v>1374</v>
      </c>
      <c r="D103" s="11" t="s">
        <v>1375</v>
      </c>
      <c r="E103" s="11" t="s">
        <v>2192</v>
      </c>
      <c r="F103" s="11" t="s">
        <v>2193</v>
      </c>
      <c r="G103" s="11" t="s">
        <v>1625</v>
      </c>
      <c r="H103" s="11" t="s">
        <v>2194</v>
      </c>
      <c r="I103" s="11" t="s">
        <v>2195</v>
      </c>
      <c r="J103" s="11" t="s">
        <v>134</v>
      </c>
      <c r="K103" s="11" t="s">
        <v>1488</v>
      </c>
      <c r="L103" s="11" t="s">
        <v>94</v>
      </c>
      <c r="M103" s="11" t="s">
        <v>181</v>
      </c>
      <c r="N103" s="11" t="s">
        <v>181</v>
      </c>
      <c r="O103" s="11" t="s">
        <v>134</v>
      </c>
      <c r="P103" s="11"/>
      <c r="Q103" s="11"/>
      <c r="R103" s="11" t="s">
        <v>2196</v>
      </c>
      <c r="S103" s="11" t="s">
        <v>94</v>
      </c>
      <c r="T103" s="11" t="s">
        <v>2197</v>
      </c>
      <c r="U103" s="11" t="s">
        <v>1387</v>
      </c>
      <c r="V103" s="11" t="s">
        <v>2198</v>
      </c>
      <c r="W103" s="11" t="s">
        <v>1389</v>
      </c>
      <c r="X103" s="11" t="s">
        <v>1769</v>
      </c>
      <c r="Y103" s="11" t="s">
        <v>1470</v>
      </c>
      <c r="Z103" s="11" t="s">
        <v>2199</v>
      </c>
      <c r="AA103" s="11" t="s">
        <v>2200</v>
      </c>
      <c r="AB103" s="11" t="s">
        <v>2201</v>
      </c>
      <c r="AC103" s="11" t="s">
        <v>2196</v>
      </c>
      <c r="AD103" s="11">
        <v>5405468</v>
      </c>
      <c r="AE103" s="11" t="s">
        <v>94</v>
      </c>
      <c r="AF103" s="11" t="s">
        <v>2202</v>
      </c>
      <c r="AG103" s="11" t="s">
        <v>94</v>
      </c>
      <c r="AH103" s="11" t="s">
        <v>2202</v>
      </c>
      <c r="AI103" s="11" t="s">
        <v>2079</v>
      </c>
      <c r="AJ103" s="11" t="s">
        <v>2080</v>
      </c>
      <c r="AK103" s="11" t="s">
        <v>1396</v>
      </c>
      <c r="AL103" s="11" t="s">
        <v>134</v>
      </c>
      <c r="AM103" s="11">
        <v>2000</v>
      </c>
      <c r="AN103" s="11"/>
      <c r="AO103" s="11" t="s">
        <v>134</v>
      </c>
      <c r="AP103" s="11" t="s">
        <v>1397</v>
      </c>
      <c r="AQ103" s="11" t="s">
        <v>1398</v>
      </c>
      <c r="AR103" s="11" t="s">
        <v>1652</v>
      </c>
      <c r="AS103" s="11" t="s">
        <v>2203</v>
      </c>
      <c r="AT103" s="11" t="s">
        <v>2204</v>
      </c>
      <c r="AU103" s="11" t="s">
        <v>1478</v>
      </c>
      <c r="AV103" s="11"/>
      <c r="AW103" s="11" t="s">
        <v>2205</v>
      </c>
      <c r="AX103" s="11"/>
      <c r="AY103" s="11"/>
      <c r="AZ103" s="11"/>
      <c r="BA103" s="11"/>
      <c r="BB103" s="11">
        <v>80647411</v>
      </c>
      <c r="BC103" s="11" t="s">
        <v>1403</v>
      </c>
      <c r="BD103" s="11" t="s">
        <v>1432</v>
      </c>
      <c r="BE103" s="11" t="s">
        <v>2078</v>
      </c>
      <c r="BF103" s="11" t="s">
        <v>1539</v>
      </c>
      <c r="BG103" s="11" t="s">
        <v>1482</v>
      </c>
      <c r="BH103" s="11" t="s">
        <v>1502</v>
      </c>
      <c r="BI103" s="11" t="s">
        <v>1407</v>
      </c>
      <c r="BJ103" s="11" t="s">
        <v>134</v>
      </c>
      <c r="BK103" s="11"/>
      <c r="BL103" s="11" t="s">
        <v>1408</v>
      </c>
      <c r="BM103" s="11"/>
      <c r="BN103" s="11" t="s">
        <v>1409</v>
      </c>
      <c r="BO103" s="11" t="s">
        <v>1410</v>
      </c>
    </row>
    <row r="104" spans="2:67">
      <c r="B104" s="11">
        <v>93</v>
      </c>
      <c r="C104" s="11" t="s">
        <v>1374</v>
      </c>
      <c r="D104" s="11" t="s">
        <v>1375</v>
      </c>
      <c r="E104" s="11" t="s">
        <v>2192</v>
      </c>
      <c r="F104" s="11" t="s">
        <v>2193</v>
      </c>
      <c r="G104" s="11" t="s">
        <v>1625</v>
      </c>
      <c r="H104" s="11" t="s">
        <v>2194</v>
      </c>
      <c r="I104" s="11" t="s">
        <v>2195</v>
      </c>
      <c r="J104" s="11" t="s">
        <v>134</v>
      </c>
      <c r="K104" s="11" t="s">
        <v>1488</v>
      </c>
      <c r="L104" s="11" t="s">
        <v>94</v>
      </c>
      <c r="M104" s="11" t="s">
        <v>181</v>
      </c>
      <c r="N104" s="11" t="s">
        <v>181</v>
      </c>
      <c r="O104" s="11" t="s">
        <v>134</v>
      </c>
      <c r="P104" s="11"/>
      <c r="Q104" s="11"/>
      <c r="R104" s="11" t="s">
        <v>2196</v>
      </c>
      <c r="S104" s="11" t="s">
        <v>94</v>
      </c>
      <c r="T104" s="11" t="s">
        <v>2197</v>
      </c>
      <c r="U104" s="11" t="s">
        <v>1387</v>
      </c>
      <c r="V104" s="11" t="s">
        <v>2198</v>
      </c>
      <c r="W104" s="11" t="s">
        <v>1389</v>
      </c>
      <c r="X104" s="11" t="s">
        <v>1769</v>
      </c>
      <c r="Y104" s="11" t="s">
        <v>1470</v>
      </c>
      <c r="Z104" s="11" t="s">
        <v>2199</v>
      </c>
      <c r="AA104" s="11" t="s">
        <v>2200</v>
      </c>
      <c r="AB104" s="11" t="s">
        <v>2201</v>
      </c>
      <c r="AC104" s="11" t="s">
        <v>2196</v>
      </c>
      <c r="AD104" s="11">
        <v>5405468</v>
      </c>
      <c r="AE104" s="11" t="s">
        <v>94</v>
      </c>
      <c r="AF104" s="11" t="s">
        <v>2202</v>
      </c>
      <c r="AG104" s="11" t="s">
        <v>94</v>
      </c>
      <c r="AH104" s="11" t="s">
        <v>2202</v>
      </c>
      <c r="AI104" s="11" t="s">
        <v>2088</v>
      </c>
      <c r="AJ104" s="11" t="s">
        <v>2089</v>
      </c>
      <c r="AK104" s="11" t="s">
        <v>1396</v>
      </c>
      <c r="AL104" s="11" t="s">
        <v>134</v>
      </c>
      <c r="AM104" s="11">
        <v>13300</v>
      </c>
      <c r="AN104" s="11"/>
      <c r="AO104" s="11" t="s">
        <v>134</v>
      </c>
      <c r="AP104" s="11" t="s">
        <v>1397</v>
      </c>
      <c r="AQ104" s="11" t="s">
        <v>1398</v>
      </c>
      <c r="AR104" s="11" t="s">
        <v>1652</v>
      </c>
      <c r="AS104" s="11" t="s">
        <v>2203</v>
      </c>
      <c r="AT104" s="11" t="s">
        <v>2206</v>
      </c>
      <c r="AU104" s="11" t="s">
        <v>1478</v>
      </c>
      <c r="AV104" s="11"/>
      <c r="AW104" s="11" t="s">
        <v>2205</v>
      </c>
      <c r="AX104" s="11"/>
      <c r="AY104" s="11"/>
      <c r="AZ104" s="11"/>
      <c r="BA104" s="11"/>
      <c r="BB104" s="11">
        <v>80647411</v>
      </c>
      <c r="BC104" s="11" t="s">
        <v>1403</v>
      </c>
      <c r="BD104" s="11" t="s">
        <v>1432</v>
      </c>
      <c r="BE104" s="11" t="s">
        <v>2078</v>
      </c>
      <c r="BF104" s="11" t="s">
        <v>1539</v>
      </c>
      <c r="BG104" s="11" t="s">
        <v>1482</v>
      </c>
      <c r="BH104" s="11" t="s">
        <v>1502</v>
      </c>
      <c r="BI104" s="11" t="s">
        <v>1407</v>
      </c>
      <c r="BJ104" s="11" t="s">
        <v>134</v>
      </c>
      <c r="BK104" s="11"/>
      <c r="BL104" s="11" t="s">
        <v>1408</v>
      </c>
      <c r="BM104" s="11"/>
      <c r="BN104" s="11" t="s">
        <v>1409</v>
      </c>
      <c r="BO104" s="11" t="s">
        <v>1410</v>
      </c>
    </row>
    <row r="105" spans="2:67">
      <c r="B105" s="11">
        <v>94</v>
      </c>
      <c r="C105" s="11" t="s">
        <v>1374</v>
      </c>
      <c r="D105" s="11" t="s">
        <v>1375</v>
      </c>
      <c r="E105" s="11" t="s">
        <v>2207</v>
      </c>
      <c r="F105" s="11" t="s">
        <v>2208</v>
      </c>
      <c r="G105" s="11" t="s">
        <v>2209</v>
      </c>
      <c r="H105" s="11" t="s">
        <v>2210</v>
      </c>
      <c r="I105" s="11" t="s">
        <v>2211</v>
      </c>
      <c r="J105" s="11"/>
      <c r="K105" s="11" t="s">
        <v>1470</v>
      </c>
      <c r="L105" s="11" t="s">
        <v>1382</v>
      </c>
      <c r="M105" s="11" t="s">
        <v>1543</v>
      </c>
      <c r="N105" s="11" t="s">
        <v>482</v>
      </c>
      <c r="O105" s="11" t="s">
        <v>134</v>
      </c>
      <c r="P105" s="11"/>
      <c r="Q105" s="11"/>
      <c r="R105" s="11" t="s">
        <v>2212</v>
      </c>
      <c r="S105" s="11" t="s">
        <v>1382</v>
      </c>
      <c r="T105" s="11" t="s">
        <v>2213</v>
      </c>
      <c r="U105" s="11" t="s">
        <v>1387</v>
      </c>
      <c r="V105" s="11" t="s">
        <v>2214</v>
      </c>
      <c r="W105" s="11" t="s">
        <v>1389</v>
      </c>
      <c r="X105" s="11" t="s">
        <v>1769</v>
      </c>
      <c r="Y105" s="11" t="s">
        <v>1470</v>
      </c>
      <c r="Z105" s="11" t="s">
        <v>1728</v>
      </c>
      <c r="AA105" s="11" t="s">
        <v>2215</v>
      </c>
      <c r="AB105" s="11" t="s">
        <v>1631</v>
      </c>
      <c r="AC105" s="11" t="s">
        <v>2212</v>
      </c>
      <c r="AD105" s="11">
        <v>5405300</v>
      </c>
      <c r="AE105" s="11" t="s">
        <v>1382</v>
      </c>
      <c r="AF105" s="11" t="s">
        <v>2216</v>
      </c>
      <c r="AG105" s="11" t="s">
        <v>1382</v>
      </c>
      <c r="AH105" s="11" t="s">
        <v>2217</v>
      </c>
      <c r="AI105" s="11" t="s">
        <v>2010</v>
      </c>
      <c r="AJ105" s="11" t="s">
        <v>1670</v>
      </c>
      <c r="AK105" s="11" t="s">
        <v>1396</v>
      </c>
      <c r="AL105" s="11" t="s">
        <v>134</v>
      </c>
      <c r="AM105" s="11">
        <v>8400</v>
      </c>
      <c r="AN105" s="11"/>
      <c r="AO105" s="11" t="s">
        <v>134</v>
      </c>
      <c r="AP105" s="11" t="s">
        <v>1397</v>
      </c>
      <c r="AQ105" s="11" t="s">
        <v>1398</v>
      </c>
      <c r="AR105" s="11" t="s">
        <v>1652</v>
      </c>
      <c r="AS105" s="11" t="s">
        <v>2218</v>
      </c>
      <c r="AT105" s="11" t="s">
        <v>2219</v>
      </c>
      <c r="AU105" s="11" t="s">
        <v>1478</v>
      </c>
      <c r="AV105" s="11"/>
      <c r="AW105" s="11" t="s">
        <v>2220</v>
      </c>
      <c r="AX105" s="11"/>
      <c r="AY105" s="11"/>
      <c r="AZ105" s="11"/>
      <c r="BA105" s="11"/>
      <c r="BB105" s="11">
        <v>79609154</v>
      </c>
      <c r="BC105" s="11" t="s">
        <v>1403</v>
      </c>
      <c r="BD105" s="11" t="s">
        <v>1432</v>
      </c>
      <c r="BE105" s="11" t="s">
        <v>1779</v>
      </c>
      <c r="BF105" s="11" t="s">
        <v>1434</v>
      </c>
      <c r="BG105" s="11" t="s">
        <v>1482</v>
      </c>
      <c r="BH105" s="11" t="s">
        <v>1502</v>
      </c>
      <c r="BI105" s="11" t="s">
        <v>1407</v>
      </c>
      <c r="BJ105" s="11" t="s">
        <v>134</v>
      </c>
      <c r="BK105" s="11"/>
      <c r="BL105" s="11" t="s">
        <v>1408</v>
      </c>
      <c r="BM105" s="11"/>
      <c r="BN105" s="11" t="s">
        <v>1457</v>
      </c>
      <c r="BO105" s="11" t="s">
        <v>1748</v>
      </c>
    </row>
    <row r="106" spans="2:67">
      <c r="B106" s="11">
        <v>95</v>
      </c>
      <c r="C106" s="11" t="s">
        <v>1374</v>
      </c>
      <c r="D106" s="11" t="s">
        <v>1375</v>
      </c>
      <c r="E106" s="11" t="s">
        <v>2207</v>
      </c>
      <c r="F106" s="11" t="s">
        <v>2208</v>
      </c>
      <c r="G106" s="11" t="s">
        <v>2209</v>
      </c>
      <c r="H106" s="11" t="s">
        <v>2210</v>
      </c>
      <c r="I106" s="11" t="s">
        <v>2211</v>
      </c>
      <c r="J106" s="11"/>
      <c r="K106" s="11" t="s">
        <v>1470</v>
      </c>
      <c r="L106" s="11" t="s">
        <v>1382</v>
      </c>
      <c r="M106" s="11" t="s">
        <v>1543</v>
      </c>
      <c r="N106" s="11" t="s">
        <v>482</v>
      </c>
      <c r="O106" s="11" t="s">
        <v>134</v>
      </c>
      <c r="P106" s="11"/>
      <c r="Q106" s="11"/>
      <c r="R106" s="11" t="s">
        <v>2212</v>
      </c>
      <c r="S106" s="11" t="s">
        <v>1382</v>
      </c>
      <c r="T106" s="11" t="s">
        <v>2213</v>
      </c>
      <c r="U106" s="11" t="s">
        <v>1387</v>
      </c>
      <c r="V106" s="11" t="s">
        <v>2214</v>
      </c>
      <c r="W106" s="11" t="s">
        <v>1389</v>
      </c>
      <c r="X106" s="11" t="s">
        <v>1769</v>
      </c>
      <c r="Y106" s="11" t="s">
        <v>1470</v>
      </c>
      <c r="Z106" s="11" t="s">
        <v>1728</v>
      </c>
      <c r="AA106" s="11" t="s">
        <v>2215</v>
      </c>
      <c r="AB106" s="11" t="s">
        <v>1631</v>
      </c>
      <c r="AC106" s="11" t="s">
        <v>2212</v>
      </c>
      <c r="AD106" s="11">
        <v>5405300</v>
      </c>
      <c r="AE106" s="11" t="s">
        <v>1382</v>
      </c>
      <c r="AF106" s="11" t="s">
        <v>2216</v>
      </c>
      <c r="AG106" s="11" t="s">
        <v>1382</v>
      </c>
      <c r="AH106" s="11" t="s">
        <v>2217</v>
      </c>
      <c r="AI106" s="11" t="s">
        <v>2026</v>
      </c>
      <c r="AJ106" s="11" t="s">
        <v>1676</v>
      </c>
      <c r="AK106" s="11" t="s">
        <v>1396</v>
      </c>
      <c r="AL106" s="11" t="s">
        <v>134</v>
      </c>
      <c r="AM106" s="11">
        <v>4000</v>
      </c>
      <c r="AN106" s="11"/>
      <c r="AO106" s="11" t="s">
        <v>134</v>
      </c>
      <c r="AP106" s="11" t="s">
        <v>1397</v>
      </c>
      <c r="AQ106" s="11" t="s">
        <v>1398</v>
      </c>
      <c r="AR106" s="11" t="s">
        <v>1652</v>
      </c>
      <c r="AS106" s="11" t="s">
        <v>2218</v>
      </c>
      <c r="AT106" s="11" t="s">
        <v>2221</v>
      </c>
      <c r="AU106" s="11" t="s">
        <v>1478</v>
      </c>
      <c r="AV106" s="11"/>
      <c r="AW106" s="11" t="s">
        <v>2220</v>
      </c>
      <c r="AX106" s="11"/>
      <c r="AY106" s="11"/>
      <c r="AZ106" s="11"/>
      <c r="BA106" s="11"/>
      <c r="BB106" s="11">
        <v>79609154</v>
      </c>
      <c r="BC106" s="11" t="s">
        <v>1403</v>
      </c>
      <c r="BD106" s="11" t="s">
        <v>1432</v>
      </c>
      <c r="BE106" s="11" t="s">
        <v>1779</v>
      </c>
      <c r="BF106" s="11" t="s">
        <v>1434</v>
      </c>
      <c r="BG106" s="11" t="s">
        <v>1482</v>
      </c>
      <c r="BH106" s="11" t="s">
        <v>1502</v>
      </c>
      <c r="BI106" s="11" t="s">
        <v>1407</v>
      </c>
      <c r="BJ106" s="11" t="s">
        <v>134</v>
      </c>
      <c r="BK106" s="11"/>
      <c r="BL106" s="11" t="s">
        <v>1408</v>
      </c>
      <c r="BM106" s="11"/>
      <c r="BN106" s="11" t="s">
        <v>1457</v>
      </c>
      <c r="BO106" s="11" t="s">
        <v>1748</v>
      </c>
    </row>
    <row r="107" spans="2:67">
      <c r="B107" s="11">
        <v>96</v>
      </c>
      <c r="C107" s="11" t="s">
        <v>1374</v>
      </c>
      <c r="D107" s="11" t="s">
        <v>1375</v>
      </c>
      <c r="E107" s="11" t="s">
        <v>2207</v>
      </c>
      <c r="F107" s="11" t="s">
        <v>2208</v>
      </c>
      <c r="G107" s="11" t="s">
        <v>2209</v>
      </c>
      <c r="H107" s="11" t="s">
        <v>2210</v>
      </c>
      <c r="I107" s="11" t="s">
        <v>2211</v>
      </c>
      <c r="J107" s="11"/>
      <c r="K107" s="11" t="s">
        <v>1470</v>
      </c>
      <c r="L107" s="11" t="s">
        <v>1382</v>
      </c>
      <c r="M107" s="11" t="s">
        <v>1543</v>
      </c>
      <c r="N107" s="11" t="s">
        <v>482</v>
      </c>
      <c r="O107" s="11" t="s">
        <v>134</v>
      </c>
      <c r="P107" s="11"/>
      <c r="Q107" s="11"/>
      <c r="R107" s="11" t="s">
        <v>2212</v>
      </c>
      <c r="S107" s="11" t="s">
        <v>1382</v>
      </c>
      <c r="T107" s="11" t="s">
        <v>2213</v>
      </c>
      <c r="U107" s="11" t="s">
        <v>1387</v>
      </c>
      <c r="V107" s="11" t="s">
        <v>2214</v>
      </c>
      <c r="W107" s="11" t="s">
        <v>1389</v>
      </c>
      <c r="X107" s="11" t="s">
        <v>1769</v>
      </c>
      <c r="Y107" s="11" t="s">
        <v>1470</v>
      </c>
      <c r="Z107" s="11" t="s">
        <v>1728</v>
      </c>
      <c r="AA107" s="11" t="s">
        <v>2215</v>
      </c>
      <c r="AB107" s="11" t="s">
        <v>1631</v>
      </c>
      <c r="AC107" s="11" t="s">
        <v>2212</v>
      </c>
      <c r="AD107" s="11">
        <v>5405300</v>
      </c>
      <c r="AE107" s="11" t="s">
        <v>1382</v>
      </c>
      <c r="AF107" s="11" t="s">
        <v>2216</v>
      </c>
      <c r="AG107" s="11" t="s">
        <v>1382</v>
      </c>
      <c r="AH107" s="11" t="s">
        <v>2217</v>
      </c>
      <c r="AI107" s="11" t="s">
        <v>2024</v>
      </c>
      <c r="AJ107" s="11" t="s">
        <v>1788</v>
      </c>
      <c r="AK107" s="11" t="s">
        <v>1396</v>
      </c>
      <c r="AL107" s="11" t="s">
        <v>134</v>
      </c>
      <c r="AM107" s="11">
        <v>5900</v>
      </c>
      <c r="AN107" s="11"/>
      <c r="AO107" s="11" t="s">
        <v>134</v>
      </c>
      <c r="AP107" s="11" t="s">
        <v>1397</v>
      </c>
      <c r="AQ107" s="11" t="s">
        <v>1398</v>
      </c>
      <c r="AR107" s="11" t="s">
        <v>1652</v>
      </c>
      <c r="AS107" s="11" t="s">
        <v>2218</v>
      </c>
      <c r="AT107" s="11" t="s">
        <v>2222</v>
      </c>
      <c r="AU107" s="11" t="s">
        <v>1478</v>
      </c>
      <c r="AV107" s="11"/>
      <c r="AW107" s="11" t="s">
        <v>2220</v>
      </c>
      <c r="AX107" s="11"/>
      <c r="AY107" s="11"/>
      <c r="AZ107" s="11"/>
      <c r="BA107" s="11"/>
      <c r="BB107" s="11">
        <v>79609154</v>
      </c>
      <c r="BC107" s="11" t="s">
        <v>1403</v>
      </c>
      <c r="BD107" s="11" t="s">
        <v>1432</v>
      </c>
      <c r="BE107" s="11" t="s">
        <v>1779</v>
      </c>
      <c r="BF107" s="11" t="s">
        <v>1434</v>
      </c>
      <c r="BG107" s="11" t="s">
        <v>1482</v>
      </c>
      <c r="BH107" s="11" t="s">
        <v>1502</v>
      </c>
      <c r="BI107" s="11" t="s">
        <v>1407</v>
      </c>
      <c r="BJ107" s="11" t="s">
        <v>134</v>
      </c>
      <c r="BK107" s="11"/>
      <c r="BL107" s="11" t="s">
        <v>1408</v>
      </c>
      <c r="BM107" s="11"/>
      <c r="BN107" s="11" t="s">
        <v>1457</v>
      </c>
      <c r="BO107" s="11" t="s">
        <v>1748</v>
      </c>
    </row>
    <row r="108" spans="2:67">
      <c r="B108" s="11">
        <v>97</v>
      </c>
      <c r="C108" s="11" t="s">
        <v>1374</v>
      </c>
      <c r="D108" s="11" t="s">
        <v>1375</v>
      </c>
      <c r="E108" s="11" t="s">
        <v>2223</v>
      </c>
      <c r="F108" s="11" t="s">
        <v>2224</v>
      </c>
      <c r="G108" s="11" t="s">
        <v>1974</v>
      </c>
      <c r="H108" s="11" t="s">
        <v>2225</v>
      </c>
      <c r="I108" s="11" t="s">
        <v>2226</v>
      </c>
      <c r="J108" s="11" t="s">
        <v>134</v>
      </c>
      <c r="K108" s="11" t="s">
        <v>1488</v>
      </c>
      <c r="L108" s="11" t="s">
        <v>1382</v>
      </c>
      <c r="M108" s="11" t="s">
        <v>181</v>
      </c>
      <c r="N108" s="11" t="s">
        <v>181</v>
      </c>
      <c r="O108" s="11" t="s">
        <v>134</v>
      </c>
      <c r="P108" s="11"/>
      <c r="Q108" s="11"/>
      <c r="R108" s="11" t="s">
        <v>2227</v>
      </c>
      <c r="S108" s="11" t="s">
        <v>1382</v>
      </c>
      <c r="T108" s="11" t="s">
        <v>2228</v>
      </c>
      <c r="U108" s="11" t="s">
        <v>1387</v>
      </c>
      <c r="V108" s="11" t="s">
        <v>2229</v>
      </c>
      <c r="W108" s="11" t="s">
        <v>1389</v>
      </c>
      <c r="X108" s="11" t="s">
        <v>1769</v>
      </c>
      <c r="Y108" s="11" t="s">
        <v>1470</v>
      </c>
      <c r="Z108" s="11" t="s">
        <v>1828</v>
      </c>
      <c r="AA108" s="11" t="s">
        <v>2122</v>
      </c>
      <c r="AB108" s="11" t="s">
        <v>2230</v>
      </c>
      <c r="AC108" s="11" t="s">
        <v>2227</v>
      </c>
      <c r="AD108" s="11">
        <v>5428857</v>
      </c>
      <c r="AE108" s="11" t="s">
        <v>1382</v>
      </c>
      <c r="AF108" s="11" t="s">
        <v>2231</v>
      </c>
      <c r="AG108" s="11" t="s">
        <v>1382</v>
      </c>
      <c r="AH108" s="11" t="s">
        <v>2232</v>
      </c>
      <c r="AI108" s="11" t="s">
        <v>2024</v>
      </c>
      <c r="AJ108" s="11" t="s">
        <v>1788</v>
      </c>
      <c r="AK108" s="11" t="s">
        <v>1396</v>
      </c>
      <c r="AL108" s="11" t="s">
        <v>134</v>
      </c>
      <c r="AM108" s="11">
        <v>2451</v>
      </c>
      <c r="AN108" s="11"/>
      <c r="AO108" s="11" t="s">
        <v>134</v>
      </c>
      <c r="AP108" s="11" t="s">
        <v>1397</v>
      </c>
      <c r="AQ108" s="11" t="s">
        <v>1398</v>
      </c>
      <c r="AR108" s="11" t="s">
        <v>1570</v>
      </c>
      <c r="AS108" s="11" t="s">
        <v>2233</v>
      </c>
      <c r="AT108" s="11" t="s">
        <v>2234</v>
      </c>
      <c r="AU108" s="11" t="s">
        <v>1536</v>
      </c>
      <c r="AV108" s="11"/>
      <c r="AW108" s="11" t="s">
        <v>2235</v>
      </c>
      <c r="AX108" s="11"/>
      <c r="AY108" s="11"/>
      <c r="AZ108" s="11"/>
      <c r="BA108" s="11"/>
      <c r="BB108" s="11">
        <v>52607974</v>
      </c>
      <c r="BC108" s="11" t="s">
        <v>1403</v>
      </c>
      <c r="BD108" s="11" t="s">
        <v>1432</v>
      </c>
      <c r="BE108" s="11" t="s">
        <v>1779</v>
      </c>
      <c r="BF108" s="11" t="s">
        <v>1555</v>
      </c>
      <c r="BG108" s="11" t="s">
        <v>1482</v>
      </c>
      <c r="BH108" s="11" t="s">
        <v>1520</v>
      </c>
      <c r="BI108" s="11" t="s">
        <v>1407</v>
      </c>
      <c r="BJ108" s="11" t="s">
        <v>134</v>
      </c>
      <c r="BK108" s="11"/>
      <c r="BL108" s="11" t="s">
        <v>1408</v>
      </c>
      <c r="BM108" s="11"/>
      <c r="BN108" s="11" t="s">
        <v>1457</v>
      </c>
      <c r="BO108" s="11" t="s">
        <v>1410</v>
      </c>
    </row>
    <row r="109" spans="2:67">
      <c r="B109" s="11">
        <v>98</v>
      </c>
      <c r="C109" s="11" t="s">
        <v>1374</v>
      </c>
      <c r="D109" s="11" t="s">
        <v>1375</v>
      </c>
      <c r="E109" s="11" t="s">
        <v>2223</v>
      </c>
      <c r="F109" s="11" t="s">
        <v>2224</v>
      </c>
      <c r="G109" s="11" t="s">
        <v>1974</v>
      </c>
      <c r="H109" s="11" t="s">
        <v>2225</v>
      </c>
      <c r="I109" s="11" t="s">
        <v>2226</v>
      </c>
      <c r="J109" s="11" t="s">
        <v>134</v>
      </c>
      <c r="K109" s="11" t="s">
        <v>1488</v>
      </c>
      <c r="L109" s="11" t="s">
        <v>1382</v>
      </c>
      <c r="M109" s="11" t="s">
        <v>181</v>
      </c>
      <c r="N109" s="11" t="s">
        <v>181</v>
      </c>
      <c r="O109" s="11" t="s">
        <v>134</v>
      </c>
      <c r="P109" s="11"/>
      <c r="Q109" s="11"/>
      <c r="R109" s="11" t="s">
        <v>2227</v>
      </c>
      <c r="S109" s="11" t="s">
        <v>1382</v>
      </c>
      <c r="T109" s="11" t="s">
        <v>2228</v>
      </c>
      <c r="U109" s="11" t="s">
        <v>1387</v>
      </c>
      <c r="V109" s="11" t="s">
        <v>2229</v>
      </c>
      <c r="W109" s="11" t="s">
        <v>1389</v>
      </c>
      <c r="X109" s="11" t="s">
        <v>1769</v>
      </c>
      <c r="Y109" s="11" t="s">
        <v>1470</v>
      </c>
      <c r="Z109" s="11" t="s">
        <v>1828</v>
      </c>
      <c r="AA109" s="11" t="s">
        <v>2122</v>
      </c>
      <c r="AB109" s="11" t="s">
        <v>2230</v>
      </c>
      <c r="AC109" s="11" t="s">
        <v>2227</v>
      </c>
      <c r="AD109" s="11">
        <v>5428857</v>
      </c>
      <c r="AE109" s="11" t="s">
        <v>1382</v>
      </c>
      <c r="AF109" s="11" t="s">
        <v>2231</v>
      </c>
      <c r="AG109" s="11" t="s">
        <v>1382</v>
      </c>
      <c r="AH109" s="11" t="s">
        <v>2232</v>
      </c>
      <c r="AI109" s="11" t="s">
        <v>2022</v>
      </c>
      <c r="AJ109" s="11" t="s">
        <v>1785</v>
      </c>
      <c r="AK109" s="11" t="s">
        <v>1396</v>
      </c>
      <c r="AL109" s="11" t="s">
        <v>134</v>
      </c>
      <c r="AM109" s="11">
        <v>2183</v>
      </c>
      <c r="AN109" s="11"/>
      <c r="AO109" s="11" t="s">
        <v>134</v>
      </c>
      <c r="AP109" s="11" t="s">
        <v>1397</v>
      </c>
      <c r="AQ109" s="11" t="s">
        <v>1398</v>
      </c>
      <c r="AR109" s="11" t="s">
        <v>1570</v>
      </c>
      <c r="AS109" s="11" t="s">
        <v>2233</v>
      </c>
      <c r="AT109" s="11" t="s">
        <v>2236</v>
      </c>
      <c r="AU109" s="11" t="s">
        <v>1536</v>
      </c>
      <c r="AV109" s="11"/>
      <c r="AW109" s="11" t="s">
        <v>2235</v>
      </c>
      <c r="AX109" s="11"/>
      <c r="AY109" s="11"/>
      <c r="AZ109" s="11"/>
      <c r="BA109" s="11"/>
      <c r="BB109" s="11">
        <v>52607974</v>
      </c>
      <c r="BC109" s="11" t="s">
        <v>1403</v>
      </c>
      <c r="BD109" s="11" t="s">
        <v>1432</v>
      </c>
      <c r="BE109" s="11" t="s">
        <v>1779</v>
      </c>
      <c r="BF109" s="11" t="s">
        <v>1555</v>
      </c>
      <c r="BG109" s="11" t="s">
        <v>1482</v>
      </c>
      <c r="BH109" s="11" t="s">
        <v>1520</v>
      </c>
      <c r="BI109" s="11" t="s">
        <v>1407</v>
      </c>
      <c r="BJ109" s="11" t="s">
        <v>134</v>
      </c>
      <c r="BK109" s="11"/>
      <c r="BL109" s="11" t="s">
        <v>1408</v>
      </c>
      <c r="BM109" s="11"/>
      <c r="BN109" s="11" t="s">
        <v>1457</v>
      </c>
      <c r="BO109" s="11" t="s">
        <v>1410</v>
      </c>
    </row>
    <row r="110" spans="2:67">
      <c r="B110" s="11">
        <v>99</v>
      </c>
      <c r="C110" s="11" t="s">
        <v>1374</v>
      </c>
      <c r="D110" s="11" t="s">
        <v>1375</v>
      </c>
      <c r="E110" s="11" t="s">
        <v>2223</v>
      </c>
      <c r="F110" s="11" t="s">
        <v>2224</v>
      </c>
      <c r="G110" s="11" t="s">
        <v>1974</v>
      </c>
      <c r="H110" s="11" t="s">
        <v>2225</v>
      </c>
      <c r="I110" s="11" t="s">
        <v>2226</v>
      </c>
      <c r="J110" s="11" t="s">
        <v>134</v>
      </c>
      <c r="K110" s="11" t="s">
        <v>1488</v>
      </c>
      <c r="L110" s="11" t="s">
        <v>1382</v>
      </c>
      <c r="M110" s="11" t="s">
        <v>181</v>
      </c>
      <c r="N110" s="11" t="s">
        <v>181</v>
      </c>
      <c r="O110" s="11" t="s">
        <v>134</v>
      </c>
      <c r="P110" s="11"/>
      <c r="Q110" s="11"/>
      <c r="R110" s="11" t="s">
        <v>2227</v>
      </c>
      <c r="S110" s="11" t="s">
        <v>1382</v>
      </c>
      <c r="T110" s="11" t="s">
        <v>2228</v>
      </c>
      <c r="U110" s="11" t="s">
        <v>1387</v>
      </c>
      <c r="V110" s="11" t="s">
        <v>2229</v>
      </c>
      <c r="W110" s="11" t="s">
        <v>1389</v>
      </c>
      <c r="X110" s="11" t="s">
        <v>1769</v>
      </c>
      <c r="Y110" s="11" t="s">
        <v>1470</v>
      </c>
      <c r="Z110" s="11" t="s">
        <v>1828</v>
      </c>
      <c r="AA110" s="11" t="s">
        <v>2122</v>
      </c>
      <c r="AB110" s="11" t="s">
        <v>2230</v>
      </c>
      <c r="AC110" s="11" t="s">
        <v>2227</v>
      </c>
      <c r="AD110" s="11">
        <v>5428857</v>
      </c>
      <c r="AE110" s="11" t="s">
        <v>1382</v>
      </c>
      <c r="AF110" s="11" t="s">
        <v>2231</v>
      </c>
      <c r="AG110" s="11" t="s">
        <v>1382</v>
      </c>
      <c r="AH110" s="11" t="s">
        <v>2232</v>
      </c>
      <c r="AI110" s="11" t="s">
        <v>2237</v>
      </c>
      <c r="AJ110" s="11" t="s">
        <v>1651</v>
      </c>
      <c r="AK110" s="11" t="s">
        <v>1396</v>
      </c>
      <c r="AL110" s="11" t="s">
        <v>134</v>
      </c>
      <c r="AM110" s="11">
        <v>3217.05</v>
      </c>
      <c r="AN110" s="11"/>
      <c r="AO110" s="11" t="s">
        <v>134</v>
      </c>
      <c r="AP110" s="11" t="s">
        <v>1397</v>
      </c>
      <c r="AQ110" s="11" t="s">
        <v>1398</v>
      </c>
      <c r="AR110" s="11" t="s">
        <v>1570</v>
      </c>
      <c r="AS110" s="11" t="s">
        <v>2233</v>
      </c>
      <c r="AT110" s="11" t="s">
        <v>2238</v>
      </c>
      <c r="AU110" s="11" t="s">
        <v>1536</v>
      </c>
      <c r="AV110" s="11"/>
      <c r="AW110" s="11" t="s">
        <v>2235</v>
      </c>
      <c r="AX110" s="11"/>
      <c r="AY110" s="11"/>
      <c r="AZ110" s="11"/>
      <c r="BA110" s="11"/>
      <c r="BB110" s="11">
        <v>52607974</v>
      </c>
      <c r="BC110" s="11" t="s">
        <v>1403</v>
      </c>
      <c r="BD110" s="11" t="s">
        <v>1432</v>
      </c>
      <c r="BE110" s="11" t="s">
        <v>1779</v>
      </c>
      <c r="BF110" s="11" t="s">
        <v>1555</v>
      </c>
      <c r="BG110" s="11" t="s">
        <v>1482</v>
      </c>
      <c r="BH110" s="11" t="s">
        <v>1520</v>
      </c>
      <c r="BI110" s="11" t="s">
        <v>1407</v>
      </c>
      <c r="BJ110" s="11" t="s">
        <v>134</v>
      </c>
      <c r="BK110" s="11"/>
      <c r="BL110" s="11" t="s">
        <v>1408</v>
      </c>
      <c r="BM110" s="11"/>
      <c r="BN110" s="11" t="s">
        <v>1457</v>
      </c>
      <c r="BO110" s="11" t="s">
        <v>1410</v>
      </c>
    </row>
    <row r="111" spans="2:67">
      <c r="B111" s="11">
        <v>100</v>
      </c>
      <c r="C111" s="11" t="s">
        <v>1374</v>
      </c>
      <c r="D111" s="11" t="s">
        <v>1375</v>
      </c>
      <c r="E111" s="11" t="s">
        <v>2223</v>
      </c>
      <c r="F111" s="11" t="s">
        <v>2224</v>
      </c>
      <c r="G111" s="11" t="s">
        <v>1974</v>
      </c>
      <c r="H111" s="11" t="s">
        <v>2225</v>
      </c>
      <c r="I111" s="11" t="s">
        <v>2226</v>
      </c>
      <c r="J111" s="11" t="s">
        <v>134</v>
      </c>
      <c r="K111" s="11" t="s">
        <v>1488</v>
      </c>
      <c r="L111" s="11" t="s">
        <v>1382</v>
      </c>
      <c r="M111" s="11" t="s">
        <v>181</v>
      </c>
      <c r="N111" s="11" t="s">
        <v>181</v>
      </c>
      <c r="O111" s="11" t="s">
        <v>134</v>
      </c>
      <c r="P111" s="11"/>
      <c r="Q111" s="11"/>
      <c r="R111" s="11" t="s">
        <v>2227</v>
      </c>
      <c r="S111" s="11" t="s">
        <v>1382</v>
      </c>
      <c r="T111" s="11" t="s">
        <v>2228</v>
      </c>
      <c r="U111" s="11" t="s">
        <v>1387</v>
      </c>
      <c r="V111" s="11" t="s">
        <v>2229</v>
      </c>
      <c r="W111" s="11" t="s">
        <v>1389</v>
      </c>
      <c r="X111" s="11" t="s">
        <v>1769</v>
      </c>
      <c r="Y111" s="11" t="s">
        <v>1470</v>
      </c>
      <c r="Z111" s="11" t="s">
        <v>1828</v>
      </c>
      <c r="AA111" s="11" t="s">
        <v>2122</v>
      </c>
      <c r="AB111" s="11" t="s">
        <v>2230</v>
      </c>
      <c r="AC111" s="11" t="s">
        <v>2227</v>
      </c>
      <c r="AD111" s="11">
        <v>5428857</v>
      </c>
      <c r="AE111" s="11" t="s">
        <v>1382</v>
      </c>
      <c r="AF111" s="11" t="s">
        <v>2231</v>
      </c>
      <c r="AG111" s="11" t="s">
        <v>1382</v>
      </c>
      <c r="AH111" s="11" t="s">
        <v>2232</v>
      </c>
      <c r="AI111" s="11" t="s">
        <v>2239</v>
      </c>
      <c r="AJ111" s="11" t="s">
        <v>1657</v>
      </c>
      <c r="AK111" s="11" t="s">
        <v>1396</v>
      </c>
      <c r="AL111" s="11" t="s">
        <v>134</v>
      </c>
      <c r="AM111" s="11">
        <v>1281.9000000000001</v>
      </c>
      <c r="AN111" s="11"/>
      <c r="AO111" s="11" t="s">
        <v>134</v>
      </c>
      <c r="AP111" s="11" t="s">
        <v>1397</v>
      </c>
      <c r="AQ111" s="11" t="s">
        <v>1398</v>
      </c>
      <c r="AR111" s="11" t="s">
        <v>1570</v>
      </c>
      <c r="AS111" s="11" t="s">
        <v>2233</v>
      </c>
      <c r="AT111" s="11" t="s">
        <v>2240</v>
      </c>
      <c r="AU111" s="11" t="s">
        <v>1536</v>
      </c>
      <c r="AV111" s="11"/>
      <c r="AW111" s="11" t="s">
        <v>2235</v>
      </c>
      <c r="AX111" s="11"/>
      <c r="AY111" s="11"/>
      <c r="AZ111" s="11"/>
      <c r="BA111" s="11"/>
      <c r="BB111" s="11">
        <v>52607974</v>
      </c>
      <c r="BC111" s="11" t="s">
        <v>1403</v>
      </c>
      <c r="BD111" s="11" t="s">
        <v>1432</v>
      </c>
      <c r="BE111" s="11" t="s">
        <v>1779</v>
      </c>
      <c r="BF111" s="11" t="s">
        <v>1555</v>
      </c>
      <c r="BG111" s="11" t="s">
        <v>1482</v>
      </c>
      <c r="BH111" s="11" t="s">
        <v>1520</v>
      </c>
      <c r="BI111" s="11" t="s">
        <v>1407</v>
      </c>
      <c r="BJ111" s="11" t="s">
        <v>134</v>
      </c>
      <c r="BK111" s="11"/>
      <c r="BL111" s="11" t="s">
        <v>1408</v>
      </c>
      <c r="BM111" s="11"/>
      <c r="BN111" s="11" t="s">
        <v>1457</v>
      </c>
      <c r="BO111" s="11" t="s">
        <v>1410</v>
      </c>
    </row>
    <row r="112" spans="2:67">
      <c r="B112" s="11">
        <v>101</v>
      </c>
      <c r="C112" s="11" t="s">
        <v>1374</v>
      </c>
      <c r="D112" s="11" t="s">
        <v>1375</v>
      </c>
      <c r="E112" s="11" t="s">
        <v>2223</v>
      </c>
      <c r="F112" s="11" t="s">
        <v>2224</v>
      </c>
      <c r="G112" s="11" t="s">
        <v>1974</v>
      </c>
      <c r="H112" s="11" t="s">
        <v>2225</v>
      </c>
      <c r="I112" s="11" t="s">
        <v>2226</v>
      </c>
      <c r="J112" s="11" t="s">
        <v>134</v>
      </c>
      <c r="K112" s="11" t="s">
        <v>1488</v>
      </c>
      <c r="L112" s="11" t="s">
        <v>1382</v>
      </c>
      <c r="M112" s="11" t="s">
        <v>181</v>
      </c>
      <c r="N112" s="11" t="s">
        <v>181</v>
      </c>
      <c r="O112" s="11" t="s">
        <v>134</v>
      </c>
      <c r="P112" s="11"/>
      <c r="Q112" s="11"/>
      <c r="R112" s="11" t="s">
        <v>2227</v>
      </c>
      <c r="S112" s="11" t="s">
        <v>1382</v>
      </c>
      <c r="T112" s="11" t="s">
        <v>2228</v>
      </c>
      <c r="U112" s="11" t="s">
        <v>1387</v>
      </c>
      <c r="V112" s="11" t="s">
        <v>2229</v>
      </c>
      <c r="W112" s="11" t="s">
        <v>1389</v>
      </c>
      <c r="X112" s="11" t="s">
        <v>1769</v>
      </c>
      <c r="Y112" s="11" t="s">
        <v>1470</v>
      </c>
      <c r="Z112" s="11" t="s">
        <v>1828</v>
      </c>
      <c r="AA112" s="11" t="s">
        <v>2122</v>
      </c>
      <c r="AB112" s="11" t="s">
        <v>2230</v>
      </c>
      <c r="AC112" s="11" t="s">
        <v>2227</v>
      </c>
      <c r="AD112" s="11">
        <v>5428857</v>
      </c>
      <c r="AE112" s="11" t="s">
        <v>1382</v>
      </c>
      <c r="AF112" s="11" t="s">
        <v>2231</v>
      </c>
      <c r="AG112" s="11" t="s">
        <v>1382</v>
      </c>
      <c r="AH112" s="11" t="s">
        <v>2232</v>
      </c>
      <c r="AI112" s="11" t="s">
        <v>2028</v>
      </c>
      <c r="AJ112" s="11" t="s">
        <v>1775</v>
      </c>
      <c r="AK112" s="11" t="s">
        <v>1396</v>
      </c>
      <c r="AL112" s="11" t="s">
        <v>134</v>
      </c>
      <c r="AM112" s="11">
        <v>3178.75</v>
      </c>
      <c r="AN112" s="11"/>
      <c r="AO112" s="11" t="s">
        <v>134</v>
      </c>
      <c r="AP112" s="11" t="s">
        <v>1397</v>
      </c>
      <c r="AQ112" s="11" t="s">
        <v>1398</v>
      </c>
      <c r="AR112" s="11" t="s">
        <v>1570</v>
      </c>
      <c r="AS112" s="11" t="s">
        <v>2233</v>
      </c>
      <c r="AT112" s="11" t="s">
        <v>2241</v>
      </c>
      <c r="AU112" s="11" t="s">
        <v>1536</v>
      </c>
      <c r="AV112" s="11"/>
      <c r="AW112" s="11" t="s">
        <v>2235</v>
      </c>
      <c r="AX112" s="11"/>
      <c r="AY112" s="11"/>
      <c r="AZ112" s="11"/>
      <c r="BA112" s="11"/>
      <c r="BB112" s="11">
        <v>52607974</v>
      </c>
      <c r="BC112" s="11" t="s">
        <v>1403</v>
      </c>
      <c r="BD112" s="11" t="s">
        <v>1432</v>
      </c>
      <c r="BE112" s="11" t="s">
        <v>1779</v>
      </c>
      <c r="BF112" s="11" t="s">
        <v>1555</v>
      </c>
      <c r="BG112" s="11" t="s">
        <v>1482</v>
      </c>
      <c r="BH112" s="11" t="s">
        <v>1520</v>
      </c>
      <c r="BI112" s="11" t="s">
        <v>1407</v>
      </c>
      <c r="BJ112" s="11" t="s">
        <v>134</v>
      </c>
      <c r="BK112" s="11"/>
      <c r="BL112" s="11" t="s">
        <v>1408</v>
      </c>
      <c r="BM112" s="11"/>
      <c r="BN112" s="11" t="s">
        <v>1457</v>
      </c>
      <c r="BO112" s="11" t="s">
        <v>1410</v>
      </c>
    </row>
    <row r="113" spans="2:67">
      <c r="B113" s="11">
        <v>102</v>
      </c>
      <c r="C113" s="11" t="s">
        <v>1374</v>
      </c>
      <c r="D113" s="11" t="s">
        <v>1375</v>
      </c>
      <c r="E113" s="11" t="s">
        <v>2223</v>
      </c>
      <c r="F113" s="11" t="s">
        <v>2224</v>
      </c>
      <c r="G113" s="11" t="s">
        <v>1974</v>
      </c>
      <c r="H113" s="11" t="s">
        <v>2225</v>
      </c>
      <c r="I113" s="11" t="s">
        <v>2226</v>
      </c>
      <c r="J113" s="11" t="s">
        <v>134</v>
      </c>
      <c r="K113" s="11" t="s">
        <v>1488</v>
      </c>
      <c r="L113" s="11" t="s">
        <v>1382</v>
      </c>
      <c r="M113" s="11" t="s">
        <v>181</v>
      </c>
      <c r="N113" s="11" t="s">
        <v>181</v>
      </c>
      <c r="O113" s="11" t="s">
        <v>134</v>
      </c>
      <c r="P113" s="11"/>
      <c r="Q113" s="11"/>
      <c r="R113" s="11" t="s">
        <v>2227</v>
      </c>
      <c r="S113" s="11" t="s">
        <v>1382</v>
      </c>
      <c r="T113" s="11" t="s">
        <v>2228</v>
      </c>
      <c r="U113" s="11" t="s">
        <v>1387</v>
      </c>
      <c r="V113" s="11" t="s">
        <v>2229</v>
      </c>
      <c r="W113" s="11" t="s">
        <v>1389</v>
      </c>
      <c r="X113" s="11" t="s">
        <v>1769</v>
      </c>
      <c r="Y113" s="11" t="s">
        <v>1470</v>
      </c>
      <c r="Z113" s="11" t="s">
        <v>1828</v>
      </c>
      <c r="AA113" s="11" t="s">
        <v>2122</v>
      </c>
      <c r="AB113" s="11" t="s">
        <v>2230</v>
      </c>
      <c r="AC113" s="11" t="s">
        <v>2227</v>
      </c>
      <c r="AD113" s="11">
        <v>5428857</v>
      </c>
      <c r="AE113" s="11" t="s">
        <v>1382</v>
      </c>
      <c r="AF113" s="11" t="s">
        <v>2231</v>
      </c>
      <c r="AG113" s="11" t="s">
        <v>1382</v>
      </c>
      <c r="AH113" s="11" t="s">
        <v>2232</v>
      </c>
      <c r="AI113" s="11" t="s">
        <v>2016</v>
      </c>
      <c r="AJ113" s="11" t="s">
        <v>1782</v>
      </c>
      <c r="AK113" s="11" t="s">
        <v>1396</v>
      </c>
      <c r="AL113" s="11" t="s">
        <v>134</v>
      </c>
      <c r="AM113" s="11">
        <v>1838.3</v>
      </c>
      <c r="AN113" s="11"/>
      <c r="AO113" s="11" t="s">
        <v>134</v>
      </c>
      <c r="AP113" s="11" t="s">
        <v>1397</v>
      </c>
      <c r="AQ113" s="11" t="s">
        <v>1398</v>
      </c>
      <c r="AR113" s="11" t="s">
        <v>1570</v>
      </c>
      <c r="AS113" s="11" t="s">
        <v>2233</v>
      </c>
      <c r="AT113" s="11" t="s">
        <v>2242</v>
      </c>
      <c r="AU113" s="11" t="s">
        <v>1536</v>
      </c>
      <c r="AV113" s="11"/>
      <c r="AW113" s="11" t="s">
        <v>2235</v>
      </c>
      <c r="AX113" s="11"/>
      <c r="AY113" s="11"/>
      <c r="AZ113" s="11"/>
      <c r="BA113" s="11"/>
      <c r="BB113" s="11">
        <v>52607974</v>
      </c>
      <c r="BC113" s="11" t="s">
        <v>1403</v>
      </c>
      <c r="BD113" s="11" t="s">
        <v>1432</v>
      </c>
      <c r="BE113" s="11" t="s">
        <v>1779</v>
      </c>
      <c r="BF113" s="11" t="s">
        <v>1555</v>
      </c>
      <c r="BG113" s="11" t="s">
        <v>1482</v>
      </c>
      <c r="BH113" s="11" t="s">
        <v>1520</v>
      </c>
      <c r="BI113" s="11" t="s">
        <v>1407</v>
      </c>
      <c r="BJ113" s="11" t="s">
        <v>134</v>
      </c>
      <c r="BK113" s="11"/>
      <c r="BL113" s="11" t="s">
        <v>1408</v>
      </c>
      <c r="BM113" s="11"/>
      <c r="BN113" s="11" t="s">
        <v>1457</v>
      </c>
      <c r="BO113" s="11" t="s">
        <v>1410</v>
      </c>
    </row>
    <row r="114" spans="2:67">
      <c r="B114" s="11">
        <v>103</v>
      </c>
      <c r="C114" s="11" t="s">
        <v>1374</v>
      </c>
      <c r="D114" s="11" t="s">
        <v>1375</v>
      </c>
      <c r="E114" s="11" t="s">
        <v>2243</v>
      </c>
      <c r="F114" s="11" t="s">
        <v>2244</v>
      </c>
      <c r="G114" s="11" t="s">
        <v>2245</v>
      </c>
      <c r="H114" s="11" t="s">
        <v>2246</v>
      </c>
      <c r="I114" s="11" t="s">
        <v>2247</v>
      </c>
      <c r="J114" s="11" t="s">
        <v>134</v>
      </c>
      <c r="K114" s="11" t="s">
        <v>1976</v>
      </c>
      <c r="L114" s="11" t="s">
        <v>94</v>
      </c>
      <c r="M114" s="11" t="s">
        <v>2248</v>
      </c>
      <c r="N114" s="11" t="s">
        <v>838</v>
      </c>
      <c r="O114" s="11" t="s">
        <v>134</v>
      </c>
      <c r="P114" s="11"/>
      <c r="Q114" s="11"/>
      <c r="R114" s="11" t="s">
        <v>2249</v>
      </c>
      <c r="S114" s="11" t="s">
        <v>94</v>
      </c>
      <c r="T114" s="11" t="s">
        <v>2250</v>
      </c>
      <c r="U114" s="11" t="s">
        <v>1387</v>
      </c>
      <c r="V114" s="11" t="s">
        <v>2251</v>
      </c>
      <c r="W114" s="11" t="s">
        <v>1389</v>
      </c>
      <c r="X114" s="11" t="s">
        <v>1390</v>
      </c>
      <c r="Y114" s="11" t="s">
        <v>1441</v>
      </c>
      <c r="Z114" s="11" t="s">
        <v>2252</v>
      </c>
      <c r="AA114" s="11" t="s">
        <v>2253</v>
      </c>
      <c r="AB114" s="11" t="s">
        <v>1587</v>
      </c>
      <c r="AC114" s="11" t="s">
        <v>2249</v>
      </c>
      <c r="AD114" s="11">
        <v>5428768</v>
      </c>
      <c r="AE114" s="11" t="s">
        <v>94</v>
      </c>
      <c r="AF114" s="11" t="s">
        <v>2254</v>
      </c>
      <c r="AG114" s="11" t="s">
        <v>94</v>
      </c>
      <c r="AH114" s="11" t="s">
        <v>2254</v>
      </c>
      <c r="AI114" s="11" t="s">
        <v>1394</v>
      </c>
      <c r="AJ114" s="11" t="s">
        <v>1395</v>
      </c>
      <c r="AK114" s="11" t="s">
        <v>1396</v>
      </c>
      <c r="AL114" s="11" t="s">
        <v>134</v>
      </c>
      <c r="AM114" s="11">
        <v>15000</v>
      </c>
      <c r="AN114" s="11"/>
      <c r="AO114" s="11" t="s">
        <v>134</v>
      </c>
      <c r="AP114" s="11" t="s">
        <v>1397</v>
      </c>
      <c r="AQ114" s="11" t="s">
        <v>1398</v>
      </c>
      <c r="AR114" s="11" t="s">
        <v>2255</v>
      </c>
      <c r="AS114" s="11" t="s">
        <v>2256</v>
      </c>
      <c r="AT114" s="11" t="s">
        <v>2257</v>
      </c>
      <c r="AU114" s="11" t="s">
        <v>1536</v>
      </c>
      <c r="AV114" s="11"/>
      <c r="AW114" s="11" t="s">
        <v>2258</v>
      </c>
      <c r="AX114" s="11"/>
      <c r="AY114" s="11"/>
      <c r="AZ114" s="11"/>
      <c r="BA114" s="11"/>
      <c r="BB114" s="11">
        <v>80408520</v>
      </c>
      <c r="BC114" s="11" t="s">
        <v>1403</v>
      </c>
      <c r="BD114" s="11" t="s">
        <v>1456</v>
      </c>
      <c r="BE114" s="11" t="s">
        <v>1405</v>
      </c>
      <c r="BF114" s="11" t="s">
        <v>134</v>
      </c>
      <c r="BG114" s="11"/>
      <c r="BH114" s="11" t="s">
        <v>1520</v>
      </c>
      <c r="BI114" s="11" t="s">
        <v>1407</v>
      </c>
      <c r="BJ114" s="11" t="s">
        <v>134</v>
      </c>
      <c r="BK114" s="11"/>
      <c r="BL114" s="11" t="s">
        <v>1408</v>
      </c>
      <c r="BM114" s="11"/>
      <c r="BN114" s="11" t="s">
        <v>1483</v>
      </c>
      <c r="BO114" s="11" t="s">
        <v>1748</v>
      </c>
    </row>
    <row r="115" spans="2:67">
      <c r="B115" s="11">
        <v>104</v>
      </c>
      <c r="C115" s="11" t="s">
        <v>1374</v>
      </c>
      <c r="D115" s="11" t="s">
        <v>1375</v>
      </c>
      <c r="E115" s="11" t="s">
        <v>2259</v>
      </c>
      <c r="F115" s="11" t="s">
        <v>1882</v>
      </c>
      <c r="G115" s="11" t="s">
        <v>2260</v>
      </c>
      <c r="H115" s="11" t="s">
        <v>1883</v>
      </c>
      <c r="I115" s="11" t="s">
        <v>1884</v>
      </c>
      <c r="J115" s="11" t="s">
        <v>134</v>
      </c>
      <c r="K115" s="11" t="s">
        <v>1547</v>
      </c>
      <c r="L115" s="11" t="s">
        <v>47</v>
      </c>
      <c r="M115" s="11" t="s">
        <v>1885</v>
      </c>
      <c r="N115" s="11" t="s">
        <v>294</v>
      </c>
      <c r="O115" s="11" t="s">
        <v>134</v>
      </c>
      <c r="P115" s="11"/>
      <c r="Q115" s="11"/>
      <c r="R115" s="11" t="s">
        <v>1271</v>
      </c>
      <c r="S115" s="11" t="s">
        <v>1382</v>
      </c>
      <c r="T115" s="11" t="s">
        <v>2261</v>
      </c>
      <c r="U115" s="11" t="s">
        <v>1387</v>
      </c>
      <c r="V115" s="11" t="s">
        <v>2262</v>
      </c>
      <c r="W115" s="11" t="s">
        <v>1389</v>
      </c>
      <c r="X115" s="11" t="s">
        <v>1492</v>
      </c>
      <c r="Y115" s="11" t="s">
        <v>1547</v>
      </c>
      <c r="Z115" s="11" t="s">
        <v>1888</v>
      </c>
      <c r="AA115" s="11" t="s">
        <v>1889</v>
      </c>
      <c r="AB115" s="11" t="s">
        <v>1890</v>
      </c>
      <c r="AC115" s="11" t="s">
        <v>1271</v>
      </c>
      <c r="AD115" s="11">
        <v>5404787</v>
      </c>
      <c r="AE115" s="11" t="s">
        <v>1382</v>
      </c>
      <c r="AF115" s="11" t="s">
        <v>2263</v>
      </c>
      <c r="AG115" s="11" t="s">
        <v>1382</v>
      </c>
      <c r="AH115" s="11" t="s">
        <v>2264</v>
      </c>
      <c r="AI115" s="11" t="s">
        <v>2265</v>
      </c>
      <c r="AJ115" s="11" t="s">
        <v>2266</v>
      </c>
      <c r="AK115" s="11" t="s">
        <v>1396</v>
      </c>
      <c r="AL115" s="11" t="s">
        <v>134</v>
      </c>
      <c r="AM115" s="11">
        <v>1601.75</v>
      </c>
      <c r="AN115" s="11"/>
      <c r="AO115" s="11" t="s">
        <v>134</v>
      </c>
      <c r="AP115" s="11" t="s">
        <v>1397</v>
      </c>
      <c r="AQ115" s="11" t="s">
        <v>1398</v>
      </c>
      <c r="AR115" s="11" t="s">
        <v>1570</v>
      </c>
      <c r="AS115" s="11" t="s">
        <v>1272</v>
      </c>
      <c r="AT115" s="11" t="s">
        <v>2267</v>
      </c>
      <c r="AU115" s="11" t="s">
        <v>1536</v>
      </c>
      <c r="AV115" s="11"/>
      <c r="AW115" s="11" t="s">
        <v>2268</v>
      </c>
      <c r="AX115" s="11"/>
      <c r="AY115" s="11"/>
      <c r="AZ115" s="11"/>
      <c r="BA115" s="11"/>
      <c r="BB115" s="11">
        <v>80558403</v>
      </c>
      <c r="BC115" s="11" t="s">
        <v>1403</v>
      </c>
      <c r="BD115" s="11" t="s">
        <v>1432</v>
      </c>
      <c r="BE115" s="11" t="s">
        <v>1896</v>
      </c>
      <c r="BF115" s="11" t="s">
        <v>1501</v>
      </c>
      <c r="BG115" s="11" t="s">
        <v>1482</v>
      </c>
      <c r="BH115" s="11" t="s">
        <v>1520</v>
      </c>
      <c r="BI115" s="11" t="s">
        <v>1403</v>
      </c>
      <c r="BJ115" s="11" t="s">
        <v>134</v>
      </c>
      <c r="BK115" s="11"/>
      <c r="BL115" s="11" t="s">
        <v>1408</v>
      </c>
      <c r="BM115" s="11"/>
      <c r="BN115" s="11" t="s">
        <v>1483</v>
      </c>
      <c r="BO115" s="11" t="s">
        <v>1748</v>
      </c>
    </row>
    <row r="116" spans="2:67">
      <c r="B116" s="11">
        <v>105</v>
      </c>
      <c r="C116" s="11" t="s">
        <v>1374</v>
      </c>
      <c r="D116" s="11" t="s">
        <v>1375</v>
      </c>
      <c r="E116" s="11" t="s">
        <v>2259</v>
      </c>
      <c r="F116" s="11" t="s">
        <v>1882</v>
      </c>
      <c r="G116" s="11" t="s">
        <v>2260</v>
      </c>
      <c r="H116" s="11" t="s">
        <v>1883</v>
      </c>
      <c r="I116" s="11" t="s">
        <v>1884</v>
      </c>
      <c r="J116" s="11" t="s">
        <v>134</v>
      </c>
      <c r="K116" s="11" t="s">
        <v>1547</v>
      </c>
      <c r="L116" s="11" t="s">
        <v>47</v>
      </c>
      <c r="M116" s="11" t="s">
        <v>1885</v>
      </c>
      <c r="N116" s="11" t="s">
        <v>294</v>
      </c>
      <c r="O116" s="11" t="s">
        <v>134</v>
      </c>
      <c r="P116" s="11"/>
      <c r="Q116" s="11"/>
      <c r="R116" s="11" t="s">
        <v>1271</v>
      </c>
      <c r="S116" s="11" t="s">
        <v>1382</v>
      </c>
      <c r="T116" s="11" t="s">
        <v>2261</v>
      </c>
      <c r="U116" s="11" t="s">
        <v>1387</v>
      </c>
      <c r="V116" s="11" t="s">
        <v>2262</v>
      </c>
      <c r="W116" s="11" t="s">
        <v>1389</v>
      </c>
      <c r="X116" s="11" t="s">
        <v>1492</v>
      </c>
      <c r="Y116" s="11" t="s">
        <v>1547</v>
      </c>
      <c r="Z116" s="11" t="s">
        <v>1888</v>
      </c>
      <c r="AA116" s="11" t="s">
        <v>1889</v>
      </c>
      <c r="AB116" s="11" t="s">
        <v>1890</v>
      </c>
      <c r="AC116" s="11" t="s">
        <v>1271</v>
      </c>
      <c r="AD116" s="11">
        <v>5404787</v>
      </c>
      <c r="AE116" s="11" t="s">
        <v>1382</v>
      </c>
      <c r="AF116" s="11" t="s">
        <v>2263</v>
      </c>
      <c r="AG116" s="11" t="s">
        <v>1382</v>
      </c>
      <c r="AH116" s="11" t="s">
        <v>2264</v>
      </c>
      <c r="AI116" s="11" t="s">
        <v>2269</v>
      </c>
      <c r="AJ116" s="11" t="s">
        <v>2270</v>
      </c>
      <c r="AK116" s="11" t="s">
        <v>1396</v>
      </c>
      <c r="AL116" s="11" t="s">
        <v>134</v>
      </c>
      <c r="AM116" s="11">
        <v>1586.4</v>
      </c>
      <c r="AN116" s="11"/>
      <c r="AO116" s="11" t="s">
        <v>134</v>
      </c>
      <c r="AP116" s="11" t="s">
        <v>1397</v>
      </c>
      <c r="AQ116" s="11" t="s">
        <v>1398</v>
      </c>
      <c r="AR116" s="11" t="s">
        <v>1570</v>
      </c>
      <c r="AS116" s="11" t="s">
        <v>1272</v>
      </c>
      <c r="AT116" s="11" t="s">
        <v>2271</v>
      </c>
      <c r="AU116" s="11" t="s">
        <v>1536</v>
      </c>
      <c r="AV116" s="11"/>
      <c r="AW116" s="11" t="s">
        <v>2268</v>
      </c>
      <c r="AX116" s="11"/>
      <c r="AY116" s="11"/>
      <c r="AZ116" s="11"/>
      <c r="BA116" s="11"/>
      <c r="BB116" s="11">
        <v>80558403</v>
      </c>
      <c r="BC116" s="11" t="s">
        <v>1403</v>
      </c>
      <c r="BD116" s="11" t="s">
        <v>1432</v>
      </c>
      <c r="BE116" s="11" t="s">
        <v>1896</v>
      </c>
      <c r="BF116" s="11" t="s">
        <v>1501</v>
      </c>
      <c r="BG116" s="11" t="s">
        <v>1482</v>
      </c>
      <c r="BH116" s="11" t="s">
        <v>1520</v>
      </c>
      <c r="BI116" s="11" t="s">
        <v>1403</v>
      </c>
      <c r="BJ116" s="11" t="s">
        <v>134</v>
      </c>
      <c r="BK116" s="11"/>
      <c r="BL116" s="11" t="s">
        <v>1408</v>
      </c>
      <c r="BM116" s="11"/>
      <c r="BN116" s="11" t="s">
        <v>1483</v>
      </c>
      <c r="BO116" s="11" t="s">
        <v>1748</v>
      </c>
    </row>
    <row r="117" spans="2:67">
      <c r="B117" s="11">
        <v>106</v>
      </c>
      <c r="C117" s="11" t="s">
        <v>1374</v>
      </c>
      <c r="D117" s="11" t="s">
        <v>1375</v>
      </c>
      <c r="E117" s="11" t="s">
        <v>2259</v>
      </c>
      <c r="F117" s="11" t="s">
        <v>1882</v>
      </c>
      <c r="G117" s="11" t="s">
        <v>2260</v>
      </c>
      <c r="H117" s="11" t="s">
        <v>1883</v>
      </c>
      <c r="I117" s="11" t="s">
        <v>1884</v>
      </c>
      <c r="J117" s="11" t="s">
        <v>134</v>
      </c>
      <c r="K117" s="11" t="s">
        <v>1547</v>
      </c>
      <c r="L117" s="11" t="s">
        <v>47</v>
      </c>
      <c r="M117" s="11" t="s">
        <v>1885</v>
      </c>
      <c r="N117" s="11" t="s">
        <v>294</v>
      </c>
      <c r="O117" s="11" t="s">
        <v>134</v>
      </c>
      <c r="P117" s="11"/>
      <c r="Q117" s="11"/>
      <c r="R117" s="11" t="s">
        <v>1271</v>
      </c>
      <c r="S117" s="11" t="s">
        <v>1382</v>
      </c>
      <c r="T117" s="11" t="s">
        <v>2261</v>
      </c>
      <c r="U117" s="11" t="s">
        <v>1387</v>
      </c>
      <c r="V117" s="11" t="s">
        <v>2262</v>
      </c>
      <c r="W117" s="11" t="s">
        <v>1389</v>
      </c>
      <c r="X117" s="11" t="s">
        <v>1492</v>
      </c>
      <c r="Y117" s="11" t="s">
        <v>1547</v>
      </c>
      <c r="Z117" s="11" t="s">
        <v>1888</v>
      </c>
      <c r="AA117" s="11" t="s">
        <v>1889</v>
      </c>
      <c r="AB117" s="11" t="s">
        <v>1890</v>
      </c>
      <c r="AC117" s="11" t="s">
        <v>1271</v>
      </c>
      <c r="AD117" s="11">
        <v>5404787</v>
      </c>
      <c r="AE117" s="11" t="s">
        <v>1382</v>
      </c>
      <c r="AF117" s="11" t="s">
        <v>2263</v>
      </c>
      <c r="AG117" s="11" t="s">
        <v>1382</v>
      </c>
      <c r="AH117" s="11" t="s">
        <v>2264</v>
      </c>
      <c r="AI117" s="11" t="s">
        <v>2272</v>
      </c>
      <c r="AJ117" s="11" t="s">
        <v>2273</v>
      </c>
      <c r="AK117" s="11" t="s">
        <v>1396</v>
      </c>
      <c r="AL117" s="11" t="s">
        <v>134</v>
      </c>
      <c r="AM117" s="11">
        <v>3330.3</v>
      </c>
      <c r="AN117" s="11"/>
      <c r="AO117" s="11" t="s">
        <v>134</v>
      </c>
      <c r="AP117" s="11" t="s">
        <v>1397</v>
      </c>
      <c r="AQ117" s="11" t="s">
        <v>1398</v>
      </c>
      <c r="AR117" s="11" t="s">
        <v>1570</v>
      </c>
      <c r="AS117" s="11" t="s">
        <v>1272</v>
      </c>
      <c r="AT117" s="11" t="s">
        <v>2274</v>
      </c>
      <c r="AU117" s="11" t="s">
        <v>1536</v>
      </c>
      <c r="AV117" s="11"/>
      <c r="AW117" s="11" t="s">
        <v>2268</v>
      </c>
      <c r="AX117" s="11"/>
      <c r="AY117" s="11"/>
      <c r="AZ117" s="11"/>
      <c r="BA117" s="11"/>
      <c r="BB117" s="11">
        <v>80558403</v>
      </c>
      <c r="BC117" s="11" t="s">
        <v>1403</v>
      </c>
      <c r="BD117" s="11" t="s">
        <v>1432</v>
      </c>
      <c r="BE117" s="11" t="s">
        <v>1896</v>
      </c>
      <c r="BF117" s="11" t="s">
        <v>1501</v>
      </c>
      <c r="BG117" s="11" t="s">
        <v>1482</v>
      </c>
      <c r="BH117" s="11" t="s">
        <v>1520</v>
      </c>
      <c r="BI117" s="11" t="s">
        <v>1403</v>
      </c>
      <c r="BJ117" s="11" t="s">
        <v>134</v>
      </c>
      <c r="BK117" s="11"/>
      <c r="BL117" s="11" t="s">
        <v>1408</v>
      </c>
      <c r="BM117" s="11"/>
      <c r="BN117" s="11" t="s">
        <v>1483</v>
      </c>
      <c r="BO117" s="11" t="s">
        <v>1748</v>
      </c>
    </row>
    <row r="118" spans="2:67">
      <c r="B118" s="11">
        <v>107</v>
      </c>
      <c r="C118" s="11" t="s">
        <v>1374</v>
      </c>
      <c r="D118" s="11" t="s">
        <v>1375</v>
      </c>
      <c r="E118" s="11" t="s">
        <v>2259</v>
      </c>
      <c r="F118" s="11" t="s">
        <v>1882</v>
      </c>
      <c r="G118" s="11" t="s">
        <v>2260</v>
      </c>
      <c r="H118" s="11" t="s">
        <v>1883</v>
      </c>
      <c r="I118" s="11" t="s">
        <v>1884</v>
      </c>
      <c r="J118" s="11" t="s">
        <v>134</v>
      </c>
      <c r="K118" s="11" t="s">
        <v>1547</v>
      </c>
      <c r="L118" s="11" t="s">
        <v>47</v>
      </c>
      <c r="M118" s="11" t="s">
        <v>1885</v>
      </c>
      <c r="N118" s="11" t="s">
        <v>294</v>
      </c>
      <c r="O118" s="11" t="s">
        <v>134</v>
      </c>
      <c r="P118" s="11"/>
      <c r="Q118" s="11"/>
      <c r="R118" s="11" t="s">
        <v>1271</v>
      </c>
      <c r="S118" s="11" t="s">
        <v>1382</v>
      </c>
      <c r="T118" s="11" t="s">
        <v>2261</v>
      </c>
      <c r="U118" s="11" t="s">
        <v>1387</v>
      </c>
      <c r="V118" s="11" t="s">
        <v>2262</v>
      </c>
      <c r="W118" s="11" t="s">
        <v>1389</v>
      </c>
      <c r="X118" s="11" t="s">
        <v>1492</v>
      </c>
      <c r="Y118" s="11" t="s">
        <v>1547</v>
      </c>
      <c r="Z118" s="11" t="s">
        <v>1888</v>
      </c>
      <c r="AA118" s="11" t="s">
        <v>1889</v>
      </c>
      <c r="AB118" s="11" t="s">
        <v>1890</v>
      </c>
      <c r="AC118" s="11" t="s">
        <v>1271</v>
      </c>
      <c r="AD118" s="11">
        <v>5404787</v>
      </c>
      <c r="AE118" s="11" t="s">
        <v>1382</v>
      </c>
      <c r="AF118" s="11" t="s">
        <v>2263</v>
      </c>
      <c r="AG118" s="11" t="s">
        <v>1382</v>
      </c>
      <c r="AH118" s="11" t="s">
        <v>2264</v>
      </c>
      <c r="AI118" s="11" t="s">
        <v>2275</v>
      </c>
      <c r="AJ118" s="11" t="s">
        <v>2276</v>
      </c>
      <c r="AK118" s="11" t="s">
        <v>1396</v>
      </c>
      <c r="AL118" s="11" t="s">
        <v>134</v>
      </c>
      <c r="AM118" s="11">
        <v>2212.5</v>
      </c>
      <c r="AN118" s="11"/>
      <c r="AO118" s="11" t="s">
        <v>134</v>
      </c>
      <c r="AP118" s="11" t="s">
        <v>1397</v>
      </c>
      <c r="AQ118" s="11" t="s">
        <v>1398</v>
      </c>
      <c r="AR118" s="11" t="s">
        <v>1570</v>
      </c>
      <c r="AS118" s="11" t="s">
        <v>1272</v>
      </c>
      <c r="AT118" s="11" t="s">
        <v>2277</v>
      </c>
      <c r="AU118" s="11" t="s">
        <v>1536</v>
      </c>
      <c r="AV118" s="11"/>
      <c r="AW118" s="11" t="s">
        <v>2268</v>
      </c>
      <c r="AX118" s="11"/>
      <c r="AY118" s="11"/>
      <c r="AZ118" s="11"/>
      <c r="BA118" s="11"/>
      <c r="BB118" s="11">
        <v>80558403</v>
      </c>
      <c r="BC118" s="11" t="s">
        <v>1403</v>
      </c>
      <c r="BD118" s="11" t="s">
        <v>1432</v>
      </c>
      <c r="BE118" s="11" t="s">
        <v>1896</v>
      </c>
      <c r="BF118" s="11" t="s">
        <v>1501</v>
      </c>
      <c r="BG118" s="11" t="s">
        <v>1482</v>
      </c>
      <c r="BH118" s="11" t="s">
        <v>1520</v>
      </c>
      <c r="BI118" s="11" t="s">
        <v>1403</v>
      </c>
      <c r="BJ118" s="11" t="s">
        <v>134</v>
      </c>
      <c r="BK118" s="11"/>
      <c r="BL118" s="11" t="s">
        <v>1408</v>
      </c>
      <c r="BM118" s="11"/>
      <c r="BN118" s="11" t="s">
        <v>1483</v>
      </c>
      <c r="BO118" s="11" t="s">
        <v>1748</v>
      </c>
    </row>
    <row r="119" spans="2:67">
      <c r="B119" s="11">
        <v>108</v>
      </c>
      <c r="C119" s="11" t="s">
        <v>1374</v>
      </c>
      <c r="D119" s="11" t="s">
        <v>1375</v>
      </c>
      <c r="E119" s="11" t="s">
        <v>2259</v>
      </c>
      <c r="F119" s="11" t="s">
        <v>1882</v>
      </c>
      <c r="G119" s="11" t="s">
        <v>2260</v>
      </c>
      <c r="H119" s="11" t="s">
        <v>1883</v>
      </c>
      <c r="I119" s="11" t="s">
        <v>1884</v>
      </c>
      <c r="J119" s="11" t="s">
        <v>134</v>
      </c>
      <c r="K119" s="11" t="s">
        <v>1547</v>
      </c>
      <c r="L119" s="11" t="s">
        <v>47</v>
      </c>
      <c r="M119" s="11" t="s">
        <v>1885</v>
      </c>
      <c r="N119" s="11" t="s">
        <v>294</v>
      </c>
      <c r="O119" s="11" t="s">
        <v>134</v>
      </c>
      <c r="P119" s="11"/>
      <c r="Q119" s="11"/>
      <c r="R119" s="11" t="s">
        <v>1271</v>
      </c>
      <c r="S119" s="11" t="s">
        <v>1382</v>
      </c>
      <c r="T119" s="11" t="s">
        <v>2261</v>
      </c>
      <c r="U119" s="11" t="s">
        <v>1387</v>
      </c>
      <c r="V119" s="11" t="s">
        <v>2262</v>
      </c>
      <c r="W119" s="11" t="s">
        <v>1389</v>
      </c>
      <c r="X119" s="11" t="s">
        <v>1492</v>
      </c>
      <c r="Y119" s="11" t="s">
        <v>1547</v>
      </c>
      <c r="Z119" s="11" t="s">
        <v>1888</v>
      </c>
      <c r="AA119" s="11" t="s">
        <v>1889</v>
      </c>
      <c r="AB119" s="11" t="s">
        <v>1890</v>
      </c>
      <c r="AC119" s="11" t="s">
        <v>1271</v>
      </c>
      <c r="AD119" s="11">
        <v>5404787</v>
      </c>
      <c r="AE119" s="11" t="s">
        <v>1382</v>
      </c>
      <c r="AF119" s="11" t="s">
        <v>2263</v>
      </c>
      <c r="AG119" s="11" t="s">
        <v>1382</v>
      </c>
      <c r="AH119" s="11" t="s">
        <v>2264</v>
      </c>
      <c r="AI119" s="11" t="s">
        <v>2278</v>
      </c>
      <c r="AJ119" s="11" t="s">
        <v>2279</v>
      </c>
      <c r="AK119" s="11" t="s">
        <v>1396</v>
      </c>
      <c r="AL119" s="11" t="s">
        <v>134</v>
      </c>
      <c r="AM119" s="11">
        <v>2454.15</v>
      </c>
      <c r="AN119" s="11"/>
      <c r="AO119" s="11" t="s">
        <v>134</v>
      </c>
      <c r="AP119" s="11" t="s">
        <v>1397</v>
      </c>
      <c r="AQ119" s="11" t="s">
        <v>1398</v>
      </c>
      <c r="AR119" s="11" t="s">
        <v>1570</v>
      </c>
      <c r="AS119" s="11" t="s">
        <v>1272</v>
      </c>
      <c r="AT119" s="11" t="s">
        <v>2280</v>
      </c>
      <c r="AU119" s="11" t="s">
        <v>1536</v>
      </c>
      <c r="AV119" s="11"/>
      <c r="AW119" s="11" t="s">
        <v>2268</v>
      </c>
      <c r="AX119" s="11"/>
      <c r="AY119" s="11"/>
      <c r="AZ119" s="11"/>
      <c r="BA119" s="11"/>
      <c r="BB119" s="11">
        <v>80558403</v>
      </c>
      <c r="BC119" s="11" t="s">
        <v>1403</v>
      </c>
      <c r="BD119" s="11" t="s">
        <v>1432</v>
      </c>
      <c r="BE119" s="11" t="s">
        <v>1896</v>
      </c>
      <c r="BF119" s="11" t="s">
        <v>1501</v>
      </c>
      <c r="BG119" s="11" t="s">
        <v>1482</v>
      </c>
      <c r="BH119" s="11" t="s">
        <v>1520</v>
      </c>
      <c r="BI119" s="11" t="s">
        <v>1403</v>
      </c>
      <c r="BJ119" s="11" t="s">
        <v>134</v>
      </c>
      <c r="BK119" s="11"/>
      <c r="BL119" s="11" t="s">
        <v>1408</v>
      </c>
      <c r="BM119" s="11"/>
      <c r="BN119" s="11" t="s">
        <v>1483</v>
      </c>
      <c r="BO119" s="11" t="s">
        <v>1748</v>
      </c>
    </row>
    <row r="120" spans="2:67">
      <c r="B120" s="11">
        <v>109</v>
      </c>
      <c r="C120" s="11" t="s">
        <v>1374</v>
      </c>
      <c r="D120" s="11" t="s">
        <v>1375</v>
      </c>
      <c r="E120" s="11" t="s">
        <v>2259</v>
      </c>
      <c r="F120" s="11" t="s">
        <v>1882</v>
      </c>
      <c r="G120" s="11" t="s">
        <v>2260</v>
      </c>
      <c r="H120" s="11" t="s">
        <v>1883</v>
      </c>
      <c r="I120" s="11" t="s">
        <v>1884</v>
      </c>
      <c r="J120" s="11" t="s">
        <v>134</v>
      </c>
      <c r="K120" s="11" t="s">
        <v>1547</v>
      </c>
      <c r="L120" s="11" t="s">
        <v>47</v>
      </c>
      <c r="M120" s="11" t="s">
        <v>1885</v>
      </c>
      <c r="N120" s="11" t="s">
        <v>294</v>
      </c>
      <c r="O120" s="11" t="s">
        <v>134</v>
      </c>
      <c r="P120" s="11"/>
      <c r="Q120" s="11"/>
      <c r="R120" s="11" t="s">
        <v>1271</v>
      </c>
      <c r="S120" s="11" t="s">
        <v>1382</v>
      </c>
      <c r="T120" s="11" t="s">
        <v>2261</v>
      </c>
      <c r="U120" s="11" t="s">
        <v>1387</v>
      </c>
      <c r="V120" s="11" t="s">
        <v>2262</v>
      </c>
      <c r="W120" s="11" t="s">
        <v>1389</v>
      </c>
      <c r="X120" s="11" t="s">
        <v>1492</v>
      </c>
      <c r="Y120" s="11" t="s">
        <v>1547</v>
      </c>
      <c r="Z120" s="11" t="s">
        <v>1888</v>
      </c>
      <c r="AA120" s="11" t="s">
        <v>1889</v>
      </c>
      <c r="AB120" s="11" t="s">
        <v>1890</v>
      </c>
      <c r="AC120" s="11" t="s">
        <v>1271</v>
      </c>
      <c r="AD120" s="11">
        <v>5404787</v>
      </c>
      <c r="AE120" s="11" t="s">
        <v>1382</v>
      </c>
      <c r="AF120" s="11" t="s">
        <v>2263</v>
      </c>
      <c r="AG120" s="11" t="s">
        <v>1382</v>
      </c>
      <c r="AH120" s="11" t="s">
        <v>2264</v>
      </c>
      <c r="AI120" s="11" t="s">
        <v>2281</v>
      </c>
      <c r="AJ120" s="11" t="s">
        <v>2282</v>
      </c>
      <c r="AK120" s="11" t="s">
        <v>1396</v>
      </c>
      <c r="AL120" s="11" t="s">
        <v>134</v>
      </c>
      <c r="AM120" s="11">
        <v>3314.9</v>
      </c>
      <c r="AN120" s="11"/>
      <c r="AO120" s="11" t="s">
        <v>134</v>
      </c>
      <c r="AP120" s="11" t="s">
        <v>1397</v>
      </c>
      <c r="AQ120" s="11" t="s">
        <v>1398</v>
      </c>
      <c r="AR120" s="11" t="s">
        <v>1570</v>
      </c>
      <c r="AS120" s="11" t="s">
        <v>1272</v>
      </c>
      <c r="AT120" s="11" t="s">
        <v>2283</v>
      </c>
      <c r="AU120" s="11" t="s">
        <v>1536</v>
      </c>
      <c r="AV120" s="11"/>
      <c r="AW120" s="11" t="s">
        <v>2268</v>
      </c>
      <c r="AX120" s="11"/>
      <c r="AY120" s="11"/>
      <c r="AZ120" s="11"/>
      <c r="BA120" s="11"/>
      <c r="BB120" s="11">
        <v>80558403</v>
      </c>
      <c r="BC120" s="11" t="s">
        <v>1403</v>
      </c>
      <c r="BD120" s="11" t="s">
        <v>1432</v>
      </c>
      <c r="BE120" s="11" t="s">
        <v>1896</v>
      </c>
      <c r="BF120" s="11" t="s">
        <v>1501</v>
      </c>
      <c r="BG120" s="11" t="s">
        <v>1482</v>
      </c>
      <c r="BH120" s="11" t="s">
        <v>1520</v>
      </c>
      <c r="BI120" s="11" t="s">
        <v>1403</v>
      </c>
      <c r="BJ120" s="11" t="s">
        <v>134</v>
      </c>
      <c r="BK120" s="11"/>
      <c r="BL120" s="11" t="s">
        <v>1408</v>
      </c>
      <c r="BM120" s="11"/>
      <c r="BN120" s="11" t="s">
        <v>1483</v>
      </c>
      <c r="BO120" s="11" t="s">
        <v>1748</v>
      </c>
    </row>
    <row r="121" spans="2:67">
      <c r="B121" s="11">
        <v>110</v>
      </c>
      <c r="C121" s="11" t="s">
        <v>1374</v>
      </c>
      <c r="D121" s="11" t="s">
        <v>1375</v>
      </c>
      <c r="E121" s="11" t="s">
        <v>2259</v>
      </c>
      <c r="F121" s="11" t="s">
        <v>1882</v>
      </c>
      <c r="G121" s="11" t="s">
        <v>2260</v>
      </c>
      <c r="H121" s="11" t="s">
        <v>1883</v>
      </c>
      <c r="I121" s="11" t="s">
        <v>1884</v>
      </c>
      <c r="J121" s="11" t="s">
        <v>134</v>
      </c>
      <c r="K121" s="11" t="s">
        <v>1547</v>
      </c>
      <c r="L121" s="11" t="s">
        <v>47</v>
      </c>
      <c r="M121" s="11" t="s">
        <v>1885</v>
      </c>
      <c r="N121" s="11" t="s">
        <v>294</v>
      </c>
      <c r="O121" s="11" t="s">
        <v>134</v>
      </c>
      <c r="P121" s="11"/>
      <c r="Q121" s="11"/>
      <c r="R121" s="11" t="s">
        <v>1271</v>
      </c>
      <c r="S121" s="11" t="s">
        <v>1382</v>
      </c>
      <c r="T121" s="11" t="s">
        <v>2261</v>
      </c>
      <c r="U121" s="11" t="s">
        <v>1387</v>
      </c>
      <c r="V121" s="11" t="s">
        <v>2262</v>
      </c>
      <c r="W121" s="11" t="s">
        <v>1389</v>
      </c>
      <c r="X121" s="11" t="s">
        <v>1492</v>
      </c>
      <c r="Y121" s="11" t="s">
        <v>1547</v>
      </c>
      <c r="Z121" s="11" t="s">
        <v>1888</v>
      </c>
      <c r="AA121" s="11" t="s">
        <v>1889</v>
      </c>
      <c r="AB121" s="11" t="s">
        <v>1890</v>
      </c>
      <c r="AC121" s="11" t="s">
        <v>1271</v>
      </c>
      <c r="AD121" s="11">
        <v>5404787</v>
      </c>
      <c r="AE121" s="11" t="s">
        <v>1382</v>
      </c>
      <c r="AF121" s="11" t="s">
        <v>2263</v>
      </c>
      <c r="AG121" s="11" t="s">
        <v>1382</v>
      </c>
      <c r="AH121" s="11" t="s">
        <v>2264</v>
      </c>
      <c r="AI121" s="11" t="s">
        <v>2284</v>
      </c>
      <c r="AJ121" s="11" t="s">
        <v>2285</v>
      </c>
      <c r="AK121" s="11" t="s">
        <v>1396</v>
      </c>
      <c r="AL121" s="11" t="s">
        <v>134</v>
      </c>
      <c r="AM121" s="11">
        <v>8500</v>
      </c>
      <c r="AN121" s="11"/>
      <c r="AO121" s="11" t="s">
        <v>134</v>
      </c>
      <c r="AP121" s="11" t="s">
        <v>1397</v>
      </c>
      <c r="AQ121" s="11" t="s">
        <v>1398</v>
      </c>
      <c r="AR121" s="11" t="s">
        <v>1570</v>
      </c>
      <c r="AS121" s="11" t="s">
        <v>1272</v>
      </c>
      <c r="AT121" s="11"/>
      <c r="AU121" s="11" t="s">
        <v>1536</v>
      </c>
      <c r="AV121" s="11"/>
      <c r="AW121" s="11" t="s">
        <v>2268</v>
      </c>
      <c r="AX121" s="11"/>
      <c r="AY121" s="11"/>
      <c r="AZ121" s="11"/>
      <c r="BA121" s="11"/>
      <c r="BB121" s="11">
        <v>80558403</v>
      </c>
      <c r="BC121" s="11" t="s">
        <v>1403</v>
      </c>
      <c r="BD121" s="11" t="s">
        <v>1432</v>
      </c>
      <c r="BE121" s="11" t="s">
        <v>1896</v>
      </c>
      <c r="BF121" s="11" t="s">
        <v>1501</v>
      </c>
      <c r="BG121" s="11" t="s">
        <v>1482</v>
      </c>
      <c r="BH121" s="11" t="s">
        <v>1520</v>
      </c>
      <c r="BI121" s="11" t="s">
        <v>1403</v>
      </c>
      <c r="BJ121" s="11" t="s">
        <v>134</v>
      </c>
      <c r="BK121" s="11"/>
      <c r="BL121" s="11"/>
      <c r="BM121" s="11"/>
      <c r="BN121" s="11" t="s">
        <v>1483</v>
      </c>
      <c r="BO121" s="11" t="s">
        <v>1748</v>
      </c>
    </row>
    <row r="122" spans="2:67">
      <c r="B122" s="11">
        <v>111</v>
      </c>
      <c r="C122" s="11" t="s">
        <v>1374</v>
      </c>
      <c r="D122" s="11" t="s">
        <v>1375</v>
      </c>
      <c r="E122" s="11" t="s">
        <v>2259</v>
      </c>
      <c r="F122" s="11" t="s">
        <v>1882</v>
      </c>
      <c r="G122" s="11" t="s">
        <v>2260</v>
      </c>
      <c r="H122" s="11" t="s">
        <v>1883</v>
      </c>
      <c r="I122" s="11" t="s">
        <v>1884</v>
      </c>
      <c r="J122" s="11" t="s">
        <v>134</v>
      </c>
      <c r="K122" s="11" t="s">
        <v>1547</v>
      </c>
      <c r="L122" s="11" t="s">
        <v>47</v>
      </c>
      <c r="M122" s="11" t="s">
        <v>1885</v>
      </c>
      <c r="N122" s="11" t="s">
        <v>294</v>
      </c>
      <c r="O122" s="11" t="s">
        <v>134</v>
      </c>
      <c r="P122" s="11"/>
      <c r="Q122" s="11"/>
      <c r="R122" s="11" t="s">
        <v>1271</v>
      </c>
      <c r="S122" s="11" t="s">
        <v>1382</v>
      </c>
      <c r="T122" s="11" t="s">
        <v>2261</v>
      </c>
      <c r="U122" s="11" t="s">
        <v>1387</v>
      </c>
      <c r="V122" s="11" t="s">
        <v>2262</v>
      </c>
      <c r="W122" s="11" t="s">
        <v>1389</v>
      </c>
      <c r="X122" s="11" t="s">
        <v>1492</v>
      </c>
      <c r="Y122" s="11" t="s">
        <v>1547</v>
      </c>
      <c r="Z122" s="11" t="s">
        <v>1888</v>
      </c>
      <c r="AA122" s="11" t="s">
        <v>1889</v>
      </c>
      <c r="AB122" s="11" t="s">
        <v>1890</v>
      </c>
      <c r="AC122" s="11" t="s">
        <v>1271</v>
      </c>
      <c r="AD122" s="11">
        <v>5404787</v>
      </c>
      <c r="AE122" s="11" t="s">
        <v>1382</v>
      </c>
      <c r="AF122" s="11" t="s">
        <v>2263</v>
      </c>
      <c r="AG122" s="11" t="s">
        <v>1382</v>
      </c>
      <c r="AH122" s="11" t="s">
        <v>2264</v>
      </c>
      <c r="AI122" s="11" t="s">
        <v>2286</v>
      </c>
      <c r="AJ122" s="11" t="s">
        <v>2031</v>
      </c>
      <c r="AK122" s="11" t="s">
        <v>1396</v>
      </c>
      <c r="AL122" s="11" t="s">
        <v>134</v>
      </c>
      <c r="AM122" s="11">
        <v>5900</v>
      </c>
      <c r="AN122" s="11"/>
      <c r="AO122" s="11" t="s">
        <v>134</v>
      </c>
      <c r="AP122" s="11" t="s">
        <v>1397</v>
      </c>
      <c r="AQ122" s="11" t="s">
        <v>1398</v>
      </c>
      <c r="AR122" s="11" t="s">
        <v>1570</v>
      </c>
      <c r="AS122" s="11" t="s">
        <v>1272</v>
      </c>
      <c r="AT122" s="11"/>
      <c r="AU122" s="11" t="s">
        <v>1536</v>
      </c>
      <c r="AV122" s="11"/>
      <c r="AW122" s="11" t="s">
        <v>2268</v>
      </c>
      <c r="AX122" s="11"/>
      <c r="AY122" s="11"/>
      <c r="AZ122" s="11"/>
      <c r="BA122" s="11"/>
      <c r="BB122" s="11">
        <v>80558403</v>
      </c>
      <c r="BC122" s="11" t="s">
        <v>1403</v>
      </c>
      <c r="BD122" s="11" t="s">
        <v>1432</v>
      </c>
      <c r="BE122" s="11" t="s">
        <v>1896</v>
      </c>
      <c r="BF122" s="11" t="s">
        <v>1501</v>
      </c>
      <c r="BG122" s="11" t="s">
        <v>1482</v>
      </c>
      <c r="BH122" s="11" t="s">
        <v>1520</v>
      </c>
      <c r="BI122" s="11" t="s">
        <v>1403</v>
      </c>
      <c r="BJ122" s="11" t="s">
        <v>134</v>
      </c>
      <c r="BK122" s="11"/>
      <c r="BL122" s="11"/>
      <c r="BM122" s="11"/>
      <c r="BN122" s="11" t="s">
        <v>1483</v>
      </c>
      <c r="BO122" s="11" t="s">
        <v>1748</v>
      </c>
    </row>
    <row r="123" spans="2:67">
      <c r="B123" s="11">
        <v>112</v>
      </c>
      <c r="C123" s="11" t="s">
        <v>1374</v>
      </c>
      <c r="D123" s="11" t="s">
        <v>1375</v>
      </c>
      <c r="E123" s="11" t="s">
        <v>1042</v>
      </c>
      <c r="F123" s="11" t="s">
        <v>2287</v>
      </c>
      <c r="G123" s="11" t="s">
        <v>151</v>
      </c>
      <c r="H123" s="11" t="s">
        <v>2288</v>
      </c>
      <c r="I123" s="11" t="s">
        <v>2289</v>
      </c>
      <c r="J123" s="11"/>
      <c r="K123" s="11" t="s">
        <v>1421</v>
      </c>
      <c r="L123" s="11" t="s">
        <v>1382</v>
      </c>
      <c r="M123" s="11" t="s">
        <v>1383</v>
      </c>
      <c r="N123" s="11" t="s">
        <v>95</v>
      </c>
      <c r="O123" s="11" t="s">
        <v>2290</v>
      </c>
      <c r="P123" s="11"/>
      <c r="Q123" s="11"/>
      <c r="R123" s="11" t="s">
        <v>1042</v>
      </c>
      <c r="S123" s="11" t="s">
        <v>1382</v>
      </c>
      <c r="T123" s="11" t="s">
        <v>2291</v>
      </c>
      <c r="U123" s="11" t="s">
        <v>1444</v>
      </c>
      <c r="V123" s="11" t="s">
        <v>2292</v>
      </c>
      <c r="W123" s="11" t="s">
        <v>1389</v>
      </c>
      <c r="X123" s="11" t="s">
        <v>1469</v>
      </c>
      <c r="Y123" s="11" t="s">
        <v>1421</v>
      </c>
      <c r="Z123" s="11" t="s">
        <v>2293</v>
      </c>
      <c r="AA123" s="11" t="s">
        <v>2294</v>
      </c>
      <c r="AB123" s="11" t="s">
        <v>2295</v>
      </c>
      <c r="AC123" s="11" t="s">
        <v>1042</v>
      </c>
      <c r="AD123" s="11">
        <v>5404562</v>
      </c>
      <c r="AE123" s="11" t="s">
        <v>1382</v>
      </c>
      <c r="AF123" s="11" t="s">
        <v>2292</v>
      </c>
      <c r="AG123" s="11" t="s">
        <v>1382</v>
      </c>
      <c r="AH123" s="11" t="s">
        <v>2292</v>
      </c>
      <c r="AI123" s="11" t="s">
        <v>2296</v>
      </c>
      <c r="AJ123" s="11" t="s">
        <v>2297</v>
      </c>
      <c r="AK123" s="11" t="s">
        <v>1396</v>
      </c>
      <c r="AL123" s="11" t="s">
        <v>134</v>
      </c>
      <c r="AM123" s="11">
        <v>10000</v>
      </c>
      <c r="AN123" s="11" t="s">
        <v>1911</v>
      </c>
      <c r="AO123" s="11" t="s">
        <v>151</v>
      </c>
      <c r="AP123" s="11" t="s">
        <v>1451</v>
      </c>
      <c r="AQ123" s="11" t="s">
        <v>1398</v>
      </c>
      <c r="AR123" s="11" t="s">
        <v>2255</v>
      </c>
      <c r="AS123" s="11" t="s">
        <v>1043</v>
      </c>
      <c r="AT123" s="11" t="s">
        <v>2298</v>
      </c>
      <c r="AU123" s="11" t="s">
        <v>1536</v>
      </c>
      <c r="AV123" s="11"/>
      <c r="AW123" s="11" t="s">
        <v>2299</v>
      </c>
      <c r="AX123" s="11"/>
      <c r="AY123" s="11"/>
      <c r="AZ123" s="11"/>
      <c r="BA123" s="11"/>
      <c r="BB123" s="11">
        <v>65129511</v>
      </c>
      <c r="BC123" s="11" t="s">
        <v>1403</v>
      </c>
      <c r="BD123" s="11" t="s">
        <v>1432</v>
      </c>
      <c r="BE123" s="11" t="s">
        <v>1480</v>
      </c>
      <c r="BF123" s="11" t="s">
        <v>1481</v>
      </c>
      <c r="BG123" s="11" t="s">
        <v>1482</v>
      </c>
      <c r="BH123" s="11" t="s">
        <v>1502</v>
      </c>
      <c r="BI123" s="11" t="s">
        <v>1407</v>
      </c>
      <c r="BJ123" s="11" t="s">
        <v>134</v>
      </c>
      <c r="BK123" s="11"/>
      <c r="BL123" s="11" t="s">
        <v>1408</v>
      </c>
      <c r="BM123" s="11"/>
      <c r="BN123" s="11"/>
      <c r="BO123" s="11" t="s">
        <v>95</v>
      </c>
    </row>
    <row r="124" spans="2:67">
      <c r="B124" s="11">
        <v>113</v>
      </c>
      <c r="C124" s="11" t="s">
        <v>1374</v>
      </c>
      <c r="D124" s="11" t="s">
        <v>1375</v>
      </c>
      <c r="E124" s="11" t="s">
        <v>2300</v>
      </c>
      <c r="F124" s="11" t="s">
        <v>2301</v>
      </c>
      <c r="G124" s="11" t="s">
        <v>2302</v>
      </c>
      <c r="H124" s="11" t="s">
        <v>2303</v>
      </c>
      <c r="I124" s="11" t="s">
        <v>2304</v>
      </c>
      <c r="J124" s="11"/>
      <c r="K124" s="11" t="s">
        <v>1470</v>
      </c>
      <c r="L124" s="11" t="s">
        <v>94</v>
      </c>
      <c r="M124" s="11" t="s">
        <v>1383</v>
      </c>
      <c r="N124" s="11" t="s">
        <v>95</v>
      </c>
      <c r="O124" s="11" t="s">
        <v>2305</v>
      </c>
      <c r="P124" s="11"/>
      <c r="Q124" s="11"/>
      <c r="R124" s="11" t="s">
        <v>2300</v>
      </c>
      <c r="S124" s="11" t="s">
        <v>94</v>
      </c>
      <c r="T124" s="11" t="s">
        <v>2306</v>
      </c>
      <c r="U124" s="11" t="s">
        <v>1444</v>
      </c>
      <c r="V124" s="11" t="s">
        <v>2307</v>
      </c>
      <c r="W124" s="11" t="s">
        <v>1389</v>
      </c>
      <c r="X124" s="11" t="s">
        <v>2052</v>
      </c>
      <c r="Y124" s="11" t="s">
        <v>1470</v>
      </c>
      <c r="Z124" s="11" t="s">
        <v>1686</v>
      </c>
      <c r="AA124" s="11" t="s">
        <v>2308</v>
      </c>
      <c r="AB124" s="11" t="s">
        <v>2007</v>
      </c>
      <c r="AC124" s="11" t="s">
        <v>2300</v>
      </c>
      <c r="AD124" s="11">
        <v>5397393</v>
      </c>
      <c r="AE124" s="11" t="s">
        <v>94</v>
      </c>
      <c r="AF124" s="11" t="s">
        <v>2309</v>
      </c>
      <c r="AG124" s="11" t="s">
        <v>94</v>
      </c>
      <c r="AH124" s="11" t="s">
        <v>2292</v>
      </c>
      <c r="AI124" s="11" t="s">
        <v>2310</v>
      </c>
      <c r="AJ124" s="11" t="s">
        <v>1863</v>
      </c>
      <c r="AK124" s="11" t="s">
        <v>1396</v>
      </c>
      <c r="AL124" s="11" t="s">
        <v>134</v>
      </c>
      <c r="AM124" s="11">
        <v>16000</v>
      </c>
      <c r="AN124" s="11"/>
      <c r="AO124" s="11" t="s">
        <v>2302</v>
      </c>
      <c r="AP124" s="11" t="s">
        <v>1451</v>
      </c>
      <c r="AQ124" s="11" t="s">
        <v>1398</v>
      </c>
      <c r="AR124" s="11"/>
      <c r="AS124" s="11" t="s">
        <v>2311</v>
      </c>
      <c r="AT124" s="11"/>
      <c r="AU124" s="11" t="s">
        <v>1536</v>
      </c>
      <c r="AV124" s="11"/>
      <c r="AW124" s="11" t="s">
        <v>2312</v>
      </c>
      <c r="AX124" s="11"/>
      <c r="AY124" s="11"/>
      <c r="AZ124" s="11"/>
      <c r="BA124" s="11"/>
      <c r="BB124" s="11">
        <v>49013179</v>
      </c>
      <c r="BC124" s="11" t="s">
        <v>1403</v>
      </c>
      <c r="BD124" s="11" t="s">
        <v>1432</v>
      </c>
      <c r="BE124" s="11" t="s">
        <v>2062</v>
      </c>
      <c r="BF124" s="11" t="s">
        <v>1434</v>
      </c>
      <c r="BG124" s="11" t="s">
        <v>1482</v>
      </c>
      <c r="BH124" s="11" t="s">
        <v>1502</v>
      </c>
      <c r="BI124" s="11" t="s">
        <v>1407</v>
      </c>
      <c r="BJ124" s="11" t="s">
        <v>134</v>
      </c>
      <c r="BK124" s="11"/>
      <c r="BL124" s="11"/>
      <c r="BM124" s="11"/>
      <c r="BN124" s="11" t="s">
        <v>1457</v>
      </c>
      <c r="BO124" s="11" t="s">
        <v>95</v>
      </c>
    </row>
    <row r="125" spans="2:67">
      <c r="B125" s="11">
        <v>114</v>
      </c>
      <c r="C125" s="11" t="s">
        <v>1374</v>
      </c>
      <c r="D125" s="11" t="s">
        <v>1375</v>
      </c>
      <c r="E125" s="11" t="s">
        <v>2313</v>
      </c>
      <c r="F125" s="11" t="s">
        <v>2314</v>
      </c>
      <c r="G125" s="11" t="s">
        <v>1378</v>
      </c>
      <c r="H125" s="11" t="s">
        <v>2315</v>
      </c>
      <c r="I125" s="11" t="s">
        <v>2316</v>
      </c>
      <c r="J125" s="11" t="s">
        <v>134</v>
      </c>
      <c r="K125" s="11" t="s">
        <v>1488</v>
      </c>
      <c r="L125" s="11" t="s">
        <v>1382</v>
      </c>
      <c r="M125" s="11" t="s">
        <v>181</v>
      </c>
      <c r="N125" s="11" t="s">
        <v>181</v>
      </c>
      <c r="O125" s="11" t="s">
        <v>134</v>
      </c>
      <c r="P125" s="11"/>
      <c r="Q125" s="11"/>
      <c r="R125" s="11" t="s">
        <v>2317</v>
      </c>
      <c r="S125" s="11" t="s">
        <v>1382</v>
      </c>
      <c r="T125" s="11" t="s">
        <v>2318</v>
      </c>
      <c r="U125" s="11" t="s">
        <v>1387</v>
      </c>
      <c r="V125" s="11" t="s">
        <v>2319</v>
      </c>
      <c r="W125" s="11" t="s">
        <v>1389</v>
      </c>
      <c r="X125" s="11" t="s">
        <v>1492</v>
      </c>
      <c r="Y125" s="11" t="s">
        <v>1470</v>
      </c>
      <c r="Z125" s="11" t="s">
        <v>1422</v>
      </c>
      <c r="AA125" s="11" t="s">
        <v>2320</v>
      </c>
      <c r="AB125" s="11" t="s">
        <v>2321</v>
      </c>
      <c r="AC125" s="11" t="s">
        <v>2317</v>
      </c>
      <c r="AD125" s="11">
        <v>5397029</v>
      </c>
      <c r="AE125" s="11" t="s">
        <v>1382</v>
      </c>
      <c r="AF125" s="11" t="s">
        <v>2322</v>
      </c>
      <c r="AG125" s="11" t="s">
        <v>1382</v>
      </c>
      <c r="AH125" s="11" t="s">
        <v>1550</v>
      </c>
      <c r="AI125" s="11" t="s">
        <v>2323</v>
      </c>
      <c r="AJ125" s="11" t="s">
        <v>2324</v>
      </c>
      <c r="AK125" s="11" t="s">
        <v>1396</v>
      </c>
      <c r="AL125" s="11" t="s">
        <v>134</v>
      </c>
      <c r="AM125" s="11">
        <v>1594.9</v>
      </c>
      <c r="AN125" s="11"/>
      <c r="AO125" s="11" t="s">
        <v>134</v>
      </c>
      <c r="AP125" s="11" t="s">
        <v>1397</v>
      </c>
      <c r="AQ125" s="11" t="s">
        <v>1398</v>
      </c>
      <c r="AR125" s="11" t="s">
        <v>2255</v>
      </c>
      <c r="AS125" s="11" t="s">
        <v>2325</v>
      </c>
      <c r="AT125" s="11" t="s">
        <v>2326</v>
      </c>
      <c r="AU125" s="11" t="s">
        <v>1536</v>
      </c>
      <c r="AV125" s="11"/>
      <c r="AW125" s="11" t="s">
        <v>2327</v>
      </c>
      <c r="AX125" s="11"/>
      <c r="AY125" s="11"/>
      <c r="AZ125" s="11"/>
      <c r="BA125" s="11"/>
      <c r="BB125" s="11">
        <v>63900482</v>
      </c>
      <c r="BC125" s="11" t="s">
        <v>1403</v>
      </c>
      <c r="BD125" s="11" t="s">
        <v>1432</v>
      </c>
      <c r="BE125" s="11" t="s">
        <v>2328</v>
      </c>
      <c r="BF125" s="11" t="s">
        <v>1501</v>
      </c>
      <c r="BG125" s="11" t="s">
        <v>1482</v>
      </c>
      <c r="BH125" s="11" t="s">
        <v>1435</v>
      </c>
      <c r="BI125" s="11" t="s">
        <v>1407</v>
      </c>
      <c r="BJ125" s="11" t="s">
        <v>134</v>
      </c>
      <c r="BK125" s="11"/>
      <c r="BL125" s="11" t="s">
        <v>1408</v>
      </c>
      <c r="BM125" s="11"/>
      <c r="BN125" s="11" t="s">
        <v>1457</v>
      </c>
      <c r="BO125" s="11" t="s">
        <v>1410</v>
      </c>
    </row>
    <row r="126" spans="2:67">
      <c r="B126" s="11">
        <v>115</v>
      </c>
      <c r="C126" s="11" t="s">
        <v>1374</v>
      </c>
      <c r="D126" s="11" t="s">
        <v>1375</v>
      </c>
      <c r="E126" s="11" t="s">
        <v>2313</v>
      </c>
      <c r="F126" s="11" t="s">
        <v>2314</v>
      </c>
      <c r="G126" s="11" t="s">
        <v>1378</v>
      </c>
      <c r="H126" s="11" t="s">
        <v>2315</v>
      </c>
      <c r="I126" s="11" t="s">
        <v>2316</v>
      </c>
      <c r="J126" s="11" t="s">
        <v>134</v>
      </c>
      <c r="K126" s="11" t="s">
        <v>1488</v>
      </c>
      <c r="L126" s="11" t="s">
        <v>1382</v>
      </c>
      <c r="M126" s="11" t="s">
        <v>181</v>
      </c>
      <c r="N126" s="11" t="s">
        <v>181</v>
      </c>
      <c r="O126" s="11" t="s">
        <v>134</v>
      </c>
      <c r="P126" s="11"/>
      <c r="Q126" s="11"/>
      <c r="R126" s="11" t="s">
        <v>2317</v>
      </c>
      <c r="S126" s="11" t="s">
        <v>1382</v>
      </c>
      <c r="T126" s="11" t="s">
        <v>2318</v>
      </c>
      <c r="U126" s="11" t="s">
        <v>1387</v>
      </c>
      <c r="V126" s="11" t="s">
        <v>2319</v>
      </c>
      <c r="W126" s="11" t="s">
        <v>1389</v>
      </c>
      <c r="X126" s="11" t="s">
        <v>1492</v>
      </c>
      <c r="Y126" s="11" t="s">
        <v>1470</v>
      </c>
      <c r="Z126" s="11" t="s">
        <v>1422</v>
      </c>
      <c r="AA126" s="11" t="s">
        <v>2320</v>
      </c>
      <c r="AB126" s="11" t="s">
        <v>2321</v>
      </c>
      <c r="AC126" s="11" t="s">
        <v>2317</v>
      </c>
      <c r="AD126" s="11">
        <v>5397029</v>
      </c>
      <c r="AE126" s="11" t="s">
        <v>1382</v>
      </c>
      <c r="AF126" s="11" t="s">
        <v>2322</v>
      </c>
      <c r="AG126" s="11" t="s">
        <v>1382</v>
      </c>
      <c r="AH126" s="11" t="s">
        <v>1550</v>
      </c>
      <c r="AI126" s="11" t="s">
        <v>2085</v>
      </c>
      <c r="AJ126" s="11" t="s">
        <v>2086</v>
      </c>
      <c r="AK126" s="11" t="s">
        <v>1396</v>
      </c>
      <c r="AL126" s="11" t="s">
        <v>134</v>
      </c>
      <c r="AM126" s="11">
        <v>11005.1</v>
      </c>
      <c r="AN126" s="11"/>
      <c r="AO126" s="11" t="s">
        <v>134</v>
      </c>
      <c r="AP126" s="11" t="s">
        <v>1397</v>
      </c>
      <c r="AQ126" s="11" t="s">
        <v>1398</v>
      </c>
      <c r="AR126" s="11" t="s">
        <v>2255</v>
      </c>
      <c r="AS126" s="11" t="s">
        <v>2325</v>
      </c>
      <c r="AT126" s="11" t="s">
        <v>2329</v>
      </c>
      <c r="AU126" s="11" t="s">
        <v>1536</v>
      </c>
      <c r="AV126" s="11"/>
      <c r="AW126" s="11" t="s">
        <v>2327</v>
      </c>
      <c r="AX126" s="11"/>
      <c r="AY126" s="11"/>
      <c r="AZ126" s="11"/>
      <c r="BA126" s="11"/>
      <c r="BB126" s="11">
        <v>63900482</v>
      </c>
      <c r="BC126" s="11" t="s">
        <v>1403</v>
      </c>
      <c r="BD126" s="11" t="s">
        <v>1432</v>
      </c>
      <c r="BE126" s="11" t="s">
        <v>2328</v>
      </c>
      <c r="BF126" s="11" t="s">
        <v>1501</v>
      </c>
      <c r="BG126" s="11" t="s">
        <v>1482</v>
      </c>
      <c r="BH126" s="11" t="s">
        <v>1435</v>
      </c>
      <c r="BI126" s="11" t="s">
        <v>1407</v>
      </c>
      <c r="BJ126" s="11" t="s">
        <v>134</v>
      </c>
      <c r="BK126" s="11"/>
      <c r="BL126" s="11" t="s">
        <v>1408</v>
      </c>
      <c r="BM126" s="11"/>
      <c r="BN126" s="11" t="s">
        <v>1457</v>
      </c>
      <c r="BO126" s="11" t="s">
        <v>1410</v>
      </c>
    </row>
    <row r="127" spans="2:67">
      <c r="B127" s="11">
        <v>116</v>
      </c>
      <c r="C127" s="11" t="s">
        <v>1374</v>
      </c>
      <c r="D127" s="11" t="s">
        <v>1375</v>
      </c>
      <c r="E127" s="11" t="s">
        <v>2313</v>
      </c>
      <c r="F127" s="11" t="s">
        <v>2314</v>
      </c>
      <c r="G127" s="11" t="s">
        <v>1378</v>
      </c>
      <c r="H127" s="11" t="s">
        <v>2315</v>
      </c>
      <c r="I127" s="11" t="s">
        <v>2316</v>
      </c>
      <c r="J127" s="11" t="s">
        <v>134</v>
      </c>
      <c r="K127" s="11" t="s">
        <v>1488</v>
      </c>
      <c r="L127" s="11" t="s">
        <v>1382</v>
      </c>
      <c r="M127" s="11" t="s">
        <v>181</v>
      </c>
      <c r="N127" s="11" t="s">
        <v>181</v>
      </c>
      <c r="O127" s="11" t="s">
        <v>134</v>
      </c>
      <c r="P127" s="11"/>
      <c r="Q127" s="11"/>
      <c r="R127" s="11" t="s">
        <v>2317</v>
      </c>
      <c r="S127" s="11" t="s">
        <v>1382</v>
      </c>
      <c r="T127" s="11" t="s">
        <v>2318</v>
      </c>
      <c r="U127" s="11" t="s">
        <v>1387</v>
      </c>
      <c r="V127" s="11" t="s">
        <v>2319</v>
      </c>
      <c r="W127" s="11" t="s">
        <v>1389</v>
      </c>
      <c r="X127" s="11" t="s">
        <v>1492</v>
      </c>
      <c r="Y127" s="11" t="s">
        <v>1470</v>
      </c>
      <c r="Z127" s="11" t="s">
        <v>1422</v>
      </c>
      <c r="AA127" s="11" t="s">
        <v>2320</v>
      </c>
      <c r="AB127" s="11" t="s">
        <v>2321</v>
      </c>
      <c r="AC127" s="11" t="s">
        <v>2317</v>
      </c>
      <c r="AD127" s="11">
        <v>5397029</v>
      </c>
      <c r="AE127" s="11" t="s">
        <v>1382</v>
      </c>
      <c r="AF127" s="11" t="s">
        <v>2322</v>
      </c>
      <c r="AG127" s="11" t="s">
        <v>1382</v>
      </c>
      <c r="AH127" s="11" t="s">
        <v>1550</v>
      </c>
      <c r="AI127" s="11" t="s">
        <v>2079</v>
      </c>
      <c r="AJ127" s="11" t="s">
        <v>2080</v>
      </c>
      <c r="AK127" s="11" t="s">
        <v>1396</v>
      </c>
      <c r="AL127" s="11" t="s">
        <v>134</v>
      </c>
      <c r="AM127" s="11">
        <v>1594.9</v>
      </c>
      <c r="AN127" s="11"/>
      <c r="AO127" s="11" t="s">
        <v>134</v>
      </c>
      <c r="AP127" s="11" t="s">
        <v>1397</v>
      </c>
      <c r="AQ127" s="11" t="s">
        <v>1398</v>
      </c>
      <c r="AR127" s="11" t="s">
        <v>2255</v>
      </c>
      <c r="AS127" s="11" t="s">
        <v>2325</v>
      </c>
      <c r="AT127" s="11" t="s">
        <v>2330</v>
      </c>
      <c r="AU127" s="11" t="s">
        <v>1536</v>
      </c>
      <c r="AV127" s="11"/>
      <c r="AW127" s="11" t="s">
        <v>2327</v>
      </c>
      <c r="AX127" s="11"/>
      <c r="AY127" s="11"/>
      <c r="AZ127" s="11"/>
      <c r="BA127" s="11"/>
      <c r="BB127" s="11">
        <v>63900482</v>
      </c>
      <c r="BC127" s="11" t="s">
        <v>1403</v>
      </c>
      <c r="BD127" s="11" t="s">
        <v>1432</v>
      </c>
      <c r="BE127" s="11" t="s">
        <v>2328</v>
      </c>
      <c r="BF127" s="11" t="s">
        <v>1501</v>
      </c>
      <c r="BG127" s="11" t="s">
        <v>1482</v>
      </c>
      <c r="BH127" s="11" t="s">
        <v>1435</v>
      </c>
      <c r="BI127" s="11" t="s">
        <v>1407</v>
      </c>
      <c r="BJ127" s="11" t="s">
        <v>134</v>
      </c>
      <c r="BK127" s="11"/>
      <c r="BL127" s="11" t="s">
        <v>1408</v>
      </c>
      <c r="BM127" s="11"/>
      <c r="BN127" s="11" t="s">
        <v>1457</v>
      </c>
      <c r="BO127" s="11" t="s">
        <v>1410</v>
      </c>
    </row>
    <row r="128" spans="2:67">
      <c r="B128" s="11">
        <v>117</v>
      </c>
      <c r="C128" s="11" t="s">
        <v>1374</v>
      </c>
      <c r="D128" s="11" t="s">
        <v>1375</v>
      </c>
      <c r="E128" s="11" t="s">
        <v>2313</v>
      </c>
      <c r="F128" s="11" t="s">
        <v>2314</v>
      </c>
      <c r="G128" s="11" t="s">
        <v>1378</v>
      </c>
      <c r="H128" s="11" t="s">
        <v>2315</v>
      </c>
      <c r="I128" s="11" t="s">
        <v>2316</v>
      </c>
      <c r="J128" s="11" t="s">
        <v>134</v>
      </c>
      <c r="K128" s="11" t="s">
        <v>1488</v>
      </c>
      <c r="L128" s="11" t="s">
        <v>1382</v>
      </c>
      <c r="M128" s="11" t="s">
        <v>181</v>
      </c>
      <c r="N128" s="11" t="s">
        <v>181</v>
      </c>
      <c r="O128" s="11" t="s">
        <v>134</v>
      </c>
      <c r="P128" s="11"/>
      <c r="Q128" s="11"/>
      <c r="R128" s="11" t="s">
        <v>2317</v>
      </c>
      <c r="S128" s="11" t="s">
        <v>1382</v>
      </c>
      <c r="T128" s="11" t="s">
        <v>2318</v>
      </c>
      <c r="U128" s="11" t="s">
        <v>1387</v>
      </c>
      <c r="V128" s="11" t="s">
        <v>2319</v>
      </c>
      <c r="W128" s="11" t="s">
        <v>1389</v>
      </c>
      <c r="X128" s="11" t="s">
        <v>1492</v>
      </c>
      <c r="Y128" s="11" t="s">
        <v>1470</v>
      </c>
      <c r="Z128" s="11" t="s">
        <v>1422</v>
      </c>
      <c r="AA128" s="11" t="s">
        <v>2320</v>
      </c>
      <c r="AB128" s="11" t="s">
        <v>2321</v>
      </c>
      <c r="AC128" s="11" t="s">
        <v>2317</v>
      </c>
      <c r="AD128" s="11">
        <v>5397029</v>
      </c>
      <c r="AE128" s="11" t="s">
        <v>1382</v>
      </c>
      <c r="AF128" s="11" t="s">
        <v>2322</v>
      </c>
      <c r="AG128" s="11" t="s">
        <v>1382</v>
      </c>
      <c r="AH128" s="11" t="s">
        <v>1550</v>
      </c>
      <c r="AI128" s="11" t="s">
        <v>2088</v>
      </c>
      <c r="AJ128" s="11" t="s">
        <v>2089</v>
      </c>
      <c r="AK128" s="11" t="s">
        <v>1396</v>
      </c>
      <c r="AL128" s="11" t="s">
        <v>134</v>
      </c>
      <c r="AM128" s="11">
        <v>11005.1</v>
      </c>
      <c r="AN128" s="11"/>
      <c r="AO128" s="11" t="s">
        <v>134</v>
      </c>
      <c r="AP128" s="11" t="s">
        <v>1397</v>
      </c>
      <c r="AQ128" s="11" t="s">
        <v>1398</v>
      </c>
      <c r="AR128" s="11" t="s">
        <v>2255</v>
      </c>
      <c r="AS128" s="11" t="s">
        <v>2325</v>
      </c>
      <c r="AT128" s="11" t="s">
        <v>2331</v>
      </c>
      <c r="AU128" s="11" t="s">
        <v>1536</v>
      </c>
      <c r="AV128" s="11"/>
      <c r="AW128" s="11" t="s">
        <v>2327</v>
      </c>
      <c r="AX128" s="11"/>
      <c r="AY128" s="11"/>
      <c r="AZ128" s="11"/>
      <c r="BA128" s="11"/>
      <c r="BB128" s="11">
        <v>63900482</v>
      </c>
      <c r="BC128" s="11" t="s">
        <v>1403</v>
      </c>
      <c r="BD128" s="11" t="s">
        <v>1432</v>
      </c>
      <c r="BE128" s="11" t="s">
        <v>2328</v>
      </c>
      <c r="BF128" s="11" t="s">
        <v>1501</v>
      </c>
      <c r="BG128" s="11" t="s">
        <v>1482</v>
      </c>
      <c r="BH128" s="11" t="s">
        <v>1435</v>
      </c>
      <c r="BI128" s="11" t="s">
        <v>1407</v>
      </c>
      <c r="BJ128" s="11" t="s">
        <v>134</v>
      </c>
      <c r="BK128" s="11"/>
      <c r="BL128" s="11" t="s">
        <v>1408</v>
      </c>
      <c r="BM128" s="11"/>
      <c r="BN128" s="11" t="s">
        <v>1457</v>
      </c>
      <c r="BO128" s="11" t="s">
        <v>1410</v>
      </c>
    </row>
    <row r="129" spans="2:67">
      <c r="B129" s="11">
        <v>118</v>
      </c>
      <c r="C129" s="11" t="s">
        <v>1374</v>
      </c>
      <c r="D129" s="11" t="s">
        <v>1375</v>
      </c>
      <c r="E129" s="11" t="s">
        <v>2313</v>
      </c>
      <c r="F129" s="11" t="s">
        <v>2314</v>
      </c>
      <c r="G129" s="11" t="s">
        <v>1378</v>
      </c>
      <c r="H129" s="11" t="s">
        <v>2315</v>
      </c>
      <c r="I129" s="11" t="s">
        <v>2316</v>
      </c>
      <c r="J129" s="11" t="s">
        <v>134</v>
      </c>
      <c r="K129" s="11" t="s">
        <v>1488</v>
      </c>
      <c r="L129" s="11" t="s">
        <v>1382</v>
      </c>
      <c r="M129" s="11" t="s">
        <v>181</v>
      </c>
      <c r="N129" s="11" t="s">
        <v>181</v>
      </c>
      <c r="O129" s="11" t="s">
        <v>134</v>
      </c>
      <c r="P129" s="11"/>
      <c r="Q129" s="11"/>
      <c r="R129" s="11" t="s">
        <v>2317</v>
      </c>
      <c r="S129" s="11" t="s">
        <v>1382</v>
      </c>
      <c r="T129" s="11" t="s">
        <v>2318</v>
      </c>
      <c r="U129" s="11" t="s">
        <v>1387</v>
      </c>
      <c r="V129" s="11" t="s">
        <v>2319</v>
      </c>
      <c r="W129" s="11" t="s">
        <v>1389</v>
      </c>
      <c r="X129" s="11" t="s">
        <v>1492</v>
      </c>
      <c r="Y129" s="11" t="s">
        <v>1470</v>
      </c>
      <c r="Z129" s="11" t="s">
        <v>1422</v>
      </c>
      <c r="AA129" s="11" t="s">
        <v>2320</v>
      </c>
      <c r="AB129" s="11" t="s">
        <v>2321</v>
      </c>
      <c r="AC129" s="11" t="s">
        <v>2317</v>
      </c>
      <c r="AD129" s="11">
        <v>5397029</v>
      </c>
      <c r="AE129" s="11" t="s">
        <v>1382</v>
      </c>
      <c r="AF129" s="11" t="s">
        <v>2322</v>
      </c>
      <c r="AG129" s="11" t="s">
        <v>1382</v>
      </c>
      <c r="AH129" s="11" t="s">
        <v>1550</v>
      </c>
      <c r="AI129" s="11" t="s">
        <v>2091</v>
      </c>
      <c r="AJ129" s="11" t="s">
        <v>2092</v>
      </c>
      <c r="AK129" s="11" t="s">
        <v>1396</v>
      </c>
      <c r="AL129" s="11" t="s">
        <v>134</v>
      </c>
      <c r="AM129" s="11">
        <v>1594.9</v>
      </c>
      <c r="AN129" s="11"/>
      <c r="AO129" s="11" t="s">
        <v>134</v>
      </c>
      <c r="AP129" s="11" t="s">
        <v>1397</v>
      </c>
      <c r="AQ129" s="11" t="s">
        <v>1398</v>
      </c>
      <c r="AR129" s="11" t="s">
        <v>2255</v>
      </c>
      <c r="AS129" s="11" t="s">
        <v>2325</v>
      </c>
      <c r="AT129" s="11" t="s">
        <v>2332</v>
      </c>
      <c r="AU129" s="11" t="s">
        <v>1536</v>
      </c>
      <c r="AV129" s="11"/>
      <c r="AW129" s="11" t="s">
        <v>2327</v>
      </c>
      <c r="AX129" s="11"/>
      <c r="AY129" s="11"/>
      <c r="AZ129" s="11"/>
      <c r="BA129" s="11"/>
      <c r="BB129" s="11">
        <v>63900482</v>
      </c>
      <c r="BC129" s="11" t="s">
        <v>1403</v>
      </c>
      <c r="BD129" s="11" t="s">
        <v>1432</v>
      </c>
      <c r="BE129" s="11" t="s">
        <v>2328</v>
      </c>
      <c r="BF129" s="11" t="s">
        <v>1501</v>
      </c>
      <c r="BG129" s="11" t="s">
        <v>1482</v>
      </c>
      <c r="BH129" s="11" t="s">
        <v>1435</v>
      </c>
      <c r="BI129" s="11" t="s">
        <v>1407</v>
      </c>
      <c r="BJ129" s="11" t="s">
        <v>134</v>
      </c>
      <c r="BK129" s="11"/>
      <c r="BL129" s="11" t="s">
        <v>1408</v>
      </c>
      <c r="BM129" s="11"/>
      <c r="BN129" s="11" t="s">
        <v>1457</v>
      </c>
      <c r="BO129" s="11" t="s">
        <v>1410</v>
      </c>
    </row>
    <row r="130" spans="2:67">
      <c r="B130" s="11">
        <v>119</v>
      </c>
      <c r="C130" s="11" t="s">
        <v>1374</v>
      </c>
      <c r="D130" s="11" t="s">
        <v>1375</v>
      </c>
      <c r="E130" s="11" t="s">
        <v>2313</v>
      </c>
      <c r="F130" s="11" t="s">
        <v>2314</v>
      </c>
      <c r="G130" s="11" t="s">
        <v>1378</v>
      </c>
      <c r="H130" s="11" t="s">
        <v>2315</v>
      </c>
      <c r="I130" s="11" t="s">
        <v>2316</v>
      </c>
      <c r="J130" s="11" t="s">
        <v>134</v>
      </c>
      <c r="K130" s="11" t="s">
        <v>1488</v>
      </c>
      <c r="L130" s="11" t="s">
        <v>1382</v>
      </c>
      <c r="M130" s="11" t="s">
        <v>181</v>
      </c>
      <c r="N130" s="11" t="s">
        <v>181</v>
      </c>
      <c r="O130" s="11" t="s">
        <v>134</v>
      </c>
      <c r="P130" s="11"/>
      <c r="Q130" s="11"/>
      <c r="R130" s="11" t="s">
        <v>2317</v>
      </c>
      <c r="S130" s="11" t="s">
        <v>1382</v>
      </c>
      <c r="T130" s="11" t="s">
        <v>2318</v>
      </c>
      <c r="U130" s="11" t="s">
        <v>1387</v>
      </c>
      <c r="V130" s="11" t="s">
        <v>2319</v>
      </c>
      <c r="W130" s="11" t="s">
        <v>1389</v>
      </c>
      <c r="X130" s="11" t="s">
        <v>1492</v>
      </c>
      <c r="Y130" s="11" t="s">
        <v>1470</v>
      </c>
      <c r="Z130" s="11" t="s">
        <v>1422</v>
      </c>
      <c r="AA130" s="11" t="s">
        <v>2320</v>
      </c>
      <c r="AB130" s="11" t="s">
        <v>2321</v>
      </c>
      <c r="AC130" s="11" t="s">
        <v>2317</v>
      </c>
      <c r="AD130" s="11">
        <v>5397029</v>
      </c>
      <c r="AE130" s="11" t="s">
        <v>1382</v>
      </c>
      <c r="AF130" s="11" t="s">
        <v>2322</v>
      </c>
      <c r="AG130" s="11" t="s">
        <v>1382</v>
      </c>
      <c r="AH130" s="11" t="s">
        <v>1550</v>
      </c>
      <c r="AI130" s="11" t="s">
        <v>2073</v>
      </c>
      <c r="AJ130" s="11" t="s">
        <v>2074</v>
      </c>
      <c r="AK130" s="11" t="s">
        <v>1396</v>
      </c>
      <c r="AL130" s="11" t="s">
        <v>134</v>
      </c>
      <c r="AM130" s="11">
        <v>10505.1</v>
      </c>
      <c r="AN130" s="11"/>
      <c r="AO130" s="11" t="s">
        <v>134</v>
      </c>
      <c r="AP130" s="11" t="s">
        <v>1397</v>
      </c>
      <c r="AQ130" s="11" t="s">
        <v>1398</v>
      </c>
      <c r="AR130" s="11" t="s">
        <v>2255</v>
      </c>
      <c r="AS130" s="11" t="s">
        <v>2325</v>
      </c>
      <c r="AT130" s="11" t="s">
        <v>2333</v>
      </c>
      <c r="AU130" s="11" t="s">
        <v>1536</v>
      </c>
      <c r="AV130" s="11"/>
      <c r="AW130" s="11" t="s">
        <v>2327</v>
      </c>
      <c r="AX130" s="11"/>
      <c r="AY130" s="11"/>
      <c r="AZ130" s="11"/>
      <c r="BA130" s="11"/>
      <c r="BB130" s="11">
        <v>63900482</v>
      </c>
      <c r="BC130" s="11" t="s">
        <v>1403</v>
      </c>
      <c r="BD130" s="11" t="s">
        <v>1432</v>
      </c>
      <c r="BE130" s="11" t="s">
        <v>2328</v>
      </c>
      <c r="BF130" s="11" t="s">
        <v>1501</v>
      </c>
      <c r="BG130" s="11" t="s">
        <v>1482</v>
      </c>
      <c r="BH130" s="11" t="s">
        <v>1435</v>
      </c>
      <c r="BI130" s="11" t="s">
        <v>1407</v>
      </c>
      <c r="BJ130" s="11" t="s">
        <v>134</v>
      </c>
      <c r="BK130" s="11"/>
      <c r="BL130" s="11" t="s">
        <v>1408</v>
      </c>
      <c r="BM130" s="11"/>
      <c r="BN130" s="11" t="s">
        <v>1457</v>
      </c>
      <c r="BO130" s="11" t="s">
        <v>1410</v>
      </c>
    </row>
    <row r="131" spans="2:67">
      <c r="B131" s="11">
        <v>120</v>
      </c>
      <c r="C131" s="11" t="s">
        <v>1374</v>
      </c>
      <c r="D131" s="11" t="s">
        <v>1375</v>
      </c>
      <c r="E131" s="11" t="s">
        <v>2313</v>
      </c>
      <c r="F131" s="11" t="s">
        <v>2314</v>
      </c>
      <c r="G131" s="11" t="s">
        <v>1378</v>
      </c>
      <c r="H131" s="11" t="s">
        <v>2315</v>
      </c>
      <c r="I131" s="11" t="s">
        <v>2316</v>
      </c>
      <c r="J131" s="11" t="s">
        <v>134</v>
      </c>
      <c r="K131" s="11" t="s">
        <v>1488</v>
      </c>
      <c r="L131" s="11" t="s">
        <v>1382</v>
      </c>
      <c r="M131" s="11" t="s">
        <v>181</v>
      </c>
      <c r="N131" s="11" t="s">
        <v>181</v>
      </c>
      <c r="O131" s="11" t="s">
        <v>134</v>
      </c>
      <c r="P131" s="11"/>
      <c r="Q131" s="11"/>
      <c r="R131" s="11" t="s">
        <v>2317</v>
      </c>
      <c r="S131" s="11" t="s">
        <v>1382</v>
      </c>
      <c r="T131" s="11" t="s">
        <v>2318</v>
      </c>
      <c r="U131" s="11" t="s">
        <v>1387</v>
      </c>
      <c r="V131" s="11" t="s">
        <v>2319</v>
      </c>
      <c r="W131" s="11" t="s">
        <v>1389</v>
      </c>
      <c r="X131" s="11" t="s">
        <v>1492</v>
      </c>
      <c r="Y131" s="11" t="s">
        <v>1470</v>
      </c>
      <c r="Z131" s="11" t="s">
        <v>1422</v>
      </c>
      <c r="AA131" s="11" t="s">
        <v>2320</v>
      </c>
      <c r="AB131" s="11" t="s">
        <v>2321</v>
      </c>
      <c r="AC131" s="11" t="s">
        <v>2317</v>
      </c>
      <c r="AD131" s="11">
        <v>5397029</v>
      </c>
      <c r="AE131" s="11" t="s">
        <v>1382</v>
      </c>
      <c r="AF131" s="11" t="s">
        <v>2322</v>
      </c>
      <c r="AG131" s="11" t="s">
        <v>1382</v>
      </c>
      <c r="AH131" s="11" t="s">
        <v>1550</v>
      </c>
      <c r="AI131" s="11" t="s">
        <v>2334</v>
      </c>
      <c r="AJ131" s="11" t="s">
        <v>2031</v>
      </c>
      <c r="AK131" s="11" t="s">
        <v>1396</v>
      </c>
      <c r="AL131" s="11" t="s">
        <v>134</v>
      </c>
      <c r="AM131" s="11">
        <v>10500</v>
      </c>
      <c r="AN131" s="11"/>
      <c r="AO131" s="11" t="s">
        <v>134</v>
      </c>
      <c r="AP131" s="11" t="s">
        <v>1397</v>
      </c>
      <c r="AQ131" s="11" t="s">
        <v>1398</v>
      </c>
      <c r="AR131" s="11" t="s">
        <v>2255</v>
      </c>
      <c r="AS131" s="11" t="s">
        <v>2325</v>
      </c>
      <c r="AT131" s="11"/>
      <c r="AU131" s="11" t="s">
        <v>1536</v>
      </c>
      <c r="AV131" s="11"/>
      <c r="AW131" s="11" t="s">
        <v>2327</v>
      </c>
      <c r="AX131" s="11"/>
      <c r="AY131" s="11"/>
      <c r="AZ131" s="11"/>
      <c r="BA131" s="11"/>
      <c r="BB131" s="11">
        <v>63900482</v>
      </c>
      <c r="BC131" s="11" t="s">
        <v>1403</v>
      </c>
      <c r="BD131" s="11" t="s">
        <v>1432</v>
      </c>
      <c r="BE131" s="11" t="s">
        <v>2328</v>
      </c>
      <c r="BF131" s="11" t="s">
        <v>1501</v>
      </c>
      <c r="BG131" s="11" t="s">
        <v>1482</v>
      </c>
      <c r="BH131" s="11" t="s">
        <v>1435</v>
      </c>
      <c r="BI131" s="11" t="s">
        <v>1407</v>
      </c>
      <c r="BJ131" s="11" t="s">
        <v>134</v>
      </c>
      <c r="BK131" s="11"/>
      <c r="BL131" s="11"/>
      <c r="BM131" s="11"/>
      <c r="BN131" s="11" t="s">
        <v>1457</v>
      </c>
      <c r="BO131" s="11" t="s">
        <v>1410</v>
      </c>
    </row>
    <row r="132" spans="2:67">
      <c r="B132" s="11">
        <v>121</v>
      </c>
      <c r="C132" s="11" t="s">
        <v>1374</v>
      </c>
      <c r="D132" s="11" t="s">
        <v>1375</v>
      </c>
      <c r="E132" s="11"/>
      <c r="F132" s="11" t="s">
        <v>2335</v>
      </c>
      <c r="G132" s="11"/>
      <c r="H132" s="11" t="s">
        <v>2336</v>
      </c>
      <c r="I132" s="11" t="s">
        <v>2337</v>
      </c>
      <c r="J132" s="11" t="s">
        <v>134</v>
      </c>
      <c r="K132" s="11" t="s">
        <v>1470</v>
      </c>
      <c r="L132" s="11" t="s">
        <v>1382</v>
      </c>
      <c r="M132" s="11" t="s">
        <v>1383</v>
      </c>
      <c r="N132" s="11" t="s">
        <v>508</v>
      </c>
      <c r="O132" s="11"/>
      <c r="P132" s="11"/>
      <c r="Q132" s="11"/>
      <c r="R132" s="11" t="s">
        <v>1131</v>
      </c>
      <c r="S132" s="11" t="s">
        <v>1382</v>
      </c>
      <c r="T132" s="11" t="s">
        <v>2338</v>
      </c>
      <c r="U132" s="11" t="s">
        <v>1444</v>
      </c>
      <c r="V132" s="11" t="s">
        <v>2339</v>
      </c>
      <c r="W132" s="11" t="s">
        <v>1389</v>
      </c>
      <c r="X132" s="11" t="s">
        <v>2340</v>
      </c>
      <c r="Y132" s="11" t="s">
        <v>1470</v>
      </c>
      <c r="Z132" s="11" t="s">
        <v>1876</v>
      </c>
      <c r="AA132" s="11" t="s">
        <v>1601</v>
      </c>
      <c r="AB132" s="11" t="s">
        <v>1601</v>
      </c>
      <c r="AC132" s="11" t="s">
        <v>1131</v>
      </c>
      <c r="AD132" s="11">
        <v>5431079</v>
      </c>
      <c r="AE132" s="11" t="s">
        <v>1382</v>
      </c>
      <c r="AF132" s="11" t="s">
        <v>2341</v>
      </c>
      <c r="AG132" s="11" t="s">
        <v>1382</v>
      </c>
      <c r="AH132" s="11" t="s">
        <v>2341</v>
      </c>
      <c r="AI132" s="11" t="s">
        <v>1910</v>
      </c>
      <c r="AJ132" s="11" t="s">
        <v>1405</v>
      </c>
      <c r="AK132" s="11" t="s">
        <v>1396</v>
      </c>
      <c r="AL132" s="11" t="s">
        <v>134</v>
      </c>
      <c r="AM132" s="11">
        <v>3964</v>
      </c>
      <c r="AN132" s="11" t="s">
        <v>1450</v>
      </c>
      <c r="AO132" s="11" t="s">
        <v>134</v>
      </c>
      <c r="AP132" s="11" t="s">
        <v>1451</v>
      </c>
      <c r="AQ132" s="11" t="s">
        <v>1398</v>
      </c>
      <c r="AR132" s="11" t="s">
        <v>1570</v>
      </c>
      <c r="AS132" s="11" t="s">
        <v>1132</v>
      </c>
      <c r="AT132" s="11" t="s">
        <v>2342</v>
      </c>
      <c r="AU132" s="11" t="s">
        <v>1573</v>
      </c>
      <c r="AV132" s="11"/>
      <c r="AW132" s="11" t="s">
        <v>2343</v>
      </c>
      <c r="AX132" s="11"/>
      <c r="AY132" s="11"/>
      <c r="AZ132" s="11"/>
      <c r="BA132" s="11"/>
      <c r="BB132" s="11">
        <v>70870277</v>
      </c>
      <c r="BC132" s="11" t="s">
        <v>1403</v>
      </c>
      <c r="BD132" s="11" t="s">
        <v>2130</v>
      </c>
      <c r="BE132" s="11" t="s">
        <v>2344</v>
      </c>
      <c r="BF132" s="11" t="s">
        <v>1576</v>
      </c>
      <c r="BG132" s="11"/>
      <c r="BH132" s="11" t="s">
        <v>1502</v>
      </c>
      <c r="BI132" s="11" t="s">
        <v>1407</v>
      </c>
      <c r="BJ132" s="11" t="s">
        <v>134</v>
      </c>
      <c r="BK132" s="11"/>
      <c r="BL132" s="11" t="s">
        <v>1577</v>
      </c>
      <c r="BM132" s="11"/>
      <c r="BN132" s="11" t="s">
        <v>1457</v>
      </c>
      <c r="BO132" s="11"/>
    </row>
    <row r="133" spans="2:67">
      <c r="B133" s="11">
        <v>122</v>
      </c>
      <c r="C133" s="11" t="s">
        <v>1374</v>
      </c>
      <c r="D133" s="11" t="s">
        <v>1375</v>
      </c>
      <c r="E133" s="11" t="s">
        <v>2345</v>
      </c>
      <c r="F133" s="11" t="s">
        <v>2346</v>
      </c>
      <c r="G133" s="11" t="s">
        <v>2347</v>
      </c>
      <c r="H133" s="11" t="s">
        <v>2348</v>
      </c>
      <c r="I133" s="11" t="s">
        <v>2349</v>
      </c>
      <c r="J133" s="11" t="s">
        <v>134</v>
      </c>
      <c r="K133" s="11" t="s">
        <v>1547</v>
      </c>
      <c r="L133" s="11" t="s">
        <v>1382</v>
      </c>
      <c r="M133" s="11" t="s">
        <v>2248</v>
      </c>
      <c r="N133" s="11" t="s">
        <v>2350</v>
      </c>
      <c r="O133" s="11" t="s">
        <v>134</v>
      </c>
      <c r="P133" s="11"/>
      <c r="Q133" s="11"/>
      <c r="R133" s="11" t="s">
        <v>2351</v>
      </c>
      <c r="S133" s="11" t="s">
        <v>1382</v>
      </c>
      <c r="T133" s="11" t="s">
        <v>2352</v>
      </c>
      <c r="U133" s="11" t="s">
        <v>1387</v>
      </c>
      <c r="V133" s="11" t="s">
        <v>2353</v>
      </c>
      <c r="W133" s="11" t="s">
        <v>1389</v>
      </c>
      <c r="X133" s="11" t="s">
        <v>1469</v>
      </c>
      <c r="Y133" s="11" t="s">
        <v>1547</v>
      </c>
      <c r="Z133" s="11" t="s">
        <v>2354</v>
      </c>
      <c r="AA133" s="11" t="s">
        <v>2355</v>
      </c>
      <c r="AB133" s="11" t="s">
        <v>2356</v>
      </c>
      <c r="AC133" s="11" t="s">
        <v>2351</v>
      </c>
      <c r="AD133" s="11">
        <v>5404051</v>
      </c>
      <c r="AE133" s="11" t="s">
        <v>1382</v>
      </c>
      <c r="AF133" s="11" t="s">
        <v>2357</v>
      </c>
      <c r="AG133" s="11" t="s">
        <v>1382</v>
      </c>
      <c r="AH133" s="11" t="s">
        <v>2358</v>
      </c>
      <c r="AI133" s="11" t="s">
        <v>2359</v>
      </c>
      <c r="AJ133" s="11" t="s">
        <v>2360</v>
      </c>
      <c r="AK133" s="11" t="s">
        <v>1396</v>
      </c>
      <c r="AL133" s="11" t="s">
        <v>134</v>
      </c>
      <c r="AM133" s="11">
        <v>3000</v>
      </c>
      <c r="AN133" s="11"/>
      <c r="AO133" s="11" t="s">
        <v>134</v>
      </c>
      <c r="AP133" s="11" t="s">
        <v>1397</v>
      </c>
      <c r="AQ133" s="11" t="s">
        <v>1398</v>
      </c>
      <c r="AR133" s="11"/>
      <c r="AS133" s="11" t="s">
        <v>2361</v>
      </c>
      <c r="AT133" s="11"/>
      <c r="AU133" s="11" t="s">
        <v>1573</v>
      </c>
      <c r="AV133" s="11"/>
      <c r="AW133" s="11" t="s">
        <v>2362</v>
      </c>
      <c r="AX133" s="11"/>
      <c r="AY133" s="11"/>
      <c r="AZ133" s="11"/>
      <c r="BA133" s="11"/>
      <c r="BB133" s="11">
        <v>80626699</v>
      </c>
      <c r="BC133" s="11" t="s">
        <v>1403</v>
      </c>
      <c r="BD133" s="11" t="s">
        <v>1432</v>
      </c>
      <c r="BE133" s="11" t="s">
        <v>2363</v>
      </c>
      <c r="BF133" s="11" t="s">
        <v>2364</v>
      </c>
      <c r="BG133" s="11" t="s">
        <v>1482</v>
      </c>
      <c r="BH133" s="11" t="s">
        <v>1435</v>
      </c>
      <c r="BI133" s="11" t="s">
        <v>1407</v>
      </c>
      <c r="BJ133" s="11" t="s">
        <v>134</v>
      </c>
      <c r="BK133" s="11"/>
      <c r="BL133" s="11"/>
      <c r="BM133" s="11"/>
      <c r="BN133" s="11" t="s">
        <v>1483</v>
      </c>
      <c r="BO133" s="11" t="s">
        <v>1748</v>
      </c>
    </row>
    <row r="134" spans="2:67">
      <c r="B134" s="11">
        <v>123</v>
      </c>
      <c r="C134" s="11" t="s">
        <v>1374</v>
      </c>
      <c r="D134" s="11" t="s">
        <v>1375</v>
      </c>
      <c r="E134" s="11" t="s">
        <v>2345</v>
      </c>
      <c r="F134" s="11" t="s">
        <v>2346</v>
      </c>
      <c r="G134" s="11" t="s">
        <v>2347</v>
      </c>
      <c r="H134" s="11" t="s">
        <v>2348</v>
      </c>
      <c r="I134" s="11" t="s">
        <v>2349</v>
      </c>
      <c r="J134" s="11" t="s">
        <v>134</v>
      </c>
      <c r="K134" s="11" t="s">
        <v>1547</v>
      </c>
      <c r="L134" s="11" t="s">
        <v>1382</v>
      </c>
      <c r="M134" s="11" t="s">
        <v>2248</v>
      </c>
      <c r="N134" s="11" t="s">
        <v>2350</v>
      </c>
      <c r="O134" s="11" t="s">
        <v>134</v>
      </c>
      <c r="P134" s="11"/>
      <c r="Q134" s="11"/>
      <c r="R134" s="11" t="s">
        <v>2351</v>
      </c>
      <c r="S134" s="11" t="s">
        <v>1382</v>
      </c>
      <c r="T134" s="11" t="s">
        <v>2352</v>
      </c>
      <c r="U134" s="11" t="s">
        <v>1387</v>
      </c>
      <c r="V134" s="11" t="s">
        <v>2353</v>
      </c>
      <c r="W134" s="11" t="s">
        <v>1389</v>
      </c>
      <c r="X134" s="11" t="s">
        <v>1469</v>
      </c>
      <c r="Y134" s="11" t="s">
        <v>1547</v>
      </c>
      <c r="Z134" s="11" t="s">
        <v>2354</v>
      </c>
      <c r="AA134" s="11" t="s">
        <v>2355</v>
      </c>
      <c r="AB134" s="11" t="s">
        <v>2356</v>
      </c>
      <c r="AC134" s="11" t="s">
        <v>2351</v>
      </c>
      <c r="AD134" s="11">
        <v>5404051</v>
      </c>
      <c r="AE134" s="11" t="s">
        <v>1382</v>
      </c>
      <c r="AF134" s="11" t="s">
        <v>2357</v>
      </c>
      <c r="AG134" s="11" t="s">
        <v>1382</v>
      </c>
      <c r="AH134" s="11" t="s">
        <v>2358</v>
      </c>
      <c r="AI134" s="11" t="s">
        <v>2365</v>
      </c>
      <c r="AJ134" s="11" t="s">
        <v>2366</v>
      </c>
      <c r="AK134" s="11" t="s">
        <v>1396</v>
      </c>
      <c r="AL134" s="11" t="s">
        <v>134</v>
      </c>
      <c r="AM134" s="11">
        <v>18300</v>
      </c>
      <c r="AN134" s="11"/>
      <c r="AO134" s="11" t="s">
        <v>134</v>
      </c>
      <c r="AP134" s="11" t="s">
        <v>1397</v>
      </c>
      <c r="AQ134" s="11" t="s">
        <v>1398</v>
      </c>
      <c r="AR134" s="11"/>
      <c r="AS134" s="11" t="s">
        <v>2361</v>
      </c>
      <c r="AT134" s="11"/>
      <c r="AU134" s="11" t="s">
        <v>1573</v>
      </c>
      <c r="AV134" s="11"/>
      <c r="AW134" s="11" t="s">
        <v>2362</v>
      </c>
      <c r="AX134" s="11"/>
      <c r="AY134" s="11"/>
      <c r="AZ134" s="11"/>
      <c r="BA134" s="11"/>
      <c r="BB134" s="11">
        <v>80626699</v>
      </c>
      <c r="BC134" s="11" t="s">
        <v>1403</v>
      </c>
      <c r="BD134" s="11" t="s">
        <v>1432</v>
      </c>
      <c r="BE134" s="11" t="s">
        <v>2363</v>
      </c>
      <c r="BF134" s="11" t="s">
        <v>2364</v>
      </c>
      <c r="BG134" s="11" t="s">
        <v>1482</v>
      </c>
      <c r="BH134" s="11" t="s">
        <v>1435</v>
      </c>
      <c r="BI134" s="11" t="s">
        <v>1407</v>
      </c>
      <c r="BJ134" s="11" t="s">
        <v>134</v>
      </c>
      <c r="BK134" s="11"/>
      <c r="BL134" s="11"/>
      <c r="BM134" s="11"/>
      <c r="BN134" s="11" t="s">
        <v>1483</v>
      </c>
      <c r="BO134" s="11" t="s">
        <v>1748</v>
      </c>
    </row>
    <row r="135" spans="2:67">
      <c r="B135" s="11">
        <v>124</v>
      </c>
      <c r="C135" s="11" t="s">
        <v>1374</v>
      </c>
      <c r="D135" s="11" t="s">
        <v>1375</v>
      </c>
      <c r="E135" s="11" t="s">
        <v>2367</v>
      </c>
      <c r="F135" s="11" t="s">
        <v>2368</v>
      </c>
      <c r="G135" s="11" t="s">
        <v>1625</v>
      </c>
      <c r="H135" s="11" t="s">
        <v>2369</v>
      </c>
      <c r="I135" s="11" t="s">
        <v>2370</v>
      </c>
      <c r="J135" s="11" t="s">
        <v>134</v>
      </c>
      <c r="K135" s="11" t="s">
        <v>1381</v>
      </c>
      <c r="L135" s="11" t="s">
        <v>94</v>
      </c>
      <c r="M135" s="11" t="s">
        <v>1383</v>
      </c>
      <c r="N135" s="11" t="s">
        <v>1957</v>
      </c>
      <c r="O135" s="11" t="s">
        <v>2371</v>
      </c>
      <c r="P135" s="11"/>
      <c r="Q135" s="11"/>
      <c r="R135" s="11" t="s">
        <v>2367</v>
      </c>
      <c r="S135" s="11" t="s">
        <v>94</v>
      </c>
      <c r="T135" s="11" t="s">
        <v>2372</v>
      </c>
      <c r="U135" s="11" t="s">
        <v>1387</v>
      </c>
      <c r="V135" s="11" t="s">
        <v>2373</v>
      </c>
      <c r="W135" s="11" t="s">
        <v>1389</v>
      </c>
      <c r="X135" s="11" t="s">
        <v>1390</v>
      </c>
      <c r="Y135" s="11" t="s">
        <v>1381</v>
      </c>
      <c r="Z135" s="11" t="s">
        <v>1422</v>
      </c>
      <c r="AA135" s="11" t="s">
        <v>2374</v>
      </c>
      <c r="AB135" s="11" t="s">
        <v>2375</v>
      </c>
      <c r="AC135" s="11" t="s">
        <v>2367</v>
      </c>
      <c r="AD135" s="11">
        <v>5396383</v>
      </c>
      <c r="AE135" s="11" t="s">
        <v>94</v>
      </c>
      <c r="AF135" s="11" t="s">
        <v>2376</v>
      </c>
      <c r="AG135" s="11" t="s">
        <v>94</v>
      </c>
      <c r="AH135" s="11" t="s">
        <v>2376</v>
      </c>
      <c r="AI135" s="11" t="s">
        <v>2377</v>
      </c>
      <c r="AJ135" s="11" t="s">
        <v>1405</v>
      </c>
      <c r="AK135" s="11" t="s">
        <v>1396</v>
      </c>
      <c r="AL135" s="11" t="s">
        <v>134</v>
      </c>
      <c r="AM135" s="11">
        <v>5680</v>
      </c>
      <c r="AN135" s="11"/>
      <c r="AO135" s="11" t="s">
        <v>2371</v>
      </c>
      <c r="AP135" s="11" t="s">
        <v>1397</v>
      </c>
      <c r="AQ135" s="11" t="s">
        <v>1398</v>
      </c>
      <c r="AR135" s="11" t="s">
        <v>1452</v>
      </c>
      <c r="AS135" s="11" t="s">
        <v>2378</v>
      </c>
      <c r="AT135" s="11" t="s">
        <v>2379</v>
      </c>
      <c r="AU135" s="11" t="s">
        <v>1573</v>
      </c>
      <c r="AV135" s="11"/>
      <c r="AW135" s="11" t="s">
        <v>2380</v>
      </c>
      <c r="AX135" s="11"/>
      <c r="AY135" s="11"/>
      <c r="AZ135" s="11"/>
      <c r="BA135" s="11"/>
      <c r="BB135" s="11">
        <v>56361116</v>
      </c>
      <c r="BC135" s="11" t="s">
        <v>1403</v>
      </c>
      <c r="BD135" s="11" t="s">
        <v>1456</v>
      </c>
      <c r="BE135" s="11" t="s">
        <v>1405</v>
      </c>
      <c r="BF135" s="11" t="s">
        <v>134</v>
      </c>
      <c r="BG135" s="11"/>
      <c r="BH135" s="11" t="s">
        <v>1435</v>
      </c>
      <c r="BI135" s="11" t="s">
        <v>1403</v>
      </c>
      <c r="BJ135" s="11" t="s">
        <v>134</v>
      </c>
      <c r="BK135" s="11"/>
      <c r="BL135" s="11" t="s">
        <v>1408</v>
      </c>
      <c r="BM135" s="11"/>
      <c r="BN135" s="11" t="s">
        <v>1457</v>
      </c>
      <c r="BO135" s="11" t="s">
        <v>1410</v>
      </c>
    </row>
    <row r="136" spans="2:67">
      <c r="B136" s="11">
        <v>125</v>
      </c>
      <c r="C136" s="11" t="s">
        <v>1374</v>
      </c>
      <c r="D136" s="11" t="s">
        <v>1375</v>
      </c>
      <c r="E136" s="11" t="s">
        <v>1972</v>
      </c>
      <c r="F136" s="11" t="s">
        <v>2381</v>
      </c>
      <c r="G136" s="11" t="s">
        <v>2382</v>
      </c>
      <c r="H136" s="11" t="s">
        <v>2383</v>
      </c>
      <c r="I136" s="11" t="s">
        <v>2384</v>
      </c>
      <c r="J136" s="11" t="s">
        <v>134</v>
      </c>
      <c r="K136" s="11" t="s">
        <v>1488</v>
      </c>
      <c r="L136" s="11" t="s">
        <v>94</v>
      </c>
      <c r="M136" s="11" t="s">
        <v>1383</v>
      </c>
      <c r="N136" s="11" t="s">
        <v>1957</v>
      </c>
      <c r="O136" s="11" t="s">
        <v>2385</v>
      </c>
      <c r="P136" s="11"/>
      <c r="Q136" s="11"/>
      <c r="R136" s="11" t="s">
        <v>2386</v>
      </c>
      <c r="S136" s="11" t="s">
        <v>94</v>
      </c>
      <c r="T136" s="11" t="s">
        <v>2387</v>
      </c>
      <c r="U136" s="11" t="s">
        <v>1387</v>
      </c>
      <c r="V136" s="11" t="s">
        <v>2388</v>
      </c>
      <c r="W136" s="11" t="s">
        <v>1389</v>
      </c>
      <c r="X136" s="11" t="s">
        <v>1962</v>
      </c>
      <c r="Y136" s="11" t="s">
        <v>1381</v>
      </c>
      <c r="Z136" s="11" t="s">
        <v>2389</v>
      </c>
      <c r="AA136" s="11" t="s">
        <v>2390</v>
      </c>
      <c r="AB136" s="11" t="s">
        <v>2391</v>
      </c>
      <c r="AC136" s="11" t="s">
        <v>2386</v>
      </c>
      <c r="AD136" s="11">
        <v>5395689</v>
      </c>
      <c r="AE136" s="11" t="s">
        <v>94</v>
      </c>
      <c r="AF136" s="11" t="s">
        <v>2392</v>
      </c>
      <c r="AG136" s="11" t="s">
        <v>94</v>
      </c>
      <c r="AH136" s="11" t="s">
        <v>2393</v>
      </c>
      <c r="AI136" s="11" t="s">
        <v>1966</v>
      </c>
      <c r="AJ136" s="11" t="s">
        <v>1967</v>
      </c>
      <c r="AK136" s="11" t="s">
        <v>1396</v>
      </c>
      <c r="AL136" s="11" t="s">
        <v>134</v>
      </c>
      <c r="AM136" s="11">
        <v>15000</v>
      </c>
      <c r="AN136" s="11"/>
      <c r="AO136" s="11" t="s">
        <v>2385</v>
      </c>
      <c r="AP136" s="11" t="s">
        <v>1397</v>
      </c>
      <c r="AQ136" s="11" t="s">
        <v>1398</v>
      </c>
      <c r="AR136" s="11" t="s">
        <v>1452</v>
      </c>
      <c r="AS136" s="11" t="s">
        <v>2394</v>
      </c>
      <c r="AT136" s="11" t="s">
        <v>2395</v>
      </c>
      <c r="AU136" s="11" t="s">
        <v>1573</v>
      </c>
      <c r="AV136" s="11"/>
      <c r="AW136" s="11" t="s">
        <v>2396</v>
      </c>
      <c r="AX136" s="11"/>
      <c r="AY136" s="11"/>
      <c r="AZ136" s="11"/>
      <c r="BA136" s="11"/>
      <c r="BB136" s="11">
        <v>56631902</v>
      </c>
      <c r="BC136" s="11" t="s">
        <v>1403</v>
      </c>
      <c r="BD136" s="11" t="s">
        <v>1456</v>
      </c>
      <c r="BE136" s="11" t="s">
        <v>1971</v>
      </c>
      <c r="BF136" s="11" t="s">
        <v>134</v>
      </c>
      <c r="BG136" s="11"/>
      <c r="BH136" s="11" t="s">
        <v>1435</v>
      </c>
      <c r="BI136" s="11" t="s">
        <v>1407</v>
      </c>
      <c r="BJ136" s="11" t="s">
        <v>134</v>
      </c>
      <c r="BK136" s="11"/>
      <c r="BL136" s="11" t="s">
        <v>1408</v>
      </c>
      <c r="BM136" s="11"/>
      <c r="BN136" s="11" t="s">
        <v>1483</v>
      </c>
      <c r="BO136" s="11" t="s">
        <v>1410</v>
      </c>
    </row>
    <row r="137" spans="2:67">
      <c r="B137" s="11">
        <v>126</v>
      </c>
      <c r="C137" s="11" t="s">
        <v>1374</v>
      </c>
      <c r="D137" s="11" t="s">
        <v>1375</v>
      </c>
      <c r="E137" s="11" t="s">
        <v>2397</v>
      </c>
      <c r="F137" s="11" t="s">
        <v>2398</v>
      </c>
      <c r="G137" s="11" t="s">
        <v>2399</v>
      </c>
      <c r="H137" s="11" t="s">
        <v>2400</v>
      </c>
      <c r="I137" s="11" t="s">
        <v>2401</v>
      </c>
      <c r="J137" s="11" t="s">
        <v>2402</v>
      </c>
      <c r="K137" s="11" t="s">
        <v>1547</v>
      </c>
      <c r="L137" s="11" t="s">
        <v>2403</v>
      </c>
      <c r="M137" s="11" t="s">
        <v>1885</v>
      </c>
      <c r="N137" s="11" t="s">
        <v>82</v>
      </c>
      <c r="O137" s="11" t="s">
        <v>134</v>
      </c>
      <c r="P137" s="11" t="s">
        <v>2403</v>
      </c>
      <c r="Q137" s="11" t="s">
        <v>2404</v>
      </c>
      <c r="R137" s="11" t="s">
        <v>2397</v>
      </c>
      <c r="S137" s="11" t="s">
        <v>1382</v>
      </c>
      <c r="T137" s="11" t="s">
        <v>2405</v>
      </c>
      <c r="U137" s="11" t="s">
        <v>1387</v>
      </c>
      <c r="V137" s="11" t="s">
        <v>2406</v>
      </c>
      <c r="W137" s="11" t="s">
        <v>1389</v>
      </c>
      <c r="X137" s="11" t="s">
        <v>1598</v>
      </c>
      <c r="Y137" s="11" t="s">
        <v>1547</v>
      </c>
      <c r="Z137" s="11" t="s">
        <v>1876</v>
      </c>
      <c r="AA137" s="11" t="s">
        <v>2407</v>
      </c>
      <c r="AB137" s="11" t="s">
        <v>2201</v>
      </c>
      <c r="AC137" s="11" t="s">
        <v>2397</v>
      </c>
      <c r="AD137" s="11">
        <v>5395351</v>
      </c>
      <c r="AE137" s="11" t="s">
        <v>1382</v>
      </c>
      <c r="AF137" s="11" t="s">
        <v>2408</v>
      </c>
      <c r="AG137" s="11" t="s">
        <v>1382</v>
      </c>
      <c r="AH137" s="11" t="s">
        <v>2409</v>
      </c>
      <c r="AI137" s="11" t="s">
        <v>2410</v>
      </c>
      <c r="AJ137" s="11" t="s">
        <v>2411</v>
      </c>
      <c r="AK137" s="11" t="s">
        <v>1396</v>
      </c>
      <c r="AL137" s="11" t="s">
        <v>134</v>
      </c>
      <c r="AM137" s="11">
        <v>4815</v>
      </c>
      <c r="AN137" s="11"/>
      <c r="AO137" s="11" t="s">
        <v>134</v>
      </c>
      <c r="AP137" s="11" t="s">
        <v>1397</v>
      </c>
      <c r="AQ137" s="11" t="s">
        <v>1398</v>
      </c>
      <c r="AR137" s="11" t="s">
        <v>1671</v>
      </c>
      <c r="AS137" s="11" t="s">
        <v>2412</v>
      </c>
      <c r="AT137" s="11" t="s">
        <v>2413</v>
      </c>
      <c r="AU137" s="11" t="s">
        <v>2414</v>
      </c>
      <c r="AV137" s="11"/>
      <c r="AW137" s="11" t="s">
        <v>2415</v>
      </c>
      <c r="AX137" s="11"/>
      <c r="AY137" s="11"/>
      <c r="AZ137" s="11"/>
      <c r="BA137" s="11"/>
      <c r="BB137" s="11">
        <v>67686450</v>
      </c>
      <c r="BC137" s="11" t="s">
        <v>1403</v>
      </c>
      <c r="BD137" s="11" t="s">
        <v>1432</v>
      </c>
      <c r="BE137" s="11" t="s">
        <v>1694</v>
      </c>
      <c r="BF137" s="11" t="s">
        <v>1555</v>
      </c>
      <c r="BG137" s="11" t="s">
        <v>1482</v>
      </c>
      <c r="BH137" s="11" t="s">
        <v>1502</v>
      </c>
      <c r="BI137" s="11" t="s">
        <v>1407</v>
      </c>
      <c r="BJ137" s="11" t="s">
        <v>134</v>
      </c>
      <c r="BK137" s="11"/>
      <c r="BL137" s="11" t="s">
        <v>1408</v>
      </c>
      <c r="BM137" s="11"/>
      <c r="BN137" s="11" t="s">
        <v>1457</v>
      </c>
      <c r="BO137" s="11"/>
    </row>
    <row r="138" spans="2:67">
      <c r="B138" s="11">
        <v>127</v>
      </c>
      <c r="C138" s="11" t="s">
        <v>1374</v>
      </c>
      <c r="D138" s="11" t="s">
        <v>1375</v>
      </c>
      <c r="E138" s="11" t="s">
        <v>2397</v>
      </c>
      <c r="F138" s="11" t="s">
        <v>2398</v>
      </c>
      <c r="G138" s="11" t="s">
        <v>2399</v>
      </c>
      <c r="H138" s="11" t="s">
        <v>2400</v>
      </c>
      <c r="I138" s="11" t="s">
        <v>2401</v>
      </c>
      <c r="J138" s="11" t="s">
        <v>2402</v>
      </c>
      <c r="K138" s="11" t="s">
        <v>1547</v>
      </c>
      <c r="L138" s="11" t="s">
        <v>2403</v>
      </c>
      <c r="M138" s="11" t="s">
        <v>1885</v>
      </c>
      <c r="N138" s="11" t="s">
        <v>82</v>
      </c>
      <c r="O138" s="11" t="s">
        <v>134</v>
      </c>
      <c r="P138" s="11" t="s">
        <v>2403</v>
      </c>
      <c r="Q138" s="11" t="s">
        <v>2404</v>
      </c>
      <c r="R138" s="11" t="s">
        <v>2397</v>
      </c>
      <c r="S138" s="11" t="s">
        <v>1382</v>
      </c>
      <c r="T138" s="11" t="s">
        <v>2405</v>
      </c>
      <c r="U138" s="11" t="s">
        <v>1387</v>
      </c>
      <c r="V138" s="11" t="s">
        <v>2406</v>
      </c>
      <c r="W138" s="11" t="s">
        <v>1389</v>
      </c>
      <c r="X138" s="11" t="s">
        <v>1598</v>
      </c>
      <c r="Y138" s="11" t="s">
        <v>1547</v>
      </c>
      <c r="Z138" s="11" t="s">
        <v>1876</v>
      </c>
      <c r="AA138" s="11" t="s">
        <v>2407</v>
      </c>
      <c r="AB138" s="11" t="s">
        <v>2201</v>
      </c>
      <c r="AC138" s="11" t="s">
        <v>2397</v>
      </c>
      <c r="AD138" s="11">
        <v>5395351</v>
      </c>
      <c r="AE138" s="11" t="s">
        <v>1382</v>
      </c>
      <c r="AF138" s="11" t="s">
        <v>2408</v>
      </c>
      <c r="AG138" s="11" t="s">
        <v>1382</v>
      </c>
      <c r="AH138" s="11" t="s">
        <v>2409</v>
      </c>
      <c r="AI138" s="11" t="s">
        <v>2416</v>
      </c>
      <c r="AJ138" s="11" t="s">
        <v>2417</v>
      </c>
      <c r="AK138" s="11" t="s">
        <v>1396</v>
      </c>
      <c r="AL138" s="11" t="s">
        <v>134</v>
      </c>
      <c r="AM138" s="11">
        <v>14160</v>
      </c>
      <c r="AN138" s="11"/>
      <c r="AO138" s="11" t="s">
        <v>134</v>
      </c>
      <c r="AP138" s="11" t="s">
        <v>1397</v>
      </c>
      <c r="AQ138" s="11" t="s">
        <v>1398</v>
      </c>
      <c r="AR138" s="11" t="s">
        <v>1671</v>
      </c>
      <c r="AS138" s="11" t="s">
        <v>2412</v>
      </c>
      <c r="AT138" s="11" t="s">
        <v>2418</v>
      </c>
      <c r="AU138" s="11" t="s">
        <v>2414</v>
      </c>
      <c r="AV138" s="11"/>
      <c r="AW138" s="11" t="s">
        <v>2415</v>
      </c>
      <c r="AX138" s="11"/>
      <c r="AY138" s="11"/>
      <c r="AZ138" s="11"/>
      <c r="BA138" s="11"/>
      <c r="BB138" s="11">
        <v>67686450</v>
      </c>
      <c r="BC138" s="11" t="s">
        <v>1403</v>
      </c>
      <c r="BD138" s="11" t="s">
        <v>1432</v>
      </c>
      <c r="BE138" s="11" t="s">
        <v>1694</v>
      </c>
      <c r="BF138" s="11" t="s">
        <v>1555</v>
      </c>
      <c r="BG138" s="11" t="s">
        <v>1482</v>
      </c>
      <c r="BH138" s="11" t="s">
        <v>1502</v>
      </c>
      <c r="BI138" s="11" t="s">
        <v>1407</v>
      </c>
      <c r="BJ138" s="11" t="s">
        <v>134</v>
      </c>
      <c r="BK138" s="11"/>
      <c r="BL138" s="11" t="s">
        <v>1408</v>
      </c>
      <c r="BM138" s="11"/>
      <c r="BN138" s="11" t="s">
        <v>1457</v>
      </c>
      <c r="BO138" s="11"/>
    </row>
    <row r="139" spans="2:67">
      <c r="B139" s="11">
        <v>128</v>
      </c>
      <c r="C139" s="11" t="s">
        <v>1374</v>
      </c>
      <c r="D139" s="11" t="s">
        <v>1375</v>
      </c>
      <c r="E139" s="11" t="s">
        <v>2397</v>
      </c>
      <c r="F139" s="11" t="s">
        <v>2398</v>
      </c>
      <c r="G139" s="11" t="s">
        <v>2399</v>
      </c>
      <c r="H139" s="11" t="s">
        <v>2400</v>
      </c>
      <c r="I139" s="11" t="s">
        <v>2401</v>
      </c>
      <c r="J139" s="11" t="s">
        <v>2402</v>
      </c>
      <c r="K139" s="11" t="s">
        <v>1547</v>
      </c>
      <c r="L139" s="11" t="s">
        <v>2403</v>
      </c>
      <c r="M139" s="11" t="s">
        <v>1885</v>
      </c>
      <c r="N139" s="11" t="s">
        <v>82</v>
      </c>
      <c r="O139" s="11" t="s">
        <v>134</v>
      </c>
      <c r="P139" s="11" t="s">
        <v>2403</v>
      </c>
      <c r="Q139" s="11" t="s">
        <v>2404</v>
      </c>
      <c r="R139" s="11" t="s">
        <v>2397</v>
      </c>
      <c r="S139" s="11" t="s">
        <v>1382</v>
      </c>
      <c r="T139" s="11" t="s">
        <v>2405</v>
      </c>
      <c r="U139" s="11" t="s">
        <v>1387</v>
      </c>
      <c r="V139" s="11" t="s">
        <v>2406</v>
      </c>
      <c r="W139" s="11" t="s">
        <v>1389</v>
      </c>
      <c r="X139" s="11" t="s">
        <v>1598</v>
      </c>
      <c r="Y139" s="11" t="s">
        <v>1547</v>
      </c>
      <c r="Z139" s="11" t="s">
        <v>1876</v>
      </c>
      <c r="AA139" s="11" t="s">
        <v>2407</v>
      </c>
      <c r="AB139" s="11" t="s">
        <v>2201</v>
      </c>
      <c r="AC139" s="11" t="s">
        <v>2397</v>
      </c>
      <c r="AD139" s="11">
        <v>5395351</v>
      </c>
      <c r="AE139" s="11" t="s">
        <v>1382</v>
      </c>
      <c r="AF139" s="11" t="s">
        <v>2408</v>
      </c>
      <c r="AG139" s="11" t="s">
        <v>1382</v>
      </c>
      <c r="AH139" s="11" t="s">
        <v>2409</v>
      </c>
      <c r="AI139" s="11" t="s">
        <v>2419</v>
      </c>
      <c r="AJ139" s="11" t="s">
        <v>1949</v>
      </c>
      <c r="AK139" s="11" t="s">
        <v>1396</v>
      </c>
      <c r="AL139" s="11" t="s">
        <v>134</v>
      </c>
      <c r="AM139" s="11">
        <v>4795</v>
      </c>
      <c r="AN139" s="11"/>
      <c r="AO139" s="11" t="s">
        <v>134</v>
      </c>
      <c r="AP139" s="11" t="s">
        <v>1397</v>
      </c>
      <c r="AQ139" s="11" t="s">
        <v>1398</v>
      </c>
      <c r="AR139" s="11" t="s">
        <v>1671</v>
      </c>
      <c r="AS139" s="11" t="s">
        <v>2412</v>
      </c>
      <c r="AT139" s="11" t="s">
        <v>2420</v>
      </c>
      <c r="AU139" s="11" t="s">
        <v>2414</v>
      </c>
      <c r="AV139" s="11"/>
      <c r="AW139" s="11" t="s">
        <v>2415</v>
      </c>
      <c r="AX139" s="11"/>
      <c r="AY139" s="11"/>
      <c r="AZ139" s="11"/>
      <c r="BA139" s="11"/>
      <c r="BB139" s="11">
        <v>67686450</v>
      </c>
      <c r="BC139" s="11" t="s">
        <v>1403</v>
      </c>
      <c r="BD139" s="11" t="s">
        <v>1432</v>
      </c>
      <c r="BE139" s="11" t="s">
        <v>1694</v>
      </c>
      <c r="BF139" s="11" t="s">
        <v>1555</v>
      </c>
      <c r="BG139" s="11" t="s">
        <v>1482</v>
      </c>
      <c r="BH139" s="11" t="s">
        <v>1502</v>
      </c>
      <c r="BI139" s="11" t="s">
        <v>1407</v>
      </c>
      <c r="BJ139" s="11" t="s">
        <v>134</v>
      </c>
      <c r="BK139" s="11"/>
      <c r="BL139" s="11" t="s">
        <v>1408</v>
      </c>
      <c r="BM139" s="11"/>
      <c r="BN139" s="11" t="s">
        <v>1457</v>
      </c>
      <c r="BO139" s="11"/>
    </row>
    <row r="140" spans="2:67">
      <c r="B140" s="11">
        <v>129</v>
      </c>
      <c r="C140" s="11" t="s">
        <v>1374</v>
      </c>
      <c r="D140" s="11" t="s">
        <v>1375</v>
      </c>
      <c r="E140" s="11" t="s">
        <v>2397</v>
      </c>
      <c r="F140" s="11" t="s">
        <v>2398</v>
      </c>
      <c r="G140" s="11" t="s">
        <v>2399</v>
      </c>
      <c r="H140" s="11" t="s">
        <v>2400</v>
      </c>
      <c r="I140" s="11" t="s">
        <v>2401</v>
      </c>
      <c r="J140" s="11" t="s">
        <v>2402</v>
      </c>
      <c r="K140" s="11" t="s">
        <v>1547</v>
      </c>
      <c r="L140" s="11" t="s">
        <v>2403</v>
      </c>
      <c r="M140" s="11" t="s">
        <v>1885</v>
      </c>
      <c r="N140" s="11" t="s">
        <v>82</v>
      </c>
      <c r="O140" s="11" t="s">
        <v>134</v>
      </c>
      <c r="P140" s="11" t="s">
        <v>2403</v>
      </c>
      <c r="Q140" s="11" t="s">
        <v>2404</v>
      </c>
      <c r="R140" s="11" t="s">
        <v>2397</v>
      </c>
      <c r="S140" s="11" t="s">
        <v>1382</v>
      </c>
      <c r="T140" s="11" t="s">
        <v>2405</v>
      </c>
      <c r="U140" s="11" t="s">
        <v>1387</v>
      </c>
      <c r="V140" s="11" t="s">
        <v>2406</v>
      </c>
      <c r="W140" s="11" t="s">
        <v>1389</v>
      </c>
      <c r="X140" s="11" t="s">
        <v>1598</v>
      </c>
      <c r="Y140" s="11" t="s">
        <v>1547</v>
      </c>
      <c r="Z140" s="11" t="s">
        <v>1876</v>
      </c>
      <c r="AA140" s="11" t="s">
        <v>2407</v>
      </c>
      <c r="AB140" s="11" t="s">
        <v>2201</v>
      </c>
      <c r="AC140" s="11" t="s">
        <v>2397</v>
      </c>
      <c r="AD140" s="11">
        <v>5395351</v>
      </c>
      <c r="AE140" s="11" t="s">
        <v>1382</v>
      </c>
      <c r="AF140" s="11" t="s">
        <v>2408</v>
      </c>
      <c r="AG140" s="11" t="s">
        <v>1382</v>
      </c>
      <c r="AH140" s="11" t="s">
        <v>2409</v>
      </c>
      <c r="AI140" s="11" t="s">
        <v>2421</v>
      </c>
      <c r="AJ140" s="11" t="s">
        <v>2422</v>
      </c>
      <c r="AK140" s="11" t="s">
        <v>1396</v>
      </c>
      <c r="AL140" s="11" t="s">
        <v>134</v>
      </c>
      <c r="AM140" s="11">
        <v>3405</v>
      </c>
      <c r="AN140" s="11"/>
      <c r="AO140" s="11" t="s">
        <v>134</v>
      </c>
      <c r="AP140" s="11" t="s">
        <v>1397</v>
      </c>
      <c r="AQ140" s="11" t="s">
        <v>1398</v>
      </c>
      <c r="AR140" s="11" t="s">
        <v>1671</v>
      </c>
      <c r="AS140" s="11" t="s">
        <v>2412</v>
      </c>
      <c r="AT140" s="11" t="s">
        <v>2423</v>
      </c>
      <c r="AU140" s="11" t="s">
        <v>2414</v>
      </c>
      <c r="AV140" s="11"/>
      <c r="AW140" s="11" t="s">
        <v>2415</v>
      </c>
      <c r="AX140" s="11"/>
      <c r="AY140" s="11"/>
      <c r="AZ140" s="11"/>
      <c r="BA140" s="11"/>
      <c r="BB140" s="11">
        <v>67686450</v>
      </c>
      <c r="BC140" s="11" t="s">
        <v>1403</v>
      </c>
      <c r="BD140" s="11" t="s">
        <v>1432</v>
      </c>
      <c r="BE140" s="11" t="s">
        <v>1694</v>
      </c>
      <c r="BF140" s="11" t="s">
        <v>1555</v>
      </c>
      <c r="BG140" s="11" t="s">
        <v>1482</v>
      </c>
      <c r="BH140" s="11" t="s">
        <v>1502</v>
      </c>
      <c r="BI140" s="11" t="s">
        <v>1407</v>
      </c>
      <c r="BJ140" s="11" t="s">
        <v>134</v>
      </c>
      <c r="BK140" s="11"/>
      <c r="BL140" s="11" t="s">
        <v>1408</v>
      </c>
      <c r="BM140" s="11"/>
      <c r="BN140" s="11" t="s">
        <v>1457</v>
      </c>
      <c r="BO140" s="11"/>
    </row>
    <row r="141" spans="2:67">
      <c r="B141" s="11">
        <v>130</v>
      </c>
      <c r="C141" s="11" t="s">
        <v>1374</v>
      </c>
      <c r="D141" s="11" t="s">
        <v>1375</v>
      </c>
      <c r="E141" s="11" t="s">
        <v>2397</v>
      </c>
      <c r="F141" s="11" t="s">
        <v>2398</v>
      </c>
      <c r="G141" s="11" t="s">
        <v>2399</v>
      </c>
      <c r="H141" s="11" t="s">
        <v>2400</v>
      </c>
      <c r="I141" s="11" t="s">
        <v>2401</v>
      </c>
      <c r="J141" s="11" t="s">
        <v>2402</v>
      </c>
      <c r="K141" s="11" t="s">
        <v>1547</v>
      </c>
      <c r="L141" s="11" t="s">
        <v>2403</v>
      </c>
      <c r="M141" s="11" t="s">
        <v>1885</v>
      </c>
      <c r="N141" s="11" t="s">
        <v>82</v>
      </c>
      <c r="O141" s="11" t="s">
        <v>134</v>
      </c>
      <c r="P141" s="11" t="s">
        <v>2403</v>
      </c>
      <c r="Q141" s="11" t="s">
        <v>2404</v>
      </c>
      <c r="R141" s="11" t="s">
        <v>2397</v>
      </c>
      <c r="S141" s="11" t="s">
        <v>1382</v>
      </c>
      <c r="T141" s="11" t="s">
        <v>2405</v>
      </c>
      <c r="U141" s="11" t="s">
        <v>1387</v>
      </c>
      <c r="V141" s="11" t="s">
        <v>2406</v>
      </c>
      <c r="W141" s="11" t="s">
        <v>1389</v>
      </c>
      <c r="X141" s="11" t="s">
        <v>1598</v>
      </c>
      <c r="Y141" s="11" t="s">
        <v>1547</v>
      </c>
      <c r="Z141" s="11" t="s">
        <v>1876</v>
      </c>
      <c r="AA141" s="11" t="s">
        <v>2407</v>
      </c>
      <c r="AB141" s="11" t="s">
        <v>2201</v>
      </c>
      <c r="AC141" s="11" t="s">
        <v>2397</v>
      </c>
      <c r="AD141" s="11">
        <v>5395351</v>
      </c>
      <c r="AE141" s="11" t="s">
        <v>1382</v>
      </c>
      <c r="AF141" s="11" t="s">
        <v>2408</v>
      </c>
      <c r="AG141" s="11" t="s">
        <v>1382</v>
      </c>
      <c r="AH141" s="11" t="s">
        <v>2409</v>
      </c>
      <c r="AI141" s="11" t="s">
        <v>2424</v>
      </c>
      <c r="AJ141" s="11" t="s">
        <v>2425</v>
      </c>
      <c r="AK141" s="11" t="s">
        <v>1396</v>
      </c>
      <c r="AL141" s="11" t="s">
        <v>134</v>
      </c>
      <c r="AM141" s="11">
        <v>7575</v>
      </c>
      <c r="AN141" s="11"/>
      <c r="AO141" s="11" t="s">
        <v>134</v>
      </c>
      <c r="AP141" s="11" t="s">
        <v>1397</v>
      </c>
      <c r="AQ141" s="11" t="s">
        <v>1398</v>
      </c>
      <c r="AR141" s="11" t="s">
        <v>1671</v>
      </c>
      <c r="AS141" s="11" t="s">
        <v>2412</v>
      </c>
      <c r="AT141" s="11" t="s">
        <v>2426</v>
      </c>
      <c r="AU141" s="11" t="s">
        <v>2414</v>
      </c>
      <c r="AV141" s="11"/>
      <c r="AW141" s="11" t="s">
        <v>2415</v>
      </c>
      <c r="AX141" s="11"/>
      <c r="AY141" s="11"/>
      <c r="AZ141" s="11"/>
      <c r="BA141" s="11"/>
      <c r="BB141" s="11">
        <v>67686450</v>
      </c>
      <c r="BC141" s="11" t="s">
        <v>1403</v>
      </c>
      <c r="BD141" s="11" t="s">
        <v>1432</v>
      </c>
      <c r="BE141" s="11" t="s">
        <v>1694</v>
      </c>
      <c r="BF141" s="11" t="s">
        <v>1555</v>
      </c>
      <c r="BG141" s="11" t="s">
        <v>1482</v>
      </c>
      <c r="BH141" s="11" t="s">
        <v>1502</v>
      </c>
      <c r="BI141" s="11" t="s">
        <v>1407</v>
      </c>
      <c r="BJ141" s="11" t="s">
        <v>134</v>
      </c>
      <c r="BK141" s="11"/>
      <c r="BL141" s="11" t="s">
        <v>1408</v>
      </c>
      <c r="BM141" s="11"/>
      <c r="BN141" s="11" t="s">
        <v>1457</v>
      </c>
      <c r="BO141" s="11"/>
    </row>
    <row r="142" spans="2:67">
      <c r="B142" s="11">
        <v>131</v>
      </c>
      <c r="C142" s="11" t="s">
        <v>1374</v>
      </c>
      <c r="D142" s="11" t="s">
        <v>1375</v>
      </c>
      <c r="E142" s="11" t="s">
        <v>2427</v>
      </c>
      <c r="F142" s="11" t="s">
        <v>2428</v>
      </c>
      <c r="G142" s="11" t="s">
        <v>2429</v>
      </c>
      <c r="H142" s="11" t="s">
        <v>2430</v>
      </c>
      <c r="I142" s="11" t="s">
        <v>2431</v>
      </c>
      <c r="J142" s="11"/>
      <c r="K142" s="11" t="s">
        <v>1470</v>
      </c>
      <c r="L142" s="11" t="s">
        <v>94</v>
      </c>
      <c r="M142" s="11" t="s">
        <v>1383</v>
      </c>
      <c r="N142" s="11" t="s">
        <v>95</v>
      </c>
      <c r="O142" s="11" t="s">
        <v>2432</v>
      </c>
      <c r="P142" s="11"/>
      <c r="Q142" s="11"/>
      <c r="R142" s="11" t="s">
        <v>2427</v>
      </c>
      <c r="S142" s="11" t="s">
        <v>94</v>
      </c>
      <c r="T142" s="11" t="s">
        <v>2433</v>
      </c>
      <c r="U142" s="11" t="s">
        <v>1444</v>
      </c>
      <c r="V142" s="11" t="s">
        <v>2434</v>
      </c>
      <c r="W142" s="11" t="s">
        <v>1389</v>
      </c>
      <c r="X142" s="11" t="s">
        <v>1598</v>
      </c>
      <c r="Y142" s="11" t="s">
        <v>1470</v>
      </c>
      <c r="Z142" s="11" t="s">
        <v>2435</v>
      </c>
      <c r="AA142" s="11" t="s">
        <v>2436</v>
      </c>
      <c r="AB142" s="11" t="s">
        <v>2437</v>
      </c>
      <c r="AC142" s="11" t="s">
        <v>2427</v>
      </c>
      <c r="AD142" s="11">
        <v>5365669</v>
      </c>
      <c r="AE142" s="11" t="s">
        <v>94</v>
      </c>
      <c r="AF142" s="11" t="s">
        <v>2438</v>
      </c>
      <c r="AG142" s="11" t="s">
        <v>94</v>
      </c>
      <c r="AH142" s="11" t="s">
        <v>2438</v>
      </c>
      <c r="AI142" s="11" t="s">
        <v>2439</v>
      </c>
      <c r="AJ142" s="11" t="s">
        <v>2440</v>
      </c>
      <c r="AK142" s="11" t="s">
        <v>1396</v>
      </c>
      <c r="AL142" s="11" t="s">
        <v>134</v>
      </c>
      <c r="AM142" s="11">
        <v>11634.5</v>
      </c>
      <c r="AN142" s="11" t="s">
        <v>1450</v>
      </c>
      <c r="AO142" s="11" t="s">
        <v>2429</v>
      </c>
      <c r="AP142" s="11" t="s">
        <v>1451</v>
      </c>
      <c r="AQ142" s="11" t="s">
        <v>1398</v>
      </c>
      <c r="AR142" s="11" t="s">
        <v>1399</v>
      </c>
      <c r="AS142" s="11" t="s">
        <v>2441</v>
      </c>
      <c r="AT142" s="11" t="s">
        <v>2442</v>
      </c>
      <c r="AU142" s="11" t="s">
        <v>1654</v>
      </c>
      <c r="AV142" s="11"/>
      <c r="AW142" s="11" t="s">
        <v>2443</v>
      </c>
      <c r="AX142" s="11"/>
      <c r="AY142" s="11"/>
      <c r="AZ142" s="11"/>
      <c r="BA142" s="11"/>
      <c r="BB142" s="11">
        <v>38346789</v>
      </c>
      <c r="BC142" s="11" t="s">
        <v>1403</v>
      </c>
      <c r="BD142" s="11" t="s">
        <v>1432</v>
      </c>
      <c r="BE142" s="11" t="s">
        <v>2444</v>
      </c>
      <c r="BF142" s="11" t="s">
        <v>1555</v>
      </c>
      <c r="BG142" s="11"/>
      <c r="BH142" s="11" t="s">
        <v>1502</v>
      </c>
      <c r="BI142" s="11" t="s">
        <v>1407</v>
      </c>
      <c r="BJ142" s="11" t="s">
        <v>134</v>
      </c>
      <c r="BK142" s="11"/>
      <c r="BL142" s="11" t="s">
        <v>1408</v>
      </c>
      <c r="BM142" s="11"/>
      <c r="BN142" s="11" t="s">
        <v>1483</v>
      </c>
      <c r="BO142" s="11" t="s">
        <v>95</v>
      </c>
    </row>
    <row r="143" spans="2:67">
      <c r="B143" s="11">
        <v>132</v>
      </c>
      <c r="C143" s="11" t="s">
        <v>1374</v>
      </c>
      <c r="D143" s="11" t="s">
        <v>1375</v>
      </c>
      <c r="E143" s="11" t="s">
        <v>2427</v>
      </c>
      <c r="F143" s="11" t="s">
        <v>2428</v>
      </c>
      <c r="G143" s="11" t="s">
        <v>2429</v>
      </c>
      <c r="H143" s="11" t="s">
        <v>2430</v>
      </c>
      <c r="I143" s="11" t="s">
        <v>2431</v>
      </c>
      <c r="J143" s="11"/>
      <c r="K143" s="11" t="s">
        <v>1470</v>
      </c>
      <c r="L143" s="11" t="s">
        <v>94</v>
      </c>
      <c r="M143" s="11" t="s">
        <v>1383</v>
      </c>
      <c r="N143" s="11" t="s">
        <v>95</v>
      </c>
      <c r="O143" s="11" t="s">
        <v>2432</v>
      </c>
      <c r="P143" s="11"/>
      <c r="Q143" s="11"/>
      <c r="R143" s="11" t="s">
        <v>2427</v>
      </c>
      <c r="S143" s="11" t="s">
        <v>94</v>
      </c>
      <c r="T143" s="11" t="s">
        <v>2433</v>
      </c>
      <c r="U143" s="11" t="s">
        <v>1444</v>
      </c>
      <c r="V143" s="11" t="s">
        <v>2434</v>
      </c>
      <c r="W143" s="11" t="s">
        <v>1389</v>
      </c>
      <c r="X143" s="11" t="s">
        <v>1598</v>
      </c>
      <c r="Y143" s="11" t="s">
        <v>1470</v>
      </c>
      <c r="Z143" s="11" t="s">
        <v>2435</v>
      </c>
      <c r="AA143" s="11" t="s">
        <v>2436</v>
      </c>
      <c r="AB143" s="11" t="s">
        <v>2437</v>
      </c>
      <c r="AC143" s="11" t="s">
        <v>2427</v>
      </c>
      <c r="AD143" s="11">
        <v>5365669</v>
      </c>
      <c r="AE143" s="11" t="s">
        <v>94</v>
      </c>
      <c r="AF143" s="11" t="s">
        <v>2438</v>
      </c>
      <c r="AG143" s="11" t="s">
        <v>94</v>
      </c>
      <c r="AH143" s="11" t="s">
        <v>2438</v>
      </c>
      <c r="AI143" s="11" t="s">
        <v>2445</v>
      </c>
      <c r="AJ143" s="11" t="s">
        <v>2446</v>
      </c>
      <c r="AK143" s="11" t="s">
        <v>1396</v>
      </c>
      <c r="AL143" s="11" t="s">
        <v>134</v>
      </c>
      <c r="AM143" s="11">
        <v>5440</v>
      </c>
      <c r="AN143" s="11" t="s">
        <v>1450</v>
      </c>
      <c r="AO143" s="11" t="s">
        <v>2429</v>
      </c>
      <c r="AP143" s="11" t="s">
        <v>1451</v>
      </c>
      <c r="AQ143" s="11" t="s">
        <v>1398</v>
      </c>
      <c r="AR143" s="11" t="s">
        <v>1399</v>
      </c>
      <c r="AS143" s="11" t="s">
        <v>2441</v>
      </c>
      <c r="AT143" s="11" t="s">
        <v>2447</v>
      </c>
      <c r="AU143" s="11" t="s">
        <v>1654</v>
      </c>
      <c r="AV143" s="11"/>
      <c r="AW143" s="11" t="s">
        <v>2443</v>
      </c>
      <c r="AX143" s="11"/>
      <c r="AY143" s="11"/>
      <c r="AZ143" s="11"/>
      <c r="BA143" s="11"/>
      <c r="BB143" s="11">
        <v>38346789</v>
      </c>
      <c r="BC143" s="11" t="s">
        <v>1403</v>
      </c>
      <c r="BD143" s="11" t="s">
        <v>1432</v>
      </c>
      <c r="BE143" s="11" t="s">
        <v>2444</v>
      </c>
      <c r="BF143" s="11" t="s">
        <v>1555</v>
      </c>
      <c r="BG143" s="11"/>
      <c r="BH143" s="11" t="s">
        <v>1502</v>
      </c>
      <c r="BI143" s="11" t="s">
        <v>1407</v>
      </c>
      <c r="BJ143" s="11" t="s">
        <v>134</v>
      </c>
      <c r="BK143" s="11"/>
      <c r="BL143" s="11" t="s">
        <v>1408</v>
      </c>
      <c r="BM143" s="11"/>
      <c r="BN143" s="11" t="s">
        <v>1483</v>
      </c>
      <c r="BO143" s="11" t="s">
        <v>95</v>
      </c>
    </row>
    <row r="144" spans="2:67">
      <c r="B144" s="11">
        <v>133</v>
      </c>
      <c r="C144" s="11" t="s">
        <v>1374</v>
      </c>
      <c r="D144" s="11" t="s">
        <v>1375</v>
      </c>
      <c r="E144" s="11" t="s">
        <v>2427</v>
      </c>
      <c r="F144" s="11" t="s">
        <v>2428</v>
      </c>
      <c r="G144" s="11" t="s">
        <v>2429</v>
      </c>
      <c r="H144" s="11" t="s">
        <v>2430</v>
      </c>
      <c r="I144" s="11" t="s">
        <v>2431</v>
      </c>
      <c r="J144" s="11"/>
      <c r="K144" s="11" t="s">
        <v>1470</v>
      </c>
      <c r="L144" s="11" t="s">
        <v>94</v>
      </c>
      <c r="M144" s="11" t="s">
        <v>1383</v>
      </c>
      <c r="N144" s="11" t="s">
        <v>95</v>
      </c>
      <c r="O144" s="11" t="s">
        <v>2432</v>
      </c>
      <c r="P144" s="11"/>
      <c r="Q144" s="11"/>
      <c r="R144" s="11" t="s">
        <v>2427</v>
      </c>
      <c r="S144" s="11" t="s">
        <v>94</v>
      </c>
      <c r="T144" s="11" t="s">
        <v>2433</v>
      </c>
      <c r="U144" s="11" t="s">
        <v>1444</v>
      </c>
      <c r="V144" s="11" t="s">
        <v>2434</v>
      </c>
      <c r="W144" s="11" t="s">
        <v>1389</v>
      </c>
      <c r="X144" s="11" t="s">
        <v>1598</v>
      </c>
      <c r="Y144" s="11" t="s">
        <v>1470</v>
      </c>
      <c r="Z144" s="11" t="s">
        <v>2435</v>
      </c>
      <c r="AA144" s="11" t="s">
        <v>2436</v>
      </c>
      <c r="AB144" s="11" t="s">
        <v>2437</v>
      </c>
      <c r="AC144" s="11" t="s">
        <v>2427</v>
      </c>
      <c r="AD144" s="11">
        <v>5365669</v>
      </c>
      <c r="AE144" s="11" t="s">
        <v>94</v>
      </c>
      <c r="AF144" s="11" t="s">
        <v>2438</v>
      </c>
      <c r="AG144" s="11" t="s">
        <v>94</v>
      </c>
      <c r="AH144" s="11" t="s">
        <v>2438</v>
      </c>
      <c r="AI144" s="11" t="s">
        <v>2448</v>
      </c>
      <c r="AJ144" s="11" t="s">
        <v>2449</v>
      </c>
      <c r="AK144" s="11" t="s">
        <v>1396</v>
      </c>
      <c r="AL144" s="11" t="s">
        <v>134</v>
      </c>
      <c r="AM144" s="11">
        <v>14425.5</v>
      </c>
      <c r="AN144" s="11" t="s">
        <v>1450</v>
      </c>
      <c r="AO144" s="11" t="s">
        <v>2429</v>
      </c>
      <c r="AP144" s="11" t="s">
        <v>1451</v>
      </c>
      <c r="AQ144" s="11" t="s">
        <v>1398</v>
      </c>
      <c r="AR144" s="11" t="s">
        <v>1399</v>
      </c>
      <c r="AS144" s="11" t="s">
        <v>2441</v>
      </c>
      <c r="AT144" s="11" t="s">
        <v>2450</v>
      </c>
      <c r="AU144" s="11" t="s">
        <v>1654</v>
      </c>
      <c r="AV144" s="11"/>
      <c r="AW144" s="11" t="s">
        <v>2443</v>
      </c>
      <c r="AX144" s="11"/>
      <c r="AY144" s="11"/>
      <c r="AZ144" s="11"/>
      <c r="BA144" s="11"/>
      <c r="BB144" s="11">
        <v>38346789</v>
      </c>
      <c r="BC144" s="11" t="s">
        <v>1403</v>
      </c>
      <c r="BD144" s="11" t="s">
        <v>1432</v>
      </c>
      <c r="BE144" s="11" t="s">
        <v>2444</v>
      </c>
      <c r="BF144" s="11" t="s">
        <v>1555</v>
      </c>
      <c r="BG144" s="11"/>
      <c r="BH144" s="11" t="s">
        <v>1502</v>
      </c>
      <c r="BI144" s="11" t="s">
        <v>1407</v>
      </c>
      <c r="BJ144" s="11" t="s">
        <v>134</v>
      </c>
      <c r="BK144" s="11"/>
      <c r="BL144" s="11" t="s">
        <v>1408</v>
      </c>
      <c r="BM144" s="11"/>
      <c r="BN144" s="11" t="s">
        <v>1483</v>
      </c>
      <c r="BO144" s="11" t="s">
        <v>95</v>
      </c>
    </row>
    <row r="145" spans="2:67">
      <c r="B145" s="11">
        <v>134</v>
      </c>
      <c r="C145" s="11" t="s">
        <v>1374</v>
      </c>
      <c r="D145" s="11" t="s">
        <v>1375</v>
      </c>
      <c r="E145" s="11" t="s">
        <v>2451</v>
      </c>
      <c r="F145" s="11" t="s">
        <v>2452</v>
      </c>
      <c r="G145" s="11" t="s">
        <v>1625</v>
      </c>
      <c r="H145" s="11" t="s">
        <v>2453</v>
      </c>
      <c r="I145" s="11" t="s">
        <v>2454</v>
      </c>
      <c r="J145" s="11" t="s">
        <v>134</v>
      </c>
      <c r="K145" s="11" t="s">
        <v>1564</v>
      </c>
      <c r="L145" s="11" t="s">
        <v>1382</v>
      </c>
      <c r="M145" s="11" t="s">
        <v>1885</v>
      </c>
      <c r="N145" s="11" t="s">
        <v>294</v>
      </c>
      <c r="O145" s="11" t="s">
        <v>134</v>
      </c>
      <c r="P145" s="11"/>
      <c r="Q145" s="11"/>
      <c r="R145" s="11" t="s">
        <v>2455</v>
      </c>
      <c r="S145" s="11" t="s">
        <v>1382</v>
      </c>
      <c r="T145" s="11" t="s">
        <v>2456</v>
      </c>
      <c r="U145" s="11" t="s">
        <v>1444</v>
      </c>
      <c r="V145" s="11" t="s">
        <v>2457</v>
      </c>
      <c r="W145" s="11" t="s">
        <v>1389</v>
      </c>
      <c r="X145" s="11" t="s">
        <v>1769</v>
      </c>
      <c r="Y145" s="11" t="s">
        <v>1564</v>
      </c>
      <c r="Z145" s="11" t="s">
        <v>2458</v>
      </c>
      <c r="AA145" s="11" t="s">
        <v>2459</v>
      </c>
      <c r="AB145" s="11" t="s">
        <v>2460</v>
      </c>
      <c r="AC145" s="11" t="s">
        <v>2455</v>
      </c>
      <c r="AD145" s="11">
        <v>5365316</v>
      </c>
      <c r="AE145" s="11" t="s">
        <v>1382</v>
      </c>
      <c r="AF145" s="11" t="s">
        <v>2461</v>
      </c>
      <c r="AG145" s="11" t="s">
        <v>1382</v>
      </c>
      <c r="AH145" s="11" t="s">
        <v>2462</v>
      </c>
      <c r="AI145" s="11" t="s">
        <v>2272</v>
      </c>
      <c r="AJ145" s="11" t="s">
        <v>2273</v>
      </c>
      <c r="AK145" s="11" t="s">
        <v>1396</v>
      </c>
      <c r="AL145" s="11" t="s">
        <v>134</v>
      </c>
      <c r="AM145" s="11">
        <v>8170</v>
      </c>
      <c r="AN145" s="11"/>
      <c r="AO145" s="11" t="s">
        <v>134</v>
      </c>
      <c r="AP145" s="11" t="s">
        <v>1451</v>
      </c>
      <c r="AQ145" s="11" t="s">
        <v>1398</v>
      </c>
      <c r="AR145" s="11" t="s">
        <v>1652</v>
      </c>
      <c r="AS145" s="11" t="s">
        <v>2463</v>
      </c>
      <c r="AT145" s="11" t="s">
        <v>2464</v>
      </c>
      <c r="AU145" s="11" t="s">
        <v>1654</v>
      </c>
      <c r="AV145" s="11"/>
      <c r="AW145" s="11" t="s">
        <v>2465</v>
      </c>
      <c r="AX145" s="11"/>
      <c r="AY145" s="11"/>
      <c r="AZ145" s="11"/>
      <c r="BA145" s="11"/>
      <c r="BB145" s="11">
        <v>45562356</v>
      </c>
      <c r="BC145" s="11" t="s">
        <v>1403</v>
      </c>
      <c r="BD145" s="11" t="s">
        <v>1432</v>
      </c>
      <c r="BE145" s="11" t="s">
        <v>2466</v>
      </c>
      <c r="BF145" s="11" t="s">
        <v>1434</v>
      </c>
      <c r="BG145" s="11" t="s">
        <v>1482</v>
      </c>
      <c r="BH145" s="11" t="s">
        <v>1502</v>
      </c>
      <c r="BI145" s="11" t="s">
        <v>1407</v>
      </c>
      <c r="BJ145" s="11" t="s">
        <v>134</v>
      </c>
      <c r="BK145" s="11"/>
      <c r="BL145" s="11" t="s">
        <v>1408</v>
      </c>
      <c r="BM145" s="11"/>
      <c r="BN145" s="11"/>
      <c r="BO145" s="11" t="s">
        <v>1410</v>
      </c>
    </row>
    <row r="146" spans="2:67">
      <c r="B146" s="11">
        <v>135</v>
      </c>
      <c r="C146" s="11" t="s">
        <v>1374</v>
      </c>
      <c r="D146" s="11" t="s">
        <v>1375</v>
      </c>
      <c r="E146" s="11" t="s">
        <v>2451</v>
      </c>
      <c r="F146" s="11" t="s">
        <v>2452</v>
      </c>
      <c r="G146" s="11" t="s">
        <v>1625</v>
      </c>
      <c r="H146" s="11" t="s">
        <v>2453</v>
      </c>
      <c r="I146" s="11" t="s">
        <v>2454</v>
      </c>
      <c r="J146" s="11" t="s">
        <v>134</v>
      </c>
      <c r="K146" s="11" t="s">
        <v>1564</v>
      </c>
      <c r="L146" s="11" t="s">
        <v>1382</v>
      </c>
      <c r="M146" s="11" t="s">
        <v>1885</v>
      </c>
      <c r="N146" s="11" t="s">
        <v>294</v>
      </c>
      <c r="O146" s="11" t="s">
        <v>134</v>
      </c>
      <c r="P146" s="11"/>
      <c r="Q146" s="11"/>
      <c r="R146" s="11" t="s">
        <v>2455</v>
      </c>
      <c r="S146" s="11" t="s">
        <v>1382</v>
      </c>
      <c r="T146" s="11" t="s">
        <v>2456</v>
      </c>
      <c r="U146" s="11" t="s">
        <v>1444</v>
      </c>
      <c r="V146" s="11" t="s">
        <v>2457</v>
      </c>
      <c r="W146" s="11" t="s">
        <v>1389</v>
      </c>
      <c r="X146" s="11" t="s">
        <v>1769</v>
      </c>
      <c r="Y146" s="11" t="s">
        <v>1564</v>
      </c>
      <c r="Z146" s="11" t="s">
        <v>2458</v>
      </c>
      <c r="AA146" s="11" t="s">
        <v>2459</v>
      </c>
      <c r="AB146" s="11" t="s">
        <v>2460</v>
      </c>
      <c r="AC146" s="11" t="s">
        <v>2455</v>
      </c>
      <c r="AD146" s="11">
        <v>5365316</v>
      </c>
      <c r="AE146" s="11" t="s">
        <v>1382</v>
      </c>
      <c r="AF146" s="11" t="s">
        <v>2461</v>
      </c>
      <c r="AG146" s="11" t="s">
        <v>1382</v>
      </c>
      <c r="AH146" s="11" t="s">
        <v>2462</v>
      </c>
      <c r="AI146" s="11" t="s">
        <v>2269</v>
      </c>
      <c r="AJ146" s="11" t="s">
        <v>2270</v>
      </c>
      <c r="AK146" s="11" t="s">
        <v>1396</v>
      </c>
      <c r="AL146" s="11" t="s">
        <v>134</v>
      </c>
      <c r="AM146" s="11">
        <v>4130</v>
      </c>
      <c r="AN146" s="11"/>
      <c r="AO146" s="11" t="s">
        <v>134</v>
      </c>
      <c r="AP146" s="11" t="s">
        <v>1451</v>
      </c>
      <c r="AQ146" s="11" t="s">
        <v>1398</v>
      </c>
      <c r="AR146" s="11" t="s">
        <v>1652</v>
      </c>
      <c r="AS146" s="11" t="s">
        <v>2463</v>
      </c>
      <c r="AT146" s="11" t="s">
        <v>2467</v>
      </c>
      <c r="AU146" s="11" t="s">
        <v>1654</v>
      </c>
      <c r="AV146" s="11"/>
      <c r="AW146" s="11" t="s">
        <v>2465</v>
      </c>
      <c r="AX146" s="11"/>
      <c r="AY146" s="11"/>
      <c r="AZ146" s="11"/>
      <c r="BA146" s="11"/>
      <c r="BB146" s="11">
        <v>45562356</v>
      </c>
      <c r="BC146" s="11" t="s">
        <v>1403</v>
      </c>
      <c r="BD146" s="11" t="s">
        <v>1432</v>
      </c>
      <c r="BE146" s="11" t="s">
        <v>2466</v>
      </c>
      <c r="BF146" s="11" t="s">
        <v>1434</v>
      </c>
      <c r="BG146" s="11" t="s">
        <v>1482</v>
      </c>
      <c r="BH146" s="11" t="s">
        <v>1502</v>
      </c>
      <c r="BI146" s="11" t="s">
        <v>1407</v>
      </c>
      <c r="BJ146" s="11" t="s">
        <v>134</v>
      </c>
      <c r="BK146" s="11"/>
      <c r="BL146" s="11" t="s">
        <v>1408</v>
      </c>
      <c r="BM146" s="11"/>
      <c r="BN146" s="11"/>
      <c r="BO146" s="11" t="s">
        <v>1410</v>
      </c>
    </row>
    <row r="147" spans="2:67">
      <c r="B147" s="11">
        <v>136</v>
      </c>
      <c r="C147" s="11" t="s">
        <v>1374</v>
      </c>
      <c r="D147" s="11" t="s">
        <v>1375</v>
      </c>
      <c r="E147" s="11" t="s">
        <v>2468</v>
      </c>
      <c r="F147" s="11" t="s">
        <v>2469</v>
      </c>
      <c r="G147" s="11" t="s">
        <v>142</v>
      </c>
      <c r="H147" s="11" t="s">
        <v>2470</v>
      </c>
      <c r="I147" s="11" t="s">
        <v>2471</v>
      </c>
      <c r="J147" s="11"/>
      <c r="K147" s="11" t="s">
        <v>1470</v>
      </c>
      <c r="L147" s="11" t="s">
        <v>1382</v>
      </c>
      <c r="M147" s="11" t="s">
        <v>1383</v>
      </c>
      <c r="N147" s="11" t="s">
        <v>95</v>
      </c>
      <c r="O147" s="11" t="s">
        <v>2472</v>
      </c>
      <c r="P147" s="11"/>
      <c r="Q147" s="11"/>
      <c r="R147" s="11" t="s">
        <v>2468</v>
      </c>
      <c r="S147" s="11" t="s">
        <v>1382</v>
      </c>
      <c r="T147" s="11" t="s">
        <v>2473</v>
      </c>
      <c r="U147" s="11" t="s">
        <v>1444</v>
      </c>
      <c r="V147" s="11" t="s">
        <v>2474</v>
      </c>
      <c r="W147" s="11" t="s">
        <v>1389</v>
      </c>
      <c r="X147" s="11" t="s">
        <v>1598</v>
      </c>
      <c r="Y147" s="11" t="s">
        <v>1470</v>
      </c>
      <c r="Z147" s="11" t="s">
        <v>2475</v>
      </c>
      <c r="AA147" s="11" t="s">
        <v>2476</v>
      </c>
      <c r="AB147" s="11" t="s">
        <v>1830</v>
      </c>
      <c r="AC147" s="11" t="s">
        <v>2468</v>
      </c>
      <c r="AD147" s="11">
        <v>5365310</v>
      </c>
      <c r="AE147" s="11" t="s">
        <v>1382</v>
      </c>
      <c r="AF147" s="11" t="s">
        <v>2477</v>
      </c>
      <c r="AG147" s="11" t="s">
        <v>1382</v>
      </c>
      <c r="AH147" s="11" t="s">
        <v>2477</v>
      </c>
      <c r="AI147" s="11" t="s">
        <v>2478</v>
      </c>
      <c r="AJ147" s="11" t="s">
        <v>2440</v>
      </c>
      <c r="AK147" s="11" t="s">
        <v>1396</v>
      </c>
      <c r="AL147" s="11" t="s">
        <v>134</v>
      </c>
      <c r="AM147" s="11">
        <v>12134.5</v>
      </c>
      <c r="AN147" s="11" t="s">
        <v>1911</v>
      </c>
      <c r="AO147" s="11" t="s">
        <v>142</v>
      </c>
      <c r="AP147" s="11" t="s">
        <v>1451</v>
      </c>
      <c r="AQ147" s="11" t="s">
        <v>1398</v>
      </c>
      <c r="AR147" s="11" t="s">
        <v>1452</v>
      </c>
      <c r="AS147" s="11" t="s">
        <v>2479</v>
      </c>
      <c r="AT147" s="11" t="s">
        <v>2480</v>
      </c>
      <c r="AU147" s="11" t="s">
        <v>1654</v>
      </c>
      <c r="AV147" s="11"/>
      <c r="AW147" s="11" t="s">
        <v>2481</v>
      </c>
      <c r="AX147" s="11"/>
      <c r="AY147" s="11"/>
      <c r="AZ147" s="11"/>
      <c r="BA147" s="11"/>
      <c r="BB147" s="11">
        <v>62177250</v>
      </c>
      <c r="BC147" s="11" t="s">
        <v>1403</v>
      </c>
      <c r="BD147" s="11" t="s">
        <v>1432</v>
      </c>
      <c r="BE147" s="11" t="s">
        <v>2444</v>
      </c>
      <c r="BF147" s="11" t="s">
        <v>1998</v>
      </c>
      <c r="BG147" s="11" t="s">
        <v>1482</v>
      </c>
      <c r="BH147" s="11" t="s">
        <v>1502</v>
      </c>
      <c r="BI147" s="11" t="s">
        <v>1407</v>
      </c>
      <c r="BJ147" s="11" t="s">
        <v>134</v>
      </c>
      <c r="BK147" s="11"/>
      <c r="BL147" s="11" t="s">
        <v>1408</v>
      </c>
      <c r="BM147" s="11"/>
      <c r="BN147" s="11" t="s">
        <v>1457</v>
      </c>
      <c r="BO147" s="11" t="s">
        <v>95</v>
      </c>
    </row>
    <row r="148" spans="2:67">
      <c r="B148" s="11">
        <v>137</v>
      </c>
      <c r="C148" s="11" t="s">
        <v>1374</v>
      </c>
      <c r="D148" s="11" t="s">
        <v>1375</v>
      </c>
      <c r="E148" s="11" t="s">
        <v>2468</v>
      </c>
      <c r="F148" s="11" t="s">
        <v>2469</v>
      </c>
      <c r="G148" s="11" t="s">
        <v>142</v>
      </c>
      <c r="H148" s="11" t="s">
        <v>2470</v>
      </c>
      <c r="I148" s="11" t="s">
        <v>2471</v>
      </c>
      <c r="J148" s="11"/>
      <c r="K148" s="11" t="s">
        <v>1470</v>
      </c>
      <c r="L148" s="11" t="s">
        <v>1382</v>
      </c>
      <c r="M148" s="11" t="s">
        <v>1383</v>
      </c>
      <c r="N148" s="11" t="s">
        <v>95</v>
      </c>
      <c r="O148" s="11" t="s">
        <v>2472</v>
      </c>
      <c r="P148" s="11"/>
      <c r="Q148" s="11"/>
      <c r="R148" s="11" t="s">
        <v>2468</v>
      </c>
      <c r="S148" s="11" t="s">
        <v>1382</v>
      </c>
      <c r="T148" s="11" t="s">
        <v>2473</v>
      </c>
      <c r="U148" s="11" t="s">
        <v>1444</v>
      </c>
      <c r="V148" s="11" t="s">
        <v>2474</v>
      </c>
      <c r="W148" s="11" t="s">
        <v>1389</v>
      </c>
      <c r="X148" s="11" t="s">
        <v>1598</v>
      </c>
      <c r="Y148" s="11" t="s">
        <v>1470</v>
      </c>
      <c r="Z148" s="11" t="s">
        <v>2475</v>
      </c>
      <c r="AA148" s="11" t="s">
        <v>2476</v>
      </c>
      <c r="AB148" s="11" t="s">
        <v>1830</v>
      </c>
      <c r="AC148" s="11" t="s">
        <v>2468</v>
      </c>
      <c r="AD148" s="11">
        <v>5365310</v>
      </c>
      <c r="AE148" s="11" t="s">
        <v>1382</v>
      </c>
      <c r="AF148" s="11" t="s">
        <v>2477</v>
      </c>
      <c r="AG148" s="11" t="s">
        <v>1382</v>
      </c>
      <c r="AH148" s="11" t="s">
        <v>2477</v>
      </c>
      <c r="AI148" s="11" t="s">
        <v>2482</v>
      </c>
      <c r="AJ148" s="11" t="s">
        <v>2483</v>
      </c>
      <c r="AK148" s="11" t="s">
        <v>1396</v>
      </c>
      <c r="AL148" s="11" t="s">
        <v>134</v>
      </c>
      <c r="AM148" s="11">
        <v>18260</v>
      </c>
      <c r="AN148" s="11" t="s">
        <v>1911</v>
      </c>
      <c r="AO148" s="11" t="s">
        <v>142</v>
      </c>
      <c r="AP148" s="11" t="s">
        <v>1451</v>
      </c>
      <c r="AQ148" s="11" t="s">
        <v>1398</v>
      </c>
      <c r="AR148" s="11" t="s">
        <v>1452</v>
      </c>
      <c r="AS148" s="11" t="s">
        <v>2479</v>
      </c>
      <c r="AT148" s="11" t="s">
        <v>2484</v>
      </c>
      <c r="AU148" s="11" t="s">
        <v>1654</v>
      </c>
      <c r="AV148" s="11"/>
      <c r="AW148" s="11" t="s">
        <v>2481</v>
      </c>
      <c r="AX148" s="11"/>
      <c r="AY148" s="11"/>
      <c r="AZ148" s="11"/>
      <c r="BA148" s="11"/>
      <c r="BB148" s="11">
        <v>62177250</v>
      </c>
      <c r="BC148" s="11" t="s">
        <v>1403</v>
      </c>
      <c r="BD148" s="11" t="s">
        <v>1432</v>
      </c>
      <c r="BE148" s="11" t="s">
        <v>2444</v>
      </c>
      <c r="BF148" s="11" t="s">
        <v>1998</v>
      </c>
      <c r="BG148" s="11" t="s">
        <v>1482</v>
      </c>
      <c r="BH148" s="11" t="s">
        <v>1502</v>
      </c>
      <c r="BI148" s="11" t="s">
        <v>1407</v>
      </c>
      <c r="BJ148" s="11" t="s">
        <v>134</v>
      </c>
      <c r="BK148" s="11"/>
      <c r="BL148" s="11" t="s">
        <v>1408</v>
      </c>
      <c r="BM148" s="11"/>
      <c r="BN148" s="11" t="s">
        <v>1457</v>
      </c>
      <c r="BO148" s="11" t="s">
        <v>95</v>
      </c>
    </row>
    <row r="149" spans="2:67">
      <c r="B149" s="11">
        <v>138</v>
      </c>
      <c r="C149" s="11" t="s">
        <v>1374</v>
      </c>
      <c r="D149" s="11" t="s">
        <v>1375</v>
      </c>
      <c r="E149" s="11" t="s">
        <v>2468</v>
      </c>
      <c r="F149" s="11" t="s">
        <v>2469</v>
      </c>
      <c r="G149" s="11" t="s">
        <v>142</v>
      </c>
      <c r="H149" s="11" t="s">
        <v>2470</v>
      </c>
      <c r="I149" s="11" t="s">
        <v>2471</v>
      </c>
      <c r="J149" s="11"/>
      <c r="K149" s="11" t="s">
        <v>1470</v>
      </c>
      <c r="L149" s="11" t="s">
        <v>1382</v>
      </c>
      <c r="M149" s="11" t="s">
        <v>1383</v>
      </c>
      <c r="N149" s="11" t="s">
        <v>95</v>
      </c>
      <c r="O149" s="11" t="s">
        <v>2472</v>
      </c>
      <c r="P149" s="11"/>
      <c r="Q149" s="11"/>
      <c r="R149" s="11" t="s">
        <v>2468</v>
      </c>
      <c r="S149" s="11" t="s">
        <v>1382</v>
      </c>
      <c r="T149" s="11" t="s">
        <v>2473</v>
      </c>
      <c r="U149" s="11" t="s">
        <v>1444</v>
      </c>
      <c r="V149" s="11" t="s">
        <v>2474</v>
      </c>
      <c r="W149" s="11" t="s">
        <v>1389</v>
      </c>
      <c r="X149" s="11" t="s">
        <v>1598</v>
      </c>
      <c r="Y149" s="11" t="s">
        <v>1470</v>
      </c>
      <c r="Z149" s="11" t="s">
        <v>2475</v>
      </c>
      <c r="AA149" s="11" t="s">
        <v>2476</v>
      </c>
      <c r="AB149" s="11" t="s">
        <v>1830</v>
      </c>
      <c r="AC149" s="11" t="s">
        <v>2468</v>
      </c>
      <c r="AD149" s="11">
        <v>5365310</v>
      </c>
      <c r="AE149" s="11" t="s">
        <v>1382</v>
      </c>
      <c r="AF149" s="11" t="s">
        <v>2477</v>
      </c>
      <c r="AG149" s="11" t="s">
        <v>1382</v>
      </c>
      <c r="AH149" s="11" t="s">
        <v>2477</v>
      </c>
      <c r="AI149" s="11" t="s">
        <v>2169</v>
      </c>
      <c r="AJ149" s="11" t="s">
        <v>2170</v>
      </c>
      <c r="AK149" s="11" t="s">
        <v>1396</v>
      </c>
      <c r="AL149" s="11" t="s">
        <v>134</v>
      </c>
      <c r="AM149" s="11">
        <v>14425.5</v>
      </c>
      <c r="AN149" s="11" t="s">
        <v>1911</v>
      </c>
      <c r="AO149" s="11" t="s">
        <v>142</v>
      </c>
      <c r="AP149" s="11" t="s">
        <v>1451</v>
      </c>
      <c r="AQ149" s="11" t="s">
        <v>1398</v>
      </c>
      <c r="AR149" s="11" t="s">
        <v>1452</v>
      </c>
      <c r="AS149" s="11" t="s">
        <v>2479</v>
      </c>
      <c r="AT149" s="11" t="s">
        <v>2485</v>
      </c>
      <c r="AU149" s="11" t="s">
        <v>1654</v>
      </c>
      <c r="AV149" s="11"/>
      <c r="AW149" s="11" t="s">
        <v>2481</v>
      </c>
      <c r="AX149" s="11"/>
      <c r="AY149" s="11"/>
      <c r="AZ149" s="11"/>
      <c r="BA149" s="11"/>
      <c r="BB149" s="11">
        <v>62177250</v>
      </c>
      <c r="BC149" s="11" t="s">
        <v>1403</v>
      </c>
      <c r="BD149" s="11" t="s">
        <v>1432</v>
      </c>
      <c r="BE149" s="11" t="s">
        <v>2444</v>
      </c>
      <c r="BF149" s="11" t="s">
        <v>1998</v>
      </c>
      <c r="BG149" s="11" t="s">
        <v>1482</v>
      </c>
      <c r="BH149" s="11" t="s">
        <v>1502</v>
      </c>
      <c r="BI149" s="11" t="s">
        <v>1407</v>
      </c>
      <c r="BJ149" s="11" t="s">
        <v>134</v>
      </c>
      <c r="BK149" s="11"/>
      <c r="BL149" s="11" t="s">
        <v>1408</v>
      </c>
      <c r="BM149" s="11"/>
      <c r="BN149" s="11" t="s">
        <v>1457</v>
      </c>
      <c r="BO149" s="11" t="s">
        <v>95</v>
      </c>
    </row>
    <row r="150" spans="2:67">
      <c r="B150" s="11">
        <v>139</v>
      </c>
      <c r="C150" s="11" t="s">
        <v>1374</v>
      </c>
      <c r="D150" s="11" t="s">
        <v>1375</v>
      </c>
      <c r="E150" s="11" t="s">
        <v>2468</v>
      </c>
      <c r="F150" s="11" t="s">
        <v>2469</v>
      </c>
      <c r="G150" s="11" t="s">
        <v>142</v>
      </c>
      <c r="H150" s="11" t="s">
        <v>2470</v>
      </c>
      <c r="I150" s="11" t="s">
        <v>2471</v>
      </c>
      <c r="J150" s="11"/>
      <c r="K150" s="11" t="s">
        <v>1470</v>
      </c>
      <c r="L150" s="11" t="s">
        <v>1382</v>
      </c>
      <c r="M150" s="11" t="s">
        <v>1383</v>
      </c>
      <c r="N150" s="11" t="s">
        <v>95</v>
      </c>
      <c r="O150" s="11" t="s">
        <v>2472</v>
      </c>
      <c r="P150" s="11"/>
      <c r="Q150" s="11"/>
      <c r="R150" s="11" t="s">
        <v>2468</v>
      </c>
      <c r="S150" s="11" t="s">
        <v>1382</v>
      </c>
      <c r="T150" s="11" t="s">
        <v>2473</v>
      </c>
      <c r="U150" s="11" t="s">
        <v>1444</v>
      </c>
      <c r="V150" s="11" t="s">
        <v>2474</v>
      </c>
      <c r="W150" s="11" t="s">
        <v>1389</v>
      </c>
      <c r="X150" s="11" t="s">
        <v>1598</v>
      </c>
      <c r="Y150" s="11" t="s">
        <v>1470</v>
      </c>
      <c r="Z150" s="11" t="s">
        <v>2475</v>
      </c>
      <c r="AA150" s="11" t="s">
        <v>2476</v>
      </c>
      <c r="AB150" s="11" t="s">
        <v>1830</v>
      </c>
      <c r="AC150" s="11" t="s">
        <v>2468</v>
      </c>
      <c r="AD150" s="11">
        <v>5365310</v>
      </c>
      <c r="AE150" s="11" t="s">
        <v>1382</v>
      </c>
      <c r="AF150" s="11" t="s">
        <v>2477</v>
      </c>
      <c r="AG150" s="11" t="s">
        <v>1382</v>
      </c>
      <c r="AH150" s="11" t="s">
        <v>2477</v>
      </c>
      <c r="AI150" s="11" t="s">
        <v>2486</v>
      </c>
      <c r="AJ150" s="11" t="s">
        <v>2487</v>
      </c>
      <c r="AK150" s="11" t="s">
        <v>1396</v>
      </c>
      <c r="AL150" s="11" t="s">
        <v>134</v>
      </c>
      <c r="AM150" s="11">
        <v>7680</v>
      </c>
      <c r="AN150" s="11" t="s">
        <v>1911</v>
      </c>
      <c r="AO150" s="11" t="s">
        <v>142</v>
      </c>
      <c r="AP150" s="11" t="s">
        <v>1451</v>
      </c>
      <c r="AQ150" s="11" t="s">
        <v>1398</v>
      </c>
      <c r="AR150" s="11" t="s">
        <v>1452</v>
      </c>
      <c r="AS150" s="11" t="s">
        <v>2479</v>
      </c>
      <c r="AT150" s="11" t="s">
        <v>2488</v>
      </c>
      <c r="AU150" s="11" t="s">
        <v>1654</v>
      </c>
      <c r="AV150" s="11"/>
      <c r="AW150" s="11" t="s">
        <v>2481</v>
      </c>
      <c r="AX150" s="11"/>
      <c r="AY150" s="11"/>
      <c r="AZ150" s="11"/>
      <c r="BA150" s="11"/>
      <c r="BB150" s="11">
        <v>62177250</v>
      </c>
      <c r="BC150" s="11" t="s">
        <v>1403</v>
      </c>
      <c r="BD150" s="11" t="s">
        <v>1432</v>
      </c>
      <c r="BE150" s="11" t="s">
        <v>2444</v>
      </c>
      <c r="BF150" s="11" t="s">
        <v>1998</v>
      </c>
      <c r="BG150" s="11" t="s">
        <v>1482</v>
      </c>
      <c r="BH150" s="11" t="s">
        <v>1502</v>
      </c>
      <c r="BI150" s="11" t="s">
        <v>1407</v>
      </c>
      <c r="BJ150" s="11" t="s">
        <v>134</v>
      </c>
      <c r="BK150" s="11"/>
      <c r="BL150" s="11" t="s">
        <v>1408</v>
      </c>
      <c r="BM150" s="11"/>
      <c r="BN150" s="11" t="s">
        <v>1457</v>
      </c>
      <c r="BO150" s="11" t="s">
        <v>95</v>
      </c>
    </row>
    <row r="151" spans="2:67">
      <c r="B151" s="11">
        <v>140</v>
      </c>
      <c r="C151" s="11" t="s">
        <v>1374</v>
      </c>
      <c r="D151" s="11" t="s">
        <v>1375</v>
      </c>
      <c r="E151" s="11" t="s">
        <v>2489</v>
      </c>
      <c r="F151" s="11" t="s">
        <v>2490</v>
      </c>
      <c r="G151" s="11" t="s">
        <v>956</v>
      </c>
      <c r="H151" s="11" t="s">
        <v>2491</v>
      </c>
      <c r="I151" s="11" t="s">
        <v>2492</v>
      </c>
      <c r="J151" s="11"/>
      <c r="K151" s="11" t="s">
        <v>1547</v>
      </c>
      <c r="L151" s="11" t="s">
        <v>1382</v>
      </c>
      <c r="M151" s="11" t="s">
        <v>1383</v>
      </c>
      <c r="N151" s="11" t="s">
        <v>95</v>
      </c>
      <c r="O151" s="11" t="s">
        <v>2493</v>
      </c>
      <c r="P151" s="11"/>
      <c r="Q151" s="11"/>
      <c r="R151" s="11" t="s">
        <v>2489</v>
      </c>
      <c r="S151" s="11" t="s">
        <v>1382</v>
      </c>
      <c r="T151" s="11" t="s">
        <v>2494</v>
      </c>
      <c r="U151" s="11" t="s">
        <v>1444</v>
      </c>
      <c r="V151" s="11" t="s">
        <v>2495</v>
      </c>
      <c r="W151" s="11" t="s">
        <v>1389</v>
      </c>
      <c r="X151" s="11" t="s">
        <v>1469</v>
      </c>
      <c r="Y151" s="11" t="s">
        <v>1547</v>
      </c>
      <c r="Z151" s="11" t="s">
        <v>2496</v>
      </c>
      <c r="AA151" s="11" t="s">
        <v>2497</v>
      </c>
      <c r="AB151" s="11" t="s">
        <v>2007</v>
      </c>
      <c r="AC151" s="11" t="s">
        <v>2489</v>
      </c>
      <c r="AD151" s="11">
        <v>5402685</v>
      </c>
      <c r="AE151" s="11" t="s">
        <v>1382</v>
      </c>
      <c r="AF151" s="11" t="s">
        <v>2498</v>
      </c>
      <c r="AG151" s="11" t="s">
        <v>1382</v>
      </c>
      <c r="AH151" s="11" t="s">
        <v>2499</v>
      </c>
      <c r="AI151" s="11" t="s">
        <v>2500</v>
      </c>
      <c r="AJ151" s="11" t="s">
        <v>1949</v>
      </c>
      <c r="AK151" s="11" t="s">
        <v>1396</v>
      </c>
      <c r="AL151" s="11" t="s">
        <v>134</v>
      </c>
      <c r="AM151" s="11">
        <v>0.2</v>
      </c>
      <c r="AN151" s="11" t="s">
        <v>1450</v>
      </c>
      <c r="AO151" s="11" t="s">
        <v>956</v>
      </c>
      <c r="AP151" s="11" t="s">
        <v>1451</v>
      </c>
      <c r="AQ151" s="11" t="s">
        <v>1398</v>
      </c>
      <c r="AR151" s="11" t="s">
        <v>1570</v>
      </c>
      <c r="AS151" s="11" t="s">
        <v>2501</v>
      </c>
      <c r="AT151" s="11" t="s">
        <v>2502</v>
      </c>
      <c r="AU151" s="11" t="s">
        <v>1673</v>
      </c>
      <c r="AV151" s="11"/>
      <c r="AW151" s="11" t="s">
        <v>2503</v>
      </c>
      <c r="AX151" s="11"/>
      <c r="AY151" s="11"/>
      <c r="AZ151" s="11"/>
      <c r="BA151" s="11"/>
      <c r="BB151" s="11">
        <v>70944303</v>
      </c>
      <c r="BC151" s="11" t="s">
        <v>1403</v>
      </c>
      <c r="BD151" s="11" t="s">
        <v>1432</v>
      </c>
      <c r="BE151" s="11" t="s">
        <v>1480</v>
      </c>
      <c r="BF151" s="11" t="s">
        <v>1481</v>
      </c>
      <c r="BG151" s="11" t="s">
        <v>1482</v>
      </c>
      <c r="BH151" s="11" t="s">
        <v>1435</v>
      </c>
      <c r="BI151" s="11" t="s">
        <v>1407</v>
      </c>
      <c r="BJ151" s="11" t="s">
        <v>134</v>
      </c>
      <c r="BK151" s="11"/>
      <c r="BL151" s="11" t="s">
        <v>2504</v>
      </c>
      <c r="BM151" s="11"/>
      <c r="BN151" s="11" t="s">
        <v>1483</v>
      </c>
      <c r="BO151" s="11" t="s">
        <v>95</v>
      </c>
    </row>
    <row r="152" spans="2:67">
      <c r="B152" s="11">
        <v>141</v>
      </c>
      <c r="C152" s="11" t="s">
        <v>1374</v>
      </c>
      <c r="D152" s="11" t="s">
        <v>1375</v>
      </c>
      <c r="E152" s="11" t="s">
        <v>2489</v>
      </c>
      <c r="F152" s="11" t="s">
        <v>2490</v>
      </c>
      <c r="G152" s="11" t="s">
        <v>956</v>
      </c>
      <c r="H152" s="11" t="s">
        <v>2491</v>
      </c>
      <c r="I152" s="11" t="s">
        <v>2492</v>
      </c>
      <c r="J152" s="11"/>
      <c r="K152" s="11" t="s">
        <v>1547</v>
      </c>
      <c r="L152" s="11" t="s">
        <v>1382</v>
      </c>
      <c r="M152" s="11" t="s">
        <v>1383</v>
      </c>
      <c r="N152" s="11" t="s">
        <v>95</v>
      </c>
      <c r="O152" s="11" t="s">
        <v>2493</v>
      </c>
      <c r="P152" s="11"/>
      <c r="Q152" s="11"/>
      <c r="R152" s="11" t="s">
        <v>2489</v>
      </c>
      <c r="S152" s="11" t="s">
        <v>1382</v>
      </c>
      <c r="T152" s="11" t="s">
        <v>2494</v>
      </c>
      <c r="U152" s="11" t="s">
        <v>1444</v>
      </c>
      <c r="V152" s="11" t="s">
        <v>2495</v>
      </c>
      <c r="W152" s="11" t="s">
        <v>1389</v>
      </c>
      <c r="X152" s="11" t="s">
        <v>1469</v>
      </c>
      <c r="Y152" s="11" t="s">
        <v>1547</v>
      </c>
      <c r="Z152" s="11" t="s">
        <v>2496</v>
      </c>
      <c r="AA152" s="11" t="s">
        <v>2497</v>
      </c>
      <c r="AB152" s="11" t="s">
        <v>2007</v>
      </c>
      <c r="AC152" s="11" t="s">
        <v>2489</v>
      </c>
      <c r="AD152" s="11">
        <v>5402685</v>
      </c>
      <c r="AE152" s="11" t="s">
        <v>1382</v>
      </c>
      <c r="AF152" s="11" t="s">
        <v>2498</v>
      </c>
      <c r="AG152" s="11" t="s">
        <v>1382</v>
      </c>
      <c r="AH152" s="11" t="s">
        <v>2499</v>
      </c>
      <c r="AI152" s="11" t="s">
        <v>2505</v>
      </c>
      <c r="AJ152" s="11" t="s">
        <v>2506</v>
      </c>
      <c r="AK152" s="11" t="s">
        <v>1396</v>
      </c>
      <c r="AL152" s="11" t="s">
        <v>134</v>
      </c>
      <c r="AM152" s="11">
        <v>3000</v>
      </c>
      <c r="AN152" s="11" t="s">
        <v>1450</v>
      </c>
      <c r="AO152" s="11" t="s">
        <v>956</v>
      </c>
      <c r="AP152" s="11" t="s">
        <v>1451</v>
      </c>
      <c r="AQ152" s="11" t="s">
        <v>1398</v>
      </c>
      <c r="AR152" s="11" t="s">
        <v>1570</v>
      </c>
      <c r="AS152" s="11" t="s">
        <v>2501</v>
      </c>
      <c r="AT152" s="11"/>
      <c r="AU152" s="11" t="s">
        <v>1673</v>
      </c>
      <c r="AV152" s="11"/>
      <c r="AW152" s="11" t="s">
        <v>2503</v>
      </c>
      <c r="AX152" s="11"/>
      <c r="AY152" s="11"/>
      <c r="AZ152" s="11"/>
      <c r="BA152" s="11"/>
      <c r="BB152" s="11">
        <v>70944303</v>
      </c>
      <c r="BC152" s="11" t="s">
        <v>1403</v>
      </c>
      <c r="BD152" s="11" t="s">
        <v>1432</v>
      </c>
      <c r="BE152" s="11" t="s">
        <v>1480</v>
      </c>
      <c r="BF152" s="11" t="s">
        <v>1481</v>
      </c>
      <c r="BG152" s="11" t="s">
        <v>1482</v>
      </c>
      <c r="BH152" s="11" t="s">
        <v>1435</v>
      </c>
      <c r="BI152" s="11" t="s">
        <v>1407</v>
      </c>
      <c r="BJ152" s="11" t="s">
        <v>134</v>
      </c>
      <c r="BK152" s="11"/>
      <c r="BL152" s="11"/>
      <c r="BM152" s="11"/>
      <c r="BN152" s="11" t="s">
        <v>1483</v>
      </c>
      <c r="BO152" s="11" t="s">
        <v>95</v>
      </c>
    </row>
    <row r="153" spans="2:67">
      <c r="B153" s="11">
        <v>142</v>
      </c>
      <c r="C153" s="11" t="s">
        <v>1374</v>
      </c>
      <c r="D153" s="11" t="s">
        <v>1375</v>
      </c>
      <c r="E153" s="11" t="s">
        <v>2489</v>
      </c>
      <c r="F153" s="11" t="s">
        <v>2490</v>
      </c>
      <c r="G153" s="11" t="s">
        <v>956</v>
      </c>
      <c r="H153" s="11" t="s">
        <v>2491</v>
      </c>
      <c r="I153" s="11" t="s">
        <v>2492</v>
      </c>
      <c r="J153" s="11"/>
      <c r="K153" s="11" t="s">
        <v>1547</v>
      </c>
      <c r="L153" s="11" t="s">
        <v>1382</v>
      </c>
      <c r="M153" s="11" t="s">
        <v>1383</v>
      </c>
      <c r="N153" s="11" t="s">
        <v>95</v>
      </c>
      <c r="O153" s="11" t="s">
        <v>2493</v>
      </c>
      <c r="P153" s="11"/>
      <c r="Q153" s="11"/>
      <c r="R153" s="11" t="s">
        <v>2489</v>
      </c>
      <c r="S153" s="11" t="s">
        <v>1382</v>
      </c>
      <c r="T153" s="11" t="s">
        <v>2494</v>
      </c>
      <c r="U153" s="11" t="s">
        <v>1444</v>
      </c>
      <c r="V153" s="11" t="s">
        <v>2495</v>
      </c>
      <c r="W153" s="11" t="s">
        <v>1389</v>
      </c>
      <c r="X153" s="11" t="s">
        <v>1469</v>
      </c>
      <c r="Y153" s="11" t="s">
        <v>1547</v>
      </c>
      <c r="Z153" s="11" t="s">
        <v>2496</v>
      </c>
      <c r="AA153" s="11" t="s">
        <v>2497</v>
      </c>
      <c r="AB153" s="11" t="s">
        <v>2007</v>
      </c>
      <c r="AC153" s="11" t="s">
        <v>2489</v>
      </c>
      <c r="AD153" s="11">
        <v>5402685</v>
      </c>
      <c r="AE153" s="11" t="s">
        <v>1382</v>
      </c>
      <c r="AF153" s="11" t="s">
        <v>2498</v>
      </c>
      <c r="AG153" s="11" t="s">
        <v>1382</v>
      </c>
      <c r="AH153" s="11" t="s">
        <v>2499</v>
      </c>
      <c r="AI153" s="11" t="s">
        <v>2507</v>
      </c>
      <c r="AJ153" s="11" t="s">
        <v>1952</v>
      </c>
      <c r="AK153" s="11" t="s">
        <v>1396</v>
      </c>
      <c r="AL153" s="11" t="s">
        <v>134</v>
      </c>
      <c r="AM153" s="11">
        <v>11300</v>
      </c>
      <c r="AN153" s="11" t="s">
        <v>1450</v>
      </c>
      <c r="AO153" s="11" t="s">
        <v>956</v>
      </c>
      <c r="AP153" s="11" t="s">
        <v>1451</v>
      </c>
      <c r="AQ153" s="11" t="s">
        <v>1398</v>
      </c>
      <c r="AR153" s="11" t="s">
        <v>1570</v>
      </c>
      <c r="AS153" s="11" t="s">
        <v>2501</v>
      </c>
      <c r="AT153" s="11"/>
      <c r="AU153" s="11" t="s">
        <v>1673</v>
      </c>
      <c r="AV153" s="11"/>
      <c r="AW153" s="11" t="s">
        <v>2503</v>
      </c>
      <c r="AX153" s="11"/>
      <c r="AY153" s="11"/>
      <c r="AZ153" s="11"/>
      <c r="BA153" s="11"/>
      <c r="BB153" s="11">
        <v>70944303</v>
      </c>
      <c r="BC153" s="11" t="s">
        <v>1403</v>
      </c>
      <c r="BD153" s="11" t="s">
        <v>1432</v>
      </c>
      <c r="BE153" s="11" t="s">
        <v>1480</v>
      </c>
      <c r="BF153" s="11" t="s">
        <v>1481</v>
      </c>
      <c r="BG153" s="11" t="s">
        <v>1482</v>
      </c>
      <c r="BH153" s="11" t="s">
        <v>1435</v>
      </c>
      <c r="BI153" s="11" t="s">
        <v>1407</v>
      </c>
      <c r="BJ153" s="11" t="s">
        <v>134</v>
      </c>
      <c r="BK153" s="11"/>
      <c r="BL153" s="11"/>
      <c r="BM153" s="11"/>
      <c r="BN153" s="11" t="s">
        <v>1483</v>
      </c>
      <c r="BO153" s="11" t="s">
        <v>95</v>
      </c>
    </row>
    <row r="154" spans="2:67">
      <c r="B154" s="11">
        <v>143</v>
      </c>
      <c r="C154" s="11" t="s">
        <v>1374</v>
      </c>
      <c r="D154" s="11" t="s">
        <v>1375</v>
      </c>
      <c r="E154" s="11" t="s">
        <v>1376</v>
      </c>
      <c r="F154" s="11" t="s">
        <v>2508</v>
      </c>
      <c r="G154" s="11" t="s">
        <v>1916</v>
      </c>
      <c r="H154" s="11" t="s">
        <v>2509</v>
      </c>
      <c r="I154" s="11" t="s">
        <v>2510</v>
      </c>
      <c r="J154" s="11"/>
      <c r="K154" s="11" t="s">
        <v>1421</v>
      </c>
      <c r="L154" s="11" t="s">
        <v>1229</v>
      </c>
      <c r="M154" s="11" t="s">
        <v>1581</v>
      </c>
      <c r="N154" s="11" t="s">
        <v>1153</v>
      </c>
      <c r="O154" s="11" t="s">
        <v>134</v>
      </c>
      <c r="P154" s="11"/>
      <c r="Q154" s="11"/>
      <c r="R154" s="11" t="s">
        <v>2511</v>
      </c>
      <c r="S154" s="11" t="s">
        <v>1229</v>
      </c>
      <c r="T154" s="11" t="s">
        <v>2512</v>
      </c>
      <c r="U154" s="11" t="s">
        <v>1387</v>
      </c>
      <c r="V154" s="11" t="s">
        <v>2513</v>
      </c>
      <c r="W154" s="11" t="s">
        <v>1645</v>
      </c>
      <c r="X154" s="11" t="s">
        <v>1598</v>
      </c>
      <c r="Y154" s="11" t="s">
        <v>1421</v>
      </c>
      <c r="Z154" s="11" t="s">
        <v>2514</v>
      </c>
      <c r="AA154" s="11" t="s">
        <v>2515</v>
      </c>
      <c r="AB154" s="11" t="s">
        <v>2516</v>
      </c>
      <c r="AC154" s="11" t="s">
        <v>2511</v>
      </c>
      <c r="AD154" s="11">
        <v>5364128</v>
      </c>
      <c r="AE154" s="11" t="s">
        <v>1382</v>
      </c>
      <c r="AF154" s="11" t="s">
        <v>2517</v>
      </c>
      <c r="AG154" s="11" t="s">
        <v>1229</v>
      </c>
      <c r="AH154" s="11" t="s">
        <v>2518</v>
      </c>
      <c r="AI154" s="11"/>
      <c r="AJ154" s="11"/>
      <c r="AK154" s="11" t="s">
        <v>1396</v>
      </c>
      <c r="AL154" s="11" t="s">
        <v>134</v>
      </c>
      <c r="AM154" s="11">
        <v>24650</v>
      </c>
      <c r="AN154" s="11"/>
      <c r="AO154" s="11" t="s">
        <v>134</v>
      </c>
      <c r="AP154" s="11" t="s">
        <v>1498</v>
      </c>
      <c r="AQ154" s="11" t="s">
        <v>1398</v>
      </c>
      <c r="AR154" s="11"/>
      <c r="AS154" s="11" t="s">
        <v>2519</v>
      </c>
      <c r="AT154" s="11"/>
      <c r="AU154" s="11"/>
      <c r="AV154" s="11"/>
      <c r="AW154" s="11" t="s">
        <v>2520</v>
      </c>
      <c r="AX154" s="11"/>
      <c r="AY154" s="11"/>
      <c r="AZ154" s="11"/>
      <c r="BA154" s="11"/>
      <c r="BB154" s="11">
        <v>80429837</v>
      </c>
      <c r="BC154" s="11" t="s">
        <v>1403</v>
      </c>
      <c r="BD154" s="11" t="s">
        <v>1432</v>
      </c>
      <c r="BE154" s="11" t="s">
        <v>134</v>
      </c>
      <c r="BF154" s="11" t="s">
        <v>1555</v>
      </c>
      <c r="BG154" s="11" t="s">
        <v>1482</v>
      </c>
      <c r="BH154" s="11" t="s">
        <v>1502</v>
      </c>
      <c r="BI154" s="11" t="s">
        <v>1403</v>
      </c>
      <c r="BJ154" s="11" t="s">
        <v>134</v>
      </c>
      <c r="BK154" s="11"/>
      <c r="BL154" s="11"/>
      <c r="BM154" s="11"/>
      <c r="BN154" s="11"/>
      <c r="BO154" s="11" t="s">
        <v>1410</v>
      </c>
    </row>
    <row r="155" spans="2:67">
      <c r="B155" s="11">
        <v>144</v>
      </c>
      <c r="C155" s="11" t="s">
        <v>1374</v>
      </c>
      <c r="D155" s="11" t="s">
        <v>1375</v>
      </c>
      <c r="E155" s="11" t="s">
        <v>2521</v>
      </c>
      <c r="F155" s="11" t="s">
        <v>2522</v>
      </c>
      <c r="G155" s="11" t="s">
        <v>151</v>
      </c>
      <c r="H155" s="11" t="s">
        <v>2523</v>
      </c>
      <c r="I155" s="11" t="s">
        <v>2524</v>
      </c>
      <c r="J155" s="11"/>
      <c r="K155" s="11" t="s">
        <v>1470</v>
      </c>
      <c r="L155" s="11" t="s">
        <v>1382</v>
      </c>
      <c r="M155" s="11" t="s">
        <v>1383</v>
      </c>
      <c r="N155" s="11" t="s">
        <v>95</v>
      </c>
      <c r="O155" s="11" t="s">
        <v>2290</v>
      </c>
      <c r="P155" s="11"/>
      <c r="Q155" s="11"/>
      <c r="R155" s="11" t="s">
        <v>2521</v>
      </c>
      <c r="S155" s="11" t="s">
        <v>1382</v>
      </c>
      <c r="T155" s="11" t="s">
        <v>2525</v>
      </c>
      <c r="U155" s="11" t="s">
        <v>1444</v>
      </c>
      <c r="V155" s="11" t="s">
        <v>2526</v>
      </c>
      <c r="W155" s="11" t="s">
        <v>1389</v>
      </c>
      <c r="X155" s="11" t="s">
        <v>2052</v>
      </c>
      <c r="Y155" s="11" t="s">
        <v>1470</v>
      </c>
      <c r="Z155" s="11" t="s">
        <v>1859</v>
      </c>
      <c r="AA155" s="11" t="s">
        <v>2527</v>
      </c>
      <c r="AB155" s="11" t="s">
        <v>2516</v>
      </c>
      <c r="AC155" s="11" t="s">
        <v>2521</v>
      </c>
      <c r="AD155" s="11">
        <v>5364119</v>
      </c>
      <c r="AE155" s="11" t="s">
        <v>1382</v>
      </c>
      <c r="AF155" s="11" t="s">
        <v>2528</v>
      </c>
      <c r="AG155" s="11" t="s">
        <v>1382</v>
      </c>
      <c r="AH155" s="11" t="s">
        <v>2529</v>
      </c>
      <c r="AI155" s="11" t="s">
        <v>2530</v>
      </c>
      <c r="AJ155" s="11" t="s">
        <v>2531</v>
      </c>
      <c r="AK155" s="11" t="s">
        <v>1396</v>
      </c>
      <c r="AL155" s="11" t="s">
        <v>134</v>
      </c>
      <c r="AM155" s="11">
        <v>66000</v>
      </c>
      <c r="AN155" s="11"/>
      <c r="AO155" s="11" t="s">
        <v>151</v>
      </c>
      <c r="AP155" s="11" t="s">
        <v>1451</v>
      </c>
      <c r="AQ155" s="11" t="s">
        <v>1398</v>
      </c>
      <c r="AR155" s="11"/>
      <c r="AS155" s="11" t="s">
        <v>2532</v>
      </c>
      <c r="AT155" s="11"/>
      <c r="AU155" s="11" t="s">
        <v>1673</v>
      </c>
      <c r="AV155" s="11"/>
      <c r="AW155" s="11" t="s">
        <v>2533</v>
      </c>
      <c r="AX155" s="11"/>
      <c r="AY155" s="11"/>
      <c r="AZ155" s="11"/>
      <c r="BA155" s="11"/>
      <c r="BB155" s="11">
        <v>59155256</v>
      </c>
      <c r="BC155" s="11" t="s">
        <v>1403</v>
      </c>
      <c r="BD155" s="11" t="s">
        <v>1432</v>
      </c>
      <c r="BE155" s="11" t="s">
        <v>2062</v>
      </c>
      <c r="BF155" s="11" t="s">
        <v>1555</v>
      </c>
      <c r="BG155" s="11" t="s">
        <v>1482</v>
      </c>
      <c r="BH155" s="11" t="s">
        <v>1502</v>
      </c>
      <c r="BI155" s="11" t="s">
        <v>1407</v>
      </c>
      <c r="BJ155" s="11" t="s">
        <v>134</v>
      </c>
      <c r="BK155" s="11"/>
      <c r="BL155" s="11"/>
      <c r="BM155" s="11"/>
      <c r="BN155" s="11" t="s">
        <v>1457</v>
      </c>
      <c r="BO155" s="11" t="s">
        <v>95</v>
      </c>
    </row>
    <row r="156" spans="2:67">
      <c r="B156" s="11">
        <v>145</v>
      </c>
      <c r="C156" s="11" t="s">
        <v>1374</v>
      </c>
      <c r="D156" s="11" t="s">
        <v>1375</v>
      </c>
      <c r="E156" s="11" t="s">
        <v>1376</v>
      </c>
      <c r="F156" s="11" t="s">
        <v>2534</v>
      </c>
      <c r="G156" s="11" t="s">
        <v>1378</v>
      </c>
      <c r="H156" s="11" t="s">
        <v>2535</v>
      </c>
      <c r="I156" s="11" t="s">
        <v>2536</v>
      </c>
      <c r="J156" s="11" t="s">
        <v>134</v>
      </c>
      <c r="K156" s="11" t="s">
        <v>1470</v>
      </c>
      <c r="L156" s="11" t="s">
        <v>94</v>
      </c>
      <c r="M156" s="11" t="s">
        <v>1383</v>
      </c>
      <c r="N156" s="11" t="s">
        <v>113</v>
      </c>
      <c r="O156" s="11" t="s">
        <v>2537</v>
      </c>
      <c r="P156" s="11"/>
      <c r="Q156" s="11"/>
      <c r="R156" s="11" t="s">
        <v>2538</v>
      </c>
      <c r="S156" s="11" t="s">
        <v>94</v>
      </c>
      <c r="T156" s="11" t="s">
        <v>2539</v>
      </c>
      <c r="U156" s="11" t="s">
        <v>1387</v>
      </c>
      <c r="V156" s="11" t="s">
        <v>2540</v>
      </c>
      <c r="W156" s="11" t="s">
        <v>1389</v>
      </c>
      <c r="X156" s="11" t="s">
        <v>1563</v>
      </c>
      <c r="Y156" s="11" t="s">
        <v>1470</v>
      </c>
      <c r="Z156" s="11" t="s">
        <v>1629</v>
      </c>
      <c r="AA156" s="11" t="s">
        <v>2541</v>
      </c>
      <c r="AB156" s="11" t="s">
        <v>2542</v>
      </c>
      <c r="AC156" s="11" t="s">
        <v>2538</v>
      </c>
      <c r="AD156" s="11">
        <v>5391929</v>
      </c>
      <c r="AE156" s="11" t="s">
        <v>94</v>
      </c>
      <c r="AF156" s="11" t="s">
        <v>2543</v>
      </c>
      <c r="AG156" s="11" t="s">
        <v>94</v>
      </c>
      <c r="AH156" s="11" t="s">
        <v>2543</v>
      </c>
      <c r="AI156" s="11" t="s">
        <v>2162</v>
      </c>
      <c r="AJ156" s="11" t="s">
        <v>2163</v>
      </c>
      <c r="AK156" s="11" t="s">
        <v>1396</v>
      </c>
      <c r="AL156" s="11" t="s">
        <v>134</v>
      </c>
      <c r="AM156" s="11">
        <v>6240</v>
      </c>
      <c r="AN156" s="11"/>
      <c r="AO156" s="11" t="s">
        <v>94</v>
      </c>
      <c r="AP156" s="11" t="s">
        <v>1397</v>
      </c>
      <c r="AQ156" s="11" t="s">
        <v>1398</v>
      </c>
      <c r="AR156" s="11" t="s">
        <v>1652</v>
      </c>
      <c r="AS156" s="11" t="s">
        <v>2544</v>
      </c>
      <c r="AT156" s="11" t="s">
        <v>2545</v>
      </c>
      <c r="AU156" s="11" t="s">
        <v>1834</v>
      </c>
      <c r="AV156" s="11"/>
      <c r="AW156" s="11" t="s">
        <v>2546</v>
      </c>
      <c r="AX156" s="11"/>
      <c r="AY156" s="11"/>
      <c r="AZ156" s="11"/>
      <c r="BA156" s="11"/>
      <c r="BB156" s="11">
        <v>80058177</v>
      </c>
      <c r="BC156" s="11" t="s">
        <v>1403</v>
      </c>
      <c r="BD156" s="11" t="s">
        <v>1432</v>
      </c>
      <c r="BE156" s="11" t="s">
        <v>2167</v>
      </c>
      <c r="BF156" s="11" t="s">
        <v>2168</v>
      </c>
      <c r="BG156" s="11"/>
      <c r="BH156" s="11" t="s">
        <v>1502</v>
      </c>
      <c r="BI156" s="11" t="s">
        <v>1407</v>
      </c>
      <c r="BJ156" s="11" t="s">
        <v>134</v>
      </c>
      <c r="BK156" s="11"/>
      <c r="BL156" s="11" t="s">
        <v>1408</v>
      </c>
      <c r="BM156" s="11"/>
      <c r="BN156" s="11" t="s">
        <v>1457</v>
      </c>
      <c r="BO156" s="11" t="s">
        <v>1410</v>
      </c>
    </row>
    <row r="157" spans="2:67">
      <c r="B157" s="11">
        <v>146</v>
      </c>
      <c r="C157" s="11" t="s">
        <v>1374</v>
      </c>
      <c r="D157" s="11" t="s">
        <v>1375</v>
      </c>
      <c r="E157" s="11" t="s">
        <v>1376</v>
      </c>
      <c r="F157" s="11" t="s">
        <v>2534</v>
      </c>
      <c r="G157" s="11" t="s">
        <v>1378</v>
      </c>
      <c r="H157" s="11" t="s">
        <v>2535</v>
      </c>
      <c r="I157" s="11" t="s">
        <v>2536</v>
      </c>
      <c r="J157" s="11" t="s">
        <v>134</v>
      </c>
      <c r="K157" s="11" t="s">
        <v>1470</v>
      </c>
      <c r="L157" s="11" t="s">
        <v>94</v>
      </c>
      <c r="M157" s="11" t="s">
        <v>1383</v>
      </c>
      <c r="N157" s="11" t="s">
        <v>113</v>
      </c>
      <c r="O157" s="11" t="s">
        <v>2537</v>
      </c>
      <c r="P157" s="11"/>
      <c r="Q157" s="11"/>
      <c r="R157" s="11" t="s">
        <v>2538</v>
      </c>
      <c r="S157" s="11" t="s">
        <v>94</v>
      </c>
      <c r="T157" s="11" t="s">
        <v>2539</v>
      </c>
      <c r="U157" s="11" t="s">
        <v>1387</v>
      </c>
      <c r="V157" s="11" t="s">
        <v>2540</v>
      </c>
      <c r="W157" s="11" t="s">
        <v>1389</v>
      </c>
      <c r="X157" s="11" t="s">
        <v>1563</v>
      </c>
      <c r="Y157" s="11" t="s">
        <v>1470</v>
      </c>
      <c r="Z157" s="11" t="s">
        <v>1629</v>
      </c>
      <c r="AA157" s="11" t="s">
        <v>2541</v>
      </c>
      <c r="AB157" s="11" t="s">
        <v>2542</v>
      </c>
      <c r="AC157" s="11" t="s">
        <v>2538</v>
      </c>
      <c r="AD157" s="11">
        <v>5391929</v>
      </c>
      <c r="AE157" s="11" t="s">
        <v>94</v>
      </c>
      <c r="AF157" s="11" t="s">
        <v>2543</v>
      </c>
      <c r="AG157" s="11" t="s">
        <v>94</v>
      </c>
      <c r="AH157" s="11" t="s">
        <v>2543</v>
      </c>
      <c r="AI157" s="11" t="s">
        <v>2169</v>
      </c>
      <c r="AJ157" s="11" t="s">
        <v>2170</v>
      </c>
      <c r="AK157" s="11" t="s">
        <v>1396</v>
      </c>
      <c r="AL157" s="11" t="s">
        <v>134</v>
      </c>
      <c r="AM157" s="11">
        <v>14029.4</v>
      </c>
      <c r="AN157" s="11"/>
      <c r="AO157" s="11" t="s">
        <v>94</v>
      </c>
      <c r="AP157" s="11" t="s">
        <v>1397</v>
      </c>
      <c r="AQ157" s="11" t="s">
        <v>1398</v>
      </c>
      <c r="AR157" s="11" t="s">
        <v>1652</v>
      </c>
      <c r="AS157" s="11" t="s">
        <v>2544</v>
      </c>
      <c r="AT157" s="11" t="s">
        <v>2547</v>
      </c>
      <c r="AU157" s="11" t="s">
        <v>1834</v>
      </c>
      <c r="AV157" s="11"/>
      <c r="AW157" s="11" t="s">
        <v>2546</v>
      </c>
      <c r="AX157" s="11"/>
      <c r="AY157" s="11"/>
      <c r="AZ157" s="11"/>
      <c r="BA157" s="11"/>
      <c r="BB157" s="11">
        <v>80058177</v>
      </c>
      <c r="BC157" s="11" t="s">
        <v>1403</v>
      </c>
      <c r="BD157" s="11" t="s">
        <v>1432</v>
      </c>
      <c r="BE157" s="11" t="s">
        <v>2167</v>
      </c>
      <c r="BF157" s="11" t="s">
        <v>2168</v>
      </c>
      <c r="BG157" s="11"/>
      <c r="BH157" s="11" t="s">
        <v>1502</v>
      </c>
      <c r="BI157" s="11" t="s">
        <v>1407</v>
      </c>
      <c r="BJ157" s="11" t="s">
        <v>134</v>
      </c>
      <c r="BK157" s="11"/>
      <c r="BL157" s="11" t="s">
        <v>1408</v>
      </c>
      <c r="BM157" s="11"/>
      <c r="BN157" s="11" t="s">
        <v>1457</v>
      </c>
      <c r="BO157" s="11" t="s">
        <v>1410</v>
      </c>
    </row>
    <row r="158" spans="2:67">
      <c r="B158" s="11">
        <v>147</v>
      </c>
      <c r="C158" s="11" t="s">
        <v>1374</v>
      </c>
      <c r="D158" s="11" t="s">
        <v>1375</v>
      </c>
      <c r="E158" s="11" t="s">
        <v>1376</v>
      </c>
      <c r="F158" s="11" t="s">
        <v>2534</v>
      </c>
      <c r="G158" s="11" t="s">
        <v>1378</v>
      </c>
      <c r="H158" s="11" t="s">
        <v>2535</v>
      </c>
      <c r="I158" s="11" t="s">
        <v>2536</v>
      </c>
      <c r="J158" s="11" t="s">
        <v>134</v>
      </c>
      <c r="K158" s="11" t="s">
        <v>1470</v>
      </c>
      <c r="L158" s="11" t="s">
        <v>94</v>
      </c>
      <c r="M158" s="11" t="s">
        <v>1383</v>
      </c>
      <c r="N158" s="11" t="s">
        <v>113</v>
      </c>
      <c r="O158" s="11" t="s">
        <v>2537</v>
      </c>
      <c r="P158" s="11"/>
      <c r="Q158" s="11"/>
      <c r="R158" s="11" t="s">
        <v>2538</v>
      </c>
      <c r="S158" s="11" t="s">
        <v>94</v>
      </c>
      <c r="T158" s="11" t="s">
        <v>2539</v>
      </c>
      <c r="U158" s="11" t="s">
        <v>1387</v>
      </c>
      <c r="V158" s="11" t="s">
        <v>2540</v>
      </c>
      <c r="W158" s="11" t="s">
        <v>1389</v>
      </c>
      <c r="X158" s="11" t="s">
        <v>1563</v>
      </c>
      <c r="Y158" s="11" t="s">
        <v>1470</v>
      </c>
      <c r="Z158" s="11" t="s">
        <v>1629</v>
      </c>
      <c r="AA158" s="11" t="s">
        <v>2541</v>
      </c>
      <c r="AB158" s="11" t="s">
        <v>2542</v>
      </c>
      <c r="AC158" s="11" t="s">
        <v>2538</v>
      </c>
      <c r="AD158" s="11">
        <v>5391929</v>
      </c>
      <c r="AE158" s="11" t="s">
        <v>94</v>
      </c>
      <c r="AF158" s="11" t="s">
        <v>2543</v>
      </c>
      <c r="AG158" s="11" t="s">
        <v>94</v>
      </c>
      <c r="AH158" s="11" t="s">
        <v>2543</v>
      </c>
      <c r="AI158" s="11" t="s">
        <v>2172</v>
      </c>
      <c r="AJ158" s="11" t="s">
        <v>2173</v>
      </c>
      <c r="AK158" s="11" t="s">
        <v>1396</v>
      </c>
      <c r="AL158" s="11" t="s">
        <v>134</v>
      </c>
      <c r="AM158" s="11">
        <v>14530.6</v>
      </c>
      <c r="AN158" s="11"/>
      <c r="AO158" s="11" t="s">
        <v>94</v>
      </c>
      <c r="AP158" s="11" t="s">
        <v>1397</v>
      </c>
      <c r="AQ158" s="11" t="s">
        <v>1398</v>
      </c>
      <c r="AR158" s="11" t="s">
        <v>1652</v>
      </c>
      <c r="AS158" s="11" t="s">
        <v>2544</v>
      </c>
      <c r="AT158" s="11" t="s">
        <v>2548</v>
      </c>
      <c r="AU158" s="11" t="s">
        <v>1834</v>
      </c>
      <c r="AV158" s="11"/>
      <c r="AW158" s="11" t="s">
        <v>2546</v>
      </c>
      <c r="AX158" s="11"/>
      <c r="AY158" s="11"/>
      <c r="AZ158" s="11"/>
      <c r="BA158" s="11"/>
      <c r="BB158" s="11">
        <v>80058177</v>
      </c>
      <c r="BC158" s="11" t="s">
        <v>1403</v>
      </c>
      <c r="BD158" s="11" t="s">
        <v>1432</v>
      </c>
      <c r="BE158" s="11" t="s">
        <v>2167</v>
      </c>
      <c r="BF158" s="11" t="s">
        <v>2168</v>
      </c>
      <c r="BG158" s="11"/>
      <c r="BH158" s="11" t="s">
        <v>1502</v>
      </c>
      <c r="BI158" s="11" t="s">
        <v>1407</v>
      </c>
      <c r="BJ158" s="11" t="s">
        <v>134</v>
      </c>
      <c r="BK158" s="11"/>
      <c r="BL158" s="11" t="s">
        <v>1408</v>
      </c>
      <c r="BM158" s="11"/>
      <c r="BN158" s="11" t="s">
        <v>1457</v>
      </c>
      <c r="BO158" s="11" t="s">
        <v>1410</v>
      </c>
    </row>
    <row r="159" spans="2:67">
      <c r="B159" s="11">
        <v>148</v>
      </c>
      <c r="C159" s="11" t="s">
        <v>1374</v>
      </c>
      <c r="D159" s="11" t="s">
        <v>1375</v>
      </c>
      <c r="E159" s="11" t="s">
        <v>1376</v>
      </c>
      <c r="F159" s="11" t="s">
        <v>2549</v>
      </c>
      <c r="G159" s="11" t="s">
        <v>1378</v>
      </c>
      <c r="H159" s="11" t="s">
        <v>2550</v>
      </c>
      <c r="I159" s="11" t="s">
        <v>2551</v>
      </c>
      <c r="J159" s="11" t="s">
        <v>134</v>
      </c>
      <c r="K159" s="11" t="s">
        <v>1470</v>
      </c>
      <c r="L159" s="11" t="s">
        <v>94</v>
      </c>
      <c r="M159" s="11" t="s">
        <v>1417</v>
      </c>
      <c r="N159" s="11" t="s">
        <v>772</v>
      </c>
      <c r="O159" s="11" t="s">
        <v>134</v>
      </c>
      <c r="P159" s="11"/>
      <c r="Q159" s="11"/>
      <c r="R159" s="11" t="s">
        <v>2552</v>
      </c>
      <c r="S159" s="11" t="s">
        <v>94</v>
      </c>
      <c r="T159" s="11" t="s">
        <v>2553</v>
      </c>
      <c r="U159" s="11" t="s">
        <v>1387</v>
      </c>
      <c r="V159" s="11" t="s">
        <v>2554</v>
      </c>
      <c r="W159" s="11" t="s">
        <v>1389</v>
      </c>
      <c r="X159" s="11" t="s">
        <v>1769</v>
      </c>
      <c r="Y159" s="11" t="s">
        <v>1470</v>
      </c>
      <c r="Z159" s="11" t="s">
        <v>2555</v>
      </c>
      <c r="AA159" s="11" t="s">
        <v>2556</v>
      </c>
      <c r="AB159" s="11" t="s">
        <v>2557</v>
      </c>
      <c r="AC159" s="11" t="s">
        <v>2552</v>
      </c>
      <c r="AD159" s="11">
        <v>5390477</v>
      </c>
      <c r="AE159" s="11" t="s">
        <v>94</v>
      </c>
      <c r="AF159" s="11" t="s">
        <v>2558</v>
      </c>
      <c r="AG159" s="11" t="s">
        <v>94</v>
      </c>
      <c r="AH159" s="11" t="s">
        <v>2558</v>
      </c>
      <c r="AI159" s="11" t="s">
        <v>2018</v>
      </c>
      <c r="AJ159" s="11" t="s">
        <v>1798</v>
      </c>
      <c r="AK159" s="11" t="s">
        <v>1396</v>
      </c>
      <c r="AL159" s="11" t="s">
        <v>134</v>
      </c>
      <c r="AM159" s="11">
        <v>8300</v>
      </c>
      <c r="AN159" s="11"/>
      <c r="AO159" s="11" t="s">
        <v>134</v>
      </c>
      <c r="AP159" s="11" t="s">
        <v>1397</v>
      </c>
      <c r="AQ159" s="11" t="s">
        <v>1398</v>
      </c>
      <c r="AR159" s="11" t="s">
        <v>1399</v>
      </c>
      <c r="AS159" s="11" t="s">
        <v>2559</v>
      </c>
      <c r="AT159" s="11" t="s">
        <v>2560</v>
      </c>
      <c r="AU159" s="11" t="s">
        <v>1692</v>
      </c>
      <c r="AV159" s="11"/>
      <c r="AW159" s="11" t="s">
        <v>2561</v>
      </c>
      <c r="AX159" s="11"/>
      <c r="AY159" s="11"/>
      <c r="AZ159" s="11"/>
      <c r="BA159" s="11"/>
      <c r="BB159" s="11">
        <v>51510524</v>
      </c>
      <c r="BC159" s="11" t="s">
        <v>1403</v>
      </c>
      <c r="BD159" s="11" t="s">
        <v>1432</v>
      </c>
      <c r="BE159" s="11" t="s">
        <v>1779</v>
      </c>
      <c r="BF159" s="11" t="s">
        <v>2562</v>
      </c>
      <c r="BG159" s="11" t="s">
        <v>1482</v>
      </c>
      <c r="BH159" s="11" t="s">
        <v>1502</v>
      </c>
      <c r="BI159" s="11" t="s">
        <v>1407</v>
      </c>
      <c r="BJ159" s="11" t="s">
        <v>134</v>
      </c>
      <c r="BK159" s="11"/>
      <c r="BL159" s="11" t="s">
        <v>1408</v>
      </c>
      <c r="BM159" s="11"/>
      <c r="BN159" s="11" t="s">
        <v>1457</v>
      </c>
      <c r="BO159" s="11" t="s">
        <v>1410</v>
      </c>
    </row>
    <row r="160" spans="2:67">
      <c r="B160" s="11">
        <v>149</v>
      </c>
      <c r="C160" s="11" t="s">
        <v>1374</v>
      </c>
      <c r="D160" s="11" t="s">
        <v>1375</v>
      </c>
      <c r="E160" s="11" t="s">
        <v>1376</v>
      </c>
      <c r="F160" s="11" t="s">
        <v>2549</v>
      </c>
      <c r="G160" s="11" t="s">
        <v>1378</v>
      </c>
      <c r="H160" s="11" t="s">
        <v>2550</v>
      </c>
      <c r="I160" s="11" t="s">
        <v>2551</v>
      </c>
      <c r="J160" s="11" t="s">
        <v>134</v>
      </c>
      <c r="K160" s="11" t="s">
        <v>1470</v>
      </c>
      <c r="L160" s="11" t="s">
        <v>94</v>
      </c>
      <c r="M160" s="11" t="s">
        <v>1417</v>
      </c>
      <c r="N160" s="11" t="s">
        <v>772</v>
      </c>
      <c r="O160" s="11" t="s">
        <v>134</v>
      </c>
      <c r="P160" s="11"/>
      <c r="Q160" s="11"/>
      <c r="R160" s="11" t="s">
        <v>2552</v>
      </c>
      <c r="S160" s="11" t="s">
        <v>94</v>
      </c>
      <c r="T160" s="11" t="s">
        <v>2553</v>
      </c>
      <c r="U160" s="11" t="s">
        <v>1387</v>
      </c>
      <c r="V160" s="11" t="s">
        <v>2554</v>
      </c>
      <c r="W160" s="11" t="s">
        <v>1389</v>
      </c>
      <c r="X160" s="11" t="s">
        <v>1769</v>
      </c>
      <c r="Y160" s="11" t="s">
        <v>1470</v>
      </c>
      <c r="Z160" s="11" t="s">
        <v>2555</v>
      </c>
      <c r="AA160" s="11" t="s">
        <v>2556</v>
      </c>
      <c r="AB160" s="11" t="s">
        <v>2557</v>
      </c>
      <c r="AC160" s="11" t="s">
        <v>2552</v>
      </c>
      <c r="AD160" s="11">
        <v>5390477</v>
      </c>
      <c r="AE160" s="11" t="s">
        <v>94</v>
      </c>
      <c r="AF160" s="11" t="s">
        <v>2558</v>
      </c>
      <c r="AG160" s="11" t="s">
        <v>94</v>
      </c>
      <c r="AH160" s="11" t="s">
        <v>2558</v>
      </c>
      <c r="AI160" s="11" t="s">
        <v>2020</v>
      </c>
      <c r="AJ160" s="11" t="s">
        <v>1795</v>
      </c>
      <c r="AK160" s="11" t="s">
        <v>1396</v>
      </c>
      <c r="AL160" s="11" t="s">
        <v>134</v>
      </c>
      <c r="AM160" s="11">
        <v>5800</v>
      </c>
      <c r="AN160" s="11"/>
      <c r="AO160" s="11" t="s">
        <v>134</v>
      </c>
      <c r="AP160" s="11" t="s">
        <v>1397</v>
      </c>
      <c r="AQ160" s="11" t="s">
        <v>1398</v>
      </c>
      <c r="AR160" s="11" t="s">
        <v>1399</v>
      </c>
      <c r="AS160" s="11" t="s">
        <v>2559</v>
      </c>
      <c r="AT160" s="11" t="s">
        <v>2563</v>
      </c>
      <c r="AU160" s="11" t="s">
        <v>1692</v>
      </c>
      <c r="AV160" s="11"/>
      <c r="AW160" s="11" t="s">
        <v>2561</v>
      </c>
      <c r="AX160" s="11"/>
      <c r="AY160" s="11"/>
      <c r="AZ160" s="11"/>
      <c r="BA160" s="11"/>
      <c r="BB160" s="11">
        <v>51510524</v>
      </c>
      <c r="BC160" s="11" t="s">
        <v>1403</v>
      </c>
      <c r="BD160" s="11" t="s">
        <v>1432</v>
      </c>
      <c r="BE160" s="11" t="s">
        <v>1779</v>
      </c>
      <c r="BF160" s="11" t="s">
        <v>2562</v>
      </c>
      <c r="BG160" s="11" t="s">
        <v>1482</v>
      </c>
      <c r="BH160" s="11" t="s">
        <v>1502</v>
      </c>
      <c r="BI160" s="11" t="s">
        <v>1407</v>
      </c>
      <c r="BJ160" s="11" t="s">
        <v>134</v>
      </c>
      <c r="BK160" s="11"/>
      <c r="BL160" s="11" t="s">
        <v>1408</v>
      </c>
      <c r="BM160" s="11"/>
      <c r="BN160" s="11" t="s">
        <v>1457</v>
      </c>
      <c r="BO160" s="11" t="s">
        <v>1410</v>
      </c>
    </row>
    <row r="161" spans="2:67">
      <c r="B161" s="11">
        <v>150</v>
      </c>
      <c r="C161" s="11" t="s">
        <v>1374</v>
      </c>
      <c r="D161" s="11" t="s">
        <v>1375</v>
      </c>
      <c r="E161" s="11" t="s">
        <v>1376</v>
      </c>
      <c r="F161" s="11" t="s">
        <v>2549</v>
      </c>
      <c r="G161" s="11" t="s">
        <v>1378</v>
      </c>
      <c r="H161" s="11" t="s">
        <v>2550</v>
      </c>
      <c r="I161" s="11" t="s">
        <v>2551</v>
      </c>
      <c r="J161" s="11" t="s">
        <v>134</v>
      </c>
      <c r="K161" s="11" t="s">
        <v>1470</v>
      </c>
      <c r="L161" s="11" t="s">
        <v>94</v>
      </c>
      <c r="M161" s="11" t="s">
        <v>1417</v>
      </c>
      <c r="N161" s="11" t="s">
        <v>772</v>
      </c>
      <c r="O161" s="11" t="s">
        <v>134</v>
      </c>
      <c r="P161" s="11"/>
      <c r="Q161" s="11"/>
      <c r="R161" s="11" t="s">
        <v>2552</v>
      </c>
      <c r="S161" s="11" t="s">
        <v>94</v>
      </c>
      <c r="T161" s="11" t="s">
        <v>2553</v>
      </c>
      <c r="U161" s="11" t="s">
        <v>1387</v>
      </c>
      <c r="V161" s="11" t="s">
        <v>2554</v>
      </c>
      <c r="W161" s="11" t="s">
        <v>1389</v>
      </c>
      <c r="X161" s="11" t="s">
        <v>1769</v>
      </c>
      <c r="Y161" s="11" t="s">
        <v>1470</v>
      </c>
      <c r="Z161" s="11" t="s">
        <v>2555</v>
      </c>
      <c r="AA161" s="11" t="s">
        <v>2556</v>
      </c>
      <c r="AB161" s="11" t="s">
        <v>2557</v>
      </c>
      <c r="AC161" s="11" t="s">
        <v>2552</v>
      </c>
      <c r="AD161" s="11">
        <v>5390477</v>
      </c>
      <c r="AE161" s="11" t="s">
        <v>94</v>
      </c>
      <c r="AF161" s="11" t="s">
        <v>2558</v>
      </c>
      <c r="AG161" s="11" t="s">
        <v>94</v>
      </c>
      <c r="AH161" s="11" t="s">
        <v>2558</v>
      </c>
      <c r="AI161" s="11" t="s">
        <v>2014</v>
      </c>
      <c r="AJ161" s="11" t="s">
        <v>1801</v>
      </c>
      <c r="AK161" s="11" t="s">
        <v>1396</v>
      </c>
      <c r="AL161" s="11" t="s">
        <v>134</v>
      </c>
      <c r="AM161" s="11">
        <v>4200</v>
      </c>
      <c r="AN161" s="11"/>
      <c r="AO161" s="11" t="s">
        <v>134</v>
      </c>
      <c r="AP161" s="11" t="s">
        <v>1397</v>
      </c>
      <c r="AQ161" s="11" t="s">
        <v>1398</v>
      </c>
      <c r="AR161" s="11" t="s">
        <v>1399</v>
      </c>
      <c r="AS161" s="11" t="s">
        <v>2559</v>
      </c>
      <c r="AT161" s="11" t="s">
        <v>2564</v>
      </c>
      <c r="AU161" s="11" t="s">
        <v>1692</v>
      </c>
      <c r="AV161" s="11"/>
      <c r="AW161" s="11" t="s">
        <v>2561</v>
      </c>
      <c r="AX161" s="11"/>
      <c r="AY161" s="11"/>
      <c r="AZ161" s="11"/>
      <c r="BA161" s="11"/>
      <c r="BB161" s="11">
        <v>51510524</v>
      </c>
      <c r="BC161" s="11" t="s">
        <v>1403</v>
      </c>
      <c r="BD161" s="11" t="s">
        <v>1432</v>
      </c>
      <c r="BE161" s="11" t="s">
        <v>1779</v>
      </c>
      <c r="BF161" s="11" t="s">
        <v>2562</v>
      </c>
      <c r="BG161" s="11" t="s">
        <v>1482</v>
      </c>
      <c r="BH161" s="11" t="s">
        <v>1502</v>
      </c>
      <c r="BI161" s="11" t="s">
        <v>1407</v>
      </c>
      <c r="BJ161" s="11" t="s">
        <v>134</v>
      </c>
      <c r="BK161" s="11"/>
      <c r="BL161" s="11" t="s">
        <v>1408</v>
      </c>
      <c r="BM161" s="11"/>
      <c r="BN161" s="11" t="s">
        <v>1457</v>
      </c>
      <c r="BO161" s="11" t="s">
        <v>1410</v>
      </c>
    </row>
    <row r="162" spans="2:67">
      <c r="B162" s="11">
        <v>151</v>
      </c>
      <c r="C162" s="11" t="s">
        <v>1374</v>
      </c>
      <c r="D162" s="11" t="s">
        <v>1375</v>
      </c>
      <c r="E162" s="11" t="s">
        <v>2565</v>
      </c>
      <c r="F162" s="11" t="s">
        <v>2566</v>
      </c>
      <c r="G162" s="11" t="s">
        <v>1413</v>
      </c>
      <c r="H162" s="11" t="s">
        <v>2567</v>
      </c>
      <c r="I162" s="11" t="s">
        <v>2568</v>
      </c>
      <c r="J162" s="11" t="s">
        <v>2569</v>
      </c>
      <c r="K162" s="11"/>
      <c r="L162" s="11" t="s">
        <v>1382</v>
      </c>
      <c r="M162" s="11" t="s">
        <v>1417</v>
      </c>
      <c r="N162" s="11" t="s">
        <v>772</v>
      </c>
      <c r="O162" s="11" t="s">
        <v>134</v>
      </c>
      <c r="P162" s="11"/>
      <c r="Q162" s="11"/>
      <c r="R162" s="11" t="s">
        <v>2570</v>
      </c>
      <c r="S162" s="11" t="s">
        <v>1382</v>
      </c>
      <c r="T162" s="11" t="s">
        <v>2571</v>
      </c>
      <c r="U162" s="11" t="s">
        <v>1387</v>
      </c>
      <c r="V162" s="11" t="s">
        <v>2572</v>
      </c>
      <c r="W162" s="11" t="s">
        <v>1389</v>
      </c>
      <c r="X162" s="11" t="s">
        <v>1769</v>
      </c>
      <c r="Y162" s="11" t="s">
        <v>1547</v>
      </c>
      <c r="Z162" s="11" t="s">
        <v>2573</v>
      </c>
      <c r="AA162" s="11" t="s">
        <v>2574</v>
      </c>
      <c r="AB162" s="11" t="s">
        <v>2575</v>
      </c>
      <c r="AC162" s="11" t="s">
        <v>2570</v>
      </c>
      <c r="AD162" s="11">
        <v>5362582</v>
      </c>
      <c r="AE162" s="11" t="s">
        <v>1382</v>
      </c>
      <c r="AF162" s="11" t="s">
        <v>2576</v>
      </c>
      <c r="AG162" s="11" t="s">
        <v>1382</v>
      </c>
      <c r="AH162" s="11" t="s">
        <v>2577</v>
      </c>
      <c r="AI162" s="11" t="s">
        <v>2296</v>
      </c>
      <c r="AJ162" s="11" t="s">
        <v>2297</v>
      </c>
      <c r="AK162" s="11" t="s">
        <v>1396</v>
      </c>
      <c r="AL162" s="11" t="s">
        <v>134</v>
      </c>
      <c r="AM162" s="11">
        <v>18800</v>
      </c>
      <c r="AN162" s="11"/>
      <c r="AO162" s="11" t="s">
        <v>134</v>
      </c>
      <c r="AP162" s="11" t="s">
        <v>1397</v>
      </c>
      <c r="AQ162" s="11" t="s">
        <v>1398</v>
      </c>
      <c r="AR162" s="11" t="s">
        <v>1671</v>
      </c>
      <c r="AS162" s="11" t="s">
        <v>2578</v>
      </c>
      <c r="AT162" s="11" t="s">
        <v>2579</v>
      </c>
      <c r="AU162" s="11" t="s">
        <v>1692</v>
      </c>
      <c r="AV162" s="11"/>
      <c r="AW162" s="11" t="s">
        <v>2580</v>
      </c>
      <c r="AX162" s="11"/>
      <c r="AY162" s="11"/>
      <c r="AZ162" s="11"/>
      <c r="BA162" s="11"/>
      <c r="BB162" s="11">
        <v>80249839</v>
      </c>
      <c r="BC162" s="11" t="s">
        <v>1403</v>
      </c>
      <c r="BD162" s="11" t="s">
        <v>1432</v>
      </c>
      <c r="BE162" s="11" t="s">
        <v>1779</v>
      </c>
      <c r="BF162" s="11" t="s">
        <v>1637</v>
      </c>
      <c r="BG162" s="11"/>
      <c r="BH162" s="11" t="s">
        <v>1435</v>
      </c>
      <c r="BI162" s="11" t="s">
        <v>1407</v>
      </c>
      <c r="BJ162" s="11" t="s">
        <v>134</v>
      </c>
      <c r="BK162" s="11"/>
      <c r="BL162" s="11" t="s">
        <v>1408</v>
      </c>
      <c r="BM162" s="11"/>
      <c r="BN162" s="11" t="s">
        <v>1457</v>
      </c>
      <c r="BO162" s="11" t="s">
        <v>2581</v>
      </c>
    </row>
    <row r="163" spans="2:67">
      <c r="B163" s="11">
        <v>152</v>
      </c>
      <c r="C163" s="11" t="s">
        <v>1374</v>
      </c>
      <c r="D163" s="11" t="s">
        <v>1375</v>
      </c>
      <c r="E163" s="11" t="s">
        <v>2582</v>
      </c>
      <c r="F163" s="11" t="s">
        <v>2583</v>
      </c>
      <c r="G163" s="11" t="s">
        <v>2584</v>
      </c>
      <c r="H163" s="11" t="s">
        <v>2585</v>
      </c>
      <c r="I163" s="11" t="s">
        <v>2586</v>
      </c>
      <c r="J163" s="11"/>
      <c r="K163" s="11" t="s">
        <v>1381</v>
      </c>
      <c r="L163" s="11" t="s">
        <v>1382</v>
      </c>
      <c r="M163" s="11" t="s">
        <v>1383</v>
      </c>
      <c r="N163" s="11" t="s">
        <v>1957</v>
      </c>
      <c r="O163" s="11" t="s">
        <v>2587</v>
      </c>
      <c r="P163" s="11"/>
      <c r="Q163" s="11"/>
      <c r="R163" s="11" t="s">
        <v>2582</v>
      </c>
      <c r="S163" s="11" t="s">
        <v>1382</v>
      </c>
      <c r="T163" s="11" t="s">
        <v>2588</v>
      </c>
      <c r="U163" s="11" t="s">
        <v>1387</v>
      </c>
      <c r="V163" s="11" t="s">
        <v>2589</v>
      </c>
      <c r="W163" s="11" t="s">
        <v>1389</v>
      </c>
      <c r="X163" s="11" t="s">
        <v>1598</v>
      </c>
      <c r="Y163" s="11" t="s">
        <v>1381</v>
      </c>
      <c r="Z163" s="11" t="s">
        <v>2590</v>
      </c>
      <c r="AA163" s="11" t="s">
        <v>2591</v>
      </c>
      <c r="AB163" s="11" t="s">
        <v>2592</v>
      </c>
      <c r="AC163" s="11" t="s">
        <v>2582</v>
      </c>
      <c r="AD163" s="11">
        <v>5361877</v>
      </c>
      <c r="AE163" s="11" t="s">
        <v>1382</v>
      </c>
      <c r="AF163" s="11" t="s">
        <v>2593</v>
      </c>
      <c r="AG163" s="11" t="s">
        <v>1382</v>
      </c>
      <c r="AH163" s="11" t="s">
        <v>2593</v>
      </c>
      <c r="AI163" s="11" t="s">
        <v>1394</v>
      </c>
      <c r="AJ163" s="11" t="s">
        <v>1395</v>
      </c>
      <c r="AK163" s="11" t="s">
        <v>1396</v>
      </c>
      <c r="AL163" s="11" t="s">
        <v>134</v>
      </c>
      <c r="AM163" s="11">
        <v>15000</v>
      </c>
      <c r="AN163" s="11"/>
      <c r="AO163" s="11" t="s">
        <v>2594</v>
      </c>
      <c r="AP163" s="11" t="s">
        <v>1397</v>
      </c>
      <c r="AQ163" s="11" t="s">
        <v>1398</v>
      </c>
      <c r="AR163" s="11" t="s">
        <v>1652</v>
      </c>
      <c r="AS163" s="11" t="s">
        <v>2595</v>
      </c>
      <c r="AT163" s="11" t="s">
        <v>2596</v>
      </c>
      <c r="AU163" s="11" t="s">
        <v>1692</v>
      </c>
      <c r="AV163" s="11"/>
      <c r="AW163" s="11" t="s">
        <v>2597</v>
      </c>
      <c r="AX163" s="11"/>
      <c r="AY163" s="11"/>
      <c r="AZ163" s="11"/>
      <c r="BA163" s="11"/>
      <c r="BB163" s="11">
        <v>43544491</v>
      </c>
      <c r="BC163" s="11" t="s">
        <v>1403</v>
      </c>
      <c r="BD163" s="11" t="s">
        <v>2598</v>
      </c>
      <c r="BE163" s="11" t="s">
        <v>2444</v>
      </c>
      <c r="BF163" s="11" t="s">
        <v>1555</v>
      </c>
      <c r="BG163" s="11" t="s">
        <v>1482</v>
      </c>
      <c r="BH163" s="11" t="s">
        <v>1502</v>
      </c>
      <c r="BI163" s="11" t="s">
        <v>1407</v>
      </c>
      <c r="BJ163" s="11" t="s">
        <v>134</v>
      </c>
      <c r="BK163" s="11"/>
      <c r="BL163" s="11" t="s">
        <v>1408</v>
      </c>
      <c r="BM163" s="11"/>
      <c r="BN163" s="11" t="s">
        <v>1483</v>
      </c>
      <c r="BO163" s="11" t="s">
        <v>2599</v>
      </c>
    </row>
    <row r="164" spans="2:67">
      <c r="B164" s="11">
        <v>153</v>
      </c>
      <c r="C164" s="11" t="s">
        <v>1374</v>
      </c>
      <c r="D164" s="11" t="s">
        <v>1375</v>
      </c>
      <c r="E164" s="11" t="s">
        <v>2223</v>
      </c>
      <c r="F164" s="11" t="s">
        <v>2600</v>
      </c>
      <c r="G164" s="11" t="s">
        <v>1974</v>
      </c>
      <c r="H164" s="11" t="s">
        <v>2601</v>
      </c>
      <c r="I164" s="11" t="s">
        <v>2002</v>
      </c>
      <c r="J164" s="11" t="s">
        <v>134</v>
      </c>
      <c r="K164" s="11" t="s">
        <v>1547</v>
      </c>
      <c r="L164" s="11" t="s">
        <v>1382</v>
      </c>
      <c r="M164" s="11" t="s">
        <v>181</v>
      </c>
      <c r="N164" s="11" t="s">
        <v>181</v>
      </c>
      <c r="O164" s="11" t="s">
        <v>134</v>
      </c>
      <c r="P164" s="11"/>
      <c r="Q164" s="11"/>
      <c r="R164" s="11" t="s">
        <v>2602</v>
      </c>
      <c r="S164" s="11" t="s">
        <v>1382</v>
      </c>
      <c r="T164" s="11" t="s">
        <v>2603</v>
      </c>
      <c r="U164" s="11" t="s">
        <v>1387</v>
      </c>
      <c r="V164" s="11" t="s">
        <v>2604</v>
      </c>
      <c r="W164" s="11" t="s">
        <v>1389</v>
      </c>
      <c r="X164" s="11" t="s">
        <v>1563</v>
      </c>
      <c r="Y164" s="11" t="s">
        <v>1547</v>
      </c>
      <c r="Z164" s="11" t="s">
        <v>2573</v>
      </c>
      <c r="AA164" s="11" t="s">
        <v>2605</v>
      </c>
      <c r="AB164" s="11" t="s">
        <v>2606</v>
      </c>
      <c r="AC164" s="11" t="s">
        <v>2602</v>
      </c>
      <c r="AD164" s="11">
        <v>5401512</v>
      </c>
      <c r="AE164" s="11" t="s">
        <v>1382</v>
      </c>
      <c r="AF164" s="11" t="s">
        <v>2607</v>
      </c>
      <c r="AG164" s="11" t="s">
        <v>1382</v>
      </c>
      <c r="AH164" s="11" t="s">
        <v>2608</v>
      </c>
      <c r="AI164" s="11" t="s">
        <v>2609</v>
      </c>
      <c r="AJ164" s="11" t="s">
        <v>1929</v>
      </c>
      <c r="AK164" s="11" t="s">
        <v>1396</v>
      </c>
      <c r="AL164" s="11" t="s">
        <v>134</v>
      </c>
      <c r="AM164" s="11">
        <v>9224.1</v>
      </c>
      <c r="AN164" s="11"/>
      <c r="AO164" s="11" t="s">
        <v>134</v>
      </c>
      <c r="AP164" s="11" t="s">
        <v>1397</v>
      </c>
      <c r="AQ164" s="11" t="s">
        <v>1398</v>
      </c>
      <c r="AR164" s="11" t="s">
        <v>1652</v>
      </c>
      <c r="AS164" s="11" t="s">
        <v>2610</v>
      </c>
      <c r="AT164" s="11" t="s">
        <v>2611</v>
      </c>
      <c r="AU164" s="11" t="s">
        <v>2612</v>
      </c>
      <c r="AV164" s="11"/>
      <c r="AW164" s="11" t="s">
        <v>2613</v>
      </c>
      <c r="AX164" s="11"/>
      <c r="AY164" s="11"/>
      <c r="AZ164" s="11"/>
      <c r="BA164" s="11"/>
      <c r="BB164" s="11">
        <v>80235037</v>
      </c>
      <c r="BC164" s="11" t="s">
        <v>1403</v>
      </c>
      <c r="BD164" s="11" t="s">
        <v>1432</v>
      </c>
      <c r="BE164" s="11" t="s">
        <v>1694</v>
      </c>
      <c r="BF164" s="11" t="s">
        <v>1501</v>
      </c>
      <c r="BG164" s="11" t="s">
        <v>1482</v>
      </c>
      <c r="BH164" s="11" t="s">
        <v>1435</v>
      </c>
      <c r="BI164" s="11" t="s">
        <v>1407</v>
      </c>
      <c r="BJ164" s="11" t="s">
        <v>134</v>
      </c>
      <c r="BK164" s="11"/>
      <c r="BL164" s="11" t="s">
        <v>1408</v>
      </c>
      <c r="BM164" s="11"/>
      <c r="BN164" s="11" t="s">
        <v>1457</v>
      </c>
      <c r="BO164" s="11" t="s">
        <v>1410</v>
      </c>
    </row>
    <row r="165" spans="2:67">
      <c r="B165" s="11">
        <v>154</v>
      </c>
      <c r="C165" s="11" t="s">
        <v>1374</v>
      </c>
      <c r="D165" s="11" t="s">
        <v>1375</v>
      </c>
      <c r="E165" s="11" t="s">
        <v>2223</v>
      </c>
      <c r="F165" s="11" t="s">
        <v>2600</v>
      </c>
      <c r="G165" s="11" t="s">
        <v>1974</v>
      </c>
      <c r="H165" s="11" t="s">
        <v>2601</v>
      </c>
      <c r="I165" s="11" t="s">
        <v>2002</v>
      </c>
      <c r="J165" s="11" t="s">
        <v>134</v>
      </c>
      <c r="K165" s="11" t="s">
        <v>1547</v>
      </c>
      <c r="L165" s="11" t="s">
        <v>1382</v>
      </c>
      <c r="M165" s="11" t="s">
        <v>181</v>
      </c>
      <c r="N165" s="11" t="s">
        <v>181</v>
      </c>
      <c r="O165" s="11" t="s">
        <v>134</v>
      </c>
      <c r="P165" s="11"/>
      <c r="Q165" s="11"/>
      <c r="R165" s="11" t="s">
        <v>2602</v>
      </c>
      <c r="S165" s="11" t="s">
        <v>1382</v>
      </c>
      <c r="T165" s="11" t="s">
        <v>2603</v>
      </c>
      <c r="U165" s="11" t="s">
        <v>1387</v>
      </c>
      <c r="V165" s="11" t="s">
        <v>2604</v>
      </c>
      <c r="W165" s="11" t="s">
        <v>1389</v>
      </c>
      <c r="X165" s="11" t="s">
        <v>1563</v>
      </c>
      <c r="Y165" s="11" t="s">
        <v>1547</v>
      </c>
      <c r="Z165" s="11" t="s">
        <v>2573</v>
      </c>
      <c r="AA165" s="11" t="s">
        <v>2605</v>
      </c>
      <c r="AB165" s="11" t="s">
        <v>2606</v>
      </c>
      <c r="AC165" s="11" t="s">
        <v>2602</v>
      </c>
      <c r="AD165" s="11">
        <v>5401512</v>
      </c>
      <c r="AE165" s="11" t="s">
        <v>1382</v>
      </c>
      <c r="AF165" s="11" t="s">
        <v>2607</v>
      </c>
      <c r="AG165" s="11" t="s">
        <v>1382</v>
      </c>
      <c r="AH165" s="11" t="s">
        <v>2608</v>
      </c>
      <c r="AI165" s="11" t="s">
        <v>2614</v>
      </c>
      <c r="AJ165" s="11" t="s">
        <v>1937</v>
      </c>
      <c r="AK165" s="11" t="s">
        <v>1396</v>
      </c>
      <c r="AL165" s="11" t="s">
        <v>134</v>
      </c>
      <c r="AM165" s="11">
        <v>6864.8</v>
      </c>
      <c r="AN165" s="11"/>
      <c r="AO165" s="11" t="s">
        <v>134</v>
      </c>
      <c r="AP165" s="11" t="s">
        <v>1397</v>
      </c>
      <c r="AQ165" s="11" t="s">
        <v>1398</v>
      </c>
      <c r="AR165" s="11" t="s">
        <v>1652</v>
      </c>
      <c r="AS165" s="11" t="s">
        <v>2610</v>
      </c>
      <c r="AT165" s="11" t="s">
        <v>2615</v>
      </c>
      <c r="AU165" s="11" t="s">
        <v>2612</v>
      </c>
      <c r="AV165" s="11"/>
      <c r="AW165" s="11" t="s">
        <v>2613</v>
      </c>
      <c r="AX165" s="11"/>
      <c r="AY165" s="11"/>
      <c r="AZ165" s="11"/>
      <c r="BA165" s="11"/>
      <c r="BB165" s="11">
        <v>80235037</v>
      </c>
      <c r="BC165" s="11" t="s">
        <v>1403</v>
      </c>
      <c r="BD165" s="11" t="s">
        <v>1432</v>
      </c>
      <c r="BE165" s="11" t="s">
        <v>1694</v>
      </c>
      <c r="BF165" s="11" t="s">
        <v>1501</v>
      </c>
      <c r="BG165" s="11" t="s">
        <v>1482</v>
      </c>
      <c r="BH165" s="11" t="s">
        <v>1435</v>
      </c>
      <c r="BI165" s="11" t="s">
        <v>1407</v>
      </c>
      <c r="BJ165" s="11" t="s">
        <v>134</v>
      </c>
      <c r="BK165" s="11"/>
      <c r="BL165" s="11" t="s">
        <v>1408</v>
      </c>
      <c r="BM165" s="11"/>
      <c r="BN165" s="11" t="s">
        <v>1457</v>
      </c>
      <c r="BO165" s="11" t="s">
        <v>1410</v>
      </c>
    </row>
    <row r="166" spans="2:67">
      <c r="B166" s="11">
        <v>155</v>
      </c>
      <c r="C166" s="11" t="s">
        <v>1374</v>
      </c>
      <c r="D166" s="11" t="s">
        <v>1375</v>
      </c>
      <c r="E166" s="11" t="s">
        <v>2223</v>
      </c>
      <c r="F166" s="11" t="s">
        <v>2600</v>
      </c>
      <c r="G166" s="11" t="s">
        <v>1974</v>
      </c>
      <c r="H166" s="11" t="s">
        <v>2601</v>
      </c>
      <c r="I166" s="11" t="s">
        <v>2002</v>
      </c>
      <c r="J166" s="11" t="s">
        <v>134</v>
      </c>
      <c r="K166" s="11" t="s">
        <v>1547</v>
      </c>
      <c r="L166" s="11" t="s">
        <v>1382</v>
      </c>
      <c r="M166" s="11" t="s">
        <v>181</v>
      </c>
      <c r="N166" s="11" t="s">
        <v>181</v>
      </c>
      <c r="O166" s="11" t="s">
        <v>134</v>
      </c>
      <c r="P166" s="11"/>
      <c r="Q166" s="11"/>
      <c r="R166" s="11" t="s">
        <v>2602</v>
      </c>
      <c r="S166" s="11" t="s">
        <v>1382</v>
      </c>
      <c r="T166" s="11" t="s">
        <v>2603</v>
      </c>
      <c r="U166" s="11" t="s">
        <v>1387</v>
      </c>
      <c r="V166" s="11" t="s">
        <v>2604</v>
      </c>
      <c r="W166" s="11" t="s">
        <v>1389</v>
      </c>
      <c r="X166" s="11" t="s">
        <v>1563</v>
      </c>
      <c r="Y166" s="11" t="s">
        <v>1547</v>
      </c>
      <c r="Z166" s="11" t="s">
        <v>2573</v>
      </c>
      <c r="AA166" s="11" t="s">
        <v>2605</v>
      </c>
      <c r="AB166" s="11" t="s">
        <v>2606</v>
      </c>
      <c r="AC166" s="11" t="s">
        <v>2602</v>
      </c>
      <c r="AD166" s="11">
        <v>5401512</v>
      </c>
      <c r="AE166" s="11" t="s">
        <v>1382</v>
      </c>
      <c r="AF166" s="11" t="s">
        <v>2607</v>
      </c>
      <c r="AG166" s="11" t="s">
        <v>1382</v>
      </c>
      <c r="AH166" s="11" t="s">
        <v>2608</v>
      </c>
      <c r="AI166" s="11" t="s">
        <v>2616</v>
      </c>
      <c r="AJ166" s="11" t="s">
        <v>2617</v>
      </c>
      <c r="AK166" s="11" t="s">
        <v>1396</v>
      </c>
      <c r="AL166" s="11" t="s">
        <v>134</v>
      </c>
      <c r="AM166" s="11">
        <v>8100</v>
      </c>
      <c r="AN166" s="11"/>
      <c r="AO166" s="11" t="s">
        <v>134</v>
      </c>
      <c r="AP166" s="11" t="s">
        <v>1397</v>
      </c>
      <c r="AQ166" s="11" t="s">
        <v>1398</v>
      </c>
      <c r="AR166" s="11" t="s">
        <v>1652</v>
      </c>
      <c r="AS166" s="11" t="s">
        <v>2610</v>
      </c>
      <c r="AT166" s="11" t="s">
        <v>2618</v>
      </c>
      <c r="AU166" s="11" t="s">
        <v>2612</v>
      </c>
      <c r="AV166" s="11"/>
      <c r="AW166" s="11" t="s">
        <v>2613</v>
      </c>
      <c r="AX166" s="11"/>
      <c r="AY166" s="11"/>
      <c r="AZ166" s="11"/>
      <c r="BA166" s="11"/>
      <c r="BB166" s="11">
        <v>80235037</v>
      </c>
      <c r="BC166" s="11" t="s">
        <v>1403</v>
      </c>
      <c r="BD166" s="11" t="s">
        <v>1432</v>
      </c>
      <c r="BE166" s="11" t="s">
        <v>1694</v>
      </c>
      <c r="BF166" s="11" t="s">
        <v>1501</v>
      </c>
      <c r="BG166" s="11" t="s">
        <v>1482</v>
      </c>
      <c r="BH166" s="11" t="s">
        <v>1435</v>
      </c>
      <c r="BI166" s="11" t="s">
        <v>1407</v>
      </c>
      <c r="BJ166" s="11" t="s">
        <v>134</v>
      </c>
      <c r="BK166" s="11"/>
      <c r="BL166" s="11" t="s">
        <v>1408</v>
      </c>
      <c r="BM166" s="11"/>
      <c r="BN166" s="11" t="s">
        <v>1457</v>
      </c>
      <c r="BO166" s="11" t="s">
        <v>1410</v>
      </c>
    </row>
    <row r="167" spans="2:67">
      <c r="B167" s="11">
        <v>156</v>
      </c>
      <c r="C167" s="11" t="s">
        <v>1374</v>
      </c>
      <c r="D167" s="11" t="s">
        <v>1375</v>
      </c>
      <c r="E167" s="11" t="s">
        <v>2223</v>
      </c>
      <c r="F167" s="11" t="s">
        <v>2600</v>
      </c>
      <c r="G167" s="11" t="s">
        <v>1974</v>
      </c>
      <c r="H167" s="11" t="s">
        <v>2601</v>
      </c>
      <c r="I167" s="11" t="s">
        <v>2002</v>
      </c>
      <c r="J167" s="11" t="s">
        <v>134</v>
      </c>
      <c r="K167" s="11" t="s">
        <v>1547</v>
      </c>
      <c r="L167" s="11" t="s">
        <v>1382</v>
      </c>
      <c r="M167" s="11" t="s">
        <v>181</v>
      </c>
      <c r="N167" s="11" t="s">
        <v>181</v>
      </c>
      <c r="O167" s="11" t="s">
        <v>134</v>
      </c>
      <c r="P167" s="11"/>
      <c r="Q167" s="11"/>
      <c r="R167" s="11" t="s">
        <v>2602</v>
      </c>
      <c r="S167" s="11" t="s">
        <v>1382</v>
      </c>
      <c r="T167" s="11" t="s">
        <v>2603</v>
      </c>
      <c r="U167" s="11" t="s">
        <v>1387</v>
      </c>
      <c r="V167" s="11" t="s">
        <v>2604</v>
      </c>
      <c r="W167" s="11" t="s">
        <v>1389</v>
      </c>
      <c r="X167" s="11" t="s">
        <v>1563</v>
      </c>
      <c r="Y167" s="11" t="s">
        <v>1547</v>
      </c>
      <c r="Z167" s="11" t="s">
        <v>2573</v>
      </c>
      <c r="AA167" s="11" t="s">
        <v>2605</v>
      </c>
      <c r="AB167" s="11" t="s">
        <v>2606</v>
      </c>
      <c r="AC167" s="11" t="s">
        <v>2602</v>
      </c>
      <c r="AD167" s="11">
        <v>5401512</v>
      </c>
      <c r="AE167" s="11" t="s">
        <v>1382</v>
      </c>
      <c r="AF167" s="11" t="s">
        <v>2607</v>
      </c>
      <c r="AG167" s="11" t="s">
        <v>1382</v>
      </c>
      <c r="AH167" s="11" t="s">
        <v>2608</v>
      </c>
      <c r="AI167" s="11" t="s">
        <v>2500</v>
      </c>
      <c r="AJ167" s="11" t="s">
        <v>1949</v>
      </c>
      <c r="AK167" s="11" t="s">
        <v>1396</v>
      </c>
      <c r="AL167" s="11" t="s">
        <v>134</v>
      </c>
      <c r="AM167" s="11">
        <v>9685.2000000000007</v>
      </c>
      <c r="AN167" s="11"/>
      <c r="AO167" s="11" t="s">
        <v>134</v>
      </c>
      <c r="AP167" s="11" t="s">
        <v>1397</v>
      </c>
      <c r="AQ167" s="11" t="s">
        <v>1398</v>
      </c>
      <c r="AR167" s="11" t="s">
        <v>1652</v>
      </c>
      <c r="AS167" s="11" t="s">
        <v>2610</v>
      </c>
      <c r="AT167" s="11" t="s">
        <v>2619</v>
      </c>
      <c r="AU167" s="11" t="s">
        <v>2612</v>
      </c>
      <c r="AV167" s="11"/>
      <c r="AW167" s="11" t="s">
        <v>2613</v>
      </c>
      <c r="AX167" s="11"/>
      <c r="AY167" s="11"/>
      <c r="AZ167" s="11"/>
      <c r="BA167" s="11"/>
      <c r="BB167" s="11">
        <v>80235037</v>
      </c>
      <c r="BC167" s="11" t="s">
        <v>1403</v>
      </c>
      <c r="BD167" s="11" t="s">
        <v>1432</v>
      </c>
      <c r="BE167" s="11" t="s">
        <v>1694</v>
      </c>
      <c r="BF167" s="11" t="s">
        <v>1501</v>
      </c>
      <c r="BG167" s="11" t="s">
        <v>1482</v>
      </c>
      <c r="BH167" s="11" t="s">
        <v>1435</v>
      </c>
      <c r="BI167" s="11" t="s">
        <v>1407</v>
      </c>
      <c r="BJ167" s="11" t="s">
        <v>134</v>
      </c>
      <c r="BK167" s="11"/>
      <c r="BL167" s="11" t="s">
        <v>1408</v>
      </c>
      <c r="BM167" s="11"/>
      <c r="BN167" s="11" t="s">
        <v>1457</v>
      </c>
      <c r="BO167" s="11" t="s">
        <v>1410</v>
      </c>
    </row>
    <row r="168" spans="2:67">
      <c r="B168" s="11">
        <v>157</v>
      </c>
      <c r="C168" s="11" t="s">
        <v>1374</v>
      </c>
      <c r="D168" s="11" t="s">
        <v>1375</v>
      </c>
      <c r="E168" s="11" t="s">
        <v>2223</v>
      </c>
      <c r="F168" s="11" t="s">
        <v>2600</v>
      </c>
      <c r="G168" s="11" t="s">
        <v>1974</v>
      </c>
      <c r="H168" s="11" t="s">
        <v>2601</v>
      </c>
      <c r="I168" s="11" t="s">
        <v>2002</v>
      </c>
      <c r="J168" s="11" t="s">
        <v>134</v>
      </c>
      <c r="K168" s="11" t="s">
        <v>1547</v>
      </c>
      <c r="L168" s="11" t="s">
        <v>1382</v>
      </c>
      <c r="M168" s="11" t="s">
        <v>181</v>
      </c>
      <c r="N168" s="11" t="s">
        <v>181</v>
      </c>
      <c r="O168" s="11" t="s">
        <v>134</v>
      </c>
      <c r="P168" s="11"/>
      <c r="Q168" s="11"/>
      <c r="R168" s="11" t="s">
        <v>2602</v>
      </c>
      <c r="S168" s="11" t="s">
        <v>1382</v>
      </c>
      <c r="T168" s="11" t="s">
        <v>2603</v>
      </c>
      <c r="U168" s="11" t="s">
        <v>1387</v>
      </c>
      <c r="V168" s="11" t="s">
        <v>2604</v>
      </c>
      <c r="W168" s="11" t="s">
        <v>1389</v>
      </c>
      <c r="X168" s="11" t="s">
        <v>1563</v>
      </c>
      <c r="Y168" s="11" t="s">
        <v>1547</v>
      </c>
      <c r="Z168" s="11" t="s">
        <v>2573</v>
      </c>
      <c r="AA168" s="11" t="s">
        <v>2605</v>
      </c>
      <c r="AB168" s="11" t="s">
        <v>2606</v>
      </c>
      <c r="AC168" s="11" t="s">
        <v>2602</v>
      </c>
      <c r="AD168" s="11">
        <v>5401512</v>
      </c>
      <c r="AE168" s="11" t="s">
        <v>1382</v>
      </c>
      <c r="AF168" s="11" t="s">
        <v>2607</v>
      </c>
      <c r="AG168" s="11" t="s">
        <v>1382</v>
      </c>
      <c r="AH168" s="11" t="s">
        <v>2608</v>
      </c>
      <c r="AI168" s="11" t="s">
        <v>2620</v>
      </c>
      <c r="AJ168" s="11" t="s">
        <v>2621</v>
      </c>
      <c r="AK168" s="11" t="s">
        <v>1396</v>
      </c>
      <c r="AL168" s="11" t="s">
        <v>134</v>
      </c>
      <c r="AM168" s="11">
        <v>16900</v>
      </c>
      <c r="AN168" s="11"/>
      <c r="AO168" s="11" t="s">
        <v>134</v>
      </c>
      <c r="AP168" s="11" t="s">
        <v>1397</v>
      </c>
      <c r="AQ168" s="11" t="s">
        <v>1398</v>
      </c>
      <c r="AR168" s="11" t="s">
        <v>1652</v>
      </c>
      <c r="AS168" s="11" t="s">
        <v>2610</v>
      </c>
      <c r="AT168" s="11" t="s">
        <v>2622</v>
      </c>
      <c r="AU168" s="11" t="s">
        <v>2612</v>
      </c>
      <c r="AV168" s="11"/>
      <c r="AW168" s="11" t="s">
        <v>2613</v>
      </c>
      <c r="AX168" s="11"/>
      <c r="AY168" s="11"/>
      <c r="AZ168" s="11"/>
      <c r="BA168" s="11"/>
      <c r="BB168" s="11">
        <v>80235037</v>
      </c>
      <c r="BC168" s="11" t="s">
        <v>1403</v>
      </c>
      <c r="BD168" s="11" t="s">
        <v>1432</v>
      </c>
      <c r="BE168" s="11" t="s">
        <v>1694</v>
      </c>
      <c r="BF168" s="11" t="s">
        <v>1501</v>
      </c>
      <c r="BG168" s="11" t="s">
        <v>1482</v>
      </c>
      <c r="BH168" s="11" t="s">
        <v>1435</v>
      </c>
      <c r="BI168" s="11" t="s">
        <v>1407</v>
      </c>
      <c r="BJ168" s="11" t="s">
        <v>134</v>
      </c>
      <c r="BK168" s="11"/>
      <c r="BL168" s="11" t="s">
        <v>1408</v>
      </c>
      <c r="BM168" s="11"/>
      <c r="BN168" s="11" t="s">
        <v>1457</v>
      </c>
      <c r="BO168" s="11" t="s">
        <v>1410</v>
      </c>
    </row>
    <row r="169" spans="2:67">
      <c r="B169" s="11">
        <v>158</v>
      </c>
      <c r="C169" s="11" t="s">
        <v>1374</v>
      </c>
      <c r="D169" s="11" t="s">
        <v>1375</v>
      </c>
      <c r="E169" s="11" t="s">
        <v>2223</v>
      </c>
      <c r="F169" s="11" t="s">
        <v>2600</v>
      </c>
      <c r="G169" s="11" t="s">
        <v>1974</v>
      </c>
      <c r="H169" s="11" t="s">
        <v>2601</v>
      </c>
      <c r="I169" s="11" t="s">
        <v>2002</v>
      </c>
      <c r="J169" s="11" t="s">
        <v>134</v>
      </c>
      <c r="K169" s="11" t="s">
        <v>1547</v>
      </c>
      <c r="L169" s="11" t="s">
        <v>1382</v>
      </c>
      <c r="M169" s="11" t="s">
        <v>181</v>
      </c>
      <c r="N169" s="11" t="s">
        <v>181</v>
      </c>
      <c r="O169" s="11" t="s">
        <v>134</v>
      </c>
      <c r="P169" s="11"/>
      <c r="Q169" s="11"/>
      <c r="R169" s="11" t="s">
        <v>2602</v>
      </c>
      <c r="S169" s="11" t="s">
        <v>1382</v>
      </c>
      <c r="T169" s="11" t="s">
        <v>2603</v>
      </c>
      <c r="U169" s="11" t="s">
        <v>1387</v>
      </c>
      <c r="V169" s="11" t="s">
        <v>2604</v>
      </c>
      <c r="W169" s="11" t="s">
        <v>1389</v>
      </c>
      <c r="X169" s="11" t="s">
        <v>1563</v>
      </c>
      <c r="Y169" s="11" t="s">
        <v>1547</v>
      </c>
      <c r="Z169" s="11" t="s">
        <v>2573</v>
      </c>
      <c r="AA169" s="11" t="s">
        <v>2605</v>
      </c>
      <c r="AB169" s="11" t="s">
        <v>2606</v>
      </c>
      <c r="AC169" s="11" t="s">
        <v>2602</v>
      </c>
      <c r="AD169" s="11">
        <v>5401512</v>
      </c>
      <c r="AE169" s="11" t="s">
        <v>1382</v>
      </c>
      <c r="AF169" s="11" t="s">
        <v>2607</v>
      </c>
      <c r="AG169" s="11" t="s">
        <v>1382</v>
      </c>
      <c r="AH169" s="11" t="s">
        <v>2608</v>
      </c>
      <c r="AI169" s="11" t="s">
        <v>2623</v>
      </c>
      <c r="AJ169" s="11" t="s">
        <v>1943</v>
      </c>
      <c r="AK169" s="11" t="s">
        <v>1396</v>
      </c>
      <c r="AL169" s="11" t="s">
        <v>134</v>
      </c>
      <c r="AM169" s="11">
        <v>24800</v>
      </c>
      <c r="AN169" s="11"/>
      <c r="AO169" s="11" t="s">
        <v>134</v>
      </c>
      <c r="AP169" s="11" t="s">
        <v>1397</v>
      </c>
      <c r="AQ169" s="11" t="s">
        <v>1398</v>
      </c>
      <c r="AR169" s="11" t="s">
        <v>1652</v>
      </c>
      <c r="AS169" s="11" t="s">
        <v>2610</v>
      </c>
      <c r="AT169" s="11" t="s">
        <v>2624</v>
      </c>
      <c r="AU169" s="11" t="s">
        <v>2612</v>
      </c>
      <c r="AV169" s="11"/>
      <c r="AW169" s="11" t="s">
        <v>2613</v>
      </c>
      <c r="AX169" s="11"/>
      <c r="AY169" s="11"/>
      <c r="AZ169" s="11"/>
      <c r="BA169" s="11"/>
      <c r="BB169" s="11">
        <v>80235037</v>
      </c>
      <c r="BC169" s="11" t="s">
        <v>1403</v>
      </c>
      <c r="BD169" s="11" t="s">
        <v>1432</v>
      </c>
      <c r="BE169" s="11" t="s">
        <v>1694</v>
      </c>
      <c r="BF169" s="11" t="s">
        <v>1501</v>
      </c>
      <c r="BG169" s="11" t="s">
        <v>1482</v>
      </c>
      <c r="BH169" s="11" t="s">
        <v>1435</v>
      </c>
      <c r="BI169" s="11" t="s">
        <v>1407</v>
      </c>
      <c r="BJ169" s="11" t="s">
        <v>134</v>
      </c>
      <c r="BK169" s="11"/>
      <c r="BL169" s="11" t="s">
        <v>1408</v>
      </c>
      <c r="BM169" s="11"/>
      <c r="BN169" s="11" t="s">
        <v>1457</v>
      </c>
      <c r="BO169" s="11" t="s">
        <v>1410</v>
      </c>
    </row>
    <row r="170" spans="2:67">
      <c r="B170" s="11">
        <v>159</v>
      </c>
      <c r="C170" s="11" t="s">
        <v>1374</v>
      </c>
      <c r="D170" s="11" t="s">
        <v>1375</v>
      </c>
      <c r="E170" s="11" t="s">
        <v>2223</v>
      </c>
      <c r="F170" s="11" t="s">
        <v>2600</v>
      </c>
      <c r="G170" s="11" t="s">
        <v>1974</v>
      </c>
      <c r="H170" s="11" t="s">
        <v>2601</v>
      </c>
      <c r="I170" s="11" t="s">
        <v>2002</v>
      </c>
      <c r="J170" s="11" t="s">
        <v>134</v>
      </c>
      <c r="K170" s="11" t="s">
        <v>1547</v>
      </c>
      <c r="L170" s="11" t="s">
        <v>1382</v>
      </c>
      <c r="M170" s="11" t="s">
        <v>181</v>
      </c>
      <c r="N170" s="11" t="s">
        <v>181</v>
      </c>
      <c r="O170" s="11" t="s">
        <v>134</v>
      </c>
      <c r="P170" s="11"/>
      <c r="Q170" s="11"/>
      <c r="R170" s="11" t="s">
        <v>2602</v>
      </c>
      <c r="S170" s="11" t="s">
        <v>1382</v>
      </c>
      <c r="T170" s="11" t="s">
        <v>2603</v>
      </c>
      <c r="U170" s="11" t="s">
        <v>1387</v>
      </c>
      <c r="V170" s="11" t="s">
        <v>2604</v>
      </c>
      <c r="W170" s="11" t="s">
        <v>1389</v>
      </c>
      <c r="X170" s="11" t="s">
        <v>1563</v>
      </c>
      <c r="Y170" s="11" t="s">
        <v>1547</v>
      </c>
      <c r="Z170" s="11" t="s">
        <v>2573</v>
      </c>
      <c r="AA170" s="11" t="s">
        <v>2605</v>
      </c>
      <c r="AB170" s="11" t="s">
        <v>2606</v>
      </c>
      <c r="AC170" s="11" t="s">
        <v>2602</v>
      </c>
      <c r="AD170" s="11">
        <v>5401512</v>
      </c>
      <c r="AE170" s="11" t="s">
        <v>1382</v>
      </c>
      <c r="AF170" s="11" t="s">
        <v>2607</v>
      </c>
      <c r="AG170" s="11" t="s">
        <v>1382</v>
      </c>
      <c r="AH170" s="11" t="s">
        <v>2608</v>
      </c>
      <c r="AI170" s="11" t="s">
        <v>2625</v>
      </c>
      <c r="AJ170" s="11" t="s">
        <v>2425</v>
      </c>
      <c r="AK170" s="11" t="s">
        <v>1396</v>
      </c>
      <c r="AL170" s="11" t="s">
        <v>134</v>
      </c>
      <c r="AM170" s="11">
        <v>15325.9</v>
      </c>
      <c r="AN170" s="11"/>
      <c r="AO170" s="11" t="s">
        <v>134</v>
      </c>
      <c r="AP170" s="11" t="s">
        <v>1397</v>
      </c>
      <c r="AQ170" s="11" t="s">
        <v>1398</v>
      </c>
      <c r="AR170" s="11" t="s">
        <v>1652</v>
      </c>
      <c r="AS170" s="11" t="s">
        <v>2610</v>
      </c>
      <c r="AT170" s="11" t="s">
        <v>2626</v>
      </c>
      <c r="AU170" s="11" t="s">
        <v>2612</v>
      </c>
      <c r="AV170" s="11"/>
      <c r="AW170" s="11" t="s">
        <v>2613</v>
      </c>
      <c r="AX170" s="11"/>
      <c r="AY170" s="11"/>
      <c r="AZ170" s="11"/>
      <c r="BA170" s="11"/>
      <c r="BB170" s="11">
        <v>80235037</v>
      </c>
      <c r="BC170" s="11" t="s">
        <v>1403</v>
      </c>
      <c r="BD170" s="11" t="s">
        <v>1432</v>
      </c>
      <c r="BE170" s="11" t="s">
        <v>1694</v>
      </c>
      <c r="BF170" s="11" t="s">
        <v>1501</v>
      </c>
      <c r="BG170" s="11" t="s">
        <v>1482</v>
      </c>
      <c r="BH170" s="11" t="s">
        <v>1435</v>
      </c>
      <c r="BI170" s="11" t="s">
        <v>1407</v>
      </c>
      <c r="BJ170" s="11" t="s">
        <v>134</v>
      </c>
      <c r="BK170" s="11"/>
      <c r="BL170" s="11" t="s">
        <v>1408</v>
      </c>
      <c r="BM170" s="11"/>
      <c r="BN170" s="11" t="s">
        <v>1457</v>
      </c>
      <c r="BO170" s="11" t="s">
        <v>1410</v>
      </c>
    </row>
    <row r="171" spans="2:67">
      <c r="B171" s="11">
        <v>160</v>
      </c>
      <c r="C171" s="11" t="s">
        <v>1374</v>
      </c>
      <c r="D171" s="11" t="s">
        <v>1375</v>
      </c>
      <c r="E171" s="11" t="s">
        <v>2223</v>
      </c>
      <c r="F171" s="11" t="s">
        <v>2600</v>
      </c>
      <c r="G171" s="11" t="s">
        <v>1974</v>
      </c>
      <c r="H171" s="11" t="s">
        <v>2601</v>
      </c>
      <c r="I171" s="11" t="s">
        <v>2002</v>
      </c>
      <c r="J171" s="11" t="s">
        <v>134</v>
      </c>
      <c r="K171" s="11" t="s">
        <v>1547</v>
      </c>
      <c r="L171" s="11" t="s">
        <v>1382</v>
      </c>
      <c r="M171" s="11" t="s">
        <v>181</v>
      </c>
      <c r="N171" s="11" t="s">
        <v>181</v>
      </c>
      <c r="O171" s="11" t="s">
        <v>134</v>
      </c>
      <c r="P171" s="11"/>
      <c r="Q171" s="11"/>
      <c r="R171" s="11" t="s">
        <v>2602</v>
      </c>
      <c r="S171" s="11" t="s">
        <v>1382</v>
      </c>
      <c r="T171" s="11" t="s">
        <v>2603</v>
      </c>
      <c r="U171" s="11" t="s">
        <v>1387</v>
      </c>
      <c r="V171" s="11" t="s">
        <v>2604</v>
      </c>
      <c r="W171" s="11" t="s">
        <v>1389</v>
      </c>
      <c r="X171" s="11" t="s">
        <v>1563</v>
      </c>
      <c r="Y171" s="11" t="s">
        <v>1547</v>
      </c>
      <c r="Z171" s="11" t="s">
        <v>2573</v>
      </c>
      <c r="AA171" s="11" t="s">
        <v>2605</v>
      </c>
      <c r="AB171" s="11" t="s">
        <v>2606</v>
      </c>
      <c r="AC171" s="11" t="s">
        <v>2602</v>
      </c>
      <c r="AD171" s="11">
        <v>5401512</v>
      </c>
      <c r="AE171" s="11" t="s">
        <v>1382</v>
      </c>
      <c r="AF171" s="11" t="s">
        <v>2607</v>
      </c>
      <c r="AG171" s="11" t="s">
        <v>1382</v>
      </c>
      <c r="AH171" s="11" t="s">
        <v>2608</v>
      </c>
      <c r="AI171" s="11" t="s">
        <v>2627</v>
      </c>
      <c r="AJ171" s="11" t="s">
        <v>2506</v>
      </c>
      <c r="AK171" s="11" t="s">
        <v>1396</v>
      </c>
      <c r="AL171" s="11" t="s">
        <v>134</v>
      </c>
      <c r="AM171" s="11">
        <v>3000</v>
      </c>
      <c r="AN171" s="11"/>
      <c r="AO171" s="11" t="s">
        <v>134</v>
      </c>
      <c r="AP171" s="11" t="s">
        <v>1397</v>
      </c>
      <c r="AQ171" s="11" t="s">
        <v>1398</v>
      </c>
      <c r="AR171" s="11" t="s">
        <v>1652</v>
      </c>
      <c r="AS171" s="11" t="s">
        <v>2610</v>
      </c>
      <c r="AT171" s="11"/>
      <c r="AU171" s="11" t="s">
        <v>2612</v>
      </c>
      <c r="AV171" s="11"/>
      <c r="AW171" s="11" t="s">
        <v>2613</v>
      </c>
      <c r="AX171" s="11"/>
      <c r="AY171" s="11"/>
      <c r="AZ171" s="11"/>
      <c r="BA171" s="11"/>
      <c r="BB171" s="11">
        <v>80235037</v>
      </c>
      <c r="BC171" s="11" t="s">
        <v>1403</v>
      </c>
      <c r="BD171" s="11" t="s">
        <v>1432</v>
      </c>
      <c r="BE171" s="11" t="s">
        <v>1694</v>
      </c>
      <c r="BF171" s="11" t="s">
        <v>1501</v>
      </c>
      <c r="BG171" s="11" t="s">
        <v>1482</v>
      </c>
      <c r="BH171" s="11" t="s">
        <v>1435</v>
      </c>
      <c r="BI171" s="11" t="s">
        <v>1407</v>
      </c>
      <c r="BJ171" s="11" t="s">
        <v>134</v>
      </c>
      <c r="BK171" s="11"/>
      <c r="BL171" s="11"/>
      <c r="BM171" s="11"/>
      <c r="BN171" s="11" t="s">
        <v>1457</v>
      </c>
      <c r="BO171" s="11" t="s">
        <v>1410</v>
      </c>
    </row>
    <row r="172" spans="2:67">
      <c r="B172" s="11">
        <v>161</v>
      </c>
      <c r="C172" s="11" t="s">
        <v>1374</v>
      </c>
      <c r="D172" s="11" t="s">
        <v>1375</v>
      </c>
      <c r="E172" s="11" t="s">
        <v>2223</v>
      </c>
      <c r="F172" s="11" t="s">
        <v>2600</v>
      </c>
      <c r="G172" s="11" t="s">
        <v>1974</v>
      </c>
      <c r="H172" s="11" t="s">
        <v>2601</v>
      </c>
      <c r="I172" s="11" t="s">
        <v>2002</v>
      </c>
      <c r="J172" s="11" t="s">
        <v>134</v>
      </c>
      <c r="K172" s="11" t="s">
        <v>1547</v>
      </c>
      <c r="L172" s="11" t="s">
        <v>1382</v>
      </c>
      <c r="M172" s="11" t="s">
        <v>181</v>
      </c>
      <c r="N172" s="11" t="s">
        <v>181</v>
      </c>
      <c r="O172" s="11" t="s">
        <v>134</v>
      </c>
      <c r="P172" s="11"/>
      <c r="Q172" s="11"/>
      <c r="R172" s="11" t="s">
        <v>2602</v>
      </c>
      <c r="S172" s="11" t="s">
        <v>1382</v>
      </c>
      <c r="T172" s="11" t="s">
        <v>2603</v>
      </c>
      <c r="U172" s="11" t="s">
        <v>1387</v>
      </c>
      <c r="V172" s="11" t="s">
        <v>2604</v>
      </c>
      <c r="W172" s="11" t="s">
        <v>1389</v>
      </c>
      <c r="X172" s="11" t="s">
        <v>1563</v>
      </c>
      <c r="Y172" s="11" t="s">
        <v>1547</v>
      </c>
      <c r="Z172" s="11" t="s">
        <v>2573</v>
      </c>
      <c r="AA172" s="11" t="s">
        <v>2605</v>
      </c>
      <c r="AB172" s="11" t="s">
        <v>2606</v>
      </c>
      <c r="AC172" s="11" t="s">
        <v>2602</v>
      </c>
      <c r="AD172" s="11">
        <v>5401512</v>
      </c>
      <c r="AE172" s="11" t="s">
        <v>1382</v>
      </c>
      <c r="AF172" s="11" t="s">
        <v>2607</v>
      </c>
      <c r="AG172" s="11" t="s">
        <v>1382</v>
      </c>
      <c r="AH172" s="11" t="s">
        <v>2608</v>
      </c>
      <c r="AI172" s="11" t="s">
        <v>2628</v>
      </c>
      <c r="AJ172" s="11" t="s">
        <v>1952</v>
      </c>
      <c r="AK172" s="11" t="s">
        <v>1396</v>
      </c>
      <c r="AL172" s="11" t="s">
        <v>134</v>
      </c>
      <c r="AM172" s="11">
        <v>11300</v>
      </c>
      <c r="AN172" s="11"/>
      <c r="AO172" s="11" t="s">
        <v>134</v>
      </c>
      <c r="AP172" s="11" t="s">
        <v>1397</v>
      </c>
      <c r="AQ172" s="11" t="s">
        <v>1398</v>
      </c>
      <c r="AR172" s="11" t="s">
        <v>1652</v>
      </c>
      <c r="AS172" s="11" t="s">
        <v>2610</v>
      </c>
      <c r="AT172" s="11"/>
      <c r="AU172" s="11" t="s">
        <v>2612</v>
      </c>
      <c r="AV172" s="11"/>
      <c r="AW172" s="11" t="s">
        <v>2613</v>
      </c>
      <c r="AX172" s="11"/>
      <c r="AY172" s="11"/>
      <c r="AZ172" s="11"/>
      <c r="BA172" s="11"/>
      <c r="BB172" s="11">
        <v>80235037</v>
      </c>
      <c r="BC172" s="11" t="s">
        <v>1403</v>
      </c>
      <c r="BD172" s="11" t="s">
        <v>1432</v>
      </c>
      <c r="BE172" s="11" t="s">
        <v>1694</v>
      </c>
      <c r="BF172" s="11" t="s">
        <v>1501</v>
      </c>
      <c r="BG172" s="11" t="s">
        <v>1482</v>
      </c>
      <c r="BH172" s="11" t="s">
        <v>1435</v>
      </c>
      <c r="BI172" s="11" t="s">
        <v>1407</v>
      </c>
      <c r="BJ172" s="11" t="s">
        <v>134</v>
      </c>
      <c r="BK172" s="11"/>
      <c r="BL172" s="11"/>
      <c r="BM172" s="11"/>
      <c r="BN172" s="11" t="s">
        <v>1457</v>
      </c>
      <c r="BO172" s="11" t="s">
        <v>1410</v>
      </c>
    </row>
    <row r="173" spans="2:67">
      <c r="B173" s="11">
        <v>162</v>
      </c>
      <c r="C173" s="11" t="s">
        <v>1374</v>
      </c>
      <c r="D173" s="11" t="s">
        <v>1375</v>
      </c>
      <c r="E173" s="11" t="s">
        <v>2629</v>
      </c>
      <c r="F173" s="11" t="s">
        <v>2630</v>
      </c>
      <c r="G173" s="11" t="s">
        <v>2302</v>
      </c>
      <c r="H173" s="11" t="s">
        <v>2631</v>
      </c>
      <c r="I173" s="11" t="s">
        <v>2632</v>
      </c>
      <c r="J173" s="11"/>
      <c r="K173" s="11" t="s">
        <v>1470</v>
      </c>
      <c r="L173" s="11" t="s">
        <v>1382</v>
      </c>
      <c r="M173" s="11" t="s">
        <v>1383</v>
      </c>
      <c r="N173" s="11" t="s">
        <v>95</v>
      </c>
      <c r="O173" s="11" t="s">
        <v>2305</v>
      </c>
      <c r="P173" s="11"/>
      <c r="Q173" s="11"/>
      <c r="R173" s="11" t="s">
        <v>2629</v>
      </c>
      <c r="S173" s="11" t="s">
        <v>1382</v>
      </c>
      <c r="T173" s="11" t="s">
        <v>2633</v>
      </c>
      <c r="U173" s="11" t="s">
        <v>1444</v>
      </c>
      <c r="V173" s="11" t="s">
        <v>2634</v>
      </c>
      <c r="W173" s="11" t="s">
        <v>1389</v>
      </c>
      <c r="X173" s="11" t="s">
        <v>1469</v>
      </c>
      <c r="Y173" s="11" t="s">
        <v>1470</v>
      </c>
      <c r="Z173" s="11" t="s">
        <v>2635</v>
      </c>
      <c r="AA173" s="11" t="s">
        <v>2006</v>
      </c>
      <c r="AB173" s="11" t="s">
        <v>2636</v>
      </c>
      <c r="AC173" s="11" t="s">
        <v>2629</v>
      </c>
      <c r="AD173" s="11">
        <v>5390144</v>
      </c>
      <c r="AE173" s="11" t="s">
        <v>1382</v>
      </c>
      <c r="AF173" s="11" t="s">
        <v>2637</v>
      </c>
      <c r="AG173" s="11" t="s">
        <v>1382</v>
      </c>
      <c r="AH173" s="11" t="s">
        <v>2638</v>
      </c>
      <c r="AI173" s="11" t="s">
        <v>2639</v>
      </c>
      <c r="AJ173" s="11" t="s">
        <v>2366</v>
      </c>
      <c r="AK173" s="11" t="s">
        <v>1396</v>
      </c>
      <c r="AL173" s="11" t="s">
        <v>134</v>
      </c>
      <c r="AM173" s="11">
        <v>18300</v>
      </c>
      <c r="AN173" s="11"/>
      <c r="AO173" s="11" t="s">
        <v>2302</v>
      </c>
      <c r="AP173" s="11" t="s">
        <v>1451</v>
      </c>
      <c r="AQ173" s="11" t="s">
        <v>1398</v>
      </c>
      <c r="AR173" s="11"/>
      <c r="AS173" s="11" t="s">
        <v>2640</v>
      </c>
      <c r="AT173" s="11"/>
      <c r="AU173" s="11" t="s">
        <v>2612</v>
      </c>
      <c r="AV173" s="11"/>
      <c r="AW173" s="11" t="s">
        <v>2641</v>
      </c>
      <c r="AX173" s="11"/>
      <c r="AY173" s="11"/>
      <c r="AZ173" s="11"/>
      <c r="BA173" s="11"/>
      <c r="BB173" s="11">
        <v>69901008</v>
      </c>
      <c r="BC173" s="11" t="s">
        <v>1403</v>
      </c>
      <c r="BD173" s="11" t="s">
        <v>1432</v>
      </c>
      <c r="BE173" s="11" t="s">
        <v>1480</v>
      </c>
      <c r="BF173" s="11" t="s">
        <v>1481</v>
      </c>
      <c r="BG173" s="11" t="s">
        <v>1482</v>
      </c>
      <c r="BH173" s="11" t="s">
        <v>1502</v>
      </c>
      <c r="BI173" s="11" t="s">
        <v>1407</v>
      </c>
      <c r="BJ173" s="11" t="s">
        <v>134</v>
      </c>
      <c r="BK173" s="11"/>
      <c r="BL173" s="11"/>
      <c r="BM173" s="11"/>
      <c r="BN173" s="11" t="s">
        <v>1457</v>
      </c>
      <c r="BO173" s="11" t="s">
        <v>95</v>
      </c>
    </row>
    <row r="174" spans="2:67">
      <c r="B174" s="11">
        <v>163</v>
      </c>
      <c r="C174" s="11" t="s">
        <v>1374</v>
      </c>
      <c r="D174" s="11" t="s">
        <v>1375</v>
      </c>
      <c r="E174" s="11"/>
      <c r="F174" s="11" t="s">
        <v>1822</v>
      </c>
      <c r="G174" s="11"/>
      <c r="H174" s="11" t="s">
        <v>1823</v>
      </c>
      <c r="I174" s="11" t="s">
        <v>1824</v>
      </c>
      <c r="J174" s="11"/>
      <c r="K174" s="11" t="s">
        <v>1381</v>
      </c>
      <c r="L174" s="11" t="s">
        <v>1382</v>
      </c>
      <c r="M174" s="11" t="s">
        <v>1383</v>
      </c>
      <c r="N174" s="11" t="s">
        <v>95</v>
      </c>
      <c r="O174" s="11"/>
      <c r="P174" s="11"/>
      <c r="Q174" s="11"/>
      <c r="R174" s="11" t="s">
        <v>1825</v>
      </c>
      <c r="S174" s="11" t="s">
        <v>1382</v>
      </c>
      <c r="T174" s="11" t="s">
        <v>2642</v>
      </c>
      <c r="U174" s="11" t="s">
        <v>1444</v>
      </c>
      <c r="V174" s="11" t="s">
        <v>2643</v>
      </c>
      <c r="W174" s="11" t="s">
        <v>1389</v>
      </c>
      <c r="X174" s="11" t="s">
        <v>1390</v>
      </c>
      <c r="Y174" s="11" t="s">
        <v>1381</v>
      </c>
      <c r="Z174" s="11" t="s">
        <v>1828</v>
      </c>
      <c r="AA174" s="11" t="s">
        <v>1829</v>
      </c>
      <c r="AB174" s="11" t="s">
        <v>1830</v>
      </c>
      <c r="AC174" s="11" t="s">
        <v>1825</v>
      </c>
      <c r="AD174" s="11">
        <v>5361579</v>
      </c>
      <c r="AE174" s="11" t="s">
        <v>1382</v>
      </c>
      <c r="AF174" s="11" t="s">
        <v>2644</v>
      </c>
      <c r="AG174" s="11" t="s">
        <v>1382</v>
      </c>
      <c r="AH174" s="11" t="s">
        <v>2644</v>
      </c>
      <c r="AI174" s="11" t="s">
        <v>2145</v>
      </c>
      <c r="AJ174" s="11" t="s">
        <v>2146</v>
      </c>
      <c r="AK174" s="11" t="s">
        <v>1396</v>
      </c>
      <c r="AL174" s="11" t="s">
        <v>134</v>
      </c>
      <c r="AM174" s="11">
        <v>5887.7</v>
      </c>
      <c r="AN174" s="11" t="s">
        <v>1911</v>
      </c>
      <c r="AO174" s="11" t="s">
        <v>134</v>
      </c>
      <c r="AP174" s="11" t="s">
        <v>1451</v>
      </c>
      <c r="AQ174" s="11" t="s">
        <v>1398</v>
      </c>
      <c r="AR174" s="11" t="s">
        <v>1652</v>
      </c>
      <c r="AS174" s="11" t="s">
        <v>1833</v>
      </c>
      <c r="AT174" s="11" t="s">
        <v>2645</v>
      </c>
      <c r="AU174" s="11" t="s">
        <v>2612</v>
      </c>
      <c r="AV174" s="11"/>
      <c r="AW174" s="11" t="s">
        <v>2646</v>
      </c>
      <c r="AX174" s="11"/>
      <c r="AY174" s="11"/>
      <c r="AZ174" s="11"/>
      <c r="BA174" s="11"/>
      <c r="BB174" s="11">
        <v>51402702</v>
      </c>
      <c r="BC174" s="11" t="s">
        <v>1403</v>
      </c>
      <c r="BD174" s="11" t="s">
        <v>2647</v>
      </c>
      <c r="BE174" s="11" t="s">
        <v>1405</v>
      </c>
      <c r="BF174" s="11" t="s">
        <v>134</v>
      </c>
      <c r="BG174" s="11"/>
      <c r="BH174" s="11" t="s">
        <v>1520</v>
      </c>
      <c r="BI174" s="11" t="s">
        <v>1407</v>
      </c>
      <c r="BJ174" s="11" t="s">
        <v>134</v>
      </c>
      <c r="BK174" s="11"/>
      <c r="BL174" s="11" t="s">
        <v>1408</v>
      </c>
      <c r="BM174" s="11"/>
      <c r="BN174" s="11" t="s">
        <v>1457</v>
      </c>
      <c r="BO174" s="11"/>
    </row>
    <row r="175" spans="2:67">
      <c r="B175" s="11">
        <v>164</v>
      </c>
      <c r="C175" s="11" t="s">
        <v>1374</v>
      </c>
      <c r="D175" s="11" t="s">
        <v>1375</v>
      </c>
      <c r="E175" s="11"/>
      <c r="F175" s="11" t="s">
        <v>1822</v>
      </c>
      <c r="G175" s="11"/>
      <c r="H175" s="11" t="s">
        <v>1823</v>
      </c>
      <c r="I175" s="11" t="s">
        <v>1824</v>
      </c>
      <c r="J175" s="11"/>
      <c r="K175" s="11" t="s">
        <v>1381</v>
      </c>
      <c r="L175" s="11" t="s">
        <v>1382</v>
      </c>
      <c r="M175" s="11" t="s">
        <v>1383</v>
      </c>
      <c r="N175" s="11" t="s">
        <v>95</v>
      </c>
      <c r="O175" s="11"/>
      <c r="P175" s="11"/>
      <c r="Q175" s="11"/>
      <c r="R175" s="11" t="s">
        <v>1825</v>
      </c>
      <c r="S175" s="11" t="s">
        <v>1382</v>
      </c>
      <c r="T175" s="11" t="s">
        <v>2642</v>
      </c>
      <c r="U175" s="11" t="s">
        <v>1444</v>
      </c>
      <c r="V175" s="11" t="s">
        <v>2643</v>
      </c>
      <c r="W175" s="11" t="s">
        <v>1389</v>
      </c>
      <c r="X175" s="11" t="s">
        <v>1390</v>
      </c>
      <c r="Y175" s="11" t="s">
        <v>1381</v>
      </c>
      <c r="Z175" s="11" t="s">
        <v>1828</v>
      </c>
      <c r="AA175" s="11" t="s">
        <v>1829</v>
      </c>
      <c r="AB175" s="11" t="s">
        <v>1830</v>
      </c>
      <c r="AC175" s="11" t="s">
        <v>1825</v>
      </c>
      <c r="AD175" s="11">
        <v>5361579</v>
      </c>
      <c r="AE175" s="11" t="s">
        <v>1382</v>
      </c>
      <c r="AF175" s="11" t="s">
        <v>2644</v>
      </c>
      <c r="AG175" s="11" t="s">
        <v>1382</v>
      </c>
      <c r="AH175" s="11" t="s">
        <v>2644</v>
      </c>
      <c r="AI175" s="11" t="s">
        <v>2142</v>
      </c>
      <c r="AJ175" s="11" t="s">
        <v>2143</v>
      </c>
      <c r="AK175" s="11" t="s">
        <v>1396</v>
      </c>
      <c r="AL175" s="11" t="s">
        <v>134</v>
      </c>
      <c r="AM175" s="11">
        <v>4043.4</v>
      </c>
      <c r="AN175" s="11" t="s">
        <v>1911</v>
      </c>
      <c r="AO175" s="11" t="s">
        <v>134</v>
      </c>
      <c r="AP175" s="11" t="s">
        <v>1451</v>
      </c>
      <c r="AQ175" s="11" t="s">
        <v>1398</v>
      </c>
      <c r="AR175" s="11" t="s">
        <v>1652</v>
      </c>
      <c r="AS175" s="11" t="s">
        <v>1833</v>
      </c>
      <c r="AT175" s="11" t="s">
        <v>2648</v>
      </c>
      <c r="AU175" s="11" t="s">
        <v>2612</v>
      </c>
      <c r="AV175" s="11"/>
      <c r="AW175" s="11" t="s">
        <v>2646</v>
      </c>
      <c r="AX175" s="11"/>
      <c r="AY175" s="11"/>
      <c r="AZ175" s="11"/>
      <c r="BA175" s="11"/>
      <c r="BB175" s="11">
        <v>51402702</v>
      </c>
      <c r="BC175" s="11" t="s">
        <v>1403</v>
      </c>
      <c r="BD175" s="11" t="s">
        <v>2647</v>
      </c>
      <c r="BE175" s="11" t="s">
        <v>1405</v>
      </c>
      <c r="BF175" s="11" t="s">
        <v>134</v>
      </c>
      <c r="BG175" s="11"/>
      <c r="BH175" s="11" t="s">
        <v>1520</v>
      </c>
      <c r="BI175" s="11" t="s">
        <v>1407</v>
      </c>
      <c r="BJ175" s="11" t="s">
        <v>134</v>
      </c>
      <c r="BK175" s="11"/>
      <c r="BL175" s="11" t="s">
        <v>1408</v>
      </c>
      <c r="BM175" s="11"/>
      <c r="BN175" s="11" t="s">
        <v>1457</v>
      </c>
      <c r="BO175" s="11"/>
    </row>
    <row r="176" spans="2:67">
      <c r="B176" s="11">
        <v>165</v>
      </c>
      <c r="C176" s="11" t="s">
        <v>1374</v>
      </c>
      <c r="D176" s="11" t="s">
        <v>1375</v>
      </c>
      <c r="E176" s="11"/>
      <c r="F176" s="11" t="s">
        <v>1822</v>
      </c>
      <c r="G176" s="11"/>
      <c r="H176" s="11" t="s">
        <v>1823</v>
      </c>
      <c r="I176" s="11" t="s">
        <v>1824</v>
      </c>
      <c r="J176" s="11"/>
      <c r="K176" s="11" t="s">
        <v>1381</v>
      </c>
      <c r="L176" s="11" t="s">
        <v>1382</v>
      </c>
      <c r="M176" s="11" t="s">
        <v>1383</v>
      </c>
      <c r="N176" s="11" t="s">
        <v>95</v>
      </c>
      <c r="O176" s="11"/>
      <c r="P176" s="11"/>
      <c r="Q176" s="11"/>
      <c r="R176" s="11" t="s">
        <v>1825</v>
      </c>
      <c r="S176" s="11" t="s">
        <v>1382</v>
      </c>
      <c r="T176" s="11" t="s">
        <v>2642</v>
      </c>
      <c r="U176" s="11" t="s">
        <v>1444</v>
      </c>
      <c r="V176" s="11" t="s">
        <v>2643</v>
      </c>
      <c r="W176" s="11" t="s">
        <v>1389</v>
      </c>
      <c r="X176" s="11" t="s">
        <v>1390</v>
      </c>
      <c r="Y176" s="11" t="s">
        <v>1381</v>
      </c>
      <c r="Z176" s="11" t="s">
        <v>1828</v>
      </c>
      <c r="AA176" s="11" t="s">
        <v>1829</v>
      </c>
      <c r="AB176" s="11" t="s">
        <v>1830</v>
      </c>
      <c r="AC176" s="11" t="s">
        <v>1825</v>
      </c>
      <c r="AD176" s="11">
        <v>5361579</v>
      </c>
      <c r="AE176" s="11" t="s">
        <v>1382</v>
      </c>
      <c r="AF176" s="11" t="s">
        <v>2644</v>
      </c>
      <c r="AG176" s="11" t="s">
        <v>1382</v>
      </c>
      <c r="AH176" s="11" t="s">
        <v>2644</v>
      </c>
      <c r="AI176" s="11" t="s">
        <v>2139</v>
      </c>
      <c r="AJ176" s="11" t="s">
        <v>2140</v>
      </c>
      <c r="AK176" s="11" t="s">
        <v>1396</v>
      </c>
      <c r="AL176" s="11" t="s">
        <v>134</v>
      </c>
      <c r="AM176" s="11">
        <v>4539.8999999999996</v>
      </c>
      <c r="AN176" s="11" t="s">
        <v>1911</v>
      </c>
      <c r="AO176" s="11" t="s">
        <v>134</v>
      </c>
      <c r="AP176" s="11" t="s">
        <v>1451</v>
      </c>
      <c r="AQ176" s="11" t="s">
        <v>1398</v>
      </c>
      <c r="AR176" s="11" t="s">
        <v>1652</v>
      </c>
      <c r="AS176" s="11" t="s">
        <v>1833</v>
      </c>
      <c r="AT176" s="11" t="s">
        <v>2649</v>
      </c>
      <c r="AU176" s="11" t="s">
        <v>2612</v>
      </c>
      <c r="AV176" s="11"/>
      <c r="AW176" s="11" t="s">
        <v>2646</v>
      </c>
      <c r="AX176" s="11"/>
      <c r="AY176" s="11"/>
      <c r="AZ176" s="11"/>
      <c r="BA176" s="11"/>
      <c r="BB176" s="11">
        <v>51402702</v>
      </c>
      <c r="BC176" s="11" t="s">
        <v>1403</v>
      </c>
      <c r="BD176" s="11" t="s">
        <v>2647</v>
      </c>
      <c r="BE176" s="11" t="s">
        <v>1405</v>
      </c>
      <c r="BF176" s="11" t="s">
        <v>134</v>
      </c>
      <c r="BG176" s="11"/>
      <c r="BH176" s="11" t="s">
        <v>1520</v>
      </c>
      <c r="BI176" s="11" t="s">
        <v>1407</v>
      </c>
      <c r="BJ176" s="11" t="s">
        <v>134</v>
      </c>
      <c r="BK176" s="11"/>
      <c r="BL176" s="11" t="s">
        <v>1408</v>
      </c>
      <c r="BM176" s="11"/>
      <c r="BN176" s="11" t="s">
        <v>1457</v>
      </c>
      <c r="BO176" s="11"/>
    </row>
    <row r="177" spans="2:67">
      <c r="B177" s="11">
        <v>166</v>
      </c>
      <c r="C177" s="11" t="s">
        <v>1374</v>
      </c>
      <c r="D177" s="11" t="s">
        <v>1375</v>
      </c>
      <c r="E177" s="11"/>
      <c r="F177" s="11" t="s">
        <v>1822</v>
      </c>
      <c r="G177" s="11"/>
      <c r="H177" s="11" t="s">
        <v>1823</v>
      </c>
      <c r="I177" s="11" t="s">
        <v>1824</v>
      </c>
      <c r="J177" s="11"/>
      <c r="K177" s="11" t="s">
        <v>1381</v>
      </c>
      <c r="L177" s="11" t="s">
        <v>1382</v>
      </c>
      <c r="M177" s="11" t="s">
        <v>1383</v>
      </c>
      <c r="N177" s="11" t="s">
        <v>95</v>
      </c>
      <c r="O177" s="11"/>
      <c r="P177" s="11"/>
      <c r="Q177" s="11"/>
      <c r="R177" s="11" t="s">
        <v>1825</v>
      </c>
      <c r="S177" s="11" t="s">
        <v>1382</v>
      </c>
      <c r="T177" s="11" t="s">
        <v>2642</v>
      </c>
      <c r="U177" s="11" t="s">
        <v>1444</v>
      </c>
      <c r="V177" s="11" t="s">
        <v>2643</v>
      </c>
      <c r="W177" s="11" t="s">
        <v>1389</v>
      </c>
      <c r="X177" s="11" t="s">
        <v>1390</v>
      </c>
      <c r="Y177" s="11" t="s">
        <v>1381</v>
      </c>
      <c r="Z177" s="11" t="s">
        <v>1828</v>
      </c>
      <c r="AA177" s="11" t="s">
        <v>1829</v>
      </c>
      <c r="AB177" s="11" t="s">
        <v>1830</v>
      </c>
      <c r="AC177" s="11" t="s">
        <v>1825</v>
      </c>
      <c r="AD177" s="11">
        <v>5361579</v>
      </c>
      <c r="AE177" s="11" t="s">
        <v>1382</v>
      </c>
      <c r="AF177" s="11" t="s">
        <v>2644</v>
      </c>
      <c r="AG177" s="11" t="s">
        <v>1382</v>
      </c>
      <c r="AH177" s="11" t="s">
        <v>2644</v>
      </c>
      <c r="AI177" s="11" t="s">
        <v>2136</v>
      </c>
      <c r="AJ177" s="11" t="s">
        <v>2137</v>
      </c>
      <c r="AK177" s="11" t="s">
        <v>1396</v>
      </c>
      <c r="AL177" s="11" t="s">
        <v>134</v>
      </c>
      <c r="AM177" s="11">
        <v>3404.9</v>
      </c>
      <c r="AN177" s="11" t="s">
        <v>1911</v>
      </c>
      <c r="AO177" s="11" t="s">
        <v>134</v>
      </c>
      <c r="AP177" s="11" t="s">
        <v>1451</v>
      </c>
      <c r="AQ177" s="11" t="s">
        <v>1398</v>
      </c>
      <c r="AR177" s="11" t="s">
        <v>1652</v>
      </c>
      <c r="AS177" s="11" t="s">
        <v>1833</v>
      </c>
      <c r="AT177" s="11" t="s">
        <v>2650</v>
      </c>
      <c r="AU177" s="11" t="s">
        <v>2612</v>
      </c>
      <c r="AV177" s="11"/>
      <c r="AW177" s="11" t="s">
        <v>2646</v>
      </c>
      <c r="AX177" s="11"/>
      <c r="AY177" s="11"/>
      <c r="AZ177" s="11"/>
      <c r="BA177" s="11"/>
      <c r="BB177" s="11">
        <v>51402702</v>
      </c>
      <c r="BC177" s="11" t="s">
        <v>1403</v>
      </c>
      <c r="BD177" s="11" t="s">
        <v>2647</v>
      </c>
      <c r="BE177" s="11" t="s">
        <v>1405</v>
      </c>
      <c r="BF177" s="11" t="s">
        <v>134</v>
      </c>
      <c r="BG177" s="11"/>
      <c r="BH177" s="11" t="s">
        <v>1520</v>
      </c>
      <c r="BI177" s="11" t="s">
        <v>1407</v>
      </c>
      <c r="BJ177" s="11" t="s">
        <v>134</v>
      </c>
      <c r="BK177" s="11"/>
      <c r="BL177" s="11" t="s">
        <v>1408</v>
      </c>
      <c r="BM177" s="11"/>
      <c r="BN177" s="11" t="s">
        <v>1457</v>
      </c>
      <c r="BO177" s="11"/>
    </row>
    <row r="178" spans="2:67">
      <c r="B178" s="11">
        <v>167</v>
      </c>
      <c r="C178" s="11" t="s">
        <v>1374</v>
      </c>
      <c r="D178" s="11" t="s">
        <v>1375</v>
      </c>
      <c r="E178" s="11"/>
      <c r="F178" s="11" t="s">
        <v>1822</v>
      </c>
      <c r="G178" s="11"/>
      <c r="H178" s="11" t="s">
        <v>1823</v>
      </c>
      <c r="I178" s="11" t="s">
        <v>1824</v>
      </c>
      <c r="J178" s="11"/>
      <c r="K178" s="11" t="s">
        <v>1381</v>
      </c>
      <c r="L178" s="11" t="s">
        <v>1382</v>
      </c>
      <c r="M178" s="11" t="s">
        <v>1383</v>
      </c>
      <c r="N178" s="11" t="s">
        <v>95</v>
      </c>
      <c r="O178" s="11"/>
      <c r="P178" s="11"/>
      <c r="Q178" s="11"/>
      <c r="R178" s="11" t="s">
        <v>1825</v>
      </c>
      <c r="S178" s="11" t="s">
        <v>1382</v>
      </c>
      <c r="T178" s="11" t="s">
        <v>2642</v>
      </c>
      <c r="U178" s="11" t="s">
        <v>1444</v>
      </c>
      <c r="V178" s="11" t="s">
        <v>2643</v>
      </c>
      <c r="W178" s="11" t="s">
        <v>1389</v>
      </c>
      <c r="X178" s="11" t="s">
        <v>1390</v>
      </c>
      <c r="Y178" s="11" t="s">
        <v>1381</v>
      </c>
      <c r="Z178" s="11" t="s">
        <v>1828</v>
      </c>
      <c r="AA178" s="11" t="s">
        <v>1829</v>
      </c>
      <c r="AB178" s="11" t="s">
        <v>1830</v>
      </c>
      <c r="AC178" s="11" t="s">
        <v>1825</v>
      </c>
      <c r="AD178" s="11">
        <v>5361579</v>
      </c>
      <c r="AE178" s="11" t="s">
        <v>1382</v>
      </c>
      <c r="AF178" s="11" t="s">
        <v>2644</v>
      </c>
      <c r="AG178" s="11" t="s">
        <v>1382</v>
      </c>
      <c r="AH178" s="11" t="s">
        <v>2644</v>
      </c>
      <c r="AI178" s="11" t="s">
        <v>2651</v>
      </c>
      <c r="AJ178" s="11" t="s">
        <v>2652</v>
      </c>
      <c r="AK178" s="11" t="s">
        <v>1396</v>
      </c>
      <c r="AL178" s="11" t="s">
        <v>134</v>
      </c>
      <c r="AM178" s="11">
        <v>5958.6</v>
      </c>
      <c r="AN178" s="11" t="s">
        <v>1911</v>
      </c>
      <c r="AO178" s="11" t="s">
        <v>134</v>
      </c>
      <c r="AP178" s="11" t="s">
        <v>1451</v>
      </c>
      <c r="AQ178" s="11" t="s">
        <v>1398</v>
      </c>
      <c r="AR178" s="11" t="s">
        <v>1652</v>
      </c>
      <c r="AS178" s="11" t="s">
        <v>1833</v>
      </c>
      <c r="AT178" s="11" t="s">
        <v>2653</v>
      </c>
      <c r="AU178" s="11" t="s">
        <v>2612</v>
      </c>
      <c r="AV178" s="11"/>
      <c r="AW178" s="11" t="s">
        <v>2646</v>
      </c>
      <c r="AX178" s="11"/>
      <c r="AY178" s="11"/>
      <c r="AZ178" s="11"/>
      <c r="BA178" s="11"/>
      <c r="BB178" s="11">
        <v>51402702</v>
      </c>
      <c r="BC178" s="11" t="s">
        <v>1403</v>
      </c>
      <c r="BD178" s="11" t="s">
        <v>2647</v>
      </c>
      <c r="BE178" s="11" t="s">
        <v>1405</v>
      </c>
      <c r="BF178" s="11" t="s">
        <v>134</v>
      </c>
      <c r="BG178" s="11"/>
      <c r="BH178" s="11" t="s">
        <v>1520</v>
      </c>
      <c r="BI178" s="11" t="s">
        <v>1407</v>
      </c>
      <c r="BJ178" s="11" t="s">
        <v>134</v>
      </c>
      <c r="BK178" s="11"/>
      <c r="BL178" s="11" t="s">
        <v>1408</v>
      </c>
      <c r="BM178" s="11"/>
      <c r="BN178" s="11" t="s">
        <v>1457</v>
      </c>
      <c r="BO178" s="11"/>
    </row>
    <row r="179" spans="2:67">
      <c r="B179" s="11">
        <v>168</v>
      </c>
      <c r="C179" s="11" t="s">
        <v>1374</v>
      </c>
      <c r="D179" s="11" t="s">
        <v>1375</v>
      </c>
      <c r="E179" s="11"/>
      <c r="F179" s="11" t="s">
        <v>1822</v>
      </c>
      <c r="G179" s="11"/>
      <c r="H179" s="11" t="s">
        <v>1823</v>
      </c>
      <c r="I179" s="11" t="s">
        <v>1824</v>
      </c>
      <c r="J179" s="11"/>
      <c r="K179" s="11" t="s">
        <v>1381</v>
      </c>
      <c r="L179" s="11" t="s">
        <v>1382</v>
      </c>
      <c r="M179" s="11" t="s">
        <v>1383</v>
      </c>
      <c r="N179" s="11" t="s">
        <v>95</v>
      </c>
      <c r="O179" s="11"/>
      <c r="P179" s="11"/>
      <c r="Q179" s="11"/>
      <c r="R179" s="11" t="s">
        <v>1825</v>
      </c>
      <c r="S179" s="11" t="s">
        <v>1382</v>
      </c>
      <c r="T179" s="11" t="s">
        <v>2642</v>
      </c>
      <c r="U179" s="11" t="s">
        <v>1444</v>
      </c>
      <c r="V179" s="11" t="s">
        <v>2643</v>
      </c>
      <c r="W179" s="11" t="s">
        <v>1389</v>
      </c>
      <c r="X179" s="11" t="s">
        <v>1390</v>
      </c>
      <c r="Y179" s="11" t="s">
        <v>1381</v>
      </c>
      <c r="Z179" s="11" t="s">
        <v>1828</v>
      </c>
      <c r="AA179" s="11" t="s">
        <v>1829</v>
      </c>
      <c r="AB179" s="11" t="s">
        <v>1830</v>
      </c>
      <c r="AC179" s="11" t="s">
        <v>1825</v>
      </c>
      <c r="AD179" s="11">
        <v>5361579</v>
      </c>
      <c r="AE179" s="11" t="s">
        <v>1382</v>
      </c>
      <c r="AF179" s="11" t="s">
        <v>2644</v>
      </c>
      <c r="AG179" s="11" t="s">
        <v>1382</v>
      </c>
      <c r="AH179" s="11" t="s">
        <v>2644</v>
      </c>
      <c r="AI179" s="11" t="s">
        <v>2654</v>
      </c>
      <c r="AJ179" s="11" t="s">
        <v>2655</v>
      </c>
      <c r="AK179" s="11" t="s">
        <v>1396</v>
      </c>
      <c r="AL179" s="11" t="s">
        <v>134</v>
      </c>
      <c r="AM179" s="11">
        <v>4465.5</v>
      </c>
      <c r="AN179" s="11" t="s">
        <v>1911</v>
      </c>
      <c r="AO179" s="11" t="s">
        <v>134</v>
      </c>
      <c r="AP179" s="11" t="s">
        <v>1451</v>
      </c>
      <c r="AQ179" s="11" t="s">
        <v>1398</v>
      </c>
      <c r="AR179" s="11" t="s">
        <v>1652</v>
      </c>
      <c r="AS179" s="11" t="s">
        <v>1833</v>
      </c>
      <c r="AT179" s="11" t="s">
        <v>2656</v>
      </c>
      <c r="AU179" s="11" t="s">
        <v>2612</v>
      </c>
      <c r="AV179" s="11"/>
      <c r="AW179" s="11" t="s">
        <v>2646</v>
      </c>
      <c r="AX179" s="11"/>
      <c r="AY179" s="11"/>
      <c r="AZ179" s="11"/>
      <c r="BA179" s="11"/>
      <c r="BB179" s="11">
        <v>51402702</v>
      </c>
      <c r="BC179" s="11" t="s">
        <v>1403</v>
      </c>
      <c r="BD179" s="11" t="s">
        <v>2647</v>
      </c>
      <c r="BE179" s="11" t="s">
        <v>1405</v>
      </c>
      <c r="BF179" s="11" t="s">
        <v>134</v>
      </c>
      <c r="BG179" s="11"/>
      <c r="BH179" s="11" t="s">
        <v>1520</v>
      </c>
      <c r="BI179" s="11" t="s">
        <v>1407</v>
      </c>
      <c r="BJ179" s="11" t="s">
        <v>134</v>
      </c>
      <c r="BK179" s="11"/>
      <c r="BL179" s="11" t="s">
        <v>1408</v>
      </c>
      <c r="BM179" s="11"/>
      <c r="BN179" s="11" t="s">
        <v>1457</v>
      </c>
      <c r="BO179" s="11"/>
    </row>
    <row r="180" spans="2:67">
      <c r="B180" s="11">
        <v>169</v>
      </c>
      <c r="C180" s="11" t="s">
        <v>1374</v>
      </c>
      <c r="D180" s="11" t="s">
        <v>1375</v>
      </c>
      <c r="E180" s="11"/>
      <c r="F180" s="11" t="s">
        <v>1822</v>
      </c>
      <c r="G180" s="11"/>
      <c r="H180" s="11" t="s">
        <v>1823</v>
      </c>
      <c r="I180" s="11" t="s">
        <v>1824</v>
      </c>
      <c r="J180" s="11"/>
      <c r="K180" s="11" t="s">
        <v>1381</v>
      </c>
      <c r="L180" s="11" t="s">
        <v>1382</v>
      </c>
      <c r="M180" s="11" t="s">
        <v>1383</v>
      </c>
      <c r="N180" s="11" t="s">
        <v>95</v>
      </c>
      <c r="O180" s="11"/>
      <c r="P180" s="11"/>
      <c r="Q180" s="11"/>
      <c r="R180" s="11" t="s">
        <v>1825</v>
      </c>
      <c r="S180" s="11" t="s">
        <v>1382</v>
      </c>
      <c r="T180" s="11" t="s">
        <v>2642</v>
      </c>
      <c r="U180" s="11" t="s">
        <v>1444</v>
      </c>
      <c r="V180" s="11" t="s">
        <v>2643</v>
      </c>
      <c r="W180" s="11" t="s">
        <v>1389</v>
      </c>
      <c r="X180" s="11" t="s">
        <v>1390</v>
      </c>
      <c r="Y180" s="11" t="s">
        <v>1381</v>
      </c>
      <c r="Z180" s="11" t="s">
        <v>1828</v>
      </c>
      <c r="AA180" s="11" t="s">
        <v>1829</v>
      </c>
      <c r="AB180" s="11" t="s">
        <v>1830</v>
      </c>
      <c r="AC180" s="11" t="s">
        <v>1825</v>
      </c>
      <c r="AD180" s="11">
        <v>5361579</v>
      </c>
      <c r="AE180" s="11" t="s">
        <v>1382</v>
      </c>
      <c r="AF180" s="11" t="s">
        <v>2644</v>
      </c>
      <c r="AG180" s="11" t="s">
        <v>1382</v>
      </c>
      <c r="AH180" s="11" t="s">
        <v>2644</v>
      </c>
      <c r="AI180" s="11" t="s">
        <v>2657</v>
      </c>
      <c r="AJ180" s="11" t="s">
        <v>2149</v>
      </c>
      <c r="AK180" s="11" t="s">
        <v>1396</v>
      </c>
      <c r="AL180" s="11" t="s">
        <v>134</v>
      </c>
      <c r="AM180" s="11">
        <v>21000</v>
      </c>
      <c r="AN180" s="11" t="s">
        <v>1911</v>
      </c>
      <c r="AO180" s="11" t="s">
        <v>134</v>
      </c>
      <c r="AP180" s="11" t="s">
        <v>1451</v>
      </c>
      <c r="AQ180" s="11" t="s">
        <v>1398</v>
      </c>
      <c r="AR180" s="11" t="s">
        <v>1652</v>
      </c>
      <c r="AS180" s="11" t="s">
        <v>1833</v>
      </c>
      <c r="AT180" s="11"/>
      <c r="AU180" s="11" t="s">
        <v>2612</v>
      </c>
      <c r="AV180" s="11"/>
      <c r="AW180" s="11" t="s">
        <v>2646</v>
      </c>
      <c r="AX180" s="11"/>
      <c r="AY180" s="11"/>
      <c r="AZ180" s="11"/>
      <c r="BA180" s="11"/>
      <c r="BB180" s="11">
        <v>51402702</v>
      </c>
      <c r="BC180" s="11" t="s">
        <v>1403</v>
      </c>
      <c r="BD180" s="11" t="s">
        <v>2647</v>
      </c>
      <c r="BE180" s="11" t="s">
        <v>1405</v>
      </c>
      <c r="BF180" s="11" t="s">
        <v>134</v>
      </c>
      <c r="BG180" s="11"/>
      <c r="BH180" s="11" t="s">
        <v>1520</v>
      </c>
      <c r="BI180" s="11" t="s">
        <v>1407</v>
      </c>
      <c r="BJ180" s="11" t="s">
        <v>134</v>
      </c>
      <c r="BK180" s="11"/>
      <c r="BL180" s="11"/>
      <c r="BM180" s="11"/>
      <c r="BN180" s="11" t="s">
        <v>1457</v>
      </c>
      <c r="BO180" s="11"/>
    </row>
    <row r="181" spans="2:67">
      <c r="B181" s="11">
        <v>170</v>
      </c>
      <c r="C181" s="11" t="s">
        <v>1374</v>
      </c>
      <c r="D181" s="11" t="s">
        <v>1375</v>
      </c>
      <c r="E181" s="11" t="s">
        <v>2658</v>
      </c>
      <c r="F181" s="11" t="s">
        <v>2659</v>
      </c>
      <c r="G181" s="11" t="s">
        <v>46</v>
      </c>
      <c r="H181" s="11" t="s">
        <v>2660</v>
      </c>
      <c r="I181" s="11" t="s">
        <v>2661</v>
      </c>
      <c r="J181" s="11"/>
      <c r="K181" s="11" t="s">
        <v>1470</v>
      </c>
      <c r="L181" s="11" t="s">
        <v>94</v>
      </c>
      <c r="M181" s="11" t="s">
        <v>1383</v>
      </c>
      <c r="N181" s="11" t="s">
        <v>95</v>
      </c>
      <c r="O181" s="11" t="s">
        <v>2662</v>
      </c>
      <c r="P181" s="11"/>
      <c r="Q181" s="11"/>
      <c r="R181" s="11" t="s">
        <v>2658</v>
      </c>
      <c r="S181" s="11" t="s">
        <v>94</v>
      </c>
      <c r="T181" s="11" t="s">
        <v>2663</v>
      </c>
      <c r="U181" s="11" t="s">
        <v>1444</v>
      </c>
      <c r="V181" s="11" t="s">
        <v>2664</v>
      </c>
      <c r="W181" s="11" t="s">
        <v>1389</v>
      </c>
      <c r="X181" s="11" t="s">
        <v>1598</v>
      </c>
      <c r="Y181" s="11" t="s">
        <v>1470</v>
      </c>
      <c r="Z181" s="11" t="s">
        <v>2665</v>
      </c>
      <c r="AA181" s="11" t="s">
        <v>2253</v>
      </c>
      <c r="AB181" s="11" t="s">
        <v>1587</v>
      </c>
      <c r="AC181" s="11" t="s">
        <v>2658</v>
      </c>
      <c r="AD181" s="11">
        <v>5389291</v>
      </c>
      <c r="AE181" s="11" t="s">
        <v>94</v>
      </c>
      <c r="AF181" s="11" t="s">
        <v>2666</v>
      </c>
      <c r="AG181" s="11" t="s">
        <v>94</v>
      </c>
      <c r="AH181" s="11" t="s">
        <v>2667</v>
      </c>
      <c r="AI181" s="11" t="s">
        <v>2668</v>
      </c>
      <c r="AJ181" s="11" t="s">
        <v>2669</v>
      </c>
      <c r="AK181" s="11" t="s">
        <v>1396</v>
      </c>
      <c r="AL181" s="11" t="s">
        <v>134</v>
      </c>
      <c r="AM181" s="11">
        <v>12640</v>
      </c>
      <c r="AN181" s="11" t="s">
        <v>1450</v>
      </c>
      <c r="AO181" s="11" t="s">
        <v>46</v>
      </c>
      <c r="AP181" s="11" t="s">
        <v>1451</v>
      </c>
      <c r="AQ181" s="11" t="s">
        <v>1398</v>
      </c>
      <c r="AR181" s="11" t="s">
        <v>2255</v>
      </c>
      <c r="AS181" s="11" t="s">
        <v>2670</v>
      </c>
      <c r="AT181" s="11" t="s">
        <v>2671</v>
      </c>
      <c r="AU181" s="11" t="s">
        <v>2672</v>
      </c>
      <c r="AV181" s="11"/>
      <c r="AW181" s="11" t="s">
        <v>2673</v>
      </c>
      <c r="AX181" s="11"/>
      <c r="AY181" s="11"/>
      <c r="AZ181" s="11"/>
      <c r="BA181" s="11"/>
      <c r="BB181" s="11">
        <v>65287981</v>
      </c>
      <c r="BC181" s="11" t="s">
        <v>1403</v>
      </c>
      <c r="BD181" s="11" t="s">
        <v>1432</v>
      </c>
      <c r="BE181" s="11" t="s">
        <v>2674</v>
      </c>
      <c r="BF181" s="11" t="s">
        <v>1780</v>
      </c>
      <c r="BG181" s="11" t="s">
        <v>1482</v>
      </c>
      <c r="BH181" s="11" t="s">
        <v>1502</v>
      </c>
      <c r="BI181" s="11" t="s">
        <v>1407</v>
      </c>
      <c r="BJ181" s="11" t="s">
        <v>134</v>
      </c>
      <c r="BK181" s="11"/>
      <c r="BL181" s="11" t="s">
        <v>1408</v>
      </c>
      <c r="BM181" s="11"/>
      <c r="BN181" s="11" t="s">
        <v>1483</v>
      </c>
      <c r="BO181" s="11" t="s">
        <v>95</v>
      </c>
    </row>
    <row r="182" spans="2:67">
      <c r="B182" s="11">
        <v>171</v>
      </c>
      <c r="C182" s="11" t="s">
        <v>1374</v>
      </c>
      <c r="D182" s="11" t="s">
        <v>1375</v>
      </c>
      <c r="E182" s="11" t="s">
        <v>2658</v>
      </c>
      <c r="F182" s="11" t="s">
        <v>2659</v>
      </c>
      <c r="G182" s="11" t="s">
        <v>46</v>
      </c>
      <c r="H182" s="11" t="s">
        <v>2660</v>
      </c>
      <c r="I182" s="11" t="s">
        <v>2661</v>
      </c>
      <c r="J182" s="11"/>
      <c r="K182" s="11" t="s">
        <v>1470</v>
      </c>
      <c r="L182" s="11" t="s">
        <v>94</v>
      </c>
      <c r="M182" s="11" t="s">
        <v>1383</v>
      </c>
      <c r="N182" s="11" t="s">
        <v>95</v>
      </c>
      <c r="O182" s="11" t="s">
        <v>2662</v>
      </c>
      <c r="P182" s="11"/>
      <c r="Q182" s="11"/>
      <c r="R182" s="11" t="s">
        <v>2658</v>
      </c>
      <c r="S182" s="11" t="s">
        <v>94</v>
      </c>
      <c r="T182" s="11" t="s">
        <v>2663</v>
      </c>
      <c r="U182" s="11" t="s">
        <v>1444</v>
      </c>
      <c r="V182" s="11" t="s">
        <v>2664</v>
      </c>
      <c r="W182" s="11" t="s">
        <v>1389</v>
      </c>
      <c r="X182" s="11" t="s">
        <v>1598</v>
      </c>
      <c r="Y182" s="11" t="s">
        <v>1470</v>
      </c>
      <c r="Z182" s="11" t="s">
        <v>2665</v>
      </c>
      <c r="AA182" s="11" t="s">
        <v>2253</v>
      </c>
      <c r="AB182" s="11" t="s">
        <v>1587</v>
      </c>
      <c r="AC182" s="11" t="s">
        <v>2658</v>
      </c>
      <c r="AD182" s="11">
        <v>5389291</v>
      </c>
      <c r="AE182" s="11" t="s">
        <v>94</v>
      </c>
      <c r="AF182" s="11" t="s">
        <v>2666</v>
      </c>
      <c r="AG182" s="11" t="s">
        <v>94</v>
      </c>
      <c r="AH182" s="11" t="s">
        <v>2667</v>
      </c>
      <c r="AI182" s="11" t="s">
        <v>2675</v>
      </c>
      <c r="AJ182" s="11" t="s">
        <v>2676</v>
      </c>
      <c r="AK182" s="11" t="s">
        <v>1396</v>
      </c>
      <c r="AL182" s="11" t="s">
        <v>134</v>
      </c>
      <c r="AM182" s="11">
        <v>9471.7000000000007</v>
      </c>
      <c r="AN182" s="11" t="s">
        <v>1450</v>
      </c>
      <c r="AO182" s="11" t="s">
        <v>46</v>
      </c>
      <c r="AP182" s="11" t="s">
        <v>1451</v>
      </c>
      <c r="AQ182" s="11" t="s">
        <v>1398</v>
      </c>
      <c r="AR182" s="11" t="s">
        <v>2255</v>
      </c>
      <c r="AS182" s="11" t="s">
        <v>2670</v>
      </c>
      <c r="AT182" s="11" t="s">
        <v>2677</v>
      </c>
      <c r="AU182" s="11" t="s">
        <v>2672</v>
      </c>
      <c r="AV182" s="11"/>
      <c r="AW182" s="11" t="s">
        <v>2673</v>
      </c>
      <c r="AX182" s="11"/>
      <c r="AY182" s="11"/>
      <c r="AZ182" s="11"/>
      <c r="BA182" s="11"/>
      <c r="BB182" s="11">
        <v>65287981</v>
      </c>
      <c r="BC182" s="11" t="s">
        <v>1403</v>
      </c>
      <c r="BD182" s="11" t="s">
        <v>1432</v>
      </c>
      <c r="BE182" s="11" t="s">
        <v>2674</v>
      </c>
      <c r="BF182" s="11" t="s">
        <v>1780</v>
      </c>
      <c r="BG182" s="11" t="s">
        <v>1482</v>
      </c>
      <c r="BH182" s="11" t="s">
        <v>1502</v>
      </c>
      <c r="BI182" s="11" t="s">
        <v>1407</v>
      </c>
      <c r="BJ182" s="11" t="s">
        <v>134</v>
      </c>
      <c r="BK182" s="11"/>
      <c r="BL182" s="11" t="s">
        <v>1408</v>
      </c>
      <c r="BM182" s="11"/>
      <c r="BN182" s="11" t="s">
        <v>1483</v>
      </c>
      <c r="BO182" s="11" t="s">
        <v>95</v>
      </c>
    </row>
    <row r="183" spans="2:67">
      <c r="B183" s="11">
        <v>172</v>
      </c>
      <c r="C183" s="11" t="s">
        <v>1374</v>
      </c>
      <c r="D183" s="11" t="s">
        <v>1375</v>
      </c>
      <c r="E183" s="11" t="s">
        <v>2658</v>
      </c>
      <c r="F183" s="11" t="s">
        <v>2659</v>
      </c>
      <c r="G183" s="11" t="s">
        <v>46</v>
      </c>
      <c r="H183" s="11" t="s">
        <v>2660</v>
      </c>
      <c r="I183" s="11" t="s">
        <v>2661</v>
      </c>
      <c r="J183" s="11"/>
      <c r="K183" s="11" t="s">
        <v>1470</v>
      </c>
      <c r="L183" s="11" t="s">
        <v>94</v>
      </c>
      <c r="M183" s="11" t="s">
        <v>1383</v>
      </c>
      <c r="N183" s="11" t="s">
        <v>95</v>
      </c>
      <c r="O183" s="11" t="s">
        <v>2662</v>
      </c>
      <c r="P183" s="11"/>
      <c r="Q183" s="11"/>
      <c r="R183" s="11" t="s">
        <v>2658</v>
      </c>
      <c r="S183" s="11" t="s">
        <v>94</v>
      </c>
      <c r="T183" s="11" t="s">
        <v>2663</v>
      </c>
      <c r="U183" s="11" t="s">
        <v>1444</v>
      </c>
      <c r="V183" s="11" t="s">
        <v>2664</v>
      </c>
      <c r="W183" s="11" t="s">
        <v>1389</v>
      </c>
      <c r="X183" s="11" t="s">
        <v>1598</v>
      </c>
      <c r="Y183" s="11" t="s">
        <v>1470</v>
      </c>
      <c r="Z183" s="11" t="s">
        <v>2665</v>
      </c>
      <c r="AA183" s="11" t="s">
        <v>2253</v>
      </c>
      <c r="AB183" s="11" t="s">
        <v>1587</v>
      </c>
      <c r="AC183" s="11" t="s">
        <v>2658</v>
      </c>
      <c r="AD183" s="11">
        <v>5389291</v>
      </c>
      <c r="AE183" s="11" t="s">
        <v>94</v>
      </c>
      <c r="AF183" s="11" t="s">
        <v>2666</v>
      </c>
      <c r="AG183" s="11" t="s">
        <v>94</v>
      </c>
      <c r="AH183" s="11" t="s">
        <v>2667</v>
      </c>
      <c r="AI183" s="11" t="s">
        <v>2678</v>
      </c>
      <c r="AJ183" s="11" t="s">
        <v>2679</v>
      </c>
      <c r="AK183" s="11" t="s">
        <v>1396</v>
      </c>
      <c r="AL183" s="11" t="s">
        <v>134</v>
      </c>
      <c r="AM183" s="11">
        <v>14988.3</v>
      </c>
      <c r="AN183" s="11" t="s">
        <v>1450</v>
      </c>
      <c r="AO183" s="11" t="s">
        <v>46</v>
      </c>
      <c r="AP183" s="11" t="s">
        <v>1451</v>
      </c>
      <c r="AQ183" s="11" t="s">
        <v>1398</v>
      </c>
      <c r="AR183" s="11" t="s">
        <v>2255</v>
      </c>
      <c r="AS183" s="11" t="s">
        <v>2670</v>
      </c>
      <c r="AT183" s="11" t="s">
        <v>2680</v>
      </c>
      <c r="AU183" s="11" t="s">
        <v>2672</v>
      </c>
      <c r="AV183" s="11"/>
      <c r="AW183" s="11" t="s">
        <v>2673</v>
      </c>
      <c r="AX183" s="11"/>
      <c r="AY183" s="11"/>
      <c r="AZ183" s="11"/>
      <c r="BA183" s="11"/>
      <c r="BB183" s="11">
        <v>65287981</v>
      </c>
      <c r="BC183" s="11" t="s">
        <v>1403</v>
      </c>
      <c r="BD183" s="11" t="s">
        <v>1432</v>
      </c>
      <c r="BE183" s="11" t="s">
        <v>2674</v>
      </c>
      <c r="BF183" s="11" t="s">
        <v>1780</v>
      </c>
      <c r="BG183" s="11" t="s">
        <v>1482</v>
      </c>
      <c r="BH183" s="11" t="s">
        <v>1502</v>
      </c>
      <c r="BI183" s="11" t="s">
        <v>1407</v>
      </c>
      <c r="BJ183" s="11" t="s">
        <v>134</v>
      </c>
      <c r="BK183" s="11"/>
      <c r="BL183" s="11" t="s">
        <v>1408</v>
      </c>
      <c r="BM183" s="11"/>
      <c r="BN183" s="11" t="s">
        <v>1483</v>
      </c>
      <c r="BO183" s="11" t="s">
        <v>95</v>
      </c>
    </row>
    <row r="184" spans="2:67">
      <c r="B184" s="11">
        <v>173</v>
      </c>
      <c r="C184" s="11" t="s">
        <v>1374</v>
      </c>
      <c r="D184" s="11" t="s">
        <v>1375</v>
      </c>
      <c r="E184" s="11" t="s">
        <v>2658</v>
      </c>
      <c r="F184" s="11" t="s">
        <v>2659</v>
      </c>
      <c r="G184" s="11" t="s">
        <v>46</v>
      </c>
      <c r="H184" s="11" t="s">
        <v>2660</v>
      </c>
      <c r="I184" s="11" t="s">
        <v>2661</v>
      </c>
      <c r="J184" s="11"/>
      <c r="K184" s="11" t="s">
        <v>1470</v>
      </c>
      <c r="L184" s="11" t="s">
        <v>94</v>
      </c>
      <c r="M184" s="11" t="s">
        <v>1383</v>
      </c>
      <c r="N184" s="11" t="s">
        <v>95</v>
      </c>
      <c r="O184" s="11" t="s">
        <v>2662</v>
      </c>
      <c r="P184" s="11"/>
      <c r="Q184" s="11"/>
      <c r="R184" s="11" t="s">
        <v>2658</v>
      </c>
      <c r="S184" s="11" t="s">
        <v>94</v>
      </c>
      <c r="T184" s="11" t="s">
        <v>2663</v>
      </c>
      <c r="U184" s="11" t="s">
        <v>1444</v>
      </c>
      <c r="V184" s="11" t="s">
        <v>2664</v>
      </c>
      <c r="W184" s="11" t="s">
        <v>1389</v>
      </c>
      <c r="X184" s="11" t="s">
        <v>1598</v>
      </c>
      <c r="Y184" s="11" t="s">
        <v>1470</v>
      </c>
      <c r="Z184" s="11" t="s">
        <v>2665</v>
      </c>
      <c r="AA184" s="11" t="s">
        <v>2253</v>
      </c>
      <c r="AB184" s="11" t="s">
        <v>1587</v>
      </c>
      <c r="AC184" s="11" t="s">
        <v>2658</v>
      </c>
      <c r="AD184" s="11">
        <v>5389291</v>
      </c>
      <c r="AE184" s="11" t="s">
        <v>94</v>
      </c>
      <c r="AF184" s="11" t="s">
        <v>2666</v>
      </c>
      <c r="AG184" s="11" t="s">
        <v>94</v>
      </c>
      <c r="AH184" s="11" t="s">
        <v>2667</v>
      </c>
      <c r="AI184" s="11" t="s">
        <v>2681</v>
      </c>
      <c r="AJ184" s="11" t="s">
        <v>2682</v>
      </c>
      <c r="AK184" s="11" t="s">
        <v>1396</v>
      </c>
      <c r="AL184" s="11" t="s">
        <v>134</v>
      </c>
      <c r="AM184" s="11">
        <v>16400</v>
      </c>
      <c r="AN184" s="11" t="s">
        <v>1450</v>
      </c>
      <c r="AO184" s="11" t="s">
        <v>46</v>
      </c>
      <c r="AP184" s="11" t="s">
        <v>1451</v>
      </c>
      <c r="AQ184" s="11" t="s">
        <v>1398</v>
      </c>
      <c r="AR184" s="11" t="s">
        <v>2255</v>
      </c>
      <c r="AS184" s="11" t="s">
        <v>2670</v>
      </c>
      <c r="AT184" s="11" t="s">
        <v>2683</v>
      </c>
      <c r="AU184" s="11" t="s">
        <v>2672</v>
      </c>
      <c r="AV184" s="11"/>
      <c r="AW184" s="11" t="s">
        <v>2673</v>
      </c>
      <c r="AX184" s="11"/>
      <c r="AY184" s="11"/>
      <c r="AZ184" s="11"/>
      <c r="BA184" s="11"/>
      <c r="BB184" s="11">
        <v>65287981</v>
      </c>
      <c r="BC184" s="11" t="s">
        <v>1403</v>
      </c>
      <c r="BD184" s="11" t="s">
        <v>1432</v>
      </c>
      <c r="BE184" s="11" t="s">
        <v>2674</v>
      </c>
      <c r="BF184" s="11" t="s">
        <v>1780</v>
      </c>
      <c r="BG184" s="11" t="s">
        <v>1482</v>
      </c>
      <c r="BH184" s="11" t="s">
        <v>1502</v>
      </c>
      <c r="BI184" s="11" t="s">
        <v>1407</v>
      </c>
      <c r="BJ184" s="11" t="s">
        <v>134</v>
      </c>
      <c r="BK184" s="11"/>
      <c r="BL184" s="11" t="s">
        <v>1408</v>
      </c>
      <c r="BM184" s="11"/>
      <c r="BN184" s="11" t="s">
        <v>1483</v>
      </c>
      <c r="BO184" s="11" t="s">
        <v>95</v>
      </c>
    </row>
    <row r="185" spans="2:67">
      <c r="B185" s="11">
        <v>174</v>
      </c>
      <c r="C185" s="11" t="s">
        <v>1374</v>
      </c>
      <c r="D185" s="11" t="s">
        <v>1375</v>
      </c>
      <c r="E185" s="11" t="s">
        <v>1488</v>
      </c>
      <c r="F185" s="11" t="s">
        <v>2684</v>
      </c>
      <c r="G185" s="11" t="s">
        <v>1523</v>
      </c>
      <c r="H185" s="11" t="s">
        <v>2685</v>
      </c>
      <c r="I185" s="11" t="s">
        <v>94</v>
      </c>
      <c r="J185" s="11" t="s">
        <v>134</v>
      </c>
      <c r="K185" s="11" t="s">
        <v>1564</v>
      </c>
      <c r="L185" s="11" t="s">
        <v>94</v>
      </c>
      <c r="M185" s="11" t="s">
        <v>181</v>
      </c>
      <c r="N185" s="11" t="s">
        <v>181</v>
      </c>
      <c r="O185" s="11" t="s">
        <v>134</v>
      </c>
      <c r="P185" s="11"/>
      <c r="Q185" s="11"/>
      <c r="R185" s="11" t="s">
        <v>2686</v>
      </c>
      <c r="S185" s="11" t="s">
        <v>94</v>
      </c>
      <c r="T185" s="11" t="s">
        <v>2687</v>
      </c>
      <c r="U185" s="11" t="s">
        <v>1387</v>
      </c>
      <c r="V185" s="11" t="s">
        <v>2688</v>
      </c>
      <c r="W185" s="11" t="s">
        <v>1389</v>
      </c>
      <c r="X185" s="11" t="s">
        <v>1769</v>
      </c>
      <c r="Y185" s="11" t="s">
        <v>1564</v>
      </c>
      <c r="Z185" s="11" t="s">
        <v>2354</v>
      </c>
      <c r="AA185" s="11" t="s">
        <v>2689</v>
      </c>
      <c r="AB185" s="11" t="s">
        <v>2690</v>
      </c>
      <c r="AC185" s="11" t="s">
        <v>2686</v>
      </c>
      <c r="AD185" s="11">
        <v>5389051</v>
      </c>
      <c r="AE185" s="11" t="s">
        <v>94</v>
      </c>
      <c r="AF185" s="11" t="s">
        <v>2691</v>
      </c>
      <c r="AG185" s="11" t="s">
        <v>94</v>
      </c>
      <c r="AH185" s="11" t="s">
        <v>2691</v>
      </c>
      <c r="AI185" s="11" t="s">
        <v>2010</v>
      </c>
      <c r="AJ185" s="11" t="s">
        <v>1670</v>
      </c>
      <c r="AK185" s="11" t="s">
        <v>1396</v>
      </c>
      <c r="AL185" s="11" t="s">
        <v>134</v>
      </c>
      <c r="AM185" s="11">
        <v>6434</v>
      </c>
      <c r="AN185" s="11"/>
      <c r="AO185" s="11" t="s">
        <v>134</v>
      </c>
      <c r="AP185" s="11" t="s">
        <v>1397</v>
      </c>
      <c r="AQ185" s="11" t="s">
        <v>1398</v>
      </c>
      <c r="AR185" s="11" t="s">
        <v>2255</v>
      </c>
      <c r="AS185" s="11" t="s">
        <v>2692</v>
      </c>
      <c r="AT185" s="11" t="s">
        <v>2693</v>
      </c>
      <c r="AU185" s="11" t="s">
        <v>2672</v>
      </c>
      <c r="AV185" s="11"/>
      <c r="AW185" s="11" t="s">
        <v>2694</v>
      </c>
      <c r="AX185" s="11"/>
      <c r="AY185" s="11"/>
      <c r="AZ185" s="11"/>
      <c r="BA185" s="11"/>
      <c r="BB185" s="11">
        <v>39345788</v>
      </c>
      <c r="BC185" s="11" t="s">
        <v>1403</v>
      </c>
      <c r="BD185" s="11" t="s">
        <v>1432</v>
      </c>
      <c r="BE185" s="11" t="s">
        <v>1779</v>
      </c>
      <c r="BF185" s="11" t="s">
        <v>1555</v>
      </c>
      <c r="BG185" s="11" t="s">
        <v>1482</v>
      </c>
      <c r="BH185" s="11" t="s">
        <v>1435</v>
      </c>
      <c r="BI185" s="11" t="s">
        <v>1407</v>
      </c>
      <c r="BJ185" s="11" t="s">
        <v>134</v>
      </c>
      <c r="BK185" s="11"/>
      <c r="BL185" s="11" t="s">
        <v>1408</v>
      </c>
      <c r="BM185" s="11"/>
      <c r="BN185" s="11"/>
      <c r="BO185" s="11" t="s">
        <v>1410</v>
      </c>
    </row>
    <row r="186" spans="2:67">
      <c r="B186" s="11">
        <v>175</v>
      </c>
      <c r="C186" s="11" t="s">
        <v>1374</v>
      </c>
      <c r="D186" s="11" t="s">
        <v>1375</v>
      </c>
      <c r="E186" s="11" t="s">
        <v>1488</v>
      </c>
      <c r="F186" s="11" t="s">
        <v>2684</v>
      </c>
      <c r="G186" s="11" t="s">
        <v>1523</v>
      </c>
      <c r="H186" s="11" t="s">
        <v>2685</v>
      </c>
      <c r="I186" s="11" t="s">
        <v>94</v>
      </c>
      <c r="J186" s="11" t="s">
        <v>134</v>
      </c>
      <c r="K186" s="11" t="s">
        <v>1564</v>
      </c>
      <c r="L186" s="11" t="s">
        <v>94</v>
      </c>
      <c r="M186" s="11" t="s">
        <v>181</v>
      </c>
      <c r="N186" s="11" t="s">
        <v>181</v>
      </c>
      <c r="O186" s="11" t="s">
        <v>134</v>
      </c>
      <c r="P186" s="11"/>
      <c r="Q186" s="11"/>
      <c r="R186" s="11" t="s">
        <v>2686</v>
      </c>
      <c r="S186" s="11" t="s">
        <v>94</v>
      </c>
      <c r="T186" s="11" t="s">
        <v>2687</v>
      </c>
      <c r="U186" s="11" t="s">
        <v>1387</v>
      </c>
      <c r="V186" s="11" t="s">
        <v>2688</v>
      </c>
      <c r="W186" s="11" t="s">
        <v>1389</v>
      </c>
      <c r="X186" s="11" t="s">
        <v>1769</v>
      </c>
      <c r="Y186" s="11" t="s">
        <v>1564</v>
      </c>
      <c r="Z186" s="11" t="s">
        <v>2354</v>
      </c>
      <c r="AA186" s="11" t="s">
        <v>2689</v>
      </c>
      <c r="AB186" s="11" t="s">
        <v>2690</v>
      </c>
      <c r="AC186" s="11" t="s">
        <v>2686</v>
      </c>
      <c r="AD186" s="11">
        <v>5389051</v>
      </c>
      <c r="AE186" s="11" t="s">
        <v>94</v>
      </c>
      <c r="AF186" s="11" t="s">
        <v>2691</v>
      </c>
      <c r="AG186" s="11" t="s">
        <v>94</v>
      </c>
      <c r="AH186" s="11" t="s">
        <v>2691</v>
      </c>
      <c r="AI186" s="11" t="s">
        <v>2695</v>
      </c>
      <c r="AJ186" s="11" t="s">
        <v>1775</v>
      </c>
      <c r="AK186" s="11" t="s">
        <v>1396</v>
      </c>
      <c r="AL186" s="11" t="s">
        <v>134</v>
      </c>
      <c r="AM186" s="11">
        <v>6357.5</v>
      </c>
      <c r="AN186" s="11"/>
      <c r="AO186" s="11" t="s">
        <v>134</v>
      </c>
      <c r="AP186" s="11" t="s">
        <v>1397</v>
      </c>
      <c r="AQ186" s="11" t="s">
        <v>1398</v>
      </c>
      <c r="AR186" s="11" t="s">
        <v>2255</v>
      </c>
      <c r="AS186" s="11" t="s">
        <v>2692</v>
      </c>
      <c r="AT186" s="11" t="s">
        <v>2696</v>
      </c>
      <c r="AU186" s="11" t="s">
        <v>2672</v>
      </c>
      <c r="AV186" s="11"/>
      <c r="AW186" s="11" t="s">
        <v>2694</v>
      </c>
      <c r="AX186" s="11"/>
      <c r="AY186" s="11"/>
      <c r="AZ186" s="11"/>
      <c r="BA186" s="11"/>
      <c r="BB186" s="11">
        <v>39345788</v>
      </c>
      <c r="BC186" s="11" t="s">
        <v>1403</v>
      </c>
      <c r="BD186" s="11" t="s">
        <v>1432</v>
      </c>
      <c r="BE186" s="11" t="s">
        <v>1779</v>
      </c>
      <c r="BF186" s="11" t="s">
        <v>1555</v>
      </c>
      <c r="BG186" s="11" t="s">
        <v>1482</v>
      </c>
      <c r="BH186" s="11" t="s">
        <v>1435</v>
      </c>
      <c r="BI186" s="11" t="s">
        <v>1407</v>
      </c>
      <c r="BJ186" s="11" t="s">
        <v>134</v>
      </c>
      <c r="BK186" s="11"/>
      <c r="BL186" s="11" t="s">
        <v>1408</v>
      </c>
      <c r="BM186" s="11"/>
      <c r="BN186" s="11"/>
      <c r="BO186" s="11" t="s">
        <v>1410</v>
      </c>
    </row>
    <row r="187" spans="2:67">
      <c r="B187" s="11">
        <v>176</v>
      </c>
      <c r="C187" s="11" t="s">
        <v>1374</v>
      </c>
      <c r="D187" s="11" t="s">
        <v>1375</v>
      </c>
      <c r="E187" s="11" t="s">
        <v>1488</v>
      </c>
      <c r="F187" s="11" t="s">
        <v>2684</v>
      </c>
      <c r="G187" s="11" t="s">
        <v>1523</v>
      </c>
      <c r="H187" s="11" t="s">
        <v>2685</v>
      </c>
      <c r="I187" s="11" t="s">
        <v>94</v>
      </c>
      <c r="J187" s="11" t="s">
        <v>134</v>
      </c>
      <c r="K187" s="11" t="s">
        <v>1564</v>
      </c>
      <c r="L187" s="11" t="s">
        <v>94</v>
      </c>
      <c r="M187" s="11" t="s">
        <v>181</v>
      </c>
      <c r="N187" s="11" t="s">
        <v>181</v>
      </c>
      <c r="O187" s="11" t="s">
        <v>134</v>
      </c>
      <c r="P187" s="11"/>
      <c r="Q187" s="11"/>
      <c r="R187" s="11" t="s">
        <v>2686</v>
      </c>
      <c r="S187" s="11" t="s">
        <v>94</v>
      </c>
      <c r="T187" s="11" t="s">
        <v>2687</v>
      </c>
      <c r="U187" s="11" t="s">
        <v>1387</v>
      </c>
      <c r="V187" s="11" t="s">
        <v>2688</v>
      </c>
      <c r="W187" s="11" t="s">
        <v>1389</v>
      </c>
      <c r="X187" s="11" t="s">
        <v>1769</v>
      </c>
      <c r="Y187" s="11" t="s">
        <v>1564</v>
      </c>
      <c r="Z187" s="11" t="s">
        <v>2354</v>
      </c>
      <c r="AA187" s="11" t="s">
        <v>2689</v>
      </c>
      <c r="AB187" s="11" t="s">
        <v>2690</v>
      </c>
      <c r="AC187" s="11" t="s">
        <v>2686</v>
      </c>
      <c r="AD187" s="11">
        <v>5389051</v>
      </c>
      <c r="AE187" s="11" t="s">
        <v>94</v>
      </c>
      <c r="AF187" s="11" t="s">
        <v>2691</v>
      </c>
      <c r="AG187" s="11" t="s">
        <v>94</v>
      </c>
      <c r="AH187" s="11" t="s">
        <v>2691</v>
      </c>
      <c r="AI187" s="11" t="s">
        <v>2697</v>
      </c>
      <c r="AJ187" s="11" t="s">
        <v>1782</v>
      </c>
      <c r="AK187" s="11" t="s">
        <v>1396</v>
      </c>
      <c r="AL187" s="11" t="s">
        <v>134</v>
      </c>
      <c r="AM187" s="11">
        <v>3676.6</v>
      </c>
      <c r="AN187" s="11"/>
      <c r="AO187" s="11" t="s">
        <v>134</v>
      </c>
      <c r="AP187" s="11" t="s">
        <v>1397</v>
      </c>
      <c r="AQ187" s="11" t="s">
        <v>1398</v>
      </c>
      <c r="AR187" s="11" t="s">
        <v>2255</v>
      </c>
      <c r="AS187" s="11" t="s">
        <v>2692</v>
      </c>
      <c r="AT187" s="11" t="s">
        <v>2698</v>
      </c>
      <c r="AU187" s="11" t="s">
        <v>2672</v>
      </c>
      <c r="AV187" s="11"/>
      <c r="AW187" s="11" t="s">
        <v>2694</v>
      </c>
      <c r="AX187" s="11"/>
      <c r="AY187" s="11"/>
      <c r="AZ187" s="11"/>
      <c r="BA187" s="11"/>
      <c r="BB187" s="11">
        <v>39345788</v>
      </c>
      <c r="BC187" s="11" t="s">
        <v>1403</v>
      </c>
      <c r="BD187" s="11" t="s">
        <v>1432</v>
      </c>
      <c r="BE187" s="11" t="s">
        <v>1779</v>
      </c>
      <c r="BF187" s="11" t="s">
        <v>1555</v>
      </c>
      <c r="BG187" s="11" t="s">
        <v>1482</v>
      </c>
      <c r="BH187" s="11" t="s">
        <v>1435</v>
      </c>
      <c r="BI187" s="11" t="s">
        <v>1407</v>
      </c>
      <c r="BJ187" s="11" t="s">
        <v>134</v>
      </c>
      <c r="BK187" s="11"/>
      <c r="BL187" s="11" t="s">
        <v>1408</v>
      </c>
      <c r="BM187" s="11"/>
      <c r="BN187" s="11"/>
      <c r="BO187" s="11" t="s">
        <v>1410</v>
      </c>
    </row>
    <row r="188" spans="2:67">
      <c r="B188" s="11">
        <v>177</v>
      </c>
      <c r="C188" s="11" t="s">
        <v>1374</v>
      </c>
      <c r="D188" s="11" t="s">
        <v>1375</v>
      </c>
      <c r="E188" s="11" t="s">
        <v>1488</v>
      </c>
      <c r="F188" s="11" t="s">
        <v>2684</v>
      </c>
      <c r="G188" s="11" t="s">
        <v>1523</v>
      </c>
      <c r="H188" s="11" t="s">
        <v>2685</v>
      </c>
      <c r="I188" s="11" t="s">
        <v>94</v>
      </c>
      <c r="J188" s="11" t="s">
        <v>134</v>
      </c>
      <c r="K188" s="11" t="s">
        <v>1564</v>
      </c>
      <c r="L188" s="11" t="s">
        <v>94</v>
      </c>
      <c r="M188" s="11" t="s">
        <v>181</v>
      </c>
      <c r="N188" s="11" t="s">
        <v>181</v>
      </c>
      <c r="O188" s="11" t="s">
        <v>134</v>
      </c>
      <c r="P188" s="11"/>
      <c r="Q188" s="11"/>
      <c r="R188" s="11" t="s">
        <v>2686</v>
      </c>
      <c r="S188" s="11" t="s">
        <v>94</v>
      </c>
      <c r="T188" s="11" t="s">
        <v>2687</v>
      </c>
      <c r="U188" s="11" t="s">
        <v>1387</v>
      </c>
      <c r="V188" s="11" t="s">
        <v>2688</v>
      </c>
      <c r="W188" s="11" t="s">
        <v>1389</v>
      </c>
      <c r="X188" s="11" t="s">
        <v>1769</v>
      </c>
      <c r="Y188" s="11" t="s">
        <v>1564</v>
      </c>
      <c r="Z188" s="11" t="s">
        <v>2354</v>
      </c>
      <c r="AA188" s="11" t="s">
        <v>2689</v>
      </c>
      <c r="AB188" s="11" t="s">
        <v>2690</v>
      </c>
      <c r="AC188" s="11" t="s">
        <v>2686</v>
      </c>
      <c r="AD188" s="11">
        <v>5389051</v>
      </c>
      <c r="AE188" s="11" t="s">
        <v>94</v>
      </c>
      <c r="AF188" s="11" t="s">
        <v>2691</v>
      </c>
      <c r="AG188" s="11" t="s">
        <v>94</v>
      </c>
      <c r="AH188" s="11" t="s">
        <v>2691</v>
      </c>
      <c r="AI188" s="11" t="s">
        <v>2026</v>
      </c>
      <c r="AJ188" s="11" t="s">
        <v>1676</v>
      </c>
      <c r="AK188" s="11" t="s">
        <v>1396</v>
      </c>
      <c r="AL188" s="11" t="s">
        <v>134</v>
      </c>
      <c r="AM188" s="11">
        <v>3063.8</v>
      </c>
      <c r="AN188" s="11"/>
      <c r="AO188" s="11" t="s">
        <v>134</v>
      </c>
      <c r="AP188" s="11" t="s">
        <v>1397</v>
      </c>
      <c r="AQ188" s="11" t="s">
        <v>1398</v>
      </c>
      <c r="AR188" s="11" t="s">
        <v>2255</v>
      </c>
      <c r="AS188" s="11" t="s">
        <v>2692</v>
      </c>
      <c r="AT188" s="11" t="s">
        <v>2699</v>
      </c>
      <c r="AU188" s="11" t="s">
        <v>2672</v>
      </c>
      <c r="AV188" s="11"/>
      <c r="AW188" s="11" t="s">
        <v>2694</v>
      </c>
      <c r="AX188" s="11"/>
      <c r="AY188" s="11"/>
      <c r="AZ188" s="11"/>
      <c r="BA188" s="11"/>
      <c r="BB188" s="11">
        <v>39345788</v>
      </c>
      <c r="BC188" s="11" t="s">
        <v>1403</v>
      </c>
      <c r="BD188" s="11" t="s">
        <v>1432</v>
      </c>
      <c r="BE188" s="11" t="s">
        <v>1779</v>
      </c>
      <c r="BF188" s="11" t="s">
        <v>1555</v>
      </c>
      <c r="BG188" s="11" t="s">
        <v>1482</v>
      </c>
      <c r="BH188" s="11" t="s">
        <v>1435</v>
      </c>
      <c r="BI188" s="11" t="s">
        <v>1407</v>
      </c>
      <c r="BJ188" s="11" t="s">
        <v>134</v>
      </c>
      <c r="BK188" s="11"/>
      <c r="BL188" s="11" t="s">
        <v>1408</v>
      </c>
      <c r="BM188" s="11"/>
      <c r="BN188" s="11"/>
      <c r="BO188" s="11" t="s">
        <v>1410</v>
      </c>
    </row>
    <row r="189" spans="2:67">
      <c r="B189" s="11">
        <v>178</v>
      </c>
      <c r="C189" s="11" t="s">
        <v>1374</v>
      </c>
      <c r="D189" s="11" t="s">
        <v>1375</v>
      </c>
      <c r="E189" s="11" t="s">
        <v>1488</v>
      </c>
      <c r="F189" s="11" t="s">
        <v>2684</v>
      </c>
      <c r="G189" s="11" t="s">
        <v>1523</v>
      </c>
      <c r="H189" s="11" t="s">
        <v>2685</v>
      </c>
      <c r="I189" s="11" t="s">
        <v>94</v>
      </c>
      <c r="J189" s="11" t="s">
        <v>134</v>
      </c>
      <c r="K189" s="11" t="s">
        <v>1564</v>
      </c>
      <c r="L189" s="11" t="s">
        <v>94</v>
      </c>
      <c r="M189" s="11" t="s">
        <v>181</v>
      </c>
      <c r="N189" s="11" t="s">
        <v>181</v>
      </c>
      <c r="O189" s="11" t="s">
        <v>134</v>
      </c>
      <c r="P189" s="11"/>
      <c r="Q189" s="11"/>
      <c r="R189" s="11" t="s">
        <v>2686</v>
      </c>
      <c r="S189" s="11" t="s">
        <v>94</v>
      </c>
      <c r="T189" s="11" t="s">
        <v>2687</v>
      </c>
      <c r="U189" s="11" t="s">
        <v>1387</v>
      </c>
      <c r="V189" s="11" t="s">
        <v>2688</v>
      </c>
      <c r="W189" s="11" t="s">
        <v>1389</v>
      </c>
      <c r="X189" s="11" t="s">
        <v>1769</v>
      </c>
      <c r="Y189" s="11" t="s">
        <v>1564</v>
      </c>
      <c r="Z189" s="11" t="s">
        <v>2354</v>
      </c>
      <c r="AA189" s="11" t="s">
        <v>2689</v>
      </c>
      <c r="AB189" s="11" t="s">
        <v>2690</v>
      </c>
      <c r="AC189" s="11" t="s">
        <v>2686</v>
      </c>
      <c r="AD189" s="11">
        <v>5389051</v>
      </c>
      <c r="AE189" s="11" t="s">
        <v>94</v>
      </c>
      <c r="AF189" s="11" t="s">
        <v>2691</v>
      </c>
      <c r="AG189" s="11" t="s">
        <v>94</v>
      </c>
      <c r="AH189" s="11" t="s">
        <v>2691</v>
      </c>
      <c r="AI189" s="11" t="s">
        <v>2700</v>
      </c>
      <c r="AJ189" s="11" t="s">
        <v>1788</v>
      </c>
      <c r="AK189" s="11" t="s">
        <v>1396</v>
      </c>
      <c r="AL189" s="11" t="s">
        <v>134</v>
      </c>
      <c r="AM189" s="11">
        <v>4902.1000000000004</v>
      </c>
      <c r="AN189" s="11"/>
      <c r="AO189" s="11" t="s">
        <v>134</v>
      </c>
      <c r="AP189" s="11" t="s">
        <v>1397</v>
      </c>
      <c r="AQ189" s="11" t="s">
        <v>1398</v>
      </c>
      <c r="AR189" s="11" t="s">
        <v>2255</v>
      </c>
      <c r="AS189" s="11" t="s">
        <v>2692</v>
      </c>
      <c r="AT189" s="11" t="s">
        <v>2701</v>
      </c>
      <c r="AU189" s="11" t="s">
        <v>2672</v>
      </c>
      <c r="AV189" s="11"/>
      <c r="AW189" s="11" t="s">
        <v>2694</v>
      </c>
      <c r="AX189" s="11"/>
      <c r="AY189" s="11"/>
      <c r="AZ189" s="11"/>
      <c r="BA189" s="11"/>
      <c r="BB189" s="11">
        <v>39345788</v>
      </c>
      <c r="BC189" s="11" t="s">
        <v>1403</v>
      </c>
      <c r="BD189" s="11" t="s">
        <v>1432</v>
      </c>
      <c r="BE189" s="11" t="s">
        <v>1779</v>
      </c>
      <c r="BF189" s="11" t="s">
        <v>1555</v>
      </c>
      <c r="BG189" s="11" t="s">
        <v>1482</v>
      </c>
      <c r="BH189" s="11" t="s">
        <v>1435</v>
      </c>
      <c r="BI189" s="11" t="s">
        <v>1407</v>
      </c>
      <c r="BJ189" s="11" t="s">
        <v>134</v>
      </c>
      <c r="BK189" s="11"/>
      <c r="BL189" s="11" t="s">
        <v>1408</v>
      </c>
      <c r="BM189" s="11"/>
      <c r="BN189" s="11"/>
      <c r="BO189" s="11" t="s">
        <v>1410</v>
      </c>
    </row>
    <row r="190" spans="2:67">
      <c r="B190" s="11">
        <v>179</v>
      </c>
      <c r="C190" s="11" t="s">
        <v>1374</v>
      </c>
      <c r="D190" s="11" t="s">
        <v>1375</v>
      </c>
      <c r="E190" s="11" t="s">
        <v>1488</v>
      </c>
      <c r="F190" s="11" t="s">
        <v>2684</v>
      </c>
      <c r="G190" s="11" t="s">
        <v>1523</v>
      </c>
      <c r="H190" s="11" t="s">
        <v>2685</v>
      </c>
      <c r="I190" s="11" t="s">
        <v>94</v>
      </c>
      <c r="J190" s="11" t="s">
        <v>134</v>
      </c>
      <c r="K190" s="11" t="s">
        <v>1564</v>
      </c>
      <c r="L190" s="11" t="s">
        <v>94</v>
      </c>
      <c r="M190" s="11" t="s">
        <v>181</v>
      </c>
      <c r="N190" s="11" t="s">
        <v>181</v>
      </c>
      <c r="O190" s="11" t="s">
        <v>134</v>
      </c>
      <c r="P190" s="11"/>
      <c r="Q190" s="11"/>
      <c r="R190" s="11" t="s">
        <v>2686</v>
      </c>
      <c r="S190" s="11" t="s">
        <v>94</v>
      </c>
      <c r="T190" s="11" t="s">
        <v>2687</v>
      </c>
      <c r="U190" s="11" t="s">
        <v>1387</v>
      </c>
      <c r="V190" s="11" t="s">
        <v>2688</v>
      </c>
      <c r="W190" s="11" t="s">
        <v>1389</v>
      </c>
      <c r="X190" s="11" t="s">
        <v>1769</v>
      </c>
      <c r="Y190" s="11" t="s">
        <v>1564</v>
      </c>
      <c r="Z190" s="11" t="s">
        <v>2354</v>
      </c>
      <c r="AA190" s="11" t="s">
        <v>2689</v>
      </c>
      <c r="AB190" s="11" t="s">
        <v>2690</v>
      </c>
      <c r="AC190" s="11" t="s">
        <v>2686</v>
      </c>
      <c r="AD190" s="11">
        <v>5389051</v>
      </c>
      <c r="AE190" s="11" t="s">
        <v>94</v>
      </c>
      <c r="AF190" s="11" t="s">
        <v>2691</v>
      </c>
      <c r="AG190" s="11" t="s">
        <v>94</v>
      </c>
      <c r="AH190" s="11" t="s">
        <v>2691</v>
      </c>
      <c r="AI190" s="11" t="s">
        <v>2702</v>
      </c>
      <c r="AJ190" s="11" t="s">
        <v>1785</v>
      </c>
      <c r="AK190" s="11" t="s">
        <v>1396</v>
      </c>
      <c r="AL190" s="11" t="s">
        <v>134</v>
      </c>
      <c r="AM190" s="11">
        <v>3866</v>
      </c>
      <c r="AN190" s="11"/>
      <c r="AO190" s="11" t="s">
        <v>134</v>
      </c>
      <c r="AP190" s="11" t="s">
        <v>1397</v>
      </c>
      <c r="AQ190" s="11" t="s">
        <v>1398</v>
      </c>
      <c r="AR190" s="11" t="s">
        <v>2255</v>
      </c>
      <c r="AS190" s="11" t="s">
        <v>2692</v>
      </c>
      <c r="AT190" s="11" t="s">
        <v>2703</v>
      </c>
      <c r="AU190" s="11" t="s">
        <v>2672</v>
      </c>
      <c r="AV190" s="11"/>
      <c r="AW190" s="11" t="s">
        <v>2694</v>
      </c>
      <c r="AX190" s="11"/>
      <c r="AY190" s="11"/>
      <c r="AZ190" s="11"/>
      <c r="BA190" s="11"/>
      <c r="BB190" s="11">
        <v>39345788</v>
      </c>
      <c r="BC190" s="11" t="s">
        <v>1403</v>
      </c>
      <c r="BD190" s="11" t="s">
        <v>1432</v>
      </c>
      <c r="BE190" s="11" t="s">
        <v>1779</v>
      </c>
      <c r="BF190" s="11" t="s">
        <v>1555</v>
      </c>
      <c r="BG190" s="11" t="s">
        <v>1482</v>
      </c>
      <c r="BH190" s="11" t="s">
        <v>1435</v>
      </c>
      <c r="BI190" s="11" t="s">
        <v>1407</v>
      </c>
      <c r="BJ190" s="11" t="s">
        <v>134</v>
      </c>
      <c r="BK190" s="11"/>
      <c r="BL190" s="11" t="s">
        <v>1408</v>
      </c>
      <c r="BM190" s="11"/>
      <c r="BN190" s="11"/>
      <c r="BO190" s="11" t="s">
        <v>1410</v>
      </c>
    </row>
    <row r="191" spans="2:67">
      <c r="B191" s="11">
        <v>180</v>
      </c>
      <c r="C191" s="11" t="s">
        <v>1374</v>
      </c>
      <c r="D191" s="11" t="s">
        <v>1375</v>
      </c>
      <c r="E191" s="11" t="s">
        <v>2704</v>
      </c>
      <c r="F191" s="11" t="s">
        <v>2705</v>
      </c>
      <c r="G191" s="11" t="s">
        <v>1974</v>
      </c>
      <c r="H191" s="11" t="s">
        <v>2706</v>
      </c>
      <c r="I191" s="11" t="s">
        <v>2707</v>
      </c>
      <c r="J191" s="11" t="s">
        <v>134</v>
      </c>
      <c r="K191" s="11" t="s">
        <v>1547</v>
      </c>
      <c r="L191" s="11" t="s">
        <v>1382</v>
      </c>
      <c r="M191" s="11" t="s">
        <v>1383</v>
      </c>
      <c r="N191" s="11" t="s">
        <v>508</v>
      </c>
      <c r="O191" s="11" t="s">
        <v>2708</v>
      </c>
      <c r="P191" s="11"/>
      <c r="Q191" s="11"/>
      <c r="R191" s="11" t="s">
        <v>2704</v>
      </c>
      <c r="S191" s="11" t="s">
        <v>1382</v>
      </c>
      <c r="T191" s="11" t="s">
        <v>2709</v>
      </c>
      <c r="U191" s="11" t="s">
        <v>1387</v>
      </c>
      <c r="V191" s="11" t="s">
        <v>2710</v>
      </c>
      <c r="W191" s="11" t="s">
        <v>1389</v>
      </c>
      <c r="X191" s="11" t="s">
        <v>2711</v>
      </c>
      <c r="Y191" s="11" t="s">
        <v>1547</v>
      </c>
      <c r="Z191" s="11" t="s">
        <v>2712</v>
      </c>
      <c r="AA191" s="11" t="s">
        <v>2713</v>
      </c>
      <c r="AB191" s="11" t="s">
        <v>2714</v>
      </c>
      <c r="AC191" s="11" t="s">
        <v>2704</v>
      </c>
      <c r="AD191" s="11">
        <v>5389046</v>
      </c>
      <c r="AE191" s="11" t="s">
        <v>1382</v>
      </c>
      <c r="AF191" s="11" t="s">
        <v>2715</v>
      </c>
      <c r="AG191" s="11" t="s">
        <v>1382</v>
      </c>
      <c r="AH191" s="11" t="s">
        <v>2716</v>
      </c>
      <c r="AI191" s="11" t="s">
        <v>2717</v>
      </c>
      <c r="AJ191" s="11" t="s">
        <v>1863</v>
      </c>
      <c r="AK191" s="11" t="s">
        <v>1396</v>
      </c>
      <c r="AL191" s="11" t="s">
        <v>134</v>
      </c>
      <c r="AM191" s="11">
        <v>11900</v>
      </c>
      <c r="AN191" s="11"/>
      <c r="AO191" s="11" t="s">
        <v>2708</v>
      </c>
      <c r="AP191" s="11" t="s">
        <v>1397</v>
      </c>
      <c r="AQ191" s="11" t="s">
        <v>1398</v>
      </c>
      <c r="AR191" s="11"/>
      <c r="AS191" s="11" t="s">
        <v>2718</v>
      </c>
      <c r="AT191" s="11"/>
      <c r="AU191" s="11" t="s">
        <v>2672</v>
      </c>
      <c r="AV191" s="11"/>
      <c r="AW191" s="11" t="s">
        <v>2719</v>
      </c>
      <c r="AX191" s="11"/>
      <c r="AY191" s="11"/>
      <c r="AZ191" s="11"/>
      <c r="BA191" s="11"/>
      <c r="BB191" s="11">
        <v>79918304</v>
      </c>
      <c r="BC191" s="11" t="s">
        <v>1403</v>
      </c>
      <c r="BD191" s="11" t="s">
        <v>1432</v>
      </c>
      <c r="BE191" s="11" t="s">
        <v>2062</v>
      </c>
      <c r="BF191" s="11" t="s">
        <v>1434</v>
      </c>
      <c r="BG191" s="11" t="s">
        <v>1482</v>
      </c>
      <c r="BH191" s="11" t="s">
        <v>1502</v>
      </c>
      <c r="BI191" s="11" t="s">
        <v>1407</v>
      </c>
      <c r="BJ191" s="11" t="s">
        <v>134</v>
      </c>
      <c r="BK191" s="11"/>
      <c r="BL191" s="11"/>
      <c r="BM191" s="11"/>
      <c r="BN191" s="11" t="s">
        <v>1483</v>
      </c>
      <c r="BO191" s="11" t="s">
        <v>1410</v>
      </c>
    </row>
    <row r="192" spans="2:67">
      <c r="B192" s="11">
        <v>181</v>
      </c>
      <c r="C192" s="11" t="s">
        <v>1374</v>
      </c>
      <c r="D192" s="11" t="s">
        <v>1375</v>
      </c>
      <c r="E192" s="11" t="s">
        <v>2720</v>
      </c>
      <c r="F192" s="11" t="s">
        <v>2721</v>
      </c>
      <c r="G192" s="11" t="s">
        <v>2722</v>
      </c>
      <c r="H192" s="11" t="s">
        <v>2723</v>
      </c>
      <c r="I192" s="11" t="s">
        <v>2724</v>
      </c>
      <c r="J192" s="11"/>
      <c r="K192" s="11" t="s">
        <v>1488</v>
      </c>
      <c r="L192" s="11" t="s">
        <v>94</v>
      </c>
      <c r="M192" s="11" t="s">
        <v>1417</v>
      </c>
      <c r="N192" s="11" t="s">
        <v>48</v>
      </c>
      <c r="O192" s="11" t="s">
        <v>134</v>
      </c>
      <c r="P192" s="11"/>
      <c r="Q192" s="11"/>
      <c r="R192" s="11" t="s">
        <v>2725</v>
      </c>
      <c r="S192" s="11" t="s">
        <v>1662</v>
      </c>
      <c r="T192" s="11" t="s">
        <v>2726</v>
      </c>
      <c r="U192" s="11" t="s">
        <v>1444</v>
      </c>
      <c r="V192" s="11" t="s">
        <v>2727</v>
      </c>
      <c r="W192" s="11" t="s">
        <v>1389</v>
      </c>
      <c r="X192" s="11" t="s">
        <v>1598</v>
      </c>
      <c r="Y192" s="11" t="s">
        <v>1547</v>
      </c>
      <c r="Z192" s="11" t="s">
        <v>1422</v>
      </c>
      <c r="AA192" s="11" t="s">
        <v>2728</v>
      </c>
      <c r="AB192" s="11" t="s">
        <v>2729</v>
      </c>
      <c r="AC192" s="11" t="s">
        <v>2725</v>
      </c>
      <c r="AD192" s="11">
        <v>5388683</v>
      </c>
      <c r="AE192" s="11" t="s">
        <v>94</v>
      </c>
      <c r="AF192" s="11" t="s">
        <v>2730</v>
      </c>
      <c r="AG192" s="11" t="s">
        <v>1662</v>
      </c>
      <c r="AH192" s="11" t="s">
        <v>2731</v>
      </c>
      <c r="AI192" s="11"/>
      <c r="AJ192" s="11"/>
      <c r="AK192" s="11" t="s">
        <v>1396</v>
      </c>
      <c r="AL192" s="11" t="s">
        <v>134</v>
      </c>
      <c r="AM192" s="11">
        <v>47250</v>
      </c>
      <c r="AN192" s="11"/>
      <c r="AO192" s="11" t="s">
        <v>134</v>
      </c>
      <c r="AP192" s="11" t="s">
        <v>1498</v>
      </c>
      <c r="AQ192" s="11" t="s">
        <v>1398</v>
      </c>
      <c r="AR192" s="11"/>
      <c r="AS192" s="11" t="s">
        <v>2732</v>
      </c>
      <c r="AT192" s="11"/>
      <c r="AU192" s="11"/>
      <c r="AV192" s="11"/>
      <c r="AW192" s="11" t="s">
        <v>2733</v>
      </c>
      <c r="AX192" s="11"/>
      <c r="AY192" s="11"/>
      <c r="AZ192" s="11"/>
      <c r="BA192" s="11"/>
      <c r="BB192" s="11">
        <v>46924973</v>
      </c>
      <c r="BC192" s="11" t="s">
        <v>1403</v>
      </c>
      <c r="BD192" s="11" t="s">
        <v>1432</v>
      </c>
      <c r="BE192" s="11" t="s">
        <v>1694</v>
      </c>
      <c r="BF192" s="11" t="s">
        <v>1780</v>
      </c>
      <c r="BG192" s="11" t="s">
        <v>1482</v>
      </c>
      <c r="BH192" s="11" t="s">
        <v>1435</v>
      </c>
      <c r="BI192" s="11" t="s">
        <v>1403</v>
      </c>
      <c r="BJ192" s="11" t="s">
        <v>134</v>
      </c>
      <c r="BK192" s="11"/>
      <c r="BL192" s="11"/>
      <c r="BM192" s="11"/>
      <c r="BN192" s="11" t="s">
        <v>1457</v>
      </c>
      <c r="BO192" s="11" t="s">
        <v>1748</v>
      </c>
    </row>
    <row r="193" spans="2:67">
      <c r="B193" s="11">
        <v>182</v>
      </c>
      <c r="C193" s="11" t="s">
        <v>1374</v>
      </c>
      <c r="D193" s="11" t="s">
        <v>1375</v>
      </c>
      <c r="E193" s="11"/>
      <c r="F193" s="11" t="s">
        <v>1988</v>
      </c>
      <c r="G193" s="11"/>
      <c r="H193" s="11" t="s">
        <v>1989</v>
      </c>
      <c r="I193" s="11" t="s">
        <v>1990</v>
      </c>
      <c r="J193" s="11"/>
      <c r="K193" s="11" t="s">
        <v>1470</v>
      </c>
      <c r="L193" s="11" t="s">
        <v>94</v>
      </c>
      <c r="M193" s="11" t="s">
        <v>1581</v>
      </c>
      <c r="N193" s="11" t="s">
        <v>782</v>
      </c>
      <c r="O193" s="11"/>
      <c r="P193" s="11"/>
      <c r="Q193" s="11"/>
      <c r="R193" s="11" t="s">
        <v>784</v>
      </c>
      <c r="S193" s="11" t="s">
        <v>1382</v>
      </c>
      <c r="T193" s="11" t="s">
        <v>2734</v>
      </c>
      <c r="U193" s="11" t="s">
        <v>1444</v>
      </c>
      <c r="V193" s="11" t="s">
        <v>2735</v>
      </c>
      <c r="W193" s="11" t="s">
        <v>1389</v>
      </c>
      <c r="X193" s="11" t="s">
        <v>1598</v>
      </c>
      <c r="Y193" s="11" t="s">
        <v>1547</v>
      </c>
      <c r="Z193" s="11" t="s">
        <v>1993</v>
      </c>
      <c r="AA193" s="11" t="s">
        <v>1994</v>
      </c>
      <c r="AB193" s="11" t="s">
        <v>1995</v>
      </c>
      <c r="AC193" s="11" t="s">
        <v>784</v>
      </c>
      <c r="AD193" s="11">
        <v>5387933</v>
      </c>
      <c r="AE193" s="11" t="s">
        <v>94</v>
      </c>
      <c r="AF193" s="11" t="s">
        <v>2736</v>
      </c>
      <c r="AG193" s="11" t="s">
        <v>1382</v>
      </c>
      <c r="AH193" s="11" t="s">
        <v>2737</v>
      </c>
      <c r="AI193" s="11"/>
      <c r="AJ193" s="11"/>
      <c r="AK193" s="11" t="s">
        <v>1396</v>
      </c>
      <c r="AL193" s="11" t="s">
        <v>134</v>
      </c>
      <c r="AM193" s="11">
        <v>47170</v>
      </c>
      <c r="AN193" s="11" t="s">
        <v>1450</v>
      </c>
      <c r="AO193" s="11" t="s">
        <v>134</v>
      </c>
      <c r="AP193" s="11" t="s">
        <v>1498</v>
      </c>
      <c r="AQ193" s="11" t="s">
        <v>1398</v>
      </c>
      <c r="AR193" s="11"/>
      <c r="AS193" s="11" t="s">
        <v>785</v>
      </c>
      <c r="AT193" s="11"/>
      <c r="AU193" s="11"/>
      <c r="AV193" s="11"/>
      <c r="AW193" s="11" t="s">
        <v>2738</v>
      </c>
      <c r="AX193" s="11"/>
      <c r="AY193" s="11"/>
      <c r="AZ193" s="11"/>
      <c r="BA193" s="11"/>
      <c r="BB193" s="11">
        <v>64203758</v>
      </c>
      <c r="BC193" s="11" t="s">
        <v>1403</v>
      </c>
      <c r="BD193" s="11" t="s">
        <v>1432</v>
      </c>
      <c r="BE193" s="11" t="s">
        <v>1694</v>
      </c>
      <c r="BF193" s="11" t="s">
        <v>1780</v>
      </c>
      <c r="BG193" s="11"/>
      <c r="BH193" s="11" t="s">
        <v>1435</v>
      </c>
      <c r="BI193" s="11" t="s">
        <v>1403</v>
      </c>
      <c r="BJ193" s="11" t="s">
        <v>134</v>
      </c>
      <c r="BK193" s="11"/>
      <c r="BL193" s="11"/>
      <c r="BM193" s="11"/>
      <c r="BN193" s="11" t="s">
        <v>1556</v>
      </c>
      <c r="BO193" s="11"/>
    </row>
    <row r="194" spans="2:67">
      <c r="B194" s="11">
        <v>183</v>
      </c>
      <c r="C194" s="11" t="s">
        <v>1374</v>
      </c>
      <c r="D194" s="11" t="s">
        <v>1375</v>
      </c>
      <c r="E194" s="11"/>
      <c r="F194" s="11" t="s">
        <v>1988</v>
      </c>
      <c r="G194" s="11"/>
      <c r="H194" s="11" t="s">
        <v>1989</v>
      </c>
      <c r="I194" s="11" t="s">
        <v>1990</v>
      </c>
      <c r="J194" s="11"/>
      <c r="K194" s="11" t="s">
        <v>1470</v>
      </c>
      <c r="L194" s="11" t="s">
        <v>94</v>
      </c>
      <c r="M194" s="11" t="s">
        <v>1581</v>
      </c>
      <c r="N194" s="11" t="s">
        <v>782</v>
      </c>
      <c r="O194" s="11"/>
      <c r="P194" s="11"/>
      <c r="Q194" s="11"/>
      <c r="R194" s="11" t="s">
        <v>784</v>
      </c>
      <c r="S194" s="11" t="s">
        <v>1382</v>
      </c>
      <c r="T194" s="11" t="s">
        <v>2734</v>
      </c>
      <c r="U194" s="11" t="s">
        <v>1444</v>
      </c>
      <c r="V194" s="11" t="s">
        <v>2735</v>
      </c>
      <c r="W194" s="11" t="s">
        <v>1389</v>
      </c>
      <c r="X194" s="11" t="s">
        <v>1598</v>
      </c>
      <c r="Y194" s="11" t="s">
        <v>1547</v>
      </c>
      <c r="Z194" s="11" t="s">
        <v>1993</v>
      </c>
      <c r="AA194" s="11" t="s">
        <v>1994</v>
      </c>
      <c r="AB194" s="11" t="s">
        <v>1995</v>
      </c>
      <c r="AC194" s="11" t="s">
        <v>784</v>
      </c>
      <c r="AD194" s="11">
        <v>5387930</v>
      </c>
      <c r="AE194" s="11" t="s">
        <v>1382</v>
      </c>
      <c r="AF194" s="11" t="s">
        <v>2736</v>
      </c>
      <c r="AG194" s="11" t="s">
        <v>1382</v>
      </c>
      <c r="AH194" s="11" t="s">
        <v>2737</v>
      </c>
      <c r="AI194" s="11" t="s">
        <v>2739</v>
      </c>
      <c r="AJ194" s="11" t="s">
        <v>2740</v>
      </c>
      <c r="AK194" s="11" t="s">
        <v>1396</v>
      </c>
      <c r="AL194" s="11" t="s">
        <v>134</v>
      </c>
      <c r="AM194" s="11">
        <v>4050</v>
      </c>
      <c r="AN194" s="11" t="s">
        <v>1450</v>
      </c>
      <c r="AO194" s="11" t="s">
        <v>134</v>
      </c>
      <c r="AP194" s="11" t="s">
        <v>1451</v>
      </c>
      <c r="AQ194" s="11" t="s">
        <v>1398</v>
      </c>
      <c r="AR194" s="11" t="s">
        <v>1570</v>
      </c>
      <c r="AS194" s="11" t="s">
        <v>785</v>
      </c>
      <c r="AT194" s="11" t="s">
        <v>2741</v>
      </c>
      <c r="AU194" s="11" t="s">
        <v>2742</v>
      </c>
      <c r="AV194" s="11"/>
      <c r="AW194" s="11" t="s">
        <v>2738</v>
      </c>
      <c r="AX194" s="11"/>
      <c r="AY194" s="11"/>
      <c r="AZ194" s="11"/>
      <c r="BA194" s="11"/>
      <c r="BB194" s="11">
        <v>64203758</v>
      </c>
      <c r="BC194" s="11" t="s">
        <v>1403</v>
      </c>
      <c r="BD194" s="11" t="s">
        <v>1432</v>
      </c>
      <c r="BE194" s="11" t="s">
        <v>1694</v>
      </c>
      <c r="BF194" s="11" t="s">
        <v>1780</v>
      </c>
      <c r="BG194" s="11"/>
      <c r="BH194" s="11" t="s">
        <v>1435</v>
      </c>
      <c r="BI194" s="11" t="s">
        <v>1407</v>
      </c>
      <c r="BJ194" s="11" t="s">
        <v>134</v>
      </c>
      <c r="BK194" s="11"/>
      <c r="BL194" s="11" t="s">
        <v>1408</v>
      </c>
      <c r="BM194" s="11"/>
      <c r="BN194" s="11" t="s">
        <v>1556</v>
      </c>
      <c r="BO194" s="11"/>
    </row>
    <row r="195" spans="2:67">
      <c r="B195" s="11">
        <v>184</v>
      </c>
      <c r="C195" s="11" t="s">
        <v>1374</v>
      </c>
      <c r="D195" s="11" t="s">
        <v>1375</v>
      </c>
      <c r="E195" s="11"/>
      <c r="F195" s="11" t="s">
        <v>1988</v>
      </c>
      <c r="G195" s="11"/>
      <c r="H195" s="11" t="s">
        <v>1989</v>
      </c>
      <c r="I195" s="11" t="s">
        <v>1990</v>
      </c>
      <c r="J195" s="11"/>
      <c r="K195" s="11" t="s">
        <v>1470</v>
      </c>
      <c r="L195" s="11" t="s">
        <v>94</v>
      </c>
      <c r="M195" s="11" t="s">
        <v>1581</v>
      </c>
      <c r="N195" s="11" t="s">
        <v>782</v>
      </c>
      <c r="O195" s="11"/>
      <c r="P195" s="11"/>
      <c r="Q195" s="11"/>
      <c r="R195" s="11" t="s">
        <v>784</v>
      </c>
      <c r="S195" s="11" t="s">
        <v>1382</v>
      </c>
      <c r="T195" s="11" t="s">
        <v>2734</v>
      </c>
      <c r="U195" s="11" t="s">
        <v>1444</v>
      </c>
      <c r="V195" s="11" t="s">
        <v>2735</v>
      </c>
      <c r="W195" s="11" t="s">
        <v>1389</v>
      </c>
      <c r="X195" s="11" t="s">
        <v>1598</v>
      </c>
      <c r="Y195" s="11" t="s">
        <v>1547</v>
      </c>
      <c r="Z195" s="11" t="s">
        <v>1993</v>
      </c>
      <c r="AA195" s="11" t="s">
        <v>1994</v>
      </c>
      <c r="AB195" s="11" t="s">
        <v>1995</v>
      </c>
      <c r="AC195" s="11" t="s">
        <v>784</v>
      </c>
      <c r="AD195" s="11">
        <v>5387930</v>
      </c>
      <c r="AE195" s="11" t="s">
        <v>1382</v>
      </c>
      <c r="AF195" s="11" t="s">
        <v>2736</v>
      </c>
      <c r="AG195" s="11" t="s">
        <v>1382</v>
      </c>
      <c r="AH195" s="11" t="s">
        <v>2737</v>
      </c>
      <c r="AI195" s="11" t="s">
        <v>2743</v>
      </c>
      <c r="AJ195" s="11" t="s">
        <v>2417</v>
      </c>
      <c r="AK195" s="11" t="s">
        <v>1396</v>
      </c>
      <c r="AL195" s="11" t="s">
        <v>134</v>
      </c>
      <c r="AM195" s="11">
        <v>14080</v>
      </c>
      <c r="AN195" s="11" t="s">
        <v>1450</v>
      </c>
      <c r="AO195" s="11" t="s">
        <v>134</v>
      </c>
      <c r="AP195" s="11" t="s">
        <v>1451</v>
      </c>
      <c r="AQ195" s="11" t="s">
        <v>1398</v>
      </c>
      <c r="AR195" s="11" t="s">
        <v>1570</v>
      </c>
      <c r="AS195" s="11" t="s">
        <v>785</v>
      </c>
      <c r="AT195" s="11" t="s">
        <v>2744</v>
      </c>
      <c r="AU195" s="11" t="s">
        <v>2742</v>
      </c>
      <c r="AV195" s="11"/>
      <c r="AW195" s="11" t="s">
        <v>2738</v>
      </c>
      <c r="AX195" s="11"/>
      <c r="AY195" s="11"/>
      <c r="AZ195" s="11"/>
      <c r="BA195" s="11"/>
      <c r="BB195" s="11">
        <v>64203758</v>
      </c>
      <c r="BC195" s="11" t="s">
        <v>1403</v>
      </c>
      <c r="BD195" s="11" t="s">
        <v>1432</v>
      </c>
      <c r="BE195" s="11" t="s">
        <v>1694</v>
      </c>
      <c r="BF195" s="11" t="s">
        <v>1780</v>
      </c>
      <c r="BG195" s="11"/>
      <c r="BH195" s="11" t="s">
        <v>1435</v>
      </c>
      <c r="BI195" s="11" t="s">
        <v>1407</v>
      </c>
      <c r="BJ195" s="11" t="s">
        <v>134</v>
      </c>
      <c r="BK195" s="11"/>
      <c r="BL195" s="11" t="s">
        <v>1577</v>
      </c>
      <c r="BM195" s="11"/>
      <c r="BN195" s="11" t="s">
        <v>1556</v>
      </c>
      <c r="BO195" s="11"/>
    </row>
    <row r="196" spans="2:67">
      <c r="B196" s="11">
        <v>185</v>
      </c>
      <c r="C196" s="11" t="s">
        <v>1374</v>
      </c>
      <c r="D196" s="11" t="s">
        <v>1375</v>
      </c>
      <c r="E196" s="11"/>
      <c r="F196" s="11" t="s">
        <v>1988</v>
      </c>
      <c r="G196" s="11"/>
      <c r="H196" s="11" t="s">
        <v>1989</v>
      </c>
      <c r="I196" s="11" t="s">
        <v>1990</v>
      </c>
      <c r="J196" s="11"/>
      <c r="K196" s="11" t="s">
        <v>1470</v>
      </c>
      <c r="L196" s="11" t="s">
        <v>94</v>
      </c>
      <c r="M196" s="11" t="s">
        <v>1581</v>
      </c>
      <c r="N196" s="11" t="s">
        <v>782</v>
      </c>
      <c r="O196" s="11"/>
      <c r="P196" s="11"/>
      <c r="Q196" s="11"/>
      <c r="R196" s="11" t="s">
        <v>784</v>
      </c>
      <c r="S196" s="11" t="s">
        <v>1382</v>
      </c>
      <c r="T196" s="11" t="s">
        <v>2734</v>
      </c>
      <c r="U196" s="11" t="s">
        <v>1444</v>
      </c>
      <c r="V196" s="11" t="s">
        <v>2735</v>
      </c>
      <c r="W196" s="11" t="s">
        <v>1389</v>
      </c>
      <c r="X196" s="11" t="s">
        <v>1598</v>
      </c>
      <c r="Y196" s="11" t="s">
        <v>1547</v>
      </c>
      <c r="Z196" s="11" t="s">
        <v>1993</v>
      </c>
      <c r="AA196" s="11" t="s">
        <v>1994</v>
      </c>
      <c r="AB196" s="11" t="s">
        <v>1995</v>
      </c>
      <c r="AC196" s="11" t="s">
        <v>784</v>
      </c>
      <c r="AD196" s="11">
        <v>5387930</v>
      </c>
      <c r="AE196" s="11" t="s">
        <v>1382</v>
      </c>
      <c r="AF196" s="11" t="s">
        <v>2736</v>
      </c>
      <c r="AG196" s="11" t="s">
        <v>1382</v>
      </c>
      <c r="AH196" s="11" t="s">
        <v>2737</v>
      </c>
      <c r="AI196" s="11" t="s">
        <v>2745</v>
      </c>
      <c r="AJ196" s="11" t="s">
        <v>2621</v>
      </c>
      <c r="AK196" s="11" t="s">
        <v>1396</v>
      </c>
      <c r="AL196" s="11" t="s">
        <v>134</v>
      </c>
      <c r="AM196" s="11">
        <v>8450</v>
      </c>
      <c r="AN196" s="11" t="s">
        <v>1450</v>
      </c>
      <c r="AO196" s="11" t="s">
        <v>134</v>
      </c>
      <c r="AP196" s="11" t="s">
        <v>1451</v>
      </c>
      <c r="AQ196" s="11" t="s">
        <v>1398</v>
      </c>
      <c r="AR196" s="11" t="s">
        <v>1570</v>
      </c>
      <c r="AS196" s="11" t="s">
        <v>785</v>
      </c>
      <c r="AT196" s="11" t="s">
        <v>2746</v>
      </c>
      <c r="AU196" s="11" t="s">
        <v>2742</v>
      </c>
      <c r="AV196" s="11"/>
      <c r="AW196" s="11" t="s">
        <v>2738</v>
      </c>
      <c r="AX196" s="11"/>
      <c r="AY196" s="11"/>
      <c r="AZ196" s="11"/>
      <c r="BA196" s="11"/>
      <c r="BB196" s="11">
        <v>64203758</v>
      </c>
      <c r="BC196" s="11" t="s">
        <v>1403</v>
      </c>
      <c r="BD196" s="11" t="s">
        <v>1432</v>
      </c>
      <c r="BE196" s="11" t="s">
        <v>1694</v>
      </c>
      <c r="BF196" s="11" t="s">
        <v>1780</v>
      </c>
      <c r="BG196" s="11"/>
      <c r="BH196" s="11" t="s">
        <v>1435</v>
      </c>
      <c r="BI196" s="11" t="s">
        <v>1407</v>
      </c>
      <c r="BJ196" s="11" t="s">
        <v>134</v>
      </c>
      <c r="BK196" s="11"/>
      <c r="BL196" s="11" t="s">
        <v>1577</v>
      </c>
      <c r="BM196" s="11"/>
      <c r="BN196" s="11" t="s">
        <v>1556</v>
      </c>
      <c r="BO196" s="11"/>
    </row>
    <row r="197" spans="2:67">
      <c r="B197" s="11">
        <v>186</v>
      </c>
      <c r="C197" s="11" t="s">
        <v>1374</v>
      </c>
      <c r="D197" s="11" t="s">
        <v>1375</v>
      </c>
      <c r="E197" s="11"/>
      <c r="F197" s="11" t="s">
        <v>1988</v>
      </c>
      <c r="G197" s="11"/>
      <c r="H197" s="11" t="s">
        <v>1989</v>
      </c>
      <c r="I197" s="11" t="s">
        <v>1990</v>
      </c>
      <c r="J197" s="11"/>
      <c r="K197" s="11" t="s">
        <v>1470</v>
      </c>
      <c r="L197" s="11" t="s">
        <v>94</v>
      </c>
      <c r="M197" s="11" t="s">
        <v>1581</v>
      </c>
      <c r="N197" s="11" t="s">
        <v>782</v>
      </c>
      <c r="O197" s="11"/>
      <c r="P197" s="11"/>
      <c r="Q197" s="11"/>
      <c r="R197" s="11" t="s">
        <v>784</v>
      </c>
      <c r="S197" s="11" t="s">
        <v>1382</v>
      </c>
      <c r="T197" s="11" t="s">
        <v>2734</v>
      </c>
      <c r="U197" s="11" t="s">
        <v>1444</v>
      </c>
      <c r="V197" s="11" t="s">
        <v>2735</v>
      </c>
      <c r="W197" s="11" t="s">
        <v>1389</v>
      </c>
      <c r="X197" s="11" t="s">
        <v>1598</v>
      </c>
      <c r="Y197" s="11" t="s">
        <v>1547</v>
      </c>
      <c r="Z197" s="11" t="s">
        <v>1993</v>
      </c>
      <c r="AA197" s="11" t="s">
        <v>1994</v>
      </c>
      <c r="AB197" s="11" t="s">
        <v>1995</v>
      </c>
      <c r="AC197" s="11" t="s">
        <v>784</v>
      </c>
      <c r="AD197" s="11">
        <v>5387930</v>
      </c>
      <c r="AE197" s="11" t="s">
        <v>1382</v>
      </c>
      <c r="AF197" s="11" t="s">
        <v>2736</v>
      </c>
      <c r="AG197" s="11" t="s">
        <v>1382</v>
      </c>
      <c r="AH197" s="11" t="s">
        <v>2737</v>
      </c>
      <c r="AI197" s="11" t="s">
        <v>2747</v>
      </c>
      <c r="AJ197" s="11" t="s">
        <v>1949</v>
      </c>
      <c r="AK197" s="11" t="s">
        <v>1396</v>
      </c>
      <c r="AL197" s="11" t="s">
        <v>134</v>
      </c>
      <c r="AM197" s="11">
        <v>4851.8999999999996</v>
      </c>
      <c r="AN197" s="11" t="s">
        <v>1450</v>
      </c>
      <c r="AO197" s="11" t="s">
        <v>134</v>
      </c>
      <c r="AP197" s="11" t="s">
        <v>1451</v>
      </c>
      <c r="AQ197" s="11" t="s">
        <v>1398</v>
      </c>
      <c r="AR197" s="11" t="s">
        <v>1570</v>
      </c>
      <c r="AS197" s="11" t="s">
        <v>785</v>
      </c>
      <c r="AT197" s="11" t="s">
        <v>2748</v>
      </c>
      <c r="AU197" s="11" t="s">
        <v>1702</v>
      </c>
      <c r="AV197" s="11"/>
      <c r="AW197" s="11" t="s">
        <v>2738</v>
      </c>
      <c r="AX197" s="11"/>
      <c r="AY197" s="11"/>
      <c r="AZ197" s="11"/>
      <c r="BA197" s="11"/>
      <c r="BB197" s="11">
        <v>64203758</v>
      </c>
      <c r="BC197" s="11" t="s">
        <v>1403</v>
      </c>
      <c r="BD197" s="11" t="s">
        <v>1432</v>
      </c>
      <c r="BE197" s="11" t="s">
        <v>1694</v>
      </c>
      <c r="BF197" s="11" t="s">
        <v>1780</v>
      </c>
      <c r="BG197" s="11"/>
      <c r="BH197" s="11" t="s">
        <v>1435</v>
      </c>
      <c r="BI197" s="11" t="s">
        <v>1407</v>
      </c>
      <c r="BJ197" s="11" t="s">
        <v>134</v>
      </c>
      <c r="BK197" s="11"/>
      <c r="BL197" s="11" t="s">
        <v>1577</v>
      </c>
      <c r="BM197" s="11"/>
      <c r="BN197" s="11" t="s">
        <v>1556</v>
      </c>
      <c r="BO197" s="11"/>
    </row>
    <row r="198" spans="2:67">
      <c r="B198" s="11">
        <v>187</v>
      </c>
      <c r="C198" s="11" t="s">
        <v>1374</v>
      </c>
      <c r="D198" s="11" t="s">
        <v>1375</v>
      </c>
      <c r="E198" s="11"/>
      <c r="F198" s="11" t="s">
        <v>1988</v>
      </c>
      <c r="G198" s="11"/>
      <c r="H198" s="11" t="s">
        <v>1989</v>
      </c>
      <c r="I198" s="11" t="s">
        <v>1990</v>
      </c>
      <c r="J198" s="11"/>
      <c r="K198" s="11" t="s">
        <v>1470</v>
      </c>
      <c r="L198" s="11" t="s">
        <v>94</v>
      </c>
      <c r="M198" s="11" t="s">
        <v>1581</v>
      </c>
      <c r="N198" s="11" t="s">
        <v>782</v>
      </c>
      <c r="O198" s="11"/>
      <c r="P198" s="11"/>
      <c r="Q198" s="11"/>
      <c r="R198" s="11" t="s">
        <v>784</v>
      </c>
      <c r="S198" s="11" t="s">
        <v>1382</v>
      </c>
      <c r="T198" s="11" t="s">
        <v>2734</v>
      </c>
      <c r="U198" s="11" t="s">
        <v>1444</v>
      </c>
      <c r="V198" s="11" t="s">
        <v>2735</v>
      </c>
      <c r="W198" s="11" t="s">
        <v>1389</v>
      </c>
      <c r="X198" s="11" t="s">
        <v>1598</v>
      </c>
      <c r="Y198" s="11" t="s">
        <v>1547</v>
      </c>
      <c r="Z198" s="11" t="s">
        <v>1993</v>
      </c>
      <c r="AA198" s="11" t="s">
        <v>1994</v>
      </c>
      <c r="AB198" s="11" t="s">
        <v>1995</v>
      </c>
      <c r="AC198" s="11" t="s">
        <v>784</v>
      </c>
      <c r="AD198" s="11">
        <v>5387930</v>
      </c>
      <c r="AE198" s="11" t="s">
        <v>1382</v>
      </c>
      <c r="AF198" s="11" t="s">
        <v>2736</v>
      </c>
      <c r="AG198" s="11" t="s">
        <v>1382</v>
      </c>
      <c r="AH198" s="11" t="s">
        <v>2737</v>
      </c>
      <c r="AI198" s="11" t="s">
        <v>2749</v>
      </c>
      <c r="AJ198" s="11" t="s">
        <v>2422</v>
      </c>
      <c r="AK198" s="11" t="s">
        <v>1396</v>
      </c>
      <c r="AL198" s="11" t="s">
        <v>134</v>
      </c>
      <c r="AM198" s="11">
        <v>3439</v>
      </c>
      <c r="AN198" s="11" t="s">
        <v>1450</v>
      </c>
      <c r="AO198" s="11" t="s">
        <v>134</v>
      </c>
      <c r="AP198" s="11" t="s">
        <v>1451</v>
      </c>
      <c r="AQ198" s="11" t="s">
        <v>1398</v>
      </c>
      <c r="AR198" s="11" t="s">
        <v>1570</v>
      </c>
      <c r="AS198" s="11" t="s">
        <v>785</v>
      </c>
      <c r="AT198" s="11" t="s">
        <v>2750</v>
      </c>
      <c r="AU198" s="11" t="s">
        <v>1702</v>
      </c>
      <c r="AV198" s="11"/>
      <c r="AW198" s="11" t="s">
        <v>2738</v>
      </c>
      <c r="AX198" s="11"/>
      <c r="AY198" s="11"/>
      <c r="AZ198" s="11"/>
      <c r="BA198" s="11"/>
      <c r="BB198" s="11">
        <v>64203758</v>
      </c>
      <c r="BC198" s="11" t="s">
        <v>1403</v>
      </c>
      <c r="BD198" s="11" t="s">
        <v>1432</v>
      </c>
      <c r="BE198" s="11" t="s">
        <v>1694</v>
      </c>
      <c r="BF198" s="11" t="s">
        <v>1780</v>
      </c>
      <c r="BG198" s="11"/>
      <c r="BH198" s="11" t="s">
        <v>1435</v>
      </c>
      <c r="BI198" s="11" t="s">
        <v>1407</v>
      </c>
      <c r="BJ198" s="11" t="s">
        <v>134</v>
      </c>
      <c r="BK198" s="11"/>
      <c r="BL198" s="11" t="s">
        <v>1577</v>
      </c>
      <c r="BM198" s="11"/>
      <c r="BN198" s="11" t="s">
        <v>1556</v>
      </c>
      <c r="BO198" s="11"/>
    </row>
    <row r="199" spans="2:67">
      <c r="B199" s="11">
        <v>188</v>
      </c>
      <c r="C199" s="11" t="s">
        <v>1374</v>
      </c>
      <c r="D199" s="11" t="s">
        <v>1375</v>
      </c>
      <c r="E199" s="11"/>
      <c r="F199" s="11" t="s">
        <v>1988</v>
      </c>
      <c r="G199" s="11"/>
      <c r="H199" s="11" t="s">
        <v>1989</v>
      </c>
      <c r="I199" s="11" t="s">
        <v>1990</v>
      </c>
      <c r="J199" s="11"/>
      <c r="K199" s="11" t="s">
        <v>1470</v>
      </c>
      <c r="L199" s="11" t="s">
        <v>94</v>
      </c>
      <c r="M199" s="11" t="s">
        <v>1581</v>
      </c>
      <c r="N199" s="11" t="s">
        <v>782</v>
      </c>
      <c r="O199" s="11"/>
      <c r="P199" s="11"/>
      <c r="Q199" s="11"/>
      <c r="R199" s="11" t="s">
        <v>784</v>
      </c>
      <c r="S199" s="11" t="s">
        <v>1382</v>
      </c>
      <c r="T199" s="11" t="s">
        <v>2734</v>
      </c>
      <c r="U199" s="11" t="s">
        <v>1444</v>
      </c>
      <c r="V199" s="11" t="s">
        <v>2735</v>
      </c>
      <c r="W199" s="11" t="s">
        <v>1389</v>
      </c>
      <c r="X199" s="11" t="s">
        <v>1598</v>
      </c>
      <c r="Y199" s="11" t="s">
        <v>1547</v>
      </c>
      <c r="Z199" s="11" t="s">
        <v>1993</v>
      </c>
      <c r="AA199" s="11" t="s">
        <v>1994</v>
      </c>
      <c r="AB199" s="11" t="s">
        <v>1995</v>
      </c>
      <c r="AC199" s="11" t="s">
        <v>784</v>
      </c>
      <c r="AD199" s="11">
        <v>5387930</v>
      </c>
      <c r="AE199" s="11" t="s">
        <v>1382</v>
      </c>
      <c r="AF199" s="11" t="s">
        <v>2736</v>
      </c>
      <c r="AG199" s="11" t="s">
        <v>1382</v>
      </c>
      <c r="AH199" s="11" t="s">
        <v>2737</v>
      </c>
      <c r="AI199" s="11" t="s">
        <v>2751</v>
      </c>
      <c r="AJ199" s="11" t="s">
        <v>1946</v>
      </c>
      <c r="AK199" s="11" t="s">
        <v>1396</v>
      </c>
      <c r="AL199" s="11" t="s">
        <v>134</v>
      </c>
      <c r="AM199" s="11">
        <v>7427.65</v>
      </c>
      <c r="AN199" s="11" t="s">
        <v>1450</v>
      </c>
      <c r="AO199" s="11" t="s">
        <v>134</v>
      </c>
      <c r="AP199" s="11" t="s">
        <v>1451</v>
      </c>
      <c r="AQ199" s="11" t="s">
        <v>1398</v>
      </c>
      <c r="AR199" s="11" t="s">
        <v>1570</v>
      </c>
      <c r="AS199" s="11" t="s">
        <v>785</v>
      </c>
      <c r="AT199" s="11" t="s">
        <v>2752</v>
      </c>
      <c r="AU199" s="11" t="s">
        <v>1702</v>
      </c>
      <c r="AV199" s="11"/>
      <c r="AW199" s="11" t="s">
        <v>2738</v>
      </c>
      <c r="AX199" s="11"/>
      <c r="AY199" s="11"/>
      <c r="AZ199" s="11"/>
      <c r="BA199" s="11"/>
      <c r="BB199" s="11">
        <v>64203758</v>
      </c>
      <c r="BC199" s="11" t="s">
        <v>1403</v>
      </c>
      <c r="BD199" s="11" t="s">
        <v>1432</v>
      </c>
      <c r="BE199" s="11" t="s">
        <v>1694</v>
      </c>
      <c r="BF199" s="11" t="s">
        <v>1780</v>
      </c>
      <c r="BG199" s="11"/>
      <c r="BH199" s="11" t="s">
        <v>1435</v>
      </c>
      <c r="BI199" s="11" t="s">
        <v>1407</v>
      </c>
      <c r="BJ199" s="11" t="s">
        <v>134</v>
      </c>
      <c r="BK199" s="11"/>
      <c r="BL199" s="11" t="s">
        <v>1577</v>
      </c>
      <c r="BM199" s="11"/>
      <c r="BN199" s="11" t="s">
        <v>1556</v>
      </c>
      <c r="BO199" s="11"/>
    </row>
    <row r="200" spans="2:67">
      <c r="B200" s="11">
        <v>189</v>
      </c>
      <c r="C200" s="11" t="s">
        <v>1374</v>
      </c>
      <c r="D200" s="11" t="s">
        <v>1375</v>
      </c>
      <c r="E200" s="11"/>
      <c r="F200" s="11" t="s">
        <v>1988</v>
      </c>
      <c r="G200" s="11"/>
      <c r="H200" s="11" t="s">
        <v>1989</v>
      </c>
      <c r="I200" s="11" t="s">
        <v>1990</v>
      </c>
      <c r="J200" s="11"/>
      <c r="K200" s="11" t="s">
        <v>1470</v>
      </c>
      <c r="L200" s="11" t="s">
        <v>94</v>
      </c>
      <c r="M200" s="11" t="s">
        <v>1581</v>
      </c>
      <c r="N200" s="11" t="s">
        <v>782</v>
      </c>
      <c r="O200" s="11"/>
      <c r="P200" s="11"/>
      <c r="Q200" s="11"/>
      <c r="R200" s="11" t="s">
        <v>784</v>
      </c>
      <c r="S200" s="11" t="s">
        <v>1382</v>
      </c>
      <c r="T200" s="11" t="s">
        <v>2734</v>
      </c>
      <c r="U200" s="11" t="s">
        <v>1444</v>
      </c>
      <c r="V200" s="11" t="s">
        <v>2735</v>
      </c>
      <c r="W200" s="11" t="s">
        <v>1389</v>
      </c>
      <c r="X200" s="11" t="s">
        <v>1598</v>
      </c>
      <c r="Y200" s="11" t="s">
        <v>1547</v>
      </c>
      <c r="Z200" s="11" t="s">
        <v>1993</v>
      </c>
      <c r="AA200" s="11" t="s">
        <v>1994</v>
      </c>
      <c r="AB200" s="11" t="s">
        <v>1995</v>
      </c>
      <c r="AC200" s="11" t="s">
        <v>784</v>
      </c>
      <c r="AD200" s="11">
        <v>5387930</v>
      </c>
      <c r="AE200" s="11" t="s">
        <v>1382</v>
      </c>
      <c r="AF200" s="11" t="s">
        <v>2736</v>
      </c>
      <c r="AG200" s="11" t="s">
        <v>1382</v>
      </c>
      <c r="AH200" s="11" t="s">
        <v>2737</v>
      </c>
      <c r="AI200" s="11" t="s">
        <v>2753</v>
      </c>
      <c r="AJ200" s="11" t="s">
        <v>2411</v>
      </c>
      <c r="AK200" s="11" t="s">
        <v>1396</v>
      </c>
      <c r="AL200" s="11" t="s">
        <v>134</v>
      </c>
      <c r="AM200" s="11">
        <v>4871.45</v>
      </c>
      <c r="AN200" s="11" t="s">
        <v>1450</v>
      </c>
      <c r="AO200" s="11" t="s">
        <v>134</v>
      </c>
      <c r="AP200" s="11" t="s">
        <v>1451</v>
      </c>
      <c r="AQ200" s="11" t="s">
        <v>1398</v>
      </c>
      <c r="AR200" s="11" t="s">
        <v>1570</v>
      </c>
      <c r="AS200" s="11" t="s">
        <v>785</v>
      </c>
      <c r="AT200" s="11" t="s">
        <v>2754</v>
      </c>
      <c r="AU200" s="11" t="s">
        <v>1702</v>
      </c>
      <c r="AV200" s="11"/>
      <c r="AW200" s="11" t="s">
        <v>2738</v>
      </c>
      <c r="AX200" s="11"/>
      <c r="AY200" s="11"/>
      <c r="AZ200" s="11"/>
      <c r="BA200" s="11"/>
      <c r="BB200" s="11">
        <v>64203758</v>
      </c>
      <c r="BC200" s="11" t="s">
        <v>1403</v>
      </c>
      <c r="BD200" s="11" t="s">
        <v>1432</v>
      </c>
      <c r="BE200" s="11" t="s">
        <v>1694</v>
      </c>
      <c r="BF200" s="11" t="s">
        <v>1780</v>
      </c>
      <c r="BG200" s="11"/>
      <c r="BH200" s="11" t="s">
        <v>1435</v>
      </c>
      <c r="BI200" s="11" t="s">
        <v>1407</v>
      </c>
      <c r="BJ200" s="11" t="s">
        <v>134</v>
      </c>
      <c r="BK200" s="11"/>
      <c r="BL200" s="11" t="s">
        <v>1577</v>
      </c>
      <c r="BM200" s="11"/>
      <c r="BN200" s="11" t="s">
        <v>1556</v>
      </c>
      <c r="BO200" s="11"/>
    </row>
    <row r="201" spans="2:67">
      <c r="B201" s="11">
        <v>190</v>
      </c>
      <c r="C201" s="11" t="s">
        <v>1374</v>
      </c>
      <c r="D201" s="11" t="s">
        <v>1375</v>
      </c>
      <c r="E201" s="11" t="s">
        <v>2755</v>
      </c>
      <c r="F201" s="11" t="s">
        <v>2756</v>
      </c>
      <c r="G201" s="11" t="s">
        <v>2757</v>
      </c>
      <c r="H201" s="11" t="s">
        <v>2758</v>
      </c>
      <c r="I201" s="11"/>
      <c r="J201" s="11" t="s">
        <v>2759</v>
      </c>
      <c r="K201" s="11" t="s">
        <v>1547</v>
      </c>
      <c r="L201" s="11" t="s">
        <v>1489</v>
      </c>
      <c r="M201" s="11" t="s">
        <v>1383</v>
      </c>
      <c r="N201" s="11" t="s">
        <v>1105</v>
      </c>
      <c r="O201" s="11" t="s">
        <v>2587</v>
      </c>
      <c r="P201" s="11" t="s">
        <v>1489</v>
      </c>
      <c r="Q201" s="11" t="s">
        <v>2760</v>
      </c>
      <c r="R201" s="11" t="s">
        <v>2755</v>
      </c>
      <c r="S201" s="11" t="s">
        <v>94</v>
      </c>
      <c r="T201" s="11" t="s">
        <v>2761</v>
      </c>
      <c r="U201" s="11" t="s">
        <v>1444</v>
      </c>
      <c r="V201" s="11" t="s">
        <v>2762</v>
      </c>
      <c r="W201" s="11" t="s">
        <v>1389</v>
      </c>
      <c r="X201" s="11" t="s">
        <v>1769</v>
      </c>
      <c r="Y201" s="11" t="s">
        <v>1547</v>
      </c>
      <c r="Z201" s="11" t="s">
        <v>1828</v>
      </c>
      <c r="AA201" s="11" t="s">
        <v>2184</v>
      </c>
      <c r="AB201" s="11" t="s">
        <v>1615</v>
      </c>
      <c r="AC201" s="11" t="s">
        <v>2755</v>
      </c>
      <c r="AD201" s="11">
        <v>5387046</v>
      </c>
      <c r="AE201" s="11" t="s">
        <v>94</v>
      </c>
      <c r="AF201" s="11" t="s">
        <v>2763</v>
      </c>
      <c r="AG201" s="11" t="s">
        <v>94</v>
      </c>
      <c r="AH201" s="11" t="s">
        <v>2764</v>
      </c>
      <c r="AI201" s="11" t="s">
        <v>1892</v>
      </c>
      <c r="AJ201" s="11" t="s">
        <v>1893</v>
      </c>
      <c r="AK201" s="11" t="s">
        <v>1396</v>
      </c>
      <c r="AL201" s="11" t="s">
        <v>134</v>
      </c>
      <c r="AM201" s="11">
        <v>1065</v>
      </c>
      <c r="AN201" s="11" t="s">
        <v>1911</v>
      </c>
      <c r="AO201" s="11" t="s">
        <v>2587</v>
      </c>
      <c r="AP201" s="11" t="s">
        <v>1451</v>
      </c>
      <c r="AQ201" s="11" t="s">
        <v>1398</v>
      </c>
      <c r="AR201" s="11" t="s">
        <v>1652</v>
      </c>
      <c r="AS201" s="11" t="s">
        <v>2765</v>
      </c>
      <c r="AT201" s="11" t="s">
        <v>2766</v>
      </c>
      <c r="AU201" s="11" t="s">
        <v>1702</v>
      </c>
      <c r="AV201" s="11"/>
      <c r="AW201" s="11" t="s">
        <v>2767</v>
      </c>
      <c r="AX201" s="11"/>
      <c r="AY201" s="11"/>
      <c r="AZ201" s="11"/>
      <c r="BA201" s="11"/>
      <c r="BB201" s="11">
        <v>62651853</v>
      </c>
      <c r="BC201" s="11" t="s">
        <v>1403</v>
      </c>
      <c r="BD201" s="11" t="s">
        <v>1432</v>
      </c>
      <c r="BE201" s="11" t="s">
        <v>2466</v>
      </c>
      <c r="BF201" s="11" t="s">
        <v>1434</v>
      </c>
      <c r="BG201" s="11"/>
      <c r="BH201" s="11" t="s">
        <v>1520</v>
      </c>
      <c r="BI201" s="11" t="s">
        <v>1407</v>
      </c>
      <c r="BJ201" s="11" t="s">
        <v>134</v>
      </c>
      <c r="BK201" s="11"/>
      <c r="BL201" s="11" t="s">
        <v>1408</v>
      </c>
      <c r="BM201" s="11"/>
      <c r="BN201" s="11" t="s">
        <v>1457</v>
      </c>
      <c r="BO201" s="11" t="s">
        <v>1410</v>
      </c>
    </row>
    <row r="202" spans="2:67">
      <c r="B202" s="11">
        <v>191</v>
      </c>
      <c r="C202" s="11" t="s">
        <v>1374</v>
      </c>
      <c r="D202" s="11" t="s">
        <v>1375</v>
      </c>
      <c r="E202" s="11" t="s">
        <v>2755</v>
      </c>
      <c r="F202" s="11" t="s">
        <v>2756</v>
      </c>
      <c r="G202" s="11" t="s">
        <v>2757</v>
      </c>
      <c r="H202" s="11" t="s">
        <v>2758</v>
      </c>
      <c r="I202" s="11"/>
      <c r="J202" s="11" t="s">
        <v>2759</v>
      </c>
      <c r="K202" s="11" t="s">
        <v>1547</v>
      </c>
      <c r="L202" s="11" t="s">
        <v>1489</v>
      </c>
      <c r="M202" s="11" t="s">
        <v>1383</v>
      </c>
      <c r="N202" s="11" t="s">
        <v>1105</v>
      </c>
      <c r="O202" s="11" t="s">
        <v>2587</v>
      </c>
      <c r="P202" s="11" t="s">
        <v>1489</v>
      </c>
      <c r="Q202" s="11" t="s">
        <v>2760</v>
      </c>
      <c r="R202" s="11" t="s">
        <v>2755</v>
      </c>
      <c r="S202" s="11" t="s">
        <v>94</v>
      </c>
      <c r="T202" s="11" t="s">
        <v>2761</v>
      </c>
      <c r="U202" s="11" t="s">
        <v>1444</v>
      </c>
      <c r="V202" s="11" t="s">
        <v>2762</v>
      </c>
      <c r="W202" s="11" t="s">
        <v>1389</v>
      </c>
      <c r="X202" s="11" t="s">
        <v>1769</v>
      </c>
      <c r="Y202" s="11" t="s">
        <v>1547</v>
      </c>
      <c r="Z202" s="11" t="s">
        <v>1828</v>
      </c>
      <c r="AA202" s="11" t="s">
        <v>2184</v>
      </c>
      <c r="AB202" s="11" t="s">
        <v>1615</v>
      </c>
      <c r="AC202" s="11" t="s">
        <v>2755</v>
      </c>
      <c r="AD202" s="11">
        <v>5387046</v>
      </c>
      <c r="AE202" s="11" t="s">
        <v>94</v>
      </c>
      <c r="AF202" s="11" t="s">
        <v>2763</v>
      </c>
      <c r="AG202" s="11" t="s">
        <v>94</v>
      </c>
      <c r="AH202" s="11" t="s">
        <v>2764</v>
      </c>
      <c r="AI202" s="11" t="s">
        <v>1897</v>
      </c>
      <c r="AJ202" s="11" t="s">
        <v>1898</v>
      </c>
      <c r="AK202" s="11" t="s">
        <v>1396</v>
      </c>
      <c r="AL202" s="11" t="s">
        <v>134</v>
      </c>
      <c r="AM202" s="11">
        <v>4335</v>
      </c>
      <c r="AN202" s="11" t="s">
        <v>1911</v>
      </c>
      <c r="AO202" s="11" t="s">
        <v>2587</v>
      </c>
      <c r="AP202" s="11" t="s">
        <v>1451</v>
      </c>
      <c r="AQ202" s="11" t="s">
        <v>1398</v>
      </c>
      <c r="AR202" s="11" t="s">
        <v>1652</v>
      </c>
      <c r="AS202" s="11" t="s">
        <v>2765</v>
      </c>
      <c r="AT202" s="11" t="s">
        <v>2768</v>
      </c>
      <c r="AU202" s="11" t="s">
        <v>1702</v>
      </c>
      <c r="AV202" s="11"/>
      <c r="AW202" s="11" t="s">
        <v>2767</v>
      </c>
      <c r="AX202" s="11"/>
      <c r="AY202" s="11"/>
      <c r="AZ202" s="11"/>
      <c r="BA202" s="11"/>
      <c r="BB202" s="11">
        <v>62651853</v>
      </c>
      <c r="BC202" s="11" t="s">
        <v>1403</v>
      </c>
      <c r="BD202" s="11" t="s">
        <v>1432</v>
      </c>
      <c r="BE202" s="11" t="s">
        <v>2466</v>
      </c>
      <c r="BF202" s="11" t="s">
        <v>1434</v>
      </c>
      <c r="BG202" s="11"/>
      <c r="BH202" s="11" t="s">
        <v>1520</v>
      </c>
      <c r="BI202" s="11" t="s">
        <v>1407</v>
      </c>
      <c r="BJ202" s="11" t="s">
        <v>134</v>
      </c>
      <c r="BK202" s="11"/>
      <c r="BL202" s="11" t="s">
        <v>1408</v>
      </c>
      <c r="BM202" s="11"/>
      <c r="BN202" s="11" t="s">
        <v>1457</v>
      </c>
      <c r="BO202" s="11" t="s">
        <v>1410</v>
      </c>
    </row>
    <row r="203" spans="2:67">
      <c r="B203" s="11">
        <v>192</v>
      </c>
      <c r="C203" s="11" t="s">
        <v>1374</v>
      </c>
      <c r="D203" s="11" t="s">
        <v>1375</v>
      </c>
      <c r="E203" s="11" t="s">
        <v>2769</v>
      </c>
      <c r="F203" s="11" t="s">
        <v>2770</v>
      </c>
      <c r="G203" s="11" t="s">
        <v>1974</v>
      </c>
      <c r="H203" s="11" t="s">
        <v>2771</v>
      </c>
      <c r="I203" s="11" t="s">
        <v>134</v>
      </c>
      <c r="J203" s="11" t="s">
        <v>134</v>
      </c>
      <c r="K203" s="11" t="s">
        <v>1547</v>
      </c>
      <c r="L203" s="11" t="s">
        <v>94</v>
      </c>
      <c r="M203" s="11" t="s">
        <v>1383</v>
      </c>
      <c r="N203" s="11" t="s">
        <v>113</v>
      </c>
      <c r="O203" s="11" t="s">
        <v>2772</v>
      </c>
      <c r="P203" s="11"/>
      <c r="Q203" s="11"/>
      <c r="R203" s="11" t="s">
        <v>2773</v>
      </c>
      <c r="S203" s="11" t="s">
        <v>94</v>
      </c>
      <c r="T203" s="11" t="s">
        <v>2774</v>
      </c>
      <c r="U203" s="11" t="s">
        <v>1387</v>
      </c>
      <c r="V203" s="11" t="s">
        <v>2775</v>
      </c>
      <c r="W203" s="11" t="s">
        <v>1389</v>
      </c>
      <c r="X203" s="11" t="s">
        <v>1563</v>
      </c>
      <c r="Y203" s="11" t="s">
        <v>1547</v>
      </c>
      <c r="Z203" s="11" t="s">
        <v>2776</v>
      </c>
      <c r="AA203" s="11" t="s">
        <v>2777</v>
      </c>
      <c r="AB203" s="11" t="s">
        <v>2778</v>
      </c>
      <c r="AC203" s="11" t="s">
        <v>2773</v>
      </c>
      <c r="AD203" s="11">
        <v>5358983</v>
      </c>
      <c r="AE203" s="11" t="s">
        <v>94</v>
      </c>
      <c r="AF203" s="11" t="s">
        <v>2779</v>
      </c>
      <c r="AG203" s="11" t="s">
        <v>94</v>
      </c>
      <c r="AH203" s="11" t="s">
        <v>2780</v>
      </c>
      <c r="AI203" s="11" t="s">
        <v>2749</v>
      </c>
      <c r="AJ203" s="11" t="s">
        <v>2422</v>
      </c>
      <c r="AK203" s="11" t="s">
        <v>1396</v>
      </c>
      <c r="AL203" s="11" t="s">
        <v>134</v>
      </c>
      <c r="AM203" s="11">
        <v>3438.95</v>
      </c>
      <c r="AN203" s="11"/>
      <c r="AO203" s="11" t="s">
        <v>2772</v>
      </c>
      <c r="AP203" s="11" t="s">
        <v>1397</v>
      </c>
      <c r="AQ203" s="11" t="s">
        <v>1398</v>
      </c>
      <c r="AR203" s="11" t="s">
        <v>1652</v>
      </c>
      <c r="AS203" s="11" t="s">
        <v>2781</v>
      </c>
      <c r="AT203" s="11" t="s">
        <v>2782</v>
      </c>
      <c r="AU203" s="11" t="s">
        <v>1702</v>
      </c>
      <c r="AV203" s="11"/>
      <c r="AW203" s="11" t="s">
        <v>2783</v>
      </c>
      <c r="AX203" s="11"/>
      <c r="AY203" s="11"/>
      <c r="AZ203" s="11"/>
      <c r="BA203" s="11"/>
      <c r="BB203" s="11">
        <v>68188490</v>
      </c>
      <c r="BC203" s="11" t="s">
        <v>1403</v>
      </c>
      <c r="BD203" s="11" t="s">
        <v>1432</v>
      </c>
      <c r="BE203" s="11" t="s">
        <v>1933</v>
      </c>
      <c r="BF203" s="11" t="s">
        <v>1501</v>
      </c>
      <c r="BG203" s="11" t="s">
        <v>1482</v>
      </c>
      <c r="BH203" s="11" t="s">
        <v>1435</v>
      </c>
      <c r="BI203" s="11" t="s">
        <v>1407</v>
      </c>
      <c r="BJ203" s="11" t="s">
        <v>134</v>
      </c>
      <c r="BK203" s="11"/>
      <c r="BL203" s="11" t="s">
        <v>1408</v>
      </c>
      <c r="BM203" s="11"/>
      <c r="BN203" s="11" t="s">
        <v>1483</v>
      </c>
      <c r="BO203" s="11" t="s">
        <v>1410</v>
      </c>
    </row>
    <row r="204" spans="2:67">
      <c r="B204" s="11">
        <v>193</v>
      </c>
      <c r="C204" s="11" t="s">
        <v>1374</v>
      </c>
      <c r="D204" s="11" t="s">
        <v>1375</v>
      </c>
      <c r="E204" s="11" t="s">
        <v>2769</v>
      </c>
      <c r="F204" s="11" t="s">
        <v>2770</v>
      </c>
      <c r="G204" s="11" t="s">
        <v>1974</v>
      </c>
      <c r="H204" s="11" t="s">
        <v>2771</v>
      </c>
      <c r="I204" s="11" t="s">
        <v>134</v>
      </c>
      <c r="J204" s="11" t="s">
        <v>134</v>
      </c>
      <c r="K204" s="11" t="s">
        <v>1547</v>
      </c>
      <c r="L204" s="11" t="s">
        <v>94</v>
      </c>
      <c r="M204" s="11" t="s">
        <v>1383</v>
      </c>
      <c r="N204" s="11" t="s">
        <v>113</v>
      </c>
      <c r="O204" s="11" t="s">
        <v>2772</v>
      </c>
      <c r="P204" s="11"/>
      <c r="Q204" s="11"/>
      <c r="R204" s="11" t="s">
        <v>2773</v>
      </c>
      <c r="S204" s="11" t="s">
        <v>94</v>
      </c>
      <c r="T204" s="11" t="s">
        <v>2774</v>
      </c>
      <c r="U204" s="11" t="s">
        <v>1387</v>
      </c>
      <c r="V204" s="11" t="s">
        <v>2775</v>
      </c>
      <c r="W204" s="11" t="s">
        <v>1389</v>
      </c>
      <c r="X204" s="11" t="s">
        <v>1563</v>
      </c>
      <c r="Y204" s="11" t="s">
        <v>1547</v>
      </c>
      <c r="Z204" s="11" t="s">
        <v>2776</v>
      </c>
      <c r="AA204" s="11" t="s">
        <v>2777</v>
      </c>
      <c r="AB204" s="11" t="s">
        <v>2778</v>
      </c>
      <c r="AC204" s="11" t="s">
        <v>2773</v>
      </c>
      <c r="AD204" s="11">
        <v>5358983</v>
      </c>
      <c r="AE204" s="11" t="s">
        <v>94</v>
      </c>
      <c r="AF204" s="11" t="s">
        <v>2779</v>
      </c>
      <c r="AG204" s="11" t="s">
        <v>94</v>
      </c>
      <c r="AH204" s="11" t="s">
        <v>2780</v>
      </c>
      <c r="AI204" s="11" t="s">
        <v>2743</v>
      </c>
      <c r="AJ204" s="11" t="s">
        <v>2417</v>
      </c>
      <c r="AK204" s="11" t="s">
        <v>1396</v>
      </c>
      <c r="AL204" s="11" t="s">
        <v>134</v>
      </c>
      <c r="AM204" s="11">
        <v>14160</v>
      </c>
      <c r="AN204" s="11"/>
      <c r="AO204" s="11" t="s">
        <v>2772</v>
      </c>
      <c r="AP204" s="11" t="s">
        <v>1397</v>
      </c>
      <c r="AQ204" s="11" t="s">
        <v>1398</v>
      </c>
      <c r="AR204" s="11" t="s">
        <v>1652</v>
      </c>
      <c r="AS204" s="11" t="s">
        <v>2781</v>
      </c>
      <c r="AT204" s="11" t="s">
        <v>2784</v>
      </c>
      <c r="AU204" s="11" t="s">
        <v>1702</v>
      </c>
      <c r="AV204" s="11"/>
      <c r="AW204" s="11" t="s">
        <v>2783</v>
      </c>
      <c r="AX204" s="11"/>
      <c r="AY204" s="11"/>
      <c r="AZ204" s="11"/>
      <c r="BA204" s="11"/>
      <c r="BB204" s="11">
        <v>68188490</v>
      </c>
      <c r="BC204" s="11" t="s">
        <v>1403</v>
      </c>
      <c r="BD204" s="11" t="s">
        <v>1432</v>
      </c>
      <c r="BE204" s="11" t="s">
        <v>1933</v>
      </c>
      <c r="BF204" s="11" t="s">
        <v>1501</v>
      </c>
      <c r="BG204" s="11" t="s">
        <v>1482</v>
      </c>
      <c r="BH204" s="11" t="s">
        <v>1435</v>
      </c>
      <c r="BI204" s="11" t="s">
        <v>1407</v>
      </c>
      <c r="BJ204" s="11" t="s">
        <v>134</v>
      </c>
      <c r="BK204" s="11"/>
      <c r="BL204" s="11" t="s">
        <v>1408</v>
      </c>
      <c r="BM204" s="11"/>
      <c r="BN204" s="11" t="s">
        <v>1483</v>
      </c>
      <c r="BO204" s="11" t="s">
        <v>1410</v>
      </c>
    </row>
    <row r="205" spans="2:67">
      <c r="B205" s="11">
        <v>194</v>
      </c>
      <c r="C205" s="11" t="s">
        <v>1374</v>
      </c>
      <c r="D205" s="11" t="s">
        <v>1375</v>
      </c>
      <c r="E205" s="11" t="s">
        <v>2769</v>
      </c>
      <c r="F205" s="11" t="s">
        <v>2770</v>
      </c>
      <c r="G205" s="11" t="s">
        <v>1974</v>
      </c>
      <c r="H205" s="11" t="s">
        <v>2771</v>
      </c>
      <c r="I205" s="11" t="s">
        <v>134</v>
      </c>
      <c r="J205" s="11" t="s">
        <v>134</v>
      </c>
      <c r="K205" s="11" t="s">
        <v>1547</v>
      </c>
      <c r="L205" s="11" t="s">
        <v>94</v>
      </c>
      <c r="M205" s="11" t="s">
        <v>1383</v>
      </c>
      <c r="N205" s="11" t="s">
        <v>113</v>
      </c>
      <c r="O205" s="11" t="s">
        <v>2772</v>
      </c>
      <c r="P205" s="11"/>
      <c r="Q205" s="11"/>
      <c r="R205" s="11" t="s">
        <v>2773</v>
      </c>
      <c r="S205" s="11" t="s">
        <v>94</v>
      </c>
      <c r="T205" s="11" t="s">
        <v>2774</v>
      </c>
      <c r="U205" s="11" t="s">
        <v>1387</v>
      </c>
      <c r="V205" s="11" t="s">
        <v>2775</v>
      </c>
      <c r="W205" s="11" t="s">
        <v>1389</v>
      </c>
      <c r="X205" s="11" t="s">
        <v>1563</v>
      </c>
      <c r="Y205" s="11" t="s">
        <v>1547</v>
      </c>
      <c r="Z205" s="11" t="s">
        <v>2776</v>
      </c>
      <c r="AA205" s="11" t="s">
        <v>2777</v>
      </c>
      <c r="AB205" s="11" t="s">
        <v>2778</v>
      </c>
      <c r="AC205" s="11" t="s">
        <v>2773</v>
      </c>
      <c r="AD205" s="11">
        <v>5358983</v>
      </c>
      <c r="AE205" s="11" t="s">
        <v>94</v>
      </c>
      <c r="AF205" s="11" t="s">
        <v>2779</v>
      </c>
      <c r="AG205" s="11" t="s">
        <v>94</v>
      </c>
      <c r="AH205" s="11" t="s">
        <v>2780</v>
      </c>
      <c r="AI205" s="11" t="s">
        <v>2745</v>
      </c>
      <c r="AJ205" s="11" t="s">
        <v>2621</v>
      </c>
      <c r="AK205" s="11" t="s">
        <v>1396</v>
      </c>
      <c r="AL205" s="11" t="s">
        <v>134</v>
      </c>
      <c r="AM205" s="11">
        <v>8450</v>
      </c>
      <c r="AN205" s="11"/>
      <c r="AO205" s="11" t="s">
        <v>2772</v>
      </c>
      <c r="AP205" s="11" t="s">
        <v>1397</v>
      </c>
      <c r="AQ205" s="11" t="s">
        <v>1398</v>
      </c>
      <c r="AR205" s="11" t="s">
        <v>1652</v>
      </c>
      <c r="AS205" s="11" t="s">
        <v>2781</v>
      </c>
      <c r="AT205" s="11" t="s">
        <v>2785</v>
      </c>
      <c r="AU205" s="11" t="s">
        <v>1702</v>
      </c>
      <c r="AV205" s="11"/>
      <c r="AW205" s="11" t="s">
        <v>2783</v>
      </c>
      <c r="AX205" s="11"/>
      <c r="AY205" s="11"/>
      <c r="AZ205" s="11"/>
      <c r="BA205" s="11"/>
      <c r="BB205" s="11">
        <v>68188490</v>
      </c>
      <c r="BC205" s="11" t="s">
        <v>1403</v>
      </c>
      <c r="BD205" s="11" t="s">
        <v>1432</v>
      </c>
      <c r="BE205" s="11" t="s">
        <v>1933</v>
      </c>
      <c r="BF205" s="11" t="s">
        <v>1501</v>
      </c>
      <c r="BG205" s="11" t="s">
        <v>1482</v>
      </c>
      <c r="BH205" s="11" t="s">
        <v>1435</v>
      </c>
      <c r="BI205" s="11" t="s">
        <v>1407</v>
      </c>
      <c r="BJ205" s="11" t="s">
        <v>134</v>
      </c>
      <c r="BK205" s="11"/>
      <c r="BL205" s="11" t="s">
        <v>1408</v>
      </c>
      <c r="BM205" s="11"/>
      <c r="BN205" s="11" t="s">
        <v>1483</v>
      </c>
      <c r="BO205" s="11" t="s">
        <v>1410</v>
      </c>
    </row>
    <row r="206" spans="2:67">
      <c r="B206" s="11">
        <v>195</v>
      </c>
      <c r="C206" s="11" t="s">
        <v>1374</v>
      </c>
      <c r="D206" s="11" t="s">
        <v>1375</v>
      </c>
      <c r="E206" s="11" t="s">
        <v>2769</v>
      </c>
      <c r="F206" s="11" t="s">
        <v>2770</v>
      </c>
      <c r="G206" s="11" t="s">
        <v>1974</v>
      </c>
      <c r="H206" s="11" t="s">
        <v>2771</v>
      </c>
      <c r="I206" s="11" t="s">
        <v>134</v>
      </c>
      <c r="J206" s="11" t="s">
        <v>134</v>
      </c>
      <c r="K206" s="11" t="s">
        <v>1547</v>
      </c>
      <c r="L206" s="11" t="s">
        <v>94</v>
      </c>
      <c r="M206" s="11" t="s">
        <v>1383</v>
      </c>
      <c r="N206" s="11" t="s">
        <v>113</v>
      </c>
      <c r="O206" s="11" t="s">
        <v>2772</v>
      </c>
      <c r="P206" s="11"/>
      <c r="Q206" s="11"/>
      <c r="R206" s="11" t="s">
        <v>2773</v>
      </c>
      <c r="S206" s="11" t="s">
        <v>94</v>
      </c>
      <c r="T206" s="11" t="s">
        <v>2774</v>
      </c>
      <c r="U206" s="11" t="s">
        <v>1387</v>
      </c>
      <c r="V206" s="11" t="s">
        <v>2775</v>
      </c>
      <c r="W206" s="11" t="s">
        <v>1389</v>
      </c>
      <c r="X206" s="11" t="s">
        <v>1563</v>
      </c>
      <c r="Y206" s="11" t="s">
        <v>1547</v>
      </c>
      <c r="Z206" s="11" t="s">
        <v>2776</v>
      </c>
      <c r="AA206" s="11" t="s">
        <v>2777</v>
      </c>
      <c r="AB206" s="11" t="s">
        <v>2778</v>
      </c>
      <c r="AC206" s="11" t="s">
        <v>2773</v>
      </c>
      <c r="AD206" s="11">
        <v>5358983</v>
      </c>
      <c r="AE206" s="11" t="s">
        <v>94</v>
      </c>
      <c r="AF206" s="11" t="s">
        <v>2779</v>
      </c>
      <c r="AG206" s="11" t="s">
        <v>94</v>
      </c>
      <c r="AH206" s="11" t="s">
        <v>2780</v>
      </c>
      <c r="AI206" s="11" t="s">
        <v>2739</v>
      </c>
      <c r="AJ206" s="11" t="s">
        <v>2740</v>
      </c>
      <c r="AK206" s="11" t="s">
        <v>1396</v>
      </c>
      <c r="AL206" s="11" t="s">
        <v>134</v>
      </c>
      <c r="AM206" s="11">
        <v>4050</v>
      </c>
      <c r="AN206" s="11"/>
      <c r="AO206" s="11" t="s">
        <v>2772</v>
      </c>
      <c r="AP206" s="11" t="s">
        <v>1397</v>
      </c>
      <c r="AQ206" s="11" t="s">
        <v>1398</v>
      </c>
      <c r="AR206" s="11" t="s">
        <v>1652</v>
      </c>
      <c r="AS206" s="11" t="s">
        <v>2781</v>
      </c>
      <c r="AT206" s="11" t="s">
        <v>2786</v>
      </c>
      <c r="AU206" s="11" t="s">
        <v>1702</v>
      </c>
      <c r="AV206" s="11"/>
      <c r="AW206" s="11" t="s">
        <v>2783</v>
      </c>
      <c r="AX206" s="11"/>
      <c r="AY206" s="11"/>
      <c r="AZ206" s="11"/>
      <c r="BA206" s="11"/>
      <c r="BB206" s="11">
        <v>68188490</v>
      </c>
      <c r="BC206" s="11" t="s">
        <v>1403</v>
      </c>
      <c r="BD206" s="11" t="s">
        <v>1432</v>
      </c>
      <c r="BE206" s="11" t="s">
        <v>1933</v>
      </c>
      <c r="BF206" s="11" t="s">
        <v>1501</v>
      </c>
      <c r="BG206" s="11" t="s">
        <v>1482</v>
      </c>
      <c r="BH206" s="11" t="s">
        <v>1435</v>
      </c>
      <c r="BI206" s="11" t="s">
        <v>1407</v>
      </c>
      <c r="BJ206" s="11" t="s">
        <v>134</v>
      </c>
      <c r="BK206" s="11"/>
      <c r="BL206" s="11" t="s">
        <v>1408</v>
      </c>
      <c r="BM206" s="11"/>
      <c r="BN206" s="11" t="s">
        <v>1483</v>
      </c>
      <c r="BO206" s="11" t="s">
        <v>1410</v>
      </c>
    </row>
    <row r="207" spans="2:67">
      <c r="B207" s="11">
        <v>196</v>
      </c>
      <c r="C207" s="11" t="s">
        <v>1374</v>
      </c>
      <c r="D207" s="11" t="s">
        <v>1375</v>
      </c>
      <c r="E207" s="11" t="s">
        <v>2769</v>
      </c>
      <c r="F207" s="11" t="s">
        <v>2770</v>
      </c>
      <c r="G207" s="11" t="s">
        <v>1974</v>
      </c>
      <c r="H207" s="11" t="s">
        <v>2771</v>
      </c>
      <c r="I207" s="11" t="s">
        <v>134</v>
      </c>
      <c r="J207" s="11" t="s">
        <v>134</v>
      </c>
      <c r="K207" s="11" t="s">
        <v>1547</v>
      </c>
      <c r="L207" s="11" t="s">
        <v>94</v>
      </c>
      <c r="M207" s="11" t="s">
        <v>1383</v>
      </c>
      <c r="N207" s="11" t="s">
        <v>113</v>
      </c>
      <c r="O207" s="11" t="s">
        <v>2772</v>
      </c>
      <c r="P207" s="11"/>
      <c r="Q207" s="11"/>
      <c r="R207" s="11" t="s">
        <v>2773</v>
      </c>
      <c r="S207" s="11" t="s">
        <v>94</v>
      </c>
      <c r="T207" s="11" t="s">
        <v>2774</v>
      </c>
      <c r="U207" s="11" t="s">
        <v>1387</v>
      </c>
      <c r="V207" s="11" t="s">
        <v>2775</v>
      </c>
      <c r="W207" s="11" t="s">
        <v>1389</v>
      </c>
      <c r="X207" s="11" t="s">
        <v>1563</v>
      </c>
      <c r="Y207" s="11" t="s">
        <v>1547</v>
      </c>
      <c r="Z207" s="11" t="s">
        <v>2776</v>
      </c>
      <c r="AA207" s="11" t="s">
        <v>2777</v>
      </c>
      <c r="AB207" s="11" t="s">
        <v>2778</v>
      </c>
      <c r="AC207" s="11" t="s">
        <v>2773</v>
      </c>
      <c r="AD207" s="11">
        <v>5358983</v>
      </c>
      <c r="AE207" s="11" t="s">
        <v>94</v>
      </c>
      <c r="AF207" s="11" t="s">
        <v>2779</v>
      </c>
      <c r="AG207" s="11" t="s">
        <v>94</v>
      </c>
      <c r="AH207" s="11" t="s">
        <v>2780</v>
      </c>
      <c r="AI207" s="11" t="s">
        <v>2787</v>
      </c>
      <c r="AJ207" s="11" t="s">
        <v>2425</v>
      </c>
      <c r="AK207" s="11" t="s">
        <v>1396</v>
      </c>
      <c r="AL207" s="11" t="s">
        <v>134</v>
      </c>
      <c r="AM207" s="11">
        <v>7677.65</v>
      </c>
      <c r="AN207" s="11"/>
      <c r="AO207" s="11" t="s">
        <v>2772</v>
      </c>
      <c r="AP207" s="11" t="s">
        <v>1397</v>
      </c>
      <c r="AQ207" s="11" t="s">
        <v>1398</v>
      </c>
      <c r="AR207" s="11" t="s">
        <v>1652</v>
      </c>
      <c r="AS207" s="11" t="s">
        <v>2781</v>
      </c>
      <c r="AT207" s="11" t="s">
        <v>2788</v>
      </c>
      <c r="AU207" s="11" t="s">
        <v>1702</v>
      </c>
      <c r="AV207" s="11"/>
      <c r="AW207" s="11" t="s">
        <v>2783</v>
      </c>
      <c r="AX207" s="11"/>
      <c r="AY207" s="11"/>
      <c r="AZ207" s="11"/>
      <c r="BA207" s="11"/>
      <c r="BB207" s="11">
        <v>68188490</v>
      </c>
      <c r="BC207" s="11" t="s">
        <v>1403</v>
      </c>
      <c r="BD207" s="11" t="s">
        <v>1432</v>
      </c>
      <c r="BE207" s="11" t="s">
        <v>1933</v>
      </c>
      <c r="BF207" s="11" t="s">
        <v>1501</v>
      </c>
      <c r="BG207" s="11" t="s">
        <v>1482</v>
      </c>
      <c r="BH207" s="11" t="s">
        <v>1435</v>
      </c>
      <c r="BI207" s="11" t="s">
        <v>1407</v>
      </c>
      <c r="BJ207" s="11" t="s">
        <v>134</v>
      </c>
      <c r="BK207" s="11"/>
      <c r="BL207" s="11" t="s">
        <v>1408</v>
      </c>
      <c r="BM207" s="11"/>
      <c r="BN207" s="11" t="s">
        <v>1483</v>
      </c>
      <c r="BO207" s="11" t="s">
        <v>1410</v>
      </c>
    </row>
    <row r="208" spans="2:67">
      <c r="B208" s="11">
        <v>197</v>
      </c>
      <c r="C208" s="11" t="s">
        <v>1374</v>
      </c>
      <c r="D208" s="11" t="s">
        <v>1375</v>
      </c>
      <c r="E208" s="11" t="s">
        <v>2769</v>
      </c>
      <c r="F208" s="11" t="s">
        <v>2770</v>
      </c>
      <c r="G208" s="11" t="s">
        <v>1974</v>
      </c>
      <c r="H208" s="11" t="s">
        <v>2771</v>
      </c>
      <c r="I208" s="11" t="s">
        <v>134</v>
      </c>
      <c r="J208" s="11" t="s">
        <v>134</v>
      </c>
      <c r="K208" s="11" t="s">
        <v>1547</v>
      </c>
      <c r="L208" s="11" t="s">
        <v>94</v>
      </c>
      <c r="M208" s="11" t="s">
        <v>1383</v>
      </c>
      <c r="N208" s="11" t="s">
        <v>113</v>
      </c>
      <c r="O208" s="11" t="s">
        <v>2772</v>
      </c>
      <c r="P208" s="11"/>
      <c r="Q208" s="11"/>
      <c r="R208" s="11" t="s">
        <v>2773</v>
      </c>
      <c r="S208" s="11" t="s">
        <v>94</v>
      </c>
      <c r="T208" s="11" t="s">
        <v>2774</v>
      </c>
      <c r="U208" s="11" t="s">
        <v>1387</v>
      </c>
      <c r="V208" s="11" t="s">
        <v>2775</v>
      </c>
      <c r="W208" s="11" t="s">
        <v>1389</v>
      </c>
      <c r="X208" s="11" t="s">
        <v>1563</v>
      </c>
      <c r="Y208" s="11" t="s">
        <v>1547</v>
      </c>
      <c r="Z208" s="11" t="s">
        <v>2776</v>
      </c>
      <c r="AA208" s="11" t="s">
        <v>2777</v>
      </c>
      <c r="AB208" s="11" t="s">
        <v>2778</v>
      </c>
      <c r="AC208" s="11" t="s">
        <v>2773</v>
      </c>
      <c r="AD208" s="11">
        <v>5358983</v>
      </c>
      <c r="AE208" s="11" t="s">
        <v>94</v>
      </c>
      <c r="AF208" s="11" t="s">
        <v>2779</v>
      </c>
      <c r="AG208" s="11" t="s">
        <v>94</v>
      </c>
      <c r="AH208" s="11" t="s">
        <v>2780</v>
      </c>
      <c r="AI208" s="11" t="s">
        <v>2753</v>
      </c>
      <c r="AJ208" s="11" t="s">
        <v>2411</v>
      </c>
      <c r="AK208" s="11" t="s">
        <v>1396</v>
      </c>
      <c r="AL208" s="11" t="s">
        <v>134</v>
      </c>
      <c r="AM208" s="11">
        <v>4621.5</v>
      </c>
      <c r="AN208" s="11"/>
      <c r="AO208" s="11" t="s">
        <v>2772</v>
      </c>
      <c r="AP208" s="11" t="s">
        <v>1397</v>
      </c>
      <c r="AQ208" s="11" t="s">
        <v>1398</v>
      </c>
      <c r="AR208" s="11" t="s">
        <v>1652</v>
      </c>
      <c r="AS208" s="11" t="s">
        <v>2781</v>
      </c>
      <c r="AT208" s="11" t="s">
        <v>2789</v>
      </c>
      <c r="AU208" s="11" t="s">
        <v>1702</v>
      </c>
      <c r="AV208" s="11"/>
      <c r="AW208" s="11" t="s">
        <v>2783</v>
      </c>
      <c r="AX208" s="11"/>
      <c r="AY208" s="11"/>
      <c r="AZ208" s="11"/>
      <c r="BA208" s="11"/>
      <c r="BB208" s="11">
        <v>68188490</v>
      </c>
      <c r="BC208" s="11" t="s">
        <v>1403</v>
      </c>
      <c r="BD208" s="11" t="s">
        <v>1432</v>
      </c>
      <c r="BE208" s="11" t="s">
        <v>1933</v>
      </c>
      <c r="BF208" s="11" t="s">
        <v>1501</v>
      </c>
      <c r="BG208" s="11" t="s">
        <v>1482</v>
      </c>
      <c r="BH208" s="11" t="s">
        <v>1435</v>
      </c>
      <c r="BI208" s="11" t="s">
        <v>1407</v>
      </c>
      <c r="BJ208" s="11" t="s">
        <v>134</v>
      </c>
      <c r="BK208" s="11"/>
      <c r="BL208" s="11" t="s">
        <v>1408</v>
      </c>
      <c r="BM208" s="11"/>
      <c r="BN208" s="11" t="s">
        <v>1483</v>
      </c>
      <c r="BO208" s="11" t="s">
        <v>1410</v>
      </c>
    </row>
    <row r="209" spans="2:67">
      <c r="B209" s="11">
        <v>198</v>
      </c>
      <c r="C209" s="11" t="s">
        <v>1374</v>
      </c>
      <c r="D209" s="11" t="s">
        <v>1375</v>
      </c>
      <c r="E209" s="11" t="s">
        <v>2769</v>
      </c>
      <c r="F209" s="11" t="s">
        <v>2770</v>
      </c>
      <c r="G209" s="11" t="s">
        <v>1974</v>
      </c>
      <c r="H209" s="11" t="s">
        <v>2771</v>
      </c>
      <c r="I209" s="11" t="s">
        <v>134</v>
      </c>
      <c r="J209" s="11" t="s">
        <v>134</v>
      </c>
      <c r="K209" s="11" t="s">
        <v>1547</v>
      </c>
      <c r="L209" s="11" t="s">
        <v>94</v>
      </c>
      <c r="M209" s="11" t="s">
        <v>1383</v>
      </c>
      <c r="N209" s="11" t="s">
        <v>113</v>
      </c>
      <c r="O209" s="11" t="s">
        <v>2772</v>
      </c>
      <c r="P209" s="11"/>
      <c r="Q209" s="11"/>
      <c r="R209" s="11" t="s">
        <v>2773</v>
      </c>
      <c r="S209" s="11" t="s">
        <v>94</v>
      </c>
      <c r="T209" s="11" t="s">
        <v>2774</v>
      </c>
      <c r="U209" s="11" t="s">
        <v>1387</v>
      </c>
      <c r="V209" s="11" t="s">
        <v>2775</v>
      </c>
      <c r="W209" s="11" t="s">
        <v>1389</v>
      </c>
      <c r="X209" s="11" t="s">
        <v>1563</v>
      </c>
      <c r="Y209" s="11" t="s">
        <v>1547</v>
      </c>
      <c r="Z209" s="11" t="s">
        <v>2776</v>
      </c>
      <c r="AA209" s="11" t="s">
        <v>2777</v>
      </c>
      <c r="AB209" s="11" t="s">
        <v>2778</v>
      </c>
      <c r="AC209" s="11" t="s">
        <v>2773</v>
      </c>
      <c r="AD209" s="11">
        <v>5358983</v>
      </c>
      <c r="AE209" s="11" t="s">
        <v>94</v>
      </c>
      <c r="AF209" s="11" t="s">
        <v>2779</v>
      </c>
      <c r="AG209" s="11" t="s">
        <v>94</v>
      </c>
      <c r="AH209" s="11" t="s">
        <v>2780</v>
      </c>
      <c r="AI209" s="11" t="s">
        <v>2790</v>
      </c>
      <c r="AJ209" s="11" t="s">
        <v>1949</v>
      </c>
      <c r="AK209" s="11" t="s">
        <v>1396</v>
      </c>
      <c r="AL209" s="11" t="s">
        <v>134</v>
      </c>
      <c r="AM209" s="11">
        <v>4601.8999999999996</v>
      </c>
      <c r="AN209" s="11"/>
      <c r="AO209" s="11" t="s">
        <v>2772</v>
      </c>
      <c r="AP209" s="11" t="s">
        <v>1397</v>
      </c>
      <c r="AQ209" s="11" t="s">
        <v>1398</v>
      </c>
      <c r="AR209" s="11" t="s">
        <v>1652</v>
      </c>
      <c r="AS209" s="11" t="s">
        <v>2781</v>
      </c>
      <c r="AT209" s="11" t="s">
        <v>2791</v>
      </c>
      <c r="AU209" s="11" t="s">
        <v>1702</v>
      </c>
      <c r="AV209" s="11"/>
      <c r="AW209" s="11" t="s">
        <v>2783</v>
      </c>
      <c r="AX209" s="11"/>
      <c r="AY209" s="11"/>
      <c r="AZ209" s="11"/>
      <c r="BA209" s="11"/>
      <c r="BB209" s="11">
        <v>68188490</v>
      </c>
      <c r="BC209" s="11" t="s">
        <v>1403</v>
      </c>
      <c r="BD209" s="11" t="s">
        <v>1432</v>
      </c>
      <c r="BE209" s="11" t="s">
        <v>1933</v>
      </c>
      <c r="BF209" s="11" t="s">
        <v>1501</v>
      </c>
      <c r="BG209" s="11" t="s">
        <v>1482</v>
      </c>
      <c r="BH209" s="11" t="s">
        <v>1435</v>
      </c>
      <c r="BI209" s="11" t="s">
        <v>1407</v>
      </c>
      <c r="BJ209" s="11" t="s">
        <v>134</v>
      </c>
      <c r="BK209" s="11"/>
      <c r="BL209" s="11" t="s">
        <v>1408</v>
      </c>
      <c r="BM209" s="11"/>
      <c r="BN209" s="11" t="s">
        <v>1483</v>
      </c>
      <c r="BO209" s="11" t="s">
        <v>1410</v>
      </c>
    </row>
    <row r="210" spans="2:67">
      <c r="B210" s="11">
        <v>199</v>
      </c>
      <c r="C210" s="11" t="s">
        <v>1374</v>
      </c>
      <c r="D210" s="11" t="s">
        <v>1375</v>
      </c>
      <c r="E210" s="11" t="s">
        <v>2769</v>
      </c>
      <c r="F210" s="11" t="s">
        <v>2770</v>
      </c>
      <c r="G210" s="11" t="s">
        <v>1974</v>
      </c>
      <c r="H210" s="11" t="s">
        <v>2771</v>
      </c>
      <c r="I210" s="11" t="s">
        <v>134</v>
      </c>
      <c r="J210" s="11" t="s">
        <v>134</v>
      </c>
      <c r="K210" s="11" t="s">
        <v>1547</v>
      </c>
      <c r="L210" s="11" t="s">
        <v>94</v>
      </c>
      <c r="M210" s="11" t="s">
        <v>1383</v>
      </c>
      <c r="N210" s="11" t="s">
        <v>113</v>
      </c>
      <c r="O210" s="11" t="s">
        <v>2772</v>
      </c>
      <c r="P210" s="11"/>
      <c r="Q210" s="11"/>
      <c r="R210" s="11" t="s">
        <v>2773</v>
      </c>
      <c r="S210" s="11" t="s">
        <v>94</v>
      </c>
      <c r="T210" s="11" t="s">
        <v>2774</v>
      </c>
      <c r="U210" s="11" t="s">
        <v>1387</v>
      </c>
      <c r="V210" s="11" t="s">
        <v>2775</v>
      </c>
      <c r="W210" s="11" t="s">
        <v>1389</v>
      </c>
      <c r="X210" s="11" t="s">
        <v>1563</v>
      </c>
      <c r="Y210" s="11" t="s">
        <v>1547</v>
      </c>
      <c r="Z210" s="11" t="s">
        <v>2776</v>
      </c>
      <c r="AA210" s="11" t="s">
        <v>2777</v>
      </c>
      <c r="AB210" s="11" t="s">
        <v>2778</v>
      </c>
      <c r="AC210" s="11" t="s">
        <v>2773</v>
      </c>
      <c r="AD210" s="11">
        <v>5358983</v>
      </c>
      <c r="AE210" s="11" t="s">
        <v>94</v>
      </c>
      <c r="AF210" s="11" t="s">
        <v>2779</v>
      </c>
      <c r="AG210" s="11" t="s">
        <v>94</v>
      </c>
      <c r="AH210" s="11" t="s">
        <v>2780</v>
      </c>
      <c r="AI210" s="11" t="s">
        <v>2792</v>
      </c>
      <c r="AJ210" s="11" t="s">
        <v>2506</v>
      </c>
      <c r="AK210" s="11" t="s">
        <v>1396</v>
      </c>
      <c r="AL210" s="11" t="s">
        <v>134</v>
      </c>
      <c r="AM210" s="11">
        <v>1500</v>
      </c>
      <c r="AN210" s="11"/>
      <c r="AO210" s="11" t="s">
        <v>2772</v>
      </c>
      <c r="AP210" s="11" t="s">
        <v>1397</v>
      </c>
      <c r="AQ210" s="11" t="s">
        <v>1398</v>
      </c>
      <c r="AR210" s="11" t="s">
        <v>1652</v>
      </c>
      <c r="AS210" s="11" t="s">
        <v>2781</v>
      </c>
      <c r="AT210" s="11"/>
      <c r="AU210" s="11" t="s">
        <v>1702</v>
      </c>
      <c r="AV210" s="11"/>
      <c r="AW210" s="11" t="s">
        <v>2783</v>
      </c>
      <c r="AX210" s="11"/>
      <c r="AY210" s="11"/>
      <c r="AZ210" s="11"/>
      <c r="BA210" s="11"/>
      <c r="BB210" s="11">
        <v>68188490</v>
      </c>
      <c r="BC210" s="11" t="s">
        <v>1403</v>
      </c>
      <c r="BD210" s="11" t="s">
        <v>1432</v>
      </c>
      <c r="BE210" s="11" t="s">
        <v>1933</v>
      </c>
      <c r="BF210" s="11" t="s">
        <v>1501</v>
      </c>
      <c r="BG210" s="11" t="s">
        <v>1482</v>
      </c>
      <c r="BH210" s="11" t="s">
        <v>1435</v>
      </c>
      <c r="BI210" s="11" t="s">
        <v>1407</v>
      </c>
      <c r="BJ210" s="11" t="s">
        <v>134</v>
      </c>
      <c r="BK210" s="11"/>
      <c r="BL210" s="11"/>
      <c r="BM210" s="11"/>
      <c r="BN210" s="11" t="s">
        <v>1483</v>
      </c>
      <c r="BO210" s="11" t="s">
        <v>1410</v>
      </c>
    </row>
    <row r="211" spans="2:67">
      <c r="B211" s="11">
        <v>200</v>
      </c>
      <c r="C211" s="11" t="s">
        <v>1374</v>
      </c>
      <c r="D211" s="11" t="s">
        <v>1375</v>
      </c>
      <c r="E211" s="11" t="s">
        <v>2769</v>
      </c>
      <c r="F211" s="11" t="s">
        <v>2770</v>
      </c>
      <c r="G211" s="11" t="s">
        <v>1974</v>
      </c>
      <c r="H211" s="11" t="s">
        <v>2771</v>
      </c>
      <c r="I211" s="11" t="s">
        <v>134</v>
      </c>
      <c r="J211" s="11" t="s">
        <v>134</v>
      </c>
      <c r="K211" s="11" t="s">
        <v>1547</v>
      </c>
      <c r="L211" s="11" t="s">
        <v>94</v>
      </c>
      <c r="M211" s="11" t="s">
        <v>1383</v>
      </c>
      <c r="N211" s="11" t="s">
        <v>113</v>
      </c>
      <c r="O211" s="11" t="s">
        <v>2772</v>
      </c>
      <c r="P211" s="11"/>
      <c r="Q211" s="11"/>
      <c r="R211" s="11" t="s">
        <v>2773</v>
      </c>
      <c r="S211" s="11" t="s">
        <v>94</v>
      </c>
      <c r="T211" s="11" t="s">
        <v>2774</v>
      </c>
      <c r="U211" s="11" t="s">
        <v>1387</v>
      </c>
      <c r="V211" s="11" t="s">
        <v>2775</v>
      </c>
      <c r="W211" s="11" t="s">
        <v>1389</v>
      </c>
      <c r="X211" s="11" t="s">
        <v>1563</v>
      </c>
      <c r="Y211" s="11" t="s">
        <v>1547</v>
      </c>
      <c r="Z211" s="11" t="s">
        <v>2776</v>
      </c>
      <c r="AA211" s="11" t="s">
        <v>2777</v>
      </c>
      <c r="AB211" s="11" t="s">
        <v>2778</v>
      </c>
      <c r="AC211" s="11" t="s">
        <v>2773</v>
      </c>
      <c r="AD211" s="11">
        <v>5358983</v>
      </c>
      <c r="AE211" s="11" t="s">
        <v>94</v>
      </c>
      <c r="AF211" s="11" t="s">
        <v>2779</v>
      </c>
      <c r="AG211" s="11" t="s">
        <v>94</v>
      </c>
      <c r="AH211" s="11" t="s">
        <v>2780</v>
      </c>
      <c r="AI211" s="11" t="s">
        <v>2793</v>
      </c>
      <c r="AJ211" s="11" t="s">
        <v>1952</v>
      </c>
      <c r="AK211" s="11" t="s">
        <v>1396</v>
      </c>
      <c r="AL211" s="11" t="s">
        <v>134</v>
      </c>
      <c r="AM211" s="11">
        <v>5650</v>
      </c>
      <c r="AN211" s="11"/>
      <c r="AO211" s="11" t="s">
        <v>2772</v>
      </c>
      <c r="AP211" s="11" t="s">
        <v>1397</v>
      </c>
      <c r="AQ211" s="11" t="s">
        <v>1398</v>
      </c>
      <c r="AR211" s="11" t="s">
        <v>1652</v>
      </c>
      <c r="AS211" s="11" t="s">
        <v>2781</v>
      </c>
      <c r="AT211" s="11"/>
      <c r="AU211" s="11" t="s">
        <v>1702</v>
      </c>
      <c r="AV211" s="11"/>
      <c r="AW211" s="11" t="s">
        <v>2783</v>
      </c>
      <c r="AX211" s="11"/>
      <c r="AY211" s="11"/>
      <c r="AZ211" s="11"/>
      <c r="BA211" s="11"/>
      <c r="BB211" s="11">
        <v>68188490</v>
      </c>
      <c r="BC211" s="11" t="s">
        <v>1403</v>
      </c>
      <c r="BD211" s="11" t="s">
        <v>1432</v>
      </c>
      <c r="BE211" s="11" t="s">
        <v>1933</v>
      </c>
      <c r="BF211" s="11" t="s">
        <v>1501</v>
      </c>
      <c r="BG211" s="11" t="s">
        <v>1482</v>
      </c>
      <c r="BH211" s="11" t="s">
        <v>1435</v>
      </c>
      <c r="BI211" s="11" t="s">
        <v>1407</v>
      </c>
      <c r="BJ211" s="11" t="s">
        <v>134</v>
      </c>
      <c r="BK211" s="11"/>
      <c r="BL211" s="11"/>
      <c r="BM211" s="11"/>
      <c r="BN211" s="11" t="s">
        <v>1483</v>
      </c>
      <c r="BO211" s="11" t="s">
        <v>1410</v>
      </c>
    </row>
    <row r="212" spans="2:67">
      <c r="B212" s="11">
        <v>201</v>
      </c>
      <c r="C212" s="11" t="s">
        <v>1374</v>
      </c>
      <c r="D212" s="11" t="s">
        <v>1375</v>
      </c>
      <c r="E212" s="11" t="s">
        <v>2794</v>
      </c>
      <c r="F212" s="11" t="s">
        <v>2795</v>
      </c>
      <c r="G212" s="11" t="s">
        <v>2403</v>
      </c>
      <c r="H212" s="11" t="s">
        <v>2796</v>
      </c>
      <c r="I212" s="11" t="s">
        <v>2797</v>
      </c>
      <c r="J212" s="11" t="s">
        <v>134</v>
      </c>
      <c r="K212" s="11" t="s">
        <v>1470</v>
      </c>
      <c r="L212" s="11" t="s">
        <v>1382</v>
      </c>
      <c r="M212" s="11" t="s">
        <v>1383</v>
      </c>
      <c r="N212" s="11" t="s">
        <v>1105</v>
      </c>
      <c r="O212" s="11" t="s">
        <v>1382</v>
      </c>
      <c r="P212" s="11"/>
      <c r="Q212" s="11"/>
      <c r="R212" s="11" t="s">
        <v>2798</v>
      </c>
      <c r="S212" s="11" t="s">
        <v>1382</v>
      </c>
      <c r="T212" s="11" t="s">
        <v>2799</v>
      </c>
      <c r="U212" s="11" t="s">
        <v>1444</v>
      </c>
      <c r="V212" s="11" t="s">
        <v>2800</v>
      </c>
      <c r="W212" s="11" t="s">
        <v>1389</v>
      </c>
      <c r="X212" s="11" t="s">
        <v>1769</v>
      </c>
      <c r="Y212" s="11" t="s">
        <v>1470</v>
      </c>
      <c r="Z212" s="11" t="s">
        <v>2801</v>
      </c>
      <c r="AA212" s="11" t="s">
        <v>2308</v>
      </c>
      <c r="AB212" s="11" t="s">
        <v>2007</v>
      </c>
      <c r="AC212" s="11" t="s">
        <v>2798</v>
      </c>
      <c r="AD212" s="11">
        <v>5358322</v>
      </c>
      <c r="AE212" s="11" t="s">
        <v>1382</v>
      </c>
      <c r="AF212" s="11" t="s">
        <v>2802</v>
      </c>
      <c r="AG212" s="11" t="s">
        <v>1382</v>
      </c>
      <c r="AH212" s="11" t="s">
        <v>2803</v>
      </c>
      <c r="AI212" s="11" t="s">
        <v>2079</v>
      </c>
      <c r="AJ212" s="11" t="s">
        <v>2080</v>
      </c>
      <c r="AK212" s="11" t="s">
        <v>1396</v>
      </c>
      <c r="AL212" s="11" t="s">
        <v>134</v>
      </c>
      <c r="AM212" s="11">
        <v>1500</v>
      </c>
      <c r="AN212" s="11"/>
      <c r="AO212" s="11" t="s">
        <v>1382</v>
      </c>
      <c r="AP212" s="11" t="s">
        <v>1451</v>
      </c>
      <c r="AQ212" s="11" t="s">
        <v>1398</v>
      </c>
      <c r="AR212" s="11" t="s">
        <v>1652</v>
      </c>
      <c r="AS212" s="11" t="s">
        <v>2804</v>
      </c>
      <c r="AT212" s="11" t="s">
        <v>2805</v>
      </c>
      <c r="AU212" s="11" t="s">
        <v>1702</v>
      </c>
      <c r="AV212" s="11"/>
      <c r="AW212" s="11" t="s">
        <v>2806</v>
      </c>
      <c r="AX212" s="11"/>
      <c r="AY212" s="11"/>
      <c r="AZ212" s="11"/>
      <c r="BA212" s="11"/>
      <c r="BB212" s="11">
        <v>32837325</v>
      </c>
      <c r="BC212" s="11" t="s">
        <v>1403</v>
      </c>
      <c r="BD212" s="11" t="s">
        <v>1432</v>
      </c>
      <c r="BE212" s="11" t="s">
        <v>2078</v>
      </c>
      <c r="BF212" s="11" t="s">
        <v>2807</v>
      </c>
      <c r="BG212" s="11" t="s">
        <v>1482</v>
      </c>
      <c r="BH212" s="11" t="s">
        <v>1435</v>
      </c>
      <c r="BI212" s="11" t="s">
        <v>1407</v>
      </c>
      <c r="BJ212" s="11" t="s">
        <v>134</v>
      </c>
      <c r="BK212" s="11"/>
      <c r="BL212" s="11" t="s">
        <v>1408</v>
      </c>
      <c r="BM212" s="11"/>
      <c r="BN212" s="11" t="s">
        <v>1409</v>
      </c>
      <c r="BO212" s="11" t="s">
        <v>1410</v>
      </c>
    </row>
    <row r="213" spans="2:67">
      <c r="B213" s="11">
        <v>202</v>
      </c>
      <c r="C213" s="11" t="s">
        <v>1374</v>
      </c>
      <c r="D213" s="11" t="s">
        <v>1375</v>
      </c>
      <c r="E213" s="11" t="s">
        <v>2794</v>
      </c>
      <c r="F213" s="11" t="s">
        <v>2795</v>
      </c>
      <c r="G213" s="11" t="s">
        <v>2403</v>
      </c>
      <c r="H213" s="11" t="s">
        <v>2796</v>
      </c>
      <c r="I213" s="11" t="s">
        <v>2797</v>
      </c>
      <c r="J213" s="11" t="s">
        <v>134</v>
      </c>
      <c r="K213" s="11" t="s">
        <v>1470</v>
      </c>
      <c r="L213" s="11" t="s">
        <v>1382</v>
      </c>
      <c r="M213" s="11" t="s">
        <v>1383</v>
      </c>
      <c r="N213" s="11" t="s">
        <v>1105</v>
      </c>
      <c r="O213" s="11" t="s">
        <v>1382</v>
      </c>
      <c r="P213" s="11"/>
      <c r="Q213" s="11"/>
      <c r="R213" s="11" t="s">
        <v>2798</v>
      </c>
      <c r="S213" s="11" t="s">
        <v>1382</v>
      </c>
      <c r="T213" s="11" t="s">
        <v>2799</v>
      </c>
      <c r="U213" s="11" t="s">
        <v>1444</v>
      </c>
      <c r="V213" s="11" t="s">
        <v>2800</v>
      </c>
      <c r="W213" s="11" t="s">
        <v>1389</v>
      </c>
      <c r="X213" s="11" t="s">
        <v>1769</v>
      </c>
      <c r="Y213" s="11" t="s">
        <v>1470</v>
      </c>
      <c r="Z213" s="11" t="s">
        <v>2801</v>
      </c>
      <c r="AA213" s="11" t="s">
        <v>2308</v>
      </c>
      <c r="AB213" s="11" t="s">
        <v>2007</v>
      </c>
      <c r="AC213" s="11" t="s">
        <v>2798</v>
      </c>
      <c r="AD213" s="11">
        <v>5358322</v>
      </c>
      <c r="AE213" s="11" t="s">
        <v>1382</v>
      </c>
      <c r="AF213" s="11" t="s">
        <v>2802</v>
      </c>
      <c r="AG213" s="11" t="s">
        <v>1382</v>
      </c>
      <c r="AH213" s="11" t="s">
        <v>2803</v>
      </c>
      <c r="AI213" s="11" t="s">
        <v>2091</v>
      </c>
      <c r="AJ213" s="11" t="s">
        <v>2092</v>
      </c>
      <c r="AK213" s="11" t="s">
        <v>1396</v>
      </c>
      <c r="AL213" s="11" t="s">
        <v>134</v>
      </c>
      <c r="AM213" s="11">
        <v>2000</v>
      </c>
      <c r="AN213" s="11"/>
      <c r="AO213" s="11" t="s">
        <v>1382</v>
      </c>
      <c r="AP213" s="11" t="s">
        <v>1451</v>
      </c>
      <c r="AQ213" s="11" t="s">
        <v>1398</v>
      </c>
      <c r="AR213" s="11" t="s">
        <v>1652</v>
      </c>
      <c r="AS213" s="11" t="s">
        <v>2804</v>
      </c>
      <c r="AT213" s="11" t="s">
        <v>2808</v>
      </c>
      <c r="AU213" s="11" t="s">
        <v>1702</v>
      </c>
      <c r="AV213" s="11"/>
      <c r="AW213" s="11" t="s">
        <v>2806</v>
      </c>
      <c r="AX213" s="11"/>
      <c r="AY213" s="11"/>
      <c r="AZ213" s="11"/>
      <c r="BA213" s="11"/>
      <c r="BB213" s="11">
        <v>32837325</v>
      </c>
      <c r="BC213" s="11" t="s">
        <v>1403</v>
      </c>
      <c r="BD213" s="11" t="s">
        <v>1432</v>
      </c>
      <c r="BE213" s="11" t="s">
        <v>2078</v>
      </c>
      <c r="BF213" s="11" t="s">
        <v>2807</v>
      </c>
      <c r="BG213" s="11" t="s">
        <v>1482</v>
      </c>
      <c r="BH213" s="11" t="s">
        <v>1435</v>
      </c>
      <c r="BI213" s="11" t="s">
        <v>1407</v>
      </c>
      <c r="BJ213" s="11" t="s">
        <v>134</v>
      </c>
      <c r="BK213" s="11"/>
      <c r="BL213" s="11" t="s">
        <v>1408</v>
      </c>
      <c r="BM213" s="11"/>
      <c r="BN213" s="11" t="s">
        <v>1409</v>
      </c>
      <c r="BO213" s="11" t="s">
        <v>1410</v>
      </c>
    </row>
    <row r="214" spans="2:67">
      <c r="B214" s="11">
        <v>203</v>
      </c>
      <c r="C214" s="11" t="s">
        <v>1374</v>
      </c>
      <c r="D214" s="11" t="s">
        <v>1375</v>
      </c>
      <c r="E214" s="11" t="s">
        <v>2794</v>
      </c>
      <c r="F214" s="11" t="s">
        <v>2795</v>
      </c>
      <c r="G214" s="11" t="s">
        <v>2403</v>
      </c>
      <c r="H214" s="11" t="s">
        <v>2796</v>
      </c>
      <c r="I214" s="11" t="s">
        <v>2797</v>
      </c>
      <c r="J214" s="11" t="s">
        <v>134</v>
      </c>
      <c r="K214" s="11" t="s">
        <v>1470</v>
      </c>
      <c r="L214" s="11" t="s">
        <v>1382</v>
      </c>
      <c r="M214" s="11" t="s">
        <v>1383</v>
      </c>
      <c r="N214" s="11" t="s">
        <v>1105</v>
      </c>
      <c r="O214" s="11" t="s">
        <v>1382</v>
      </c>
      <c r="P214" s="11"/>
      <c r="Q214" s="11"/>
      <c r="R214" s="11" t="s">
        <v>2798</v>
      </c>
      <c r="S214" s="11" t="s">
        <v>1382</v>
      </c>
      <c r="T214" s="11" t="s">
        <v>2799</v>
      </c>
      <c r="U214" s="11" t="s">
        <v>1444</v>
      </c>
      <c r="V214" s="11" t="s">
        <v>2800</v>
      </c>
      <c r="W214" s="11" t="s">
        <v>1389</v>
      </c>
      <c r="X214" s="11" t="s">
        <v>1769</v>
      </c>
      <c r="Y214" s="11" t="s">
        <v>1470</v>
      </c>
      <c r="Z214" s="11" t="s">
        <v>2801</v>
      </c>
      <c r="AA214" s="11" t="s">
        <v>2308</v>
      </c>
      <c r="AB214" s="11" t="s">
        <v>2007</v>
      </c>
      <c r="AC214" s="11" t="s">
        <v>2798</v>
      </c>
      <c r="AD214" s="11">
        <v>5358322</v>
      </c>
      <c r="AE214" s="11" t="s">
        <v>1382</v>
      </c>
      <c r="AF214" s="11" t="s">
        <v>2802</v>
      </c>
      <c r="AG214" s="11" t="s">
        <v>1382</v>
      </c>
      <c r="AH214" s="11" t="s">
        <v>2803</v>
      </c>
      <c r="AI214" s="11" t="s">
        <v>2088</v>
      </c>
      <c r="AJ214" s="11" t="s">
        <v>2089</v>
      </c>
      <c r="AK214" s="11" t="s">
        <v>1396</v>
      </c>
      <c r="AL214" s="11" t="s">
        <v>134</v>
      </c>
      <c r="AM214" s="11">
        <v>13800</v>
      </c>
      <c r="AN214" s="11"/>
      <c r="AO214" s="11" t="s">
        <v>1382</v>
      </c>
      <c r="AP214" s="11" t="s">
        <v>1451</v>
      </c>
      <c r="AQ214" s="11" t="s">
        <v>1398</v>
      </c>
      <c r="AR214" s="11" t="s">
        <v>1652</v>
      </c>
      <c r="AS214" s="11" t="s">
        <v>2804</v>
      </c>
      <c r="AT214" s="11" t="s">
        <v>2809</v>
      </c>
      <c r="AU214" s="11" t="s">
        <v>1702</v>
      </c>
      <c r="AV214" s="11"/>
      <c r="AW214" s="11" t="s">
        <v>2806</v>
      </c>
      <c r="AX214" s="11"/>
      <c r="AY214" s="11"/>
      <c r="AZ214" s="11"/>
      <c r="BA214" s="11"/>
      <c r="BB214" s="11">
        <v>32837325</v>
      </c>
      <c r="BC214" s="11" t="s">
        <v>1403</v>
      </c>
      <c r="BD214" s="11" t="s">
        <v>1432</v>
      </c>
      <c r="BE214" s="11" t="s">
        <v>2078</v>
      </c>
      <c r="BF214" s="11" t="s">
        <v>2807</v>
      </c>
      <c r="BG214" s="11" t="s">
        <v>1482</v>
      </c>
      <c r="BH214" s="11" t="s">
        <v>1435</v>
      </c>
      <c r="BI214" s="11" t="s">
        <v>1407</v>
      </c>
      <c r="BJ214" s="11" t="s">
        <v>134</v>
      </c>
      <c r="BK214" s="11"/>
      <c r="BL214" s="11" t="s">
        <v>1408</v>
      </c>
      <c r="BM214" s="11"/>
      <c r="BN214" s="11" t="s">
        <v>1409</v>
      </c>
      <c r="BO214" s="11" t="s">
        <v>1410</v>
      </c>
    </row>
    <row r="215" spans="2:67">
      <c r="B215" s="11">
        <v>204</v>
      </c>
      <c r="C215" s="11" t="s">
        <v>1374</v>
      </c>
      <c r="D215" s="11" t="s">
        <v>1375</v>
      </c>
      <c r="E215" s="11" t="s">
        <v>2794</v>
      </c>
      <c r="F215" s="11" t="s">
        <v>2795</v>
      </c>
      <c r="G215" s="11" t="s">
        <v>2403</v>
      </c>
      <c r="H215" s="11" t="s">
        <v>2796</v>
      </c>
      <c r="I215" s="11" t="s">
        <v>2797</v>
      </c>
      <c r="J215" s="11" t="s">
        <v>134</v>
      </c>
      <c r="K215" s="11" t="s">
        <v>1470</v>
      </c>
      <c r="L215" s="11" t="s">
        <v>1382</v>
      </c>
      <c r="M215" s="11" t="s">
        <v>1383</v>
      </c>
      <c r="N215" s="11" t="s">
        <v>1105</v>
      </c>
      <c r="O215" s="11" t="s">
        <v>1382</v>
      </c>
      <c r="P215" s="11"/>
      <c r="Q215" s="11"/>
      <c r="R215" s="11" t="s">
        <v>2798</v>
      </c>
      <c r="S215" s="11" t="s">
        <v>1382</v>
      </c>
      <c r="T215" s="11" t="s">
        <v>2799</v>
      </c>
      <c r="U215" s="11" t="s">
        <v>1444</v>
      </c>
      <c r="V215" s="11" t="s">
        <v>2800</v>
      </c>
      <c r="W215" s="11" t="s">
        <v>1389</v>
      </c>
      <c r="X215" s="11" t="s">
        <v>1769</v>
      </c>
      <c r="Y215" s="11" t="s">
        <v>1470</v>
      </c>
      <c r="Z215" s="11" t="s">
        <v>2801</v>
      </c>
      <c r="AA215" s="11" t="s">
        <v>2308</v>
      </c>
      <c r="AB215" s="11" t="s">
        <v>2007</v>
      </c>
      <c r="AC215" s="11" t="s">
        <v>2798</v>
      </c>
      <c r="AD215" s="11">
        <v>5358322</v>
      </c>
      <c r="AE215" s="11" t="s">
        <v>1382</v>
      </c>
      <c r="AF215" s="11" t="s">
        <v>2802</v>
      </c>
      <c r="AG215" s="11" t="s">
        <v>1382</v>
      </c>
      <c r="AH215" s="11" t="s">
        <v>2803</v>
      </c>
      <c r="AI215" s="11" t="s">
        <v>2073</v>
      </c>
      <c r="AJ215" s="11" t="s">
        <v>2074</v>
      </c>
      <c r="AK215" s="11" t="s">
        <v>1396</v>
      </c>
      <c r="AL215" s="11" t="s">
        <v>134</v>
      </c>
      <c r="AM215" s="11">
        <v>13800</v>
      </c>
      <c r="AN215" s="11"/>
      <c r="AO215" s="11" t="s">
        <v>1382</v>
      </c>
      <c r="AP215" s="11" t="s">
        <v>1451</v>
      </c>
      <c r="AQ215" s="11" t="s">
        <v>1398</v>
      </c>
      <c r="AR215" s="11" t="s">
        <v>1652</v>
      </c>
      <c r="AS215" s="11" t="s">
        <v>2804</v>
      </c>
      <c r="AT215" s="11" t="s">
        <v>2810</v>
      </c>
      <c r="AU215" s="11" t="s">
        <v>1702</v>
      </c>
      <c r="AV215" s="11"/>
      <c r="AW215" s="11" t="s">
        <v>2806</v>
      </c>
      <c r="AX215" s="11"/>
      <c r="AY215" s="11"/>
      <c r="AZ215" s="11"/>
      <c r="BA215" s="11"/>
      <c r="BB215" s="11">
        <v>32837325</v>
      </c>
      <c r="BC215" s="11" t="s">
        <v>1403</v>
      </c>
      <c r="BD215" s="11" t="s">
        <v>1432</v>
      </c>
      <c r="BE215" s="11" t="s">
        <v>2078</v>
      </c>
      <c r="BF215" s="11" t="s">
        <v>2807</v>
      </c>
      <c r="BG215" s="11" t="s">
        <v>1482</v>
      </c>
      <c r="BH215" s="11" t="s">
        <v>1435</v>
      </c>
      <c r="BI215" s="11" t="s">
        <v>1407</v>
      </c>
      <c r="BJ215" s="11" t="s">
        <v>134</v>
      </c>
      <c r="BK215" s="11"/>
      <c r="BL215" s="11" t="s">
        <v>1408</v>
      </c>
      <c r="BM215" s="11"/>
      <c r="BN215" s="11" t="s">
        <v>1409</v>
      </c>
      <c r="BO215" s="11" t="s">
        <v>1410</v>
      </c>
    </row>
    <row r="216" spans="2:67">
      <c r="B216" s="11">
        <v>205</v>
      </c>
      <c r="C216" s="11" t="s">
        <v>1374</v>
      </c>
      <c r="D216" s="11" t="s">
        <v>1375</v>
      </c>
      <c r="E216" s="11" t="s">
        <v>2811</v>
      </c>
      <c r="F216" s="11" t="s">
        <v>2812</v>
      </c>
      <c r="G216" s="11" t="s">
        <v>2584</v>
      </c>
      <c r="H216" s="11" t="s">
        <v>2813</v>
      </c>
      <c r="I216" s="11" t="s">
        <v>2814</v>
      </c>
      <c r="J216" s="11"/>
      <c r="K216" s="11" t="s">
        <v>1470</v>
      </c>
      <c r="L216" s="11" t="s">
        <v>1382</v>
      </c>
      <c r="M216" s="11" t="s">
        <v>1465</v>
      </c>
      <c r="N216" s="11" t="s">
        <v>234</v>
      </c>
      <c r="O216" s="11" t="s">
        <v>134</v>
      </c>
      <c r="P216" s="11"/>
      <c r="Q216" s="11"/>
      <c r="R216" s="11" t="s">
        <v>2811</v>
      </c>
      <c r="S216" s="11" t="s">
        <v>1382</v>
      </c>
      <c r="T216" s="11" t="s">
        <v>2815</v>
      </c>
      <c r="U216" s="11" t="s">
        <v>1387</v>
      </c>
      <c r="V216" s="11" t="s">
        <v>2816</v>
      </c>
      <c r="W216" s="11" t="s">
        <v>1389</v>
      </c>
      <c r="X216" s="11" t="s">
        <v>1492</v>
      </c>
      <c r="Y216" s="11" t="s">
        <v>1470</v>
      </c>
      <c r="Z216" s="11" t="s">
        <v>1422</v>
      </c>
      <c r="AA216" s="11" t="s">
        <v>2817</v>
      </c>
      <c r="AB216" s="11" t="s">
        <v>2201</v>
      </c>
      <c r="AC216" s="11" t="s">
        <v>2811</v>
      </c>
      <c r="AD216" s="11">
        <v>5358241</v>
      </c>
      <c r="AE216" s="11" t="s">
        <v>1382</v>
      </c>
      <c r="AF216" s="11" t="s">
        <v>2818</v>
      </c>
      <c r="AG216" s="11" t="s">
        <v>1382</v>
      </c>
      <c r="AH216" s="11" t="s">
        <v>2819</v>
      </c>
      <c r="AI216" s="11" t="s">
        <v>2010</v>
      </c>
      <c r="AJ216" s="11" t="s">
        <v>1670</v>
      </c>
      <c r="AK216" s="11" t="s">
        <v>1396</v>
      </c>
      <c r="AL216" s="11" t="s">
        <v>134</v>
      </c>
      <c r="AM216" s="11">
        <v>5934</v>
      </c>
      <c r="AN216" s="11"/>
      <c r="AO216" s="11" t="s">
        <v>134</v>
      </c>
      <c r="AP216" s="11" t="s">
        <v>1397</v>
      </c>
      <c r="AQ216" s="11" t="s">
        <v>1398</v>
      </c>
      <c r="AR216" s="11" t="s">
        <v>1399</v>
      </c>
      <c r="AS216" s="11" t="s">
        <v>2820</v>
      </c>
      <c r="AT216" s="11" t="s">
        <v>2821</v>
      </c>
      <c r="AU216" s="11" t="s">
        <v>1702</v>
      </c>
      <c r="AV216" s="11"/>
      <c r="AW216" s="11" t="s">
        <v>2822</v>
      </c>
      <c r="AX216" s="11"/>
      <c r="AY216" s="11"/>
      <c r="AZ216" s="11"/>
      <c r="BA216" s="11"/>
      <c r="BB216" s="11">
        <v>79971116</v>
      </c>
      <c r="BC216" s="11" t="s">
        <v>1403</v>
      </c>
      <c r="BD216" s="11" t="s">
        <v>1432</v>
      </c>
      <c r="BE216" s="11" t="s">
        <v>1836</v>
      </c>
      <c r="BF216" s="11" t="s">
        <v>1576</v>
      </c>
      <c r="BG216" s="11" t="s">
        <v>1482</v>
      </c>
      <c r="BH216" s="11" t="s">
        <v>1435</v>
      </c>
      <c r="BI216" s="11" t="s">
        <v>1407</v>
      </c>
      <c r="BJ216" s="11" t="s">
        <v>134</v>
      </c>
      <c r="BK216" s="11"/>
      <c r="BL216" s="11" t="s">
        <v>1408</v>
      </c>
      <c r="BM216" s="11"/>
      <c r="BN216" s="11" t="s">
        <v>1457</v>
      </c>
      <c r="BO216" s="11" t="s">
        <v>2599</v>
      </c>
    </row>
    <row r="217" spans="2:67">
      <c r="B217" s="11">
        <v>206</v>
      </c>
      <c r="C217" s="11" t="s">
        <v>1374</v>
      </c>
      <c r="D217" s="11" t="s">
        <v>1375</v>
      </c>
      <c r="E217" s="11" t="s">
        <v>2811</v>
      </c>
      <c r="F217" s="11" t="s">
        <v>2812</v>
      </c>
      <c r="G217" s="11" t="s">
        <v>2584</v>
      </c>
      <c r="H217" s="11" t="s">
        <v>2813</v>
      </c>
      <c r="I217" s="11" t="s">
        <v>2814</v>
      </c>
      <c r="J217" s="11"/>
      <c r="K217" s="11" t="s">
        <v>1470</v>
      </c>
      <c r="L217" s="11" t="s">
        <v>1382</v>
      </c>
      <c r="M217" s="11" t="s">
        <v>1465</v>
      </c>
      <c r="N217" s="11" t="s">
        <v>234</v>
      </c>
      <c r="O217" s="11" t="s">
        <v>134</v>
      </c>
      <c r="P217" s="11"/>
      <c r="Q217" s="11"/>
      <c r="R217" s="11" t="s">
        <v>2811</v>
      </c>
      <c r="S217" s="11" t="s">
        <v>1382</v>
      </c>
      <c r="T217" s="11" t="s">
        <v>2815</v>
      </c>
      <c r="U217" s="11" t="s">
        <v>1387</v>
      </c>
      <c r="V217" s="11" t="s">
        <v>2816</v>
      </c>
      <c r="W217" s="11" t="s">
        <v>1389</v>
      </c>
      <c r="X217" s="11" t="s">
        <v>1492</v>
      </c>
      <c r="Y217" s="11" t="s">
        <v>1470</v>
      </c>
      <c r="Z217" s="11" t="s">
        <v>1422</v>
      </c>
      <c r="AA217" s="11" t="s">
        <v>2817</v>
      </c>
      <c r="AB217" s="11" t="s">
        <v>2201</v>
      </c>
      <c r="AC217" s="11" t="s">
        <v>2811</v>
      </c>
      <c r="AD217" s="11">
        <v>5358241</v>
      </c>
      <c r="AE217" s="11" t="s">
        <v>1382</v>
      </c>
      <c r="AF217" s="11" t="s">
        <v>2818</v>
      </c>
      <c r="AG217" s="11" t="s">
        <v>1382</v>
      </c>
      <c r="AH217" s="11" t="s">
        <v>2819</v>
      </c>
      <c r="AI217" s="11" t="s">
        <v>2695</v>
      </c>
      <c r="AJ217" s="11" t="s">
        <v>1775</v>
      </c>
      <c r="AK217" s="11" t="s">
        <v>1396</v>
      </c>
      <c r="AL217" s="11" t="s">
        <v>134</v>
      </c>
      <c r="AM217" s="11">
        <v>6357.5</v>
      </c>
      <c r="AN217" s="11"/>
      <c r="AO217" s="11" t="s">
        <v>134</v>
      </c>
      <c r="AP217" s="11" t="s">
        <v>1397</v>
      </c>
      <c r="AQ217" s="11" t="s">
        <v>1398</v>
      </c>
      <c r="AR217" s="11" t="s">
        <v>1399</v>
      </c>
      <c r="AS217" s="11" t="s">
        <v>2820</v>
      </c>
      <c r="AT217" s="11" t="s">
        <v>2823</v>
      </c>
      <c r="AU217" s="11" t="s">
        <v>1702</v>
      </c>
      <c r="AV217" s="11"/>
      <c r="AW217" s="11" t="s">
        <v>2822</v>
      </c>
      <c r="AX217" s="11"/>
      <c r="AY217" s="11"/>
      <c r="AZ217" s="11"/>
      <c r="BA217" s="11"/>
      <c r="BB217" s="11">
        <v>79971116</v>
      </c>
      <c r="BC217" s="11" t="s">
        <v>1403</v>
      </c>
      <c r="BD217" s="11" t="s">
        <v>1432</v>
      </c>
      <c r="BE217" s="11" t="s">
        <v>1836</v>
      </c>
      <c r="BF217" s="11" t="s">
        <v>1576</v>
      </c>
      <c r="BG217" s="11" t="s">
        <v>1482</v>
      </c>
      <c r="BH217" s="11" t="s">
        <v>1435</v>
      </c>
      <c r="BI217" s="11" t="s">
        <v>1407</v>
      </c>
      <c r="BJ217" s="11" t="s">
        <v>134</v>
      </c>
      <c r="BK217" s="11"/>
      <c r="BL217" s="11" t="s">
        <v>1408</v>
      </c>
      <c r="BM217" s="11"/>
      <c r="BN217" s="11" t="s">
        <v>1457</v>
      </c>
      <c r="BO217" s="11" t="s">
        <v>2599</v>
      </c>
    </row>
    <row r="218" spans="2:67">
      <c r="B218" s="11">
        <v>207</v>
      </c>
      <c r="C218" s="11" t="s">
        <v>1374</v>
      </c>
      <c r="D218" s="11" t="s">
        <v>1375</v>
      </c>
      <c r="E218" s="11" t="s">
        <v>2811</v>
      </c>
      <c r="F218" s="11" t="s">
        <v>2812</v>
      </c>
      <c r="G218" s="11" t="s">
        <v>2584</v>
      </c>
      <c r="H218" s="11" t="s">
        <v>2813</v>
      </c>
      <c r="I218" s="11" t="s">
        <v>2814</v>
      </c>
      <c r="J218" s="11"/>
      <c r="K218" s="11" t="s">
        <v>1470</v>
      </c>
      <c r="L218" s="11" t="s">
        <v>1382</v>
      </c>
      <c r="M218" s="11" t="s">
        <v>1465</v>
      </c>
      <c r="N218" s="11" t="s">
        <v>234</v>
      </c>
      <c r="O218" s="11" t="s">
        <v>134</v>
      </c>
      <c r="P218" s="11"/>
      <c r="Q218" s="11"/>
      <c r="R218" s="11" t="s">
        <v>2811</v>
      </c>
      <c r="S218" s="11" t="s">
        <v>1382</v>
      </c>
      <c r="T218" s="11" t="s">
        <v>2815</v>
      </c>
      <c r="U218" s="11" t="s">
        <v>1387</v>
      </c>
      <c r="V218" s="11" t="s">
        <v>2816</v>
      </c>
      <c r="W218" s="11" t="s">
        <v>1389</v>
      </c>
      <c r="X218" s="11" t="s">
        <v>1492</v>
      </c>
      <c r="Y218" s="11" t="s">
        <v>1470</v>
      </c>
      <c r="Z218" s="11" t="s">
        <v>1422</v>
      </c>
      <c r="AA218" s="11" t="s">
        <v>2817</v>
      </c>
      <c r="AB218" s="11" t="s">
        <v>2201</v>
      </c>
      <c r="AC218" s="11" t="s">
        <v>2811</v>
      </c>
      <c r="AD218" s="11">
        <v>5358241</v>
      </c>
      <c r="AE218" s="11" t="s">
        <v>1382</v>
      </c>
      <c r="AF218" s="11" t="s">
        <v>2818</v>
      </c>
      <c r="AG218" s="11" t="s">
        <v>1382</v>
      </c>
      <c r="AH218" s="11" t="s">
        <v>2819</v>
      </c>
      <c r="AI218" s="11" t="s">
        <v>2697</v>
      </c>
      <c r="AJ218" s="11" t="s">
        <v>1782</v>
      </c>
      <c r="AK218" s="11" t="s">
        <v>1396</v>
      </c>
      <c r="AL218" s="11" t="s">
        <v>134</v>
      </c>
      <c r="AM218" s="11">
        <v>3676.6</v>
      </c>
      <c r="AN218" s="11"/>
      <c r="AO218" s="11" t="s">
        <v>134</v>
      </c>
      <c r="AP218" s="11" t="s">
        <v>1397</v>
      </c>
      <c r="AQ218" s="11" t="s">
        <v>1398</v>
      </c>
      <c r="AR218" s="11" t="s">
        <v>1399</v>
      </c>
      <c r="AS218" s="11" t="s">
        <v>2820</v>
      </c>
      <c r="AT218" s="11" t="s">
        <v>2824</v>
      </c>
      <c r="AU218" s="11" t="s">
        <v>1702</v>
      </c>
      <c r="AV218" s="11"/>
      <c r="AW218" s="11" t="s">
        <v>2822</v>
      </c>
      <c r="AX218" s="11"/>
      <c r="AY218" s="11"/>
      <c r="AZ218" s="11"/>
      <c r="BA218" s="11"/>
      <c r="BB218" s="11">
        <v>79971116</v>
      </c>
      <c r="BC218" s="11" t="s">
        <v>1403</v>
      </c>
      <c r="BD218" s="11" t="s">
        <v>1432</v>
      </c>
      <c r="BE218" s="11" t="s">
        <v>1836</v>
      </c>
      <c r="BF218" s="11" t="s">
        <v>1576</v>
      </c>
      <c r="BG218" s="11" t="s">
        <v>1482</v>
      </c>
      <c r="BH218" s="11" t="s">
        <v>1435</v>
      </c>
      <c r="BI218" s="11" t="s">
        <v>1407</v>
      </c>
      <c r="BJ218" s="11" t="s">
        <v>134</v>
      </c>
      <c r="BK218" s="11"/>
      <c r="BL218" s="11" t="s">
        <v>1408</v>
      </c>
      <c r="BM218" s="11"/>
      <c r="BN218" s="11" t="s">
        <v>1457</v>
      </c>
      <c r="BO218" s="11" t="s">
        <v>2599</v>
      </c>
    </row>
    <row r="219" spans="2:67">
      <c r="B219" s="11">
        <v>208</v>
      </c>
      <c r="C219" s="11" t="s">
        <v>1374</v>
      </c>
      <c r="D219" s="11" t="s">
        <v>1375</v>
      </c>
      <c r="E219" s="11" t="s">
        <v>2811</v>
      </c>
      <c r="F219" s="11" t="s">
        <v>2812</v>
      </c>
      <c r="G219" s="11" t="s">
        <v>2584</v>
      </c>
      <c r="H219" s="11" t="s">
        <v>2813</v>
      </c>
      <c r="I219" s="11" t="s">
        <v>2814</v>
      </c>
      <c r="J219" s="11"/>
      <c r="K219" s="11" t="s">
        <v>1470</v>
      </c>
      <c r="L219" s="11" t="s">
        <v>1382</v>
      </c>
      <c r="M219" s="11" t="s">
        <v>1465</v>
      </c>
      <c r="N219" s="11" t="s">
        <v>234</v>
      </c>
      <c r="O219" s="11" t="s">
        <v>134</v>
      </c>
      <c r="P219" s="11"/>
      <c r="Q219" s="11"/>
      <c r="R219" s="11" t="s">
        <v>2811</v>
      </c>
      <c r="S219" s="11" t="s">
        <v>1382</v>
      </c>
      <c r="T219" s="11" t="s">
        <v>2815</v>
      </c>
      <c r="U219" s="11" t="s">
        <v>1387</v>
      </c>
      <c r="V219" s="11" t="s">
        <v>2816</v>
      </c>
      <c r="W219" s="11" t="s">
        <v>1389</v>
      </c>
      <c r="X219" s="11" t="s">
        <v>1492</v>
      </c>
      <c r="Y219" s="11" t="s">
        <v>1470</v>
      </c>
      <c r="Z219" s="11" t="s">
        <v>1422</v>
      </c>
      <c r="AA219" s="11" t="s">
        <v>2817</v>
      </c>
      <c r="AB219" s="11" t="s">
        <v>2201</v>
      </c>
      <c r="AC219" s="11" t="s">
        <v>2811</v>
      </c>
      <c r="AD219" s="11">
        <v>5358241</v>
      </c>
      <c r="AE219" s="11" t="s">
        <v>1382</v>
      </c>
      <c r="AF219" s="11" t="s">
        <v>2818</v>
      </c>
      <c r="AG219" s="11" t="s">
        <v>1382</v>
      </c>
      <c r="AH219" s="11" t="s">
        <v>2819</v>
      </c>
      <c r="AI219" s="11" t="s">
        <v>2026</v>
      </c>
      <c r="AJ219" s="11" t="s">
        <v>1676</v>
      </c>
      <c r="AK219" s="11" t="s">
        <v>1396</v>
      </c>
      <c r="AL219" s="11" t="s">
        <v>134</v>
      </c>
      <c r="AM219" s="11">
        <v>3063.8</v>
      </c>
      <c r="AN219" s="11"/>
      <c r="AO219" s="11" t="s">
        <v>134</v>
      </c>
      <c r="AP219" s="11" t="s">
        <v>1397</v>
      </c>
      <c r="AQ219" s="11" t="s">
        <v>1398</v>
      </c>
      <c r="AR219" s="11" t="s">
        <v>1399</v>
      </c>
      <c r="AS219" s="11" t="s">
        <v>2820</v>
      </c>
      <c r="AT219" s="11" t="s">
        <v>2825</v>
      </c>
      <c r="AU219" s="11" t="s">
        <v>1702</v>
      </c>
      <c r="AV219" s="11"/>
      <c r="AW219" s="11" t="s">
        <v>2822</v>
      </c>
      <c r="AX219" s="11"/>
      <c r="AY219" s="11"/>
      <c r="AZ219" s="11"/>
      <c r="BA219" s="11"/>
      <c r="BB219" s="11">
        <v>79971116</v>
      </c>
      <c r="BC219" s="11" t="s">
        <v>1403</v>
      </c>
      <c r="BD219" s="11" t="s">
        <v>1432</v>
      </c>
      <c r="BE219" s="11" t="s">
        <v>1836</v>
      </c>
      <c r="BF219" s="11" t="s">
        <v>1576</v>
      </c>
      <c r="BG219" s="11" t="s">
        <v>1482</v>
      </c>
      <c r="BH219" s="11" t="s">
        <v>1435</v>
      </c>
      <c r="BI219" s="11" t="s">
        <v>1407</v>
      </c>
      <c r="BJ219" s="11" t="s">
        <v>134</v>
      </c>
      <c r="BK219" s="11"/>
      <c r="BL219" s="11" t="s">
        <v>1408</v>
      </c>
      <c r="BM219" s="11"/>
      <c r="BN219" s="11" t="s">
        <v>1457</v>
      </c>
      <c r="BO219" s="11" t="s">
        <v>2599</v>
      </c>
    </row>
    <row r="220" spans="2:67">
      <c r="B220" s="11">
        <v>209</v>
      </c>
      <c r="C220" s="11" t="s">
        <v>1374</v>
      </c>
      <c r="D220" s="11" t="s">
        <v>1375</v>
      </c>
      <c r="E220" s="11" t="s">
        <v>2811</v>
      </c>
      <c r="F220" s="11" t="s">
        <v>2812</v>
      </c>
      <c r="G220" s="11" t="s">
        <v>2584</v>
      </c>
      <c r="H220" s="11" t="s">
        <v>2813</v>
      </c>
      <c r="I220" s="11" t="s">
        <v>2814</v>
      </c>
      <c r="J220" s="11"/>
      <c r="K220" s="11" t="s">
        <v>1470</v>
      </c>
      <c r="L220" s="11" t="s">
        <v>1382</v>
      </c>
      <c r="M220" s="11" t="s">
        <v>1465</v>
      </c>
      <c r="N220" s="11" t="s">
        <v>234</v>
      </c>
      <c r="O220" s="11" t="s">
        <v>134</v>
      </c>
      <c r="P220" s="11"/>
      <c r="Q220" s="11"/>
      <c r="R220" s="11" t="s">
        <v>2811</v>
      </c>
      <c r="S220" s="11" t="s">
        <v>1382</v>
      </c>
      <c r="T220" s="11" t="s">
        <v>2815</v>
      </c>
      <c r="U220" s="11" t="s">
        <v>1387</v>
      </c>
      <c r="V220" s="11" t="s">
        <v>2816</v>
      </c>
      <c r="W220" s="11" t="s">
        <v>1389</v>
      </c>
      <c r="X220" s="11" t="s">
        <v>1492</v>
      </c>
      <c r="Y220" s="11" t="s">
        <v>1470</v>
      </c>
      <c r="Z220" s="11" t="s">
        <v>1422</v>
      </c>
      <c r="AA220" s="11" t="s">
        <v>2817</v>
      </c>
      <c r="AB220" s="11" t="s">
        <v>2201</v>
      </c>
      <c r="AC220" s="11" t="s">
        <v>2811</v>
      </c>
      <c r="AD220" s="11">
        <v>5358241</v>
      </c>
      <c r="AE220" s="11" t="s">
        <v>1382</v>
      </c>
      <c r="AF220" s="11" t="s">
        <v>2818</v>
      </c>
      <c r="AG220" s="11" t="s">
        <v>1382</v>
      </c>
      <c r="AH220" s="11" t="s">
        <v>2819</v>
      </c>
      <c r="AI220" s="11" t="s">
        <v>2700</v>
      </c>
      <c r="AJ220" s="11" t="s">
        <v>1788</v>
      </c>
      <c r="AK220" s="11" t="s">
        <v>1396</v>
      </c>
      <c r="AL220" s="11" t="s">
        <v>134</v>
      </c>
      <c r="AM220" s="11">
        <v>4902.1000000000004</v>
      </c>
      <c r="AN220" s="11"/>
      <c r="AO220" s="11" t="s">
        <v>134</v>
      </c>
      <c r="AP220" s="11" t="s">
        <v>1397</v>
      </c>
      <c r="AQ220" s="11" t="s">
        <v>1398</v>
      </c>
      <c r="AR220" s="11" t="s">
        <v>1399</v>
      </c>
      <c r="AS220" s="11" t="s">
        <v>2820</v>
      </c>
      <c r="AT220" s="11" t="s">
        <v>2826</v>
      </c>
      <c r="AU220" s="11" t="s">
        <v>1702</v>
      </c>
      <c r="AV220" s="11"/>
      <c r="AW220" s="11" t="s">
        <v>2822</v>
      </c>
      <c r="AX220" s="11"/>
      <c r="AY220" s="11"/>
      <c r="AZ220" s="11"/>
      <c r="BA220" s="11"/>
      <c r="BB220" s="11">
        <v>79971116</v>
      </c>
      <c r="BC220" s="11" t="s">
        <v>1403</v>
      </c>
      <c r="BD220" s="11" t="s">
        <v>1432</v>
      </c>
      <c r="BE220" s="11" t="s">
        <v>1836</v>
      </c>
      <c r="BF220" s="11" t="s">
        <v>1576</v>
      </c>
      <c r="BG220" s="11" t="s">
        <v>1482</v>
      </c>
      <c r="BH220" s="11" t="s">
        <v>1435</v>
      </c>
      <c r="BI220" s="11" t="s">
        <v>1407</v>
      </c>
      <c r="BJ220" s="11" t="s">
        <v>134</v>
      </c>
      <c r="BK220" s="11"/>
      <c r="BL220" s="11" t="s">
        <v>1408</v>
      </c>
      <c r="BM220" s="11"/>
      <c r="BN220" s="11" t="s">
        <v>1457</v>
      </c>
      <c r="BO220" s="11" t="s">
        <v>2599</v>
      </c>
    </row>
    <row r="221" spans="2:67">
      <c r="B221" s="11">
        <v>210</v>
      </c>
      <c r="C221" s="11" t="s">
        <v>1374</v>
      </c>
      <c r="D221" s="11" t="s">
        <v>1375</v>
      </c>
      <c r="E221" s="11" t="s">
        <v>2811</v>
      </c>
      <c r="F221" s="11" t="s">
        <v>2812</v>
      </c>
      <c r="G221" s="11" t="s">
        <v>2584</v>
      </c>
      <c r="H221" s="11" t="s">
        <v>2813</v>
      </c>
      <c r="I221" s="11" t="s">
        <v>2814</v>
      </c>
      <c r="J221" s="11"/>
      <c r="K221" s="11" t="s">
        <v>1470</v>
      </c>
      <c r="L221" s="11" t="s">
        <v>1382</v>
      </c>
      <c r="M221" s="11" t="s">
        <v>1465</v>
      </c>
      <c r="N221" s="11" t="s">
        <v>234</v>
      </c>
      <c r="O221" s="11" t="s">
        <v>134</v>
      </c>
      <c r="P221" s="11"/>
      <c r="Q221" s="11"/>
      <c r="R221" s="11" t="s">
        <v>2811</v>
      </c>
      <c r="S221" s="11" t="s">
        <v>1382</v>
      </c>
      <c r="T221" s="11" t="s">
        <v>2815</v>
      </c>
      <c r="U221" s="11" t="s">
        <v>1387</v>
      </c>
      <c r="V221" s="11" t="s">
        <v>2816</v>
      </c>
      <c r="W221" s="11" t="s">
        <v>1389</v>
      </c>
      <c r="X221" s="11" t="s">
        <v>1492</v>
      </c>
      <c r="Y221" s="11" t="s">
        <v>1470</v>
      </c>
      <c r="Z221" s="11" t="s">
        <v>1422</v>
      </c>
      <c r="AA221" s="11" t="s">
        <v>2817</v>
      </c>
      <c r="AB221" s="11" t="s">
        <v>2201</v>
      </c>
      <c r="AC221" s="11" t="s">
        <v>2811</v>
      </c>
      <c r="AD221" s="11">
        <v>5358241</v>
      </c>
      <c r="AE221" s="11" t="s">
        <v>1382</v>
      </c>
      <c r="AF221" s="11" t="s">
        <v>2818</v>
      </c>
      <c r="AG221" s="11" t="s">
        <v>1382</v>
      </c>
      <c r="AH221" s="11" t="s">
        <v>2819</v>
      </c>
      <c r="AI221" s="11" t="s">
        <v>2702</v>
      </c>
      <c r="AJ221" s="11" t="s">
        <v>1785</v>
      </c>
      <c r="AK221" s="11" t="s">
        <v>1396</v>
      </c>
      <c r="AL221" s="11" t="s">
        <v>134</v>
      </c>
      <c r="AM221" s="11">
        <v>4366</v>
      </c>
      <c r="AN221" s="11"/>
      <c r="AO221" s="11" t="s">
        <v>134</v>
      </c>
      <c r="AP221" s="11" t="s">
        <v>1397</v>
      </c>
      <c r="AQ221" s="11" t="s">
        <v>1398</v>
      </c>
      <c r="AR221" s="11" t="s">
        <v>1399</v>
      </c>
      <c r="AS221" s="11" t="s">
        <v>2820</v>
      </c>
      <c r="AT221" s="11" t="s">
        <v>2827</v>
      </c>
      <c r="AU221" s="11" t="s">
        <v>1702</v>
      </c>
      <c r="AV221" s="11"/>
      <c r="AW221" s="11" t="s">
        <v>2822</v>
      </c>
      <c r="AX221" s="11"/>
      <c r="AY221" s="11"/>
      <c r="AZ221" s="11"/>
      <c r="BA221" s="11"/>
      <c r="BB221" s="11">
        <v>79971116</v>
      </c>
      <c r="BC221" s="11" t="s">
        <v>1403</v>
      </c>
      <c r="BD221" s="11" t="s">
        <v>1432</v>
      </c>
      <c r="BE221" s="11" t="s">
        <v>1836</v>
      </c>
      <c r="BF221" s="11" t="s">
        <v>1576</v>
      </c>
      <c r="BG221" s="11" t="s">
        <v>1482</v>
      </c>
      <c r="BH221" s="11" t="s">
        <v>1435</v>
      </c>
      <c r="BI221" s="11" t="s">
        <v>1407</v>
      </c>
      <c r="BJ221" s="11" t="s">
        <v>134</v>
      </c>
      <c r="BK221" s="11"/>
      <c r="BL221" s="11" t="s">
        <v>1408</v>
      </c>
      <c r="BM221" s="11"/>
      <c r="BN221" s="11" t="s">
        <v>1457</v>
      </c>
      <c r="BO221" s="11" t="s">
        <v>2599</v>
      </c>
    </row>
    <row r="222" spans="2:67">
      <c r="B222" s="11">
        <v>211</v>
      </c>
      <c r="C222" s="11" t="s">
        <v>1374</v>
      </c>
      <c r="D222" s="11" t="s">
        <v>1375</v>
      </c>
      <c r="E222" s="11" t="s">
        <v>2811</v>
      </c>
      <c r="F222" s="11" t="s">
        <v>2812</v>
      </c>
      <c r="G222" s="11" t="s">
        <v>2584</v>
      </c>
      <c r="H222" s="11" t="s">
        <v>2813</v>
      </c>
      <c r="I222" s="11" t="s">
        <v>2814</v>
      </c>
      <c r="J222" s="11"/>
      <c r="K222" s="11" t="s">
        <v>1470</v>
      </c>
      <c r="L222" s="11" t="s">
        <v>1382</v>
      </c>
      <c r="M222" s="11" t="s">
        <v>1465</v>
      </c>
      <c r="N222" s="11" t="s">
        <v>234</v>
      </c>
      <c r="O222" s="11" t="s">
        <v>134</v>
      </c>
      <c r="P222" s="11"/>
      <c r="Q222" s="11"/>
      <c r="R222" s="11" t="s">
        <v>2811</v>
      </c>
      <c r="S222" s="11" t="s">
        <v>1382</v>
      </c>
      <c r="T222" s="11" t="s">
        <v>2815</v>
      </c>
      <c r="U222" s="11" t="s">
        <v>1387</v>
      </c>
      <c r="V222" s="11" t="s">
        <v>2816</v>
      </c>
      <c r="W222" s="11" t="s">
        <v>1389</v>
      </c>
      <c r="X222" s="11" t="s">
        <v>1492</v>
      </c>
      <c r="Y222" s="11" t="s">
        <v>1470</v>
      </c>
      <c r="Z222" s="11" t="s">
        <v>1422</v>
      </c>
      <c r="AA222" s="11" t="s">
        <v>2817</v>
      </c>
      <c r="AB222" s="11" t="s">
        <v>2201</v>
      </c>
      <c r="AC222" s="11" t="s">
        <v>2811</v>
      </c>
      <c r="AD222" s="11">
        <v>5358241</v>
      </c>
      <c r="AE222" s="11" t="s">
        <v>1382</v>
      </c>
      <c r="AF222" s="11" t="s">
        <v>2818</v>
      </c>
      <c r="AG222" s="11" t="s">
        <v>1382</v>
      </c>
      <c r="AH222" s="11" t="s">
        <v>2819</v>
      </c>
      <c r="AI222" s="11" t="s">
        <v>2828</v>
      </c>
      <c r="AJ222" s="11" t="s">
        <v>2829</v>
      </c>
      <c r="AK222" s="11" t="s">
        <v>1396</v>
      </c>
      <c r="AL222" s="11" t="s">
        <v>134</v>
      </c>
      <c r="AM222" s="11">
        <v>21500</v>
      </c>
      <c r="AN222" s="11"/>
      <c r="AO222" s="11" t="s">
        <v>134</v>
      </c>
      <c r="AP222" s="11" t="s">
        <v>1397</v>
      </c>
      <c r="AQ222" s="11" t="s">
        <v>1398</v>
      </c>
      <c r="AR222" s="11" t="s">
        <v>1399</v>
      </c>
      <c r="AS222" s="11" t="s">
        <v>2820</v>
      </c>
      <c r="AT222" s="11"/>
      <c r="AU222" s="11" t="s">
        <v>1702</v>
      </c>
      <c r="AV222" s="11"/>
      <c r="AW222" s="11" t="s">
        <v>2822</v>
      </c>
      <c r="AX222" s="11"/>
      <c r="AY222" s="11"/>
      <c r="AZ222" s="11"/>
      <c r="BA222" s="11"/>
      <c r="BB222" s="11">
        <v>79971116</v>
      </c>
      <c r="BC222" s="11" t="s">
        <v>1403</v>
      </c>
      <c r="BD222" s="11" t="s">
        <v>1432</v>
      </c>
      <c r="BE222" s="11" t="s">
        <v>1836</v>
      </c>
      <c r="BF222" s="11" t="s">
        <v>1576</v>
      </c>
      <c r="BG222" s="11" t="s">
        <v>1482</v>
      </c>
      <c r="BH222" s="11" t="s">
        <v>1435</v>
      </c>
      <c r="BI222" s="11" t="s">
        <v>1407</v>
      </c>
      <c r="BJ222" s="11" t="s">
        <v>134</v>
      </c>
      <c r="BK222" s="11"/>
      <c r="BL222" s="11"/>
      <c r="BM222" s="11"/>
      <c r="BN222" s="11" t="s">
        <v>1457</v>
      </c>
      <c r="BO222" s="11" t="s">
        <v>2599</v>
      </c>
    </row>
    <row r="223" spans="2:67">
      <c r="B223" s="11">
        <v>212</v>
      </c>
      <c r="C223" s="11" t="s">
        <v>1374</v>
      </c>
      <c r="D223" s="11" t="s">
        <v>1375</v>
      </c>
      <c r="E223" s="11" t="s">
        <v>2830</v>
      </c>
      <c r="F223" s="11" t="s">
        <v>2831</v>
      </c>
      <c r="G223" s="11" t="s">
        <v>1464</v>
      </c>
      <c r="H223" s="11" t="s">
        <v>2832</v>
      </c>
      <c r="I223" s="11" t="s">
        <v>2833</v>
      </c>
      <c r="J223" s="11" t="s">
        <v>134</v>
      </c>
      <c r="K223" s="11" t="s">
        <v>1547</v>
      </c>
      <c r="L223" s="11" t="s">
        <v>1974</v>
      </c>
      <c r="M223" s="11" t="s">
        <v>1383</v>
      </c>
      <c r="N223" s="11" t="s">
        <v>1957</v>
      </c>
      <c r="O223" s="11" t="s">
        <v>2834</v>
      </c>
      <c r="P223" s="11" t="s">
        <v>1974</v>
      </c>
      <c r="Q223" s="11" t="s">
        <v>2835</v>
      </c>
      <c r="R223" s="11" t="s">
        <v>2836</v>
      </c>
      <c r="S223" s="11" t="s">
        <v>94</v>
      </c>
      <c r="T223" s="11" t="s">
        <v>2837</v>
      </c>
      <c r="U223" s="11" t="s">
        <v>1387</v>
      </c>
      <c r="V223" s="11" t="s">
        <v>2838</v>
      </c>
      <c r="W223" s="11" t="s">
        <v>1389</v>
      </c>
      <c r="X223" s="11" t="s">
        <v>1390</v>
      </c>
      <c r="Y223" s="11" t="s">
        <v>1547</v>
      </c>
      <c r="Z223" s="11" t="s">
        <v>2839</v>
      </c>
      <c r="AA223" s="11" t="s">
        <v>2840</v>
      </c>
      <c r="AB223" s="11" t="s">
        <v>1434</v>
      </c>
      <c r="AC223" s="11" t="s">
        <v>2836</v>
      </c>
      <c r="AD223" s="11">
        <v>5357737</v>
      </c>
      <c r="AE223" s="11" t="s">
        <v>94</v>
      </c>
      <c r="AF223" s="11" t="s">
        <v>2841</v>
      </c>
      <c r="AG223" s="11" t="s">
        <v>94</v>
      </c>
      <c r="AH223" s="11" t="s">
        <v>2842</v>
      </c>
      <c r="AI223" s="11" t="s">
        <v>2377</v>
      </c>
      <c r="AJ223" s="11" t="s">
        <v>1405</v>
      </c>
      <c r="AK223" s="11" t="s">
        <v>1396</v>
      </c>
      <c r="AL223" s="11" t="s">
        <v>134</v>
      </c>
      <c r="AM223" s="11">
        <v>5680</v>
      </c>
      <c r="AN223" s="11"/>
      <c r="AO223" s="11" t="s">
        <v>2834</v>
      </c>
      <c r="AP223" s="11" t="s">
        <v>1397</v>
      </c>
      <c r="AQ223" s="11" t="s">
        <v>1398</v>
      </c>
      <c r="AR223" s="11" t="s">
        <v>1452</v>
      </c>
      <c r="AS223" s="11" t="s">
        <v>2843</v>
      </c>
      <c r="AT223" s="11" t="s">
        <v>2844</v>
      </c>
      <c r="AU223" s="11" t="s">
        <v>2845</v>
      </c>
      <c r="AV223" s="11"/>
      <c r="AW223" s="11" t="s">
        <v>2846</v>
      </c>
      <c r="AX223" s="11"/>
      <c r="AY223" s="11"/>
      <c r="AZ223" s="11"/>
      <c r="BA223" s="11"/>
      <c r="BB223" s="11">
        <v>65405970</v>
      </c>
      <c r="BC223" s="11" t="s">
        <v>1403</v>
      </c>
      <c r="BD223" s="11" t="s">
        <v>1456</v>
      </c>
      <c r="BE223" s="11" t="s">
        <v>1405</v>
      </c>
      <c r="BF223" s="11" t="s">
        <v>134</v>
      </c>
      <c r="BG223" s="11"/>
      <c r="BH223" s="11" t="s">
        <v>1435</v>
      </c>
      <c r="BI223" s="11" t="s">
        <v>1403</v>
      </c>
      <c r="BJ223" s="11" t="s">
        <v>134</v>
      </c>
      <c r="BK223" s="11"/>
      <c r="BL223" s="11" t="s">
        <v>1408</v>
      </c>
      <c r="BM223" s="11"/>
      <c r="BN223" s="11" t="s">
        <v>1457</v>
      </c>
      <c r="BO223" s="11"/>
    </row>
    <row r="224" spans="2:67">
      <c r="B224" s="11">
        <v>213</v>
      </c>
      <c r="C224" s="11" t="s">
        <v>1374</v>
      </c>
      <c r="D224" s="11" t="s">
        <v>1375</v>
      </c>
      <c r="E224" s="11" t="s">
        <v>2847</v>
      </c>
      <c r="F224" s="11" t="s">
        <v>2848</v>
      </c>
      <c r="G224" s="11" t="s">
        <v>1916</v>
      </c>
      <c r="H224" s="11" t="s">
        <v>2849</v>
      </c>
      <c r="I224" s="11" t="s">
        <v>2850</v>
      </c>
      <c r="J224" s="11" t="s">
        <v>134</v>
      </c>
      <c r="K224" s="11" t="s">
        <v>1470</v>
      </c>
      <c r="L224" s="11" t="s">
        <v>1382</v>
      </c>
      <c r="M224" s="11" t="s">
        <v>1581</v>
      </c>
      <c r="N224" s="11" t="s">
        <v>1153</v>
      </c>
      <c r="O224" s="11" t="s">
        <v>134</v>
      </c>
      <c r="P224" s="11"/>
      <c r="Q224" s="11"/>
      <c r="R224" s="11" t="s">
        <v>2851</v>
      </c>
      <c r="S224" s="11" t="s">
        <v>1382</v>
      </c>
      <c r="T224" s="11" t="s">
        <v>2852</v>
      </c>
      <c r="U224" s="11" t="s">
        <v>1387</v>
      </c>
      <c r="V224" s="11" t="s">
        <v>2853</v>
      </c>
      <c r="W224" s="11" t="s">
        <v>1389</v>
      </c>
      <c r="X224" s="11" t="s">
        <v>2854</v>
      </c>
      <c r="Y224" s="11" t="s">
        <v>1470</v>
      </c>
      <c r="Z224" s="11" t="s">
        <v>2855</v>
      </c>
      <c r="AA224" s="11" t="s">
        <v>2856</v>
      </c>
      <c r="AB224" s="11" t="s">
        <v>2857</v>
      </c>
      <c r="AC224" s="11" t="s">
        <v>2851</v>
      </c>
      <c r="AD224" s="11">
        <v>5357464</v>
      </c>
      <c r="AE224" s="11" t="s">
        <v>1382</v>
      </c>
      <c r="AF224" s="11" t="s">
        <v>2858</v>
      </c>
      <c r="AG224" s="11" t="s">
        <v>1382</v>
      </c>
      <c r="AH224" s="11" t="s">
        <v>2859</v>
      </c>
      <c r="AI224" s="11" t="s">
        <v>2082</v>
      </c>
      <c r="AJ224" s="11" t="s">
        <v>2083</v>
      </c>
      <c r="AK224" s="11" t="s">
        <v>1396</v>
      </c>
      <c r="AL224" s="11" t="s">
        <v>134</v>
      </c>
      <c r="AM224" s="11">
        <v>1500</v>
      </c>
      <c r="AN224" s="11"/>
      <c r="AO224" s="11" t="s">
        <v>134</v>
      </c>
      <c r="AP224" s="11" t="s">
        <v>1397</v>
      </c>
      <c r="AQ224" s="11" t="s">
        <v>1398</v>
      </c>
      <c r="AR224" s="11" t="s">
        <v>1652</v>
      </c>
      <c r="AS224" s="11" t="s">
        <v>2860</v>
      </c>
      <c r="AT224" s="11" t="s">
        <v>2861</v>
      </c>
      <c r="AU224" s="11" t="s">
        <v>2845</v>
      </c>
      <c r="AV224" s="11"/>
      <c r="AW224" s="11" t="s">
        <v>2862</v>
      </c>
      <c r="AX224" s="11"/>
      <c r="AY224" s="11"/>
      <c r="AZ224" s="11"/>
      <c r="BA224" s="11"/>
      <c r="BB224" s="11">
        <v>79753776</v>
      </c>
      <c r="BC224" s="11" t="s">
        <v>1403</v>
      </c>
      <c r="BD224" s="11" t="s">
        <v>1432</v>
      </c>
      <c r="BE224" s="11" t="s">
        <v>2078</v>
      </c>
      <c r="BF224" s="11" t="s">
        <v>1780</v>
      </c>
      <c r="BG224" s="11" t="s">
        <v>1482</v>
      </c>
      <c r="BH224" s="11" t="s">
        <v>1435</v>
      </c>
      <c r="BI224" s="11" t="s">
        <v>1407</v>
      </c>
      <c r="BJ224" s="11" t="s">
        <v>134</v>
      </c>
      <c r="BK224" s="11"/>
      <c r="BL224" s="11" t="s">
        <v>1408</v>
      </c>
      <c r="BM224" s="11"/>
      <c r="BN224" s="11" t="s">
        <v>1457</v>
      </c>
      <c r="BO224" s="11" t="s">
        <v>1748</v>
      </c>
    </row>
    <row r="225" spans="2:67">
      <c r="B225" s="11">
        <v>214</v>
      </c>
      <c r="C225" s="11" t="s">
        <v>1374</v>
      </c>
      <c r="D225" s="11" t="s">
        <v>1375</v>
      </c>
      <c r="E225" s="11" t="s">
        <v>2847</v>
      </c>
      <c r="F225" s="11" t="s">
        <v>2848</v>
      </c>
      <c r="G225" s="11" t="s">
        <v>1916</v>
      </c>
      <c r="H225" s="11" t="s">
        <v>2849</v>
      </c>
      <c r="I225" s="11" t="s">
        <v>2850</v>
      </c>
      <c r="J225" s="11" t="s">
        <v>134</v>
      </c>
      <c r="K225" s="11" t="s">
        <v>1470</v>
      </c>
      <c r="L225" s="11" t="s">
        <v>1382</v>
      </c>
      <c r="M225" s="11" t="s">
        <v>1581</v>
      </c>
      <c r="N225" s="11" t="s">
        <v>1153</v>
      </c>
      <c r="O225" s="11" t="s">
        <v>134</v>
      </c>
      <c r="P225" s="11"/>
      <c r="Q225" s="11"/>
      <c r="R225" s="11" t="s">
        <v>2851</v>
      </c>
      <c r="S225" s="11" t="s">
        <v>1382</v>
      </c>
      <c r="T225" s="11" t="s">
        <v>2852</v>
      </c>
      <c r="U225" s="11" t="s">
        <v>1387</v>
      </c>
      <c r="V225" s="11" t="s">
        <v>2853</v>
      </c>
      <c r="W225" s="11" t="s">
        <v>1389</v>
      </c>
      <c r="X225" s="11" t="s">
        <v>2854</v>
      </c>
      <c r="Y225" s="11" t="s">
        <v>1470</v>
      </c>
      <c r="Z225" s="11" t="s">
        <v>2855</v>
      </c>
      <c r="AA225" s="11" t="s">
        <v>2856</v>
      </c>
      <c r="AB225" s="11" t="s">
        <v>2857</v>
      </c>
      <c r="AC225" s="11" t="s">
        <v>2851</v>
      </c>
      <c r="AD225" s="11">
        <v>5357464</v>
      </c>
      <c r="AE225" s="11" t="s">
        <v>1382</v>
      </c>
      <c r="AF225" s="11" t="s">
        <v>2858</v>
      </c>
      <c r="AG225" s="11" t="s">
        <v>1382</v>
      </c>
      <c r="AH225" s="11" t="s">
        <v>2859</v>
      </c>
      <c r="AI225" s="11" t="s">
        <v>2863</v>
      </c>
      <c r="AJ225" s="11" t="s">
        <v>2086</v>
      </c>
      <c r="AK225" s="11" t="s">
        <v>1396</v>
      </c>
      <c r="AL225" s="11" t="s">
        <v>134</v>
      </c>
      <c r="AM225" s="11">
        <v>13800</v>
      </c>
      <c r="AN225" s="11"/>
      <c r="AO225" s="11" t="s">
        <v>134</v>
      </c>
      <c r="AP225" s="11" t="s">
        <v>1397</v>
      </c>
      <c r="AQ225" s="11" t="s">
        <v>1398</v>
      </c>
      <c r="AR225" s="11" t="s">
        <v>1652</v>
      </c>
      <c r="AS225" s="11" t="s">
        <v>2860</v>
      </c>
      <c r="AT225" s="11" t="s">
        <v>2864</v>
      </c>
      <c r="AU225" s="11" t="s">
        <v>2845</v>
      </c>
      <c r="AV225" s="11"/>
      <c r="AW225" s="11" t="s">
        <v>2862</v>
      </c>
      <c r="AX225" s="11"/>
      <c r="AY225" s="11"/>
      <c r="AZ225" s="11"/>
      <c r="BA225" s="11"/>
      <c r="BB225" s="11">
        <v>79753776</v>
      </c>
      <c r="BC225" s="11" t="s">
        <v>1403</v>
      </c>
      <c r="BD225" s="11" t="s">
        <v>1432</v>
      </c>
      <c r="BE225" s="11" t="s">
        <v>2078</v>
      </c>
      <c r="BF225" s="11" t="s">
        <v>1780</v>
      </c>
      <c r="BG225" s="11" t="s">
        <v>1482</v>
      </c>
      <c r="BH225" s="11" t="s">
        <v>1435</v>
      </c>
      <c r="BI225" s="11" t="s">
        <v>1407</v>
      </c>
      <c r="BJ225" s="11" t="s">
        <v>134</v>
      </c>
      <c r="BK225" s="11"/>
      <c r="BL225" s="11" t="s">
        <v>1408</v>
      </c>
      <c r="BM225" s="11"/>
      <c r="BN225" s="11" t="s">
        <v>1457</v>
      </c>
      <c r="BO225" s="11" t="s">
        <v>1748</v>
      </c>
    </row>
    <row r="226" spans="2:67">
      <c r="B226" s="11">
        <v>215</v>
      </c>
      <c r="C226" s="11" t="s">
        <v>1374</v>
      </c>
      <c r="D226" s="11" t="s">
        <v>1375</v>
      </c>
      <c r="E226" s="11" t="s">
        <v>2865</v>
      </c>
      <c r="F226" s="11" t="s">
        <v>2866</v>
      </c>
      <c r="G226" s="11" t="s">
        <v>2722</v>
      </c>
      <c r="H226" s="11" t="s">
        <v>2867</v>
      </c>
      <c r="I226" s="11" t="s">
        <v>2868</v>
      </c>
      <c r="J226" s="11"/>
      <c r="K226" s="11" t="s">
        <v>1488</v>
      </c>
      <c r="L226" s="11" t="s">
        <v>94</v>
      </c>
      <c r="M226" s="11" t="s">
        <v>1417</v>
      </c>
      <c r="N226" s="11" t="s">
        <v>48</v>
      </c>
      <c r="O226" s="11" t="s">
        <v>134</v>
      </c>
      <c r="P226" s="11"/>
      <c r="Q226" s="11"/>
      <c r="R226" s="11" t="s">
        <v>2869</v>
      </c>
      <c r="S226" s="11" t="s">
        <v>94</v>
      </c>
      <c r="T226" s="11" t="s">
        <v>2870</v>
      </c>
      <c r="U226" s="11" t="s">
        <v>1387</v>
      </c>
      <c r="V226" s="11" t="s">
        <v>2871</v>
      </c>
      <c r="W226" s="11" t="s">
        <v>1389</v>
      </c>
      <c r="X226" s="11" t="s">
        <v>1492</v>
      </c>
      <c r="Y226" s="11" t="s">
        <v>1470</v>
      </c>
      <c r="Z226" s="11" t="s">
        <v>2872</v>
      </c>
      <c r="AA226" s="11" t="s">
        <v>2873</v>
      </c>
      <c r="AB226" s="11" t="s">
        <v>2874</v>
      </c>
      <c r="AC226" s="11" t="s">
        <v>2869</v>
      </c>
      <c r="AD226" s="11">
        <v>5399405</v>
      </c>
      <c r="AE226" s="11" t="s">
        <v>94</v>
      </c>
      <c r="AF226" s="11" t="s">
        <v>2875</v>
      </c>
      <c r="AG226" s="11" t="s">
        <v>94</v>
      </c>
      <c r="AH226" s="11" t="s">
        <v>2876</v>
      </c>
      <c r="AI226" s="11" t="s">
        <v>2010</v>
      </c>
      <c r="AJ226" s="11" t="s">
        <v>1670</v>
      </c>
      <c r="AK226" s="11" t="s">
        <v>1396</v>
      </c>
      <c r="AL226" s="11" t="s">
        <v>134</v>
      </c>
      <c r="AM226" s="11">
        <v>3410.65</v>
      </c>
      <c r="AN226" s="11"/>
      <c r="AO226" s="11" t="s">
        <v>134</v>
      </c>
      <c r="AP226" s="11" t="s">
        <v>1397</v>
      </c>
      <c r="AQ226" s="11" t="s">
        <v>1398</v>
      </c>
      <c r="AR226" s="11" t="s">
        <v>1570</v>
      </c>
      <c r="AS226" s="11" t="s">
        <v>2877</v>
      </c>
      <c r="AT226" s="11" t="s">
        <v>2878</v>
      </c>
      <c r="AU226" s="11" t="s">
        <v>1719</v>
      </c>
      <c r="AV226" s="11"/>
      <c r="AW226" s="11" t="s">
        <v>2879</v>
      </c>
      <c r="AX226" s="11"/>
      <c r="AY226" s="11"/>
      <c r="AZ226" s="11"/>
      <c r="BA226" s="11"/>
      <c r="BB226" s="11">
        <v>75026590</v>
      </c>
      <c r="BC226" s="11" t="s">
        <v>1403</v>
      </c>
      <c r="BD226" s="11" t="s">
        <v>1432</v>
      </c>
      <c r="BE226" s="11" t="s">
        <v>1500</v>
      </c>
      <c r="BF226" s="11" t="s">
        <v>1501</v>
      </c>
      <c r="BG226" s="11"/>
      <c r="BH226" s="11" t="s">
        <v>1435</v>
      </c>
      <c r="BI226" s="11" t="s">
        <v>1407</v>
      </c>
      <c r="BJ226" s="11" t="s">
        <v>134</v>
      </c>
      <c r="BK226" s="11"/>
      <c r="BL226" s="11" t="s">
        <v>1408</v>
      </c>
      <c r="BM226" s="11"/>
      <c r="BN226" s="11" t="s">
        <v>1556</v>
      </c>
      <c r="BO226" s="11" t="s">
        <v>1748</v>
      </c>
    </row>
    <row r="227" spans="2:67">
      <c r="B227" s="11">
        <v>216</v>
      </c>
      <c r="C227" s="11" t="s">
        <v>1374</v>
      </c>
      <c r="D227" s="11" t="s">
        <v>1375</v>
      </c>
      <c r="E227" s="11" t="s">
        <v>2865</v>
      </c>
      <c r="F227" s="11" t="s">
        <v>2866</v>
      </c>
      <c r="G227" s="11" t="s">
        <v>2722</v>
      </c>
      <c r="H227" s="11" t="s">
        <v>2867</v>
      </c>
      <c r="I227" s="11" t="s">
        <v>2868</v>
      </c>
      <c r="J227" s="11"/>
      <c r="K227" s="11" t="s">
        <v>1488</v>
      </c>
      <c r="L227" s="11" t="s">
        <v>94</v>
      </c>
      <c r="M227" s="11" t="s">
        <v>1417</v>
      </c>
      <c r="N227" s="11" t="s">
        <v>48</v>
      </c>
      <c r="O227" s="11" t="s">
        <v>134</v>
      </c>
      <c r="P227" s="11"/>
      <c r="Q227" s="11"/>
      <c r="R227" s="11" t="s">
        <v>2869</v>
      </c>
      <c r="S227" s="11" t="s">
        <v>94</v>
      </c>
      <c r="T227" s="11" t="s">
        <v>2870</v>
      </c>
      <c r="U227" s="11" t="s">
        <v>1387</v>
      </c>
      <c r="V227" s="11" t="s">
        <v>2871</v>
      </c>
      <c r="W227" s="11" t="s">
        <v>1389</v>
      </c>
      <c r="X227" s="11" t="s">
        <v>1492</v>
      </c>
      <c r="Y227" s="11" t="s">
        <v>1470</v>
      </c>
      <c r="Z227" s="11" t="s">
        <v>2872</v>
      </c>
      <c r="AA227" s="11" t="s">
        <v>2873</v>
      </c>
      <c r="AB227" s="11" t="s">
        <v>2874</v>
      </c>
      <c r="AC227" s="11" t="s">
        <v>2869</v>
      </c>
      <c r="AD227" s="11">
        <v>5399405</v>
      </c>
      <c r="AE227" s="11" t="s">
        <v>94</v>
      </c>
      <c r="AF227" s="11" t="s">
        <v>2875</v>
      </c>
      <c r="AG227" s="11" t="s">
        <v>94</v>
      </c>
      <c r="AH227" s="11" t="s">
        <v>2876</v>
      </c>
      <c r="AI227" s="11" t="s">
        <v>2695</v>
      </c>
      <c r="AJ227" s="11" t="s">
        <v>1775</v>
      </c>
      <c r="AK227" s="11" t="s">
        <v>1396</v>
      </c>
      <c r="AL227" s="11" t="s">
        <v>134</v>
      </c>
      <c r="AM227" s="11">
        <v>3370.05</v>
      </c>
      <c r="AN227" s="11"/>
      <c r="AO227" s="11" t="s">
        <v>134</v>
      </c>
      <c r="AP227" s="11" t="s">
        <v>1397</v>
      </c>
      <c r="AQ227" s="11" t="s">
        <v>1398</v>
      </c>
      <c r="AR227" s="11" t="s">
        <v>1570</v>
      </c>
      <c r="AS227" s="11" t="s">
        <v>2877</v>
      </c>
      <c r="AT227" s="11" t="s">
        <v>2880</v>
      </c>
      <c r="AU227" s="11" t="s">
        <v>1719</v>
      </c>
      <c r="AV227" s="11"/>
      <c r="AW227" s="11" t="s">
        <v>2879</v>
      </c>
      <c r="AX227" s="11"/>
      <c r="AY227" s="11"/>
      <c r="AZ227" s="11"/>
      <c r="BA227" s="11"/>
      <c r="BB227" s="11">
        <v>75026590</v>
      </c>
      <c r="BC227" s="11" t="s">
        <v>1403</v>
      </c>
      <c r="BD227" s="11" t="s">
        <v>1432</v>
      </c>
      <c r="BE227" s="11" t="s">
        <v>1500</v>
      </c>
      <c r="BF227" s="11" t="s">
        <v>1501</v>
      </c>
      <c r="BG227" s="11"/>
      <c r="BH227" s="11" t="s">
        <v>1435</v>
      </c>
      <c r="BI227" s="11" t="s">
        <v>1407</v>
      </c>
      <c r="BJ227" s="11" t="s">
        <v>134</v>
      </c>
      <c r="BK227" s="11"/>
      <c r="BL227" s="11" t="s">
        <v>1408</v>
      </c>
      <c r="BM227" s="11"/>
      <c r="BN227" s="11" t="s">
        <v>1556</v>
      </c>
      <c r="BO227" s="11" t="s">
        <v>1748</v>
      </c>
    </row>
    <row r="228" spans="2:67">
      <c r="B228" s="11">
        <v>217</v>
      </c>
      <c r="C228" s="11" t="s">
        <v>1374</v>
      </c>
      <c r="D228" s="11" t="s">
        <v>1375</v>
      </c>
      <c r="E228" s="11" t="s">
        <v>2865</v>
      </c>
      <c r="F228" s="11" t="s">
        <v>2866</v>
      </c>
      <c r="G228" s="11" t="s">
        <v>2722</v>
      </c>
      <c r="H228" s="11" t="s">
        <v>2867</v>
      </c>
      <c r="I228" s="11" t="s">
        <v>2868</v>
      </c>
      <c r="J228" s="11"/>
      <c r="K228" s="11" t="s">
        <v>1488</v>
      </c>
      <c r="L228" s="11" t="s">
        <v>94</v>
      </c>
      <c r="M228" s="11" t="s">
        <v>1417</v>
      </c>
      <c r="N228" s="11" t="s">
        <v>48</v>
      </c>
      <c r="O228" s="11" t="s">
        <v>134</v>
      </c>
      <c r="P228" s="11"/>
      <c r="Q228" s="11"/>
      <c r="R228" s="11" t="s">
        <v>2869</v>
      </c>
      <c r="S228" s="11" t="s">
        <v>94</v>
      </c>
      <c r="T228" s="11" t="s">
        <v>2870</v>
      </c>
      <c r="U228" s="11" t="s">
        <v>1387</v>
      </c>
      <c r="V228" s="11" t="s">
        <v>2871</v>
      </c>
      <c r="W228" s="11" t="s">
        <v>1389</v>
      </c>
      <c r="X228" s="11" t="s">
        <v>1492</v>
      </c>
      <c r="Y228" s="11" t="s">
        <v>1470</v>
      </c>
      <c r="Z228" s="11" t="s">
        <v>2872</v>
      </c>
      <c r="AA228" s="11" t="s">
        <v>2873</v>
      </c>
      <c r="AB228" s="11" t="s">
        <v>2874</v>
      </c>
      <c r="AC228" s="11" t="s">
        <v>2869</v>
      </c>
      <c r="AD228" s="11">
        <v>5399405</v>
      </c>
      <c r="AE228" s="11" t="s">
        <v>94</v>
      </c>
      <c r="AF228" s="11" t="s">
        <v>2875</v>
      </c>
      <c r="AG228" s="11" t="s">
        <v>94</v>
      </c>
      <c r="AH228" s="11" t="s">
        <v>2876</v>
      </c>
      <c r="AI228" s="11" t="s">
        <v>2697</v>
      </c>
      <c r="AJ228" s="11" t="s">
        <v>1782</v>
      </c>
      <c r="AK228" s="11" t="s">
        <v>1396</v>
      </c>
      <c r="AL228" s="11" t="s">
        <v>134</v>
      </c>
      <c r="AM228" s="11">
        <v>1948.95</v>
      </c>
      <c r="AN228" s="11"/>
      <c r="AO228" s="11" t="s">
        <v>134</v>
      </c>
      <c r="AP228" s="11" t="s">
        <v>1397</v>
      </c>
      <c r="AQ228" s="11" t="s">
        <v>1398</v>
      </c>
      <c r="AR228" s="11" t="s">
        <v>1570</v>
      </c>
      <c r="AS228" s="11" t="s">
        <v>2877</v>
      </c>
      <c r="AT228" s="11" t="s">
        <v>2881</v>
      </c>
      <c r="AU228" s="11" t="s">
        <v>1719</v>
      </c>
      <c r="AV228" s="11"/>
      <c r="AW228" s="11" t="s">
        <v>2879</v>
      </c>
      <c r="AX228" s="11"/>
      <c r="AY228" s="11"/>
      <c r="AZ228" s="11"/>
      <c r="BA228" s="11"/>
      <c r="BB228" s="11">
        <v>75026590</v>
      </c>
      <c r="BC228" s="11" t="s">
        <v>1403</v>
      </c>
      <c r="BD228" s="11" t="s">
        <v>1432</v>
      </c>
      <c r="BE228" s="11" t="s">
        <v>1500</v>
      </c>
      <c r="BF228" s="11" t="s">
        <v>1501</v>
      </c>
      <c r="BG228" s="11"/>
      <c r="BH228" s="11" t="s">
        <v>1435</v>
      </c>
      <c r="BI228" s="11" t="s">
        <v>1407</v>
      </c>
      <c r="BJ228" s="11" t="s">
        <v>134</v>
      </c>
      <c r="BK228" s="11"/>
      <c r="BL228" s="11" t="s">
        <v>1408</v>
      </c>
      <c r="BM228" s="11"/>
      <c r="BN228" s="11" t="s">
        <v>1556</v>
      </c>
      <c r="BO228" s="11" t="s">
        <v>1748</v>
      </c>
    </row>
    <row r="229" spans="2:67">
      <c r="B229" s="11">
        <v>218</v>
      </c>
      <c r="C229" s="11" t="s">
        <v>1374</v>
      </c>
      <c r="D229" s="11" t="s">
        <v>1375</v>
      </c>
      <c r="E229" s="11" t="s">
        <v>2865</v>
      </c>
      <c r="F229" s="11" t="s">
        <v>2866</v>
      </c>
      <c r="G229" s="11" t="s">
        <v>2722</v>
      </c>
      <c r="H229" s="11" t="s">
        <v>2867</v>
      </c>
      <c r="I229" s="11" t="s">
        <v>2868</v>
      </c>
      <c r="J229" s="11"/>
      <c r="K229" s="11" t="s">
        <v>1488</v>
      </c>
      <c r="L229" s="11" t="s">
        <v>94</v>
      </c>
      <c r="M229" s="11" t="s">
        <v>1417</v>
      </c>
      <c r="N229" s="11" t="s">
        <v>48</v>
      </c>
      <c r="O229" s="11" t="s">
        <v>134</v>
      </c>
      <c r="P229" s="11"/>
      <c r="Q229" s="11"/>
      <c r="R229" s="11" t="s">
        <v>2869</v>
      </c>
      <c r="S229" s="11" t="s">
        <v>94</v>
      </c>
      <c r="T229" s="11" t="s">
        <v>2870</v>
      </c>
      <c r="U229" s="11" t="s">
        <v>1387</v>
      </c>
      <c r="V229" s="11" t="s">
        <v>2871</v>
      </c>
      <c r="W229" s="11" t="s">
        <v>1389</v>
      </c>
      <c r="X229" s="11" t="s">
        <v>1492</v>
      </c>
      <c r="Y229" s="11" t="s">
        <v>1470</v>
      </c>
      <c r="Z229" s="11" t="s">
        <v>2872</v>
      </c>
      <c r="AA229" s="11" t="s">
        <v>2873</v>
      </c>
      <c r="AB229" s="11" t="s">
        <v>2874</v>
      </c>
      <c r="AC229" s="11" t="s">
        <v>2869</v>
      </c>
      <c r="AD229" s="11">
        <v>5399405</v>
      </c>
      <c r="AE229" s="11" t="s">
        <v>94</v>
      </c>
      <c r="AF229" s="11" t="s">
        <v>2875</v>
      </c>
      <c r="AG229" s="11" t="s">
        <v>94</v>
      </c>
      <c r="AH229" s="11" t="s">
        <v>2876</v>
      </c>
      <c r="AI229" s="11" t="s">
        <v>2020</v>
      </c>
      <c r="AJ229" s="11" t="s">
        <v>1795</v>
      </c>
      <c r="AK229" s="11" t="s">
        <v>1396</v>
      </c>
      <c r="AL229" s="11" t="s">
        <v>134</v>
      </c>
      <c r="AM229" s="11">
        <v>2354.9499999999998</v>
      </c>
      <c r="AN229" s="11"/>
      <c r="AO229" s="11" t="s">
        <v>134</v>
      </c>
      <c r="AP229" s="11" t="s">
        <v>1397</v>
      </c>
      <c r="AQ229" s="11" t="s">
        <v>1398</v>
      </c>
      <c r="AR229" s="11" t="s">
        <v>1570</v>
      </c>
      <c r="AS229" s="11" t="s">
        <v>2877</v>
      </c>
      <c r="AT229" s="11" t="s">
        <v>2882</v>
      </c>
      <c r="AU229" s="11" t="s">
        <v>1719</v>
      </c>
      <c r="AV229" s="11"/>
      <c r="AW229" s="11" t="s">
        <v>2879</v>
      </c>
      <c r="AX229" s="11"/>
      <c r="AY229" s="11"/>
      <c r="AZ229" s="11"/>
      <c r="BA229" s="11"/>
      <c r="BB229" s="11">
        <v>75026590</v>
      </c>
      <c r="BC229" s="11" t="s">
        <v>1403</v>
      </c>
      <c r="BD229" s="11" t="s">
        <v>1432</v>
      </c>
      <c r="BE229" s="11" t="s">
        <v>1500</v>
      </c>
      <c r="BF229" s="11" t="s">
        <v>1501</v>
      </c>
      <c r="BG229" s="11"/>
      <c r="BH229" s="11" t="s">
        <v>1435</v>
      </c>
      <c r="BI229" s="11" t="s">
        <v>1407</v>
      </c>
      <c r="BJ229" s="11" t="s">
        <v>134</v>
      </c>
      <c r="BK229" s="11"/>
      <c r="BL229" s="11" t="s">
        <v>1408</v>
      </c>
      <c r="BM229" s="11"/>
      <c r="BN229" s="11" t="s">
        <v>1556</v>
      </c>
      <c r="BO229" s="11" t="s">
        <v>1748</v>
      </c>
    </row>
    <row r="230" spans="2:67">
      <c r="B230" s="11">
        <v>219</v>
      </c>
      <c r="C230" s="11" t="s">
        <v>1374</v>
      </c>
      <c r="D230" s="11" t="s">
        <v>1375</v>
      </c>
      <c r="E230" s="11" t="s">
        <v>2865</v>
      </c>
      <c r="F230" s="11" t="s">
        <v>2866</v>
      </c>
      <c r="G230" s="11" t="s">
        <v>2722</v>
      </c>
      <c r="H230" s="11" t="s">
        <v>2867</v>
      </c>
      <c r="I230" s="11" t="s">
        <v>2868</v>
      </c>
      <c r="J230" s="11"/>
      <c r="K230" s="11" t="s">
        <v>1488</v>
      </c>
      <c r="L230" s="11" t="s">
        <v>94</v>
      </c>
      <c r="M230" s="11" t="s">
        <v>1417</v>
      </c>
      <c r="N230" s="11" t="s">
        <v>48</v>
      </c>
      <c r="O230" s="11" t="s">
        <v>134</v>
      </c>
      <c r="P230" s="11"/>
      <c r="Q230" s="11"/>
      <c r="R230" s="11" t="s">
        <v>2869</v>
      </c>
      <c r="S230" s="11" t="s">
        <v>94</v>
      </c>
      <c r="T230" s="11" t="s">
        <v>2870</v>
      </c>
      <c r="U230" s="11" t="s">
        <v>1387</v>
      </c>
      <c r="V230" s="11" t="s">
        <v>2871</v>
      </c>
      <c r="W230" s="11" t="s">
        <v>1389</v>
      </c>
      <c r="X230" s="11" t="s">
        <v>1492</v>
      </c>
      <c r="Y230" s="11" t="s">
        <v>1470</v>
      </c>
      <c r="Z230" s="11" t="s">
        <v>2872</v>
      </c>
      <c r="AA230" s="11" t="s">
        <v>2873</v>
      </c>
      <c r="AB230" s="11" t="s">
        <v>2874</v>
      </c>
      <c r="AC230" s="11" t="s">
        <v>2869</v>
      </c>
      <c r="AD230" s="11">
        <v>5399405</v>
      </c>
      <c r="AE230" s="11" t="s">
        <v>94</v>
      </c>
      <c r="AF230" s="11" t="s">
        <v>2875</v>
      </c>
      <c r="AG230" s="11" t="s">
        <v>94</v>
      </c>
      <c r="AH230" s="11" t="s">
        <v>2876</v>
      </c>
      <c r="AI230" s="11" t="s">
        <v>2018</v>
      </c>
      <c r="AJ230" s="11" t="s">
        <v>1798</v>
      </c>
      <c r="AK230" s="11" t="s">
        <v>1396</v>
      </c>
      <c r="AL230" s="11" t="s">
        <v>134</v>
      </c>
      <c r="AM230" s="11">
        <v>3573.05</v>
      </c>
      <c r="AN230" s="11"/>
      <c r="AO230" s="11" t="s">
        <v>134</v>
      </c>
      <c r="AP230" s="11" t="s">
        <v>1397</v>
      </c>
      <c r="AQ230" s="11" t="s">
        <v>1398</v>
      </c>
      <c r="AR230" s="11" t="s">
        <v>1570</v>
      </c>
      <c r="AS230" s="11" t="s">
        <v>2877</v>
      </c>
      <c r="AT230" s="11" t="s">
        <v>2883</v>
      </c>
      <c r="AU230" s="11" t="s">
        <v>1719</v>
      </c>
      <c r="AV230" s="11"/>
      <c r="AW230" s="11" t="s">
        <v>2879</v>
      </c>
      <c r="AX230" s="11"/>
      <c r="AY230" s="11"/>
      <c r="AZ230" s="11"/>
      <c r="BA230" s="11"/>
      <c r="BB230" s="11">
        <v>75026590</v>
      </c>
      <c r="BC230" s="11" t="s">
        <v>1403</v>
      </c>
      <c r="BD230" s="11" t="s">
        <v>1432</v>
      </c>
      <c r="BE230" s="11" t="s">
        <v>1500</v>
      </c>
      <c r="BF230" s="11" t="s">
        <v>1501</v>
      </c>
      <c r="BG230" s="11"/>
      <c r="BH230" s="11" t="s">
        <v>1435</v>
      </c>
      <c r="BI230" s="11" t="s">
        <v>1407</v>
      </c>
      <c r="BJ230" s="11" t="s">
        <v>134</v>
      </c>
      <c r="BK230" s="11"/>
      <c r="BL230" s="11" t="s">
        <v>1408</v>
      </c>
      <c r="BM230" s="11"/>
      <c r="BN230" s="11" t="s">
        <v>1556</v>
      </c>
      <c r="BO230" s="11" t="s">
        <v>1748</v>
      </c>
    </row>
    <row r="231" spans="2:67">
      <c r="B231" s="11">
        <v>220</v>
      </c>
      <c r="C231" s="11" t="s">
        <v>1374</v>
      </c>
      <c r="D231" s="11" t="s">
        <v>1375</v>
      </c>
      <c r="E231" s="11" t="s">
        <v>2865</v>
      </c>
      <c r="F231" s="11" t="s">
        <v>2866</v>
      </c>
      <c r="G231" s="11" t="s">
        <v>2722</v>
      </c>
      <c r="H231" s="11" t="s">
        <v>2867</v>
      </c>
      <c r="I231" s="11" t="s">
        <v>2868</v>
      </c>
      <c r="J231" s="11"/>
      <c r="K231" s="11" t="s">
        <v>1488</v>
      </c>
      <c r="L231" s="11" t="s">
        <v>94</v>
      </c>
      <c r="M231" s="11" t="s">
        <v>1417</v>
      </c>
      <c r="N231" s="11" t="s">
        <v>48</v>
      </c>
      <c r="O231" s="11" t="s">
        <v>134</v>
      </c>
      <c r="P231" s="11"/>
      <c r="Q231" s="11"/>
      <c r="R231" s="11" t="s">
        <v>2869</v>
      </c>
      <c r="S231" s="11" t="s">
        <v>94</v>
      </c>
      <c r="T231" s="11" t="s">
        <v>2870</v>
      </c>
      <c r="U231" s="11" t="s">
        <v>1387</v>
      </c>
      <c r="V231" s="11" t="s">
        <v>2871</v>
      </c>
      <c r="W231" s="11" t="s">
        <v>1389</v>
      </c>
      <c r="X231" s="11" t="s">
        <v>1492</v>
      </c>
      <c r="Y231" s="11" t="s">
        <v>1470</v>
      </c>
      <c r="Z231" s="11" t="s">
        <v>2872</v>
      </c>
      <c r="AA231" s="11" t="s">
        <v>2873</v>
      </c>
      <c r="AB231" s="11" t="s">
        <v>2874</v>
      </c>
      <c r="AC231" s="11" t="s">
        <v>2869</v>
      </c>
      <c r="AD231" s="11">
        <v>5399405</v>
      </c>
      <c r="AE231" s="11" t="s">
        <v>94</v>
      </c>
      <c r="AF231" s="11" t="s">
        <v>2875</v>
      </c>
      <c r="AG231" s="11" t="s">
        <v>94</v>
      </c>
      <c r="AH231" s="11" t="s">
        <v>2876</v>
      </c>
      <c r="AI231" s="11" t="s">
        <v>2700</v>
      </c>
      <c r="AJ231" s="11" t="s">
        <v>1788</v>
      </c>
      <c r="AK231" s="11" t="s">
        <v>1396</v>
      </c>
      <c r="AL231" s="11" t="s">
        <v>134</v>
      </c>
      <c r="AM231" s="11">
        <v>2598.6</v>
      </c>
      <c r="AN231" s="11"/>
      <c r="AO231" s="11" t="s">
        <v>134</v>
      </c>
      <c r="AP231" s="11" t="s">
        <v>1397</v>
      </c>
      <c r="AQ231" s="11" t="s">
        <v>1398</v>
      </c>
      <c r="AR231" s="11" t="s">
        <v>1570</v>
      </c>
      <c r="AS231" s="11" t="s">
        <v>2877</v>
      </c>
      <c r="AT231" s="11" t="s">
        <v>2884</v>
      </c>
      <c r="AU231" s="11" t="s">
        <v>1719</v>
      </c>
      <c r="AV231" s="11"/>
      <c r="AW231" s="11" t="s">
        <v>2879</v>
      </c>
      <c r="AX231" s="11"/>
      <c r="AY231" s="11"/>
      <c r="AZ231" s="11"/>
      <c r="BA231" s="11"/>
      <c r="BB231" s="11">
        <v>75026590</v>
      </c>
      <c r="BC231" s="11" t="s">
        <v>1403</v>
      </c>
      <c r="BD231" s="11" t="s">
        <v>1432</v>
      </c>
      <c r="BE231" s="11" t="s">
        <v>1500</v>
      </c>
      <c r="BF231" s="11" t="s">
        <v>1501</v>
      </c>
      <c r="BG231" s="11"/>
      <c r="BH231" s="11" t="s">
        <v>1435</v>
      </c>
      <c r="BI231" s="11" t="s">
        <v>1407</v>
      </c>
      <c r="BJ231" s="11" t="s">
        <v>134</v>
      </c>
      <c r="BK231" s="11"/>
      <c r="BL231" s="11" t="s">
        <v>1408</v>
      </c>
      <c r="BM231" s="11"/>
      <c r="BN231" s="11" t="s">
        <v>1556</v>
      </c>
      <c r="BO231" s="11" t="s">
        <v>1748</v>
      </c>
    </row>
    <row r="232" spans="2:67">
      <c r="B232" s="11">
        <v>221</v>
      </c>
      <c r="C232" s="11" t="s">
        <v>1374</v>
      </c>
      <c r="D232" s="11" t="s">
        <v>1375</v>
      </c>
      <c r="E232" s="11" t="s">
        <v>2865</v>
      </c>
      <c r="F232" s="11" t="s">
        <v>2866</v>
      </c>
      <c r="G232" s="11" t="s">
        <v>2722</v>
      </c>
      <c r="H232" s="11" t="s">
        <v>2867</v>
      </c>
      <c r="I232" s="11" t="s">
        <v>2868</v>
      </c>
      <c r="J232" s="11"/>
      <c r="K232" s="11" t="s">
        <v>1488</v>
      </c>
      <c r="L232" s="11" t="s">
        <v>94</v>
      </c>
      <c r="M232" s="11" t="s">
        <v>1417</v>
      </c>
      <c r="N232" s="11" t="s">
        <v>48</v>
      </c>
      <c r="O232" s="11" t="s">
        <v>134</v>
      </c>
      <c r="P232" s="11"/>
      <c r="Q232" s="11"/>
      <c r="R232" s="11" t="s">
        <v>2869</v>
      </c>
      <c r="S232" s="11" t="s">
        <v>94</v>
      </c>
      <c r="T232" s="11" t="s">
        <v>2870</v>
      </c>
      <c r="U232" s="11" t="s">
        <v>1387</v>
      </c>
      <c r="V232" s="11" t="s">
        <v>2871</v>
      </c>
      <c r="W232" s="11" t="s">
        <v>1389</v>
      </c>
      <c r="X232" s="11" t="s">
        <v>1492</v>
      </c>
      <c r="Y232" s="11" t="s">
        <v>1470</v>
      </c>
      <c r="Z232" s="11" t="s">
        <v>2872</v>
      </c>
      <c r="AA232" s="11" t="s">
        <v>2873</v>
      </c>
      <c r="AB232" s="11" t="s">
        <v>2874</v>
      </c>
      <c r="AC232" s="11" t="s">
        <v>2869</v>
      </c>
      <c r="AD232" s="11">
        <v>5399405</v>
      </c>
      <c r="AE232" s="11" t="s">
        <v>94</v>
      </c>
      <c r="AF232" s="11" t="s">
        <v>2875</v>
      </c>
      <c r="AG232" s="11" t="s">
        <v>94</v>
      </c>
      <c r="AH232" s="11" t="s">
        <v>2876</v>
      </c>
      <c r="AI232" s="11" t="s">
        <v>2026</v>
      </c>
      <c r="AJ232" s="11" t="s">
        <v>1676</v>
      </c>
      <c r="AK232" s="11" t="s">
        <v>1396</v>
      </c>
      <c r="AL232" s="11" t="s">
        <v>134</v>
      </c>
      <c r="AM232" s="11">
        <v>1374.1</v>
      </c>
      <c r="AN232" s="11"/>
      <c r="AO232" s="11" t="s">
        <v>134</v>
      </c>
      <c r="AP232" s="11" t="s">
        <v>1397</v>
      </c>
      <c r="AQ232" s="11" t="s">
        <v>1398</v>
      </c>
      <c r="AR232" s="11" t="s">
        <v>1570</v>
      </c>
      <c r="AS232" s="11" t="s">
        <v>2877</v>
      </c>
      <c r="AT232" s="11" t="s">
        <v>2885</v>
      </c>
      <c r="AU232" s="11" t="s">
        <v>1719</v>
      </c>
      <c r="AV232" s="11"/>
      <c r="AW232" s="11" t="s">
        <v>2879</v>
      </c>
      <c r="AX232" s="11"/>
      <c r="AY232" s="11"/>
      <c r="AZ232" s="11"/>
      <c r="BA232" s="11"/>
      <c r="BB232" s="11">
        <v>75026590</v>
      </c>
      <c r="BC232" s="11" t="s">
        <v>1403</v>
      </c>
      <c r="BD232" s="11" t="s">
        <v>1432</v>
      </c>
      <c r="BE232" s="11" t="s">
        <v>1500</v>
      </c>
      <c r="BF232" s="11" t="s">
        <v>1501</v>
      </c>
      <c r="BG232" s="11"/>
      <c r="BH232" s="11" t="s">
        <v>1435</v>
      </c>
      <c r="BI232" s="11" t="s">
        <v>1407</v>
      </c>
      <c r="BJ232" s="11" t="s">
        <v>134</v>
      </c>
      <c r="BK232" s="11"/>
      <c r="BL232" s="11" t="s">
        <v>1408</v>
      </c>
      <c r="BM232" s="11"/>
      <c r="BN232" s="11" t="s">
        <v>1556</v>
      </c>
      <c r="BO232" s="11" t="s">
        <v>1748</v>
      </c>
    </row>
    <row r="233" spans="2:67">
      <c r="B233" s="11">
        <v>222</v>
      </c>
      <c r="C233" s="11" t="s">
        <v>1374</v>
      </c>
      <c r="D233" s="11" t="s">
        <v>1375</v>
      </c>
      <c r="E233" s="11" t="s">
        <v>2865</v>
      </c>
      <c r="F233" s="11" t="s">
        <v>2866</v>
      </c>
      <c r="G233" s="11" t="s">
        <v>2722</v>
      </c>
      <c r="H233" s="11" t="s">
        <v>2867</v>
      </c>
      <c r="I233" s="11" t="s">
        <v>2868</v>
      </c>
      <c r="J233" s="11"/>
      <c r="K233" s="11" t="s">
        <v>1488</v>
      </c>
      <c r="L233" s="11" t="s">
        <v>94</v>
      </c>
      <c r="M233" s="11" t="s">
        <v>1417</v>
      </c>
      <c r="N233" s="11" t="s">
        <v>48</v>
      </c>
      <c r="O233" s="11" t="s">
        <v>134</v>
      </c>
      <c r="P233" s="11"/>
      <c r="Q233" s="11"/>
      <c r="R233" s="11" t="s">
        <v>2869</v>
      </c>
      <c r="S233" s="11" t="s">
        <v>94</v>
      </c>
      <c r="T233" s="11" t="s">
        <v>2870</v>
      </c>
      <c r="U233" s="11" t="s">
        <v>1387</v>
      </c>
      <c r="V233" s="11" t="s">
        <v>2871</v>
      </c>
      <c r="W233" s="11" t="s">
        <v>1389</v>
      </c>
      <c r="X233" s="11" t="s">
        <v>1492</v>
      </c>
      <c r="Y233" s="11" t="s">
        <v>1470</v>
      </c>
      <c r="Z233" s="11" t="s">
        <v>2872</v>
      </c>
      <c r="AA233" s="11" t="s">
        <v>2873</v>
      </c>
      <c r="AB233" s="11" t="s">
        <v>2874</v>
      </c>
      <c r="AC233" s="11" t="s">
        <v>2869</v>
      </c>
      <c r="AD233" s="11">
        <v>5399405</v>
      </c>
      <c r="AE233" s="11" t="s">
        <v>94</v>
      </c>
      <c r="AF233" s="11" t="s">
        <v>2875</v>
      </c>
      <c r="AG233" s="11" t="s">
        <v>94</v>
      </c>
      <c r="AH233" s="11" t="s">
        <v>2876</v>
      </c>
      <c r="AI233" s="11" t="s">
        <v>2702</v>
      </c>
      <c r="AJ233" s="11" t="s">
        <v>1785</v>
      </c>
      <c r="AK233" s="11" t="s">
        <v>1396</v>
      </c>
      <c r="AL233" s="11" t="s">
        <v>134</v>
      </c>
      <c r="AM233" s="11">
        <v>2314.35</v>
      </c>
      <c r="AN233" s="11"/>
      <c r="AO233" s="11" t="s">
        <v>134</v>
      </c>
      <c r="AP233" s="11" t="s">
        <v>1397</v>
      </c>
      <c r="AQ233" s="11" t="s">
        <v>1398</v>
      </c>
      <c r="AR233" s="11" t="s">
        <v>1570</v>
      </c>
      <c r="AS233" s="11" t="s">
        <v>2877</v>
      </c>
      <c r="AT233" s="11" t="s">
        <v>2886</v>
      </c>
      <c r="AU233" s="11" t="s">
        <v>1719</v>
      </c>
      <c r="AV233" s="11"/>
      <c r="AW233" s="11" t="s">
        <v>2879</v>
      </c>
      <c r="AX233" s="11"/>
      <c r="AY233" s="11"/>
      <c r="AZ233" s="11"/>
      <c r="BA233" s="11"/>
      <c r="BB233" s="11">
        <v>75026590</v>
      </c>
      <c r="BC233" s="11" t="s">
        <v>1403</v>
      </c>
      <c r="BD233" s="11" t="s">
        <v>1432</v>
      </c>
      <c r="BE233" s="11" t="s">
        <v>1500</v>
      </c>
      <c r="BF233" s="11" t="s">
        <v>1501</v>
      </c>
      <c r="BG233" s="11"/>
      <c r="BH233" s="11" t="s">
        <v>1435</v>
      </c>
      <c r="BI233" s="11" t="s">
        <v>1407</v>
      </c>
      <c r="BJ233" s="11" t="s">
        <v>134</v>
      </c>
      <c r="BK233" s="11"/>
      <c r="BL233" s="11" t="s">
        <v>1408</v>
      </c>
      <c r="BM233" s="11"/>
      <c r="BN233" s="11" t="s">
        <v>1556</v>
      </c>
      <c r="BO233" s="11" t="s">
        <v>1748</v>
      </c>
    </row>
    <row r="234" spans="2:67">
      <c r="B234" s="11">
        <v>223</v>
      </c>
      <c r="C234" s="11" t="s">
        <v>1374</v>
      </c>
      <c r="D234" s="11" t="s">
        <v>1375</v>
      </c>
      <c r="E234" s="11" t="s">
        <v>2865</v>
      </c>
      <c r="F234" s="11" t="s">
        <v>2866</v>
      </c>
      <c r="G234" s="11" t="s">
        <v>2722</v>
      </c>
      <c r="H234" s="11" t="s">
        <v>2867</v>
      </c>
      <c r="I234" s="11" t="s">
        <v>2868</v>
      </c>
      <c r="J234" s="11"/>
      <c r="K234" s="11" t="s">
        <v>1488</v>
      </c>
      <c r="L234" s="11" t="s">
        <v>94</v>
      </c>
      <c r="M234" s="11" t="s">
        <v>1417</v>
      </c>
      <c r="N234" s="11" t="s">
        <v>48</v>
      </c>
      <c r="O234" s="11" t="s">
        <v>134</v>
      </c>
      <c r="P234" s="11"/>
      <c r="Q234" s="11"/>
      <c r="R234" s="11" t="s">
        <v>2869</v>
      </c>
      <c r="S234" s="11" t="s">
        <v>94</v>
      </c>
      <c r="T234" s="11" t="s">
        <v>2870</v>
      </c>
      <c r="U234" s="11" t="s">
        <v>1387</v>
      </c>
      <c r="V234" s="11" t="s">
        <v>2871</v>
      </c>
      <c r="W234" s="11" t="s">
        <v>1389</v>
      </c>
      <c r="X234" s="11" t="s">
        <v>1492</v>
      </c>
      <c r="Y234" s="11" t="s">
        <v>1470</v>
      </c>
      <c r="Z234" s="11" t="s">
        <v>2872</v>
      </c>
      <c r="AA234" s="11" t="s">
        <v>2873</v>
      </c>
      <c r="AB234" s="11" t="s">
        <v>2874</v>
      </c>
      <c r="AC234" s="11" t="s">
        <v>2869</v>
      </c>
      <c r="AD234" s="11">
        <v>5399405</v>
      </c>
      <c r="AE234" s="11" t="s">
        <v>94</v>
      </c>
      <c r="AF234" s="11" t="s">
        <v>2875</v>
      </c>
      <c r="AG234" s="11" t="s">
        <v>94</v>
      </c>
      <c r="AH234" s="11" t="s">
        <v>2876</v>
      </c>
      <c r="AI234" s="11" t="s">
        <v>2014</v>
      </c>
      <c r="AJ234" s="11" t="s">
        <v>1801</v>
      </c>
      <c r="AK234" s="11" t="s">
        <v>1396</v>
      </c>
      <c r="AL234" s="11" t="s">
        <v>134</v>
      </c>
      <c r="AM234" s="11">
        <v>1705.3</v>
      </c>
      <c r="AN234" s="11"/>
      <c r="AO234" s="11" t="s">
        <v>134</v>
      </c>
      <c r="AP234" s="11" t="s">
        <v>1397</v>
      </c>
      <c r="AQ234" s="11" t="s">
        <v>1398</v>
      </c>
      <c r="AR234" s="11" t="s">
        <v>1570</v>
      </c>
      <c r="AS234" s="11" t="s">
        <v>2877</v>
      </c>
      <c r="AT234" s="11" t="s">
        <v>2887</v>
      </c>
      <c r="AU234" s="11" t="s">
        <v>1719</v>
      </c>
      <c r="AV234" s="11"/>
      <c r="AW234" s="11" t="s">
        <v>2879</v>
      </c>
      <c r="AX234" s="11"/>
      <c r="AY234" s="11"/>
      <c r="AZ234" s="11"/>
      <c r="BA234" s="11"/>
      <c r="BB234" s="11">
        <v>75026590</v>
      </c>
      <c r="BC234" s="11" t="s">
        <v>1403</v>
      </c>
      <c r="BD234" s="11" t="s">
        <v>1432</v>
      </c>
      <c r="BE234" s="11" t="s">
        <v>1500</v>
      </c>
      <c r="BF234" s="11" t="s">
        <v>1501</v>
      </c>
      <c r="BG234" s="11"/>
      <c r="BH234" s="11" t="s">
        <v>1435</v>
      </c>
      <c r="BI234" s="11" t="s">
        <v>1407</v>
      </c>
      <c r="BJ234" s="11" t="s">
        <v>134</v>
      </c>
      <c r="BK234" s="11"/>
      <c r="BL234" s="11" t="s">
        <v>1408</v>
      </c>
      <c r="BM234" s="11"/>
      <c r="BN234" s="11" t="s">
        <v>1556</v>
      </c>
      <c r="BO234" s="11" t="s">
        <v>1748</v>
      </c>
    </row>
    <row r="235" spans="2:67">
      <c r="B235" s="11">
        <v>224</v>
      </c>
      <c r="C235" s="11" t="s">
        <v>1374</v>
      </c>
      <c r="D235" s="11" t="s">
        <v>1375</v>
      </c>
      <c r="E235" s="11" t="s">
        <v>2865</v>
      </c>
      <c r="F235" s="11" t="s">
        <v>2866</v>
      </c>
      <c r="G235" s="11" t="s">
        <v>2722</v>
      </c>
      <c r="H235" s="11" t="s">
        <v>2867</v>
      </c>
      <c r="I235" s="11" t="s">
        <v>2868</v>
      </c>
      <c r="J235" s="11"/>
      <c r="K235" s="11" t="s">
        <v>1488</v>
      </c>
      <c r="L235" s="11" t="s">
        <v>94</v>
      </c>
      <c r="M235" s="11" t="s">
        <v>1417</v>
      </c>
      <c r="N235" s="11" t="s">
        <v>48</v>
      </c>
      <c r="O235" s="11" t="s">
        <v>134</v>
      </c>
      <c r="P235" s="11"/>
      <c r="Q235" s="11"/>
      <c r="R235" s="11" t="s">
        <v>2869</v>
      </c>
      <c r="S235" s="11" t="s">
        <v>94</v>
      </c>
      <c r="T235" s="11" t="s">
        <v>2870</v>
      </c>
      <c r="U235" s="11" t="s">
        <v>1387</v>
      </c>
      <c r="V235" s="11" t="s">
        <v>2871</v>
      </c>
      <c r="W235" s="11" t="s">
        <v>1389</v>
      </c>
      <c r="X235" s="11" t="s">
        <v>1492</v>
      </c>
      <c r="Y235" s="11" t="s">
        <v>1470</v>
      </c>
      <c r="Z235" s="11" t="s">
        <v>2872</v>
      </c>
      <c r="AA235" s="11" t="s">
        <v>2873</v>
      </c>
      <c r="AB235" s="11" t="s">
        <v>2874</v>
      </c>
      <c r="AC235" s="11" t="s">
        <v>2869</v>
      </c>
      <c r="AD235" s="11">
        <v>5399405</v>
      </c>
      <c r="AE235" s="11" t="s">
        <v>94</v>
      </c>
      <c r="AF235" s="11" t="s">
        <v>2875</v>
      </c>
      <c r="AG235" s="11" t="s">
        <v>94</v>
      </c>
      <c r="AH235" s="11" t="s">
        <v>2876</v>
      </c>
      <c r="AI235" s="11" t="s">
        <v>2888</v>
      </c>
      <c r="AJ235" s="11" t="s">
        <v>1517</v>
      </c>
      <c r="AK235" s="11" t="s">
        <v>1396</v>
      </c>
      <c r="AL235" s="11" t="s">
        <v>134</v>
      </c>
      <c r="AM235" s="11">
        <v>1500</v>
      </c>
      <c r="AN235" s="11"/>
      <c r="AO235" s="11" t="s">
        <v>134</v>
      </c>
      <c r="AP235" s="11" t="s">
        <v>1397</v>
      </c>
      <c r="AQ235" s="11" t="s">
        <v>1398</v>
      </c>
      <c r="AR235" s="11" t="s">
        <v>1570</v>
      </c>
      <c r="AS235" s="11" t="s">
        <v>2877</v>
      </c>
      <c r="AT235" s="11"/>
      <c r="AU235" s="11" t="s">
        <v>1719</v>
      </c>
      <c r="AV235" s="11"/>
      <c r="AW235" s="11" t="s">
        <v>2879</v>
      </c>
      <c r="AX235" s="11"/>
      <c r="AY235" s="11"/>
      <c r="AZ235" s="11"/>
      <c r="BA235" s="11"/>
      <c r="BB235" s="11">
        <v>75026590</v>
      </c>
      <c r="BC235" s="11" t="s">
        <v>1403</v>
      </c>
      <c r="BD235" s="11" t="s">
        <v>1432</v>
      </c>
      <c r="BE235" s="11" t="s">
        <v>1500</v>
      </c>
      <c r="BF235" s="11" t="s">
        <v>1501</v>
      </c>
      <c r="BG235" s="11"/>
      <c r="BH235" s="11" t="s">
        <v>1435</v>
      </c>
      <c r="BI235" s="11" t="s">
        <v>1407</v>
      </c>
      <c r="BJ235" s="11" t="s">
        <v>134</v>
      </c>
      <c r="BK235" s="11"/>
      <c r="BL235" s="11"/>
      <c r="BM235" s="11"/>
      <c r="BN235" s="11" t="s">
        <v>1556</v>
      </c>
      <c r="BO235" s="11" t="s">
        <v>1748</v>
      </c>
    </row>
    <row r="236" spans="2:67">
      <c r="B236" s="11">
        <v>225</v>
      </c>
      <c r="C236" s="11" t="s">
        <v>1374</v>
      </c>
      <c r="D236" s="11" t="s">
        <v>1375</v>
      </c>
      <c r="E236" s="11" t="s">
        <v>2865</v>
      </c>
      <c r="F236" s="11" t="s">
        <v>2866</v>
      </c>
      <c r="G236" s="11" t="s">
        <v>2722</v>
      </c>
      <c r="H236" s="11" t="s">
        <v>2867</v>
      </c>
      <c r="I236" s="11" t="s">
        <v>2868</v>
      </c>
      <c r="J236" s="11"/>
      <c r="K236" s="11" t="s">
        <v>1488</v>
      </c>
      <c r="L236" s="11" t="s">
        <v>94</v>
      </c>
      <c r="M236" s="11" t="s">
        <v>1417</v>
      </c>
      <c r="N236" s="11" t="s">
        <v>48</v>
      </c>
      <c r="O236" s="11" t="s">
        <v>134</v>
      </c>
      <c r="P236" s="11"/>
      <c r="Q236" s="11"/>
      <c r="R236" s="11" t="s">
        <v>2869</v>
      </c>
      <c r="S236" s="11" t="s">
        <v>94</v>
      </c>
      <c r="T236" s="11" t="s">
        <v>2870</v>
      </c>
      <c r="U236" s="11" t="s">
        <v>1387</v>
      </c>
      <c r="V236" s="11" t="s">
        <v>2871</v>
      </c>
      <c r="W236" s="11" t="s">
        <v>1389</v>
      </c>
      <c r="X236" s="11" t="s">
        <v>1492</v>
      </c>
      <c r="Y236" s="11" t="s">
        <v>1470</v>
      </c>
      <c r="Z236" s="11" t="s">
        <v>2872</v>
      </c>
      <c r="AA236" s="11" t="s">
        <v>2873</v>
      </c>
      <c r="AB236" s="11" t="s">
        <v>2874</v>
      </c>
      <c r="AC236" s="11" t="s">
        <v>2869</v>
      </c>
      <c r="AD236" s="11">
        <v>5399405</v>
      </c>
      <c r="AE236" s="11" t="s">
        <v>94</v>
      </c>
      <c r="AF236" s="11" t="s">
        <v>2875</v>
      </c>
      <c r="AG236" s="11" t="s">
        <v>94</v>
      </c>
      <c r="AH236" s="11" t="s">
        <v>2876</v>
      </c>
      <c r="AI236" s="11" t="s">
        <v>2889</v>
      </c>
      <c r="AJ236" s="11" t="s">
        <v>2031</v>
      </c>
      <c r="AK236" s="11" t="s">
        <v>1396</v>
      </c>
      <c r="AL236" s="11" t="s">
        <v>134</v>
      </c>
      <c r="AM236" s="11">
        <v>5250</v>
      </c>
      <c r="AN236" s="11"/>
      <c r="AO236" s="11" t="s">
        <v>134</v>
      </c>
      <c r="AP236" s="11" t="s">
        <v>1397</v>
      </c>
      <c r="AQ236" s="11" t="s">
        <v>1398</v>
      </c>
      <c r="AR236" s="11" t="s">
        <v>1570</v>
      </c>
      <c r="AS236" s="11" t="s">
        <v>2877</v>
      </c>
      <c r="AT236" s="11"/>
      <c r="AU236" s="11" t="s">
        <v>1719</v>
      </c>
      <c r="AV236" s="11"/>
      <c r="AW236" s="11" t="s">
        <v>2879</v>
      </c>
      <c r="AX236" s="11"/>
      <c r="AY236" s="11"/>
      <c r="AZ236" s="11"/>
      <c r="BA236" s="11"/>
      <c r="BB236" s="11">
        <v>75026590</v>
      </c>
      <c r="BC236" s="11" t="s">
        <v>1403</v>
      </c>
      <c r="BD236" s="11" t="s">
        <v>1432</v>
      </c>
      <c r="BE236" s="11" t="s">
        <v>1500</v>
      </c>
      <c r="BF236" s="11" t="s">
        <v>1501</v>
      </c>
      <c r="BG236" s="11"/>
      <c r="BH236" s="11" t="s">
        <v>1435</v>
      </c>
      <c r="BI236" s="11" t="s">
        <v>1407</v>
      </c>
      <c r="BJ236" s="11" t="s">
        <v>134</v>
      </c>
      <c r="BK236" s="11"/>
      <c r="BL236" s="11"/>
      <c r="BM236" s="11"/>
      <c r="BN236" s="11" t="s">
        <v>1556</v>
      </c>
      <c r="BO236" s="11" t="s">
        <v>1748</v>
      </c>
    </row>
    <row r="237" spans="2:67">
      <c r="B237" s="11">
        <v>226</v>
      </c>
      <c r="C237" s="11" t="s">
        <v>1374</v>
      </c>
      <c r="D237" s="11" t="s">
        <v>1375</v>
      </c>
      <c r="E237" s="11" t="s">
        <v>1376</v>
      </c>
      <c r="F237" s="11" t="s">
        <v>2890</v>
      </c>
      <c r="G237" s="11" t="s">
        <v>1916</v>
      </c>
      <c r="H237" s="11" t="s">
        <v>2891</v>
      </c>
      <c r="I237" s="11" t="s">
        <v>2892</v>
      </c>
      <c r="J237" s="11" t="s">
        <v>134</v>
      </c>
      <c r="K237" s="11" t="s">
        <v>1488</v>
      </c>
      <c r="L237" s="11" t="s">
        <v>2893</v>
      </c>
      <c r="M237" s="11" t="s">
        <v>1581</v>
      </c>
      <c r="N237" s="11" t="s">
        <v>376</v>
      </c>
      <c r="O237" s="11" t="s">
        <v>134</v>
      </c>
      <c r="P237" s="11"/>
      <c r="Q237" s="11"/>
      <c r="R237" s="11" t="s">
        <v>2894</v>
      </c>
      <c r="S237" s="11" t="s">
        <v>94</v>
      </c>
      <c r="T237" s="11" t="s">
        <v>2895</v>
      </c>
      <c r="U237" s="11" t="s">
        <v>1387</v>
      </c>
      <c r="V237" s="11" t="s">
        <v>2896</v>
      </c>
      <c r="W237" s="11" t="s">
        <v>1389</v>
      </c>
      <c r="X237" s="11" t="s">
        <v>1492</v>
      </c>
      <c r="Y237" s="11" t="s">
        <v>1547</v>
      </c>
      <c r="Z237" s="11" t="s">
        <v>1770</v>
      </c>
      <c r="AA237" s="11" t="s">
        <v>2897</v>
      </c>
      <c r="AB237" s="11" t="s">
        <v>2898</v>
      </c>
      <c r="AC237" s="11" t="s">
        <v>2894</v>
      </c>
      <c r="AD237" s="11">
        <v>5385549</v>
      </c>
      <c r="AE237" s="11" t="s">
        <v>94</v>
      </c>
      <c r="AF237" s="11" t="s">
        <v>2899</v>
      </c>
      <c r="AG237" s="11" t="s">
        <v>94</v>
      </c>
      <c r="AH237" s="11" t="s">
        <v>2900</v>
      </c>
      <c r="AI237" s="11" t="s">
        <v>2901</v>
      </c>
      <c r="AJ237" s="11" t="s">
        <v>2273</v>
      </c>
      <c r="AK237" s="11" t="s">
        <v>1396</v>
      </c>
      <c r="AL237" s="11" t="s">
        <v>134</v>
      </c>
      <c r="AM237" s="11">
        <v>3330.3</v>
      </c>
      <c r="AN237" s="11"/>
      <c r="AO237" s="11" t="s">
        <v>134</v>
      </c>
      <c r="AP237" s="11" t="s">
        <v>1397</v>
      </c>
      <c r="AQ237" s="11" t="s">
        <v>1398</v>
      </c>
      <c r="AR237" s="11" t="s">
        <v>2255</v>
      </c>
      <c r="AS237" s="11" t="s">
        <v>2902</v>
      </c>
      <c r="AT237" s="11" t="s">
        <v>2903</v>
      </c>
      <c r="AU237" s="11" t="s">
        <v>1719</v>
      </c>
      <c r="AV237" s="11"/>
      <c r="AW237" s="11" t="s">
        <v>2904</v>
      </c>
      <c r="AX237" s="11"/>
      <c r="AY237" s="11"/>
      <c r="AZ237" s="11"/>
      <c r="BA237" s="11"/>
      <c r="BB237" s="11">
        <v>79768935</v>
      </c>
      <c r="BC237" s="11" t="s">
        <v>1403</v>
      </c>
      <c r="BD237" s="11" t="s">
        <v>1432</v>
      </c>
      <c r="BE237" s="11" t="s">
        <v>1896</v>
      </c>
      <c r="BF237" s="11" t="s">
        <v>1501</v>
      </c>
      <c r="BG237" s="11" t="s">
        <v>1482</v>
      </c>
      <c r="BH237" s="11" t="s">
        <v>1520</v>
      </c>
      <c r="BI237" s="11" t="s">
        <v>1407</v>
      </c>
      <c r="BJ237" s="11" t="s">
        <v>134</v>
      </c>
      <c r="BK237" s="11"/>
      <c r="BL237" s="11" t="s">
        <v>1408</v>
      </c>
      <c r="BM237" s="11"/>
      <c r="BN237" s="11" t="s">
        <v>1457</v>
      </c>
      <c r="BO237" s="11" t="s">
        <v>1410</v>
      </c>
    </row>
    <row r="238" spans="2:67">
      <c r="B238" s="11">
        <v>227</v>
      </c>
      <c r="C238" s="11" t="s">
        <v>1374</v>
      </c>
      <c r="D238" s="11" t="s">
        <v>1375</v>
      </c>
      <c r="E238" s="11" t="s">
        <v>1376</v>
      </c>
      <c r="F238" s="11" t="s">
        <v>2890</v>
      </c>
      <c r="G238" s="11" t="s">
        <v>1916</v>
      </c>
      <c r="H238" s="11" t="s">
        <v>2891</v>
      </c>
      <c r="I238" s="11" t="s">
        <v>2892</v>
      </c>
      <c r="J238" s="11" t="s">
        <v>134</v>
      </c>
      <c r="K238" s="11" t="s">
        <v>1488</v>
      </c>
      <c r="L238" s="11" t="s">
        <v>2893</v>
      </c>
      <c r="M238" s="11" t="s">
        <v>1581</v>
      </c>
      <c r="N238" s="11" t="s">
        <v>376</v>
      </c>
      <c r="O238" s="11" t="s">
        <v>134</v>
      </c>
      <c r="P238" s="11"/>
      <c r="Q238" s="11"/>
      <c r="R238" s="11" t="s">
        <v>2894</v>
      </c>
      <c r="S238" s="11" t="s">
        <v>94</v>
      </c>
      <c r="T238" s="11" t="s">
        <v>2895</v>
      </c>
      <c r="U238" s="11" t="s">
        <v>1387</v>
      </c>
      <c r="V238" s="11" t="s">
        <v>2896</v>
      </c>
      <c r="W238" s="11" t="s">
        <v>1389</v>
      </c>
      <c r="X238" s="11" t="s">
        <v>1492</v>
      </c>
      <c r="Y238" s="11" t="s">
        <v>1547</v>
      </c>
      <c r="Z238" s="11" t="s">
        <v>1770</v>
      </c>
      <c r="AA238" s="11" t="s">
        <v>2897</v>
      </c>
      <c r="AB238" s="11" t="s">
        <v>2898</v>
      </c>
      <c r="AC238" s="11" t="s">
        <v>2894</v>
      </c>
      <c r="AD238" s="11">
        <v>5385549</v>
      </c>
      <c r="AE238" s="11" t="s">
        <v>94</v>
      </c>
      <c r="AF238" s="11" t="s">
        <v>2899</v>
      </c>
      <c r="AG238" s="11" t="s">
        <v>94</v>
      </c>
      <c r="AH238" s="11" t="s">
        <v>2900</v>
      </c>
      <c r="AI238" s="11" t="s">
        <v>2905</v>
      </c>
      <c r="AJ238" s="11" t="s">
        <v>2276</v>
      </c>
      <c r="AK238" s="11" t="s">
        <v>1396</v>
      </c>
      <c r="AL238" s="11" t="s">
        <v>134</v>
      </c>
      <c r="AM238" s="11">
        <v>2212.5</v>
      </c>
      <c r="AN238" s="11"/>
      <c r="AO238" s="11" t="s">
        <v>134</v>
      </c>
      <c r="AP238" s="11" t="s">
        <v>1397</v>
      </c>
      <c r="AQ238" s="11" t="s">
        <v>1398</v>
      </c>
      <c r="AR238" s="11" t="s">
        <v>2255</v>
      </c>
      <c r="AS238" s="11" t="s">
        <v>2902</v>
      </c>
      <c r="AT238" s="11" t="s">
        <v>2906</v>
      </c>
      <c r="AU238" s="11" t="s">
        <v>1719</v>
      </c>
      <c r="AV238" s="11"/>
      <c r="AW238" s="11" t="s">
        <v>2904</v>
      </c>
      <c r="AX238" s="11"/>
      <c r="AY238" s="11"/>
      <c r="AZ238" s="11"/>
      <c r="BA238" s="11"/>
      <c r="BB238" s="11">
        <v>79768935</v>
      </c>
      <c r="BC238" s="11" t="s">
        <v>1403</v>
      </c>
      <c r="BD238" s="11" t="s">
        <v>1432</v>
      </c>
      <c r="BE238" s="11" t="s">
        <v>1896</v>
      </c>
      <c r="BF238" s="11" t="s">
        <v>1501</v>
      </c>
      <c r="BG238" s="11" t="s">
        <v>1482</v>
      </c>
      <c r="BH238" s="11" t="s">
        <v>1520</v>
      </c>
      <c r="BI238" s="11" t="s">
        <v>1407</v>
      </c>
      <c r="BJ238" s="11" t="s">
        <v>134</v>
      </c>
      <c r="BK238" s="11"/>
      <c r="BL238" s="11" t="s">
        <v>1408</v>
      </c>
      <c r="BM238" s="11"/>
      <c r="BN238" s="11" t="s">
        <v>1457</v>
      </c>
      <c r="BO238" s="11" t="s">
        <v>1410</v>
      </c>
    </row>
    <row r="239" spans="2:67">
      <c r="B239" s="11">
        <v>228</v>
      </c>
      <c r="C239" s="11" t="s">
        <v>1374</v>
      </c>
      <c r="D239" s="11" t="s">
        <v>1375</v>
      </c>
      <c r="E239" s="11" t="s">
        <v>1376</v>
      </c>
      <c r="F239" s="11" t="s">
        <v>2890</v>
      </c>
      <c r="G239" s="11" t="s">
        <v>1916</v>
      </c>
      <c r="H239" s="11" t="s">
        <v>2891</v>
      </c>
      <c r="I239" s="11" t="s">
        <v>2892</v>
      </c>
      <c r="J239" s="11" t="s">
        <v>134</v>
      </c>
      <c r="K239" s="11" t="s">
        <v>1488</v>
      </c>
      <c r="L239" s="11" t="s">
        <v>2893</v>
      </c>
      <c r="M239" s="11" t="s">
        <v>1581</v>
      </c>
      <c r="N239" s="11" t="s">
        <v>376</v>
      </c>
      <c r="O239" s="11" t="s">
        <v>134</v>
      </c>
      <c r="P239" s="11"/>
      <c r="Q239" s="11"/>
      <c r="R239" s="11" t="s">
        <v>2894</v>
      </c>
      <c r="S239" s="11" t="s">
        <v>94</v>
      </c>
      <c r="T239" s="11" t="s">
        <v>2895</v>
      </c>
      <c r="U239" s="11" t="s">
        <v>1387</v>
      </c>
      <c r="V239" s="11" t="s">
        <v>2896</v>
      </c>
      <c r="W239" s="11" t="s">
        <v>1389</v>
      </c>
      <c r="X239" s="11" t="s">
        <v>1492</v>
      </c>
      <c r="Y239" s="11" t="s">
        <v>1547</v>
      </c>
      <c r="Z239" s="11" t="s">
        <v>1770</v>
      </c>
      <c r="AA239" s="11" t="s">
        <v>2897</v>
      </c>
      <c r="AB239" s="11" t="s">
        <v>2898</v>
      </c>
      <c r="AC239" s="11" t="s">
        <v>2894</v>
      </c>
      <c r="AD239" s="11">
        <v>5385549</v>
      </c>
      <c r="AE239" s="11" t="s">
        <v>94</v>
      </c>
      <c r="AF239" s="11" t="s">
        <v>2899</v>
      </c>
      <c r="AG239" s="11" t="s">
        <v>94</v>
      </c>
      <c r="AH239" s="11" t="s">
        <v>2900</v>
      </c>
      <c r="AI239" s="11" t="s">
        <v>2907</v>
      </c>
      <c r="AJ239" s="11" t="s">
        <v>2279</v>
      </c>
      <c r="AK239" s="11" t="s">
        <v>1396</v>
      </c>
      <c r="AL239" s="11" t="s">
        <v>134</v>
      </c>
      <c r="AM239" s="11">
        <v>2704.15</v>
      </c>
      <c r="AN239" s="11"/>
      <c r="AO239" s="11" t="s">
        <v>134</v>
      </c>
      <c r="AP239" s="11" t="s">
        <v>1397</v>
      </c>
      <c r="AQ239" s="11" t="s">
        <v>1398</v>
      </c>
      <c r="AR239" s="11" t="s">
        <v>2255</v>
      </c>
      <c r="AS239" s="11" t="s">
        <v>2902</v>
      </c>
      <c r="AT239" s="11" t="s">
        <v>2908</v>
      </c>
      <c r="AU239" s="11" t="s">
        <v>1719</v>
      </c>
      <c r="AV239" s="11"/>
      <c r="AW239" s="11" t="s">
        <v>2904</v>
      </c>
      <c r="AX239" s="11"/>
      <c r="AY239" s="11"/>
      <c r="AZ239" s="11"/>
      <c r="BA239" s="11"/>
      <c r="BB239" s="11">
        <v>79768935</v>
      </c>
      <c r="BC239" s="11" t="s">
        <v>1403</v>
      </c>
      <c r="BD239" s="11" t="s">
        <v>1432</v>
      </c>
      <c r="BE239" s="11" t="s">
        <v>1896</v>
      </c>
      <c r="BF239" s="11" t="s">
        <v>1501</v>
      </c>
      <c r="BG239" s="11" t="s">
        <v>1482</v>
      </c>
      <c r="BH239" s="11" t="s">
        <v>1520</v>
      </c>
      <c r="BI239" s="11" t="s">
        <v>1407</v>
      </c>
      <c r="BJ239" s="11" t="s">
        <v>134</v>
      </c>
      <c r="BK239" s="11"/>
      <c r="BL239" s="11" t="s">
        <v>1408</v>
      </c>
      <c r="BM239" s="11"/>
      <c r="BN239" s="11" t="s">
        <v>1457</v>
      </c>
      <c r="BO239" s="11" t="s">
        <v>1410</v>
      </c>
    </row>
    <row r="240" spans="2:67">
      <c r="B240" s="11">
        <v>229</v>
      </c>
      <c r="C240" s="11" t="s">
        <v>1374</v>
      </c>
      <c r="D240" s="11" t="s">
        <v>1375</v>
      </c>
      <c r="E240" s="11" t="s">
        <v>1376</v>
      </c>
      <c r="F240" s="11" t="s">
        <v>2890</v>
      </c>
      <c r="G240" s="11" t="s">
        <v>1916</v>
      </c>
      <c r="H240" s="11" t="s">
        <v>2891</v>
      </c>
      <c r="I240" s="11" t="s">
        <v>2892</v>
      </c>
      <c r="J240" s="11" t="s">
        <v>134</v>
      </c>
      <c r="K240" s="11" t="s">
        <v>1488</v>
      </c>
      <c r="L240" s="11" t="s">
        <v>2893</v>
      </c>
      <c r="M240" s="11" t="s">
        <v>1581</v>
      </c>
      <c r="N240" s="11" t="s">
        <v>376</v>
      </c>
      <c r="O240" s="11" t="s">
        <v>134</v>
      </c>
      <c r="P240" s="11"/>
      <c r="Q240" s="11"/>
      <c r="R240" s="11" t="s">
        <v>2894</v>
      </c>
      <c r="S240" s="11" t="s">
        <v>94</v>
      </c>
      <c r="T240" s="11" t="s">
        <v>2895</v>
      </c>
      <c r="U240" s="11" t="s">
        <v>1387</v>
      </c>
      <c r="V240" s="11" t="s">
        <v>2896</v>
      </c>
      <c r="W240" s="11" t="s">
        <v>1389</v>
      </c>
      <c r="X240" s="11" t="s">
        <v>1492</v>
      </c>
      <c r="Y240" s="11" t="s">
        <v>1547</v>
      </c>
      <c r="Z240" s="11" t="s">
        <v>1770</v>
      </c>
      <c r="AA240" s="11" t="s">
        <v>2897</v>
      </c>
      <c r="AB240" s="11" t="s">
        <v>2898</v>
      </c>
      <c r="AC240" s="11" t="s">
        <v>2894</v>
      </c>
      <c r="AD240" s="11">
        <v>5385549</v>
      </c>
      <c r="AE240" s="11" t="s">
        <v>94</v>
      </c>
      <c r="AF240" s="11" t="s">
        <v>2899</v>
      </c>
      <c r="AG240" s="11" t="s">
        <v>94</v>
      </c>
      <c r="AH240" s="11" t="s">
        <v>2900</v>
      </c>
      <c r="AI240" s="11" t="s">
        <v>2909</v>
      </c>
      <c r="AJ240" s="11" t="s">
        <v>2282</v>
      </c>
      <c r="AK240" s="11" t="s">
        <v>1396</v>
      </c>
      <c r="AL240" s="11" t="s">
        <v>134</v>
      </c>
      <c r="AM240" s="11">
        <v>3314.9</v>
      </c>
      <c r="AN240" s="11"/>
      <c r="AO240" s="11" t="s">
        <v>134</v>
      </c>
      <c r="AP240" s="11" t="s">
        <v>1397</v>
      </c>
      <c r="AQ240" s="11" t="s">
        <v>1398</v>
      </c>
      <c r="AR240" s="11" t="s">
        <v>2255</v>
      </c>
      <c r="AS240" s="11" t="s">
        <v>2902</v>
      </c>
      <c r="AT240" s="11" t="s">
        <v>2910</v>
      </c>
      <c r="AU240" s="11" t="s">
        <v>1719</v>
      </c>
      <c r="AV240" s="11"/>
      <c r="AW240" s="11" t="s">
        <v>2904</v>
      </c>
      <c r="AX240" s="11"/>
      <c r="AY240" s="11"/>
      <c r="AZ240" s="11"/>
      <c r="BA240" s="11"/>
      <c r="BB240" s="11">
        <v>79768935</v>
      </c>
      <c r="BC240" s="11" t="s">
        <v>1403</v>
      </c>
      <c r="BD240" s="11" t="s">
        <v>1432</v>
      </c>
      <c r="BE240" s="11" t="s">
        <v>1896</v>
      </c>
      <c r="BF240" s="11" t="s">
        <v>1501</v>
      </c>
      <c r="BG240" s="11" t="s">
        <v>1482</v>
      </c>
      <c r="BH240" s="11" t="s">
        <v>1520</v>
      </c>
      <c r="BI240" s="11" t="s">
        <v>1407</v>
      </c>
      <c r="BJ240" s="11" t="s">
        <v>134</v>
      </c>
      <c r="BK240" s="11"/>
      <c r="BL240" s="11" t="s">
        <v>1408</v>
      </c>
      <c r="BM240" s="11"/>
      <c r="BN240" s="11" t="s">
        <v>1457</v>
      </c>
      <c r="BO240" s="11" t="s">
        <v>1410</v>
      </c>
    </row>
    <row r="241" spans="2:67">
      <c r="B241" s="11">
        <v>230</v>
      </c>
      <c r="C241" s="11" t="s">
        <v>1374</v>
      </c>
      <c r="D241" s="11" t="s">
        <v>1375</v>
      </c>
      <c r="E241" s="11" t="s">
        <v>1376</v>
      </c>
      <c r="F241" s="11" t="s">
        <v>2890</v>
      </c>
      <c r="G241" s="11" t="s">
        <v>1916</v>
      </c>
      <c r="H241" s="11" t="s">
        <v>2891</v>
      </c>
      <c r="I241" s="11" t="s">
        <v>2892</v>
      </c>
      <c r="J241" s="11" t="s">
        <v>134</v>
      </c>
      <c r="K241" s="11" t="s">
        <v>1488</v>
      </c>
      <c r="L241" s="11" t="s">
        <v>2893</v>
      </c>
      <c r="M241" s="11" t="s">
        <v>1581</v>
      </c>
      <c r="N241" s="11" t="s">
        <v>376</v>
      </c>
      <c r="O241" s="11" t="s">
        <v>134</v>
      </c>
      <c r="P241" s="11"/>
      <c r="Q241" s="11"/>
      <c r="R241" s="11" t="s">
        <v>2894</v>
      </c>
      <c r="S241" s="11" t="s">
        <v>94</v>
      </c>
      <c r="T241" s="11" t="s">
        <v>2895</v>
      </c>
      <c r="U241" s="11" t="s">
        <v>1387</v>
      </c>
      <c r="V241" s="11" t="s">
        <v>2896</v>
      </c>
      <c r="W241" s="11" t="s">
        <v>1389</v>
      </c>
      <c r="X241" s="11" t="s">
        <v>1492</v>
      </c>
      <c r="Y241" s="11" t="s">
        <v>1547</v>
      </c>
      <c r="Z241" s="11" t="s">
        <v>1770</v>
      </c>
      <c r="AA241" s="11" t="s">
        <v>2897</v>
      </c>
      <c r="AB241" s="11" t="s">
        <v>2898</v>
      </c>
      <c r="AC241" s="11" t="s">
        <v>2894</v>
      </c>
      <c r="AD241" s="11">
        <v>5385549</v>
      </c>
      <c r="AE241" s="11" t="s">
        <v>94</v>
      </c>
      <c r="AF241" s="11" t="s">
        <v>2899</v>
      </c>
      <c r="AG241" s="11" t="s">
        <v>94</v>
      </c>
      <c r="AH241" s="11" t="s">
        <v>2900</v>
      </c>
      <c r="AI241" s="11" t="s">
        <v>2911</v>
      </c>
      <c r="AJ241" s="11" t="s">
        <v>2270</v>
      </c>
      <c r="AK241" s="11" t="s">
        <v>1396</v>
      </c>
      <c r="AL241" s="11" t="s">
        <v>134</v>
      </c>
      <c r="AM241" s="11">
        <v>1586.4</v>
      </c>
      <c r="AN241" s="11"/>
      <c r="AO241" s="11" t="s">
        <v>134</v>
      </c>
      <c r="AP241" s="11" t="s">
        <v>1397</v>
      </c>
      <c r="AQ241" s="11" t="s">
        <v>1398</v>
      </c>
      <c r="AR241" s="11" t="s">
        <v>2255</v>
      </c>
      <c r="AS241" s="11" t="s">
        <v>2902</v>
      </c>
      <c r="AT241" s="11" t="s">
        <v>2912</v>
      </c>
      <c r="AU241" s="11" t="s">
        <v>1719</v>
      </c>
      <c r="AV241" s="11"/>
      <c r="AW241" s="11" t="s">
        <v>2904</v>
      </c>
      <c r="AX241" s="11"/>
      <c r="AY241" s="11"/>
      <c r="AZ241" s="11"/>
      <c r="BA241" s="11"/>
      <c r="BB241" s="11">
        <v>79768935</v>
      </c>
      <c r="BC241" s="11" t="s">
        <v>1403</v>
      </c>
      <c r="BD241" s="11" t="s">
        <v>1432</v>
      </c>
      <c r="BE241" s="11" t="s">
        <v>1896</v>
      </c>
      <c r="BF241" s="11" t="s">
        <v>1501</v>
      </c>
      <c r="BG241" s="11" t="s">
        <v>1482</v>
      </c>
      <c r="BH241" s="11" t="s">
        <v>1520</v>
      </c>
      <c r="BI241" s="11" t="s">
        <v>1407</v>
      </c>
      <c r="BJ241" s="11" t="s">
        <v>134</v>
      </c>
      <c r="BK241" s="11"/>
      <c r="BL241" s="11" t="s">
        <v>1408</v>
      </c>
      <c r="BM241" s="11"/>
      <c r="BN241" s="11" t="s">
        <v>1457</v>
      </c>
      <c r="BO241" s="11" t="s">
        <v>1410</v>
      </c>
    </row>
    <row r="242" spans="2:67">
      <c r="B242" s="11">
        <v>231</v>
      </c>
      <c r="C242" s="11" t="s">
        <v>1374</v>
      </c>
      <c r="D242" s="11" t="s">
        <v>1375</v>
      </c>
      <c r="E242" s="11" t="s">
        <v>1376</v>
      </c>
      <c r="F242" s="11" t="s">
        <v>2890</v>
      </c>
      <c r="G242" s="11" t="s">
        <v>1916</v>
      </c>
      <c r="H242" s="11" t="s">
        <v>2891</v>
      </c>
      <c r="I242" s="11" t="s">
        <v>2892</v>
      </c>
      <c r="J242" s="11" t="s">
        <v>134</v>
      </c>
      <c r="K242" s="11" t="s">
        <v>1488</v>
      </c>
      <c r="L242" s="11" t="s">
        <v>2893</v>
      </c>
      <c r="M242" s="11" t="s">
        <v>1581</v>
      </c>
      <c r="N242" s="11" t="s">
        <v>376</v>
      </c>
      <c r="O242" s="11" t="s">
        <v>134</v>
      </c>
      <c r="P242" s="11"/>
      <c r="Q242" s="11"/>
      <c r="R242" s="11" t="s">
        <v>2894</v>
      </c>
      <c r="S242" s="11" t="s">
        <v>94</v>
      </c>
      <c r="T242" s="11" t="s">
        <v>2895</v>
      </c>
      <c r="U242" s="11" t="s">
        <v>1387</v>
      </c>
      <c r="V242" s="11" t="s">
        <v>2896</v>
      </c>
      <c r="W242" s="11" t="s">
        <v>1389</v>
      </c>
      <c r="X242" s="11" t="s">
        <v>1492</v>
      </c>
      <c r="Y242" s="11" t="s">
        <v>1547</v>
      </c>
      <c r="Z242" s="11" t="s">
        <v>1770</v>
      </c>
      <c r="AA242" s="11" t="s">
        <v>2897</v>
      </c>
      <c r="AB242" s="11" t="s">
        <v>2898</v>
      </c>
      <c r="AC242" s="11" t="s">
        <v>2894</v>
      </c>
      <c r="AD242" s="11">
        <v>5385549</v>
      </c>
      <c r="AE242" s="11" t="s">
        <v>94</v>
      </c>
      <c r="AF242" s="11" t="s">
        <v>2899</v>
      </c>
      <c r="AG242" s="11" t="s">
        <v>94</v>
      </c>
      <c r="AH242" s="11" t="s">
        <v>2900</v>
      </c>
      <c r="AI242" s="11" t="s">
        <v>2913</v>
      </c>
      <c r="AJ242" s="11" t="s">
        <v>2266</v>
      </c>
      <c r="AK242" s="11" t="s">
        <v>1396</v>
      </c>
      <c r="AL242" s="11" t="s">
        <v>134</v>
      </c>
      <c r="AM242" s="11">
        <v>1351.75</v>
      </c>
      <c r="AN242" s="11"/>
      <c r="AO242" s="11" t="s">
        <v>134</v>
      </c>
      <c r="AP242" s="11" t="s">
        <v>1397</v>
      </c>
      <c r="AQ242" s="11" t="s">
        <v>1398</v>
      </c>
      <c r="AR242" s="11" t="s">
        <v>2255</v>
      </c>
      <c r="AS242" s="11" t="s">
        <v>2902</v>
      </c>
      <c r="AT242" s="11" t="s">
        <v>2914</v>
      </c>
      <c r="AU242" s="11" t="s">
        <v>1719</v>
      </c>
      <c r="AV242" s="11"/>
      <c r="AW242" s="11" t="s">
        <v>2904</v>
      </c>
      <c r="AX242" s="11"/>
      <c r="AY242" s="11"/>
      <c r="AZ242" s="11"/>
      <c r="BA242" s="11"/>
      <c r="BB242" s="11">
        <v>79768935</v>
      </c>
      <c r="BC242" s="11" t="s">
        <v>1403</v>
      </c>
      <c r="BD242" s="11" t="s">
        <v>1432</v>
      </c>
      <c r="BE242" s="11" t="s">
        <v>1896</v>
      </c>
      <c r="BF242" s="11" t="s">
        <v>1501</v>
      </c>
      <c r="BG242" s="11" t="s">
        <v>1482</v>
      </c>
      <c r="BH242" s="11" t="s">
        <v>1520</v>
      </c>
      <c r="BI242" s="11" t="s">
        <v>1407</v>
      </c>
      <c r="BJ242" s="11" t="s">
        <v>134</v>
      </c>
      <c r="BK242" s="11"/>
      <c r="BL242" s="11" t="s">
        <v>1408</v>
      </c>
      <c r="BM242" s="11"/>
      <c r="BN242" s="11" t="s">
        <v>1457</v>
      </c>
      <c r="BO242" s="11" t="s">
        <v>1410</v>
      </c>
    </row>
    <row r="243" spans="2:67">
      <c r="B243" s="11">
        <v>232</v>
      </c>
      <c r="C243" s="11" t="s">
        <v>1374</v>
      </c>
      <c r="D243" s="11" t="s">
        <v>1375</v>
      </c>
      <c r="E243" s="11" t="s">
        <v>1376</v>
      </c>
      <c r="F243" s="11" t="s">
        <v>2890</v>
      </c>
      <c r="G243" s="11" t="s">
        <v>1916</v>
      </c>
      <c r="H243" s="11" t="s">
        <v>2891</v>
      </c>
      <c r="I243" s="11" t="s">
        <v>2892</v>
      </c>
      <c r="J243" s="11" t="s">
        <v>134</v>
      </c>
      <c r="K243" s="11" t="s">
        <v>1488</v>
      </c>
      <c r="L243" s="11" t="s">
        <v>2893</v>
      </c>
      <c r="M243" s="11" t="s">
        <v>1581</v>
      </c>
      <c r="N243" s="11" t="s">
        <v>376</v>
      </c>
      <c r="O243" s="11" t="s">
        <v>134</v>
      </c>
      <c r="P243" s="11"/>
      <c r="Q243" s="11"/>
      <c r="R243" s="11" t="s">
        <v>2894</v>
      </c>
      <c r="S243" s="11" t="s">
        <v>94</v>
      </c>
      <c r="T243" s="11" t="s">
        <v>2895</v>
      </c>
      <c r="U243" s="11" t="s">
        <v>1387</v>
      </c>
      <c r="V243" s="11" t="s">
        <v>2896</v>
      </c>
      <c r="W243" s="11" t="s">
        <v>1389</v>
      </c>
      <c r="X243" s="11" t="s">
        <v>1492</v>
      </c>
      <c r="Y243" s="11" t="s">
        <v>1547</v>
      </c>
      <c r="Z243" s="11" t="s">
        <v>1770</v>
      </c>
      <c r="AA243" s="11" t="s">
        <v>2897</v>
      </c>
      <c r="AB243" s="11" t="s">
        <v>2898</v>
      </c>
      <c r="AC243" s="11" t="s">
        <v>2894</v>
      </c>
      <c r="AD243" s="11">
        <v>5385549</v>
      </c>
      <c r="AE243" s="11" t="s">
        <v>94</v>
      </c>
      <c r="AF243" s="11" t="s">
        <v>2899</v>
      </c>
      <c r="AG243" s="11" t="s">
        <v>94</v>
      </c>
      <c r="AH243" s="11" t="s">
        <v>2900</v>
      </c>
      <c r="AI243" s="11" t="s">
        <v>2915</v>
      </c>
      <c r="AJ243" s="11" t="s">
        <v>1517</v>
      </c>
      <c r="AK243" s="11" t="s">
        <v>1396</v>
      </c>
      <c r="AL243" s="11" t="s">
        <v>134</v>
      </c>
      <c r="AM243" s="11">
        <v>1500</v>
      </c>
      <c r="AN243" s="11"/>
      <c r="AO243" s="11" t="s">
        <v>134</v>
      </c>
      <c r="AP243" s="11" t="s">
        <v>1397</v>
      </c>
      <c r="AQ243" s="11" t="s">
        <v>1398</v>
      </c>
      <c r="AR243" s="11" t="s">
        <v>2255</v>
      </c>
      <c r="AS243" s="11" t="s">
        <v>2902</v>
      </c>
      <c r="AT243" s="11"/>
      <c r="AU243" s="11" t="s">
        <v>1719</v>
      </c>
      <c r="AV243" s="11"/>
      <c r="AW243" s="11" t="s">
        <v>2904</v>
      </c>
      <c r="AX243" s="11"/>
      <c r="AY243" s="11"/>
      <c r="AZ243" s="11"/>
      <c r="BA243" s="11"/>
      <c r="BB243" s="11">
        <v>79768935</v>
      </c>
      <c r="BC243" s="11" t="s">
        <v>1403</v>
      </c>
      <c r="BD243" s="11" t="s">
        <v>1432</v>
      </c>
      <c r="BE243" s="11" t="s">
        <v>1896</v>
      </c>
      <c r="BF243" s="11" t="s">
        <v>1501</v>
      </c>
      <c r="BG243" s="11" t="s">
        <v>1482</v>
      </c>
      <c r="BH243" s="11" t="s">
        <v>1520</v>
      </c>
      <c r="BI243" s="11" t="s">
        <v>1407</v>
      </c>
      <c r="BJ243" s="11" t="s">
        <v>134</v>
      </c>
      <c r="BK243" s="11"/>
      <c r="BL243" s="11"/>
      <c r="BM243" s="11"/>
      <c r="BN243" s="11" t="s">
        <v>1457</v>
      </c>
      <c r="BO243" s="11" t="s">
        <v>1410</v>
      </c>
    </row>
    <row r="244" spans="2:67">
      <c r="B244" s="11">
        <v>233</v>
      </c>
      <c r="C244" s="11" t="s">
        <v>1374</v>
      </c>
      <c r="D244" s="11" t="s">
        <v>1375</v>
      </c>
      <c r="E244" s="11" t="s">
        <v>1376</v>
      </c>
      <c r="F244" s="11" t="s">
        <v>2890</v>
      </c>
      <c r="G244" s="11" t="s">
        <v>1916</v>
      </c>
      <c r="H244" s="11" t="s">
        <v>2891</v>
      </c>
      <c r="I244" s="11" t="s">
        <v>2892</v>
      </c>
      <c r="J244" s="11" t="s">
        <v>134</v>
      </c>
      <c r="K244" s="11" t="s">
        <v>1488</v>
      </c>
      <c r="L244" s="11" t="s">
        <v>2893</v>
      </c>
      <c r="M244" s="11" t="s">
        <v>1581</v>
      </c>
      <c r="N244" s="11" t="s">
        <v>376</v>
      </c>
      <c r="O244" s="11" t="s">
        <v>134</v>
      </c>
      <c r="P244" s="11"/>
      <c r="Q244" s="11"/>
      <c r="R244" s="11" t="s">
        <v>2894</v>
      </c>
      <c r="S244" s="11" t="s">
        <v>94</v>
      </c>
      <c r="T244" s="11" t="s">
        <v>2895</v>
      </c>
      <c r="U244" s="11" t="s">
        <v>1387</v>
      </c>
      <c r="V244" s="11" t="s">
        <v>2896</v>
      </c>
      <c r="W244" s="11" t="s">
        <v>1389</v>
      </c>
      <c r="X244" s="11" t="s">
        <v>1492</v>
      </c>
      <c r="Y244" s="11" t="s">
        <v>1547</v>
      </c>
      <c r="Z244" s="11" t="s">
        <v>1770</v>
      </c>
      <c r="AA244" s="11" t="s">
        <v>2897</v>
      </c>
      <c r="AB244" s="11" t="s">
        <v>2898</v>
      </c>
      <c r="AC244" s="11" t="s">
        <v>2894</v>
      </c>
      <c r="AD244" s="11">
        <v>5385549</v>
      </c>
      <c r="AE244" s="11" t="s">
        <v>94</v>
      </c>
      <c r="AF244" s="11" t="s">
        <v>2899</v>
      </c>
      <c r="AG244" s="11" t="s">
        <v>94</v>
      </c>
      <c r="AH244" s="11" t="s">
        <v>2900</v>
      </c>
      <c r="AI244" s="11" t="s">
        <v>2916</v>
      </c>
      <c r="AJ244" s="11" t="s">
        <v>2031</v>
      </c>
      <c r="AK244" s="11" t="s">
        <v>1396</v>
      </c>
      <c r="AL244" s="11" t="s">
        <v>134</v>
      </c>
      <c r="AM244" s="11">
        <v>5900</v>
      </c>
      <c r="AN244" s="11"/>
      <c r="AO244" s="11" t="s">
        <v>134</v>
      </c>
      <c r="AP244" s="11" t="s">
        <v>1397</v>
      </c>
      <c r="AQ244" s="11" t="s">
        <v>1398</v>
      </c>
      <c r="AR244" s="11" t="s">
        <v>2255</v>
      </c>
      <c r="AS244" s="11" t="s">
        <v>2902</v>
      </c>
      <c r="AT244" s="11"/>
      <c r="AU244" s="11" t="s">
        <v>1719</v>
      </c>
      <c r="AV244" s="11"/>
      <c r="AW244" s="11" t="s">
        <v>2904</v>
      </c>
      <c r="AX244" s="11"/>
      <c r="AY244" s="11"/>
      <c r="AZ244" s="11"/>
      <c r="BA244" s="11"/>
      <c r="BB244" s="11">
        <v>79768935</v>
      </c>
      <c r="BC244" s="11" t="s">
        <v>1403</v>
      </c>
      <c r="BD244" s="11" t="s">
        <v>1432</v>
      </c>
      <c r="BE244" s="11" t="s">
        <v>1896</v>
      </c>
      <c r="BF244" s="11" t="s">
        <v>1501</v>
      </c>
      <c r="BG244" s="11" t="s">
        <v>1482</v>
      </c>
      <c r="BH244" s="11" t="s">
        <v>1520</v>
      </c>
      <c r="BI244" s="11" t="s">
        <v>1407</v>
      </c>
      <c r="BJ244" s="11" t="s">
        <v>134</v>
      </c>
      <c r="BK244" s="11"/>
      <c r="BL244" s="11"/>
      <c r="BM244" s="11"/>
      <c r="BN244" s="11" t="s">
        <v>1457</v>
      </c>
      <c r="BO244" s="11" t="s">
        <v>1410</v>
      </c>
    </row>
    <row r="245" spans="2:67">
      <c r="B245" s="11">
        <v>234</v>
      </c>
      <c r="C245" s="11" t="s">
        <v>1374</v>
      </c>
      <c r="D245" s="11" t="s">
        <v>1375</v>
      </c>
      <c r="E245" s="11"/>
      <c r="F245" s="11" t="s">
        <v>2917</v>
      </c>
      <c r="G245" s="11"/>
      <c r="H245" s="11" t="s">
        <v>2918</v>
      </c>
      <c r="I245" s="11" t="s">
        <v>134</v>
      </c>
      <c r="J245" s="11" t="s">
        <v>134</v>
      </c>
      <c r="K245" s="11" t="s">
        <v>1470</v>
      </c>
      <c r="L245" s="11" t="s">
        <v>1382</v>
      </c>
      <c r="M245" s="11" t="s">
        <v>1383</v>
      </c>
      <c r="N245" s="11" t="s">
        <v>1957</v>
      </c>
      <c r="O245" s="11"/>
      <c r="P245" s="11"/>
      <c r="Q245" s="11"/>
      <c r="R245" s="11" t="s">
        <v>2919</v>
      </c>
      <c r="S245" s="11" t="s">
        <v>1382</v>
      </c>
      <c r="T245" s="11" t="s">
        <v>2920</v>
      </c>
      <c r="U245" s="11" t="s">
        <v>1444</v>
      </c>
      <c r="V245" s="11" t="s">
        <v>2921</v>
      </c>
      <c r="W245" s="11" t="s">
        <v>1389</v>
      </c>
      <c r="X245" s="11" t="s">
        <v>1769</v>
      </c>
      <c r="Y245" s="11" t="s">
        <v>1470</v>
      </c>
      <c r="Z245" s="11" t="s">
        <v>2922</v>
      </c>
      <c r="AA245" s="11" t="s">
        <v>2591</v>
      </c>
      <c r="AB245" s="11" t="s">
        <v>2923</v>
      </c>
      <c r="AC245" s="11" t="s">
        <v>2919</v>
      </c>
      <c r="AD245" s="11">
        <v>5385524</v>
      </c>
      <c r="AE245" s="11" t="s">
        <v>1382</v>
      </c>
      <c r="AF245" s="11" t="s">
        <v>2924</v>
      </c>
      <c r="AG245" s="11" t="s">
        <v>1382</v>
      </c>
      <c r="AH245" s="11" t="s">
        <v>2924</v>
      </c>
      <c r="AI245" s="11" t="s">
        <v>2088</v>
      </c>
      <c r="AJ245" s="11" t="s">
        <v>2089</v>
      </c>
      <c r="AK245" s="11" t="s">
        <v>1396</v>
      </c>
      <c r="AL245" s="11" t="s">
        <v>134</v>
      </c>
      <c r="AM245" s="11">
        <v>10830.4</v>
      </c>
      <c r="AN245" s="11"/>
      <c r="AO245" s="11" t="s">
        <v>2925</v>
      </c>
      <c r="AP245" s="11" t="s">
        <v>1451</v>
      </c>
      <c r="AQ245" s="11" t="s">
        <v>1398</v>
      </c>
      <c r="AR245" s="11" t="s">
        <v>1570</v>
      </c>
      <c r="AS245" s="11" t="s">
        <v>2926</v>
      </c>
      <c r="AT245" s="11" t="s">
        <v>2927</v>
      </c>
      <c r="AU245" s="11" t="s">
        <v>1719</v>
      </c>
      <c r="AV245" s="11"/>
      <c r="AW245" s="11" t="s">
        <v>2928</v>
      </c>
      <c r="AX245" s="11"/>
      <c r="AY245" s="11"/>
      <c r="AZ245" s="11"/>
      <c r="BA245" s="11"/>
      <c r="BB245" s="11">
        <v>64688587</v>
      </c>
      <c r="BC245" s="11" t="s">
        <v>1403</v>
      </c>
      <c r="BD245" s="11" t="s">
        <v>1432</v>
      </c>
      <c r="BE245" s="11" t="s">
        <v>2078</v>
      </c>
      <c r="BF245" s="11" t="s">
        <v>1555</v>
      </c>
      <c r="BG245" s="11"/>
      <c r="BH245" s="11" t="s">
        <v>1502</v>
      </c>
      <c r="BI245" s="11" t="s">
        <v>1407</v>
      </c>
      <c r="BJ245" s="11" t="s">
        <v>134</v>
      </c>
      <c r="BK245" s="11"/>
      <c r="BL245" s="11" t="s">
        <v>1408</v>
      </c>
      <c r="BM245" s="11"/>
      <c r="BN245" s="11" t="s">
        <v>1457</v>
      </c>
      <c r="BO245" s="11"/>
    </row>
    <row r="246" spans="2:67">
      <c r="B246" s="11">
        <v>235</v>
      </c>
      <c r="C246" s="11" t="s">
        <v>1374</v>
      </c>
      <c r="D246" s="11" t="s">
        <v>1375</v>
      </c>
      <c r="E246" s="11"/>
      <c r="F246" s="11" t="s">
        <v>2917</v>
      </c>
      <c r="G246" s="11"/>
      <c r="H246" s="11" t="s">
        <v>2918</v>
      </c>
      <c r="I246" s="11" t="s">
        <v>134</v>
      </c>
      <c r="J246" s="11" t="s">
        <v>134</v>
      </c>
      <c r="K246" s="11" t="s">
        <v>1470</v>
      </c>
      <c r="L246" s="11" t="s">
        <v>1382</v>
      </c>
      <c r="M246" s="11" t="s">
        <v>1383</v>
      </c>
      <c r="N246" s="11" t="s">
        <v>1957</v>
      </c>
      <c r="O246" s="11"/>
      <c r="P246" s="11"/>
      <c r="Q246" s="11"/>
      <c r="R246" s="11" t="s">
        <v>2919</v>
      </c>
      <c r="S246" s="11" t="s">
        <v>1382</v>
      </c>
      <c r="T246" s="11" t="s">
        <v>2920</v>
      </c>
      <c r="U246" s="11" t="s">
        <v>1444</v>
      </c>
      <c r="V246" s="11" t="s">
        <v>2921</v>
      </c>
      <c r="W246" s="11" t="s">
        <v>1389</v>
      </c>
      <c r="X246" s="11" t="s">
        <v>1769</v>
      </c>
      <c r="Y246" s="11" t="s">
        <v>1470</v>
      </c>
      <c r="Z246" s="11" t="s">
        <v>2922</v>
      </c>
      <c r="AA246" s="11" t="s">
        <v>2591</v>
      </c>
      <c r="AB246" s="11" t="s">
        <v>2923</v>
      </c>
      <c r="AC246" s="11" t="s">
        <v>2919</v>
      </c>
      <c r="AD246" s="11">
        <v>5385524</v>
      </c>
      <c r="AE246" s="11" t="s">
        <v>1382</v>
      </c>
      <c r="AF246" s="11" t="s">
        <v>2924</v>
      </c>
      <c r="AG246" s="11" t="s">
        <v>1382</v>
      </c>
      <c r="AH246" s="11" t="s">
        <v>2924</v>
      </c>
      <c r="AI246" s="11" t="s">
        <v>2082</v>
      </c>
      <c r="AJ246" s="11" t="s">
        <v>2083</v>
      </c>
      <c r="AK246" s="11" t="s">
        <v>1396</v>
      </c>
      <c r="AL246" s="11" t="s">
        <v>134</v>
      </c>
      <c r="AM246" s="11">
        <v>1069.5999999999999</v>
      </c>
      <c r="AN246" s="11"/>
      <c r="AO246" s="11" t="s">
        <v>2925</v>
      </c>
      <c r="AP246" s="11" t="s">
        <v>1451</v>
      </c>
      <c r="AQ246" s="11" t="s">
        <v>1398</v>
      </c>
      <c r="AR246" s="11" t="s">
        <v>1570</v>
      </c>
      <c r="AS246" s="11" t="s">
        <v>2926</v>
      </c>
      <c r="AT246" s="11" t="s">
        <v>2929</v>
      </c>
      <c r="AU246" s="11" t="s">
        <v>1719</v>
      </c>
      <c r="AV246" s="11"/>
      <c r="AW246" s="11" t="s">
        <v>2928</v>
      </c>
      <c r="AX246" s="11"/>
      <c r="AY246" s="11"/>
      <c r="AZ246" s="11"/>
      <c r="BA246" s="11"/>
      <c r="BB246" s="11">
        <v>64688587</v>
      </c>
      <c r="BC246" s="11" t="s">
        <v>1403</v>
      </c>
      <c r="BD246" s="11" t="s">
        <v>1432</v>
      </c>
      <c r="BE246" s="11" t="s">
        <v>2078</v>
      </c>
      <c r="BF246" s="11" t="s">
        <v>1555</v>
      </c>
      <c r="BG246" s="11"/>
      <c r="BH246" s="11" t="s">
        <v>1502</v>
      </c>
      <c r="BI246" s="11" t="s">
        <v>1407</v>
      </c>
      <c r="BJ246" s="11" t="s">
        <v>134</v>
      </c>
      <c r="BK246" s="11"/>
      <c r="BL246" s="11" t="s">
        <v>1408</v>
      </c>
      <c r="BM246" s="11"/>
      <c r="BN246" s="11" t="s">
        <v>1457</v>
      </c>
      <c r="BO246" s="11"/>
    </row>
    <row r="247" spans="2:67">
      <c r="B247" s="11">
        <v>236</v>
      </c>
      <c r="C247" s="11" t="s">
        <v>1374</v>
      </c>
      <c r="D247" s="11" t="s">
        <v>1375</v>
      </c>
      <c r="E247" s="11"/>
      <c r="F247" s="11" t="s">
        <v>2917</v>
      </c>
      <c r="G247" s="11"/>
      <c r="H247" s="11" t="s">
        <v>2918</v>
      </c>
      <c r="I247" s="11" t="s">
        <v>134</v>
      </c>
      <c r="J247" s="11" t="s">
        <v>134</v>
      </c>
      <c r="K247" s="11" t="s">
        <v>1470</v>
      </c>
      <c r="L247" s="11" t="s">
        <v>1382</v>
      </c>
      <c r="M247" s="11" t="s">
        <v>1383</v>
      </c>
      <c r="N247" s="11" t="s">
        <v>1957</v>
      </c>
      <c r="O247" s="11"/>
      <c r="P247" s="11"/>
      <c r="Q247" s="11"/>
      <c r="R247" s="11" t="s">
        <v>2919</v>
      </c>
      <c r="S247" s="11" t="s">
        <v>1382</v>
      </c>
      <c r="T247" s="11" t="s">
        <v>2920</v>
      </c>
      <c r="U247" s="11" t="s">
        <v>1444</v>
      </c>
      <c r="V247" s="11" t="s">
        <v>2921</v>
      </c>
      <c r="W247" s="11" t="s">
        <v>1389</v>
      </c>
      <c r="X247" s="11" t="s">
        <v>1769</v>
      </c>
      <c r="Y247" s="11" t="s">
        <v>1470</v>
      </c>
      <c r="Z247" s="11" t="s">
        <v>2922</v>
      </c>
      <c r="AA247" s="11" t="s">
        <v>2591</v>
      </c>
      <c r="AB247" s="11" t="s">
        <v>2923</v>
      </c>
      <c r="AC247" s="11" t="s">
        <v>2919</v>
      </c>
      <c r="AD247" s="11">
        <v>5385524</v>
      </c>
      <c r="AE247" s="11" t="s">
        <v>1382</v>
      </c>
      <c r="AF247" s="11" t="s">
        <v>2924</v>
      </c>
      <c r="AG247" s="11" t="s">
        <v>1382</v>
      </c>
      <c r="AH247" s="11" t="s">
        <v>2924</v>
      </c>
      <c r="AI247" s="11" t="s">
        <v>2863</v>
      </c>
      <c r="AJ247" s="11" t="s">
        <v>2086</v>
      </c>
      <c r="AK247" s="11" t="s">
        <v>1396</v>
      </c>
      <c r="AL247" s="11" t="s">
        <v>134</v>
      </c>
      <c r="AM247" s="11">
        <v>10830.4</v>
      </c>
      <c r="AN247" s="11"/>
      <c r="AO247" s="11" t="s">
        <v>2925</v>
      </c>
      <c r="AP247" s="11" t="s">
        <v>1451</v>
      </c>
      <c r="AQ247" s="11" t="s">
        <v>1398</v>
      </c>
      <c r="AR247" s="11" t="s">
        <v>1570</v>
      </c>
      <c r="AS247" s="11" t="s">
        <v>2926</v>
      </c>
      <c r="AT247" s="11" t="s">
        <v>2930</v>
      </c>
      <c r="AU247" s="11" t="s">
        <v>1719</v>
      </c>
      <c r="AV247" s="11"/>
      <c r="AW247" s="11" t="s">
        <v>2928</v>
      </c>
      <c r="AX247" s="11"/>
      <c r="AY247" s="11"/>
      <c r="AZ247" s="11"/>
      <c r="BA247" s="11"/>
      <c r="BB247" s="11">
        <v>64688587</v>
      </c>
      <c r="BC247" s="11" t="s">
        <v>1403</v>
      </c>
      <c r="BD247" s="11" t="s">
        <v>1432</v>
      </c>
      <c r="BE247" s="11" t="s">
        <v>2078</v>
      </c>
      <c r="BF247" s="11" t="s">
        <v>1555</v>
      </c>
      <c r="BG247" s="11"/>
      <c r="BH247" s="11" t="s">
        <v>1502</v>
      </c>
      <c r="BI247" s="11" t="s">
        <v>1407</v>
      </c>
      <c r="BJ247" s="11" t="s">
        <v>134</v>
      </c>
      <c r="BK247" s="11"/>
      <c r="BL247" s="11" t="s">
        <v>1408</v>
      </c>
      <c r="BM247" s="11"/>
      <c r="BN247" s="11" t="s">
        <v>1457</v>
      </c>
      <c r="BO247" s="11"/>
    </row>
    <row r="248" spans="2:67">
      <c r="B248" s="11">
        <v>237</v>
      </c>
      <c r="C248" s="11" t="s">
        <v>1374</v>
      </c>
      <c r="D248" s="11" t="s">
        <v>1375</v>
      </c>
      <c r="E248" s="11"/>
      <c r="F248" s="11" t="s">
        <v>2917</v>
      </c>
      <c r="G248" s="11"/>
      <c r="H248" s="11" t="s">
        <v>2918</v>
      </c>
      <c r="I248" s="11" t="s">
        <v>134</v>
      </c>
      <c r="J248" s="11" t="s">
        <v>134</v>
      </c>
      <c r="K248" s="11" t="s">
        <v>1470</v>
      </c>
      <c r="L248" s="11" t="s">
        <v>1382</v>
      </c>
      <c r="M248" s="11" t="s">
        <v>1383</v>
      </c>
      <c r="N248" s="11" t="s">
        <v>1957</v>
      </c>
      <c r="O248" s="11"/>
      <c r="P248" s="11"/>
      <c r="Q248" s="11"/>
      <c r="R248" s="11" t="s">
        <v>2919</v>
      </c>
      <c r="S248" s="11" t="s">
        <v>1382</v>
      </c>
      <c r="T248" s="11" t="s">
        <v>2920</v>
      </c>
      <c r="U248" s="11" t="s">
        <v>1444</v>
      </c>
      <c r="V248" s="11" t="s">
        <v>2921</v>
      </c>
      <c r="W248" s="11" t="s">
        <v>1389</v>
      </c>
      <c r="X248" s="11" t="s">
        <v>1769</v>
      </c>
      <c r="Y248" s="11" t="s">
        <v>1470</v>
      </c>
      <c r="Z248" s="11" t="s">
        <v>2922</v>
      </c>
      <c r="AA248" s="11" t="s">
        <v>2591</v>
      </c>
      <c r="AB248" s="11" t="s">
        <v>2923</v>
      </c>
      <c r="AC248" s="11" t="s">
        <v>2919</v>
      </c>
      <c r="AD248" s="11">
        <v>5385524</v>
      </c>
      <c r="AE248" s="11" t="s">
        <v>1382</v>
      </c>
      <c r="AF248" s="11" t="s">
        <v>2924</v>
      </c>
      <c r="AG248" s="11" t="s">
        <v>1382</v>
      </c>
      <c r="AH248" s="11" t="s">
        <v>2924</v>
      </c>
      <c r="AI248" s="11" t="s">
        <v>2079</v>
      </c>
      <c r="AJ248" s="11" t="s">
        <v>2080</v>
      </c>
      <c r="AK248" s="11" t="s">
        <v>1396</v>
      </c>
      <c r="AL248" s="11" t="s">
        <v>134</v>
      </c>
      <c r="AM248" s="11">
        <v>1569.6</v>
      </c>
      <c r="AN248" s="11"/>
      <c r="AO248" s="11" t="s">
        <v>2925</v>
      </c>
      <c r="AP248" s="11" t="s">
        <v>1451</v>
      </c>
      <c r="AQ248" s="11" t="s">
        <v>1398</v>
      </c>
      <c r="AR248" s="11" t="s">
        <v>1570</v>
      </c>
      <c r="AS248" s="11" t="s">
        <v>2926</v>
      </c>
      <c r="AT248" s="11" t="s">
        <v>2931</v>
      </c>
      <c r="AU248" s="11" t="s">
        <v>1719</v>
      </c>
      <c r="AV248" s="11"/>
      <c r="AW248" s="11" t="s">
        <v>2928</v>
      </c>
      <c r="AX248" s="11"/>
      <c r="AY248" s="11"/>
      <c r="AZ248" s="11"/>
      <c r="BA248" s="11"/>
      <c r="BB248" s="11">
        <v>64688587</v>
      </c>
      <c r="BC248" s="11" t="s">
        <v>1403</v>
      </c>
      <c r="BD248" s="11" t="s">
        <v>1432</v>
      </c>
      <c r="BE248" s="11" t="s">
        <v>2078</v>
      </c>
      <c r="BF248" s="11" t="s">
        <v>1555</v>
      </c>
      <c r="BG248" s="11"/>
      <c r="BH248" s="11" t="s">
        <v>1502</v>
      </c>
      <c r="BI248" s="11" t="s">
        <v>1407</v>
      </c>
      <c r="BJ248" s="11" t="s">
        <v>134</v>
      </c>
      <c r="BK248" s="11"/>
      <c r="BL248" s="11" t="s">
        <v>1408</v>
      </c>
      <c r="BM248" s="11"/>
      <c r="BN248" s="11" t="s">
        <v>1457</v>
      </c>
      <c r="BO248" s="11"/>
    </row>
    <row r="249" spans="2:67">
      <c r="B249" s="11">
        <v>238</v>
      </c>
      <c r="C249" s="11" t="s">
        <v>1374</v>
      </c>
      <c r="D249" s="11" t="s">
        <v>1375</v>
      </c>
      <c r="E249" s="11"/>
      <c r="F249" s="11" t="s">
        <v>2932</v>
      </c>
      <c r="G249" s="11"/>
      <c r="H249" s="11" t="s">
        <v>2933</v>
      </c>
      <c r="I249" s="11" t="s">
        <v>2934</v>
      </c>
      <c r="J249" s="11" t="s">
        <v>134</v>
      </c>
      <c r="K249" s="11" t="s">
        <v>1488</v>
      </c>
      <c r="L249" s="11" t="s">
        <v>1382</v>
      </c>
      <c r="M249" s="11" t="s">
        <v>181</v>
      </c>
      <c r="N249" s="11" t="s">
        <v>181</v>
      </c>
      <c r="O249" s="11"/>
      <c r="P249" s="11"/>
      <c r="Q249" s="11"/>
      <c r="R249" s="11" t="s">
        <v>2935</v>
      </c>
      <c r="S249" s="11" t="s">
        <v>1382</v>
      </c>
      <c r="T249" s="11" t="s">
        <v>2936</v>
      </c>
      <c r="U249" s="11" t="s">
        <v>1444</v>
      </c>
      <c r="V249" s="11" t="s">
        <v>2937</v>
      </c>
      <c r="W249" s="11" t="s">
        <v>1389</v>
      </c>
      <c r="X249" s="11" t="s">
        <v>1563</v>
      </c>
      <c r="Y249" s="11" t="s">
        <v>1421</v>
      </c>
      <c r="Z249" s="11" t="s">
        <v>2938</v>
      </c>
      <c r="AA249" s="11" t="s">
        <v>2939</v>
      </c>
      <c r="AB249" s="11" t="s">
        <v>2940</v>
      </c>
      <c r="AC249" s="11" t="s">
        <v>2935</v>
      </c>
      <c r="AD249" s="11">
        <v>5359098</v>
      </c>
      <c r="AE249" s="11" t="s">
        <v>1382</v>
      </c>
      <c r="AF249" s="11" t="s">
        <v>2937</v>
      </c>
      <c r="AG249" s="11" t="s">
        <v>1382</v>
      </c>
      <c r="AH249" s="11" t="s">
        <v>2941</v>
      </c>
      <c r="AI249" s="11" t="s">
        <v>2942</v>
      </c>
      <c r="AJ249" s="11" t="s">
        <v>2943</v>
      </c>
      <c r="AK249" s="11" t="s">
        <v>1396</v>
      </c>
      <c r="AL249" s="11" t="s">
        <v>134</v>
      </c>
      <c r="AM249" s="11">
        <v>8330</v>
      </c>
      <c r="AN249" s="11" t="s">
        <v>1450</v>
      </c>
      <c r="AO249" s="11" t="s">
        <v>134</v>
      </c>
      <c r="AP249" s="11" t="s">
        <v>1451</v>
      </c>
      <c r="AQ249" s="11" t="s">
        <v>1398</v>
      </c>
      <c r="AR249" s="11" t="s">
        <v>2255</v>
      </c>
      <c r="AS249" s="11" t="s">
        <v>2944</v>
      </c>
      <c r="AT249" s="11" t="s">
        <v>2945</v>
      </c>
      <c r="AU249" s="11" t="s">
        <v>1719</v>
      </c>
      <c r="AV249" s="11"/>
      <c r="AW249" s="11" t="s">
        <v>2946</v>
      </c>
      <c r="AX249" s="11"/>
      <c r="AY249" s="11"/>
      <c r="AZ249" s="11"/>
      <c r="BA249" s="11"/>
      <c r="BB249" s="11">
        <v>68886424</v>
      </c>
      <c r="BC249" s="11" t="s">
        <v>1403</v>
      </c>
      <c r="BD249" s="11" t="s">
        <v>1432</v>
      </c>
      <c r="BE249" s="11" t="s">
        <v>2947</v>
      </c>
      <c r="BF249" s="11" t="s">
        <v>1501</v>
      </c>
      <c r="BG249" s="11"/>
      <c r="BH249" s="11" t="s">
        <v>1502</v>
      </c>
      <c r="BI249" s="11" t="s">
        <v>1407</v>
      </c>
      <c r="BJ249" s="11" t="s">
        <v>134</v>
      </c>
      <c r="BK249" s="11"/>
      <c r="BL249" s="11" t="s">
        <v>1577</v>
      </c>
      <c r="BM249" s="11"/>
      <c r="BN249" s="11"/>
      <c r="BO249" s="11"/>
    </row>
    <row r="250" spans="2:67">
      <c r="B250" s="11">
        <v>239</v>
      </c>
      <c r="C250" s="11" t="s">
        <v>1374</v>
      </c>
      <c r="D250" s="11" t="s">
        <v>1375</v>
      </c>
      <c r="E250" s="11" t="s">
        <v>2948</v>
      </c>
      <c r="F250" s="11" t="s">
        <v>2949</v>
      </c>
      <c r="G250" s="11" t="s">
        <v>2209</v>
      </c>
      <c r="H250" s="11" t="s">
        <v>2950</v>
      </c>
      <c r="I250" s="11" t="s">
        <v>2951</v>
      </c>
      <c r="J250" s="11"/>
      <c r="K250" s="11" t="s">
        <v>1470</v>
      </c>
      <c r="L250" s="11" t="s">
        <v>2952</v>
      </c>
      <c r="M250" s="11" t="s">
        <v>1543</v>
      </c>
      <c r="N250" s="11" t="s">
        <v>482</v>
      </c>
      <c r="O250" s="11" t="s">
        <v>134</v>
      </c>
      <c r="P250" s="11"/>
      <c r="Q250" s="11"/>
      <c r="R250" s="11" t="s">
        <v>2953</v>
      </c>
      <c r="S250" s="11" t="s">
        <v>1382</v>
      </c>
      <c r="T250" s="11" t="s">
        <v>2954</v>
      </c>
      <c r="U250" s="11" t="s">
        <v>1387</v>
      </c>
      <c r="V250" s="11" t="s">
        <v>2955</v>
      </c>
      <c r="W250" s="11" t="s">
        <v>1645</v>
      </c>
      <c r="X250" s="11" t="s">
        <v>1769</v>
      </c>
      <c r="Y250" s="11" t="s">
        <v>1470</v>
      </c>
      <c r="Z250" s="11" t="s">
        <v>2956</v>
      </c>
      <c r="AA250" s="11" t="s">
        <v>2957</v>
      </c>
      <c r="AB250" s="11" t="s">
        <v>2958</v>
      </c>
      <c r="AC250" s="11" t="s">
        <v>2953</v>
      </c>
      <c r="AD250" s="11">
        <v>5356798</v>
      </c>
      <c r="AE250" s="11" t="s">
        <v>1382</v>
      </c>
      <c r="AF250" s="11" t="s">
        <v>2959</v>
      </c>
      <c r="AG250" s="11" t="s">
        <v>1382</v>
      </c>
      <c r="AH250" s="11" t="s">
        <v>2960</v>
      </c>
      <c r="AI250" s="11" t="s">
        <v>2697</v>
      </c>
      <c r="AJ250" s="11" t="s">
        <v>1782</v>
      </c>
      <c r="AK250" s="11" t="s">
        <v>1396</v>
      </c>
      <c r="AL250" s="11" t="s">
        <v>134</v>
      </c>
      <c r="AM250" s="11">
        <v>1838.25</v>
      </c>
      <c r="AN250" s="11"/>
      <c r="AO250" s="11" t="s">
        <v>134</v>
      </c>
      <c r="AP250" s="11" t="s">
        <v>1397</v>
      </c>
      <c r="AQ250" s="11" t="s">
        <v>1398</v>
      </c>
      <c r="AR250" s="11" t="s">
        <v>1570</v>
      </c>
      <c r="AS250" s="11" t="s">
        <v>2961</v>
      </c>
      <c r="AT250" s="11" t="s">
        <v>2962</v>
      </c>
      <c r="AU250" s="11" t="s">
        <v>1719</v>
      </c>
      <c r="AV250" s="11"/>
      <c r="AW250" s="11" t="s">
        <v>2963</v>
      </c>
      <c r="AX250" s="11"/>
      <c r="AY250" s="11"/>
      <c r="AZ250" s="11"/>
      <c r="BA250" s="11"/>
      <c r="BB250" s="11">
        <v>79764579</v>
      </c>
      <c r="BC250" s="11" t="s">
        <v>1403</v>
      </c>
      <c r="BD250" s="11" t="s">
        <v>1432</v>
      </c>
      <c r="BE250" s="11" t="s">
        <v>1779</v>
      </c>
      <c r="BF250" s="11" t="s">
        <v>1555</v>
      </c>
      <c r="BG250" s="11" t="s">
        <v>1482</v>
      </c>
      <c r="BH250" s="11" t="s">
        <v>1502</v>
      </c>
      <c r="BI250" s="11" t="s">
        <v>1407</v>
      </c>
      <c r="BJ250" s="11" t="s">
        <v>134</v>
      </c>
      <c r="BK250" s="11"/>
      <c r="BL250" s="11" t="s">
        <v>1408</v>
      </c>
      <c r="BM250" s="11"/>
      <c r="BN250" s="11" t="s">
        <v>1457</v>
      </c>
      <c r="BO250" s="11" t="s">
        <v>1748</v>
      </c>
    </row>
    <row r="251" spans="2:67">
      <c r="B251" s="11">
        <v>240</v>
      </c>
      <c r="C251" s="11" t="s">
        <v>1374</v>
      </c>
      <c r="D251" s="11" t="s">
        <v>1375</v>
      </c>
      <c r="E251" s="11" t="s">
        <v>2948</v>
      </c>
      <c r="F251" s="11" t="s">
        <v>2949</v>
      </c>
      <c r="G251" s="11" t="s">
        <v>2209</v>
      </c>
      <c r="H251" s="11" t="s">
        <v>2950</v>
      </c>
      <c r="I251" s="11" t="s">
        <v>2951</v>
      </c>
      <c r="J251" s="11"/>
      <c r="K251" s="11" t="s">
        <v>1470</v>
      </c>
      <c r="L251" s="11" t="s">
        <v>2952</v>
      </c>
      <c r="M251" s="11" t="s">
        <v>1543</v>
      </c>
      <c r="N251" s="11" t="s">
        <v>482</v>
      </c>
      <c r="O251" s="11" t="s">
        <v>134</v>
      </c>
      <c r="P251" s="11"/>
      <c r="Q251" s="11"/>
      <c r="R251" s="11" t="s">
        <v>2953</v>
      </c>
      <c r="S251" s="11" t="s">
        <v>1382</v>
      </c>
      <c r="T251" s="11" t="s">
        <v>2954</v>
      </c>
      <c r="U251" s="11" t="s">
        <v>1387</v>
      </c>
      <c r="V251" s="11" t="s">
        <v>2955</v>
      </c>
      <c r="W251" s="11" t="s">
        <v>1645</v>
      </c>
      <c r="X251" s="11" t="s">
        <v>1769</v>
      </c>
      <c r="Y251" s="11" t="s">
        <v>1470</v>
      </c>
      <c r="Z251" s="11" t="s">
        <v>2956</v>
      </c>
      <c r="AA251" s="11" t="s">
        <v>2957</v>
      </c>
      <c r="AB251" s="11" t="s">
        <v>2958</v>
      </c>
      <c r="AC251" s="11" t="s">
        <v>2953</v>
      </c>
      <c r="AD251" s="11">
        <v>5356798</v>
      </c>
      <c r="AE251" s="11" t="s">
        <v>1382</v>
      </c>
      <c r="AF251" s="11" t="s">
        <v>2959</v>
      </c>
      <c r="AG251" s="11" t="s">
        <v>1382</v>
      </c>
      <c r="AH251" s="11" t="s">
        <v>2960</v>
      </c>
      <c r="AI251" s="11" t="s">
        <v>2702</v>
      </c>
      <c r="AJ251" s="11" t="s">
        <v>1785</v>
      </c>
      <c r="AK251" s="11" t="s">
        <v>1396</v>
      </c>
      <c r="AL251" s="11" t="s">
        <v>134</v>
      </c>
      <c r="AM251" s="11">
        <v>2183</v>
      </c>
      <c r="AN251" s="11"/>
      <c r="AO251" s="11" t="s">
        <v>134</v>
      </c>
      <c r="AP251" s="11" t="s">
        <v>1397</v>
      </c>
      <c r="AQ251" s="11" t="s">
        <v>1398</v>
      </c>
      <c r="AR251" s="11" t="s">
        <v>1570</v>
      </c>
      <c r="AS251" s="11" t="s">
        <v>2961</v>
      </c>
      <c r="AT251" s="11" t="s">
        <v>2964</v>
      </c>
      <c r="AU251" s="11" t="s">
        <v>1719</v>
      </c>
      <c r="AV251" s="11"/>
      <c r="AW251" s="11" t="s">
        <v>2963</v>
      </c>
      <c r="AX251" s="11"/>
      <c r="AY251" s="11"/>
      <c r="AZ251" s="11"/>
      <c r="BA251" s="11"/>
      <c r="BB251" s="11">
        <v>79764579</v>
      </c>
      <c r="BC251" s="11" t="s">
        <v>1403</v>
      </c>
      <c r="BD251" s="11" t="s">
        <v>1432</v>
      </c>
      <c r="BE251" s="11" t="s">
        <v>1779</v>
      </c>
      <c r="BF251" s="11" t="s">
        <v>1555</v>
      </c>
      <c r="BG251" s="11" t="s">
        <v>1482</v>
      </c>
      <c r="BH251" s="11" t="s">
        <v>1502</v>
      </c>
      <c r="BI251" s="11" t="s">
        <v>1407</v>
      </c>
      <c r="BJ251" s="11" t="s">
        <v>134</v>
      </c>
      <c r="BK251" s="11"/>
      <c r="BL251" s="11" t="s">
        <v>1408</v>
      </c>
      <c r="BM251" s="11"/>
      <c r="BN251" s="11" t="s">
        <v>1457</v>
      </c>
      <c r="BO251" s="11" t="s">
        <v>1748</v>
      </c>
    </row>
    <row r="252" spans="2:67">
      <c r="B252" s="11">
        <v>241</v>
      </c>
      <c r="C252" s="11" t="s">
        <v>1374</v>
      </c>
      <c r="D252" s="11" t="s">
        <v>1375</v>
      </c>
      <c r="E252" s="11" t="s">
        <v>2948</v>
      </c>
      <c r="F252" s="11" t="s">
        <v>2949</v>
      </c>
      <c r="G252" s="11" t="s">
        <v>2209</v>
      </c>
      <c r="H252" s="11" t="s">
        <v>2950</v>
      </c>
      <c r="I252" s="11" t="s">
        <v>2951</v>
      </c>
      <c r="J252" s="11"/>
      <c r="K252" s="11" t="s">
        <v>1470</v>
      </c>
      <c r="L252" s="11" t="s">
        <v>2952</v>
      </c>
      <c r="M252" s="11" t="s">
        <v>1543</v>
      </c>
      <c r="N252" s="11" t="s">
        <v>482</v>
      </c>
      <c r="O252" s="11" t="s">
        <v>134</v>
      </c>
      <c r="P252" s="11"/>
      <c r="Q252" s="11"/>
      <c r="R252" s="11" t="s">
        <v>2953</v>
      </c>
      <c r="S252" s="11" t="s">
        <v>1382</v>
      </c>
      <c r="T252" s="11" t="s">
        <v>2954</v>
      </c>
      <c r="U252" s="11" t="s">
        <v>1387</v>
      </c>
      <c r="V252" s="11" t="s">
        <v>2955</v>
      </c>
      <c r="W252" s="11" t="s">
        <v>1645</v>
      </c>
      <c r="X252" s="11" t="s">
        <v>1769</v>
      </c>
      <c r="Y252" s="11" t="s">
        <v>1470</v>
      </c>
      <c r="Z252" s="11" t="s">
        <v>2956</v>
      </c>
      <c r="AA252" s="11" t="s">
        <v>2957</v>
      </c>
      <c r="AB252" s="11" t="s">
        <v>2958</v>
      </c>
      <c r="AC252" s="11" t="s">
        <v>2953</v>
      </c>
      <c r="AD252" s="11">
        <v>5356798</v>
      </c>
      <c r="AE252" s="11" t="s">
        <v>1382</v>
      </c>
      <c r="AF252" s="11" t="s">
        <v>2959</v>
      </c>
      <c r="AG252" s="11" t="s">
        <v>1382</v>
      </c>
      <c r="AH252" s="11" t="s">
        <v>2960</v>
      </c>
      <c r="AI252" s="11" t="s">
        <v>2695</v>
      </c>
      <c r="AJ252" s="11" t="s">
        <v>1775</v>
      </c>
      <c r="AK252" s="11" t="s">
        <v>1396</v>
      </c>
      <c r="AL252" s="11" t="s">
        <v>134</v>
      </c>
      <c r="AM252" s="11">
        <v>3178.75</v>
      </c>
      <c r="AN252" s="11"/>
      <c r="AO252" s="11" t="s">
        <v>134</v>
      </c>
      <c r="AP252" s="11" t="s">
        <v>1397</v>
      </c>
      <c r="AQ252" s="11" t="s">
        <v>1398</v>
      </c>
      <c r="AR252" s="11" t="s">
        <v>1570</v>
      </c>
      <c r="AS252" s="11" t="s">
        <v>2961</v>
      </c>
      <c r="AT252" s="11" t="s">
        <v>2965</v>
      </c>
      <c r="AU252" s="11" t="s">
        <v>1719</v>
      </c>
      <c r="AV252" s="11"/>
      <c r="AW252" s="11" t="s">
        <v>2963</v>
      </c>
      <c r="AX252" s="11"/>
      <c r="AY252" s="11"/>
      <c r="AZ252" s="11"/>
      <c r="BA252" s="11"/>
      <c r="BB252" s="11">
        <v>79764579</v>
      </c>
      <c r="BC252" s="11" t="s">
        <v>1403</v>
      </c>
      <c r="BD252" s="11" t="s">
        <v>1432</v>
      </c>
      <c r="BE252" s="11" t="s">
        <v>1779</v>
      </c>
      <c r="BF252" s="11" t="s">
        <v>1555</v>
      </c>
      <c r="BG252" s="11" t="s">
        <v>1482</v>
      </c>
      <c r="BH252" s="11" t="s">
        <v>1502</v>
      </c>
      <c r="BI252" s="11" t="s">
        <v>1407</v>
      </c>
      <c r="BJ252" s="11" t="s">
        <v>134</v>
      </c>
      <c r="BK252" s="11"/>
      <c r="BL252" s="11" t="s">
        <v>1408</v>
      </c>
      <c r="BM252" s="11"/>
      <c r="BN252" s="11" t="s">
        <v>1457</v>
      </c>
      <c r="BO252" s="11" t="s">
        <v>1748</v>
      </c>
    </row>
    <row r="253" spans="2:67">
      <c r="B253" s="11">
        <v>242</v>
      </c>
      <c r="C253" s="11" t="s">
        <v>1374</v>
      </c>
      <c r="D253" s="11" t="s">
        <v>1375</v>
      </c>
      <c r="E253" s="11" t="s">
        <v>2948</v>
      </c>
      <c r="F253" s="11" t="s">
        <v>2949</v>
      </c>
      <c r="G253" s="11" t="s">
        <v>2209</v>
      </c>
      <c r="H253" s="11" t="s">
        <v>2950</v>
      </c>
      <c r="I253" s="11" t="s">
        <v>2951</v>
      </c>
      <c r="J253" s="11"/>
      <c r="K253" s="11" t="s">
        <v>1470</v>
      </c>
      <c r="L253" s="11" t="s">
        <v>2952</v>
      </c>
      <c r="M253" s="11" t="s">
        <v>1543</v>
      </c>
      <c r="N253" s="11" t="s">
        <v>482</v>
      </c>
      <c r="O253" s="11" t="s">
        <v>134</v>
      </c>
      <c r="P253" s="11"/>
      <c r="Q253" s="11"/>
      <c r="R253" s="11" t="s">
        <v>2953</v>
      </c>
      <c r="S253" s="11" t="s">
        <v>1382</v>
      </c>
      <c r="T253" s="11" t="s">
        <v>2954</v>
      </c>
      <c r="U253" s="11" t="s">
        <v>1387</v>
      </c>
      <c r="V253" s="11" t="s">
        <v>2955</v>
      </c>
      <c r="W253" s="11" t="s">
        <v>1645</v>
      </c>
      <c r="X253" s="11" t="s">
        <v>1769</v>
      </c>
      <c r="Y253" s="11" t="s">
        <v>1470</v>
      </c>
      <c r="Z253" s="11" t="s">
        <v>2956</v>
      </c>
      <c r="AA253" s="11" t="s">
        <v>2957</v>
      </c>
      <c r="AB253" s="11" t="s">
        <v>2958</v>
      </c>
      <c r="AC253" s="11" t="s">
        <v>2953</v>
      </c>
      <c r="AD253" s="11">
        <v>5356798</v>
      </c>
      <c r="AE253" s="11" t="s">
        <v>1382</v>
      </c>
      <c r="AF253" s="11" t="s">
        <v>2959</v>
      </c>
      <c r="AG253" s="11" t="s">
        <v>1382</v>
      </c>
      <c r="AH253" s="11" t="s">
        <v>2960</v>
      </c>
      <c r="AI253" s="11" t="s">
        <v>2010</v>
      </c>
      <c r="AJ253" s="11" t="s">
        <v>1670</v>
      </c>
      <c r="AK253" s="11" t="s">
        <v>1396</v>
      </c>
      <c r="AL253" s="11" t="s">
        <v>134</v>
      </c>
      <c r="AM253" s="11">
        <v>3217.05</v>
      </c>
      <c r="AN253" s="11"/>
      <c r="AO253" s="11" t="s">
        <v>134</v>
      </c>
      <c r="AP253" s="11" t="s">
        <v>1397</v>
      </c>
      <c r="AQ253" s="11" t="s">
        <v>1398</v>
      </c>
      <c r="AR253" s="11" t="s">
        <v>1570</v>
      </c>
      <c r="AS253" s="11" t="s">
        <v>2961</v>
      </c>
      <c r="AT253" s="11" t="s">
        <v>2966</v>
      </c>
      <c r="AU253" s="11" t="s">
        <v>1719</v>
      </c>
      <c r="AV253" s="11"/>
      <c r="AW253" s="11" t="s">
        <v>2963</v>
      </c>
      <c r="AX253" s="11"/>
      <c r="AY253" s="11"/>
      <c r="AZ253" s="11"/>
      <c r="BA253" s="11"/>
      <c r="BB253" s="11">
        <v>79764579</v>
      </c>
      <c r="BC253" s="11" t="s">
        <v>1403</v>
      </c>
      <c r="BD253" s="11" t="s">
        <v>1432</v>
      </c>
      <c r="BE253" s="11" t="s">
        <v>1779</v>
      </c>
      <c r="BF253" s="11" t="s">
        <v>1555</v>
      </c>
      <c r="BG253" s="11" t="s">
        <v>1482</v>
      </c>
      <c r="BH253" s="11" t="s">
        <v>1502</v>
      </c>
      <c r="BI253" s="11" t="s">
        <v>1407</v>
      </c>
      <c r="BJ253" s="11" t="s">
        <v>134</v>
      </c>
      <c r="BK253" s="11"/>
      <c r="BL253" s="11" t="s">
        <v>1408</v>
      </c>
      <c r="BM253" s="11"/>
      <c r="BN253" s="11" t="s">
        <v>1457</v>
      </c>
      <c r="BO253" s="11" t="s">
        <v>1748</v>
      </c>
    </row>
    <row r="254" spans="2:67">
      <c r="B254" s="11">
        <v>243</v>
      </c>
      <c r="C254" s="11" t="s">
        <v>1374</v>
      </c>
      <c r="D254" s="11" t="s">
        <v>1375</v>
      </c>
      <c r="E254" s="11" t="s">
        <v>2948</v>
      </c>
      <c r="F254" s="11" t="s">
        <v>2949</v>
      </c>
      <c r="G254" s="11" t="s">
        <v>2209</v>
      </c>
      <c r="H254" s="11" t="s">
        <v>2950</v>
      </c>
      <c r="I254" s="11" t="s">
        <v>2951</v>
      </c>
      <c r="J254" s="11"/>
      <c r="K254" s="11" t="s">
        <v>1470</v>
      </c>
      <c r="L254" s="11" t="s">
        <v>2952</v>
      </c>
      <c r="M254" s="11" t="s">
        <v>1543</v>
      </c>
      <c r="N254" s="11" t="s">
        <v>482</v>
      </c>
      <c r="O254" s="11" t="s">
        <v>134</v>
      </c>
      <c r="P254" s="11"/>
      <c r="Q254" s="11"/>
      <c r="R254" s="11" t="s">
        <v>2953</v>
      </c>
      <c r="S254" s="11" t="s">
        <v>1382</v>
      </c>
      <c r="T254" s="11" t="s">
        <v>2954</v>
      </c>
      <c r="U254" s="11" t="s">
        <v>1387</v>
      </c>
      <c r="V254" s="11" t="s">
        <v>2955</v>
      </c>
      <c r="W254" s="11" t="s">
        <v>1645</v>
      </c>
      <c r="X254" s="11" t="s">
        <v>1769</v>
      </c>
      <c r="Y254" s="11" t="s">
        <v>1470</v>
      </c>
      <c r="Z254" s="11" t="s">
        <v>2956</v>
      </c>
      <c r="AA254" s="11" t="s">
        <v>2957</v>
      </c>
      <c r="AB254" s="11" t="s">
        <v>2958</v>
      </c>
      <c r="AC254" s="11" t="s">
        <v>2953</v>
      </c>
      <c r="AD254" s="11">
        <v>5356798</v>
      </c>
      <c r="AE254" s="11" t="s">
        <v>1382</v>
      </c>
      <c r="AF254" s="11" t="s">
        <v>2959</v>
      </c>
      <c r="AG254" s="11" t="s">
        <v>1382</v>
      </c>
      <c r="AH254" s="11" t="s">
        <v>2960</v>
      </c>
      <c r="AI254" s="11" t="s">
        <v>2700</v>
      </c>
      <c r="AJ254" s="11" t="s">
        <v>1788</v>
      </c>
      <c r="AK254" s="11" t="s">
        <v>1396</v>
      </c>
      <c r="AL254" s="11" t="s">
        <v>134</v>
      </c>
      <c r="AM254" s="11">
        <v>2451.0500000000002</v>
      </c>
      <c r="AN254" s="11"/>
      <c r="AO254" s="11" t="s">
        <v>134</v>
      </c>
      <c r="AP254" s="11" t="s">
        <v>1397</v>
      </c>
      <c r="AQ254" s="11" t="s">
        <v>1398</v>
      </c>
      <c r="AR254" s="11" t="s">
        <v>1570</v>
      </c>
      <c r="AS254" s="11" t="s">
        <v>2961</v>
      </c>
      <c r="AT254" s="11" t="s">
        <v>2967</v>
      </c>
      <c r="AU254" s="11" t="s">
        <v>1719</v>
      </c>
      <c r="AV254" s="11"/>
      <c r="AW254" s="11" t="s">
        <v>2963</v>
      </c>
      <c r="AX254" s="11"/>
      <c r="AY254" s="11"/>
      <c r="AZ254" s="11"/>
      <c r="BA254" s="11"/>
      <c r="BB254" s="11">
        <v>79764579</v>
      </c>
      <c r="BC254" s="11" t="s">
        <v>1403</v>
      </c>
      <c r="BD254" s="11" t="s">
        <v>1432</v>
      </c>
      <c r="BE254" s="11" t="s">
        <v>1779</v>
      </c>
      <c r="BF254" s="11" t="s">
        <v>1555</v>
      </c>
      <c r="BG254" s="11" t="s">
        <v>1482</v>
      </c>
      <c r="BH254" s="11" t="s">
        <v>1502</v>
      </c>
      <c r="BI254" s="11" t="s">
        <v>1407</v>
      </c>
      <c r="BJ254" s="11" t="s">
        <v>134</v>
      </c>
      <c r="BK254" s="11"/>
      <c r="BL254" s="11" t="s">
        <v>1408</v>
      </c>
      <c r="BM254" s="11"/>
      <c r="BN254" s="11" t="s">
        <v>1457</v>
      </c>
      <c r="BO254" s="11" t="s">
        <v>1748</v>
      </c>
    </row>
    <row r="255" spans="2:67">
      <c r="B255" s="11">
        <v>244</v>
      </c>
      <c r="C255" s="11" t="s">
        <v>1374</v>
      </c>
      <c r="D255" s="11" t="s">
        <v>1375</v>
      </c>
      <c r="E255" s="11" t="s">
        <v>2948</v>
      </c>
      <c r="F255" s="11" t="s">
        <v>2949</v>
      </c>
      <c r="G255" s="11" t="s">
        <v>2209</v>
      </c>
      <c r="H255" s="11" t="s">
        <v>2950</v>
      </c>
      <c r="I255" s="11" t="s">
        <v>2951</v>
      </c>
      <c r="J255" s="11"/>
      <c r="K255" s="11" t="s">
        <v>1470</v>
      </c>
      <c r="L255" s="11" t="s">
        <v>2952</v>
      </c>
      <c r="M255" s="11" t="s">
        <v>1543</v>
      </c>
      <c r="N255" s="11" t="s">
        <v>482</v>
      </c>
      <c r="O255" s="11" t="s">
        <v>134</v>
      </c>
      <c r="P255" s="11"/>
      <c r="Q255" s="11"/>
      <c r="R255" s="11" t="s">
        <v>2953</v>
      </c>
      <c r="S255" s="11" t="s">
        <v>1382</v>
      </c>
      <c r="T255" s="11" t="s">
        <v>2954</v>
      </c>
      <c r="U255" s="11" t="s">
        <v>1387</v>
      </c>
      <c r="V255" s="11" t="s">
        <v>2955</v>
      </c>
      <c r="W255" s="11" t="s">
        <v>1645</v>
      </c>
      <c r="X255" s="11" t="s">
        <v>1769</v>
      </c>
      <c r="Y255" s="11" t="s">
        <v>1470</v>
      </c>
      <c r="Z255" s="11" t="s">
        <v>2956</v>
      </c>
      <c r="AA255" s="11" t="s">
        <v>2957</v>
      </c>
      <c r="AB255" s="11" t="s">
        <v>2958</v>
      </c>
      <c r="AC255" s="11" t="s">
        <v>2953</v>
      </c>
      <c r="AD255" s="11">
        <v>5356798</v>
      </c>
      <c r="AE255" s="11" t="s">
        <v>1382</v>
      </c>
      <c r="AF255" s="11" t="s">
        <v>2959</v>
      </c>
      <c r="AG255" s="11" t="s">
        <v>1382</v>
      </c>
      <c r="AH255" s="11" t="s">
        <v>2960</v>
      </c>
      <c r="AI255" s="11" t="s">
        <v>2026</v>
      </c>
      <c r="AJ255" s="11" t="s">
        <v>1676</v>
      </c>
      <c r="AK255" s="11" t="s">
        <v>1396</v>
      </c>
      <c r="AL255" s="11" t="s">
        <v>134</v>
      </c>
      <c r="AM255" s="11">
        <v>1281.9000000000001</v>
      </c>
      <c r="AN255" s="11"/>
      <c r="AO255" s="11" t="s">
        <v>134</v>
      </c>
      <c r="AP255" s="11" t="s">
        <v>1397</v>
      </c>
      <c r="AQ255" s="11" t="s">
        <v>1398</v>
      </c>
      <c r="AR255" s="11" t="s">
        <v>1570</v>
      </c>
      <c r="AS255" s="11" t="s">
        <v>2961</v>
      </c>
      <c r="AT255" s="11" t="s">
        <v>2968</v>
      </c>
      <c r="AU255" s="11" t="s">
        <v>1719</v>
      </c>
      <c r="AV255" s="11"/>
      <c r="AW255" s="11" t="s">
        <v>2963</v>
      </c>
      <c r="AX255" s="11"/>
      <c r="AY255" s="11"/>
      <c r="AZ255" s="11"/>
      <c r="BA255" s="11"/>
      <c r="BB255" s="11">
        <v>79764579</v>
      </c>
      <c r="BC255" s="11" t="s">
        <v>1403</v>
      </c>
      <c r="BD255" s="11" t="s">
        <v>1432</v>
      </c>
      <c r="BE255" s="11" t="s">
        <v>1779</v>
      </c>
      <c r="BF255" s="11" t="s">
        <v>1555</v>
      </c>
      <c r="BG255" s="11" t="s">
        <v>1482</v>
      </c>
      <c r="BH255" s="11" t="s">
        <v>1502</v>
      </c>
      <c r="BI255" s="11" t="s">
        <v>1407</v>
      </c>
      <c r="BJ255" s="11" t="s">
        <v>134</v>
      </c>
      <c r="BK255" s="11"/>
      <c r="BL255" s="11" t="s">
        <v>1408</v>
      </c>
      <c r="BM255" s="11"/>
      <c r="BN255" s="11" t="s">
        <v>1457</v>
      </c>
      <c r="BO255" s="11" t="s">
        <v>1748</v>
      </c>
    </row>
    <row r="256" spans="2:67">
      <c r="B256" s="11">
        <v>245</v>
      </c>
      <c r="C256" s="11" t="s">
        <v>1374</v>
      </c>
      <c r="D256" s="11" t="s">
        <v>1375</v>
      </c>
      <c r="E256" s="11" t="s">
        <v>1376</v>
      </c>
      <c r="F256" s="11" t="s">
        <v>2969</v>
      </c>
      <c r="G256" s="11" t="s">
        <v>2382</v>
      </c>
      <c r="H256" s="11" t="s">
        <v>2970</v>
      </c>
      <c r="I256" s="11" t="s">
        <v>2971</v>
      </c>
      <c r="J256" s="11" t="s">
        <v>134</v>
      </c>
      <c r="K256" s="11" t="s">
        <v>2972</v>
      </c>
      <c r="L256" s="11" t="s">
        <v>1382</v>
      </c>
      <c r="M256" s="11" t="s">
        <v>1417</v>
      </c>
      <c r="N256" s="11" t="s">
        <v>330</v>
      </c>
      <c r="O256" s="11" t="s">
        <v>134</v>
      </c>
      <c r="P256" s="11"/>
      <c r="Q256" s="11"/>
      <c r="R256" s="11" t="s">
        <v>2973</v>
      </c>
      <c r="S256" s="11" t="s">
        <v>1382</v>
      </c>
      <c r="T256" s="11" t="s">
        <v>2974</v>
      </c>
      <c r="U256" s="11" t="s">
        <v>1387</v>
      </c>
      <c r="V256" s="11" t="s">
        <v>2975</v>
      </c>
      <c r="W256" s="11" t="s">
        <v>1389</v>
      </c>
      <c r="X256" s="11" t="s">
        <v>1390</v>
      </c>
      <c r="Y256" s="11" t="s">
        <v>2972</v>
      </c>
      <c r="Z256" s="11" t="s">
        <v>2976</v>
      </c>
      <c r="AA256" s="11" t="s">
        <v>2972</v>
      </c>
      <c r="AB256" s="11" t="s">
        <v>2972</v>
      </c>
      <c r="AC256" s="11" t="s">
        <v>2973</v>
      </c>
      <c r="AD256" s="11">
        <v>5356783</v>
      </c>
      <c r="AE256" s="11" t="s">
        <v>1382</v>
      </c>
      <c r="AF256" s="11" t="s">
        <v>2977</v>
      </c>
      <c r="AG256" s="11" t="s">
        <v>1382</v>
      </c>
      <c r="AH256" s="11" t="s">
        <v>2977</v>
      </c>
      <c r="AI256" s="11" t="s">
        <v>2377</v>
      </c>
      <c r="AJ256" s="11" t="s">
        <v>1405</v>
      </c>
      <c r="AK256" s="11" t="s">
        <v>1396</v>
      </c>
      <c r="AL256" s="11" t="s">
        <v>134</v>
      </c>
      <c r="AM256" s="11">
        <v>6180</v>
      </c>
      <c r="AN256" s="11"/>
      <c r="AO256" s="11" t="s">
        <v>134</v>
      </c>
      <c r="AP256" s="11" t="s">
        <v>1397</v>
      </c>
      <c r="AQ256" s="11" t="s">
        <v>1398</v>
      </c>
      <c r="AR256" s="11" t="s">
        <v>1452</v>
      </c>
      <c r="AS256" s="11" t="s">
        <v>2978</v>
      </c>
      <c r="AT256" s="11" t="s">
        <v>2979</v>
      </c>
      <c r="AU256" s="11" t="s">
        <v>1719</v>
      </c>
      <c r="AV256" s="11"/>
      <c r="AW256" s="11" t="s">
        <v>2980</v>
      </c>
      <c r="AX256" s="11"/>
      <c r="AY256" s="11"/>
      <c r="AZ256" s="11"/>
      <c r="BA256" s="11"/>
      <c r="BB256" s="11">
        <v>64179186</v>
      </c>
      <c r="BC256" s="11" t="s">
        <v>1403</v>
      </c>
      <c r="BD256" s="11" t="s">
        <v>1456</v>
      </c>
      <c r="BE256" s="11" t="s">
        <v>1405</v>
      </c>
      <c r="BF256" s="11" t="s">
        <v>134</v>
      </c>
      <c r="BG256" s="11"/>
      <c r="BH256" s="11" t="s">
        <v>1502</v>
      </c>
      <c r="BI256" s="11" t="s">
        <v>1407</v>
      </c>
      <c r="BJ256" s="11" t="s">
        <v>134</v>
      </c>
      <c r="BK256" s="11"/>
      <c r="BL256" s="11" t="s">
        <v>1408</v>
      </c>
      <c r="BM256" s="11"/>
      <c r="BN256" s="11"/>
      <c r="BO256" s="11" t="s">
        <v>1410</v>
      </c>
    </row>
    <row r="257" spans="2:67">
      <c r="B257" s="11">
        <v>246</v>
      </c>
      <c r="C257" s="11" t="s">
        <v>1374</v>
      </c>
      <c r="D257" s="11" t="s">
        <v>1375</v>
      </c>
      <c r="E257" s="11" t="s">
        <v>2981</v>
      </c>
      <c r="F257" s="11" t="s">
        <v>2982</v>
      </c>
      <c r="G257" s="11" t="s">
        <v>2177</v>
      </c>
      <c r="H257" s="11" t="s">
        <v>2983</v>
      </c>
      <c r="I257" s="11" t="s">
        <v>2984</v>
      </c>
      <c r="J257" s="11"/>
      <c r="K257" s="11" t="s">
        <v>1421</v>
      </c>
      <c r="L257" s="11" t="s">
        <v>94</v>
      </c>
      <c r="M257" s="11" t="s">
        <v>1383</v>
      </c>
      <c r="N257" s="11" t="s">
        <v>95</v>
      </c>
      <c r="O257" s="11" t="s">
        <v>2180</v>
      </c>
      <c r="P257" s="11"/>
      <c r="Q257" s="11"/>
      <c r="R257" s="11" t="s">
        <v>2981</v>
      </c>
      <c r="S257" s="11" t="s">
        <v>94</v>
      </c>
      <c r="T257" s="11" t="s">
        <v>2985</v>
      </c>
      <c r="U257" s="11" t="s">
        <v>1444</v>
      </c>
      <c r="V257" s="11" t="s">
        <v>2986</v>
      </c>
      <c r="W257" s="11" t="s">
        <v>1389</v>
      </c>
      <c r="X257" s="11" t="s">
        <v>2052</v>
      </c>
      <c r="Y257" s="11" t="s">
        <v>1421</v>
      </c>
      <c r="Z257" s="11" t="s">
        <v>2987</v>
      </c>
      <c r="AA257" s="11" t="s">
        <v>2988</v>
      </c>
      <c r="AB257" s="11" t="s">
        <v>2989</v>
      </c>
      <c r="AC257" s="11" t="s">
        <v>2981</v>
      </c>
      <c r="AD257" s="11">
        <v>5356560</v>
      </c>
      <c r="AE257" s="11" t="s">
        <v>94</v>
      </c>
      <c r="AF257" s="11" t="s">
        <v>2990</v>
      </c>
      <c r="AG257" s="11" t="s">
        <v>94</v>
      </c>
      <c r="AH257" s="11" t="s">
        <v>2991</v>
      </c>
      <c r="AI257" s="11" t="s">
        <v>2992</v>
      </c>
      <c r="AJ257" s="11" t="s">
        <v>1863</v>
      </c>
      <c r="AK257" s="11" t="s">
        <v>1396</v>
      </c>
      <c r="AL257" s="11" t="s">
        <v>134</v>
      </c>
      <c r="AM257" s="11">
        <v>24600</v>
      </c>
      <c r="AN257" s="11"/>
      <c r="AO257" s="11" t="s">
        <v>2177</v>
      </c>
      <c r="AP257" s="11" t="s">
        <v>1451</v>
      </c>
      <c r="AQ257" s="11" t="s">
        <v>1398</v>
      </c>
      <c r="AR257" s="11"/>
      <c r="AS257" s="11" t="s">
        <v>2993</v>
      </c>
      <c r="AT257" s="11"/>
      <c r="AU257" s="11" t="s">
        <v>1719</v>
      </c>
      <c r="AV257" s="11"/>
      <c r="AW257" s="11" t="s">
        <v>2994</v>
      </c>
      <c r="AX257" s="11"/>
      <c r="AY257" s="11"/>
      <c r="AZ257" s="11"/>
      <c r="BA257" s="11"/>
      <c r="BB257" s="11">
        <v>38767811</v>
      </c>
      <c r="BC257" s="11" t="s">
        <v>1403</v>
      </c>
      <c r="BD257" s="11" t="s">
        <v>1432</v>
      </c>
      <c r="BE257" s="11" t="s">
        <v>2062</v>
      </c>
      <c r="BF257" s="11" t="s">
        <v>1434</v>
      </c>
      <c r="BG257" s="11" t="s">
        <v>1482</v>
      </c>
      <c r="BH257" s="11" t="s">
        <v>2131</v>
      </c>
      <c r="BI257" s="11" t="s">
        <v>1407</v>
      </c>
      <c r="BJ257" s="11" t="s">
        <v>134</v>
      </c>
      <c r="BK257" s="11"/>
      <c r="BL257" s="11"/>
      <c r="BM257" s="11"/>
      <c r="BN257" s="11"/>
      <c r="BO257" s="11" t="s">
        <v>95</v>
      </c>
    </row>
    <row r="258" spans="2:67">
      <c r="B258" s="11">
        <v>247</v>
      </c>
      <c r="C258" s="11" t="s">
        <v>1374</v>
      </c>
      <c r="D258" s="11" t="s">
        <v>1375</v>
      </c>
      <c r="E258" s="11" t="s">
        <v>2995</v>
      </c>
      <c r="F258" s="11" t="s">
        <v>2996</v>
      </c>
      <c r="G258" s="11" t="s">
        <v>2302</v>
      </c>
      <c r="H258" s="11" t="s">
        <v>2997</v>
      </c>
      <c r="I258" s="11" t="s">
        <v>2998</v>
      </c>
      <c r="J258" s="11"/>
      <c r="K258" s="11" t="s">
        <v>1547</v>
      </c>
      <c r="L258" s="11" t="s">
        <v>94</v>
      </c>
      <c r="M258" s="11" t="s">
        <v>1383</v>
      </c>
      <c r="N258" s="11" t="s">
        <v>95</v>
      </c>
      <c r="O258" s="11" t="s">
        <v>2305</v>
      </c>
      <c r="P258" s="11"/>
      <c r="Q258" s="11"/>
      <c r="R258" s="11" t="s">
        <v>2995</v>
      </c>
      <c r="S258" s="11" t="s">
        <v>94</v>
      </c>
      <c r="T258" s="11" t="s">
        <v>2999</v>
      </c>
      <c r="U258" s="11" t="s">
        <v>1444</v>
      </c>
      <c r="V258" s="11" t="s">
        <v>3000</v>
      </c>
      <c r="W258" s="11" t="s">
        <v>1389</v>
      </c>
      <c r="X258" s="11" t="s">
        <v>2052</v>
      </c>
      <c r="Y258" s="11" t="s">
        <v>1547</v>
      </c>
      <c r="Z258" s="11" t="s">
        <v>1876</v>
      </c>
      <c r="AA258" s="11" t="s">
        <v>1630</v>
      </c>
      <c r="AB258" s="11" t="s">
        <v>1631</v>
      </c>
      <c r="AC258" s="11" t="s">
        <v>2995</v>
      </c>
      <c r="AD258" s="11">
        <v>5399074</v>
      </c>
      <c r="AE258" s="11" t="s">
        <v>94</v>
      </c>
      <c r="AF258" s="11" t="s">
        <v>3001</v>
      </c>
      <c r="AG258" s="11" t="s">
        <v>94</v>
      </c>
      <c r="AH258" s="11" t="s">
        <v>3002</v>
      </c>
      <c r="AI258" s="11" t="s">
        <v>3003</v>
      </c>
      <c r="AJ258" s="11" t="s">
        <v>2188</v>
      </c>
      <c r="AK258" s="11" t="s">
        <v>1396</v>
      </c>
      <c r="AL258" s="11" t="s">
        <v>134</v>
      </c>
      <c r="AM258" s="11">
        <v>23000</v>
      </c>
      <c r="AN258" s="11"/>
      <c r="AO258" s="11" t="s">
        <v>2302</v>
      </c>
      <c r="AP258" s="11" t="s">
        <v>1451</v>
      </c>
      <c r="AQ258" s="11" t="s">
        <v>1398</v>
      </c>
      <c r="AR258" s="11"/>
      <c r="AS258" s="11" t="s">
        <v>3004</v>
      </c>
      <c r="AT258" s="11"/>
      <c r="AU258" s="11" t="s">
        <v>3005</v>
      </c>
      <c r="AV258" s="11"/>
      <c r="AW258" s="11" t="s">
        <v>3006</v>
      </c>
      <c r="AX258" s="11"/>
      <c r="AY258" s="11"/>
      <c r="AZ258" s="11"/>
      <c r="BA258" s="11"/>
      <c r="BB258" s="11">
        <v>52346304</v>
      </c>
      <c r="BC258" s="11" t="s">
        <v>1403</v>
      </c>
      <c r="BD258" s="11" t="s">
        <v>1432</v>
      </c>
      <c r="BE258" s="11" t="s">
        <v>2062</v>
      </c>
      <c r="BF258" s="11" t="s">
        <v>1434</v>
      </c>
      <c r="BG258" s="11" t="s">
        <v>1482</v>
      </c>
      <c r="BH258" s="11" t="s">
        <v>1502</v>
      </c>
      <c r="BI258" s="11" t="s">
        <v>1407</v>
      </c>
      <c r="BJ258" s="11" t="s">
        <v>134</v>
      </c>
      <c r="BK258" s="11"/>
      <c r="BL258" s="11"/>
      <c r="BM258" s="11"/>
      <c r="BN258" s="11" t="s">
        <v>1483</v>
      </c>
      <c r="BO258" s="11" t="s">
        <v>95</v>
      </c>
    </row>
    <row r="259" spans="2:67">
      <c r="B259" s="11">
        <v>248</v>
      </c>
      <c r="C259" s="11" t="s">
        <v>1374</v>
      </c>
      <c r="D259" s="11" t="s">
        <v>1375</v>
      </c>
      <c r="E259" s="11" t="s">
        <v>3007</v>
      </c>
      <c r="F259" s="11" t="s">
        <v>3008</v>
      </c>
      <c r="G259" s="11" t="s">
        <v>2584</v>
      </c>
      <c r="H259" s="11" t="s">
        <v>3009</v>
      </c>
      <c r="I259" s="11" t="s">
        <v>3010</v>
      </c>
      <c r="J259" s="11"/>
      <c r="K259" s="11" t="s">
        <v>1421</v>
      </c>
      <c r="L259" s="11" t="s">
        <v>1382</v>
      </c>
      <c r="M259" s="11" t="s">
        <v>1581</v>
      </c>
      <c r="N259" s="11" t="s">
        <v>153</v>
      </c>
      <c r="O259" s="11" t="s">
        <v>134</v>
      </c>
      <c r="P259" s="11"/>
      <c r="Q259" s="11"/>
      <c r="R259" s="11" t="s">
        <v>3011</v>
      </c>
      <c r="S259" s="11" t="s">
        <v>1382</v>
      </c>
      <c r="T259" s="11" t="s">
        <v>3012</v>
      </c>
      <c r="U259" s="11" t="s">
        <v>1387</v>
      </c>
      <c r="V259" s="11" t="s">
        <v>3013</v>
      </c>
      <c r="W259" s="11" t="s">
        <v>1389</v>
      </c>
      <c r="X259" s="11" t="s">
        <v>1769</v>
      </c>
      <c r="Y259" s="11" t="s">
        <v>1421</v>
      </c>
      <c r="Z259" s="11" t="s">
        <v>1859</v>
      </c>
      <c r="AA259" s="11" t="s">
        <v>1860</v>
      </c>
      <c r="AB259" s="11" t="s">
        <v>3014</v>
      </c>
      <c r="AC259" s="11" t="s">
        <v>3011</v>
      </c>
      <c r="AD259" s="11">
        <v>5399067</v>
      </c>
      <c r="AE259" s="11" t="s">
        <v>1382</v>
      </c>
      <c r="AF259" s="11" t="s">
        <v>3015</v>
      </c>
      <c r="AG259" s="11" t="s">
        <v>1382</v>
      </c>
      <c r="AH259" s="11" t="s">
        <v>3015</v>
      </c>
      <c r="AI259" s="11" t="s">
        <v>3016</v>
      </c>
      <c r="AJ259" s="11" t="s">
        <v>3017</v>
      </c>
      <c r="AK259" s="11" t="s">
        <v>1396</v>
      </c>
      <c r="AL259" s="11" t="s">
        <v>134</v>
      </c>
      <c r="AM259" s="11">
        <v>16119.7</v>
      </c>
      <c r="AN259" s="11"/>
      <c r="AO259" s="11" t="s">
        <v>134</v>
      </c>
      <c r="AP259" s="11" t="s">
        <v>1397</v>
      </c>
      <c r="AQ259" s="11" t="s">
        <v>1398</v>
      </c>
      <c r="AR259" s="11" t="s">
        <v>3018</v>
      </c>
      <c r="AS259" s="11" t="s">
        <v>3019</v>
      </c>
      <c r="AT259" s="11" t="s">
        <v>3020</v>
      </c>
      <c r="AU259" s="11" t="s">
        <v>3005</v>
      </c>
      <c r="AV259" s="11"/>
      <c r="AW259" s="11" t="s">
        <v>3021</v>
      </c>
      <c r="AX259" s="11"/>
      <c r="AY259" s="11"/>
      <c r="AZ259" s="11"/>
      <c r="BA259" s="11"/>
      <c r="BB259" s="11">
        <v>79668490</v>
      </c>
      <c r="BC259" s="11" t="s">
        <v>1403</v>
      </c>
      <c r="BD259" s="11" t="s">
        <v>1432</v>
      </c>
      <c r="BE259" s="11" t="s">
        <v>1779</v>
      </c>
      <c r="BF259" s="11" t="s">
        <v>2168</v>
      </c>
      <c r="BG259" s="11" t="s">
        <v>3022</v>
      </c>
      <c r="BH259" s="11" t="s">
        <v>1502</v>
      </c>
      <c r="BI259" s="11" t="s">
        <v>1407</v>
      </c>
      <c r="BJ259" s="11" t="s">
        <v>134</v>
      </c>
      <c r="BK259" s="11"/>
      <c r="BL259" s="11" t="s">
        <v>1408</v>
      </c>
      <c r="BM259" s="11"/>
      <c r="BN259" s="11"/>
      <c r="BO259" s="11" t="s">
        <v>2599</v>
      </c>
    </row>
    <row r="260" spans="2:67">
      <c r="B260" s="11">
        <v>249</v>
      </c>
      <c r="C260" s="11" t="s">
        <v>1374</v>
      </c>
      <c r="D260" s="11" t="s">
        <v>1375</v>
      </c>
      <c r="E260" s="11" t="s">
        <v>3007</v>
      </c>
      <c r="F260" s="11" t="s">
        <v>3008</v>
      </c>
      <c r="G260" s="11" t="s">
        <v>2584</v>
      </c>
      <c r="H260" s="11" t="s">
        <v>3009</v>
      </c>
      <c r="I260" s="11" t="s">
        <v>3010</v>
      </c>
      <c r="J260" s="11"/>
      <c r="K260" s="11" t="s">
        <v>1421</v>
      </c>
      <c r="L260" s="11" t="s">
        <v>1382</v>
      </c>
      <c r="M260" s="11" t="s">
        <v>1581</v>
      </c>
      <c r="N260" s="11" t="s">
        <v>153</v>
      </c>
      <c r="O260" s="11" t="s">
        <v>134</v>
      </c>
      <c r="P260" s="11"/>
      <c r="Q260" s="11"/>
      <c r="R260" s="11" t="s">
        <v>3011</v>
      </c>
      <c r="S260" s="11" t="s">
        <v>1382</v>
      </c>
      <c r="T260" s="11" t="s">
        <v>3012</v>
      </c>
      <c r="U260" s="11" t="s">
        <v>1387</v>
      </c>
      <c r="V260" s="11" t="s">
        <v>3013</v>
      </c>
      <c r="W260" s="11" t="s">
        <v>1389</v>
      </c>
      <c r="X260" s="11" t="s">
        <v>1769</v>
      </c>
      <c r="Y260" s="11" t="s">
        <v>1421</v>
      </c>
      <c r="Z260" s="11" t="s">
        <v>1859</v>
      </c>
      <c r="AA260" s="11" t="s">
        <v>1860</v>
      </c>
      <c r="AB260" s="11" t="s">
        <v>3014</v>
      </c>
      <c r="AC260" s="11" t="s">
        <v>3011</v>
      </c>
      <c r="AD260" s="11">
        <v>5399067</v>
      </c>
      <c r="AE260" s="11" t="s">
        <v>1382</v>
      </c>
      <c r="AF260" s="11" t="s">
        <v>3015</v>
      </c>
      <c r="AG260" s="11" t="s">
        <v>1382</v>
      </c>
      <c r="AH260" s="11" t="s">
        <v>3015</v>
      </c>
      <c r="AI260" s="11" t="s">
        <v>3023</v>
      </c>
      <c r="AJ260" s="11" t="s">
        <v>3024</v>
      </c>
      <c r="AK260" s="11" t="s">
        <v>1396</v>
      </c>
      <c r="AL260" s="11" t="s">
        <v>134</v>
      </c>
      <c r="AM260" s="11">
        <v>2134.6999999999998</v>
      </c>
      <c r="AN260" s="11"/>
      <c r="AO260" s="11" t="s">
        <v>134</v>
      </c>
      <c r="AP260" s="11" t="s">
        <v>1397</v>
      </c>
      <c r="AQ260" s="11" t="s">
        <v>1398</v>
      </c>
      <c r="AR260" s="11" t="s">
        <v>3018</v>
      </c>
      <c r="AS260" s="11" t="s">
        <v>3019</v>
      </c>
      <c r="AT260" s="11" t="s">
        <v>3025</v>
      </c>
      <c r="AU260" s="11" t="s">
        <v>3005</v>
      </c>
      <c r="AV260" s="11"/>
      <c r="AW260" s="11" t="s">
        <v>3021</v>
      </c>
      <c r="AX260" s="11"/>
      <c r="AY260" s="11"/>
      <c r="AZ260" s="11"/>
      <c r="BA260" s="11"/>
      <c r="BB260" s="11">
        <v>79668490</v>
      </c>
      <c r="BC260" s="11" t="s">
        <v>1403</v>
      </c>
      <c r="BD260" s="11" t="s">
        <v>1432</v>
      </c>
      <c r="BE260" s="11" t="s">
        <v>1779</v>
      </c>
      <c r="BF260" s="11" t="s">
        <v>2168</v>
      </c>
      <c r="BG260" s="11" t="s">
        <v>3022</v>
      </c>
      <c r="BH260" s="11" t="s">
        <v>1502</v>
      </c>
      <c r="BI260" s="11" t="s">
        <v>1407</v>
      </c>
      <c r="BJ260" s="11" t="s">
        <v>134</v>
      </c>
      <c r="BK260" s="11"/>
      <c r="BL260" s="11" t="s">
        <v>1408</v>
      </c>
      <c r="BM260" s="11"/>
      <c r="BN260" s="11"/>
      <c r="BO260" s="11" t="s">
        <v>2599</v>
      </c>
    </row>
    <row r="261" spans="2:67">
      <c r="B261" s="11">
        <v>250</v>
      </c>
      <c r="C261" s="11" t="s">
        <v>1374</v>
      </c>
      <c r="D261" s="11" t="s">
        <v>1375</v>
      </c>
      <c r="E261" s="11" t="s">
        <v>3007</v>
      </c>
      <c r="F261" s="11" t="s">
        <v>3008</v>
      </c>
      <c r="G261" s="11" t="s">
        <v>2584</v>
      </c>
      <c r="H261" s="11" t="s">
        <v>3009</v>
      </c>
      <c r="I261" s="11" t="s">
        <v>3010</v>
      </c>
      <c r="J261" s="11"/>
      <c r="K261" s="11" t="s">
        <v>1421</v>
      </c>
      <c r="L261" s="11" t="s">
        <v>1382</v>
      </c>
      <c r="M261" s="11" t="s">
        <v>1581</v>
      </c>
      <c r="N261" s="11" t="s">
        <v>153</v>
      </c>
      <c r="O261" s="11" t="s">
        <v>134</v>
      </c>
      <c r="P261" s="11"/>
      <c r="Q261" s="11"/>
      <c r="R261" s="11" t="s">
        <v>3011</v>
      </c>
      <c r="S261" s="11" t="s">
        <v>1382</v>
      </c>
      <c r="T261" s="11" t="s">
        <v>3012</v>
      </c>
      <c r="U261" s="11" t="s">
        <v>1387</v>
      </c>
      <c r="V261" s="11" t="s">
        <v>3013</v>
      </c>
      <c r="W261" s="11" t="s">
        <v>1389</v>
      </c>
      <c r="X261" s="11" t="s">
        <v>1769</v>
      </c>
      <c r="Y261" s="11" t="s">
        <v>1421</v>
      </c>
      <c r="Z261" s="11" t="s">
        <v>1859</v>
      </c>
      <c r="AA261" s="11" t="s">
        <v>1860</v>
      </c>
      <c r="AB261" s="11" t="s">
        <v>3014</v>
      </c>
      <c r="AC261" s="11" t="s">
        <v>3011</v>
      </c>
      <c r="AD261" s="11">
        <v>5399067</v>
      </c>
      <c r="AE261" s="11" t="s">
        <v>1382</v>
      </c>
      <c r="AF261" s="11" t="s">
        <v>3015</v>
      </c>
      <c r="AG261" s="11" t="s">
        <v>1382</v>
      </c>
      <c r="AH261" s="11" t="s">
        <v>3015</v>
      </c>
      <c r="AI261" s="11" t="s">
        <v>3026</v>
      </c>
      <c r="AJ261" s="11" t="s">
        <v>3027</v>
      </c>
      <c r="AK261" s="11" t="s">
        <v>1396</v>
      </c>
      <c r="AL261" s="11" t="s">
        <v>134</v>
      </c>
      <c r="AM261" s="11">
        <v>12045.6</v>
      </c>
      <c r="AN261" s="11"/>
      <c r="AO261" s="11" t="s">
        <v>134</v>
      </c>
      <c r="AP261" s="11" t="s">
        <v>1397</v>
      </c>
      <c r="AQ261" s="11" t="s">
        <v>1398</v>
      </c>
      <c r="AR261" s="11" t="s">
        <v>3018</v>
      </c>
      <c r="AS261" s="11" t="s">
        <v>3019</v>
      </c>
      <c r="AT261" s="11" t="s">
        <v>3028</v>
      </c>
      <c r="AU261" s="11" t="s">
        <v>3005</v>
      </c>
      <c r="AV261" s="11"/>
      <c r="AW261" s="11" t="s">
        <v>3021</v>
      </c>
      <c r="AX261" s="11"/>
      <c r="AY261" s="11"/>
      <c r="AZ261" s="11"/>
      <c r="BA261" s="11"/>
      <c r="BB261" s="11">
        <v>79668490</v>
      </c>
      <c r="BC261" s="11" t="s">
        <v>1403</v>
      </c>
      <c r="BD261" s="11" t="s">
        <v>1432</v>
      </c>
      <c r="BE261" s="11" t="s">
        <v>1779</v>
      </c>
      <c r="BF261" s="11" t="s">
        <v>2168</v>
      </c>
      <c r="BG261" s="11" t="s">
        <v>3022</v>
      </c>
      <c r="BH261" s="11" t="s">
        <v>1502</v>
      </c>
      <c r="BI261" s="11" t="s">
        <v>1407</v>
      </c>
      <c r="BJ261" s="11" t="s">
        <v>134</v>
      </c>
      <c r="BK261" s="11"/>
      <c r="BL261" s="11" t="s">
        <v>1408</v>
      </c>
      <c r="BM261" s="11"/>
      <c r="BN261" s="11"/>
      <c r="BO261" s="11" t="s">
        <v>2599</v>
      </c>
    </row>
    <row r="262" spans="2:67">
      <c r="B262" s="11">
        <v>251</v>
      </c>
      <c r="C262" s="11" t="s">
        <v>1374</v>
      </c>
      <c r="D262" s="11" t="s">
        <v>1375</v>
      </c>
      <c r="E262" s="11" t="s">
        <v>3029</v>
      </c>
      <c r="F262" s="11" t="s">
        <v>3030</v>
      </c>
      <c r="G262" s="11" t="s">
        <v>2722</v>
      </c>
      <c r="H262" s="11" t="s">
        <v>3031</v>
      </c>
      <c r="I262" s="11" t="s">
        <v>3032</v>
      </c>
      <c r="J262" s="11"/>
      <c r="K262" s="11" t="s">
        <v>1488</v>
      </c>
      <c r="L262" s="11" t="s">
        <v>1382</v>
      </c>
      <c r="M262" s="11" t="s">
        <v>1417</v>
      </c>
      <c r="N262" s="11" t="s">
        <v>48</v>
      </c>
      <c r="O262" s="11" t="s">
        <v>134</v>
      </c>
      <c r="P262" s="11"/>
      <c r="Q262" s="11"/>
      <c r="R262" s="11" t="s">
        <v>3033</v>
      </c>
      <c r="S262" s="11" t="s">
        <v>1382</v>
      </c>
      <c r="T262" s="11" t="s">
        <v>3034</v>
      </c>
      <c r="U262" s="11" t="s">
        <v>1387</v>
      </c>
      <c r="V262" s="11" t="s">
        <v>3035</v>
      </c>
      <c r="W262" s="11" t="s">
        <v>1389</v>
      </c>
      <c r="X262" s="11" t="s">
        <v>2052</v>
      </c>
      <c r="Y262" s="11" t="s">
        <v>1381</v>
      </c>
      <c r="Z262" s="11" t="s">
        <v>1629</v>
      </c>
      <c r="AA262" s="11" t="s">
        <v>2006</v>
      </c>
      <c r="AB262" s="11" t="s">
        <v>3036</v>
      </c>
      <c r="AC262" s="11" t="s">
        <v>3033</v>
      </c>
      <c r="AD262" s="11">
        <v>5356198</v>
      </c>
      <c r="AE262" s="11" t="s">
        <v>1382</v>
      </c>
      <c r="AF262" s="11" t="s">
        <v>3037</v>
      </c>
      <c r="AG262" s="11" t="s">
        <v>1382</v>
      </c>
      <c r="AH262" s="11" t="s">
        <v>3038</v>
      </c>
      <c r="AI262" s="11" t="s">
        <v>2073</v>
      </c>
      <c r="AJ262" s="11" t="s">
        <v>2074</v>
      </c>
      <c r="AK262" s="11" t="s">
        <v>1396</v>
      </c>
      <c r="AL262" s="11" t="s">
        <v>134</v>
      </c>
      <c r="AM262" s="11">
        <v>13300</v>
      </c>
      <c r="AN262" s="11"/>
      <c r="AO262" s="11" t="s">
        <v>134</v>
      </c>
      <c r="AP262" s="11" t="s">
        <v>1397</v>
      </c>
      <c r="AQ262" s="11" t="s">
        <v>1398</v>
      </c>
      <c r="AR262" s="11" t="s">
        <v>3018</v>
      </c>
      <c r="AS262" s="11" t="s">
        <v>3039</v>
      </c>
      <c r="AT262" s="11" t="s">
        <v>3040</v>
      </c>
      <c r="AU262" s="11" t="s">
        <v>3005</v>
      </c>
      <c r="AV262" s="11"/>
      <c r="AW262" s="11" t="s">
        <v>3041</v>
      </c>
      <c r="AX262" s="11"/>
      <c r="AY262" s="11"/>
      <c r="AZ262" s="11"/>
      <c r="BA262" s="11"/>
      <c r="BB262" s="11">
        <v>44495810</v>
      </c>
      <c r="BC262" s="11" t="s">
        <v>1403</v>
      </c>
      <c r="BD262" s="11" t="s">
        <v>1432</v>
      </c>
      <c r="BE262" s="11" t="s">
        <v>2062</v>
      </c>
      <c r="BF262" s="11" t="s">
        <v>1501</v>
      </c>
      <c r="BG262" s="11" t="s">
        <v>1482</v>
      </c>
      <c r="BH262" s="11" t="s">
        <v>1502</v>
      </c>
      <c r="BI262" s="11" t="s">
        <v>1407</v>
      </c>
      <c r="BJ262" s="11" t="s">
        <v>134</v>
      </c>
      <c r="BK262" s="11"/>
      <c r="BL262" s="11" t="s">
        <v>1408</v>
      </c>
      <c r="BM262" s="11"/>
      <c r="BN262" s="11" t="s">
        <v>1457</v>
      </c>
      <c r="BO262" s="11" t="s">
        <v>1748</v>
      </c>
    </row>
    <row r="263" spans="2:67">
      <c r="B263" s="11">
        <v>252</v>
      </c>
      <c r="C263" s="11" t="s">
        <v>1374</v>
      </c>
      <c r="D263" s="11" t="s">
        <v>1375</v>
      </c>
      <c r="E263" s="11" t="s">
        <v>3029</v>
      </c>
      <c r="F263" s="11" t="s">
        <v>3030</v>
      </c>
      <c r="G263" s="11" t="s">
        <v>2722</v>
      </c>
      <c r="H263" s="11" t="s">
        <v>3031</v>
      </c>
      <c r="I263" s="11" t="s">
        <v>3032</v>
      </c>
      <c r="J263" s="11"/>
      <c r="K263" s="11" t="s">
        <v>1488</v>
      </c>
      <c r="L263" s="11" t="s">
        <v>1382</v>
      </c>
      <c r="M263" s="11" t="s">
        <v>1417</v>
      </c>
      <c r="N263" s="11" t="s">
        <v>48</v>
      </c>
      <c r="O263" s="11" t="s">
        <v>134</v>
      </c>
      <c r="P263" s="11"/>
      <c r="Q263" s="11"/>
      <c r="R263" s="11" t="s">
        <v>3033</v>
      </c>
      <c r="S263" s="11" t="s">
        <v>1382</v>
      </c>
      <c r="T263" s="11" t="s">
        <v>3034</v>
      </c>
      <c r="U263" s="11" t="s">
        <v>1387</v>
      </c>
      <c r="V263" s="11" t="s">
        <v>3035</v>
      </c>
      <c r="W263" s="11" t="s">
        <v>1389</v>
      </c>
      <c r="X263" s="11" t="s">
        <v>2052</v>
      </c>
      <c r="Y263" s="11" t="s">
        <v>1381</v>
      </c>
      <c r="Z263" s="11" t="s">
        <v>1629</v>
      </c>
      <c r="AA263" s="11" t="s">
        <v>2006</v>
      </c>
      <c r="AB263" s="11" t="s">
        <v>3036</v>
      </c>
      <c r="AC263" s="11" t="s">
        <v>3033</v>
      </c>
      <c r="AD263" s="11">
        <v>5356198</v>
      </c>
      <c r="AE263" s="11" t="s">
        <v>1382</v>
      </c>
      <c r="AF263" s="11" t="s">
        <v>3037</v>
      </c>
      <c r="AG263" s="11" t="s">
        <v>1382</v>
      </c>
      <c r="AH263" s="11" t="s">
        <v>3038</v>
      </c>
      <c r="AI263" s="11" t="s">
        <v>2091</v>
      </c>
      <c r="AJ263" s="11" t="s">
        <v>2092</v>
      </c>
      <c r="AK263" s="11" t="s">
        <v>1396</v>
      </c>
      <c r="AL263" s="11" t="s">
        <v>134</v>
      </c>
      <c r="AM263" s="11">
        <v>2000</v>
      </c>
      <c r="AN263" s="11"/>
      <c r="AO263" s="11" t="s">
        <v>134</v>
      </c>
      <c r="AP263" s="11" t="s">
        <v>1397</v>
      </c>
      <c r="AQ263" s="11" t="s">
        <v>1398</v>
      </c>
      <c r="AR263" s="11" t="s">
        <v>3018</v>
      </c>
      <c r="AS263" s="11" t="s">
        <v>3039</v>
      </c>
      <c r="AT263" s="11" t="s">
        <v>3042</v>
      </c>
      <c r="AU263" s="11" t="s">
        <v>3005</v>
      </c>
      <c r="AV263" s="11"/>
      <c r="AW263" s="11" t="s">
        <v>3041</v>
      </c>
      <c r="AX263" s="11"/>
      <c r="AY263" s="11"/>
      <c r="AZ263" s="11"/>
      <c r="BA263" s="11"/>
      <c r="BB263" s="11">
        <v>44495810</v>
      </c>
      <c r="BC263" s="11" t="s">
        <v>1403</v>
      </c>
      <c r="BD263" s="11" t="s">
        <v>1432</v>
      </c>
      <c r="BE263" s="11" t="s">
        <v>2062</v>
      </c>
      <c r="BF263" s="11" t="s">
        <v>1501</v>
      </c>
      <c r="BG263" s="11" t="s">
        <v>1482</v>
      </c>
      <c r="BH263" s="11" t="s">
        <v>1502</v>
      </c>
      <c r="BI263" s="11" t="s">
        <v>1407</v>
      </c>
      <c r="BJ263" s="11" t="s">
        <v>134</v>
      </c>
      <c r="BK263" s="11"/>
      <c r="BL263" s="11" t="s">
        <v>1408</v>
      </c>
      <c r="BM263" s="11"/>
      <c r="BN263" s="11" t="s">
        <v>1457</v>
      </c>
      <c r="BO263" s="11" t="s">
        <v>1748</v>
      </c>
    </row>
    <row r="264" spans="2:67">
      <c r="B264" s="11">
        <v>253</v>
      </c>
      <c r="C264" s="11" t="s">
        <v>1374</v>
      </c>
      <c r="D264" s="11" t="s">
        <v>1375</v>
      </c>
      <c r="E264" s="11" t="s">
        <v>1972</v>
      </c>
      <c r="F264" s="11" t="s">
        <v>3043</v>
      </c>
      <c r="G264" s="11" t="s">
        <v>2382</v>
      </c>
      <c r="H264" s="11" t="s">
        <v>3044</v>
      </c>
      <c r="I264" s="11" t="s">
        <v>3045</v>
      </c>
      <c r="J264" s="11" t="s">
        <v>134</v>
      </c>
      <c r="K264" s="11" t="s">
        <v>1441</v>
      </c>
      <c r="L264" s="11" t="s">
        <v>94</v>
      </c>
      <c r="M264" s="11" t="s">
        <v>1383</v>
      </c>
      <c r="N264" s="11" t="s">
        <v>1957</v>
      </c>
      <c r="O264" s="11" t="s">
        <v>3046</v>
      </c>
      <c r="P264" s="11"/>
      <c r="Q264" s="11"/>
      <c r="R264" s="11" t="s">
        <v>3047</v>
      </c>
      <c r="S264" s="11" t="s">
        <v>94</v>
      </c>
      <c r="T264" s="11" t="s">
        <v>3048</v>
      </c>
      <c r="U264" s="11" t="s">
        <v>1387</v>
      </c>
      <c r="V264" s="11" t="s">
        <v>3049</v>
      </c>
      <c r="W264" s="11" t="s">
        <v>1389</v>
      </c>
      <c r="X264" s="11" t="s">
        <v>1981</v>
      </c>
      <c r="Y264" s="11" t="s">
        <v>1976</v>
      </c>
      <c r="Z264" s="11" t="s">
        <v>1983</v>
      </c>
      <c r="AA264" s="11" t="s">
        <v>1983</v>
      </c>
      <c r="AB264" s="11" t="s">
        <v>1983</v>
      </c>
      <c r="AC264" s="11" t="s">
        <v>3047</v>
      </c>
      <c r="AD264" s="11">
        <v>5382524</v>
      </c>
      <c r="AE264" s="11" t="s">
        <v>94</v>
      </c>
      <c r="AF264" s="11" t="s">
        <v>3050</v>
      </c>
      <c r="AG264" s="11" t="s">
        <v>94</v>
      </c>
      <c r="AH264" s="11" t="s">
        <v>3050</v>
      </c>
      <c r="AI264" s="11" t="s">
        <v>1394</v>
      </c>
      <c r="AJ264" s="11" t="s">
        <v>1395</v>
      </c>
      <c r="AK264" s="11" t="s">
        <v>1396</v>
      </c>
      <c r="AL264" s="11" t="s">
        <v>134</v>
      </c>
      <c r="AM264" s="11">
        <v>16000</v>
      </c>
      <c r="AN264" s="11"/>
      <c r="AO264" s="11" t="s">
        <v>3046</v>
      </c>
      <c r="AP264" s="11" t="s">
        <v>1397</v>
      </c>
      <c r="AQ264" s="11" t="s">
        <v>1398</v>
      </c>
      <c r="AR264" s="11" t="s">
        <v>1452</v>
      </c>
      <c r="AS264" s="11" t="s">
        <v>3051</v>
      </c>
      <c r="AT264" s="11" t="s">
        <v>3052</v>
      </c>
      <c r="AU264" s="11" t="s">
        <v>3053</v>
      </c>
      <c r="AV264" s="11"/>
      <c r="AW264" s="11" t="s">
        <v>3054</v>
      </c>
      <c r="AX264" s="11"/>
      <c r="AY264" s="11"/>
      <c r="AZ264" s="11"/>
      <c r="BA264" s="11"/>
      <c r="BB264" s="11">
        <v>79544904</v>
      </c>
      <c r="BC264" s="11" t="s">
        <v>1403</v>
      </c>
      <c r="BD264" s="11"/>
      <c r="BE264" s="11" t="s">
        <v>134</v>
      </c>
      <c r="BF264" s="11" t="s">
        <v>134</v>
      </c>
      <c r="BG264" s="11"/>
      <c r="BH264" s="11" t="s">
        <v>1520</v>
      </c>
      <c r="BI264" s="11" t="s">
        <v>1407</v>
      </c>
      <c r="BJ264" s="11" t="s">
        <v>134</v>
      </c>
      <c r="BK264" s="11"/>
      <c r="BL264" s="11" t="s">
        <v>1408</v>
      </c>
      <c r="BM264" s="11"/>
      <c r="BN264" s="11"/>
      <c r="BO264" s="11" t="s">
        <v>1410</v>
      </c>
    </row>
    <row r="265" spans="2:67">
      <c r="B265" s="11">
        <v>254</v>
      </c>
      <c r="C265" s="11" t="s">
        <v>1374</v>
      </c>
      <c r="D265" s="11" t="s">
        <v>1375</v>
      </c>
      <c r="E265" s="11" t="s">
        <v>3055</v>
      </c>
      <c r="F265" s="11" t="s">
        <v>3056</v>
      </c>
      <c r="G265" s="11" t="s">
        <v>2177</v>
      </c>
      <c r="H265" s="11" t="s">
        <v>3057</v>
      </c>
      <c r="I265" s="11" t="s">
        <v>3058</v>
      </c>
      <c r="J265" s="11"/>
      <c r="K265" s="11" t="s">
        <v>1564</v>
      </c>
      <c r="L265" s="11" t="s">
        <v>94</v>
      </c>
      <c r="M265" s="11" t="s">
        <v>1383</v>
      </c>
      <c r="N265" s="11" t="s">
        <v>95</v>
      </c>
      <c r="O265" s="11" t="s">
        <v>2180</v>
      </c>
      <c r="P265" s="11"/>
      <c r="Q265" s="11"/>
      <c r="R265" s="11" t="s">
        <v>3055</v>
      </c>
      <c r="S265" s="11" t="s">
        <v>94</v>
      </c>
      <c r="T265" s="11" t="s">
        <v>3059</v>
      </c>
      <c r="U265" s="11" t="s">
        <v>1444</v>
      </c>
      <c r="V265" s="11" t="s">
        <v>3060</v>
      </c>
      <c r="W265" s="11" t="s">
        <v>1389</v>
      </c>
      <c r="X265" s="11" t="s">
        <v>2052</v>
      </c>
      <c r="Y265" s="11" t="s">
        <v>1564</v>
      </c>
      <c r="Z265" s="11" t="s">
        <v>2635</v>
      </c>
      <c r="AA265" s="11" t="s">
        <v>3061</v>
      </c>
      <c r="AB265" s="11" t="s">
        <v>1587</v>
      </c>
      <c r="AC265" s="11" t="s">
        <v>3055</v>
      </c>
      <c r="AD265" s="11">
        <v>5353974</v>
      </c>
      <c r="AE265" s="11" t="s">
        <v>94</v>
      </c>
      <c r="AF265" s="11" t="s">
        <v>3062</v>
      </c>
      <c r="AG265" s="11" t="s">
        <v>94</v>
      </c>
      <c r="AH265" s="11" t="s">
        <v>3063</v>
      </c>
      <c r="AI265" s="11" t="s">
        <v>3064</v>
      </c>
      <c r="AJ265" s="11" t="s">
        <v>1863</v>
      </c>
      <c r="AK265" s="11" t="s">
        <v>1396</v>
      </c>
      <c r="AL265" s="11" t="s">
        <v>134</v>
      </c>
      <c r="AM265" s="11">
        <v>30400</v>
      </c>
      <c r="AN265" s="11"/>
      <c r="AO265" s="11" t="s">
        <v>2177</v>
      </c>
      <c r="AP265" s="11" t="s">
        <v>1451</v>
      </c>
      <c r="AQ265" s="11" t="s">
        <v>1398</v>
      </c>
      <c r="AR265" s="11"/>
      <c r="AS265" s="11" t="s">
        <v>3065</v>
      </c>
      <c r="AT265" s="11"/>
      <c r="AU265" s="11" t="s">
        <v>3053</v>
      </c>
      <c r="AV265" s="11"/>
      <c r="AW265" s="11" t="s">
        <v>3066</v>
      </c>
      <c r="AX265" s="11"/>
      <c r="AY265" s="11"/>
      <c r="AZ265" s="11"/>
      <c r="BA265" s="11"/>
      <c r="BB265" s="11">
        <v>39367274</v>
      </c>
      <c r="BC265" s="11" t="s">
        <v>1403</v>
      </c>
      <c r="BD265" s="11" t="s">
        <v>1432</v>
      </c>
      <c r="BE265" s="11" t="s">
        <v>2062</v>
      </c>
      <c r="BF265" s="11" t="s">
        <v>1434</v>
      </c>
      <c r="BG265" s="11" t="s">
        <v>1482</v>
      </c>
      <c r="BH265" s="11" t="s">
        <v>1502</v>
      </c>
      <c r="BI265" s="11" t="s">
        <v>1407</v>
      </c>
      <c r="BJ265" s="11" t="s">
        <v>134</v>
      </c>
      <c r="BK265" s="11"/>
      <c r="BL265" s="11"/>
      <c r="BM265" s="11"/>
      <c r="BN265" s="11"/>
      <c r="BO265" s="11" t="s">
        <v>95</v>
      </c>
    </row>
    <row r="266" spans="2:67">
      <c r="B266" s="11">
        <v>255</v>
      </c>
      <c r="C266" s="11" t="s">
        <v>1374</v>
      </c>
      <c r="D266" s="11" t="s">
        <v>1375</v>
      </c>
      <c r="E266" s="11"/>
      <c r="F266" s="11" t="s">
        <v>3067</v>
      </c>
      <c r="G266" s="11"/>
      <c r="H266" s="11" t="s">
        <v>3068</v>
      </c>
      <c r="I266" s="11" t="s">
        <v>3069</v>
      </c>
      <c r="J266" s="11"/>
      <c r="K266" s="11" t="s">
        <v>1470</v>
      </c>
      <c r="L266" s="11" t="s">
        <v>1382</v>
      </c>
      <c r="M266" s="11" t="s">
        <v>1383</v>
      </c>
      <c r="N266" s="11" t="s">
        <v>95</v>
      </c>
      <c r="O266" s="11"/>
      <c r="P266" s="11"/>
      <c r="Q266" s="11"/>
      <c r="R266" s="11" t="s">
        <v>260</v>
      </c>
      <c r="S266" s="11" t="s">
        <v>1382</v>
      </c>
      <c r="T266" s="11" t="s">
        <v>3070</v>
      </c>
      <c r="U266" s="11" t="s">
        <v>1444</v>
      </c>
      <c r="V266" s="11" t="s">
        <v>3071</v>
      </c>
      <c r="W266" s="11" t="s">
        <v>1389</v>
      </c>
      <c r="X266" s="11" t="s">
        <v>1390</v>
      </c>
      <c r="Y266" s="11" t="s">
        <v>1470</v>
      </c>
      <c r="Z266" s="11" t="s">
        <v>2121</v>
      </c>
      <c r="AA266" s="11" t="s">
        <v>2122</v>
      </c>
      <c r="AB266" s="11" t="s">
        <v>2123</v>
      </c>
      <c r="AC266" s="11" t="s">
        <v>260</v>
      </c>
      <c r="AD266" s="11">
        <v>5353333</v>
      </c>
      <c r="AE266" s="11" t="s">
        <v>1382</v>
      </c>
      <c r="AF266" s="11" t="s">
        <v>3072</v>
      </c>
      <c r="AG266" s="11" t="s">
        <v>1382</v>
      </c>
      <c r="AH266" s="11" t="s">
        <v>3073</v>
      </c>
      <c r="AI266" s="11" t="s">
        <v>3074</v>
      </c>
      <c r="AJ266" s="11" t="s">
        <v>3075</v>
      </c>
      <c r="AK266" s="11" t="s">
        <v>1396</v>
      </c>
      <c r="AL266" s="11" t="s">
        <v>134</v>
      </c>
      <c r="AM266" s="11">
        <v>46800</v>
      </c>
      <c r="AN266" s="11"/>
      <c r="AO266" s="11" t="s">
        <v>134</v>
      </c>
      <c r="AP266" s="11" t="s">
        <v>1451</v>
      </c>
      <c r="AQ266" s="11" t="s">
        <v>1398</v>
      </c>
      <c r="AR266" s="11"/>
      <c r="AS266" s="11" t="s">
        <v>261</v>
      </c>
      <c r="AT266" s="11"/>
      <c r="AU266" s="11" t="s">
        <v>3076</v>
      </c>
      <c r="AV266" s="11"/>
      <c r="AW266" s="11" t="s">
        <v>3077</v>
      </c>
      <c r="AX266" s="11"/>
      <c r="AY266" s="11"/>
      <c r="AZ266" s="11"/>
      <c r="BA266" s="11"/>
      <c r="BB266" s="11">
        <v>51896947</v>
      </c>
      <c r="BC266" s="11" t="s">
        <v>1403</v>
      </c>
      <c r="BD266" s="11" t="s">
        <v>2647</v>
      </c>
      <c r="BE266" s="11" t="s">
        <v>3078</v>
      </c>
      <c r="BF266" s="11" t="s">
        <v>134</v>
      </c>
      <c r="BG266" s="11"/>
      <c r="BH266" s="11" t="s">
        <v>2131</v>
      </c>
      <c r="BI266" s="11" t="s">
        <v>1407</v>
      </c>
      <c r="BJ266" s="11" t="s">
        <v>134</v>
      </c>
      <c r="BK266" s="11"/>
      <c r="BL266" s="11"/>
      <c r="BM266" s="11"/>
      <c r="BN266" s="11" t="s">
        <v>1457</v>
      </c>
      <c r="BO266" s="11"/>
    </row>
    <row r="267" spans="2:67">
      <c r="B267" s="11">
        <v>256</v>
      </c>
      <c r="C267" s="11" t="s">
        <v>1374</v>
      </c>
      <c r="D267" s="11" t="s">
        <v>1375</v>
      </c>
      <c r="E267" s="11" t="s">
        <v>2794</v>
      </c>
      <c r="F267" s="11" t="s">
        <v>3079</v>
      </c>
      <c r="G267" s="11" t="s">
        <v>2403</v>
      </c>
      <c r="H267" s="11" t="s">
        <v>3080</v>
      </c>
      <c r="I267" s="11" t="s">
        <v>3081</v>
      </c>
      <c r="J267" s="11" t="s">
        <v>134</v>
      </c>
      <c r="K267" s="11" t="s">
        <v>1488</v>
      </c>
      <c r="L267" s="11" t="s">
        <v>94</v>
      </c>
      <c r="M267" s="11" t="s">
        <v>1383</v>
      </c>
      <c r="N267" s="11" t="s">
        <v>1957</v>
      </c>
      <c r="O267" s="11" t="s">
        <v>3082</v>
      </c>
      <c r="P267" s="11"/>
      <c r="Q267" s="11"/>
      <c r="R267" s="11" t="s">
        <v>3083</v>
      </c>
      <c r="S267" s="11" t="s">
        <v>94</v>
      </c>
      <c r="T267" s="11" t="s">
        <v>3084</v>
      </c>
      <c r="U267" s="11" t="s">
        <v>1387</v>
      </c>
      <c r="V267" s="11" t="s">
        <v>3085</v>
      </c>
      <c r="W267" s="11" t="s">
        <v>1389</v>
      </c>
      <c r="X267" s="11" t="s">
        <v>1981</v>
      </c>
      <c r="Y267" s="11" t="s">
        <v>1976</v>
      </c>
      <c r="Z267" s="11" t="s">
        <v>1983</v>
      </c>
      <c r="AA267" s="11" t="s">
        <v>1983</v>
      </c>
      <c r="AB267" s="11" t="s">
        <v>1983</v>
      </c>
      <c r="AC267" s="11" t="s">
        <v>3083</v>
      </c>
      <c r="AD267" s="11">
        <v>5352509</v>
      </c>
      <c r="AE267" s="11" t="s">
        <v>94</v>
      </c>
      <c r="AF267" s="11" t="s">
        <v>3086</v>
      </c>
      <c r="AG267" s="11" t="s">
        <v>94</v>
      </c>
      <c r="AH267" s="11" t="s">
        <v>3086</v>
      </c>
      <c r="AI267" s="11" t="s">
        <v>3087</v>
      </c>
      <c r="AJ267" s="11" t="s">
        <v>3088</v>
      </c>
      <c r="AK267" s="11" t="s">
        <v>1396</v>
      </c>
      <c r="AL267" s="11" t="s">
        <v>134</v>
      </c>
      <c r="AM267" s="11">
        <v>5680</v>
      </c>
      <c r="AN267" s="11"/>
      <c r="AO267" s="11" t="s">
        <v>3082</v>
      </c>
      <c r="AP267" s="11" t="s">
        <v>1397</v>
      </c>
      <c r="AQ267" s="11" t="s">
        <v>1398</v>
      </c>
      <c r="AR267" s="11" t="s">
        <v>3018</v>
      </c>
      <c r="AS267" s="11" t="s">
        <v>3089</v>
      </c>
      <c r="AT267" s="11" t="s">
        <v>3090</v>
      </c>
      <c r="AU267" s="11" t="s">
        <v>3091</v>
      </c>
      <c r="AV267" s="11"/>
      <c r="AW267" s="11" t="s">
        <v>3092</v>
      </c>
      <c r="AX267" s="11"/>
      <c r="AY267" s="11"/>
      <c r="AZ267" s="11"/>
      <c r="BA267" s="11"/>
      <c r="BB267" s="11">
        <v>79455959</v>
      </c>
      <c r="BC267" s="11" t="s">
        <v>1403</v>
      </c>
      <c r="BD267" s="11"/>
      <c r="BE267" s="11" t="s">
        <v>134</v>
      </c>
      <c r="BF267" s="11" t="s">
        <v>134</v>
      </c>
      <c r="BG267" s="11"/>
      <c r="BH267" s="11" t="s">
        <v>1406</v>
      </c>
      <c r="BI267" s="11" t="s">
        <v>1407</v>
      </c>
      <c r="BJ267" s="11" t="s">
        <v>134</v>
      </c>
      <c r="BK267" s="11"/>
      <c r="BL267" s="11" t="s">
        <v>1408</v>
      </c>
      <c r="BM267" s="11"/>
      <c r="BN267" s="11"/>
      <c r="BO267" s="11" t="s">
        <v>1410</v>
      </c>
    </row>
    <row r="268" spans="2:67">
      <c r="B268" s="11">
        <v>257</v>
      </c>
      <c r="C268" s="11" t="s">
        <v>1374</v>
      </c>
      <c r="D268" s="11" t="s">
        <v>1375</v>
      </c>
      <c r="E268" s="11" t="s">
        <v>3093</v>
      </c>
      <c r="F268" s="11" t="s">
        <v>3094</v>
      </c>
      <c r="G268" s="11" t="s">
        <v>3095</v>
      </c>
      <c r="H268" s="11" t="s">
        <v>3096</v>
      </c>
      <c r="I268" s="11" t="s">
        <v>3097</v>
      </c>
      <c r="J268" s="11"/>
      <c r="K268" s="11" t="s">
        <v>1470</v>
      </c>
      <c r="L268" s="11" t="s">
        <v>1382</v>
      </c>
      <c r="M268" s="11" t="s">
        <v>1383</v>
      </c>
      <c r="N268" s="11" t="s">
        <v>95</v>
      </c>
      <c r="O268" s="11" t="s">
        <v>3098</v>
      </c>
      <c r="P268" s="11"/>
      <c r="Q268" s="11"/>
      <c r="R268" s="11" t="s">
        <v>3093</v>
      </c>
      <c r="S268" s="11" t="s">
        <v>1382</v>
      </c>
      <c r="T268" s="11" t="s">
        <v>3099</v>
      </c>
      <c r="U268" s="11" t="s">
        <v>1444</v>
      </c>
      <c r="V268" s="11" t="s">
        <v>3100</v>
      </c>
      <c r="W268" s="11" t="s">
        <v>1389</v>
      </c>
      <c r="X268" s="11" t="s">
        <v>2052</v>
      </c>
      <c r="Y268" s="11" t="s">
        <v>1470</v>
      </c>
      <c r="Z268" s="11" t="s">
        <v>3101</v>
      </c>
      <c r="AA268" s="11" t="s">
        <v>3102</v>
      </c>
      <c r="AB268" s="11" t="s">
        <v>3103</v>
      </c>
      <c r="AC268" s="11" t="s">
        <v>3093</v>
      </c>
      <c r="AD268" s="11">
        <v>5380799</v>
      </c>
      <c r="AE268" s="11" t="s">
        <v>1382</v>
      </c>
      <c r="AF268" s="11" t="s">
        <v>3104</v>
      </c>
      <c r="AG268" s="11" t="s">
        <v>1382</v>
      </c>
      <c r="AH268" s="11" t="s">
        <v>3105</v>
      </c>
      <c r="AI268" s="11" t="s">
        <v>3106</v>
      </c>
      <c r="AJ268" s="11" t="s">
        <v>2188</v>
      </c>
      <c r="AK268" s="11" t="s">
        <v>1396</v>
      </c>
      <c r="AL268" s="11" t="s">
        <v>134</v>
      </c>
      <c r="AM268" s="11">
        <v>25400</v>
      </c>
      <c r="AN268" s="11"/>
      <c r="AO268" s="11" t="s">
        <v>3095</v>
      </c>
      <c r="AP268" s="11" t="s">
        <v>1451</v>
      </c>
      <c r="AQ268" s="11" t="s">
        <v>1398</v>
      </c>
      <c r="AR268" s="11"/>
      <c r="AS268" s="11" t="s">
        <v>3107</v>
      </c>
      <c r="AT268" s="11"/>
      <c r="AU268" s="11" t="s">
        <v>1733</v>
      </c>
      <c r="AV268" s="11"/>
      <c r="AW268" s="11" t="s">
        <v>3108</v>
      </c>
      <c r="AX268" s="11"/>
      <c r="AY268" s="11"/>
      <c r="AZ268" s="11"/>
      <c r="BA268" s="11"/>
      <c r="BB268" s="11">
        <v>61985429</v>
      </c>
      <c r="BC268" s="11" t="s">
        <v>1403</v>
      </c>
      <c r="BD268" s="11" t="s">
        <v>1432</v>
      </c>
      <c r="BE268" s="11" t="s">
        <v>2062</v>
      </c>
      <c r="BF268" s="11" t="s">
        <v>1555</v>
      </c>
      <c r="BG268" s="11" t="s">
        <v>1482</v>
      </c>
      <c r="BH268" s="11" t="s">
        <v>3109</v>
      </c>
      <c r="BI268" s="11" t="s">
        <v>1407</v>
      </c>
      <c r="BJ268" s="11" t="s">
        <v>134</v>
      </c>
      <c r="BK268" s="11"/>
      <c r="BL268" s="11"/>
      <c r="BM268" s="11"/>
      <c r="BN268" s="11" t="s">
        <v>1457</v>
      </c>
      <c r="BO268" s="11" t="s">
        <v>95</v>
      </c>
    </row>
    <row r="269" spans="2:67">
      <c r="B269" s="11">
        <v>258</v>
      </c>
      <c r="C269" s="11" t="s">
        <v>1374</v>
      </c>
      <c r="D269" s="11" t="s">
        <v>1375</v>
      </c>
      <c r="E269" s="11" t="s">
        <v>3093</v>
      </c>
      <c r="F269" s="11" t="s">
        <v>3094</v>
      </c>
      <c r="G269" s="11" t="s">
        <v>3095</v>
      </c>
      <c r="H269" s="11" t="s">
        <v>3096</v>
      </c>
      <c r="I269" s="11" t="s">
        <v>3097</v>
      </c>
      <c r="J269" s="11"/>
      <c r="K269" s="11" t="s">
        <v>1470</v>
      </c>
      <c r="L269" s="11" t="s">
        <v>1382</v>
      </c>
      <c r="M269" s="11" t="s">
        <v>1383</v>
      </c>
      <c r="N269" s="11" t="s">
        <v>95</v>
      </c>
      <c r="O269" s="11" t="s">
        <v>3098</v>
      </c>
      <c r="P269" s="11"/>
      <c r="Q269" s="11"/>
      <c r="R269" s="11" t="s">
        <v>3093</v>
      </c>
      <c r="S269" s="11" t="s">
        <v>1382</v>
      </c>
      <c r="T269" s="11" t="s">
        <v>3099</v>
      </c>
      <c r="U269" s="11" t="s">
        <v>1444</v>
      </c>
      <c r="V269" s="11" t="s">
        <v>3100</v>
      </c>
      <c r="W269" s="11" t="s">
        <v>1389</v>
      </c>
      <c r="X269" s="11" t="s">
        <v>2052</v>
      </c>
      <c r="Y269" s="11" t="s">
        <v>1470</v>
      </c>
      <c r="Z269" s="11" t="s">
        <v>3101</v>
      </c>
      <c r="AA269" s="11" t="s">
        <v>3102</v>
      </c>
      <c r="AB269" s="11" t="s">
        <v>3103</v>
      </c>
      <c r="AC269" s="11" t="s">
        <v>3093</v>
      </c>
      <c r="AD269" s="11">
        <v>5380799</v>
      </c>
      <c r="AE269" s="11" t="s">
        <v>1382</v>
      </c>
      <c r="AF269" s="11" t="s">
        <v>3104</v>
      </c>
      <c r="AG269" s="11" t="s">
        <v>1382</v>
      </c>
      <c r="AH269" s="11" t="s">
        <v>3105</v>
      </c>
      <c r="AI269" s="11" t="s">
        <v>3110</v>
      </c>
      <c r="AJ269" s="11" t="s">
        <v>3111</v>
      </c>
      <c r="AK269" s="11" t="s">
        <v>1396</v>
      </c>
      <c r="AL269" s="11" t="s">
        <v>134</v>
      </c>
      <c r="AM269" s="11">
        <v>21600</v>
      </c>
      <c r="AN269" s="11"/>
      <c r="AO269" s="11" t="s">
        <v>3095</v>
      </c>
      <c r="AP269" s="11" t="s">
        <v>1451</v>
      </c>
      <c r="AQ269" s="11" t="s">
        <v>1398</v>
      </c>
      <c r="AR269" s="11"/>
      <c r="AS269" s="11" t="s">
        <v>3107</v>
      </c>
      <c r="AT269" s="11"/>
      <c r="AU269" s="11" t="s">
        <v>1733</v>
      </c>
      <c r="AV269" s="11"/>
      <c r="AW269" s="11" t="s">
        <v>3108</v>
      </c>
      <c r="AX269" s="11"/>
      <c r="AY269" s="11"/>
      <c r="AZ269" s="11"/>
      <c r="BA269" s="11"/>
      <c r="BB269" s="11">
        <v>61985429</v>
      </c>
      <c r="BC269" s="11" t="s">
        <v>1403</v>
      </c>
      <c r="BD269" s="11" t="s">
        <v>1432</v>
      </c>
      <c r="BE269" s="11" t="s">
        <v>2062</v>
      </c>
      <c r="BF269" s="11" t="s">
        <v>1555</v>
      </c>
      <c r="BG269" s="11" t="s">
        <v>1482</v>
      </c>
      <c r="BH269" s="11" t="s">
        <v>3109</v>
      </c>
      <c r="BI269" s="11" t="s">
        <v>1407</v>
      </c>
      <c r="BJ269" s="11" t="s">
        <v>134</v>
      </c>
      <c r="BK269" s="11"/>
      <c r="BL269" s="11"/>
      <c r="BM269" s="11"/>
      <c r="BN269" s="11" t="s">
        <v>1457</v>
      </c>
      <c r="BO269" s="11" t="s">
        <v>95</v>
      </c>
    </row>
    <row r="270" spans="2:67">
      <c r="B270" s="11">
        <v>259</v>
      </c>
      <c r="C270" s="11" t="s">
        <v>1374</v>
      </c>
      <c r="D270" s="11" t="s">
        <v>1375</v>
      </c>
      <c r="E270" s="11" t="s">
        <v>2847</v>
      </c>
      <c r="F270" s="11" t="s">
        <v>3112</v>
      </c>
      <c r="G270" s="11" t="s">
        <v>3113</v>
      </c>
      <c r="H270" s="11" t="s">
        <v>3114</v>
      </c>
      <c r="I270" s="11" t="s">
        <v>3115</v>
      </c>
      <c r="J270" s="11"/>
      <c r="K270" s="11" t="s">
        <v>1488</v>
      </c>
      <c r="L270" s="11" t="s">
        <v>94</v>
      </c>
      <c r="M270" s="11" t="s">
        <v>1417</v>
      </c>
      <c r="N270" s="11" t="s">
        <v>220</v>
      </c>
      <c r="O270" s="11" t="s">
        <v>134</v>
      </c>
      <c r="P270" s="11"/>
      <c r="Q270" s="11"/>
      <c r="R270" s="11" t="s">
        <v>3116</v>
      </c>
      <c r="S270" s="11" t="s">
        <v>94</v>
      </c>
      <c r="T270" s="11" t="s">
        <v>3117</v>
      </c>
      <c r="U270" s="11" t="s">
        <v>1444</v>
      </c>
      <c r="V270" s="11" t="s">
        <v>3118</v>
      </c>
      <c r="W270" s="11" t="s">
        <v>1389</v>
      </c>
      <c r="X270" s="11" t="s">
        <v>1769</v>
      </c>
      <c r="Y270" s="11" t="s">
        <v>1381</v>
      </c>
      <c r="Z270" s="11" t="s">
        <v>1686</v>
      </c>
      <c r="AA270" s="11" t="s">
        <v>1687</v>
      </c>
      <c r="AB270" s="11" t="s">
        <v>1688</v>
      </c>
      <c r="AC270" s="11" t="s">
        <v>3116</v>
      </c>
      <c r="AD270" s="11">
        <v>5380430</v>
      </c>
      <c r="AE270" s="11" t="s">
        <v>94</v>
      </c>
      <c r="AF270" s="11" t="s">
        <v>3119</v>
      </c>
      <c r="AG270" s="11" t="s">
        <v>94</v>
      </c>
      <c r="AH270" s="11" t="s">
        <v>3119</v>
      </c>
      <c r="AI270" s="11" t="s">
        <v>2901</v>
      </c>
      <c r="AJ270" s="11" t="s">
        <v>2273</v>
      </c>
      <c r="AK270" s="11" t="s">
        <v>1396</v>
      </c>
      <c r="AL270" s="11" t="s">
        <v>134</v>
      </c>
      <c r="AM270" s="11">
        <v>8568.2000000000007</v>
      </c>
      <c r="AN270" s="11"/>
      <c r="AO270" s="11" t="s">
        <v>134</v>
      </c>
      <c r="AP270" s="11" t="s">
        <v>1451</v>
      </c>
      <c r="AQ270" s="11" t="s">
        <v>1398</v>
      </c>
      <c r="AR270" s="11" t="s">
        <v>3018</v>
      </c>
      <c r="AS270" s="11" t="s">
        <v>3120</v>
      </c>
      <c r="AT270" s="11" t="s">
        <v>3121</v>
      </c>
      <c r="AU270" s="11" t="s">
        <v>1733</v>
      </c>
      <c r="AV270" s="11"/>
      <c r="AW270" s="11" t="s">
        <v>3122</v>
      </c>
      <c r="AX270" s="11"/>
      <c r="AY270" s="11"/>
      <c r="AZ270" s="11"/>
      <c r="BA270" s="11"/>
      <c r="BB270" s="11">
        <v>63745532</v>
      </c>
      <c r="BC270" s="11" t="s">
        <v>1403</v>
      </c>
      <c r="BD270" s="11" t="s">
        <v>1432</v>
      </c>
      <c r="BE270" s="11" t="s">
        <v>2078</v>
      </c>
      <c r="BF270" s="11" t="s">
        <v>3123</v>
      </c>
      <c r="BG270" s="11" t="s">
        <v>1482</v>
      </c>
      <c r="BH270" s="11" t="s">
        <v>1502</v>
      </c>
      <c r="BI270" s="11" t="s">
        <v>1407</v>
      </c>
      <c r="BJ270" s="11" t="s">
        <v>134</v>
      </c>
      <c r="BK270" s="11"/>
      <c r="BL270" s="11" t="s">
        <v>1408</v>
      </c>
      <c r="BM270" s="11"/>
      <c r="BN270" s="11" t="s">
        <v>1457</v>
      </c>
      <c r="BO270" s="11" t="s">
        <v>1748</v>
      </c>
    </row>
    <row r="271" spans="2:67">
      <c r="B271" s="11">
        <v>260</v>
      </c>
      <c r="C271" s="11" t="s">
        <v>1374</v>
      </c>
      <c r="D271" s="11" t="s">
        <v>1375</v>
      </c>
      <c r="E271" s="11" t="s">
        <v>2847</v>
      </c>
      <c r="F271" s="11" t="s">
        <v>3112</v>
      </c>
      <c r="G271" s="11" t="s">
        <v>3113</v>
      </c>
      <c r="H271" s="11" t="s">
        <v>3114</v>
      </c>
      <c r="I271" s="11" t="s">
        <v>3115</v>
      </c>
      <c r="J271" s="11"/>
      <c r="K271" s="11" t="s">
        <v>1488</v>
      </c>
      <c r="L271" s="11" t="s">
        <v>94</v>
      </c>
      <c r="M271" s="11" t="s">
        <v>1417</v>
      </c>
      <c r="N271" s="11" t="s">
        <v>220</v>
      </c>
      <c r="O271" s="11" t="s">
        <v>134</v>
      </c>
      <c r="P271" s="11"/>
      <c r="Q271" s="11"/>
      <c r="R271" s="11" t="s">
        <v>3116</v>
      </c>
      <c r="S271" s="11" t="s">
        <v>94</v>
      </c>
      <c r="T271" s="11" t="s">
        <v>3117</v>
      </c>
      <c r="U271" s="11" t="s">
        <v>1444</v>
      </c>
      <c r="V271" s="11" t="s">
        <v>3118</v>
      </c>
      <c r="W271" s="11" t="s">
        <v>1389</v>
      </c>
      <c r="X271" s="11" t="s">
        <v>1769</v>
      </c>
      <c r="Y271" s="11" t="s">
        <v>1381</v>
      </c>
      <c r="Z271" s="11" t="s">
        <v>1686</v>
      </c>
      <c r="AA271" s="11" t="s">
        <v>1687</v>
      </c>
      <c r="AB271" s="11" t="s">
        <v>1688</v>
      </c>
      <c r="AC271" s="11" t="s">
        <v>3116</v>
      </c>
      <c r="AD271" s="11">
        <v>5380430</v>
      </c>
      <c r="AE271" s="11" t="s">
        <v>94</v>
      </c>
      <c r="AF271" s="11" t="s">
        <v>3119</v>
      </c>
      <c r="AG271" s="11" t="s">
        <v>94</v>
      </c>
      <c r="AH271" s="11" t="s">
        <v>3119</v>
      </c>
      <c r="AI271" s="11" t="s">
        <v>2913</v>
      </c>
      <c r="AJ271" s="11" t="s">
        <v>2266</v>
      </c>
      <c r="AK271" s="11" t="s">
        <v>1396</v>
      </c>
      <c r="AL271" s="11" t="s">
        <v>134</v>
      </c>
      <c r="AM271" s="11">
        <v>4121.2</v>
      </c>
      <c r="AN271" s="11"/>
      <c r="AO271" s="11" t="s">
        <v>134</v>
      </c>
      <c r="AP271" s="11" t="s">
        <v>1451</v>
      </c>
      <c r="AQ271" s="11" t="s">
        <v>1398</v>
      </c>
      <c r="AR271" s="11" t="s">
        <v>3018</v>
      </c>
      <c r="AS271" s="11" t="s">
        <v>3120</v>
      </c>
      <c r="AT271" s="11" t="s">
        <v>3124</v>
      </c>
      <c r="AU271" s="11" t="s">
        <v>1733</v>
      </c>
      <c r="AV271" s="11"/>
      <c r="AW271" s="11" t="s">
        <v>3122</v>
      </c>
      <c r="AX271" s="11"/>
      <c r="AY271" s="11"/>
      <c r="AZ271" s="11"/>
      <c r="BA271" s="11"/>
      <c r="BB271" s="11">
        <v>63745532</v>
      </c>
      <c r="BC271" s="11" t="s">
        <v>1403</v>
      </c>
      <c r="BD271" s="11" t="s">
        <v>1432</v>
      </c>
      <c r="BE271" s="11" t="s">
        <v>2078</v>
      </c>
      <c r="BF271" s="11" t="s">
        <v>3123</v>
      </c>
      <c r="BG271" s="11" t="s">
        <v>1482</v>
      </c>
      <c r="BH271" s="11" t="s">
        <v>1502</v>
      </c>
      <c r="BI271" s="11" t="s">
        <v>1407</v>
      </c>
      <c r="BJ271" s="11" t="s">
        <v>134</v>
      </c>
      <c r="BK271" s="11"/>
      <c r="BL271" s="11" t="s">
        <v>1408</v>
      </c>
      <c r="BM271" s="11"/>
      <c r="BN271" s="11" t="s">
        <v>1457</v>
      </c>
      <c r="BO271" s="11" t="s">
        <v>1748</v>
      </c>
    </row>
    <row r="272" spans="2:67">
      <c r="B272" s="11">
        <v>261</v>
      </c>
      <c r="C272" s="11" t="s">
        <v>1374</v>
      </c>
      <c r="D272" s="11" t="s">
        <v>1375</v>
      </c>
      <c r="E272" s="11" t="s">
        <v>2847</v>
      </c>
      <c r="F272" s="11" t="s">
        <v>3112</v>
      </c>
      <c r="G272" s="11" t="s">
        <v>3113</v>
      </c>
      <c r="H272" s="11" t="s">
        <v>3114</v>
      </c>
      <c r="I272" s="11" t="s">
        <v>3115</v>
      </c>
      <c r="J272" s="11"/>
      <c r="K272" s="11" t="s">
        <v>1488</v>
      </c>
      <c r="L272" s="11" t="s">
        <v>94</v>
      </c>
      <c r="M272" s="11" t="s">
        <v>1417</v>
      </c>
      <c r="N272" s="11" t="s">
        <v>220</v>
      </c>
      <c r="O272" s="11" t="s">
        <v>134</v>
      </c>
      <c r="P272" s="11"/>
      <c r="Q272" s="11"/>
      <c r="R272" s="11" t="s">
        <v>3116</v>
      </c>
      <c r="S272" s="11" t="s">
        <v>94</v>
      </c>
      <c r="T272" s="11" t="s">
        <v>3117</v>
      </c>
      <c r="U272" s="11" t="s">
        <v>1444</v>
      </c>
      <c r="V272" s="11" t="s">
        <v>3118</v>
      </c>
      <c r="W272" s="11" t="s">
        <v>1389</v>
      </c>
      <c r="X272" s="11" t="s">
        <v>1769</v>
      </c>
      <c r="Y272" s="11" t="s">
        <v>1381</v>
      </c>
      <c r="Z272" s="11" t="s">
        <v>1686</v>
      </c>
      <c r="AA272" s="11" t="s">
        <v>1687</v>
      </c>
      <c r="AB272" s="11" t="s">
        <v>1688</v>
      </c>
      <c r="AC272" s="11" t="s">
        <v>3116</v>
      </c>
      <c r="AD272" s="11">
        <v>5380430</v>
      </c>
      <c r="AE272" s="11" t="s">
        <v>94</v>
      </c>
      <c r="AF272" s="11" t="s">
        <v>3119</v>
      </c>
      <c r="AG272" s="11" t="s">
        <v>94</v>
      </c>
      <c r="AH272" s="11" t="s">
        <v>3119</v>
      </c>
      <c r="AI272" s="11" t="s">
        <v>2911</v>
      </c>
      <c r="AJ272" s="11" t="s">
        <v>2270</v>
      </c>
      <c r="AK272" s="11" t="s">
        <v>1396</v>
      </c>
      <c r="AL272" s="11" t="s">
        <v>134</v>
      </c>
      <c r="AM272" s="11">
        <v>4081.7</v>
      </c>
      <c r="AN272" s="11"/>
      <c r="AO272" s="11" t="s">
        <v>134</v>
      </c>
      <c r="AP272" s="11" t="s">
        <v>1451</v>
      </c>
      <c r="AQ272" s="11" t="s">
        <v>1398</v>
      </c>
      <c r="AR272" s="11" t="s">
        <v>3018</v>
      </c>
      <c r="AS272" s="11" t="s">
        <v>3120</v>
      </c>
      <c r="AT272" s="11" t="s">
        <v>3125</v>
      </c>
      <c r="AU272" s="11" t="s">
        <v>1733</v>
      </c>
      <c r="AV272" s="11"/>
      <c r="AW272" s="11" t="s">
        <v>3122</v>
      </c>
      <c r="AX272" s="11"/>
      <c r="AY272" s="11"/>
      <c r="AZ272" s="11"/>
      <c r="BA272" s="11"/>
      <c r="BB272" s="11">
        <v>63745532</v>
      </c>
      <c r="BC272" s="11" t="s">
        <v>1403</v>
      </c>
      <c r="BD272" s="11" t="s">
        <v>1432</v>
      </c>
      <c r="BE272" s="11" t="s">
        <v>2078</v>
      </c>
      <c r="BF272" s="11" t="s">
        <v>3123</v>
      </c>
      <c r="BG272" s="11" t="s">
        <v>1482</v>
      </c>
      <c r="BH272" s="11" t="s">
        <v>1502</v>
      </c>
      <c r="BI272" s="11" t="s">
        <v>1407</v>
      </c>
      <c r="BJ272" s="11" t="s">
        <v>134</v>
      </c>
      <c r="BK272" s="11"/>
      <c r="BL272" s="11" t="s">
        <v>1408</v>
      </c>
      <c r="BM272" s="11"/>
      <c r="BN272" s="11" t="s">
        <v>1457</v>
      </c>
      <c r="BO272" s="11" t="s">
        <v>1748</v>
      </c>
    </row>
    <row r="273" spans="2:67">
      <c r="B273" s="11">
        <v>262</v>
      </c>
      <c r="C273" s="11" t="s">
        <v>1374</v>
      </c>
      <c r="D273" s="11" t="s">
        <v>1375</v>
      </c>
      <c r="E273" s="11" t="s">
        <v>2847</v>
      </c>
      <c r="F273" s="11" t="s">
        <v>3112</v>
      </c>
      <c r="G273" s="11" t="s">
        <v>3113</v>
      </c>
      <c r="H273" s="11" t="s">
        <v>3114</v>
      </c>
      <c r="I273" s="11" t="s">
        <v>3115</v>
      </c>
      <c r="J273" s="11"/>
      <c r="K273" s="11" t="s">
        <v>1488</v>
      </c>
      <c r="L273" s="11" t="s">
        <v>94</v>
      </c>
      <c r="M273" s="11" t="s">
        <v>1417</v>
      </c>
      <c r="N273" s="11" t="s">
        <v>220</v>
      </c>
      <c r="O273" s="11" t="s">
        <v>134</v>
      </c>
      <c r="P273" s="11"/>
      <c r="Q273" s="11"/>
      <c r="R273" s="11" t="s">
        <v>3116</v>
      </c>
      <c r="S273" s="11" t="s">
        <v>94</v>
      </c>
      <c r="T273" s="11" t="s">
        <v>3117</v>
      </c>
      <c r="U273" s="11" t="s">
        <v>1444</v>
      </c>
      <c r="V273" s="11" t="s">
        <v>3118</v>
      </c>
      <c r="W273" s="11" t="s">
        <v>1389</v>
      </c>
      <c r="X273" s="11" t="s">
        <v>1769</v>
      </c>
      <c r="Y273" s="11" t="s">
        <v>1381</v>
      </c>
      <c r="Z273" s="11" t="s">
        <v>1686</v>
      </c>
      <c r="AA273" s="11" t="s">
        <v>1687</v>
      </c>
      <c r="AB273" s="11" t="s">
        <v>1688</v>
      </c>
      <c r="AC273" s="11" t="s">
        <v>3116</v>
      </c>
      <c r="AD273" s="11">
        <v>5380430</v>
      </c>
      <c r="AE273" s="11" t="s">
        <v>94</v>
      </c>
      <c r="AF273" s="11" t="s">
        <v>3119</v>
      </c>
      <c r="AG273" s="11" t="s">
        <v>94</v>
      </c>
      <c r="AH273" s="11" t="s">
        <v>3119</v>
      </c>
      <c r="AI273" s="11" t="s">
        <v>2909</v>
      </c>
      <c r="AJ273" s="11" t="s">
        <v>2282</v>
      </c>
      <c r="AK273" s="11" t="s">
        <v>1396</v>
      </c>
      <c r="AL273" s="11" t="s">
        <v>134</v>
      </c>
      <c r="AM273" s="11">
        <v>8528.9</v>
      </c>
      <c r="AN273" s="11"/>
      <c r="AO273" s="11" t="s">
        <v>134</v>
      </c>
      <c r="AP273" s="11" t="s">
        <v>1451</v>
      </c>
      <c r="AQ273" s="11" t="s">
        <v>1398</v>
      </c>
      <c r="AR273" s="11" t="s">
        <v>3018</v>
      </c>
      <c r="AS273" s="11" t="s">
        <v>3120</v>
      </c>
      <c r="AT273" s="11" t="s">
        <v>3126</v>
      </c>
      <c r="AU273" s="11" t="s">
        <v>1733</v>
      </c>
      <c r="AV273" s="11"/>
      <c r="AW273" s="11" t="s">
        <v>3122</v>
      </c>
      <c r="AX273" s="11"/>
      <c r="AY273" s="11"/>
      <c r="AZ273" s="11"/>
      <c r="BA273" s="11"/>
      <c r="BB273" s="11">
        <v>63745532</v>
      </c>
      <c r="BC273" s="11" t="s">
        <v>1403</v>
      </c>
      <c r="BD273" s="11" t="s">
        <v>1432</v>
      </c>
      <c r="BE273" s="11" t="s">
        <v>2078</v>
      </c>
      <c r="BF273" s="11" t="s">
        <v>3123</v>
      </c>
      <c r="BG273" s="11" t="s">
        <v>1482</v>
      </c>
      <c r="BH273" s="11" t="s">
        <v>1502</v>
      </c>
      <c r="BI273" s="11" t="s">
        <v>1407</v>
      </c>
      <c r="BJ273" s="11" t="s">
        <v>134</v>
      </c>
      <c r="BK273" s="11"/>
      <c r="BL273" s="11" t="s">
        <v>1408</v>
      </c>
      <c r="BM273" s="11"/>
      <c r="BN273" s="11" t="s">
        <v>1457</v>
      </c>
      <c r="BO273" s="11" t="s">
        <v>1748</v>
      </c>
    </row>
    <row r="274" spans="2:67">
      <c r="B274" s="11">
        <v>263</v>
      </c>
      <c r="C274" s="11" t="s">
        <v>1374</v>
      </c>
      <c r="D274" s="11" t="s">
        <v>1375</v>
      </c>
      <c r="E274" s="11" t="s">
        <v>3127</v>
      </c>
      <c r="F274" s="11" t="s">
        <v>3128</v>
      </c>
      <c r="G274" s="11" t="s">
        <v>46</v>
      </c>
      <c r="H274" s="11" t="s">
        <v>3129</v>
      </c>
      <c r="I274" s="11" t="s">
        <v>3130</v>
      </c>
      <c r="J274" s="11"/>
      <c r="K274" s="11" t="s">
        <v>1470</v>
      </c>
      <c r="L274" s="11" t="s">
        <v>1382</v>
      </c>
      <c r="M274" s="11" t="s">
        <v>1383</v>
      </c>
      <c r="N274" s="11" t="s">
        <v>95</v>
      </c>
      <c r="O274" s="11" t="s">
        <v>2662</v>
      </c>
      <c r="P274" s="11"/>
      <c r="Q274" s="11"/>
      <c r="R274" s="11" t="s">
        <v>3127</v>
      </c>
      <c r="S274" s="11" t="s">
        <v>1382</v>
      </c>
      <c r="T274" s="11" t="s">
        <v>3131</v>
      </c>
      <c r="U274" s="11" t="s">
        <v>1444</v>
      </c>
      <c r="V274" s="11" t="s">
        <v>3132</v>
      </c>
      <c r="W274" s="11" t="s">
        <v>1389</v>
      </c>
      <c r="X274" s="11" t="s">
        <v>2052</v>
      </c>
      <c r="Y274" s="11" t="s">
        <v>1470</v>
      </c>
      <c r="Z274" s="11" t="s">
        <v>3133</v>
      </c>
      <c r="AA274" s="11" t="s">
        <v>3134</v>
      </c>
      <c r="AB274" s="11" t="s">
        <v>3135</v>
      </c>
      <c r="AC274" s="11" t="s">
        <v>3127</v>
      </c>
      <c r="AD274" s="11">
        <v>5350390</v>
      </c>
      <c r="AE274" s="11" t="s">
        <v>1382</v>
      </c>
      <c r="AF274" s="11" t="s">
        <v>3136</v>
      </c>
      <c r="AG274" s="11" t="s">
        <v>1382</v>
      </c>
      <c r="AH274" s="11" t="s">
        <v>3137</v>
      </c>
      <c r="AI274" s="11" t="s">
        <v>3138</v>
      </c>
      <c r="AJ274" s="11" t="s">
        <v>3139</v>
      </c>
      <c r="AK274" s="11" t="s">
        <v>1396</v>
      </c>
      <c r="AL274" s="11" t="s">
        <v>134</v>
      </c>
      <c r="AM274" s="11">
        <v>33000</v>
      </c>
      <c r="AN274" s="11"/>
      <c r="AO274" s="11" t="s">
        <v>46</v>
      </c>
      <c r="AP274" s="11" t="s">
        <v>1451</v>
      </c>
      <c r="AQ274" s="11" t="s">
        <v>1398</v>
      </c>
      <c r="AR274" s="11"/>
      <c r="AS274" s="11" t="s">
        <v>3140</v>
      </c>
      <c r="AT274" s="11"/>
      <c r="AU274" s="11" t="s">
        <v>3141</v>
      </c>
      <c r="AV274" s="11"/>
      <c r="AW274" s="11" t="s">
        <v>3142</v>
      </c>
      <c r="AX274" s="11"/>
      <c r="AY274" s="11"/>
      <c r="AZ274" s="11"/>
      <c r="BA274" s="11"/>
      <c r="BB274" s="11">
        <v>60702996</v>
      </c>
      <c r="BC274" s="11" t="s">
        <v>1403</v>
      </c>
      <c r="BD274" s="11" t="s">
        <v>1432</v>
      </c>
      <c r="BE274" s="11" t="s">
        <v>2062</v>
      </c>
      <c r="BF274" s="11" t="s">
        <v>1780</v>
      </c>
      <c r="BG274" s="11" t="s">
        <v>1482</v>
      </c>
      <c r="BH274" s="11" t="s">
        <v>1435</v>
      </c>
      <c r="BI274" s="11" t="s">
        <v>1407</v>
      </c>
      <c r="BJ274" s="11" t="s">
        <v>134</v>
      </c>
      <c r="BK274" s="11"/>
      <c r="BL274" s="11"/>
      <c r="BM274" s="11"/>
      <c r="BN274" s="11" t="s">
        <v>1483</v>
      </c>
      <c r="BO274" s="11" t="s">
        <v>95</v>
      </c>
    </row>
    <row r="275" spans="2:67">
      <c r="B275" s="11">
        <v>264</v>
      </c>
      <c r="C275" s="11" t="s">
        <v>1374</v>
      </c>
      <c r="D275" s="11" t="s">
        <v>1375</v>
      </c>
      <c r="E275" s="11" t="s">
        <v>2772</v>
      </c>
      <c r="F275" s="11" t="s">
        <v>3143</v>
      </c>
      <c r="G275" s="11" t="s">
        <v>2382</v>
      </c>
      <c r="H275" s="11" t="s">
        <v>3144</v>
      </c>
      <c r="I275" s="11" t="s">
        <v>3145</v>
      </c>
      <c r="J275" s="11" t="s">
        <v>134</v>
      </c>
      <c r="K275" s="11" t="s">
        <v>1470</v>
      </c>
      <c r="L275" s="11" t="s">
        <v>1382</v>
      </c>
      <c r="M275" s="11" t="s">
        <v>1383</v>
      </c>
      <c r="N275" s="11" t="s">
        <v>1957</v>
      </c>
      <c r="O275" s="11" t="s">
        <v>3146</v>
      </c>
      <c r="P275" s="11"/>
      <c r="Q275" s="11"/>
      <c r="R275" s="11" t="s">
        <v>3147</v>
      </c>
      <c r="S275" s="11" t="s">
        <v>1382</v>
      </c>
      <c r="T275" s="11" t="s">
        <v>3148</v>
      </c>
      <c r="U275" s="11" t="s">
        <v>1387</v>
      </c>
      <c r="V275" s="11" t="s">
        <v>3149</v>
      </c>
      <c r="W275" s="11" t="s">
        <v>1389</v>
      </c>
      <c r="X275" s="11" t="s">
        <v>1769</v>
      </c>
      <c r="Y275" s="11" t="s">
        <v>1470</v>
      </c>
      <c r="Z275" s="11" t="s">
        <v>3150</v>
      </c>
      <c r="AA275" s="11" t="s">
        <v>2355</v>
      </c>
      <c r="AB275" s="11" t="s">
        <v>3151</v>
      </c>
      <c r="AC275" s="11" t="s">
        <v>3147</v>
      </c>
      <c r="AD275" s="11">
        <v>5276425</v>
      </c>
      <c r="AE275" s="11" t="s">
        <v>1382</v>
      </c>
      <c r="AF275" s="11" t="s">
        <v>3152</v>
      </c>
      <c r="AG275" s="11" t="s">
        <v>1382</v>
      </c>
      <c r="AH275" s="11" t="s">
        <v>3153</v>
      </c>
      <c r="AI275" s="11" t="s">
        <v>1897</v>
      </c>
      <c r="AJ275" s="11" t="s">
        <v>1898</v>
      </c>
      <c r="AK275" s="11" t="s">
        <v>1396</v>
      </c>
      <c r="AL275" s="11" t="s">
        <v>134</v>
      </c>
      <c r="AM275" s="11">
        <v>4335</v>
      </c>
      <c r="AN275" s="11"/>
      <c r="AO275" s="11" t="s">
        <v>3146</v>
      </c>
      <c r="AP275" s="11" t="s">
        <v>1397</v>
      </c>
      <c r="AQ275" s="11" t="s">
        <v>1398</v>
      </c>
      <c r="AR275" s="11" t="s">
        <v>1652</v>
      </c>
      <c r="AS275" s="11" t="s">
        <v>3154</v>
      </c>
      <c r="AT275" s="11" t="s">
        <v>3155</v>
      </c>
      <c r="AU275" s="11" t="s">
        <v>3141</v>
      </c>
      <c r="AV275" s="11"/>
      <c r="AW275" s="11" t="s">
        <v>3156</v>
      </c>
      <c r="AX275" s="11"/>
      <c r="AY275" s="11"/>
      <c r="AZ275" s="11"/>
      <c r="BA275" s="11"/>
      <c r="BB275" s="11">
        <v>71468788</v>
      </c>
      <c r="BC275" s="11" t="s">
        <v>1403</v>
      </c>
      <c r="BD275" s="11" t="s">
        <v>1432</v>
      </c>
      <c r="BE275" s="11" t="s">
        <v>2466</v>
      </c>
      <c r="BF275" s="11" t="s">
        <v>1434</v>
      </c>
      <c r="BG275" s="11"/>
      <c r="BH275" s="11" t="s">
        <v>1502</v>
      </c>
      <c r="BI275" s="11" t="s">
        <v>1407</v>
      </c>
      <c r="BJ275" s="11" t="s">
        <v>134</v>
      </c>
      <c r="BK275" s="11"/>
      <c r="BL275" s="11" t="s">
        <v>1408</v>
      </c>
      <c r="BM275" s="11"/>
      <c r="BN275" s="11" t="s">
        <v>1483</v>
      </c>
      <c r="BO275" s="11" t="s">
        <v>1410</v>
      </c>
    </row>
    <row r="276" spans="2:67">
      <c r="B276" s="11">
        <v>265</v>
      </c>
      <c r="C276" s="11" t="s">
        <v>1374</v>
      </c>
      <c r="D276" s="11" t="s">
        <v>1375</v>
      </c>
      <c r="E276" s="11" t="s">
        <v>2772</v>
      </c>
      <c r="F276" s="11" t="s">
        <v>3143</v>
      </c>
      <c r="G276" s="11" t="s">
        <v>2382</v>
      </c>
      <c r="H276" s="11" t="s">
        <v>3144</v>
      </c>
      <c r="I276" s="11" t="s">
        <v>3145</v>
      </c>
      <c r="J276" s="11" t="s">
        <v>134</v>
      </c>
      <c r="K276" s="11" t="s">
        <v>1470</v>
      </c>
      <c r="L276" s="11" t="s">
        <v>1382</v>
      </c>
      <c r="M276" s="11" t="s">
        <v>1383</v>
      </c>
      <c r="N276" s="11" t="s">
        <v>1957</v>
      </c>
      <c r="O276" s="11" t="s">
        <v>3146</v>
      </c>
      <c r="P276" s="11"/>
      <c r="Q276" s="11"/>
      <c r="R276" s="11" t="s">
        <v>3147</v>
      </c>
      <c r="S276" s="11" t="s">
        <v>1382</v>
      </c>
      <c r="T276" s="11" t="s">
        <v>3148</v>
      </c>
      <c r="U276" s="11" t="s">
        <v>1387</v>
      </c>
      <c r="V276" s="11" t="s">
        <v>3149</v>
      </c>
      <c r="W276" s="11" t="s">
        <v>1389</v>
      </c>
      <c r="X276" s="11" t="s">
        <v>1769</v>
      </c>
      <c r="Y276" s="11" t="s">
        <v>1470</v>
      </c>
      <c r="Z276" s="11" t="s">
        <v>3150</v>
      </c>
      <c r="AA276" s="11" t="s">
        <v>2355</v>
      </c>
      <c r="AB276" s="11" t="s">
        <v>3151</v>
      </c>
      <c r="AC276" s="11" t="s">
        <v>3147</v>
      </c>
      <c r="AD276" s="11">
        <v>5276425</v>
      </c>
      <c r="AE276" s="11" t="s">
        <v>1382</v>
      </c>
      <c r="AF276" s="11" t="s">
        <v>3152</v>
      </c>
      <c r="AG276" s="11" t="s">
        <v>1382</v>
      </c>
      <c r="AH276" s="11" t="s">
        <v>3153</v>
      </c>
      <c r="AI276" s="11" t="s">
        <v>1892</v>
      </c>
      <c r="AJ276" s="11" t="s">
        <v>1893</v>
      </c>
      <c r="AK276" s="11" t="s">
        <v>1396</v>
      </c>
      <c r="AL276" s="11" t="s">
        <v>134</v>
      </c>
      <c r="AM276" s="11">
        <v>2065</v>
      </c>
      <c r="AN276" s="11"/>
      <c r="AO276" s="11" t="s">
        <v>3146</v>
      </c>
      <c r="AP276" s="11" t="s">
        <v>1397</v>
      </c>
      <c r="AQ276" s="11" t="s">
        <v>1398</v>
      </c>
      <c r="AR276" s="11" t="s">
        <v>1652</v>
      </c>
      <c r="AS276" s="11" t="s">
        <v>3154</v>
      </c>
      <c r="AT276" s="11" t="s">
        <v>3157</v>
      </c>
      <c r="AU276" s="11" t="s">
        <v>3141</v>
      </c>
      <c r="AV276" s="11"/>
      <c r="AW276" s="11" t="s">
        <v>3156</v>
      </c>
      <c r="AX276" s="11"/>
      <c r="AY276" s="11"/>
      <c r="AZ276" s="11"/>
      <c r="BA276" s="11"/>
      <c r="BB276" s="11">
        <v>71468788</v>
      </c>
      <c r="BC276" s="11" t="s">
        <v>1403</v>
      </c>
      <c r="BD276" s="11" t="s">
        <v>1432</v>
      </c>
      <c r="BE276" s="11" t="s">
        <v>2466</v>
      </c>
      <c r="BF276" s="11" t="s">
        <v>1434</v>
      </c>
      <c r="BG276" s="11"/>
      <c r="BH276" s="11" t="s">
        <v>1502</v>
      </c>
      <c r="BI276" s="11" t="s">
        <v>1407</v>
      </c>
      <c r="BJ276" s="11" t="s">
        <v>134</v>
      </c>
      <c r="BK276" s="11"/>
      <c r="BL276" s="11" t="s">
        <v>1408</v>
      </c>
      <c r="BM276" s="11"/>
      <c r="BN276" s="11" t="s">
        <v>1483</v>
      </c>
      <c r="BO276" s="11" t="s">
        <v>1410</v>
      </c>
    </row>
    <row r="277" spans="2:67">
      <c r="B277" s="11">
        <v>266</v>
      </c>
      <c r="C277" s="11" t="s">
        <v>1374</v>
      </c>
      <c r="D277" s="11" t="s">
        <v>1375</v>
      </c>
      <c r="E277" s="11" t="s">
        <v>3158</v>
      </c>
      <c r="F277" s="11" t="s">
        <v>3159</v>
      </c>
      <c r="G277" s="11" t="s">
        <v>1128</v>
      </c>
      <c r="H277" s="11" t="s">
        <v>3160</v>
      </c>
      <c r="I277" s="11" t="s">
        <v>3161</v>
      </c>
      <c r="J277" s="11"/>
      <c r="K277" s="11" t="s">
        <v>1547</v>
      </c>
      <c r="L277" s="11" t="s">
        <v>1382</v>
      </c>
      <c r="M277" s="11" t="s">
        <v>1383</v>
      </c>
      <c r="N277" s="11" t="s">
        <v>95</v>
      </c>
      <c r="O277" s="11" t="s">
        <v>3162</v>
      </c>
      <c r="P277" s="11"/>
      <c r="Q277" s="11"/>
      <c r="R277" s="11" t="s">
        <v>3158</v>
      </c>
      <c r="S277" s="11" t="s">
        <v>1382</v>
      </c>
      <c r="T277" s="11" t="s">
        <v>3163</v>
      </c>
      <c r="U277" s="11" t="s">
        <v>1444</v>
      </c>
      <c r="V277" s="11" t="s">
        <v>3164</v>
      </c>
      <c r="W277" s="11" t="s">
        <v>1389</v>
      </c>
      <c r="X277" s="11" t="s">
        <v>1390</v>
      </c>
      <c r="Y277" s="11" t="s">
        <v>1547</v>
      </c>
      <c r="Z277" s="11" t="s">
        <v>3165</v>
      </c>
      <c r="AA277" s="11" t="s">
        <v>3166</v>
      </c>
      <c r="AB277" s="11" t="s">
        <v>2201</v>
      </c>
      <c r="AC277" s="11" t="s">
        <v>3158</v>
      </c>
      <c r="AD277" s="11">
        <v>5347800</v>
      </c>
      <c r="AE277" s="11" t="s">
        <v>1382</v>
      </c>
      <c r="AF277" s="11" t="s">
        <v>3167</v>
      </c>
      <c r="AG277" s="11" t="s">
        <v>1382</v>
      </c>
      <c r="AH277" s="11" t="s">
        <v>3168</v>
      </c>
      <c r="AI277" s="11" t="s">
        <v>3169</v>
      </c>
      <c r="AJ277" s="11" t="s">
        <v>3170</v>
      </c>
      <c r="AK277" s="11" t="s">
        <v>1396</v>
      </c>
      <c r="AL277" s="11" t="s">
        <v>134</v>
      </c>
      <c r="AM277" s="11">
        <v>2600</v>
      </c>
      <c r="AN277" s="11"/>
      <c r="AO277" s="11" t="s">
        <v>1128</v>
      </c>
      <c r="AP277" s="11" t="s">
        <v>1451</v>
      </c>
      <c r="AQ277" s="11" t="s">
        <v>1398</v>
      </c>
      <c r="AR277" s="11"/>
      <c r="AS277" s="11" t="s">
        <v>3171</v>
      </c>
      <c r="AT277" s="11"/>
      <c r="AU277" s="11" t="s">
        <v>3172</v>
      </c>
      <c r="AV277" s="11"/>
      <c r="AW277" s="11" t="s">
        <v>3173</v>
      </c>
      <c r="AX277" s="11"/>
      <c r="AY277" s="11"/>
      <c r="AZ277" s="11"/>
      <c r="BA277" s="11"/>
      <c r="BB277" s="11">
        <v>69749473</v>
      </c>
      <c r="BC277" s="11" t="s">
        <v>1403</v>
      </c>
      <c r="BD277" s="11" t="s">
        <v>1456</v>
      </c>
      <c r="BE277" s="11" t="s">
        <v>3078</v>
      </c>
      <c r="BF277" s="11" t="s">
        <v>134</v>
      </c>
      <c r="BG277" s="11"/>
      <c r="BH277" s="11" t="s">
        <v>1520</v>
      </c>
      <c r="BI277" s="11" t="s">
        <v>1407</v>
      </c>
      <c r="BJ277" s="11" t="s">
        <v>134</v>
      </c>
      <c r="BK277" s="11"/>
      <c r="BL277" s="11"/>
      <c r="BM277" s="11"/>
      <c r="BN277" s="11" t="s">
        <v>1457</v>
      </c>
      <c r="BO277" s="11" t="s">
        <v>95</v>
      </c>
    </row>
    <row r="278" spans="2:67">
      <c r="B278" s="11">
        <v>267</v>
      </c>
      <c r="C278" s="11" t="s">
        <v>1374</v>
      </c>
      <c r="D278" s="11" t="s">
        <v>1375</v>
      </c>
      <c r="E278" s="11" t="s">
        <v>3174</v>
      </c>
      <c r="F278" s="11" t="s">
        <v>3175</v>
      </c>
      <c r="G278" s="11" t="s">
        <v>3176</v>
      </c>
      <c r="H278" s="11" t="s">
        <v>3177</v>
      </c>
      <c r="I278" s="11" t="s">
        <v>3178</v>
      </c>
      <c r="J278" s="11" t="s">
        <v>3179</v>
      </c>
      <c r="K278" s="11" t="s">
        <v>1488</v>
      </c>
      <c r="L278" s="11" t="s">
        <v>1382</v>
      </c>
      <c r="M278" s="11" t="s">
        <v>1543</v>
      </c>
      <c r="N278" s="11" t="s">
        <v>165</v>
      </c>
      <c r="O278" s="11" t="s">
        <v>134</v>
      </c>
      <c r="P278" s="11"/>
      <c r="Q278" s="11"/>
      <c r="R278" s="11" t="s">
        <v>3180</v>
      </c>
      <c r="S278" s="11" t="s">
        <v>1382</v>
      </c>
      <c r="T278" s="11" t="s">
        <v>3181</v>
      </c>
      <c r="U278" s="11" t="s">
        <v>1387</v>
      </c>
      <c r="V278" s="11" t="s">
        <v>3182</v>
      </c>
      <c r="W278" s="11" t="s">
        <v>1389</v>
      </c>
      <c r="X278" s="11" t="s">
        <v>2052</v>
      </c>
      <c r="Y278" s="11" t="s">
        <v>1547</v>
      </c>
      <c r="Z278" s="11" t="s">
        <v>3183</v>
      </c>
      <c r="AA278" s="11" t="s">
        <v>3184</v>
      </c>
      <c r="AB278" s="11" t="s">
        <v>2958</v>
      </c>
      <c r="AC278" s="11" t="s">
        <v>3180</v>
      </c>
      <c r="AD278" s="11">
        <v>5375626</v>
      </c>
      <c r="AE278" s="11" t="s">
        <v>1382</v>
      </c>
      <c r="AF278" s="11" t="s">
        <v>3185</v>
      </c>
      <c r="AG278" s="11" t="s">
        <v>1382</v>
      </c>
      <c r="AH278" s="11" t="s">
        <v>3186</v>
      </c>
      <c r="AI278" s="11" t="s">
        <v>3187</v>
      </c>
      <c r="AJ278" s="11" t="s">
        <v>2188</v>
      </c>
      <c r="AK278" s="11" t="s">
        <v>1396</v>
      </c>
      <c r="AL278" s="11" t="s">
        <v>134</v>
      </c>
      <c r="AM278" s="11">
        <v>57000</v>
      </c>
      <c r="AN278" s="11"/>
      <c r="AO278" s="11" t="s">
        <v>134</v>
      </c>
      <c r="AP278" s="11" t="s">
        <v>1451</v>
      </c>
      <c r="AQ278" s="11" t="s">
        <v>1398</v>
      </c>
      <c r="AR278" s="11"/>
      <c r="AS278" s="11" t="s">
        <v>3188</v>
      </c>
      <c r="AT278" s="11"/>
      <c r="AU278" s="11" t="s">
        <v>1777</v>
      </c>
      <c r="AV278" s="11"/>
      <c r="AW278" s="11" t="s">
        <v>3189</v>
      </c>
      <c r="AX278" s="11"/>
      <c r="AY278" s="11"/>
      <c r="AZ278" s="11"/>
      <c r="BA278" s="11"/>
      <c r="BB278" s="11">
        <v>23575151</v>
      </c>
      <c r="BC278" s="11" t="s">
        <v>1403</v>
      </c>
      <c r="BD278" s="11" t="s">
        <v>1432</v>
      </c>
      <c r="BE278" s="11" t="s">
        <v>2062</v>
      </c>
      <c r="BF278" s="11" t="s">
        <v>1555</v>
      </c>
      <c r="BG278" s="11" t="s">
        <v>1482</v>
      </c>
      <c r="BH278" s="11" t="s">
        <v>1502</v>
      </c>
      <c r="BI278" s="11" t="s">
        <v>1407</v>
      </c>
      <c r="BJ278" s="11" t="s">
        <v>134</v>
      </c>
      <c r="BK278" s="11"/>
      <c r="BL278" s="11"/>
      <c r="BM278" s="11"/>
      <c r="BN278" s="11" t="s">
        <v>1483</v>
      </c>
      <c r="BO278" s="11" t="s">
        <v>165</v>
      </c>
    </row>
    <row r="279" spans="2:67">
      <c r="B279" s="11">
        <v>268</v>
      </c>
      <c r="C279" s="11" t="s">
        <v>1374</v>
      </c>
      <c r="D279" s="11" t="s">
        <v>1375</v>
      </c>
      <c r="E279" s="11" t="s">
        <v>3190</v>
      </c>
      <c r="F279" s="11" t="s">
        <v>3191</v>
      </c>
      <c r="G279" s="11" t="s">
        <v>3192</v>
      </c>
      <c r="H279" s="11" t="s">
        <v>3193</v>
      </c>
      <c r="I279" s="11" t="s">
        <v>3194</v>
      </c>
      <c r="J279" s="11"/>
      <c r="K279" s="11" t="s">
        <v>1547</v>
      </c>
      <c r="L279" s="11" t="s">
        <v>94</v>
      </c>
      <c r="M279" s="11" t="s">
        <v>1383</v>
      </c>
      <c r="N279" s="11" t="s">
        <v>95</v>
      </c>
      <c r="O279" s="11" t="s">
        <v>3195</v>
      </c>
      <c r="P279" s="11"/>
      <c r="Q279" s="11"/>
      <c r="R279" s="11" t="s">
        <v>3190</v>
      </c>
      <c r="S279" s="11" t="s">
        <v>94</v>
      </c>
      <c r="T279" s="11" t="s">
        <v>3196</v>
      </c>
      <c r="U279" s="11" t="s">
        <v>1444</v>
      </c>
      <c r="V279" s="11" t="s">
        <v>3197</v>
      </c>
      <c r="W279" s="11" t="s">
        <v>1389</v>
      </c>
      <c r="X279" s="11" t="s">
        <v>1598</v>
      </c>
      <c r="Y279" s="11" t="s">
        <v>1547</v>
      </c>
      <c r="Z279" s="11" t="s">
        <v>1422</v>
      </c>
      <c r="AA279" s="11" t="s">
        <v>2728</v>
      </c>
      <c r="AB279" s="11" t="s">
        <v>1667</v>
      </c>
      <c r="AC279" s="11" t="s">
        <v>3190</v>
      </c>
      <c r="AD279" s="11">
        <v>5375620</v>
      </c>
      <c r="AE279" s="11" t="s">
        <v>94</v>
      </c>
      <c r="AF279" s="11" t="s">
        <v>3198</v>
      </c>
      <c r="AG279" s="11" t="s">
        <v>94</v>
      </c>
      <c r="AH279" s="11" t="s">
        <v>3198</v>
      </c>
      <c r="AI279" s="11" t="s">
        <v>2749</v>
      </c>
      <c r="AJ279" s="11" t="s">
        <v>2422</v>
      </c>
      <c r="AK279" s="11" t="s">
        <v>1396</v>
      </c>
      <c r="AL279" s="11" t="s">
        <v>134</v>
      </c>
      <c r="AM279" s="11">
        <v>6877.9</v>
      </c>
      <c r="AN279" s="11"/>
      <c r="AO279" s="11" t="s">
        <v>3192</v>
      </c>
      <c r="AP279" s="11" t="s">
        <v>1451</v>
      </c>
      <c r="AQ279" s="11" t="s">
        <v>1398</v>
      </c>
      <c r="AR279" s="11" t="s">
        <v>1652</v>
      </c>
      <c r="AS279" s="11" t="s">
        <v>3199</v>
      </c>
      <c r="AT279" s="11" t="s">
        <v>3200</v>
      </c>
      <c r="AU279" s="11" t="s">
        <v>1777</v>
      </c>
      <c r="AV279" s="11"/>
      <c r="AW279" s="11" t="s">
        <v>3201</v>
      </c>
      <c r="AX279" s="11"/>
      <c r="AY279" s="11"/>
      <c r="AZ279" s="11"/>
      <c r="BA279" s="11"/>
      <c r="BB279" s="11">
        <v>33140368</v>
      </c>
      <c r="BC279" s="11" t="s">
        <v>1403</v>
      </c>
      <c r="BD279" s="11" t="s">
        <v>1432</v>
      </c>
      <c r="BE279" s="11" t="s">
        <v>1694</v>
      </c>
      <c r="BF279" s="11" t="s">
        <v>1780</v>
      </c>
      <c r="BG279" s="11"/>
      <c r="BH279" s="11" t="s">
        <v>1435</v>
      </c>
      <c r="BI279" s="11" t="s">
        <v>1407</v>
      </c>
      <c r="BJ279" s="11" t="s">
        <v>134</v>
      </c>
      <c r="BK279" s="11"/>
      <c r="BL279" s="11" t="s">
        <v>1408</v>
      </c>
      <c r="BM279" s="11"/>
      <c r="BN279" s="11" t="s">
        <v>1457</v>
      </c>
      <c r="BO279" s="11" t="s">
        <v>95</v>
      </c>
    </row>
    <row r="280" spans="2:67">
      <c r="B280" s="11">
        <v>269</v>
      </c>
      <c r="C280" s="11" t="s">
        <v>1374</v>
      </c>
      <c r="D280" s="11" t="s">
        <v>1375</v>
      </c>
      <c r="E280" s="11" t="s">
        <v>3190</v>
      </c>
      <c r="F280" s="11" t="s">
        <v>3191</v>
      </c>
      <c r="G280" s="11" t="s">
        <v>3192</v>
      </c>
      <c r="H280" s="11" t="s">
        <v>3193</v>
      </c>
      <c r="I280" s="11" t="s">
        <v>3194</v>
      </c>
      <c r="J280" s="11"/>
      <c r="K280" s="11" t="s">
        <v>1547</v>
      </c>
      <c r="L280" s="11" t="s">
        <v>94</v>
      </c>
      <c r="M280" s="11" t="s">
        <v>1383</v>
      </c>
      <c r="N280" s="11" t="s">
        <v>95</v>
      </c>
      <c r="O280" s="11" t="s">
        <v>3195</v>
      </c>
      <c r="P280" s="11"/>
      <c r="Q280" s="11"/>
      <c r="R280" s="11" t="s">
        <v>3190</v>
      </c>
      <c r="S280" s="11" t="s">
        <v>94</v>
      </c>
      <c r="T280" s="11" t="s">
        <v>3196</v>
      </c>
      <c r="U280" s="11" t="s">
        <v>1444</v>
      </c>
      <c r="V280" s="11" t="s">
        <v>3197</v>
      </c>
      <c r="W280" s="11" t="s">
        <v>1389</v>
      </c>
      <c r="X280" s="11" t="s">
        <v>1598</v>
      </c>
      <c r="Y280" s="11" t="s">
        <v>1547</v>
      </c>
      <c r="Z280" s="11" t="s">
        <v>1422</v>
      </c>
      <c r="AA280" s="11" t="s">
        <v>2728</v>
      </c>
      <c r="AB280" s="11" t="s">
        <v>1667</v>
      </c>
      <c r="AC280" s="11" t="s">
        <v>3190</v>
      </c>
      <c r="AD280" s="11">
        <v>5375620</v>
      </c>
      <c r="AE280" s="11" t="s">
        <v>94</v>
      </c>
      <c r="AF280" s="11" t="s">
        <v>3198</v>
      </c>
      <c r="AG280" s="11" t="s">
        <v>94</v>
      </c>
      <c r="AH280" s="11" t="s">
        <v>3198</v>
      </c>
      <c r="AI280" s="11" t="s">
        <v>2753</v>
      </c>
      <c r="AJ280" s="11" t="s">
        <v>2411</v>
      </c>
      <c r="AK280" s="11" t="s">
        <v>1396</v>
      </c>
      <c r="AL280" s="11" t="s">
        <v>134</v>
      </c>
      <c r="AM280" s="11">
        <v>9743</v>
      </c>
      <c r="AN280" s="11"/>
      <c r="AO280" s="11" t="s">
        <v>3192</v>
      </c>
      <c r="AP280" s="11" t="s">
        <v>1451</v>
      </c>
      <c r="AQ280" s="11" t="s">
        <v>1398</v>
      </c>
      <c r="AR280" s="11" t="s">
        <v>1652</v>
      </c>
      <c r="AS280" s="11" t="s">
        <v>3199</v>
      </c>
      <c r="AT280" s="11" t="s">
        <v>3202</v>
      </c>
      <c r="AU280" s="11" t="s">
        <v>1777</v>
      </c>
      <c r="AV280" s="11"/>
      <c r="AW280" s="11" t="s">
        <v>3201</v>
      </c>
      <c r="AX280" s="11"/>
      <c r="AY280" s="11"/>
      <c r="AZ280" s="11"/>
      <c r="BA280" s="11"/>
      <c r="BB280" s="11">
        <v>33140368</v>
      </c>
      <c r="BC280" s="11" t="s">
        <v>1403</v>
      </c>
      <c r="BD280" s="11" t="s">
        <v>1432</v>
      </c>
      <c r="BE280" s="11" t="s">
        <v>1694</v>
      </c>
      <c r="BF280" s="11" t="s">
        <v>1780</v>
      </c>
      <c r="BG280" s="11"/>
      <c r="BH280" s="11" t="s">
        <v>1435</v>
      </c>
      <c r="BI280" s="11" t="s">
        <v>1407</v>
      </c>
      <c r="BJ280" s="11" t="s">
        <v>134</v>
      </c>
      <c r="BK280" s="11"/>
      <c r="BL280" s="11" t="s">
        <v>1408</v>
      </c>
      <c r="BM280" s="11"/>
      <c r="BN280" s="11" t="s">
        <v>1457</v>
      </c>
      <c r="BO280" s="11" t="s">
        <v>95</v>
      </c>
    </row>
    <row r="281" spans="2:67">
      <c r="B281" s="11">
        <v>270</v>
      </c>
      <c r="C281" s="11" t="s">
        <v>1374</v>
      </c>
      <c r="D281" s="11" t="s">
        <v>1375</v>
      </c>
      <c r="E281" s="11" t="s">
        <v>3190</v>
      </c>
      <c r="F281" s="11" t="s">
        <v>3191</v>
      </c>
      <c r="G281" s="11" t="s">
        <v>3192</v>
      </c>
      <c r="H281" s="11" t="s">
        <v>3193</v>
      </c>
      <c r="I281" s="11" t="s">
        <v>3194</v>
      </c>
      <c r="J281" s="11"/>
      <c r="K281" s="11" t="s">
        <v>1547</v>
      </c>
      <c r="L281" s="11" t="s">
        <v>94</v>
      </c>
      <c r="M281" s="11" t="s">
        <v>1383</v>
      </c>
      <c r="N281" s="11" t="s">
        <v>95</v>
      </c>
      <c r="O281" s="11" t="s">
        <v>3195</v>
      </c>
      <c r="P281" s="11"/>
      <c r="Q281" s="11"/>
      <c r="R281" s="11" t="s">
        <v>3190</v>
      </c>
      <c r="S281" s="11" t="s">
        <v>94</v>
      </c>
      <c r="T281" s="11" t="s">
        <v>3196</v>
      </c>
      <c r="U281" s="11" t="s">
        <v>1444</v>
      </c>
      <c r="V281" s="11" t="s">
        <v>3197</v>
      </c>
      <c r="W281" s="11" t="s">
        <v>1389</v>
      </c>
      <c r="X281" s="11" t="s">
        <v>1598</v>
      </c>
      <c r="Y281" s="11" t="s">
        <v>1547</v>
      </c>
      <c r="Z281" s="11" t="s">
        <v>1422</v>
      </c>
      <c r="AA281" s="11" t="s">
        <v>2728</v>
      </c>
      <c r="AB281" s="11" t="s">
        <v>1667</v>
      </c>
      <c r="AC281" s="11" t="s">
        <v>3190</v>
      </c>
      <c r="AD281" s="11">
        <v>5375620</v>
      </c>
      <c r="AE281" s="11" t="s">
        <v>94</v>
      </c>
      <c r="AF281" s="11" t="s">
        <v>3198</v>
      </c>
      <c r="AG281" s="11" t="s">
        <v>94</v>
      </c>
      <c r="AH281" s="11" t="s">
        <v>3198</v>
      </c>
      <c r="AI281" s="11" t="s">
        <v>2745</v>
      </c>
      <c r="AJ281" s="11" t="s">
        <v>2621</v>
      </c>
      <c r="AK281" s="11" t="s">
        <v>1396</v>
      </c>
      <c r="AL281" s="11" t="s">
        <v>134</v>
      </c>
      <c r="AM281" s="11">
        <v>16900</v>
      </c>
      <c r="AN281" s="11"/>
      <c r="AO281" s="11" t="s">
        <v>3192</v>
      </c>
      <c r="AP281" s="11" t="s">
        <v>1451</v>
      </c>
      <c r="AQ281" s="11" t="s">
        <v>1398</v>
      </c>
      <c r="AR281" s="11" t="s">
        <v>1652</v>
      </c>
      <c r="AS281" s="11" t="s">
        <v>3199</v>
      </c>
      <c r="AT281" s="11" t="s">
        <v>3203</v>
      </c>
      <c r="AU281" s="11" t="s">
        <v>1777</v>
      </c>
      <c r="AV281" s="11"/>
      <c r="AW281" s="11" t="s">
        <v>3201</v>
      </c>
      <c r="AX281" s="11"/>
      <c r="AY281" s="11"/>
      <c r="AZ281" s="11"/>
      <c r="BA281" s="11"/>
      <c r="BB281" s="11">
        <v>33140368</v>
      </c>
      <c r="BC281" s="11" t="s">
        <v>1403</v>
      </c>
      <c r="BD281" s="11" t="s">
        <v>1432</v>
      </c>
      <c r="BE281" s="11" t="s">
        <v>1694</v>
      </c>
      <c r="BF281" s="11" t="s">
        <v>1780</v>
      </c>
      <c r="BG281" s="11"/>
      <c r="BH281" s="11" t="s">
        <v>1435</v>
      </c>
      <c r="BI281" s="11" t="s">
        <v>1407</v>
      </c>
      <c r="BJ281" s="11" t="s">
        <v>134</v>
      </c>
      <c r="BK281" s="11"/>
      <c r="BL281" s="11" t="s">
        <v>1408</v>
      </c>
      <c r="BM281" s="11"/>
      <c r="BN281" s="11" t="s">
        <v>1457</v>
      </c>
      <c r="BO281" s="11" t="s">
        <v>95</v>
      </c>
    </row>
    <row r="282" spans="2:67">
      <c r="B282" s="11">
        <v>271</v>
      </c>
      <c r="C282" s="11" t="s">
        <v>1374</v>
      </c>
      <c r="D282" s="11" t="s">
        <v>1375</v>
      </c>
      <c r="E282" s="11" t="s">
        <v>3190</v>
      </c>
      <c r="F282" s="11" t="s">
        <v>3191</v>
      </c>
      <c r="G282" s="11" t="s">
        <v>3192</v>
      </c>
      <c r="H282" s="11" t="s">
        <v>3193</v>
      </c>
      <c r="I282" s="11" t="s">
        <v>3194</v>
      </c>
      <c r="J282" s="11"/>
      <c r="K282" s="11" t="s">
        <v>1547</v>
      </c>
      <c r="L282" s="11" t="s">
        <v>94</v>
      </c>
      <c r="M282" s="11" t="s">
        <v>1383</v>
      </c>
      <c r="N282" s="11" t="s">
        <v>95</v>
      </c>
      <c r="O282" s="11" t="s">
        <v>3195</v>
      </c>
      <c r="P282" s="11"/>
      <c r="Q282" s="11"/>
      <c r="R282" s="11" t="s">
        <v>3190</v>
      </c>
      <c r="S282" s="11" t="s">
        <v>94</v>
      </c>
      <c r="T282" s="11" t="s">
        <v>3196</v>
      </c>
      <c r="U282" s="11" t="s">
        <v>1444</v>
      </c>
      <c r="V282" s="11" t="s">
        <v>3197</v>
      </c>
      <c r="W282" s="11" t="s">
        <v>1389</v>
      </c>
      <c r="X282" s="11" t="s">
        <v>1598</v>
      </c>
      <c r="Y282" s="11" t="s">
        <v>1547</v>
      </c>
      <c r="Z282" s="11" t="s">
        <v>1422</v>
      </c>
      <c r="AA282" s="11" t="s">
        <v>2728</v>
      </c>
      <c r="AB282" s="11" t="s">
        <v>1667</v>
      </c>
      <c r="AC282" s="11" t="s">
        <v>3190</v>
      </c>
      <c r="AD282" s="11">
        <v>5375620</v>
      </c>
      <c r="AE282" s="11" t="s">
        <v>94</v>
      </c>
      <c r="AF282" s="11" t="s">
        <v>3198</v>
      </c>
      <c r="AG282" s="11" t="s">
        <v>94</v>
      </c>
      <c r="AH282" s="11" t="s">
        <v>3198</v>
      </c>
      <c r="AI282" s="11" t="s">
        <v>2743</v>
      </c>
      <c r="AJ282" s="11" t="s">
        <v>2417</v>
      </c>
      <c r="AK282" s="11" t="s">
        <v>1396</v>
      </c>
      <c r="AL282" s="11" t="s">
        <v>134</v>
      </c>
      <c r="AM282" s="11">
        <v>28320</v>
      </c>
      <c r="AN282" s="11"/>
      <c r="AO282" s="11" t="s">
        <v>3192</v>
      </c>
      <c r="AP282" s="11" t="s">
        <v>1451</v>
      </c>
      <c r="AQ282" s="11" t="s">
        <v>1398</v>
      </c>
      <c r="AR282" s="11" t="s">
        <v>1652</v>
      </c>
      <c r="AS282" s="11" t="s">
        <v>3199</v>
      </c>
      <c r="AT282" s="11" t="s">
        <v>3204</v>
      </c>
      <c r="AU282" s="11" t="s">
        <v>1777</v>
      </c>
      <c r="AV282" s="11"/>
      <c r="AW282" s="11" t="s">
        <v>3201</v>
      </c>
      <c r="AX282" s="11"/>
      <c r="AY282" s="11"/>
      <c r="AZ282" s="11"/>
      <c r="BA282" s="11"/>
      <c r="BB282" s="11">
        <v>33140368</v>
      </c>
      <c r="BC282" s="11" t="s">
        <v>1403</v>
      </c>
      <c r="BD282" s="11" t="s">
        <v>1432</v>
      </c>
      <c r="BE282" s="11" t="s">
        <v>1694</v>
      </c>
      <c r="BF282" s="11" t="s">
        <v>1780</v>
      </c>
      <c r="BG282" s="11"/>
      <c r="BH282" s="11" t="s">
        <v>1435</v>
      </c>
      <c r="BI282" s="11" t="s">
        <v>1407</v>
      </c>
      <c r="BJ282" s="11" t="s">
        <v>134</v>
      </c>
      <c r="BK282" s="11"/>
      <c r="BL282" s="11" t="s">
        <v>1408</v>
      </c>
      <c r="BM282" s="11"/>
      <c r="BN282" s="11" t="s">
        <v>1457</v>
      </c>
      <c r="BO282" s="11" t="s">
        <v>95</v>
      </c>
    </row>
    <row r="283" spans="2:67">
      <c r="B283" s="11">
        <v>272</v>
      </c>
      <c r="C283" s="11" t="s">
        <v>1374</v>
      </c>
      <c r="D283" s="11" t="s">
        <v>1375</v>
      </c>
      <c r="E283" s="11" t="s">
        <v>3190</v>
      </c>
      <c r="F283" s="11" t="s">
        <v>3191</v>
      </c>
      <c r="G283" s="11" t="s">
        <v>3192</v>
      </c>
      <c r="H283" s="11" t="s">
        <v>3193</v>
      </c>
      <c r="I283" s="11" t="s">
        <v>3194</v>
      </c>
      <c r="J283" s="11"/>
      <c r="K283" s="11" t="s">
        <v>1547</v>
      </c>
      <c r="L283" s="11" t="s">
        <v>94</v>
      </c>
      <c r="M283" s="11" t="s">
        <v>1383</v>
      </c>
      <c r="N283" s="11" t="s">
        <v>95</v>
      </c>
      <c r="O283" s="11" t="s">
        <v>3195</v>
      </c>
      <c r="P283" s="11"/>
      <c r="Q283" s="11"/>
      <c r="R283" s="11" t="s">
        <v>3190</v>
      </c>
      <c r="S283" s="11" t="s">
        <v>94</v>
      </c>
      <c r="T283" s="11" t="s">
        <v>3196</v>
      </c>
      <c r="U283" s="11" t="s">
        <v>1444</v>
      </c>
      <c r="V283" s="11" t="s">
        <v>3197</v>
      </c>
      <c r="W283" s="11" t="s">
        <v>1389</v>
      </c>
      <c r="X283" s="11" t="s">
        <v>1598</v>
      </c>
      <c r="Y283" s="11" t="s">
        <v>1547</v>
      </c>
      <c r="Z283" s="11" t="s">
        <v>1422</v>
      </c>
      <c r="AA283" s="11" t="s">
        <v>2728</v>
      </c>
      <c r="AB283" s="11" t="s">
        <v>1667</v>
      </c>
      <c r="AC283" s="11" t="s">
        <v>3190</v>
      </c>
      <c r="AD283" s="11">
        <v>5375620</v>
      </c>
      <c r="AE283" s="11" t="s">
        <v>94</v>
      </c>
      <c r="AF283" s="11" t="s">
        <v>3198</v>
      </c>
      <c r="AG283" s="11" t="s">
        <v>94</v>
      </c>
      <c r="AH283" s="11" t="s">
        <v>3198</v>
      </c>
      <c r="AI283" s="11" t="s">
        <v>2747</v>
      </c>
      <c r="AJ283" s="11" t="s">
        <v>1949</v>
      </c>
      <c r="AK283" s="11" t="s">
        <v>1396</v>
      </c>
      <c r="AL283" s="11" t="s">
        <v>134</v>
      </c>
      <c r="AM283" s="11">
        <v>9703.7999999999993</v>
      </c>
      <c r="AN283" s="11"/>
      <c r="AO283" s="11" t="s">
        <v>3192</v>
      </c>
      <c r="AP283" s="11" t="s">
        <v>1451</v>
      </c>
      <c r="AQ283" s="11" t="s">
        <v>1398</v>
      </c>
      <c r="AR283" s="11" t="s">
        <v>1652</v>
      </c>
      <c r="AS283" s="11" t="s">
        <v>3199</v>
      </c>
      <c r="AT283" s="11" t="s">
        <v>3205</v>
      </c>
      <c r="AU283" s="11" t="s">
        <v>1777</v>
      </c>
      <c r="AV283" s="11"/>
      <c r="AW283" s="11" t="s">
        <v>3201</v>
      </c>
      <c r="AX283" s="11"/>
      <c r="AY283" s="11"/>
      <c r="AZ283" s="11"/>
      <c r="BA283" s="11"/>
      <c r="BB283" s="11">
        <v>33140368</v>
      </c>
      <c r="BC283" s="11" t="s">
        <v>1403</v>
      </c>
      <c r="BD283" s="11" t="s">
        <v>1432</v>
      </c>
      <c r="BE283" s="11" t="s">
        <v>1694</v>
      </c>
      <c r="BF283" s="11" t="s">
        <v>1780</v>
      </c>
      <c r="BG283" s="11"/>
      <c r="BH283" s="11" t="s">
        <v>1435</v>
      </c>
      <c r="BI283" s="11" t="s">
        <v>1407</v>
      </c>
      <c r="BJ283" s="11" t="s">
        <v>134</v>
      </c>
      <c r="BK283" s="11"/>
      <c r="BL283" s="11" t="s">
        <v>1408</v>
      </c>
      <c r="BM283" s="11"/>
      <c r="BN283" s="11" t="s">
        <v>1457</v>
      </c>
      <c r="BO283" s="11" t="s">
        <v>95</v>
      </c>
    </row>
    <row r="284" spans="2:67">
      <c r="B284" s="11">
        <v>273</v>
      </c>
      <c r="C284" s="11" t="s">
        <v>1374</v>
      </c>
      <c r="D284" s="11" t="s">
        <v>1375</v>
      </c>
      <c r="E284" s="11" t="s">
        <v>3190</v>
      </c>
      <c r="F284" s="11" t="s">
        <v>3191</v>
      </c>
      <c r="G284" s="11" t="s">
        <v>3192</v>
      </c>
      <c r="H284" s="11" t="s">
        <v>3193</v>
      </c>
      <c r="I284" s="11" t="s">
        <v>3194</v>
      </c>
      <c r="J284" s="11"/>
      <c r="K284" s="11" t="s">
        <v>1547</v>
      </c>
      <c r="L284" s="11" t="s">
        <v>94</v>
      </c>
      <c r="M284" s="11" t="s">
        <v>1383</v>
      </c>
      <c r="N284" s="11" t="s">
        <v>95</v>
      </c>
      <c r="O284" s="11" t="s">
        <v>3195</v>
      </c>
      <c r="P284" s="11"/>
      <c r="Q284" s="11"/>
      <c r="R284" s="11" t="s">
        <v>3190</v>
      </c>
      <c r="S284" s="11" t="s">
        <v>94</v>
      </c>
      <c r="T284" s="11" t="s">
        <v>3196</v>
      </c>
      <c r="U284" s="11" t="s">
        <v>1444</v>
      </c>
      <c r="V284" s="11" t="s">
        <v>3197</v>
      </c>
      <c r="W284" s="11" t="s">
        <v>1389</v>
      </c>
      <c r="X284" s="11" t="s">
        <v>1598</v>
      </c>
      <c r="Y284" s="11" t="s">
        <v>1547</v>
      </c>
      <c r="Z284" s="11" t="s">
        <v>1422</v>
      </c>
      <c r="AA284" s="11" t="s">
        <v>2728</v>
      </c>
      <c r="AB284" s="11" t="s">
        <v>1667</v>
      </c>
      <c r="AC284" s="11" t="s">
        <v>3190</v>
      </c>
      <c r="AD284" s="11">
        <v>5375620</v>
      </c>
      <c r="AE284" s="11" t="s">
        <v>94</v>
      </c>
      <c r="AF284" s="11" t="s">
        <v>3198</v>
      </c>
      <c r="AG284" s="11" t="s">
        <v>94</v>
      </c>
      <c r="AH284" s="11" t="s">
        <v>3198</v>
      </c>
      <c r="AI284" s="11" t="s">
        <v>2751</v>
      </c>
      <c r="AJ284" s="11" t="s">
        <v>1946</v>
      </c>
      <c r="AK284" s="11" t="s">
        <v>1396</v>
      </c>
      <c r="AL284" s="11" t="s">
        <v>134</v>
      </c>
      <c r="AM284" s="11">
        <v>15355.3</v>
      </c>
      <c r="AN284" s="11"/>
      <c r="AO284" s="11" t="s">
        <v>3192</v>
      </c>
      <c r="AP284" s="11" t="s">
        <v>1451</v>
      </c>
      <c r="AQ284" s="11" t="s">
        <v>1398</v>
      </c>
      <c r="AR284" s="11" t="s">
        <v>1652</v>
      </c>
      <c r="AS284" s="11" t="s">
        <v>3199</v>
      </c>
      <c r="AT284" s="11" t="s">
        <v>3206</v>
      </c>
      <c r="AU284" s="11" t="s">
        <v>1777</v>
      </c>
      <c r="AV284" s="11"/>
      <c r="AW284" s="11" t="s">
        <v>3201</v>
      </c>
      <c r="AX284" s="11"/>
      <c r="AY284" s="11"/>
      <c r="AZ284" s="11"/>
      <c r="BA284" s="11"/>
      <c r="BB284" s="11">
        <v>33140368</v>
      </c>
      <c r="BC284" s="11" t="s">
        <v>1403</v>
      </c>
      <c r="BD284" s="11" t="s">
        <v>1432</v>
      </c>
      <c r="BE284" s="11" t="s">
        <v>1694</v>
      </c>
      <c r="BF284" s="11" t="s">
        <v>1780</v>
      </c>
      <c r="BG284" s="11"/>
      <c r="BH284" s="11" t="s">
        <v>1435</v>
      </c>
      <c r="BI284" s="11" t="s">
        <v>1407</v>
      </c>
      <c r="BJ284" s="11" t="s">
        <v>134</v>
      </c>
      <c r="BK284" s="11"/>
      <c r="BL284" s="11" t="s">
        <v>1408</v>
      </c>
      <c r="BM284" s="11"/>
      <c r="BN284" s="11" t="s">
        <v>1457</v>
      </c>
      <c r="BO284" s="11" t="s">
        <v>95</v>
      </c>
    </row>
    <row r="285" spans="2:67">
      <c r="B285" s="11">
        <v>274</v>
      </c>
      <c r="C285" s="11" t="s">
        <v>1374</v>
      </c>
      <c r="D285" s="11" t="s">
        <v>1375</v>
      </c>
      <c r="E285" s="11" t="s">
        <v>3190</v>
      </c>
      <c r="F285" s="11" t="s">
        <v>3191</v>
      </c>
      <c r="G285" s="11" t="s">
        <v>3192</v>
      </c>
      <c r="H285" s="11" t="s">
        <v>3193</v>
      </c>
      <c r="I285" s="11" t="s">
        <v>3194</v>
      </c>
      <c r="J285" s="11"/>
      <c r="K285" s="11" t="s">
        <v>1547</v>
      </c>
      <c r="L285" s="11" t="s">
        <v>94</v>
      </c>
      <c r="M285" s="11" t="s">
        <v>1383</v>
      </c>
      <c r="N285" s="11" t="s">
        <v>95</v>
      </c>
      <c r="O285" s="11" t="s">
        <v>3195</v>
      </c>
      <c r="P285" s="11"/>
      <c r="Q285" s="11"/>
      <c r="R285" s="11" t="s">
        <v>3190</v>
      </c>
      <c r="S285" s="11" t="s">
        <v>94</v>
      </c>
      <c r="T285" s="11" t="s">
        <v>3196</v>
      </c>
      <c r="U285" s="11" t="s">
        <v>1444</v>
      </c>
      <c r="V285" s="11" t="s">
        <v>3197</v>
      </c>
      <c r="W285" s="11" t="s">
        <v>1389</v>
      </c>
      <c r="X285" s="11" t="s">
        <v>1598</v>
      </c>
      <c r="Y285" s="11" t="s">
        <v>1547</v>
      </c>
      <c r="Z285" s="11" t="s">
        <v>1422</v>
      </c>
      <c r="AA285" s="11" t="s">
        <v>2728</v>
      </c>
      <c r="AB285" s="11" t="s">
        <v>1667</v>
      </c>
      <c r="AC285" s="11" t="s">
        <v>3190</v>
      </c>
      <c r="AD285" s="11">
        <v>5375620</v>
      </c>
      <c r="AE285" s="11" t="s">
        <v>94</v>
      </c>
      <c r="AF285" s="11" t="s">
        <v>3198</v>
      </c>
      <c r="AG285" s="11" t="s">
        <v>94</v>
      </c>
      <c r="AH285" s="11" t="s">
        <v>3198</v>
      </c>
      <c r="AI285" s="11" t="s">
        <v>2739</v>
      </c>
      <c r="AJ285" s="11" t="s">
        <v>2740</v>
      </c>
      <c r="AK285" s="11" t="s">
        <v>1396</v>
      </c>
      <c r="AL285" s="11" t="s">
        <v>134</v>
      </c>
      <c r="AM285" s="11">
        <v>6100</v>
      </c>
      <c r="AN285" s="11"/>
      <c r="AO285" s="11" t="s">
        <v>3192</v>
      </c>
      <c r="AP285" s="11" t="s">
        <v>1451</v>
      </c>
      <c r="AQ285" s="11" t="s">
        <v>1398</v>
      </c>
      <c r="AR285" s="11" t="s">
        <v>1652</v>
      </c>
      <c r="AS285" s="11" t="s">
        <v>3199</v>
      </c>
      <c r="AT285" s="11" t="s">
        <v>3207</v>
      </c>
      <c r="AU285" s="11" t="s">
        <v>1777</v>
      </c>
      <c r="AV285" s="11"/>
      <c r="AW285" s="11" t="s">
        <v>3201</v>
      </c>
      <c r="AX285" s="11"/>
      <c r="AY285" s="11"/>
      <c r="AZ285" s="11"/>
      <c r="BA285" s="11"/>
      <c r="BB285" s="11">
        <v>33140368</v>
      </c>
      <c r="BC285" s="11" t="s">
        <v>1403</v>
      </c>
      <c r="BD285" s="11" t="s">
        <v>1432</v>
      </c>
      <c r="BE285" s="11" t="s">
        <v>1694</v>
      </c>
      <c r="BF285" s="11" t="s">
        <v>1780</v>
      </c>
      <c r="BG285" s="11"/>
      <c r="BH285" s="11" t="s">
        <v>1435</v>
      </c>
      <c r="BI285" s="11" t="s">
        <v>1407</v>
      </c>
      <c r="BJ285" s="11" t="s">
        <v>134</v>
      </c>
      <c r="BK285" s="11"/>
      <c r="BL285" s="11" t="s">
        <v>1408</v>
      </c>
      <c r="BM285" s="11"/>
      <c r="BN285" s="11" t="s">
        <v>1457</v>
      </c>
      <c r="BO285" s="11" t="s">
        <v>95</v>
      </c>
    </row>
    <row r="286" spans="2:67">
      <c r="B286" s="11">
        <v>275</v>
      </c>
      <c r="C286" s="11" t="s">
        <v>1374</v>
      </c>
      <c r="D286" s="11" t="s">
        <v>1375</v>
      </c>
      <c r="E286" s="11" t="s">
        <v>880</v>
      </c>
      <c r="F286" s="11" t="s">
        <v>3208</v>
      </c>
      <c r="G286" s="11" t="s">
        <v>3209</v>
      </c>
      <c r="H286" s="11" t="s">
        <v>3210</v>
      </c>
      <c r="I286" s="11" t="s">
        <v>3211</v>
      </c>
      <c r="J286" s="11"/>
      <c r="K286" s="11" t="s">
        <v>1547</v>
      </c>
      <c r="L286" s="11" t="s">
        <v>94</v>
      </c>
      <c r="M286" s="11" t="s">
        <v>1383</v>
      </c>
      <c r="N286" s="11" t="s">
        <v>95</v>
      </c>
      <c r="O286" s="11" t="s">
        <v>3212</v>
      </c>
      <c r="P286" s="11"/>
      <c r="Q286" s="11"/>
      <c r="R286" s="11" t="s">
        <v>880</v>
      </c>
      <c r="S286" s="11" t="s">
        <v>94</v>
      </c>
      <c r="T286" s="11" t="s">
        <v>3213</v>
      </c>
      <c r="U286" s="11" t="s">
        <v>1444</v>
      </c>
      <c r="V286" s="11" t="s">
        <v>3214</v>
      </c>
      <c r="W286" s="11" t="s">
        <v>1389</v>
      </c>
      <c r="X286" s="11" t="s">
        <v>1598</v>
      </c>
      <c r="Y286" s="11" t="s">
        <v>1547</v>
      </c>
      <c r="Z286" s="11" t="s">
        <v>1906</v>
      </c>
      <c r="AA286" s="11" t="s">
        <v>3215</v>
      </c>
      <c r="AB286" s="11" t="s">
        <v>2857</v>
      </c>
      <c r="AC286" s="11" t="s">
        <v>880</v>
      </c>
      <c r="AD286" s="11">
        <v>5375024</v>
      </c>
      <c r="AE286" s="11" t="s">
        <v>94</v>
      </c>
      <c r="AF286" s="11" t="s">
        <v>3216</v>
      </c>
      <c r="AG286" s="11" t="s">
        <v>94</v>
      </c>
      <c r="AH286" s="11" t="s">
        <v>3216</v>
      </c>
      <c r="AI286" s="11" t="s">
        <v>1948</v>
      </c>
      <c r="AJ286" s="11" t="s">
        <v>1949</v>
      </c>
      <c r="AK286" s="11" t="s">
        <v>1396</v>
      </c>
      <c r="AL286" s="11" t="s">
        <v>134</v>
      </c>
      <c r="AM286" s="11">
        <v>9703.7000000000007</v>
      </c>
      <c r="AN286" s="11" t="s">
        <v>1911</v>
      </c>
      <c r="AO286" s="11" t="s">
        <v>3209</v>
      </c>
      <c r="AP286" s="11" t="s">
        <v>1451</v>
      </c>
      <c r="AQ286" s="11" t="s">
        <v>1398</v>
      </c>
      <c r="AR286" s="11" t="s">
        <v>3018</v>
      </c>
      <c r="AS286" s="11" t="s">
        <v>881</v>
      </c>
      <c r="AT286" s="11" t="s">
        <v>3217</v>
      </c>
      <c r="AU286" s="11" t="s">
        <v>1880</v>
      </c>
      <c r="AV286" s="11"/>
      <c r="AW286" s="11" t="s">
        <v>3218</v>
      </c>
      <c r="AX286" s="11"/>
      <c r="AY286" s="11"/>
      <c r="AZ286" s="11"/>
      <c r="BA286" s="11"/>
      <c r="BB286" s="11">
        <v>51497172</v>
      </c>
      <c r="BC286" s="11" t="s">
        <v>1403</v>
      </c>
      <c r="BD286" s="11" t="s">
        <v>1432</v>
      </c>
      <c r="BE286" s="11" t="s">
        <v>1694</v>
      </c>
      <c r="BF286" s="11" t="s">
        <v>1555</v>
      </c>
      <c r="BG286" s="11" t="s">
        <v>1482</v>
      </c>
      <c r="BH286" s="11" t="s">
        <v>1435</v>
      </c>
      <c r="BI286" s="11" t="s">
        <v>1407</v>
      </c>
      <c r="BJ286" s="11" t="s">
        <v>134</v>
      </c>
      <c r="BK286" s="11"/>
      <c r="BL286" s="11" t="s">
        <v>1408</v>
      </c>
      <c r="BM286" s="11"/>
      <c r="BN286" s="11" t="s">
        <v>1556</v>
      </c>
      <c r="BO286" s="11" t="s">
        <v>95</v>
      </c>
    </row>
    <row r="287" spans="2:67">
      <c r="B287" s="11">
        <v>276</v>
      </c>
      <c r="C287" s="11" t="s">
        <v>1374</v>
      </c>
      <c r="D287" s="11" t="s">
        <v>1375</v>
      </c>
      <c r="E287" s="11" t="s">
        <v>880</v>
      </c>
      <c r="F287" s="11" t="s">
        <v>3208</v>
      </c>
      <c r="G287" s="11" t="s">
        <v>3209</v>
      </c>
      <c r="H287" s="11" t="s">
        <v>3210</v>
      </c>
      <c r="I287" s="11" t="s">
        <v>3211</v>
      </c>
      <c r="J287" s="11"/>
      <c r="K287" s="11" t="s">
        <v>1547</v>
      </c>
      <c r="L287" s="11" t="s">
        <v>94</v>
      </c>
      <c r="M287" s="11" t="s">
        <v>1383</v>
      </c>
      <c r="N287" s="11" t="s">
        <v>95</v>
      </c>
      <c r="O287" s="11" t="s">
        <v>3212</v>
      </c>
      <c r="P287" s="11"/>
      <c r="Q287" s="11"/>
      <c r="R287" s="11" t="s">
        <v>880</v>
      </c>
      <c r="S287" s="11" t="s">
        <v>94</v>
      </c>
      <c r="T287" s="11" t="s">
        <v>3213</v>
      </c>
      <c r="U287" s="11" t="s">
        <v>1444</v>
      </c>
      <c r="V287" s="11" t="s">
        <v>3214</v>
      </c>
      <c r="W287" s="11" t="s">
        <v>1389</v>
      </c>
      <c r="X287" s="11" t="s">
        <v>1598</v>
      </c>
      <c r="Y287" s="11" t="s">
        <v>1547</v>
      </c>
      <c r="Z287" s="11" t="s">
        <v>1906</v>
      </c>
      <c r="AA287" s="11" t="s">
        <v>3215</v>
      </c>
      <c r="AB287" s="11" t="s">
        <v>2857</v>
      </c>
      <c r="AC287" s="11" t="s">
        <v>880</v>
      </c>
      <c r="AD287" s="11">
        <v>5375024</v>
      </c>
      <c r="AE287" s="11" t="s">
        <v>94</v>
      </c>
      <c r="AF287" s="11" t="s">
        <v>3216</v>
      </c>
      <c r="AG287" s="11" t="s">
        <v>94</v>
      </c>
      <c r="AH287" s="11" t="s">
        <v>3216</v>
      </c>
      <c r="AI287" s="11" t="s">
        <v>1945</v>
      </c>
      <c r="AJ287" s="11" t="s">
        <v>1946</v>
      </c>
      <c r="AK287" s="11" t="s">
        <v>1396</v>
      </c>
      <c r="AL287" s="11" t="s">
        <v>134</v>
      </c>
      <c r="AM287" s="11">
        <v>15355.3</v>
      </c>
      <c r="AN287" s="11" t="s">
        <v>1911</v>
      </c>
      <c r="AO287" s="11" t="s">
        <v>3209</v>
      </c>
      <c r="AP287" s="11" t="s">
        <v>1451</v>
      </c>
      <c r="AQ287" s="11" t="s">
        <v>1398</v>
      </c>
      <c r="AR287" s="11" t="s">
        <v>3018</v>
      </c>
      <c r="AS287" s="11" t="s">
        <v>881</v>
      </c>
      <c r="AT287" s="11" t="s">
        <v>3219</v>
      </c>
      <c r="AU287" s="11" t="s">
        <v>1880</v>
      </c>
      <c r="AV287" s="11"/>
      <c r="AW287" s="11" t="s">
        <v>3218</v>
      </c>
      <c r="AX287" s="11"/>
      <c r="AY287" s="11"/>
      <c r="AZ287" s="11"/>
      <c r="BA287" s="11"/>
      <c r="BB287" s="11">
        <v>51497172</v>
      </c>
      <c r="BC287" s="11" t="s">
        <v>1403</v>
      </c>
      <c r="BD287" s="11" t="s">
        <v>1432</v>
      </c>
      <c r="BE287" s="11" t="s">
        <v>1694</v>
      </c>
      <c r="BF287" s="11" t="s">
        <v>1555</v>
      </c>
      <c r="BG287" s="11" t="s">
        <v>1482</v>
      </c>
      <c r="BH287" s="11" t="s">
        <v>1435</v>
      </c>
      <c r="BI287" s="11" t="s">
        <v>1407</v>
      </c>
      <c r="BJ287" s="11" t="s">
        <v>134</v>
      </c>
      <c r="BK287" s="11"/>
      <c r="BL287" s="11" t="s">
        <v>1408</v>
      </c>
      <c r="BM287" s="11"/>
      <c r="BN287" s="11" t="s">
        <v>1556</v>
      </c>
      <c r="BO287" s="11" t="s">
        <v>95</v>
      </c>
    </row>
    <row r="288" spans="2:67">
      <c r="B288" s="11">
        <v>277</v>
      </c>
      <c r="C288" s="11" t="s">
        <v>1374</v>
      </c>
      <c r="D288" s="11" t="s">
        <v>1375</v>
      </c>
      <c r="E288" s="11" t="s">
        <v>880</v>
      </c>
      <c r="F288" s="11" t="s">
        <v>3208</v>
      </c>
      <c r="G288" s="11" t="s">
        <v>3209</v>
      </c>
      <c r="H288" s="11" t="s">
        <v>3210</v>
      </c>
      <c r="I288" s="11" t="s">
        <v>3211</v>
      </c>
      <c r="J288" s="11"/>
      <c r="K288" s="11" t="s">
        <v>1547</v>
      </c>
      <c r="L288" s="11" t="s">
        <v>94</v>
      </c>
      <c r="M288" s="11" t="s">
        <v>1383</v>
      </c>
      <c r="N288" s="11" t="s">
        <v>95</v>
      </c>
      <c r="O288" s="11" t="s">
        <v>3212</v>
      </c>
      <c r="P288" s="11"/>
      <c r="Q288" s="11"/>
      <c r="R288" s="11" t="s">
        <v>880</v>
      </c>
      <c r="S288" s="11" t="s">
        <v>94</v>
      </c>
      <c r="T288" s="11" t="s">
        <v>3213</v>
      </c>
      <c r="U288" s="11" t="s">
        <v>1444</v>
      </c>
      <c r="V288" s="11" t="s">
        <v>3214</v>
      </c>
      <c r="W288" s="11" t="s">
        <v>1389</v>
      </c>
      <c r="X288" s="11" t="s">
        <v>1598</v>
      </c>
      <c r="Y288" s="11" t="s">
        <v>1547</v>
      </c>
      <c r="Z288" s="11" t="s">
        <v>1906</v>
      </c>
      <c r="AA288" s="11" t="s">
        <v>3215</v>
      </c>
      <c r="AB288" s="11" t="s">
        <v>2857</v>
      </c>
      <c r="AC288" s="11" t="s">
        <v>880</v>
      </c>
      <c r="AD288" s="11">
        <v>5375024</v>
      </c>
      <c r="AE288" s="11" t="s">
        <v>94</v>
      </c>
      <c r="AF288" s="11" t="s">
        <v>3216</v>
      </c>
      <c r="AG288" s="11" t="s">
        <v>94</v>
      </c>
      <c r="AH288" s="11" t="s">
        <v>3216</v>
      </c>
      <c r="AI288" s="11" t="s">
        <v>2421</v>
      </c>
      <c r="AJ288" s="11" t="s">
        <v>2422</v>
      </c>
      <c r="AK288" s="11" t="s">
        <v>1396</v>
      </c>
      <c r="AL288" s="11" t="s">
        <v>134</v>
      </c>
      <c r="AM288" s="11">
        <v>6378</v>
      </c>
      <c r="AN288" s="11" t="s">
        <v>1911</v>
      </c>
      <c r="AO288" s="11" t="s">
        <v>3209</v>
      </c>
      <c r="AP288" s="11" t="s">
        <v>1451</v>
      </c>
      <c r="AQ288" s="11" t="s">
        <v>1398</v>
      </c>
      <c r="AR288" s="11" t="s">
        <v>3018</v>
      </c>
      <c r="AS288" s="11" t="s">
        <v>881</v>
      </c>
      <c r="AT288" s="11" t="s">
        <v>3220</v>
      </c>
      <c r="AU288" s="11" t="s">
        <v>1880</v>
      </c>
      <c r="AV288" s="11"/>
      <c r="AW288" s="11" t="s">
        <v>3218</v>
      </c>
      <c r="AX288" s="11"/>
      <c r="AY288" s="11"/>
      <c r="AZ288" s="11"/>
      <c r="BA288" s="11"/>
      <c r="BB288" s="11">
        <v>51497172</v>
      </c>
      <c r="BC288" s="11" t="s">
        <v>1403</v>
      </c>
      <c r="BD288" s="11" t="s">
        <v>1432</v>
      </c>
      <c r="BE288" s="11" t="s">
        <v>1694</v>
      </c>
      <c r="BF288" s="11" t="s">
        <v>1555</v>
      </c>
      <c r="BG288" s="11" t="s">
        <v>1482</v>
      </c>
      <c r="BH288" s="11" t="s">
        <v>1435</v>
      </c>
      <c r="BI288" s="11" t="s">
        <v>1407</v>
      </c>
      <c r="BJ288" s="11" t="s">
        <v>134</v>
      </c>
      <c r="BK288" s="11"/>
      <c r="BL288" s="11" t="s">
        <v>1408</v>
      </c>
      <c r="BM288" s="11"/>
      <c r="BN288" s="11" t="s">
        <v>1556</v>
      </c>
      <c r="BO288" s="11" t="s">
        <v>95</v>
      </c>
    </row>
    <row r="289" spans="2:67">
      <c r="B289" s="11">
        <v>278</v>
      </c>
      <c r="C289" s="11" t="s">
        <v>1374</v>
      </c>
      <c r="D289" s="11" t="s">
        <v>1375</v>
      </c>
      <c r="E289" s="11" t="s">
        <v>880</v>
      </c>
      <c r="F289" s="11" t="s">
        <v>3208</v>
      </c>
      <c r="G289" s="11" t="s">
        <v>3209</v>
      </c>
      <c r="H289" s="11" t="s">
        <v>3210</v>
      </c>
      <c r="I289" s="11" t="s">
        <v>3211</v>
      </c>
      <c r="J289" s="11"/>
      <c r="K289" s="11" t="s">
        <v>1547</v>
      </c>
      <c r="L289" s="11" t="s">
        <v>94</v>
      </c>
      <c r="M289" s="11" t="s">
        <v>1383</v>
      </c>
      <c r="N289" s="11" t="s">
        <v>95</v>
      </c>
      <c r="O289" s="11" t="s">
        <v>3212</v>
      </c>
      <c r="P289" s="11"/>
      <c r="Q289" s="11"/>
      <c r="R289" s="11" t="s">
        <v>880</v>
      </c>
      <c r="S289" s="11" t="s">
        <v>94</v>
      </c>
      <c r="T289" s="11" t="s">
        <v>3213</v>
      </c>
      <c r="U289" s="11" t="s">
        <v>1444</v>
      </c>
      <c r="V289" s="11" t="s">
        <v>3214</v>
      </c>
      <c r="W289" s="11" t="s">
        <v>1389</v>
      </c>
      <c r="X289" s="11" t="s">
        <v>1598</v>
      </c>
      <c r="Y289" s="11" t="s">
        <v>1547</v>
      </c>
      <c r="Z289" s="11" t="s">
        <v>1906</v>
      </c>
      <c r="AA289" s="11" t="s">
        <v>3215</v>
      </c>
      <c r="AB289" s="11" t="s">
        <v>2857</v>
      </c>
      <c r="AC289" s="11" t="s">
        <v>880</v>
      </c>
      <c r="AD289" s="11">
        <v>5375024</v>
      </c>
      <c r="AE289" s="11" t="s">
        <v>94</v>
      </c>
      <c r="AF289" s="11" t="s">
        <v>3216</v>
      </c>
      <c r="AG289" s="11" t="s">
        <v>94</v>
      </c>
      <c r="AH289" s="11" t="s">
        <v>3216</v>
      </c>
      <c r="AI289" s="11" t="s">
        <v>2416</v>
      </c>
      <c r="AJ289" s="11" t="s">
        <v>2417</v>
      </c>
      <c r="AK289" s="11" t="s">
        <v>1396</v>
      </c>
      <c r="AL289" s="11" t="s">
        <v>134</v>
      </c>
      <c r="AM289" s="11">
        <v>28320</v>
      </c>
      <c r="AN289" s="11" t="s">
        <v>1911</v>
      </c>
      <c r="AO289" s="11" t="s">
        <v>3209</v>
      </c>
      <c r="AP289" s="11" t="s">
        <v>1451</v>
      </c>
      <c r="AQ289" s="11" t="s">
        <v>1398</v>
      </c>
      <c r="AR289" s="11" t="s">
        <v>3018</v>
      </c>
      <c r="AS289" s="11" t="s">
        <v>881</v>
      </c>
      <c r="AT289" s="11" t="s">
        <v>3221</v>
      </c>
      <c r="AU289" s="11" t="s">
        <v>1880</v>
      </c>
      <c r="AV289" s="11"/>
      <c r="AW289" s="11" t="s">
        <v>3218</v>
      </c>
      <c r="AX289" s="11"/>
      <c r="AY289" s="11"/>
      <c r="AZ289" s="11"/>
      <c r="BA289" s="11"/>
      <c r="BB289" s="11">
        <v>51497172</v>
      </c>
      <c r="BC289" s="11" t="s">
        <v>1403</v>
      </c>
      <c r="BD289" s="11" t="s">
        <v>1432</v>
      </c>
      <c r="BE289" s="11" t="s">
        <v>1694</v>
      </c>
      <c r="BF289" s="11" t="s">
        <v>1555</v>
      </c>
      <c r="BG289" s="11" t="s">
        <v>1482</v>
      </c>
      <c r="BH289" s="11" t="s">
        <v>1435</v>
      </c>
      <c r="BI289" s="11" t="s">
        <v>1407</v>
      </c>
      <c r="BJ289" s="11" t="s">
        <v>134</v>
      </c>
      <c r="BK289" s="11"/>
      <c r="BL289" s="11" t="s">
        <v>1408</v>
      </c>
      <c r="BM289" s="11"/>
      <c r="BN289" s="11" t="s">
        <v>1556</v>
      </c>
      <c r="BO289" s="11" t="s">
        <v>95</v>
      </c>
    </row>
    <row r="290" spans="2:67">
      <c r="B290" s="11">
        <v>279</v>
      </c>
      <c r="C290" s="11" t="s">
        <v>1374</v>
      </c>
      <c r="D290" s="11" t="s">
        <v>1375</v>
      </c>
      <c r="E290" s="11" t="s">
        <v>880</v>
      </c>
      <c r="F290" s="11" t="s">
        <v>3208</v>
      </c>
      <c r="G290" s="11" t="s">
        <v>3209</v>
      </c>
      <c r="H290" s="11" t="s">
        <v>3210</v>
      </c>
      <c r="I290" s="11" t="s">
        <v>3211</v>
      </c>
      <c r="J290" s="11"/>
      <c r="K290" s="11" t="s">
        <v>1547</v>
      </c>
      <c r="L290" s="11" t="s">
        <v>94</v>
      </c>
      <c r="M290" s="11" t="s">
        <v>1383</v>
      </c>
      <c r="N290" s="11" t="s">
        <v>95</v>
      </c>
      <c r="O290" s="11" t="s">
        <v>3212</v>
      </c>
      <c r="P290" s="11"/>
      <c r="Q290" s="11"/>
      <c r="R290" s="11" t="s">
        <v>880</v>
      </c>
      <c r="S290" s="11" t="s">
        <v>94</v>
      </c>
      <c r="T290" s="11" t="s">
        <v>3213</v>
      </c>
      <c r="U290" s="11" t="s">
        <v>1444</v>
      </c>
      <c r="V290" s="11" t="s">
        <v>3214</v>
      </c>
      <c r="W290" s="11" t="s">
        <v>1389</v>
      </c>
      <c r="X290" s="11" t="s">
        <v>1598</v>
      </c>
      <c r="Y290" s="11" t="s">
        <v>1547</v>
      </c>
      <c r="Z290" s="11" t="s">
        <v>1906</v>
      </c>
      <c r="AA290" s="11" t="s">
        <v>3215</v>
      </c>
      <c r="AB290" s="11" t="s">
        <v>2857</v>
      </c>
      <c r="AC290" s="11" t="s">
        <v>880</v>
      </c>
      <c r="AD290" s="11">
        <v>5375024</v>
      </c>
      <c r="AE290" s="11" t="s">
        <v>94</v>
      </c>
      <c r="AF290" s="11" t="s">
        <v>3216</v>
      </c>
      <c r="AG290" s="11" t="s">
        <v>94</v>
      </c>
      <c r="AH290" s="11" t="s">
        <v>3216</v>
      </c>
      <c r="AI290" s="11" t="s">
        <v>2410</v>
      </c>
      <c r="AJ290" s="11" t="s">
        <v>2411</v>
      </c>
      <c r="AK290" s="11" t="s">
        <v>1396</v>
      </c>
      <c r="AL290" s="11" t="s">
        <v>134</v>
      </c>
      <c r="AM290" s="11">
        <v>9743</v>
      </c>
      <c r="AN290" s="11" t="s">
        <v>1911</v>
      </c>
      <c r="AO290" s="11" t="s">
        <v>3209</v>
      </c>
      <c r="AP290" s="11" t="s">
        <v>1451</v>
      </c>
      <c r="AQ290" s="11" t="s">
        <v>1398</v>
      </c>
      <c r="AR290" s="11" t="s">
        <v>3018</v>
      </c>
      <c r="AS290" s="11" t="s">
        <v>881</v>
      </c>
      <c r="AT290" s="11" t="s">
        <v>3222</v>
      </c>
      <c r="AU290" s="11" t="s">
        <v>1880</v>
      </c>
      <c r="AV290" s="11"/>
      <c r="AW290" s="11" t="s">
        <v>3218</v>
      </c>
      <c r="AX290" s="11"/>
      <c r="AY290" s="11"/>
      <c r="AZ290" s="11"/>
      <c r="BA290" s="11"/>
      <c r="BB290" s="11">
        <v>51497172</v>
      </c>
      <c r="BC290" s="11" t="s">
        <v>1403</v>
      </c>
      <c r="BD290" s="11" t="s">
        <v>1432</v>
      </c>
      <c r="BE290" s="11" t="s">
        <v>1694</v>
      </c>
      <c r="BF290" s="11" t="s">
        <v>1555</v>
      </c>
      <c r="BG290" s="11" t="s">
        <v>1482</v>
      </c>
      <c r="BH290" s="11" t="s">
        <v>1435</v>
      </c>
      <c r="BI290" s="11" t="s">
        <v>1407</v>
      </c>
      <c r="BJ290" s="11" t="s">
        <v>134</v>
      </c>
      <c r="BK290" s="11"/>
      <c r="BL290" s="11" t="s">
        <v>1408</v>
      </c>
      <c r="BM290" s="11"/>
      <c r="BN290" s="11" t="s">
        <v>1556</v>
      </c>
      <c r="BO290" s="11" t="s">
        <v>95</v>
      </c>
    </row>
    <row r="291" spans="2:67">
      <c r="B291" s="11">
        <v>280</v>
      </c>
      <c r="C291" s="11" t="s">
        <v>1374</v>
      </c>
      <c r="D291" s="11" t="s">
        <v>1375</v>
      </c>
      <c r="E291" s="11" t="s">
        <v>101</v>
      </c>
      <c r="F291" s="11" t="s">
        <v>3223</v>
      </c>
      <c r="G291" s="11" t="s">
        <v>3095</v>
      </c>
      <c r="H291" s="11" t="s">
        <v>3224</v>
      </c>
      <c r="I291" s="11" t="s">
        <v>3225</v>
      </c>
      <c r="J291" s="11"/>
      <c r="K291" s="11" t="s">
        <v>1547</v>
      </c>
      <c r="L291" s="11" t="s">
        <v>1382</v>
      </c>
      <c r="M291" s="11" t="s">
        <v>1383</v>
      </c>
      <c r="N291" s="11" t="s">
        <v>95</v>
      </c>
      <c r="O291" s="11" t="s">
        <v>3098</v>
      </c>
      <c r="P291" s="11"/>
      <c r="Q291" s="11"/>
      <c r="R291" s="11" t="s">
        <v>101</v>
      </c>
      <c r="S291" s="11" t="s">
        <v>1382</v>
      </c>
      <c r="T291" s="11" t="s">
        <v>3226</v>
      </c>
      <c r="U291" s="11" t="s">
        <v>1444</v>
      </c>
      <c r="V291" s="11" t="s">
        <v>3227</v>
      </c>
      <c r="W291" s="11" t="s">
        <v>1389</v>
      </c>
      <c r="X291" s="11" t="s">
        <v>1769</v>
      </c>
      <c r="Y291" s="11" t="s">
        <v>1547</v>
      </c>
      <c r="Z291" s="11" t="s">
        <v>3228</v>
      </c>
      <c r="AA291" s="11" t="s">
        <v>3229</v>
      </c>
      <c r="AB291" s="11" t="s">
        <v>3230</v>
      </c>
      <c r="AC291" s="11" t="s">
        <v>101</v>
      </c>
      <c r="AD291" s="11">
        <v>5345220</v>
      </c>
      <c r="AE291" s="11" t="s">
        <v>1382</v>
      </c>
      <c r="AF291" s="11" t="s">
        <v>3227</v>
      </c>
      <c r="AG291" s="11" t="s">
        <v>1382</v>
      </c>
      <c r="AH291" s="11" t="s">
        <v>3227</v>
      </c>
      <c r="AI291" s="11" t="s">
        <v>2278</v>
      </c>
      <c r="AJ291" s="11" t="s">
        <v>2279</v>
      </c>
      <c r="AK291" s="11" t="s">
        <v>1396</v>
      </c>
      <c r="AL291" s="11" t="s">
        <v>134</v>
      </c>
      <c r="AM291" s="11">
        <v>1640</v>
      </c>
      <c r="AN291" s="11" t="s">
        <v>1911</v>
      </c>
      <c r="AO291" s="11" t="s">
        <v>3095</v>
      </c>
      <c r="AP291" s="11" t="s">
        <v>1451</v>
      </c>
      <c r="AQ291" s="11" t="s">
        <v>1398</v>
      </c>
      <c r="AR291" s="11" t="s">
        <v>1399</v>
      </c>
      <c r="AS291" s="11" t="s">
        <v>102</v>
      </c>
      <c r="AT291" s="11" t="s">
        <v>3231</v>
      </c>
      <c r="AU291" s="11" t="s">
        <v>3232</v>
      </c>
      <c r="AV291" s="11"/>
      <c r="AW291" s="11" t="s">
        <v>3233</v>
      </c>
      <c r="AX291" s="11"/>
      <c r="AY291" s="11"/>
      <c r="AZ291" s="11"/>
      <c r="BA291" s="11"/>
      <c r="BB291" s="11">
        <v>48767920</v>
      </c>
      <c r="BC291" s="11" t="s">
        <v>1403</v>
      </c>
      <c r="BD291" s="11" t="s">
        <v>1432</v>
      </c>
      <c r="BE291" s="11" t="s">
        <v>2466</v>
      </c>
      <c r="BF291" s="11" t="s">
        <v>1555</v>
      </c>
      <c r="BG291" s="11" t="s">
        <v>1482</v>
      </c>
      <c r="BH291" s="11" t="s">
        <v>1502</v>
      </c>
      <c r="BI291" s="11" t="s">
        <v>1403</v>
      </c>
      <c r="BJ291" s="11" t="s">
        <v>134</v>
      </c>
      <c r="BK291" s="11"/>
      <c r="BL291" s="11" t="s">
        <v>1408</v>
      </c>
      <c r="BM291" s="11"/>
      <c r="BN291" s="11" t="s">
        <v>1483</v>
      </c>
      <c r="BO291" s="11" t="s">
        <v>95</v>
      </c>
    </row>
    <row r="292" spans="2:67">
      <c r="B292" s="11">
        <v>281</v>
      </c>
      <c r="C292" s="11" t="s">
        <v>1374</v>
      </c>
      <c r="D292" s="11" t="s">
        <v>1375</v>
      </c>
      <c r="E292" s="11" t="s">
        <v>101</v>
      </c>
      <c r="F292" s="11" t="s">
        <v>3223</v>
      </c>
      <c r="G292" s="11" t="s">
        <v>3095</v>
      </c>
      <c r="H292" s="11" t="s">
        <v>3224</v>
      </c>
      <c r="I292" s="11" t="s">
        <v>3225</v>
      </c>
      <c r="J292" s="11"/>
      <c r="K292" s="11" t="s">
        <v>1547</v>
      </c>
      <c r="L292" s="11" t="s">
        <v>1382</v>
      </c>
      <c r="M292" s="11" t="s">
        <v>1383</v>
      </c>
      <c r="N292" s="11" t="s">
        <v>95</v>
      </c>
      <c r="O292" s="11" t="s">
        <v>3098</v>
      </c>
      <c r="P292" s="11"/>
      <c r="Q292" s="11"/>
      <c r="R292" s="11" t="s">
        <v>101</v>
      </c>
      <c r="S292" s="11" t="s">
        <v>1382</v>
      </c>
      <c r="T292" s="11" t="s">
        <v>3226</v>
      </c>
      <c r="U292" s="11" t="s">
        <v>1444</v>
      </c>
      <c r="V292" s="11" t="s">
        <v>3227</v>
      </c>
      <c r="W292" s="11" t="s">
        <v>1389</v>
      </c>
      <c r="X292" s="11" t="s">
        <v>1769</v>
      </c>
      <c r="Y292" s="11" t="s">
        <v>1547</v>
      </c>
      <c r="Z292" s="11" t="s">
        <v>3228</v>
      </c>
      <c r="AA292" s="11" t="s">
        <v>3229</v>
      </c>
      <c r="AB292" s="11" t="s">
        <v>3230</v>
      </c>
      <c r="AC292" s="11" t="s">
        <v>101</v>
      </c>
      <c r="AD292" s="11">
        <v>5345220</v>
      </c>
      <c r="AE292" s="11" t="s">
        <v>1382</v>
      </c>
      <c r="AF292" s="11" t="s">
        <v>3227</v>
      </c>
      <c r="AG292" s="11" t="s">
        <v>1382</v>
      </c>
      <c r="AH292" s="11" t="s">
        <v>3227</v>
      </c>
      <c r="AI292" s="11" t="s">
        <v>2275</v>
      </c>
      <c r="AJ292" s="11" t="s">
        <v>2276</v>
      </c>
      <c r="AK292" s="11" t="s">
        <v>1396</v>
      </c>
      <c r="AL292" s="11" t="s">
        <v>134</v>
      </c>
      <c r="AM292" s="11">
        <v>360</v>
      </c>
      <c r="AN292" s="11" t="s">
        <v>1911</v>
      </c>
      <c r="AO292" s="11" t="s">
        <v>3095</v>
      </c>
      <c r="AP292" s="11" t="s">
        <v>1451</v>
      </c>
      <c r="AQ292" s="11" t="s">
        <v>1398</v>
      </c>
      <c r="AR292" s="11" t="s">
        <v>1399</v>
      </c>
      <c r="AS292" s="11" t="s">
        <v>102</v>
      </c>
      <c r="AT292" s="11" t="s">
        <v>3234</v>
      </c>
      <c r="AU292" s="11" t="s">
        <v>3232</v>
      </c>
      <c r="AV292" s="11"/>
      <c r="AW292" s="11" t="s">
        <v>3233</v>
      </c>
      <c r="AX292" s="11"/>
      <c r="AY292" s="11"/>
      <c r="AZ292" s="11"/>
      <c r="BA292" s="11"/>
      <c r="BB292" s="11">
        <v>48767920</v>
      </c>
      <c r="BC292" s="11" t="s">
        <v>1403</v>
      </c>
      <c r="BD292" s="11" t="s">
        <v>1432</v>
      </c>
      <c r="BE292" s="11" t="s">
        <v>2466</v>
      </c>
      <c r="BF292" s="11" t="s">
        <v>1555</v>
      </c>
      <c r="BG292" s="11" t="s">
        <v>1482</v>
      </c>
      <c r="BH292" s="11" t="s">
        <v>1502</v>
      </c>
      <c r="BI292" s="11" t="s">
        <v>1403</v>
      </c>
      <c r="BJ292" s="11" t="s">
        <v>134</v>
      </c>
      <c r="BK292" s="11"/>
      <c r="BL292" s="11" t="s">
        <v>1408</v>
      </c>
      <c r="BM292" s="11"/>
      <c r="BN292" s="11" t="s">
        <v>1483</v>
      </c>
      <c r="BO292" s="11" t="s">
        <v>95</v>
      </c>
    </row>
    <row r="293" spans="2:67">
      <c r="B293" s="11">
        <v>282</v>
      </c>
      <c r="C293" s="11" t="s">
        <v>1374</v>
      </c>
      <c r="D293" s="11" t="s">
        <v>1375</v>
      </c>
      <c r="E293" s="11" t="s">
        <v>101</v>
      </c>
      <c r="F293" s="11" t="s">
        <v>3223</v>
      </c>
      <c r="G293" s="11" t="s">
        <v>3095</v>
      </c>
      <c r="H293" s="11" t="s">
        <v>3224</v>
      </c>
      <c r="I293" s="11" t="s">
        <v>3225</v>
      </c>
      <c r="J293" s="11"/>
      <c r="K293" s="11" t="s">
        <v>1547</v>
      </c>
      <c r="L293" s="11" t="s">
        <v>1382</v>
      </c>
      <c r="M293" s="11" t="s">
        <v>1383</v>
      </c>
      <c r="N293" s="11" t="s">
        <v>95</v>
      </c>
      <c r="O293" s="11" t="s">
        <v>3098</v>
      </c>
      <c r="P293" s="11"/>
      <c r="Q293" s="11"/>
      <c r="R293" s="11" t="s">
        <v>101</v>
      </c>
      <c r="S293" s="11" t="s">
        <v>1382</v>
      </c>
      <c r="T293" s="11" t="s">
        <v>3226</v>
      </c>
      <c r="U293" s="11" t="s">
        <v>1444</v>
      </c>
      <c r="V293" s="11" t="s">
        <v>3227</v>
      </c>
      <c r="W293" s="11" t="s">
        <v>1389</v>
      </c>
      <c r="X293" s="11" t="s">
        <v>1769</v>
      </c>
      <c r="Y293" s="11" t="s">
        <v>1547</v>
      </c>
      <c r="Z293" s="11" t="s">
        <v>3228</v>
      </c>
      <c r="AA293" s="11" t="s">
        <v>3229</v>
      </c>
      <c r="AB293" s="11" t="s">
        <v>3230</v>
      </c>
      <c r="AC293" s="11" t="s">
        <v>101</v>
      </c>
      <c r="AD293" s="11">
        <v>5345220</v>
      </c>
      <c r="AE293" s="11" t="s">
        <v>1382</v>
      </c>
      <c r="AF293" s="11" t="s">
        <v>3227</v>
      </c>
      <c r="AG293" s="11" t="s">
        <v>1382</v>
      </c>
      <c r="AH293" s="11" t="s">
        <v>3227</v>
      </c>
      <c r="AI293" s="11" t="s">
        <v>1892</v>
      </c>
      <c r="AJ293" s="11" t="s">
        <v>1893</v>
      </c>
      <c r="AK293" s="11" t="s">
        <v>1396</v>
      </c>
      <c r="AL293" s="11" t="s">
        <v>134</v>
      </c>
      <c r="AM293" s="11">
        <v>130</v>
      </c>
      <c r="AN293" s="11" t="s">
        <v>1911</v>
      </c>
      <c r="AO293" s="11" t="s">
        <v>3095</v>
      </c>
      <c r="AP293" s="11" t="s">
        <v>1451</v>
      </c>
      <c r="AQ293" s="11" t="s">
        <v>1398</v>
      </c>
      <c r="AR293" s="11" t="s">
        <v>1399</v>
      </c>
      <c r="AS293" s="11" t="s">
        <v>102</v>
      </c>
      <c r="AT293" s="11" t="s">
        <v>3235</v>
      </c>
      <c r="AU293" s="11" t="s">
        <v>3232</v>
      </c>
      <c r="AV293" s="11"/>
      <c r="AW293" s="11" t="s">
        <v>3233</v>
      </c>
      <c r="AX293" s="11"/>
      <c r="AY293" s="11"/>
      <c r="AZ293" s="11"/>
      <c r="BA293" s="11"/>
      <c r="BB293" s="11">
        <v>48767920</v>
      </c>
      <c r="BC293" s="11" t="s">
        <v>1403</v>
      </c>
      <c r="BD293" s="11" t="s">
        <v>1432</v>
      </c>
      <c r="BE293" s="11" t="s">
        <v>2466</v>
      </c>
      <c r="BF293" s="11" t="s">
        <v>1555</v>
      </c>
      <c r="BG293" s="11" t="s">
        <v>1482</v>
      </c>
      <c r="BH293" s="11" t="s">
        <v>1502</v>
      </c>
      <c r="BI293" s="11" t="s">
        <v>1403</v>
      </c>
      <c r="BJ293" s="11" t="s">
        <v>134</v>
      </c>
      <c r="BK293" s="11"/>
      <c r="BL293" s="11" t="s">
        <v>1408</v>
      </c>
      <c r="BM293" s="11"/>
      <c r="BN293" s="11" t="s">
        <v>1483</v>
      </c>
      <c r="BO293" s="11" t="s">
        <v>95</v>
      </c>
    </row>
    <row r="294" spans="2:67">
      <c r="B294" s="11">
        <v>283</v>
      </c>
      <c r="C294" s="11" t="s">
        <v>1374</v>
      </c>
      <c r="D294" s="11" t="s">
        <v>1375</v>
      </c>
      <c r="E294" s="11" t="s">
        <v>101</v>
      </c>
      <c r="F294" s="11" t="s">
        <v>3223</v>
      </c>
      <c r="G294" s="11" t="s">
        <v>3095</v>
      </c>
      <c r="H294" s="11" t="s">
        <v>3224</v>
      </c>
      <c r="I294" s="11" t="s">
        <v>3225</v>
      </c>
      <c r="J294" s="11"/>
      <c r="K294" s="11" t="s">
        <v>1547</v>
      </c>
      <c r="L294" s="11" t="s">
        <v>1382</v>
      </c>
      <c r="M294" s="11" t="s">
        <v>1383</v>
      </c>
      <c r="N294" s="11" t="s">
        <v>95</v>
      </c>
      <c r="O294" s="11" t="s">
        <v>3098</v>
      </c>
      <c r="P294" s="11"/>
      <c r="Q294" s="11"/>
      <c r="R294" s="11" t="s">
        <v>101</v>
      </c>
      <c r="S294" s="11" t="s">
        <v>1382</v>
      </c>
      <c r="T294" s="11" t="s">
        <v>3226</v>
      </c>
      <c r="U294" s="11" t="s">
        <v>1444</v>
      </c>
      <c r="V294" s="11" t="s">
        <v>3227</v>
      </c>
      <c r="W294" s="11" t="s">
        <v>1389</v>
      </c>
      <c r="X294" s="11" t="s">
        <v>1769</v>
      </c>
      <c r="Y294" s="11" t="s">
        <v>1547</v>
      </c>
      <c r="Z294" s="11" t="s">
        <v>3228</v>
      </c>
      <c r="AA294" s="11" t="s">
        <v>3229</v>
      </c>
      <c r="AB294" s="11" t="s">
        <v>3230</v>
      </c>
      <c r="AC294" s="11" t="s">
        <v>101</v>
      </c>
      <c r="AD294" s="11">
        <v>5345220</v>
      </c>
      <c r="AE294" s="11" t="s">
        <v>1382</v>
      </c>
      <c r="AF294" s="11" t="s">
        <v>3227</v>
      </c>
      <c r="AG294" s="11" t="s">
        <v>1382</v>
      </c>
      <c r="AH294" s="11" t="s">
        <v>3227</v>
      </c>
      <c r="AI294" s="11" t="s">
        <v>1897</v>
      </c>
      <c r="AJ294" s="11" t="s">
        <v>1898</v>
      </c>
      <c r="AK294" s="11" t="s">
        <v>1396</v>
      </c>
      <c r="AL294" s="11" t="s">
        <v>134</v>
      </c>
      <c r="AM294" s="11">
        <v>1870</v>
      </c>
      <c r="AN294" s="11" t="s">
        <v>1911</v>
      </c>
      <c r="AO294" s="11" t="s">
        <v>3095</v>
      </c>
      <c r="AP294" s="11" t="s">
        <v>1451</v>
      </c>
      <c r="AQ294" s="11" t="s">
        <v>1398</v>
      </c>
      <c r="AR294" s="11" t="s">
        <v>1399</v>
      </c>
      <c r="AS294" s="11" t="s">
        <v>102</v>
      </c>
      <c r="AT294" s="11" t="s">
        <v>3236</v>
      </c>
      <c r="AU294" s="11" t="s">
        <v>3232</v>
      </c>
      <c r="AV294" s="11"/>
      <c r="AW294" s="11" t="s">
        <v>3233</v>
      </c>
      <c r="AX294" s="11"/>
      <c r="AY294" s="11"/>
      <c r="AZ294" s="11"/>
      <c r="BA294" s="11"/>
      <c r="BB294" s="11">
        <v>48767920</v>
      </c>
      <c r="BC294" s="11" t="s">
        <v>1403</v>
      </c>
      <c r="BD294" s="11" t="s">
        <v>1432</v>
      </c>
      <c r="BE294" s="11" t="s">
        <v>2466</v>
      </c>
      <c r="BF294" s="11" t="s">
        <v>1555</v>
      </c>
      <c r="BG294" s="11" t="s">
        <v>1482</v>
      </c>
      <c r="BH294" s="11" t="s">
        <v>1502</v>
      </c>
      <c r="BI294" s="11" t="s">
        <v>1403</v>
      </c>
      <c r="BJ294" s="11" t="s">
        <v>134</v>
      </c>
      <c r="BK294" s="11"/>
      <c r="BL294" s="11" t="s">
        <v>1408</v>
      </c>
      <c r="BM294" s="11"/>
      <c r="BN294" s="11" t="s">
        <v>1483</v>
      </c>
      <c r="BO294" s="11" t="s">
        <v>95</v>
      </c>
    </row>
    <row r="295" spans="2:67">
      <c r="B295" s="11">
        <v>284</v>
      </c>
      <c r="C295" s="11" t="s">
        <v>1374</v>
      </c>
      <c r="D295" s="11" t="s">
        <v>1375</v>
      </c>
      <c r="E295" s="11" t="s">
        <v>1376</v>
      </c>
      <c r="F295" s="11" t="s">
        <v>3237</v>
      </c>
      <c r="G295" s="11" t="s">
        <v>2382</v>
      </c>
      <c r="H295" s="11" t="s">
        <v>3238</v>
      </c>
      <c r="I295" s="11" t="s">
        <v>3239</v>
      </c>
      <c r="J295" s="11" t="s">
        <v>134</v>
      </c>
      <c r="K295" s="11" t="s">
        <v>1488</v>
      </c>
      <c r="L295" s="11" t="s">
        <v>94</v>
      </c>
      <c r="M295" s="11" t="s">
        <v>181</v>
      </c>
      <c r="N295" s="11" t="s">
        <v>181</v>
      </c>
      <c r="O295" s="11" t="s">
        <v>134</v>
      </c>
      <c r="P295" s="11"/>
      <c r="Q295" s="11"/>
      <c r="R295" s="11" t="s">
        <v>3240</v>
      </c>
      <c r="S295" s="11" t="s">
        <v>94</v>
      </c>
      <c r="T295" s="11" t="s">
        <v>3241</v>
      </c>
      <c r="U295" s="11" t="s">
        <v>1387</v>
      </c>
      <c r="V295" s="11" t="s">
        <v>3242</v>
      </c>
      <c r="W295" s="11" t="s">
        <v>1389</v>
      </c>
      <c r="X295" s="11" t="s">
        <v>1769</v>
      </c>
      <c r="Y295" s="11" t="s">
        <v>1470</v>
      </c>
      <c r="Z295" s="11" t="s">
        <v>1876</v>
      </c>
      <c r="AA295" s="11" t="s">
        <v>1829</v>
      </c>
      <c r="AB295" s="11" t="s">
        <v>1447</v>
      </c>
      <c r="AC295" s="11" t="s">
        <v>3240</v>
      </c>
      <c r="AD295" s="11">
        <v>5274013</v>
      </c>
      <c r="AE295" s="11" t="s">
        <v>94</v>
      </c>
      <c r="AF295" s="11" t="s">
        <v>3243</v>
      </c>
      <c r="AG295" s="11" t="s">
        <v>94</v>
      </c>
      <c r="AH295" s="11" t="s">
        <v>3244</v>
      </c>
      <c r="AI295" s="11" t="s">
        <v>2323</v>
      </c>
      <c r="AJ295" s="11" t="s">
        <v>2324</v>
      </c>
      <c r="AK295" s="11" t="s">
        <v>1396</v>
      </c>
      <c r="AL295" s="11" t="s">
        <v>134</v>
      </c>
      <c r="AM295" s="11">
        <v>1569.6</v>
      </c>
      <c r="AN295" s="11"/>
      <c r="AO295" s="11" t="s">
        <v>134</v>
      </c>
      <c r="AP295" s="11" t="s">
        <v>1397</v>
      </c>
      <c r="AQ295" s="11" t="s">
        <v>1398</v>
      </c>
      <c r="AR295" s="11" t="s">
        <v>2255</v>
      </c>
      <c r="AS295" s="11" t="s">
        <v>3245</v>
      </c>
      <c r="AT295" s="11" t="s">
        <v>3246</v>
      </c>
      <c r="AU295" s="11" t="s">
        <v>3247</v>
      </c>
      <c r="AV295" s="11"/>
      <c r="AW295" s="11" t="s">
        <v>3248</v>
      </c>
      <c r="AX295" s="11"/>
      <c r="AY295" s="11"/>
      <c r="AZ295" s="11"/>
      <c r="BA295" s="11"/>
      <c r="BB295" s="11">
        <v>74057181</v>
      </c>
      <c r="BC295" s="11" t="s">
        <v>1403</v>
      </c>
      <c r="BD295" s="11" t="s">
        <v>1432</v>
      </c>
      <c r="BE295" s="11" t="s">
        <v>2078</v>
      </c>
      <c r="BF295" s="11" t="s">
        <v>3249</v>
      </c>
      <c r="BG295" s="11" t="s">
        <v>1482</v>
      </c>
      <c r="BH295" s="11" t="s">
        <v>1520</v>
      </c>
      <c r="BI295" s="11" t="s">
        <v>1407</v>
      </c>
      <c r="BJ295" s="11" t="s">
        <v>134</v>
      </c>
      <c r="BK295" s="11"/>
      <c r="BL295" s="11" t="s">
        <v>1408</v>
      </c>
      <c r="BM295" s="11"/>
      <c r="BN295" s="11" t="s">
        <v>1457</v>
      </c>
      <c r="BO295" s="11" t="s">
        <v>1410</v>
      </c>
    </row>
    <row r="296" spans="2:67">
      <c r="B296" s="11">
        <v>285</v>
      </c>
      <c r="C296" s="11" t="s">
        <v>1374</v>
      </c>
      <c r="D296" s="11" t="s">
        <v>1375</v>
      </c>
      <c r="E296" s="11" t="s">
        <v>1376</v>
      </c>
      <c r="F296" s="11" t="s">
        <v>3237</v>
      </c>
      <c r="G296" s="11" t="s">
        <v>2382</v>
      </c>
      <c r="H296" s="11" t="s">
        <v>3238</v>
      </c>
      <c r="I296" s="11" t="s">
        <v>3239</v>
      </c>
      <c r="J296" s="11" t="s">
        <v>134</v>
      </c>
      <c r="K296" s="11" t="s">
        <v>1488</v>
      </c>
      <c r="L296" s="11" t="s">
        <v>94</v>
      </c>
      <c r="M296" s="11" t="s">
        <v>181</v>
      </c>
      <c r="N296" s="11" t="s">
        <v>181</v>
      </c>
      <c r="O296" s="11" t="s">
        <v>134</v>
      </c>
      <c r="P296" s="11"/>
      <c r="Q296" s="11"/>
      <c r="R296" s="11" t="s">
        <v>3240</v>
      </c>
      <c r="S296" s="11" t="s">
        <v>94</v>
      </c>
      <c r="T296" s="11" t="s">
        <v>3241</v>
      </c>
      <c r="U296" s="11" t="s">
        <v>1387</v>
      </c>
      <c r="V296" s="11" t="s">
        <v>3242</v>
      </c>
      <c r="W296" s="11" t="s">
        <v>1389</v>
      </c>
      <c r="X296" s="11" t="s">
        <v>1769</v>
      </c>
      <c r="Y296" s="11" t="s">
        <v>1470</v>
      </c>
      <c r="Z296" s="11" t="s">
        <v>1876</v>
      </c>
      <c r="AA296" s="11" t="s">
        <v>1829</v>
      </c>
      <c r="AB296" s="11" t="s">
        <v>1447</v>
      </c>
      <c r="AC296" s="11" t="s">
        <v>3240</v>
      </c>
      <c r="AD296" s="11">
        <v>5274013</v>
      </c>
      <c r="AE296" s="11" t="s">
        <v>94</v>
      </c>
      <c r="AF296" s="11" t="s">
        <v>3243</v>
      </c>
      <c r="AG296" s="11" t="s">
        <v>94</v>
      </c>
      <c r="AH296" s="11" t="s">
        <v>3244</v>
      </c>
      <c r="AI296" s="11" t="s">
        <v>2088</v>
      </c>
      <c r="AJ296" s="11" t="s">
        <v>2089</v>
      </c>
      <c r="AK296" s="11" t="s">
        <v>1396</v>
      </c>
      <c r="AL296" s="11" t="s">
        <v>134</v>
      </c>
      <c r="AM296" s="11">
        <v>10830.4</v>
      </c>
      <c r="AN296" s="11"/>
      <c r="AO296" s="11" t="s">
        <v>134</v>
      </c>
      <c r="AP296" s="11" t="s">
        <v>1397</v>
      </c>
      <c r="AQ296" s="11" t="s">
        <v>1398</v>
      </c>
      <c r="AR296" s="11" t="s">
        <v>2255</v>
      </c>
      <c r="AS296" s="11" t="s">
        <v>3245</v>
      </c>
      <c r="AT296" s="11" t="s">
        <v>3250</v>
      </c>
      <c r="AU296" s="11" t="s">
        <v>3247</v>
      </c>
      <c r="AV296" s="11"/>
      <c r="AW296" s="11" t="s">
        <v>3248</v>
      </c>
      <c r="AX296" s="11"/>
      <c r="AY296" s="11"/>
      <c r="AZ296" s="11"/>
      <c r="BA296" s="11"/>
      <c r="BB296" s="11">
        <v>74057181</v>
      </c>
      <c r="BC296" s="11" t="s">
        <v>1403</v>
      </c>
      <c r="BD296" s="11" t="s">
        <v>1432</v>
      </c>
      <c r="BE296" s="11" t="s">
        <v>2078</v>
      </c>
      <c r="BF296" s="11" t="s">
        <v>3249</v>
      </c>
      <c r="BG296" s="11" t="s">
        <v>1482</v>
      </c>
      <c r="BH296" s="11" t="s">
        <v>1520</v>
      </c>
      <c r="BI296" s="11" t="s">
        <v>1407</v>
      </c>
      <c r="BJ296" s="11" t="s">
        <v>134</v>
      </c>
      <c r="BK296" s="11"/>
      <c r="BL296" s="11" t="s">
        <v>1408</v>
      </c>
      <c r="BM296" s="11"/>
      <c r="BN296" s="11" t="s">
        <v>1457</v>
      </c>
      <c r="BO296" s="11" t="s">
        <v>1410</v>
      </c>
    </row>
    <row r="297" spans="2:67">
      <c r="B297" s="11">
        <v>286</v>
      </c>
      <c r="C297" s="11" t="s">
        <v>1374</v>
      </c>
      <c r="D297" s="11" t="s">
        <v>1375</v>
      </c>
      <c r="E297" s="11" t="s">
        <v>1376</v>
      </c>
      <c r="F297" s="11" t="s">
        <v>3237</v>
      </c>
      <c r="G297" s="11" t="s">
        <v>2382</v>
      </c>
      <c r="H297" s="11" t="s">
        <v>3238</v>
      </c>
      <c r="I297" s="11" t="s">
        <v>3239</v>
      </c>
      <c r="J297" s="11" t="s">
        <v>134</v>
      </c>
      <c r="K297" s="11" t="s">
        <v>1488</v>
      </c>
      <c r="L297" s="11" t="s">
        <v>94</v>
      </c>
      <c r="M297" s="11" t="s">
        <v>181</v>
      </c>
      <c r="N297" s="11" t="s">
        <v>181</v>
      </c>
      <c r="O297" s="11" t="s">
        <v>134</v>
      </c>
      <c r="P297" s="11"/>
      <c r="Q297" s="11"/>
      <c r="R297" s="11" t="s">
        <v>3240</v>
      </c>
      <c r="S297" s="11" t="s">
        <v>94</v>
      </c>
      <c r="T297" s="11" t="s">
        <v>3241</v>
      </c>
      <c r="U297" s="11" t="s">
        <v>1387</v>
      </c>
      <c r="V297" s="11" t="s">
        <v>3242</v>
      </c>
      <c r="W297" s="11" t="s">
        <v>1389</v>
      </c>
      <c r="X297" s="11" t="s">
        <v>1769</v>
      </c>
      <c r="Y297" s="11" t="s">
        <v>1470</v>
      </c>
      <c r="Z297" s="11" t="s">
        <v>1876</v>
      </c>
      <c r="AA297" s="11" t="s">
        <v>1829</v>
      </c>
      <c r="AB297" s="11" t="s">
        <v>1447</v>
      </c>
      <c r="AC297" s="11" t="s">
        <v>3240</v>
      </c>
      <c r="AD297" s="11">
        <v>5274013</v>
      </c>
      <c r="AE297" s="11" t="s">
        <v>94</v>
      </c>
      <c r="AF297" s="11" t="s">
        <v>3243</v>
      </c>
      <c r="AG297" s="11" t="s">
        <v>94</v>
      </c>
      <c r="AH297" s="11" t="s">
        <v>3244</v>
      </c>
      <c r="AI297" s="11" t="s">
        <v>2079</v>
      </c>
      <c r="AJ297" s="11" t="s">
        <v>2080</v>
      </c>
      <c r="AK297" s="11" t="s">
        <v>1396</v>
      </c>
      <c r="AL297" s="11" t="s">
        <v>134</v>
      </c>
      <c r="AM297" s="11">
        <v>1569.6</v>
      </c>
      <c r="AN297" s="11"/>
      <c r="AO297" s="11" t="s">
        <v>134</v>
      </c>
      <c r="AP297" s="11" t="s">
        <v>1397</v>
      </c>
      <c r="AQ297" s="11" t="s">
        <v>1398</v>
      </c>
      <c r="AR297" s="11" t="s">
        <v>2255</v>
      </c>
      <c r="AS297" s="11" t="s">
        <v>3245</v>
      </c>
      <c r="AT297" s="11" t="s">
        <v>3251</v>
      </c>
      <c r="AU297" s="11" t="s">
        <v>3247</v>
      </c>
      <c r="AV297" s="11"/>
      <c r="AW297" s="11" t="s">
        <v>3248</v>
      </c>
      <c r="AX297" s="11"/>
      <c r="AY297" s="11"/>
      <c r="AZ297" s="11"/>
      <c r="BA297" s="11"/>
      <c r="BB297" s="11">
        <v>74057181</v>
      </c>
      <c r="BC297" s="11" t="s">
        <v>1403</v>
      </c>
      <c r="BD297" s="11" t="s">
        <v>1432</v>
      </c>
      <c r="BE297" s="11" t="s">
        <v>2078</v>
      </c>
      <c r="BF297" s="11" t="s">
        <v>3249</v>
      </c>
      <c r="BG297" s="11" t="s">
        <v>1482</v>
      </c>
      <c r="BH297" s="11" t="s">
        <v>1520</v>
      </c>
      <c r="BI297" s="11" t="s">
        <v>1407</v>
      </c>
      <c r="BJ297" s="11" t="s">
        <v>134</v>
      </c>
      <c r="BK297" s="11"/>
      <c r="BL297" s="11" t="s">
        <v>1408</v>
      </c>
      <c r="BM297" s="11"/>
      <c r="BN297" s="11" t="s">
        <v>1457</v>
      </c>
      <c r="BO297" s="11" t="s">
        <v>1410</v>
      </c>
    </row>
    <row r="298" spans="2:67">
      <c r="B298" s="11">
        <v>287</v>
      </c>
      <c r="C298" s="11" t="s">
        <v>1374</v>
      </c>
      <c r="D298" s="11" t="s">
        <v>1375</v>
      </c>
      <c r="E298" s="11" t="s">
        <v>1376</v>
      </c>
      <c r="F298" s="11" t="s">
        <v>3237</v>
      </c>
      <c r="G298" s="11" t="s">
        <v>2382</v>
      </c>
      <c r="H298" s="11" t="s">
        <v>3238</v>
      </c>
      <c r="I298" s="11" t="s">
        <v>3239</v>
      </c>
      <c r="J298" s="11" t="s">
        <v>134</v>
      </c>
      <c r="K298" s="11" t="s">
        <v>1488</v>
      </c>
      <c r="L298" s="11" t="s">
        <v>94</v>
      </c>
      <c r="M298" s="11" t="s">
        <v>181</v>
      </c>
      <c r="N298" s="11" t="s">
        <v>181</v>
      </c>
      <c r="O298" s="11" t="s">
        <v>134</v>
      </c>
      <c r="P298" s="11"/>
      <c r="Q298" s="11"/>
      <c r="R298" s="11" t="s">
        <v>3240</v>
      </c>
      <c r="S298" s="11" t="s">
        <v>94</v>
      </c>
      <c r="T298" s="11" t="s">
        <v>3241</v>
      </c>
      <c r="U298" s="11" t="s">
        <v>1387</v>
      </c>
      <c r="V298" s="11" t="s">
        <v>3242</v>
      </c>
      <c r="W298" s="11" t="s">
        <v>1389</v>
      </c>
      <c r="X298" s="11" t="s">
        <v>1769</v>
      </c>
      <c r="Y298" s="11" t="s">
        <v>1470</v>
      </c>
      <c r="Z298" s="11" t="s">
        <v>1876</v>
      </c>
      <c r="AA298" s="11" t="s">
        <v>1829</v>
      </c>
      <c r="AB298" s="11" t="s">
        <v>1447</v>
      </c>
      <c r="AC298" s="11" t="s">
        <v>3240</v>
      </c>
      <c r="AD298" s="11">
        <v>5274013</v>
      </c>
      <c r="AE298" s="11" t="s">
        <v>94</v>
      </c>
      <c r="AF298" s="11" t="s">
        <v>3243</v>
      </c>
      <c r="AG298" s="11" t="s">
        <v>94</v>
      </c>
      <c r="AH298" s="11" t="s">
        <v>3244</v>
      </c>
      <c r="AI298" s="11" t="s">
        <v>2863</v>
      </c>
      <c r="AJ298" s="11" t="s">
        <v>2086</v>
      </c>
      <c r="AK298" s="11" t="s">
        <v>1396</v>
      </c>
      <c r="AL298" s="11" t="s">
        <v>134</v>
      </c>
      <c r="AM298" s="11">
        <v>10330.4</v>
      </c>
      <c r="AN298" s="11"/>
      <c r="AO298" s="11" t="s">
        <v>134</v>
      </c>
      <c r="AP298" s="11" t="s">
        <v>1397</v>
      </c>
      <c r="AQ298" s="11" t="s">
        <v>1398</v>
      </c>
      <c r="AR298" s="11" t="s">
        <v>2255</v>
      </c>
      <c r="AS298" s="11" t="s">
        <v>3245</v>
      </c>
      <c r="AT298" s="11" t="s">
        <v>3252</v>
      </c>
      <c r="AU298" s="11" t="s">
        <v>3247</v>
      </c>
      <c r="AV298" s="11"/>
      <c r="AW298" s="11" t="s">
        <v>3248</v>
      </c>
      <c r="AX298" s="11"/>
      <c r="AY298" s="11"/>
      <c r="AZ298" s="11"/>
      <c r="BA298" s="11"/>
      <c r="BB298" s="11">
        <v>74057181</v>
      </c>
      <c r="BC298" s="11" t="s">
        <v>1403</v>
      </c>
      <c r="BD298" s="11" t="s">
        <v>1432</v>
      </c>
      <c r="BE298" s="11" t="s">
        <v>2078</v>
      </c>
      <c r="BF298" s="11" t="s">
        <v>3249</v>
      </c>
      <c r="BG298" s="11" t="s">
        <v>1482</v>
      </c>
      <c r="BH298" s="11" t="s">
        <v>1520</v>
      </c>
      <c r="BI298" s="11" t="s">
        <v>1407</v>
      </c>
      <c r="BJ298" s="11" t="s">
        <v>134</v>
      </c>
      <c r="BK298" s="11"/>
      <c r="BL298" s="11" t="s">
        <v>1408</v>
      </c>
      <c r="BM298" s="11"/>
      <c r="BN298" s="11" t="s">
        <v>1457</v>
      </c>
      <c r="BO298" s="11" t="s">
        <v>1410</v>
      </c>
    </row>
  </sheetData>
  <autoFilter ref="A11:BO11" xr:uid="{53E8654E-8388-2B4B-9574-38D50D22C666}"/>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F65D-3556-744D-8DE3-1D1BEB8C549B}">
  <dimension ref="B2:O4"/>
  <sheetViews>
    <sheetView tabSelected="1" workbookViewId="0">
      <selection activeCell="M6" sqref="M6"/>
    </sheetView>
  </sheetViews>
  <sheetFormatPr baseColWidth="10" defaultRowHeight="15"/>
  <sheetData>
    <row r="2" spans="2:15" ht="16">
      <c r="B2" s="58" t="s">
        <v>1310</v>
      </c>
      <c r="C2" s="58" t="s">
        <v>3278</v>
      </c>
      <c r="D2" s="58" t="s">
        <v>1312</v>
      </c>
      <c r="E2" s="58" t="s">
        <v>3279</v>
      </c>
      <c r="F2" s="58" t="s">
        <v>3280</v>
      </c>
      <c r="G2" s="58" t="s">
        <v>3306</v>
      </c>
      <c r="H2" s="58" t="s">
        <v>3307</v>
      </c>
      <c r="I2" s="58" t="s">
        <v>3308</v>
      </c>
      <c r="J2" s="58" t="s">
        <v>3309</v>
      </c>
      <c r="K2" s="58" t="s">
        <v>3310</v>
      </c>
      <c r="L2" s="58" t="s">
        <v>3311</v>
      </c>
      <c r="M2" s="58" t="s">
        <v>3312</v>
      </c>
      <c r="N2" s="58" t="s">
        <v>3313</v>
      </c>
      <c r="O2" s="58" t="s">
        <v>3314</v>
      </c>
    </row>
    <row r="3" spans="2:15" ht="16">
      <c r="B3" s="59">
        <v>1</v>
      </c>
      <c r="C3" s="59">
        <v>202506</v>
      </c>
      <c r="D3" s="59" t="s">
        <v>3315</v>
      </c>
      <c r="E3" s="59">
        <v>238256</v>
      </c>
      <c r="F3" s="59" t="s">
        <v>94</v>
      </c>
      <c r="G3" s="59" t="s">
        <v>3316</v>
      </c>
      <c r="H3" s="60" t="s">
        <v>3317</v>
      </c>
      <c r="I3" s="61">
        <v>1100000</v>
      </c>
      <c r="J3" s="60" t="s">
        <v>3318</v>
      </c>
      <c r="K3" s="59">
        <v>2</v>
      </c>
      <c r="L3" s="60" t="s">
        <v>3319</v>
      </c>
      <c r="M3" s="59">
        <v>6</v>
      </c>
      <c r="N3" s="60" t="s">
        <v>3320</v>
      </c>
      <c r="O3" s="59" t="s">
        <v>3321</v>
      </c>
    </row>
    <row r="4" spans="2:15" ht="16">
      <c r="B4" s="59">
        <v>3</v>
      </c>
      <c r="C4" s="59">
        <v>202506</v>
      </c>
      <c r="D4" s="59" t="s">
        <v>3315</v>
      </c>
      <c r="E4" s="59">
        <v>341422</v>
      </c>
      <c r="F4" s="59" t="s">
        <v>1382</v>
      </c>
      <c r="G4" s="59" t="s">
        <v>3316</v>
      </c>
      <c r="H4" s="60" t="s">
        <v>3317</v>
      </c>
      <c r="I4" s="61">
        <v>1100000</v>
      </c>
      <c r="J4" s="60" t="s">
        <v>3318</v>
      </c>
      <c r="K4" s="59">
        <v>2</v>
      </c>
      <c r="L4" s="60" t="s">
        <v>3319</v>
      </c>
      <c r="M4" s="59">
        <v>6</v>
      </c>
      <c r="N4" s="60" t="s">
        <v>3320</v>
      </c>
      <c r="O4" s="59" t="s">
        <v>3321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汇总</vt:lpstr>
      <vt:lpstr>业绩汇总表</vt:lpstr>
      <vt:lpstr>数据表1</vt:lpstr>
      <vt:lpstr>退费（取自钉钉客服退费表单）</vt:lpstr>
      <vt:lpstr>顾问绩效</vt:lpstr>
      <vt:lpstr>91签约明细</vt:lpstr>
      <vt:lpstr>7月绩效目标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Serena</cp:lastModifiedBy>
  <dcterms:created xsi:type="dcterms:W3CDTF">2025-07-01T02:18:28Z</dcterms:created>
  <dcterms:modified xsi:type="dcterms:W3CDTF">2025-07-04T02:14:57Z</dcterms:modified>
</cp:coreProperties>
</file>