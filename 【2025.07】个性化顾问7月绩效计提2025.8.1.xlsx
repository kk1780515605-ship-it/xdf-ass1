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emf" ContentType="image/x-emf"/>
  <Default Extension="svg" ContentType="image/svg+xml"/>
  <Default Extension="tiff" ContentType="image/tiff"/>
  <Default Extension="tif" ContentType="image/tiff"/>
  <Default Extension="jpeg" ContentType="image/jpeg"/>
  <Default Extension="bmp" ContentType="application/x-bmp"/>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Default Extension="gif" ContentType="image/gif"/>
  <Default Extension="jpg" ContentType="image/jpeg"/>
  <Override PartName="/xl/pivotCache/pivotCacheDefinition2.xml" ContentType="application/vnd.openxmlformats-officedocument.spreadsheetml.pivotCacheDefinition+xml"/>
  <Override PartName="/xl/worksheets/sheet5.xml" ContentType="application/vnd.openxmlformats-officedocument.spreadsheetml.worksheet+xml"/>
  <Override PartName="/xl/drawings/drawing2.xml" ContentType="application/vnd.openxmlformats-officedocument.drawing+xml"/>
  <Override PartName="/docProps/app.xml" ContentType="application/vnd.openxmlformats-officedocument.extended-properties+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pivotCache/pivotCacheRecords2.xml" ContentType="application/vnd.openxmlformats-officedocument.spreadsheetml.pivotCacheRecords+xml"/>
  <Override PartName="/xl/drawings/drawing1.xml" ContentType="application/vnd.openxmlformats-officedocument.drawing+xml"/>
  <Override PartName="/xl/worksheets/sheet6.xml" ContentType="application/vnd.openxmlformats-officedocument.spreadsheetml.worksheet+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Tables/pivotTable2.xml" ContentType="application/vnd.openxmlformats-officedocument.spreadsheetml.pivotTable+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3"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bookViews>
    <workbookView xWindow="2680" yWindow="1500" windowWidth="28240" windowHeight="17440" xr2:uid="{752BAC88-3D22-6345-9E5D-6A586CA68B77}"/>
  </bookViews>
  <sheets>
    <sheet name="绩效汇总" sheetId="1" r:id="rId1"/>
    <sheet name="业绩汇总" sheetId="2" r:id="rId2"/>
    <sheet name="7月签约班级明细导出" sheetId="3" r:id="rId3"/>
    <sheet name="7月钉钉退费共享表明细" sheetId="4" r:id="rId4"/>
    <sheet name="7月绩效核算" sheetId="5" r:id="rId5"/>
    <sheet name="8月绩效目标" sheetId="6" r:id="rId6"/>
  </sheets>
  <definedNames>
    <definedName name="_xlnm._FilterDatabase" localSheetId="2">'7月签约班级明细导出'!$A$10:$BP$326</definedName>
    <definedName name="_xlnm._FilterDatabase" localSheetId="3">'7月钉钉退费共享表明细'!$A$1:$AY$60</definedName>
  </definedNames>
  <calcPr calcId="0"/>
  <pivotCaches>
    <pivotCache cacheId="2" r:id="rId7"/>
  </pivotCaches>
</workbook>
</file>

<file path=xl/sharedStrings.xml><?xml version="1.0" encoding="utf-8"?>
<sst xmlns="http://schemas.openxmlformats.org/spreadsheetml/2006/main">
  <si>
    <t>业绩奖金表（一人可多条，需写清类别）</t>
  </si>
  <si>
    <t>序号</t>
  </si>
  <si>
    <t>机构</t>
  </si>
  <si>
    <t>年月</t>
  </si>
  <si>
    <t>工号</t>
  </si>
  <si>
    <t>姓名</t>
  </si>
  <si>
    <t>部门</t>
  </si>
  <si>
    <t>薪资项目</t>
  </si>
  <si>
    <t>金额</t>
  </si>
  <si>
    <t>北京中心</t>
  </si>
  <si>
    <t>赵星火</t>
  </si>
  <si>
    <t>O2级学习顾问</t>
  </si>
  <si>
    <t>月度绩效</t>
  </si>
  <si>
    <t>顾问签约奖金</t>
  </si>
  <si>
    <t>谭悦</t>
  </si>
  <si>
    <t>O3级学习顾问</t>
  </si>
  <si>
    <t>新财年按照O3发放顾问底薪</t>
  </si>
  <si>
    <t>PK赛奖金</t>
  </si>
  <si>
    <t>前两周第一名</t>
  </si>
  <si>
    <t>李涛</t>
  </si>
  <si>
    <t>O1级学习顾问</t>
  </si>
  <si>
    <t>2025/7/8入职</t>
  </si>
  <si>
    <t>2025.07个性化顾问业绩</t>
  </si>
  <si>
    <t>顾问姓名</t>
  </si>
  <si>
    <t>月度目标</t>
  </si>
  <si>
    <t>地面业绩</t>
  </si>
  <si>
    <t>网课代售业绩</t>
  </si>
  <si>
    <t>业绩合计</t>
  </si>
  <si>
    <t>线下退费</t>
  </si>
  <si>
    <t>网课退费</t>
  </si>
  <si>
    <t>退费合计</t>
  </si>
  <si>
    <t>综合业绩</t>
  </si>
  <si>
    <t>完成率</t>
  </si>
  <si>
    <t>星火</t>
  </si>
  <si>
    <t>合计</t>
  </si>
  <si>
    <t>¥386,657.60 </t>
  </si>
  <si>
    <t>标签</t>
  </si>
  <si>
    <t>求和项:学费</t>
  </si>
  <si>
    <t>代售网课</t>
  </si>
  <si>
    <t>Grand Total</t>
  </si>
  <si>
    <t>学校</t>
  </si>
  <si>
    <t>资源姓名</t>
  </si>
  <si>
    <t>资源ID</t>
  </si>
  <si>
    <t>资源录入人</t>
  </si>
  <si>
    <t>资源录入时间</t>
  </si>
  <si>
    <t>资源描述</t>
  </si>
  <si>
    <t>市场活动</t>
  </si>
  <si>
    <t>资源年级</t>
  </si>
  <si>
    <t>分配顾问/TMK</t>
  </si>
  <si>
    <t>一级获取渠道</t>
  </si>
  <si>
    <t>二级获取渠道</t>
  </si>
  <si>
    <t>转介绍人</t>
  </si>
  <si>
    <t>TMK激活人</t>
  </si>
  <si>
    <t>TMK激活处理时间</t>
  </si>
  <si>
    <t>工单姓名</t>
  </si>
  <si>
    <t>跟进顾问</t>
  </si>
  <si>
    <t>工单ID</t>
  </si>
  <si>
    <t>工单类型</t>
  </si>
  <si>
    <t>工单录入时间</t>
  </si>
  <si>
    <t>工单等级</t>
  </si>
  <si>
    <t>咨询课程</t>
  </si>
  <si>
    <t>工单年级</t>
  </si>
  <si>
    <t>院系</t>
  </si>
  <si>
    <t>专业</t>
  </si>
  <si>
    <t>签约学生姓名</t>
  </si>
  <si>
    <t>签约单ID</t>
  </si>
  <si>
    <t>签约单录入人</t>
  </si>
  <si>
    <t>签约单录入时间</t>
  </si>
  <si>
    <t>签约单更新人</t>
  </si>
  <si>
    <t>签约单更新时间</t>
  </si>
  <si>
    <t>班号</t>
  </si>
  <si>
    <t>班级名称</t>
  </si>
  <si>
    <t>面询表类型</t>
  </si>
  <si>
    <t>订金</t>
  </si>
  <si>
    <t>学费</t>
  </si>
  <si>
    <t>续费类型</t>
  </si>
  <si>
    <t>推荐人</t>
  </si>
  <si>
    <t>类型</t>
  </si>
  <si>
    <t>是否交接</t>
  </si>
  <si>
    <t>操作人编号</t>
  </si>
  <si>
    <t>学员号</t>
  </si>
  <si>
    <t>听课证号</t>
  </si>
  <si>
    <t>报班日期</t>
  </si>
  <si>
    <t>学员状态</t>
  </si>
  <si>
    <t>回访记录</t>
  </si>
  <si>
    <t>新老生类型</t>
  </si>
  <si>
    <t>退费金额</t>
  </si>
  <si>
    <t>退费日期</t>
  </si>
  <si>
    <t>课程类型</t>
  </si>
  <si>
    <t>客户ID</t>
  </si>
  <si>
    <t>是否新东方在线签约</t>
  </si>
  <si>
    <t>考季</t>
  </si>
  <si>
    <t>报名产品</t>
  </si>
  <si>
    <t>报名科目</t>
  </si>
  <si>
    <t>意向报考专业</t>
  </si>
  <si>
    <t>学校班型/类型</t>
  </si>
  <si>
    <t>是否关联协议</t>
  </si>
  <si>
    <t>特殊备注</t>
  </si>
  <si>
    <t>产品品类</t>
  </si>
  <si>
    <t>业务类型</t>
  </si>
  <si>
    <t>签约列表在线学员ID</t>
  </si>
  <si>
    <t>大学生源类型</t>
  </si>
  <si>
    <t>资源来源</t>
  </si>
  <si>
    <t>北京大学部</t>
  </si>
  <si>
    <t>国内大学部</t>
  </si>
  <si>
    <t>杨显婷</t>
  </si>
  <si>
    <t>121602812</t>
  </si>
  <si>
    <t>许庆典</t>
  </si>
  <si>
    <t>2025-07-31 19:54:31</t>
  </si>
  <si>
    <t>续费原因：续费27考研；该学生为保护期内续费，原顾问：国内大学部-谭悦(tanyue9@xdf.cn)</t>
  </si>
  <si>
    <t>大二</t>
  </si>
  <si>
    <t>转介绍</t>
  </si>
  <si>
    <t>学管续费推荐</t>
  </si>
  <si>
    <t>许庆典xuqingdian@xdf.cn</t>
  </si>
  <si>
    <t>29440654</t>
  </si>
  <si>
    <t>续费工单</t>
  </si>
  <si>
    <t>2025-07-31 20:06</t>
  </si>
  <si>
    <t>A（六个月内有报课意向工单）</t>
  </si>
  <si>
    <t>考研专业课,考研无忧计划</t>
  </si>
  <si>
    <t>北京物资学院</t>
  </si>
  <si>
    <t>信息学院</t>
  </si>
  <si>
    <t>应用统计学</t>
  </si>
  <si>
    <t>WYM27002</t>
  </si>
  <si>
    <t>考研数学无忧计划（27考研/强化）</t>
  </si>
  <si>
    <t>国内考试</t>
  </si>
  <si>
    <t/>
  </si>
  <si>
    <t>同科续费</t>
  </si>
  <si>
    <t>续班</t>
  </si>
  <si>
    <t>已交接</t>
  </si>
  <si>
    <t>BJWY2101498uW2</t>
  </si>
  <si>
    <t>BJWY5113272165</t>
  </si>
  <si>
    <t>WYM270020036</t>
  </si>
  <si>
    <t>2025-07-31</t>
  </si>
  <si>
    <t xml:space="preserve">回访人：谭悦，回访时间：2025-07-31 20:06，回访内容：27考研  </t>
  </si>
  <si>
    <t>否</t>
  </si>
  <si>
    <t>27考季</t>
  </si>
  <si>
    <t>无忧计划-啄木鸟,考研专业课150</t>
  </si>
  <si>
    <t>英语,政治,数学,专业课150</t>
  </si>
  <si>
    <t>其他</t>
  </si>
  <si>
    <t>国内高校-双非</t>
  </si>
  <si>
    <t>是</t>
  </si>
  <si>
    <t>报名</t>
  </si>
  <si>
    <t>本地人本地大学(常规)</t>
  </si>
  <si>
    <t>WYP27005</t>
  </si>
  <si>
    <t>考研政治无忧计划（27考研/强化）</t>
  </si>
  <si>
    <t>WYP270050012</t>
  </si>
  <si>
    <t>WYP27006</t>
  </si>
  <si>
    <t>考研政治无忧计划（27考研/冲刺）</t>
  </si>
  <si>
    <t>WYP270060012</t>
  </si>
  <si>
    <t>WYE27026</t>
  </si>
  <si>
    <t>考研英语无忧计划（27考研/英二冲刺）</t>
  </si>
  <si>
    <t>WYE270260019</t>
  </si>
  <si>
    <t>WYE27004</t>
  </si>
  <si>
    <t>考研英语无忧计划（27考研/英二强化）</t>
  </si>
  <si>
    <t>WYE270040026</t>
  </si>
  <si>
    <t>WYM27010</t>
  </si>
  <si>
    <t>考研数学无忧计划（27考研/冲刺）</t>
  </si>
  <si>
    <t>WYM270100025</t>
  </si>
  <si>
    <t>WYE27006</t>
  </si>
  <si>
    <t>考研英语无忧计划（27考研/基础）</t>
  </si>
  <si>
    <t>WYE270060023</t>
  </si>
  <si>
    <t>WYP27004</t>
  </si>
  <si>
    <t>考研政治无忧计划（27考研/基础）</t>
  </si>
  <si>
    <t>WYP270040012</t>
  </si>
  <si>
    <t>WYM27001</t>
  </si>
  <si>
    <t>考研数学无忧计划（27考研/基础）</t>
  </si>
  <si>
    <t>WYM270010036</t>
  </si>
  <si>
    <t>LP17539617712673</t>
  </si>
  <si>
    <t>考研初试专业课一对一（27考研/无忧30小时）</t>
  </si>
  <si>
    <t>杨希恒</t>
  </si>
  <si>
    <t>121517724</t>
  </si>
  <si>
    <t>段同飞</t>
  </si>
  <si>
    <t>2025-07-30 22:05:58</t>
  </si>
  <si>
    <t>同学介绍的，转谭悦
</t>
  </si>
  <si>
    <t>大四</t>
  </si>
  <si>
    <t>顾问转介绍-老带新</t>
  </si>
  <si>
    <t>谭悦tanyue9@xdf.cn</t>
  </si>
  <si>
    <t>29435689</t>
  </si>
  <si>
    <t>正常工单</t>
  </si>
  <si>
    <t>2025-07-31 12:15</t>
  </si>
  <si>
    <t>考研无忧计划</t>
  </si>
  <si>
    <t>北京化工大学</t>
  </si>
  <si>
    <t>材料科学与工程学院</t>
  </si>
  <si>
    <t>高分子材料与工程精英班</t>
  </si>
  <si>
    <t>2025-07-31 19:51</t>
  </si>
  <si>
    <t>GWYM26001</t>
  </si>
  <si>
    <t>考研数学无忧计划考前突破班（26考研/专项突破）</t>
  </si>
  <si>
    <t>新签</t>
  </si>
  <si>
    <t>BJWY2409130365</t>
  </si>
  <si>
    <t>GWYM260010002</t>
  </si>
  <si>
    <t xml:space="preserve">回访人：谭悦，回访时间：2025-07-31 12:15，回访内容：26考研，英语政治刚开始备考，考虑上课学习  ；|回访人：谭悦，回访时间：2025-07-31 19:51，回访内容：签约 </t>
  </si>
  <si>
    <t>26考季</t>
  </si>
  <si>
    <t>无忧计划-蜂鸟</t>
  </si>
  <si>
    <t>英语,政治,数学</t>
  </si>
  <si>
    <t>国内高校-211</t>
  </si>
  <si>
    <t>外地人本地大学(常规)</t>
  </si>
  <si>
    <t>客服</t>
  </si>
  <si>
    <t>GWYP26001</t>
  </si>
  <si>
    <t>考研政治无忧计划考前突破班（26考研/刷题带背）</t>
  </si>
  <si>
    <t>GWYP260010005</t>
  </si>
  <si>
    <t>GWYE26001</t>
  </si>
  <si>
    <t>考研英语无忧计划考前突破班（26考研/英语一）</t>
  </si>
  <si>
    <t>GWYE260010003</t>
  </si>
  <si>
    <t>92994255</t>
  </si>
  <si>
    <t>2025-01-13 16:06:45</t>
  </si>
  <si>
    <t>赵星火老师死单激活资源；赵星火老师死单激活资源 外呼主题：FY24-国内9月死单回访（第四周）
赵星火老师死单激活资源(资源备注人:吴凯龙;资源备注时间:2025-01-13 16:07)</t>
  </si>
  <si>
    <t>大三</t>
  </si>
  <si>
    <t>线上运营-投放</t>
  </si>
  <si>
    <t>百度投放</t>
  </si>
  <si>
    <t>陈廷进</t>
  </si>
  <si>
    <t>高龙明</t>
  </si>
  <si>
    <t>29460345</t>
  </si>
  <si>
    <t>2025-07-31 18:11</t>
  </si>
  <si>
    <t>考研集训营</t>
  </si>
  <si>
    <t>大学已毕业</t>
  </si>
  <si>
    <t>吉林大学</t>
  </si>
  <si>
    <t>物理学院</t>
  </si>
  <si>
    <t>物理学</t>
  </si>
  <si>
    <t>2025-07-31 18:24</t>
  </si>
  <si>
    <t>2025-07-31 18:25</t>
  </si>
  <si>
    <t>分单</t>
  </si>
  <si>
    <t>无须交接</t>
  </si>
  <si>
    <t>BJWY4776417923</t>
  </si>
  <si>
    <t>回访人：高龙明，回访时间：2025-07-31 18:11，回访内容：转；|回访人：高龙明，回访时间：2025-07-31 18:11，回访内容：报；|回访人：高龙明，回访时间：2025-07-31 18:19，回访内容：高龙明进行了退单操作!(本条回访记录由系统自动记录)</t>
  </si>
  <si>
    <t>半年集训营</t>
  </si>
  <si>
    <t>英语</t>
  </si>
  <si>
    <t>国内高校-985</t>
  </si>
  <si>
    <t>外地人外地大学(常规)</t>
  </si>
  <si>
    <t>北京市5435</t>
  </si>
  <si>
    <t>120078696</t>
  </si>
  <si>
    <t>张亚男</t>
  </si>
  <si>
    <t>2025-07-21 16:45:27</t>
  </si>
  <si>
    <t>渠道录入来源：集团百度投放-易聊
意向城市：北京市
访客省/城市：北京市
qq: 
访客静态ID：01000000034718308740867391835435
接待分组ID：51266
搜索引擎：
搜索词：
关键词：
设备类型：pc
访客IP：117.133.62.42
对话详细内容：AI-KvNH7xJ0CD 2025-07-21 16:44:01
您好同学，欢迎访问新东方考研官网，【新东方考研】全新升级，课程灵活多样，【考研全年集训营】【考研半年集训营】【考研冲刺营】【线下走读班】【考研一对一】【在职考研】【四六级】火热报名中 ，现在报名更有高达3000元优惠！
AI-KvNH7xJ0CD 2025-07-21 16:44:03
您是想咨询【考研走读班】【考研集训营】【考研规划】还是【在职考研】呢？
01000000034718308740867391835435 2025-07-21 16:44:27
【在职考研】
AI-KvNH7xJ0CD 2025-07-21 16:44:31
您准备[在职读研] 还是[离职读研] ?**在职读研#  **离职读研#
01000000034718308740867391835435 2025-07-21 16:44:36
在职读研
AI-KvNH7xJ0CD 2025-07-21 16:44:40
具体是想报考什么学校和专业呢？
01000000034718308740867391835435 2025-07-21 16:44:53
人民大学 应用心理学
AI-KvNH7xJ0CD 2025-07-21 16:44:57
好的，了解。我们新东方在全国32个城市都有校区，您倾向在哪个城市上课，或者希望哪里的老师给您介绍下呢？
01000000034718308740867391835435 2025-07-21 16:45:07
北京
AI-KvNH7xJ0CD 2025-07-21 16:45:11
您可以留下您的姓名和电话，我这边可以立刻安排对应校区顾问老师给您回电！
01000000034718308740867391835435 2025-07-21 16:45:26
张惠晴 13716251966
来源页：https://click.xdf.cn/
备注：</t>
  </si>
  <si>
    <t>2026财年第2财月百度投放总部-百度投放</t>
  </si>
  <si>
    <t>总部-百度投放</t>
  </si>
  <si>
    <t>grace</t>
  </si>
  <si>
    <t>29254778</t>
  </si>
  <si>
    <t>2025-07-31 13:30</t>
  </si>
  <si>
    <t>线上考研产品</t>
  </si>
  <si>
    <t>在职</t>
  </si>
  <si>
    <t>中国人民大学</t>
  </si>
  <si>
    <t>社会与人口学院</t>
  </si>
  <si>
    <t>社会工作</t>
  </si>
  <si>
    <t>2025-07-31 14:11</t>
  </si>
  <si>
    <t>2025-07-31 14:12</t>
  </si>
  <si>
    <t>33782039713</t>
  </si>
  <si>
    <t>2026考研英语直通车  6期</t>
  </si>
  <si>
    <t>回访人：谭悦，回访时间：2025-07-24 21:34，回访内容：微信跟进中 考研学习  ；|回访人：谭悦，回访时间：2025-07-30 16:42，回访内容：不回复消息  ；|回访人：吴凯龙，回访时间：2025-07-31 13:30，回访内容：吴凯龙恢复工单, 系统自动生成回访记录!；|回访人：谭悦，回访时间：2025-07-31 14:11，回访内容：1</t>
  </si>
  <si>
    <t>长期班</t>
  </si>
  <si>
    <t>线上直通车</t>
  </si>
  <si>
    <t>未知</t>
  </si>
  <si>
    <t>121602784</t>
  </si>
  <si>
    <t>李雪68</t>
  </si>
  <si>
    <t>2025-07-31 19:33:50</t>
  </si>
  <si>
    <t>激活</t>
  </si>
  <si>
    <t>毛坯数据</t>
  </si>
  <si>
    <t>韩月鹏</t>
  </si>
  <si>
    <t>29460986</t>
  </si>
  <si>
    <t>2025-07-31 20:01</t>
  </si>
  <si>
    <t>北京工业大学</t>
  </si>
  <si>
    <t>北京-都柏林国际学院</t>
  </si>
  <si>
    <t>电子信息工程1</t>
  </si>
  <si>
    <t>2025-07-31 20:02</t>
  </si>
  <si>
    <t>01384944814</t>
  </si>
  <si>
    <t>2026考研直通车VIP【计算机】,2026考研英语直通车  6期,2026考研数学直通车 6期,2026考研政治直通车 6期</t>
  </si>
  <si>
    <t>回访人：赵星火，回访时间：2025-07-31 20:01，回访内容：签约</t>
  </si>
  <si>
    <t>长期班,长期班,长期班,长期班</t>
  </si>
  <si>
    <t>计算机</t>
  </si>
  <si>
    <t>121258774</t>
  </si>
  <si>
    <t>2025-07-30 12:45:19</t>
  </si>
  <si>
    <t>续费原因：学生决定考浙江大学，辛苦联系黄禹淇的妈妈收取一下升级费3000；该学生为保护期内续费，原顾问：国内大学部-谭悦(tanyue9@xdf.cn)</t>
  </si>
  <si>
    <t>黄禹淇</t>
  </si>
  <si>
    <t>29422728</t>
  </si>
  <si>
    <t>2025-07-30 18:55</t>
  </si>
  <si>
    <t>北京交通大学</t>
  </si>
  <si>
    <t>机械与电子控制工程学院</t>
  </si>
  <si>
    <t>机械工程</t>
  </si>
  <si>
    <t>2025-07-30 18:56</t>
  </si>
  <si>
    <t>WYE26003</t>
  </si>
  <si>
    <t>考研英语无忧计划（26考研/英一冲刺）</t>
  </si>
  <si>
    <t>BJWY24032w1g8X</t>
  </si>
  <si>
    <t>BJWY4049653605</t>
  </si>
  <si>
    <t>WYE260030072</t>
  </si>
  <si>
    <t>2025-07-30</t>
  </si>
  <si>
    <t>回访人：谭悦，回访时间：2025-07-30 18:55，回访内容：转班；|回访人：谭悦，回访时间：2025-07-30 18:55，回访内容：1</t>
  </si>
  <si>
    <t>无忧计划-啄木鸟</t>
  </si>
  <si>
    <t>转出</t>
  </si>
  <si>
    <t>WYE26002</t>
  </si>
  <si>
    <t>考研英语无忧计划（26考研/英一强化）</t>
  </si>
  <si>
    <t>WYE260020071</t>
  </si>
  <si>
    <t>90288454</t>
  </si>
  <si>
    <t>2024-12-09 20:46:29</t>
  </si>
  <si>
    <t>在校，考中国科学院大学 遥感方面的都行
IP：北京</t>
  </si>
  <si>
    <t>其他网络投放</t>
  </si>
  <si>
    <t>朱博政</t>
  </si>
  <si>
    <t>29421355</t>
  </si>
  <si>
    <t>2025-07-30 17:05</t>
  </si>
  <si>
    <t>中国传媒大学</t>
  </si>
  <si>
    <t>信息与通信工程学院</t>
  </si>
  <si>
    <t>通信工程</t>
  </si>
  <si>
    <t>2025-07-30 17:06</t>
  </si>
  <si>
    <t>2025-07-30 17:07</t>
  </si>
  <si>
    <t>WYE26026</t>
  </si>
  <si>
    <t>BJWY5552920417</t>
  </si>
  <si>
    <t>WYE260260066</t>
  </si>
  <si>
    <t>回访人：赵星火，回访时间：2025-07-30 17:05，回访内容：1；|回访人：赵星火，回访时间：2025-07-30 17:06，回访内容：1</t>
  </si>
  <si>
    <t>WYE26027</t>
  </si>
  <si>
    <t>WYE260270064</t>
  </si>
  <si>
    <t>马一鸣</t>
  </si>
  <si>
    <t>马一鸣mayiming16@xdf.cn</t>
  </si>
  <si>
    <t>29428581</t>
  </si>
  <si>
    <t>2025-07-30 13:38</t>
  </si>
  <si>
    <t>考研专业课</t>
  </si>
  <si>
    <t>2025-07-30 13:40</t>
  </si>
  <si>
    <t>2025-07-30 14:11</t>
  </si>
  <si>
    <t>LP1753854023771</t>
  </si>
  <si>
    <t>985院校升级费-无忧</t>
  </si>
  <si>
    <t>回访人：谭悦，回访时间：2025-07-30 13:38，回访内容：1</t>
  </si>
  <si>
    <t>考研专业课150</t>
  </si>
  <si>
    <t>专业课150</t>
  </si>
  <si>
    <t>同学</t>
  </si>
  <si>
    <t>120882682</t>
  </si>
  <si>
    <t>方勃文</t>
  </si>
  <si>
    <t>2025-07-26 13:43:34</t>
  </si>
  <si>
    <t>咨询英语一一对一【已在群内反馈】</t>
  </si>
  <si>
    <t>线上运营-私域中台</t>
  </si>
  <si>
    <t>社群、虚拟人</t>
  </si>
  <si>
    <t>Merih</t>
  </si>
  <si>
    <t>29342786</t>
  </si>
  <si>
    <t>2025-07-27 14:45</t>
  </si>
  <si>
    <t>河北大学</t>
  </si>
  <si>
    <t>管理学院</t>
  </si>
  <si>
    <t>图书馆学</t>
  </si>
  <si>
    <t>2025-07-30 12:47</t>
  </si>
  <si>
    <t>96565840801</t>
  </si>
  <si>
    <t>2026考研英语全程班 6班</t>
  </si>
  <si>
    <t>回访人：赵星火，回访时间：2025-07-27 14:45，回访内容：联系不上学生微信上问下给到课程介绍跟进中；|回访人：赵星火，回访时间：2025-07-28 14:49，回访内容：跟进学生情况这边继续维护学生跟进中。；|回访人：赵星火，回访时间：2025-07-30 12:47，回访内容：1</t>
  </si>
  <si>
    <t>线上全程班</t>
  </si>
  <si>
    <t>市场</t>
  </si>
  <si>
    <t>北京市6271</t>
  </si>
  <si>
    <t>120932120</t>
  </si>
  <si>
    <t>杨俊42(国内)</t>
  </si>
  <si>
    <t>2025-07-28 08:56:20</t>
  </si>
  <si>
    <t>渠道录入来源：新东方官网M站-客服
意向城市：北京访客省/城市：北京市
访客静态ID：01000000034659366398395471906271
接待分组ID：70455
搜索引擎：
搜索词：
关键词：
设备类型：phone
访客IP：221.217.26.141
对话详细内容：AI-Lbo0rDBXCyBY 2025-07-28 08:53:08
您好同学,欢迎访问北京新东方考研四六级中心.
考研线下课程26/27考季【考研全年集训营】【考研半年集训营】【考研全科线下走读班】【考研寒/暑假集训营】【考研一对一】【考研专业课】【四/六级课程】，热门课程火热报名中,咨询即可领取专享优惠。
**【考研全年集训营】=ff761f# **【考研半年集训营】=ff6b6b# **【考研全科线下走读班】=ffc158# **【考研寒/暑假集训营】=ffc158# **【考研一对一】=ff761f# **【考研专业课】=ff6caa# **【四/六级课程】=ff6caa# **【考研冲刺班】=60e27e#
AI-Lbo0rDBXCyBY 2025-07-28 08:53:11
您是想咨询【线下课程】【线上课程】【考研规划】还是【在职考研】呢？**【线下课程】#  **【线上课程】#**【考研规划】#**【在职考研】#
01000000034659366398395471906271 2025-07-28 08:53:19
【在职考研】
AI-Lbo0rDBXCyBY 2025-07-28 08:53:23
您准备【边工作边读研]】还是【脱产读研】 ?**边工作边读研#  **脱产读研#
01000000034659366398395471906271 2025-07-28 08:53:27
脱产读研
AI-Lbo0rDBXCyBY 2025-07-28 08:53:31
具体是想报考什么学校和专业呢？
01000000034659366398395471906271 2025-07-28 08:53:46
北京理工大学软件工程硕士
AI-Lbo0rDBXCyBY 2025-07-28 08:53:50
好的，我这边安排专业老师给您回电，详细沟通一下，请问您的电话是多少呢？
01000000034659366398395471906271 2025-07-28 08:54:18
18500224563
AI-Lbo0rDBXCyBY 2025-07-28 08:54:21
好的，确认一下你的号码是否正确呢~
来源页：https://bj.xdf.cn/
备注：</t>
  </si>
  <si>
    <t>2026财年第2财月易聊新东方官网M站</t>
  </si>
  <si>
    <t>徐树萌</t>
  </si>
  <si>
    <t>新东方官网</t>
  </si>
  <si>
    <t>新东方官网M站</t>
  </si>
  <si>
    <t>2025-07-28 09:32:37</t>
  </si>
  <si>
    <t>29345437</t>
  </si>
  <si>
    <t>2025-07-28 14:14</t>
  </si>
  <si>
    <t>北京工业大学耿丹学院</t>
  </si>
  <si>
    <t>工学院</t>
  </si>
  <si>
    <t>计算机科学与技术</t>
  </si>
  <si>
    <t>2025-07-29 10:09</t>
  </si>
  <si>
    <t>2025-07-29 10:11</t>
  </si>
  <si>
    <t>58407124528</t>
  </si>
  <si>
    <t>2026考研英语一无忧计划·16期,2026考研政治无忧计划·13期,2026考研数学无忧计划·7期</t>
  </si>
  <si>
    <t>2025-07-29</t>
  </si>
  <si>
    <t>回访人：赵星火，回访时间：2025-07-28 14:14，回访内容：基础薄弱这边想要考研，刚才开始准备，集训价格高，推荐线上小班课程继续维护中。</t>
  </si>
  <si>
    <t>长期班,长期班,长期班</t>
  </si>
  <si>
    <t>线上无忧计划</t>
  </si>
  <si>
    <t>易聊在线咨询</t>
  </si>
  <si>
    <t>29432626</t>
  </si>
  <si>
    <t>2025-07-30 18:41</t>
  </si>
  <si>
    <t>2025-07-30 18:43</t>
  </si>
  <si>
    <t>回访人：高龙明，回访时间：2025-07-30 18:41，回访内容：转；|回访人：高龙明，回访时间：2025-07-30 18:41，回访内容：报</t>
  </si>
  <si>
    <t>叶宸羽</t>
  </si>
  <si>
    <t>119043886</t>
  </si>
  <si>
    <t>北京国内管理员</t>
  </si>
  <si>
    <t>2025-07-14 17:09:37</t>
  </si>
  <si>
    <t>渠道录入来源：SCRM-客服推送
商机ID：5009267870
商机编码：XSJ20250714027807
针对人群：大学
学生学校：不详
咨询课程：英语一
创建人邮箱：wangguibing@xdf.cn
创建时间：2025-07-14 17:09:33
资源类型：单个资源
跟进记录：商机备注：学员妈妈咨询考研课程，天津理工大学，咨询线上课程，27年考研，辛苦老师沟通;接触点：呼入；
</t>
  </si>
  <si>
    <t>新东方PC官网</t>
  </si>
  <si>
    <t>29084490</t>
  </si>
  <si>
    <t>2025-07-14 18:32</t>
  </si>
  <si>
    <t>天津理工大学</t>
  </si>
  <si>
    <t>工商管理</t>
  </si>
  <si>
    <t>2025-07-26 13:57</t>
  </si>
  <si>
    <t>53555637604</t>
  </si>
  <si>
    <t>2027考研政治直通车 长线2期,2027考研数学直通车 长线2期,2027考研英语直通车  长线2期</t>
  </si>
  <si>
    <t>2025-07-26</t>
  </si>
  <si>
    <t>回访人：赵星火，回访时间：2025-07-17 19:43，回访内容：电话呼出联系不上，微信继续问一下情况；|回访人：赵星火，回访时间：2025-07-20 16:04，回访内容：表示还没确定确定了这边再说跟进中。；|回访人：赵星火，回访时间：2025-07-23 16:16，回访内容：对比海文和新东方跟进学生情况中继续维护学生；|回访人：赵星火，回访时间：2025-07-25 19:43，回访内容：表示明后天这边确定一下跟进中继续维护中。；|回访人：赵星火，回访时间：2025-07-26 13:57，回访内容：1</t>
  </si>
  <si>
    <t>SCRM-客服推送</t>
  </si>
  <si>
    <t>蔡哲</t>
  </si>
  <si>
    <t>118843591</t>
  </si>
  <si>
    <t>陈晶</t>
  </si>
  <si>
    <t>2025-07-13 12:08:52</t>
  </si>
  <si>
    <t>续费原因：续费一对一；该学生为保护期内续费，原顾问：国内大学部-谭悦(tanyue9@xdf.cn)</t>
  </si>
  <si>
    <t>陈晶chenjing171@xdf.cn</t>
  </si>
  <si>
    <t>29060027</t>
  </si>
  <si>
    <t>2025-07-13 19:11</t>
  </si>
  <si>
    <t>考研VIP</t>
  </si>
  <si>
    <t>北京邮电大学</t>
  </si>
  <si>
    <t>电子信息工程</t>
  </si>
  <si>
    <t>2025-07-24 18:36</t>
  </si>
  <si>
    <t>2025-07-24 19:10</t>
  </si>
  <si>
    <t>LP17533534131898</t>
  </si>
  <si>
    <t>考研一对一伴学班（26考季）</t>
  </si>
  <si>
    <t>BJWY0874092650</t>
  </si>
  <si>
    <t>2025-07-24</t>
  </si>
  <si>
    <t xml:space="preserve">回访人：谭悦，回访时间：2025-07-20 18:25，回访内容：跟进续费中 </t>
  </si>
  <si>
    <t>VIP - 伴学</t>
  </si>
  <si>
    <t>英语,政治</t>
  </si>
  <si>
    <t>115849673</t>
  </si>
  <si>
    <t>2025-06-23 15:33:28</t>
  </si>
  <si>
    <t>【考研】学生本人，北京农学院，大三，食品专业，想考中国农业大学，食品加工与安全专业，问士兵计划的分数，也要了解课程，线上还是线下课程没说，想先确定了解好学校分数，或者查北林，北农的分数加微信介绍；渠道录入来源：抖音新东方考研直播间
koouserID：110429453
城市：北京
产品分组：考研
线索来源：直播间小风车收资-大学生-线下面授
市场人员：
是否兼职：
备注信息：请选择当前所属阶段：:大三;请选择倾向的备考方式：:线下面授;请选择备考城市：:北京 外呼主题：2026财年第1财月抖音新东方考研直播间</t>
  </si>
  <si>
    <t>2026财年第1财月抖音新东方考研直播间</t>
  </si>
  <si>
    <t>线上运营-抖音</t>
  </si>
  <si>
    <t>抖音新东方考研直播间</t>
  </si>
  <si>
    <t>周靖程</t>
  </si>
  <si>
    <t>29252280</t>
  </si>
  <si>
    <t>2025-07-21 16:03</t>
  </si>
  <si>
    <t>考研专业课,考研集训营</t>
  </si>
  <si>
    <t>北京农学院</t>
  </si>
  <si>
    <t>食品科学与工程学院</t>
  </si>
  <si>
    <t>食品科学与工程</t>
  </si>
  <si>
    <t>2025-07-21 16:14</t>
  </si>
  <si>
    <t>2025-07-21 16:16</t>
  </si>
  <si>
    <t>LP17530856811511</t>
  </si>
  <si>
    <t>985院校升级费-集训</t>
  </si>
  <si>
    <t>BJWY0787829408</t>
  </si>
  <si>
    <t>2025-07-21</t>
  </si>
  <si>
    <t>回访人：谭悦，回访时间：2025-07-21 16:03，回访内容：1</t>
  </si>
  <si>
    <t>半年集训营,考研专业课300</t>
  </si>
  <si>
    <t>英语,政治,专业课300</t>
  </si>
  <si>
    <t>杨</t>
  </si>
  <si>
    <t>119920344</t>
  </si>
  <si>
    <t>北京客服部</t>
  </si>
  <si>
    <t>2025-07-20 09:16:56</t>
  </si>
  <si>
    <t>政治和英语</t>
  </si>
  <si>
    <t>2026财年第2财月代理商</t>
  </si>
  <si>
    <t>乔文娇</t>
  </si>
  <si>
    <t>线上运营-商务合作</t>
  </si>
  <si>
    <t>米化</t>
  </si>
  <si>
    <t>2025-07-20 10:55:29</t>
  </si>
  <si>
    <t>王喆</t>
  </si>
  <si>
    <t>29212534</t>
  </si>
  <si>
    <t>2025-07-20 15:00</t>
  </si>
  <si>
    <t>商学院</t>
  </si>
  <si>
    <t>财务管理</t>
  </si>
  <si>
    <t>2025-07-21 16:02</t>
  </si>
  <si>
    <t>69208835259</t>
  </si>
  <si>
    <t>2026考研英语一无忧计划·16期,2026考研政治无忧计划·12期</t>
  </si>
  <si>
    <t>回访人：谭悦，回访时间：2025-07-20 15:00，回访内容：打电话非常强势，问英语政治，加微信叫温柔 ；|回访人：谭悦，回访时间：2025-07-21 16:02，回访内容：1</t>
  </si>
  <si>
    <t>长期班,长期班</t>
  </si>
  <si>
    <t>线下代理商</t>
  </si>
  <si>
    <t>赵家长</t>
  </si>
  <si>
    <t>119930462</t>
  </si>
  <si>
    <t>2025-07-20 15:11:56</t>
  </si>
  <si>
    <t>赵家长  13601221052    首都经贸大学     马上大三    考研辅导    会计专硕     无意向机构</t>
  </si>
  <si>
    <t>坦途网</t>
  </si>
  <si>
    <t>2025-07-20 15:26:41</t>
  </si>
  <si>
    <t>赵嘉华</t>
  </si>
  <si>
    <t>29212948</t>
  </si>
  <si>
    <t>2025-07-20 15:31</t>
  </si>
  <si>
    <t>首都经济贸易大学</t>
  </si>
  <si>
    <t>会计学院</t>
  </si>
  <si>
    <t>会计学1</t>
  </si>
  <si>
    <t>2025-07-20 18:20</t>
  </si>
  <si>
    <t>2025-07-20 18:21</t>
  </si>
  <si>
    <t>45051853639</t>
  </si>
  <si>
    <t>2026考研管综全科在校全程班（3期）</t>
  </si>
  <si>
    <t>2025-07-20</t>
  </si>
  <si>
    <t>回访人：谭悦，回访时间：2025-07-20 15:31，回访内容：马上过来面谈 ；|回访人：谭悦，回访时间：2025-07-20 18:20，回访内容：签约</t>
  </si>
  <si>
    <t>英语,管综</t>
  </si>
  <si>
    <t>赵泽阳</t>
  </si>
  <si>
    <t>119012024</t>
  </si>
  <si>
    <t>2025-07-14 17:08:22</t>
  </si>
  <si>
    <t>渠道录入来源：SCRM-客服推送
商机ID：5009282307
商机编码：XSJ20250714027730
针对人群：大学
学员号：BJ1221164274
学生学校：不详
咨询课程：不区分
创建人邮箱：liuxinyi91@xdf.cn
创建时间：2025-07-14 17:08:16
资源类型：单个资源
跟进记录：商机备注：孩子妈妈来电，孩子开学大三，想了解线上的考研公共课和专业课，四级过了，六级还没出分，辛苦顾问老师联系手机号2介绍，手机号2是学员自己的电话;接触点：呼入；
</t>
  </si>
  <si>
    <t>29084286</t>
  </si>
  <si>
    <t>2025-07-18 13:55</t>
  </si>
  <si>
    <t>信息工程</t>
  </si>
  <si>
    <t>2025-07-18 13:57</t>
  </si>
  <si>
    <t>17320768233</t>
  </si>
  <si>
    <t>2027考研政治直通车 长线2期,2027考研英语直通车  长线2期</t>
  </si>
  <si>
    <t>2025-07-18</t>
  </si>
  <si>
    <t>回访人：谭悦，回访时间：2025-07-14 18:14，回访内容：人工智能，电子信息，27考研，学生想上网课  ；|回访人：谭悦，回访时间：2025-07-15 16:50，回访内容：考虑网课学习   ；|回访人：赵星火，回访时间：2025-07-18 13:57，回访内容：1</t>
  </si>
  <si>
    <t>29280070</t>
  </si>
  <si>
    <t>2025-07-23 14:21</t>
  </si>
  <si>
    <t>WYE26029</t>
  </si>
  <si>
    <t>考研英语无忧计划（26考研/英二冲刺）</t>
  </si>
  <si>
    <t>WYE260290065</t>
  </si>
  <si>
    <t>2025-07-16</t>
  </si>
  <si>
    <t>回访人：赵星火，回访时间：2025-07-23 14:21，回访内容：1；|回访人：赵星火，回访时间：2025-07-23 14:21，回访内容：1</t>
  </si>
  <si>
    <t>WYE26028</t>
  </si>
  <si>
    <t>考研英语无忧计划（26考研/英二强化）</t>
  </si>
  <si>
    <t>WYE260280066</t>
  </si>
  <si>
    <t>2025-07-17</t>
  </si>
  <si>
    <t>115551597</t>
  </si>
  <si>
    <t>2025-06-22 11:33:30</t>
  </si>
  <si>
    <t>渠道录入来源：总部-巨量广告
意向城市：北京市
访客省/城市：北京市
qq: 
访客静态ID：01000003781500056303567923947307
接待分组ID：78500
搜索引擎：
搜索词：
关键词：
设备类型：phone
访客IP：111.196.228.49
对话详细内容：AI-37815-01a 2025-06-22 11:30:37
AI-37815-01a 2025-06-22 11:30:39
您好同学，欢迎访问新东方考研官网，【新东方考研】全新升级，课程灵活多样，【考研全年集训营】【考研半年集训营】【考研冲刺营】【线下走读班】【考研一对一】【在职考研】【四六级】火热报名中 ，现在报名更有高达3000元优惠！
AI-37815-01a 2025-06-22 11:30:41
您是想咨询【考研走读班】【考研集训营】【考研规划】还是【在职考研】呢？
01000003781500056303567923947307 2025-06-22 11:31:10
老师，你好，专业课有培训吗？
AI-37815-01a 2025-06-22 11:31:14
同学，你现在是在校还是在职呢？
01000003781500056303567923947307 2025-06-22 11:31:30
在校
AI-37815-01a 2025-06-22 11:31:34
具体是想报考什么学校和专业呢？
01000003781500056303567923947307 2025-06-22 11:31:56
北理，人工智能
AI-37815-01a 2025-06-22 11:31:59
好的，了解。我们新东方在全国32个城市都有校区，您倾向在哪个城市上课，或者希望哪里的老师给您介绍下呢？
01000003781500056303567923947307 2025-06-22 11:32:09
北京
AI-37815-01a 2025-06-22 11:32:13
您可以留下您的姓名和电话，我这边可以立刻安排对应校区顾问老师给您回电！
01000003781500056303567923947307 2025-06-22 11:32:29
13661283905
AI-37815-01a 2025-06-22 11:32:33
好的，确认一下你的号码是否正确呢~
01000003781500056303567923947307 2025-06-22 11:32:45
周女士
AI-37815-01a 2025-06-22 11:32:49
这个手机号是您的微信吗？如果不是您可以留一下您的微信号
01000003781500056303567923947307 2025-06-22 11:32:58
都是
AI-37815-01a 2025-06-22 11:33:01
同学怎么称呼呢？
01000003781500056303567923947307 2025-06-22 11:33:02
一个号
AI-37815-01a 2025-06-22 11:33:06
这边马上安排顾问老师联系您，预计半个小时左右给您回电请注意接听~
01000003781500056303567923947307 2025-06-22 11:33:14
周小英
AI-37815-01a 2025-06-22 11:33:17
稍后老师会联系哈
来源页：https://c-37815.p.easyliao.com/
备注：</t>
  </si>
  <si>
    <t>2026财年第1财月总部巨量投放-易聊</t>
  </si>
  <si>
    <t>总部-巨量广告</t>
  </si>
  <si>
    <t>刘泽宇</t>
  </si>
  <si>
    <t>29115599</t>
  </si>
  <si>
    <t>2025-07-16 13:22</t>
  </si>
  <si>
    <t>计算机与信息技术学院</t>
  </si>
  <si>
    <t>人工智能</t>
  </si>
  <si>
    <t>2025-07-16 13:25</t>
  </si>
  <si>
    <t>2025-07-16 13:27</t>
  </si>
  <si>
    <t>46130652007</t>
  </si>
  <si>
    <t>2026考研直通车VIP【计算机】</t>
  </si>
  <si>
    <t>回访人：谭悦，回访时间：2025-07-16 13:22，回访内容：1；|回访人：谭悦，回访时间：2025-07-16 13:25，回访内容：1</t>
  </si>
  <si>
    <t>可爱的小翠翠</t>
  </si>
  <si>
    <t>119210700</t>
  </si>
  <si>
    <t>杨钰杰</t>
  </si>
  <si>
    <t>2025-07-15 16:20:36</t>
  </si>
  <si>
    <t>直访</t>
  </si>
  <si>
    <t>2025-07-15 16:32:09</t>
  </si>
  <si>
    <t>刘欢</t>
  </si>
  <si>
    <t>29129653</t>
  </si>
  <si>
    <t>2025-07-16 21:17</t>
  </si>
  <si>
    <t>城市建设学部</t>
  </si>
  <si>
    <t>建筑学</t>
  </si>
  <si>
    <t>2025-07-16 21:21</t>
  </si>
  <si>
    <t>2025-07-16 21:22</t>
  </si>
  <si>
    <t>回访人：谭悦，回访时间：2025-07-16 14:28，回访内容：朋友推荐的直通车，觉得不划算，想要暑假自学，秋季报线下课  ；|回访人：谭悦，回访时间：2025-07-16 21:13，回访内容：1；|回访人：谭悦，回访时间：2025-07-16 21:14，回访内容：谭悦进行了退单操作!(本条回访记录由系统自动记录)；|回访人：刘欢，回访时间：2025-07-16 21:21，回访内容：1</t>
  </si>
  <si>
    <t>向日葵5</t>
  </si>
  <si>
    <t>116967534</t>
  </si>
  <si>
    <t>王静静</t>
  </si>
  <si>
    <t>2025-07-01 14:41:06</t>
  </si>
  <si>
    <t>26考研想要了解学前教育专业，线上网课【已在群内反馈】（TMK主管分配TMK）</t>
  </si>
  <si>
    <t>2025-07-16 16:24:30</t>
  </si>
  <si>
    <t>张键溪</t>
  </si>
  <si>
    <t>29132252</t>
  </si>
  <si>
    <t>2025-07-16 16:26</t>
  </si>
  <si>
    <t>首都师范大学</t>
  </si>
  <si>
    <t>学前教育学院</t>
  </si>
  <si>
    <t>学前教育</t>
  </si>
  <si>
    <t>2025-07-16 16:27</t>
  </si>
  <si>
    <t>01501936809</t>
  </si>
  <si>
    <t>2026考研英语直通车  6期,2026考研政治直通车 6期,2026考研教育硕士（333）直通车VIP 暑期班</t>
  </si>
  <si>
    <t>回访人：谭悦，回访时间：2025-07-16 16:26，回访内容：1；|回访人：谭悦，回访时间：2025-07-16 16:27，回访内容：1</t>
  </si>
  <si>
    <t>英语,政治,教育硕士</t>
  </si>
  <si>
    <t>国内高校-双一流(非985/211)</t>
  </si>
  <si>
    <t>118847129</t>
  </si>
  <si>
    <t>2025-07-13 15:38:24</t>
  </si>
  <si>
    <t>魏公村直访</t>
  </si>
  <si>
    <t>李宇</t>
  </si>
  <si>
    <t>29086171</t>
  </si>
  <si>
    <t>2025-07-15 10:14</t>
  </si>
  <si>
    <t>广州商学院</t>
  </si>
  <si>
    <t>2025-07-15 11:57</t>
  </si>
  <si>
    <t>2025-07-15 11:58</t>
  </si>
  <si>
    <t>LP1752549599710</t>
  </si>
  <si>
    <t>考研初试专业课一对一（26考研/集训50小时）</t>
  </si>
  <si>
    <t>BJWY2831358062</t>
  </si>
  <si>
    <t>2025-07-15</t>
  </si>
  <si>
    <t>回访人：谭悦，回访时间：2025-07-15 10:14，回访内容：1；|回访人：谭悦，回访时间：2025-07-15 11:57，回访内容：1</t>
  </si>
  <si>
    <t>考研专业课300</t>
  </si>
  <si>
    <t>张奕鸽</t>
  </si>
  <si>
    <t>118842170</t>
  </si>
  <si>
    <t>2025-07-13 11:21:25</t>
  </si>
  <si>
    <t>司明霞+simingxia@xdf.cn+ID+ 产业机构-前途出国-前途北京公司-行政总经办
</t>
  </si>
  <si>
    <t>内部员工推荐</t>
  </si>
  <si>
    <t>司明霞+simingxia@xdf.cn+ID+ 产业机构-前途出国-前途北京公司-行政总经办</t>
  </si>
  <si>
    <t>29069950</t>
  </si>
  <si>
    <t>2025-07-13 11:51</t>
  </si>
  <si>
    <t>菏泽学院</t>
  </si>
  <si>
    <t>人文与新闻传播学院</t>
  </si>
  <si>
    <t>汉语言文学（师范类）</t>
  </si>
  <si>
    <t>2025-07-14 16:00</t>
  </si>
  <si>
    <t>2025-07-14 16:30</t>
  </si>
  <si>
    <t>60003912989</t>
  </si>
  <si>
    <t>2027考研教育硕士（333）直通车VIP,2027考研政治无忧计划·3期,2027考研英语二无忧计划·2期</t>
  </si>
  <si>
    <t>2025-07-14</t>
  </si>
  <si>
    <t xml:space="preserve">回访人：谭悦，回访时间：2025-07-13 11:51，回访内容：微信跟进中   准备报在线课，沟通优惠方案  ；|回访人：谭悦，回访时间：2025-07-14 11:00，回访内容：微信跟进中，考研学习  准备报名在线班  </t>
  </si>
  <si>
    <t>线上直通车,线上无忧计划</t>
  </si>
  <si>
    <t>65047887659</t>
  </si>
  <si>
    <t>2027考研专业课定制一对一（30h）-A班</t>
  </si>
  <si>
    <t>北京dbbb</t>
  </si>
  <si>
    <t>114553861</t>
  </si>
  <si>
    <t>2025-06-16 11:36:00</t>
  </si>
  <si>
    <t>渠道录入来源：集团百度投放-易聊
意向城市：北京
访客省/城市：北京
qq: 
访客静态ID：1577afd511d3f43a4a0b5ebe233cdbbb
接待分组ID：10101749
搜索引擎：www.baidu.com
搜索词：北京考研比较厉害的培训机构
关键词：考研
设备类型：phone
访客IP：1.203.67.98
对话详细内容：AI-KvNH7xJ0CDBY 2025-06-16 11:33:53
您好同学，欢迎访问新东方考研官网，【新东方考研】全新升级，课程灵活多样，【考研全年集训营】【考研半年集训营】【考研冲刺营】【线下走读班】【考研一对一】【在职考研】【四六级】火热报名中 ，现在报名更有高达3000元优惠！
AI-KvNH7xJ0CDBY 2025-06-16 11:33:54
您是想咨询【考研走读班】【考研集训营】【考研规划】还是【在职考研】呢？
1577afd511d3f43a4a0b5ebe233cdbbb 2025-06-16 11:34:39
都想咨询
AI-KvNH7xJ0CDBY 2025-06-16 11:34:42
同学，你现在是在校还是在职呢？
1577afd511d3f43a4a0b5ebe233cdbbb 2025-06-16 11:34:45
百度系统消息-行为轨迹:该访客在咨询页点击了内容为"在校"的按钮
1577afd511d3f43a4a0b5ebe233cdbbb 2025-06-16 11:34:45
在校
AI-KvNH7xJ0CDBY 2025-06-16 11:34:49
具体是想报考什么学校和专业呢？
1577afd511d3f43a4a0b5ebe233cdbbb 2025-06-16 11:35:05
北京邮电大学 人工智能
AI-KvNH7xJ0CDBY 2025-06-16 11:35:09
好的，了解。我们新东方在全国32个城市都有校区，您倾向在哪个城市上课，或者希望哪里的老师给您介绍下呢？
1577afd511d3f43a4a0b5ebe233cdbbb 2025-06-16 11:35:16
北京
AI-KvNH7xJ0CDBY 2025-06-16 11:35:20
您可以留下您的姓名和电话，我这边可以立刻安排对应校区顾问老师给您回电！
AI-KvNH7xJ0CDBY 2025-06-16 11:35:57
您好，能看到我的对话吗？如有疑问，可以在此留电咨询！
1577afd511d3f43a4a0b5ebe233cdbbb 2025-06-16 11:35:58
13901399177
1577afd511d3f43a4a0b5ebe233cdbbb 2025-06-16 11:35:58
百度系统消息-行为轨迹:【百度】用户已留联，通过聆音回访获得实时无效返款：https://aisite.wejianzhan.com/site/wjz2tdly/5f6d3d18-a30c-41e9-9d39-6be046109511?reqCode=LYST-TE38BR7G1871RT2IQTUCS94K8
来源页：http://www.baidu.com/bcp
备注：</t>
  </si>
  <si>
    <t>2026财年第1财月百度投放总部-百度投放</t>
  </si>
  <si>
    <t>费皓卿</t>
  </si>
  <si>
    <t>28381447</t>
  </si>
  <si>
    <t>2025-07-10 11:00</t>
  </si>
  <si>
    <t>电子工程学院</t>
  </si>
  <si>
    <t>电子信息科学与技术</t>
  </si>
  <si>
    <t>2025-07-10 11:02</t>
  </si>
  <si>
    <t>91203708310</t>
  </si>
  <si>
    <t>2026考研政治全程班 6班,2026考研英语全程班 6班,2026考研数学全程班 6班,2026考研政英数管综全程班重读权益（标准版）</t>
  </si>
  <si>
    <t>2025-07-09</t>
  </si>
  <si>
    <t xml:space="preserve">回访人：谭悦，回访时间：2025-07-04 21:56，回访内容：不回消息  ；|回访人：杨沫，回访时间：2025-07-10 11:00，回访内容：杨沫恢复工单, 系统自动生成回访记录!；|回访人：谭悦，回访时间：2025-07-10 11:02，回访内容：1报网课 </t>
  </si>
  <si>
    <t>长期班,长期班,长期班,重读保障</t>
  </si>
  <si>
    <t>考研</t>
  </si>
  <si>
    <t>117808650</t>
  </si>
  <si>
    <t>杨欢欢</t>
  </si>
  <si>
    <t>2025-07-06 14:13:57</t>
  </si>
  <si>
    <t>学生想来校区面询考研辅导，</t>
  </si>
  <si>
    <t>电话</t>
  </si>
  <si>
    <t>大客服呼入</t>
  </si>
  <si>
    <t>2025-07-06 14:20:16</t>
  </si>
  <si>
    <t>28892060</t>
  </si>
  <si>
    <t>2025-07-06 16:45</t>
  </si>
  <si>
    <t>生命科学与技术学院</t>
  </si>
  <si>
    <t>生物工程</t>
  </si>
  <si>
    <t>2025-07-07 14:44</t>
  </si>
  <si>
    <t>2025-07-07 14:46</t>
  </si>
  <si>
    <t>42332373685</t>
  </si>
  <si>
    <t>2025-07-07</t>
  </si>
  <si>
    <t>回访人：赵星火，回访时间：2025-07-06 16:45，回访内容：下载内蒙，现在是中外核办，后期很多学生想要出国，但自己计划考研，关注就业比较好的，以考研为主就行，倾向于本校推荐冲刺高一点的学校院校专业建议在下学校导师课程推荐直通车，专业课暂时不考虑7月19号</t>
  </si>
  <si>
    <t>小菠萝</t>
  </si>
  <si>
    <t>107420758</t>
  </si>
  <si>
    <t>2025-06-02 09:00:49</t>
  </si>
  <si>
    <t>加微信，北京文科想考研，咨询初步考虑心理学、教育学、管理学、马理论、法学几个方向
18235447322加微信（TMK主管分配TMK）</t>
  </si>
  <si>
    <t>线上运营-小红书</t>
  </si>
  <si>
    <t>小红书</t>
  </si>
  <si>
    <t>2025-06-10 19:28:10</t>
  </si>
  <si>
    <t>28260575</t>
  </si>
  <si>
    <t>2025-06-10 19:54</t>
  </si>
  <si>
    <t>山西农业大学</t>
  </si>
  <si>
    <t>农学院</t>
  </si>
  <si>
    <t>农学</t>
  </si>
  <si>
    <t>2025-07-07 10:10</t>
  </si>
  <si>
    <t>2025-07-07 10:25</t>
  </si>
  <si>
    <t>91694064302</t>
  </si>
  <si>
    <t>2026考研管综全科在职畅学班（4期）</t>
  </si>
  <si>
    <t>管综</t>
  </si>
  <si>
    <t>董佳易</t>
  </si>
  <si>
    <t>117385583</t>
  </si>
  <si>
    <t>吴凯龙</t>
  </si>
  <si>
    <t>2025-07-03 12:49:56</t>
  </si>
  <si>
    <t>谭悦9的内部员工推荐工单</t>
  </si>
  <si>
    <t>杨莹莹+yangyingying18@xdf.cn+ID+北京学校-运营管理部-东南区-刘家窑角门分中心</t>
  </si>
  <si>
    <t>28785861</t>
  </si>
  <si>
    <t>2025-07-03 13:10</t>
  </si>
  <si>
    <t>中国政法大学</t>
  </si>
  <si>
    <t>法学院</t>
  </si>
  <si>
    <t>法学（法学人才培养模式改革实验班）</t>
  </si>
  <si>
    <t>2025-07-03 13:11</t>
  </si>
  <si>
    <t>2025-07-03 13:12</t>
  </si>
  <si>
    <t>90261548033</t>
  </si>
  <si>
    <t>2026考研英语直通车  6期,2026考研政治直通车 6期</t>
  </si>
  <si>
    <t>2025-07-03</t>
  </si>
  <si>
    <t>回访人：谭悦，回访时间：2025-07-03 13:10，回访内容：签约 ；|回访人：谭悦，回访时间：2025-07-03 13:11，回访内容：1</t>
  </si>
  <si>
    <t>魏亚桐</t>
  </si>
  <si>
    <t>116713488</t>
  </si>
  <si>
    <t>程远</t>
  </si>
  <si>
    <t>2025-06-30 11:16:41</t>
  </si>
  <si>
    <t>李文萱+liwenxuan3@xdf.cn+国际教育培训事业部-国际教育北京中心-运营管理部-运营中心-魏公村分中心，徐健坤；</t>
  </si>
  <si>
    <t>徐健坤</t>
  </si>
  <si>
    <t>李文萱+liwenxuan3@xdf.cn+国际教育培训事业部-国际教育北京中心-运营管理部-运营中心-魏公村分中心</t>
  </si>
  <si>
    <t>陈晨</t>
  </si>
  <si>
    <t>28731103</t>
  </si>
  <si>
    <t>2025-06-30 23:20</t>
  </si>
  <si>
    <t>四级</t>
  </si>
  <si>
    <t>淮北师范大学</t>
  </si>
  <si>
    <t>数学科学学院</t>
  </si>
  <si>
    <t>数学与应用数学（师范）</t>
  </si>
  <si>
    <t>2025-07-02 22:46</t>
  </si>
  <si>
    <t>2025-07-06 10:13</t>
  </si>
  <si>
    <t>BJWY2672207145</t>
  </si>
  <si>
    <t>回访人：徐健坤，回访时间：2025-06-30 23:20，回访内容：基础不好 自制性一般 家长想让孩子稳妥的通过四级 明后天决定；|回访人：徐健坤，回访时间：2025-07-02 22:46，回访内容：签约</t>
  </si>
  <si>
    <t>25下考季</t>
  </si>
  <si>
    <t>四级无忧计划</t>
  </si>
  <si>
    <t>100771442</t>
  </si>
  <si>
    <t>2025-04-26 17:13:31</t>
  </si>
  <si>
    <t>续费原因：加一对一，5月中旬之前确定所需课时。辛苦转谭悦老师；该学生为保护期内续费，原顾问：国内大学部-谭悦(tanyue9@xdf.cn)</t>
  </si>
  <si>
    <t>28853577</t>
  </si>
  <si>
    <t>2025-07-03 23:12</t>
  </si>
  <si>
    <t>2025-07-03 23:13</t>
  </si>
  <si>
    <t>WYE26004</t>
  </si>
  <si>
    <t>BJWY2306SVFgG7</t>
  </si>
  <si>
    <t>WYE260040069</t>
  </si>
  <si>
    <t>2025-07-02</t>
  </si>
  <si>
    <t>回访人：谭悦，回访时间：2025-07-03 23:12，回访内容：1；|回访人：谭悦，回访时间：2025-07-03 23:13，回访内容：1</t>
  </si>
  <si>
    <t>WYE26005</t>
  </si>
  <si>
    <t>WYE260050071</t>
  </si>
  <si>
    <t>98945287</t>
  </si>
  <si>
    <t>2025-04-07 10:03:48</t>
  </si>
  <si>
    <t>续费原因：离职学管彭航的学生，已上6h,更换西北师范大学，需要缴纳500匹配费；该学生为保护期内续费，原顾问：国内大学部-赵星火(zhaoxinghuo@xdf.cn)</t>
  </si>
  <si>
    <t>王舒桐</t>
  </si>
  <si>
    <t>28806820</t>
  </si>
  <si>
    <t>2025-07-05 10:54</t>
  </si>
  <si>
    <t>烟台理工学院</t>
  </si>
  <si>
    <t>信息工程学院</t>
  </si>
  <si>
    <t>2025-07-05 10:55</t>
  </si>
  <si>
    <t>KYJZ25004</t>
  </si>
  <si>
    <t>26考研政治全程集训营（寒暑）</t>
  </si>
  <si>
    <t>BJWY2011wXCx1W</t>
  </si>
  <si>
    <t>BJWY1749565978</t>
  </si>
  <si>
    <t>KYJZ250040053</t>
  </si>
  <si>
    <t>2025-07-01</t>
  </si>
  <si>
    <t>回访人：赵星火，回访时间：2025-07-05 10:54，回访内容：1；|回访人：赵星火，回访时间：2025-07-05 10:55，回访内容：1</t>
  </si>
  <si>
    <t>KYJY25004</t>
  </si>
  <si>
    <t>26考研英语全程集训营（寒暑）</t>
  </si>
  <si>
    <t>KYJY250040053</t>
  </si>
  <si>
    <t>90730818</t>
  </si>
  <si>
    <t>2024-12-16 08:29:31</t>
  </si>
  <si>
    <t>渠道录入来源：SCRM-客服推送
商机ID：5007627536
商机编码：XSJ20241216000122
针对人群：大学
学生学校：不详
咨询课程：英语一
创建人邮箱：zhengxiaoyue@xdf.cn
创建时间：2024-12-16 08:29:26
资源类型：单个资源
跟进记录：商机备注：【呼入组+62605555】学生妈妈帮孩子咨询考研课程，英语底子不好，想了解寒假集训班，走读和住宿都行，大三，辛苦老师跟进联系介绍，谢谢;接触点：呼入；
</t>
  </si>
  <si>
    <t>谌蕙荃</t>
  </si>
  <si>
    <t>28844417</t>
  </si>
  <si>
    <t>2025-07-04 18:25</t>
  </si>
  <si>
    <t>甘肃农业大学</t>
  </si>
  <si>
    <t>资源与环境学院</t>
  </si>
  <si>
    <t>生态学</t>
  </si>
  <si>
    <t>2025-07-04 18:29</t>
  </si>
  <si>
    <t>KYJZ25015</t>
  </si>
  <si>
    <t>BJWY1059344174</t>
  </si>
  <si>
    <t>KYJZ250150045</t>
  </si>
  <si>
    <t>回访人：谭悦，回访时间：2025-07-04 18:25，回访内容：1；|回访人：谭悦，回访时间：2025-07-04 18:29，回访内容：1</t>
  </si>
  <si>
    <t>寒暑假集训营（春秋OMO）,考研专业课300</t>
  </si>
  <si>
    <t>政治,英语,专业课300</t>
  </si>
  <si>
    <t>KYJY25015</t>
  </si>
  <si>
    <t>KYJY250150044</t>
  </si>
  <si>
    <t>92162314</t>
  </si>
  <si>
    <t>2025-01-04 09:27:49</t>
  </si>
  <si>
    <t>乔子恒推荐，转谭悦</t>
  </si>
  <si>
    <t>白恩宁</t>
  </si>
  <si>
    <t>28863646</t>
  </si>
  <si>
    <t>对外经济贸易大学</t>
  </si>
  <si>
    <t>金融学院</t>
  </si>
  <si>
    <t>金融学</t>
  </si>
  <si>
    <t>2025-07-04 18:26</t>
  </si>
  <si>
    <t>KYJZ25003</t>
  </si>
  <si>
    <t xml:space="preserve"> 26考研政治全程集训营（寒暑）</t>
  </si>
  <si>
    <t>乔子恒</t>
  </si>
  <si>
    <t>BJWY6892607576</t>
  </si>
  <si>
    <t>KYJZ250030088</t>
  </si>
  <si>
    <t>回访人：谭悦，回访时间：2025-07-04 18:25，回访内容：1；|回访人：谭悦，回访时间：2025-07-04 18:26，回访内容：1</t>
  </si>
  <si>
    <t>考研专业课150,寒暑假集训营（春秋OMO）</t>
  </si>
  <si>
    <t>专业课150,数学,政治,英语</t>
  </si>
  <si>
    <t>KYJY25003</t>
  </si>
  <si>
    <t>KYJY250030089</t>
  </si>
  <si>
    <t>66558773</t>
  </si>
  <si>
    <t>2024-02-27 12:06:39</t>
  </si>
  <si>
    <t>咨询四级课程以及考研线下课程
IP：北京
搜索词：考研辅导班哪家机构好</t>
  </si>
  <si>
    <t>曹婧(离职)</t>
  </si>
  <si>
    <t>李兆同</t>
  </si>
  <si>
    <t>28844402</t>
  </si>
  <si>
    <t>2025-07-04 18:24</t>
  </si>
  <si>
    <t>中国石油大学（华东）</t>
  </si>
  <si>
    <t>新能源学院</t>
  </si>
  <si>
    <t>过程装备与控制工程</t>
  </si>
  <si>
    <t>2025-07-04 18:31</t>
  </si>
  <si>
    <t>BJWY7087471752</t>
  </si>
  <si>
    <t>KYJZ250040054</t>
  </si>
  <si>
    <t>回访人：谭悦，回访时间：2025-07-04 18:24，回访内容：1；|回访人：谭悦，回访时间：2025-07-04 18:31，回访内容：1</t>
  </si>
  <si>
    <t>寒暑假集训营（春秋OMO）,暑假集训营</t>
  </si>
  <si>
    <t>KYJY250040054</t>
  </si>
  <si>
    <t>77096516</t>
  </si>
  <si>
    <t>2024-06-11 11:24:15</t>
  </si>
  <si>
    <t>【六级】家长给孩子咨询，大二，在北京上学，要了解六级的学习，说是今年还没报呢，应该是12月份考试，下午2点后方便电话；渠道录入来源：新东方PC官网-客服
意向城市：北京访客省/城市：北京市
访客静态ID：01000000034659807507282021972472
接待分组ID：70447
搜索引擎：www.baidu.com
搜索词：
关键词：
设备类型：pc
访客IP：42.99.63.51
对话详细内容：AI-Lbo0rDBXCyBY 2024-06-11 11:04:36
您好同学,欢迎访问北京新东方考研四六级中心.
考研线下课程【考研全年/半年集训营】【暑假集训营】【考研线下走读班】【考研一对一】【四六级课程】，火热报名中,咨询即可领取专享优惠.**【考研全年/半年集训营】#  **【暑假集训营】# **【考研线下走读班】#  **【考研一对一】# **【四六级课程】#
AI-Lbo0rDBXCyBY 2024-06-11 11:04:38
您是想咨询【线下课程】【线上课程】【考研规划】还是【在职考研】呢？**【线下课程】#  **【线上课程】#**【考研规划】#**【在职考研】#
01000000034659807507282021972472 2024-06-11 11:05:22
方地
AI-Lbo0rDBXCyBY 2024-06-11 11:05:25
同学，您是在校还是在职呢？**在校#  **在职#
01000000034659807507282021972472 2024-06-11 11:05:35
六级
AI-Lbo0rDBXCyBY 2024-06-11 11:05:39
您目前在学的院校是哪所呢？
01000000034659807507282021972472 2024-06-11 11:05:56
北京
AI-Lbo0rDBXCyBY 2024-06-11 11:05:59
您目前英语基础如何呢？
AI-Lbo0rDBXCyBY 2024-06-11 11:06:36
您好，能看到我的对话吗？如有疑问，可以在此留电咨询！
AI-Lbo0rDBXCyBY 2024-06-11 11:06:56
如果打字不方便，可以在此输入电话或者微信，这边安排老师与您联系，为您详细解答！
AI-Lbo0rDBXCyBY 2024-06-11 11:07:56
同学您好，目前处于咨询的高峰期，如需咨询25/26考研【复习规划、择校择专业】【课程详情】等问题，您可以留下您的【姓名电话方便接听电话的时间】，我们会安排老师第一时间为您回电免费咨询！
01000000034659807507282021972472 2024-06-11 11:08:19
13301161922
AI-Lbo0rDBXCyBY 2024-06-11 11:08:22
好的，确认一下你的号码是否正确呢~
01000000034659807507282021972472 2024-06-11 11:08:33
正确
AI-Lbo0rDBXCyBY 2024-06-11 11:08:37
同学怎么称呼呢？
01000000034659807507282021972472 2024-06-11 11:08:47
王，我是家长
AI-Lbo0rDBXCyBY 2024-06-11 11:08:51
这边马上安排顾问老师联系您，预计半个小时左右给您回电请注意接听~
来源页：https://www.baidu.com/link?url=KTO9Aa3PzFHJO4cBSmiAkshr3HwvMjgEfHVctTJmoQu&amp;wd=&amp;eqid=fbd6285e0005268b000000036667bea4
备注： 外呼主题：2025财年第1财月易聊新东方PC官网</t>
  </si>
  <si>
    <t>2025财年第1财月易聊新东方PC官网</t>
  </si>
  <si>
    <t>张思远</t>
  </si>
  <si>
    <t>28805720</t>
  </si>
  <si>
    <t>六级,考研专业课,考研集训营</t>
  </si>
  <si>
    <t>信息学部</t>
  </si>
  <si>
    <t>2025-07-04 18:30</t>
  </si>
  <si>
    <t>BJWY7257773805</t>
  </si>
  <si>
    <t>KYJZ250040055</t>
  </si>
  <si>
    <t>回访人：谭悦，回访时间：2025-07-04 18:25，回访内容：1；|回访人：谭悦，回访时间：2025-07-04 18:30，回访内容：1</t>
  </si>
  <si>
    <t>六级无忧计划,考研专业课150,寒暑假集训营（春秋OMO）</t>
  </si>
  <si>
    <t>KYJY250040055</t>
  </si>
  <si>
    <t>116868306</t>
  </si>
  <si>
    <t>2025-07-01 10:33:35</t>
  </si>
  <si>
    <t>续费原因：学生更换研究生，需要缴纳500元师资重新匹配费；该学生为保护期内续费，原顾问：国内大学部-谭悦(tanyue9@xdf.cn)</t>
  </si>
  <si>
    <t>章俊骐</t>
  </si>
  <si>
    <t>28844381</t>
  </si>
  <si>
    <t>2025-07-04 18:23</t>
  </si>
  <si>
    <t>福建师范大学</t>
  </si>
  <si>
    <t>计算机与网络空间安全学院</t>
  </si>
  <si>
    <t>网络空间安全</t>
  </si>
  <si>
    <t>BJWY4692076178</t>
  </si>
  <si>
    <t>KYJZ250040047</t>
  </si>
  <si>
    <t>回访人：谭悦，回访时间：2025-07-04 18:23，回访内容：1；|回访人：谭悦，回访时间：2025-07-04 18:23，回访内容：1</t>
  </si>
  <si>
    <t>KYJY250040047</t>
  </si>
  <si>
    <t>KYJY250030101</t>
  </si>
  <si>
    <t>KYJZ250030100</t>
  </si>
  <si>
    <t>120674124</t>
  </si>
  <si>
    <t>2025-07-25 09:19:49</t>
  </si>
  <si>
    <t>巨量广告</t>
  </si>
  <si>
    <t>周舟6</t>
  </si>
  <si>
    <t>29315777</t>
  </si>
  <si>
    <t>2025-07-25 09:42</t>
  </si>
  <si>
    <t>北京石油化工学院</t>
  </si>
  <si>
    <t>高分子材料与工程</t>
  </si>
  <si>
    <t>2025-07-26 21:06</t>
  </si>
  <si>
    <t>87475099999</t>
  </si>
  <si>
    <t>2026考研数学直通车 6期,2026考研政治直通车 6期</t>
  </si>
  <si>
    <t>未交接</t>
  </si>
  <si>
    <t xml:space="preserve">回访人：谭悦，回访时间：2025-07-25 09:42，回访内容：1；|回访人：谭悦，回访时间：2025-07-26 15:14，回访内容：微信跟进中，考研学校  </t>
  </si>
  <si>
    <t>96709233</t>
  </si>
  <si>
    <t>2025-03-11 08:48:05</t>
  </si>
  <si>
    <t>15911140519，北京，一对一，家长</t>
  </si>
  <si>
    <t>郑雅洁</t>
  </si>
  <si>
    <t>29325048</t>
  </si>
  <si>
    <t>2025-07-25 20:47</t>
  </si>
  <si>
    <t>六级,考研专业课,考研无忧计划</t>
  </si>
  <si>
    <t>物理系</t>
  </si>
  <si>
    <t>WYE27018</t>
  </si>
  <si>
    <t>BJWY5564317069</t>
  </si>
  <si>
    <t>WYE270180013</t>
  </si>
  <si>
    <t>回访人：谭悦，回访时间：2025-07-25 20:47，回访内容：1；|回访人：谭悦，回访时间：2025-07-25 20:47，回访内容：1</t>
  </si>
  <si>
    <t>无忧计划-啄木鸟,六级无忧计划,考研专业课300</t>
  </si>
  <si>
    <t>专业课300,英语,政治</t>
  </si>
  <si>
    <t>103521996</t>
  </si>
  <si>
    <t>2025-05-23 14:18:38</t>
  </si>
  <si>
    <t>学生觉得来不及，于是准备明年的考试，基础一般，想考211，辛苦老师可以私信了解具体情况
</t>
  </si>
  <si>
    <t>学管转介绍</t>
  </si>
  <si>
    <t>程悦</t>
  </si>
  <si>
    <t>29223564</t>
  </si>
  <si>
    <t>2025-07-20 13:04</t>
  </si>
  <si>
    <t>北京工商大学</t>
  </si>
  <si>
    <t>生物</t>
  </si>
  <si>
    <t>2025-07-20 13:05</t>
  </si>
  <si>
    <t>BJWY8477545262</t>
  </si>
  <si>
    <t>WYE270060017</t>
  </si>
  <si>
    <t>2025-07-19</t>
  </si>
  <si>
    <t>回访人：谭悦，回访时间：2025-07-20 13:04，回访内容：1；|回访人：谭悦，回访时间：2025-07-20 13:05，回访内容：1</t>
  </si>
  <si>
    <t>88084630</t>
  </si>
  <si>
    <t>2024-11-09 17:09:46</t>
  </si>
  <si>
    <t>谭悦老师老带新</t>
  </si>
  <si>
    <t>孙睿泽</t>
  </si>
  <si>
    <t>29193856</t>
  </si>
  <si>
    <t>2025-07-18 10:55</t>
  </si>
  <si>
    <t>英语学院</t>
  </si>
  <si>
    <t>商务英语</t>
  </si>
  <si>
    <t>系统管理员</t>
  </si>
  <si>
    <t>LP17320859591849</t>
  </si>
  <si>
    <t>考研初试专业课一对一伴学班（管综-26考季）</t>
  </si>
  <si>
    <t>BJWY9403107977</t>
  </si>
  <si>
    <t>回访人：系统管理员，回访时间：2025-07-18 10:55，回访内容：学生转产品转入，创建续费工单。</t>
  </si>
  <si>
    <t>LP1752806923377</t>
  </si>
  <si>
    <t>26考研一对一伴学（无忧）</t>
  </si>
  <si>
    <t>糖糖与汤圆</t>
  </si>
  <si>
    <t>117841907</t>
  </si>
  <si>
    <t>王朝群</t>
  </si>
  <si>
    <t>2025-07-07 09:42:19</t>
  </si>
  <si>
    <t>【王朝群】咨询考研线上课程</t>
  </si>
  <si>
    <t>小红书KOS</t>
  </si>
  <si>
    <t>牛任杰</t>
  </si>
  <si>
    <t>28915558</t>
  </si>
  <si>
    <t>2025-07-07 10:49</t>
  </si>
  <si>
    <t>北京科技大学</t>
  </si>
  <si>
    <t>土木与资源工程学院</t>
  </si>
  <si>
    <t>采矿工程</t>
  </si>
  <si>
    <t>2025-07-07 19:37</t>
  </si>
  <si>
    <t>67374296149</t>
  </si>
  <si>
    <t>2026考研政治全程班 6班,2026考研英语全程班 6班</t>
  </si>
  <si>
    <t>回访人：谭悦，回访时间：2025-07-07 10:49，回访内容：在职研究生，了解英语政治网课，全程班，加微信了 ，任杰</t>
  </si>
  <si>
    <t>28852432</t>
  </si>
  <si>
    <t>2025-07-05 16:43</t>
  </si>
  <si>
    <t>2025-07-05 16:44</t>
  </si>
  <si>
    <t>LP17517050881945</t>
  </si>
  <si>
    <t>考研专业课匹配费</t>
  </si>
  <si>
    <t>2025-07-05</t>
  </si>
  <si>
    <t>回访人：谭悦，回访时间：2025-07-05 16:43，回访内容：1</t>
  </si>
  <si>
    <t>刘佳林</t>
  </si>
  <si>
    <t>刘佳林liujialin25@xdf.cn</t>
  </si>
  <si>
    <t>28732371</t>
  </si>
  <si>
    <t>2025-07-01 10:46</t>
  </si>
  <si>
    <t>2025-07-01 10:48</t>
  </si>
  <si>
    <t>2025-07-01 10:49</t>
  </si>
  <si>
    <t>LP175133809710126</t>
  </si>
  <si>
    <t>考研专业课匹配费-集训</t>
  </si>
  <si>
    <t>回访人：谭悦，回访时间：2025-07-01 10:46，回访内容：升级费500</t>
  </si>
  <si>
    <t>北京市1795</t>
  </si>
  <si>
    <t>120777100</t>
  </si>
  <si>
    <t>2025-07-25 22:33:01</t>
  </si>
  <si>
    <t>渠道录入来源：新东方官网APP-客服
意向城市：北京访客省/城市：北京市
访客静态ID：01000000034659345380947287361795
接待分组ID：70458
搜索引擎：
搜索词：
关键词：
设备类型：phone
访客IP：114.254.3.108
对话详细内容：AI-Lbo0rDBXCyBY 2025-07-25 22:30:10
您好同学,欢迎访问北京新东方考研四六级中心.
考研线下课程26/27考季【考研全年集训营】【考研半年集训营】【考研全科线下走读班】【考研寒/暑假集训营】【考研一对一】【考研专业课】【四/六级课程】，热门课程火热报名中,咨询即可领取专享优惠。
**【考研全年集训营】=ff761f# **【考研半年集训营】=ff6b6b# **【考研全科线下走读班】=ffc158# **【考研寒/暑假集训营】=ffc158# **【考研一对一】=ff761f# **【考研专业课】=ff6caa# **【四/六级课程】=ff6caa# **【考研冲刺班】=60e27e#
AI-Lbo0rDBXCyBY 2025-07-25 22:30:13
您是想咨询【线下课程】【线上课程】【考研规划】还是【在职考研】呢？**【线下课程】#  **【线上课程】#**【考研规划】#**【在职考研】#
01000000034659345380947287361795 2025-07-25 22:30:17
【线下课程】
AI-Lbo0rDBXCyBY 2025-07-25 22:30:21
同学，你现在是在校还是在职呢？
01000000034659345380947287361795 2025-07-25 22:30:28
在校
AI-Lbo0rDBXCyBY 2025-07-25 22:30:32
具体是想报考什么学校和专业呢？
01000000034659345380947287361795 2025-07-25 22:30:44
没有想法
AI-Lbo0rDBXCyBY 2025-07-25 22:30:48
好的，我这边安排专业老师给您回电，详细沟通一下，请问您的电话是多少呢？
01000000034659345380947287361795 2025-07-25 22:30:53
好的
AI-Lbo0rDBXCyBY 2025-07-25 22:30:57
嗯，那您联系方式是多少呢？
01000000034659345380947287361795 2025-07-25 22:30:58
18210383301
AI-Lbo0rDBXCyBY 2025-07-25 22:31:01
好的，确认一下你的号码是否正确呢~
01000000034659345380947287361795 2025-07-25 22:31:09
没问题
AI-Lbo0rDBXCyBY 2025-07-25 22:31:13
同学怎么称呼呢？
01000000034659345380947287361795 2025-07-25 22:31:19
大概什么时候打电话
01000000034659345380947287361795 2025-07-25 22:31:22
关
AI-Lbo0rDBXCyBY 2025-07-25 22:31:26
好的，这个也是您的微信号吗？
01000000034659345380947287361795 2025-07-25 22:31:34
不是
AI-Lbo0rDBXCyBY 2025-07-25 22:31:37
好的，那您正确的联系方式是多少呢？
01000000034659345380947287361795 2025-07-25 22:31:39
15210674805
AI-Lbo0rDBXCyBY 2025-07-25 22:31:42
方便提供一下您的微信吗？到时候微信给您转发资料
01000000034659345380947287361795 2025-07-25 22:31:44
这个是微信
AI-Lbo0rDBXCyBY 2025-07-25 22:31:47
稍后老师会联系哈
01000000034659345380947287361795 2025-07-25 22:31:50
ok
AI-Lbo0rDBXCyBY 2025-07-25 22:31:54
好的，请问还有其他问题需要咨询吗？
01000000034659345380947287361795 2025-07-25 22:32:03
没了
AI-Lbo0rDBXCyBY 2025-07-25 22:32:06
联系方式已收到，第二天上午9点后与您联系的，感谢您的访问 祝您生活愉快！您可以关闭对话早点休息了。晚安~
来源页：https://m.souke.xdf.cn/
备注：18210383301</t>
  </si>
  <si>
    <t>2026财年第2财月易聊新东方官网APP</t>
  </si>
  <si>
    <t>新东方官网APP</t>
  </si>
  <si>
    <t>2025-07-26 09:55:02</t>
  </si>
  <si>
    <t>关淼水</t>
  </si>
  <si>
    <t>29366928</t>
  </si>
  <si>
    <t>2025-07-26 11:29</t>
  </si>
  <si>
    <t>南京师范大学</t>
  </si>
  <si>
    <t>食品与制药工程学院</t>
  </si>
  <si>
    <t>生物工程（制药方向）</t>
  </si>
  <si>
    <t>2025-07-30 15:51</t>
  </si>
  <si>
    <t>2025-07-30 15:52</t>
  </si>
  <si>
    <t>KYZ26001</t>
  </si>
  <si>
    <t>27考研大二集训营（住宿费）</t>
  </si>
  <si>
    <t>BJWY7720709766</t>
  </si>
  <si>
    <t>KYZ260010069</t>
  </si>
  <si>
    <t>回访人：赵星火，回访时间：2025-07-26 11:29，回访内容：跟进学生情况中这边继续维护学生考虑中，跟进中；|回访人：赵星火，回访时间：2025-07-26 16:18，回访内容：面谈了这边继续维护学生情况周一要再来一次跟进中；|回访人：赵星火，回访时间：2025-07-28 14:57，回访内容：表示30号这边再来校区咨询看下时间安排继续维护中，维护跟进中</t>
  </si>
  <si>
    <t>寒暑假集训营（春秋OMO）,考研专业课300,六级无忧计划</t>
  </si>
  <si>
    <t>教育</t>
  </si>
  <si>
    <t>KYJZ26003</t>
  </si>
  <si>
    <t>27考研政治寒暑集训营</t>
  </si>
  <si>
    <t>KYJZ260030017</t>
  </si>
  <si>
    <t>KYZ26003</t>
  </si>
  <si>
    <t>27考研寒暑集训营（英政-住宿费）</t>
  </si>
  <si>
    <t>KYZ260030017</t>
  </si>
  <si>
    <t>KYJY26003</t>
  </si>
  <si>
    <t>27考研英语寒暑集训营</t>
  </si>
  <si>
    <t>KYJY260030017</t>
  </si>
  <si>
    <t>KYJY26001</t>
  </si>
  <si>
    <t>27考研英语大二集训营</t>
  </si>
  <si>
    <t>KYJY260010068</t>
  </si>
  <si>
    <t>WYS25035</t>
  </si>
  <si>
    <t>六级无忧计划</t>
  </si>
  <si>
    <t>WYS250350061</t>
  </si>
  <si>
    <t>LP17538618671269</t>
  </si>
  <si>
    <t>LP17538618651266</t>
  </si>
  <si>
    <t>考研初试专业课一对一（27考研/集训50小时）</t>
  </si>
  <si>
    <t>家长</t>
  </si>
  <si>
    <t>119685342</t>
  </si>
  <si>
    <t>曹伟杰2</t>
  </si>
  <si>
    <t>2025-07-18 10:19:16</t>
  </si>
  <si>
    <t>孩子目前办理了延毕，打算考研，目前孩子自己想学微积分1对1。考研想考中科院或者北科大，考化学专业。家长需要老师规划两个方面，1是院校专业进一步确定，2是看学1对1、集训还是走读。目前孩子想学微积分1对1。需要老师耐心给规划一下，方便回电。孩子叫黄泰淇。</t>
  </si>
  <si>
    <t>黄泰淇</t>
  </si>
  <si>
    <t>29194623</t>
  </si>
  <si>
    <t>2025-07-18 11:35</t>
  </si>
  <si>
    <t>考研专业课,考研无忧计划,线上考研产品</t>
  </si>
  <si>
    <t>清华大学</t>
  </si>
  <si>
    <t>化学工程系</t>
  </si>
  <si>
    <t>化学工程与工业生物工程</t>
  </si>
  <si>
    <t>2025-07-30 15:43</t>
  </si>
  <si>
    <t>WYFP26010</t>
  </si>
  <si>
    <t>考研政治无忧计划蜂鸟（26考研/冲刺）</t>
  </si>
  <si>
    <t>BJWY9471012532</t>
  </si>
  <si>
    <t>WYFP260100026</t>
  </si>
  <si>
    <t>回访人：赵星火，回访时间：2025-07-24 20:51，回访内容：跟进学生情况中这边继续维护学生考虑继续维护。；|回访人：赵星火，回访时间：2025-07-28 17:05，回访内容：联系不上学生再次确认下学生情况这边继续维护中。</t>
  </si>
  <si>
    <t>无忧计划-蜂鸟,线上直通车,考研专业课150</t>
  </si>
  <si>
    <t>国内高校-C9</t>
  </si>
  <si>
    <t>WYFP26009</t>
  </si>
  <si>
    <t>考研政治无忧计划蜂鸟（26考研/强化）</t>
  </si>
  <si>
    <t>WYFP260090026</t>
  </si>
  <si>
    <t>95553333194</t>
  </si>
  <si>
    <t>LP1753855910860</t>
  </si>
  <si>
    <t>考研初试专业课一对一（26考研/无忧30小时）</t>
  </si>
  <si>
    <t>常雅凝</t>
  </si>
  <si>
    <t>118527057</t>
  </si>
  <si>
    <t>2025-07-10 13:25:40</t>
  </si>
  <si>
    <t>资源录入来源：小表单
市场活动id：412422
市场活动名称：新东方集团官微【新东方】资源
活动所属学校id：10000
活动所属学校名称：总公司
线索接收人邮箱：yangjun42@xdf.cn
线索接受人类型：自定义
表单信息：表单id81512、表单名(对内)：新东方集团官微【新东方】资源、表单名（对外）：新东方课程报名、创建人邮箱：wuyue38@xdf.cn、表单链接：pages/index/index.html?scene=81512,,Lh8FwYc8
备注：来源:小表单;姓名:常雅凝;意向课程: 【课程】考研、四六级、专升本、成人英语/北京/北京; 新老生: 新生; 提交链接:pages/index/index.html?scene=81512,,Lh8FwYc8;地理位置:-;渠道:新媒体运营/公众号-品牌号</t>
  </si>
  <si>
    <t>2026财年小表单-新东方集团官微【新东方】资源</t>
  </si>
  <si>
    <t>徐利霞</t>
  </si>
  <si>
    <t>公众号</t>
  </si>
  <si>
    <t>2025-07-10 14:29:29</t>
  </si>
  <si>
    <t>28979350</t>
  </si>
  <si>
    <t>2025-07-10 15:13</t>
  </si>
  <si>
    <t>中国人民公安大学</t>
  </si>
  <si>
    <t>公安管理学院</t>
  </si>
  <si>
    <t>公安管理学</t>
  </si>
  <si>
    <t>2025-07-28 17:23</t>
  </si>
  <si>
    <t>LP17536945791415</t>
  </si>
  <si>
    <t>BJWY4575181473</t>
  </si>
  <si>
    <t>2025-07-28</t>
  </si>
  <si>
    <t xml:space="preserve">回访人：谭悦，回访时间：2025-07-21 18:56，回访内容：家长还要等一段时间再说   ；|回访人：谭悦，回访时间：2025-07-28 16:22，回访内容：不回复  不着急   </t>
  </si>
  <si>
    <t>英语,法律硕士</t>
  </si>
  <si>
    <t>小表单</t>
  </si>
  <si>
    <t>李思成</t>
  </si>
  <si>
    <t>117561097</t>
  </si>
  <si>
    <t>2025-07-04 11:14:52</t>
  </si>
  <si>
    <t>续费原因：续费50课时，原顾问转岗；该学生为保护期内续费，原顾问：国内大学部-徐铁(xutie@xdf.cn)</t>
  </si>
  <si>
    <t>28855734</t>
  </si>
  <si>
    <t>2025-07-04 11:28</t>
  </si>
  <si>
    <t>哈尔滨工程大学</t>
  </si>
  <si>
    <t>智能科学与工程学院</t>
  </si>
  <si>
    <t>2025-07-27 12:42</t>
  </si>
  <si>
    <t>2025-07-27 14:33</t>
  </si>
  <si>
    <t>LP1753591374728</t>
  </si>
  <si>
    <t>BJWY1292748225</t>
  </si>
  <si>
    <t>2025-07-27</t>
  </si>
  <si>
    <t>回访人：谭悦，回访时间：2025-07-24 21:35，回访内容：1</t>
  </si>
  <si>
    <t>本地人外地大学(归巢)</t>
  </si>
  <si>
    <t>119707692</t>
  </si>
  <si>
    <t>2025-07-18 09:54:54</t>
  </si>
  <si>
    <t>死单激活流转谭悦老师 外呼主题：批量导入-北京学校-高端学员-23.9-24.6大三【入库数据】</t>
  </si>
  <si>
    <t>京内毛坯数据</t>
  </si>
  <si>
    <t>杨达京</t>
  </si>
  <si>
    <t>29332218</t>
  </si>
  <si>
    <t>2025-07-26 21:15</t>
  </si>
  <si>
    <t>北京科技职业学院</t>
  </si>
  <si>
    <t xml:space="preserve"> 信息安全</t>
  </si>
  <si>
    <t>2025-07-26 21:16</t>
  </si>
  <si>
    <t>YKF25007</t>
  </si>
  <si>
    <t>BJWY22035556hl</t>
  </si>
  <si>
    <t>BJWY8544603962</t>
  </si>
  <si>
    <t>YKF250070005</t>
  </si>
  <si>
    <t>回访人：谭悦，回访时间：2025-07-26 21:15，回访内容：1；|回访人：谭悦，回访时间：2025-07-26 21:16，回访内容：1</t>
  </si>
  <si>
    <t>YKF25003</t>
  </si>
  <si>
    <t>四级无忧计划（新大一专属）</t>
  </si>
  <si>
    <t>YKF250030056</t>
  </si>
  <si>
    <t>张兆霆</t>
  </si>
  <si>
    <t>98914664</t>
  </si>
  <si>
    <t>曹健</t>
  </si>
  <si>
    <t>2025-04-07 10:09:31</t>
  </si>
  <si>
    <t>18612987253，北京，一对一，家长（TMK主管分配TMK）</t>
  </si>
  <si>
    <t>2025-04-10 18:22:39</t>
  </si>
  <si>
    <t>27503420</t>
  </si>
  <si>
    <t>2025-04-10 18:36</t>
  </si>
  <si>
    <t>考研集训营,线上考研产品</t>
  </si>
  <si>
    <t>2025-07-26 11:25</t>
  </si>
  <si>
    <t>2025-07-26 11:40</t>
  </si>
  <si>
    <t>LP1753500326598</t>
  </si>
  <si>
    <t>BJWY9988220339</t>
  </si>
  <si>
    <t>回访人：赵星火，回访时间：2025-07-19 19:50，回访内容：24号放假这边还是确定不下来跟进中；|回访人：赵星火，回访时间：2025-07-25 20:32，回访内容：推荐课程课时中这边继续维护跟进中继续维护</t>
  </si>
  <si>
    <t>未告知</t>
  </si>
  <si>
    <t>120772513</t>
  </si>
  <si>
    <t>2025-07-25 18:07:03</t>
  </si>
  <si>
    <t>内推给赵星火老师</t>
  </si>
  <si>
    <t>高三</t>
  </si>
  <si>
    <t>前途推荐（批量推送）</t>
  </si>
  <si>
    <t>秦胜辉+qinshenghui@xdf.cn+秦胜辉(新东方教育科技集团有限公司-培训学校-北京学校-高中一对一部-西北区-远大路分中心 | 课程顾问)</t>
  </si>
  <si>
    <t>赵翎羽</t>
  </si>
  <si>
    <t>29365145</t>
  </si>
  <si>
    <t>2025-07-25 20:05</t>
  </si>
  <si>
    <t>大学预科</t>
  </si>
  <si>
    <t>统计学院</t>
  </si>
  <si>
    <t>统计学</t>
  </si>
  <si>
    <t>2025-07-26 10:19</t>
  </si>
  <si>
    <t>2025-07-26 11:47</t>
  </si>
  <si>
    <t>YKS25003</t>
  </si>
  <si>
    <t>六级无忧计划（新大一专属）</t>
  </si>
  <si>
    <t>BJWY3595874926</t>
  </si>
  <si>
    <t>YKS250030021</t>
  </si>
  <si>
    <t>回访人：赵星火，回访时间：2025-07-25 20:05，回访内容：120分以上跟进中计划报名；|回访人：赵星火，回访时间：2025-07-26 10:19，回访内容：1</t>
  </si>
  <si>
    <t>118475232</t>
  </si>
  <si>
    <t>2025-07-09 17:48:25</t>
  </si>
  <si>
    <t>谭悦9的顾问转介绍工单</t>
  </si>
  <si>
    <t>刘祎迪</t>
  </si>
  <si>
    <t>28958477</t>
  </si>
  <si>
    <t>2025-07-09 18:36</t>
  </si>
  <si>
    <t>经济管理学院</t>
  </si>
  <si>
    <t>农林经济管理</t>
  </si>
  <si>
    <t>2025-07-26 15:07</t>
  </si>
  <si>
    <t>BJWY5939288313</t>
  </si>
  <si>
    <t>WYE270180014</t>
  </si>
  <si>
    <t>回访人：谭悦，回访时间：2025-07-21 19:10，回访内容：微信跟进中，27考研的课程  ；|回访人：谭悦，回访时间：2025-07-26 15:07，回访内容：1</t>
  </si>
  <si>
    <t>无忧计划-啄木鸟,考研专业课管综</t>
  </si>
  <si>
    <t>WYZ27001</t>
  </si>
  <si>
    <t>考研专业课无忧计划（27考研/199管综）</t>
  </si>
  <si>
    <t>WYZ270010011</t>
  </si>
  <si>
    <t>WYE27016</t>
  </si>
  <si>
    <t>WYE270160037</t>
  </si>
  <si>
    <t>WYE27030</t>
  </si>
  <si>
    <t>WYE270300024</t>
  </si>
  <si>
    <t>118981042</t>
  </si>
  <si>
    <t>2025-07-14 13:42:17</t>
  </si>
  <si>
    <t>渠道录入来源：大众点评
事件名称：预约免费试听课
大众点评门店名称：新东方考研四六级(国贸校区)
店铺绑定的校区：临时教学校区
店铺管理员邮箱：lvmeng2@xdf.cn
备注：2025-07-14 13:42:16用户在大众点评预约试听课
</t>
  </si>
  <si>
    <t>2026财年第2财月大众点评在线咨询</t>
  </si>
  <si>
    <t>线上运营-本地生活平台</t>
  </si>
  <si>
    <t>大众点评</t>
  </si>
  <si>
    <t>张建超</t>
  </si>
  <si>
    <t>29372610</t>
  </si>
  <si>
    <t>2025-07-26 21:18</t>
  </si>
  <si>
    <t>数学与统计学院</t>
  </si>
  <si>
    <t>信息与计算科学</t>
  </si>
  <si>
    <t>WYF25039</t>
  </si>
  <si>
    <t>四级精英计划</t>
  </si>
  <si>
    <t>BJWY9593581465</t>
  </si>
  <si>
    <t>WYF250390008</t>
  </si>
  <si>
    <t>回访人：谭悦，回访时间：2025-07-26 21:18，回访内容：1；|回访人：谭悦，回访时间：2025-07-26 21:18，回访内容：1</t>
  </si>
  <si>
    <t>Yamal</t>
  </si>
  <si>
    <t>119284130</t>
  </si>
  <si>
    <t>崔佳慧</t>
  </si>
  <si>
    <t>2025-07-16 00:09:06</t>
  </si>
  <si>
    <t>渠道录入来源：小红书
事件名称：私信留资
小红书账号id：659bd1020000000022000003
小红书账号名称：北京新东方考研一对一咨询
广告投放账号名称：北京新东方考研一对一咨询
活动所属学校id：108
活动所属学校名称：北京大学事业部
统一活动id：2593748
统一活动名称：北京大学事业部25年7月小红书专业号投放
渠道名称：网络营销-小红书-专业号投放
线索创建人邮箱：cuijiahui2@xdf.cn
资源跟进人邮箱：cuijiahui2@xdf.cn
备注：用户地区是【北京市北京市】，在【2025-07-16 00:07:04】留资，私信通线索标签为【留客资】，来源于【北京新东方考研一对一咨询】投放账户，意向项目是【考研/考博】，留资笔记是【】，备注【-】
</t>
  </si>
  <si>
    <t>2026财年第2财月小红书</t>
  </si>
  <si>
    <t>杨若彤</t>
  </si>
  <si>
    <t>29122441</t>
  </si>
  <si>
    <t>2025-07-16 20:29</t>
  </si>
  <si>
    <t>内蒙古医科大学</t>
  </si>
  <si>
    <t>基础医学院</t>
  </si>
  <si>
    <t>法医学</t>
  </si>
  <si>
    <t>2025-07-25 19:20</t>
  </si>
  <si>
    <t>2025-07-25 20:02</t>
  </si>
  <si>
    <t>WebReg</t>
  </si>
  <si>
    <t>BJWY9620552065</t>
  </si>
  <si>
    <t>KYZ260030015</t>
  </si>
  <si>
    <t>2025-07-25</t>
  </si>
  <si>
    <t xml:space="preserve">回访人：谭悦，回访时间：2025-07-16 20:29，回访内容：考虑报寒暑营，英语政治，寒假上课   ；|回访人：谭悦，回访时间：2025-07-23 16:13，回访内容：同学也报名了，跟进中   ；|回访人：谭悦，回访时间：2025-07-25 19:20，回访内容：准备报名 </t>
  </si>
  <si>
    <t>寒暑假集训营（春秋OMO）</t>
  </si>
  <si>
    <t>KYJZ260030015</t>
  </si>
  <si>
    <t>KYJY260030015</t>
  </si>
  <si>
    <t>120082542</t>
  </si>
  <si>
    <t>2025-07-21 18:11:53</t>
  </si>
  <si>
    <t>【考研】【死单激活，按照顺序分配】学生叔叔给侄子咨询考研课程，北京交通大学，建筑学专业，五年制，开学大五，咨询政治和手绘的专业课，线下走读班，集训营，一对一都要了解，想试听，告知一对一需要交钱可以的，还有集训营也想试听体验，加试试微信：18220970155  尽快联系；【考研】学生本人电话15247710899，加学生微信介绍，北京交通大学，建筑学专业，五年制，开学大五，咨询政治和手绘的线下走读班，加微信介绍；【福誉教育】北京海淀区 开学大五 建设专业 25考研 一对一18220970155 外呼主题：2026财年第2财月代理商（TMK主管分配TMK） 外呼主题：FY25-国内7月死单回访（7.14-7.20）</t>
  </si>
  <si>
    <t>福誉平台</t>
  </si>
  <si>
    <t>田明</t>
  </si>
  <si>
    <t>29296789</t>
  </si>
  <si>
    <t>2025-07-25 10:10</t>
  </si>
  <si>
    <t>建筑与艺术学院</t>
  </si>
  <si>
    <t>2025-07-25 15:38</t>
  </si>
  <si>
    <t>2025-07-25 15:50</t>
  </si>
  <si>
    <t>LP17534290891240</t>
  </si>
  <si>
    <t>BJWY3742941733</t>
  </si>
  <si>
    <t>回访人：赵星火，回访时间：2025-07-25 10:10，回访内容：1；|回访人：赵星火，回访时间：2025-07-25 14:22，回访内容：跟进课时方案中继续维护学生情况考虑中。</t>
  </si>
  <si>
    <t>119903996</t>
  </si>
  <si>
    <t>2025-07-20 09:32:32</t>
  </si>
  <si>
    <t>梁超宇</t>
  </si>
  <si>
    <t>29209418</t>
  </si>
  <si>
    <t>2025-07-20 09:53</t>
  </si>
  <si>
    <t>2025-07-24 16:55</t>
  </si>
  <si>
    <t>WYFE26019</t>
  </si>
  <si>
    <t>考研英语无忧计划蜂鸟（26考研/英二强化）</t>
  </si>
  <si>
    <t>BJWY25030q8UPI</t>
  </si>
  <si>
    <t>BJWY6116314693</t>
  </si>
  <si>
    <t>WYFE260190008</t>
  </si>
  <si>
    <t xml:space="preserve">回访人：谭悦，回访时间：2025-07-20 09:53，回访内容：微信跟进中，考研学习  问半年营  ；|回访人：谭悦，回访时间：2025-07-22 17:08，回访内容：微信跟进中，蜂鸟班；|回访人：谭悦，回访时间：2025-07-24 16:55，回访内容：签约 </t>
  </si>
  <si>
    <t>WYFM26010</t>
  </si>
  <si>
    <t>考研数学无忧计划蜂鸟（26考研/冲刺）</t>
  </si>
  <si>
    <t>WYFM260100016</t>
  </si>
  <si>
    <t>WYFP260100023</t>
  </si>
  <si>
    <t>WYFE26020</t>
  </si>
  <si>
    <t>考研英语无忧计划蜂鸟（26考研/英二冲刺）</t>
  </si>
  <si>
    <t>WYFE260200008</t>
  </si>
  <si>
    <t>WYFM26009</t>
  </si>
  <si>
    <t>考研数学无忧计划蜂鸟（26考研/强化）</t>
  </si>
  <si>
    <t>WYFM260090016</t>
  </si>
  <si>
    <t>WYFP260090023</t>
  </si>
  <si>
    <t>鲁轩如</t>
  </si>
  <si>
    <t>86780437</t>
  </si>
  <si>
    <t>2024-10-21 10:10:11</t>
  </si>
  <si>
    <t>汤杰+tangjie36@xdf.cn+ID+大学事业部-大学合肥中心-考研项目部-销售管理部（TMK主管分配TMK）</t>
  </si>
  <si>
    <t>死单激活流转赵星火</t>
  </si>
  <si>
    <t>2025-07-23 15:43:57</t>
  </si>
  <si>
    <t>29179073</t>
  </si>
  <si>
    <t>2025-07-23 16:17</t>
  </si>
  <si>
    <t>外国语学院</t>
  </si>
  <si>
    <t>2025-07-24 15:57</t>
  </si>
  <si>
    <t>BJWY0003454777</t>
  </si>
  <si>
    <t>WYE270260016</t>
  </si>
  <si>
    <t>回访人：赵星火，回访时间：2025-07-23 16:17，回访内容：咨询考研规划明天下午过来校区跟进中；|回访人：赵星火，回访时间：2025-07-24 15:57，回访内容：签约</t>
  </si>
  <si>
    <t>WYE270040023</t>
  </si>
  <si>
    <t>WYZ27002</t>
  </si>
  <si>
    <t>WYZ270020008</t>
  </si>
  <si>
    <t>WYE270060021</t>
  </si>
  <si>
    <t>LP17533433651269</t>
  </si>
  <si>
    <t>27考研一对一伴学(30小时/无忧)</t>
  </si>
  <si>
    <t>120367958</t>
  </si>
  <si>
    <t>2025-07-23 11:11:45</t>
  </si>
  <si>
    <t>赵星火的直访工单</t>
  </si>
  <si>
    <t>丘洛祯</t>
  </si>
  <si>
    <t>29277603</t>
  </si>
  <si>
    <t>2025-07-23 11:15</t>
  </si>
  <si>
    <t>六级</t>
  </si>
  <si>
    <t>北京航空航天大学</t>
  </si>
  <si>
    <t>计算机学院</t>
  </si>
  <si>
    <t>计算机科学与技术1</t>
  </si>
  <si>
    <t>BJWY6462703641</t>
  </si>
  <si>
    <t>WYS250350046</t>
  </si>
  <si>
    <t>2025-07-23</t>
  </si>
  <si>
    <t>回访人：赵星火，回访时间：2025-07-23 11:15，回访内容：1</t>
  </si>
  <si>
    <t>张卫琼</t>
  </si>
  <si>
    <t>116671505</t>
  </si>
  <si>
    <t>曹义鹏</t>
  </si>
  <si>
    <t>2025-06-30 10:54:59</t>
  </si>
  <si>
    <t>【王朝群公众号】咨询数学一对一，要过来校区看，大学已毕业</t>
  </si>
  <si>
    <t>张桐赫</t>
  </si>
  <si>
    <t>28724029</t>
  </si>
  <si>
    <t>2025-06-30 12:58</t>
  </si>
  <si>
    <t>北京电影学院</t>
  </si>
  <si>
    <t>影视技术系</t>
  </si>
  <si>
    <t>影视技术</t>
  </si>
  <si>
    <t>2025-07-23 10:53</t>
  </si>
  <si>
    <t>2025-07-23 10:54</t>
  </si>
  <si>
    <t>BJWY3595058331</t>
  </si>
  <si>
    <t>回访人：赵星火，回访时间：2025-07-18 18:50，回访内容：电话呼出联系联系不上，谭悦老师跟进中。；|回访人：赵星火，回访时间：2025-07-21 20:46，回访内容：长期联系不上不回复，再次跟进中</t>
  </si>
  <si>
    <t>数学</t>
  </si>
  <si>
    <t>高晨希</t>
  </si>
  <si>
    <t>119830398</t>
  </si>
  <si>
    <t>杨沫</t>
  </si>
  <si>
    <t>2025-07-19 09:14:23</t>
  </si>
  <si>
    <t>死单激活分配谭悦</t>
  </si>
  <si>
    <t>2025-07-19 09:15:30</t>
  </si>
  <si>
    <t>29203842</t>
  </si>
  <si>
    <t>2025-07-19 11:10</t>
  </si>
  <si>
    <t>安徽大学</t>
  </si>
  <si>
    <t>计算机科学与技术学院</t>
  </si>
  <si>
    <t>2025-07-23 18:47</t>
  </si>
  <si>
    <t>2025-07-23 18:48</t>
  </si>
  <si>
    <t>KYJZ26002</t>
  </si>
  <si>
    <t>BJWY2429463589</t>
  </si>
  <si>
    <t>KYJZ260020030</t>
  </si>
  <si>
    <t>回访人：谭悦，回访时间：2025-07-19 11:10，回访内容：考虑报名27考研暑寒暑集训  ；|回访人：谭悦，回访时间：2025-07-23 18:47，回访内容：1</t>
  </si>
  <si>
    <t>暑假集训营,寒暑假集训营（春秋OMO）,考研专业课150,六级无忧计划</t>
  </si>
  <si>
    <t>英语,政治,数学,计算机</t>
  </si>
  <si>
    <t>KYJS26002</t>
  </si>
  <si>
    <t>27考研数学寒暑集训营</t>
  </si>
  <si>
    <t>KYJS260020030</t>
  </si>
  <si>
    <t>KYJY26002</t>
  </si>
  <si>
    <t>KYJY260020030</t>
  </si>
  <si>
    <t>WYSJ25040</t>
  </si>
  <si>
    <t>WYSJ250400010</t>
  </si>
  <si>
    <t>KYZ26002</t>
  </si>
  <si>
    <t>27考研寒暑集训营（英政数-住宿费）</t>
  </si>
  <si>
    <t>KYZ260020030</t>
  </si>
  <si>
    <t>KYJS26001</t>
  </si>
  <si>
    <t>27考研数学大二集训营</t>
  </si>
  <si>
    <t>KYJS260010033</t>
  </si>
  <si>
    <t>KYZ260010062</t>
  </si>
  <si>
    <t>KYJY260010061</t>
  </si>
  <si>
    <t>LP17532630791620</t>
  </si>
  <si>
    <t>考研初试专业课一对一（27考研/集训30小时）</t>
  </si>
  <si>
    <t>LP1753239180374</t>
  </si>
  <si>
    <t>姜先生</t>
  </si>
  <si>
    <t>118608588</t>
  </si>
  <si>
    <t>2025-07-11 09:40:11</t>
  </si>
  <si>
    <t>2025-07-11 09:40:52</t>
  </si>
  <si>
    <t>姜铭祺</t>
  </si>
  <si>
    <t>29019280</t>
  </si>
  <si>
    <t>2025-07-11 09:52</t>
  </si>
  <si>
    <t>中国刑事警察学院</t>
  </si>
  <si>
    <t>刑事科学技术学院（法庭科学学院）</t>
  </si>
  <si>
    <t>刑事科学技术</t>
  </si>
  <si>
    <t>2025-07-23 10:36</t>
  </si>
  <si>
    <t>2025-07-23 10:47</t>
  </si>
  <si>
    <t>LP1753238211315</t>
  </si>
  <si>
    <t>BJWY6043524828</t>
  </si>
  <si>
    <t xml:space="preserve">回访人：谭悦，回访时间：2025-07-17 12:15，回访内容：学生拖着 不回复不确定报不报呢  </t>
  </si>
  <si>
    <t>学生</t>
  </si>
  <si>
    <t>120103978</t>
  </si>
  <si>
    <t>2025-07-21 18:08:08</t>
  </si>
  <si>
    <t>【考研】学生本人电话15247710899，加学生微信介绍，北京交通大学，建筑学专业，五年制，开学大五，咨询政治和手绘的线下走读班，加微信介绍；【福誉教育】北京海淀区 开学大五 建设专业 25考研 一对一18220970155 外呼主题：2026财年第2财月代理商（TMK主管分配TMK）</t>
  </si>
  <si>
    <t>29255098</t>
  </si>
  <si>
    <t>2025-07-21 19:08</t>
  </si>
  <si>
    <t>2025-07-22 16:07</t>
  </si>
  <si>
    <t>2025-07-22 16:21</t>
  </si>
  <si>
    <t>LP17531716621452</t>
  </si>
  <si>
    <t>2025-07-22</t>
  </si>
  <si>
    <t>回访人：赵星火，回访时间：2025-07-21 19:08，回访内容：联系不上发送微信跟进中这边继续维护学生情况；|回访人：赵星火，回访时间：2025-07-22 10:42，回访内容：邀约试听时间跟进中继续维护学生考虑。</t>
  </si>
  <si>
    <t>119959145</t>
  </si>
  <si>
    <t>2025-07-20 20:47:15</t>
  </si>
  <si>
    <t>赵星火的内部员工推荐工单</t>
  </si>
  <si>
    <t>张里+zhangli438@xdf.cn+ID+培训学校-北京学校-高中一对一部-西北区-知春路分中心</t>
  </si>
  <si>
    <t>于铠铭</t>
  </si>
  <si>
    <t>29246206</t>
  </si>
  <si>
    <t>2025-07-20 20:50</t>
  </si>
  <si>
    <t>初等教育学院</t>
  </si>
  <si>
    <t>小学教育</t>
  </si>
  <si>
    <t>2025-07-22 09:36</t>
  </si>
  <si>
    <t>2025-07-22 09:42</t>
  </si>
  <si>
    <t>LP175314821588</t>
  </si>
  <si>
    <t>四级一对一畅学班（50H）</t>
  </si>
  <si>
    <t>BJWY2747091394</t>
  </si>
  <si>
    <t>回访人：赵星火，回访时间：2025-07-20 20:50，回访内容：咨询四级一对一推荐50小时，想要好老师跟进中；|回访人：赵星火，回访时间：2025-07-21 11:21，回访内容：已经发送合同和课程缴费二维码等待报名中</t>
  </si>
  <si>
    <t>李诗彤</t>
  </si>
  <si>
    <t>98393860</t>
  </si>
  <si>
    <t>徐岩</t>
  </si>
  <si>
    <t>2025-03-29 18:59:50</t>
  </si>
  <si>
    <t>续费原因：续费 辛苦流转赵星火；该学生为保护期外续费，原顾问部门：国内大学部</t>
  </si>
  <si>
    <t>徐岩xuyan91@xdf.cn</t>
  </si>
  <si>
    <t>27357839</t>
  </si>
  <si>
    <t>2025-03-29 19:04</t>
  </si>
  <si>
    <t>防灾科技学院</t>
  </si>
  <si>
    <t>应急管理学院</t>
  </si>
  <si>
    <t>应急技术与管理</t>
  </si>
  <si>
    <t>2025-07-22 09:32</t>
  </si>
  <si>
    <t>2025-07-22 09:33</t>
  </si>
  <si>
    <t>BJWY7962337670</t>
  </si>
  <si>
    <t>WYS250350044</t>
  </si>
  <si>
    <t>回访人：赵星火，回访时间：2025-07-21 20:18，回访内容：咨询六级费用跟进中继续维护学生。；|回访人：赵星火，回访时间：2025-07-22 09:32，回访内容：1</t>
  </si>
  <si>
    <t>110429453</t>
  </si>
  <si>
    <t>115558390</t>
  </si>
  <si>
    <t>2025-06-22 19:28:38</t>
  </si>
  <si>
    <t>渠道录入来源：抖音新东方考研直播间
koouserID：110429453
城市：北京
产品分组：考研
线索来源：直播间小风车收资-大学生-线下面授
市场人员：
是否兼职：
备注信息：请选择当前所属阶段：:大三;请选择倾向的备考方式：:线下面授;请选择备考城市：:北京</t>
  </si>
  <si>
    <t>28546327</t>
  </si>
  <si>
    <t>2025-06-23 18:44</t>
  </si>
  <si>
    <t>2025-07-21 14:03</t>
  </si>
  <si>
    <t>KYJY25013</t>
  </si>
  <si>
    <t>26考研英语半年集训营（基础/七月）</t>
  </si>
  <si>
    <t>KYJY250130009</t>
  </si>
  <si>
    <t>回访人：谭悦，回访时间：2025-07-12 19:49，回访内容：微信跟进中，考研学习 邀约  ；|回访人：谭悦，回访时间：2025-07-20 14:00，回访内容：今天来校区， 找秋雨老师沟通 一起跟进 ；|回访人：谭悦，回访时间：2025-07-21 14:03，回访内容：签约</t>
  </si>
  <si>
    <t>KYJZ25013</t>
  </si>
  <si>
    <t>26考研政治半年集训营（基础/七月）</t>
  </si>
  <si>
    <t>KYJZ250130009</t>
  </si>
  <si>
    <t>KYJY25013A</t>
  </si>
  <si>
    <t>26考研英语半年集训营（强冲/英语二）</t>
  </si>
  <si>
    <t>KYJY25013A0082</t>
  </si>
  <si>
    <t>KYJZ25013A</t>
  </si>
  <si>
    <t>26考研政治半年集训营（强冲）</t>
  </si>
  <si>
    <t>KYJZ25013A0066</t>
  </si>
  <si>
    <t>KYZ25013</t>
  </si>
  <si>
    <t>26考研半年集训营（住宿费/七月）</t>
  </si>
  <si>
    <t>KYZ250130009</t>
  </si>
  <si>
    <t>LP1753074318762</t>
  </si>
  <si>
    <t>29252638</t>
  </si>
  <si>
    <t>2025-07-21 16:21</t>
  </si>
  <si>
    <t>2025-07-21 16:55</t>
  </si>
  <si>
    <t>2025-07-21 17:25</t>
  </si>
  <si>
    <t>回访人：高龙明，回访时间：2025-07-21 16:21，回访内容：转</t>
  </si>
  <si>
    <t>卡波诺皮草</t>
  </si>
  <si>
    <t>119609431</t>
  </si>
  <si>
    <t>2025-07-17 17:47:19</t>
  </si>
  <si>
    <t>【王朝群】咨询考研英语政治一对一</t>
  </si>
  <si>
    <t>王一安</t>
  </si>
  <si>
    <t>29144840</t>
  </si>
  <si>
    <t>2025-07-17 18:22</t>
  </si>
  <si>
    <t>南昌大学</t>
  </si>
  <si>
    <t>医学部</t>
  </si>
  <si>
    <t>预防医学（五年）</t>
  </si>
  <si>
    <t>2025-07-20 20:46</t>
  </si>
  <si>
    <t>BJWY6455902545</t>
  </si>
  <si>
    <t>KYJY250130008</t>
  </si>
  <si>
    <t>回访人：赵星火，回访时间：2025-07-17 18:22，回访内容：之前考过，志气啊英语政治都是54分，现在帮妹妹咨询的，想要学习氛围的集训，关注7月30的，要看下师资 课表，有自己的想法，考北大社科类的专业；|回访人：赵星火，回访时间：2025-07-18 15:05，回访内容：跟进学生情况给到课程的介绍，继续维护中；|回访人：赵星火，回访时间：2025-07-19 15:30，回访内容：电话呼出联系不上，微信给到7月活动23号；|回访人：赵星火，回访时间：2025-07-20 20:46，回访内容：1</t>
  </si>
  <si>
    <t>KYJZ250130008</t>
  </si>
  <si>
    <t>KYJY25010A</t>
  </si>
  <si>
    <t>26考研英语半年集训营（强冲/英语一）</t>
  </si>
  <si>
    <t>KYJY25010A0070</t>
  </si>
  <si>
    <t>KYJZ25010A</t>
  </si>
  <si>
    <t>KYJZ25010A0069</t>
  </si>
  <si>
    <t>KYZ250130008</t>
  </si>
  <si>
    <t>郭泽恩</t>
  </si>
  <si>
    <t>118263142</t>
  </si>
  <si>
    <t>2025-07-08 18:08:12</t>
  </si>
  <si>
    <t>续费原因：目前大二 想提前准备 想了解一下考研VIP课价格 然后有空带孩子来校区；该学生为保护期外续费，原顾问部门：国内大学部</t>
  </si>
  <si>
    <t>28935293</t>
  </si>
  <si>
    <t>2025-07-08 18:40</t>
  </si>
  <si>
    <t>西安电子科技大学</t>
  </si>
  <si>
    <t>网络与信息安全学院</t>
  </si>
  <si>
    <t>信息安全1</t>
  </si>
  <si>
    <t>2025-07-20 11:06</t>
  </si>
  <si>
    <t>2025-07-20 14:01</t>
  </si>
  <si>
    <t>LP1752980767461</t>
  </si>
  <si>
    <t>大学数学一对一伴学班</t>
  </si>
  <si>
    <t>BJWY2399718106</t>
  </si>
  <si>
    <t>回访人：赵星火，回访时间：2025-07-11 14:25，回访内容：还没回来这边跟进学生情况这边继续维护中；|回访人：赵星火，回访时间：2025-07-15 21:35，回访内容：跟进学生情况还没回复跟进学生情况中继续维护；|回访人：赵星火，回访时间：2025-07-18 17:51，回访内容：王令昌老师这边明天晚上排课上课，跟进中。</t>
  </si>
  <si>
    <t>杨欣</t>
  </si>
  <si>
    <t>119137057</t>
  </si>
  <si>
    <t>张静</t>
  </si>
  <si>
    <t>2025-07-15 10:27:56</t>
  </si>
  <si>
    <t>续费原因：学生专业课还有一本书没有讲解（学生是知道的），老师说大概需要20小时，需要跟进一下【】；该学生为保护期内续费，原顾问：国内大学部-赵星火(zhaoxinghuo@xdf.cn)</t>
  </si>
  <si>
    <t>张静zhangjing370@xdf.cn</t>
  </si>
  <si>
    <t>29087494</t>
  </si>
  <si>
    <t>2025-07-15 11:23</t>
  </si>
  <si>
    <t>北京信息科技大学</t>
  </si>
  <si>
    <t>2025-07-20 17:49</t>
  </si>
  <si>
    <t>2025-07-23 14:09</t>
  </si>
  <si>
    <t>LP17530050182193</t>
  </si>
  <si>
    <t>考研初试专业课一对一（26考季/10小时）</t>
  </si>
  <si>
    <t>XDF3140342751</t>
  </si>
  <si>
    <t>回访人：赵星火，回访时间：2025-07-15 11:23，回访内容：跟进学生情况这边看下续费课时跟进中；|回访人：赵星火，回访时间：2025-07-18 16:14，回访内容：周日送孩子过来再次跟进面谈缴费</t>
  </si>
  <si>
    <t>LP17530049852189</t>
  </si>
  <si>
    <t>119865529</t>
  </si>
  <si>
    <t>吕猛</t>
  </si>
  <si>
    <t>2025-07-19 08:38:20</t>
  </si>
  <si>
    <t>咨询考研课程</t>
  </si>
  <si>
    <t>地图标点</t>
  </si>
  <si>
    <t>张佳卉</t>
  </si>
  <si>
    <t>29203196</t>
  </si>
  <si>
    <t>2025-07-19 10:11</t>
  </si>
  <si>
    <t>吉林建筑大学</t>
  </si>
  <si>
    <t>建筑与规划学院</t>
  </si>
  <si>
    <t>2025-07-19 14:29</t>
  </si>
  <si>
    <t>2025-07-19 15:09</t>
  </si>
  <si>
    <t>ZVVA26001</t>
  </si>
  <si>
    <t>四级暑假集训营（24H冲刺直播）</t>
  </si>
  <si>
    <t>BJWY1792811322</t>
  </si>
  <si>
    <t>ZVVA260010052</t>
  </si>
  <si>
    <t>回访人：谭悦，回访时间：2025-07-19 10:11，回访内容：咨询四级集训营 ，沟通中  ；|回访人：谭悦，回访时间：2025-07-19 14:29，回访内容：签约</t>
  </si>
  <si>
    <t>付凯森</t>
  </si>
  <si>
    <t>102780966</t>
  </si>
  <si>
    <t>郭欣宇</t>
  </si>
  <si>
    <t>2025-05-17 09:35:57</t>
  </si>
  <si>
    <t>13114823325，北京，一对一，在校学生</t>
  </si>
  <si>
    <t>付楷森</t>
  </si>
  <si>
    <t>27908678</t>
  </si>
  <si>
    <t>2025-05-17 14:43</t>
  </si>
  <si>
    <t>考研专业课,考研VIP</t>
  </si>
  <si>
    <t>中国地质大学</t>
  </si>
  <si>
    <t>能源学院</t>
  </si>
  <si>
    <t>碳储科学与工程</t>
  </si>
  <si>
    <t>2025-07-19 11:11</t>
  </si>
  <si>
    <t>2025-07-19 11:36</t>
  </si>
  <si>
    <t>LP1752894699470</t>
  </si>
  <si>
    <t>清北院校升级费</t>
  </si>
  <si>
    <t>BJWY0020300264</t>
  </si>
  <si>
    <t>回访人：赵星火，回访时间：2025-07-11 18:37，回访内容：还在确认保研那边情况，这两天再看下情况中；|回访人：赵星火，回访时间：2025-07-14 20:54，回访内容：跟进学生情况这边要等保研那边情况跟进中；|回访人：赵星火，回访时间：2025-07-17 21:51，回访内容：回访现在的时间安排跟进中继续维护。</t>
  </si>
  <si>
    <t>VIP - 畅学,考研专业课150</t>
  </si>
  <si>
    <t>2745984</t>
  </si>
  <si>
    <t>北京中心菁英计划 菁英A计划（英政数）</t>
  </si>
  <si>
    <t>108274598400000002</t>
  </si>
  <si>
    <t>2748476</t>
  </si>
  <si>
    <t>北京中心菁英计划 菁英计划（专业课30h）</t>
  </si>
  <si>
    <t>108274847600000007</t>
  </si>
  <si>
    <t>未留</t>
  </si>
  <si>
    <t>118980310</t>
  </si>
  <si>
    <t>赵秋侠</t>
  </si>
  <si>
    <t>2025-07-14 13:31:53</t>
  </si>
  <si>
    <t>来源：万创科技姓名：家长联系：13681182428 咨询：考研地区：北京市位置：暂无详细地址备注：咨询考研机构，微信同号
死单激活</t>
  </si>
  <si>
    <t>万创</t>
  </si>
  <si>
    <t>章博涛</t>
  </si>
  <si>
    <t>29094769</t>
  </si>
  <si>
    <t>2025-07-14 14:25</t>
  </si>
  <si>
    <t>河北中医学院</t>
  </si>
  <si>
    <t>针灸推拿学院</t>
  </si>
  <si>
    <t>针灸推拿学</t>
  </si>
  <si>
    <t>2025-07-19 20:44</t>
  </si>
  <si>
    <t>BJWY9829788936</t>
  </si>
  <si>
    <t>KYZ260010059</t>
  </si>
  <si>
    <t>回访人：谭悦，回访时间：2025-07-14 14:25，回访内容：准备来校区面谈沟通  ；|回访人：谭悦，回访时间：2025-07-16 22:43，回访内容：这边准备报名  ；|回访人：谭悦，回访时间：2025-07-17 11:01，回访内容：今天面谈了  面谈完又回去了，说爷爷病了  ；|回访人：谭悦，回访时间：2025-07-19 20:44，回访内容：1签约</t>
  </si>
  <si>
    <t>寒暑假集训营（春秋OMO）,考研专业课300,六级无忧计划,暑假集训营</t>
  </si>
  <si>
    <t>WYS25031</t>
  </si>
  <si>
    <t>WYS250310066</t>
  </si>
  <si>
    <t>KYZ260030012</t>
  </si>
  <si>
    <t>KYJZ260030012</t>
  </si>
  <si>
    <t>KYJY260030012</t>
  </si>
  <si>
    <t>KYJY260010058</t>
  </si>
  <si>
    <t>LP17529274032647</t>
  </si>
  <si>
    <t>郭东言</t>
  </si>
  <si>
    <t>119591892</t>
  </si>
  <si>
    <t>2025-07-17 15:06:41</t>
  </si>
  <si>
    <t>李媛62+liyian62@xdf.cn+id+产业机构-前途出国-前途北京公司-英国一部-咨询组</t>
  </si>
  <si>
    <t>29145415</t>
  </si>
  <si>
    <t>2025-07-17 19:24</t>
  </si>
  <si>
    <t>渭南师范学院</t>
  </si>
  <si>
    <t>体育学院</t>
  </si>
  <si>
    <t>体育教育</t>
  </si>
  <si>
    <t>2025-07-19 20:34</t>
  </si>
  <si>
    <t>2025-07-20 09:55</t>
  </si>
  <si>
    <t>BJWY1044580389</t>
  </si>
  <si>
    <t>KYJY250130006</t>
  </si>
  <si>
    <t xml:space="preserve">回访人：谭悦，回访时间：2025-07-17 19:24，回访内容：今年二战，北师大的体育学硕  ；|回访人：谭悦，回访时间：2025-07-18 16:15，回访内容：明天来营地面谈 沟通  ；|回访人：谭悦，回访时间：2025-07-19 20:34，回访内容：签约 </t>
  </si>
  <si>
    <t>考研专业课300,半年集训营</t>
  </si>
  <si>
    <t>KYJY25013A0081</t>
  </si>
  <si>
    <t>KYJZ25013A0065</t>
  </si>
  <si>
    <t>KYJZ250130006</t>
  </si>
  <si>
    <t>KYZ250130006</t>
  </si>
  <si>
    <t>LP17529278502674</t>
  </si>
  <si>
    <t>119707952</t>
  </si>
  <si>
    <t>2025-07-18 09:58:44</t>
  </si>
  <si>
    <t>考会计专硕，咨询管综线下班，微信联系
渠道录入来源：大众点评
事件名称：在线咨询
大众点评门店名称：新东方考研四六级(中关村总部)
店铺绑定的校区：临时教学校区
店铺管理员邮箱：lvmeng2@xdf.cn
备注：2025-07-18 09:58:36,用户在大众点评新东方考研四六级(中关村总部)在线咨询
</t>
  </si>
  <si>
    <t>孙雨涵</t>
  </si>
  <si>
    <t>29196171</t>
  </si>
  <si>
    <t>2025-07-18 13:50</t>
  </si>
  <si>
    <t>2025-07-19 14:10</t>
  </si>
  <si>
    <t>2025-07-19 14:11</t>
  </si>
  <si>
    <t>BJWY6398433958</t>
  </si>
  <si>
    <t>WYFE260190006</t>
  </si>
  <si>
    <t>回访人：谭悦，回访时间：2025-07-18 13:50，回访内容：下午过来  ；|回访人：谭悦，回访时间：2025-07-19 12:32，回访内容：下午过来，打算报名  ；|回访人：谭悦，回访时间：2025-07-19 14:10，回访内容：签约</t>
  </si>
  <si>
    <t>新媒体管家-点评</t>
  </si>
  <si>
    <t>WYFE260200006</t>
  </si>
  <si>
    <t>91814609</t>
  </si>
  <si>
    <t>2024-12-30 10:18:27</t>
  </si>
  <si>
    <t>大一</t>
  </si>
  <si>
    <t>29193266</t>
  </si>
  <si>
    <t>2025-07-18 10:15</t>
  </si>
  <si>
    <t>2025-07-18 15:01</t>
  </si>
  <si>
    <t>WYF25035</t>
  </si>
  <si>
    <t>取消四级无忧计划</t>
  </si>
  <si>
    <t>WYF250350010</t>
  </si>
  <si>
    <t>回访人：谭悦，回访时间：2025-07-18 10:15，回访内容：1；|回访人：谭悦，回访时间：2025-07-18 15:01，回访内容：签约</t>
  </si>
  <si>
    <t>李嘉译</t>
  </si>
  <si>
    <t>117639022</t>
  </si>
  <si>
    <t>史友娟</t>
  </si>
  <si>
    <t>2025-07-04 16:57:46</t>
  </si>
  <si>
    <t>续费原因：续费一对一，辛苦流转原顾问谭悦；该学生为保护期内续费，原顾问：国内大学部-谭悦(tanyue9@xdf.cn)</t>
  </si>
  <si>
    <t>史友娟shiyoujuan@xdf.cn</t>
  </si>
  <si>
    <t>28862302</t>
  </si>
  <si>
    <t>2025-07-04 17:17</t>
  </si>
  <si>
    <t>天津音乐学院</t>
  </si>
  <si>
    <t>舞蹈学系</t>
  </si>
  <si>
    <t>舞蹈表演</t>
  </si>
  <si>
    <t>2025-07-18 10:25</t>
  </si>
  <si>
    <t>2025-07-18 14:54</t>
  </si>
  <si>
    <t>LP1752805532290</t>
  </si>
  <si>
    <t>26考研一对一伴学（50h/无忧）</t>
  </si>
  <si>
    <t>BJWY6350503751</t>
  </si>
  <si>
    <t>回访人：谭悦，回访时间：2025-07-10 18:47，回访内容：微信跟进中，考研续费推荐；|回访人：谭悦，回访时间：2025-07-17 12:16，回访内容：已签协议</t>
  </si>
  <si>
    <t>王</t>
  </si>
  <si>
    <t>118939221</t>
  </si>
  <si>
    <t>2025-07-14 10:07:56</t>
  </si>
  <si>
    <t>13716682784，北京，一对一，二战</t>
  </si>
  <si>
    <t>王烽</t>
  </si>
  <si>
    <t>29093255</t>
  </si>
  <si>
    <t>2025-07-14 12:01</t>
  </si>
  <si>
    <t>考研集训营,考研VIP</t>
  </si>
  <si>
    <t>贵州大学</t>
  </si>
  <si>
    <t>物理学（含射电天文方向）</t>
  </si>
  <si>
    <t>2025-07-18 14:57</t>
  </si>
  <si>
    <t>BJWY7517054371</t>
  </si>
  <si>
    <t>KYJY25010A0067</t>
  </si>
  <si>
    <t xml:space="preserve">回访人：谭悦，回访时间：2025-07-14 12:01，回访内容：物理学，英语单科没过线，英一， 32分，国家线34，北工大，高考英语63， 贵州大学211，
北京孩子，去年有一半时间放在英语上，背单词看题， 听网课，
20周，按照4小时  ,80小时，  ；|回访人：谭悦，回访时间：2025-07-16 17:11，回访内容：微信跟进中，准备报名啦   ；|回访人：谭悦，回访时间：2025-07-18 14:57，回访内容：签约 </t>
  </si>
  <si>
    <t>KYJZ250130003</t>
  </si>
  <si>
    <t>KYJZ25010A0066</t>
  </si>
  <si>
    <t>KYZ250130003</t>
  </si>
  <si>
    <t>KYJY250130003</t>
  </si>
  <si>
    <t>齐子涵</t>
  </si>
  <si>
    <t>118891567</t>
  </si>
  <si>
    <t>王天义</t>
  </si>
  <si>
    <t>2025-07-13 16:45:37</t>
  </si>
  <si>
    <t>续费原因：「个性化一对一」根据所剩课时和学情，给学生推荐了 7 月份优惠活动，学生约我 魏公村23 号面谈。；该学生为保护期内续费，原顾问：国内大学部-李崇宇(lichongyu1@xdf.cn)</t>
  </si>
  <si>
    <t>王天义wangtianyi56@xdf.cn</t>
  </si>
  <si>
    <t>28992078</t>
  </si>
  <si>
    <t>2025-07-13 16:52</t>
  </si>
  <si>
    <t>中国农业大学</t>
  </si>
  <si>
    <t>农业工程</t>
  </si>
  <si>
    <t>2025-07-18 12:10</t>
  </si>
  <si>
    <t>2025-07-18 12:27</t>
  </si>
  <si>
    <t>LP1752811817703</t>
  </si>
  <si>
    <t>26考研一对一（限时活动）</t>
  </si>
  <si>
    <t>BJWY2929284490</t>
  </si>
  <si>
    <t>回访人：赵星火，回访时间：2025-07-13 16:52，回访内容：表示学管老师先面谈再次跟进学生中继续维护</t>
  </si>
  <si>
    <t>118900527</t>
  </si>
  <si>
    <t>2025-07-13 11:01:15</t>
  </si>
  <si>
    <t>京内会销/讲座</t>
  </si>
  <si>
    <t>兰昊谊</t>
  </si>
  <si>
    <t>钱雪冰</t>
  </si>
  <si>
    <t>29053464</t>
  </si>
  <si>
    <t>2025-07-17 15:18</t>
  </si>
  <si>
    <t>信息管理学院</t>
  </si>
  <si>
    <t>电子商务</t>
  </si>
  <si>
    <t>2025-07-18 11:16</t>
  </si>
  <si>
    <t>2025-07-18 12:15</t>
  </si>
  <si>
    <t>BJWY5645379088</t>
  </si>
  <si>
    <t>回访人：谭悦，回访时间：2025-07-13 11:05，回访内容：1；|回访人：谭悦，回访时间：2025-07-13 11:08，回访内容：二战，去年考了国家线，考虑封闭集训半年营，；|回访人：谭悦，回访时间：2025-07-16 21:30，回访内容：孩子不学 考虑中  ；|回访人：钱雪冰，回访时间：2025-07-17 17:10，回访内容：22408，建议先按照11来，课程反馈还不错，再去沟通一下。；|回访人：钱雪冰，回访时间：2025-07-18 11:16，回访内容：报名</t>
  </si>
  <si>
    <t>半年集训营,考研专业课150</t>
  </si>
  <si>
    <t>王元盛</t>
  </si>
  <si>
    <t>117704145</t>
  </si>
  <si>
    <t>郝琨</t>
  </si>
  <si>
    <t>2025-07-05 09:48:59</t>
  </si>
  <si>
    <t>续费原因：学生一对一加课时，辛苦高老师沟通；该学生为保护期内续费，原顾问：国内大学部-高龙明(gaolongming@xdf.cn)</t>
  </si>
  <si>
    <t>郝琨haokun@xdf.cn</t>
  </si>
  <si>
    <t>28806461</t>
  </si>
  <si>
    <t>2025-07-05 10:01</t>
  </si>
  <si>
    <t>2025-07-18 11:28</t>
  </si>
  <si>
    <t>2025-07-18 11:50</t>
  </si>
  <si>
    <t>BJWY9098738950</t>
  </si>
  <si>
    <t>回访人：高龙明，回访时间：2025-07-09 14:18，回访内容：没接；|回访人：高龙明，回访时间：2025-07-11 18:38，回访内容：下周一缴费；|回访人：高龙明，回访时间：2025-07-14 10:16，回访内容：修改标签；|回访人：高龙明，回访时间：2025-07-14 18:47，回访内容：没接；|回访人：高龙明，回访时间：2025-07-15 18:54，回访内容：已储值；|回访人：高龙明，回访时间：2025-07-18 11:16，回访内容：高龙明进行了退单操作!(本条回访记录由系统自动记录)</t>
  </si>
  <si>
    <t>王帆</t>
  </si>
  <si>
    <t>118990445</t>
  </si>
  <si>
    <t>2025-07-14 13:53:37</t>
  </si>
  <si>
    <t>续费原因：学生想续报数学一对一课程；该学生为保护期内续费，原顾问：国内大学部-谭悦(tanyue9@xdf.cn)</t>
  </si>
  <si>
    <t>29079738</t>
  </si>
  <si>
    <t>2025-07-14 14:02</t>
  </si>
  <si>
    <t>北京邮电大学世纪学院</t>
  </si>
  <si>
    <t>外语系</t>
  </si>
  <si>
    <t>2025-07-17 18:50</t>
  </si>
  <si>
    <t>2025-07-17 20:09</t>
  </si>
  <si>
    <t>LP17527494072295</t>
  </si>
  <si>
    <t>考研初试专业课一对一（26考研/无忧经综）</t>
  </si>
  <si>
    <t>BJWY7391608980</t>
  </si>
  <si>
    <t xml:space="preserve">回访人：谭悦，回访时间：2025-07-14 14:02，回访内容：跟进考研一对一，续费  </t>
  </si>
  <si>
    <t>曹泽恒</t>
  </si>
  <si>
    <t>117417373</t>
  </si>
  <si>
    <t>2025-07-03 15:46:36</t>
  </si>
  <si>
    <t>续费原因：续费专业课；该学生为保护期内续费，原顾问：国内大学部-赵星火(zhaoxinghuo@xdf.cn)</t>
  </si>
  <si>
    <t>28788780</t>
  </si>
  <si>
    <t>2025-07-03 15:57</t>
  </si>
  <si>
    <t>土木工程</t>
  </si>
  <si>
    <t>2025-07-17 11:42</t>
  </si>
  <si>
    <t>2025-07-17 13:12</t>
  </si>
  <si>
    <t>LP1752723764664</t>
  </si>
  <si>
    <t>考研初试专业课一对一（26考研/集训10小时）</t>
  </si>
  <si>
    <t>BJWY4116308585</t>
  </si>
  <si>
    <t>回访人：赵星火，回访时间：2025-07-11 16:34，回访内容：在读学生短期没有课程需求跟进学生考虑中。</t>
  </si>
  <si>
    <t>LP1752723782666</t>
  </si>
  <si>
    <t>闵楚雯</t>
  </si>
  <si>
    <t>119284303</t>
  </si>
  <si>
    <t>2025-07-16 07:05:07</t>
  </si>
  <si>
    <t>29001556</t>
  </si>
  <si>
    <t>2025-07-16 10:58</t>
  </si>
  <si>
    <t>电子信息工程（实验班）</t>
  </si>
  <si>
    <t>2025-07-17 11:45</t>
  </si>
  <si>
    <t>YKS25005</t>
  </si>
  <si>
    <t>六级精英计划（新大一专属）</t>
  </si>
  <si>
    <t>BJWY8496294147</t>
  </si>
  <si>
    <t>YKS250050003</t>
  </si>
  <si>
    <t>回访人：赵星火，回访时间：2025-07-16 10:58，回访内容：签约；|回访人：赵星火，回访时间：2025-07-17 11:45，回访内容：1</t>
  </si>
  <si>
    <t>贺暄恒</t>
  </si>
  <si>
    <t>119080703</t>
  </si>
  <si>
    <t>2025-07-14 18:34:38</t>
  </si>
  <si>
    <t>续费原因：无忧班课学员续一对一；该学生为保护期内续费，原顾问：国内大学部-谭悦(tanyue9@xdf.cn)</t>
  </si>
  <si>
    <t>29084947</t>
  </si>
  <si>
    <t>2025-07-14 19:18</t>
  </si>
  <si>
    <t>北京建筑大学</t>
  </si>
  <si>
    <t>建筑与城市规划学院</t>
  </si>
  <si>
    <t>2025-07-16 19:05</t>
  </si>
  <si>
    <t>2025-07-16 19:06</t>
  </si>
  <si>
    <t>LP17526639382637</t>
  </si>
  <si>
    <t>BJWY9142571360</t>
  </si>
  <si>
    <t xml:space="preserve">回访人：谭悦，回访时间：2025-07-14 19:18，回访内容：跟进续费  </t>
  </si>
  <si>
    <t>29079698</t>
  </si>
  <si>
    <t>2025-07-14 13:58</t>
  </si>
  <si>
    <t>2025-07-16 18:04</t>
  </si>
  <si>
    <t>WYF250350005</t>
  </si>
  <si>
    <t xml:space="preserve">回访人：谭悦，回访时间：2025-07-14 13:58，回访内容：开学大三，四级班，线上线下，加微信  ；|回访人：谭悦，回访时间：2025-07-15 19:35，回访内容：微信跟进中，四级班课，跟进 ；|回访人：谭悦，回访时间：2025-07-16 18:04，回访内容：签约  </t>
  </si>
  <si>
    <t>达温娜</t>
  </si>
  <si>
    <t>107420795</t>
  </si>
  <si>
    <t>2025-06-02 09:01:01</t>
  </si>
  <si>
    <t>直访/陈伟钰老师接待(资源备注人:赵秋侠;资源备注时间:2025-02-25 09:08)（TMK主管分配TMK）</t>
  </si>
  <si>
    <t>2025-07-02 17:40:26</t>
  </si>
  <si>
    <t>28780429</t>
  </si>
  <si>
    <t>2025-07-02 18:01</t>
  </si>
  <si>
    <t>国防科技大学</t>
  </si>
  <si>
    <t>法学</t>
  </si>
  <si>
    <t>2025-07-16 14:41</t>
  </si>
  <si>
    <t>2025-07-16 14:42</t>
  </si>
  <si>
    <t>LP17526480711257</t>
  </si>
  <si>
    <t>考研一对一伴学班（定制/26考季）</t>
  </si>
  <si>
    <t>BJWY4116354975</t>
  </si>
  <si>
    <t>回访人：赵星火，回访时间：2025-07-07 18:04，回访内容：电话没有接通，微信问一下，现在考虑回复，继续维护；|回访人：赵星火，回访时间：2025-07-11 16:48，回访内容：电话呼出联系不上学生微信上跟进中继续维护；|回访人：赵星火，回访时间：2025-07-15 18:10，回访内容：表示后天这边再说缴费跟进中，现在不方便</t>
  </si>
  <si>
    <t>恩海幼儿园</t>
  </si>
  <si>
    <t>117831683</t>
  </si>
  <si>
    <t>康荧</t>
  </si>
  <si>
    <t>2025-07-07 00:45:12</t>
  </si>
  <si>
    <t>【小红书资源】
咨询考研课程，IP地址在北京</t>
  </si>
  <si>
    <t>赵天心</t>
  </si>
  <si>
    <t>28965488</t>
  </si>
  <si>
    <t>2025-07-10 14:38</t>
  </si>
  <si>
    <t>北京理工大学</t>
  </si>
  <si>
    <t>自动化学院</t>
  </si>
  <si>
    <t>电气工程及其自动化</t>
  </si>
  <si>
    <t>2025-07-16 19:32</t>
  </si>
  <si>
    <t>2025-07-17 11:41</t>
  </si>
  <si>
    <t>BJWY5810617539</t>
  </si>
  <si>
    <t>WYFP260100013</t>
  </si>
  <si>
    <t>回访人：赵星火，回访时间：2025-07-10 14:38，回访内容：电话一直不接，微信通过咨询线上英语今年还没有开始学习政治也顺便看一下；|回访人：赵星火，回访时间：2025-07-13 14:24，回访内容：今天试听；|回访人：赵星火，回访时间：2025-07-13 18:00，回访内容：考北理工本校的研究生，英政数专，考虑线上但是也问了线下辅导，看下合适的课程体系；|回访人：赵星火，回访时间：2025-07-15 19:30，回访内容：电话呼出联系不上学生微信上问下跟进中；|回访人：赵星火，回访时间：2025-07-16 19:32，回访内容：1</t>
  </si>
  <si>
    <t>WYFE26017</t>
  </si>
  <si>
    <t>考研英语无忧计划蜂鸟（26考研/英一强化）</t>
  </si>
  <si>
    <t>WYFE260170011</t>
  </si>
  <si>
    <t>WYFP260090013</t>
  </si>
  <si>
    <t>WYFE26018</t>
  </si>
  <si>
    <t>考研英语无忧计划蜂鸟（26考研/英一冲刺）</t>
  </si>
  <si>
    <t>WYFE260180011</t>
  </si>
  <si>
    <t>魏诗雅</t>
  </si>
  <si>
    <t>119099313</t>
  </si>
  <si>
    <t>张泽</t>
  </si>
  <si>
    <t>2025-07-15 10:10:36</t>
  </si>
  <si>
    <t>续费原因：【个性化】一对一需求，后面临近考试学生害怕需要辅导，想先把课时占上，多于82课时的16个小时先把课时费补了，到时候看情况再调整一下；该学生为保护期内续费，原顾问：国内大学部-谭悦(tanyue9@xdf.cn)</t>
  </si>
  <si>
    <t>张泽zhangze7@xdf.cn</t>
  </si>
  <si>
    <t>29107131</t>
  </si>
  <si>
    <t>2025-07-15 15:57</t>
  </si>
  <si>
    <t>兰州大学</t>
  </si>
  <si>
    <t>物理科学与技术学院</t>
  </si>
  <si>
    <t>2025-07-15 16:04</t>
  </si>
  <si>
    <t>2025-07-15 16:06</t>
  </si>
  <si>
    <t>LP17525666902089</t>
  </si>
  <si>
    <t>BJWY0583022130</t>
  </si>
  <si>
    <t xml:space="preserve">回访人：谭悦，回访时间：2025-07-15 15:57，回访内容：签约 </t>
  </si>
  <si>
    <t>高世雄</t>
  </si>
  <si>
    <t>118984208</t>
  </si>
  <si>
    <t>2025-07-14 11:41:21</t>
  </si>
  <si>
    <t>罗玉骏+luoyujun@xdf.cn+ID+国际教育培训事业部-国际教育北京中心-运营管理部-运营中心-国贸分中心销售一部
赵星火</t>
  </si>
  <si>
    <t>罗玉骏+luoyujun@xdf.cn+ID+国际教育培训事业部-国际教育北京中心-运营管理部-运营中心-国贸分中心销售一部</t>
  </si>
  <si>
    <t>28993916</t>
  </si>
  <si>
    <t>2025-07-14 11:45</t>
  </si>
  <si>
    <t>衡水市第二中学</t>
  </si>
  <si>
    <t>新大一</t>
  </si>
  <si>
    <t>2025-07-14 11:57</t>
  </si>
  <si>
    <t>2025-07-14 14:44</t>
  </si>
  <si>
    <t>YKF25002</t>
  </si>
  <si>
    <t>BJWY6850865951</t>
  </si>
  <si>
    <t>YKF250020023</t>
  </si>
  <si>
    <t>回访人：赵星火，回访时间：2025-07-14 11:45，回访内容：1；|回访人：赵星火，回访时间：2025-07-14 11:57，回访内容：1</t>
  </si>
  <si>
    <t>81084523</t>
  </si>
  <si>
    <t>2024-07-28 12:57:03</t>
  </si>
  <si>
    <t>渠道录入来源：SCRM-客服推送
商机ID：5006761505
商机编码：XSJ20240728010604
针对人群：大学
学生学校：不详
咨询课程：英语二
创建人邮箱：zhangzhe24@xdf.cn
创建时间：2024-07-28 12:56:59
资源类型：单个资源
跟进记录：商机备注：【呼入组+57640818】本人来电，暑假后大二，四级成绩还没出来，高考成绩120，咨询国内考研，中央民族大学的，魏公村最近，辛苦老师跟进;接触点：呼入；
</t>
  </si>
  <si>
    <t>吕金泽</t>
  </si>
  <si>
    <t>28422016</t>
  </si>
  <si>
    <t>2025-06-18 14:54</t>
  </si>
  <si>
    <t>中央民族大学</t>
  </si>
  <si>
    <t>理学院</t>
  </si>
  <si>
    <t>光电信息科学与工程</t>
  </si>
  <si>
    <t>2025-07-14 10:21</t>
  </si>
  <si>
    <t>2025-07-14 10:32</t>
  </si>
  <si>
    <t>扩科续费</t>
  </si>
  <si>
    <t>BJWY6032294372</t>
  </si>
  <si>
    <t>WYE270180008</t>
  </si>
  <si>
    <t xml:space="preserve">回访人：谭悦，回访时间：2025-07-05 19:43，回访内容：跟进中 考研学习 规划 27考研走读班  ；|回访人：谭悦，回访时间：2025-07-12 17:49，回访内容：沟通完现在不回复了，邀约；|回访人：谭悦，回访时间：2025-07-14 10:21，回访内容：签约 </t>
  </si>
  <si>
    <t>无忧计划-啄木鸟,考研专业课300</t>
  </si>
  <si>
    <t>英语,数学,专业课300</t>
  </si>
  <si>
    <t>WYP27010</t>
  </si>
  <si>
    <t>WYP270100040</t>
  </si>
  <si>
    <t>WYP27012</t>
  </si>
  <si>
    <t>WYP270120040</t>
  </si>
  <si>
    <t>WYP27011</t>
  </si>
  <si>
    <t>WYP270110040</t>
  </si>
  <si>
    <t>WYE270160031</t>
  </si>
  <si>
    <t>WYE270300018</t>
  </si>
  <si>
    <t>LP1752459710275</t>
  </si>
  <si>
    <t>考研初试专业课一对一（27考研/无忧50小时）</t>
  </si>
  <si>
    <t>芦郁荃</t>
  </si>
  <si>
    <t>118753006</t>
  </si>
  <si>
    <t>2025-07-11 21:37:19</t>
  </si>
  <si>
    <t>续费原因：「一对一」个性化，续费，意向非常大，预计 13 号缴费；该学生为保护期内续费，原顾问：国内大学部-赵星火(zhaoxinghuo@xdf.cn)</t>
  </si>
  <si>
    <t>29043633</t>
  </si>
  <si>
    <t>2025-07-12 09:36</t>
  </si>
  <si>
    <t>环境与生命学部</t>
  </si>
  <si>
    <t>环境工程</t>
  </si>
  <si>
    <t>2025-07-14 10:18</t>
  </si>
  <si>
    <t>2025-07-14 10:51</t>
  </si>
  <si>
    <t>LP1752459537260</t>
  </si>
  <si>
    <t>BJWY5825539586</t>
  </si>
  <si>
    <t>回访人：赵星火，回访时间：2025-07-12 09:36，回访内容：跟进学生情况这边继续维护中；|回访人：赵星火，回访时间：2025-07-13 14:04，回访内容：核对课时看下课时考虑跟进学生情况中继续维护</t>
  </si>
  <si>
    <t>118825428</t>
  </si>
  <si>
    <t>2025-07-12 18:57:06</t>
  </si>
  <si>
    <t>王婉欣</t>
  </si>
  <si>
    <t>冯蕴玮</t>
  </si>
  <si>
    <t>29067404</t>
  </si>
  <si>
    <t>2025-07-12 18:59</t>
  </si>
  <si>
    <t>北京市第二十中学</t>
  </si>
  <si>
    <t>2025-07-13 19:32</t>
  </si>
  <si>
    <t>WYF25031</t>
  </si>
  <si>
    <t>BJWY5684155193</t>
  </si>
  <si>
    <t>WYF250310053</t>
  </si>
  <si>
    <t>2025-07-13</t>
  </si>
  <si>
    <t>回访人：赵星火，回访时间：2025-07-12 18:59，回访内容：1；|回访人：赵星火，回访时间：2025-07-13 14:00，回访内容：给到名额紧张，抓紧报名，问一下自己孩子的一个学习情况；|回访人：赵星火，回访时间：2025-07-13 19:32，回访内容：1</t>
  </si>
  <si>
    <t>29058983</t>
  </si>
  <si>
    <t>2025-07-13 17:43</t>
  </si>
  <si>
    <t>2025-07-13 17:48</t>
  </si>
  <si>
    <t>KYJY25010A0065</t>
  </si>
  <si>
    <t>回访人：谭悦，回访时间：2025-07-13 17:43，回访内容：考马理论；|回访人：谭悦，回访时间：2025-07-13 17:48，回访内容：签约</t>
  </si>
  <si>
    <t>KYZ25011</t>
  </si>
  <si>
    <t>KYZ250110075</t>
  </si>
  <si>
    <t>KYJZ25012</t>
  </si>
  <si>
    <t>KYJZ250120069</t>
  </si>
  <si>
    <t>KYJY25012</t>
  </si>
  <si>
    <t>KYJY250120077</t>
  </si>
  <si>
    <t>KYJZ25010A0064</t>
  </si>
  <si>
    <t>贾佳霖</t>
  </si>
  <si>
    <t>118910531</t>
  </si>
  <si>
    <t>陈号东</t>
  </si>
  <si>
    <t>2025-07-13 14:16:13</t>
  </si>
  <si>
    <t>续费原因：学生扩科政治；该学生为保护期内续费，原顾问：国内大学部-谭悦(tanyue9@xdf.cn)</t>
  </si>
  <si>
    <t>陈号东chenhaodong5@xdf.cn</t>
  </si>
  <si>
    <t>29055531</t>
  </si>
  <si>
    <t>2025-07-13 14:24</t>
  </si>
  <si>
    <t>化学工程学院</t>
  </si>
  <si>
    <t>2025-07-13 14:25</t>
  </si>
  <si>
    <t>WYFP26012</t>
  </si>
  <si>
    <t>BJWY0479852281</t>
  </si>
  <si>
    <t>WYFP260120008</t>
  </si>
  <si>
    <t>回访人：谭悦，回访时间：2025-07-13 14:24，回访内容：续费政治，转陈号东老师续费</t>
  </si>
  <si>
    <t>政治</t>
  </si>
  <si>
    <t>WYFP26011</t>
  </si>
  <si>
    <t>WYFP260110008</t>
  </si>
  <si>
    <t>118825669</t>
  </si>
  <si>
    <t>2025-07-12 19:18:59</t>
  </si>
  <si>
    <t>需要集训营
</t>
  </si>
  <si>
    <t>91搜课网</t>
  </si>
  <si>
    <t>张晨曦</t>
  </si>
  <si>
    <t>29067600</t>
  </si>
  <si>
    <t>2025-07-12 19:30</t>
  </si>
  <si>
    <t>北京师范大学</t>
  </si>
  <si>
    <t>地理科学学部</t>
  </si>
  <si>
    <t>自然地理与资源环境</t>
  </si>
  <si>
    <t>2025-07-13 10:34</t>
  </si>
  <si>
    <t>2025-07-13 10:44</t>
  </si>
  <si>
    <t>LP1752374045506</t>
  </si>
  <si>
    <t>BJWY2377697031</t>
  </si>
  <si>
    <t>回访人：谭悦，回访时间：2025-07-12 19:30，回访内容：1；|回访人：谭悦，回访时间：2025-07-12 19:35，回访内容：微信跟进中，准备报名一对一</t>
  </si>
  <si>
    <t>活在梦里的人</t>
  </si>
  <si>
    <t>118747980</t>
  </si>
  <si>
    <t>2025-07-11 20:35:00</t>
  </si>
  <si>
    <t>刘博</t>
  </si>
  <si>
    <t>29067310</t>
  </si>
  <si>
    <t>2025-07-12 18:50</t>
  </si>
  <si>
    <t>北方工业大学</t>
  </si>
  <si>
    <t>土木工程学院</t>
  </si>
  <si>
    <t>土木工程1</t>
  </si>
  <si>
    <t>2025-07-13 10:02</t>
  </si>
  <si>
    <t>2025-07-13 10:03</t>
  </si>
  <si>
    <t>KYJY25017</t>
  </si>
  <si>
    <t>26考研英语OMO全程集训营（政英二联报）</t>
  </si>
  <si>
    <t>BJWY3086891052</t>
  </si>
  <si>
    <t>KYJY250170078</t>
  </si>
  <si>
    <t>回访人：谭悦，回访时间：2025-07-12 18:50，回访内容：暑假集训营，英政  ；|回访人：谭悦，回访时间：2025-07-13 10:02，回访内容：签约</t>
  </si>
  <si>
    <t>暑假集训营</t>
  </si>
  <si>
    <t>KYJZ25017</t>
  </si>
  <si>
    <t>26考研政治OMO全程集训营（政英联报）</t>
  </si>
  <si>
    <t>KYJZ250170054</t>
  </si>
  <si>
    <t>KYZ25016</t>
  </si>
  <si>
    <t>26考研OMO全程集训营（住宿费/政英）</t>
  </si>
  <si>
    <t>KYZ250160106</t>
  </si>
  <si>
    <t>学员105541561</t>
  </si>
  <si>
    <t>115373944</t>
  </si>
  <si>
    <t>2025-06-19 21:04:49</t>
  </si>
  <si>
    <t>资源录入来源：考研APP资源流转
生源地:北京市
年级:大二
就读学校:北京邮电大学
就读专业:其他
计划考研年份:2027
信息类型:择校预约
关注时间:2025-06-19 21:04:49
意向院校:无
意向专业:无
信息类型:择校预约
关注时间:2025-06-19 21:04:58
意向院校:无
意向专业:无
</t>
  </si>
  <si>
    <t>2026财年第1财月考研APP资源流转</t>
  </si>
  <si>
    <t>考研APP（主动）</t>
  </si>
  <si>
    <t>2025-06-20 16:42:53</t>
  </si>
  <si>
    <t>李聪博</t>
  </si>
  <si>
    <t>28505583</t>
  </si>
  <si>
    <t>2025-06-20 17:24</t>
  </si>
  <si>
    <t>国际学院</t>
  </si>
  <si>
    <t>电信工程及管理</t>
  </si>
  <si>
    <t>2025-07-15 17:06</t>
  </si>
  <si>
    <t>WYE27025</t>
  </si>
  <si>
    <t>考研英语无忧计划（27考研/英一冲刺）</t>
  </si>
  <si>
    <t>BJWY1348191549</t>
  </si>
  <si>
    <t>WYE270250025</t>
  </si>
  <si>
    <t>回访人：赵星火，回访时间：2025-07-09 16:48，回访内容：临时有事明天回访；|回访人：赵星火，回访时间：2025-07-10 19:05，回访内容：跟进学生情况给到新开班继续维护中，继续维护。；|回访人：赵星火，回访时间：2025-07-12 19:54，回访内容：表示明天这边确认一下再说，现在在忙；|回访人：赵星火，回访时间：2025-07-15 17:06，回访内容：1</t>
  </si>
  <si>
    <t>考研APP</t>
  </si>
  <si>
    <t>WYP27003</t>
  </si>
  <si>
    <t>WYP270030050</t>
  </si>
  <si>
    <t>WYP27002</t>
  </si>
  <si>
    <t>WYP270020050</t>
  </si>
  <si>
    <t>WYE27002</t>
  </si>
  <si>
    <t>考研英语无忧计划（27考研/英一强化）</t>
  </si>
  <si>
    <t>WYE270020042</t>
  </si>
  <si>
    <t>WYP27001</t>
  </si>
  <si>
    <t>WYP270010050</t>
  </si>
  <si>
    <t>WYM270100017</t>
  </si>
  <si>
    <t>WYM270010027</t>
  </si>
  <si>
    <t>WYE270060010</t>
  </si>
  <si>
    <t>WYM270020027</t>
  </si>
  <si>
    <t>LP17523940532344</t>
  </si>
  <si>
    <t>程家长</t>
  </si>
  <si>
    <t>84122164</t>
  </si>
  <si>
    <t>杨俊</t>
  </si>
  <si>
    <t>2024-09-07 11:21:25</t>
  </si>
  <si>
    <t>知了好学</t>
  </si>
  <si>
    <t>2025-07-10 16:45:57</t>
  </si>
  <si>
    <t>张毓珂</t>
  </si>
  <si>
    <t>29016535</t>
  </si>
  <si>
    <t>2025-07-10 17:16</t>
  </si>
  <si>
    <t>研究生以上</t>
  </si>
  <si>
    <t>中南林业科技大学</t>
  </si>
  <si>
    <t>风景园林学院</t>
  </si>
  <si>
    <t>风景园林</t>
  </si>
  <si>
    <t>2025-07-12 17:12</t>
  </si>
  <si>
    <t>2025-07-12 17:13</t>
  </si>
  <si>
    <t>WYSJ25033</t>
  </si>
  <si>
    <t>BJWY7441851260</t>
  </si>
  <si>
    <t>WYSJ250330069</t>
  </si>
  <si>
    <t>2025-07-12</t>
  </si>
  <si>
    <t>回访人：赵星火，回访时间：2025-07-10 17:16，回访内容：咨询六级线上网课内容，跟进中继续维护；|回访人：赵星火，回访时间：2025-07-11 11:23，回访内容：回访现在的考虑这边跟进学生继续维护。；|回访人：赵星火，回访时间：2025-07-12 17:12，回访内容：1</t>
  </si>
  <si>
    <t>北京dc2f</t>
  </si>
  <si>
    <t>118735072</t>
  </si>
  <si>
    <t>2025-07-11 23:42:25</t>
  </si>
  <si>
    <t>渠道录入来源：集团百度投放-易聊
意向城市：北京
访客省/城市：北京
qq: 
访客静态ID：8e408e8871afbfdf429220270418dc2f
接待分组ID：10101749
搜索引擎：www.baidu.com
搜索词：考研政治肖荣秀
关键词：肖秀荣考研政治
设备类型：phone
访客IP：114.245.193.62
对话详细内容：AI-KvNH7xJ0CDBY 2025-07-11 23:39:11
您好同学，欢迎访问新东方考研官网，【新东方考研】全新升级，课程灵活多样，【考研全年集训营】【考研半年集训营】【考研冲刺营】【线下走读班】【考研一对一】【在职考研】【四六级】火热报名中 ，现在报名更有高达3000元优惠！
AI-KvNH7xJ0CDBY 2025-07-11 23:39:12
您是想咨询【考研走读班】【考研集训营】【考研规划】还是【在职考研】呢？
8e408e8871afbfdf429220270418dc2f 2025-07-11 23:41:02
大三学生考研半年冲刺班英语+政治( 肖秀荣)
AI-KvNH7xJ0CDBY 2025-07-11 23:41:05
有的
AI-KvNH7xJ0CDBY 2025-07-11 23:41:06
具体是想报考什么学校和专业呢？
8e408e8871afbfdf429220270418dc2f 2025-07-11 23:41:36
联大文物专业
AI-KvNH7xJ0CDBY 2025-07-11 23:41:40
好的，了解。我们新东方在全国32个城市都有校区，您倾向在哪个城市上课，或者希望哪里的老师给您介绍下呢？
8e408e8871afbfdf429220270418dc2f 2025-07-11 23:41:59
北京联合大学。北京
AI-KvNH7xJ0CDBY 2025-07-11 23:42:03
您可以留下您的姓名和电话，我这边可以立刻安排对应校区顾问老师给您回电！
8e408e8871afbfdf429220270418dc2f 2025-07-11 23:42:20
我的联系方式：13910728163
8e408e8871afbfdf429220270418dc2f 2025-07-11 23:42:20
百度系统消息-行为轨迹:【百度】用户已留联，通过聆音回访获得实时无效返款：https://aisite.wejianzhan.com/site/wjz2tdly/5f6d3d18-a30c-41e9-9d39-6be046109511?reqCode=LYST-4N3HBM00618GBPC7HHLBIKQMRJ
AI-KvNH7xJ0CDBY 2025-07-11 23:42:24
好的，确认一下你的号码是否正确呢~
来源页：http://www.baidu.com/bcp
备注：</t>
  </si>
  <si>
    <t>陈想</t>
  </si>
  <si>
    <t>29044098</t>
  </si>
  <si>
    <t>2025-07-12 10:32</t>
  </si>
  <si>
    <t>北京联合大学</t>
  </si>
  <si>
    <t>应用文理学院</t>
  </si>
  <si>
    <t>文物与博物馆学</t>
  </si>
  <si>
    <t>2025-07-12 16:48</t>
  </si>
  <si>
    <t>BJWY5668163432</t>
  </si>
  <si>
    <t>WYFE260190004</t>
  </si>
  <si>
    <t>回访人：赵星火，回访时间：2025-07-12 10:32，回访内容：专业课安排好了，校内的，现在四级452分，政治想要名师授课，这边暑假还要首博物馆实习一个月到9.10才能学习，咨询课程辅导下午面谈；|回访人：赵星火，回访时间：2025-07-12 16:48，回访内容：1</t>
  </si>
  <si>
    <t>WYFE260200004</t>
  </si>
  <si>
    <t>WYFP260100011</t>
  </si>
  <si>
    <t>WYFP260090011</t>
  </si>
  <si>
    <t>张纯懿</t>
  </si>
  <si>
    <t>115559155</t>
  </si>
  <si>
    <t>2025-06-22 20:22:28</t>
  </si>
  <si>
    <t>续费原因：张纯懿一对一需求，强化/冲刺阶段规划课时164小时，目前系统剩余110小时可排 预计7月份可以续费；该学生为保护期内续费，原顾问：国内大学部-苏乾楠(suqiannan@xdf.cn)</t>
  </si>
  <si>
    <t>苏乾楠</t>
  </si>
  <si>
    <t>28555975</t>
  </si>
  <si>
    <t>2025-06-22 20:35</t>
  </si>
  <si>
    <t>中国石油大学（北京）</t>
  </si>
  <si>
    <t>新能源与材料学院</t>
  </si>
  <si>
    <t>储能科学与工程</t>
  </si>
  <si>
    <t>2025-07-12 13:39</t>
  </si>
  <si>
    <t>2025-07-12 14:06</t>
  </si>
  <si>
    <t>BJWY4947069192</t>
  </si>
  <si>
    <t>回访人：苏乾楠，回访时间：2025-07-03 19:42，回访内容：今天找了小泽老师沟通学生到九月份就没有课时了，必然是要续费的，然后家长对课时也没有疑问，然后就等着看能规划出来多少课时吧；|回访人：苏乾楠，回访时间：2025-07-07 15:48，回访内容：按照计划 现在需要140多小时 家长计划是88小时以上先 谭悦老师跟进 差不多 这几天了吧；|回访人：苏乾楠，回访时间：2025-07-09 11:19，回访内容：明天校区来面谈。谭悦老师接待；|回访人：苏乾楠，回访时间：2025-07-10 18:00，回访内容：说的下周来</t>
  </si>
  <si>
    <t>无</t>
  </si>
  <si>
    <t>118581105</t>
  </si>
  <si>
    <t>张冰</t>
  </si>
  <si>
    <t>2025-07-11 00:57:39</t>
  </si>
  <si>
    <t>咨询考研一对一课程</t>
  </si>
  <si>
    <t>抖音来客</t>
  </si>
  <si>
    <t>范翔</t>
  </si>
  <si>
    <t>29034068</t>
  </si>
  <si>
    <t>2025-07-11 11:17</t>
  </si>
  <si>
    <t>2025-07-12 13:40</t>
  </si>
  <si>
    <t>2025-07-12 13:47</t>
  </si>
  <si>
    <t>WYM26033</t>
  </si>
  <si>
    <t>考研数学无忧计划（26考研/冲刺）</t>
  </si>
  <si>
    <t>BJWY6072756188</t>
  </si>
  <si>
    <t>WYM260330054</t>
  </si>
  <si>
    <t xml:space="preserve">回访人：谭悦，回访时间：2025-07-11 11:17，回访内容：毕业了，去年没考上，北工大，自动化，机器人工程，18811007932，；|回访人：谭悦，回访时间：2025-07-11 11:41，回访内容：去年考了政治40, 英语60多，数学30多，专业课20多。
给孩子也打电话了，北工大，控制工程，跟进中  </t>
  </si>
  <si>
    <t>WYM26031</t>
  </si>
  <si>
    <t>考研数学无忧计划（26考研/基础）</t>
  </si>
  <si>
    <t>WYM260310053</t>
  </si>
  <si>
    <t>WYM26032</t>
  </si>
  <si>
    <t>考研数学无忧计划（26考研/强化）</t>
  </si>
  <si>
    <t>WYM260320053</t>
  </si>
  <si>
    <t>88632204519</t>
  </si>
  <si>
    <t>2026考研政治直通车 6期</t>
  </si>
  <si>
    <t>LP17522988471180</t>
  </si>
  <si>
    <t>100677734</t>
  </si>
  <si>
    <t>2025-04-26 15:48:46</t>
  </si>
  <si>
    <t>辛苦流转赵星火</t>
  </si>
  <si>
    <t>倪润楷</t>
  </si>
  <si>
    <t>29066084</t>
  </si>
  <si>
    <t>2025-07-12 17:25</t>
  </si>
  <si>
    <t>电气学院</t>
  </si>
  <si>
    <t>电气</t>
  </si>
  <si>
    <t>2025-07-12 17:38</t>
  </si>
  <si>
    <t>LP17523130862534</t>
  </si>
  <si>
    <t>26考研一对一伴学（老带新2H/无忧）</t>
  </si>
  <si>
    <t>赵晔轩</t>
  </si>
  <si>
    <t>BJWY8522531659</t>
  </si>
  <si>
    <t>回访人：赵星火，回访时间：2025-07-12 17:25，回访内容：1</t>
  </si>
  <si>
    <t>变成更好的人</t>
  </si>
  <si>
    <t>118438378</t>
  </si>
  <si>
    <t>2025-07-10 19:59:33</t>
  </si>
  <si>
    <t>咨询考研政治一对一辅导</t>
  </si>
  <si>
    <t>29020026</t>
  </si>
  <si>
    <t>2025-07-11 10:48</t>
  </si>
  <si>
    <t>2025-07-12 10:04</t>
  </si>
  <si>
    <t>2025-07-12 13:32</t>
  </si>
  <si>
    <t>LP1752285850224</t>
  </si>
  <si>
    <t xml:space="preserve">回访人：谭悦，回访时间：2025-07-11 10:48，回访内容：兰州大学，26考研，一对一，跟进中  </t>
  </si>
  <si>
    <t>王浩儒</t>
  </si>
  <si>
    <t>118501346</t>
  </si>
  <si>
    <t>2025-07-10 12:20:15</t>
  </si>
  <si>
    <t>续费原因：计算课时中，个性化项目谭悦；该学生为保护期内续费，原顾问：国内大学部-谭悦(tanyue9@xdf.cn)</t>
  </si>
  <si>
    <t>28967006</t>
  </si>
  <si>
    <t>2025-07-10 15:42</t>
  </si>
  <si>
    <t>2025-07-12 14:51</t>
  </si>
  <si>
    <t>2025-07-12 14:52</t>
  </si>
  <si>
    <t>LP17523030591529</t>
  </si>
  <si>
    <t>BJWY2816785503</t>
  </si>
  <si>
    <t xml:space="preserve">回访人：谭悦，回访时间：2025-07-10 15:42，回访内容：跟进续费一对一  </t>
  </si>
  <si>
    <t>武岳</t>
  </si>
  <si>
    <t>118275113</t>
  </si>
  <si>
    <t>2025-07-08 22:39:11</t>
  </si>
  <si>
    <t>资源录入来源：小表单
城市：北京市
市场活动id：412422
市场活动名称：新东方集团官微【新东方】资源
活动所属学校id：10000
活动所属学校名称：总公司
线索接收人邮箱：yangjun42@xdf.cn
线索接受人类型：自定义
表单信息：表单id81512、表单名(对内)：新东方集团官微【新东方】资源、表单名（对外）：新东方课程报名、创建人邮箱：wuyue38@xdf.cn、表单链接：pages/index/index.html?scene=81512,,Lh8FwYc8
备注：来源:小表单;姓名:武岳;意向课程: 【课程】考研、四六级、专升本、成人英语/北京/北京; 新老生: 新生; 提交链接:pages/index/index.html?scene=81512,,Lh8FwYc8;地理位置:北京市大兴区林校路街道车站中里(南区)车站中里南区;渠道:新媒体运营/公众号-品牌号</t>
  </si>
  <si>
    <t>2025-07-09 20:54:34</t>
  </si>
  <si>
    <t>28961048</t>
  </si>
  <si>
    <t>2025-07-10 10:43</t>
  </si>
  <si>
    <t>六级,四级</t>
  </si>
  <si>
    <t>会计学</t>
  </si>
  <si>
    <t>2025-07-11 13:19</t>
  </si>
  <si>
    <t>BJWY5417512849</t>
  </si>
  <si>
    <t>WYSJ250330062</t>
  </si>
  <si>
    <t>2025-07-11</t>
  </si>
  <si>
    <t>回访人：段同飞，回访时间：2025-07-10 10:41，回访内容：合并工单给谭悦老师；|回访人：谭悦，回访时间：2025-07-10 11:19，回访内容：四六级无忧线上班  ；|回访人：谭悦，回访时间：2025-07-11 13:19，回访内容：1</t>
  </si>
  <si>
    <t>四级无忧计划,六级无忧计划</t>
  </si>
  <si>
    <t>115852926</t>
  </si>
  <si>
    <t>2025-06-23 16:42:01</t>
  </si>
  <si>
    <t>北京新东方考研18714556226</t>
  </si>
  <si>
    <t>幼儿</t>
  </si>
  <si>
    <t>杨晓超</t>
  </si>
  <si>
    <t>市场-代理商合作</t>
  </si>
  <si>
    <t>职递</t>
  </si>
  <si>
    <t>毕琦昕</t>
  </si>
  <si>
    <t>29061927</t>
  </si>
  <si>
    <t>2025-07-14 10:49</t>
  </si>
  <si>
    <t>物联网工程</t>
  </si>
  <si>
    <t>BJWY1550131227</t>
  </si>
  <si>
    <t xml:space="preserve">回访人：杨晓超，回访时间：2025-07-14 10:49，回访内容：1；|回访人：杨晓超，回访时间：2025-07-14 10:51，回访内容：签约 </t>
  </si>
  <si>
    <t>土豆芝士</t>
  </si>
  <si>
    <t>118379172</t>
  </si>
  <si>
    <t>2025-07-09 16:35:14</t>
  </si>
  <si>
    <t>渠道录入来源：小红书
事件名称：私信留资
小红书账号id：659bd1020000000022000003
小红书账号名称：北京新东方考研一对一咨询
广告投放账号名称：北京新东方考研一对一咨询
活动所属学校id：108
活动所属学校名称：北京大学事业部
统一活动id：2593748
统一活动名称：北京大学事业部25年7月小红书专业号投放
渠道名称：网络营销-小红书-专业号投放
线索创建人邮箱：cuijiahui2@xdf.cn
资源跟进人邮箱：cuijiahui2@xdf.cn
备注：用户地区是【nullnull】，在【2025-07-09 16:35:01】留资，私信通线索标签为【--】，来源于【北京新东方考研一对一咨询】投放账户，意向项目是【考研/考博】，留资笔记是【】，备注【我不是考研的，就是下学期开学大二需要补考这两科，我这个专业要求是这两科必须达到75分以上，微信联系您好，我是应统专业的学生，开学大二，下学期开学需要补考数学分析和高等代数，我想问问有没有辅导这两科的课】
</t>
  </si>
  <si>
    <t>张献婷</t>
  </si>
  <si>
    <t>28976040</t>
  </si>
  <si>
    <t>2025-07-09 17:09</t>
  </si>
  <si>
    <t>大学学科辅导,大学预科</t>
  </si>
  <si>
    <t>2025-07-10 15:21</t>
  </si>
  <si>
    <t>2025-07-10 15:22</t>
  </si>
  <si>
    <t>LP17521320771392</t>
  </si>
  <si>
    <t>BJWY1439560063</t>
  </si>
  <si>
    <t>2025-07-10</t>
  </si>
  <si>
    <t xml:space="preserve">回访人：谭悦，回访时间：2025-07-09 17:09，回访内容：大学数学，数学分析，高代，挂科了  </t>
  </si>
  <si>
    <t>大学学科辅导</t>
  </si>
  <si>
    <t>专业课</t>
  </si>
  <si>
    <t>张茂雄</t>
  </si>
  <si>
    <t>117381364</t>
  </si>
  <si>
    <t>郭又华</t>
  </si>
  <si>
    <t>2025-07-03 11:16:03</t>
  </si>
  <si>
    <t>续费原因：学生未结课，还需要加10小时，大概率月底再加；该学生为保护期内续费，原顾问：国内大学部-赵星火(zhaoxinghuo@xdf.cn)</t>
  </si>
  <si>
    <t>郭又华guoyouhua@xdf.cn</t>
  </si>
  <si>
    <t>28826212</t>
  </si>
  <si>
    <t>2025-07-03 12:14</t>
  </si>
  <si>
    <t>经济与管理学院</t>
  </si>
  <si>
    <t>2025-07-10 10:18</t>
  </si>
  <si>
    <t>2025-07-10 10:19</t>
  </si>
  <si>
    <t>LP1752113885318</t>
  </si>
  <si>
    <t>BJWY2715131077</t>
  </si>
  <si>
    <t>回访人：赵星火，回访时间：2025-07-03 12:14，回访内容：跟进学生建议现在报名早点报上跟进中</t>
  </si>
  <si>
    <t>Joyce</t>
  </si>
  <si>
    <t>117935051</t>
  </si>
  <si>
    <t>2025-07-07 11:18:53</t>
  </si>
  <si>
    <t>辛苦老师分配赵星火</t>
  </si>
  <si>
    <t>娄佳翌</t>
  </si>
  <si>
    <t>28916524</t>
  </si>
  <si>
    <t>2025-07-07 11:34</t>
  </si>
  <si>
    <t>2025-07-09 21:20</t>
  </si>
  <si>
    <t>BJWY3197958910</t>
  </si>
  <si>
    <t>WYP270010048</t>
  </si>
  <si>
    <t>回访人：赵星火，回访时间：2025-07-07 11:34，回访内容：开学大三，明年十二月份考试，想考北邮本校的八零幺通信原理，数学不太好，四六级考过了，要回家跟家里沟通；|回访人：赵星火，回访时间：2025-07-08 17:45，回访内容：联系不上学生这边微信回访下学生情况继续维护中。；|回访人：赵星火，回访时间：2025-07-09 21:20，回访内容：1</t>
  </si>
  <si>
    <t>政治,数学</t>
  </si>
  <si>
    <t>WYM270010025</t>
  </si>
  <si>
    <t>WYM270100015</t>
  </si>
  <si>
    <t>WYM270020025</t>
  </si>
  <si>
    <t>WYP270020048</t>
  </si>
  <si>
    <t>WYP270030048</t>
  </si>
  <si>
    <t>张</t>
  </si>
  <si>
    <t>103888775</t>
  </si>
  <si>
    <t>2025-05-27 16:56:53</t>
  </si>
  <si>
    <t>在职，毕业院校未告知，专业是供应链物流相关，计划考研重庆大学，专业没定，想了解院校情况后再定专业，咨询规划和课程辅导，现在方便电话联系</t>
  </si>
  <si>
    <t>2025-05-27 17:08:34</t>
  </si>
  <si>
    <t>张彧</t>
  </si>
  <si>
    <t>28056647</t>
  </si>
  <si>
    <t>2025-07-08 19:52</t>
  </si>
  <si>
    <t>重庆大学</t>
  </si>
  <si>
    <t>环境与生态学院</t>
  </si>
  <si>
    <t>给排水科学与工程</t>
  </si>
  <si>
    <t>2025-07-08 20:08</t>
  </si>
  <si>
    <t>2025-07-08 20:19</t>
  </si>
  <si>
    <t>LP17519764982835</t>
  </si>
  <si>
    <t>BJWY2909848959</t>
  </si>
  <si>
    <t>2025-07-08</t>
  </si>
  <si>
    <t>回访人：谭悦，回访时间：2025-06-29 22:02，回访内容：微信跟进中  ；|回访人：谭悦，回访时间：2025-07-06 19:23，回访内容：不回消息 ；|回访人：吴凯龙，回访时间：2025-07-08 19:52，回访内容：吴凯龙恢复工单, 系统自动生成回访记录!</t>
  </si>
  <si>
    <t>顾安诺</t>
  </si>
  <si>
    <t>117826345</t>
  </si>
  <si>
    <t>2025-07-06 17:54:18</t>
  </si>
  <si>
    <t>续费原因：续费
；该学生为保护期内续费，原顾问：国内大学部-谭悦(tanyue9@xdf.cn)</t>
  </si>
  <si>
    <t>28922054</t>
  </si>
  <si>
    <t>2025-07-07 16:33</t>
  </si>
  <si>
    <t>上海理工大学</t>
  </si>
  <si>
    <t>2025-07-08 13:53</t>
  </si>
  <si>
    <t>2025-07-08 13:55</t>
  </si>
  <si>
    <t>LP17519540141265</t>
  </si>
  <si>
    <t>BJWY1221102855</t>
  </si>
  <si>
    <t xml:space="preserve">回访人：谭悦，回访时间：2025-07-07 16:33，回访内容：跟进续费一对一  </t>
  </si>
  <si>
    <t>陈智旻</t>
  </si>
  <si>
    <t>117154246</t>
  </si>
  <si>
    <t>李玉迪</t>
  </si>
  <si>
    <t>2025-07-02 13:35:01</t>
  </si>
  <si>
    <t>续费原因：了解暑期六级课；该学生为保护期外续费，原顾问部门：国内大学部</t>
  </si>
  <si>
    <t>李玉迪liyudi1@xdf.cn</t>
  </si>
  <si>
    <t>28762300</t>
  </si>
  <si>
    <t>2025-07-02 19:22</t>
  </si>
  <si>
    <t>2025-07-08 19:41</t>
  </si>
  <si>
    <t>2025-07-08 20:21</t>
  </si>
  <si>
    <t>BJWY9160783370</t>
  </si>
  <si>
    <t>WYSJ250330055</t>
  </si>
  <si>
    <t xml:space="preserve">回访人：谭悦，回访时间：2025-07-02 19:22，回访内容：跟进六级无忧计划  ；|回访人：谭悦，回访时间：2025-07-08 19:41，回访内容：准备缴费  </t>
  </si>
  <si>
    <t>百草园</t>
  </si>
  <si>
    <t>117744366</t>
  </si>
  <si>
    <t>2025-07-05 16:54:06</t>
  </si>
  <si>
    <t>渠道录入来源：小红书
事件名称：私信留资
小红书账号id：659bd1020000000022000003
小红书账号名称：北京新东方考研一对一咨询
广告投放账号名称：北京新东方考研一对一咨询
活动所属学校id：108
活动所属学校名称：北京大学事业部
统一活动id：2593748
统一活动名称：北京大学事业部25年7月小红书专业号投放
渠道名称：网络营销-小红书-专业号投放
线索创建人邮箱：cuijiahui2@xdf.cn
资源跟进人邮箱：cuijiahui2@xdf.cn
备注：用户地区是【浙江省杭州市】，在【2025-07-05 16:51:47】留资，私信通线索标签为【留客资】，来源于【北京新东方考研一对一咨询】投放账户，意向项目是【考研/考博】，留资笔记是【】，备注【-】
</t>
  </si>
  <si>
    <t>李伊帆</t>
  </si>
  <si>
    <t>28884688</t>
  </si>
  <si>
    <t>2025-07-05 18:50</t>
  </si>
  <si>
    <t>电气与控制工程学院</t>
  </si>
  <si>
    <t>2025-07-07 14:49</t>
  </si>
  <si>
    <t>2025-07-07 15:00</t>
  </si>
  <si>
    <t>BJWY2892248355</t>
  </si>
  <si>
    <t>108274598400000001</t>
  </si>
  <si>
    <t>回访人：谭悦，回访时间：2025-07-05 18:50，回访内容：微信沟通，北方工业，26考研，一对一  ；|回访人：谭悦，回访时间：2025-07-05 18:52，回访内容：跟进中，考研学习  ；|回访人：谭悦，回访时间：2025-07-07 14:49，回访内容：签约</t>
  </si>
  <si>
    <t>考研专业课150,VIP - 畅学</t>
  </si>
  <si>
    <t>专业课150,英语,政治,数学</t>
  </si>
  <si>
    <t>108274847600000006</t>
  </si>
  <si>
    <t>117767353</t>
  </si>
  <si>
    <t>2025-07-05 21:45:53</t>
  </si>
  <si>
    <t>咨询考研课程，</t>
  </si>
  <si>
    <t>阿里本地通</t>
  </si>
  <si>
    <t>邢锦雯</t>
  </si>
  <si>
    <t>28813347</t>
  </si>
  <si>
    <t>2025-07-06 18:32</t>
  </si>
  <si>
    <t>信息安全</t>
  </si>
  <si>
    <t>2025-07-07 09:42</t>
  </si>
  <si>
    <t>WYE26077</t>
  </si>
  <si>
    <t>BJWY9998773938</t>
  </si>
  <si>
    <t>WYE260770034</t>
  </si>
  <si>
    <t xml:space="preserve">回访人：谭悦，回访时间：2025-07-06 18:32，回访内容：北京交通大学，开学大四，软件工程，考英二数二408，孩子爸爸的口音打电话非常重，知道知春路校区和顺义营地，；|回访人：谭悦，回访时间：2025-07-07 09:42，回访内容：签约 </t>
  </si>
  <si>
    <t>WYP26064</t>
  </si>
  <si>
    <t>考研政治无忧计划（26考研/基础）</t>
  </si>
  <si>
    <t>WYP260640029</t>
  </si>
  <si>
    <t>WYE26076</t>
  </si>
  <si>
    <t>WYE260760034</t>
  </si>
  <si>
    <t>WYM260330047</t>
  </si>
  <si>
    <t>WYP26065</t>
  </si>
  <si>
    <t>考研政治无忧计划（26考研/强化）</t>
  </si>
  <si>
    <t>WYP260650029</t>
  </si>
  <si>
    <t>WYP26066</t>
  </si>
  <si>
    <t>考研政治无忧计划（26考研/冲刺）</t>
  </si>
  <si>
    <t>WYP260660029</t>
  </si>
  <si>
    <t>WYM260320046</t>
  </si>
  <si>
    <t>WYM260310046</t>
  </si>
  <si>
    <t>WYE26078</t>
  </si>
  <si>
    <t>考研英语无忧计划（26考研/基础）</t>
  </si>
  <si>
    <t>WYE260780033</t>
  </si>
  <si>
    <t>LP1751852445205</t>
  </si>
  <si>
    <t>王仪阳</t>
  </si>
  <si>
    <t>117609505</t>
  </si>
  <si>
    <t>张琦文</t>
  </si>
  <si>
    <t>2025-07-04 14:51:01</t>
  </si>
  <si>
    <t>续费原因：意向半年集训营；该学生为保护期内续费，原顾问：国内大学部-谭悦(tanyue9@xdf.cn)</t>
  </si>
  <si>
    <t>张琦文zhangqiwen6@xdf.cn</t>
  </si>
  <si>
    <t>28852571</t>
  </si>
  <si>
    <t>2025-07-05 16:50</t>
  </si>
  <si>
    <t>南京传媒学院</t>
  </si>
  <si>
    <t>戏剧影视学院</t>
  </si>
  <si>
    <t>戏剧影视导演</t>
  </si>
  <si>
    <t>2025-07-07 17:46</t>
  </si>
  <si>
    <t>BJWY6088825240</t>
  </si>
  <si>
    <t>KYJY25013A0074</t>
  </si>
  <si>
    <t>回访人：谭悦，回访时间：2025-07-05 16:50，回访内容：考虑半年集训营，转班，；|回访人：谭悦，回访时间：2025-07-07 17:46，回访内容：签约</t>
  </si>
  <si>
    <t>KYJZ25013A0059</t>
  </si>
  <si>
    <t>KYJY250120069</t>
  </si>
  <si>
    <t>KYJZ250120061</t>
  </si>
  <si>
    <t>KYZ250110067</t>
  </si>
  <si>
    <t>王奕涵同学</t>
  </si>
  <si>
    <t>117878965</t>
  </si>
  <si>
    <t>2025-07-06 19:48:45</t>
  </si>
  <si>
    <t>陈婷30+chenting30@xdf.cn+ID+培训学校-北京学校-高中一对一部-西北区-知春路分中心</t>
  </si>
  <si>
    <t>王奕涵</t>
  </si>
  <si>
    <t>28813718</t>
  </si>
  <si>
    <t>2025-07-06 19:59</t>
  </si>
  <si>
    <t>工商管理学院</t>
  </si>
  <si>
    <t>物流管理</t>
  </si>
  <si>
    <t>2025-07-07 10:24</t>
  </si>
  <si>
    <t>2025-07-15 14:17</t>
  </si>
  <si>
    <t>ZVVB26001</t>
  </si>
  <si>
    <t>六级暑假集训营（24H冲刺直播）</t>
  </si>
  <si>
    <t>BJWY5015740499</t>
  </si>
  <si>
    <t>ZVVB260010039</t>
  </si>
  <si>
    <t xml:space="preserve">回访人：谭悦，回访时间：2025-07-06 19:59，回访内容：六级，暑假学习， ；|回访人：谭悦，回访时间：2025-07-07 10:24，回访内容：签约 </t>
  </si>
  <si>
    <t>依依美容美发</t>
  </si>
  <si>
    <t>116548480</t>
  </si>
  <si>
    <t>2025-06-29 18:38:26</t>
  </si>
  <si>
    <t>【小红书资源】
咨询考研课程，IP地址在辽宁</t>
  </si>
  <si>
    <t>李歆然</t>
  </si>
  <si>
    <t>28719862</t>
  </si>
  <si>
    <t>2025-06-29 19:09</t>
  </si>
  <si>
    <t>沈阳师范大学</t>
  </si>
  <si>
    <t>英语（师范）</t>
  </si>
  <si>
    <t>2025-07-07 13:43</t>
  </si>
  <si>
    <t>2025-07-07 14:01</t>
  </si>
  <si>
    <t>BJWY9963707617</t>
  </si>
  <si>
    <t>KYJZ25013A0058</t>
  </si>
  <si>
    <t>回访人：赵星火，回访时间：2025-06-29 19:09，回访内容：847年复习了，但是因为身体不好，没有参加考试，今年想考北师大学和教学英语咨询了，沿途了解名师上课推荐新东方半年集训；|回访人：赵星火，回访时间：2025-06-30 15:15，回访内容：给到专业课的介绍跟进中，看下对比机构情况，以及这个师资储备，有珠海校区的师资储备；|回访人：赵星火，回访时间：2025-07-02 17:10，回访内容：北师大感觉报的比较高，这边想看下首师大的，学校选择看下，再就是邀约营地参观；|回访人：赵星火，回访时间：2025-07-05 18:03，回访内容：明天营地参观班车学习跟进学生情况继续维护。；|回访人：赵星火，回访时间：2025-07-06 20:13，回访内容：跟进学生看下今晚缴费是否跟进中</t>
  </si>
  <si>
    <t>KYJY25013A0073</t>
  </si>
  <si>
    <t>KYZ250110066</t>
  </si>
  <si>
    <t>KYJZ250120060</t>
  </si>
  <si>
    <t>KYJY250120068</t>
  </si>
  <si>
    <t>LP1751866982837</t>
  </si>
  <si>
    <t>LP1751866889827</t>
  </si>
  <si>
    <t>虞蕊</t>
  </si>
  <si>
    <t>苏苏</t>
  </si>
  <si>
    <t>28563032</t>
  </si>
  <si>
    <t>2025-06-23 16:55</t>
  </si>
  <si>
    <t>2025-07-06 16:18</t>
  </si>
  <si>
    <t>2025-07-06 16:20</t>
  </si>
  <si>
    <t xml:space="preserve">回访人：杨晓超，回访时间：2025-06-27 20:50，回访内容：约时间见面聊 ；|回访人：杨晓超，回访时间：2025-06-29 20:48，回访内容：小孩这两天作业就差不多完成了，约见面聊一下；|回访人：杨晓超，回访时间：2025-07-02 11:28，回访内容：面谈 ，；|回访人：杨晓超，回访时间：2025-07-02 11:29，回访内容：已经和谭月老师面谈过，觉得现在进展有点早，要约一下参加4号的试听 ；|回访人：杨晓超，回访时间：2025-07-04 16:47，回访内容：课程沟通 ，计划走读全科 ，6号报名 ；|回访人：杨晓超，回访时间：2025-07-06 16:18，回访内容：签约 </t>
  </si>
  <si>
    <t>107398690</t>
  </si>
  <si>
    <t>2025-06-02 08:47:13</t>
  </si>
  <si>
    <t>徐菲</t>
  </si>
  <si>
    <t>28094016</t>
  </si>
  <si>
    <t>2025-06-03 11:47</t>
  </si>
  <si>
    <t>2025-07-06 13:47</t>
  </si>
  <si>
    <t>YKMJ25001</t>
  </si>
  <si>
    <t>大学预科数学（线上优享/新大一专属）</t>
  </si>
  <si>
    <t>BJWY4001339264</t>
  </si>
  <si>
    <t>YKMJ250010016</t>
  </si>
  <si>
    <t>2025-07-06</t>
  </si>
  <si>
    <t>回访人：赵星火，回访时间：2025-06-28 18:47，回访内容：回访学生时间和考虑这边继续维护中；|回访人：赵星火，回访时间：2025-07-05 21:24，回访内容：回访学生情况这边跟进中，给到团报优惠继续维护。；|回访人：赵星火，回访时间：2025-07-06 13:47，回访内容：1</t>
  </si>
  <si>
    <t>103390595</t>
  </si>
  <si>
    <t>2025-05-22 11:37:30</t>
  </si>
  <si>
    <t>王瑞祥+wangruixiang2@xdf.cn+id+产业机构-大学事业部-大学在线-运营部-销售管理部-电销部-电销三组
</t>
  </si>
  <si>
    <t>徐铁</t>
  </si>
  <si>
    <t>新东方在线员工推荐</t>
  </si>
  <si>
    <t>王瑞祥+wangruixiang2@xdf.cn+id+产业机构-大学事业部-大学在线-运营部-销售管理部-电销部-电销三组</t>
  </si>
  <si>
    <t>郑思宇</t>
  </si>
  <si>
    <t>27994290</t>
  </si>
  <si>
    <t>2025-05-22 11:45</t>
  </si>
  <si>
    <t>沧州师范学院</t>
  </si>
  <si>
    <t>文学院</t>
  </si>
  <si>
    <t>汉语言文学</t>
  </si>
  <si>
    <t>2025-07-06 13:16</t>
  </si>
  <si>
    <t>2025-07-06 13:18</t>
  </si>
  <si>
    <t>BJWY3770738344</t>
  </si>
  <si>
    <t>回访人：徐铁，回访时间：2025-06-29 21:55，回访内容：未接；|回访人：徐铁，回访时间：2025-07-06 13:16，回访内容：签约</t>
  </si>
  <si>
    <t>北京4600</t>
  </si>
  <si>
    <t>117768686</t>
  </si>
  <si>
    <t>2025-07-06 05:30:30</t>
  </si>
  <si>
    <t>渠道录入来源：集团百度投放-易聊
意向城市：北京
访客省/城市：北京
qq: 
访客静态ID：c5c76d731a5d0ac68dd33d1b37d34600
接待分组ID：10101749
搜索引擎：www.baidu.com
搜索词：武汉口碑最好的考研机构
关键词：新东方考研机构哪个校区好
设备类型：phone
访客IP：36.112.29.8
对话详细内容：AI-KvNH7xJ0CD 2025-07-06 05:28:46
您好同学，欢迎访问新东方考研官网，【新东方考研】全新升级，课程灵活多样，【考研全年集训营】【考研半年集训营】【考研冲刺营】【线下走读班】【考研一对一】【在职考研】【四六级】火热报名中 ，现在报名更有高达3000元优惠！
AI-KvNH7xJ0CD 2025-07-06 05:28:48
您是想咨询【考研走读班】【考研集训营】【考研规划】还是【在职考研】呢？
c5c76d731a5d0ac68dd33d1b37d34600 2025-07-06 05:29:00
北京考研
AI-KvNH7xJ0CD 2025-07-06 05:29:03
同学，你现在是在校还是在职呢？
c5c76d731a5d0ac68dd33d1b37d34600 2025-07-06 05:29:06
在校
AI-KvNH7xJ0CD 2025-07-06 05:29:10
具体是想报考什么学校和专业呢？
c5c76d731a5d0ac68dd33d1b37d34600 2025-07-06 05:29:18
北邮计算机
AI-KvNH7xJ0CD 2025-07-06 05:29:22
好的，了解。我们新东方在全国32个城市都有校区，您倾向在哪个城市上课，或者希望哪里的老师给您介绍下呢？
c5c76d731a5d0ac68dd33d1b37d34600 2025-07-06 05:29:30
北京
AI-KvNH7xJ0CD 2025-07-06 05:29:33
您可以留下您的姓名和电话，我这边可以立刻安排对应校区顾问老师给您回电！
c5c76d731a5d0ac68dd33d1b37d34600 2025-07-06 05:29:57
百度系统消息-唤醒:您可继续发言，消息将推送至百度APP-消息中心
AI-KvNH7xJ0CD 2025-07-06 05:30:10
您好，能看到我的对话吗？如有疑问，可以在此留电咨询！
c5c76d731a5d0ac68dd33d1b37d34600 2025-07-06 05:30:14
北京的网点有哪些？
AI-KvNH7xJ0CD 2025-07-06 05:30:17
您电话多少，这边安排考研专业的老师联系您，院校和专业方面给您做一个免费的规划，您可以提前了解一下
c5c76d731a5d0ac68dd33d1b37d34600 2025-07-06 05:30:28
13621162780
来源页：http://www.baidu.com/bcp
备注：</t>
  </si>
  <si>
    <t>田珂旭</t>
  </si>
  <si>
    <t>28886578</t>
  </si>
  <si>
    <t>2025-07-06 10:35</t>
  </si>
  <si>
    <t>2025-07-06 11:04</t>
  </si>
  <si>
    <t>BJWY9513852410</t>
  </si>
  <si>
    <t>WYE270250020</t>
  </si>
  <si>
    <t>回访人：赵星火，回访时间：2025-07-06 10:35，回访内容：面谈中；|回访人：赵星火，回访时间：2025-07-06 11:04，回访内容：1</t>
  </si>
  <si>
    <t>WYE270020037</t>
  </si>
  <si>
    <t>WYE27001</t>
  </si>
  <si>
    <t>WYE270010049</t>
  </si>
  <si>
    <t>陈</t>
  </si>
  <si>
    <t>117765958</t>
  </si>
  <si>
    <t>2025-07-05 19:19:13</t>
  </si>
  <si>
    <t>渠道录入来源：集团百度投放-基木鱼
账户名：baidu-大学-总部-A22KA00038
线索ID：250705467989320295
线索时间：2025-07-05 19:19:10
页面名称：新东方考研品专
姓名：陈
城市：北京
IP：2409:8a00:19d4:10e0:38b2:24fb:7d8f:c9c1
来源页：https://aisite.wejianzhan.com/site/wjzswa2z/73c5def5-883c-47c6-9bd9-9ce1d92bf9bf?utm_source=jituan_searchengine_Baidu_M_BaiduPP&amp;utm_medium=CPD&amp;utm_campaign=jituanpinzhuanshouye&amp;utm_term=kaoyanwuyoujihua3</t>
  </si>
  <si>
    <t>2026财年第2财月集团百度投放-基木鱼</t>
  </si>
  <si>
    <t>集团-百度品专</t>
  </si>
  <si>
    <t>朱彧</t>
  </si>
  <si>
    <t>28810114</t>
  </si>
  <si>
    <t>2025-07-05 20:47</t>
  </si>
  <si>
    <t>经济学院</t>
  </si>
  <si>
    <t>经济学</t>
  </si>
  <si>
    <t>2025-07-06 15:39</t>
  </si>
  <si>
    <t>WYE26079</t>
  </si>
  <si>
    <t>BJWY5189064803</t>
  </si>
  <si>
    <t>WYE260790004</t>
  </si>
  <si>
    <t xml:space="preserve">回访人：谭悦，回访时间：2025-07-05 20:47，回访内容：经济学，323，首经贸；|回访人：谭悦，回访时间：2025-07-05 21:24，回访内容：家长说明天来魏公村看看  ；|回访人：谭悦，回访时间：2025-07-06 15:39，回访内容：签约 </t>
  </si>
  <si>
    <t>考研专业课150,无忧计划-啄木鸟</t>
  </si>
  <si>
    <t>集团百度投放-基木鱼</t>
  </si>
  <si>
    <t>WYP260650025</t>
  </si>
  <si>
    <t>WYM260330046</t>
  </si>
  <si>
    <t>WYP260640025</t>
  </si>
  <si>
    <t>WYM260310045</t>
  </si>
  <si>
    <t>WYM260320045</t>
  </si>
  <si>
    <t>WYE26080</t>
  </si>
  <si>
    <t>WYE260800004</t>
  </si>
  <si>
    <t>WYE260780030</t>
  </si>
  <si>
    <t>WYP260660025</t>
  </si>
  <si>
    <t>LP17517854151719</t>
  </si>
  <si>
    <t>聂宁博</t>
  </si>
  <si>
    <t>113850126</t>
  </si>
  <si>
    <t>韦艺鑫(离职)</t>
  </si>
  <si>
    <t>2025-06-12 16:19:59</t>
  </si>
  <si>
    <t>续费原因：二战，推荐集训、蜂鸟和一对一，辛苦转谭悦老师，发详细的课程资料；该学生为保护期外续费，原顾问部门：国内大学部</t>
  </si>
  <si>
    <t>韦艺鑫(离职)weiyixin_lz2@xdf.cn</t>
  </si>
  <si>
    <t>28277712</t>
  </si>
  <si>
    <t>2025-06-12 16:39</t>
  </si>
  <si>
    <t>西安工业大学</t>
  </si>
  <si>
    <t>电子信息工程学院</t>
  </si>
  <si>
    <t>2025-07-05 19:01</t>
  </si>
  <si>
    <t>韦艺鑫</t>
  </si>
  <si>
    <t>BJWY0504283396</t>
  </si>
  <si>
    <t>WYFE260190002</t>
  </si>
  <si>
    <t>回访人：谭悦，回访时间：2025-06-29 21:42，回访内容：微信跟进中，考研学习  ；|回访人：谭悦，回访时间：2025-07-05 19:01，回访内容：1</t>
  </si>
  <si>
    <t>WYFM260090010</t>
  </si>
  <si>
    <t>WYFP260090008</t>
  </si>
  <si>
    <t>WYFE260200002</t>
  </si>
  <si>
    <t>WYFP260100008</t>
  </si>
  <si>
    <t>WYFM260100010</t>
  </si>
  <si>
    <t>LP17517074452164</t>
  </si>
  <si>
    <t>陈琴</t>
  </si>
  <si>
    <t>116616843</t>
  </si>
  <si>
    <t>2025-06-29 11:28:49</t>
  </si>
  <si>
    <t>13716849915，北京，一对一，在校学生</t>
  </si>
  <si>
    <t>王昞琦</t>
  </si>
  <si>
    <t>28630234</t>
  </si>
  <si>
    <t>2025-06-29 11:50</t>
  </si>
  <si>
    <t>2025-07-05 17:25</t>
  </si>
  <si>
    <t>2025-07-05 17:26</t>
  </si>
  <si>
    <t>2745975</t>
  </si>
  <si>
    <t>北京中心菁英计划 菁英B计划（英管）</t>
  </si>
  <si>
    <t>BJWY3603642432</t>
  </si>
  <si>
    <t>108274597500000003</t>
  </si>
  <si>
    <t>回访人：赵星火，回访时间：2025-06-29 11:50，回访内容：帮孩子咨询现任大三本科北物资学注册会计英语不好，其他基础都不太好，本人没有打算考研，比较排斥集训学习，想了解一对一家就在北京，顺义机场旁边也咨询其他机构有做对比；|回访人：赵星火，回访时间：2025-06-30 14:54，回访内容：感觉价格高对比其他机构，也是想要集训+一对一，跟进中。还有挂科以及来知春路这边不方便。；|回访人：赵星火，回访时间：2025-07-01 15:08，回访内容：回访学生情况，这边继续维护学生考虑中继续维护。；|回访人：赵星火，回访时间：2025-07-03 16:46，回访内容：预计周六面谈  周五家里确定下时间跟进中；|回访人：赵星火，回访时间：2025-07-05 17:25，回访内容：报名</t>
  </si>
  <si>
    <t>114297345</t>
  </si>
  <si>
    <t>2025-06-14 09:22:15</t>
  </si>
  <si>
    <t>内部员工推荐给赵星火老师</t>
  </si>
  <si>
    <t>赵倩竹+zhaoqianzhu@xdf.cn+ID+北京学校-运营管理部-学员服务管理中心-东南区</t>
  </si>
  <si>
    <t>王彦之</t>
  </si>
  <si>
    <t>28330608</t>
  </si>
  <si>
    <t>2025-06-14 10:54</t>
  </si>
  <si>
    <t>北京大学</t>
  </si>
  <si>
    <t>2025-07-05 14:53</t>
  </si>
  <si>
    <t>2025-07-05 14:54</t>
  </si>
  <si>
    <t>BJWY1980732630</t>
  </si>
  <si>
    <t>YKS250030002</t>
  </si>
  <si>
    <t>回访人：赵星火，回访时间：2025-06-26 15:36，回访内容：跟进学生情况看下暑假的四六级考虑跟进中。；|回访人：赵星火，回访时间：2025-06-30 17:33，回访内容：跟进学生情况问单词书，这边继续维护中；|回访人：赵星火，回访时间：2025-07-01 20:01，回访内容：建议早点报上占上名额这边继续维护跟进中。；|回访人：赵星火，回访时间：2025-07-04 21:25，回访内容：家长打算线下办理，但是这两天比较忙，约面谈时间；|回访人：赵星火，回访时间：2025-07-05 14:53，回访内容：1</t>
  </si>
  <si>
    <t>ももna</t>
  </si>
  <si>
    <t>117474357</t>
  </si>
  <si>
    <t>2025-07-04 13:04:22</t>
  </si>
  <si>
    <t>渠道录入来源：小红书
事件名称：私信留资
小红书账号id：659bd1020000000022000003
小红书账号名称：北京新东方考研一对一咨询
广告投放账号名称：北京新东方考研一对一咨询
活动所属学校id：108
活动所属学校名称：北京大学事业部
统一活动id：2593748
统一活动名称：北京大学事业部25年7月小红书专业号投放
渠道名称：网络营销-小红书-专业号投放
线索创建人邮箱：cuijiahui2@xdf.cn
资源跟进人邮箱：cuijiahui2@xdf.cn
备注：用户地区是【北京市北京市】，在【2025-07-04 13:02:19】留资，私信通线索标签为【留客资】，来源于【北京新东方考研一对一咨询】投放账户，意向项目是【考研/考博】，留资笔记是【】，备注【26考研，北邮，新传专硕，微信联系，没有考过英语四六级，考的日语】
</t>
  </si>
  <si>
    <t>练玙婷</t>
  </si>
  <si>
    <t>28839064</t>
  </si>
  <si>
    <t>2025-07-04 14:19</t>
  </si>
  <si>
    <t>陕西科技大学</t>
  </si>
  <si>
    <t>设计与艺术学院</t>
  </si>
  <si>
    <t>播音与主持艺术</t>
  </si>
  <si>
    <t>2025-07-05 13:17</t>
  </si>
  <si>
    <t>WYHP26002</t>
  </si>
  <si>
    <t>考研政治无忧计划候鸟（26考研/冲刺）</t>
  </si>
  <si>
    <t>BJWY0421882534</t>
  </si>
  <si>
    <t>WYHP260020107</t>
  </si>
  <si>
    <t>回访人：赵星火，回访时间：2025-07-04 14:19，回访内容：微信沟通中联系上了发送介绍，看下课程考虑跟进中；|回访人：赵星火，回访时间：2025-07-05 13:17，回访内容：1</t>
  </si>
  <si>
    <t>无忧计划-候鸟</t>
  </si>
  <si>
    <t>WYHP2605</t>
  </si>
  <si>
    <t>考研政治无忧计划候鸟（26考研/基础强化）</t>
  </si>
  <si>
    <t>WYHP26050057</t>
  </si>
  <si>
    <t>116226230</t>
  </si>
  <si>
    <t>2025-06-25 16:30:11</t>
  </si>
  <si>
    <t>续费原因：咨询考研课程 ；该学生为保护期内续费，原顾问：国内大学部-赵星火(zhaoxinghuo@xdf.cn)</t>
  </si>
  <si>
    <t>霍盈杉</t>
  </si>
  <si>
    <t>28885517</t>
  </si>
  <si>
    <t>2025-07-05 20:57</t>
  </si>
  <si>
    <t>保定理工学院</t>
  </si>
  <si>
    <t>资源与工程技术学院</t>
  </si>
  <si>
    <t>土地资源管理</t>
  </si>
  <si>
    <t>2025-07-05 20:58</t>
  </si>
  <si>
    <t>KYJZ25016</t>
  </si>
  <si>
    <t>BJWY9038592627</t>
  </si>
  <si>
    <t>KYJZ250160056</t>
  </si>
  <si>
    <t>回访人：赵星火，回访时间：2025-07-05 20:57，回访内容：1；|回访人：赵星火，回访时间：2025-07-05 20:57，回访内容：1</t>
  </si>
  <si>
    <t>追加优惠</t>
  </si>
  <si>
    <t>LP17517200863032</t>
  </si>
  <si>
    <t>115577170</t>
  </si>
  <si>
    <t>2025-06-21 17:09:54</t>
  </si>
  <si>
    <t>考人大统计，咨询专业课课程</t>
  </si>
  <si>
    <t>张砚然</t>
  </si>
  <si>
    <t>28514508</t>
  </si>
  <si>
    <t>2025-06-21 17:22</t>
  </si>
  <si>
    <t>南开大学</t>
  </si>
  <si>
    <t>统计</t>
  </si>
  <si>
    <t>2025-07-05 10:00</t>
  </si>
  <si>
    <t>2025-07-05 10:02</t>
  </si>
  <si>
    <t>LP1751680855254</t>
  </si>
  <si>
    <t>985院校升级费</t>
  </si>
  <si>
    <t>BJWY1991567015</t>
  </si>
  <si>
    <t>回访人：赵星火，回访时间：2025-06-26 13:01，回访内容：没有储备师资，这边需要跟进学生情况发一下合同看下；|回访人：赵星火，回访时间：2025-06-28 16:28，回访内容：电话接通，微信发了合同，看一下条款内容以及现在有什么顾虑；|回访人：赵星火，回访时间：2025-07-01 19:55，回访内容：回访学生情况这边继续维护学生考虑跟进中</t>
  </si>
  <si>
    <t>LP1751680855253</t>
  </si>
  <si>
    <t>考研初试专业课一对一（26考研/30小时）</t>
  </si>
  <si>
    <t>禹坤煜</t>
  </si>
  <si>
    <t>117676554</t>
  </si>
  <si>
    <t>2025-07-05 12:09:55</t>
  </si>
  <si>
    <t>李娜78+lina78@xdf.cn+ID+产业机构-国际教育培训事业部-国际教育北京中心-美研部-服务管理中心-班课项目
谭悦</t>
  </si>
  <si>
    <t>李娜78+lina78@xdf.cn+ID+产业机构-国际教育培训事业部-国际教育北京中心-美研部-服务管理中心-班课项目</t>
  </si>
  <si>
    <t>28807471</t>
  </si>
  <si>
    <t>2025-07-05 12:13</t>
  </si>
  <si>
    <t>2025-07-05 12:23</t>
  </si>
  <si>
    <t>2025-07-05 12:32</t>
  </si>
  <si>
    <t>LP1751689396864</t>
  </si>
  <si>
    <t>27考研一对一伴学</t>
  </si>
  <si>
    <t>BJWY5719700060</t>
  </si>
  <si>
    <t>回访人：谭悦，回访时间：2025-07-05 12:13，回访内容：1</t>
  </si>
  <si>
    <t>116316571</t>
  </si>
  <si>
    <t>2025-06-26 16:45:05</t>
  </si>
  <si>
    <t>续费原因：报一对一的，谭悦；该学生为保护期内续费，原顾问：国内大学部-谭悦(tanyue9@xdf.cn)</t>
  </si>
  <si>
    <t>28656436</t>
  </si>
  <si>
    <t>2025-06-26 17:32</t>
  </si>
  <si>
    <t>考研无忧计划,英语学习</t>
  </si>
  <si>
    <t>2025-07-04 14:29</t>
  </si>
  <si>
    <t>2025-07-04 14:30</t>
  </si>
  <si>
    <t>WYHE26005</t>
  </si>
  <si>
    <t>考研英语无忧计划候鸟（26考研/英一冲刺）</t>
  </si>
  <si>
    <t>WYHE260050095</t>
  </si>
  <si>
    <t>2025-07-04</t>
  </si>
  <si>
    <t xml:space="preserve">回访人：谭悦，回访时间：2025-06-26 17:32，回访内容：准备报名候鸟加一对一  ；|回访人：谭悦，回访时间：2025-06-30 15:36，回访内容：微信跟进中，考研学习   ；|回访人：谭悦，回访时间：2025-07-04 14:29，回访内容：签约 </t>
  </si>
  <si>
    <t>英语,数学</t>
  </si>
  <si>
    <t>WYHE26007</t>
  </si>
  <si>
    <t>考研英语无忧计划候鸟（26考研/基础强化）</t>
  </si>
  <si>
    <t>WYHE260070012</t>
  </si>
  <si>
    <t>WYHM26002</t>
  </si>
  <si>
    <t>考研数学无忧计划候鸟（26考研/冲刺）</t>
  </si>
  <si>
    <t>WYHM260020075</t>
  </si>
  <si>
    <t>WYHM2604</t>
  </si>
  <si>
    <t>考研数学无忧计划候鸟（26考研/基础强化）</t>
  </si>
  <si>
    <t>WYHM26040035</t>
  </si>
  <si>
    <t>111132260</t>
  </si>
  <si>
    <t>2025-06-05 20:23:51</t>
  </si>
  <si>
    <t>咨询考研数学一对一课程，明天想到知春路校区面询
新东方考研四六级(知春路校区)</t>
  </si>
  <si>
    <t>薛羽彤</t>
  </si>
  <si>
    <t>28195137</t>
  </si>
  <si>
    <t>2025-06-05 20:49</t>
  </si>
  <si>
    <t>2025-07-04 10:57</t>
  </si>
  <si>
    <t>2025-07-04 11:01</t>
  </si>
  <si>
    <t>LP1751597842436</t>
  </si>
  <si>
    <t>BJWY5281833800</t>
  </si>
  <si>
    <t xml:space="preserve">回访人：谭悦，回访时间：2025-06-28 21:27，回访内容：微信跟进中，一对一 八月开始上课  </t>
  </si>
  <si>
    <t>115940652</t>
  </si>
  <si>
    <t>2025-06-24 13:48:16</t>
  </si>
  <si>
    <t>陈可新</t>
  </si>
  <si>
    <t>28460476</t>
  </si>
  <si>
    <t>2025-06-24 20:13</t>
  </si>
  <si>
    <t>信息安全（实验班）</t>
  </si>
  <si>
    <t>2025-07-04 19:17</t>
  </si>
  <si>
    <t>2025-07-04 19:18</t>
  </si>
  <si>
    <t>XDF062216194338377</t>
  </si>
  <si>
    <t>ZVVA260010030</t>
  </si>
  <si>
    <t>回访人：谭悦，回访时间：2025-06-29 21:25，回访内容：微信跟进中  暑假四六级  ；|回访人：谭悦，回访时间：2025-07-04 19:17，回访内容：签约</t>
  </si>
  <si>
    <t>舒循</t>
  </si>
  <si>
    <t>101372793</t>
  </si>
  <si>
    <t>2025-05-06 14:31:03</t>
  </si>
  <si>
    <t>续费原因：续费，赵星火老学员；该学生为保护期外续费，原顾问部门：国内大学部</t>
  </si>
  <si>
    <t>27738928</t>
  </si>
  <si>
    <t>2025-05-06 15:52</t>
  </si>
  <si>
    <t>管理工程学院</t>
  </si>
  <si>
    <t>安全工程</t>
  </si>
  <si>
    <t>2025-07-04 15:00</t>
  </si>
  <si>
    <t>BJWY0356425382</t>
  </si>
  <si>
    <t>WYFE260170007</t>
  </si>
  <si>
    <t>回访人：赵星火，回访时间：2025-07-03 17:42，回访内容：明天计划缴费这边名额紧张，跟进中继续维护。；|回访人：赵星火，回访时间：2025-07-04 15:00，回访内容：1</t>
  </si>
  <si>
    <t>无忧计划-蜂鸟,考研专业课150</t>
  </si>
  <si>
    <t>WYFM260100008</t>
  </si>
  <si>
    <t>WYFP260100006</t>
  </si>
  <si>
    <t>WYFP260090006</t>
  </si>
  <si>
    <t>WYFM260090008</t>
  </si>
  <si>
    <t>WYFE260180007</t>
  </si>
  <si>
    <t>LP17516123321299</t>
  </si>
  <si>
    <t>李星瀚</t>
  </si>
  <si>
    <t>116483469</t>
  </si>
  <si>
    <t>2025-06-27 21:40:01</t>
  </si>
  <si>
    <t>市场人员：郭宇瀚
意向等级：高
备注：27考季考生，需要督学，有老师监督，北城生物技术专业学生，不想考本校，了解择校及复习相关规划，觉得自己基础差，想提前学习，走读和集训营都介绍一下价格，明天下午2-3点联系。</t>
  </si>
  <si>
    <t>2026财年第1财月91校代系统资源活动</t>
  </si>
  <si>
    <t>校代</t>
  </si>
  <si>
    <t>线下校代</t>
  </si>
  <si>
    <t>28686371</t>
  </si>
  <si>
    <t>2025-06-28 14:37</t>
  </si>
  <si>
    <t>北京城市学院</t>
  </si>
  <si>
    <t>生物医药学部</t>
  </si>
  <si>
    <t>生物技术</t>
  </si>
  <si>
    <t>2025-07-04 20:36</t>
  </si>
  <si>
    <t>2025-07-04 20:37</t>
  </si>
  <si>
    <t>XDF2606177452</t>
  </si>
  <si>
    <t>ZVVA260010029</t>
  </si>
  <si>
    <t>回访人：赵星火，回访时间：2025-06-28 14:37，回访内容：还不清楚学校，这边自己说了北联合，数学可以接受，但是英语不好，这边四级没过，关注集训推荐了
不自信对于学习。；|回访人：赵星火，回访时间：2025-06-29 14:34，回访内容：周三考完试之后到校区和营地参观了解一下，这边持续跟进中；|回访人：赵星火，回访时间：2025-07-02 17:25，回访内容：确定，面谈校区参观活动跟进中，继续维护学生考虑。；|回访人：赵星火，回访时间：2025-07-04 20:36，回访内容：1</t>
  </si>
  <si>
    <t>新东方91校园大使</t>
  </si>
  <si>
    <t>114098861</t>
  </si>
  <si>
    <t>2025-06-12 19:03:19</t>
  </si>
  <si>
    <t>【王朝群】咨询考研一对一</t>
  </si>
  <si>
    <t>张婧妍</t>
  </si>
  <si>
    <t>28797309</t>
  </si>
  <si>
    <t>2025-07-03 10:35</t>
  </si>
  <si>
    <t>文法与城乡发展学院</t>
  </si>
  <si>
    <t>2025-07-03 10:36</t>
  </si>
  <si>
    <t>BJWY2315098761</t>
  </si>
  <si>
    <t>WYP260660017</t>
  </si>
  <si>
    <t>回访人：谭悦，回访时间：2025-07-03 10:35，回访内容：1；|回访人：谭悦，回访时间：2025-07-03 10:36，回访内容：1</t>
  </si>
  <si>
    <t>WYP260650017</t>
  </si>
  <si>
    <t>WYP260640017</t>
  </si>
  <si>
    <t>116902429</t>
  </si>
  <si>
    <t>2025-07-01 18:18:53</t>
  </si>
  <si>
    <t>半个小时左右到知春路校区，尽快联系</t>
  </si>
  <si>
    <t>王钰涵</t>
  </si>
  <si>
    <t>28751093</t>
  </si>
  <si>
    <t>2025-07-01 19:51</t>
  </si>
  <si>
    <t>B（需长时间跟单或只需要规划）</t>
  </si>
  <si>
    <t>北京林业大学</t>
  </si>
  <si>
    <t>园林学院</t>
  </si>
  <si>
    <t>2025-07-02 17:05</t>
  </si>
  <si>
    <t>2025-07-02 17:06</t>
  </si>
  <si>
    <t>BJWY1247211304</t>
  </si>
  <si>
    <t>回访人：刘欢，回访时间：2025-07-01 19:51，回访内容：学生由谭悦进行面谈27考研北林风景园林专业。北林，大二，27考研，风景园林，推荐的走读；|回访人：刘欢，回访时间：2025-07-02 13:34，回访内容：1；|回访人：刘欢，回访时间：2025-07-02 13:34，回访内容：1；|回访人：刘欢，回访时间：2025-07-02 17:04，回访内容：1；|回访人：刘欢，回访时间：2025-07-02 17:05，回访内容：1</t>
  </si>
  <si>
    <t>无忧计划-早鸟</t>
  </si>
  <si>
    <t>国内高校-中外合作办学</t>
  </si>
  <si>
    <t>学生基础比较薄弱，辛苦老师联系孩子，开通导学课以及监督学生学习。学生7月份的话在家不在北京选择线上直播进行看课，辛苦教孩子看课</t>
  </si>
  <si>
    <t>吴昊</t>
  </si>
  <si>
    <t>97344562</t>
  </si>
  <si>
    <t>2025-03-17 20:06:53</t>
  </si>
  <si>
    <t>续费原因：确认课时中；该学生为保护期外续费，原顾问部门：国内大学部</t>
  </si>
  <si>
    <t>27080323</t>
  </si>
  <si>
    <t>2025-03-17 21:45</t>
  </si>
  <si>
    <t>中央音乐学院</t>
  </si>
  <si>
    <t>作曲系</t>
  </si>
  <si>
    <t>作曲</t>
  </si>
  <si>
    <t>2025-07-02 20:14</t>
  </si>
  <si>
    <t>WYHP26001</t>
  </si>
  <si>
    <t>BJWY0081857602</t>
  </si>
  <si>
    <t>WYHP260010052</t>
  </si>
  <si>
    <t>回访人：赵星火，回访时间：2025-07-02 20:14，回访内容：1</t>
  </si>
  <si>
    <t>WYHP260020102</t>
  </si>
  <si>
    <t>闫舒译</t>
  </si>
  <si>
    <t>116889937</t>
  </si>
  <si>
    <t>2025-07-01 13:50:19</t>
  </si>
  <si>
    <t>续费原因：续费夏路洋；该学生为保护期内续费，原顾问：国内大学部-赵星火(zhaoxinghuo@xdf.cn)</t>
  </si>
  <si>
    <t>28639331</t>
  </si>
  <si>
    <t>2025-07-01 14:00</t>
  </si>
  <si>
    <t>2025-07-01 14:03</t>
  </si>
  <si>
    <t>2025-07-01 14:18</t>
  </si>
  <si>
    <t>LP175134981710872</t>
  </si>
  <si>
    <t>BJWY4925013491</t>
  </si>
  <si>
    <t>回访人：赵星火，回访时间：2025-07-01 14:00，回访内容：1</t>
  </si>
  <si>
    <t>马女士</t>
  </si>
  <si>
    <t>103752737</t>
  </si>
  <si>
    <t>2025-05-26 10:45:52</t>
  </si>
  <si>
    <t>咨询考博英语（TMK主管分配TMK）</t>
  </si>
  <si>
    <t>丁宁+dingning29@xdf.cn+id+培训学校-北京学校-课程服务部-客户联络中心-教学区服务组-第三教学区</t>
  </si>
  <si>
    <t>2025-07-01 16:56:29</t>
  </si>
  <si>
    <t>马若宁</t>
  </si>
  <si>
    <t>28749075</t>
  </si>
  <si>
    <t>2025-07-01 17:14</t>
  </si>
  <si>
    <t>中国科学院大学</t>
  </si>
  <si>
    <t>人工智能学院</t>
  </si>
  <si>
    <t>2025-07-01 17:15</t>
  </si>
  <si>
    <t>BJWY7775502582</t>
  </si>
  <si>
    <t>WYF250310035</t>
  </si>
  <si>
    <t xml:space="preserve">回访人：谭悦，回访时间：2025-07-01 17:14，回访内容：报名四级班  ；|回访人：谭悦，回访时间：2025-07-01 17:15，回访内容：签约 </t>
  </si>
  <si>
    <t>提交日期</t>
  </si>
  <si>
    <t>您所办理的业务类型</t>
  </si>
  <si>
    <t>OA流水号</t>
  </si>
  <si>
    <t>学管姓名</t>
  </si>
  <si>
    <t>学管是否代办</t>
  </si>
  <si>
    <t>顾问是否代办</t>
  </si>
  <si>
    <t>91系统-最新报名二级渠道</t>
  </si>
  <si>
    <t>原班所属项目</t>
  </si>
  <si>
    <t>新报入班级所属项目</t>
  </si>
  <si>
    <t>退费阶段</t>
  </si>
  <si>
    <t>退费一级原因（开课前）</t>
  </si>
  <si>
    <t>退费一级原因 (开课后)</t>
  </si>
  <si>
    <t>退费二级原因（专业课师资匹配原因）</t>
  </si>
  <si>
    <t>退费二级原因（学员意愿转变_开课前）</t>
  </si>
  <si>
    <t>退费二级原因（计划冲突_开课前）</t>
  </si>
  <si>
    <t>退费二级原因（中心原因_开课前）</t>
  </si>
  <si>
    <t>退费二级原因（签约话术）</t>
  </si>
  <si>
    <t>退费二级原因（教师）</t>
  </si>
  <si>
    <t>退费二级原因（教学）</t>
  </si>
  <si>
    <t>退费二级原因（课程安排）</t>
  </si>
  <si>
    <t>退费二级原因（配套服务）</t>
  </si>
  <si>
    <t>退费二级原因（配套学习设施）</t>
  </si>
  <si>
    <t>退费二级原因（中心原因_开课后）</t>
  </si>
  <si>
    <t>退费二级原因（计划冲突_开课后）</t>
  </si>
  <si>
    <t>退费二级原因（学员意愿转变_开课后）</t>
  </si>
  <si>
    <t>退费三级原因（完全匹配不上）-院校、学院、专业、专业课代码及名称</t>
  </si>
  <si>
    <t>退费详细原因说明（与OA退费详细说明保持一致）</t>
  </si>
  <si>
    <t>预计报名新班学费金额</t>
  </si>
  <si>
    <t>转班金额（请学管填写所在班级实际金额）</t>
  </si>
  <si>
    <t>转班详细原因说明</t>
  </si>
  <si>
    <t>提交时间</t>
  </si>
  <si>
    <t>学院</t>
  </si>
  <si>
    <t>年级</t>
  </si>
  <si>
    <t>提交人</t>
  </si>
  <si>
    <t>退费类型</t>
  </si>
  <si>
    <t>学员姓名</t>
  </si>
  <si>
    <t>学员编码</t>
  </si>
  <si>
    <t>退转金额</t>
  </si>
  <si>
    <t>办理日期-客服</t>
  </si>
  <si>
    <t>退费方式-客服</t>
  </si>
  <si>
    <t>需要跟进的顾问/学管</t>
  </si>
  <si>
    <t>退费/转班特殊情况备注（若需要学管提供银行卡信息，可将需求填写在此处）-客服</t>
  </si>
  <si>
    <t>是否完成退费/转班-客服</t>
  </si>
  <si>
    <t>父记录</t>
  </si>
  <si>
    <t>2025/07/02</t>
  </si>
  <si>
    <t>转班</t>
  </si>
  <si>
    <t>无忧项目（弃用）</t>
  </si>
  <si>
    <t>更换目标院校，改考英语二</t>
  </si>
  <si>
    <t>已转班</t>
  </si>
  <si>
    <t>TRUE</t>
  </si>
  <si>
    <t>2025/07/30</t>
  </si>
  <si>
    <t>无忧项目-班课</t>
  </si>
  <si>
    <t>更换目标院校，改考英语一</t>
  </si>
  <si>
    <t>退费</t>
  </si>
  <si>
    <t>NO.4323455642276930888</t>
  </si>
  <si>
    <t>马一鸣16-马一鸣</t>
  </si>
  <si>
    <t>开课后退费</t>
  </si>
  <si>
    <t>学员意愿转变_开课后</t>
  </si>
  <si>
    <t>考研信心不足（因跟不上、基础薄弱、目标过高）</t>
  </si>
  <si>
    <t>学生原先报考浙江大学，因测试后觉得自己考不上，打算报考本校北京交通大学，换一个更加稳妥的学校。</t>
  </si>
  <si>
    <t>真实产生的退费</t>
  </si>
  <si>
    <t>2025/07/05</t>
  </si>
  <si>
    <t>7.9财务付款成功
7.7已转手工退至学员本人银行卡，用户短信已确认（6.8）@马一鸣16 (马一鸣)</t>
  </si>
  <si>
    <t>18750907</t>
  </si>
  <si>
    <t>郑雪新</t>
  </si>
  <si>
    <t>集训营项目（弃用）</t>
  </si>
  <si>
    <t>开课前退费</t>
  </si>
  <si>
    <t>计划冲突_开课前</t>
  </si>
  <si>
    <t>学校事务和新东方时间冲突</t>
  </si>
  <si>
    <t>1】KYJS250180006  KYJS25018  26考研数学OMO全程集训营（政英数联报）  187602】KYJZ250180006  KYJZ25018  26考研政治OMO全程集训营（政英数联报）12043.23】KYJY250180006  KYJY25018  26考研英语OMO全程集训营（英政数联报）13816.84】KYZ250180006  KYZ25018  26考研OMO全程集训营（住宿费/政英数/经综）7680【扣7300补给专业课优惠】5】专业课系统费用11000，保留专业课需要扣除18800-500=18300，即补专业课7300元（此部分费用从住宿费班号扣除）</t>
  </si>
  <si>
    <t>吴嘉豪</t>
  </si>
  <si>
    <t>BJWY8214160628</t>
  </si>
  <si>
    <t>2025/07/03</t>
  </si>
  <si>
    <t>7.10财务付款成功
7.4已转手工退，用户短信已确认</t>
  </si>
  <si>
    <t>18750919</t>
  </si>
  <si>
    <t>2025/07/06</t>
  </si>
  <si>
    <t>黄小妹7-黄小妹</t>
  </si>
  <si>
    <t>学生报考院校公告考试科目变更 英二转英一</t>
  </si>
  <si>
    <r>
      <rPr>
        <color rgb="FF000000"/>
        <rFont val="微软雅黑"/>
        <sz val="11"/>
      </rPr>
      <t xml:space="preserve">刘明</t>
    </r>
    <r>
      <rPr>
        <color rgb="FF000000"/>
        <rFont val="宋体-简"/>
        <sz val="11"/>
      </rPr>
      <t xml:space="preserve">喆</t>
    </r>
  </si>
  <si>
    <t>XDF032220080227974
</t>
  </si>
  <si>
    <t>18770083</t>
  </si>
  <si>
    <t>张琦文6-张琦文</t>
  </si>
  <si>
    <t>集训营项目</t>
  </si>
  <si>
    <t>中心原因_开课后</t>
  </si>
  <si>
    <t>退出重报（取消班/合班/延转/选班/扩科等）</t>
  </si>
  <si>
    <t>学员转班七月半年集训营，退出现有班级金额到学员账户，重新入班</t>
  </si>
  <si>
    <t>¥67200.00</t>
  </si>
  <si>
    <t>转项目/转班/退出重报等未产生实际退费</t>
  </si>
  <si>
    <t>2025/07/07</t>
  </si>
  <si>
    <t>退至学员账户</t>
  </si>
  <si>
    <t>18770068</t>
  </si>
  <si>
    <t>18770042</t>
  </si>
  <si>
    <t>NO.1152921504608137010</t>
  </si>
  <si>
    <t>VIP项目</t>
  </si>
  <si>
    <t>中心原因_开课前</t>
  </si>
  <si>
    <t>学生心理状态不太好，今年先不打算考研了，想把公共课和专业课剩余课时全部退到学员账户，再转成一对一课程，重新报入</t>
  </si>
  <si>
    <t>¥10000.00</t>
  </si>
  <si>
    <t>陈一凡</t>
  </si>
  <si>
    <t>BJWY8503976521</t>
  </si>
  <si>
    <t>2025/07/14</t>
  </si>
  <si>
    <t>要求退学生账户</t>
  </si>
  <si>
    <t>离职顾问代办理</t>
  </si>
  <si>
    <t>2025/07/11</t>
  </si>
  <si>
    <t>18783288</t>
  </si>
  <si>
    <t>唐源曼</t>
  </si>
  <si>
    <t>集训营项目-班课</t>
  </si>
  <si>
    <t>学员换了学校不需要考数三，转到七月政英经综班</t>
  </si>
  <si>
    <t>已毕业</t>
  </si>
  <si>
    <t>王英帆</t>
  </si>
  <si>
    <t>BJWY4965756550</t>
  </si>
  <si>
    <t>2025/07/16</t>
  </si>
  <si>
    <t>7.23退款完成
7.22用户短信已确认，退款中@唐源曼
7.19转手工，待用户短信确认——————
合计退费金额为81902.1 ，暂退至学员账户，原渠道为汇款，需提供原汇款账户6226622106991108的详细信息@唐源曼
[图片]
</t>
  </si>
  <si>
    <t>谭悦，星火分单</t>
  </si>
  <si>
    <t>18783290</t>
  </si>
  <si>
    <t>18783292</t>
  </si>
  <si>
    <t>18783293</t>
  </si>
  <si>
    <t>18783296</t>
  </si>
  <si>
    <t>18783285</t>
  </si>
  <si>
    <t>学员意愿转变_开课前</t>
  </si>
  <si>
    <t>2025/07/17</t>
  </si>
  <si>
    <t>18783281</t>
  </si>
  <si>
    <t>2025/07/10</t>
  </si>
  <si>
    <t>2025071100308</t>
  </si>
  <si>
    <t>陈晶171-陈晶</t>
  </si>
  <si>
    <t>VIP项目-VIP</t>
  </si>
  <si>
    <t>认为课程用处不大/不适合自己</t>
  </si>
  <si>
    <t>初复试课时都没用完，现在收到录取通知书了，不辅导其他内容</t>
  </si>
  <si>
    <t>表演系</t>
  </si>
  <si>
    <t>表演</t>
  </si>
  <si>
    <t>祝雪妍</t>
  </si>
  <si>
    <t>BJWY1605479028</t>
  </si>
  <si>
    <t>支付宝退回</t>
  </si>
  <si>
    <t>2025/07/18</t>
  </si>
  <si>
    <t>18800865</t>
  </si>
  <si>
    <t>学生2000老生二战优惠保留给数学，英语退班需退出15800  实际分摊金额不够，需要从数学班中返款2000</t>
  </si>
  <si>
    <t>¥20000.00</t>
  </si>
  <si>
    <t>毕业</t>
  </si>
  <si>
    <t>2025/07/19</t>
  </si>
  <si>
    <t>暂退账户2000</t>
  </si>
  <si>
    <t>18800521</t>
  </si>
  <si>
    <t>学生姓名：蔡哲学员编号：BJWY0874092650退费方式：报英语数学退英语退费原因：学生退掉暑假候鸟班英语，保留数学班，保留二战优惠，退费到储值参加一对一辅导退费班级：WYHE26007、WYHE26005退费明细：英语班退出13800，从数学班返款2000，总计退出15800</t>
  </si>
  <si>
    <t>2025/07/20</t>
  </si>
  <si>
    <t>退回账户余额入班</t>
  </si>
  <si>
    <t>学生时间冲突，向后转班</t>
  </si>
  <si>
    <t>2025/07/21</t>
  </si>
  <si>
    <t>18797336</t>
  </si>
  <si>
    <t>陈号东5-陈号东</t>
  </si>
  <si>
    <t>学生觉得课程简单，不想学中途离场 ，决定报名报网课</t>
  </si>
  <si>
    <t>自动化与智能学院</t>
  </si>
  <si>
    <t>2022级</t>
  </si>
  <si>
    <t>BJWY6304152842</t>
  </si>
  <si>
    <t>2025/07/22</t>
  </si>
  <si>
    <t>7.24退款到账
银联商务POS退回：浦发银行621792*********5901
</t>
  </si>
  <si>
    <t>2025/07/24</t>
  </si>
  <si>
    <t>黄子琪3-黄子琪</t>
  </si>
  <si>
    <t>姓名：郑雅洁
学员号：BJWY5564317069
转班信息如下：WYE27013转WYE27018             
转班原因：时间有问题，想转到9月班上课</t>
  </si>
  <si>
    <t>2025/07/25</t>
  </si>
  <si>
    <t>徐岩91-徐岩</t>
  </si>
  <si>
    <t>四六级项目-班课</t>
  </si>
  <si>
    <t>原班取消</t>
  </si>
  <si>
    <t>2025/07/27</t>
  </si>
  <si>
    <t>2025/07/26</t>
  </si>
  <si>
    <t>从知春路班级，转到花园桥班级，已经办理，补流程。</t>
  </si>
  <si>
    <t>谭悦9-谭悦</t>
  </si>
  <si>
    <t>18813759</t>
  </si>
  <si>
    <t>罗志勇1-罗志勇</t>
  </si>
  <si>
    <t>个人身体原因无法承受高强度学习</t>
  </si>
  <si>
    <t>【开课前退费】张佳卉，ZVVA26001，学生和家长来现场报名四级集训营，由于身体不适去医院了，要调养三周，不能参加四级集训了，先做退费，后期再看需要什么样的课程。</t>
  </si>
  <si>
    <t>城乡规划</t>
  </si>
  <si>
    <t>2025/07/31</t>
  </si>
  <si>
    <t>微信退还</t>
  </si>
  <si>
    <t>2025/07/28</t>
  </si>
  <si>
    <t>3458764513821909095</t>
  </si>
  <si>
    <t>史文涵1-史文涵</t>
  </si>
  <si>
    <t>无忧项目-VIP</t>
  </si>
  <si>
    <t>学员放弃考研</t>
  </si>
  <si>
    <t>孙宇航</t>
  </si>
  <si>
    <t>BJWY6390615397</t>
  </si>
  <si>
    <t>葛铭</t>
  </si>
  <si>
    <t>学员时间冲突，申请转班</t>
  </si>
  <si>
    <t>NO.2882303761518374667</t>
  </si>
  <si>
    <t>王嘉庆5-王嘉庆</t>
  </si>
  <si>
    <t>去其他机构</t>
  </si>
  <si>
    <t>学生自己通过朋友联系到了专业课老师，且不考虑转成其他课程</t>
  </si>
  <si>
    <t>安麒</t>
  </si>
  <si>
    <t>BJWY3081505061</t>
  </si>
  <si>
    <t>谭悦,张俊旺分单</t>
  </si>
  <si>
    <t>2025/07/01</t>
  </si>
  <si>
    <t>姓名：章俊骐
学员号：BJWY4692076178
手机号：15313850822
转班信息如下：KYJY25004转到KYJY25003；KYJZ25004转到KYJZ25003
转班原因：学生英语二变更英语一，申请转班(学员原本是定的英二，今天突然更改确为英一）</t>
  </si>
  <si>
    <t>集训批量转班</t>
  </si>
  <si>
    <t>学员h0d2p</t>
  </si>
  <si>
    <t>DLS_7932216421</t>
  </si>
  <si>
    <t>学员uh9jj</t>
  </si>
  <si>
    <t>谭悦合计</t>
  </si>
  <si>
    <t>18760838</t>
  </si>
  <si>
    <t>学生姓名：王钰淇学员编号：BJWY4540042254退费方式：实际退款退费原因：学员担心压力身体等原因，只退掉后续单独报入的冲刺班（之前的寒暑不变）退费班级：冲刺政英数退费明细：1】KYJS25022A0002  KYJS25022A  26考研数学集训营（强冲）  164002】KYJZ25022A0005  KYJZ25022A  26考研政治集训营（强冲）9471.73】KYZ250230002  KYZ25023  26考研冲刺集训营（住宿费）126404】KYJY25022A0006  KYJY25022  A26考研英语集训营（强冲/英语一）14988.3
冲刺班课前退费53500元</t>
  </si>
  <si>
    <t>王钰淇</t>
  </si>
  <si>
    <t>BJWY4540042254</t>
  </si>
  <si>
    <t>2025/07/04</t>
  </si>
  <si>
    <t>支付宝原路退回</t>
  </si>
  <si>
    <t>2025/07/08</t>
  </si>
  <si>
    <t>18774510</t>
  </si>
  <si>
    <t>实习和新东方时间冲突</t>
  </si>
  <si>
    <t>学生姓名：杜昀洁学员编号：BJWY7527072721退费方式：报名英政候鸟，退英语退费原因：学生学校很忙，没有时间集中学习两科，学生坚持退英语，保留政治，后面考虑一对一退费班级：WYHE26004、WYHE26005退费明细：英政联报23800，保留政治15300，扣除单词书88，退出8412</t>
  </si>
  <si>
    <t>杜昀洁</t>
  </si>
  <si>
    <t>BJWY7527072721</t>
  </si>
  <si>
    <t>微信退回</t>
  </si>
  <si>
    <t>学员更换科目，辛苦转班</t>
  </si>
  <si>
    <t>学员更换专业，申请转班</t>
  </si>
  <si>
    <t>NO.2025071501692</t>
  </si>
  <si>
    <t>王立颖17-王立颖</t>
  </si>
  <si>
    <t>在职项目-VIP</t>
  </si>
  <si>
    <t>退费原因：学生目标是北大EMBA，资料提交了2个多月仍处于待定状态，未通过资料审核</t>
  </si>
  <si>
    <t>光华管理学院</t>
  </si>
  <si>
    <t>黄琳</t>
  </si>
  <si>
    <t>BJWY4447076368</t>
  </si>
  <si>
    <t>微信退3000</t>
  </si>
  <si>
    <t>2025072001114</t>
  </si>
  <si>
    <t>李润基</t>
  </si>
  <si>
    <t>其他（主动）</t>
  </si>
  <si>
    <t>四六级项目-VIP</t>
  </si>
  <si>
    <t>还未使用过该课时包 没有课程需求，想要报高中应试辅导，暂无辅导能力，申请退费报高中部门，已经过挽退</t>
  </si>
  <si>
    <t>李莺</t>
  </si>
  <si>
    <t>BJWY1799880736</t>
  </si>
  <si>
    <t>2025/07/29</t>
  </si>
  <si>
    <t>NO.18799018</t>
  </si>
  <si>
    <t>焦子瑞</t>
  </si>
  <si>
    <t>赵星火,高龙明</t>
  </si>
  <si>
    <t>开课前退费，费用退回至储值账户，转入8月半年的集训
退费原因：学生做了手术在康复期，公共课退费至储值账户，转入8月半年的集训课程。
专业课部分已提交另一个OA</t>
  </si>
  <si>
    <t>¥8100.00</t>
  </si>
  <si>
    <t>暂退至学员账户</t>
  </si>
  <si>
    <t>NO.18798750</t>
  </si>
  <si>
    <t>¥9890.00</t>
  </si>
  <si>
    <t>NO.18798017</t>
  </si>
  <si>
    <t>¥16900.00</t>
  </si>
  <si>
    <t>NO.18798206</t>
  </si>
  <si>
    <t>¥7010.00</t>
  </si>
  <si>
    <t>NO.18798262</t>
  </si>
  <si>
    <t>¥9930.00</t>
  </si>
  <si>
    <t>NO.18798356</t>
  </si>
  <si>
    <t>¥21920.00</t>
  </si>
  <si>
    <t>NO.18798443</t>
  </si>
  <si>
    <t>¥15650.00</t>
  </si>
  <si>
    <t>NO.3170534137670158103</t>
  </si>
  <si>
    <t>王士源13-王士源</t>
  </si>
  <si>
    <t>集训营项目-专业课</t>
  </si>
  <si>
    <t>已进行择校服务，基本确定院校，但学生做了手术在康复期，专业课退费至储值账户，转入8月半年的集训课程。</t>
  </si>
  <si>
    <t>2021级</t>
  </si>
  <si>
    <t>退到学员账户</t>
  </si>
  <si>
    <t>DLS_2090134225</t>
  </si>
  <si>
    <t>学员95e8h</t>
  </si>
  <si>
    <t>星火合计</t>
  </si>
  <si>
    <t>FY25-7月个性化顾问绩效核算</t>
  </si>
  <si>
    <t>顾问</t>
  </si>
  <si>
    <t>备注</t>
  </si>
  <si>
    <t>转介绍工单目标</t>
  </si>
  <si>
    <t>转介绍工单完成</t>
  </si>
  <si>
    <t>顾问转介绍得分（50）</t>
  </si>
  <si>
    <t>转介绍签约目标</t>
  </si>
  <si>
    <t>转介绍签约完成</t>
  </si>
  <si>
    <t>转介绍签约的份（30）</t>
  </si>
  <si>
    <t>主动转化率目标</t>
  </si>
  <si>
    <t>主动转化率</t>
  </si>
  <si>
    <t>被动转化率目标</t>
  </si>
  <si>
    <t>被动转化率</t>
  </si>
  <si>
    <t>转化率得分（20）</t>
  </si>
  <si>
    <t>合计得分</t>
  </si>
  <si>
    <t>发放比例</t>
  </si>
  <si>
    <t>月度绩效标准</t>
  </si>
  <si>
    <t>月绩效应发</t>
  </si>
  <si>
    <t>3 </t>
  </si>
  <si>
    <t>50 </t>
  </si>
  <si>
    <t>O3无绩效</t>
  </si>
  <si>
    <t>岗位</t>
  </si>
  <si>
    <t>绩效考核项</t>
  </si>
  <si>
    <t>1.签约业绩</t>
  </si>
  <si>
    <t>2.主被动转化率</t>
  </si>
  <si>
    <t>3.老带新工单/人头/金额</t>
  </si>
  <si>
    <t>4.规划课签约人头</t>
  </si>
  <si>
    <t>5.回访时效</t>
  </si>
  <si>
    <t>个性化项目部</t>
  </si>
  <si>
    <t>学习顾问</t>
  </si>
  <si>
    <t>地面75w+代售在线3w</t>
  </si>
  <si>
    <t>主动25%、被动10%</t>
  </si>
  <si>
    <t>工单6/人头3/金额6</t>
  </si>
  <si>
    <t>不低于中心50分位值</t>
  </si>
  <si>
    <t>整体10w</t>
  </si>
  <si>
    <t>整体10%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</si>
</sst>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00_);[Red]\(&quot;￥&quot;#,##0.00\)"/>
    <numFmt numFmtId="165" formatCode="&quot;￥&quot;#,##0.00;[Red]&quot;￥&quot;\-#,##0.00"/>
    <numFmt numFmtId="166" formatCode="yyyy/m/d;@"/>
    <numFmt numFmtId="167" formatCode="0_);[Red]\(0\)"/>
  </numFmts>
  <fonts count="175">
    <font>
      <sz val="12"/>
      <color theme="1"/>
      <name val="等线"/>
      <family val="2"/>
      <charset val="134"/>
      <scheme val="minor"/>
    </font>
    <font>
      <sz val="9"/>
      <name val="等线"/>
      <family val="2"/>
      <charset val="134"/>
      <scheme val="minor"/>
    </font>
    <font>
      <u/>
      <sz val="10"/>
      <color theme="10"/>
      <name val="等线"/>
      <family val="2"/>
      <charset val="134"/>
      <scheme val="minor"/>
    </font>
    <font>
      <sz val="10"/>
      <color theme="1"/>
      <name val="等线"/>
      <family val="2"/>
      <charset val="134"/>
      <scheme val="minor"/>
    </font>
    <font>
      <b/>
      <sz val="10"/>
      <color rgb="FFFFFFFF"/>
      <name val="微软雅黑"/>
    </font>
    <font>
      <sz val="10"/>
      <color rgb="FF000000"/>
      <name val="微软雅黑"/>
    </font>
    <font>
      <b/>
      <sz val="11"/>
      <color rgb="FFFFFFFF"/>
      <name val="微软雅黑"/>
    </font>
    <font>
      <b/>
      <sz val="14"/>
      <color rgb="FFFFFFFF"/>
      <name val="微软雅黑"/>
    </font>
    <font>
      <sz val="10"/>
      <color rgb="FF333333"/>
      <name val="微软雅黑"/>
    </font>
    <font>
      <b/>
      <sz val="10"/>
      <color rgb="FF000000"/>
      <name val="微软雅黑"/>
    </font>
    <font>
      <sz val="11"/>
      <color rgb="FF000000"/>
      <name val="宋体"/>
    </font>
    <font>
      <sz val="11"/>
      <color rgb="FF000000"/>
      <name val="微软雅黑"/>
    </font>
    <font>
      <sz val="9"/>
      <color rgb="FF222222"/>
      <name val="宋体"/>
    </font>
    <font>
      <b/>
      <sz val="11"/>
      <color rgb="FF000000"/>
      <name val="微软雅黑"/>
    </font>
    <font>
      <b/>
      <sz val="11"/>
      <color rgb="FFFF0000"/>
      <name val="微软雅黑"/>
    </font>
    <font>
      <sz val="11"/>
      <color rgb="FFFF0000"/>
      <name val="微软雅黑"/>
    </font>
    <font>
      <b/>
      <sz val="18"/>
      <color rgb="FFFFFFFF"/>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1"/>
      <color rgb="FF000000"/>
      <name val="微软雅黑"/>
    </font>
    <font>
      <sz val="11"/>
      <color rgb="FF000000"/>
      <name val="微软雅黑"/>
    </font>
    <font>
      <sz val="11"/>
      <color rgb="FF000000"/>
      <name val="微软雅黑"/>
    </font>
    <font>
      <sz val="11"/>
      <color rgb="FF000000"/>
      <name val="微软雅黑"/>
    </font>
    <font>
      <sz val="11"/>
      <color rgb="FF000000"/>
      <name val="微软雅黑"/>
    </font>
    <font>
      <sz val="11"/>
      <color rgb="FF000000"/>
      <name val="微软雅黑"/>
    </font>
    <font>
      <sz val="11"/>
      <color rgb="FF000000"/>
      <name val="微软雅黑"/>
    </font>
    <font>
      <sz val="11"/>
      <color rgb="FF000000"/>
      <name val="微软雅黑"/>
    </font>
    <font>
      <sz val="11"/>
      <color rgb="FF000000"/>
      <name val="微软雅黑"/>
    </font>
    <font>
      <sz val="11"/>
      <color rgb="FF000000"/>
      <name val="微软雅黑"/>
    </font>
    <font>
      <sz val="11"/>
      <color rgb="FF000000"/>
      <name val="微软雅黑"/>
    </font>
    <font>
      <sz val="11"/>
      <color rgb="FF000000"/>
      <name val="微软雅黑"/>
    </font>
    <font>
      <sz val="11"/>
      <color rgb="FF000000"/>
      <name val="微软雅黑"/>
    </font>
    <font>
      <sz val="11"/>
      <color rgb="FF000000"/>
      <name val="微软雅黑"/>
    </font>
    <font>
      <sz val="11"/>
      <color rgb="FF000000"/>
      <name val="微软雅黑"/>
    </font>
    <font>
      <sz val="11"/>
      <color rgb="FF000000"/>
      <name val="微软雅黑"/>
    </font>
    <font>
      <sz val="11"/>
      <color rgb="FF000000"/>
      <name val="微软雅黑"/>
    </font>
    <font>
      <sz val="11"/>
      <color rgb="FF000000"/>
      <name val="微软雅黑"/>
    </font>
    <font>
      <sz val="11"/>
      <color rgb="FF000000"/>
      <name val="微软雅黑"/>
    </font>
    <font>
      <sz val="11"/>
      <color rgb="FF000000"/>
      <name val="微软雅黑"/>
    </font>
    <font>
      <sz val="11"/>
      <color rgb="FF000000"/>
      <name val="微软雅黑"/>
    </font>
    <font>
      <sz val="11"/>
      <color rgb="FF000000"/>
      <name val="微软雅黑"/>
    </font>
    <font>
      <sz val="11"/>
      <color rgb="FF000000"/>
      <name val="微软雅黑"/>
    </font>
    <font>
      <sz val="11"/>
      <color rgb="FF000000"/>
      <name val="微软雅黑"/>
    </font>
    <font>
      <sz val="11"/>
      <color rgb="FF000000"/>
      <name val="微软雅黑"/>
    </font>
    <font>
      <sz val="11"/>
      <color rgb="FF000000"/>
      <name val="微软雅黑"/>
    </font>
    <font>
      <sz val="11"/>
      <color rgb="FF000000"/>
      <name val="微软雅黑"/>
    </font>
    <font>
      <sz val="11"/>
      <color rgb="FF000000"/>
      <name val="微软雅黑"/>
    </font>
    <font>
      <sz val="11"/>
      <color rgb="FF000000"/>
      <name val="微软雅黑"/>
    </font>
  </fonts>
  <fills count="13">
    <fill>
      <patternFill patternType="none"/>
    </fill>
    <fill>
      <patternFill patternType="gray125"/>
    </fill>
    <fill>
      <patternFill patternType="solid">
        <fgColor rgb="FF006666"/>
      </patternFill>
    </fill>
    <fill>
      <patternFill patternType="solid">
        <fgColor rgb="FFFFFF00"/>
      </patternFill>
    </fill>
    <fill>
      <patternFill patternType="solid">
        <fgColor rgb="FFF4B183"/>
      </patternFill>
    </fill>
    <fill>
      <patternFill patternType="solid">
        <fgColor rgb="FFDEEAF6"/>
      </patternFill>
    </fill>
    <fill>
      <patternFill patternType="solid">
        <fgColor rgb="FFCCCCFF"/>
      </patternFill>
    </fill>
    <fill>
      <patternFill patternType="solid">
        <fgColor rgb="FF006450"/>
      </patternFill>
    </fill>
    <fill>
      <patternFill patternType="solid">
        <fgColor rgb="FFD9F2D0"/>
      </patternFill>
    </fill>
    <fill>
      <patternFill patternType="solid">
        <fgColor rgb="FFBF4F14"/>
      </patternFill>
    </fill>
    <fill>
      <patternFill patternType="solid">
        <fgColor rgb="FFFAE2D5"/>
      </patternFill>
    </fill>
    <fill>
      <patternFill patternType="solid">
        <fgColor rgb="FF153D64"/>
      </patternFill>
    </fill>
    <fill>
      <patternFill patternType="solid">
        <fgColor rgb="FFDBE9F7"/>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224">
    <xf numFmtId="0" fontId="0" fillId="0" borderId="0" xfId="0">
      <alignment vertical="center"/>
    </xf>
    <xf numFmtId="0" fontId="2" fillId="0" borderId="0" xfId="1">
      <alignment vertical="center"/>
    </xf>
    <xf numFmtId="0" fontId="3" fillId="0" borderId="0" xfId="0" quotePrefix="1">
      <alignment vertical="center"/>
    </xf>
    <xf numFmtId="0" fontId="3" fillId="0" borderId="0" xfId="0">
      <alignment vertical="center" wrapText="1"/>
    </xf>
    <xf numFmtId="0" fontId="3" fillId="0" borderId="0" xfId="0">
      <alignment vertical="center"/>
    </xf>
    <xf numFmtId="0" fontId="4" fillId="2" borderId="1" xfId="0" applyFont="1" applyFill="1" applyBorder="1" applyProtection="1">
      <alignment horizontal="center" vertical="center"/>
    </xf>
    <xf numFmtId="0" fontId="5" fillId="0" borderId="1" xfId="0" applyFont="1" applyBorder="1" applyProtection="1">
      <alignment horizontal="center" vertical="center"/>
    </xf>
    <xf numFmtId="0" fontId="5" fillId="0" borderId="2" xfId="0" applyFont="1" applyBorder="1" applyProtection="1">
      <alignment horizontal="center" vertical="center"/>
    </xf>
    <xf numFmtId="0" fontId="5" fillId="0" borderId="1" xfId="0" applyFont="1" applyBorder="1" applyProtection="1">
      <alignment horizontal="center" vertical="center"/>
    </xf>
    <xf numFmtId="0" fontId="5" fillId="0" borderId="3" xfId="0" applyFont="1" applyBorder="1" applyProtection="1">
      <alignment horizontal="center" vertical="center"/>
    </xf>
    <xf numFmtId="0" fontId="5" fillId="0" borderId="1" xfId="0" applyFont="1" applyBorder="1" applyProtection="1">
      <alignment horizontal="center" vertical="center"/>
    </xf>
    <xf numFmtId="0" fontId="5" fillId="0" borderId="4" xfId="0" applyFont="1" applyBorder="1" applyProtection="1">
      <alignment horizontal="center" vertical="center"/>
    </xf>
    <xf numFmtId="0" fontId="6" fillId="2" borderId="0" xfId="0" applyFont="1" applyFill="1">
      <alignment horizontal="center" vertical="center"/>
    </xf>
    <xf numFmtId="0" fontId="4" fillId="2" borderId="5" xfId="0" applyFont="1" applyFill="1" applyBorder="1" applyProtection="1">
      <alignment horizontal="center" vertical="center"/>
    </xf>
    <xf numFmtId="0" fontId="4" fillId="2" borderId="1" xfId="0" applyFont="1" applyFill="1" applyBorder="1" applyProtection="1">
      <alignment horizontal="center" vertical="center"/>
    </xf>
    <xf numFmtId="0" fontId="7" fillId="2" borderId="1" xfId="0" applyFont="1" applyFill="1" applyBorder="1" applyProtection="1">
      <alignment horizontal="center" vertical="center"/>
    </xf>
    <xf numFmtId="0" fontId="4" fillId="2" borderId="1" xfId="0" applyFont="1" applyFill="1" applyBorder="1" applyProtection="1">
      <alignment horizontal="center" vertical="center" wrapText="1"/>
    </xf>
    <xf numFmtId="0" fontId="6" fillId="2" borderId="1" xfId="0" applyFont="1" applyFill="1" applyBorder="1" applyProtection="1">
      <alignment horizontal="center" vertical="center" wrapText="1"/>
    </xf>
    <xf numFmtId="0" fontId="5" fillId="0" borderId="1" xfId="0" applyFont="1" applyBorder="1" applyProtection="1">
      <alignment horizontal="center" vertical="center"/>
    </xf>
    <xf numFmtId="0" fontId="5" fillId="3" borderId="1" xfId="0" applyFont="1" applyFill="1" applyBorder="1" applyProtection="1">
      <alignment horizontal="center" vertical="center"/>
    </xf>
    <xf numFmtId="0" fontId="5" fillId="0" borderId="1" xfId="0" applyFont="1" applyBorder="1" applyProtection="1">
      <alignment horizontal="center" vertical="center"/>
    </xf>
    <xf numFmtId="0" fontId="8" fillId="0" borderId="1" xfId="0" applyFont="1" applyBorder="1" applyProtection="1">
      <alignment horizontal="center" vertical="center"/>
    </xf>
    <xf numFmtId="0" fontId="9" fillId="0" borderId="1" xfId="0" applyFont="1" applyBorder="1" applyProtection="1">
      <alignment horizontal="center" vertical="center" wrapText="1"/>
    </xf>
    <xf numFmtId="9" fontId="5" fillId="0" borderId="1" xfId="0" applyNumberFormat="1" applyFont="1" applyBorder="1" applyProtection="1">
      <alignment horizontal="center" vertical="center"/>
    </xf>
    <xf numFmtId="0" fontId="10" fillId="0" borderId="0" xfId="0" applyFont="1">
      <alignment horizontal="general" vertical="center"/>
    </xf>
    <xf numFmtId="0" fontId="10" fillId="0" borderId="0" xfId="0" applyFont="1">
      <alignment horizontal="center" vertical="center"/>
    </xf>
    <xf numFmtId="164" fontId="10" fillId="0" borderId="0" xfId="0" applyNumberFormat="1" applyFont="1">
      <alignment horizontal="general" vertical="center"/>
    </xf>
    <xf numFmtId="0" fontId="10" fillId="0" borderId="0" xfId="0" applyFont="1">
      <alignment horizontal="center" vertical="center"/>
    </xf>
    <xf numFmtId="0" fontId="11" fillId="0" borderId="1" xfId="0" applyFont="1" applyBorder="1" applyProtection="1">
      <alignment horizontal="general" vertical="center"/>
    </xf>
    <xf numFmtId="0" fontId="11" fillId="0" borderId="1" xfId="0" applyFont="1" applyBorder="1" applyProtection="1">
      <alignment horizontal="general" vertical="center"/>
    </xf>
    <xf numFmtId="165" fontId="11" fillId="0" borderId="1" xfId="0" applyNumberFormat="1" applyFont="1" applyBorder="1" applyProtection="1">
      <alignment horizontal="general" vertical="center"/>
    </xf>
    <xf numFmtId="0" fontId="11" fillId="0" borderId="1" xfId="0" applyFont="1" applyBorder="1" applyProtection="1">
      <alignment horizontal="center" vertical="center"/>
    </xf>
    <xf numFmtId="0" fontId="11" fillId="4" borderId="1" xfId="0" applyFont="1" applyFill="1" applyBorder="1" applyProtection="1">
      <alignment horizontal="center" vertical="center"/>
    </xf>
    <xf numFmtId="0" fontId="11" fillId="5" borderId="1" xfId="0" applyFont="1" applyFill="1" applyBorder="1" applyProtection="1">
      <alignment horizontal="center" vertical="center"/>
    </xf>
    <xf numFmtId="0" fontId="12" fillId="0" borderId="1" xfId="0" applyFont="1" applyBorder="1" applyProtection="1">
      <alignment horizontal="center" vertical="center"/>
    </xf>
    <xf numFmtId="0" fontId="13" fillId="3" borderId="1" xfId="0" applyFont="1" applyFill="1" applyBorder="1" applyProtection="1">
      <alignment horizontal="center" vertical="center"/>
    </xf>
    <xf numFmtId="0" fontId="10" fillId="4" borderId="0" xfId="0" applyFont="1" applyFill="1">
      <alignment horizontal="general" vertical="center"/>
    </xf>
    <xf numFmtId="164" fontId="11" fillId="0" borderId="1" xfId="0" applyNumberFormat="1" applyFont="1" applyBorder="1" applyProtection="1">
      <alignment horizontal="general" vertical="center"/>
    </xf>
    <xf numFmtId="0" fontId="11" fillId="0" borderId="1" xfId="0" applyFont="1" applyBorder="1" applyProtection="1">
      <alignment horizontal="center" vertical="center"/>
    </xf>
    <xf numFmtId="166" fontId="11" fillId="0" borderId="1" xfId="0" applyNumberFormat="1" applyFont="1" applyBorder="1" applyProtection="1">
      <alignment horizontal="center" vertical="center"/>
    </xf>
    <xf numFmtId="165" fontId="11" fillId="3" borderId="1" xfId="0" applyNumberFormat="1" applyFont="1" applyFill="1" applyBorder="1" applyProtection="1">
      <alignment horizontal="general" vertical="center"/>
    </xf>
    <xf numFmtId="164" fontId="14" fillId="3" borderId="1" xfId="0" applyNumberFormat="1" applyFont="1" applyFill="1" applyBorder="1" applyProtection="1">
      <alignment horizontal="general" vertical="center"/>
    </xf>
    <xf numFmtId="164" fontId="11" fillId="4" borderId="1" xfId="0" applyNumberFormat="1" applyFont="1" applyFill="1" applyBorder="1" applyProtection="1">
      <alignment horizontal="center" vertical="center"/>
    </xf>
    <xf numFmtId="0" fontId="11" fillId="0" borderId="0" xfId="0" applyFont="1">
      <alignment horizontal="general" vertical="center"/>
    </xf>
    <xf numFmtId="165" fontId="15" fillId="3" borderId="1" xfId="0" applyNumberFormat="1" applyFont="1" applyFill="1" applyBorder="1" applyProtection="1">
      <alignment horizontal="general" vertical="center"/>
    </xf>
    <xf numFmtId="165" fontId="15" fillId="3" borderId="0" xfId="0" applyNumberFormat="1" applyFont="1" applyFill="1">
      <alignment horizontal="general" vertical="center"/>
    </xf>
    <xf numFmtId="165" fontId="11" fillId="3" borderId="0" xfId="0" applyNumberFormat="1" applyFont="1" applyFill="1">
      <alignment horizontal="general" vertical="center"/>
    </xf>
    <xf numFmtId="0" fontId="10" fillId="0" borderId="0" xfId="0" applyFont="1">
      <alignment horizontal="general" vertical="center"/>
    </xf>
    <xf numFmtId="0" fontId="9" fillId="6" borderId="1" xfId="0" applyFont="1" applyFill="1" applyBorder="1" applyProtection="1">
      <alignment horizontal="center" vertical="center" wrapText="1"/>
    </xf>
    <xf numFmtId="0" fontId="5" fillId="0" borderId="0" xfId="0" applyFont="1">
      <alignment horizontal="general" vertical="bottom"/>
    </xf>
    <xf numFmtId="0" fontId="5" fillId="3" borderId="0" xfId="0" applyFont="1" applyFill="1">
      <alignment horizontal="general" vertical="bottom"/>
    </xf>
    <xf numFmtId="0" fontId="5" fillId="0" borderId="0" xfId="0" applyFont="1">
      <alignment horizontal="general" vertical="bottom"/>
    </xf>
    <xf numFmtId="0" fontId="16" fillId="7" borderId="1" xfId="0" applyFont="1" applyFill="1" applyBorder="1" applyProtection="1">
      <alignment horizontal="center" vertical="center"/>
    </xf>
    <xf numFmtId="0" fontId="6" fillId="7" borderId="1" xfId="0" applyFont="1" applyFill="1" applyBorder="1" applyProtection="1">
      <alignment horizontal="center" vertical="center"/>
    </xf>
    <xf numFmtId="0" fontId="11" fillId="0" borderId="1" xfId="0" applyFont="1" applyBorder="1" applyProtection="1">
      <alignment horizontal="center" vertical="center"/>
    </xf>
    <xf numFmtId="0" fontId="11" fillId="8" borderId="6" xfId="0" applyFont="1" applyFill="1" applyBorder="1" applyProtection="1">
      <alignment horizontal="center" vertical="center"/>
    </xf>
    <xf numFmtId="0" fontId="11" fillId="8" borderId="1" xfId="0" applyFont="1" applyFill="1" applyBorder="1" applyProtection="1">
      <alignment horizontal="center" vertical="center"/>
    </xf>
    <xf numFmtId="0" fontId="6" fillId="9" borderId="1" xfId="0" applyFont="1" applyFill="1" applyBorder="1" applyProtection="1">
      <alignment horizontal="center" vertical="center"/>
    </xf>
    <xf numFmtId="0" fontId="11" fillId="10" borderId="1" xfId="0" applyFont="1" applyFill="1" applyBorder="1" applyProtection="1">
      <alignment horizontal="center" vertical="center"/>
    </xf>
    <xf numFmtId="0" fontId="6" fillId="11" borderId="1" xfId="0" applyFont="1" applyFill="1" applyBorder="1" applyProtection="1">
      <alignment horizontal="center" vertical="center"/>
    </xf>
    <xf numFmtId="9" fontId="11" fillId="0" borderId="1" xfId="0" applyNumberFormat="1" applyFont="1" applyBorder="1" applyProtection="1">
      <alignment horizontal="center" vertical="center"/>
    </xf>
    <xf numFmtId="0" fontId="14" fillId="10" borderId="1" xfId="0" applyFont="1" applyFill="1" applyBorder="1" applyProtection="1">
      <alignment horizontal="center" vertical="center"/>
    </xf>
    <xf numFmtId="0" fontId="11" fillId="12" borderId="1" xfId="0" applyFont="1" applyFill="1" applyBorder="1" applyProtection="1">
      <alignment horizontal="center" vertical="center"/>
    </xf>
    <xf numFmtId="9" fontId="14" fillId="12" borderId="1" xfId="0" applyNumberFormat="1" applyFont="1" applyFill="1" applyBorder="1" applyProtection="1">
      <alignment horizontal="center" vertical="center"/>
    </xf>
    <xf numFmtId="0" fontId="7" fillId="7" borderId="1" xfId="0" applyFont="1" applyFill="1" applyBorder="1" applyProtection="1">
      <alignment horizontal="center" vertical="center"/>
    </xf>
    <xf numFmtId="167" fontId="5" fillId="0" borderId="1" xfId="0" applyNumberFormat="1" applyFont="1" applyBorder="1" applyProtection="1">
      <alignment horizontal="center" vertical="center"/>
    </xf>
    <xf numFmtId="0" fontId="17" fillId="0" borderId="0" xfId="0" applyFont="1">
      <alignment horizontal="general" vertical="bottom" wrapText="1"/>
    </xf>
    <xf numFmtId="0" fontId="18" fillId="0" borderId="0" xfId="0" applyFont="1">
      <alignment horizontal="general" vertical="bottom" wrapText="1"/>
    </xf>
    <xf numFmtId="0" fontId="19" fillId="0" borderId="0" xfId="0" applyFont="1">
      <alignment horizontal="general" vertical="bottom" wrapText="1"/>
    </xf>
    <xf numFmtId="0" fontId="20" fillId="0" borderId="0" xfId="0" applyFont="1">
      <alignment horizontal="general" vertical="bottom" wrapText="1"/>
    </xf>
    <xf numFmtId="0" fontId="21" fillId="0" borderId="0" xfId="0" applyFont="1">
      <alignment horizontal="general" vertical="bottom" wrapText="1"/>
    </xf>
    <xf numFmtId="0" fontId="22" fillId="0" borderId="0" xfId="0" applyFont="1">
      <alignment horizontal="general" vertical="bottom" wrapText="1"/>
    </xf>
    <xf numFmtId="0" fontId="23" fillId="0" borderId="0" xfId="0" applyFont="1">
      <alignment horizontal="general" vertical="bottom" wrapText="1"/>
    </xf>
    <xf numFmtId="0" fontId="24" fillId="0" borderId="0" xfId="0" applyFont="1">
      <alignment horizontal="general" vertical="bottom" wrapText="1"/>
    </xf>
    <xf numFmtId="0" fontId="25" fillId="0" borderId="0" xfId="0" applyFont="1">
      <alignment horizontal="general" vertical="bottom" wrapText="1"/>
    </xf>
    <xf numFmtId="0" fontId="26" fillId="0" borderId="0" xfId="0" applyFont="1">
      <alignment horizontal="general" vertical="bottom" wrapText="1"/>
    </xf>
    <xf numFmtId="0" fontId="27" fillId="0" borderId="0" xfId="0" applyFont="1">
      <alignment horizontal="general" vertical="bottom" wrapText="1"/>
    </xf>
    <xf numFmtId="0" fontId="28" fillId="0" borderId="0" xfId="0" applyFont="1">
      <alignment horizontal="general" vertical="bottom" wrapText="1"/>
    </xf>
    <xf numFmtId="0" fontId="29" fillId="0" borderId="0" xfId="0" applyFont="1">
      <alignment horizontal="general" vertical="bottom" wrapText="1"/>
    </xf>
    <xf numFmtId="0" fontId="30" fillId="0" borderId="0" xfId="0" applyFont="1">
      <alignment horizontal="general" vertical="bottom" wrapText="1"/>
    </xf>
    <xf numFmtId="0" fontId="31" fillId="0" borderId="0" xfId="0" applyFont="1">
      <alignment horizontal="general" vertical="bottom" wrapText="1"/>
    </xf>
    <xf numFmtId="0" fontId="32" fillId="0" borderId="0" xfId="0" applyFont="1">
      <alignment horizontal="general" vertical="bottom" wrapText="1"/>
    </xf>
    <xf numFmtId="0" fontId="33" fillId="0" borderId="0" xfId="0" applyFont="1">
      <alignment horizontal="general" vertical="bottom" wrapText="1"/>
    </xf>
    <xf numFmtId="0" fontId="34" fillId="0" borderId="0" xfId="0" applyFont="1">
      <alignment horizontal="general" vertical="bottom" wrapText="1"/>
    </xf>
    <xf numFmtId="0" fontId="35" fillId="0" borderId="0" xfId="0" applyFont="1">
      <alignment horizontal="general" vertical="bottom" wrapText="1"/>
    </xf>
    <xf numFmtId="0" fontId="36" fillId="0" borderId="0" xfId="0" applyFont="1">
      <alignment horizontal="general" vertical="bottom" wrapText="1"/>
    </xf>
    <xf numFmtId="0" fontId="37" fillId="0" borderId="0" xfId="0" applyFont="1">
      <alignment horizontal="general" vertical="bottom" wrapText="1"/>
    </xf>
    <xf numFmtId="0" fontId="38" fillId="0" borderId="0" xfId="0" applyFont="1">
      <alignment horizontal="general" vertical="bottom" wrapText="1"/>
    </xf>
    <xf numFmtId="0" fontId="39" fillId="0" borderId="0" xfId="0" applyFont="1">
      <alignment horizontal="general" vertical="bottom" wrapText="1"/>
    </xf>
    <xf numFmtId="0" fontId="40" fillId="0" borderId="0" xfId="0" applyFont="1">
      <alignment horizontal="general" vertical="bottom" wrapText="1"/>
    </xf>
    <xf numFmtId="0" fontId="41" fillId="0" borderId="0" xfId="0" applyFont="1">
      <alignment horizontal="general" vertical="bottom" wrapText="1"/>
    </xf>
    <xf numFmtId="0" fontId="42" fillId="0" borderId="0" xfId="0" applyFont="1">
      <alignment horizontal="general" vertical="bottom" wrapText="1"/>
    </xf>
    <xf numFmtId="0" fontId="43" fillId="0" borderId="0" xfId="0" applyFont="1">
      <alignment horizontal="general" vertical="bottom" wrapText="1"/>
    </xf>
    <xf numFmtId="0" fontId="44" fillId="0" borderId="0" xfId="0" applyFont="1">
      <alignment horizontal="general" vertical="bottom" wrapText="1"/>
    </xf>
    <xf numFmtId="0" fontId="45" fillId="0" borderId="0" xfId="0" applyFont="1">
      <alignment horizontal="general" vertical="bottom" wrapText="1"/>
    </xf>
    <xf numFmtId="0" fontId="46" fillId="0" borderId="0" xfId="0" applyFont="1">
      <alignment horizontal="general" vertical="bottom" wrapText="1"/>
    </xf>
    <xf numFmtId="0" fontId="47" fillId="0" borderId="0" xfId="0" applyFont="1">
      <alignment horizontal="general" vertical="bottom" wrapText="1"/>
    </xf>
    <xf numFmtId="0" fontId="48" fillId="0" borderId="0" xfId="0" applyFont="1">
      <alignment horizontal="general" vertical="bottom" wrapText="1"/>
    </xf>
    <xf numFmtId="0" fontId="49" fillId="0" borderId="0" xfId="0" applyFont="1">
      <alignment horizontal="general" vertical="bottom" wrapText="1"/>
    </xf>
    <xf numFmtId="0" fontId="50" fillId="0" borderId="0" xfId="0" applyFont="1">
      <alignment horizontal="general" vertical="bottom" wrapText="1"/>
    </xf>
    <xf numFmtId="0" fontId="51" fillId="0" borderId="0" xfId="0" applyFont="1">
      <alignment horizontal="general" vertical="bottom" wrapText="1"/>
    </xf>
    <xf numFmtId="0" fontId="52" fillId="0" borderId="0" xfId="0" applyFont="1">
      <alignment horizontal="general" vertical="bottom" wrapText="1"/>
    </xf>
    <xf numFmtId="0" fontId="53" fillId="0" borderId="0" xfId="0" applyFont="1">
      <alignment horizontal="general" vertical="bottom" wrapText="1"/>
    </xf>
    <xf numFmtId="0" fontId="54" fillId="0" borderId="0" xfId="0" applyFont="1">
      <alignment horizontal="general" vertical="bottom" wrapText="1"/>
    </xf>
    <xf numFmtId="0" fontId="55" fillId="0" borderId="0" xfId="0" applyFont="1">
      <alignment horizontal="general" vertical="bottom" wrapText="1"/>
    </xf>
    <xf numFmtId="0" fontId="56" fillId="0" borderId="0" xfId="0" applyFont="1">
      <alignment horizontal="general" vertical="bottom" wrapText="1"/>
    </xf>
    <xf numFmtId="0" fontId="57" fillId="0" borderId="0" xfId="0" applyFont="1">
      <alignment horizontal="general" vertical="bottom" wrapText="1"/>
    </xf>
    <xf numFmtId="0" fontId="58" fillId="0" borderId="0" xfId="0" applyFont="1">
      <alignment horizontal="general" vertical="bottom" wrapText="1"/>
    </xf>
    <xf numFmtId="0" fontId="59" fillId="0" borderId="0" xfId="0" applyFont="1">
      <alignment horizontal="general" vertical="bottom" wrapText="1"/>
    </xf>
    <xf numFmtId="0" fontId="60" fillId="0" borderId="0" xfId="0" applyFont="1">
      <alignment horizontal="general" vertical="bottom" wrapText="1"/>
    </xf>
    <xf numFmtId="0" fontId="61" fillId="0" borderId="0" xfId="0" applyFont="1">
      <alignment horizontal="general" vertical="bottom" wrapText="1"/>
    </xf>
    <xf numFmtId="0" fontId="62" fillId="0" borderId="0" xfId="0" applyFont="1">
      <alignment horizontal="general" vertical="bottom" wrapText="1"/>
    </xf>
    <xf numFmtId="0" fontId="63" fillId="0" borderId="0" xfId="0" applyFont="1">
      <alignment horizontal="general" vertical="bottom" wrapText="1"/>
    </xf>
    <xf numFmtId="0" fontId="64" fillId="0" borderId="0" xfId="0" applyFont="1">
      <alignment horizontal="general" vertical="bottom" wrapText="1"/>
    </xf>
    <xf numFmtId="0" fontId="65" fillId="0" borderId="0" xfId="0" applyFont="1">
      <alignment horizontal="general" vertical="bottom" wrapText="1"/>
    </xf>
    <xf numFmtId="0" fontId="66" fillId="0" borderId="0" xfId="0" applyFont="1">
      <alignment horizontal="general" vertical="bottom" wrapText="1"/>
    </xf>
    <xf numFmtId="0" fontId="67" fillId="0" borderId="0" xfId="0" applyFont="1">
      <alignment horizontal="general" vertical="bottom" wrapText="1"/>
    </xf>
    <xf numFmtId="0" fontId="68" fillId="0" borderId="0" xfId="0" applyFont="1">
      <alignment horizontal="general" vertical="bottom" wrapText="1"/>
    </xf>
    <xf numFmtId="0" fontId="69" fillId="0" borderId="0" xfId="0" applyFont="1">
      <alignment horizontal="general" vertical="bottom" wrapText="1"/>
    </xf>
    <xf numFmtId="0" fontId="70" fillId="0" borderId="0" xfId="0" applyFont="1">
      <alignment horizontal="general" vertical="bottom" wrapText="1"/>
    </xf>
    <xf numFmtId="0" fontId="71" fillId="0" borderId="0" xfId="0" applyFont="1">
      <alignment horizontal="general" vertical="bottom" wrapText="1"/>
    </xf>
    <xf numFmtId="0" fontId="72" fillId="0" borderId="0" xfId="0" applyFont="1">
      <alignment horizontal="general" vertical="bottom" wrapText="1"/>
    </xf>
    <xf numFmtId="0" fontId="73" fillId="0" borderId="0" xfId="0" applyFont="1">
      <alignment horizontal="general" vertical="bottom" wrapText="1"/>
    </xf>
    <xf numFmtId="0" fontId="74" fillId="0" borderId="0" xfId="0" applyFont="1">
      <alignment horizontal="general" vertical="bottom" wrapText="1"/>
    </xf>
    <xf numFmtId="0" fontId="75" fillId="0" borderId="0" xfId="0" applyFont="1">
      <alignment horizontal="general" vertical="bottom" wrapText="1"/>
    </xf>
    <xf numFmtId="0" fontId="76" fillId="0" borderId="0" xfId="0" applyFont="1">
      <alignment horizontal="general" vertical="bottom" wrapText="1"/>
    </xf>
    <xf numFmtId="0" fontId="77" fillId="0" borderId="0" xfId="0" applyFont="1">
      <alignment horizontal="general" vertical="bottom" wrapText="1"/>
    </xf>
    <xf numFmtId="0" fontId="78" fillId="0" borderId="0" xfId="0" applyFont="1">
      <alignment horizontal="general" vertical="bottom" wrapText="1"/>
    </xf>
    <xf numFmtId="0" fontId="79" fillId="0" borderId="0" xfId="0" applyFont="1">
      <alignment horizontal="general" vertical="bottom" wrapText="1"/>
    </xf>
    <xf numFmtId="0" fontId="80" fillId="0" borderId="0" xfId="0" applyFont="1">
      <alignment horizontal="general" vertical="bottom" wrapText="1"/>
    </xf>
    <xf numFmtId="0" fontId="81" fillId="0" borderId="0" xfId="0" applyFont="1">
      <alignment horizontal="general" vertical="bottom" wrapText="1"/>
    </xf>
    <xf numFmtId="0" fontId="82" fillId="0" borderId="0" xfId="0" applyFont="1">
      <alignment horizontal="general" vertical="bottom" wrapText="1"/>
    </xf>
    <xf numFmtId="0" fontId="83" fillId="0" borderId="0" xfId="0" applyFont="1">
      <alignment horizontal="general" vertical="bottom" wrapText="1"/>
    </xf>
    <xf numFmtId="0" fontId="84" fillId="0" borderId="0" xfId="0" applyFont="1">
      <alignment horizontal="general" vertical="bottom" wrapText="1"/>
    </xf>
    <xf numFmtId="0" fontId="85" fillId="0" borderId="0" xfId="0" applyFont="1">
      <alignment horizontal="general" vertical="bottom" wrapText="1"/>
    </xf>
    <xf numFmtId="0" fontId="86" fillId="0" borderId="0" xfId="0" applyFont="1">
      <alignment horizontal="general" vertical="bottom" wrapText="1"/>
    </xf>
    <xf numFmtId="0" fontId="87" fillId="0" borderId="0" xfId="0" applyFont="1">
      <alignment horizontal="general" vertical="bottom" wrapText="1"/>
    </xf>
    <xf numFmtId="0" fontId="88" fillId="0" borderId="0" xfId="0" applyFont="1">
      <alignment horizontal="general" vertical="bottom" wrapText="1"/>
    </xf>
    <xf numFmtId="0" fontId="89" fillId="0" borderId="0" xfId="0" applyFont="1">
      <alignment horizontal="general" vertical="bottom" wrapText="1"/>
    </xf>
    <xf numFmtId="0" fontId="90" fillId="0" borderId="0" xfId="0" applyFont="1">
      <alignment horizontal="general" vertical="bottom" wrapText="1"/>
    </xf>
    <xf numFmtId="0" fontId="91" fillId="0" borderId="0" xfId="0" applyFont="1">
      <alignment horizontal="general" vertical="bottom" wrapText="1"/>
    </xf>
    <xf numFmtId="0" fontId="92" fillId="0" borderId="0" xfId="0" applyFont="1">
      <alignment horizontal="general" vertical="bottom" wrapText="1"/>
    </xf>
    <xf numFmtId="0" fontId="93" fillId="0" borderId="0" xfId="0" applyFont="1">
      <alignment horizontal="general" vertical="bottom" wrapText="1"/>
    </xf>
    <xf numFmtId="0" fontId="94" fillId="0" borderId="0" xfId="0" applyFont="1">
      <alignment horizontal="general" vertical="bottom" wrapText="1"/>
    </xf>
    <xf numFmtId="0" fontId="95" fillId="0" borderId="0" xfId="0" applyFont="1">
      <alignment horizontal="general" vertical="bottom" wrapText="1"/>
    </xf>
    <xf numFmtId="0" fontId="96" fillId="0" borderId="0" xfId="0" applyFont="1">
      <alignment horizontal="general" vertical="bottom" wrapText="1"/>
    </xf>
    <xf numFmtId="0" fontId="97" fillId="0" borderId="0" xfId="0" applyFont="1">
      <alignment horizontal="general" vertical="bottom" wrapText="1"/>
    </xf>
    <xf numFmtId="0" fontId="98" fillId="0" borderId="0" xfId="0" applyFont="1">
      <alignment horizontal="general" vertical="bottom" wrapText="1"/>
    </xf>
    <xf numFmtId="0" fontId="99" fillId="0" borderId="0" xfId="0" applyFont="1">
      <alignment horizontal="general" vertical="bottom" wrapText="1"/>
    </xf>
    <xf numFmtId="0" fontId="100" fillId="0" borderId="0" xfId="0" applyFont="1">
      <alignment horizontal="general" vertical="bottom" wrapText="1"/>
    </xf>
    <xf numFmtId="0" fontId="101" fillId="0" borderId="0" xfId="0" applyFont="1">
      <alignment horizontal="general" vertical="bottom" wrapText="1"/>
    </xf>
    <xf numFmtId="0" fontId="102" fillId="0" borderId="0" xfId="0" applyFont="1">
      <alignment horizontal="general" vertical="bottom" wrapText="1"/>
    </xf>
    <xf numFmtId="0" fontId="103" fillId="0" borderId="0" xfId="0" applyFont="1">
      <alignment horizontal="general" vertical="bottom" wrapText="1"/>
    </xf>
    <xf numFmtId="0" fontId="104" fillId="0" borderId="0" xfId="0" applyFont="1">
      <alignment horizontal="general" vertical="bottom" wrapText="1"/>
    </xf>
    <xf numFmtId="0" fontId="105" fillId="0" borderId="0" xfId="0" applyFont="1">
      <alignment horizontal="general" vertical="bottom" wrapText="1"/>
    </xf>
    <xf numFmtId="0" fontId="106" fillId="0" borderId="0" xfId="0" applyFont="1">
      <alignment horizontal="general" vertical="bottom" wrapText="1"/>
    </xf>
    <xf numFmtId="0" fontId="107" fillId="0" borderId="0" xfId="0" applyFont="1">
      <alignment horizontal="general" vertical="bottom" wrapText="1"/>
    </xf>
    <xf numFmtId="0" fontId="108" fillId="0" borderId="0" xfId="0" applyFont="1">
      <alignment horizontal="general" vertical="bottom" wrapText="1"/>
    </xf>
    <xf numFmtId="0" fontId="109" fillId="0" borderId="0" xfId="0" applyFont="1">
      <alignment horizontal="general" vertical="bottom" wrapText="1"/>
    </xf>
    <xf numFmtId="0" fontId="110" fillId="0" borderId="0" xfId="0" applyFont="1">
      <alignment horizontal="general" vertical="bottom" wrapText="1"/>
    </xf>
    <xf numFmtId="0" fontId="111" fillId="0" borderId="0" xfId="0" applyFont="1">
      <alignment horizontal="general" vertical="bottom" wrapText="1"/>
    </xf>
    <xf numFmtId="0" fontId="112" fillId="0" borderId="0" xfId="0" applyFont="1">
      <alignment horizontal="general" vertical="bottom" wrapText="1"/>
    </xf>
    <xf numFmtId="0" fontId="113" fillId="0" borderId="0" xfId="0" applyFont="1">
      <alignment horizontal="general" vertical="bottom" wrapText="1"/>
    </xf>
    <xf numFmtId="0" fontId="114" fillId="0" borderId="0" xfId="0" applyFont="1">
      <alignment horizontal="general" vertical="bottom" wrapText="1"/>
    </xf>
    <xf numFmtId="0" fontId="115" fillId="0" borderId="0" xfId="0" applyFont="1">
      <alignment horizontal="general" vertical="bottom" wrapText="1"/>
    </xf>
    <xf numFmtId="0" fontId="116" fillId="0" borderId="0" xfId="0" applyFont="1">
      <alignment horizontal="general" vertical="bottom" wrapText="1"/>
    </xf>
    <xf numFmtId="0" fontId="117" fillId="0" borderId="0" xfId="0" applyFont="1">
      <alignment horizontal="general" vertical="bottom" wrapText="1"/>
    </xf>
    <xf numFmtId="0" fontId="118" fillId="0" borderId="0" xfId="0" applyFont="1">
      <alignment horizontal="general" vertical="bottom" wrapText="1"/>
    </xf>
    <xf numFmtId="0" fontId="119" fillId="0" borderId="0" xfId="0" applyFont="1">
      <alignment horizontal="general" vertical="bottom" wrapText="1"/>
    </xf>
    <xf numFmtId="0" fontId="120" fillId="0" borderId="0" xfId="0" applyFont="1">
      <alignment horizontal="general" vertical="bottom" wrapText="1"/>
    </xf>
    <xf numFmtId="0" fontId="121" fillId="0" borderId="0" xfId="0" applyFont="1">
      <alignment horizontal="general" vertical="bottom" wrapText="1"/>
    </xf>
    <xf numFmtId="0" fontId="122" fillId="0" borderId="0" xfId="0" applyFont="1">
      <alignment horizontal="general" vertical="bottom" wrapText="1"/>
    </xf>
    <xf numFmtId="0" fontId="123" fillId="0" borderId="0" xfId="0" applyFont="1">
      <alignment horizontal="general" vertical="bottom" wrapText="1"/>
    </xf>
    <xf numFmtId="0" fontId="124" fillId="0" borderId="0" xfId="0" applyFont="1">
      <alignment horizontal="general" vertical="bottom" wrapText="1"/>
    </xf>
    <xf numFmtId="0" fontId="125" fillId="0" borderId="0" xfId="0" applyFont="1">
      <alignment horizontal="general" vertical="bottom" wrapText="1"/>
    </xf>
    <xf numFmtId="0" fontId="126" fillId="0" borderId="0" xfId="0" applyFont="1">
      <alignment horizontal="general" vertical="bottom" wrapText="1"/>
    </xf>
    <xf numFmtId="0" fontId="127" fillId="0" borderId="0" xfId="0" applyFont="1">
      <alignment horizontal="general" vertical="bottom" wrapText="1"/>
    </xf>
    <xf numFmtId="0" fontId="128" fillId="0" borderId="0" xfId="0" applyFont="1">
      <alignment horizontal="general" vertical="bottom" wrapText="1"/>
    </xf>
    <xf numFmtId="0" fontId="129" fillId="0" borderId="0" xfId="0" applyFont="1">
      <alignment horizontal="general" vertical="bottom" wrapText="1"/>
    </xf>
    <xf numFmtId="0" fontId="130" fillId="0" borderId="0" xfId="0" applyFont="1">
      <alignment horizontal="general" vertical="bottom" wrapText="1"/>
    </xf>
    <xf numFmtId="0" fontId="131" fillId="0" borderId="0" xfId="0" applyFont="1">
      <alignment horizontal="general" vertical="bottom" wrapText="1"/>
    </xf>
    <xf numFmtId="0" fontId="132" fillId="0" borderId="0" xfId="0" applyFont="1">
      <alignment horizontal="general" vertical="bottom" wrapText="1"/>
    </xf>
    <xf numFmtId="0" fontId="133" fillId="0" borderId="0" xfId="0" applyFont="1">
      <alignment horizontal="general" vertical="bottom" wrapText="1"/>
    </xf>
    <xf numFmtId="0" fontId="134" fillId="0" borderId="0" xfId="0" applyFont="1">
      <alignment horizontal="general" vertical="bottom" wrapText="1"/>
    </xf>
    <xf numFmtId="0" fontId="135" fillId="0" borderId="0" xfId="0" applyFont="1">
      <alignment horizontal="general" vertical="bottom" wrapText="1"/>
    </xf>
    <xf numFmtId="0" fontId="136" fillId="0" borderId="0" xfId="0" applyFont="1">
      <alignment horizontal="general" vertical="bottom" wrapText="1"/>
    </xf>
    <xf numFmtId="0" fontId="137" fillId="0" borderId="0" xfId="0" applyFont="1">
      <alignment horizontal="general" vertical="bottom" wrapText="1"/>
    </xf>
    <xf numFmtId="0" fontId="138" fillId="0" borderId="0" xfId="0" applyFont="1">
      <alignment horizontal="general" vertical="bottom" wrapText="1"/>
    </xf>
    <xf numFmtId="0" fontId="139" fillId="0" borderId="0" xfId="0" applyFont="1">
      <alignment horizontal="general" vertical="bottom" wrapText="1"/>
    </xf>
    <xf numFmtId="0" fontId="140" fillId="0" borderId="0" xfId="0" applyFont="1">
      <alignment horizontal="general" vertical="bottom" wrapText="1"/>
    </xf>
    <xf numFmtId="0" fontId="141" fillId="0" borderId="0" xfId="0" applyFont="1">
      <alignment horizontal="general" vertical="bottom" wrapText="1"/>
    </xf>
    <xf numFmtId="0" fontId="142" fillId="0" borderId="0" xfId="0" applyFont="1">
      <alignment horizontal="general" vertical="bottom" wrapText="1"/>
    </xf>
    <xf numFmtId="0" fontId="143" fillId="0" borderId="0" xfId="0" applyFont="1">
      <alignment horizontal="general" vertical="bottom" wrapText="1"/>
    </xf>
    <xf numFmtId="0" fontId="144" fillId="0" borderId="0" xfId="0" applyFont="1">
      <alignment horizontal="general" vertical="bottom" wrapText="1"/>
    </xf>
    <xf numFmtId="0" fontId="145" fillId="0" borderId="0" xfId="0" applyFont="1">
      <alignment horizontal="general" vertical="bottom" wrapText="1"/>
    </xf>
    <xf numFmtId="0" fontId="146" fillId="0" borderId="1" xfId="0" applyFont="1" applyBorder="1" applyProtection="1">
      <alignment horizontal="general" vertical="center" wrapText="1"/>
    </xf>
    <xf numFmtId="0" fontId="147" fillId="0" borderId="1" xfId="0" applyFont="1" applyBorder="1" applyProtection="1">
      <alignment horizontal="general" vertical="center" wrapText="1"/>
    </xf>
    <xf numFmtId="0" fontId="148" fillId="0" borderId="1" xfId="0" applyFont="1" applyBorder="1" applyProtection="1">
      <alignment horizontal="general" vertical="center" wrapText="1"/>
    </xf>
    <xf numFmtId="0" fontId="149" fillId="0" borderId="1" xfId="0" applyFont="1" applyBorder="1" applyProtection="1">
      <alignment horizontal="general" vertical="center" wrapText="1"/>
    </xf>
    <xf numFmtId="0" fontId="150" fillId="0" borderId="1" xfId="0" applyFont="1" applyBorder="1" applyProtection="1">
      <alignment horizontal="general" vertical="center" wrapText="1"/>
    </xf>
    <xf numFmtId="0" fontId="151" fillId="0" borderId="1" xfId="0" applyFont="1" applyBorder="1" applyProtection="1">
      <alignment horizontal="general" vertical="center" wrapText="1"/>
    </xf>
    <xf numFmtId="0" fontId="152" fillId="0" borderId="1" xfId="0" applyFont="1" applyBorder="1" applyProtection="1">
      <alignment horizontal="general" vertical="center" wrapText="1"/>
    </xf>
    <xf numFmtId="0" fontId="153" fillId="0" borderId="1" xfId="0" applyFont="1" applyBorder="1" applyProtection="1">
      <alignment horizontal="general" vertical="center" wrapText="1"/>
    </xf>
    <xf numFmtId="0" fontId="154" fillId="0" borderId="1" xfId="0" applyFont="1" applyBorder="1" applyProtection="1">
      <alignment horizontal="general" vertical="center" wrapText="1"/>
    </xf>
    <xf numFmtId="0" fontId="155" fillId="0" borderId="1" xfId="0" applyFont="1" applyBorder="1" applyProtection="1">
      <alignment horizontal="general" vertical="center" wrapText="1"/>
    </xf>
    <xf numFmtId="0" fontId="156" fillId="0" borderId="1" xfId="0" applyFont="1" applyBorder="1" applyProtection="1">
      <alignment horizontal="general" vertical="center" wrapText="1"/>
    </xf>
    <xf numFmtId="0" fontId="157" fillId="0" borderId="1" xfId="0" applyFont="1" applyBorder="1" applyProtection="1">
      <alignment horizontal="general" vertical="center" wrapText="1"/>
    </xf>
    <xf numFmtId="0" fontId="158" fillId="0" borderId="1" xfId="0" applyFont="1" applyBorder="1" applyProtection="1">
      <alignment horizontal="general" vertical="center" wrapText="1"/>
    </xf>
    <xf numFmtId="0" fontId="159" fillId="0" borderId="1" xfId="0" applyFont="1" applyBorder="1" applyProtection="1">
      <alignment horizontal="general" vertical="center" wrapText="1"/>
    </xf>
    <xf numFmtId="0" fontId="160" fillId="0" borderId="1" xfId="0" applyFont="1" applyBorder="1" applyProtection="1">
      <alignment horizontal="general" vertical="center" wrapText="1"/>
    </xf>
    <xf numFmtId="0" fontId="161" fillId="0" borderId="1" xfId="0" applyFont="1" applyBorder="1" applyProtection="1">
      <alignment horizontal="general" vertical="center" wrapText="1"/>
    </xf>
    <xf numFmtId="0" fontId="162" fillId="0" borderId="1" xfId="0" applyFont="1" applyBorder="1" applyProtection="1">
      <alignment horizontal="general" vertical="center" wrapText="1"/>
    </xf>
    <xf numFmtId="0" fontId="163" fillId="0" borderId="1" xfId="0" applyFont="1" applyBorder="1" applyProtection="1">
      <alignment horizontal="general" vertical="center" wrapText="1"/>
    </xf>
    <xf numFmtId="0" fontId="164" fillId="0" borderId="1" xfId="0" applyFont="1" applyBorder="1" applyProtection="1">
      <alignment horizontal="general" vertical="center" wrapText="1"/>
    </xf>
    <xf numFmtId="0" fontId="165" fillId="0" borderId="1" xfId="0" applyFont="1" applyBorder="1" applyProtection="1">
      <alignment horizontal="general" vertical="center" wrapText="1"/>
    </xf>
    <xf numFmtId="0" fontId="166" fillId="0" borderId="1" xfId="0" applyFont="1" applyBorder="1" applyProtection="1">
      <alignment horizontal="general" vertical="center" wrapText="1"/>
    </xf>
    <xf numFmtId="0" fontId="167" fillId="0" borderId="1" xfId="0" applyFont="1" applyBorder="1" applyProtection="1">
      <alignment horizontal="general" vertical="center" wrapText="1"/>
    </xf>
    <xf numFmtId="0" fontId="168" fillId="0" borderId="1" xfId="0" applyFont="1" applyBorder="1" applyProtection="1">
      <alignment horizontal="general" vertical="center" wrapText="1"/>
    </xf>
    <xf numFmtId="0" fontId="169" fillId="0" borderId="1" xfId="0" applyFont="1" applyBorder="1" applyProtection="1">
      <alignment horizontal="general" vertical="center" wrapText="1"/>
    </xf>
    <xf numFmtId="0" fontId="170" fillId="0" borderId="1" xfId="0" applyFont="1" applyBorder="1" applyProtection="1">
      <alignment horizontal="general" vertical="center" wrapText="1"/>
    </xf>
    <xf numFmtId="0" fontId="171" fillId="0" borderId="1" xfId="0" applyFont="1" applyBorder="1" applyProtection="1">
      <alignment horizontal="general" vertical="center" wrapText="1"/>
    </xf>
    <xf numFmtId="0" fontId="172" fillId="0" borderId="1" xfId="0" applyFont="1" applyBorder="1" applyProtection="1">
      <alignment horizontal="general" vertical="center" wrapText="1"/>
    </xf>
    <xf numFmtId="0" fontId="173" fillId="0" borderId="1" xfId="0" applyFont="1" applyBorder="1" applyProtection="1">
      <alignment horizontal="general" vertical="center" wrapText="1"/>
    </xf>
    <xf numFmtId="0" fontId="174" fillId="0" borderId="1" xfId="0" applyFont="1" applyBorder="1" applyProtection="1">
      <alignment horizontal="general" vertical="center" wrapText="1"/>
    </xf>
  </cellXfs>
  <cellStyles count="2">
    <cellStyle name="常规" xfId="0" builtinId="0"/>
    <cellStyle name="超链接" xfId="1" builtinId="8"/>
  </cellStyle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 Type="http://schemas.openxmlformats.org/officeDocument/2006/relationships/worksheet" Target="worksheets/sheet1.xml"/><Relationship Id="rId5" Type="http://schemas.openxmlformats.org/officeDocument/2006/relationships/worksheet" Target="worksheets/sheet5.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0" Type="http://schemas.openxmlformats.org/officeDocument/2006/relationships/theme" Target="theme/theme1.xml"/><Relationship Id="rId9" Type="http://schemas.openxmlformats.org/officeDocument/2006/relationships/styles" Target="styles.xml"/><Relationship Id="rId8" Type="http://schemas.openxmlformats.org/officeDocument/2006/relationships/sharedStrings" Target="sharedStrings.xml"/><Relationship Id="rId6" Type="http://schemas.openxmlformats.org/officeDocument/2006/relationships/worksheet" Target="worksheets/sheet6.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dr:oneCellAnchor>
    <xdr:from>
      <xdr:col>9</xdr:col>
      <xdr:colOff>1063625</xdr:colOff>
      <xdr:row>0</xdr:row>
      <xdr:rowOff>635</xdr:rowOff>
    </xdr:from>
    <xdr:ext cx="17842230" cy="11346180"/>
    <xdr:pic>
      <xdr:nvPicPr>
        <xdr:cNvPr id="1" name="图片 1"/>
        <xdr:cNvPicPr/>
      </xdr:nvPicPr>
      <xdr:blipFill>
        <a:blip r:embed="rId1"/>
        <a:stretch>
          <a:fillRect/>
        </a:stretch>
      </xdr:blipFill>
      <xdr:spPr>
        <a:xfrm>
          <a:off x="9269730" y="635"/>
          <a:ext cx="17842230" cy="11346180"/>
        </a:xfrm>
        <a:prstGeom prst="rect"/>
      </xdr:spPr>
    </xdr:pic>
    <xdr:clientData/>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dr:oneCellAnchor>
    <xdr:from>
      <xdr:col>1</xdr:col>
      <xdr:colOff>589915</xdr:colOff>
      <xdr:row>6</xdr:row>
      <xdr:rowOff>75565</xdr:rowOff>
    </xdr:from>
    <xdr:ext cx="13863320" cy="3728085"/>
    <xdr:pic>
      <xdr:nvPicPr>
        <xdr:cNvPr id="1" name="图片 1"/>
        <xdr:cNvPicPr/>
      </xdr:nvPicPr>
      <xdr:blipFill>
        <a:blip r:embed="rId1"/>
        <a:stretch>
          <a:fillRect/>
        </a:stretch>
      </xdr:blipFill>
      <xdr:spPr>
        <a:xfrm>
          <a:off x="1199515" y="1581785"/>
          <a:ext cx="13863320" cy="3728085"/>
        </a:xfrm>
        <a:prstGeom prst="rect"/>
      </xdr:spPr>
    </xdr:pic>
    <xdr:clientData/>
  </xdr:oneCellAnchor>
</xdr:wsDr>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efreshedBy="dingTalk" refreshOnLoad="1" r:id="rId1" createdVersion="7" refreshedVersion="7" minRefreshableVersion="3">
  <cacheSource type="worksheet">
    <worksheetSource ref="A10:BO326" sheet="7月签约班级明细导出"/>
  </cacheSource>
  <cacheFields count="67">
    <cacheField name="标签" numFmtId="0">
      <sharedItems>
        <s v="地面业绩"/>
        <s v="代售网课"/>
      </sharedItems>
    </cacheField>
    <cacheField name="序号" numFmtId="0">
      <sharedItems containsSemiMixedTypes="0" containsString="0" containsNumber="1" containsInteger="1">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sharedItems>
    </cacheField>
    <cacheField name="学校" numFmtId="0">
      <sharedItems>
        <s v="北京大学部"/>
      </sharedItems>
    </cacheField>
    <cacheField name="部门" numFmtId="0">
      <sharedItems>
        <s v="国内大学部"/>
      </sharedItems>
    </cacheField>
    <cacheField name="资源姓名" numFmtId="0">
      <sharedItems containsBlank="1">
        <s v="杨显婷"/>
        <s v="杨希恒"/>
        <m/>
        <s v="北京市5435"/>
        <s v="未知"/>
        <s v="黄禹淇"/>
        <s v="同学"/>
        <s v="北京市6271"/>
        <s v="叶宸羽"/>
        <s v="蔡哲"/>
        <s v="杨"/>
        <s v="赵家长"/>
        <s v="赵泽阳"/>
        <s v="可爱的小翠翠"/>
        <s v="向日葵5"/>
        <s v="张奕鸽"/>
        <s v="北京dbbb"/>
        <s v="考研"/>
        <s v="小菠萝"/>
        <s v="董佳易"/>
        <s v="魏亚桐"/>
        <s v="糖糖与汤圆"/>
        <s v="章俊骐"/>
        <s v="北京市1795"/>
        <s v="家长"/>
        <s v="常雅凝"/>
        <s v="李思成"/>
        <s v="张兆霆"/>
        <s v="未告知"/>
        <s v="Yamal"/>
        <s v="鲁轩如"/>
        <s v="张卫琼"/>
        <s v="高晨希"/>
        <s v="姜先生"/>
        <s v="学生"/>
        <s v="李诗彤"/>
        <s v="110429453"/>
        <s v="卡波诺皮草"/>
        <s v="郭泽恩"/>
        <s v="杨欣"/>
        <s v="付凯森"/>
        <s v="未留"/>
        <s v="郭东言"/>
        <s v="杨达京"/>
        <s v="李嘉译"/>
        <s v="王"/>
        <s v="齐子涵"/>
        <s v="王元盛"/>
        <s v="王帆"/>
        <s v="曹泽恒"/>
        <s v="闵楚雯"/>
        <s v="贺暄恒"/>
        <s v="达温娜"/>
        <s v="恩海幼儿园"/>
        <s v="魏诗雅"/>
        <s v="高世雄"/>
        <s v="芦郁荃"/>
        <s v="贾佳霖"/>
        <s v="活在梦里的人"/>
        <s v="学员105541561"/>
        <s v="程家长"/>
        <s v="北京dc2f"/>
        <s v="张纯懿"/>
        <s v="无"/>
        <s v="变成更好的人"/>
        <s v="王浩儒"/>
        <s v="武岳"/>
        <s v="土豆芝士"/>
        <s v="张茂雄"/>
        <s v="Joyce"/>
        <s v="张"/>
        <s v="顾安诺"/>
        <s v="陈智旻"/>
        <s v="百草园"/>
        <s v="王仪阳"/>
        <s v="王奕涵同学"/>
        <s v="依依美容美发"/>
        <s v="虞蕊"/>
        <s v="北京4600"/>
        <s v="陈"/>
        <s v="聂宁博"/>
        <s v="陈琴"/>
        <s v="ももna"/>
        <s v="禹坤煜"/>
        <s v="舒循"/>
        <s v="李星瀚"/>
        <s v="吴昊"/>
        <s v="闫舒译"/>
        <s v="马女士"/>
      </sharedItems>
    </cacheField>
    <cacheField name="资源ID" numFmtId="0">
      <sharedItems>
        <s v="121602812"/>
        <s v="121517724"/>
        <s v="92994255"/>
        <s v="120078696"/>
        <s v="121602784"/>
        <s v="121258774"/>
        <s v="90288454"/>
        <s v="120882682"/>
        <s v="120932120"/>
        <s v="119043886"/>
        <s v="118843591"/>
        <s v="115849673"/>
        <s v="119920344"/>
        <s v="119930462"/>
        <s v="119012024"/>
        <s v="115551597"/>
        <s v="119210700"/>
        <s v="116967534"/>
        <s v="118847129"/>
        <s v="118842170"/>
        <s v="114553861"/>
        <s v="117808650"/>
        <s v="107420758"/>
        <s v="117385583"/>
        <s v="116713488"/>
        <s v="100771442"/>
        <s v="98945287"/>
        <s v="90730818"/>
        <s v="92162314"/>
        <s v="66558773"/>
        <s v="77096516"/>
        <s v="116868306"/>
        <s v="120674124"/>
        <s v="96709233"/>
        <s v="103521996"/>
        <s v="88084630"/>
        <s v="117841907"/>
        <s v="120777100"/>
        <s v="119685342"/>
        <s v="118527057"/>
        <s v="117561097"/>
        <s v="119707692"/>
        <s v="98914664"/>
        <s v="120772513"/>
        <s v="118475232"/>
        <s v="118981042"/>
        <s v="119284130"/>
        <s v="120082542"/>
        <s v="119903996"/>
        <s v="86780437"/>
        <s v="120367958"/>
        <s v="116671505"/>
        <s v="119830398"/>
        <s v="118608588"/>
        <s v="120103978"/>
        <s v="119959145"/>
        <s v="98393860"/>
        <s v="115558390"/>
        <s v="119609431"/>
        <s v="118263142"/>
        <s v="119137057"/>
        <s v="119865529"/>
        <s v="102780966"/>
        <s v="118980310"/>
        <s v="119591892"/>
        <s v="119707952"/>
        <s v="91814609"/>
        <s v="117639022"/>
        <s v="118939221"/>
        <s v="118891567"/>
        <s v="118900527"/>
        <s v="117704145"/>
        <s v="118990445"/>
        <s v="117417373"/>
        <s v="119284303"/>
        <s v="119080703"/>
        <s v="107420795"/>
        <s v="117831683"/>
        <s v="119099313"/>
        <s v="118984208"/>
        <s v="81084523"/>
        <s v="118753006"/>
        <s v="118825428"/>
        <s v="118910531"/>
        <s v="118825669"/>
        <s v="118747980"/>
        <s v="115373944"/>
        <s v="84122164"/>
        <s v="118735072"/>
        <s v="115559155"/>
        <s v="118581105"/>
        <s v="100677734"/>
        <s v="118438378"/>
        <s v="118501346"/>
        <s v="118275113"/>
        <s v="115852926"/>
        <s v="118379172"/>
        <s v="117381364"/>
        <s v="117935051"/>
        <s v="103888775"/>
        <s v="117826345"/>
        <s v="117154246"/>
        <s v="117744366"/>
        <s v="117767353"/>
        <s v="117609505"/>
        <s v="117878965"/>
        <s v="116548480"/>
        <s v="107398690"/>
        <s v="103390595"/>
        <s v="117768686"/>
        <s v="117765958"/>
        <s v="113850126"/>
        <s v="116616843"/>
        <s v="114297345"/>
        <s v="117474357"/>
        <s v="116226230"/>
        <s v="115577170"/>
        <s v="117676554"/>
        <s v="116316571"/>
        <s v="111132260"/>
        <s v="115940652"/>
        <s v="101372793"/>
        <s v="116483469"/>
        <s v="114098861"/>
        <s v="116902429"/>
        <s v="97344562"/>
        <s v="116889937"/>
        <s v="103752737"/>
      </sharedItems>
    </cacheField>
    <cacheField name="资源录入人" numFmtId="0">
      <sharedItems containsBlank="1">
        <s v="许庆典"/>
        <s v="段同飞"/>
        <m/>
        <s v="张亚男"/>
        <s v="李雪68"/>
        <s v="马一鸣"/>
        <s v="方勃文"/>
        <s v="杨俊42(国内)"/>
        <s v="北京国内管理员"/>
        <s v="陈晶"/>
        <s v="北京客服部"/>
        <s v="杨钰杰"/>
        <s v="王静静"/>
        <s v="杨欢欢"/>
        <s v="吴凯龙"/>
        <s v="程远"/>
        <s v="王朝群"/>
        <s v="刘佳林"/>
        <s v="曹伟杰2"/>
        <s v="曹健"/>
        <s v="崔佳慧"/>
        <s v="曹义鹏"/>
        <s v="杨沫"/>
        <s v="乔文娇"/>
        <s v="徐岩"/>
        <s v="张静"/>
        <s v="吕猛"/>
        <s v="郭欣宇"/>
        <s v="赵秋侠"/>
        <s v="史友娟"/>
        <s v="王天义"/>
        <s v="郝琨"/>
        <s v="康荧"/>
        <s v="张泽"/>
        <s v="陈号东"/>
        <s v="杨俊"/>
        <s v="张冰"/>
        <s v="郭又华"/>
        <s v="李玉迪"/>
        <s v="张琦文"/>
        <s v="苏苏"/>
        <s v="韦艺鑫(离职)"/>
        <s v="李星瀚"/>
      </sharedItems>
    </cacheField>
    <cacheField name="资源录入时间" numFmtId="0">
      <sharedItems>
        <s v="2025-07-31 19:54:31"/>
        <s v="2025-07-30 22:05:58"/>
        <s v="2025-01-13 16:06:45"/>
        <s v="2025-07-21 16:45:27"/>
        <s v="2025-07-31 19:33:50"/>
        <s v="2025-07-30 12:45:19"/>
        <s v="2024-12-09 20:46:29"/>
        <s v="2025-07-26 13:43:34"/>
        <s v="2025-07-28 08:56:20"/>
        <s v="2025-07-14 17:09:37"/>
        <s v="2025-07-13 12:08:52"/>
        <s v="2025-06-23 15:33:28"/>
        <s v="2025-07-20 09:16:56"/>
        <s v="2025-07-20 15:11:56"/>
        <s v="2025-07-14 17:08:22"/>
        <s v="2025-06-22 11:33:30"/>
        <s v="2025-07-15 16:20:36"/>
        <s v="2025-07-01 14:41:06"/>
        <s v="2025-07-13 15:38:24"/>
        <s v="2025-07-13 11:21:25"/>
        <s v="2025-06-16 11:36:00"/>
        <s v="2025-07-06 14:13:57"/>
        <s v="2025-06-02 09:00:49"/>
        <s v="2025-07-03 12:49:56"/>
        <s v="2025-06-30 11:16:41"/>
        <s v="2025-04-26 17:13:31"/>
        <s v="2025-04-07 10:03:48"/>
        <s v="2024-12-16 08:29:31"/>
        <s v="2025-01-04 09:27:49"/>
        <s v="2024-02-27 12:06:39"/>
        <s v="2024-06-11 11:24:15"/>
        <s v="2025-07-01 10:33:35"/>
        <s v="2025-07-25 09:19:49"/>
        <s v="2025-03-11 08:48:05"/>
        <s v="2025-05-23 14:18:38"/>
        <s v="2024-11-09 17:09:46"/>
        <s v="2025-07-07 09:42:19"/>
        <s v="2025-07-25 22:33:01"/>
        <s v="2025-07-18 10:19:16"/>
        <s v="2025-07-10 13:25:40"/>
        <s v="2025-07-04 11:14:52"/>
        <s v="2025-07-18 09:54:54"/>
        <s v="2025-04-07 10:09:31"/>
        <s v="2025-07-25 18:07:03"/>
        <s v="2025-07-09 17:48:25"/>
        <s v="2025-07-14 13:42:17"/>
        <s v="2025-07-16 00:09:06"/>
        <s v="2025-07-21 18:11:53"/>
        <s v="2025-07-20 09:32:32"/>
        <s v="2024-10-21 10:10:11"/>
        <s v="2025-07-23 11:11:45"/>
        <s v="2025-06-30 10:54:59"/>
        <s v="2025-07-19 09:14:23"/>
        <s v="2025-07-11 09:40:11"/>
        <s v="2025-07-21 18:08:08"/>
        <s v="2025-07-20 20:47:15"/>
        <s v="2025-03-29 18:59:50"/>
        <s v="2025-06-22 19:28:38"/>
        <s v="2025-07-17 17:47:19"/>
        <s v="2025-07-08 18:08:12"/>
        <s v="2025-07-15 10:27:56"/>
        <s v="2025-07-19 08:38:20"/>
        <s v="2025-05-17 09:35:57"/>
        <s v="2025-07-14 13:31:53"/>
        <s v="2025-07-17 15:06:41"/>
        <s v="2025-07-18 09:58:44"/>
        <s v="2024-12-30 10:18:27"/>
        <s v="2025-07-04 16:57:46"/>
        <s v="2025-07-14 10:07:56"/>
        <s v="2025-07-13 16:45:37"/>
        <s v="2025-07-13 11:01:15"/>
        <s v="2025-07-05 09:48:59"/>
        <s v="2025-07-14 13:53:37"/>
        <s v="2025-07-03 15:46:36"/>
        <s v="2025-07-16 07:05:07"/>
        <s v="2025-07-14 18:34:38"/>
        <s v="2025-06-02 09:01:01"/>
        <s v="2025-07-07 00:45:12"/>
        <s v="2025-07-15 10:10:36"/>
        <s v="2025-07-14 11:41:21"/>
        <s v="2024-07-28 12:57:03"/>
        <s v="2025-07-11 21:37:19"/>
        <s v="2025-07-12 18:57:06"/>
        <s v="2025-07-13 14:16:13"/>
        <s v="2025-07-12 19:18:59"/>
        <s v="2025-07-11 20:35:00"/>
        <s v="2025-06-19 21:04:49"/>
        <s v="2024-09-07 11:21:25"/>
        <s v="2025-07-11 23:42:25"/>
        <s v="2025-06-22 20:22:28"/>
        <s v="2025-07-11 00:57:39"/>
        <s v="2025-04-26 15:48:46"/>
        <s v="2025-07-10 19:59:33"/>
        <s v="2025-07-10 12:20:15"/>
        <s v="2025-07-08 22:39:11"/>
        <s v="2025-06-23 16:42:01"/>
        <s v="2025-07-09 16:35:14"/>
        <s v="2025-07-03 11:16:03"/>
        <s v="2025-07-07 11:18:53"/>
        <s v="2025-05-27 16:56:53"/>
        <s v="2025-07-06 17:54:18"/>
        <s v="2025-07-02 13:35:01"/>
        <s v="2025-07-05 16:54:06"/>
        <s v="2025-07-05 21:45:53"/>
        <s v="2025-07-04 14:51:01"/>
        <s v="2025-07-06 19:48:45"/>
        <s v="2025-06-29 18:38:26"/>
        <s v="2025-06-02 08:47:13"/>
        <s v="2025-05-22 11:37:30"/>
        <s v="2025-07-06 05:30:30"/>
        <s v="2025-07-05 19:19:13"/>
        <s v="2025-06-12 16:19:59"/>
        <s v="2025-06-29 11:28:49"/>
        <s v="2025-06-14 09:22:15"/>
        <s v="2025-07-04 13:04:22"/>
        <s v="2025-06-25 16:30:11"/>
        <s v="2025-06-21 17:09:54"/>
        <s v="2025-07-05 12:09:55"/>
        <s v="2025-06-26 16:45:05"/>
        <s v="2025-06-05 20:23:51"/>
        <s v="2025-06-24 13:48:16"/>
        <s v="2025-05-06 14:31:03"/>
        <s v="2025-06-27 21:40:01"/>
        <s v="2025-06-12 19:03:19"/>
        <s v="2025-07-01 18:18:53"/>
        <s v="2025-03-17 20:06:53"/>
        <s v="2025-07-01 13:50:19"/>
        <s v="2025-05-26 10:45:52"/>
      </sharedItems>
    </cacheField>
    <cacheField name="资源描述" numFmtId="0">
      <sharedItems containsBlank="1" longText="1">
        <s v="续费原因：续费27考研；该学生为保护期内续费，原顾问：国内大学部-谭悦(tanyue9@xdf.cn)"/>
        <s v="同学介绍的，转谭悦_x000a_"/>
        <s v="赵星火老师死单激活资源；赵星火老师死单激活资源 外呼主题：FY24-国内9月死单回访（第四周）_x000a_赵星火老师死单激活资源(资源备注人:吴凯龙;资源备注时间:2025-01-13 16:07)"/>
        <s v="渠道录入来源：集团百度投放-易聊_x000a_意向城市：北京市_x000a_访客省/城市：北京市_x000a_qq: _x000a_访客静态ID：01000000034718308740867391835435_x000a_接待分组ID：51266_x000a_搜索引擎：_x000a_搜索词：_x000a_关键词：_x000a_设备类型：pc_x000a_访客IP：117.133.62.42_x000a_对话详细内容：AI-KvNH7xJ0CD 2025-07-21 16:44:01_x000d__x000a_您好同学，欢迎访问新东方考研官网，【新东方考研】全新升级，课程灵活多样，【考研全年集训营】【考研半年集训营】【考研冲刺营】【线下走读班】【考研一对一】【在职考研】【四六级】火热报名中 ，现在报名更有高达3000元优惠！_x000d__x000a__x000d__x000a_AI-KvNH7xJ0CD 2025-07-21 16:44:03_x000d__x000a_您是想咨询【考研走读班】【考研集训营】【考研规划】还是【在职考研】呢？_x000d__x000a__x000d__x000a_01000000034718308740867391835435 2025-07-21 16:44:27_x000d__x000a_【在职考研】_x000d__x000a__x000d__x000a_AI-KvNH7xJ0CD 2025-07-21 16:44:31_x000d__x000a_您准备[在职读研] 还是[离职读研] ?**在职读研#  **离职读研#_x000d__x000a__x000d__x000a_01000000034718308740867391835435 2025-07-21 16:44:36_x000d__x000a_在职读研_x000d__x000a__x000d__x000a_AI-KvNH7xJ0CD 2025-07-21 16:44:40_x000d__x000a_具体是想报考什么学校和专业呢？_x000d__x000a__x000d__x000a_01000000034718308740867391835435 2025-07-21 16:44:53_x000d__x000a_人民大学 应用心理学_x000d__x000a__x000d__x000a_AI-KvNH7xJ0CD 2025-07-21 16:44:57_x000d__x000a_好的，了解。我们新东方在全国32个城市都有校区，您倾向在哪个城市上课，或者希望哪里的老师给您介绍下呢？_x000d__x000a__x000d__x000a_01000000034718308740867391835435 2025-07-21 16:45:07_x000d__x000a_北京_x000d__x000a__x000d__x000a_AI-KvNH7xJ0CD 2025-07-21 16:45:11_x000d__x000a_您可以留下您的姓名和电话，我这边可以立刻安排对应校区顾问老师给您回电！_x000d__x000a__x000d__x000a_01000000034718308740867391835435 2025-07-21 16:45:26_x000d__x000a_张惠晴 13716251966_x000d__x000a__x000d__x000a__x000a_来源页：https://click.xdf.cn/_x000a_备注："/>
        <s v="激活"/>
        <s v="续费原因：学生决定考浙江大学，辛苦联系黄禹淇的妈妈收取一下升级费3000；该学生为保护期内续费，原顾问：国内大学部-谭悦(tanyue9@xdf.cn)"/>
        <s v="在校，考中国科学院大学 遥感方面的都行_x000a_IP：北京"/>
        <s v="咨询英语一一对一【已在群内反馈】"/>
        <s v="渠道录入来源：新东方官网M站-客服_x000a_意向城市：北京访客省/城市：北京市_x000a_访客静态ID：01000000034659366398395471906271_x000a_接待分组ID：70455_x000a_搜索引擎：_x000a_搜索词：_x000a_关键词：_x000a_设备类型：phone_x000a_访客IP：221.217.26.141_x000a_对话详细内容：AI-Lbo0rDBXCyBY 2025-07-28 08:53:08_x000d__x000a_您好同学,欢迎访问北京新东方考研四六级中心._x000a_考研线下课程26/27考季【考研全年集训营】【考研半年集训营】【考研全科线下走读班】【考研寒/暑假集训营】【考研一对一】【考研专业课】【四/六级课程】，热门课程火热报名中,咨询即可领取专享优惠。_x000a_**【考研全年集训营】=ff761f# **【考研半年集训营】=ff6b6b# **【考研全科线下走读班】=ffc158# **【考研寒/暑假集训营】=ffc158# **【考研一对一】=ff761f# **【考研专业课】=ff6caa# **【四/六级课程】=ff6caa# **【考研冲刺班】=60e27e#_x000d__x000a__x000d__x000a_AI-Lbo0rDBXCyBY 2025-07-28 08:53:11_x000d__x000a_您是想咨询【线下课程】【线上课程】【考研规划】还是【在职考研】呢？**【线下课程】#  **【线上课程】#**【考研规划】#**【在职考研】#_x000d__x000a__x000d__x000a_01000000034659366398395471906271 2025-07-28 08:53:19_x000d__x000a_【在职考研】_x000d__x000a__x000d__x000a_AI-Lbo0rDBXCyBY 2025-07-28 08:53:23_x000d__x000a_您准备【边工作边读研]】还是【脱产读研】 ?**边工作边读研#  **脱产读研#_x000d__x000a__x000d__x000a_01000000034659366398395471906271 2025-07-28 08:53:27_x000d__x000a_脱产读研_x000d__x000a__x000d__x000a_AI-Lbo0rDBXCyBY 2025-07-28 08:53:31_x000d__x000a_具体是想报考什么学校和专业呢？_x000d__x000a__x000d__x000a_01000000034659366398395471906271 2025-07-28 08:53:46_x000d__x000a_北京理工大学软件工程硕士_x000d__x000a__x000d__x000a_AI-Lbo0rDBXCyBY 2025-07-28 08:53:50_x000d__x000a_好的，我这边安排专业老师给您回电，详细沟通一下，请问您的电话是多少呢？_x000d__x000a__x000d__x000a_01000000034659366398395471906271 2025-07-28 08:54:18_x000d__x000a_18500224563_x000d__x000a__x000d__x000a_AI-Lbo0rDBXCyBY 2025-07-28 08:54:21_x000d__x000a_好的，确认一下你的号码是否正确呢~_x000d__x000a__x000d__x000a__x000a_来源页：https://bj.xdf.cn/_x000a_备注："/>
        <s v="渠道录入来源：SCRM-客服推送_x000a_商机ID：5009267870_x000a_商机编码：XSJ20250714027807_x000a_针对人群：大学_x000a_学生学校：不详_x000a_咨询课程：英语一_x000a_创建人邮箱：wangguibing@xdf.cn_x000a_创建时间：2025-07-14 17:09:33_x000a_资源类型：单个资源_x000a_跟进记录：商机备注：学员妈妈咨询考研课程，天津理工大学，咨询线上课程，27年考研，辛苦老师沟通;接触点：呼入；_x000a_"/>
        <s v="续费原因：续费一对一；该学生为保护期内续费，原顾问：国内大学部-谭悦(tanyue9@xdf.cn)"/>
        <s v="【考研】学生本人，北京农学院，大三，食品专业，想考中国农业大学，食品加工与安全专业，问士兵计划的分数，也要了解课程，线上还是线下课程没说，想先确定了解好学校分数，或者查北林，北农的分数加微信介绍；渠道录入来源：抖音新东方考研直播间_x000a_koouserID：110429453_x000a_城市：北京_x000a_产品分组：考研_x000a_线索来源：直播间小风车收资-大学生-线下面授_x000a_市场人员：_x000a_是否兼职：_x000a_备注信息：请选择当前所属阶段：:大三;请选择倾向的备考方式：:线下面授;请选择备考城市：:北京 外呼主题：2026财年第1财月抖音新东方考研直播间"/>
        <s v="政治和英语"/>
        <s v="赵家长  13601221052    首都经贸大学     马上大三    考研辅导    会计专硕     无意向机构"/>
        <s v="渠道录入来源：SCRM-客服推送_x000a_商机ID：5009282307_x000a_商机编码：XSJ20250714027730_x000a_针对人群：大学_x000a_学员号：BJ1221164274_x000a_学生学校：不详_x000a_咨询课程：不区分_x000a_创建人邮箱：liuxinyi91@xdf.cn_x000a_创建时间：2025-07-14 17:08:16_x000a_资源类型：单个资源_x000a_跟进记录：商机备注：孩子妈妈来电，孩子开学大三，想了解线上的考研公共课和专业课，四级过了，六级还没出分，辛苦顾问老师联系手机号2介绍，手机号2是学员自己的电话;接触点：呼入；_x000a_"/>
        <s v="渠道录入来源：总部-巨量广告_x000a_意向城市：北京市_x000a_访客省/城市：北京市_x000a_qq: _x000a_访客静态ID：01000003781500056303567923947307_x000a_接待分组ID：78500_x000a_搜索引擎：_x000a_搜索词：_x000a_关键词：_x000a_设备类型：phone_x000a_访客IP：111.196.228.49_x000a_对话详细内容：AI-37815-01a 2025-06-22 11:30:37_x000d__x000a__x000a__x000d__x000a__x000d__x000a_AI-37815-01a 2025-06-22 11:30:39_x000d__x000a_您好同学，欢迎访问新东方考研官网，【新东方考研】全新升级，课程灵活多样，【考研全年集训营】【考研半年集训营】【考研冲刺营】【线下走读班】【考研一对一】【在职考研】【四六级】火热报名中 ，现在报名更有高达3000元优惠！_x000d__x000a__x000d__x000a_AI-37815-01a 2025-06-22 11:30:41_x000d__x000a_您是想咨询【考研走读班】【考研集训营】【考研规划】还是【在职考研】呢？_x000d__x000a__x000d__x000a_01000003781500056303567923947307 2025-06-22 11:31:10_x000d__x000a_老师，你好，专业课有培训吗？_x000d__x000a__x000d__x000a_AI-37815-01a 2025-06-22 11:31:14_x000d__x000a_同学，你现在是在校还是在职呢？_x000d__x000a__x000d__x000a_01000003781500056303567923947307 2025-06-22 11:31:30_x000d__x000a_在校_x000d__x000a__x000d__x000a_AI-37815-01a 2025-06-22 11:31:34_x000d__x000a_具体是想报考什么学校和专业呢？_x000d__x000a__x000d__x000a_01000003781500056303567923947307 2025-06-22 11:31:56_x000d__x000a_北理，人工智能_x000d__x000a__x000d__x000a_AI-37815-01a 2025-06-22 11:31:59_x000d__x000a_好的，了解。我们新东方在全国32个城市都有校区，您倾向在哪个城市上课，或者希望哪里的老师给您介绍下呢？_x000d__x000a__x000d__x000a_01000003781500056303567923947307 2025-06-22 11:32:09_x000d__x000a_北京_x000d__x000a__x000d__x000a_AI-37815-01a 2025-06-22 11:32:13_x000d__x000a_您可以留下您的姓名和电话，我这边可以立刻安排对应校区顾问老师给您回电！_x000d__x000a__x000d__x000a_01000003781500056303567923947307 2025-06-22 11:32:29_x000d__x000a_13661283905_x000d__x000a__x000d__x000a_AI-37815-01a 2025-06-22 11:32:33_x000d__x000a_好的，确认一下你的号码是否正确呢~_x000d__x000a__x000d__x000a_01000003781500056303567923947307 2025-06-22 11:32:45_x000d__x000a_周女士_x000d__x000a__x000d__x000a_AI-37815-01a 2025-06-22 11:32:49_x000d__x000a_这个手机号是您的微信吗？如果不是您可以留一下您的微信号_x000d__x000a__x000d__x000a_01000003781500056303567923947307 2025-06-22 11:32:58_x000d__x000a_都是_x000d__x000a__x000d__x000a_AI-37815-01a 2025-06-22 11:33:01_x000d__x000a_同学怎么称呼呢？_x000d__x000a__x000d__x000a_01000003781500056303567923947307 2025-06-22 11:33:02_x000d__x000a_一个号_x000d__x000a__x000d__x000a_AI-37815-01a 2025-06-22 11:33:06_x000d__x000a_这边马上安排顾问老师联系您，预计半个小时左右给您回电请注意接听~_x000d__x000a__x000d__x000a_01000003781500056303567923947307 2025-06-22 11:33:14_x000d__x000a_周小英_x000d__x000a__x000d__x000a_AI-37815-01a 2025-06-22 11:33:17_x000d__x000a_稍后老师会联系哈_x000d__x000a__x000d__x000a__x000a_来源页：https://c-37815.p.easyliao.com/_x000a_备注："/>
        <s v=""/>
        <s v="26考研想要了解学前教育专业，线上网课【已在群内反馈】（TMK主管分配TMK）"/>
        <s v="魏公村直访"/>
        <s v="司明霞+simingxia@xdf.cn+ID+ 产业机构-前途出国-前途北京公司-行政总经办_x000a_"/>
        <s v="渠道录入来源：集团百度投放-易聊_x000a_意向城市：北京_x000a_访客省/城市：北京_x000a_qq: _x000a_访客静态ID：1577afd511d3f43a4a0b5ebe233cdbbb_x000a_接待分组ID：10101749_x000a_搜索引擎：www.baidu.com_x000a_搜索词：北京考研比较厉害的培训机构_x000a_关键词：考研_x000a_设备类型：phone_x000a_访客IP：1.203.67.98_x000a_对话详细内容：AI-KvNH7xJ0CDBY 2025-06-16 11:33:53_x000d__x000a_您好同学，欢迎访问新东方考研官网，【新东方考研】全新升级，课程灵活多样，【考研全年集训营】【考研半年集训营】【考研冲刺营】【线下走读班】【考研一对一】【在职考研】【四六级】火热报名中 ，现在报名更有高达3000元优惠！_x000d__x000a__x000d__x000a_AI-KvNH7xJ0CDBY 2025-06-16 11:33:54_x000d__x000a_您是想咨询【考研走读班】【考研集训营】【考研规划】还是【在职考研】呢？_x000d__x000a__x000d__x000a_1577afd511d3f43a4a0b5ebe233cdbbb 2025-06-16 11:34:39_x000d__x000a_都想咨询_x000d__x000a__x000d__x000a_AI-KvNH7xJ0CDBY 2025-06-16 11:34:42_x000d__x000a_同学，你现在是在校还是在职呢？_x000d__x000a__x000d__x000a_1577afd511d3f43a4a0b5ebe233cdbbb 2025-06-16 11:34:45_x000d__x000a_百度系统消息-行为轨迹:该访客在咨询页点击了内容为&amp;quot;在校&amp;quot;的按钮_x000d__x000a__x000d__x000a_1577afd511d3f43a4a0b5ebe233cdbbb 2025-06-16 11:34:45_x000d__x000a_在校_x000d__x000a__x000d__x000a_AI-KvNH7xJ0CDBY 2025-06-16 11:34:49_x000d__x000a_具体是想报考什么学校和专业呢？_x000d__x000a__x000d__x000a_1577afd511d3f43a4a0b5ebe233cdbbb 2025-06-16 11:35:05_x000d__x000a_北京邮电大学 人工智能_x000d__x000a__x000d__x000a_AI-KvNH7xJ0CDBY 2025-06-16 11:35:09_x000d__x000a_好的，了解。我们新东方在全国32个城市都有校区，您倾向在哪个城市上课，或者希望哪里的老师给您介绍下呢？_x000d__x000a__x000d__x000a_1577afd511d3f43a4a0b5ebe233cdbbb 2025-06-16 11:35:16_x000d__x000a_北京_x000d__x000a__x000d__x000a_AI-KvNH7xJ0CDBY 2025-06-16 11:35:20_x000d__x000a_您可以留下您的姓名和电话，我这边可以立刻安排对应校区顾问老师给您回电！_x000d__x000a__x000d__x000a_AI-KvNH7xJ0CDBY 2025-06-16 11:35:57_x000d__x000a_您好，能看到我的对话吗？如有疑问，可以在此留电咨询！_x000d__x000a__x000d__x000a_1577afd511d3f43a4a0b5ebe233cdbbb 2025-06-16 11:35:58_x000d__x000a_13901399177_x000d__x000a__x000d__x000a_1577afd511d3f43a4a0b5ebe233cdbbb 2025-06-16 11:35:58_x000d__x000a_百度系统消息-行为轨迹:【百度】用户已留联，通过聆音回访获得实时无效返款：https://aisite.wejianzhan.com/site/wjz2tdly/5f6d3d18-a30c-41e9-9d39-6be046109511?reqCode=LYST-TE38BR7G1871RT2IQTUCS94K8_x000d__x000a__x000d__x000a__x000a_来源页：http://www.baidu.com/bcp_x000a_备注："/>
        <s v="学生想来校区面询考研辅导，"/>
        <s v="加微信，北京文科想考研，咨询初步考虑心理学、教育学、管理学、马理论、法学几个方向_x000a_18235447322加微信（TMK主管分配TMK）"/>
        <s v="谭悦9的内部员工推荐工单"/>
        <s v="李文萱+liwenxuan3@xdf.cn+国际教育培训事业部-国际教育北京中心-运营管理部-运营中心-魏公村分中心，徐健坤；"/>
        <s v="续费原因：加一对一，5月中旬之前确定所需课时。辛苦转谭悦老师；该学生为保护期内续费，原顾问：国内大学部-谭悦(tanyue9@xdf.cn)"/>
        <s v="续费原因：离职学管彭航的学生，已上6h,更换西北师范大学，需要缴纳500匹配费；该学生为保护期内续费，原顾问：国内大学部-赵星火(zhaoxinghuo@xdf.cn)"/>
        <s v="渠道录入来源：SCRM-客服推送_x000a_商机ID：5007627536_x000a_商机编码：XSJ20241216000122_x000a_针对人群：大学_x000a_学生学校：不详_x000a_咨询课程：英语一_x000a_创建人邮箱：zhengxiaoyue@xdf.cn_x000a_创建时间：2024-12-16 08:29:26_x000a_资源类型：单个资源_x000a_跟进记录：商机备注：【呼入组+62605555】学生妈妈帮孩子咨询考研课程，英语底子不好，想了解寒假集训班，走读和住宿都行，大三，辛苦老师跟进联系介绍，谢谢;接触点：呼入；_x000a_"/>
        <s v="乔子恒推荐，转谭悦"/>
        <s v="咨询四级课程以及考研线下课程_x000a_IP：北京_x000a_搜索词：考研辅导班哪家机构好"/>
        <s v="【六级】家长给孩子咨询，大二，在北京上学，要了解六级的学习，说是今年还没报呢，应该是12月份考试，下午2点后方便电话；渠道录入来源：新东方PC官网-客服_x000a_意向城市：北京访客省/城市：北京市_x000a_访客静态ID：01000000034659807507282021972472_x000a_接待分组ID：70447_x000a_搜索引擎：www.baidu.com_x000a_搜索词：_x000a_关键词：_x000a_设备类型：pc_x000a_访客IP：42.99.63.51_x000a_对话详细内容：AI-Lbo0rDBXCyBY 2024-06-11 11:04:36_x000d__x000a_您好同学,欢迎访问北京新东方考研四六级中心._x000d__x000a_考研线下课程【考研全年/半年集训营】【暑假集训营】【考研线下走读班】【考研一对一】【四六级课程】，火热报名中,咨询即可领取专享优惠.**【考研全年/半年集训营】#  **【暑假集训营】# **【考研线下走读班】#  **【考研一对一】# **【四六级课程】#_x000d__x000a__x000d__x000a__x000d__x000a__x000d__x000a_AI-Lbo0rDBXCyBY 2024-06-11 11:04:38_x000d__x000a_您是想咨询【线下课程】【线上课程】【考研规划】还是【在职考研】呢？**【线下课程】#  **【线上课程】#**【考研规划】#**【在职考研】#_x000d__x000a__x000d__x000a__x000d__x000a__x000d__x000a_01000000034659807507282021972472 2024-06-11 11:05:22_x000d__x000a_方地_x000d__x000a__x000d__x000a_AI-Lbo0rDBXCyBY 2024-06-11 11:05:25_x000d__x000a_同学，您是在校还是在职呢？**在校#  **在职#_x000d__x000a__x000d__x000a_01000000034659807507282021972472 2024-06-11 11:05:35_x000d__x000a_六级_x000d__x000a__x000d__x000a_AI-Lbo0rDBXCyBY 2024-06-11 11:05:39_x000d__x000a_您目前在学的院校是哪所呢？_x000d__x000a__x000d__x000a_01000000034659807507282021972472 2024-06-11 11:05:56_x000d__x000a_北京_x000d__x000a__x000d__x000a_AI-Lbo0rDBXCyBY 2024-06-11 11:05:59_x000d__x000a_您目前英语基础如何呢？_x000d__x000a__x000d__x000a_AI-Lbo0rDBXCyBY 2024-06-11 11:06:36_x000d__x000a_您好，能看到我的对话吗？如有疑问，可以在此留电咨询！_x000d__x000a__x000d__x000a_AI-Lbo0rDBXCyBY 2024-06-11 11:06:56_x000d__x000a_如果打字不方便，可以在此输入电话或者微信，这边安排老师与您联系，为您详细解答！_x000d__x000a__x000d__x000a_AI-Lbo0rDBXCyBY 2024-06-11 11:07:56_x000d__x000a_同学您好，目前处于咨询的高峰期，如需咨询25/26考研【复习规划、择校择专业】【课程详情】等问题，您可以留下您的【姓名电话方便接听电话的时间】，我们会安排老师第一时间为您回电免费咨询！_x000d__x000a__x000d__x000a_01000000034659807507282021972472 2024-06-11 11:08:19_x000d__x000a_13301161922_x000d__x000a__x000d__x000a_AI-Lbo0rDBXCyBY 2024-06-11 11:08:22_x000d__x000a_好的，确认一下你的号码是否正确呢~_x000d__x000a__x000d__x000a_01000000034659807507282021972472 2024-06-11 11:08:33_x000d__x000a_正确_x000d__x000a__x000d__x000a_AI-Lbo0rDBXCyBY 2024-06-11 11:08:37_x000d__x000a_同学怎么称呼呢？_x000d__x000a__x000d__x000a_01000000034659807507282021972472 2024-06-11 11:08:47_x000d__x000a_王，我是家长_x000d__x000a__x000d__x000a_AI-Lbo0rDBXCyBY 2024-06-11 11:08:51_x000d__x000a_这边马上安排顾问老师联系您，预计半个小时左右给您回电请注意接听~_x000d__x000a__x000d__x000a__x000a_来源页：https://www.baidu.com/link?url=KTO9Aa3PzFHJO4cBSmiAkshr3HwvMjgEfHVctTJmoQu&amp;amp;wd=&amp;amp;eqid=fbd6285e0005268b000000036667bea4_x000a_备注： 外呼主题：2025财年第1财月易聊新东方PC官网"/>
        <s v="续费原因：学生更换研究生，需要缴纳500元师资重新匹配费；该学生为保护期内续费，原顾问：国内大学部-谭悦(tanyue9@xdf.cn)"/>
        <s v="15911140519，北京，一对一，家长"/>
        <s v="学生觉得来不及，于是准备明年的考试，基础一般，想考211，辛苦老师可以私信了解具体情况_x000a_"/>
        <s v="谭悦老师老带新"/>
        <s v="【王朝群】咨询考研线上课程"/>
        <s v="渠道录入来源：新东方官网APP-客服_x000a_意向城市：北京访客省/城市：北京市_x000a_访客静态ID：01000000034659345380947287361795_x000a_接待分组ID：70458_x000a_搜索引擎：_x000a_搜索词：_x000a_关键词：_x000a_设备类型：phone_x000a_访客IP：114.254.3.108_x000a_对话详细内容：AI-Lbo0rDBXCyBY 2025-07-25 22:30:10_x000d__x000a_您好同学,欢迎访问北京新东方考研四六级中心._x000a_考研线下课程26/27考季【考研全年集训营】【考研半年集训营】【考研全科线下走读班】【考研寒/暑假集训营】【考研一对一】【考研专业课】【四/六级课程】，热门课程火热报名中,咨询即可领取专享优惠。_x000a_**【考研全年集训营】=ff761f# **【考研半年集训营】=ff6b6b# **【考研全科线下走读班】=ffc158# **【考研寒/暑假集训营】=ffc158# **【考研一对一】=ff761f# **【考研专业课】=ff6caa# **【四/六级课程】=ff6caa# **【考研冲刺班】=60e27e#_x000d__x000a__x000d__x000a_AI-Lbo0rDBXCyBY 2025-07-25 22:30:13_x000d__x000a_您是想咨询【线下课程】【线上课程】【考研规划】还是【在职考研】呢？**【线下课程】#  **【线上课程】#**【考研规划】#**【在职考研】#_x000d__x000a__x000d__x000a_01000000034659345380947287361795 2025-07-25 22:30:17_x000d__x000a_【线下课程】_x000d__x000a__x000d__x000a_AI-Lbo0rDBXCyBY 2025-07-25 22:30:21_x000d__x000a_同学，你现在是在校还是在职呢？_x000d__x000a__x000d__x000a_01000000034659345380947287361795 2025-07-25 22:30:28_x000d__x000a_在校_x000d__x000a__x000d__x000a_AI-Lbo0rDBXCyBY 2025-07-25 22:30:32_x000d__x000a_具体是想报考什么学校和专业呢？_x000d__x000a__x000d__x000a_01000000034659345380947287361795 2025-07-25 22:30:44_x000d__x000a_没有想法_x000d__x000a__x000d__x000a_AI-Lbo0rDBXCyBY 2025-07-25 22:30:48_x000d__x000a_好的，我这边安排专业老师给您回电，详细沟通一下，请问您的电话是多少呢？_x000d__x000a__x000d__x000a_01000000034659345380947287361795 2025-07-25 22:30:53_x000d__x000a_好的_x000d__x000a__x000d__x000a_AI-Lbo0rDBXCyBY 2025-07-25 22:30:57_x000d__x000a_嗯，那您联系方式是多少呢？_x000d__x000a__x000d__x000a_01000000034659345380947287361795 2025-07-25 22:30:58_x000d__x000a_18210383301_x000d__x000a__x000d__x000a_AI-Lbo0rDBXCyBY 2025-07-25 22:31:01_x000d__x000a_好的，确认一下你的号码是否正确呢~_x000d__x000a__x000d__x000a_01000000034659345380947287361795 2025-07-25 22:31:09_x000d__x000a_没问题_x000d__x000a__x000d__x000a_AI-Lbo0rDBXCyBY 2025-07-25 22:31:13_x000d__x000a_同学怎么称呼呢？_x000d__x000a__x000d__x000a_01000000034659345380947287361795 2025-07-25 22:31:19_x000d__x000a_大概什么时候打电话_x000d__x000a__x000d__x000a_01000000034659345380947287361795 2025-07-25 22:31:22_x000d__x000a_关_x000d__x000a__x000d__x000a_AI-Lbo0rDBXCyBY 2025-07-25 22:31:26_x000d__x000a_好的，这个也是您的微信号吗？_x000d__x000a__x000d__x000a_01000000034659345380947287361795 2025-07-25 22:31:34_x000d__x000a_不是_x000d__x000a__x000d__x000a_AI-Lbo0rDBXCyBY 2025-07-25 22:31:37_x000d__x000a_好的，那您正确的联系方式是多少呢？_x000d__x000a__x000d__x000a_01000000034659345380947287361795 2025-07-25 22:31:39_x000d__x000a_15210674805_x000d__x000a__x000d__x000a_AI-Lbo0rDBXCyBY 2025-07-25 22:31:42_x000d__x000a_方便提供一下您的微信吗？到时候微信给您转发资料_x000d__x000a__x000d__x000a_01000000034659345380947287361795 2025-07-25 22:31:44_x000d__x000a_这个是微信_x000d__x000a__x000d__x000a_AI-Lbo0rDBXCyBY 2025-07-25 22:31:47_x000d__x000a_稍后老师会联系哈_x000d__x000a__x000d__x000a_01000000034659345380947287361795 2025-07-25 22:31:50_x000d__x000a_ok_x000d__x000a__x000d__x000a_AI-Lbo0rDBXCyBY 2025-07-25 22:31:54_x000d__x000a_好的，请问还有其他问题需要咨询吗？_x000d__x000a__x000d__x000a_01000000034659345380947287361795 2025-07-25 22:32:03_x000d__x000a_没了_x000d__x000a__x000d__x000a_AI-Lbo0rDBXCyBY 2025-07-25 22:32:06_x000d__x000a_联系方式已收到，第二天上午9点后与您联系的，感谢您的访问 祝您生活愉快！您可以关闭对话早点休息了。晚安~_x000d__x000a__x000d__x000a__x000d__x000a__x000a_来源页：https://m.souke.xdf.cn/_x000a_备注：18210383301"/>
        <s v="孩子目前办理了延毕，打算考研，目前孩子自己想学微积分1对1。考研想考中科院或者北科大，考化学专业。家长需要老师规划两个方面，1是院校专业进一步确定，2是看学1对1、集训还是走读。目前孩子想学微积分1对1。需要老师耐心给规划一下，方便回电。孩子叫黄泰淇。"/>
        <s v="资源录入来源：小表单_x000a_市场活动id：412422_x000a_市场活动名称：新东方集团官微【新东方】资源_x000a_活动所属学校id：10000_x000a_活动所属学校名称：总公司_x000a_线索接收人邮箱：yangjun42@xdf.cn_x000a_线索接受人类型：自定义_x000a_表单信息：表单id81512、表单名(对内)：新东方集团官微【新东方】资源、表单名（对外）：新东方课程报名、创建人邮箱：wuyue38@xdf.cn、表单链接：pages/index/index.html?scene=81512,,Lh8FwYc8_x000a_备注：来源:小表单;姓名:常雅凝;意向课程: 【课程】考研、四六级、专升本、成人英语/北京/北京; 新老生: 新生; 提交链接:pages/index/index.html?scene=81512,,Lh8FwYc8;地理位置:-;渠道:新媒体运营/公众号-品牌号"/>
        <s v="续费原因：续费50课时，原顾问转岗；该学生为保护期内续费，原顾问：国内大学部-徐铁(xutie@xdf.cn)"/>
        <s v="死单激活流转谭悦老师 外呼主题：批量导入-北京学校-高端学员-23.9-24.6大三【入库数据】"/>
        <s v="18612987253，北京，一对一，家长（TMK主管分配TMK）"/>
        <s v="内推给赵星火老师"/>
        <s v="谭悦9的顾问转介绍工单"/>
        <s v="渠道录入来源：大众点评_x000a_事件名称：预约免费试听课_x000a_大众点评门店名称：新东方考研四六级(国贸校区)_x000a_店铺绑定的校区：临时教学校区_x000a_店铺管理员邮箱：lvmeng2@xdf.cn_x000a_备注：2025-07-14 13:42:16用户在大众点评预约试听课_x000a_"/>
        <s v="渠道录入来源：小红书_x000a_事件名称：私信留资_x000a_小红书账号id：659bd1020000000022000003_x000a_小红书账号名称：北京新东方考研一对一咨询_x000a_广告投放账号名称：北京新东方考研一对一咨询_x000a_活动所属学校id：108_x000a_活动所属学校名称：北京大学事业部_x000a_统一活动id：2593748_x000a_统一活动名称：北京大学事业部25年7月小红书专业号投放_x000a_渠道名称：网络营销-小红书-专业号投放_x000a_线索创建人邮箱：cuijiahui2@xdf.cn_x000a_资源跟进人邮箱：cuijiahui2@xdf.cn_x000a_备注：用户地区是【北京市北京市】，在【2025-07-16 00:07:04】留资，私信通线索标签为【留客资】，来源于【北京新东方考研一对一咨询】投放账户，意向项目是【考研/考博】，留资笔记是【】，备注【-】_x000a_"/>
        <s v="【考研】【死单激活，按照顺序分配】学生叔叔给侄子咨询考研课程，北京交通大学，建筑学专业，五年制，开学大五，咨询政治和手绘的专业课，线下走读班，集训营，一对一都要了解，想试听，告知一对一需要交钱可以的，还有集训营也想试听体验，加试试微信：18220970155  尽快联系；【考研】学生本人电话15247710899，加学生微信介绍，北京交通大学，建筑学专业，五年制，开学大五，咨询政治和手绘的线下走读班，加微信介绍；【福誉教育】北京海淀区 开学大五 建设专业 25考研 一对一18220970155 外呼主题：2026财年第2财月代理商（TMK主管分配TMK） 外呼主题：FY25-国内7月死单回访（7.14-7.20）"/>
        <s v="汤杰+tangjie36@xdf.cn+ID+大学事业部-大学合肥中心-考研项目部-销售管理部（TMK主管分配TMK）"/>
        <s v="赵星火的直访工单"/>
        <s v="【王朝群公众号】咨询数学一对一，要过来校区看，大学已毕业"/>
        <m/>
        <s v="【考研】学生本人电话15247710899，加学生微信介绍，北京交通大学，建筑学专业，五年制，开学大五，咨询政治和手绘的线下走读班，加微信介绍；【福誉教育】北京海淀区 开学大五 建设专业 25考研 一对一18220970155 外呼主题：2026财年第2财月代理商（TMK主管分配TMK）"/>
        <s v="赵星火的内部员工推荐工单"/>
        <s v="续费原因：续费 辛苦流转赵星火；该学生为保护期外续费，原顾问部门：国内大学部"/>
        <s v="渠道录入来源：抖音新东方考研直播间_x000a_koouserID：110429453_x000a_城市：北京_x000a_产品分组：考研_x000a_线索来源：直播间小风车收资-大学生-线下面授_x000a_市场人员：_x000a_是否兼职：_x000a_备注信息：请选择当前所属阶段：:大三;请选择倾向的备考方式：:线下面授;请选择备考城市：:北京"/>
        <s v="【王朝群】咨询考研英语政治一对一"/>
        <s v="续费原因：目前大二 想提前准备 想了解一下考研VIP课价格 然后有空带孩子来校区；该学生为保护期外续费，原顾问部门：国内大学部"/>
        <s v="续费原因：学生专业课还有一本书没有讲解（学生是知道的），老师说大概需要20小时，需要跟进一下【】；该学生为保护期内续费，原顾问：国内大学部-赵星火(zhaoxinghuo@xdf.cn)"/>
        <s v="咨询考研课程"/>
        <s v="13114823325，北京，一对一，在校学生"/>
        <s v="来源：万创科技姓名：家长联系：13681182428 咨询：考研地区：北京市位置：暂无详细地址备注：咨询考研机构，微信同号_x000a_死单激活"/>
        <s v="考会计专硕，咨询管综线下班，微信联系_x000a__x000a_渠道录入来源：大众点评_x000a_事件名称：在线咨询_x000a_大众点评门店名称：新东方考研四六级(中关村总部)_x000a_店铺绑定的校区：临时教学校区_x000a_店铺管理员邮箱：lvmeng2@xdf.cn_x000a_备注：2025-07-18 09:58:36,用户在大众点评新东方考研四六级(中关村总部)在线咨询_x000a_"/>
        <s v="续费原因：续费一对一，辛苦流转原顾问谭悦；该学生为保护期内续费，原顾问：国内大学部-谭悦(tanyue9@xdf.cn)"/>
        <s v="13716682784，北京，一对一，二战"/>
        <s v="续费原因：「个性化一对一」根据所剩课时和学情，给学生推荐了 7 月份优惠活动，学生约我 魏公村23 号面谈。；该学生为保护期内续费，原顾问：国内大学部-李崇宇(lichongyu1@xdf.cn)"/>
        <s v="续费原因：学生一对一加课时，辛苦高老师沟通；该学生为保护期内续费，原顾问：国内大学部-高龙明(gaolongming@xdf.cn)"/>
        <s v="续费原因：学生想续报数学一对一课程；该学生为保护期内续费，原顾问：国内大学部-谭悦(tanyue9@xdf.cn)"/>
        <s v="续费原因：续费专业课；该学生为保护期内续费，原顾问：国内大学部-赵星火(zhaoxinghuo@xdf.cn)"/>
        <s v="内部员工推荐"/>
        <s v="续费原因：无忧班课学员续一对一；该学生为保护期内续费，原顾问：国内大学部-谭悦(tanyue9@xdf.cn)"/>
        <s v="直访/陈伟钰老师接待(资源备注人:赵秋侠;资源备注时间:2025-02-25 09:08)（TMK主管分配TMK）"/>
        <s v="【小红书资源】_x000a_咨询考研课程，IP地址在北京"/>
        <s v="续费原因：【个性化】一对一需求，后面临近考试学生害怕需要辅导，想先把课时占上，多于82课时的16个小时先把课时费补了，到时候看情况再调整一下；该学生为保护期内续费，原顾问：国内大学部-谭悦(tanyue9@xdf.cn)"/>
        <s v="罗玉骏+luoyujun@xdf.cn+ID+国际教育培训事业部-国际教育北京中心-运营管理部-运营中心-国贸分中心销售一部_x000a_赵星火"/>
        <s v="渠道录入来源：SCRM-客服推送_x000a_商机ID：5006761505_x000a_商机编码：XSJ20240728010604_x000a_针对人群：大学_x000a_学生学校：不详_x000a_咨询课程：英语二_x000a_创建人邮箱：zhangzhe24@xdf.cn_x000a_创建时间：2024-07-28 12:56:59_x000a_资源类型：单个资源_x000a_跟进记录：商机备注：【呼入组+57640818】本人来电，暑假后大二，四级成绩还没出来，高考成绩120，咨询国内考研，中央民族大学的，魏公村最近，辛苦老师跟进;接触点：呼入；_x000a_"/>
        <s v="续费原因：「一对一」个性化，续费，意向非常大，预计 13 号缴费；该学生为保护期内续费，原顾问：国内大学部-赵星火(zhaoxinghuo@xdf.cn)"/>
        <s v="续费原因：学生扩科政治；该学生为保护期内续费，原顾问：国内大学部-谭悦(tanyue9@xdf.cn)"/>
        <s v="需要集训营_x000a_"/>
        <s v="资源录入来源：考研APP资源流转_x000a_生源地:北京市_x000a_年级:大二_x000a_就读学校:北京邮电大学_x000a_就读专业:其他_x000a_计划考研年份:2027_x000a__x000a_信息类型:择校预约_x000a_关注时间:2025-06-19 21:04:49_x000a_意向院校:无_x000a_意向专业:无_x000a__x000a_信息类型:择校预约_x000a_关注时间:2025-06-19 21:04:58_x000a_意向院校:无_x000a_意向专业:无_x000a_"/>
        <s v="渠道录入来源：集团百度投放-易聊_x000a_意向城市：北京_x000a_访客省/城市：北京_x000a_qq: _x000a_访客静态ID：8e408e8871afbfdf429220270418dc2f_x000a_接待分组ID：10101749_x000a_搜索引擎：www.baidu.com_x000a_搜索词：考研政治肖荣秀_x000a_关键词：肖秀荣考研政治_x000a_设备类型：phone_x000a_访客IP：114.245.193.62_x000a_对话详细内容：AI-KvNH7xJ0CDBY 2025-07-11 23:39:11_x000d__x000a_您好同学，欢迎访问新东方考研官网，【新东方考研】全新升级，课程灵活多样，【考研全年集训营】【考研半年集训营】【考研冲刺营】【线下走读班】【考研一对一】【在职考研】【四六级】火热报名中 ，现在报名更有高达3000元优惠！_x000d__x000a__x000d__x000a_AI-KvNH7xJ0CDBY 2025-07-11 23:39:12_x000d__x000a_您是想咨询【考研走读班】【考研集训营】【考研规划】还是【在职考研】呢？_x000d__x000a__x000d__x000a_8e408e8871afbfdf429220270418dc2f 2025-07-11 23:41:02_x000d__x000a_大三学生考研半年冲刺班英语+政治( 肖秀荣)_x000d__x000a__x000d__x000a_AI-KvNH7xJ0CDBY 2025-07-11 23:41:05_x000d__x000a_有的_x000d__x000a__x000d__x000a_AI-KvNH7xJ0CDBY 2025-07-11 23:41:06_x000d__x000a_具体是想报考什么学校和专业呢？_x000d__x000a__x000d__x000a_8e408e8871afbfdf429220270418dc2f 2025-07-11 23:41:36_x000d__x000a_联大文物专业_x000d__x000a__x000d__x000a_AI-KvNH7xJ0CDBY 2025-07-11 23:41:40_x000d__x000a_好的，了解。我们新东方在全国32个城市都有校区，您倾向在哪个城市上课，或者希望哪里的老师给您介绍下呢？_x000d__x000a__x000d__x000a_8e408e8871afbfdf429220270418dc2f 2025-07-11 23:41:59_x000d__x000a_北京联合大学。北京_x000d__x000a__x000d__x000a_AI-KvNH7xJ0CDBY 2025-07-11 23:42:03_x000d__x000a_您可以留下您的姓名和电话，我这边可以立刻安排对应校区顾问老师给您回电！_x000d__x000a__x000d__x000a_8e408e8871afbfdf429220270418dc2f 2025-07-11 23:42:20_x000d__x000a_我的联系方式：13910728163_x000d__x000a__x000d__x000a_8e408e8871afbfdf429220270418dc2f 2025-07-11 23:42:20_x000d__x000a_百度系统消息-行为轨迹:【百度】用户已留联，通过聆音回访获得实时无效返款：https://aisite.wejianzhan.com/site/wjz2tdly/5f6d3d18-a30c-41e9-9d39-6be046109511?reqCode=LYST-4N3HBM00618GBPC7HHLBIKQMRJ_x000d__x000a__x000d__x000a_AI-KvNH7xJ0CDBY 2025-07-11 23:42:24_x000d__x000a_好的，确认一下你的号码是否正确呢~_x000d__x000a__x000d__x000a__x000a_来源页：http://www.baidu.com/bcp_x000a_备注："/>
        <s v="续费原因：张纯懿一对一需求，强化/冲刺阶段规划课时164小时，目前系统剩余110小时可排 预计7月份可以续费；该学生为保护期内续费，原顾问：国内大学部-苏乾楠(suqiannan@xdf.cn)"/>
        <s v="咨询考研一对一课程"/>
        <s v="辛苦流转赵星火"/>
        <s v="咨询考研政治一对一辅导"/>
        <s v="续费原因：计算课时中，个性化项目谭悦；该学生为保护期内续费，原顾问：国内大学部-谭悦(tanyue9@xdf.cn)"/>
        <s v="资源录入来源：小表单_x000a_城市：北京市_x000a_市场活动id：412422_x000a_市场活动名称：新东方集团官微【新东方】资源_x000a_活动所属学校id：10000_x000a_活动所属学校名称：总公司_x000a_线索接收人邮箱：yangjun42@xdf.cn_x000a_线索接受人类型：自定义_x000a_表单信息：表单id81512、表单名(对内)：新东方集团官微【新东方】资源、表单名（对外）：新东方课程报名、创建人邮箱：wuyue38@xdf.cn、表单链接：pages/index/index.html?scene=81512,,Lh8FwYc8_x000a_备注：来源:小表单;姓名:武岳;意向课程: 【课程】考研、四六级、专升本、成人英语/北京/北京; 新老生: 新生; 提交链接:pages/index/index.html?scene=81512,,Lh8FwYc8;地理位置:北京市大兴区林校路街道车站中里(南区)车站中里南区;渠道:新媒体运营/公众号-品牌号"/>
        <s v="北京新东方考研18714556226"/>
        <s v="渠道录入来源：小红书_x000a_事件名称：私信留资_x000a_小红书账号id：659bd1020000000022000003_x000a_小红书账号名称：北京新东方考研一对一咨询_x000a_广告投放账号名称：北京新东方考研一对一咨询_x000a_活动所属学校id：108_x000a_活动所属学校名称：北京大学事业部_x000a_统一活动id：2593748_x000a_统一活动名称：北京大学事业部25年7月小红书专业号投放_x000a_渠道名称：网络营销-小红书-专业号投放_x000a_线索创建人邮箱：cuijiahui2@xdf.cn_x000a_资源跟进人邮箱：cuijiahui2@xdf.cn_x000a_备注：用户地区是【nullnull】，在【2025-07-09 16:35:01】留资，私信通线索标签为【--】，来源于【北京新东方考研一对一咨询】投放账户，意向项目是【考研/考博】，留资笔记是【】，备注【我不是考研的，就是下学期开学大二需要补考这两科，我这个专业要求是这两科必须达到75分以上，微信联系您好，我是应统专业的学生，开学大二，下学期开学需要补考数学分析和高等代数，我想问问有没有辅导这两科的课】_x000a_"/>
        <s v="续费原因：学生未结课，还需要加10小时，大概率月底再加；该学生为保护期内续费，原顾问：国内大学部-赵星火(zhaoxinghuo@xdf.cn)"/>
        <s v="辛苦老师分配赵星火"/>
        <s v="在职，毕业院校未告知，专业是供应链物流相关，计划考研重庆大学，专业没定，想了解院校情况后再定专业，咨询规划和课程辅导，现在方便电话联系"/>
        <s v="续费原因：续费_x000a_；该学生为保护期内续费，原顾问：国内大学部-谭悦(tanyue9@xdf.cn)"/>
        <s v="续费原因：了解暑期六级课；该学生为保护期外续费，原顾问部门：国内大学部"/>
        <s v="渠道录入来源：小红书_x000a_事件名称：私信留资_x000a_小红书账号id：659bd1020000000022000003_x000a_小红书账号名称：北京新东方考研一对一咨询_x000a_广告投放账号名称：北京新东方考研一对一咨询_x000a_活动所属学校id：108_x000a_活动所属学校名称：北京大学事业部_x000a_统一活动id：2593748_x000a_统一活动名称：北京大学事业部25年7月小红书专业号投放_x000a_渠道名称：网络营销-小红书-专业号投放_x000a_线索创建人邮箱：cuijiahui2@xdf.cn_x000a_资源跟进人邮箱：cuijiahui2@xdf.cn_x000a_备注：用户地区是【浙江省杭州市】，在【2025-07-05 16:51:47】留资，私信通线索标签为【留客资】，来源于【北京新东方考研一对一咨询】投放账户，意向项目是【考研/考博】，留资笔记是【】，备注【-】_x000a_"/>
        <s v="咨询考研课程，"/>
        <s v="续费原因：意向半年集训营；该学生为保护期内续费，原顾问：国内大学部-谭悦(tanyue9@xdf.cn)"/>
        <s v="【小红书资源】_x000a_咨询考研课程，IP地址在辽宁"/>
        <s v="王瑞祥+wangruixiang2@xdf.cn+id+产业机构-大学事业部-大学在线-运营部-销售管理部-电销部-电销三组_x000a_"/>
        <s v="渠道录入来源：集团百度投放-易聊_x000a_意向城市：北京_x000a_访客省/城市：北京_x000a_qq: _x000a_访客静态ID：c5c76d731a5d0ac68dd33d1b37d34600_x000a_接待分组ID：10101749_x000a_搜索引擎：www.baidu.com_x000a_搜索词：武汉口碑最好的考研机构_x000a_关键词：新东方考研机构哪个校区好_x000a_设备类型：phone_x000a_访客IP：36.112.29.8_x000a_对话详细内容：AI-KvNH7xJ0CD 2025-07-06 05:28:46_x000d__x000a_您好同学，欢迎访问新东方考研官网，【新东方考研】全新升级，课程灵活多样，【考研全年集训营】【考研半年集训营】【考研冲刺营】【线下走读班】【考研一对一】【在职考研】【四六级】火热报名中 ，现在报名更有高达3000元优惠！_x000d__x000a__x000d__x000a_AI-KvNH7xJ0CD 2025-07-06 05:28:48_x000d__x000a_您是想咨询【考研走读班】【考研集训营】【考研规划】还是【在职考研】呢？_x000d__x000a__x000d__x000a_c5c76d731a5d0ac68dd33d1b37d34600 2025-07-06 05:29:00_x000d__x000a_北京考研_x000d__x000a__x000d__x000a_AI-KvNH7xJ0CD 2025-07-06 05:29:03_x000d__x000a_同学，你现在是在校还是在职呢？_x000d__x000a__x000d__x000a_c5c76d731a5d0ac68dd33d1b37d34600 2025-07-06 05:29:06_x000d__x000a_在校_x000d__x000a__x000d__x000a_AI-KvNH7xJ0CD 2025-07-06 05:29:10_x000d__x000a_具体是想报考什么学校和专业呢？_x000d__x000a__x000d__x000a_c5c76d731a5d0ac68dd33d1b37d34600 2025-07-06 05:29:18_x000d__x000a_北邮计算机_x000d__x000a__x000d__x000a_AI-KvNH7xJ0CD 2025-07-06 05:29:22_x000d__x000a_好的，了解。我们新东方在全国32个城市都有校区，您倾向在哪个城市上课，或者希望哪里的老师给您介绍下呢？_x000d__x000a__x000d__x000a_c5c76d731a5d0ac68dd33d1b37d34600 2025-07-06 05:29:30_x000d__x000a_北京_x000d__x000a__x000d__x000a_AI-KvNH7xJ0CD 2025-07-06 05:29:33_x000d__x000a_您可以留下您的姓名和电话，我这边可以立刻安排对应校区顾问老师给您回电！_x000d__x000a__x000d__x000a_c5c76d731a5d0ac68dd33d1b37d34600 2025-07-06 05:29:57_x000d__x000a_百度系统消息-唤醒:您可继续发言，消息将推送至百度APP-消息中心_x000d__x000a__x000d__x000a_AI-KvNH7xJ0CD 2025-07-06 05:30:10_x000d__x000a_您好，能看到我的对话吗？如有疑问，可以在此留电咨询！_x000d__x000a__x000d__x000a_c5c76d731a5d0ac68dd33d1b37d34600 2025-07-06 05:30:14_x000d__x000a_北京的网点有哪些？_x000d__x000a__x000d__x000a_AI-KvNH7xJ0CD 2025-07-06 05:30:17_x000d__x000a_您电话多少，这边安排考研专业的老师联系您，院校和专业方面给您做一个免费的规划，您可以提前了解一下_x000d__x000a__x000d__x000a_c5c76d731a5d0ac68dd33d1b37d34600 2025-07-06 05:30:28_x000d__x000a_13621162780_x000d__x000a__x000d__x000a__x000a_来源页：http://www.baidu.com/bcp_x000a_备注："/>
        <s v="渠道录入来源：集团百度投放-基木鱼_x000a_账户名：baidu-大学-总部-A22KA00038_x000a_线索ID：250705467989320295_x000a_线索时间：2025-07-05 19:19:10_x000a_页面名称：新东方考研品专_x000a_姓名：陈_x000a_城市：北京_x000a_IP：2409:8a00:19d4:10e0:38b2:24fb:7d8f:c9c1_x000a_来源页：https://aisite.wejianzhan.com/site/wjzswa2z/73c5def5-883c-47c6-9bd9-9ce1d92bf9bf?utm_source=jituan_searchengine_Baidu_M_BaiduPP&amp;amp;utm_medium=CPD&amp;amp;utm_campaign=jituanpinzhuanshouye&amp;amp;utm_term=kaoyanwuyoujihua3"/>
        <s v="续费原因：二战，推荐集训、蜂鸟和一对一，辛苦转谭悦老师，发详细的课程资料；该学生为保护期外续费，原顾问部门：国内大学部"/>
        <s v="13716849915，北京，一对一，在校学生"/>
        <s v="内部员工推荐给赵星火老师"/>
        <s v="渠道录入来源：小红书_x000a_事件名称：私信留资_x000a_小红书账号id：659bd1020000000022000003_x000a_小红书账号名称：北京新东方考研一对一咨询_x000a_广告投放账号名称：北京新东方考研一对一咨询_x000a_活动所属学校id：108_x000a_活动所属学校名称：北京大学事业部_x000a_统一活动id：2593748_x000a_统一活动名称：北京大学事业部25年7月小红书专业号投放_x000a_渠道名称：网络营销-小红书-专业号投放_x000a_线索创建人邮箱：cuijiahui2@xdf.cn_x000a_资源跟进人邮箱：cuijiahui2@xdf.cn_x000a_备注：用户地区是【北京市北京市】，在【2025-07-04 13:02:19】留资，私信通线索标签为【留客资】，来源于【北京新东方考研一对一咨询】投放账户，意向项目是【考研/考博】，留资笔记是【】，备注【26考研，北邮，新传专硕，微信联系，没有考过英语四六级，考的日语】_x000a_"/>
        <s v="续费原因：咨询考研课程 ；该学生为保护期内续费，原顾问：国内大学部-赵星火(zhaoxinghuo@xdf.cn)"/>
        <s v="考人大统计，咨询专业课课程"/>
        <s v="李娜78+lina78@xdf.cn+ID+产业机构-国际教育培训事业部-国际教育北京中心-美研部-服务管理中心-班课项目_x000a_谭悦"/>
        <s v="续费原因：报一对一的，谭悦；该学生为保护期内续费，原顾问：国内大学部-谭悦(tanyue9@xdf.cn)"/>
        <s v="咨询考研数学一对一课程，明天想到知春路校区面询_x000a__x000a_新东方考研四六级(知春路校区)"/>
        <s v="续费原因：续费，赵星火老学员；该学生为保护期外续费，原顾问部门：国内大学部"/>
        <s v="市场人员：郭宇瀚_x000a_意向等级：高_x000a_备注：27考季考生，需要督学，有老师监督，北城生物技术专业学生，不想考本校，了解择校及复习相关规划，觉得自己基础差，想提前学习，走读和集训营都介绍一下价格，明天下午2-3点联系。"/>
        <s v="【王朝群】咨询考研一对一"/>
        <s v="半个小时左右到知春路校区，尽快联系"/>
        <s v="续费原因：确认课时中；该学生为保护期外续费，原顾问部门：国内大学部"/>
        <s v="续费原因：续费夏路洋；该学生为保护期内续费，原顾问：国内大学部-赵星火(zhaoxinghuo@xdf.cn)"/>
        <s v="咨询考博英语（TMK主管分配TMK）"/>
      </sharedItems>
    </cacheField>
    <cacheField name="市场活动" numFmtId="0">
      <sharedItems containsBlank="1">
        <m/>
        <s v=""/>
        <s v="2026财年第2财月百度投放总部-百度投放"/>
        <s v="2026财年第2财月易聊新东方官网M站"/>
        <s v="2026财年第1财月抖音新东方考研直播间"/>
        <s v="2026财年第2财月代理商"/>
        <s v="2026财年第1财月总部巨量投放-易聊"/>
        <s v="2026财年第1财月百度投放总部-百度投放"/>
        <s v="2025财年第1财月易聊新东方PC官网"/>
        <s v="2026财年第2财月易聊新东方官网APP"/>
        <s v="2026财年小表单-新东方集团官微【新东方】资源"/>
        <s v="2026财年第2财月大众点评在线咨询"/>
        <s v="2026财年第2财月小红书"/>
        <s v="2026财年第1财月考研APP资源流转"/>
        <s v="2026财年第2财月集团百度投放-基木鱼"/>
        <s v="2026财年第1财月91校代系统资源活动"/>
      </sharedItems>
    </cacheField>
    <cacheField name="资源年级" numFmtId="0">
      <sharedItems containsBlank="1">
        <s v="大二"/>
        <s v="大四"/>
        <s v="大三"/>
        <m/>
        <s v="未知"/>
        <s v="大学已毕业"/>
        <s v="在职"/>
        <s v="高三"/>
        <s v="大一"/>
        <s v="幼儿"/>
      </sharedItems>
    </cacheField>
    <cacheField name="分配顾问/TMK" numFmtId="0">
      <sharedItems>
        <s v="谭悦"/>
        <s v="赵星火"/>
        <s v="徐树萌"/>
        <s v="乔文娇"/>
        <s v="杨钰杰"/>
        <s v="段同飞"/>
        <s v="杨欢欢"/>
        <s v="王静静"/>
        <s v="徐健坤"/>
        <s v="曹婧(离职)"/>
        <s v="徐利霞"/>
        <s v="曹健"/>
        <s v="吴凯龙"/>
        <s v="杨沫"/>
        <s v="程远"/>
        <s v="高龙明"/>
        <s v="苏乾楠"/>
        <s v="杨晓超"/>
        <s v="徐铁"/>
        <s v="刘欢"/>
      </sharedItems>
    </cacheField>
    <cacheField name="一级获取渠道" numFmtId="0">
      <sharedItems>
        <s v="转介绍"/>
        <s v="线上运营-投放"/>
        <s v="毛坯数据"/>
        <s v="线上运营-私域中台"/>
        <s v="新东方官网"/>
        <s v="线上运营-抖音"/>
        <s v="线上运营-商务合作"/>
        <s v="直访"/>
        <s v="电话"/>
        <s v="线上运营-小红书"/>
        <s v="线上运营-本地生活平台"/>
        <s v="市场活动"/>
        <s v="市场-代理商合作"/>
        <s v="校代"/>
      </sharedItems>
    </cacheField>
    <cacheField name="二级获取渠道" numFmtId="0">
      <sharedItems>
        <s v="学管续费推荐"/>
        <s v="顾问转介绍-老带新"/>
        <s v="百度投放"/>
        <s v="总部-百度投放"/>
        <s v="毛坯数据"/>
        <s v="其他网络投放"/>
        <s v="社群、虚拟人"/>
        <s v="新东方官网M站"/>
        <s v="新东方PC官网"/>
        <s v="抖音新东方考研直播间"/>
        <s v="米化"/>
        <s v="坦途网"/>
        <s v="总部-巨量广告"/>
        <s v="直访"/>
        <s v="内部员工推荐"/>
        <s v="大客服呼入"/>
        <s v="小红书"/>
        <s v="巨量广告"/>
        <s v="学管转介绍"/>
        <s v="小红书KOS"/>
        <s v="新东方官网APP"/>
        <s v="公众号"/>
        <s v="京内毛坯数据"/>
        <s v="前途推荐（批量推送）"/>
        <s v="大众点评"/>
        <s v="福誉平台"/>
        <s v="地图标点"/>
        <s v="万创"/>
        <s v="京内会销/讲座"/>
        <s v="91搜课网"/>
        <s v="考研APP（主动）"/>
        <s v="知了好学"/>
        <s v="抖音来客"/>
        <s v="职递"/>
        <s v="阿里本地通"/>
        <s v="新东方在线员工推荐"/>
        <s v="集团-百度品专"/>
        <s v="线下校代"/>
      </sharedItems>
    </cacheField>
    <cacheField name="转介绍人" numFmtId="0">
      <sharedItems containsBlank="1">
        <s v="许庆典xuqingdian@xdf.cn"/>
        <s v="谭悦tanyue9@xdf.cn"/>
        <m/>
        <s v=""/>
        <s v="马一鸣mayiming16@xdf.cn"/>
        <s v="陈晶chenjing171@xdf.cn"/>
        <s v="司明霞+simingxia@xdf.cn+ID+ 产业机构-前途出国-前途北京公司-行政总经办"/>
        <s v="杨莹莹+yangyingying18@xdf.cn+ID+北京学校-运营管理部-东南区-刘家窑角门分中心"/>
        <s v="李文萱+liwenxuan3@xdf.cn+国际教育培训事业部-国际教育北京中心-运营管理部-运营中心-魏公村分中心"/>
        <s v="刘佳林liujialin25@xdf.cn"/>
        <s v="秦胜辉+qinshenghui@xdf.cn+秦胜辉(新东方教育科技集团有限公司-培训学校-北京学校-高中一对一部-西北区-远大路分中心 | 课程顾问)"/>
        <s v="激活"/>
        <s v="死单激活流转赵星火"/>
        <s v="死单激活分配谭悦"/>
        <s v="张里+zhangli438@xdf.cn+ID+培训学校-北京学校-高中一对一部-西北区-知春路分中心"/>
        <s v="徐岩xuyan91@xdf.cn"/>
        <s v="张静zhangjing370@xdf.cn"/>
        <s v="李媛62+liyian62@xdf.cn+id+产业机构-前途出国-前途北京公司-英国一部-咨询组"/>
        <s v="史友娟shiyoujuan@xdf.cn"/>
        <s v="王天义wangtianyi56@xdf.cn"/>
        <s v="郝琨haokun@xdf.cn"/>
        <s v="张泽zhangze7@xdf.cn"/>
        <s v="罗玉骏+luoyujun@xdf.cn+ID+国际教育培训事业部-国际教育北京中心-运营管理部-运营中心-国贸分中心销售一部"/>
        <s v="王婉欣"/>
        <s v="陈号东chenhaodong5@xdf.cn"/>
        <s v="郭又华guoyouhua@xdf.cn"/>
        <s v="李玉迪liyudi1@xdf.cn"/>
        <s v="张琦文zhangqiwen6@xdf.cn"/>
        <s v="陈婷30+chenting30@xdf.cn+ID+培训学校-北京学校-高中一对一部-西北区-知春路分中心"/>
        <s v="王瑞祥+wangruixiang2@xdf.cn+id+产业机构-大学事业部-大学在线-运营部-销售管理部-电销部-电销三组"/>
        <s v="韦艺鑫(离职)weiyixin_lz2@xdf.cn"/>
        <s v="赵倩竹+zhaoqianzhu@xdf.cn+ID+北京学校-运营管理部-学员服务管理中心-东南区"/>
        <s v="李娜78+lina78@xdf.cn+ID+产业机构-国际教育培训事业部-国际教育北京中心-美研部-服务管理中心-班课项目"/>
        <s v="丁宁+dingning29@xdf.cn+id+培训学校-北京学校-课程服务部-客户联络中心-教学区服务组-第三教学区"/>
      </sharedItems>
    </cacheField>
    <cacheField name="TMK激活人" numFmtId="0">
      <sharedItems containsBlank="1">
        <m/>
        <s v="徐树萌"/>
        <s v="乔文娇"/>
        <s v="杨钰杰"/>
        <s v="段同飞"/>
        <s v="杨欢欢"/>
        <s v="王静静"/>
        <s v="徐利霞"/>
        <s v="曹健"/>
        <s v="吴凯龙"/>
        <s v="杨沫"/>
        <s v="程远"/>
      </sharedItems>
    </cacheField>
    <cacheField name="TMK激活处理时间" numFmtId="0">
      <sharedItems containsBlank="1">
        <m/>
        <s v="2025-07-28 09:32:37"/>
        <s v="2025-07-20 10:55:29"/>
        <s v="2025-07-20 15:26:41"/>
        <s v="2025-07-15 16:32:09"/>
        <s v="2025-07-16 16:24:30"/>
        <s v="2025-07-06 14:20:16"/>
        <s v="2025-06-10 19:28:10"/>
        <s v="2025-07-26 09:55:02"/>
        <s v="2025-07-10 14:29:29"/>
        <s v="2025-04-10 18:22:39"/>
        <s v="2025-07-23 15:43:57"/>
        <s v="2025-07-19 09:15:30"/>
        <s v="2025-07-11 09:40:52"/>
        <s v="2025-07-21 18:11:53"/>
        <s v="2025-06-23 15:33:28"/>
        <s v="2025-07-18 09:54:54"/>
        <s v="2025-07-02 17:40:26"/>
        <s v="2025-06-20 16:42:53"/>
        <s v="2025-07-10 16:45:57"/>
        <s v="2025-07-09 20:54:34"/>
        <s v="2025-05-27 17:08:34"/>
        <s v="2025-07-01 16:56:29"/>
      </sharedItems>
    </cacheField>
    <cacheField name="工单姓名" numFmtId="0">
      <sharedItems>
        <s v="杨显婷"/>
        <s v="杨希恒"/>
        <s v="陈廷进"/>
        <s v="grace"/>
        <s v="韩月鹏"/>
        <s v="黄禹淇"/>
        <s v="朱博政"/>
        <s v="Merih"/>
        <s v="北京市6271"/>
        <s v="叶宸羽"/>
        <s v="蔡哲"/>
        <s v="周靖程"/>
        <s v="王喆"/>
        <s v="赵嘉华"/>
        <s v="赵泽阳"/>
        <s v="刘泽宇"/>
        <s v="可爱的小翠翠"/>
        <s v="张键溪"/>
        <s v="李宇"/>
        <s v="张奕鸽"/>
        <s v="费皓卿"/>
        <s v="考研"/>
        <s v="小菠萝"/>
        <s v="董佳易"/>
        <s v="陈晨"/>
        <s v="王舒桐"/>
        <s v="谌蕙荃"/>
        <s v="白恩宁"/>
        <s v="李兆同"/>
        <s v="张思远"/>
        <s v="章俊骐"/>
        <s v="周舟6"/>
        <s v="郑雅洁"/>
        <s v="程悦"/>
        <s v="孙睿泽"/>
        <s v="牛任杰"/>
        <s v="关淼水"/>
        <s v="黄泰淇"/>
        <s v="常雅凝"/>
        <s v="李思成"/>
        <s v="杨达京"/>
        <s v="张兆霆"/>
        <s v="赵翎羽"/>
        <s v="刘祎迪"/>
        <s v="张建超"/>
        <s v="杨若彤"/>
        <s v="田明"/>
        <s v="梁超宇"/>
        <s v="鲁轩如"/>
        <s v="丘洛祯"/>
        <s v="张桐赫"/>
        <s v="高晨希"/>
        <s v="姜铭祺"/>
        <s v="于铠铭"/>
        <s v="李诗彤"/>
        <s v="王一安"/>
        <s v="郭泽恩"/>
        <s v="杨欣"/>
        <s v="张佳卉"/>
        <s v="付楷森"/>
        <s v="章博涛"/>
        <s v="郭东言"/>
        <s v="孙雨涵"/>
        <s v="李嘉译"/>
        <s v="王烽"/>
        <s v="齐子涵"/>
        <s v="兰昊谊"/>
        <s v="王元盛"/>
        <s v="王帆"/>
        <s v="曹泽恒"/>
        <s v="闵楚雯"/>
        <s v="贺暄恒"/>
        <s v="达温娜"/>
        <s v="赵天心"/>
        <s v="魏诗雅"/>
        <s v="高世雄"/>
        <s v="吕金泽"/>
        <s v="芦郁荃"/>
        <s v="冯蕴玮"/>
        <s v="贾佳霖"/>
        <s v="张晨曦"/>
        <s v="刘博"/>
        <s v="李聪博"/>
        <s v="张毓珂"/>
        <s v="陈想"/>
        <s v="张纯懿"/>
        <s v="范翔"/>
        <s v="倪润楷"/>
        <s v="王浩儒"/>
        <s v="武岳"/>
        <s v="毕琦昕"/>
        <s v="张献婷"/>
        <s v="张茂雄"/>
        <s v="娄佳翌"/>
        <s v="张彧"/>
        <s v="顾安诺"/>
        <s v="陈智旻"/>
        <s v="李伊帆"/>
        <s v="邢锦雯"/>
        <s v="王仪阳"/>
        <s v="王奕涵"/>
        <s v="李歆然"/>
        <s v="徐菲"/>
        <s v="郑思宇"/>
        <s v="田珂旭"/>
        <s v="朱彧"/>
        <s v="聂宁博"/>
        <s v="王昞琦"/>
        <s v="王彦之"/>
        <s v="练玙婷"/>
        <s v="霍盈杉"/>
        <s v="张砚然"/>
        <s v="禹坤煜"/>
        <s v="薛羽彤"/>
        <s v="陈可新"/>
        <s v="舒循"/>
        <s v="李星瀚"/>
        <s v="张婧妍"/>
        <s v="王钰涵"/>
        <s v="吴昊"/>
        <s v="闫舒译"/>
        <s v="马若宁"/>
      </sharedItems>
    </cacheField>
    <cacheField name="跟进顾问" numFmtId="0">
      <sharedItems>
        <s v="谭悦"/>
        <s v="高龙明"/>
        <s v="赵星火"/>
        <s v="刘欢"/>
        <s v="徐健坤"/>
        <s v="钱雪冰"/>
        <s v="苏乾楠"/>
        <s v="杨晓超"/>
        <s v="徐铁"/>
      </sharedItems>
    </cacheField>
    <cacheField name="工单ID" numFmtId="0">
      <sharedItems>
        <s v="29440654"/>
        <s v="29435689"/>
        <s v="29460345"/>
        <s v="29254778"/>
        <s v="29460986"/>
        <s v="29422728"/>
        <s v="29421355"/>
        <s v="29428581"/>
        <s v="29342786"/>
        <s v="29345437"/>
        <s v="29432626"/>
        <s v="29084490"/>
        <s v="29060027"/>
        <s v="29252280"/>
        <s v="29212534"/>
        <s v="29212948"/>
        <s v="29084286"/>
        <s v="29280070"/>
        <s v="29115599"/>
        <s v="29129653"/>
        <s v="29132252"/>
        <s v="29086171"/>
        <s v="29069950"/>
        <s v="28381447"/>
        <s v="28892060"/>
        <s v="28260575"/>
        <s v="28785861"/>
        <s v="28731103"/>
        <s v="28853577"/>
        <s v="28806820"/>
        <s v="28844417"/>
        <s v="28863646"/>
        <s v="28844402"/>
        <s v="28805720"/>
        <s v="28844381"/>
        <s v="29315777"/>
        <s v="29325048"/>
        <s v="29223564"/>
        <s v="29193856"/>
        <s v="28915558"/>
        <s v="28852432"/>
        <s v="28732371"/>
        <s v="29366928"/>
        <s v="29194623"/>
        <s v="28979350"/>
        <s v="28855734"/>
        <s v="29332218"/>
        <s v="27503420"/>
        <s v="29365145"/>
        <s v="28958477"/>
        <s v="29372610"/>
        <s v="29122441"/>
        <s v="29296789"/>
        <s v="29209418"/>
        <s v="29179073"/>
        <s v="29277603"/>
        <s v="28724029"/>
        <s v="29203842"/>
        <s v="29019280"/>
        <s v="29255098"/>
        <s v="29246206"/>
        <s v="27357839"/>
        <s v="28546327"/>
        <s v="29252638"/>
        <s v="29144840"/>
        <s v="28935293"/>
        <s v="29087494"/>
        <s v="29203196"/>
        <s v="27908678"/>
        <s v="29094769"/>
        <s v="29145415"/>
        <s v="29196171"/>
        <s v="29193266"/>
        <s v="28862302"/>
        <s v="29093255"/>
        <s v="28992078"/>
        <s v="29053464"/>
        <s v="28806461"/>
        <s v="29079738"/>
        <s v="28788780"/>
        <s v="29001556"/>
        <s v="29084947"/>
        <s v="29079698"/>
        <s v="28780429"/>
        <s v="28965488"/>
        <s v="29107131"/>
        <s v="28993916"/>
        <s v="28422016"/>
        <s v="29043633"/>
        <s v="29067404"/>
        <s v="29058983"/>
        <s v="29055531"/>
        <s v="29067600"/>
        <s v="29067310"/>
        <s v="28505583"/>
        <s v="29016535"/>
        <s v="29044098"/>
        <s v="28555975"/>
        <s v="29034068"/>
        <s v="29066084"/>
        <s v="29020026"/>
        <s v="28967006"/>
        <s v="28961048"/>
        <s v="29061927"/>
        <s v="28976040"/>
        <s v="28826212"/>
        <s v="28916524"/>
        <s v="28056647"/>
        <s v="28922054"/>
        <s v="28762300"/>
        <s v="28884688"/>
        <s v="28813347"/>
        <s v="28852571"/>
        <s v="28813718"/>
        <s v="28719862"/>
        <s v="28563032"/>
        <s v="28094016"/>
        <s v="27994290"/>
        <s v="28886578"/>
        <s v="28810114"/>
        <s v="28277712"/>
        <s v="28630234"/>
        <s v="28330608"/>
        <s v="28839064"/>
        <s v="28885517"/>
        <s v="28514508"/>
        <s v="28807471"/>
        <s v="28656436"/>
        <s v="28195137"/>
        <s v="28460476"/>
        <s v="27738928"/>
        <s v="28686371"/>
        <s v="28797309"/>
        <s v="28751093"/>
        <s v="27080323"/>
        <s v="28639331"/>
        <s v="28749075"/>
      </sharedItems>
    </cacheField>
    <cacheField name="工单类型" numFmtId="0">
      <sharedItems>
        <s v="续费工单"/>
        <s v="正常工单"/>
      </sharedItems>
    </cacheField>
    <cacheField name="工单录入时间" numFmtId="0">
      <sharedItems>
        <s v="2025-07-31 20:06"/>
        <s v="2025-07-31 12:15"/>
        <s v="2025-07-31 18:11"/>
        <s v="2025-07-31 13:30"/>
        <s v="2025-07-31 20:01"/>
        <s v="2025-07-30 18:55"/>
        <s v="2025-07-30 17:05"/>
        <s v="2025-07-30 13:38"/>
        <s v="2025-07-27 14:45"/>
        <s v="2025-07-28 14:14"/>
        <s v="2025-07-30 18:41"/>
        <s v="2025-07-14 18:32"/>
        <s v="2025-07-13 19:11"/>
        <s v="2025-07-21 16:03"/>
        <s v="2025-07-20 15:00"/>
        <s v="2025-07-20 15:31"/>
        <s v="2025-07-18 13:55"/>
        <s v="2025-07-23 14:21"/>
        <s v="2025-07-16 13:22"/>
        <s v="2025-07-16 21:17"/>
        <s v="2025-07-16 16:26"/>
        <s v="2025-07-15 10:14"/>
        <s v="2025-07-13 11:51"/>
        <s v="2025-07-10 11:00"/>
        <s v="2025-07-06 16:45"/>
        <s v="2025-06-10 19:54"/>
        <s v="2025-07-03 13:10"/>
        <s v="2025-06-30 23:20"/>
        <s v="2025-07-03 23:12"/>
        <s v="2025-07-05 10:54"/>
        <s v="2025-07-04 18:25"/>
        <s v="2025-07-04 18:24"/>
        <s v="2025-07-04 18:23"/>
        <s v="2025-07-25 09:42"/>
        <s v="2025-07-25 20:47"/>
        <s v="2025-07-20 13:04"/>
        <s v="2025-07-18 10:55"/>
        <s v="2025-07-07 10:49"/>
        <s v="2025-07-05 16:43"/>
        <s v="2025-07-01 10:46"/>
        <s v="2025-07-26 11:29"/>
        <s v="2025-07-18 11:35"/>
        <s v="2025-07-10 15:13"/>
        <s v="2025-07-04 11:28"/>
        <s v="2025-07-26 21:15"/>
        <s v="2025-04-10 18:36"/>
        <s v="2025-07-25 20:05"/>
        <s v="2025-07-09 18:36"/>
        <s v="2025-07-26 21:18"/>
        <s v="2025-07-16 20:29"/>
        <s v="2025-07-25 10:10"/>
        <s v="2025-07-20 09:53"/>
        <s v="2025-07-23 16:17"/>
        <s v="2025-07-23 11:15"/>
        <s v="2025-06-30 12:58"/>
        <s v="2025-07-19 11:10"/>
        <s v="2025-07-11 09:52"/>
        <s v="2025-07-21 19:08"/>
        <s v="2025-07-20 20:50"/>
        <s v="2025-03-29 19:04"/>
        <s v="2025-06-23 18:44"/>
        <s v="2025-07-21 16:21"/>
        <s v="2025-07-17 18:22"/>
        <s v="2025-07-08 18:40"/>
        <s v="2025-07-15 11:23"/>
        <s v="2025-07-19 10:11"/>
        <s v="2025-05-17 14:43"/>
        <s v="2025-07-14 14:25"/>
        <s v="2025-07-17 19:24"/>
        <s v="2025-07-18 13:50"/>
        <s v="2025-07-18 10:15"/>
        <s v="2025-07-04 17:17"/>
        <s v="2025-07-14 12:01"/>
        <s v="2025-07-13 16:52"/>
        <s v="2025-07-17 15:18"/>
        <s v="2025-07-05 10:01"/>
        <s v="2025-07-14 14:02"/>
        <s v="2025-07-03 15:57"/>
        <s v="2025-07-16 10:58"/>
        <s v="2025-07-14 19:18"/>
        <s v="2025-07-14 13:58"/>
        <s v="2025-07-02 18:01"/>
        <s v="2025-07-10 14:38"/>
        <s v="2025-07-15 15:57"/>
        <s v="2025-07-14 11:45"/>
        <s v="2025-06-18 14:54"/>
        <s v="2025-07-12 09:36"/>
        <s v="2025-07-12 18:59"/>
        <s v="2025-07-13 17:43"/>
        <s v="2025-07-13 14:24"/>
        <s v="2025-07-12 19:30"/>
        <s v="2025-07-12 18:50"/>
        <s v="2025-06-20 17:24"/>
        <s v="2025-07-10 17:16"/>
        <s v="2025-07-12 10:32"/>
        <s v="2025-06-22 20:35"/>
        <s v="2025-07-11 11:17"/>
        <s v="2025-07-12 17:25"/>
        <s v="2025-07-11 10:48"/>
        <s v="2025-07-10 15:42"/>
        <s v="2025-07-10 10:43"/>
        <s v="2025-07-14 10:49"/>
        <s v="2025-07-09 17:09"/>
        <s v="2025-07-03 12:14"/>
        <s v="2025-07-07 11:34"/>
        <s v="2025-07-08 19:52"/>
        <s v="2025-07-07 16:33"/>
        <s v="2025-07-02 19:22"/>
        <s v="2025-07-05 18:50"/>
        <s v="2025-07-06 18:32"/>
        <s v="2025-07-05 16:50"/>
        <s v="2025-07-06 19:59"/>
        <s v="2025-06-29 19:09"/>
        <s v="2025-06-23 16:55"/>
        <s v="2025-06-03 11:47"/>
        <s v="2025-05-22 11:45"/>
        <s v="2025-07-06 10:35"/>
        <s v="2025-07-05 20:47"/>
        <s v="2025-06-12 16:39"/>
        <s v="2025-06-29 11:50"/>
        <s v="2025-06-14 10:54"/>
        <s v="2025-07-04 14:19"/>
        <s v="2025-07-05 20:57"/>
        <s v="2025-06-21 17:22"/>
        <s v="2025-07-05 12:13"/>
        <s v="2025-06-26 17:32"/>
        <s v="2025-06-05 20:49"/>
        <s v="2025-06-24 20:13"/>
        <s v="2025-05-06 15:52"/>
        <s v="2025-06-28 14:37"/>
        <s v="2025-07-03 10:35"/>
        <s v="2025-07-01 19:51"/>
        <s v="2025-03-17 21:45"/>
        <s v="2025-07-01 14:00"/>
        <s v="2025-07-01 17:14"/>
      </sharedItems>
    </cacheField>
    <cacheField name="工单等级" numFmtId="0">
      <sharedItems>
        <s v="A（六个月内有报课意向工单）"/>
        <s v="B（需长时间跟单或只需要规划）"/>
      </sharedItems>
    </cacheField>
    <cacheField name="咨询课程" numFmtId="0">
      <sharedItems>
        <s v="考研专业课,考研无忧计划"/>
        <s v="考研无忧计划"/>
        <s v="考研集训营"/>
        <s v="线上考研产品"/>
        <s v="考研专业课"/>
        <s v="考研VIP"/>
        <s v="考研专业课,考研集训营"/>
        <s v="四级"/>
        <s v="六级,考研专业课,考研集训营"/>
        <s v="六级,考研专业课,考研无忧计划"/>
        <s v="考研专业课,考研无忧计划,线上考研产品"/>
        <s v="考研集训营,线上考研产品"/>
        <s v="大学预科"/>
        <s v="六级"/>
        <s v="考研专业课,考研VIP"/>
        <s v="考研集训营,考研VIP"/>
        <s v="六级,四级"/>
        <s v="大学学科辅导,大学预科"/>
        <s v="考研无忧计划,英语学习"/>
      </sharedItems>
    </cacheField>
    <cacheField name="工单年级" numFmtId="0">
      <sharedItems>
        <s v="大二"/>
        <s v="大四"/>
        <s v="大学已毕业"/>
        <s v="在职"/>
        <s v="大三"/>
        <s v="高三"/>
        <s v="研究生以上"/>
        <s v="大一"/>
      </sharedItems>
    </cacheField>
    <cacheField name="学校2" numFmtId="0">
      <sharedItems>
        <s v="北京物资学院"/>
        <s v="北京化工大学"/>
        <s v="吉林大学"/>
        <s v="中国人民大学"/>
        <s v="北京工业大学"/>
        <s v="北京交通大学"/>
        <s v="中国传媒大学"/>
        <s v="河北大学"/>
        <s v="北京工业大学耿丹学院"/>
        <s v="天津理工大学"/>
        <s v="北京邮电大学"/>
        <s v="北京农学院"/>
        <s v="首都经济贸易大学"/>
        <s v="首都师范大学"/>
        <s v="广州商学院"/>
        <s v="菏泽学院"/>
        <s v="山西农业大学"/>
        <s v="中国政法大学"/>
        <s v="淮北师范大学"/>
        <s v="烟台理工学院"/>
        <s v="甘肃农业大学"/>
        <s v="对外经济贸易大学"/>
        <s v="中国石油大学（华东）"/>
        <s v="福建师范大学"/>
        <s v="北京石油化工学院"/>
        <s v="北京工商大学"/>
        <s v="北京科技大学"/>
        <s v="南京师范大学"/>
        <s v="清华大学"/>
        <s v="中国人民公安大学"/>
        <s v="哈尔滨工程大学"/>
        <s v="北京科技职业学院"/>
        <s v="内蒙古医科大学"/>
        <s v="北京航空航天大学"/>
        <s v="北京电影学院"/>
        <s v="安徽大学"/>
        <s v="中国刑事警察学院"/>
        <s v="防灾科技学院"/>
        <s v="南昌大学"/>
        <s v="西安电子科技大学"/>
        <s v="北京信息科技大学"/>
        <s v="吉林建筑大学"/>
        <s v="中国地质大学"/>
        <s v="河北中医学院"/>
        <s v="渭南师范学院"/>
        <s v="天津音乐学院"/>
        <s v="贵州大学"/>
        <s v="中国农业大学"/>
        <s v="北京邮电大学世纪学院"/>
        <s v="北京建筑大学"/>
        <s v="国防科技大学"/>
        <s v="北京理工大学"/>
        <s v="兰州大学"/>
        <s v="衡水市第二中学"/>
        <s v="中央民族大学"/>
        <s v="北京市第二十中学"/>
        <s v="北京师范大学"/>
        <s v="北方工业大学"/>
        <s v="中南林业科技大学"/>
        <s v="北京联合大学"/>
        <s v="中国石油大学（北京）"/>
        <s v="重庆大学"/>
        <s v="上海理工大学"/>
        <s v="南京传媒学院"/>
        <s v="沈阳师范大学"/>
        <s v="沧州师范学院"/>
        <s v="西安工业大学"/>
        <s v="北京大学"/>
        <s v="陕西科技大学"/>
        <s v="保定理工学院"/>
        <s v="南开大学"/>
        <s v="北京城市学院"/>
        <s v="北京林业大学"/>
        <s v="中央音乐学院"/>
        <s v="中国科学院大学"/>
      </sharedItems>
    </cacheField>
    <cacheField name="院系" numFmtId="0">
      <sharedItems>
        <s v="信息学院"/>
        <s v="材料科学与工程学院"/>
        <s v="物理学院"/>
        <s v="社会与人口学院"/>
        <s v="北京-都柏林国际学院"/>
        <s v="机械与电子控制工程学院"/>
        <s v="信息与通信工程学院"/>
        <s v="管理学院"/>
        <s v="工学院"/>
        <s v="食品科学与工程学院"/>
        <s v="商学院"/>
        <s v="会计学院"/>
        <s v="计算机与信息技术学院"/>
        <s v="城市建设学部"/>
        <s v="学前教育学院"/>
        <s v="人文与新闻传播学院"/>
        <s v="电子工程学院"/>
        <s v="生命科学与技术学院"/>
        <s v="农学院"/>
        <s v="法学院"/>
        <s v="数学科学学院"/>
        <s v="信息工程学院"/>
        <s v="资源与环境学院"/>
        <s v="金融学院"/>
        <s v="新能源学院"/>
        <s v="信息学部"/>
        <s v="计算机与网络空间安全学院"/>
        <s v="物理系"/>
        <s v="生物"/>
        <s v="英语学院"/>
        <s v="土木与资源工程学院"/>
        <s v="食品与制药工程学院"/>
        <s v="化学工程系"/>
        <s v="公安管理学院"/>
        <s v="智能科学与工程学院"/>
        <s v=" 信息安全"/>
        <s v="统计学院"/>
        <s v="经济管理学院"/>
        <s v="数学与统计学院"/>
        <s v="基础医学院"/>
        <s v="建筑与艺术学院"/>
        <s v="外国语学院"/>
        <s v="计算机学院"/>
        <s v="影视技术系"/>
        <s v="计算机科学与技术学院"/>
        <s v="刑事科学技术学院（法庭科学学院）"/>
        <s v="初等教育学院"/>
        <s v="应急管理学院"/>
        <s v="医学部"/>
        <s v="网络与信息安全学院"/>
        <s v="建筑与规划学院"/>
        <s v="能源学院"/>
        <s v="针灸推拿学院"/>
        <s v="体育学院"/>
        <s v="舞蹈学系"/>
        <s v="信息管理学院"/>
        <s v="外语系"/>
        <s v="建筑与城市规划学院"/>
        <s v="自动化学院"/>
        <s v="物理科学与技术学院"/>
        <s v="新大一"/>
        <s v="理学院"/>
        <s v="环境与生命学部"/>
        <s v="化学工程学院"/>
        <s v="地理科学学部"/>
        <s v="土木工程学院"/>
        <s v="国际学院"/>
        <s v="风景园林学院"/>
        <s v="应用文理学院"/>
        <s v="新能源与材料学院"/>
        <s v="电气学院"/>
        <s v="经济与管理学院"/>
        <s v="环境与生态学院"/>
        <s v="电气与控制工程学院"/>
        <s v="戏剧影视学院"/>
        <s v="工商管理学院"/>
        <s v="文学院"/>
        <s v="经济学院"/>
        <s v="电子信息工程学院"/>
        <s v="设计与艺术学院"/>
        <s v="资源与工程技术学院"/>
        <s v="管理工程学院"/>
        <s v="生物医药学部"/>
        <s v="文法与城乡发展学院"/>
        <s v="园林学院"/>
        <s v="作曲系"/>
        <s v="人工智能学院"/>
      </sharedItems>
    </cacheField>
    <cacheField name="专业" numFmtId="0">
      <sharedItems>
        <s v="应用统计学"/>
        <s v="高分子材料与工程精英班"/>
        <s v="物理学"/>
        <s v="社会工作"/>
        <s v="电子信息工程1"/>
        <s v="机械工程"/>
        <s v="通信工程"/>
        <s v="图书馆学"/>
        <s v="计算机科学与技术"/>
        <s v="工商管理"/>
        <s v="电子信息工程"/>
        <s v="食品科学与工程"/>
        <s v="财务管理"/>
        <s v="会计学1"/>
        <s v="信息工程"/>
        <s v="人工智能"/>
        <s v="建筑学"/>
        <s v="学前教育"/>
        <s v="汉语言文学（师范类）"/>
        <s v="电子信息科学与技术"/>
        <s v="生物工程"/>
        <s v="农学"/>
        <s v="法学（法学人才培养模式改革实验班）"/>
        <s v="数学与应用数学（师范）"/>
        <s v="生态学"/>
        <s v="金融学"/>
        <s v="过程装备与控制工程"/>
        <s v="网络空间安全"/>
        <s v="高分子材料与工程"/>
        <s v="生物"/>
        <s v="商务英语"/>
        <s v="采矿工程"/>
        <s v="生物工程（制药方向）"/>
        <s v="化学工程与工业生物工程"/>
        <s v="公安管理学"/>
        <s v=" 信息安全"/>
        <s v="统计学"/>
        <s v="农林经济管理"/>
        <s v="信息与计算科学"/>
        <s v="法医学"/>
        <s v="英语"/>
        <s v="计算机科学与技术1"/>
        <s v="影视技术"/>
        <s v="刑事科学技术"/>
        <s v="小学教育"/>
        <s v="应急技术与管理"/>
        <s v="预防医学（五年）"/>
        <s v="信息安全1"/>
        <s v="碳储科学与工程"/>
        <s v="针灸推拿学"/>
        <s v="体育教育"/>
        <s v="舞蹈表演"/>
        <s v="物理学（含射电天文方向）"/>
        <s v="农业工程"/>
        <s v="电子商务"/>
        <s v="土木工程"/>
        <s v="电子信息工程（实验班）"/>
        <s v="法学"/>
        <s v="电气工程及其自动化"/>
        <s v="新大一"/>
        <s v="光电信息科学与工程"/>
        <s v="环境工程"/>
        <s v="自然地理与资源环境"/>
        <s v="土木工程1"/>
        <s v="电信工程及管理"/>
        <s v="风景园林"/>
        <s v="文物与博物馆学"/>
        <s v="储能科学与工程"/>
        <s v="电气"/>
        <s v="会计学"/>
        <s v="物联网工程"/>
        <s v="给排水科学与工程"/>
        <s v="信息安全"/>
        <s v="戏剧影视导演"/>
        <s v="物流管理"/>
        <s v="英语（师范）"/>
        <s v="汉语言文学"/>
        <s v="经济学"/>
        <s v="播音与主持艺术"/>
        <s v="土地资源管理"/>
        <s v="统计"/>
        <s v="信息安全（实验班）"/>
        <s v="安全工程"/>
        <s v="生物技术"/>
        <s v="作曲"/>
      </sharedItems>
    </cacheField>
    <cacheField name="签约学生姓名" numFmtId="0">
      <sharedItems>
        <s v="杨显婷"/>
        <s v="杨希恒"/>
        <s v="陈廷进"/>
        <s v="grace"/>
        <s v="韩月鹏"/>
        <s v="黄禹淇"/>
        <s v="朱博政"/>
        <s v="Merih"/>
        <s v="北京市6271"/>
        <s v="叶宸羽"/>
        <s v="蔡哲"/>
        <s v="周靖程"/>
        <s v="王喆"/>
        <s v="赵嘉华"/>
        <s v="赵泽阳"/>
        <s v="刘泽宇"/>
        <s v="可爱的小翠翠"/>
        <s v="张键溪"/>
        <s v="李宇"/>
        <s v="张奕鸽"/>
        <s v="费皓卿"/>
        <s v="考研"/>
        <s v="小菠萝"/>
        <s v="董佳易"/>
        <s v="陈晨"/>
        <s v="王舒桐"/>
        <s v="谌蕙荃"/>
        <s v="白恩宁"/>
        <s v="李兆同"/>
        <s v="张思远"/>
        <s v="章俊骐"/>
        <s v="周舟6"/>
        <s v="郑雅洁"/>
        <s v="程悦"/>
        <s v="孙睿泽"/>
        <s v="牛任杰"/>
        <s v="关淼水"/>
        <s v="黄泰淇"/>
        <s v="常雅凝"/>
        <s v="李思成"/>
        <s v="杨达京"/>
        <s v="张兆霆"/>
        <s v="赵翎羽"/>
        <s v="刘祎迪"/>
        <s v="张建超"/>
        <s v="杨若彤"/>
        <s v="田明"/>
        <s v="梁超宇"/>
        <s v="鲁轩如"/>
        <s v="丘洛祯"/>
        <s v="张桐赫"/>
        <s v="高晨希"/>
        <s v="姜铭祺"/>
        <s v="于铠铭"/>
        <s v="李诗彤"/>
        <s v="王一安"/>
        <s v="郭泽恩"/>
        <s v="杨欣"/>
        <s v="张佳卉"/>
        <s v="付楷森"/>
        <s v="章博涛"/>
        <s v="郭东言"/>
        <s v="孙雨涵"/>
        <s v="李嘉译"/>
        <s v="王烽"/>
        <s v="齐子涵"/>
        <s v="兰昊谊"/>
        <s v="王元盛"/>
        <s v="王帆"/>
        <s v="曹泽恒"/>
        <s v="闵楚雯"/>
        <s v="贺暄恒"/>
        <s v="达温娜"/>
        <s v="赵天心"/>
        <s v="魏诗雅"/>
        <s v="高世雄"/>
        <s v="吕金泽"/>
        <s v="芦郁荃"/>
        <s v="冯蕴玮"/>
        <s v="贾佳霖"/>
        <s v="张晨曦"/>
        <s v="刘博"/>
        <s v="李聪博"/>
        <s v="张毓珂"/>
        <s v="陈想"/>
        <s v="张纯懿"/>
        <s v="范翔"/>
        <s v="倪润楷"/>
        <s v="王浩儒"/>
        <s v="武岳"/>
        <s v="毕琦昕"/>
        <s v="张献婷"/>
        <s v="张茂雄"/>
        <s v="娄佳翌"/>
        <s v="张彧"/>
        <s v="顾安诺"/>
        <s v="陈智旻"/>
        <s v="李伊帆"/>
        <s v="邢锦雯"/>
        <s v="王仪阳"/>
        <s v="王奕涵"/>
        <s v="李歆然"/>
        <s v="徐菲"/>
        <s v="郑思宇"/>
        <s v="田珂旭"/>
        <s v="朱彧"/>
        <s v="聂宁博"/>
        <s v="王昞琦"/>
        <s v="王彦之"/>
        <s v="练玙婷"/>
        <s v="霍盈杉"/>
        <s v="张砚然"/>
        <s v="禹坤煜"/>
        <s v="薛羽彤"/>
        <s v="陈可新"/>
        <s v="舒循"/>
        <s v="李星瀚"/>
        <s v="张婧妍"/>
        <s v="王钰涵"/>
        <s v="吴昊"/>
        <s v="闫舒译"/>
        <s v="马若宁"/>
      </sharedItems>
    </cacheField>
    <cacheField name="签约单ID" numFmtId="0">
      <sharedItems containsSemiMixedTypes="0" containsString="0" containsNumber="1" containsInteger="1">
        <n v="5528120"/>
        <n v="5528086"/>
        <n v="5527877"/>
        <n v="5527161"/>
        <n v="5500336"/>
        <n v="5526455"/>
        <n v="5526266"/>
        <n v="5420608"/>
        <n v="5420588"/>
        <n v="5524661"/>
        <n v="5498616"/>
        <n v="5494164"/>
        <n v="5418288"/>
        <n v="5487404"/>
        <n v="5416998"/>
        <n v="5486586"/>
        <n v="5483935"/>
        <n v="5455920"/>
        <n v="5519037"/>
        <n v="5453615"/>
        <n v="5414954"/>
        <n v="5414774"/>
        <n v="5452254"/>
        <n v="5451463"/>
        <n v="5474503"/>
        <n v="5471244"/>
        <n v="5470810"/>
        <n v="5442502"/>
        <n v="5465643"/>
        <n v="5465207"/>
        <n v="5437764"/>
        <n v="5467838"/>
        <n v="5467489"/>
        <n v="5467485"/>
        <n v="5438819"/>
        <n v="5438817"/>
        <n v="5438803"/>
        <n v="5494745"/>
        <n v="5521655"/>
        <n v="5485946"/>
        <n v="5455697"/>
        <n v="5443051"/>
        <n v="5439870"/>
        <n v="5406797"/>
        <n v="5420738"/>
        <n v="5420638"/>
        <n v="5496399"/>
        <n v="5419399"/>
        <n v="5522538"/>
        <n v="5521885"/>
        <n v="5521795"/>
        <n v="5494278"/>
        <n v="5419260"/>
        <n v="5521594"/>
        <n v="5521267"/>
        <n v="5492273"/>
        <n v="5418192"/>
        <n v="5518837"/>
        <n v="5518797"/>
        <n v="5491524"/>
        <n v="5417619"/>
        <n v="5417610"/>
        <n v="5518315"/>
        <n v="5517832"/>
        <n v="5489851"/>
        <n v="5487190"/>
        <n v="5417070"/>
        <n v="5488723"/>
        <n v="5487697"/>
        <n v="5486526"/>
        <n v="5485010"/>
        <n v="5484768"/>
        <n v="5457443"/>
        <n v="5457440"/>
        <n v="5416011"/>
        <n v="5484040"/>
        <n v="5483704"/>
        <n v="5456000"/>
        <n v="5455827"/>
        <n v="5415526"/>
        <n v="5415508"/>
        <n v="5483461"/>
        <n v="5415115"/>
        <n v="5454703"/>
        <n v="5454279"/>
        <n v="5454168"/>
        <n v="5453763"/>
        <n v="5414905"/>
        <n v="5480962"/>
        <n v="5479484"/>
        <n v="5479327"/>
        <n v="5479326"/>
        <n v="5479014"/>
        <n v="5478782"/>
        <n v="5449899"/>
        <n v="5449534"/>
        <n v="5449468"/>
        <n v="5414268"/>
        <n v="5477435"/>
        <n v="5477390"/>
        <n v="5477068"/>
        <n v="5477021"/>
        <n v="5449050"/>
        <n v="5448304"/>
        <n v="5412664"/>
        <n v="5447453"/>
        <n v="5479374"/>
        <n v="5474899"/>
        <n v="5445893"/>
        <n v="5474250"/>
        <n v="5472970"/>
        <n v="5472343"/>
        <n v="5410899"/>
        <n v="5471255"/>
        <n v="5470759"/>
        <n v="5442872"/>
        <n v="5442111"/>
        <n v="5410190"/>
        <n v="5469964"/>
        <n v="5469594"/>
        <n v="5469536"/>
        <n v="5469306"/>
        <n v="5441189"/>
        <n v="5468828"/>
        <n v="5468590"/>
        <n v="5468276"/>
        <n v="5468070"/>
        <n v="5440354"/>
        <n v="5439130"/>
        <n v="5408986"/>
        <n v="5466927"/>
        <n v="5466613"/>
        <n v="5438879"/>
        <n v="5438356"/>
        <n v="5408783"/>
        <n v="5407803"/>
        <n v="5464806"/>
        <n v="5436392"/>
        <n v="5434423"/>
        <n v="5407050"/>
      </sharedItems>
    </cacheField>
    <cacheField name="签约单录入人" numFmtId="0">
      <sharedItems>
        <s v="谭悦"/>
        <s v="赵星火"/>
      </sharedItems>
    </cacheField>
    <cacheField name="签约单录入时间" numFmtId="0">
      <sharedItems>
        <s v="2025-07-31 20:06"/>
        <s v="2025-07-31 19:51"/>
        <s v="2025-07-31 18:24"/>
        <s v="2025-07-31 14:11"/>
        <s v="2025-07-31 20:01"/>
        <s v="2025-07-30 18:55"/>
        <s v="2025-07-30 17:06"/>
        <s v="2025-07-30 13:40"/>
        <s v="2025-07-30 12:47"/>
        <s v="2025-07-29 10:09"/>
        <s v="2025-07-30 18:41"/>
        <s v="2025-07-26 13:57"/>
        <s v="2025-07-24 18:36"/>
        <s v="2025-07-21 16:14"/>
        <s v="2025-07-21 16:02"/>
        <s v="2025-07-20 18:20"/>
        <s v="2025-07-18 13:57"/>
        <s v="2025-07-23 14:21"/>
        <s v="2025-07-16 13:25"/>
        <s v="2025-07-16 21:21"/>
        <s v="2025-07-16 16:27"/>
        <s v="2025-07-15 11:57"/>
        <s v="2025-07-14 16:00"/>
        <s v="2025-07-10 11:02"/>
        <s v="2025-07-07 14:44"/>
        <s v="2025-07-07 10:10"/>
        <s v="2025-07-03 13:11"/>
        <s v="2025-07-02 22:46"/>
        <s v="2025-07-03 23:13"/>
        <s v="2025-07-05 10:55"/>
        <s v="2025-07-04 18:29"/>
        <s v="2025-07-04 18:26"/>
        <s v="2025-07-04 18:31"/>
        <s v="2025-07-04 18:30"/>
        <s v="2025-07-04 18:23"/>
        <s v="2025-07-26 21:06"/>
        <s v="2025-07-25 20:47"/>
        <s v="2025-07-20 13:05"/>
        <s v="2025-07-18 10:55"/>
        <s v="2025-07-07 19:37"/>
        <s v="2025-07-05 16:44"/>
        <s v="2025-07-01 10:48"/>
        <s v="2025-07-30 15:51"/>
        <s v="2025-07-30 14:11"/>
        <s v="2025-07-28 17:23"/>
        <s v="2025-07-27 12:42"/>
        <s v="2025-07-26 21:16"/>
        <s v="2025-07-26 11:25"/>
        <s v="2025-07-26 10:19"/>
        <s v="2025-07-26 15:07"/>
        <s v="2025-07-26 21:18"/>
        <s v="2025-07-25 19:20"/>
        <s v="2025-07-25 15:38"/>
        <s v="2025-07-24 16:55"/>
        <s v="2025-07-24 15:57"/>
        <s v="2025-07-23 11:15"/>
        <s v="2025-07-23 10:53"/>
        <s v="2025-07-23 18:47"/>
        <s v="2025-07-23 10:36"/>
        <s v="2025-07-22 16:07"/>
        <s v="2025-07-22 09:36"/>
        <s v="2025-07-22 09:32"/>
        <s v="2025-07-21 14:03"/>
        <s v="2025-07-21 16:55"/>
        <s v="2025-07-20 20:46"/>
        <s v="2025-07-20 11:06"/>
        <s v="2025-07-20 17:49"/>
        <s v="2025-07-19 14:29"/>
        <s v="2025-07-19 11:11"/>
        <s v="2025-07-19 20:44"/>
        <s v="2025-07-19 20:34"/>
        <s v="2025-07-19 14:10"/>
        <s v="2025-07-18 15:01"/>
        <s v="2025-07-18 10:25"/>
        <s v="2025-07-18 14:57"/>
        <s v="2025-07-18 12:10"/>
        <s v="2025-07-18 11:16"/>
        <s v="2025-07-18 11:28"/>
        <s v="2025-07-17 18:50"/>
        <s v="2025-07-17 11:42"/>
        <s v="2025-07-17 11:45"/>
        <s v="2025-07-16 19:05"/>
        <s v="2025-07-16 18:04"/>
        <s v="2025-07-16 14:41"/>
        <s v="2025-07-16 19:32"/>
        <s v="2025-07-15 16:04"/>
        <s v="2025-07-14 11:57"/>
        <s v="2025-07-14 10:21"/>
        <s v="2025-07-14 10:18"/>
        <s v="2025-07-13 19:32"/>
        <s v="2025-07-13 17:48"/>
        <s v="2025-07-13 14:24"/>
        <s v="2025-07-13 10:34"/>
        <s v="2025-07-13 10:02"/>
        <s v="2025-07-15 17:06"/>
        <s v="2025-07-12 17:12"/>
        <s v="2025-07-12 16:48"/>
        <s v="2025-07-12 13:39"/>
        <s v="2025-07-12 13:40"/>
        <s v="2025-07-12 17:38"/>
        <s v="2025-07-12 10:04"/>
        <s v="2025-07-12 14:51"/>
        <s v="2025-07-11 13:19"/>
        <s v="2025-07-14 10:51"/>
        <s v="2025-07-10 15:21"/>
        <s v="2025-07-10 10:18"/>
        <s v="2025-07-09 21:20"/>
        <s v="2025-07-08 20:08"/>
        <s v="2025-07-08 13:53"/>
        <s v="2025-07-08 19:41"/>
        <s v="2025-07-07 14:49"/>
        <s v="2025-07-07 09:42"/>
        <s v="2025-07-07 17:46"/>
        <s v="2025-07-07 10:24"/>
        <s v="2025-07-07 13:43"/>
        <s v="2025-07-06 16:18"/>
        <s v="2025-07-06 13:47"/>
        <s v="2025-07-06 13:16"/>
        <s v="2025-07-06 11:04"/>
        <s v="2025-07-06 15:39"/>
        <s v="2025-07-05 19:01"/>
        <s v="2025-07-05 17:25"/>
        <s v="2025-07-05 14:53"/>
        <s v="2025-07-05 13:17"/>
        <s v="2025-07-05 20:57"/>
        <s v="2025-07-05 10:00"/>
        <s v="2025-07-05 12:23"/>
        <s v="2025-07-04 14:29"/>
        <s v="2025-07-04 10:57"/>
        <s v="2025-07-04 19:17"/>
        <s v="2025-07-04 15:00"/>
        <s v="2025-07-04 20:36"/>
        <s v="2025-07-03 10:36"/>
        <s v="2025-07-02 17:05"/>
        <s v="2025-07-02 20:14"/>
        <s v="2025-07-01 14:03"/>
        <s v="2025-07-01 17:15"/>
      </sharedItems>
    </cacheField>
    <cacheField name="签约单更新人" numFmtId="0">
      <sharedItems containsBlank="1">
        <s v="谭悦"/>
        <s v="高龙明"/>
        <s v="赵星火"/>
        <s v="刘欢"/>
        <s v="徐健坤"/>
        <m/>
        <s v="系统管理员"/>
        <s v="钱雪冰"/>
        <s v="苏乾楠"/>
        <s v="杨晓超"/>
        <s v="徐铁"/>
      </sharedItems>
    </cacheField>
    <cacheField name="签约单更新时间" numFmtId="0">
      <sharedItems containsBlank="1">
        <s v="2025-07-31 20:06"/>
        <s v="2025-07-31 19:51"/>
        <s v="2025-07-31 18:25"/>
        <s v="2025-07-31 14:12"/>
        <s v="2025-07-31 20:02"/>
        <s v="2025-07-30 18:56"/>
        <s v="2025-07-30 17:07"/>
        <s v="2025-07-30 14:11"/>
        <s v="2025-07-30 12:47"/>
        <s v="2025-07-29 10:11"/>
        <s v="2025-07-30 18:43"/>
        <s v="2025-07-26 13:57"/>
        <s v="2025-07-24 19:10"/>
        <s v="2025-07-21 16:16"/>
        <s v="2025-07-21 16:02"/>
        <s v="2025-07-20 18:21"/>
        <s v="2025-07-18 13:57"/>
        <s v="2025-07-23 14:21"/>
        <s v="2025-07-16 13:27"/>
        <s v="2025-07-16 21:22"/>
        <s v="2025-07-16 16:27"/>
        <s v="2025-07-15 11:58"/>
        <s v="2025-07-14 16:30"/>
        <s v="2025-07-10 11:02"/>
        <s v="2025-07-07 14:46"/>
        <s v="2025-07-07 10:25"/>
        <s v="2025-07-03 13:12"/>
        <s v="2025-07-06 10:13"/>
        <s v="2025-07-03 23:13"/>
        <s v="2025-07-05 10:55"/>
        <s v="2025-07-04 18:29"/>
        <s v="2025-07-04 18:26"/>
        <s v="2025-07-04 18:31"/>
        <s v="2025-07-04 18:30"/>
        <s v="2025-07-04 18:24"/>
        <m/>
        <s v="2025-07-25 20:47"/>
        <s v="2025-07-20 13:05"/>
        <s v="2025-07-18 10:55"/>
        <s v="2025-07-01 10:49"/>
        <s v="2025-07-30 15:52"/>
        <s v="2025-07-30 15:43"/>
        <s v="2025-07-28 17:23"/>
        <s v="2025-07-27 14:33"/>
        <s v="2025-07-26 21:16"/>
        <s v="2025-07-26 11:40"/>
        <s v="2025-07-26 11:47"/>
        <s v="2025-07-26 15:07"/>
        <s v="2025-07-26 21:18"/>
        <s v="2025-07-25 20:02"/>
        <s v="2025-07-25 15:50"/>
        <s v="2025-07-24 16:55"/>
        <s v="2025-07-24 15:57"/>
        <s v="2025-07-23 11:15"/>
        <s v="2025-07-23 10:54"/>
        <s v="2025-07-23 18:48"/>
        <s v="2025-07-23 10:47"/>
        <s v="2025-07-22 16:21"/>
        <s v="2025-07-22 09:42"/>
        <s v="2025-07-22 09:33"/>
        <s v="2025-07-21 14:03"/>
        <s v="2025-07-21 17:25"/>
        <s v="2025-07-20 20:46"/>
        <s v="2025-07-20 14:01"/>
        <s v="2025-07-23 14:09"/>
        <s v="2025-07-19 15:09"/>
        <s v="2025-07-19 11:36"/>
        <s v="2025-07-20 09:53"/>
        <s v="2025-07-20 09:55"/>
        <s v="2025-07-19 14:11"/>
        <s v="2025-07-18 15:01"/>
        <s v="2025-07-18 14:54"/>
        <s v="2025-07-18 14:57"/>
        <s v="2025-07-18 12:27"/>
        <s v="2025-07-18 12:15"/>
        <s v="2025-07-18 11:50"/>
        <s v="2025-07-17 20:09"/>
        <s v="2025-07-17 13:12"/>
        <s v="2025-07-17 11:45"/>
        <s v="2025-07-16 19:06"/>
        <s v="2025-07-16 18:04"/>
        <s v="2025-07-16 14:42"/>
        <s v="2025-07-17 11:41"/>
        <s v="2025-07-15 16:06"/>
        <s v="2025-07-14 14:44"/>
        <s v="2025-07-14 10:32"/>
        <s v="2025-07-14 10:51"/>
        <s v="2025-07-13 19:32"/>
        <s v="2025-07-13 17:48"/>
        <s v="2025-07-13 14:25"/>
        <s v="2025-07-13 10:44"/>
        <s v="2025-07-13 10:03"/>
        <s v="2025-07-15 17:06"/>
        <s v="2025-07-12 17:13"/>
        <s v="2025-07-12 16:48"/>
        <s v="2025-07-12 14:06"/>
        <s v="2025-07-12 13:47"/>
        <s v="2025-07-12 17:38"/>
        <s v="2025-07-12 13:32"/>
        <s v="2025-07-12 14:52"/>
        <s v="2025-07-11 13:19"/>
        <s v="2025-07-10 15:22"/>
        <s v="2025-07-10 10:19"/>
        <s v="2025-07-09 21:20"/>
        <s v="2025-07-08 20:19"/>
        <s v="2025-07-08 13:55"/>
        <s v="2025-07-08 20:21"/>
        <s v="2025-07-07 15:00"/>
        <s v="2025-07-07 09:42"/>
        <s v="2025-07-07 17:46"/>
        <s v="2025-07-15 14:17"/>
        <s v="2025-07-07 14:01"/>
        <s v="2025-07-06 16:20"/>
        <s v="2025-07-06 13:47"/>
        <s v="2025-07-06 13:18"/>
        <s v="2025-07-06 11:04"/>
        <s v="2025-07-06 15:39"/>
        <s v="2025-07-05 19:01"/>
        <s v="2025-07-05 17:26"/>
        <s v="2025-07-05 14:54"/>
        <s v="2025-07-05 13:17"/>
        <s v="2025-07-05 20:58"/>
        <s v="2025-07-05 10:02"/>
        <s v="2025-07-05 12:32"/>
        <s v="2025-07-04 14:30"/>
        <s v="2025-07-04 11:01"/>
        <s v="2025-07-04 19:18"/>
        <s v="2025-07-04 15:00"/>
        <s v="2025-07-04 20:37"/>
        <s v="2025-07-03 10:36"/>
        <s v="2025-07-02 17:06"/>
        <s v="2025-07-02 20:14"/>
        <s v="2025-07-01 14:18"/>
        <s v="2025-07-01 17:15"/>
      </sharedItems>
    </cacheField>
    <cacheField name="班号" numFmtId="0">
      <sharedItems containsBlank="1">
        <s v="WYM27002"/>
        <s v="WYP27005"/>
        <s v="WYP27006"/>
        <s v="WYE27026"/>
        <s v="WYE27004"/>
        <s v="WYM27010"/>
        <s v="WYE27006"/>
        <s v="WYP27004"/>
        <s v="WYM27001"/>
        <s v="LP17539617712673"/>
        <s v="GWYM26001"/>
        <s v="GWYP26001"/>
        <s v="GWYE26001"/>
        <m/>
        <s v="33782039713"/>
        <s v="01384944814"/>
        <s v="WYE26003"/>
        <s v="WYE26002"/>
        <s v="WYE26026"/>
        <s v="WYE26027"/>
        <s v="LP1753854023771"/>
        <s v="96565840801"/>
        <s v="58407124528"/>
        <s v="53555637604"/>
        <s v="LP17533534131898"/>
        <s v="LP17530856811511"/>
        <s v="69208835259"/>
        <s v="45051853639"/>
        <s v="17320768233"/>
        <s v="WYE26029"/>
        <s v="WYE26028"/>
        <s v="46130652007"/>
        <s v="01501936809"/>
        <s v="LP1752549599710"/>
        <s v="60003912989"/>
        <s v="65047887659"/>
        <s v="91203708310"/>
        <s v="42332373685"/>
        <s v="91694064302"/>
        <s v="90261548033"/>
        <s v="WYE26004"/>
        <s v="WYE26005"/>
        <s v="KYJZ25004"/>
        <s v="KYJY25004"/>
        <s v="KYJZ25015"/>
        <s v="KYJY25015"/>
        <s v="KYJZ25003"/>
        <s v="KYJY25003"/>
        <s v="87475099999"/>
        <s v="WYE27018"/>
        <s v="LP17320859591849"/>
        <s v="LP1752806923377"/>
        <s v="67374296149"/>
        <s v="LP17517050881945"/>
        <s v="LP175133809710126"/>
        <s v="KYZ26001"/>
        <s v="KYJZ26003"/>
        <s v="KYZ26003"/>
        <s v="KYJY26003"/>
        <s v="KYJY26001"/>
        <s v="WYS25035"/>
        <s v="LP17538618671269"/>
        <s v="LP17538618651266"/>
        <s v="WYFP26010"/>
        <s v="WYFP26009"/>
        <s v="95553333194"/>
        <s v="LP1753855910860"/>
        <s v="LP17536945791415"/>
        <s v="LP1753591374728"/>
        <s v="YKF25007"/>
        <s v="YKF25003"/>
        <s v="LP1753500326598"/>
        <s v="YKS25003"/>
        <s v="WYZ27001"/>
        <s v="WYE27016"/>
        <s v="WYE27030"/>
        <s v="WYF25039"/>
        <s v="LP17534290891240"/>
        <s v="WYFE26019"/>
        <s v="WYFM26010"/>
        <s v="WYFE26020"/>
        <s v="WYFM26009"/>
        <s v="WYZ27002"/>
        <s v="LP17533433651269"/>
        <s v="KYJZ26002"/>
        <s v="KYJS26002"/>
        <s v="KYJY26002"/>
        <s v="WYSJ25040"/>
        <s v="KYZ26002"/>
        <s v="KYJS26001"/>
        <s v="LP17532630791620"/>
        <s v="LP1753239180374"/>
        <s v="LP1753238211315"/>
        <s v="LP17531716621452"/>
        <s v="LP175314821588"/>
        <s v="KYJY25013"/>
        <s v="KYJZ25013"/>
        <s v="KYJY25013A"/>
        <s v="KYJZ25013A"/>
        <s v="KYZ25013"/>
        <s v="LP1753074318762"/>
        <s v="KYJY25010A"/>
        <s v="KYJZ25010A"/>
        <s v="LP1752980767461"/>
        <s v="LP17530050182193"/>
        <s v="LP17530049852189"/>
        <s v="ZVVA26001"/>
        <s v="LP1752894699470"/>
        <s v="2745984"/>
        <s v="2748476"/>
        <s v="WYS25031"/>
        <s v="LP17529274032647"/>
        <s v="LP17529278502674"/>
        <s v="WYF25035"/>
        <s v="LP1752805532290"/>
        <s v="LP1752811817703"/>
        <s v="LP17527494072295"/>
        <s v="LP1752723764664"/>
        <s v="LP1752723782666"/>
        <s v="YKS25005"/>
        <s v="LP17526639382637"/>
        <s v="LP17526480711257"/>
        <s v="WYFE26017"/>
        <s v="WYFE26018"/>
        <s v="LP17525666902089"/>
        <s v="YKF25002"/>
        <s v="WYP27010"/>
        <s v="WYP27012"/>
        <s v="WYP27011"/>
        <s v="LP1752459710275"/>
        <s v="LP1752459537260"/>
        <s v="WYF25031"/>
        <s v="KYZ25011"/>
        <s v="KYJZ25012"/>
        <s v="KYJY25012"/>
        <s v="WYFP26012"/>
        <s v="WYFP26011"/>
        <s v="LP1752374045506"/>
        <s v="KYJY25017"/>
        <s v="KYJZ25017"/>
        <s v="KYZ25016"/>
        <s v="WYE27025"/>
        <s v="WYP27003"/>
        <s v="WYP27002"/>
        <s v="WYE27002"/>
        <s v="WYP27001"/>
        <s v="LP17523940532344"/>
        <s v="WYSJ25033"/>
        <s v="WYM26033"/>
        <s v="WYM26031"/>
        <s v="WYM26032"/>
        <s v="88632204519"/>
        <s v="LP17522988471180"/>
        <s v="LP17523130862534"/>
        <s v="LP1752285850224"/>
        <s v="LP17523030591529"/>
        <s v="LP17521320771392"/>
        <s v="LP1752113885318"/>
        <s v="LP17519764982835"/>
        <s v="LP17519540141265"/>
        <s v="WYE26077"/>
        <s v="WYP26064"/>
        <s v="WYE26076"/>
        <s v="WYP26065"/>
        <s v="WYP26066"/>
        <s v="WYE26078"/>
        <s v="LP1751852445205"/>
        <s v="ZVVB26001"/>
        <s v="LP1751866982837"/>
        <s v="LP1751866889827"/>
        <s v="YKMJ25001"/>
        <s v="WYE27001"/>
        <s v="WYE26079"/>
        <s v="WYE26080"/>
        <s v="LP17517854151719"/>
        <s v="LP17517074452164"/>
        <s v="2745975"/>
        <s v="WYHP26002"/>
        <s v="WYHP2605"/>
        <s v="KYJZ25016"/>
        <s v="LP17517200863032"/>
        <s v="LP1751680855254"/>
        <s v="LP1751680855253"/>
        <s v="LP1751689396864"/>
        <s v="WYHE26005"/>
        <s v="WYHE26007"/>
        <s v="WYHM26002"/>
        <s v="WYHM2604"/>
        <s v="LP1751597842436"/>
        <s v="LP17516123321299"/>
        <s v="WYHP26001"/>
        <s v="LP175134981710872"/>
      </sharedItems>
    </cacheField>
    <cacheField name="班级名称" numFmtId="0">
      <sharedItems containsBlank="1">
        <s v="考研数学无忧计划（27考研/强化）"/>
        <s v="考研政治无忧计划（27考研/强化）"/>
        <s v="考研政治无忧计划（27考研/冲刺）"/>
        <s v="考研英语无忧计划（27考研/英二冲刺）"/>
        <s v="考研英语无忧计划（27考研/英二强化）"/>
        <s v="考研数学无忧计划（27考研/冲刺）"/>
        <s v="考研英语无忧计划（27考研/基础）"/>
        <s v="考研政治无忧计划（27考研/基础）"/>
        <s v="考研数学无忧计划（27考研/基础）"/>
        <s v="考研初试专业课一对一（27考研/无忧30小时）"/>
        <s v="考研数学无忧计划考前突破班（26考研/专项突破）"/>
        <s v="考研政治无忧计划考前突破班（26考研/刷题带背）"/>
        <s v="考研英语无忧计划考前突破班（26考研/英语一）"/>
        <m/>
        <s v="2026考研英语直通车  6期"/>
        <s v="2026考研直通车VIP【计算机】,2026考研英语直通车  6期,2026考研数学直通车 6期,2026考研政治直通车 6期"/>
        <s v="考研英语无忧计划（26考研/英一冲刺）"/>
        <s v="考研英语无忧计划（26考研/英一强化）"/>
        <s v="985院校升级费-无忧"/>
        <s v="2026考研英语全程班 6班"/>
        <s v="2026考研英语一无忧计划·16期,2026考研政治无忧计划·13期,2026考研数学无忧计划·7期"/>
        <s v="2027考研政治直通车 长线2期,2027考研数学直通车 长线2期,2027考研英语直通车  长线2期"/>
        <s v="考研一对一伴学班（26考季）"/>
        <s v="985院校升级费-集训"/>
        <s v="2026考研英语一无忧计划·16期,2026考研政治无忧计划·12期"/>
        <s v="2026考研管综全科在校全程班（3期）"/>
        <s v="2027考研政治直通车 长线2期,2027考研英语直通车  长线2期"/>
        <s v="考研英语无忧计划（26考研/英二冲刺）"/>
        <s v="考研英语无忧计划（26考研/英二强化）"/>
        <s v="2026考研直通车VIP【计算机】"/>
        <s v="2026考研英语直通车  6期,2026考研政治直通车 6期,2026考研教育硕士（333）直通车VIP 暑期班"/>
        <s v="考研初试专业课一对一（26考研/集训50小时）"/>
        <s v="2027考研教育硕士（333）直通车VIP,2027考研政治无忧计划·3期,2027考研英语二无忧计划·2期"/>
        <s v="2027考研专业课定制一对一（30h）-A班"/>
        <s v="2026考研政治全程班 6班,2026考研英语全程班 6班,2026考研数学全程班 6班,2026考研政英数管综全程班重读权益（标准版）"/>
        <s v="2026考研管综全科在职畅学班（4期）"/>
        <s v="2026考研英语直通车  6期,2026考研政治直通车 6期"/>
        <s v="26考研政治全程集训营（寒暑）"/>
        <s v="26考研英语全程集训营（寒暑）"/>
        <s v=" 26考研政治全程集训营（寒暑）"/>
        <s v="2026考研数学直通车 6期,2026考研政治直通车 6期"/>
        <s v="考研初试专业课一对一伴学班（管综-26考季）"/>
        <s v="26考研一对一伴学（无忧）"/>
        <s v="2026考研政治全程班 6班,2026考研英语全程班 6班"/>
        <s v="考研专业课匹配费"/>
        <s v="考研专业课匹配费-集训"/>
        <s v="27考研大二集训营（住宿费）"/>
        <s v="27考研政治寒暑集训营"/>
        <s v="27考研寒暑集训营（英政-住宿费）"/>
        <s v="27考研英语寒暑集训营"/>
        <s v="27考研英语大二集训营"/>
        <s v="六级无忧计划"/>
        <s v="考研初试专业课一对一（27考研/集训50小时）"/>
        <s v="考研政治无忧计划蜂鸟（26考研/冲刺）"/>
        <s v="考研政治无忧计划蜂鸟（26考研/强化）"/>
        <s v="考研初试专业课一对一（26考研/无忧30小时）"/>
        <s v="四级无忧计划"/>
        <s v="四级无忧计划（新大一专属）"/>
        <s v="六级无忧计划（新大一专属）"/>
        <s v="考研专业课无忧计划（27考研/199管综）"/>
        <s v="四级精英计划"/>
        <s v="考研英语无忧计划蜂鸟（26考研/英二强化）"/>
        <s v="考研数学无忧计划蜂鸟（26考研/冲刺）"/>
        <s v="考研英语无忧计划蜂鸟（26考研/英二冲刺）"/>
        <s v="考研数学无忧计划蜂鸟（26考研/强化）"/>
        <s v="27考研一对一伴学(30小时/无忧)"/>
        <s v="27考研数学寒暑集训营"/>
        <s v="27考研寒暑集训营（英政数-住宿费）"/>
        <s v="27考研数学大二集训营"/>
        <s v="考研初试专业课一对一（27考研/集训30小时）"/>
        <s v="四级一对一畅学班（50H）"/>
        <s v="26考研英语半年集训营（基础/七月）"/>
        <s v="26考研政治半年集训营（基础/七月）"/>
        <s v="26考研英语半年集训营（强冲/英语二）"/>
        <s v="26考研政治半年集训营（强冲）"/>
        <s v="26考研半年集训营（住宿费/七月）"/>
        <s v="26考研英语半年集训营（强冲/英语一）"/>
        <s v="大学数学一对一伴学班"/>
        <s v="考研初试专业课一对一（26考季/10小时）"/>
        <s v="四级暑假集训营（24H冲刺直播）"/>
        <s v="清北院校升级费"/>
        <s v="北京中心菁英计划 菁英A计划（英政数）"/>
        <s v="北京中心菁英计划 菁英计划（专业课30h）"/>
        <s v="取消四级无忧计划"/>
        <s v="26考研一对一伴学（50h/无忧）"/>
        <s v="26考研一对一（限时活动）"/>
        <s v="考研初试专业课一对一（26考研/无忧经综）"/>
        <s v="考研初试专业课一对一（26考研/集训10小时）"/>
        <s v="六级精英计划（新大一专属）"/>
        <s v="考研一对一伴学班（定制/26考季）"/>
        <s v="考研英语无忧计划蜂鸟（26考研/英一强化）"/>
        <s v="考研英语无忧计划蜂鸟（26考研/英一冲刺）"/>
        <s v="考研初试专业课一对一（27考研/无忧50小时）"/>
        <s v="26考研英语OMO全程集训营（政英二联报）"/>
        <s v="26考研政治OMO全程集训营（政英联报）"/>
        <s v="26考研OMO全程集训营（住宿费/政英）"/>
        <s v="考研英语无忧计划（27考研/英一冲刺）"/>
        <s v="考研英语无忧计划（27考研/英一强化）"/>
        <s v="考研数学无忧计划（26考研/冲刺）"/>
        <s v="考研数学无忧计划（26考研/基础）"/>
        <s v="考研数学无忧计划（26考研/强化）"/>
        <s v="2026考研政治直通车 6期"/>
        <s v="26考研一对一伴学（老带新2H/无忧）"/>
        <s v="考研政治无忧计划（26考研/基础）"/>
        <s v="考研政治无忧计划（26考研/强化）"/>
        <s v="考研政治无忧计划（26考研/冲刺）"/>
        <s v="考研英语无忧计划（26考研/基础）"/>
        <s v="六级暑假集训营（24H冲刺直播）"/>
        <s v="大学预科数学（线上优享/新大一专属）"/>
        <s v="北京中心菁英计划 菁英B计划（英管）"/>
        <s v="考研政治无忧计划候鸟（26考研/冲刺）"/>
        <s v="考研政治无忧计划候鸟（26考研/基础强化）"/>
        <s v="985院校升级费"/>
        <s v="考研初试专业课一对一（26考研/30小时）"/>
        <s v="27考研一对一伴学"/>
        <s v="考研英语无忧计划候鸟（26考研/英一冲刺）"/>
        <s v="考研英语无忧计划候鸟（26考研/基础强化）"/>
        <s v="考研数学无忧计划候鸟（26考研/冲刺）"/>
        <s v="考研数学无忧计划候鸟（26考研/基础强化）"/>
      </sharedItems>
    </cacheField>
    <cacheField name="面询表类型" numFmtId="0">
      <sharedItems containsBlank="1">
        <s v="国内考试"/>
        <m/>
      </sharedItems>
    </cacheField>
    <cacheField name="订金" numFmtId="0">
      <sharedItems>
        <s v=""/>
      </sharedItems>
    </cacheField>
    <cacheField name="学费" numFmtId="0">
      <sharedItems containsSemiMixedTypes="0" containsString="0" containsNumber="1">
        <n v="6100"/>
        <n v="3600"/>
        <n v="4275"/>
        <n v="5250"/>
        <n v="6300"/>
        <n v="5400"/>
        <n v="4800"/>
        <n v="6225"/>
        <n v="4350"/>
        <n v="9000"/>
        <n v="7600"/>
        <n v="7100"/>
        <n v="1417.5"/>
        <n v="6791.5"/>
        <n v="17136"/>
        <n v="2965.2"/>
        <n v="2732.2"/>
        <n v="3812.8"/>
        <n v="3177.3"/>
        <n v="3000"/>
        <n v="1096.5"/>
        <n v="24471"/>
        <n v="10855.2"/>
        <n v="11902.8"/>
        <n v="15600"/>
        <n v="1500"/>
        <n v="15651"/>
        <n v="4139.5"/>
        <n v="4443.6"/>
        <n v="5083.7"/>
        <n v="5941.5"/>
        <n v="4232"/>
        <n v="10931"/>
        <n v="10500"/>
        <n v="18805.6"/>
        <n v="11160"/>
        <n v="3348.5"/>
        <n v="5951.4"/>
        <n v="5992.5"/>
        <n v="8464"/>
        <n v="2840"/>
        <n v="3946.5"/>
        <n v="9096.4"/>
        <n v="5141.3"/>
        <n v="11497.4"/>
        <n v="7131.3"/>
        <n v="11867.7"/>
        <n v="7101.4"/>
        <n v="9096.5"/>
        <n v="11729.9"/>
        <n v="7269.5"/>
        <n v="6953"/>
        <n v="3891.1"/>
        <n v="3915"/>
        <n v="-8000"/>
        <n v="8000"/>
        <n v="2023"/>
        <n v="500"/>
        <n v="2720"/>
        <n v="8829.3"/>
        <n v="7040"/>
        <n v="11517.6"/>
        <n v="8019.9"/>
        <n v="3973.2"/>
        <n v="20000"/>
        <n v="6540"/>
        <n v="5760"/>
        <n v="18300"/>
        <n v="17500"/>
        <n v="18400"/>
        <n v="5180"/>
        <n v="33500"/>
        <n v="4880"/>
        <n v="3463.1"/>
        <n v="16597.4"/>
        <n v="5857.9"/>
        <n v="4881.6"/>
        <n v="17800"/>
        <n v="10910.1"/>
        <n v="14349.9"/>
        <n v="103000"/>
        <n v="6228.3"/>
        <n v="3236.1"/>
        <n v="4963.3"/>
        <n v="3205.1"/>
        <n v="6697.2"/>
        <n v="4470"/>
        <n v="4381.5"/>
        <n v="4463.2"/>
        <n v="25500"/>
        <n v="6180"/>
        <n v="32300"/>
        <n v="8067.1"/>
        <n v="17610.4"/>
        <n v="11160.9"/>
        <n v="3557.8"/>
        <n v="9920"/>
        <n v="7781.9"/>
        <n v="11000"/>
        <n v="37500"/>
        <n v="4815"/>
        <n v="3355"/>
        <n v="7825"/>
        <n v="4945"/>
        <n v="10960"/>
        <n v="47650"/>
        <n v="9780"/>
        <n v="6910"/>
        <n v="15450"/>
        <n v="9740"/>
        <n v="21920"/>
        <n v="19500"/>
        <n v="6000"/>
        <n v="15800"/>
        <n v="5000"/>
        <n v="260000"/>
        <n v="12000"/>
        <n v="4535.5"/>
        <n v="8248.9"/>
        <n v="10400.7"/>
        <n v="9154.9"/>
        <n v="21000"/>
        <n v="4335"/>
        <n v="1815"/>
        <n v="39000"/>
        <n v="15500"/>
        <n v="6860"/>
        <n v="21900"/>
        <n v="51850"/>
        <n v="38000"/>
        <n v="69400"/>
        <n v="48600"/>
        <n v="23500"/>
        <n v="5445"/>
        <n v="6705.7"/>
        <n v="4455"/>
        <n v="2694.3"/>
        <n v="12300"/>
        <n v="5680"/>
        <n v="2019.95"/>
        <n v="2943.85"/>
        <n v="2021.7"/>
        <n v="1702.45"/>
        <n v="2979.3"/>
        <n v="2482.75"/>
        <n v="26400"/>
        <n v="12240"/>
        <n v="3298.8"/>
        <n v="4703.7"/>
        <n v="45500"/>
        <n v="14360"/>
        <n v="12500"/>
        <n v="5440"/>
        <n v="6205.7"/>
        <n v="3194.3"/>
        <n v="45900"/>
        <n v="3700"/>
        <n v="5800"/>
        <n v="8800"/>
        <n v="3901.5"/>
        <n v="18800"/>
        <n v="0"/>
        <n v="64600"/>
        <n v="50200"/>
        <n v="4980"/>
        <n v="2400"/>
        <n v="7890.8"/>
        <n v="5514.3"/>
        <n v="6845.4"/>
        <n v="8366.6"/>
        <n v="4563.6"/>
        <n v="4919.3"/>
        <n v="23000"/>
        <n v="259000"/>
        <n v="2748.2"/>
        <n v="6740.1"/>
        <n v="6821.3"/>
        <n v="3410.6"/>
        <n v="3897.9"/>
        <n v="4628.7"/>
        <n v="7146.1"/>
        <n v="4709.9"/>
        <n v="5197.2"/>
        <n v="14050"/>
        <n v="8940"/>
        <n v="6310"/>
        <n v="24800"/>
        <n v="4685.65"/>
        <n v="7560.3"/>
        <n v="12400"/>
        <n v="3248.4"/>
        <n v="4705.65"/>
        <n v="27650"/>
        <n v="3880"/>
        <n v="15750"/>
        <n v="7000"/>
        <n v="8400"/>
        <n v="5900"/>
        <n v="3248.2"/>
        <n v="4697.2"/>
        <n v="4660.6"/>
        <n v="6629.8"/>
        <n v="4425"/>
        <n v="3172.8"/>
        <n v="5408.3"/>
        <n v="3203.5"/>
        <n v="11800"/>
        <n v="125000"/>
        <n v="13800"/>
        <n v="0.1"/>
        <n v="20800"/>
        <n v="1800"/>
        <n v="2000"/>
        <n v="6660.6"/>
        <n v="3408.3"/>
        <n v="16300"/>
        <n v="4366"/>
        <n v="3676.6"/>
        <n v="6357.5"/>
        <n v="14150"/>
        <n v="13200"/>
        <n v="5480"/>
      </sharedItems>
    </cacheField>
    <cacheField name="续费类型" numFmtId="0">
      <sharedItems containsBlank="1">
        <s v="同科续费"/>
        <m/>
        <s v="扩科续费"/>
      </sharedItems>
    </cacheField>
    <cacheField name="推荐人" numFmtId="0">
      <sharedItems>
        <s v="许庆典"/>
        <s v="谭悦"/>
        <s v=""/>
        <s v="马一鸣"/>
        <s v="陈晶"/>
        <s v="司明霞+simingxia@xdf.cn+ID+ 产业机构-前途出国-前途北京公司-行政总经办"/>
        <s v="杨莹莹+yangyingying18@xdf.cn+ID+北京学校-运营管理部-东南区-刘家窑角门分中心"/>
        <s v="李文萱+liwenxuan3@xdf.cn+国际教育培训事业部-国际教育北京中心-运营管理部-运营中心-魏公村分中心"/>
        <s v="乔子恒"/>
        <s v="刘佳林"/>
        <s v="秦胜辉+qinshenghui@xdf.cn+秦胜辉(新东方教育科技集团有限公司-培训学校-北京学校-高中一对一部-西北区-远大路分中心 | 课程顾问)"/>
        <s v="激活"/>
        <s v="死单激活流转赵星火"/>
        <s v="死单激活分配谭悦"/>
        <s v="张里+zhangli438@xdf.cn+ID+培训学校-北京学校-高中一对一部-西北区-知春路分中心"/>
        <s v="徐岩"/>
        <s v="张静"/>
        <s v="李媛62+liyian62@xdf.cn+id+产业机构-前途出国-前途北京公司-英国一部-咨询组"/>
        <s v="史友娟"/>
        <s v="王天义"/>
        <s v="郝琨"/>
        <s v="张泽"/>
        <s v="罗玉骏+luoyujun@xdf.cn+ID+国际教育培训事业部-国际教育北京中心-运营管理部-运营中心-国贸分中心销售一部"/>
        <s v="王婉欣"/>
        <s v="陈号东"/>
        <s v="赵晔轩"/>
        <s v="郭又华"/>
        <s v="李玉迪"/>
        <s v="张琦文"/>
        <s v="陈婷30+chenting30@xdf.cn+ID+培训学校-北京学校-高中一对一部-西北区-知春路分中心"/>
        <s v="王瑞祥+wangruixiang2@xdf.cn+id+产业机构-大学事业部-大学在线-运营部-销售管理部-电销部-电销三组"/>
        <s v="韦艺鑫"/>
        <s v="赵倩竹+zhaoqianzhu@xdf.cn+ID+北京学校-运营管理部-学员服务管理中心-东南区"/>
        <s v="李娜78+lina78@xdf.cn+ID+产业机构-国际教育培训事业部-国际教育北京中心-美研部-服务管理中心-班课项目"/>
        <s v="丁宁+dingning29@xdf.cn+id+培训学校-北京学校-课程服务部-客户联络中心-教学区服务组-第三教学区"/>
      </sharedItems>
    </cacheField>
    <cacheField name="类型" numFmtId="0">
      <sharedItems containsBlank="1">
        <s v="续班"/>
        <s v="新签"/>
        <s v="分单"/>
        <m/>
      </sharedItems>
    </cacheField>
    <cacheField name="是否交接" numFmtId="0">
      <sharedItems>
        <s v="已交接"/>
        <s v="无须交接"/>
        <s v="未交接"/>
      </sharedItems>
    </cacheField>
    <cacheField name="操作人编号" numFmtId="0">
      <sharedItems containsBlank="1">
        <s v="BJWY2101498uW2"/>
        <m/>
        <s v="BJWY24032w1g8X"/>
        <s v="BJWY2306SVFgG7"/>
        <s v="BJWY2011wXCx1W"/>
        <s v="BJWY22035556hl"/>
        <s v="WebReg"/>
        <s v="BJWY25030q8UPI"/>
      </sharedItems>
    </cacheField>
    <cacheField name="学员号" numFmtId="0">
      <sharedItems containsBlank="1">
        <s v="BJWY5113272165"/>
        <s v="BJWY2409130365"/>
        <s v="BJWY4776417923"/>
        <m/>
        <s v="BJWY4049653605"/>
        <s v="BJWY5552920417"/>
        <s v="BJWY0874092650"/>
        <s v="BJWY0787829408"/>
        <s v="BJWY2831358062"/>
        <s v="BJWY2672207145"/>
        <s v="BJWY1749565978"/>
        <s v="BJWY1059344174"/>
        <s v="BJWY6892607576"/>
        <s v="BJWY7087471752"/>
        <s v="BJWY7257773805"/>
        <s v="BJWY4692076178"/>
        <s v="BJWY5564317069"/>
        <s v="BJWY8477545262"/>
        <s v="BJWY9403107977"/>
        <s v="BJWY7720709766"/>
        <s v="BJWY9471012532"/>
        <s v="BJWY4575181473"/>
        <s v="BJWY1292748225"/>
        <s v="BJWY8544603962"/>
        <s v="BJWY9988220339"/>
        <s v="BJWY3595874926"/>
        <s v="BJWY5939288313"/>
        <s v="BJWY9593581465"/>
        <s v="BJWY9620552065"/>
        <s v="BJWY3742941733"/>
        <s v="BJWY6116314693"/>
        <s v="BJWY0003454777"/>
        <s v="BJWY6462703641"/>
        <s v="BJWY3595058331"/>
        <s v="BJWY2429463589"/>
        <s v="BJWY6043524828"/>
        <s v="BJWY2747091394"/>
        <s v="BJWY7962337670"/>
        <s v="BJWY6455902545"/>
        <s v="BJWY2399718106"/>
        <s v="XDF3140342751"/>
        <s v="BJWY1792811322"/>
        <s v="BJWY0020300264"/>
        <s v="BJWY9829788936"/>
        <s v="BJWY1044580389"/>
        <s v="BJWY6398433958"/>
        <s v="BJWY6350503751"/>
        <s v="BJWY7517054371"/>
        <s v="BJWY2929284490"/>
        <s v="BJWY5645379088"/>
        <s v="BJWY9098738950"/>
        <s v="BJWY7391608980"/>
        <s v="BJWY4116308585"/>
        <s v="BJWY8496294147"/>
        <s v="BJWY9142571360"/>
        <s v="BJWY4116354975"/>
        <s v="BJWY5810617539"/>
        <s v="BJWY0583022130"/>
        <s v="BJWY6850865951"/>
        <s v="BJWY6032294372"/>
        <s v="BJWY5825539586"/>
        <s v="BJWY5684155193"/>
        <s v="BJWY0479852281"/>
        <s v="BJWY2377697031"/>
        <s v="BJWY3086891052"/>
        <s v="BJWY1348191549"/>
        <s v="BJWY7441851260"/>
        <s v="BJWY5668163432"/>
        <s v="BJWY4947069192"/>
        <s v="BJWY6072756188"/>
        <s v="BJWY8522531659"/>
        <s v="BJWY2816785503"/>
        <s v="BJWY5417512849"/>
        <s v="BJWY1550131227"/>
        <s v="BJWY1439560063"/>
        <s v="BJWY2715131077"/>
        <s v="BJWY3197958910"/>
        <s v="BJWY2909848959"/>
        <s v="BJWY1221102855"/>
        <s v="BJWY9160783370"/>
        <s v="BJWY2892248355"/>
        <s v="BJWY9998773938"/>
        <s v="BJWY6088825240"/>
        <s v="BJWY5015740499"/>
        <s v="BJWY9963707617"/>
        <s v="BJWY4001339264"/>
        <s v="BJWY3770738344"/>
        <s v="BJWY9513852410"/>
        <s v="BJWY5189064803"/>
        <s v="BJWY0504283396"/>
        <s v="BJWY3603642432"/>
        <s v="BJWY1980732630"/>
        <s v="BJWY0421882534"/>
        <s v="BJWY9038592627"/>
        <s v="BJWY1991567015"/>
        <s v="BJWY5719700060"/>
        <s v="BJWY5281833800"/>
        <s v="XDF062216194338377"/>
        <s v="BJWY0356425382"/>
        <s v="XDF2606177452"/>
        <s v="BJWY2315098761"/>
        <s v="BJWY1247211304"/>
        <s v="BJWY0081857602"/>
        <s v="BJWY4925013491"/>
        <s v="BJWY7775502582"/>
      </sharedItems>
    </cacheField>
    <cacheField name="听课证号" numFmtId="0">
      <sharedItems containsBlank="1">
        <s v="WYM270020036"/>
        <s v="WYP270050012"/>
        <s v="WYP270060012"/>
        <s v="WYE270260019"/>
        <s v="WYE270040026"/>
        <s v="WYM270100025"/>
        <s v="WYE270060023"/>
        <s v="WYP270040012"/>
        <s v="WYM270010036"/>
        <m/>
        <s v="GWYM260010002"/>
        <s v="GWYP260010005"/>
        <s v="GWYE260010003"/>
        <s v="WYE260030072"/>
        <s v="WYE260020071"/>
        <s v="WYE260260066"/>
        <s v="WYE260270064"/>
        <s v="WYE260290065"/>
        <s v="WYE260280066"/>
        <s v="WYE260040069"/>
        <s v="WYE260050071"/>
        <s v="KYJZ250040053"/>
        <s v="KYJY250040053"/>
        <s v="KYJZ250150045"/>
        <s v="KYJY250150044"/>
        <s v="KYJZ250030088"/>
        <s v="KYJY250030089"/>
        <s v="KYJZ250040054"/>
        <s v="KYJY250040054"/>
        <s v="KYJZ250040055"/>
        <s v="KYJY250040055"/>
        <s v="KYJZ250040047"/>
        <s v="KYJY250040047"/>
        <s v="KYJY250030101"/>
        <s v="KYJZ250030100"/>
        <s v="WYE270180013"/>
        <s v="WYE270060017"/>
        <s v="KYZ260010069"/>
        <s v="KYJZ260030017"/>
        <s v="KYZ260030017"/>
        <s v="KYJY260030017"/>
        <s v="KYJY260010068"/>
        <s v="WYS250350061"/>
        <s v="WYFP260100026"/>
        <s v="WYFP260090026"/>
        <s v="YKF250070005"/>
        <s v="YKF250030056"/>
        <s v="YKS250030021"/>
        <s v="WYE270180014"/>
        <s v="WYZ270010011"/>
        <s v="WYE270160037"/>
        <s v="WYE270300024"/>
        <s v="WYF250390008"/>
        <s v="KYZ260030015"/>
        <s v="KYJZ260030015"/>
        <s v="KYJY260030015"/>
        <s v="WYFE260190008"/>
        <s v="WYFM260100016"/>
        <s v="WYFP260100023"/>
        <s v="WYFE260200008"/>
        <s v="WYFM260090016"/>
        <s v="WYFP260090023"/>
        <s v="WYE270260016"/>
        <s v="WYE270040023"/>
        <s v="WYZ270020008"/>
        <s v="WYE270060021"/>
        <s v="WYS250350046"/>
        <s v="KYJZ260020030"/>
        <s v="KYJS260020030"/>
        <s v="KYJY260020030"/>
        <s v="WYSJ250400010"/>
        <s v="KYZ260020030"/>
        <s v="KYJS260010033"/>
        <s v="KYZ260010062"/>
        <s v="KYJY260010061"/>
        <s v="WYS250350044"/>
        <s v="KYJY250130009"/>
        <s v="KYJZ250130009"/>
        <s v="KYJY25013A0082"/>
        <s v="KYJZ25013A0066"/>
        <s v="KYZ250130009"/>
        <s v="KYJY250130008"/>
        <s v="KYJZ250130008"/>
        <s v="KYJY25010A0070"/>
        <s v="KYJZ25010A0069"/>
        <s v="KYZ250130008"/>
        <s v="ZVVA260010052"/>
        <s v="108274598400000002"/>
        <s v="108274847600000007"/>
        <s v="KYZ260010059"/>
        <s v="WYS250310066"/>
        <s v="KYZ260030012"/>
        <s v="KYJZ260030012"/>
        <s v="KYJY260030012"/>
        <s v="KYJY260010058"/>
        <s v="KYJY250130006"/>
        <s v="KYJY25013A0081"/>
        <s v="KYJZ25013A0065"/>
        <s v="KYJZ250130006"/>
        <s v="KYZ250130006"/>
        <s v="WYFE260190006"/>
        <s v="WYFE260200006"/>
        <s v="WYF250350010"/>
        <s v="KYJY25010A0067"/>
        <s v="KYJZ250130003"/>
        <s v="KYJZ25010A0066"/>
        <s v="KYZ250130003"/>
        <s v="KYJY250130003"/>
        <s v="YKS250050003"/>
        <s v="WYF250350005"/>
        <s v="WYFP260100013"/>
        <s v="WYFE260170011"/>
        <s v="WYFP260090013"/>
        <s v="WYFE260180011"/>
        <s v="YKF250020023"/>
        <s v="WYE270180008"/>
        <s v="WYP270100040"/>
        <s v="WYP270120040"/>
        <s v="WYP270110040"/>
        <s v="WYE270160031"/>
        <s v="WYE270300018"/>
        <s v="WYF250310053"/>
        <s v="KYJY25010A0065"/>
        <s v="KYZ250110075"/>
        <s v="KYJZ250120069"/>
        <s v="KYJY250120077"/>
        <s v="KYJZ25010A0064"/>
        <s v="WYFP260120008"/>
        <s v="WYFP260110008"/>
        <s v="KYJY250170078"/>
        <s v="KYJZ250170054"/>
        <s v="KYZ250160106"/>
        <s v="WYE270250025"/>
        <s v="WYP270030050"/>
        <s v="WYP270020050"/>
        <s v="WYE270020042"/>
        <s v="WYP270010050"/>
        <s v="WYM270100017"/>
        <s v="WYM270010027"/>
        <s v="WYE270060010"/>
        <s v="WYM270020027"/>
        <s v="WYSJ250330069"/>
        <s v="WYFE260190004"/>
        <s v="WYFE260200004"/>
        <s v="WYFP260100011"/>
        <s v="WYFP260090011"/>
        <s v="WYM260330054"/>
        <s v="WYM260310053"/>
        <s v="WYM260320053"/>
        <s v="WYSJ250330062"/>
        <s v="WYP270010048"/>
        <s v="WYM270010025"/>
        <s v="WYM270100015"/>
        <s v="WYM270020025"/>
        <s v="WYP270020048"/>
        <s v="WYP270030048"/>
        <s v="WYSJ250330055"/>
        <s v="108274598400000001"/>
        <s v="108274847600000006"/>
        <s v="WYE260770034"/>
        <s v="WYP260640029"/>
        <s v="WYE260760034"/>
        <s v="WYM260330047"/>
        <s v="WYP260650029"/>
        <s v="WYP260660029"/>
        <s v="WYM260320046"/>
        <s v="WYM260310046"/>
        <s v="WYE260780033"/>
        <s v="KYJY25013A0074"/>
        <s v="KYJZ25013A0059"/>
        <s v="KYJY250120069"/>
        <s v="KYJZ250120061"/>
        <s v="KYZ250110067"/>
        <s v="ZVVB260010039"/>
        <s v="KYJZ25013A0058"/>
        <s v="KYJY25013A0073"/>
        <s v="KYZ250110066"/>
        <s v="KYJZ250120060"/>
        <s v="KYJY250120068"/>
        <s v="YKMJ250010016"/>
        <s v="WYE270250020"/>
        <s v="WYE270020037"/>
        <s v="WYE270010049"/>
        <s v="WYE260790004"/>
        <s v="WYP260650025"/>
        <s v="WYM260330046"/>
        <s v="WYP260640025"/>
        <s v="WYM260310045"/>
        <s v="WYM260320045"/>
        <s v="WYE260800004"/>
        <s v="WYE260780030"/>
        <s v="WYP260660025"/>
        <s v="WYFE260190002"/>
        <s v="WYFM260090010"/>
        <s v="WYFP260090008"/>
        <s v="WYFE260200002"/>
        <s v="WYFP260100008"/>
        <s v="WYFM260100010"/>
        <s v="108274597500000003"/>
        <s v="YKS250030002"/>
        <s v="WYHP260020107"/>
        <s v="WYHP26050057"/>
        <s v="KYJZ250160056"/>
        <s v="WYHE260050095"/>
        <s v="WYHE260070012"/>
        <s v="WYHM260020075"/>
        <s v="WYHM26040035"/>
        <s v="ZVVA260010030"/>
        <s v="WYFE260170007"/>
        <s v="WYFM260100008"/>
        <s v="WYFP260100006"/>
        <s v="WYFP260090006"/>
        <s v="WYFM260090008"/>
        <s v="WYFE260180007"/>
        <s v="ZVVA260010029"/>
        <s v="WYP260660017"/>
        <s v="WYP260650017"/>
        <s v="WYP260640017"/>
        <s v="WYHP260010052"/>
        <s v="WYHP260020102"/>
        <s v="WYF250310035"/>
      </sharedItems>
    </cacheField>
    <cacheField name="报班日期" numFmtId="0">
      <sharedItems containsBlank="1">
        <s v="2025-07-31"/>
        <m/>
        <s v="2025-07-30"/>
        <s v="2025-07-29"/>
        <s v="2025-07-26"/>
        <s v="2025-07-24"/>
        <s v="2025-07-21"/>
        <s v="2025-07-20"/>
        <s v="2025-07-18"/>
        <s v="2025-07-16"/>
        <s v="2025-07-17"/>
        <s v="2025-07-15"/>
        <s v="2025-07-14"/>
        <s v="2025-07-09"/>
        <s v="2025-07-07"/>
        <s v="2025-07-03"/>
        <s v="2025-07-02"/>
        <s v="2025-07-01"/>
        <s v="2025-07-19"/>
        <s v="2025-07-05"/>
        <s v="2025-07-28"/>
        <s v="2025-07-27"/>
        <s v="2025-07-25"/>
        <s v="2025-07-23"/>
        <s v="2025-07-22"/>
        <s v="2025-07-13"/>
        <s v="2025-07-12"/>
        <s v="2025-07-11"/>
        <s v="2025-07-10"/>
        <s v="2025-07-08"/>
        <s v="2025-07-06"/>
        <s v="2025-07-04"/>
      </sharedItems>
    </cacheField>
    <cacheField name="学员状态" numFmtId="0">
      <sharedItems containsBlank="1" containsString="0" containsNonDate="0">
        <m/>
      </sharedItems>
    </cacheField>
    <cacheField name="回访记录" numFmtId="0">
      <sharedItems longText="1">
        <s v="回访人：谭悦，回访时间：2025-07-31 20:06，回访内容：27考研  "/>
        <s v="回访人：谭悦，回访时间：2025-07-31 12:15，回访内容：26考研，英语政治刚开始备考，考虑上课学习  ；|回访人：谭悦，回访时间：2025-07-31 19:51，回访内容：签约 "/>
        <s v="回访人：高龙明，回访时间：2025-07-31 18:11，回访内容：转；|回访人：高龙明，回访时间：2025-07-31 18:11，回访内容：报；|回访人：高龙明，回访时间：2025-07-31 18:19，回访内容：高龙明进行了退单操作!(本条回访记录由系统自动记录)"/>
        <s v="回访人：谭悦，回访时间：2025-07-24 21:34，回访内容：微信跟进中 考研学习  ；|回访人：谭悦，回访时间：2025-07-30 16:42，回访内容：不回复消息  ；|回访人：吴凯龙，回访时间：2025-07-31 13:30，回访内容：吴凯龙恢复工单, 系统自动生成回访记录!；|回访人：谭悦，回访时间：2025-07-31 14:11，回访内容：1"/>
        <s v="回访人：赵星火，回访时间：2025-07-31 20:01，回访内容：签约"/>
        <s v="回访人：谭悦，回访时间：2025-07-30 18:55，回访内容：转班；|回访人：谭悦，回访时间：2025-07-30 18:55，回访内容：1"/>
        <s v="回访人：赵星火，回访时间：2025-07-30 17:05，回访内容：1；|回访人：赵星火，回访时间：2025-07-30 17:06，回访内容：1"/>
        <s v="回访人：谭悦，回访时间：2025-07-30 13:38，回访内容：1"/>
        <s v="回访人：赵星火，回访时间：2025-07-27 14:45，回访内容：联系不上学生微信上问下给到课程介绍跟进中；|回访人：赵星火，回访时间：2025-07-28 14:49，回访内容：跟进学生情况这边继续维护学生跟进中。；|回访人：赵星火，回访时间：2025-07-30 12:47，回访内容：1"/>
        <s v="回访人：赵星火，回访时间：2025-07-28 14:14，回访内容：基础薄弱这边想要考研，刚才开始准备，集训价格高，推荐线上小班课程继续维护中。"/>
        <s v="回访人：高龙明，回访时间：2025-07-30 18:41，回访内容：转；|回访人：高龙明，回访时间：2025-07-30 18:41，回访内容：报"/>
        <s v="回访人：赵星火，回访时间：2025-07-17 19:43，回访内容：电话呼出联系不上，微信继续问一下情况；|回访人：赵星火，回访时间：2025-07-20 16:04，回访内容：表示还没确定确定了这边再说跟进中。；|回访人：赵星火，回访时间：2025-07-23 16:16，回访内容：对比海文和新东方跟进学生情况中继续维护学生；|回访人：赵星火，回访时间：2025-07-25 19:43，回访内容：表示明后天这边确定一下跟进中继续维护中。；|回访人：赵星火，回访时间：2025-07-26 13:57，回访内容：1"/>
        <s v="回访人：谭悦，回访时间：2025-07-20 18:25，回访内容：跟进续费中 "/>
        <s v="回访人：谭悦，回访时间：2025-07-21 16:03，回访内容：1"/>
        <s v="回访人：谭悦，回访时间：2025-07-20 15:00，回访内容：打电话非常强势，问英语政治，加微信叫温柔 ；|回访人：谭悦，回访时间：2025-07-21 16:02，回访内容：1"/>
        <s v="回访人：谭悦，回访时间：2025-07-20 15:31，回访内容：马上过来面谈 ；|回访人：谭悦，回访时间：2025-07-20 18:20，回访内容：签约"/>
        <s v="回访人：谭悦，回访时间：2025-07-14 18:14，回访内容：人工智能，电子信息，27考研，学生想上网课  ；|回访人：谭悦，回访时间：2025-07-15 16:50，回访内容：考虑网课学习   ；|回访人：赵星火，回访时间：2025-07-18 13:57，回访内容：1"/>
        <s v="回访人：赵星火，回访时间：2025-07-23 14:21，回访内容：1；|回访人：赵星火，回访时间：2025-07-23 14:21，回访内容：1"/>
        <s v="回访人：谭悦，回访时间：2025-07-16 13:22，回访内容：1；|回访人：谭悦，回访时间：2025-07-16 13:25，回访内容：1"/>
        <s v="回访人：谭悦，回访时间：2025-07-16 14:28，回访内容：朋友推荐的直通车，觉得不划算，想要暑假自学，秋季报线下课  ；|回访人：谭悦，回访时间：2025-07-16 21:13，回访内容：1；|回访人：谭悦，回访时间：2025-07-16 21:14，回访内容：谭悦进行了退单操作!(本条回访记录由系统自动记录)；|回访人：刘欢，回访时间：2025-07-16 21:21，回访内容：1"/>
        <s v="回访人：谭悦，回访时间：2025-07-16 16:26，回访内容：1；|回访人：谭悦，回访时间：2025-07-16 16:27，回访内容：1"/>
        <s v="回访人：谭悦，回访时间：2025-07-15 10:14，回访内容：1；|回访人：谭悦，回访时间：2025-07-15 11:57，回访内容：1"/>
        <s v="回访人：谭悦，回访时间：2025-07-13 11:51，回访内容：微信跟进中   准备报在线课，沟通优惠方案  ；|回访人：谭悦，回访时间：2025-07-14 11:00，回访内容：微信跟进中，考研学习  准备报名在线班  "/>
        <s v="回访人：谭悦，回访时间：2025-07-04 21:56，回访内容：不回消息  ；|回访人：杨沫，回访时间：2025-07-10 11:00，回访内容：杨沫恢复工单, 系统自动生成回访记录!；|回访人：谭悦，回访时间：2025-07-10 11:02，回访内容：1报网课 "/>
        <s v="回访人：赵星火，回访时间：2025-07-06 16:45，回访内容：下载内蒙，现在是中外核办，后期很多学生想要出国，但自己计划考研，关注就业比较好的，以考研为主就行，倾向于本校推荐冲刺高一点的学校院校专业建议在下学校导师课程推荐直通车，专业课暂时不考虑7月19号"/>
        <s v=""/>
        <s v="回访人：谭悦，回访时间：2025-07-03 13:10，回访内容：签约 ；|回访人：谭悦，回访时间：2025-07-03 13:11，回访内容：1"/>
        <s v="回访人：徐健坤，回访时间：2025-06-30 23:20，回访内容：基础不好 自制性一般 家长想让孩子稳妥的通过四级 明后天决定；|回访人：徐健坤，回访时间：2025-07-02 22:46，回访内容：签约"/>
        <s v="回访人：谭悦，回访时间：2025-07-03 23:12，回访内容：1；|回访人：谭悦，回访时间：2025-07-03 23:13，回访内容：1"/>
        <s v="回访人：赵星火，回访时间：2025-07-05 10:54，回访内容：1；|回访人：赵星火，回访时间：2025-07-05 10:55，回访内容：1"/>
        <s v="回访人：谭悦，回访时间：2025-07-04 18:25，回访内容：1；|回访人：谭悦，回访时间：2025-07-04 18:29，回访内容：1"/>
        <s v="回访人：谭悦，回访时间：2025-07-04 18:25，回访内容：1；|回访人：谭悦，回访时间：2025-07-04 18:26，回访内容：1"/>
        <s v="回访人：谭悦，回访时间：2025-07-04 18:24，回访内容：1；|回访人：谭悦，回访时间：2025-07-04 18:31，回访内容：1"/>
        <s v="回访人：谭悦，回访时间：2025-07-04 18:25，回访内容：1；|回访人：谭悦，回访时间：2025-07-04 18:30，回访内容：1"/>
        <s v="回访人：谭悦，回访时间：2025-07-04 18:23，回访内容：1；|回访人：谭悦，回访时间：2025-07-04 18:23，回访内容：1"/>
        <s v="回访人：谭悦，回访时间：2025-07-25 09:42，回访内容：1；|回访人：谭悦，回访时间：2025-07-26 15:14，回访内容：微信跟进中，考研学校  "/>
        <s v="回访人：谭悦，回访时间：2025-07-25 20:47，回访内容：1；|回访人：谭悦，回访时间：2025-07-25 20:47，回访内容：1"/>
        <s v="回访人：谭悦，回访时间：2025-07-20 13:04，回访内容：1；|回访人：谭悦，回访时间：2025-07-20 13:05，回访内容：1"/>
        <s v="回访人：系统管理员，回访时间：2025-07-18 10:55，回访内容：学生转产品转入，创建续费工单。"/>
        <s v="回访人：谭悦，回访时间：2025-07-07 10:49，回访内容：在职研究生，了解英语政治网课，全程班，加微信了 ，任杰"/>
        <s v="回访人：谭悦，回访时间：2025-07-05 16:43，回访内容：1"/>
        <s v="回访人：谭悦，回访时间：2025-07-01 10:46，回访内容：升级费500"/>
        <s v="回访人：赵星火，回访时间：2025-07-26 11:29，回访内容：跟进学生情况中这边继续维护学生考虑中，跟进中；|回访人：赵星火，回访时间：2025-07-26 16:18，回访内容：面谈了这边继续维护学生情况周一要再来一次跟进中；|回访人：赵星火，回访时间：2025-07-28 14:57，回访内容：表示30号这边再来校区咨询看下时间安排继续维护中，维护跟进中"/>
        <s v="回访人：赵星火，回访时间：2025-07-24 20:51，回访内容：跟进学生情况中这边继续维护学生考虑继续维护。；|回访人：赵星火，回访时间：2025-07-28 17:05，回访内容：联系不上学生再次确认下学生情况这边继续维护中。"/>
        <s v="回访人：谭悦，回访时间：2025-07-21 18:56，回访内容：家长还要等一段时间再说   ；|回访人：谭悦，回访时间：2025-07-28 16:22，回访内容：不回复  不着急   "/>
        <s v="回访人：谭悦，回访时间：2025-07-24 21:35，回访内容：1"/>
        <s v="回访人：谭悦，回访时间：2025-07-26 21:15，回访内容：1；|回访人：谭悦，回访时间：2025-07-26 21:16，回访内容：1"/>
        <s v="回访人：赵星火，回访时间：2025-07-19 19:50，回访内容：24号放假这边还是确定不下来跟进中；|回访人：赵星火，回访时间：2025-07-25 20:32，回访内容：推荐课程课时中这边继续维护跟进中继续维护"/>
        <s v="回访人：赵星火，回访时间：2025-07-25 20:05，回访内容：120分以上跟进中计划报名；|回访人：赵星火，回访时间：2025-07-26 10:19，回访内容：1"/>
        <s v="回访人：谭悦，回访时间：2025-07-21 19:10，回访内容：微信跟进中，27考研的课程  ；|回访人：谭悦，回访时间：2025-07-26 15:07，回访内容：1"/>
        <s v="回访人：谭悦，回访时间：2025-07-26 21:18，回访内容：1；|回访人：谭悦，回访时间：2025-07-26 21:18，回访内容：1"/>
        <s v="回访人：谭悦，回访时间：2025-07-16 20:29，回访内容：考虑报寒暑营，英语政治，寒假上课   ；|回访人：谭悦，回访时间：2025-07-23 16:13，回访内容：同学也报名了，跟进中   ；|回访人：谭悦，回访时间：2025-07-25 19:20，回访内容：准备报名 "/>
        <s v="回访人：赵星火，回访时间：2025-07-25 10:10，回访内容：1；|回访人：赵星火，回访时间：2025-07-25 14:22，回访内容：跟进课时方案中继续维护学生情况考虑中。"/>
        <s v="回访人：谭悦，回访时间：2025-07-20 09:53，回访内容：微信跟进中，考研学习  问半年营  ；|回访人：谭悦，回访时间：2025-07-22 17:08，回访内容：微信跟进中，蜂鸟班；|回访人：谭悦，回访时间：2025-07-24 16:55，回访内容：签约 "/>
        <s v="回访人：赵星火，回访时间：2025-07-23 16:17，回访内容：咨询考研规划明天下午过来校区跟进中；|回访人：赵星火，回访时间：2025-07-24 15:57，回访内容：签约"/>
        <s v="回访人：赵星火，回访时间：2025-07-23 11:15，回访内容：1"/>
        <s v="回访人：赵星火，回访时间：2025-07-18 18:50，回访内容：电话呼出联系联系不上，谭悦老师跟进中。；|回访人：赵星火，回访时间：2025-07-21 20:46，回访内容：长期联系不上不回复，再次跟进中"/>
        <s v="回访人：谭悦，回访时间：2025-07-19 11:10，回访内容：考虑报名27考研暑寒暑集训  ；|回访人：谭悦，回访时间：2025-07-23 18:47，回访内容：1"/>
        <s v="回访人：谭悦，回访时间：2025-07-17 12:15，回访内容：学生拖着 不回复不确定报不报呢  "/>
        <s v="回访人：赵星火，回访时间：2025-07-21 19:08，回访内容：联系不上发送微信跟进中这边继续维护学生情况；|回访人：赵星火，回访时间：2025-07-22 10:42，回访内容：邀约试听时间跟进中继续维护学生考虑。"/>
        <s v="回访人：赵星火，回访时间：2025-07-20 20:50，回访内容：咨询四级一对一推荐50小时，想要好老师跟进中；|回访人：赵星火，回访时间：2025-07-21 11:21，回访内容：已经发送合同和课程缴费二维码等待报名中"/>
        <s v="回访人：赵星火，回访时间：2025-07-21 20:18，回访内容：咨询六级费用跟进中继续维护学生。；|回访人：赵星火，回访时间：2025-07-22 09:32，回访内容：1"/>
        <s v="回访人：谭悦，回访时间：2025-07-12 19:49，回访内容：微信跟进中，考研学习 邀约  ；|回访人：谭悦，回访时间：2025-07-20 14:00，回访内容：今天来校区， 找秋雨老师沟通 一起跟进 ；|回访人：谭悦，回访时间：2025-07-21 14:03，回访内容：签约"/>
        <s v="回访人：高龙明，回访时间：2025-07-21 16:21，回访内容：转"/>
        <s v="回访人：赵星火，回访时间：2025-07-17 18:22，回访内容：之前考过，志气啊英语政治都是54分，现在帮妹妹咨询的，想要学习氛围的集训，关注7月30的，要看下师资 课表，有自己的想法，考北大社科类的专业；|回访人：赵星火，回访时间：2025-07-18 15:05，回访内容：跟进学生情况给到课程的介绍，继续维护中；|回访人：赵星火，回访时间：2025-07-19 15:30，回访内容：电话呼出联系不上，微信给到7月活动23号；|回访人：赵星火，回访时间：2025-07-20 20:46，回访内容：1"/>
        <s v="回访人：赵星火，回访时间：2025-07-11 14:25，回访内容：还没回来这边跟进学生情况这边继续维护中；|回访人：赵星火，回访时间：2025-07-15 21:35，回访内容：跟进学生情况还没回复跟进学生情况中继续维护；|回访人：赵星火，回访时间：2025-07-18 17:51，回访内容：王令昌老师这边明天晚上排课上课，跟进中。"/>
        <s v="回访人：赵星火，回访时间：2025-07-15 11:23，回访内容：跟进学生情况这边看下续费课时跟进中；|回访人：赵星火，回访时间：2025-07-18 16:14，回访内容：周日送孩子过来再次跟进面谈缴费"/>
        <s v="回访人：谭悦，回访时间：2025-07-19 10:11，回访内容：咨询四级集训营 ，沟通中  ；|回访人：谭悦，回访时间：2025-07-19 14:29，回访内容：签约"/>
        <s v="回访人：赵星火，回访时间：2025-07-11 18:37，回访内容：还在确认保研那边情况，这两天再看下情况中；|回访人：赵星火，回访时间：2025-07-14 20:54，回访内容：跟进学生情况这边要等保研那边情况跟进中；|回访人：赵星火，回访时间：2025-07-17 21:51，回访内容：回访现在的时间安排跟进中继续维护。"/>
        <s v="回访人：谭悦，回访时间：2025-07-14 14:25，回访内容：准备来校区面谈沟通  ；|回访人：谭悦，回访时间：2025-07-16 22:43，回访内容：这边准备报名  ；|回访人：谭悦，回访时间：2025-07-17 11:01，回访内容：今天面谈了  面谈完又回去了，说爷爷病了  ；|回访人：谭悦，回访时间：2025-07-19 20:44，回访内容：1签约"/>
        <s v="回访人：谭悦，回访时间：2025-07-17 19:24，回访内容：今年二战，北师大的体育学硕  ；|回访人：谭悦，回访时间：2025-07-18 16:15，回访内容：明天来营地面谈 沟通  ；|回访人：谭悦，回访时间：2025-07-19 20:34，回访内容：签约 "/>
        <s v="回访人：谭悦，回访时间：2025-07-18 13:50，回访内容：下午过来  ；|回访人：谭悦，回访时间：2025-07-19 12:32，回访内容：下午过来，打算报名  ；|回访人：谭悦，回访时间：2025-07-19 14:10，回访内容：签约"/>
        <s v="回访人：谭悦，回访时间：2025-07-18 10:15，回访内容：1；|回访人：谭悦，回访时间：2025-07-18 15:01，回访内容：签约"/>
        <s v="回访人：谭悦，回访时间：2025-07-10 18:47，回访内容：微信跟进中，考研续费推荐；|回访人：谭悦，回访时间：2025-07-17 12:16，回访内容：已签协议"/>
        <s v="回访人：谭悦，回访时间：2025-07-14 12:01，回访内容：物理学，英语单科没过线，英一， 32分，国家线34，北工大，高考英语63， 贵州大学211，_x000a_北京孩子，去年有一半时间放在英语上，背单词看题， 听网课，_x000a_20周，按照4小时  ,80小时，  ；|回访人：谭悦，回访时间：2025-07-16 17:11，回访内容：微信跟进中，准备报名啦   ；|回访人：谭悦，回访时间：2025-07-18 14:57，回访内容：签约 "/>
        <s v="回访人：赵星火，回访时间：2025-07-13 16:52，回访内容：表示学管老师先面谈再次跟进学生中继续维护"/>
        <s v="回访人：谭悦，回访时间：2025-07-13 11:05，回访内容：1；|回访人：谭悦，回访时间：2025-07-13 11:08，回访内容：二战，去年考了国家线，考虑封闭集训半年营，；|回访人：谭悦，回访时间：2025-07-16 21:30，回访内容：孩子不学 考虑中  ；|回访人：钱雪冰，回访时间：2025-07-17 17:10，回访内容：22408，建议先按照11来，课程反馈还不错，再去沟通一下。；|回访人：钱雪冰，回访时间：2025-07-18 11:16，回访内容：报名"/>
        <s v="回访人：高龙明，回访时间：2025-07-09 14:18，回访内容：没接；|回访人：高龙明，回访时间：2025-07-11 18:38，回访内容：下周一缴费；|回访人：高龙明，回访时间：2025-07-14 10:16，回访内容：修改标签；|回访人：高龙明，回访时间：2025-07-14 18:47，回访内容：没接；|回访人：高龙明，回访时间：2025-07-15 18:54，回访内容：已储值；|回访人：高龙明，回访时间：2025-07-18 11:16，回访内容：高龙明进行了退单操作!(本条回访记录由系统自动记录)"/>
        <s v="回访人：谭悦，回访时间：2025-07-14 14:02，回访内容：跟进考研一对一，续费  "/>
        <s v="回访人：赵星火，回访时间：2025-07-11 16:34，回访内容：在读学生短期没有课程需求跟进学生考虑中。"/>
        <s v="回访人：赵星火，回访时间：2025-07-16 10:58，回访内容：签约；|回访人：赵星火，回访时间：2025-07-17 11:45，回访内容：1"/>
        <s v="回访人：谭悦，回访时间：2025-07-14 19:18，回访内容：跟进续费  "/>
        <s v="回访人：谭悦，回访时间：2025-07-14 13:58，回访内容：开学大三，四级班，线上线下，加微信  ；|回访人：谭悦，回访时间：2025-07-15 19:35，回访内容：微信跟进中，四级班课，跟进 ；|回访人：谭悦，回访时间：2025-07-16 18:04，回访内容：签约  "/>
        <s v="回访人：赵星火，回访时间：2025-07-07 18:04，回访内容：电话没有接通，微信问一下，现在考虑回复，继续维护；|回访人：赵星火，回访时间：2025-07-11 16:48，回访内容：电话呼出联系不上学生微信上跟进中继续维护；|回访人：赵星火，回访时间：2025-07-15 18:10，回访内容：表示后天这边再说缴费跟进中，现在不方便"/>
        <s v="回访人：赵星火，回访时间：2025-07-10 14:38，回访内容：电话一直不接，微信通过咨询线上英语今年还没有开始学习政治也顺便看一下；|回访人：赵星火，回访时间：2025-07-13 14:24，回访内容：今天试听；|回访人：赵星火，回访时间：2025-07-13 18:00，回访内容：考北理工本校的研究生，英政数专，考虑线上但是也问了线下辅导，看下合适的课程体系；|回访人：赵星火，回访时间：2025-07-15 19:30，回访内容：电话呼出联系不上学生微信上问下跟进中；|回访人：赵星火，回访时间：2025-07-16 19:32，回访内容：1"/>
        <s v="回访人：谭悦，回访时间：2025-07-15 15:57，回访内容：签约 "/>
        <s v="回访人：赵星火，回访时间：2025-07-14 11:45，回访内容：1；|回访人：赵星火，回访时间：2025-07-14 11:57，回访内容：1"/>
        <s v="回访人：谭悦，回访时间：2025-07-05 19:43，回访内容：跟进中 考研学习 规划 27考研走读班  ；|回访人：谭悦，回访时间：2025-07-12 17:49，回访内容：沟通完现在不回复了，邀约；|回访人：谭悦，回访时间：2025-07-14 10:21，回访内容：签约 "/>
        <s v="回访人：赵星火，回访时间：2025-07-12 09:36，回访内容：跟进学生情况这边继续维护中；|回访人：赵星火，回访时间：2025-07-13 14:04，回访内容：核对课时看下课时考虑跟进学生情况中继续维护"/>
        <s v="回访人：赵星火，回访时间：2025-07-12 18:59，回访内容：1；|回访人：赵星火，回访时间：2025-07-13 14:00，回访内容：给到名额紧张，抓紧报名，问一下自己孩子的一个学习情况；|回访人：赵星火，回访时间：2025-07-13 19:32，回访内容：1"/>
        <s v="回访人：谭悦，回访时间：2025-07-13 17:43，回访内容：考马理论；|回访人：谭悦，回访时间：2025-07-13 17:48，回访内容：签约"/>
        <s v="回访人：谭悦，回访时间：2025-07-13 14:24，回访内容：续费政治，转陈号东老师续费"/>
        <s v="回访人：谭悦，回访时间：2025-07-12 19:30，回访内容：1；|回访人：谭悦，回访时间：2025-07-12 19:35，回访内容：微信跟进中，准备报名一对一"/>
        <s v="回访人：谭悦，回访时间：2025-07-12 18:50，回访内容：暑假集训营，英政  ；|回访人：谭悦，回访时间：2025-07-13 10:02，回访内容：签约"/>
        <s v="回访人：赵星火，回访时间：2025-07-09 16:48，回访内容：临时有事明天回访；|回访人：赵星火，回访时间：2025-07-10 19:05，回访内容：跟进学生情况给到新开班继续维护中，继续维护。；|回访人：赵星火，回访时间：2025-07-12 19:54，回访内容：表示明天这边确认一下再说，现在在忙；|回访人：赵星火，回访时间：2025-07-15 17:06，回访内容：1"/>
        <s v="回访人：赵星火，回访时间：2025-07-10 17:16，回访内容：咨询六级线上网课内容，跟进中继续维护；|回访人：赵星火，回访时间：2025-07-11 11:23，回访内容：回访现在的考虑这边跟进学生继续维护。；|回访人：赵星火，回访时间：2025-07-12 17:12，回访内容：1"/>
        <s v="回访人：赵星火，回访时间：2025-07-12 10:32，回访内容：专业课安排好了，校内的，现在四级452分，政治想要名师授课，这边暑假还要首博物馆实习一个月到9.10才能学习，咨询课程辅导下午面谈；|回访人：赵星火，回访时间：2025-07-12 16:48，回访内容：1"/>
        <s v="回访人：苏乾楠，回访时间：2025-07-03 19:42，回访内容：今天找了小泽老师沟通学生到九月份就没有课时了，必然是要续费的，然后家长对课时也没有疑问，然后就等着看能规划出来多少课时吧；|回访人：苏乾楠，回访时间：2025-07-07 15:48，回访内容：按照计划 现在需要140多小时 家长计划是88小时以上先 谭悦老师跟进 差不多 这几天了吧；|回访人：苏乾楠，回访时间：2025-07-09 11:19，回访内容：明天校区来面谈。谭悦老师接待；|回访人：苏乾楠，回访时间：2025-07-10 18:00，回访内容：说的下周来"/>
        <s v="回访人：谭悦，回访时间：2025-07-11 11:17，回访内容：毕业了，去年没考上，北工大，自动化，机器人工程，18811007932，；|回访人：谭悦，回访时间：2025-07-11 11:41，回访内容：去年考了政治40, 英语60多，数学30多，专业课20多。_x000a_给孩子也打电话了，北工大，控制工程，跟进中  "/>
        <s v="回访人：赵星火，回访时间：2025-07-12 17:25，回访内容：1"/>
        <s v="回访人：谭悦，回访时间：2025-07-11 10:48，回访内容：兰州大学，26考研，一对一，跟进中  "/>
        <s v="回访人：谭悦，回访时间：2025-07-10 15:42，回访内容：跟进续费一对一  "/>
        <s v="回访人：段同飞，回访时间：2025-07-10 10:41，回访内容：合并工单给谭悦老师；|回访人：谭悦，回访时间：2025-07-10 11:19，回访内容：四六级无忧线上班  ；|回访人：谭悦，回访时间：2025-07-11 13:19，回访内容：1"/>
        <s v="回访人：杨晓超，回访时间：2025-07-14 10:49，回访内容：1；|回访人：杨晓超，回访时间：2025-07-14 10:51，回访内容：签约 "/>
        <s v="回访人：谭悦，回访时间：2025-07-09 17:09，回访内容：大学数学，数学分析，高代，挂科了  "/>
        <s v="回访人：赵星火，回访时间：2025-07-03 12:14，回访内容：跟进学生建议现在报名早点报上跟进中"/>
        <s v="回访人：赵星火，回访时间：2025-07-07 11:34，回访内容：开学大三，明年十二月份考试，想考北邮本校的八零幺通信原理，数学不太好，四六级考过了，要回家跟家里沟通；|回访人：赵星火，回访时间：2025-07-08 17:45，回访内容：联系不上学生这边微信回访下学生情况继续维护中。；|回访人：赵星火，回访时间：2025-07-09 21:20，回访内容：1"/>
        <s v="回访人：谭悦，回访时间：2025-06-29 22:02，回访内容：微信跟进中  ；|回访人：谭悦，回访时间：2025-07-06 19:23，回访内容：不回消息 ；|回访人：吴凯龙，回访时间：2025-07-08 19:52，回访内容：吴凯龙恢复工单, 系统自动生成回访记录!"/>
        <s v="回访人：谭悦，回访时间：2025-07-07 16:33，回访内容：跟进续费一对一  "/>
        <s v="回访人：谭悦，回访时间：2025-07-02 19:22，回访内容：跟进六级无忧计划  ；|回访人：谭悦，回访时间：2025-07-08 19:41，回访内容：准备缴费  "/>
        <s v="回访人：谭悦，回访时间：2025-07-05 18:50，回访内容：微信沟通，北方工业，26考研，一对一  ；|回访人：谭悦，回访时间：2025-07-05 18:52，回访内容：跟进中，考研学习  ；|回访人：谭悦，回访时间：2025-07-07 14:49，回访内容：签约"/>
        <s v="回访人：谭悦，回访时间：2025-07-06 18:32，回访内容：北京交通大学，开学大四，软件工程，考英二数二408，孩子爸爸的口音打电话非常重，知道知春路校区和顺义营地，；|回访人：谭悦，回访时间：2025-07-07 09:42，回访内容：签约 "/>
        <s v="回访人：谭悦，回访时间：2025-07-05 16:50，回访内容：考虑半年集训营，转班，；|回访人：谭悦，回访时间：2025-07-07 17:46，回访内容：签约"/>
        <s v="回访人：谭悦，回访时间：2025-07-06 19:59，回访内容：六级，暑假学习， ；|回访人：谭悦，回访时间：2025-07-07 10:24，回访内容：签约 "/>
        <s v="回访人：赵星火，回访时间：2025-06-29 19:09，回访内容：847年复习了，但是因为身体不好，没有参加考试，今年想考北师大学和教学英语咨询了，沿途了解名师上课推荐新东方半年集训；|回访人：赵星火，回访时间：2025-06-30 15:15，回访内容：给到专业课的介绍跟进中，看下对比机构情况，以及这个师资储备，有珠海校区的师资储备；|回访人：赵星火，回访时间：2025-07-02 17:10，回访内容：北师大感觉报的比较高，这边想看下首师大的，学校选择看下，再就是邀约营地参观；|回访人：赵星火，回访时间：2025-07-05 18:03，回访内容：明天营地参观班车学习跟进学生情况继续维护。；|回访人：赵星火，回访时间：2025-07-06 20:13，回访内容：跟进学生看下今晚缴费是否跟进中"/>
        <s v="回访人：杨晓超，回访时间：2025-06-27 20:50，回访内容：约时间见面聊 ；|回访人：杨晓超，回访时间：2025-06-29 20:48，回访内容：小孩这两天作业就差不多完成了，约见面聊一下；|回访人：杨晓超，回访时间：2025-07-02 11:28，回访内容：面谈 ，；|回访人：杨晓超，回访时间：2025-07-02 11:29，回访内容：已经和谭月老师面谈过，觉得现在进展有点早，要约一下参加4号的试听 ；|回访人：杨晓超，回访时间：2025-07-04 16:47，回访内容：课程沟通 ，计划走读全科 ，6号报名 ；|回访人：杨晓超，回访时间：2025-07-06 16:18，回访内容：签约 "/>
        <s v="回访人：赵星火，回访时间：2025-06-28 18:47，回访内容：回访学生时间和考虑这边继续维护中；|回访人：赵星火，回访时间：2025-07-05 21:24，回访内容：回访学生情况这边跟进中，给到团报优惠继续维护。；|回访人：赵星火，回访时间：2025-07-06 13:47，回访内容：1"/>
        <s v="回访人：徐铁，回访时间：2025-06-29 21:55，回访内容：未接；|回访人：徐铁，回访时间：2025-07-06 13:16，回访内容：签约"/>
        <s v="回访人：赵星火，回访时间：2025-07-06 10:35，回访内容：面谈中；|回访人：赵星火，回访时间：2025-07-06 11:04，回访内容：1"/>
        <s v="回访人：谭悦，回访时间：2025-07-05 20:47，回访内容：经济学，323，首经贸；|回访人：谭悦，回访时间：2025-07-05 21:24，回访内容：家长说明天来魏公村看看  ；|回访人：谭悦，回访时间：2025-07-06 15:39，回访内容：签约 "/>
        <s v="回访人：谭悦，回访时间：2025-06-29 21:42，回访内容：微信跟进中，考研学习  ；|回访人：谭悦，回访时间：2025-07-05 19:01，回访内容：1"/>
        <s v="回访人：赵星火，回访时间：2025-06-29 11:50，回访内容：帮孩子咨询现任大三本科北物资学注册会计英语不好，其他基础都不太好，本人没有打算考研，比较排斥集训学习，想了解一对一家就在北京，顺义机场旁边也咨询其他机构有做对比；|回访人：赵星火，回访时间：2025-06-30 14:54，回访内容：感觉价格高对比其他机构，也是想要集训+一对一，跟进中。还有挂科以及来知春路这边不方便。；|回访人：赵星火，回访时间：2025-07-01 15:08，回访内容：回访学生情况，这边继续维护学生考虑中继续维护。；|回访人：赵星火，回访时间：2025-07-03 16:46，回访内容：预计周六面谈  周五家里确定下时间跟进中；|回访人：赵星火，回访时间：2025-07-05 17:25，回访内容：报名"/>
        <s v="回访人：赵星火，回访时间：2025-06-26 15:36，回访内容：跟进学生情况看下暑假的四六级考虑跟进中。；|回访人：赵星火，回访时间：2025-06-30 17:33，回访内容：跟进学生情况问单词书，这边继续维护中；|回访人：赵星火，回访时间：2025-07-01 20:01，回访内容：建议早点报上占上名额这边继续维护跟进中。；|回访人：赵星火，回访时间：2025-07-04 21:25，回访内容：家长打算线下办理，但是这两天比较忙，约面谈时间；|回访人：赵星火，回访时间：2025-07-05 14:53，回访内容：1"/>
        <s v="回访人：赵星火，回访时间：2025-07-04 14:19，回访内容：微信沟通中联系上了发送介绍，看下课程考虑跟进中；|回访人：赵星火，回访时间：2025-07-05 13:17，回访内容：1"/>
        <s v="回访人：赵星火，回访时间：2025-07-05 20:57，回访内容：1；|回访人：赵星火，回访时间：2025-07-05 20:57，回访内容：1"/>
        <s v="回访人：赵星火，回访时间：2025-06-26 13:01，回访内容：没有储备师资，这边需要跟进学生情况发一下合同看下；|回访人：赵星火，回访时间：2025-06-28 16:28，回访内容：电话接通，微信发了合同，看一下条款内容以及现在有什么顾虑；|回访人：赵星火，回访时间：2025-07-01 19:55，回访内容：回访学生情况这边继续维护学生考虑跟进中"/>
        <s v="回访人：谭悦，回访时间：2025-07-05 12:13，回访内容：1"/>
        <s v="回访人：谭悦，回访时间：2025-06-26 17:32，回访内容：准备报名候鸟加一对一  ；|回访人：谭悦，回访时间：2025-06-30 15:36，回访内容：微信跟进中，考研学习   ；|回访人：谭悦，回访时间：2025-07-04 14:29，回访内容：签约 "/>
        <s v="回访人：谭悦，回访时间：2025-06-28 21:27，回访内容：微信跟进中，一对一 八月开始上课  "/>
        <s v="回访人：谭悦，回访时间：2025-06-29 21:25，回访内容：微信跟进中  暑假四六级  ；|回访人：谭悦，回访时间：2025-07-04 19:17，回访内容：签约"/>
        <s v="回访人：赵星火，回访时间：2025-07-03 17:42，回访内容：明天计划缴费这边名额紧张，跟进中继续维护。；|回访人：赵星火，回访时间：2025-07-04 15:00，回访内容：1"/>
        <s v="回访人：赵星火，回访时间：2025-06-28 14:37，回访内容：还不清楚学校，这边自己说了北联合，数学可以接受，但是英语不好，这边四级没过，关注集训推荐了_x000a_不自信对于学习。；|回访人：赵星火，回访时间：2025-06-29 14:34，回访内容：周三考完试之后到校区和营地参观了解一下，这边持续跟进中；|回访人：赵星火，回访时间：2025-07-02 17:25，回访内容：确定，面谈校区参观活动跟进中，继续维护学生考虑。；|回访人：赵星火，回访时间：2025-07-04 20:36，回访内容：1"/>
        <s v="回访人：谭悦，回访时间：2025-07-03 10:35，回访内容：1；|回访人：谭悦，回访时间：2025-07-03 10:36，回访内容：1"/>
        <s v="回访人：刘欢，回访时间：2025-07-01 19:51，回访内容：学生由谭悦进行面谈27考研北林风景园林专业。北林，大二，27考研，风景园林，推荐的走读；|回访人：刘欢，回访时间：2025-07-02 13:34，回访内容：1；|回访人：刘欢，回访时间：2025-07-02 13:34，回访内容：1；|回访人：刘欢，回访时间：2025-07-02 17:04，回访内容：1；|回访人：刘欢，回访时间：2025-07-02 17:05，回访内容：1"/>
        <s v="回访人：赵星火，回访时间：2025-07-02 20:14，回访内容：1"/>
        <s v="回访人：赵星火，回访时间：2025-07-01 14:00，回访内容：1"/>
        <s v="回访人：谭悦，回访时间：2025-07-01 17:14，回访内容：报名四级班  ；|回访人：谭悦，回访时间：2025-07-01 17:15，回访内容：签约 "/>
      </sharedItems>
    </cacheField>
    <cacheField name="新老生类型" numFmtId="0">
      <sharedItems containsBlank="1" containsString="0" containsNonDate="0">
        <m/>
      </sharedItems>
    </cacheField>
    <cacheField name="退费金额" numFmtId="0">
      <sharedItems containsBlank="1" containsString="0" containsNonDate="0">
        <m/>
      </sharedItems>
    </cacheField>
    <cacheField name="退费日期" numFmtId="0">
      <sharedItems containsBlank="1" containsString="0" containsNonDate="0">
        <m/>
      </sharedItems>
    </cacheField>
    <cacheField name="课程类型" numFmtId="0">
      <sharedItems containsBlank="1">
        <m/>
        <s v="长期班"/>
        <s v="长期班,长期班,长期班,长期班"/>
        <s v="长期班,长期班,长期班"/>
        <s v="长期班,长期班"/>
        <s v="长期班,长期班,长期班,重读保障"/>
      </sharedItems>
    </cacheField>
    <cacheField name="客户ID" numFmtId="0">
      <sharedItems containsSemiMixedTypes="0" containsString="0" containsNumber="1" containsInteger="1">
        <n v="44495810"/>
        <n v="30795044"/>
        <n v="62316553"/>
        <n v="82103592"/>
        <n v="30923959"/>
        <n v="60647114"/>
        <n v="65132392"/>
        <n v="82421047"/>
        <n v="82475627"/>
        <n v="81577565"/>
        <n v="33569231"/>
        <n v="82087801"/>
        <n v="82071259"/>
        <n v="82058266"/>
        <n v="50793454"/>
        <n v="80249839"/>
        <n v="81747257"/>
        <n v="80468395"/>
        <n v="67283110"/>
        <n v="81570635"/>
        <n v="67544838"/>
        <n v="81188674"/>
        <n v="69060590"/>
        <n v="81056684"/>
        <n v="80737003"/>
        <n v="53063270"/>
        <n v="65286884"/>
        <n v="65878928"/>
        <n v="33529072"/>
        <n v="58864973"/>
        <n v="63993771"/>
        <n v="74099200"/>
        <n v="67848549"/>
        <n v="70870277"/>
        <n v="64168068"/>
        <n v="21163465"/>
        <n v="82414438"/>
        <n v="68322448"/>
        <n v="81476308"/>
        <n v="70318208"/>
        <n v="51138576"/>
        <n v="44438330"/>
        <n v="74808876"/>
        <n v="81442098"/>
        <n v="67544620"/>
        <n v="81754920"/>
        <n v="81163274"/>
        <n v="67577498"/>
        <n v="63093516"/>
        <n v="82233267"/>
        <n v="80754759"/>
        <n v="82291069"/>
        <n v="69194672"/>
        <n v="75301464"/>
        <n v="51424199"/>
        <n v="81919906"/>
        <n v="61355189"/>
        <n v="63745532"/>
        <n v="66603981"/>
        <n v="70538136"/>
        <n v="71092352"/>
        <n v="81878340"/>
        <n v="61638095"/>
        <n v="64770845"/>
        <n v="81638293"/>
        <n v="68854313"/>
        <n v="34659786"/>
        <n v="66906123"/>
        <n v="12366221"/>
        <n v="33140368"/>
        <n v="59757341"/>
        <n v="66477823"/>
        <n v="51397937"/>
        <n v="81235995"/>
        <n v="68835796"/>
        <n v="81643807"/>
        <n v="60817292"/>
        <n v="45553044"/>
        <n v="81607594"/>
        <n v="79753776"/>
        <n v="52775376"/>
        <n v="81524119"/>
        <n v="81573506"/>
        <n v="41642085"/>
        <n v="81544367"/>
        <n v="53338111"/>
        <n v="81486494"/>
        <n v="69634274"/>
        <n v="59931709"/>
        <n v="81391745"/>
        <n v="80376945"/>
        <n v="81428523"/>
        <n v="34615040"/>
        <n v="81263872"/>
        <n v="71056417"/>
        <n v="45380621"/>
        <n v="60837614"/>
        <n v="81178062"/>
        <n v="81161881"/>
        <n v="61991830"/>
        <n v="68685986"/>
        <n v="80649557"/>
        <n v="74065871"/>
        <n v="70828555"/>
        <n v="81162494"/>
        <n v="74578028"/>
        <n v="51835744"/>
        <n v="80721492"/>
        <n v="43991372"/>
        <n v="81005349"/>
        <n v="38346789"/>
        <n v="53152452"/>
        <n v="81014598"/>
        <n v="77366526"/>
        <n v="44783600"/>
        <n v="62313690"/>
        <n v="68375965"/>
        <n v="79609154"/>
        <n v="80825573"/>
        <n v="52518415"/>
        <n v="49013179"/>
        <n v="69486551"/>
      </sharedItems>
    </cacheField>
    <cacheField name="是否新东方在线签约" numFmtId="0">
      <sharedItems>
        <s v="否"/>
        <s v="是"/>
      </sharedItems>
    </cacheField>
    <cacheField name="考季" numFmtId="0">
      <sharedItems containsBlank="1">
        <s v="27考季"/>
        <s v="26考季"/>
        <s v="25下考季"/>
        <m/>
      </sharedItems>
    </cacheField>
    <cacheField name="报名产品" numFmtId="0">
      <sharedItems>
        <s v="无忧计划-啄木鸟,考研专业课150"/>
        <s v="无忧计划-蜂鸟"/>
        <s v="半年集训营"/>
        <s v="线上直通车"/>
        <s v="无忧计划-啄木鸟"/>
        <s v="考研专业课150"/>
        <s v="线上全程班"/>
        <s v="线上无忧计划"/>
        <s v="VIP - 伴学"/>
        <s v="半年集训营,考研专业课300"/>
        <s v="考研专业课300"/>
        <s v="线上直通车,线上无忧计划"/>
        <s v="四级无忧计划"/>
        <s v="寒暑假集训营（春秋OMO）,考研专业课300"/>
        <s v="考研专业课150,寒暑假集训营（春秋OMO）"/>
        <s v="寒暑假集训营（春秋OMO）,暑假集训营"/>
        <s v="六级无忧计划,考研专业课150,寒暑假集训营（春秋OMO）"/>
        <s v="无忧计划-啄木鸟,六级无忧计划,考研专业课300"/>
        <s v="寒暑假集训营（春秋OMO）,考研专业课300,六级无忧计划"/>
        <s v="无忧计划-蜂鸟,线上直通车,考研专业课150"/>
        <s v=""/>
        <s v="无忧计划-啄木鸟,考研专业课管综"/>
        <s v="寒暑假集训营（春秋OMO）"/>
        <s v="六级无忧计划"/>
        <s v="暑假集训营,寒暑假集训营（春秋OMO）,考研专业课150,六级无忧计划"/>
        <s v="VIP - 畅学,考研专业课150"/>
        <s v="寒暑假集训营（春秋OMO）,考研专业课300,六级无忧计划,暑假集训营"/>
        <s v="考研专业课300,半年集训营"/>
        <s v="半年集训营,考研专业课150"/>
        <s v="无忧计划-啄木鸟,考研专业课300"/>
        <s v="暑假集训营"/>
        <s v="四级无忧计划,六级无忧计划"/>
        <s v="大学学科辅导"/>
        <s v="考研专业课150,VIP - 畅学"/>
        <s v="考研专业课150,无忧计划-啄木鸟"/>
        <s v="无忧计划-候鸟"/>
        <s v="无忧计划-蜂鸟,考研专业课150"/>
        <s v="无忧计划-早鸟"/>
      </sharedItems>
    </cacheField>
    <cacheField name="报名科目" numFmtId="0">
      <sharedItems>
        <s v="英语,政治,数学,专业课150"/>
        <s v="英语,政治,数学"/>
        <s v="英语"/>
        <s v="计算机"/>
        <s v="专业课150"/>
        <s v=""/>
        <s v="英语,政治"/>
        <s v="英语,政治,专业课300"/>
        <s v="英语,管综"/>
        <s v="英语,政治,教育硕士"/>
        <s v="政治,英语,专业课300"/>
        <s v="专业课150,数学,政治,英语"/>
        <s v="专业课300,英语,政治"/>
        <s v="英语,法律硕士"/>
        <s v="数学"/>
        <s v="英语,政治,数学,计算机"/>
        <s v="英语,数学,专业课300"/>
        <s v="政治"/>
        <s v="专业课"/>
        <s v="政治,数学"/>
        <s v="专业课150,英语,政治,数学"/>
        <s v="英语,数学"/>
      </sharedItems>
    </cacheField>
    <cacheField name="意向报考专业" numFmtId="0">
      <sharedItems containsBlank="1">
        <s v="其他"/>
        <m/>
        <s v="计算机"/>
        <s v="管综"/>
        <s v="教育"/>
      </sharedItems>
    </cacheField>
    <cacheField name="学校班型/类型" numFmtId="0">
      <sharedItems>
        <s v="国内高校-双非"/>
        <s v="国内高校-211"/>
        <s v="国内高校-985"/>
        <s v="国内高校-双一流(非985/211)"/>
        <s v="国内高校-C9"/>
        <s v="国内高校-中外合作办学"/>
      </sharedItems>
    </cacheField>
    <cacheField name="是否关联协议" numFmtId="0">
      <sharedItems>
        <s v="是"/>
        <s v="否"/>
      </sharedItems>
    </cacheField>
    <cacheField name="特殊备注" numFmtId="0">
      <sharedItems containsBlank="1">
        <s v=""/>
        <m/>
        <s v="学生基础比较薄弱，辛苦老师联系孩子，开通导学课以及监督学生学习。学生7月份的话在家不在北京选择线上直播进行看课，辛苦教孩子看课"/>
      </sharedItems>
    </cacheField>
    <cacheField name="产品品类" numFmtId="0">
      <sharedItems containsBlank="1" containsString="0" containsNonDate="0">
        <m/>
      </sharedItems>
    </cacheField>
    <cacheField name="业务类型" numFmtId="0">
      <sharedItems containsBlank="1">
        <s v="报名"/>
        <m/>
        <s v="转出"/>
        <s v="追加优惠"/>
      </sharedItems>
    </cacheField>
    <cacheField name="签约列表在线学员ID" numFmtId="0">
      <sharedItems containsBlank="1" containsString="0" containsNumber="1" containsInteger="1">
        <m/>
        <n v="110624761"/>
        <n v="109947422"/>
        <n v="110614822"/>
        <n v="110610561"/>
        <n v="110601979"/>
        <n v="107965657"/>
        <n v="110572419"/>
        <n v="107425955"/>
        <n v="110549227"/>
        <n v="109081890"/>
        <n v="110538582"/>
        <n v="110512915"/>
        <n v="109848410"/>
        <n v="75211762"/>
        <n v="107230195"/>
        <n v="103009134"/>
        <n v="110500249"/>
        <n v="109948778"/>
        <n v="110528217"/>
      </sharedItems>
    </cacheField>
    <cacheField name="大学生源类型" numFmtId="0">
      <sharedItems containsBlank="1">
        <s v="本地人本地大学(常规)"/>
        <s v="外地人本地大学(常规)"/>
        <s v="外地人外地大学(常规)"/>
        <m/>
        <s v="本地人外地大学(归巢)"/>
      </sharedItems>
    </cacheField>
    <cacheField name="资源来源" numFmtId="0">
      <sharedItems containsBlank="1">
        <s v="学管续费推荐"/>
        <s v="客服"/>
        <m/>
        <s v="百度投放"/>
        <s v="市场"/>
        <s v="易聊在线咨询"/>
        <s v="SCRM-客服推送"/>
        <s v="线下代理商"/>
        <s v="小表单"/>
        <s v="小红书"/>
        <s v="抖音新东方考研直播间"/>
        <s v="新媒体管家-点评"/>
        <s v="考研APP"/>
        <s v="集团百度投放-基木鱼"/>
        <s v="新东方91校园大使"/>
      </sharedItems>
    </cacheField>
  </cacheFields>
</pivotCacheDefinition>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6">
  <r>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r>
  <r>
    <x v="0"/>
    <x v="1"/>
    <x v="0"/>
    <x v="0"/>
    <x v="0"/>
    <x v="0"/>
    <x v="0"/>
    <x v="0"/>
    <x v="0"/>
    <x v="0"/>
    <x v="0"/>
    <x v="0"/>
    <x v="0"/>
    <x v="0"/>
    <x v="0"/>
    <x v="0"/>
    <x v="0"/>
    <x v="0"/>
    <x v="0"/>
    <x v="0"/>
    <x v="0"/>
    <x v="0"/>
    <x v="0"/>
    <x v="0"/>
    <x v="0"/>
    <x v="0"/>
    <x v="0"/>
    <x v="0"/>
    <x v="0"/>
    <x v="0"/>
    <x v="0"/>
    <x v="0"/>
    <x v="0"/>
    <x v="0"/>
    <x v="1"/>
    <x v="1"/>
    <x v="0"/>
    <x v="0"/>
    <x v="1"/>
    <x v="0"/>
    <x v="0"/>
    <x v="0"/>
    <x v="0"/>
    <x v="0"/>
    <x v="0"/>
    <x v="1"/>
    <x v="0"/>
    <x v="0"/>
    <x v="0"/>
    <x v="0"/>
    <x v="0"/>
    <x v="0"/>
    <x v="0"/>
    <x v="0"/>
    <x v="0"/>
    <x v="0"/>
    <x v="0"/>
    <x v="0"/>
    <x v="0"/>
    <x v="0"/>
    <x v="0"/>
    <x v="0"/>
    <x v="0"/>
    <x v="0"/>
    <x v="0"/>
    <x v="0"/>
    <x v="0"/>
  </r>
  <r>
    <x v="0"/>
    <x v="2"/>
    <x v="0"/>
    <x v="0"/>
    <x v="0"/>
    <x v="0"/>
    <x v="0"/>
    <x v="0"/>
    <x v="0"/>
    <x v="0"/>
    <x v="0"/>
    <x v="0"/>
    <x v="0"/>
    <x v="0"/>
    <x v="0"/>
    <x v="0"/>
    <x v="0"/>
    <x v="0"/>
    <x v="0"/>
    <x v="0"/>
    <x v="0"/>
    <x v="0"/>
    <x v="0"/>
    <x v="0"/>
    <x v="0"/>
    <x v="0"/>
    <x v="0"/>
    <x v="0"/>
    <x v="0"/>
    <x v="0"/>
    <x v="0"/>
    <x v="0"/>
    <x v="0"/>
    <x v="0"/>
    <x v="2"/>
    <x v="2"/>
    <x v="0"/>
    <x v="0"/>
    <x v="2"/>
    <x v="0"/>
    <x v="0"/>
    <x v="0"/>
    <x v="0"/>
    <x v="0"/>
    <x v="0"/>
    <x v="2"/>
    <x v="0"/>
    <x v="0"/>
    <x v="0"/>
    <x v="0"/>
    <x v="0"/>
    <x v="0"/>
    <x v="0"/>
    <x v="0"/>
    <x v="0"/>
    <x v="0"/>
    <x v="0"/>
    <x v="0"/>
    <x v="0"/>
    <x v="0"/>
    <x v="0"/>
    <x v="0"/>
    <x v="0"/>
    <x v="0"/>
    <x v="0"/>
    <x v="0"/>
    <x v="0"/>
  </r>
  <r>
    <x v="0"/>
    <x v="3"/>
    <x v="0"/>
    <x v="0"/>
    <x v="0"/>
    <x v="0"/>
    <x v="0"/>
    <x v="0"/>
    <x v="0"/>
    <x v="0"/>
    <x v="0"/>
    <x v="0"/>
    <x v="0"/>
    <x v="0"/>
    <x v="0"/>
    <x v="0"/>
    <x v="0"/>
    <x v="0"/>
    <x v="0"/>
    <x v="0"/>
    <x v="0"/>
    <x v="0"/>
    <x v="0"/>
    <x v="0"/>
    <x v="0"/>
    <x v="0"/>
    <x v="0"/>
    <x v="0"/>
    <x v="0"/>
    <x v="0"/>
    <x v="0"/>
    <x v="0"/>
    <x v="0"/>
    <x v="0"/>
    <x v="3"/>
    <x v="3"/>
    <x v="0"/>
    <x v="0"/>
    <x v="3"/>
    <x v="0"/>
    <x v="0"/>
    <x v="0"/>
    <x v="0"/>
    <x v="0"/>
    <x v="0"/>
    <x v="3"/>
    <x v="0"/>
    <x v="0"/>
    <x v="0"/>
    <x v="0"/>
    <x v="0"/>
    <x v="0"/>
    <x v="0"/>
    <x v="0"/>
    <x v="0"/>
    <x v="0"/>
    <x v="0"/>
    <x v="0"/>
    <x v="0"/>
    <x v="0"/>
    <x v="0"/>
    <x v="0"/>
    <x v="0"/>
    <x v="0"/>
    <x v="0"/>
    <x v="0"/>
    <x v="0"/>
  </r>
  <r>
    <x v="0"/>
    <x v="4"/>
    <x v="0"/>
    <x v="0"/>
    <x v="0"/>
    <x v="0"/>
    <x v="0"/>
    <x v="0"/>
    <x v="0"/>
    <x v="0"/>
    <x v="0"/>
    <x v="0"/>
    <x v="0"/>
    <x v="0"/>
    <x v="0"/>
    <x v="0"/>
    <x v="0"/>
    <x v="0"/>
    <x v="0"/>
    <x v="0"/>
    <x v="0"/>
    <x v="0"/>
    <x v="0"/>
    <x v="0"/>
    <x v="0"/>
    <x v="0"/>
    <x v="0"/>
    <x v="0"/>
    <x v="0"/>
    <x v="0"/>
    <x v="0"/>
    <x v="0"/>
    <x v="0"/>
    <x v="0"/>
    <x v="4"/>
    <x v="4"/>
    <x v="0"/>
    <x v="0"/>
    <x v="4"/>
    <x v="0"/>
    <x v="0"/>
    <x v="0"/>
    <x v="0"/>
    <x v="0"/>
    <x v="0"/>
    <x v="4"/>
    <x v="0"/>
    <x v="0"/>
    <x v="0"/>
    <x v="0"/>
    <x v="0"/>
    <x v="0"/>
    <x v="0"/>
    <x v="0"/>
    <x v="0"/>
    <x v="0"/>
    <x v="0"/>
    <x v="0"/>
    <x v="0"/>
    <x v="0"/>
    <x v="0"/>
    <x v="0"/>
    <x v="0"/>
    <x v="0"/>
    <x v="0"/>
    <x v="0"/>
    <x v="0"/>
  </r>
  <r>
    <x v="0"/>
    <x v="5"/>
    <x v="0"/>
    <x v="0"/>
    <x v="0"/>
    <x v="0"/>
    <x v="0"/>
    <x v="0"/>
    <x v="0"/>
    <x v="0"/>
    <x v="0"/>
    <x v="0"/>
    <x v="0"/>
    <x v="0"/>
    <x v="0"/>
    <x v="0"/>
    <x v="0"/>
    <x v="0"/>
    <x v="0"/>
    <x v="0"/>
    <x v="0"/>
    <x v="0"/>
    <x v="0"/>
    <x v="0"/>
    <x v="0"/>
    <x v="0"/>
    <x v="0"/>
    <x v="0"/>
    <x v="0"/>
    <x v="0"/>
    <x v="0"/>
    <x v="0"/>
    <x v="0"/>
    <x v="0"/>
    <x v="5"/>
    <x v="5"/>
    <x v="0"/>
    <x v="0"/>
    <x v="5"/>
    <x v="0"/>
    <x v="0"/>
    <x v="0"/>
    <x v="0"/>
    <x v="0"/>
    <x v="0"/>
    <x v="5"/>
    <x v="0"/>
    <x v="0"/>
    <x v="0"/>
    <x v="0"/>
    <x v="0"/>
    <x v="0"/>
    <x v="0"/>
    <x v="0"/>
    <x v="0"/>
    <x v="0"/>
    <x v="0"/>
    <x v="0"/>
    <x v="0"/>
    <x v="0"/>
    <x v="0"/>
    <x v="0"/>
    <x v="0"/>
    <x v="0"/>
    <x v="0"/>
    <x v="0"/>
    <x v="0"/>
  </r>
  <r>
    <x v="0"/>
    <x v="6"/>
    <x v="0"/>
    <x v="0"/>
    <x v="0"/>
    <x v="0"/>
    <x v="0"/>
    <x v="0"/>
    <x v="0"/>
    <x v="0"/>
    <x v="0"/>
    <x v="0"/>
    <x v="0"/>
    <x v="0"/>
    <x v="0"/>
    <x v="0"/>
    <x v="0"/>
    <x v="0"/>
    <x v="0"/>
    <x v="0"/>
    <x v="0"/>
    <x v="0"/>
    <x v="0"/>
    <x v="0"/>
    <x v="0"/>
    <x v="0"/>
    <x v="0"/>
    <x v="0"/>
    <x v="0"/>
    <x v="0"/>
    <x v="0"/>
    <x v="0"/>
    <x v="0"/>
    <x v="0"/>
    <x v="6"/>
    <x v="6"/>
    <x v="0"/>
    <x v="0"/>
    <x v="6"/>
    <x v="0"/>
    <x v="0"/>
    <x v="0"/>
    <x v="0"/>
    <x v="0"/>
    <x v="0"/>
    <x v="6"/>
    <x v="0"/>
    <x v="0"/>
    <x v="0"/>
    <x v="0"/>
    <x v="0"/>
    <x v="0"/>
    <x v="0"/>
    <x v="0"/>
    <x v="0"/>
    <x v="0"/>
    <x v="0"/>
    <x v="0"/>
    <x v="0"/>
    <x v="0"/>
    <x v="0"/>
    <x v="0"/>
    <x v="0"/>
    <x v="0"/>
    <x v="0"/>
    <x v="0"/>
    <x v="0"/>
  </r>
  <r>
    <x v="0"/>
    <x v="7"/>
    <x v="0"/>
    <x v="0"/>
    <x v="0"/>
    <x v="0"/>
    <x v="0"/>
    <x v="0"/>
    <x v="0"/>
    <x v="0"/>
    <x v="0"/>
    <x v="0"/>
    <x v="0"/>
    <x v="0"/>
    <x v="0"/>
    <x v="0"/>
    <x v="0"/>
    <x v="0"/>
    <x v="0"/>
    <x v="0"/>
    <x v="0"/>
    <x v="0"/>
    <x v="0"/>
    <x v="0"/>
    <x v="0"/>
    <x v="0"/>
    <x v="0"/>
    <x v="0"/>
    <x v="0"/>
    <x v="0"/>
    <x v="0"/>
    <x v="0"/>
    <x v="0"/>
    <x v="0"/>
    <x v="7"/>
    <x v="7"/>
    <x v="0"/>
    <x v="0"/>
    <x v="7"/>
    <x v="0"/>
    <x v="0"/>
    <x v="0"/>
    <x v="0"/>
    <x v="0"/>
    <x v="0"/>
    <x v="7"/>
    <x v="0"/>
    <x v="0"/>
    <x v="0"/>
    <x v="0"/>
    <x v="0"/>
    <x v="0"/>
    <x v="0"/>
    <x v="0"/>
    <x v="0"/>
    <x v="0"/>
    <x v="0"/>
    <x v="0"/>
    <x v="0"/>
    <x v="0"/>
    <x v="0"/>
    <x v="0"/>
    <x v="0"/>
    <x v="0"/>
    <x v="0"/>
    <x v="0"/>
    <x v="0"/>
  </r>
  <r>
    <x v="0"/>
    <x v="8"/>
    <x v="0"/>
    <x v="0"/>
    <x v="0"/>
    <x v="0"/>
    <x v="0"/>
    <x v="0"/>
    <x v="0"/>
    <x v="0"/>
    <x v="0"/>
    <x v="0"/>
    <x v="0"/>
    <x v="0"/>
    <x v="0"/>
    <x v="0"/>
    <x v="0"/>
    <x v="0"/>
    <x v="0"/>
    <x v="0"/>
    <x v="0"/>
    <x v="0"/>
    <x v="0"/>
    <x v="0"/>
    <x v="0"/>
    <x v="0"/>
    <x v="0"/>
    <x v="0"/>
    <x v="0"/>
    <x v="0"/>
    <x v="0"/>
    <x v="0"/>
    <x v="0"/>
    <x v="0"/>
    <x v="8"/>
    <x v="8"/>
    <x v="0"/>
    <x v="0"/>
    <x v="8"/>
    <x v="0"/>
    <x v="0"/>
    <x v="0"/>
    <x v="0"/>
    <x v="0"/>
    <x v="0"/>
    <x v="8"/>
    <x v="0"/>
    <x v="0"/>
    <x v="0"/>
    <x v="0"/>
    <x v="0"/>
    <x v="0"/>
    <x v="0"/>
    <x v="0"/>
    <x v="0"/>
    <x v="0"/>
    <x v="0"/>
    <x v="0"/>
    <x v="0"/>
    <x v="0"/>
    <x v="0"/>
    <x v="0"/>
    <x v="0"/>
    <x v="0"/>
    <x v="0"/>
    <x v="0"/>
    <x v="0"/>
  </r>
  <r>
    <x v="0"/>
    <x v="9"/>
    <x v="0"/>
    <x v="0"/>
    <x v="0"/>
    <x v="0"/>
    <x v="0"/>
    <x v="0"/>
    <x v="0"/>
    <x v="0"/>
    <x v="0"/>
    <x v="0"/>
    <x v="0"/>
    <x v="0"/>
    <x v="0"/>
    <x v="0"/>
    <x v="0"/>
    <x v="0"/>
    <x v="0"/>
    <x v="0"/>
    <x v="0"/>
    <x v="0"/>
    <x v="0"/>
    <x v="0"/>
    <x v="0"/>
    <x v="0"/>
    <x v="0"/>
    <x v="0"/>
    <x v="0"/>
    <x v="0"/>
    <x v="0"/>
    <x v="0"/>
    <x v="0"/>
    <x v="0"/>
    <x v="9"/>
    <x v="9"/>
    <x v="0"/>
    <x v="0"/>
    <x v="9"/>
    <x v="0"/>
    <x v="0"/>
    <x v="0"/>
    <x v="0"/>
    <x v="0"/>
    <x v="0"/>
    <x v="9"/>
    <x v="0"/>
    <x v="0"/>
    <x v="0"/>
    <x v="0"/>
    <x v="0"/>
    <x v="0"/>
    <x v="0"/>
    <x v="0"/>
    <x v="0"/>
    <x v="0"/>
    <x v="0"/>
    <x v="0"/>
    <x v="0"/>
    <x v="0"/>
    <x v="0"/>
    <x v="0"/>
    <x v="0"/>
    <x v="1"/>
    <x v="0"/>
    <x v="0"/>
    <x v="0"/>
  </r>
  <r>
    <x v="0"/>
    <x v="10"/>
    <x v="0"/>
    <x v="0"/>
    <x v="1"/>
    <x v="1"/>
    <x v="1"/>
    <x v="1"/>
    <x v="1"/>
    <x v="1"/>
    <x v="1"/>
    <x v="0"/>
    <x v="0"/>
    <x v="1"/>
    <x v="1"/>
    <x v="0"/>
    <x v="0"/>
    <x v="1"/>
    <x v="0"/>
    <x v="1"/>
    <x v="1"/>
    <x v="1"/>
    <x v="0"/>
    <x v="1"/>
    <x v="1"/>
    <x v="1"/>
    <x v="1"/>
    <x v="1"/>
    <x v="1"/>
    <x v="1"/>
    <x v="0"/>
    <x v="1"/>
    <x v="0"/>
    <x v="1"/>
    <x v="10"/>
    <x v="10"/>
    <x v="0"/>
    <x v="0"/>
    <x v="10"/>
    <x v="1"/>
    <x v="1"/>
    <x v="1"/>
    <x v="0"/>
    <x v="0"/>
    <x v="1"/>
    <x v="10"/>
    <x v="0"/>
    <x v="0"/>
    <x v="1"/>
    <x v="0"/>
    <x v="0"/>
    <x v="0"/>
    <x v="0"/>
    <x v="1"/>
    <x v="0"/>
    <x v="1"/>
    <x v="1"/>
    <x v="1"/>
    <x v="0"/>
    <x v="1"/>
    <x v="0"/>
    <x v="0"/>
    <x v="0"/>
    <x v="0"/>
    <x v="0"/>
    <x v="1"/>
    <x v="1"/>
  </r>
  <r>
    <x v="0"/>
    <x v="11"/>
    <x v="0"/>
    <x v="0"/>
    <x v="1"/>
    <x v="1"/>
    <x v="1"/>
    <x v="1"/>
    <x v="1"/>
    <x v="1"/>
    <x v="1"/>
    <x v="0"/>
    <x v="0"/>
    <x v="1"/>
    <x v="1"/>
    <x v="0"/>
    <x v="0"/>
    <x v="1"/>
    <x v="0"/>
    <x v="1"/>
    <x v="1"/>
    <x v="1"/>
    <x v="0"/>
    <x v="1"/>
    <x v="1"/>
    <x v="1"/>
    <x v="1"/>
    <x v="1"/>
    <x v="1"/>
    <x v="1"/>
    <x v="0"/>
    <x v="1"/>
    <x v="0"/>
    <x v="1"/>
    <x v="11"/>
    <x v="11"/>
    <x v="0"/>
    <x v="0"/>
    <x v="11"/>
    <x v="1"/>
    <x v="1"/>
    <x v="1"/>
    <x v="0"/>
    <x v="0"/>
    <x v="1"/>
    <x v="11"/>
    <x v="0"/>
    <x v="0"/>
    <x v="1"/>
    <x v="0"/>
    <x v="0"/>
    <x v="0"/>
    <x v="0"/>
    <x v="1"/>
    <x v="0"/>
    <x v="1"/>
    <x v="1"/>
    <x v="1"/>
    <x v="0"/>
    <x v="1"/>
    <x v="0"/>
    <x v="0"/>
    <x v="0"/>
    <x v="0"/>
    <x v="0"/>
    <x v="1"/>
    <x v="1"/>
  </r>
  <r>
    <x v="0"/>
    <x v="12"/>
    <x v="0"/>
    <x v="0"/>
    <x v="1"/>
    <x v="1"/>
    <x v="1"/>
    <x v="1"/>
    <x v="1"/>
    <x v="1"/>
    <x v="1"/>
    <x v="0"/>
    <x v="0"/>
    <x v="1"/>
    <x v="1"/>
    <x v="0"/>
    <x v="0"/>
    <x v="1"/>
    <x v="0"/>
    <x v="1"/>
    <x v="1"/>
    <x v="1"/>
    <x v="0"/>
    <x v="1"/>
    <x v="1"/>
    <x v="1"/>
    <x v="1"/>
    <x v="1"/>
    <x v="1"/>
    <x v="1"/>
    <x v="0"/>
    <x v="1"/>
    <x v="0"/>
    <x v="1"/>
    <x v="12"/>
    <x v="12"/>
    <x v="0"/>
    <x v="0"/>
    <x v="11"/>
    <x v="1"/>
    <x v="1"/>
    <x v="1"/>
    <x v="0"/>
    <x v="0"/>
    <x v="1"/>
    <x v="12"/>
    <x v="0"/>
    <x v="0"/>
    <x v="1"/>
    <x v="0"/>
    <x v="0"/>
    <x v="0"/>
    <x v="0"/>
    <x v="1"/>
    <x v="0"/>
    <x v="1"/>
    <x v="1"/>
    <x v="1"/>
    <x v="0"/>
    <x v="1"/>
    <x v="0"/>
    <x v="0"/>
    <x v="0"/>
    <x v="0"/>
    <x v="0"/>
    <x v="1"/>
    <x v="1"/>
  </r>
  <r>
    <x v="0"/>
    <x v="13"/>
    <x v="0"/>
    <x v="0"/>
    <x v="2"/>
    <x v="2"/>
    <x v="2"/>
    <x v="2"/>
    <x v="2"/>
    <x v="0"/>
    <x v="2"/>
    <x v="1"/>
    <x v="1"/>
    <x v="2"/>
    <x v="2"/>
    <x v="0"/>
    <x v="0"/>
    <x v="2"/>
    <x v="1"/>
    <x v="2"/>
    <x v="0"/>
    <x v="2"/>
    <x v="0"/>
    <x v="2"/>
    <x v="2"/>
    <x v="2"/>
    <x v="2"/>
    <x v="2"/>
    <x v="2"/>
    <x v="2"/>
    <x v="1"/>
    <x v="2"/>
    <x v="1"/>
    <x v="2"/>
    <x v="13"/>
    <x v="13"/>
    <x v="0"/>
    <x v="0"/>
    <x v="12"/>
    <x v="1"/>
    <x v="2"/>
    <x v="2"/>
    <x v="1"/>
    <x v="1"/>
    <x v="2"/>
    <x v="9"/>
    <x v="1"/>
    <x v="0"/>
    <x v="2"/>
    <x v="0"/>
    <x v="0"/>
    <x v="0"/>
    <x v="0"/>
    <x v="2"/>
    <x v="0"/>
    <x v="1"/>
    <x v="2"/>
    <x v="2"/>
    <x v="1"/>
    <x v="2"/>
    <x v="1"/>
    <x v="0"/>
    <x v="0"/>
    <x v="1"/>
    <x v="0"/>
    <x v="2"/>
    <x v="2"/>
  </r>
  <r>
    <x v="1"/>
    <x v="14"/>
    <x v="0"/>
    <x v="0"/>
    <x v="3"/>
    <x v="3"/>
    <x v="3"/>
    <x v="3"/>
    <x v="3"/>
    <x v="2"/>
    <x v="3"/>
    <x v="0"/>
    <x v="1"/>
    <x v="3"/>
    <x v="3"/>
    <x v="0"/>
    <x v="0"/>
    <x v="3"/>
    <x v="0"/>
    <x v="3"/>
    <x v="1"/>
    <x v="3"/>
    <x v="0"/>
    <x v="3"/>
    <x v="3"/>
    <x v="3"/>
    <x v="3"/>
    <x v="3"/>
    <x v="3"/>
    <x v="3"/>
    <x v="0"/>
    <x v="3"/>
    <x v="0"/>
    <x v="3"/>
    <x v="14"/>
    <x v="14"/>
    <x v="0"/>
    <x v="0"/>
    <x v="13"/>
    <x v="1"/>
    <x v="2"/>
    <x v="1"/>
    <x v="1"/>
    <x v="1"/>
    <x v="3"/>
    <x v="9"/>
    <x v="0"/>
    <x v="0"/>
    <x v="3"/>
    <x v="0"/>
    <x v="0"/>
    <x v="0"/>
    <x v="1"/>
    <x v="3"/>
    <x v="1"/>
    <x v="1"/>
    <x v="3"/>
    <x v="2"/>
    <x v="0"/>
    <x v="2"/>
    <x v="1"/>
    <x v="0"/>
    <x v="0"/>
    <x v="1"/>
    <x v="1"/>
    <x v="3"/>
    <x v="3"/>
  </r>
  <r>
    <x v="1"/>
    <x v="15"/>
    <x v="0"/>
    <x v="0"/>
    <x v="4"/>
    <x v="4"/>
    <x v="4"/>
    <x v="4"/>
    <x v="4"/>
    <x v="1"/>
    <x v="1"/>
    <x v="1"/>
    <x v="2"/>
    <x v="4"/>
    <x v="2"/>
    <x v="0"/>
    <x v="0"/>
    <x v="4"/>
    <x v="2"/>
    <x v="4"/>
    <x v="1"/>
    <x v="4"/>
    <x v="0"/>
    <x v="3"/>
    <x v="1"/>
    <x v="4"/>
    <x v="4"/>
    <x v="4"/>
    <x v="4"/>
    <x v="4"/>
    <x v="1"/>
    <x v="4"/>
    <x v="2"/>
    <x v="4"/>
    <x v="15"/>
    <x v="15"/>
    <x v="0"/>
    <x v="0"/>
    <x v="14"/>
    <x v="1"/>
    <x v="2"/>
    <x v="1"/>
    <x v="1"/>
    <x v="1"/>
    <x v="3"/>
    <x v="9"/>
    <x v="0"/>
    <x v="0"/>
    <x v="4"/>
    <x v="0"/>
    <x v="0"/>
    <x v="0"/>
    <x v="2"/>
    <x v="4"/>
    <x v="1"/>
    <x v="1"/>
    <x v="3"/>
    <x v="3"/>
    <x v="2"/>
    <x v="1"/>
    <x v="1"/>
    <x v="0"/>
    <x v="0"/>
    <x v="1"/>
    <x v="2"/>
    <x v="0"/>
    <x v="1"/>
  </r>
  <r>
    <x v="0"/>
    <x v="16"/>
    <x v="0"/>
    <x v="0"/>
    <x v="2"/>
    <x v="5"/>
    <x v="2"/>
    <x v="5"/>
    <x v="5"/>
    <x v="0"/>
    <x v="1"/>
    <x v="0"/>
    <x v="0"/>
    <x v="0"/>
    <x v="2"/>
    <x v="0"/>
    <x v="0"/>
    <x v="5"/>
    <x v="0"/>
    <x v="5"/>
    <x v="0"/>
    <x v="5"/>
    <x v="0"/>
    <x v="1"/>
    <x v="1"/>
    <x v="5"/>
    <x v="5"/>
    <x v="5"/>
    <x v="5"/>
    <x v="5"/>
    <x v="0"/>
    <x v="5"/>
    <x v="0"/>
    <x v="5"/>
    <x v="16"/>
    <x v="16"/>
    <x v="0"/>
    <x v="0"/>
    <x v="15"/>
    <x v="0"/>
    <x v="2"/>
    <x v="0"/>
    <x v="1"/>
    <x v="2"/>
    <x v="4"/>
    <x v="13"/>
    <x v="2"/>
    <x v="0"/>
    <x v="5"/>
    <x v="0"/>
    <x v="0"/>
    <x v="0"/>
    <x v="0"/>
    <x v="5"/>
    <x v="0"/>
    <x v="1"/>
    <x v="4"/>
    <x v="2"/>
    <x v="1"/>
    <x v="1"/>
    <x v="1"/>
    <x v="0"/>
    <x v="0"/>
    <x v="2"/>
    <x v="0"/>
    <x v="0"/>
    <x v="2"/>
  </r>
  <r>
    <x v="0"/>
    <x v="17"/>
    <x v="0"/>
    <x v="0"/>
    <x v="2"/>
    <x v="5"/>
    <x v="2"/>
    <x v="5"/>
    <x v="5"/>
    <x v="0"/>
    <x v="1"/>
    <x v="0"/>
    <x v="0"/>
    <x v="0"/>
    <x v="2"/>
    <x v="0"/>
    <x v="0"/>
    <x v="5"/>
    <x v="0"/>
    <x v="5"/>
    <x v="0"/>
    <x v="5"/>
    <x v="0"/>
    <x v="1"/>
    <x v="1"/>
    <x v="5"/>
    <x v="5"/>
    <x v="5"/>
    <x v="5"/>
    <x v="5"/>
    <x v="0"/>
    <x v="5"/>
    <x v="0"/>
    <x v="5"/>
    <x v="17"/>
    <x v="17"/>
    <x v="0"/>
    <x v="0"/>
    <x v="16"/>
    <x v="0"/>
    <x v="2"/>
    <x v="0"/>
    <x v="1"/>
    <x v="2"/>
    <x v="4"/>
    <x v="14"/>
    <x v="2"/>
    <x v="0"/>
    <x v="5"/>
    <x v="0"/>
    <x v="0"/>
    <x v="0"/>
    <x v="0"/>
    <x v="5"/>
    <x v="0"/>
    <x v="1"/>
    <x v="4"/>
    <x v="2"/>
    <x v="1"/>
    <x v="1"/>
    <x v="1"/>
    <x v="0"/>
    <x v="0"/>
    <x v="2"/>
    <x v="0"/>
    <x v="0"/>
    <x v="2"/>
  </r>
  <r>
    <x v="0"/>
    <x v="18"/>
    <x v="0"/>
    <x v="0"/>
    <x v="2"/>
    <x v="6"/>
    <x v="2"/>
    <x v="6"/>
    <x v="6"/>
    <x v="0"/>
    <x v="4"/>
    <x v="1"/>
    <x v="1"/>
    <x v="5"/>
    <x v="2"/>
    <x v="0"/>
    <x v="0"/>
    <x v="6"/>
    <x v="2"/>
    <x v="6"/>
    <x v="0"/>
    <x v="6"/>
    <x v="0"/>
    <x v="0"/>
    <x v="1"/>
    <x v="6"/>
    <x v="6"/>
    <x v="6"/>
    <x v="6"/>
    <x v="6"/>
    <x v="1"/>
    <x v="6"/>
    <x v="2"/>
    <x v="6"/>
    <x v="18"/>
    <x v="17"/>
    <x v="0"/>
    <x v="0"/>
    <x v="17"/>
    <x v="0"/>
    <x v="2"/>
    <x v="0"/>
    <x v="1"/>
    <x v="0"/>
    <x v="5"/>
    <x v="15"/>
    <x v="2"/>
    <x v="0"/>
    <x v="6"/>
    <x v="0"/>
    <x v="0"/>
    <x v="0"/>
    <x v="0"/>
    <x v="6"/>
    <x v="0"/>
    <x v="1"/>
    <x v="0"/>
    <x v="0"/>
    <x v="1"/>
    <x v="1"/>
    <x v="1"/>
    <x v="0"/>
    <x v="0"/>
    <x v="2"/>
    <x v="0"/>
    <x v="0"/>
    <x v="2"/>
  </r>
  <r>
    <x v="0"/>
    <x v="19"/>
    <x v="0"/>
    <x v="0"/>
    <x v="2"/>
    <x v="6"/>
    <x v="2"/>
    <x v="6"/>
    <x v="6"/>
    <x v="0"/>
    <x v="4"/>
    <x v="1"/>
    <x v="1"/>
    <x v="5"/>
    <x v="2"/>
    <x v="0"/>
    <x v="0"/>
    <x v="6"/>
    <x v="2"/>
    <x v="6"/>
    <x v="0"/>
    <x v="6"/>
    <x v="0"/>
    <x v="0"/>
    <x v="1"/>
    <x v="6"/>
    <x v="6"/>
    <x v="6"/>
    <x v="6"/>
    <x v="6"/>
    <x v="1"/>
    <x v="6"/>
    <x v="2"/>
    <x v="6"/>
    <x v="19"/>
    <x v="16"/>
    <x v="0"/>
    <x v="0"/>
    <x v="18"/>
    <x v="0"/>
    <x v="2"/>
    <x v="0"/>
    <x v="1"/>
    <x v="0"/>
    <x v="5"/>
    <x v="16"/>
    <x v="2"/>
    <x v="0"/>
    <x v="6"/>
    <x v="0"/>
    <x v="0"/>
    <x v="0"/>
    <x v="0"/>
    <x v="6"/>
    <x v="0"/>
    <x v="1"/>
    <x v="0"/>
    <x v="0"/>
    <x v="1"/>
    <x v="1"/>
    <x v="1"/>
    <x v="0"/>
    <x v="0"/>
    <x v="2"/>
    <x v="0"/>
    <x v="0"/>
    <x v="2"/>
  </r>
  <r>
    <x v="0"/>
    <x v="20"/>
    <x v="0"/>
    <x v="0"/>
    <x v="5"/>
    <x v="5"/>
    <x v="5"/>
    <x v="5"/>
    <x v="5"/>
    <x v="0"/>
    <x v="1"/>
    <x v="0"/>
    <x v="0"/>
    <x v="0"/>
    <x v="4"/>
    <x v="0"/>
    <x v="0"/>
    <x v="5"/>
    <x v="0"/>
    <x v="7"/>
    <x v="0"/>
    <x v="7"/>
    <x v="0"/>
    <x v="4"/>
    <x v="1"/>
    <x v="5"/>
    <x v="5"/>
    <x v="5"/>
    <x v="5"/>
    <x v="7"/>
    <x v="0"/>
    <x v="7"/>
    <x v="0"/>
    <x v="7"/>
    <x v="20"/>
    <x v="18"/>
    <x v="0"/>
    <x v="0"/>
    <x v="19"/>
    <x v="1"/>
    <x v="3"/>
    <x v="0"/>
    <x v="1"/>
    <x v="1"/>
    <x v="4"/>
    <x v="9"/>
    <x v="2"/>
    <x v="0"/>
    <x v="7"/>
    <x v="0"/>
    <x v="0"/>
    <x v="0"/>
    <x v="0"/>
    <x v="5"/>
    <x v="0"/>
    <x v="1"/>
    <x v="5"/>
    <x v="4"/>
    <x v="0"/>
    <x v="1"/>
    <x v="1"/>
    <x v="0"/>
    <x v="0"/>
    <x v="1"/>
    <x v="0"/>
    <x v="0"/>
    <x v="0"/>
  </r>
  <r>
    <x v="1"/>
    <x v="21"/>
    <x v="0"/>
    <x v="0"/>
    <x v="6"/>
    <x v="7"/>
    <x v="6"/>
    <x v="7"/>
    <x v="7"/>
    <x v="0"/>
    <x v="1"/>
    <x v="1"/>
    <x v="3"/>
    <x v="6"/>
    <x v="3"/>
    <x v="0"/>
    <x v="0"/>
    <x v="7"/>
    <x v="2"/>
    <x v="8"/>
    <x v="1"/>
    <x v="8"/>
    <x v="0"/>
    <x v="3"/>
    <x v="1"/>
    <x v="7"/>
    <x v="7"/>
    <x v="7"/>
    <x v="7"/>
    <x v="8"/>
    <x v="1"/>
    <x v="8"/>
    <x v="2"/>
    <x v="8"/>
    <x v="21"/>
    <x v="19"/>
    <x v="0"/>
    <x v="0"/>
    <x v="20"/>
    <x v="1"/>
    <x v="2"/>
    <x v="1"/>
    <x v="1"/>
    <x v="1"/>
    <x v="3"/>
    <x v="9"/>
    <x v="2"/>
    <x v="0"/>
    <x v="8"/>
    <x v="0"/>
    <x v="0"/>
    <x v="0"/>
    <x v="1"/>
    <x v="7"/>
    <x v="1"/>
    <x v="1"/>
    <x v="6"/>
    <x v="5"/>
    <x v="1"/>
    <x v="0"/>
    <x v="1"/>
    <x v="0"/>
    <x v="0"/>
    <x v="1"/>
    <x v="3"/>
    <x v="0"/>
    <x v="4"/>
  </r>
  <r>
    <x v="1"/>
    <x v="22"/>
    <x v="0"/>
    <x v="0"/>
    <x v="7"/>
    <x v="8"/>
    <x v="7"/>
    <x v="8"/>
    <x v="8"/>
    <x v="3"/>
    <x v="3"/>
    <x v="2"/>
    <x v="4"/>
    <x v="7"/>
    <x v="3"/>
    <x v="1"/>
    <x v="1"/>
    <x v="8"/>
    <x v="2"/>
    <x v="9"/>
    <x v="1"/>
    <x v="9"/>
    <x v="0"/>
    <x v="3"/>
    <x v="3"/>
    <x v="8"/>
    <x v="8"/>
    <x v="8"/>
    <x v="8"/>
    <x v="9"/>
    <x v="1"/>
    <x v="9"/>
    <x v="2"/>
    <x v="9"/>
    <x v="22"/>
    <x v="20"/>
    <x v="0"/>
    <x v="0"/>
    <x v="21"/>
    <x v="1"/>
    <x v="2"/>
    <x v="1"/>
    <x v="1"/>
    <x v="1"/>
    <x v="3"/>
    <x v="9"/>
    <x v="3"/>
    <x v="0"/>
    <x v="9"/>
    <x v="0"/>
    <x v="0"/>
    <x v="0"/>
    <x v="3"/>
    <x v="8"/>
    <x v="1"/>
    <x v="1"/>
    <x v="7"/>
    <x v="2"/>
    <x v="2"/>
    <x v="0"/>
    <x v="1"/>
    <x v="0"/>
    <x v="0"/>
    <x v="1"/>
    <x v="4"/>
    <x v="3"/>
    <x v="5"/>
  </r>
  <r>
    <x v="0"/>
    <x v="23"/>
    <x v="0"/>
    <x v="0"/>
    <x v="2"/>
    <x v="2"/>
    <x v="2"/>
    <x v="2"/>
    <x v="2"/>
    <x v="0"/>
    <x v="2"/>
    <x v="1"/>
    <x v="1"/>
    <x v="2"/>
    <x v="2"/>
    <x v="0"/>
    <x v="0"/>
    <x v="2"/>
    <x v="1"/>
    <x v="10"/>
    <x v="0"/>
    <x v="10"/>
    <x v="0"/>
    <x v="2"/>
    <x v="2"/>
    <x v="2"/>
    <x v="2"/>
    <x v="2"/>
    <x v="2"/>
    <x v="10"/>
    <x v="1"/>
    <x v="10"/>
    <x v="1"/>
    <x v="10"/>
    <x v="13"/>
    <x v="13"/>
    <x v="0"/>
    <x v="0"/>
    <x v="22"/>
    <x v="0"/>
    <x v="2"/>
    <x v="2"/>
    <x v="1"/>
    <x v="1"/>
    <x v="2"/>
    <x v="9"/>
    <x v="1"/>
    <x v="0"/>
    <x v="10"/>
    <x v="0"/>
    <x v="0"/>
    <x v="0"/>
    <x v="0"/>
    <x v="2"/>
    <x v="0"/>
    <x v="1"/>
    <x v="2"/>
    <x v="2"/>
    <x v="1"/>
    <x v="2"/>
    <x v="1"/>
    <x v="0"/>
    <x v="0"/>
    <x v="1"/>
    <x v="0"/>
    <x v="2"/>
    <x v="2"/>
  </r>
  <r>
    <x v="1"/>
    <x v="24"/>
    <x v="0"/>
    <x v="0"/>
    <x v="8"/>
    <x v="9"/>
    <x v="8"/>
    <x v="9"/>
    <x v="9"/>
    <x v="0"/>
    <x v="2"/>
    <x v="1"/>
    <x v="4"/>
    <x v="8"/>
    <x v="3"/>
    <x v="0"/>
    <x v="0"/>
    <x v="9"/>
    <x v="2"/>
    <x v="11"/>
    <x v="1"/>
    <x v="11"/>
    <x v="0"/>
    <x v="3"/>
    <x v="4"/>
    <x v="9"/>
    <x v="7"/>
    <x v="9"/>
    <x v="9"/>
    <x v="11"/>
    <x v="1"/>
    <x v="11"/>
    <x v="2"/>
    <x v="11"/>
    <x v="23"/>
    <x v="21"/>
    <x v="0"/>
    <x v="0"/>
    <x v="23"/>
    <x v="1"/>
    <x v="2"/>
    <x v="1"/>
    <x v="1"/>
    <x v="1"/>
    <x v="3"/>
    <x v="9"/>
    <x v="4"/>
    <x v="0"/>
    <x v="11"/>
    <x v="0"/>
    <x v="0"/>
    <x v="0"/>
    <x v="3"/>
    <x v="9"/>
    <x v="1"/>
    <x v="0"/>
    <x v="3"/>
    <x v="2"/>
    <x v="0"/>
    <x v="0"/>
    <x v="1"/>
    <x v="0"/>
    <x v="0"/>
    <x v="1"/>
    <x v="5"/>
    <x v="2"/>
    <x v="6"/>
  </r>
  <r>
    <x v="0"/>
    <x v="25"/>
    <x v="0"/>
    <x v="0"/>
    <x v="9"/>
    <x v="10"/>
    <x v="9"/>
    <x v="10"/>
    <x v="10"/>
    <x v="0"/>
    <x v="5"/>
    <x v="0"/>
    <x v="0"/>
    <x v="0"/>
    <x v="5"/>
    <x v="0"/>
    <x v="0"/>
    <x v="10"/>
    <x v="0"/>
    <x v="12"/>
    <x v="0"/>
    <x v="12"/>
    <x v="0"/>
    <x v="5"/>
    <x v="2"/>
    <x v="10"/>
    <x v="6"/>
    <x v="10"/>
    <x v="10"/>
    <x v="12"/>
    <x v="0"/>
    <x v="12"/>
    <x v="0"/>
    <x v="12"/>
    <x v="24"/>
    <x v="22"/>
    <x v="0"/>
    <x v="0"/>
    <x v="24"/>
    <x v="1"/>
    <x v="4"/>
    <x v="0"/>
    <x v="0"/>
    <x v="1"/>
    <x v="6"/>
    <x v="9"/>
    <x v="5"/>
    <x v="0"/>
    <x v="12"/>
    <x v="0"/>
    <x v="0"/>
    <x v="0"/>
    <x v="0"/>
    <x v="10"/>
    <x v="0"/>
    <x v="1"/>
    <x v="8"/>
    <x v="6"/>
    <x v="0"/>
    <x v="1"/>
    <x v="0"/>
    <x v="0"/>
    <x v="0"/>
    <x v="1"/>
    <x v="0"/>
    <x v="3"/>
    <x v="0"/>
  </r>
  <r>
    <x v="0"/>
    <x v="26"/>
    <x v="0"/>
    <x v="0"/>
    <x v="2"/>
    <x v="11"/>
    <x v="2"/>
    <x v="11"/>
    <x v="11"/>
    <x v="4"/>
    <x v="2"/>
    <x v="0"/>
    <x v="5"/>
    <x v="9"/>
    <x v="2"/>
    <x v="0"/>
    <x v="0"/>
    <x v="11"/>
    <x v="0"/>
    <x v="13"/>
    <x v="0"/>
    <x v="13"/>
    <x v="0"/>
    <x v="6"/>
    <x v="1"/>
    <x v="11"/>
    <x v="9"/>
    <x v="11"/>
    <x v="11"/>
    <x v="13"/>
    <x v="0"/>
    <x v="13"/>
    <x v="0"/>
    <x v="13"/>
    <x v="25"/>
    <x v="23"/>
    <x v="0"/>
    <x v="0"/>
    <x v="25"/>
    <x v="1"/>
    <x v="2"/>
    <x v="0"/>
    <x v="0"/>
    <x v="1"/>
    <x v="7"/>
    <x v="9"/>
    <x v="6"/>
    <x v="0"/>
    <x v="13"/>
    <x v="0"/>
    <x v="0"/>
    <x v="0"/>
    <x v="0"/>
    <x v="11"/>
    <x v="0"/>
    <x v="1"/>
    <x v="9"/>
    <x v="7"/>
    <x v="1"/>
    <x v="0"/>
    <x v="0"/>
    <x v="0"/>
    <x v="0"/>
    <x v="1"/>
    <x v="0"/>
    <x v="0"/>
    <x v="2"/>
  </r>
  <r>
    <x v="1"/>
    <x v="27"/>
    <x v="0"/>
    <x v="0"/>
    <x v="10"/>
    <x v="12"/>
    <x v="10"/>
    <x v="12"/>
    <x v="12"/>
    <x v="5"/>
    <x v="3"/>
    <x v="3"/>
    <x v="6"/>
    <x v="10"/>
    <x v="3"/>
    <x v="2"/>
    <x v="2"/>
    <x v="12"/>
    <x v="0"/>
    <x v="14"/>
    <x v="1"/>
    <x v="14"/>
    <x v="0"/>
    <x v="3"/>
    <x v="1"/>
    <x v="0"/>
    <x v="10"/>
    <x v="12"/>
    <x v="12"/>
    <x v="14"/>
    <x v="0"/>
    <x v="14"/>
    <x v="0"/>
    <x v="14"/>
    <x v="26"/>
    <x v="24"/>
    <x v="0"/>
    <x v="0"/>
    <x v="26"/>
    <x v="1"/>
    <x v="2"/>
    <x v="1"/>
    <x v="1"/>
    <x v="1"/>
    <x v="3"/>
    <x v="9"/>
    <x v="6"/>
    <x v="0"/>
    <x v="14"/>
    <x v="0"/>
    <x v="0"/>
    <x v="0"/>
    <x v="4"/>
    <x v="12"/>
    <x v="1"/>
    <x v="1"/>
    <x v="7"/>
    <x v="6"/>
    <x v="0"/>
    <x v="0"/>
    <x v="1"/>
    <x v="0"/>
    <x v="0"/>
    <x v="1"/>
    <x v="6"/>
    <x v="0"/>
    <x v="7"/>
  </r>
  <r>
    <x v="1"/>
    <x v="28"/>
    <x v="0"/>
    <x v="0"/>
    <x v="11"/>
    <x v="13"/>
    <x v="10"/>
    <x v="13"/>
    <x v="13"/>
    <x v="5"/>
    <x v="3"/>
    <x v="3"/>
    <x v="6"/>
    <x v="11"/>
    <x v="3"/>
    <x v="2"/>
    <x v="3"/>
    <x v="13"/>
    <x v="0"/>
    <x v="15"/>
    <x v="1"/>
    <x v="15"/>
    <x v="0"/>
    <x v="3"/>
    <x v="4"/>
    <x v="12"/>
    <x v="11"/>
    <x v="13"/>
    <x v="13"/>
    <x v="15"/>
    <x v="0"/>
    <x v="15"/>
    <x v="0"/>
    <x v="15"/>
    <x v="27"/>
    <x v="25"/>
    <x v="0"/>
    <x v="0"/>
    <x v="27"/>
    <x v="1"/>
    <x v="2"/>
    <x v="1"/>
    <x v="1"/>
    <x v="1"/>
    <x v="3"/>
    <x v="9"/>
    <x v="7"/>
    <x v="0"/>
    <x v="15"/>
    <x v="0"/>
    <x v="0"/>
    <x v="0"/>
    <x v="1"/>
    <x v="13"/>
    <x v="1"/>
    <x v="1"/>
    <x v="6"/>
    <x v="8"/>
    <x v="0"/>
    <x v="0"/>
    <x v="1"/>
    <x v="0"/>
    <x v="0"/>
    <x v="1"/>
    <x v="7"/>
    <x v="0"/>
    <x v="7"/>
  </r>
  <r>
    <x v="1"/>
    <x v="29"/>
    <x v="0"/>
    <x v="0"/>
    <x v="12"/>
    <x v="14"/>
    <x v="8"/>
    <x v="14"/>
    <x v="14"/>
    <x v="0"/>
    <x v="2"/>
    <x v="0"/>
    <x v="4"/>
    <x v="8"/>
    <x v="3"/>
    <x v="0"/>
    <x v="0"/>
    <x v="14"/>
    <x v="2"/>
    <x v="16"/>
    <x v="0"/>
    <x v="16"/>
    <x v="0"/>
    <x v="3"/>
    <x v="4"/>
    <x v="0"/>
    <x v="0"/>
    <x v="14"/>
    <x v="14"/>
    <x v="16"/>
    <x v="1"/>
    <x v="16"/>
    <x v="2"/>
    <x v="16"/>
    <x v="28"/>
    <x v="26"/>
    <x v="0"/>
    <x v="0"/>
    <x v="28"/>
    <x v="1"/>
    <x v="2"/>
    <x v="0"/>
    <x v="1"/>
    <x v="1"/>
    <x v="3"/>
    <x v="9"/>
    <x v="8"/>
    <x v="0"/>
    <x v="16"/>
    <x v="0"/>
    <x v="0"/>
    <x v="0"/>
    <x v="4"/>
    <x v="14"/>
    <x v="1"/>
    <x v="1"/>
    <x v="3"/>
    <x v="6"/>
    <x v="0"/>
    <x v="0"/>
    <x v="1"/>
    <x v="0"/>
    <x v="0"/>
    <x v="1"/>
    <x v="8"/>
    <x v="0"/>
    <x v="6"/>
  </r>
  <r>
    <x v="0"/>
    <x v="30"/>
    <x v="0"/>
    <x v="0"/>
    <x v="12"/>
    <x v="14"/>
    <x v="8"/>
    <x v="14"/>
    <x v="14"/>
    <x v="0"/>
    <x v="2"/>
    <x v="0"/>
    <x v="4"/>
    <x v="8"/>
    <x v="3"/>
    <x v="0"/>
    <x v="0"/>
    <x v="14"/>
    <x v="2"/>
    <x v="16"/>
    <x v="0"/>
    <x v="16"/>
    <x v="0"/>
    <x v="3"/>
    <x v="4"/>
    <x v="0"/>
    <x v="0"/>
    <x v="14"/>
    <x v="14"/>
    <x v="17"/>
    <x v="0"/>
    <x v="16"/>
    <x v="2"/>
    <x v="16"/>
    <x v="13"/>
    <x v="13"/>
    <x v="0"/>
    <x v="0"/>
    <x v="28"/>
    <x v="1"/>
    <x v="2"/>
    <x v="2"/>
    <x v="1"/>
    <x v="1"/>
    <x v="3"/>
    <x v="9"/>
    <x v="1"/>
    <x v="0"/>
    <x v="16"/>
    <x v="0"/>
    <x v="0"/>
    <x v="0"/>
    <x v="0"/>
    <x v="14"/>
    <x v="1"/>
    <x v="1"/>
    <x v="3"/>
    <x v="6"/>
    <x v="0"/>
    <x v="0"/>
    <x v="1"/>
    <x v="0"/>
    <x v="0"/>
    <x v="1"/>
    <x v="0"/>
    <x v="0"/>
    <x v="6"/>
  </r>
  <r>
    <x v="0"/>
    <x v="31"/>
    <x v="0"/>
    <x v="0"/>
    <x v="2"/>
    <x v="6"/>
    <x v="2"/>
    <x v="6"/>
    <x v="6"/>
    <x v="0"/>
    <x v="4"/>
    <x v="1"/>
    <x v="1"/>
    <x v="5"/>
    <x v="2"/>
    <x v="0"/>
    <x v="0"/>
    <x v="6"/>
    <x v="2"/>
    <x v="17"/>
    <x v="0"/>
    <x v="17"/>
    <x v="0"/>
    <x v="0"/>
    <x v="1"/>
    <x v="6"/>
    <x v="6"/>
    <x v="6"/>
    <x v="6"/>
    <x v="18"/>
    <x v="1"/>
    <x v="17"/>
    <x v="2"/>
    <x v="17"/>
    <x v="29"/>
    <x v="27"/>
    <x v="0"/>
    <x v="0"/>
    <x v="18"/>
    <x v="0"/>
    <x v="2"/>
    <x v="0"/>
    <x v="1"/>
    <x v="2"/>
    <x v="5"/>
    <x v="17"/>
    <x v="9"/>
    <x v="0"/>
    <x v="17"/>
    <x v="0"/>
    <x v="0"/>
    <x v="0"/>
    <x v="0"/>
    <x v="6"/>
    <x v="0"/>
    <x v="1"/>
    <x v="0"/>
    <x v="0"/>
    <x v="1"/>
    <x v="1"/>
    <x v="1"/>
    <x v="0"/>
    <x v="0"/>
    <x v="2"/>
    <x v="0"/>
    <x v="0"/>
    <x v="2"/>
  </r>
  <r>
    <x v="0"/>
    <x v="32"/>
    <x v="0"/>
    <x v="0"/>
    <x v="2"/>
    <x v="6"/>
    <x v="2"/>
    <x v="6"/>
    <x v="6"/>
    <x v="0"/>
    <x v="4"/>
    <x v="1"/>
    <x v="1"/>
    <x v="5"/>
    <x v="2"/>
    <x v="0"/>
    <x v="0"/>
    <x v="6"/>
    <x v="2"/>
    <x v="17"/>
    <x v="0"/>
    <x v="17"/>
    <x v="0"/>
    <x v="0"/>
    <x v="1"/>
    <x v="6"/>
    <x v="6"/>
    <x v="6"/>
    <x v="6"/>
    <x v="18"/>
    <x v="1"/>
    <x v="17"/>
    <x v="2"/>
    <x v="17"/>
    <x v="30"/>
    <x v="28"/>
    <x v="0"/>
    <x v="0"/>
    <x v="29"/>
    <x v="0"/>
    <x v="2"/>
    <x v="0"/>
    <x v="1"/>
    <x v="0"/>
    <x v="5"/>
    <x v="18"/>
    <x v="10"/>
    <x v="0"/>
    <x v="17"/>
    <x v="0"/>
    <x v="0"/>
    <x v="0"/>
    <x v="0"/>
    <x v="6"/>
    <x v="0"/>
    <x v="1"/>
    <x v="0"/>
    <x v="0"/>
    <x v="1"/>
    <x v="1"/>
    <x v="1"/>
    <x v="0"/>
    <x v="0"/>
    <x v="2"/>
    <x v="0"/>
    <x v="0"/>
    <x v="2"/>
  </r>
  <r>
    <x v="1"/>
    <x v="33"/>
    <x v="0"/>
    <x v="0"/>
    <x v="2"/>
    <x v="15"/>
    <x v="2"/>
    <x v="15"/>
    <x v="15"/>
    <x v="6"/>
    <x v="3"/>
    <x v="0"/>
    <x v="1"/>
    <x v="12"/>
    <x v="2"/>
    <x v="0"/>
    <x v="0"/>
    <x v="15"/>
    <x v="0"/>
    <x v="18"/>
    <x v="0"/>
    <x v="18"/>
    <x v="0"/>
    <x v="1"/>
    <x v="2"/>
    <x v="5"/>
    <x v="12"/>
    <x v="15"/>
    <x v="15"/>
    <x v="19"/>
    <x v="0"/>
    <x v="18"/>
    <x v="0"/>
    <x v="18"/>
    <x v="31"/>
    <x v="29"/>
    <x v="0"/>
    <x v="0"/>
    <x v="30"/>
    <x v="1"/>
    <x v="2"/>
    <x v="0"/>
    <x v="1"/>
    <x v="1"/>
    <x v="3"/>
    <x v="9"/>
    <x v="9"/>
    <x v="0"/>
    <x v="18"/>
    <x v="0"/>
    <x v="0"/>
    <x v="0"/>
    <x v="1"/>
    <x v="15"/>
    <x v="1"/>
    <x v="1"/>
    <x v="4"/>
    <x v="3"/>
    <x v="1"/>
    <x v="1"/>
    <x v="1"/>
    <x v="0"/>
    <x v="0"/>
    <x v="1"/>
    <x v="9"/>
    <x v="0"/>
    <x v="2"/>
  </r>
  <r>
    <x v="0"/>
    <x v="34"/>
    <x v="0"/>
    <x v="0"/>
    <x v="13"/>
    <x v="16"/>
    <x v="11"/>
    <x v="16"/>
    <x v="16"/>
    <x v="1"/>
    <x v="5"/>
    <x v="4"/>
    <x v="7"/>
    <x v="13"/>
    <x v="3"/>
    <x v="3"/>
    <x v="4"/>
    <x v="16"/>
    <x v="3"/>
    <x v="19"/>
    <x v="1"/>
    <x v="19"/>
    <x v="0"/>
    <x v="3"/>
    <x v="2"/>
    <x v="4"/>
    <x v="13"/>
    <x v="16"/>
    <x v="16"/>
    <x v="20"/>
    <x v="0"/>
    <x v="19"/>
    <x v="3"/>
    <x v="19"/>
    <x v="13"/>
    <x v="13"/>
    <x v="0"/>
    <x v="0"/>
    <x v="31"/>
    <x v="1"/>
    <x v="2"/>
    <x v="2"/>
    <x v="1"/>
    <x v="1"/>
    <x v="3"/>
    <x v="9"/>
    <x v="1"/>
    <x v="0"/>
    <x v="19"/>
    <x v="0"/>
    <x v="0"/>
    <x v="0"/>
    <x v="0"/>
    <x v="16"/>
    <x v="0"/>
    <x v="1"/>
    <x v="3"/>
    <x v="6"/>
    <x v="0"/>
    <x v="1"/>
    <x v="1"/>
    <x v="0"/>
    <x v="0"/>
    <x v="1"/>
    <x v="0"/>
    <x v="3"/>
    <x v="1"/>
  </r>
  <r>
    <x v="1"/>
    <x v="35"/>
    <x v="0"/>
    <x v="0"/>
    <x v="14"/>
    <x v="17"/>
    <x v="12"/>
    <x v="17"/>
    <x v="17"/>
    <x v="1"/>
    <x v="5"/>
    <x v="5"/>
    <x v="3"/>
    <x v="6"/>
    <x v="3"/>
    <x v="4"/>
    <x v="5"/>
    <x v="17"/>
    <x v="0"/>
    <x v="20"/>
    <x v="1"/>
    <x v="20"/>
    <x v="0"/>
    <x v="3"/>
    <x v="1"/>
    <x v="13"/>
    <x v="14"/>
    <x v="17"/>
    <x v="17"/>
    <x v="21"/>
    <x v="0"/>
    <x v="20"/>
    <x v="0"/>
    <x v="20"/>
    <x v="32"/>
    <x v="30"/>
    <x v="0"/>
    <x v="0"/>
    <x v="32"/>
    <x v="1"/>
    <x v="2"/>
    <x v="1"/>
    <x v="1"/>
    <x v="1"/>
    <x v="3"/>
    <x v="9"/>
    <x v="9"/>
    <x v="0"/>
    <x v="20"/>
    <x v="0"/>
    <x v="0"/>
    <x v="0"/>
    <x v="3"/>
    <x v="17"/>
    <x v="1"/>
    <x v="1"/>
    <x v="3"/>
    <x v="9"/>
    <x v="0"/>
    <x v="3"/>
    <x v="1"/>
    <x v="0"/>
    <x v="0"/>
    <x v="1"/>
    <x v="10"/>
    <x v="0"/>
    <x v="2"/>
  </r>
  <r>
    <x v="0"/>
    <x v="36"/>
    <x v="0"/>
    <x v="0"/>
    <x v="2"/>
    <x v="18"/>
    <x v="2"/>
    <x v="18"/>
    <x v="18"/>
    <x v="1"/>
    <x v="4"/>
    <x v="0"/>
    <x v="7"/>
    <x v="13"/>
    <x v="2"/>
    <x v="0"/>
    <x v="0"/>
    <x v="18"/>
    <x v="0"/>
    <x v="21"/>
    <x v="0"/>
    <x v="21"/>
    <x v="0"/>
    <x v="4"/>
    <x v="3"/>
    <x v="14"/>
    <x v="11"/>
    <x v="13"/>
    <x v="18"/>
    <x v="22"/>
    <x v="0"/>
    <x v="21"/>
    <x v="0"/>
    <x v="21"/>
    <x v="33"/>
    <x v="31"/>
    <x v="0"/>
    <x v="0"/>
    <x v="33"/>
    <x v="1"/>
    <x v="2"/>
    <x v="0"/>
    <x v="0"/>
    <x v="2"/>
    <x v="8"/>
    <x v="9"/>
    <x v="11"/>
    <x v="0"/>
    <x v="21"/>
    <x v="0"/>
    <x v="0"/>
    <x v="0"/>
    <x v="0"/>
    <x v="18"/>
    <x v="0"/>
    <x v="1"/>
    <x v="10"/>
    <x v="6"/>
    <x v="1"/>
    <x v="0"/>
    <x v="0"/>
    <x v="0"/>
    <x v="0"/>
    <x v="1"/>
    <x v="0"/>
    <x v="3"/>
    <x v="2"/>
  </r>
  <r>
    <x v="1"/>
    <x v="37"/>
    <x v="0"/>
    <x v="0"/>
    <x v="15"/>
    <x v="19"/>
    <x v="4"/>
    <x v="19"/>
    <x v="19"/>
    <x v="1"/>
    <x v="4"/>
    <x v="0"/>
    <x v="0"/>
    <x v="14"/>
    <x v="6"/>
    <x v="0"/>
    <x v="0"/>
    <x v="19"/>
    <x v="0"/>
    <x v="22"/>
    <x v="1"/>
    <x v="22"/>
    <x v="0"/>
    <x v="3"/>
    <x v="4"/>
    <x v="15"/>
    <x v="15"/>
    <x v="18"/>
    <x v="19"/>
    <x v="23"/>
    <x v="0"/>
    <x v="22"/>
    <x v="0"/>
    <x v="22"/>
    <x v="34"/>
    <x v="32"/>
    <x v="0"/>
    <x v="0"/>
    <x v="34"/>
    <x v="1"/>
    <x v="5"/>
    <x v="1"/>
    <x v="1"/>
    <x v="1"/>
    <x v="3"/>
    <x v="9"/>
    <x v="12"/>
    <x v="0"/>
    <x v="22"/>
    <x v="0"/>
    <x v="0"/>
    <x v="0"/>
    <x v="3"/>
    <x v="19"/>
    <x v="1"/>
    <x v="0"/>
    <x v="11"/>
    <x v="9"/>
    <x v="0"/>
    <x v="0"/>
    <x v="1"/>
    <x v="0"/>
    <x v="0"/>
    <x v="1"/>
    <x v="11"/>
    <x v="2"/>
    <x v="1"/>
  </r>
  <r>
    <x v="1"/>
    <x v="38"/>
    <x v="0"/>
    <x v="0"/>
    <x v="15"/>
    <x v="19"/>
    <x v="4"/>
    <x v="19"/>
    <x v="19"/>
    <x v="1"/>
    <x v="4"/>
    <x v="0"/>
    <x v="0"/>
    <x v="14"/>
    <x v="6"/>
    <x v="0"/>
    <x v="0"/>
    <x v="19"/>
    <x v="0"/>
    <x v="22"/>
    <x v="1"/>
    <x v="22"/>
    <x v="0"/>
    <x v="3"/>
    <x v="4"/>
    <x v="15"/>
    <x v="15"/>
    <x v="18"/>
    <x v="19"/>
    <x v="23"/>
    <x v="0"/>
    <x v="22"/>
    <x v="0"/>
    <x v="22"/>
    <x v="35"/>
    <x v="33"/>
    <x v="0"/>
    <x v="0"/>
    <x v="35"/>
    <x v="1"/>
    <x v="5"/>
    <x v="1"/>
    <x v="1"/>
    <x v="1"/>
    <x v="3"/>
    <x v="9"/>
    <x v="12"/>
    <x v="0"/>
    <x v="22"/>
    <x v="0"/>
    <x v="0"/>
    <x v="0"/>
    <x v="1"/>
    <x v="19"/>
    <x v="1"/>
    <x v="0"/>
    <x v="11"/>
    <x v="9"/>
    <x v="0"/>
    <x v="0"/>
    <x v="1"/>
    <x v="0"/>
    <x v="0"/>
    <x v="1"/>
    <x v="11"/>
    <x v="2"/>
    <x v="1"/>
  </r>
  <r>
    <x v="1"/>
    <x v="39"/>
    <x v="0"/>
    <x v="0"/>
    <x v="16"/>
    <x v="20"/>
    <x v="3"/>
    <x v="20"/>
    <x v="20"/>
    <x v="7"/>
    <x v="3"/>
    <x v="0"/>
    <x v="1"/>
    <x v="3"/>
    <x v="3"/>
    <x v="0"/>
    <x v="0"/>
    <x v="20"/>
    <x v="0"/>
    <x v="23"/>
    <x v="1"/>
    <x v="23"/>
    <x v="0"/>
    <x v="3"/>
    <x v="4"/>
    <x v="10"/>
    <x v="16"/>
    <x v="19"/>
    <x v="20"/>
    <x v="24"/>
    <x v="0"/>
    <x v="23"/>
    <x v="0"/>
    <x v="23"/>
    <x v="36"/>
    <x v="34"/>
    <x v="0"/>
    <x v="0"/>
    <x v="36"/>
    <x v="1"/>
    <x v="2"/>
    <x v="1"/>
    <x v="1"/>
    <x v="1"/>
    <x v="3"/>
    <x v="9"/>
    <x v="13"/>
    <x v="0"/>
    <x v="23"/>
    <x v="0"/>
    <x v="0"/>
    <x v="0"/>
    <x v="5"/>
    <x v="20"/>
    <x v="1"/>
    <x v="1"/>
    <x v="6"/>
    <x v="1"/>
    <x v="0"/>
    <x v="1"/>
    <x v="1"/>
    <x v="0"/>
    <x v="0"/>
    <x v="1"/>
    <x v="12"/>
    <x v="0"/>
    <x v="3"/>
  </r>
  <r>
    <x v="1"/>
    <x v="40"/>
    <x v="0"/>
    <x v="0"/>
    <x v="17"/>
    <x v="21"/>
    <x v="13"/>
    <x v="21"/>
    <x v="21"/>
    <x v="1"/>
    <x v="2"/>
    <x v="6"/>
    <x v="8"/>
    <x v="15"/>
    <x v="3"/>
    <x v="5"/>
    <x v="6"/>
    <x v="21"/>
    <x v="2"/>
    <x v="24"/>
    <x v="1"/>
    <x v="24"/>
    <x v="0"/>
    <x v="3"/>
    <x v="4"/>
    <x v="1"/>
    <x v="17"/>
    <x v="20"/>
    <x v="21"/>
    <x v="25"/>
    <x v="1"/>
    <x v="24"/>
    <x v="2"/>
    <x v="24"/>
    <x v="37"/>
    <x v="21"/>
    <x v="0"/>
    <x v="0"/>
    <x v="37"/>
    <x v="1"/>
    <x v="2"/>
    <x v="1"/>
    <x v="1"/>
    <x v="1"/>
    <x v="3"/>
    <x v="9"/>
    <x v="14"/>
    <x v="0"/>
    <x v="24"/>
    <x v="0"/>
    <x v="0"/>
    <x v="0"/>
    <x v="3"/>
    <x v="21"/>
    <x v="1"/>
    <x v="0"/>
    <x v="3"/>
    <x v="2"/>
    <x v="0"/>
    <x v="1"/>
    <x v="1"/>
    <x v="0"/>
    <x v="0"/>
    <x v="1"/>
    <x v="13"/>
    <x v="0"/>
    <x v="1"/>
  </r>
  <r>
    <x v="1"/>
    <x v="41"/>
    <x v="0"/>
    <x v="0"/>
    <x v="18"/>
    <x v="22"/>
    <x v="12"/>
    <x v="22"/>
    <x v="22"/>
    <x v="1"/>
    <x v="6"/>
    <x v="7"/>
    <x v="9"/>
    <x v="16"/>
    <x v="3"/>
    <x v="6"/>
    <x v="7"/>
    <x v="22"/>
    <x v="0"/>
    <x v="25"/>
    <x v="1"/>
    <x v="25"/>
    <x v="0"/>
    <x v="3"/>
    <x v="3"/>
    <x v="16"/>
    <x v="18"/>
    <x v="21"/>
    <x v="22"/>
    <x v="26"/>
    <x v="0"/>
    <x v="25"/>
    <x v="0"/>
    <x v="25"/>
    <x v="38"/>
    <x v="35"/>
    <x v="0"/>
    <x v="0"/>
    <x v="38"/>
    <x v="1"/>
    <x v="2"/>
    <x v="1"/>
    <x v="1"/>
    <x v="1"/>
    <x v="3"/>
    <x v="9"/>
    <x v="14"/>
    <x v="0"/>
    <x v="25"/>
    <x v="0"/>
    <x v="0"/>
    <x v="0"/>
    <x v="1"/>
    <x v="22"/>
    <x v="1"/>
    <x v="1"/>
    <x v="3"/>
    <x v="6"/>
    <x v="3"/>
    <x v="0"/>
    <x v="1"/>
    <x v="0"/>
    <x v="0"/>
    <x v="1"/>
    <x v="14"/>
    <x v="3"/>
    <x v="2"/>
  </r>
  <r>
    <x v="0"/>
    <x v="42"/>
    <x v="0"/>
    <x v="0"/>
    <x v="17"/>
    <x v="21"/>
    <x v="13"/>
    <x v="21"/>
    <x v="21"/>
    <x v="1"/>
    <x v="2"/>
    <x v="6"/>
    <x v="8"/>
    <x v="15"/>
    <x v="3"/>
    <x v="5"/>
    <x v="6"/>
    <x v="21"/>
    <x v="2"/>
    <x v="24"/>
    <x v="1"/>
    <x v="24"/>
    <x v="0"/>
    <x v="3"/>
    <x v="4"/>
    <x v="1"/>
    <x v="17"/>
    <x v="20"/>
    <x v="21"/>
    <x v="27"/>
    <x v="0"/>
    <x v="24"/>
    <x v="2"/>
    <x v="24"/>
    <x v="13"/>
    <x v="13"/>
    <x v="0"/>
    <x v="0"/>
    <x v="37"/>
    <x v="1"/>
    <x v="2"/>
    <x v="2"/>
    <x v="1"/>
    <x v="1"/>
    <x v="3"/>
    <x v="9"/>
    <x v="1"/>
    <x v="0"/>
    <x v="24"/>
    <x v="0"/>
    <x v="0"/>
    <x v="0"/>
    <x v="0"/>
    <x v="21"/>
    <x v="1"/>
    <x v="0"/>
    <x v="3"/>
    <x v="2"/>
    <x v="0"/>
    <x v="1"/>
    <x v="1"/>
    <x v="0"/>
    <x v="0"/>
    <x v="1"/>
    <x v="0"/>
    <x v="0"/>
    <x v="1"/>
  </r>
  <r>
    <x v="1"/>
    <x v="43"/>
    <x v="0"/>
    <x v="0"/>
    <x v="19"/>
    <x v="23"/>
    <x v="14"/>
    <x v="23"/>
    <x v="23"/>
    <x v="1"/>
    <x v="1"/>
    <x v="0"/>
    <x v="0"/>
    <x v="14"/>
    <x v="7"/>
    <x v="0"/>
    <x v="0"/>
    <x v="23"/>
    <x v="0"/>
    <x v="26"/>
    <x v="1"/>
    <x v="26"/>
    <x v="0"/>
    <x v="3"/>
    <x v="1"/>
    <x v="17"/>
    <x v="19"/>
    <x v="22"/>
    <x v="23"/>
    <x v="28"/>
    <x v="0"/>
    <x v="26"/>
    <x v="0"/>
    <x v="26"/>
    <x v="39"/>
    <x v="36"/>
    <x v="0"/>
    <x v="0"/>
    <x v="39"/>
    <x v="1"/>
    <x v="6"/>
    <x v="1"/>
    <x v="1"/>
    <x v="1"/>
    <x v="3"/>
    <x v="9"/>
    <x v="15"/>
    <x v="0"/>
    <x v="26"/>
    <x v="0"/>
    <x v="0"/>
    <x v="0"/>
    <x v="4"/>
    <x v="23"/>
    <x v="1"/>
    <x v="1"/>
    <x v="3"/>
    <x v="6"/>
    <x v="0"/>
    <x v="1"/>
    <x v="1"/>
    <x v="0"/>
    <x v="0"/>
    <x v="1"/>
    <x v="15"/>
    <x v="0"/>
    <x v="1"/>
  </r>
  <r>
    <x v="0"/>
    <x v="44"/>
    <x v="0"/>
    <x v="0"/>
    <x v="20"/>
    <x v="24"/>
    <x v="15"/>
    <x v="24"/>
    <x v="24"/>
    <x v="1"/>
    <x v="2"/>
    <x v="8"/>
    <x v="0"/>
    <x v="14"/>
    <x v="8"/>
    <x v="0"/>
    <x v="0"/>
    <x v="24"/>
    <x v="4"/>
    <x v="27"/>
    <x v="1"/>
    <x v="27"/>
    <x v="0"/>
    <x v="7"/>
    <x v="0"/>
    <x v="18"/>
    <x v="20"/>
    <x v="23"/>
    <x v="24"/>
    <x v="29"/>
    <x v="0"/>
    <x v="27"/>
    <x v="4"/>
    <x v="27"/>
    <x v="13"/>
    <x v="13"/>
    <x v="0"/>
    <x v="0"/>
    <x v="40"/>
    <x v="1"/>
    <x v="7"/>
    <x v="2"/>
    <x v="1"/>
    <x v="1"/>
    <x v="9"/>
    <x v="9"/>
    <x v="1"/>
    <x v="0"/>
    <x v="27"/>
    <x v="0"/>
    <x v="0"/>
    <x v="0"/>
    <x v="0"/>
    <x v="24"/>
    <x v="0"/>
    <x v="2"/>
    <x v="12"/>
    <x v="5"/>
    <x v="1"/>
    <x v="0"/>
    <x v="1"/>
    <x v="0"/>
    <x v="0"/>
    <x v="1"/>
    <x v="0"/>
    <x v="2"/>
    <x v="1"/>
  </r>
  <r>
    <x v="0"/>
    <x v="45"/>
    <x v="0"/>
    <x v="0"/>
    <x v="2"/>
    <x v="25"/>
    <x v="2"/>
    <x v="25"/>
    <x v="25"/>
    <x v="0"/>
    <x v="2"/>
    <x v="0"/>
    <x v="0"/>
    <x v="0"/>
    <x v="2"/>
    <x v="0"/>
    <x v="0"/>
    <x v="5"/>
    <x v="0"/>
    <x v="28"/>
    <x v="0"/>
    <x v="28"/>
    <x v="0"/>
    <x v="5"/>
    <x v="1"/>
    <x v="5"/>
    <x v="5"/>
    <x v="5"/>
    <x v="5"/>
    <x v="30"/>
    <x v="0"/>
    <x v="28"/>
    <x v="0"/>
    <x v="28"/>
    <x v="40"/>
    <x v="28"/>
    <x v="0"/>
    <x v="0"/>
    <x v="41"/>
    <x v="0"/>
    <x v="2"/>
    <x v="0"/>
    <x v="0"/>
    <x v="3"/>
    <x v="4"/>
    <x v="19"/>
    <x v="16"/>
    <x v="0"/>
    <x v="28"/>
    <x v="0"/>
    <x v="0"/>
    <x v="0"/>
    <x v="0"/>
    <x v="5"/>
    <x v="0"/>
    <x v="1"/>
    <x v="8"/>
    <x v="1"/>
    <x v="1"/>
    <x v="1"/>
    <x v="1"/>
    <x v="0"/>
    <x v="0"/>
    <x v="2"/>
    <x v="0"/>
    <x v="0"/>
    <x v="2"/>
  </r>
  <r>
    <x v="0"/>
    <x v="46"/>
    <x v="0"/>
    <x v="0"/>
    <x v="2"/>
    <x v="25"/>
    <x v="2"/>
    <x v="25"/>
    <x v="25"/>
    <x v="0"/>
    <x v="2"/>
    <x v="0"/>
    <x v="0"/>
    <x v="0"/>
    <x v="2"/>
    <x v="0"/>
    <x v="0"/>
    <x v="5"/>
    <x v="0"/>
    <x v="28"/>
    <x v="0"/>
    <x v="28"/>
    <x v="0"/>
    <x v="5"/>
    <x v="1"/>
    <x v="5"/>
    <x v="5"/>
    <x v="5"/>
    <x v="5"/>
    <x v="30"/>
    <x v="0"/>
    <x v="28"/>
    <x v="0"/>
    <x v="28"/>
    <x v="41"/>
    <x v="27"/>
    <x v="0"/>
    <x v="0"/>
    <x v="15"/>
    <x v="0"/>
    <x v="2"/>
    <x v="0"/>
    <x v="0"/>
    <x v="3"/>
    <x v="4"/>
    <x v="20"/>
    <x v="16"/>
    <x v="0"/>
    <x v="28"/>
    <x v="0"/>
    <x v="0"/>
    <x v="0"/>
    <x v="0"/>
    <x v="5"/>
    <x v="0"/>
    <x v="1"/>
    <x v="8"/>
    <x v="1"/>
    <x v="1"/>
    <x v="1"/>
    <x v="1"/>
    <x v="0"/>
    <x v="0"/>
    <x v="2"/>
    <x v="0"/>
    <x v="0"/>
    <x v="2"/>
  </r>
  <r>
    <x v="0"/>
    <x v="47"/>
    <x v="0"/>
    <x v="0"/>
    <x v="2"/>
    <x v="26"/>
    <x v="2"/>
    <x v="26"/>
    <x v="26"/>
    <x v="0"/>
    <x v="2"/>
    <x v="1"/>
    <x v="0"/>
    <x v="0"/>
    <x v="2"/>
    <x v="0"/>
    <x v="0"/>
    <x v="25"/>
    <x v="2"/>
    <x v="29"/>
    <x v="0"/>
    <x v="29"/>
    <x v="0"/>
    <x v="4"/>
    <x v="1"/>
    <x v="19"/>
    <x v="21"/>
    <x v="8"/>
    <x v="25"/>
    <x v="31"/>
    <x v="1"/>
    <x v="29"/>
    <x v="2"/>
    <x v="29"/>
    <x v="42"/>
    <x v="37"/>
    <x v="0"/>
    <x v="0"/>
    <x v="42"/>
    <x v="0"/>
    <x v="2"/>
    <x v="0"/>
    <x v="1"/>
    <x v="4"/>
    <x v="10"/>
    <x v="21"/>
    <x v="17"/>
    <x v="0"/>
    <x v="29"/>
    <x v="0"/>
    <x v="0"/>
    <x v="0"/>
    <x v="0"/>
    <x v="25"/>
    <x v="0"/>
    <x v="1"/>
    <x v="5"/>
    <x v="4"/>
    <x v="1"/>
    <x v="0"/>
    <x v="1"/>
    <x v="0"/>
    <x v="0"/>
    <x v="2"/>
    <x v="0"/>
    <x v="2"/>
    <x v="2"/>
  </r>
  <r>
    <x v="0"/>
    <x v="48"/>
    <x v="0"/>
    <x v="0"/>
    <x v="2"/>
    <x v="26"/>
    <x v="2"/>
    <x v="26"/>
    <x v="26"/>
    <x v="0"/>
    <x v="2"/>
    <x v="1"/>
    <x v="0"/>
    <x v="0"/>
    <x v="2"/>
    <x v="0"/>
    <x v="0"/>
    <x v="25"/>
    <x v="2"/>
    <x v="29"/>
    <x v="0"/>
    <x v="29"/>
    <x v="0"/>
    <x v="4"/>
    <x v="1"/>
    <x v="19"/>
    <x v="21"/>
    <x v="8"/>
    <x v="25"/>
    <x v="31"/>
    <x v="1"/>
    <x v="29"/>
    <x v="2"/>
    <x v="29"/>
    <x v="43"/>
    <x v="38"/>
    <x v="0"/>
    <x v="0"/>
    <x v="43"/>
    <x v="0"/>
    <x v="2"/>
    <x v="0"/>
    <x v="1"/>
    <x v="4"/>
    <x v="10"/>
    <x v="22"/>
    <x v="17"/>
    <x v="0"/>
    <x v="29"/>
    <x v="0"/>
    <x v="0"/>
    <x v="0"/>
    <x v="0"/>
    <x v="25"/>
    <x v="0"/>
    <x v="1"/>
    <x v="5"/>
    <x v="4"/>
    <x v="1"/>
    <x v="0"/>
    <x v="1"/>
    <x v="0"/>
    <x v="0"/>
    <x v="2"/>
    <x v="0"/>
    <x v="2"/>
    <x v="2"/>
  </r>
  <r>
    <x v="0"/>
    <x v="49"/>
    <x v="0"/>
    <x v="0"/>
    <x v="2"/>
    <x v="27"/>
    <x v="2"/>
    <x v="27"/>
    <x v="27"/>
    <x v="0"/>
    <x v="2"/>
    <x v="0"/>
    <x v="4"/>
    <x v="8"/>
    <x v="2"/>
    <x v="0"/>
    <x v="0"/>
    <x v="26"/>
    <x v="0"/>
    <x v="30"/>
    <x v="0"/>
    <x v="30"/>
    <x v="0"/>
    <x v="6"/>
    <x v="1"/>
    <x v="20"/>
    <x v="22"/>
    <x v="24"/>
    <x v="26"/>
    <x v="32"/>
    <x v="0"/>
    <x v="30"/>
    <x v="0"/>
    <x v="30"/>
    <x v="44"/>
    <x v="37"/>
    <x v="0"/>
    <x v="0"/>
    <x v="44"/>
    <x v="0"/>
    <x v="2"/>
    <x v="0"/>
    <x v="1"/>
    <x v="4"/>
    <x v="11"/>
    <x v="23"/>
    <x v="17"/>
    <x v="0"/>
    <x v="30"/>
    <x v="0"/>
    <x v="0"/>
    <x v="0"/>
    <x v="0"/>
    <x v="26"/>
    <x v="0"/>
    <x v="1"/>
    <x v="13"/>
    <x v="10"/>
    <x v="1"/>
    <x v="0"/>
    <x v="1"/>
    <x v="0"/>
    <x v="0"/>
    <x v="2"/>
    <x v="0"/>
    <x v="2"/>
    <x v="2"/>
  </r>
  <r>
    <x v="0"/>
    <x v="50"/>
    <x v="0"/>
    <x v="0"/>
    <x v="2"/>
    <x v="27"/>
    <x v="2"/>
    <x v="27"/>
    <x v="27"/>
    <x v="0"/>
    <x v="2"/>
    <x v="0"/>
    <x v="4"/>
    <x v="8"/>
    <x v="2"/>
    <x v="0"/>
    <x v="0"/>
    <x v="26"/>
    <x v="0"/>
    <x v="30"/>
    <x v="0"/>
    <x v="30"/>
    <x v="0"/>
    <x v="6"/>
    <x v="1"/>
    <x v="20"/>
    <x v="22"/>
    <x v="24"/>
    <x v="26"/>
    <x v="32"/>
    <x v="0"/>
    <x v="30"/>
    <x v="0"/>
    <x v="30"/>
    <x v="45"/>
    <x v="38"/>
    <x v="0"/>
    <x v="0"/>
    <x v="45"/>
    <x v="0"/>
    <x v="2"/>
    <x v="0"/>
    <x v="1"/>
    <x v="4"/>
    <x v="11"/>
    <x v="24"/>
    <x v="17"/>
    <x v="0"/>
    <x v="30"/>
    <x v="0"/>
    <x v="0"/>
    <x v="0"/>
    <x v="0"/>
    <x v="26"/>
    <x v="0"/>
    <x v="1"/>
    <x v="13"/>
    <x v="10"/>
    <x v="1"/>
    <x v="0"/>
    <x v="1"/>
    <x v="0"/>
    <x v="0"/>
    <x v="2"/>
    <x v="0"/>
    <x v="2"/>
    <x v="2"/>
  </r>
  <r>
    <x v="0"/>
    <x v="51"/>
    <x v="0"/>
    <x v="0"/>
    <x v="2"/>
    <x v="28"/>
    <x v="2"/>
    <x v="28"/>
    <x v="28"/>
    <x v="1"/>
    <x v="2"/>
    <x v="0"/>
    <x v="0"/>
    <x v="1"/>
    <x v="2"/>
    <x v="0"/>
    <x v="0"/>
    <x v="27"/>
    <x v="0"/>
    <x v="31"/>
    <x v="0"/>
    <x v="30"/>
    <x v="0"/>
    <x v="6"/>
    <x v="1"/>
    <x v="21"/>
    <x v="23"/>
    <x v="25"/>
    <x v="27"/>
    <x v="33"/>
    <x v="0"/>
    <x v="31"/>
    <x v="0"/>
    <x v="31"/>
    <x v="46"/>
    <x v="39"/>
    <x v="0"/>
    <x v="0"/>
    <x v="46"/>
    <x v="0"/>
    <x v="8"/>
    <x v="0"/>
    <x v="1"/>
    <x v="4"/>
    <x v="12"/>
    <x v="25"/>
    <x v="17"/>
    <x v="0"/>
    <x v="31"/>
    <x v="0"/>
    <x v="0"/>
    <x v="0"/>
    <x v="0"/>
    <x v="27"/>
    <x v="0"/>
    <x v="1"/>
    <x v="14"/>
    <x v="11"/>
    <x v="1"/>
    <x v="1"/>
    <x v="1"/>
    <x v="0"/>
    <x v="0"/>
    <x v="2"/>
    <x v="0"/>
    <x v="1"/>
    <x v="2"/>
  </r>
  <r>
    <x v="0"/>
    <x v="52"/>
    <x v="0"/>
    <x v="0"/>
    <x v="2"/>
    <x v="28"/>
    <x v="2"/>
    <x v="28"/>
    <x v="28"/>
    <x v="1"/>
    <x v="2"/>
    <x v="0"/>
    <x v="0"/>
    <x v="1"/>
    <x v="2"/>
    <x v="0"/>
    <x v="0"/>
    <x v="27"/>
    <x v="0"/>
    <x v="31"/>
    <x v="0"/>
    <x v="30"/>
    <x v="0"/>
    <x v="6"/>
    <x v="1"/>
    <x v="21"/>
    <x v="23"/>
    <x v="25"/>
    <x v="27"/>
    <x v="33"/>
    <x v="0"/>
    <x v="31"/>
    <x v="0"/>
    <x v="31"/>
    <x v="47"/>
    <x v="38"/>
    <x v="0"/>
    <x v="0"/>
    <x v="47"/>
    <x v="0"/>
    <x v="8"/>
    <x v="0"/>
    <x v="1"/>
    <x v="4"/>
    <x v="12"/>
    <x v="26"/>
    <x v="17"/>
    <x v="0"/>
    <x v="31"/>
    <x v="0"/>
    <x v="0"/>
    <x v="0"/>
    <x v="0"/>
    <x v="27"/>
    <x v="0"/>
    <x v="1"/>
    <x v="14"/>
    <x v="11"/>
    <x v="1"/>
    <x v="1"/>
    <x v="1"/>
    <x v="0"/>
    <x v="0"/>
    <x v="2"/>
    <x v="0"/>
    <x v="1"/>
    <x v="2"/>
  </r>
  <r>
    <x v="0"/>
    <x v="53"/>
    <x v="0"/>
    <x v="0"/>
    <x v="2"/>
    <x v="29"/>
    <x v="2"/>
    <x v="29"/>
    <x v="29"/>
    <x v="1"/>
    <x v="4"/>
    <x v="9"/>
    <x v="1"/>
    <x v="2"/>
    <x v="2"/>
    <x v="0"/>
    <x v="0"/>
    <x v="28"/>
    <x v="0"/>
    <x v="32"/>
    <x v="0"/>
    <x v="31"/>
    <x v="0"/>
    <x v="6"/>
    <x v="1"/>
    <x v="22"/>
    <x v="24"/>
    <x v="26"/>
    <x v="28"/>
    <x v="34"/>
    <x v="0"/>
    <x v="32"/>
    <x v="0"/>
    <x v="32"/>
    <x v="42"/>
    <x v="37"/>
    <x v="0"/>
    <x v="0"/>
    <x v="42"/>
    <x v="0"/>
    <x v="2"/>
    <x v="0"/>
    <x v="1"/>
    <x v="4"/>
    <x v="13"/>
    <x v="27"/>
    <x v="17"/>
    <x v="0"/>
    <x v="32"/>
    <x v="0"/>
    <x v="0"/>
    <x v="0"/>
    <x v="0"/>
    <x v="28"/>
    <x v="0"/>
    <x v="1"/>
    <x v="15"/>
    <x v="0"/>
    <x v="1"/>
    <x v="1"/>
    <x v="1"/>
    <x v="0"/>
    <x v="0"/>
    <x v="2"/>
    <x v="0"/>
    <x v="3"/>
    <x v="2"/>
  </r>
  <r>
    <x v="0"/>
    <x v="54"/>
    <x v="0"/>
    <x v="0"/>
    <x v="2"/>
    <x v="29"/>
    <x v="2"/>
    <x v="29"/>
    <x v="29"/>
    <x v="1"/>
    <x v="4"/>
    <x v="9"/>
    <x v="1"/>
    <x v="2"/>
    <x v="2"/>
    <x v="0"/>
    <x v="0"/>
    <x v="28"/>
    <x v="0"/>
    <x v="32"/>
    <x v="0"/>
    <x v="31"/>
    <x v="0"/>
    <x v="6"/>
    <x v="1"/>
    <x v="22"/>
    <x v="24"/>
    <x v="26"/>
    <x v="28"/>
    <x v="34"/>
    <x v="0"/>
    <x v="32"/>
    <x v="0"/>
    <x v="32"/>
    <x v="43"/>
    <x v="38"/>
    <x v="0"/>
    <x v="0"/>
    <x v="43"/>
    <x v="0"/>
    <x v="2"/>
    <x v="0"/>
    <x v="1"/>
    <x v="4"/>
    <x v="13"/>
    <x v="28"/>
    <x v="17"/>
    <x v="0"/>
    <x v="32"/>
    <x v="0"/>
    <x v="0"/>
    <x v="0"/>
    <x v="0"/>
    <x v="28"/>
    <x v="0"/>
    <x v="1"/>
    <x v="15"/>
    <x v="0"/>
    <x v="1"/>
    <x v="1"/>
    <x v="1"/>
    <x v="0"/>
    <x v="0"/>
    <x v="2"/>
    <x v="0"/>
    <x v="3"/>
    <x v="2"/>
  </r>
  <r>
    <x v="0"/>
    <x v="55"/>
    <x v="0"/>
    <x v="0"/>
    <x v="2"/>
    <x v="30"/>
    <x v="2"/>
    <x v="30"/>
    <x v="30"/>
    <x v="8"/>
    <x v="0"/>
    <x v="0"/>
    <x v="4"/>
    <x v="8"/>
    <x v="2"/>
    <x v="0"/>
    <x v="0"/>
    <x v="29"/>
    <x v="0"/>
    <x v="33"/>
    <x v="0"/>
    <x v="30"/>
    <x v="0"/>
    <x v="8"/>
    <x v="1"/>
    <x v="4"/>
    <x v="25"/>
    <x v="6"/>
    <x v="29"/>
    <x v="35"/>
    <x v="0"/>
    <x v="33"/>
    <x v="0"/>
    <x v="33"/>
    <x v="42"/>
    <x v="37"/>
    <x v="0"/>
    <x v="0"/>
    <x v="48"/>
    <x v="0"/>
    <x v="2"/>
    <x v="0"/>
    <x v="1"/>
    <x v="4"/>
    <x v="14"/>
    <x v="29"/>
    <x v="17"/>
    <x v="0"/>
    <x v="33"/>
    <x v="0"/>
    <x v="0"/>
    <x v="0"/>
    <x v="0"/>
    <x v="29"/>
    <x v="0"/>
    <x v="1"/>
    <x v="16"/>
    <x v="0"/>
    <x v="1"/>
    <x v="1"/>
    <x v="1"/>
    <x v="0"/>
    <x v="0"/>
    <x v="2"/>
    <x v="0"/>
    <x v="0"/>
    <x v="2"/>
  </r>
  <r>
    <x v="0"/>
    <x v="56"/>
    <x v="0"/>
    <x v="0"/>
    <x v="2"/>
    <x v="30"/>
    <x v="2"/>
    <x v="30"/>
    <x v="30"/>
    <x v="8"/>
    <x v="0"/>
    <x v="0"/>
    <x v="4"/>
    <x v="8"/>
    <x v="2"/>
    <x v="0"/>
    <x v="0"/>
    <x v="29"/>
    <x v="0"/>
    <x v="33"/>
    <x v="0"/>
    <x v="30"/>
    <x v="0"/>
    <x v="8"/>
    <x v="1"/>
    <x v="4"/>
    <x v="25"/>
    <x v="6"/>
    <x v="29"/>
    <x v="35"/>
    <x v="0"/>
    <x v="33"/>
    <x v="0"/>
    <x v="33"/>
    <x v="43"/>
    <x v="38"/>
    <x v="0"/>
    <x v="0"/>
    <x v="43"/>
    <x v="0"/>
    <x v="2"/>
    <x v="0"/>
    <x v="1"/>
    <x v="4"/>
    <x v="14"/>
    <x v="30"/>
    <x v="17"/>
    <x v="0"/>
    <x v="33"/>
    <x v="0"/>
    <x v="0"/>
    <x v="0"/>
    <x v="0"/>
    <x v="29"/>
    <x v="0"/>
    <x v="1"/>
    <x v="16"/>
    <x v="0"/>
    <x v="1"/>
    <x v="1"/>
    <x v="1"/>
    <x v="0"/>
    <x v="0"/>
    <x v="2"/>
    <x v="0"/>
    <x v="0"/>
    <x v="2"/>
  </r>
  <r>
    <x v="0"/>
    <x v="57"/>
    <x v="0"/>
    <x v="0"/>
    <x v="2"/>
    <x v="31"/>
    <x v="2"/>
    <x v="31"/>
    <x v="31"/>
    <x v="0"/>
    <x v="1"/>
    <x v="0"/>
    <x v="0"/>
    <x v="0"/>
    <x v="2"/>
    <x v="0"/>
    <x v="0"/>
    <x v="30"/>
    <x v="0"/>
    <x v="34"/>
    <x v="0"/>
    <x v="32"/>
    <x v="0"/>
    <x v="4"/>
    <x v="1"/>
    <x v="23"/>
    <x v="26"/>
    <x v="27"/>
    <x v="30"/>
    <x v="36"/>
    <x v="0"/>
    <x v="34"/>
    <x v="0"/>
    <x v="34"/>
    <x v="42"/>
    <x v="37"/>
    <x v="0"/>
    <x v="0"/>
    <x v="49"/>
    <x v="0"/>
    <x v="2"/>
    <x v="0"/>
    <x v="1"/>
    <x v="4"/>
    <x v="15"/>
    <x v="31"/>
    <x v="17"/>
    <x v="0"/>
    <x v="34"/>
    <x v="0"/>
    <x v="0"/>
    <x v="0"/>
    <x v="0"/>
    <x v="30"/>
    <x v="0"/>
    <x v="1"/>
    <x v="5"/>
    <x v="4"/>
    <x v="1"/>
    <x v="0"/>
    <x v="1"/>
    <x v="0"/>
    <x v="0"/>
    <x v="2"/>
    <x v="0"/>
    <x v="2"/>
    <x v="2"/>
  </r>
  <r>
    <x v="0"/>
    <x v="58"/>
    <x v="0"/>
    <x v="0"/>
    <x v="2"/>
    <x v="31"/>
    <x v="2"/>
    <x v="31"/>
    <x v="31"/>
    <x v="0"/>
    <x v="1"/>
    <x v="0"/>
    <x v="0"/>
    <x v="0"/>
    <x v="2"/>
    <x v="0"/>
    <x v="0"/>
    <x v="30"/>
    <x v="0"/>
    <x v="34"/>
    <x v="0"/>
    <x v="32"/>
    <x v="0"/>
    <x v="4"/>
    <x v="1"/>
    <x v="23"/>
    <x v="26"/>
    <x v="27"/>
    <x v="30"/>
    <x v="36"/>
    <x v="0"/>
    <x v="34"/>
    <x v="0"/>
    <x v="34"/>
    <x v="43"/>
    <x v="38"/>
    <x v="0"/>
    <x v="0"/>
    <x v="50"/>
    <x v="0"/>
    <x v="2"/>
    <x v="0"/>
    <x v="1"/>
    <x v="4"/>
    <x v="15"/>
    <x v="32"/>
    <x v="17"/>
    <x v="0"/>
    <x v="34"/>
    <x v="0"/>
    <x v="0"/>
    <x v="0"/>
    <x v="0"/>
    <x v="30"/>
    <x v="0"/>
    <x v="1"/>
    <x v="5"/>
    <x v="4"/>
    <x v="1"/>
    <x v="0"/>
    <x v="1"/>
    <x v="0"/>
    <x v="0"/>
    <x v="2"/>
    <x v="0"/>
    <x v="2"/>
    <x v="2"/>
  </r>
  <r>
    <x v="0"/>
    <x v="59"/>
    <x v="0"/>
    <x v="0"/>
    <x v="2"/>
    <x v="31"/>
    <x v="2"/>
    <x v="31"/>
    <x v="31"/>
    <x v="0"/>
    <x v="1"/>
    <x v="0"/>
    <x v="0"/>
    <x v="0"/>
    <x v="2"/>
    <x v="0"/>
    <x v="0"/>
    <x v="30"/>
    <x v="0"/>
    <x v="34"/>
    <x v="0"/>
    <x v="32"/>
    <x v="0"/>
    <x v="4"/>
    <x v="1"/>
    <x v="23"/>
    <x v="26"/>
    <x v="27"/>
    <x v="30"/>
    <x v="36"/>
    <x v="0"/>
    <x v="34"/>
    <x v="0"/>
    <x v="34"/>
    <x v="47"/>
    <x v="38"/>
    <x v="0"/>
    <x v="0"/>
    <x v="50"/>
    <x v="0"/>
    <x v="2"/>
    <x v="0"/>
    <x v="1"/>
    <x v="0"/>
    <x v="15"/>
    <x v="33"/>
    <x v="17"/>
    <x v="0"/>
    <x v="34"/>
    <x v="0"/>
    <x v="0"/>
    <x v="0"/>
    <x v="0"/>
    <x v="30"/>
    <x v="0"/>
    <x v="1"/>
    <x v="5"/>
    <x v="4"/>
    <x v="1"/>
    <x v="0"/>
    <x v="1"/>
    <x v="0"/>
    <x v="0"/>
    <x v="2"/>
    <x v="0"/>
    <x v="2"/>
    <x v="2"/>
  </r>
  <r>
    <x v="0"/>
    <x v="60"/>
    <x v="0"/>
    <x v="0"/>
    <x v="2"/>
    <x v="31"/>
    <x v="2"/>
    <x v="31"/>
    <x v="31"/>
    <x v="0"/>
    <x v="1"/>
    <x v="0"/>
    <x v="0"/>
    <x v="0"/>
    <x v="2"/>
    <x v="0"/>
    <x v="0"/>
    <x v="30"/>
    <x v="0"/>
    <x v="34"/>
    <x v="0"/>
    <x v="32"/>
    <x v="0"/>
    <x v="4"/>
    <x v="1"/>
    <x v="23"/>
    <x v="26"/>
    <x v="27"/>
    <x v="30"/>
    <x v="36"/>
    <x v="0"/>
    <x v="34"/>
    <x v="0"/>
    <x v="34"/>
    <x v="46"/>
    <x v="39"/>
    <x v="0"/>
    <x v="0"/>
    <x v="49"/>
    <x v="0"/>
    <x v="2"/>
    <x v="0"/>
    <x v="1"/>
    <x v="0"/>
    <x v="15"/>
    <x v="34"/>
    <x v="17"/>
    <x v="0"/>
    <x v="34"/>
    <x v="0"/>
    <x v="0"/>
    <x v="0"/>
    <x v="0"/>
    <x v="30"/>
    <x v="0"/>
    <x v="1"/>
    <x v="5"/>
    <x v="4"/>
    <x v="1"/>
    <x v="0"/>
    <x v="1"/>
    <x v="0"/>
    <x v="0"/>
    <x v="2"/>
    <x v="0"/>
    <x v="2"/>
    <x v="2"/>
  </r>
  <r>
    <x v="1"/>
    <x v="61"/>
    <x v="0"/>
    <x v="0"/>
    <x v="4"/>
    <x v="32"/>
    <x v="4"/>
    <x v="32"/>
    <x v="4"/>
    <x v="1"/>
    <x v="1"/>
    <x v="0"/>
    <x v="1"/>
    <x v="17"/>
    <x v="3"/>
    <x v="0"/>
    <x v="0"/>
    <x v="31"/>
    <x v="0"/>
    <x v="35"/>
    <x v="1"/>
    <x v="33"/>
    <x v="0"/>
    <x v="3"/>
    <x v="1"/>
    <x v="24"/>
    <x v="1"/>
    <x v="28"/>
    <x v="31"/>
    <x v="37"/>
    <x v="0"/>
    <x v="35"/>
    <x v="5"/>
    <x v="35"/>
    <x v="48"/>
    <x v="40"/>
    <x v="1"/>
    <x v="0"/>
    <x v="51"/>
    <x v="1"/>
    <x v="2"/>
    <x v="1"/>
    <x v="2"/>
    <x v="1"/>
    <x v="3"/>
    <x v="9"/>
    <x v="4"/>
    <x v="0"/>
    <x v="35"/>
    <x v="0"/>
    <x v="0"/>
    <x v="0"/>
    <x v="4"/>
    <x v="31"/>
    <x v="1"/>
    <x v="1"/>
    <x v="6"/>
    <x v="2"/>
    <x v="0"/>
    <x v="0"/>
    <x v="1"/>
    <x v="1"/>
    <x v="0"/>
    <x v="1"/>
    <x v="16"/>
    <x v="0"/>
    <x v="1"/>
  </r>
  <r>
    <x v="0"/>
    <x v="62"/>
    <x v="0"/>
    <x v="0"/>
    <x v="2"/>
    <x v="33"/>
    <x v="2"/>
    <x v="33"/>
    <x v="32"/>
    <x v="0"/>
    <x v="4"/>
    <x v="0"/>
    <x v="1"/>
    <x v="17"/>
    <x v="2"/>
    <x v="0"/>
    <x v="0"/>
    <x v="32"/>
    <x v="0"/>
    <x v="36"/>
    <x v="0"/>
    <x v="34"/>
    <x v="0"/>
    <x v="9"/>
    <x v="4"/>
    <x v="13"/>
    <x v="27"/>
    <x v="2"/>
    <x v="32"/>
    <x v="38"/>
    <x v="0"/>
    <x v="36"/>
    <x v="0"/>
    <x v="36"/>
    <x v="49"/>
    <x v="6"/>
    <x v="0"/>
    <x v="0"/>
    <x v="52"/>
    <x v="0"/>
    <x v="2"/>
    <x v="0"/>
    <x v="2"/>
    <x v="2"/>
    <x v="16"/>
    <x v="35"/>
    <x v="5"/>
    <x v="0"/>
    <x v="36"/>
    <x v="0"/>
    <x v="0"/>
    <x v="0"/>
    <x v="0"/>
    <x v="32"/>
    <x v="0"/>
    <x v="1"/>
    <x v="17"/>
    <x v="12"/>
    <x v="1"/>
    <x v="3"/>
    <x v="1"/>
    <x v="0"/>
    <x v="0"/>
    <x v="2"/>
    <x v="0"/>
    <x v="0"/>
    <x v="2"/>
  </r>
  <r>
    <x v="0"/>
    <x v="63"/>
    <x v="0"/>
    <x v="0"/>
    <x v="2"/>
    <x v="34"/>
    <x v="2"/>
    <x v="34"/>
    <x v="33"/>
    <x v="1"/>
    <x v="2"/>
    <x v="0"/>
    <x v="0"/>
    <x v="18"/>
    <x v="2"/>
    <x v="0"/>
    <x v="0"/>
    <x v="33"/>
    <x v="0"/>
    <x v="37"/>
    <x v="0"/>
    <x v="35"/>
    <x v="0"/>
    <x v="9"/>
    <x v="1"/>
    <x v="25"/>
    <x v="28"/>
    <x v="29"/>
    <x v="33"/>
    <x v="39"/>
    <x v="0"/>
    <x v="37"/>
    <x v="0"/>
    <x v="37"/>
    <x v="6"/>
    <x v="6"/>
    <x v="0"/>
    <x v="0"/>
    <x v="53"/>
    <x v="0"/>
    <x v="2"/>
    <x v="0"/>
    <x v="2"/>
    <x v="2"/>
    <x v="17"/>
    <x v="36"/>
    <x v="18"/>
    <x v="0"/>
    <x v="37"/>
    <x v="0"/>
    <x v="0"/>
    <x v="0"/>
    <x v="0"/>
    <x v="33"/>
    <x v="0"/>
    <x v="0"/>
    <x v="17"/>
    <x v="7"/>
    <x v="1"/>
    <x v="0"/>
    <x v="1"/>
    <x v="0"/>
    <x v="0"/>
    <x v="2"/>
    <x v="0"/>
    <x v="0"/>
    <x v="2"/>
  </r>
  <r>
    <x v="0"/>
    <x v="64"/>
    <x v="0"/>
    <x v="0"/>
    <x v="2"/>
    <x v="35"/>
    <x v="2"/>
    <x v="35"/>
    <x v="34"/>
    <x v="1"/>
    <x v="2"/>
    <x v="0"/>
    <x v="0"/>
    <x v="1"/>
    <x v="2"/>
    <x v="0"/>
    <x v="0"/>
    <x v="34"/>
    <x v="0"/>
    <x v="38"/>
    <x v="0"/>
    <x v="36"/>
    <x v="0"/>
    <x v="5"/>
    <x v="4"/>
    <x v="21"/>
    <x v="29"/>
    <x v="30"/>
    <x v="34"/>
    <x v="40"/>
    <x v="0"/>
    <x v="38"/>
    <x v="6"/>
    <x v="38"/>
    <x v="50"/>
    <x v="41"/>
    <x v="1"/>
    <x v="0"/>
    <x v="54"/>
    <x v="1"/>
    <x v="8"/>
    <x v="3"/>
    <x v="2"/>
    <x v="1"/>
    <x v="18"/>
    <x v="9"/>
    <x v="8"/>
    <x v="0"/>
    <x v="38"/>
    <x v="0"/>
    <x v="0"/>
    <x v="0"/>
    <x v="0"/>
    <x v="34"/>
    <x v="0"/>
    <x v="1"/>
    <x v="8"/>
    <x v="8"/>
    <x v="1"/>
    <x v="1"/>
    <x v="1"/>
    <x v="1"/>
    <x v="0"/>
    <x v="1"/>
    <x v="0"/>
    <x v="3"/>
    <x v="2"/>
  </r>
  <r>
    <x v="0"/>
    <x v="65"/>
    <x v="0"/>
    <x v="0"/>
    <x v="2"/>
    <x v="35"/>
    <x v="2"/>
    <x v="35"/>
    <x v="34"/>
    <x v="1"/>
    <x v="2"/>
    <x v="0"/>
    <x v="0"/>
    <x v="1"/>
    <x v="2"/>
    <x v="0"/>
    <x v="0"/>
    <x v="34"/>
    <x v="0"/>
    <x v="38"/>
    <x v="0"/>
    <x v="36"/>
    <x v="0"/>
    <x v="5"/>
    <x v="4"/>
    <x v="21"/>
    <x v="29"/>
    <x v="30"/>
    <x v="34"/>
    <x v="40"/>
    <x v="0"/>
    <x v="38"/>
    <x v="6"/>
    <x v="38"/>
    <x v="51"/>
    <x v="42"/>
    <x v="1"/>
    <x v="0"/>
    <x v="55"/>
    <x v="1"/>
    <x v="8"/>
    <x v="3"/>
    <x v="2"/>
    <x v="1"/>
    <x v="18"/>
    <x v="9"/>
    <x v="8"/>
    <x v="0"/>
    <x v="38"/>
    <x v="0"/>
    <x v="0"/>
    <x v="0"/>
    <x v="0"/>
    <x v="34"/>
    <x v="0"/>
    <x v="1"/>
    <x v="8"/>
    <x v="8"/>
    <x v="1"/>
    <x v="1"/>
    <x v="1"/>
    <x v="1"/>
    <x v="0"/>
    <x v="1"/>
    <x v="0"/>
    <x v="3"/>
    <x v="2"/>
  </r>
  <r>
    <x v="1"/>
    <x v="66"/>
    <x v="0"/>
    <x v="0"/>
    <x v="21"/>
    <x v="36"/>
    <x v="16"/>
    <x v="36"/>
    <x v="35"/>
    <x v="1"/>
    <x v="5"/>
    <x v="0"/>
    <x v="9"/>
    <x v="19"/>
    <x v="3"/>
    <x v="0"/>
    <x v="0"/>
    <x v="35"/>
    <x v="0"/>
    <x v="39"/>
    <x v="1"/>
    <x v="37"/>
    <x v="0"/>
    <x v="3"/>
    <x v="2"/>
    <x v="26"/>
    <x v="30"/>
    <x v="31"/>
    <x v="35"/>
    <x v="41"/>
    <x v="0"/>
    <x v="39"/>
    <x v="5"/>
    <x v="35"/>
    <x v="52"/>
    <x v="43"/>
    <x v="1"/>
    <x v="0"/>
    <x v="56"/>
    <x v="1"/>
    <x v="2"/>
    <x v="1"/>
    <x v="2"/>
    <x v="1"/>
    <x v="3"/>
    <x v="9"/>
    <x v="14"/>
    <x v="0"/>
    <x v="39"/>
    <x v="0"/>
    <x v="0"/>
    <x v="0"/>
    <x v="4"/>
    <x v="35"/>
    <x v="1"/>
    <x v="1"/>
    <x v="6"/>
    <x v="6"/>
    <x v="0"/>
    <x v="1"/>
    <x v="1"/>
    <x v="1"/>
    <x v="0"/>
    <x v="1"/>
    <x v="17"/>
    <x v="3"/>
    <x v="4"/>
  </r>
  <r>
    <x v="0"/>
    <x v="67"/>
    <x v="0"/>
    <x v="0"/>
    <x v="2"/>
    <x v="25"/>
    <x v="2"/>
    <x v="25"/>
    <x v="25"/>
    <x v="0"/>
    <x v="2"/>
    <x v="0"/>
    <x v="0"/>
    <x v="0"/>
    <x v="2"/>
    <x v="0"/>
    <x v="0"/>
    <x v="5"/>
    <x v="0"/>
    <x v="40"/>
    <x v="0"/>
    <x v="38"/>
    <x v="0"/>
    <x v="5"/>
    <x v="1"/>
    <x v="5"/>
    <x v="5"/>
    <x v="5"/>
    <x v="5"/>
    <x v="42"/>
    <x v="0"/>
    <x v="40"/>
    <x v="5"/>
    <x v="35"/>
    <x v="53"/>
    <x v="44"/>
    <x v="1"/>
    <x v="0"/>
    <x v="57"/>
    <x v="1"/>
    <x v="2"/>
    <x v="0"/>
    <x v="2"/>
    <x v="1"/>
    <x v="4"/>
    <x v="9"/>
    <x v="19"/>
    <x v="0"/>
    <x v="40"/>
    <x v="0"/>
    <x v="0"/>
    <x v="0"/>
    <x v="0"/>
    <x v="5"/>
    <x v="0"/>
    <x v="1"/>
    <x v="8"/>
    <x v="1"/>
    <x v="1"/>
    <x v="1"/>
    <x v="1"/>
    <x v="1"/>
    <x v="0"/>
    <x v="1"/>
    <x v="0"/>
    <x v="0"/>
    <x v="2"/>
  </r>
  <r>
    <x v="0"/>
    <x v="68"/>
    <x v="0"/>
    <x v="0"/>
    <x v="22"/>
    <x v="31"/>
    <x v="17"/>
    <x v="31"/>
    <x v="31"/>
    <x v="0"/>
    <x v="1"/>
    <x v="0"/>
    <x v="0"/>
    <x v="0"/>
    <x v="9"/>
    <x v="0"/>
    <x v="0"/>
    <x v="30"/>
    <x v="0"/>
    <x v="41"/>
    <x v="0"/>
    <x v="39"/>
    <x v="0"/>
    <x v="4"/>
    <x v="1"/>
    <x v="23"/>
    <x v="26"/>
    <x v="27"/>
    <x v="30"/>
    <x v="43"/>
    <x v="0"/>
    <x v="41"/>
    <x v="0"/>
    <x v="39"/>
    <x v="54"/>
    <x v="45"/>
    <x v="0"/>
    <x v="0"/>
    <x v="57"/>
    <x v="1"/>
    <x v="9"/>
    <x v="0"/>
    <x v="2"/>
    <x v="1"/>
    <x v="15"/>
    <x v="9"/>
    <x v="17"/>
    <x v="0"/>
    <x v="41"/>
    <x v="0"/>
    <x v="0"/>
    <x v="0"/>
    <x v="0"/>
    <x v="30"/>
    <x v="0"/>
    <x v="1"/>
    <x v="5"/>
    <x v="4"/>
    <x v="0"/>
    <x v="0"/>
    <x v="1"/>
    <x v="0"/>
    <x v="0"/>
    <x v="1"/>
    <x v="0"/>
    <x v="2"/>
    <x v="0"/>
  </r>
  <r>
    <x v="0"/>
    <x v="69"/>
    <x v="0"/>
    <x v="0"/>
    <x v="23"/>
    <x v="37"/>
    <x v="7"/>
    <x v="37"/>
    <x v="36"/>
    <x v="9"/>
    <x v="3"/>
    <x v="3"/>
    <x v="4"/>
    <x v="20"/>
    <x v="3"/>
    <x v="2"/>
    <x v="8"/>
    <x v="36"/>
    <x v="2"/>
    <x v="42"/>
    <x v="1"/>
    <x v="40"/>
    <x v="0"/>
    <x v="8"/>
    <x v="4"/>
    <x v="27"/>
    <x v="31"/>
    <x v="32"/>
    <x v="36"/>
    <x v="44"/>
    <x v="1"/>
    <x v="42"/>
    <x v="2"/>
    <x v="40"/>
    <x v="55"/>
    <x v="46"/>
    <x v="0"/>
    <x v="0"/>
    <x v="58"/>
    <x v="1"/>
    <x v="2"/>
    <x v="1"/>
    <x v="0"/>
    <x v="0"/>
    <x v="19"/>
    <x v="37"/>
    <x v="2"/>
    <x v="0"/>
    <x v="42"/>
    <x v="0"/>
    <x v="0"/>
    <x v="0"/>
    <x v="0"/>
    <x v="36"/>
    <x v="0"/>
    <x v="0"/>
    <x v="18"/>
    <x v="7"/>
    <x v="4"/>
    <x v="1"/>
    <x v="0"/>
    <x v="0"/>
    <x v="0"/>
    <x v="0"/>
    <x v="0"/>
    <x v="0"/>
    <x v="5"/>
  </r>
  <r>
    <x v="0"/>
    <x v="70"/>
    <x v="0"/>
    <x v="0"/>
    <x v="23"/>
    <x v="37"/>
    <x v="7"/>
    <x v="37"/>
    <x v="36"/>
    <x v="9"/>
    <x v="3"/>
    <x v="3"/>
    <x v="4"/>
    <x v="20"/>
    <x v="3"/>
    <x v="2"/>
    <x v="8"/>
    <x v="36"/>
    <x v="2"/>
    <x v="42"/>
    <x v="1"/>
    <x v="40"/>
    <x v="0"/>
    <x v="8"/>
    <x v="4"/>
    <x v="27"/>
    <x v="31"/>
    <x v="32"/>
    <x v="36"/>
    <x v="44"/>
    <x v="1"/>
    <x v="42"/>
    <x v="2"/>
    <x v="40"/>
    <x v="56"/>
    <x v="47"/>
    <x v="0"/>
    <x v="0"/>
    <x v="59"/>
    <x v="1"/>
    <x v="2"/>
    <x v="1"/>
    <x v="0"/>
    <x v="0"/>
    <x v="19"/>
    <x v="38"/>
    <x v="2"/>
    <x v="0"/>
    <x v="42"/>
    <x v="0"/>
    <x v="0"/>
    <x v="0"/>
    <x v="0"/>
    <x v="36"/>
    <x v="0"/>
    <x v="0"/>
    <x v="18"/>
    <x v="7"/>
    <x v="4"/>
    <x v="1"/>
    <x v="0"/>
    <x v="0"/>
    <x v="0"/>
    <x v="0"/>
    <x v="0"/>
    <x v="0"/>
    <x v="5"/>
  </r>
  <r>
    <x v="0"/>
    <x v="71"/>
    <x v="0"/>
    <x v="0"/>
    <x v="23"/>
    <x v="37"/>
    <x v="7"/>
    <x v="37"/>
    <x v="36"/>
    <x v="9"/>
    <x v="3"/>
    <x v="3"/>
    <x v="4"/>
    <x v="20"/>
    <x v="3"/>
    <x v="2"/>
    <x v="8"/>
    <x v="36"/>
    <x v="2"/>
    <x v="42"/>
    <x v="1"/>
    <x v="40"/>
    <x v="0"/>
    <x v="8"/>
    <x v="4"/>
    <x v="27"/>
    <x v="31"/>
    <x v="32"/>
    <x v="36"/>
    <x v="44"/>
    <x v="1"/>
    <x v="42"/>
    <x v="2"/>
    <x v="40"/>
    <x v="57"/>
    <x v="48"/>
    <x v="0"/>
    <x v="0"/>
    <x v="60"/>
    <x v="1"/>
    <x v="2"/>
    <x v="1"/>
    <x v="0"/>
    <x v="0"/>
    <x v="19"/>
    <x v="39"/>
    <x v="2"/>
    <x v="0"/>
    <x v="42"/>
    <x v="0"/>
    <x v="0"/>
    <x v="0"/>
    <x v="0"/>
    <x v="36"/>
    <x v="0"/>
    <x v="0"/>
    <x v="18"/>
    <x v="7"/>
    <x v="4"/>
    <x v="1"/>
    <x v="0"/>
    <x v="0"/>
    <x v="0"/>
    <x v="0"/>
    <x v="0"/>
    <x v="0"/>
    <x v="5"/>
  </r>
  <r>
    <x v="0"/>
    <x v="72"/>
    <x v="0"/>
    <x v="0"/>
    <x v="23"/>
    <x v="37"/>
    <x v="7"/>
    <x v="37"/>
    <x v="36"/>
    <x v="9"/>
    <x v="3"/>
    <x v="3"/>
    <x v="4"/>
    <x v="20"/>
    <x v="3"/>
    <x v="2"/>
    <x v="8"/>
    <x v="36"/>
    <x v="2"/>
    <x v="42"/>
    <x v="1"/>
    <x v="40"/>
    <x v="0"/>
    <x v="8"/>
    <x v="4"/>
    <x v="27"/>
    <x v="31"/>
    <x v="32"/>
    <x v="36"/>
    <x v="44"/>
    <x v="1"/>
    <x v="42"/>
    <x v="2"/>
    <x v="40"/>
    <x v="58"/>
    <x v="49"/>
    <x v="0"/>
    <x v="0"/>
    <x v="61"/>
    <x v="1"/>
    <x v="2"/>
    <x v="1"/>
    <x v="0"/>
    <x v="0"/>
    <x v="19"/>
    <x v="40"/>
    <x v="2"/>
    <x v="0"/>
    <x v="42"/>
    <x v="0"/>
    <x v="0"/>
    <x v="0"/>
    <x v="0"/>
    <x v="36"/>
    <x v="0"/>
    <x v="0"/>
    <x v="18"/>
    <x v="7"/>
    <x v="4"/>
    <x v="1"/>
    <x v="0"/>
    <x v="0"/>
    <x v="0"/>
    <x v="0"/>
    <x v="0"/>
    <x v="0"/>
    <x v="5"/>
  </r>
  <r>
    <x v="0"/>
    <x v="73"/>
    <x v="0"/>
    <x v="0"/>
    <x v="23"/>
    <x v="37"/>
    <x v="7"/>
    <x v="37"/>
    <x v="36"/>
    <x v="9"/>
    <x v="3"/>
    <x v="3"/>
    <x v="4"/>
    <x v="20"/>
    <x v="3"/>
    <x v="2"/>
    <x v="8"/>
    <x v="36"/>
    <x v="2"/>
    <x v="42"/>
    <x v="1"/>
    <x v="40"/>
    <x v="0"/>
    <x v="8"/>
    <x v="4"/>
    <x v="27"/>
    <x v="31"/>
    <x v="32"/>
    <x v="36"/>
    <x v="44"/>
    <x v="1"/>
    <x v="42"/>
    <x v="2"/>
    <x v="40"/>
    <x v="59"/>
    <x v="50"/>
    <x v="0"/>
    <x v="0"/>
    <x v="62"/>
    <x v="1"/>
    <x v="2"/>
    <x v="1"/>
    <x v="0"/>
    <x v="0"/>
    <x v="19"/>
    <x v="41"/>
    <x v="2"/>
    <x v="0"/>
    <x v="42"/>
    <x v="0"/>
    <x v="0"/>
    <x v="0"/>
    <x v="0"/>
    <x v="36"/>
    <x v="0"/>
    <x v="0"/>
    <x v="18"/>
    <x v="7"/>
    <x v="4"/>
    <x v="1"/>
    <x v="0"/>
    <x v="0"/>
    <x v="0"/>
    <x v="0"/>
    <x v="0"/>
    <x v="0"/>
    <x v="5"/>
  </r>
  <r>
    <x v="0"/>
    <x v="74"/>
    <x v="0"/>
    <x v="0"/>
    <x v="23"/>
    <x v="37"/>
    <x v="7"/>
    <x v="37"/>
    <x v="36"/>
    <x v="9"/>
    <x v="3"/>
    <x v="3"/>
    <x v="4"/>
    <x v="20"/>
    <x v="3"/>
    <x v="2"/>
    <x v="8"/>
    <x v="36"/>
    <x v="2"/>
    <x v="42"/>
    <x v="1"/>
    <x v="40"/>
    <x v="0"/>
    <x v="8"/>
    <x v="4"/>
    <x v="27"/>
    <x v="31"/>
    <x v="32"/>
    <x v="36"/>
    <x v="44"/>
    <x v="1"/>
    <x v="42"/>
    <x v="2"/>
    <x v="40"/>
    <x v="60"/>
    <x v="51"/>
    <x v="0"/>
    <x v="0"/>
    <x v="63"/>
    <x v="1"/>
    <x v="2"/>
    <x v="1"/>
    <x v="0"/>
    <x v="0"/>
    <x v="19"/>
    <x v="42"/>
    <x v="2"/>
    <x v="0"/>
    <x v="42"/>
    <x v="0"/>
    <x v="0"/>
    <x v="0"/>
    <x v="0"/>
    <x v="36"/>
    <x v="0"/>
    <x v="0"/>
    <x v="18"/>
    <x v="7"/>
    <x v="4"/>
    <x v="1"/>
    <x v="0"/>
    <x v="0"/>
    <x v="0"/>
    <x v="0"/>
    <x v="0"/>
    <x v="0"/>
    <x v="5"/>
  </r>
  <r>
    <x v="0"/>
    <x v="75"/>
    <x v="0"/>
    <x v="0"/>
    <x v="23"/>
    <x v="37"/>
    <x v="7"/>
    <x v="37"/>
    <x v="36"/>
    <x v="9"/>
    <x v="3"/>
    <x v="3"/>
    <x v="4"/>
    <x v="20"/>
    <x v="3"/>
    <x v="2"/>
    <x v="8"/>
    <x v="36"/>
    <x v="2"/>
    <x v="42"/>
    <x v="1"/>
    <x v="40"/>
    <x v="0"/>
    <x v="8"/>
    <x v="4"/>
    <x v="27"/>
    <x v="31"/>
    <x v="32"/>
    <x v="36"/>
    <x v="44"/>
    <x v="1"/>
    <x v="42"/>
    <x v="2"/>
    <x v="40"/>
    <x v="61"/>
    <x v="23"/>
    <x v="0"/>
    <x v="0"/>
    <x v="19"/>
    <x v="1"/>
    <x v="2"/>
    <x v="1"/>
    <x v="0"/>
    <x v="0"/>
    <x v="19"/>
    <x v="9"/>
    <x v="2"/>
    <x v="0"/>
    <x v="42"/>
    <x v="0"/>
    <x v="0"/>
    <x v="0"/>
    <x v="0"/>
    <x v="36"/>
    <x v="0"/>
    <x v="0"/>
    <x v="18"/>
    <x v="7"/>
    <x v="4"/>
    <x v="1"/>
    <x v="0"/>
    <x v="0"/>
    <x v="0"/>
    <x v="1"/>
    <x v="0"/>
    <x v="0"/>
    <x v="5"/>
  </r>
  <r>
    <x v="0"/>
    <x v="76"/>
    <x v="0"/>
    <x v="0"/>
    <x v="23"/>
    <x v="37"/>
    <x v="7"/>
    <x v="37"/>
    <x v="36"/>
    <x v="9"/>
    <x v="3"/>
    <x v="3"/>
    <x v="4"/>
    <x v="20"/>
    <x v="3"/>
    <x v="2"/>
    <x v="8"/>
    <x v="36"/>
    <x v="2"/>
    <x v="42"/>
    <x v="1"/>
    <x v="40"/>
    <x v="0"/>
    <x v="8"/>
    <x v="4"/>
    <x v="27"/>
    <x v="31"/>
    <x v="32"/>
    <x v="36"/>
    <x v="44"/>
    <x v="1"/>
    <x v="42"/>
    <x v="2"/>
    <x v="40"/>
    <x v="62"/>
    <x v="52"/>
    <x v="0"/>
    <x v="0"/>
    <x v="64"/>
    <x v="1"/>
    <x v="2"/>
    <x v="1"/>
    <x v="0"/>
    <x v="0"/>
    <x v="19"/>
    <x v="9"/>
    <x v="2"/>
    <x v="0"/>
    <x v="42"/>
    <x v="0"/>
    <x v="0"/>
    <x v="0"/>
    <x v="0"/>
    <x v="36"/>
    <x v="0"/>
    <x v="0"/>
    <x v="18"/>
    <x v="7"/>
    <x v="4"/>
    <x v="1"/>
    <x v="0"/>
    <x v="0"/>
    <x v="0"/>
    <x v="1"/>
    <x v="0"/>
    <x v="0"/>
    <x v="5"/>
  </r>
  <r>
    <x v="0"/>
    <x v="77"/>
    <x v="0"/>
    <x v="0"/>
    <x v="24"/>
    <x v="38"/>
    <x v="18"/>
    <x v="38"/>
    <x v="37"/>
    <x v="1"/>
    <x v="1"/>
    <x v="1"/>
    <x v="3"/>
    <x v="6"/>
    <x v="3"/>
    <x v="0"/>
    <x v="0"/>
    <x v="37"/>
    <x v="2"/>
    <x v="43"/>
    <x v="0"/>
    <x v="41"/>
    <x v="0"/>
    <x v="10"/>
    <x v="1"/>
    <x v="28"/>
    <x v="32"/>
    <x v="33"/>
    <x v="37"/>
    <x v="45"/>
    <x v="1"/>
    <x v="43"/>
    <x v="2"/>
    <x v="41"/>
    <x v="63"/>
    <x v="53"/>
    <x v="0"/>
    <x v="0"/>
    <x v="65"/>
    <x v="1"/>
    <x v="2"/>
    <x v="0"/>
    <x v="0"/>
    <x v="2"/>
    <x v="20"/>
    <x v="43"/>
    <x v="2"/>
    <x v="0"/>
    <x v="43"/>
    <x v="0"/>
    <x v="0"/>
    <x v="0"/>
    <x v="0"/>
    <x v="37"/>
    <x v="0"/>
    <x v="1"/>
    <x v="19"/>
    <x v="7"/>
    <x v="1"/>
    <x v="4"/>
    <x v="0"/>
    <x v="0"/>
    <x v="0"/>
    <x v="0"/>
    <x v="18"/>
    <x v="1"/>
    <x v="4"/>
  </r>
  <r>
    <x v="0"/>
    <x v="78"/>
    <x v="0"/>
    <x v="0"/>
    <x v="24"/>
    <x v="38"/>
    <x v="18"/>
    <x v="38"/>
    <x v="37"/>
    <x v="1"/>
    <x v="1"/>
    <x v="1"/>
    <x v="3"/>
    <x v="6"/>
    <x v="3"/>
    <x v="0"/>
    <x v="0"/>
    <x v="37"/>
    <x v="2"/>
    <x v="43"/>
    <x v="0"/>
    <x v="41"/>
    <x v="0"/>
    <x v="10"/>
    <x v="1"/>
    <x v="28"/>
    <x v="32"/>
    <x v="33"/>
    <x v="37"/>
    <x v="45"/>
    <x v="1"/>
    <x v="43"/>
    <x v="2"/>
    <x v="41"/>
    <x v="64"/>
    <x v="54"/>
    <x v="0"/>
    <x v="0"/>
    <x v="66"/>
    <x v="1"/>
    <x v="2"/>
    <x v="0"/>
    <x v="0"/>
    <x v="2"/>
    <x v="20"/>
    <x v="44"/>
    <x v="2"/>
    <x v="0"/>
    <x v="43"/>
    <x v="0"/>
    <x v="0"/>
    <x v="0"/>
    <x v="0"/>
    <x v="37"/>
    <x v="0"/>
    <x v="1"/>
    <x v="19"/>
    <x v="7"/>
    <x v="1"/>
    <x v="4"/>
    <x v="0"/>
    <x v="0"/>
    <x v="0"/>
    <x v="0"/>
    <x v="18"/>
    <x v="1"/>
    <x v="4"/>
  </r>
  <r>
    <x v="1"/>
    <x v="79"/>
    <x v="0"/>
    <x v="0"/>
    <x v="24"/>
    <x v="38"/>
    <x v="18"/>
    <x v="38"/>
    <x v="37"/>
    <x v="1"/>
    <x v="1"/>
    <x v="1"/>
    <x v="3"/>
    <x v="6"/>
    <x v="3"/>
    <x v="0"/>
    <x v="0"/>
    <x v="37"/>
    <x v="2"/>
    <x v="43"/>
    <x v="0"/>
    <x v="41"/>
    <x v="0"/>
    <x v="10"/>
    <x v="1"/>
    <x v="28"/>
    <x v="32"/>
    <x v="33"/>
    <x v="37"/>
    <x v="45"/>
    <x v="1"/>
    <x v="43"/>
    <x v="2"/>
    <x v="41"/>
    <x v="65"/>
    <x v="14"/>
    <x v="0"/>
    <x v="0"/>
    <x v="13"/>
    <x v="1"/>
    <x v="2"/>
    <x v="0"/>
    <x v="0"/>
    <x v="2"/>
    <x v="20"/>
    <x v="9"/>
    <x v="2"/>
    <x v="0"/>
    <x v="43"/>
    <x v="0"/>
    <x v="0"/>
    <x v="0"/>
    <x v="1"/>
    <x v="37"/>
    <x v="1"/>
    <x v="1"/>
    <x v="19"/>
    <x v="7"/>
    <x v="1"/>
    <x v="4"/>
    <x v="0"/>
    <x v="0"/>
    <x v="0"/>
    <x v="1"/>
    <x v="18"/>
    <x v="1"/>
    <x v="4"/>
  </r>
  <r>
    <x v="0"/>
    <x v="80"/>
    <x v="0"/>
    <x v="0"/>
    <x v="24"/>
    <x v="38"/>
    <x v="18"/>
    <x v="38"/>
    <x v="37"/>
    <x v="1"/>
    <x v="1"/>
    <x v="1"/>
    <x v="3"/>
    <x v="6"/>
    <x v="3"/>
    <x v="0"/>
    <x v="0"/>
    <x v="37"/>
    <x v="2"/>
    <x v="43"/>
    <x v="0"/>
    <x v="41"/>
    <x v="0"/>
    <x v="10"/>
    <x v="1"/>
    <x v="28"/>
    <x v="32"/>
    <x v="33"/>
    <x v="37"/>
    <x v="45"/>
    <x v="1"/>
    <x v="43"/>
    <x v="2"/>
    <x v="41"/>
    <x v="66"/>
    <x v="55"/>
    <x v="0"/>
    <x v="0"/>
    <x v="67"/>
    <x v="1"/>
    <x v="2"/>
    <x v="0"/>
    <x v="0"/>
    <x v="2"/>
    <x v="20"/>
    <x v="9"/>
    <x v="2"/>
    <x v="0"/>
    <x v="43"/>
    <x v="0"/>
    <x v="0"/>
    <x v="0"/>
    <x v="0"/>
    <x v="37"/>
    <x v="0"/>
    <x v="1"/>
    <x v="19"/>
    <x v="7"/>
    <x v="1"/>
    <x v="4"/>
    <x v="0"/>
    <x v="0"/>
    <x v="0"/>
    <x v="1"/>
    <x v="18"/>
    <x v="1"/>
    <x v="4"/>
  </r>
  <r>
    <x v="0"/>
    <x v="81"/>
    <x v="0"/>
    <x v="0"/>
    <x v="25"/>
    <x v="39"/>
    <x v="8"/>
    <x v="39"/>
    <x v="38"/>
    <x v="10"/>
    <x v="4"/>
    <x v="10"/>
    <x v="3"/>
    <x v="21"/>
    <x v="3"/>
    <x v="7"/>
    <x v="9"/>
    <x v="38"/>
    <x v="0"/>
    <x v="44"/>
    <x v="1"/>
    <x v="42"/>
    <x v="0"/>
    <x v="5"/>
    <x v="1"/>
    <x v="29"/>
    <x v="33"/>
    <x v="34"/>
    <x v="38"/>
    <x v="46"/>
    <x v="0"/>
    <x v="44"/>
    <x v="0"/>
    <x v="42"/>
    <x v="67"/>
    <x v="22"/>
    <x v="0"/>
    <x v="0"/>
    <x v="68"/>
    <x v="1"/>
    <x v="2"/>
    <x v="1"/>
    <x v="0"/>
    <x v="1"/>
    <x v="21"/>
    <x v="9"/>
    <x v="20"/>
    <x v="0"/>
    <x v="44"/>
    <x v="0"/>
    <x v="0"/>
    <x v="0"/>
    <x v="0"/>
    <x v="38"/>
    <x v="0"/>
    <x v="1"/>
    <x v="8"/>
    <x v="13"/>
    <x v="0"/>
    <x v="3"/>
    <x v="0"/>
    <x v="0"/>
    <x v="0"/>
    <x v="1"/>
    <x v="0"/>
    <x v="0"/>
    <x v="8"/>
  </r>
  <r>
    <x v="0"/>
    <x v="82"/>
    <x v="0"/>
    <x v="0"/>
    <x v="26"/>
    <x v="40"/>
    <x v="9"/>
    <x v="40"/>
    <x v="39"/>
    <x v="0"/>
    <x v="1"/>
    <x v="0"/>
    <x v="0"/>
    <x v="0"/>
    <x v="5"/>
    <x v="0"/>
    <x v="0"/>
    <x v="39"/>
    <x v="0"/>
    <x v="45"/>
    <x v="0"/>
    <x v="43"/>
    <x v="0"/>
    <x v="5"/>
    <x v="1"/>
    <x v="30"/>
    <x v="34"/>
    <x v="15"/>
    <x v="39"/>
    <x v="47"/>
    <x v="0"/>
    <x v="45"/>
    <x v="0"/>
    <x v="43"/>
    <x v="68"/>
    <x v="22"/>
    <x v="0"/>
    <x v="0"/>
    <x v="69"/>
    <x v="1"/>
    <x v="4"/>
    <x v="1"/>
    <x v="0"/>
    <x v="1"/>
    <x v="22"/>
    <x v="9"/>
    <x v="21"/>
    <x v="0"/>
    <x v="45"/>
    <x v="0"/>
    <x v="0"/>
    <x v="0"/>
    <x v="0"/>
    <x v="39"/>
    <x v="0"/>
    <x v="1"/>
    <x v="8"/>
    <x v="2"/>
    <x v="0"/>
    <x v="1"/>
    <x v="0"/>
    <x v="0"/>
    <x v="0"/>
    <x v="1"/>
    <x v="0"/>
    <x v="4"/>
    <x v="0"/>
  </r>
  <r>
    <x v="0"/>
    <x v="83"/>
    <x v="0"/>
    <x v="0"/>
    <x v="2"/>
    <x v="41"/>
    <x v="2"/>
    <x v="41"/>
    <x v="40"/>
    <x v="0"/>
    <x v="0"/>
    <x v="0"/>
    <x v="2"/>
    <x v="22"/>
    <x v="2"/>
    <x v="0"/>
    <x v="0"/>
    <x v="40"/>
    <x v="0"/>
    <x v="46"/>
    <x v="0"/>
    <x v="44"/>
    <x v="0"/>
    <x v="7"/>
    <x v="0"/>
    <x v="31"/>
    <x v="35"/>
    <x v="35"/>
    <x v="40"/>
    <x v="48"/>
    <x v="0"/>
    <x v="46"/>
    <x v="0"/>
    <x v="44"/>
    <x v="69"/>
    <x v="56"/>
    <x v="0"/>
    <x v="0"/>
    <x v="70"/>
    <x v="0"/>
    <x v="2"/>
    <x v="0"/>
    <x v="0"/>
    <x v="5"/>
    <x v="23"/>
    <x v="45"/>
    <x v="4"/>
    <x v="0"/>
    <x v="46"/>
    <x v="0"/>
    <x v="0"/>
    <x v="0"/>
    <x v="0"/>
    <x v="40"/>
    <x v="0"/>
    <x v="2"/>
    <x v="12"/>
    <x v="5"/>
    <x v="1"/>
    <x v="0"/>
    <x v="0"/>
    <x v="0"/>
    <x v="0"/>
    <x v="2"/>
    <x v="0"/>
    <x v="0"/>
    <x v="2"/>
  </r>
  <r>
    <x v="0"/>
    <x v="84"/>
    <x v="0"/>
    <x v="0"/>
    <x v="2"/>
    <x v="41"/>
    <x v="2"/>
    <x v="41"/>
    <x v="40"/>
    <x v="0"/>
    <x v="0"/>
    <x v="0"/>
    <x v="2"/>
    <x v="22"/>
    <x v="2"/>
    <x v="0"/>
    <x v="0"/>
    <x v="40"/>
    <x v="0"/>
    <x v="46"/>
    <x v="0"/>
    <x v="44"/>
    <x v="0"/>
    <x v="7"/>
    <x v="0"/>
    <x v="31"/>
    <x v="35"/>
    <x v="35"/>
    <x v="40"/>
    <x v="48"/>
    <x v="0"/>
    <x v="46"/>
    <x v="0"/>
    <x v="44"/>
    <x v="70"/>
    <x v="57"/>
    <x v="0"/>
    <x v="0"/>
    <x v="70"/>
    <x v="0"/>
    <x v="2"/>
    <x v="0"/>
    <x v="0"/>
    <x v="5"/>
    <x v="23"/>
    <x v="46"/>
    <x v="4"/>
    <x v="0"/>
    <x v="46"/>
    <x v="0"/>
    <x v="0"/>
    <x v="0"/>
    <x v="0"/>
    <x v="40"/>
    <x v="0"/>
    <x v="2"/>
    <x v="12"/>
    <x v="5"/>
    <x v="1"/>
    <x v="0"/>
    <x v="0"/>
    <x v="0"/>
    <x v="0"/>
    <x v="2"/>
    <x v="0"/>
    <x v="0"/>
    <x v="2"/>
  </r>
  <r>
    <x v="0"/>
    <x v="85"/>
    <x v="0"/>
    <x v="0"/>
    <x v="27"/>
    <x v="42"/>
    <x v="19"/>
    <x v="42"/>
    <x v="41"/>
    <x v="1"/>
    <x v="2"/>
    <x v="11"/>
    <x v="2"/>
    <x v="4"/>
    <x v="3"/>
    <x v="8"/>
    <x v="10"/>
    <x v="41"/>
    <x v="2"/>
    <x v="47"/>
    <x v="0"/>
    <x v="45"/>
    <x v="0"/>
    <x v="11"/>
    <x v="4"/>
    <x v="0"/>
    <x v="10"/>
    <x v="12"/>
    <x v="41"/>
    <x v="49"/>
    <x v="1"/>
    <x v="47"/>
    <x v="2"/>
    <x v="45"/>
    <x v="71"/>
    <x v="22"/>
    <x v="0"/>
    <x v="0"/>
    <x v="71"/>
    <x v="1"/>
    <x v="2"/>
    <x v="1"/>
    <x v="0"/>
    <x v="1"/>
    <x v="24"/>
    <x v="9"/>
    <x v="4"/>
    <x v="0"/>
    <x v="47"/>
    <x v="0"/>
    <x v="0"/>
    <x v="0"/>
    <x v="0"/>
    <x v="41"/>
    <x v="0"/>
    <x v="1"/>
    <x v="2"/>
    <x v="2"/>
    <x v="0"/>
    <x v="0"/>
    <x v="0"/>
    <x v="0"/>
    <x v="0"/>
    <x v="1"/>
    <x v="0"/>
    <x v="2"/>
    <x v="2"/>
  </r>
  <r>
    <x v="0"/>
    <x v="86"/>
    <x v="0"/>
    <x v="0"/>
    <x v="28"/>
    <x v="43"/>
    <x v="1"/>
    <x v="43"/>
    <x v="42"/>
    <x v="1"/>
    <x v="7"/>
    <x v="1"/>
    <x v="0"/>
    <x v="23"/>
    <x v="10"/>
    <x v="0"/>
    <x v="0"/>
    <x v="42"/>
    <x v="2"/>
    <x v="48"/>
    <x v="1"/>
    <x v="46"/>
    <x v="0"/>
    <x v="12"/>
    <x v="5"/>
    <x v="12"/>
    <x v="36"/>
    <x v="36"/>
    <x v="42"/>
    <x v="50"/>
    <x v="1"/>
    <x v="48"/>
    <x v="2"/>
    <x v="46"/>
    <x v="72"/>
    <x v="58"/>
    <x v="0"/>
    <x v="0"/>
    <x v="72"/>
    <x v="1"/>
    <x v="10"/>
    <x v="1"/>
    <x v="0"/>
    <x v="2"/>
    <x v="25"/>
    <x v="47"/>
    <x v="4"/>
    <x v="0"/>
    <x v="48"/>
    <x v="0"/>
    <x v="0"/>
    <x v="0"/>
    <x v="0"/>
    <x v="42"/>
    <x v="0"/>
    <x v="3"/>
    <x v="20"/>
    <x v="5"/>
    <x v="1"/>
    <x v="0"/>
    <x v="0"/>
    <x v="0"/>
    <x v="0"/>
    <x v="0"/>
    <x v="0"/>
    <x v="0"/>
    <x v="1"/>
  </r>
  <r>
    <x v="0"/>
    <x v="87"/>
    <x v="0"/>
    <x v="0"/>
    <x v="6"/>
    <x v="44"/>
    <x v="14"/>
    <x v="44"/>
    <x v="43"/>
    <x v="1"/>
    <x v="6"/>
    <x v="0"/>
    <x v="0"/>
    <x v="1"/>
    <x v="1"/>
    <x v="0"/>
    <x v="0"/>
    <x v="43"/>
    <x v="0"/>
    <x v="49"/>
    <x v="1"/>
    <x v="47"/>
    <x v="0"/>
    <x v="0"/>
    <x v="3"/>
    <x v="11"/>
    <x v="37"/>
    <x v="37"/>
    <x v="43"/>
    <x v="51"/>
    <x v="0"/>
    <x v="49"/>
    <x v="0"/>
    <x v="47"/>
    <x v="49"/>
    <x v="6"/>
    <x v="0"/>
    <x v="0"/>
    <x v="73"/>
    <x v="1"/>
    <x v="1"/>
    <x v="1"/>
    <x v="0"/>
    <x v="5"/>
    <x v="26"/>
    <x v="48"/>
    <x v="4"/>
    <x v="0"/>
    <x v="49"/>
    <x v="0"/>
    <x v="0"/>
    <x v="0"/>
    <x v="0"/>
    <x v="43"/>
    <x v="0"/>
    <x v="1"/>
    <x v="21"/>
    <x v="8"/>
    <x v="0"/>
    <x v="0"/>
    <x v="0"/>
    <x v="0"/>
    <x v="0"/>
    <x v="0"/>
    <x v="0"/>
    <x v="3"/>
    <x v="1"/>
  </r>
  <r>
    <x v="0"/>
    <x v="88"/>
    <x v="0"/>
    <x v="0"/>
    <x v="6"/>
    <x v="44"/>
    <x v="14"/>
    <x v="44"/>
    <x v="43"/>
    <x v="1"/>
    <x v="6"/>
    <x v="0"/>
    <x v="0"/>
    <x v="1"/>
    <x v="1"/>
    <x v="0"/>
    <x v="0"/>
    <x v="43"/>
    <x v="0"/>
    <x v="49"/>
    <x v="1"/>
    <x v="47"/>
    <x v="0"/>
    <x v="0"/>
    <x v="3"/>
    <x v="11"/>
    <x v="37"/>
    <x v="37"/>
    <x v="43"/>
    <x v="51"/>
    <x v="0"/>
    <x v="49"/>
    <x v="0"/>
    <x v="47"/>
    <x v="73"/>
    <x v="59"/>
    <x v="0"/>
    <x v="0"/>
    <x v="74"/>
    <x v="1"/>
    <x v="1"/>
    <x v="1"/>
    <x v="0"/>
    <x v="5"/>
    <x v="26"/>
    <x v="49"/>
    <x v="4"/>
    <x v="0"/>
    <x v="49"/>
    <x v="0"/>
    <x v="0"/>
    <x v="0"/>
    <x v="0"/>
    <x v="43"/>
    <x v="0"/>
    <x v="1"/>
    <x v="21"/>
    <x v="8"/>
    <x v="0"/>
    <x v="0"/>
    <x v="0"/>
    <x v="0"/>
    <x v="0"/>
    <x v="0"/>
    <x v="0"/>
    <x v="3"/>
    <x v="1"/>
  </r>
  <r>
    <x v="0"/>
    <x v="89"/>
    <x v="0"/>
    <x v="0"/>
    <x v="6"/>
    <x v="44"/>
    <x v="14"/>
    <x v="44"/>
    <x v="43"/>
    <x v="1"/>
    <x v="6"/>
    <x v="0"/>
    <x v="0"/>
    <x v="1"/>
    <x v="1"/>
    <x v="0"/>
    <x v="0"/>
    <x v="43"/>
    <x v="0"/>
    <x v="49"/>
    <x v="1"/>
    <x v="47"/>
    <x v="0"/>
    <x v="0"/>
    <x v="3"/>
    <x v="11"/>
    <x v="37"/>
    <x v="37"/>
    <x v="43"/>
    <x v="51"/>
    <x v="0"/>
    <x v="49"/>
    <x v="0"/>
    <x v="47"/>
    <x v="74"/>
    <x v="4"/>
    <x v="0"/>
    <x v="0"/>
    <x v="75"/>
    <x v="1"/>
    <x v="1"/>
    <x v="1"/>
    <x v="0"/>
    <x v="5"/>
    <x v="26"/>
    <x v="50"/>
    <x v="4"/>
    <x v="0"/>
    <x v="49"/>
    <x v="0"/>
    <x v="0"/>
    <x v="0"/>
    <x v="0"/>
    <x v="43"/>
    <x v="0"/>
    <x v="1"/>
    <x v="21"/>
    <x v="8"/>
    <x v="0"/>
    <x v="0"/>
    <x v="0"/>
    <x v="0"/>
    <x v="0"/>
    <x v="0"/>
    <x v="0"/>
    <x v="3"/>
    <x v="1"/>
  </r>
  <r>
    <x v="0"/>
    <x v="90"/>
    <x v="0"/>
    <x v="0"/>
    <x v="6"/>
    <x v="44"/>
    <x v="14"/>
    <x v="44"/>
    <x v="43"/>
    <x v="1"/>
    <x v="6"/>
    <x v="0"/>
    <x v="0"/>
    <x v="1"/>
    <x v="1"/>
    <x v="0"/>
    <x v="0"/>
    <x v="43"/>
    <x v="0"/>
    <x v="49"/>
    <x v="1"/>
    <x v="47"/>
    <x v="0"/>
    <x v="0"/>
    <x v="3"/>
    <x v="11"/>
    <x v="37"/>
    <x v="37"/>
    <x v="43"/>
    <x v="51"/>
    <x v="0"/>
    <x v="49"/>
    <x v="0"/>
    <x v="47"/>
    <x v="75"/>
    <x v="3"/>
    <x v="0"/>
    <x v="0"/>
    <x v="76"/>
    <x v="1"/>
    <x v="1"/>
    <x v="1"/>
    <x v="0"/>
    <x v="5"/>
    <x v="26"/>
    <x v="51"/>
    <x v="4"/>
    <x v="0"/>
    <x v="49"/>
    <x v="0"/>
    <x v="0"/>
    <x v="0"/>
    <x v="0"/>
    <x v="43"/>
    <x v="0"/>
    <x v="1"/>
    <x v="21"/>
    <x v="8"/>
    <x v="0"/>
    <x v="0"/>
    <x v="0"/>
    <x v="0"/>
    <x v="0"/>
    <x v="0"/>
    <x v="0"/>
    <x v="3"/>
    <x v="1"/>
  </r>
  <r>
    <x v="0"/>
    <x v="91"/>
    <x v="0"/>
    <x v="0"/>
    <x v="2"/>
    <x v="45"/>
    <x v="2"/>
    <x v="45"/>
    <x v="44"/>
    <x v="11"/>
    <x v="3"/>
    <x v="0"/>
    <x v="10"/>
    <x v="24"/>
    <x v="2"/>
    <x v="0"/>
    <x v="0"/>
    <x v="44"/>
    <x v="0"/>
    <x v="50"/>
    <x v="0"/>
    <x v="48"/>
    <x v="0"/>
    <x v="7"/>
    <x v="4"/>
    <x v="25"/>
    <x v="38"/>
    <x v="38"/>
    <x v="44"/>
    <x v="52"/>
    <x v="0"/>
    <x v="50"/>
    <x v="0"/>
    <x v="48"/>
    <x v="76"/>
    <x v="60"/>
    <x v="0"/>
    <x v="0"/>
    <x v="77"/>
    <x v="0"/>
    <x v="2"/>
    <x v="0"/>
    <x v="0"/>
    <x v="0"/>
    <x v="27"/>
    <x v="52"/>
    <x v="4"/>
    <x v="0"/>
    <x v="50"/>
    <x v="0"/>
    <x v="0"/>
    <x v="0"/>
    <x v="0"/>
    <x v="44"/>
    <x v="0"/>
    <x v="2"/>
    <x v="12"/>
    <x v="5"/>
    <x v="1"/>
    <x v="0"/>
    <x v="0"/>
    <x v="0"/>
    <x v="0"/>
    <x v="2"/>
    <x v="0"/>
    <x v="0"/>
    <x v="2"/>
  </r>
  <r>
    <x v="0"/>
    <x v="92"/>
    <x v="0"/>
    <x v="0"/>
    <x v="29"/>
    <x v="46"/>
    <x v="20"/>
    <x v="46"/>
    <x v="45"/>
    <x v="12"/>
    <x v="4"/>
    <x v="0"/>
    <x v="9"/>
    <x v="16"/>
    <x v="3"/>
    <x v="0"/>
    <x v="0"/>
    <x v="45"/>
    <x v="0"/>
    <x v="51"/>
    <x v="1"/>
    <x v="49"/>
    <x v="0"/>
    <x v="2"/>
    <x v="4"/>
    <x v="32"/>
    <x v="39"/>
    <x v="39"/>
    <x v="45"/>
    <x v="53"/>
    <x v="0"/>
    <x v="51"/>
    <x v="0"/>
    <x v="49"/>
    <x v="57"/>
    <x v="48"/>
    <x v="0"/>
    <x v="0"/>
    <x v="60"/>
    <x v="1"/>
    <x v="2"/>
    <x v="1"/>
    <x v="0"/>
    <x v="6"/>
    <x v="28"/>
    <x v="53"/>
    <x v="22"/>
    <x v="0"/>
    <x v="51"/>
    <x v="0"/>
    <x v="0"/>
    <x v="0"/>
    <x v="0"/>
    <x v="45"/>
    <x v="0"/>
    <x v="0"/>
    <x v="22"/>
    <x v="6"/>
    <x v="0"/>
    <x v="0"/>
    <x v="0"/>
    <x v="0"/>
    <x v="0"/>
    <x v="0"/>
    <x v="0"/>
    <x v="2"/>
    <x v="9"/>
  </r>
  <r>
    <x v="0"/>
    <x v="93"/>
    <x v="0"/>
    <x v="0"/>
    <x v="29"/>
    <x v="46"/>
    <x v="20"/>
    <x v="46"/>
    <x v="45"/>
    <x v="12"/>
    <x v="4"/>
    <x v="0"/>
    <x v="9"/>
    <x v="16"/>
    <x v="3"/>
    <x v="0"/>
    <x v="0"/>
    <x v="45"/>
    <x v="0"/>
    <x v="51"/>
    <x v="1"/>
    <x v="49"/>
    <x v="0"/>
    <x v="2"/>
    <x v="4"/>
    <x v="32"/>
    <x v="39"/>
    <x v="39"/>
    <x v="45"/>
    <x v="53"/>
    <x v="0"/>
    <x v="51"/>
    <x v="0"/>
    <x v="49"/>
    <x v="56"/>
    <x v="47"/>
    <x v="0"/>
    <x v="0"/>
    <x v="78"/>
    <x v="1"/>
    <x v="2"/>
    <x v="1"/>
    <x v="0"/>
    <x v="6"/>
    <x v="28"/>
    <x v="54"/>
    <x v="22"/>
    <x v="0"/>
    <x v="51"/>
    <x v="0"/>
    <x v="0"/>
    <x v="0"/>
    <x v="0"/>
    <x v="45"/>
    <x v="0"/>
    <x v="0"/>
    <x v="22"/>
    <x v="6"/>
    <x v="0"/>
    <x v="0"/>
    <x v="0"/>
    <x v="0"/>
    <x v="0"/>
    <x v="0"/>
    <x v="0"/>
    <x v="2"/>
    <x v="9"/>
  </r>
  <r>
    <x v="0"/>
    <x v="94"/>
    <x v="0"/>
    <x v="0"/>
    <x v="29"/>
    <x v="46"/>
    <x v="20"/>
    <x v="46"/>
    <x v="45"/>
    <x v="12"/>
    <x v="4"/>
    <x v="0"/>
    <x v="9"/>
    <x v="16"/>
    <x v="3"/>
    <x v="0"/>
    <x v="0"/>
    <x v="45"/>
    <x v="0"/>
    <x v="51"/>
    <x v="1"/>
    <x v="49"/>
    <x v="0"/>
    <x v="2"/>
    <x v="4"/>
    <x v="32"/>
    <x v="39"/>
    <x v="39"/>
    <x v="45"/>
    <x v="53"/>
    <x v="0"/>
    <x v="51"/>
    <x v="0"/>
    <x v="49"/>
    <x v="58"/>
    <x v="49"/>
    <x v="0"/>
    <x v="0"/>
    <x v="79"/>
    <x v="1"/>
    <x v="2"/>
    <x v="1"/>
    <x v="0"/>
    <x v="6"/>
    <x v="28"/>
    <x v="55"/>
    <x v="22"/>
    <x v="0"/>
    <x v="51"/>
    <x v="0"/>
    <x v="0"/>
    <x v="0"/>
    <x v="0"/>
    <x v="45"/>
    <x v="0"/>
    <x v="0"/>
    <x v="22"/>
    <x v="6"/>
    <x v="0"/>
    <x v="0"/>
    <x v="0"/>
    <x v="0"/>
    <x v="0"/>
    <x v="0"/>
    <x v="0"/>
    <x v="2"/>
    <x v="9"/>
  </r>
  <r>
    <x v="0"/>
    <x v="95"/>
    <x v="0"/>
    <x v="0"/>
    <x v="2"/>
    <x v="47"/>
    <x v="2"/>
    <x v="47"/>
    <x v="46"/>
    <x v="5"/>
    <x v="1"/>
    <x v="1"/>
    <x v="6"/>
    <x v="25"/>
    <x v="2"/>
    <x v="0"/>
    <x v="0"/>
    <x v="46"/>
    <x v="2"/>
    <x v="52"/>
    <x v="0"/>
    <x v="50"/>
    <x v="0"/>
    <x v="5"/>
    <x v="1"/>
    <x v="5"/>
    <x v="40"/>
    <x v="16"/>
    <x v="46"/>
    <x v="54"/>
    <x v="1"/>
    <x v="52"/>
    <x v="2"/>
    <x v="50"/>
    <x v="77"/>
    <x v="22"/>
    <x v="0"/>
    <x v="0"/>
    <x v="80"/>
    <x v="1"/>
    <x v="2"/>
    <x v="0"/>
    <x v="0"/>
    <x v="1"/>
    <x v="29"/>
    <x v="9"/>
    <x v="22"/>
    <x v="0"/>
    <x v="52"/>
    <x v="0"/>
    <x v="0"/>
    <x v="0"/>
    <x v="0"/>
    <x v="46"/>
    <x v="0"/>
    <x v="1"/>
    <x v="8"/>
    <x v="6"/>
    <x v="1"/>
    <x v="1"/>
    <x v="0"/>
    <x v="0"/>
    <x v="0"/>
    <x v="1"/>
    <x v="0"/>
    <x v="1"/>
    <x v="2"/>
  </r>
  <r>
    <x v="0"/>
    <x v="96"/>
    <x v="0"/>
    <x v="0"/>
    <x v="4"/>
    <x v="48"/>
    <x v="4"/>
    <x v="48"/>
    <x v="4"/>
    <x v="1"/>
    <x v="1"/>
    <x v="0"/>
    <x v="0"/>
    <x v="1"/>
    <x v="11"/>
    <x v="0"/>
    <x v="0"/>
    <x v="47"/>
    <x v="0"/>
    <x v="53"/>
    <x v="1"/>
    <x v="51"/>
    <x v="0"/>
    <x v="1"/>
    <x v="1"/>
    <x v="13"/>
    <x v="21"/>
    <x v="8"/>
    <x v="47"/>
    <x v="55"/>
    <x v="0"/>
    <x v="53"/>
    <x v="0"/>
    <x v="51"/>
    <x v="78"/>
    <x v="61"/>
    <x v="0"/>
    <x v="0"/>
    <x v="81"/>
    <x v="1"/>
    <x v="11"/>
    <x v="1"/>
    <x v="0"/>
    <x v="7"/>
    <x v="30"/>
    <x v="56"/>
    <x v="5"/>
    <x v="0"/>
    <x v="53"/>
    <x v="0"/>
    <x v="0"/>
    <x v="0"/>
    <x v="0"/>
    <x v="47"/>
    <x v="0"/>
    <x v="1"/>
    <x v="1"/>
    <x v="1"/>
    <x v="0"/>
    <x v="3"/>
    <x v="0"/>
    <x v="0"/>
    <x v="0"/>
    <x v="0"/>
    <x v="0"/>
    <x v="0"/>
    <x v="1"/>
  </r>
  <r>
    <x v="0"/>
    <x v="97"/>
    <x v="0"/>
    <x v="0"/>
    <x v="4"/>
    <x v="48"/>
    <x v="4"/>
    <x v="48"/>
    <x v="4"/>
    <x v="1"/>
    <x v="1"/>
    <x v="0"/>
    <x v="0"/>
    <x v="1"/>
    <x v="11"/>
    <x v="0"/>
    <x v="0"/>
    <x v="47"/>
    <x v="0"/>
    <x v="53"/>
    <x v="1"/>
    <x v="51"/>
    <x v="0"/>
    <x v="1"/>
    <x v="1"/>
    <x v="13"/>
    <x v="21"/>
    <x v="8"/>
    <x v="47"/>
    <x v="55"/>
    <x v="0"/>
    <x v="53"/>
    <x v="0"/>
    <x v="51"/>
    <x v="79"/>
    <x v="62"/>
    <x v="0"/>
    <x v="0"/>
    <x v="82"/>
    <x v="1"/>
    <x v="11"/>
    <x v="1"/>
    <x v="0"/>
    <x v="7"/>
    <x v="30"/>
    <x v="57"/>
    <x v="5"/>
    <x v="0"/>
    <x v="53"/>
    <x v="0"/>
    <x v="0"/>
    <x v="0"/>
    <x v="0"/>
    <x v="47"/>
    <x v="0"/>
    <x v="1"/>
    <x v="1"/>
    <x v="1"/>
    <x v="0"/>
    <x v="3"/>
    <x v="0"/>
    <x v="0"/>
    <x v="0"/>
    <x v="0"/>
    <x v="0"/>
    <x v="0"/>
    <x v="1"/>
  </r>
  <r>
    <x v="0"/>
    <x v="98"/>
    <x v="0"/>
    <x v="0"/>
    <x v="4"/>
    <x v="48"/>
    <x v="4"/>
    <x v="48"/>
    <x v="4"/>
    <x v="1"/>
    <x v="1"/>
    <x v="0"/>
    <x v="0"/>
    <x v="1"/>
    <x v="11"/>
    <x v="0"/>
    <x v="0"/>
    <x v="47"/>
    <x v="0"/>
    <x v="53"/>
    <x v="1"/>
    <x v="51"/>
    <x v="0"/>
    <x v="1"/>
    <x v="1"/>
    <x v="13"/>
    <x v="21"/>
    <x v="8"/>
    <x v="47"/>
    <x v="55"/>
    <x v="0"/>
    <x v="53"/>
    <x v="0"/>
    <x v="51"/>
    <x v="63"/>
    <x v="53"/>
    <x v="0"/>
    <x v="0"/>
    <x v="83"/>
    <x v="1"/>
    <x v="11"/>
    <x v="1"/>
    <x v="0"/>
    <x v="7"/>
    <x v="30"/>
    <x v="58"/>
    <x v="5"/>
    <x v="0"/>
    <x v="53"/>
    <x v="0"/>
    <x v="0"/>
    <x v="0"/>
    <x v="0"/>
    <x v="47"/>
    <x v="0"/>
    <x v="1"/>
    <x v="1"/>
    <x v="1"/>
    <x v="0"/>
    <x v="3"/>
    <x v="0"/>
    <x v="0"/>
    <x v="0"/>
    <x v="0"/>
    <x v="0"/>
    <x v="0"/>
    <x v="1"/>
  </r>
  <r>
    <x v="0"/>
    <x v="99"/>
    <x v="0"/>
    <x v="0"/>
    <x v="4"/>
    <x v="48"/>
    <x v="4"/>
    <x v="48"/>
    <x v="4"/>
    <x v="1"/>
    <x v="1"/>
    <x v="0"/>
    <x v="0"/>
    <x v="1"/>
    <x v="11"/>
    <x v="0"/>
    <x v="0"/>
    <x v="47"/>
    <x v="0"/>
    <x v="53"/>
    <x v="1"/>
    <x v="51"/>
    <x v="0"/>
    <x v="1"/>
    <x v="1"/>
    <x v="13"/>
    <x v="21"/>
    <x v="8"/>
    <x v="47"/>
    <x v="55"/>
    <x v="0"/>
    <x v="53"/>
    <x v="0"/>
    <x v="51"/>
    <x v="80"/>
    <x v="63"/>
    <x v="0"/>
    <x v="0"/>
    <x v="84"/>
    <x v="1"/>
    <x v="11"/>
    <x v="1"/>
    <x v="0"/>
    <x v="7"/>
    <x v="30"/>
    <x v="59"/>
    <x v="5"/>
    <x v="0"/>
    <x v="53"/>
    <x v="0"/>
    <x v="0"/>
    <x v="0"/>
    <x v="0"/>
    <x v="47"/>
    <x v="0"/>
    <x v="1"/>
    <x v="1"/>
    <x v="1"/>
    <x v="0"/>
    <x v="3"/>
    <x v="0"/>
    <x v="0"/>
    <x v="0"/>
    <x v="0"/>
    <x v="0"/>
    <x v="0"/>
    <x v="1"/>
  </r>
  <r>
    <x v="0"/>
    <x v="100"/>
    <x v="0"/>
    <x v="0"/>
    <x v="4"/>
    <x v="48"/>
    <x v="4"/>
    <x v="48"/>
    <x v="4"/>
    <x v="1"/>
    <x v="1"/>
    <x v="0"/>
    <x v="0"/>
    <x v="1"/>
    <x v="11"/>
    <x v="0"/>
    <x v="0"/>
    <x v="47"/>
    <x v="0"/>
    <x v="53"/>
    <x v="1"/>
    <x v="51"/>
    <x v="0"/>
    <x v="1"/>
    <x v="1"/>
    <x v="13"/>
    <x v="21"/>
    <x v="8"/>
    <x v="47"/>
    <x v="55"/>
    <x v="0"/>
    <x v="53"/>
    <x v="0"/>
    <x v="51"/>
    <x v="81"/>
    <x v="64"/>
    <x v="0"/>
    <x v="0"/>
    <x v="85"/>
    <x v="1"/>
    <x v="11"/>
    <x v="1"/>
    <x v="0"/>
    <x v="7"/>
    <x v="30"/>
    <x v="60"/>
    <x v="5"/>
    <x v="0"/>
    <x v="53"/>
    <x v="0"/>
    <x v="0"/>
    <x v="0"/>
    <x v="0"/>
    <x v="47"/>
    <x v="0"/>
    <x v="1"/>
    <x v="1"/>
    <x v="1"/>
    <x v="0"/>
    <x v="3"/>
    <x v="0"/>
    <x v="0"/>
    <x v="0"/>
    <x v="0"/>
    <x v="0"/>
    <x v="0"/>
    <x v="1"/>
  </r>
  <r>
    <x v="0"/>
    <x v="101"/>
    <x v="0"/>
    <x v="0"/>
    <x v="4"/>
    <x v="48"/>
    <x v="4"/>
    <x v="48"/>
    <x v="4"/>
    <x v="1"/>
    <x v="1"/>
    <x v="0"/>
    <x v="0"/>
    <x v="1"/>
    <x v="11"/>
    <x v="0"/>
    <x v="0"/>
    <x v="47"/>
    <x v="0"/>
    <x v="53"/>
    <x v="1"/>
    <x v="51"/>
    <x v="0"/>
    <x v="1"/>
    <x v="1"/>
    <x v="13"/>
    <x v="21"/>
    <x v="8"/>
    <x v="47"/>
    <x v="55"/>
    <x v="0"/>
    <x v="53"/>
    <x v="0"/>
    <x v="51"/>
    <x v="64"/>
    <x v="54"/>
    <x v="0"/>
    <x v="0"/>
    <x v="86"/>
    <x v="1"/>
    <x v="11"/>
    <x v="1"/>
    <x v="0"/>
    <x v="7"/>
    <x v="30"/>
    <x v="61"/>
    <x v="5"/>
    <x v="0"/>
    <x v="53"/>
    <x v="0"/>
    <x v="0"/>
    <x v="0"/>
    <x v="0"/>
    <x v="47"/>
    <x v="0"/>
    <x v="1"/>
    <x v="1"/>
    <x v="1"/>
    <x v="0"/>
    <x v="3"/>
    <x v="0"/>
    <x v="0"/>
    <x v="0"/>
    <x v="0"/>
    <x v="0"/>
    <x v="0"/>
    <x v="1"/>
  </r>
  <r>
    <x v="0"/>
    <x v="102"/>
    <x v="0"/>
    <x v="0"/>
    <x v="30"/>
    <x v="49"/>
    <x v="12"/>
    <x v="49"/>
    <x v="47"/>
    <x v="1"/>
    <x v="2"/>
    <x v="12"/>
    <x v="0"/>
    <x v="14"/>
    <x v="12"/>
    <x v="9"/>
    <x v="11"/>
    <x v="48"/>
    <x v="2"/>
    <x v="54"/>
    <x v="1"/>
    <x v="52"/>
    <x v="0"/>
    <x v="0"/>
    <x v="4"/>
    <x v="3"/>
    <x v="41"/>
    <x v="40"/>
    <x v="48"/>
    <x v="56"/>
    <x v="1"/>
    <x v="54"/>
    <x v="2"/>
    <x v="52"/>
    <x v="3"/>
    <x v="3"/>
    <x v="0"/>
    <x v="0"/>
    <x v="87"/>
    <x v="1"/>
    <x v="12"/>
    <x v="0"/>
    <x v="0"/>
    <x v="6"/>
    <x v="31"/>
    <x v="62"/>
    <x v="5"/>
    <x v="0"/>
    <x v="54"/>
    <x v="0"/>
    <x v="0"/>
    <x v="0"/>
    <x v="0"/>
    <x v="48"/>
    <x v="0"/>
    <x v="0"/>
    <x v="21"/>
    <x v="8"/>
    <x v="1"/>
    <x v="2"/>
    <x v="0"/>
    <x v="0"/>
    <x v="0"/>
    <x v="0"/>
    <x v="0"/>
    <x v="0"/>
    <x v="2"/>
  </r>
  <r>
    <x v="0"/>
    <x v="103"/>
    <x v="0"/>
    <x v="0"/>
    <x v="30"/>
    <x v="49"/>
    <x v="12"/>
    <x v="49"/>
    <x v="47"/>
    <x v="1"/>
    <x v="2"/>
    <x v="12"/>
    <x v="0"/>
    <x v="14"/>
    <x v="12"/>
    <x v="9"/>
    <x v="11"/>
    <x v="48"/>
    <x v="2"/>
    <x v="54"/>
    <x v="1"/>
    <x v="52"/>
    <x v="0"/>
    <x v="0"/>
    <x v="4"/>
    <x v="3"/>
    <x v="41"/>
    <x v="40"/>
    <x v="48"/>
    <x v="56"/>
    <x v="1"/>
    <x v="54"/>
    <x v="2"/>
    <x v="52"/>
    <x v="4"/>
    <x v="4"/>
    <x v="0"/>
    <x v="0"/>
    <x v="75"/>
    <x v="1"/>
    <x v="12"/>
    <x v="0"/>
    <x v="0"/>
    <x v="6"/>
    <x v="31"/>
    <x v="63"/>
    <x v="5"/>
    <x v="0"/>
    <x v="54"/>
    <x v="0"/>
    <x v="0"/>
    <x v="0"/>
    <x v="0"/>
    <x v="48"/>
    <x v="0"/>
    <x v="0"/>
    <x v="21"/>
    <x v="8"/>
    <x v="1"/>
    <x v="2"/>
    <x v="0"/>
    <x v="0"/>
    <x v="0"/>
    <x v="0"/>
    <x v="0"/>
    <x v="0"/>
    <x v="2"/>
  </r>
  <r>
    <x v="0"/>
    <x v="104"/>
    <x v="0"/>
    <x v="0"/>
    <x v="30"/>
    <x v="49"/>
    <x v="12"/>
    <x v="49"/>
    <x v="47"/>
    <x v="1"/>
    <x v="2"/>
    <x v="12"/>
    <x v="0"/>
    <x v="14"/>
    <x v="12"/>
    <x v="9"/>
    <x v="11"/>
    <x v="48"/>
    <x v="2"/>
    <x v="54"/>
    <x v="1"/>
    <x v="52"/>
    <x v="0"/>
    <x v="0"/>
    <x v="4"/>
    <x v="3"/>
    <x v="41"/>
    <x v="40"/>
    <x v="48"/>
    <x v="56"/>
    <x v="1"/>
    <x v="54"/>
    <x v="2"/>
    <x v="52"/>
    <x v="82"/>
    <x v="59"/>
    <x v="0"/>
    <x v="0"/>
    <x v="74"/>
    <x v="1"/>
    <x v="12"/>
    <x v="0"/>
    <x v="0"/>
    <x v="6"/>
    <x v="31"/>
    <x v="64"/>
    <x v="5"/>
    <x v="0"/>
    <x v="54"/>
    <x v="0"/>
    <x v="0"/>
    <x v="0"/>
    <x v="0"/>
    <x v="48"/>
    <x v="0"/>
    <x v="0"/>
    <x v="21"/>
    <x v="8"/>
    <x v="1"/>
    <x v="2"/>
    <x v="0"/>
    <x v="0"/>
    <x v="0"/>
    <x v="0"/>
    <x v="0"/>
    <x v="0"/>
    <x v="2"/>
  </r>
  <r>
    <x v="0"/>
    <x v="105"/>
    <x v="0"/>
    <x v="0"/>
    <x v="30"/>
    <x v="49"/>
    <x v="12"/>
    <x v="49"/>
    <x v="47"/>
    <x v="1"/>
    <x v="2"/>
    <x v="12"/>
    <x v="0"/>
    <x v="14"/>
    <x v="12"/>
    <x v="9"/>
    <x v="11"/>
    <x v="48"/>
    <x v="2"/>
    <x v="54"/>
    <x v="1"/>
    <x v="52"/>
    <x v="0"/>
    <x v="0"/>
    <x v="4"/>
    <x v="3"/>
    <x v="41"/>
    <x v="40"/>
    <x v="48"/>
    <x v="56"/>
    <x v="1"/>
    <x v="54"/>
    <x v="2"/>
    <x v="52"/>
    <x v="6"/>
    <x v="6"/>
    <x v="0"/>
    <x v="0"/>
    <x v="88"/>
    <x v="1"/>
    <x v="12"/>
    <x v="0"/>
    <x v="0"/>
    <x v="6"/>
    <x v="31"/>
    <x v="65"/>
    <x v="5"/>
    <x v="0"/>
    <x v="54"/>
    <x v="0"/>
    <x v="0"/>
    <x v="0"/>
    <x v="0"/>
    <x v="48"/>
    <x v="0"/>
    <x v="0"/>
    <x v="21"/>
    <x v="8"/>
    <x v="1"/>
    <x v="2"/>
    <x v="0"/>
    <x v="0"/>
    <x v="0"/>
    <x v="0"/>
    <x v="0"/>
    <x v="0"/>
    <x v="2"/>
  </r>
  <r>
    <x v="0"/>
    <x v="106"/>
    <x v="0"/>
    <x v="0"/>
    <x v="30"/>
    <x v="49"/>
    <x v="12"/>
    <x v="49"/>
    <x v="47"/>
    <x v="1"/>
    <x v="2"/>
    <x v="12"/>
    <x v="0"/>
    <x v="14"/>
    <x v="12"/>
    <x v="9"/>
    <x v="11"/>
    <x v="48"/>
    <x v="2"/>
    <x v="54"/>
    <x v="1"/>
    <x v="52"/>
    <x v="0"/>
    <x v="0"/>
    <x v="4"/>
    <x v="3"/>
    <x v="41"/>
    <x v="40"/>
    <x v="48"/>
    <x v="56"/>
    <x v="1"/>
    <x v="54"/>
    <x v="2"/>
    <x v="52"/>
    <x v="83"/>
    <x v="65"/>
    <x v="0"/>
    <x v="0"/>
    <x v="89"/>
    <x v="1"/>
    <x v="12"/>
    <x v="0"/>
    <x v="0"/>
    <x v="6"/>
    <x v="31"/>
    <x v="9"/>
    <x v="5"/>
    <x v="0"/>
    <x v="54"/>
    <x v="0"/>
    <x v="0"/>
    <x v="0"/>
    <x v="0"/>
    <x v="48"/>
    <x v="0"/>
    <x v="0"/>
    <x v="21"/>
    <x v="8"/>
    <x v="1"/>
    <x v="2"/>
    <x v="0"/>
    <x v="0"/>
    <x v="0"/>
    <x v="1"/>
    <x v="0"/>
    <x v="0"/>
    <x v="2"/>
  </r>
  <r>
    <x v="0"/>
    <x v="107"/>
    <x v="0"/>
    <x v="0"/>
    <x v="6"/>
    <x v="50"/>
    <x v="14"/>
    <x v="50"/>
    <x v="48"/>
    <x v="1"/>
    <x v="0"/>
    <x v="1"/>
    <x v="7"/>
    <x v="13"/>
    <x v="3"/>
    <x v="0"/>
    <x v="0"/>
    <x v="49"/>
    <x v="2"/>
    <x v="55"/>
    <x v="1"/>
    <x v="53"/>
    <x v="0"/>
    <x v="13"/>
    <x v="0"/>
    <x v="33"/>
    <x v="42"/>
    <x v="41"/>
    <x v="49"/>
    <x v="57"/>
    <x v="1"/>
    <x v="55"/>
    <x v="2"/>
    <x v="53"/>
    <x v="60"/>
    <x v="51"/>
    <x v="0"/>
    <x v="0"/>
    <x v="90"/>
    <x v="1"/>
    <x v="2"/>
    <x v="1"/>
    <x v="0"/>
    <x v="5"/>
    <x v="32"/>
    <x v="66"/>
    <x v="23"/>
    <x v="0"/>
    <x v="55"/>
    <x v="0"/>
    <x v="0"/>
    <x v="0"/>
    <x v="0"/>
    <x v="49"/>
    <x v="0"/>
    <x v="2"/>
    <x v="23"/>
    <x v="5"/>
    <x v="1"/>
    <x v="2"/>
    <x v="0"/>
    <x v="0"/>
    <x v="0"/>
    <x v="0"/>
    <x v="0"/>
    <x v="1"/>
    <x v="1"/>
  </r>
  <r>
    <x v="0"/>
    <x v="108"/>
    <x v="0"/>
    <x v="0"/>
    <x v="31"/>
    <x v="51"/>
    <x v="21"/>
    <x v="51"/>
    <x v="49"/>
    <x v="1"/>
    <x v="5"/>
    <x v="1"/>
    <x v="3"/>
    <x v="21"/>
    <x v="3"/>
    <x v="0"/>
    <x v="0"/>
    <x v="50"/>
    <x v="2"/>
    <x v="56"/>
    <x v="1"/>
    <x v="54"/>
    <x v="0"/>
    <x v="5"/>
    <x v="2"/>
    <x v="34"/>
    <x v="43"/>
    <x v="42"/>
    <x v="50"/>
    <x v="58"/>
    <x v="0"/>
    <x v="56"/>
    <x v="2"/>
    <x v="54"/>
    <x v="13"/>
    <x v="13"/>
    <x v="0"/>
    <x v="0"/>
    <x v="91"/>
    <x v="1"/>
    <x v="2"/>
    <x v="2"/>
    <x v="0"/>
    <x v="1"/>
    <x v="33"/>
    <x v="9"/>
    <x v="1"/>
    <x v="0"/>
    <x v="56"/>
    <x v="0"/>
    <x v="0"/>
    <x v="0"/>
    <x v="0"/>
    <x v="50"/>
    <x v="0"/>
    <x v="1"/>
    <x v="8"/>
    <x v="14"/>
    <x v="0"/>
    <x v="1"/>
    <x v="1"/>
    <x v="0"/>
    <x v="0"/>
    <x v="1"/>
    <x v="0"/>
    <x v="3"/>
    <x v="4"/>
  </r>
  <r>
    <x v="0"/>
    <x v="109"/>
    <x v="0"/>
    <x v="0"/>
    <x v="32"/>
    <x v="52"/>
    <x v="22"/>
    <x v="52"/>
    <x v="50"/>
    <x v="0"/>
    <x v="2"/>
    <x v="13"/>
    <x v="0"/>
    <x v="1"/>
    <x v="13"/>
    <x v="10"/>
    <x v="12"/>
    <x v="51"/>
    <x v="0"/>
    <x v="57"/>
    <x v="1"/>
    <x v="55"/>
    <x v="0"/>
    <x v="8"/>
    <x v="4"/>
    <x v="35"/>
    <x v="44"/>
    <x v="8"/>
    <x v="51"/>
    <x v="59"/>
    <x v="0"/>
    <x v="57"/>
    <x v="0"/>
    <x v="55"/>
    <x v="84"/>
    <x v="47"/>
    <x v="0"/>
    <x v="0"/>
    <x v="92"/>
    <x v="1"/>
    <x v="13"/>
    <x v="0"/>
    <x v="0"/>
    <x v="4"/>
    <x v="34"/>
    <x v="67"/>
    <x v="23"/>
    <x v="0"/>
    <x v="57"/>
    <x v="0"/>
    <x v="0"/>
    <x v="0"/>
    <x v="0"/>
    <x v="51"/>
    <x v="0"/>
    <x v="0"/>
    <x v="24"/>
    <x v="15"/>
    <x v="0"/>
    <x v="1"/>
    <x v="0"/>
    <x v="0"/>
    <x v="0"/>
    <x v="0"/>
    <x v="0"/>
    <x v="2"/>
    <x v="2"/>
  </r>
  <r>
    <x v="0"/>
    <x v="110"/>
    <x v="0"/>
    <x v="0"/>
    <x v="32"/>
    <x v="52"/>
    <x v="22"/>
    <x v="52"/>
    <x v="50"/>
    <x v="0"/>
    <x v="2"/>
    <x v="13"/>
    <x v="0"/>
    <x v="1"/>
    <x v="13"/>
    <x v="10"/>
    <x v="12"/>
    <x v="51"/>
    <x v="0"/>
    <x v="57"/>
    <x v="1"/>
    <x v="55"/>
    <x v="0"/>
    <x v="8"/>
    <x v="4"/>
    <x v="35"/>
    <x v="44"/>
    <x v="8"/>
    <x v="51"/>
    <x v="59"/>
    <x v="0"/>
    <x v="57"/>
    <x v="0"/>
    <x v="55"/>
    <x v="85"/>
    <x v="66"/>
    <x v="0"/>
    <x v="0"/>
    <x v="93"/>
    <x v="1"/>
    <x v="13"/>
    <x v="0"/>
    <x v="0"/>
    <x v="4"/>
    <x v="34"/>
    <x v="68"/>
    <x v="23"/>
    <x v="0"/>
    <x v="57"/>
    <x v="0"/>
    <x v="0"/>
    <x v="0"/>
    <x v="0"/>
    <x v="51"/>
    <x v="0"/>
    <x v="0"/>
    <x v="24"/>
    <x v="15"/>
    <x v="0"/>
    <x v="1"/>
    <x v="0"/>
    <x v="0"/>
    <x v="0"/>
    <x v="0"/>
    <x v="0"/>
    <x v="2"/>
    <x v="2"/>
  </r>
  <r>
    <x v="0"/>
    <x v="111"/>
    <x v="0"/>
    <x v="0"/>
    <x v="32"/>
    <x v="52"/>
    <x v="22"/>
    <x v="52"/>
    <x v="50"/>
    <x v="0"/>
    <x v="2"/>
    <x v="13"/>
    <x v="0"/>
    <x v="1"/>
    <x v="13"/>
    <x v="10"/>
    <x v="12"/>
    <x v="51"/>
    <x v="0"/>
    <x v="57"/>
    <x v="1"/>
    <x v="55"/>
    <x v="0"/>
    <x v="8"/>
    <x v="4"/>
    <x v="35"/>
    <x v="44"/>
    <x v="8"/>
    <x v="51"/>
    <x v="59"/>
    <x v="0"/>
    <x v="57"/>
    <x v="0"/>
    <x v="55"/>
    <x v="86"/>
    <x v="49"/>
    <x v="0"/>
    <x v="0"/>
    <x v="94"/>
    <x v="1"/>
    <x v="13"/>
    <x v="0"/>
    <x v="0"/>
    <x v="4"/>
    <x v="34"/>
    <x v="69"/>
    <x v="23"/>
    <x v="0"/>
    <x v="57"/>
    <x v="0"/>
    <x v="0"/>
    <x v="0"/>
    <x v="0"/>
    <x v="51"/>
    <x v="0"/>
    <x v="0"/>
    <x v="24"/>
    <x v="15"/>
    <x v="0"/>
    <x v="1"/>
    <x v="0"/>
    <x v="0"/>
    <x v="0"/>
    <x v="0"/>
    <x v="0"/>
    <x v="2"/>
    <x v="2"/>
  </r>
  <r>
    <x v="0"/>
    <x v="112"/>
    <x v="0"/>
    <x v="0"/>
    <x v="32"/>
    <x v="52"/>
    <x v="22"/>
    <x v="52"/>
    <x v="50"/>
    <x v="0"/>
    <x v="2"/>
    <x v="13"/>
    <x v="0"/>
    <x v="1"/>
    <x v="13"/>
    <x v="10"/>
    <x v="12"/>
    <x v="51"/>
    <x v="0"/>
    <x v="57"/>
    <x v="1"/>
    <x v="55"/>
    <x v="0"/>
    <x v="8"/>
    <x v="4"/>
    <x v="35"/>
    <x v="44"/>
    <x v="8"/>
    <x v="51"/>
    <x v="59"/>
    <x v="0"/>
    <x v="57"/>
    <x v="0"/>
    <x v="55"/>
    <x v="87"/>
    <x v="51"/>
    <x v="0"/>
    <x v="0"/>
    <x v="95"/>
    <x v="1"/>
    <x v="13"/>
    <x v="0"/>
    <x v="0"/>
    <x v="4"/>
    <x v="34"/>
    <x v="70"/>
    <x v="23"/>
    <x v="0"/>
    <x v="57"/>
    <x v="0"/>
    <x v="0"/>
    <x v="0"/>
    <x v="0"/>
    <x v="51"/>
    <x v="0"/>
    <x v="0"/>
    <x v="24"/>
    <x v="15"/>
    <x v="0"/>
    <x v="1"/>
    <x v="0"/>
    <x v="0"/>
    <x v="0"/>
    <x v="0"/>
    <x v="0"/>
    <x v="2"/>
    <x v="2"/>
  </r>
  <r>
    <x v="0"/>
    <x v="113"/>
    <x v="0"/>
    <x v="0"/>
    <x v="32"/>
    <x v="52"/>
    <x v="22"/>
    <x v="52"/>
    <x v="50"/>
    <x v="0"/>
    <x v="2"/>
    <x v="13"/>
    <x v="0"/>
    <x v="1"/>
    <x v="13"/>
    <x v="10"/>
    <x v="12"/>
    <x v="51"/>
    <x v="0"/>
    <x v="57"/>
    <x v="1"/>
    <x v="55"/>
    <x v="0"/>
    <x v="8"/>
    <x v="4"/>
    <x v="35"/>
    <x v="44"/>
    <x v="8"/>
    <x v="51"/>
    <x v="59"/>
    <x v="0"/>
    <x v="57"/>
    <x v="0"/>
    <x v="55"/>
    <x v="88"/>
    <x v="67"/>
    <x v="0"/>
    <x v="0"/>
    <x v="96"/>
    <x v="1"/>
    <x v="13"/>
    <x v="0"/>
    <x v="0"/>
    <x v="4"/>
    <x v="34"/>
    <x v="71"/>
    <x v="23"/>
    <x v="0"/>
    <x v="57"/>
    <x v="0"/>
    <x v="0"/>
    <x v="0"/>
    <x v="0"/>
    <x v="51"/>
    <x v="0"/>
    <x v="0"/>
    <x v="24"/>
    <x v="15"/>
    <x v="0"/>
    <x v="1"/>
    <x v="0"/>
    <x v="0"/>
    <x v="0"/>
    <x v="0"/>
    <x v="0"/>
    <x v="2"/>
    <x v="2"/>
  </r>
  <r>
    <x v="0"/>
    <x v="114"/>
    <x v="0"/>
    <x v="0"/>
    <x v="32"/>
    <x v="52"/>
    <x v="22"/>
    <x v="52"/>
    <x v="50"/>
    <x v="0"/>
    <x v="2"/>
    <x v="13"/>
    <x v="0"/>
    <x v="1"/>
    <x v="13"/>
    <x v="10"/>
    <x v="12"/>
    <x v="51"/>
    <x v="0"/>
    <x v="57"/>
    <x v="1"/>
    <x v="55"/>
    <x v="0"/>
    <x v="8"/>
    <x v="4"/>
    <x v="35"/>
    <x v="44"/>
    <x v="8"/>
    <x v="51"/>
    <x v="59"/>
    <x v="0"/>
    <x v="57"/>
    <x v="0"/>
    <x v="55"/>
    <x v="89"/>
    <x v="68"/>
    <x v="0"/>
    <x v="0"/>
    <x v="97"/>
    <x v="1"/>
    <x v="13"/>
    <x v="0"/>
    <x v="0"/>
    <x v="4"/>
    <x v="34"/>
    <x v="72"/>
    <x v="23"/>
    <x v="0"/>
    <x v="57"/>
    <x v="0"/>
    <x v="0"/>
    <x v="0"/>
    <x v="0"/>
    <x v="51"/>
    <x v="0"/>
    <x v="0"/>
    <x v="24"/>
    <x v="15"/>
    <x v="0"/>
    <x v="1"/>
    <x v="0"/>
    <x v="0"/>
    <x v="0"/>
    <x v="0"/>
    <x v="0"/>
    <x v="2"/>
    <x v="2"/>
  </r>
  <r>
    <x v="0"/>
    <x v="115"/>
    <x v="0"/>
    <x v="0"/>
    <x v="32"/>
    <x v="52"/>
    <x v="22"/>
    <x v="52"/>
    <x v="50"/>
    <x v="0"/>
    <x v="2"/>
    <x v="13"/>
    <x v="0"/>
    <x v="1"/>
    <x v="13"/>
    <x v="10"/>
    <x v="12"/>
    <x v="51"/>
    <x v="0"/>
    <x v="57"/>
    <x v="1"/>
    <x v="55"/>
    <x v="0"/>
    <x v="8"/>
    <x v="4"/>
    <x v="35"/>
    <x v="44"/>
    <x v="8"/>
    <x v="51"/>
    <x v="59"/>
    <x v="0"/>
    <x v="57"/>
    <x v="0"/>
    <x v="55"/>
    <x v="55"/>
    <x v="46"/>
    <x v="0"/>
    <x v="0"/>
    <x v="58"/>
    <x v="1"/>
    <x v="13"/>
    <x v="0"/>
    <x v="0"/>
    <x v="4"/>
    <x v="34"/>
    <x v="73"/>
    <x v="23"/>
    <x v="0"/>
    <x v="57"/>
    <x v="0"/>
    <x v="0"/>
    <x v="0"/>
    <x v="0"/>
    <x v="51"/>
    <x v="0"/>
    <x v="0"/>
    <x v="24"/>
    <x v="15"/>
    <x v="0"/>
    <x v="1"/>
    <x v="0"/>
    <x v="0"/>
    <x v="0"/>
    <x v="0"/>
    <x v="0"/>
    <x v="2"/>
    <x v="2"/>
  </r>
  <r>
    <x v="0"/>
    <x v="116"/>
    <x v="0"/>
    <x v="0"/>
    <x v="32"/>
    <x v="52"/>
    <x v="22"/>
    <x v="52"/>
    <x v="50"/>
    <x v="0"/>
    <x v="2"/>
    <x v="13"/>
    <x v="0"/>
    <x v="1"/>
    <x v="13"/>
    <x v="10"/>
    <x v="12"/>
    <x v="51"/>
    <x v="0"/>
    <x v="57"/>
    <x v="1"/>
    <x v="55"/>
    <x v="0"/>
    <x v="8"/>
    <x v="4"/>
    <x v="35"/>
    <x v="44"/>
    <x v="8"/>
    <x v="51"/>
    <x v="59"/>
    <x v="0"/>
    <x v="57"/>
    <x v="0"/>
    <x v="55"/>
    <x v="59"/>
    <x v="50"/>
    <x v="0"/>
    <x v="0"/>
    <x v="97"/>
    <x v="1"/>
    <x v="13"/>
    <x v="0"/>
    <x v="0"/>
    <x v="4"/>
    <x v="34"/>
    <x v="74"/>
    <x v="23"/>
    <x v="0"/>
    <x v="57"/>
    <x v="0"/>
    <x v="0"/>
    <x v="0"/>
    <x v="0"/>
    <x v="51"/>
    <x v="0"/>
    <x v="0"/>
    <x v="24"/>
    <x v="15"/>
    <x v="0"/>
    <x v="1"/>
    <x v="0"/>
    <x v="0"/>
    <x v="0"/>
    <x v="0"/>
    <x v="0"/>
    <x v="2"/>
    <x v="2"/>
  </r>
  <r>
    <x v="0"/>
    <x v="117"/>
    <x v="0"/>
    <x v="0"/>
    <x v="32"/>
    <x v="52"/>
    <x v="22"/>
    <x v="52"/>
    <x v="50"/>
    <x v="0"/>
    <x v="2"/>
    <x v="13"/>
    <x v="0"/>
    <x v="1"/>
    <x v="13"/>
    <x v="10"/>
    <x v="12"/>
    <x v="51"/>
    <x v="0"/>
    <x v="57"/>
    <x v="1"/>
    <x v="55"/>
    <x v="0"/>
    <x v="8"/>
    <x v="4"/>
    <x v="35"/>
    <x v="44"/>
    <x v="8"/>
    <x v="51"/>
    <x v="59"/>
    <x v="0"/>
    <x v="57"/>
    <x v="0"/>
    <x v="55"/>
    <x v="90"/>
    <x v="69"/>
    <x v="0"/>
    <x v="0"/>
    <x v="98"/>
    <x v="1"/>
    <x v="13"/>
    <x v="0"/>
    <x v="0"/>
    <x v="4"/>
    <x v="34"/>
    <x v="9"/>
    <x v="23"/>
    <x v="0"/>
    <x v="57"/>
    <x v="0"/>
    <x v="0"/>
    <x v="0"/>
    <x v="0"/>
    <x v="51"/>
    <x v="0"/>
    <x v="0"/>
    <x v="24"/>
    <x v="15"/>
    <x v="0"/>
    <x v="1"/>
    <x v="0"/>
    <x v="0"/>
    <x v="0"/>
    <x v="1"/>
    <x v="0"/>
    <x v="2"/>
    <x v="2"/>
  </r>
  <r>
    <x v="0"/>
    <x v="118"/>
    <x v="0"/>
    <x v="0"/>
    <x v="31"/>
    <x v="51"/>
    <x v="21"/>
    <x v="51"/>
    <x v="49"/>
    <x v="1"/>
    <x v="5"/>
    <x v="1"/>
    <x v="3"/>
    <x v="21"/>
    <x v="3"/>
    <x v="0"/>
    <x v="0"/>
    <x v="50"/>
    <x v="2"/>
    <x v="56"/>
    <x v="1"/>
    <x v="54"/>
    <x v="0"/>
    <x v="5"/>
    <x v="2"/>
    <x v="34"/>
    <x v="43"/>
    <x v="42"/>
    <x v="50"/>
    <x v="60"/>
    <x v="1"/>
    <x v="56"/>
    <x v="2"/>
    <x v="54"/>
    <x v="91"/>
    <x v="22"/>
    <x v="0"/>
    <x v="0"/>
    <x v="91"/>
    <x v="1"/>
    <x v="2"/>
    <x v="1"/>
    <x v="0"/>
    <x v="1"/>
    <x v="33"/>
    <x v="9"/>
    <x v="23"/>
    <x v="0"/>
    <x v="56"/>
    <x v="0"/>
    <x v="0"/>
    <x v="0"/>
    <x v="0"/>
    <x v="50"/>
    <x v="0"/>
    <x v="1"/>
    <x v="8"/>
    <x v="14"/>
    <x v="0"/>
    <x v="1"/>
    <x v="1"/>
    <x v="0"/>
    <x v="0"/>
    <x v="1"/>
    <x v="0"/>
    <x v="3"/>
    <x v="4"/>
  </r>
  <r>
    <x v="0"/>
    <x v="119"/>
    <x v="0"/>
    <x v="0"/>
    <x v="33"/>
    <x v="53"/>
    <x v="15"/>
    <x v="53"/>
    <x v="50"/>
    <x v="0"/>
    <x v="5"/>
    <x v="14"/>
    <x v="1"/>
    <x v="3"/>
    <x v="3"/>
    <x v="11"/>
    <x v="13"/>
    <x v="52"/>
    <x v="0"/>
    <x v="58"/>
    <x v="1"/>
    <x v="56"/>
    <x v="0"/>
    <x v="5"/>
    <x v="2"/>
    <x v="36"/>
    <x v="45"/>
    <x v="43"/>
    <x v="52"/>
    <x v="61"/>
    <x v="0"/>
    <x v="58"/>
    <x v="0"/>
    <x v="56"/>
    <x v="92"/>
    <x v="22"/>
    <x v="0"/>
    <x v="0"/>
    <x v="71"/>
    <x v="1"/>
    <x v="2"/>
    <x v="1"/>
    <x v="0"/>
    <x v="1"/>
    <x v="35"/>
    <x v="9"/>
    <x v="23"/>
    <x v="0"/>
    <x v="58"/>
    <x v="0"/>
    <x v="0"/>
    <x v="0"/>
    <x v="0"/>
    <x v="52"/>
    <x v="0"/>
    <x v="1"/>
    <x v="8"/>
    <x v="2"/>
    <x v="0"/>
    <x v="4"/>
    <x v="0"/>
    <x v="0"/>
    <x v="0"/>
    <x v="1"/>
    <x v="0"/>
    <x v="3"/>
    <x v="2"/>
  </r>
  <r>
    <x v="0"/>
    <x v="120"/>
    <x v="0"/>
    <x v="0"/>
    <x v="34"/>
    <x v="54"/>
    <x v="23"/>
    <x v="54"/>
    <x v="51"/>
    <x v="5"/>
    <x v="1"/>
    <x v="3"/>
    <x v="6"/>
    <x v="25"/>
    <x v="3"/>
    <x v="2"/>
    <x v="14"/>
    <x v="46"/>
    <x v="2"/>
    <x v="59"/>
    <x v="1"/>
    <x v="57"/>
    <x v="0"/>
    <x v="5"/>
    <x v="1"/>
    <x v="5"/>
    <x v="40"/>
    <x v="16"/>
    <x v="46"/>
    <x v="62"/>
    <x v="1"/>
    <x v="59"/>
    <x v="2"/>
    <x v="57"/>
    <x v="93"/>
    <x v="22"/>
    <x v="0"/>
    <x v="0"/>
    <x v="1"/>
    <x v="1"/>
    <x v="2"/>
    <x v="1"/>
    <x v="0"/>
    <x v="1"/>
    <x v="29"/>
    <x v="9"/>
    <x v="24"/>
    <x v="0"/>
    <x v="59"/>
    <x v="0"/>
    <x v="0"/>
    <x v="0"/>
    <x v="0"/>
    <x v="46"/>
    <x v="0"/>
    <x v="1"/>
    <x v="8"/>
    <x v="6"/>
    <x v="1"/>
    <x v="1"/>
    <x v="0"/>
    <x v="0"/>
    <x v="0"/>
    <x v="1"/>
    <x v="0"/>
    <x v="1"/>
    <x v="2"/>
  </r>
  <r>
    <x v="0"/>
    <x v="121"/>
    <x v="0"/>
    <x v="0"/>
    <x v="6"/>
    <x v="55"/>
    <x v="14"/>
    <x v="55"/>
    <x v="52"/>
    <x v="1"/>
    <x v="7"/>
    <x v="1"/>
    <x v="0"/>
    <x v="14"/>
    <x v="14"/>
    <x v="0"/>
    <x v="0"/>
    <x v="53"/>
    <x v="2"/>
    <x v="60"/>
    <x v="1"/>
    <x v="58"/>
    <x v="0"/>
    <x v="12"/>
    <x v="5"/>
    <x v="13"/>
    <x v="46"/>
    <x v="44"/>
    <x v="53"/>
    <x v="63"/>
    <x v="1"/>
    <x v="60"/>
    <x v="2"/>
    <x v="58"/>
    <x v="94"/>
    <x v="70"/>
    <x v="0"/>
    <x v="0"/>
    <x v="99"/>
    <x v="1"/>
    <x v="14"/>
    <x v="1"/>
    <x v="0"/>
    <x v="1"/>
    <x v="36"/>
    <x v="9"/>
    <x v="24"/>
    <x v="0"/>
    <x v="60"/>
    <x v="0"/>
    <x v="0"/>
    <x v="0"/>
    <x v="0"/>
    <x v="53"/>
    <x v="0"/>
    <x v="3"/>
    <x v="20"/>
    <x v="5"/>
    <x v="1"/>
    <x v="3"/>
    <x v="0"/>
    <x v="0"/>
    <x v="0"/>
    <x v="1"/>
    <x v="0"/>
    <x v="0"/>
    <x v="1"/>
  </r>
  <r>
    <x v="0"/>
    <x v="122"/>
    <x v="0"/>
    <x v="0"/>
    <x v="35"/>
    <x v="56"/>
    <x v="24"/>
    <x v="56"/>
    <x v="53"/>
    <x v="0"/>
    <x v="0"/>
    <x v="1"/>
    <x v="0"/>
    <x v="0"/>
    <x v="15"/>
    <x v="0"/>
    <x v="0"/>
    <x v="54"/>
    <x v="2"/>
    <x v="61"/>
    <x v="0"/>
    <x v="59"/>
    <x v="0"/>
    <x v="13"/>
    <x v="4"/>
    <x v="37"/>
    <x v="47"/>
    <x v="45"/>
    <x v="54"/>
    <x v="64"/>
    <x v="1"/>
    <x v="61"/>
    <x v="2"/>
    <x v="59"/>
    <x v="60"/>
    <x v="51"/>
    <x v="0"/>
    <x v="0"/>
    <x v="90"/>
    <x v="1"/>
    <x v="15"/>
    <x v="0"/>
    <x v="0"/>
    <x v="6"/>
    <x v="37"/>
    <x v="75"/>
    <x v="6"/>
    <x v="0"/>
    <x v="61"/>
    <x v="0"/>
    <x v="0"/>
    <x v="0"/>
    <x v="0"/>
    <x v="54"/>
    <x v="0"/>
    <x v="2"/>
    <x v="23"/>
    <x v="5"/>
    <x v="1"/>
    <x v="2"/>
    <x v="0"/>
    <x v="0"/>
    <x v="0"/>
    <x v="0"/>
    <x v="0"/>
    <x v="0"/>
    <x v="0"/>
  </r>
  <r>
    <x v="0"/>
    <x v="123"/>
    <x v="0"/>
    <x v="0"/>
    <x v="36"/>
    <x v="57"/>
    <x v="3"/>
    <x v="57"/>
    <x v="54"/>
    <x v="4"/>
    <x v="3"/>
    <x v="3"/>
    <x v="5"/>
    <x v="9"/>
    <x v="3"/>
    <x v="2"/>
    <x v="15"/>
    <x v="11"/>
    <x v="0"/>
    <x v="62"/>
    <x v="1"/>
    <x v="60"/>
    <x v="0"/>
    <x v="6"/>
    <x v="4"/>
    <x v="11"/>
    <x v="9"/>
    <x v="11"/>
    <x v="11"/>
    <x v="65"/>
    <x v="0"/>
    <x v="62"/>
    <x v="0"/>
    <x v="60"/>
    <x v="95"/>
    <x v="71"/>
    <x v="0"/>
    <x v="0"/>
    <x v="100"/>
    <x v="1"/>
    <x v="2"/>
    <x v="1"/>
    <x v="0"/>
    <x v="5"/>
    <x v="7"/>
    <x v="76"/>
    <x v="6"/>
    <x v="0"/>
    <x v="62"/>
    <x v="0"/>
    <x v="0"/>
    <x v="0"/>
    <x v="0"/>
    <x v="11"/>
    <x v="0"/>
    <x v="1"/>
    <x v="9"/>
    <x v="7"/>
    <x v="0"/>
    <x v="0"/>
    <x v="1"/>
    <x v="0"/>
    <x v="0"/>
    <x v="0"/>
    <x v="0"/>
    <x v="0"/>
    <x v="10"/>
  </r>
  <r>
    <x v="0"/>
    <x v="124"/>
    <x v="0"/>
    <x v="0"/>
    <x v="36"/>
    <x v="57"/>
    <x v="3"/>
    <x v="57"/>
    <x v="54"/>
    <x v="4"/>
    <x v="3"/>
    <x v="3"/>
    <x v="5"/>
    <x v="9"/>
    <x v="3"/>
    <x v="2"/>
    <x v="15"/>
    <x v="11"/>
    <x v="0"/>
    <x v="62"/>
    <x v="1"/>
    <x v="60"/>
    <x v="0"/>
    <x v="6"/>
    <x v="4"/>
    <x v="11"/>
    <x v="9"/>
    <x v="11"/>
    <x v="11"/>
    <x v="65"/>
    <x v="0"/>
    <x v="62"/>
    <x v="0"/>
    <x v="60"/>
    <x v="96"/>
    <x v="72"/>
    <x v="0"/>
    <x v="0"/>
    <x v="101"/>
    <x v="1"/>
    <x v="2"/>
    <x v="1"/>
    <x v="0"/>
    <x v="5"/>
    <x v="7"/>
    <x v="77"/>
    <x v="6"/>
    <x v="0"/>
    <x v="62"/>
    <x v="0"/>
    <x v="0"/>
    <x v="0"/>
    <x v="0"/>
    <x v="11"/>
    <x v="0"/>
    <x v="1"/>
    <x v="9"/>
    <x v="7"/>
    <x v="0"/>
    <x v="0"/>
    <x v="1"/>
    <x v="0"/>
    <x v="0"/>
    <x v="0"/>
    <x v="0"/>
    <x v="0"/>
    <x v="10"/>
  </r>
  <r>
    <x v="0"/>
    <x v="125"/>
    <x v="0"/>
    <x v="0"/>
    <x v="36"/>
    <x v="57"/>
    <x v="3"/>
    <x v="57"/>
    <x v="54"/>
    <x v="4"/>
    <x v="3"/>
    <x v="3"/>
    <x v="5"/>
    <x v="9"/>
    <x v="3"/>
    <x v="2"/>
    <x v="15"/>
    <x v="11"/>
    <x v="0"/>
    <x v="62"/>
    <x v="1"/>
    <x v="60"/>
    <x v="0"/>
    <x v="6"/>
    <x v="4"/>
    <x v="11"/>
    <x v="9"/>
    <x v="11"/>
    <x v="11"/>
    <x v="65"/>
    <x v="0"/>
    <x v="62"/>
    <x v="0"/>
    <x v="60"/>
    <x v="97"/>
    <x v="73"/>
    <x v="0"/>
    <x v="0"/>
    <x v="102"/>
    <x v="1"/>
    <x v="2"/>
    <x v="1"/>
    <x v="0"/>
    <x v="5"/>
    <x v="7"/>
    <x v="78"/>
    <x v="6"/>
    <x v="0"/>
    <x v="62"/>
    <x v="0"/>
    <x v="0"/>
    <x v="0"/>
    <x v="0"/>
    <x v="11"/>
    <x v="0"/>
    <x v="1"/>
    <x v="9"/>
    <x v="7"/>
    <x v="0"/>
    <x v="0"/>
    <x v="1"/>
    <x v="0"/>
    <x v="0"/>
    <x v="0"/>
    <x v="0"/>
    <x v="0"/>
    <x v="10"/>
  </r>
  <r>
    <x v="0"/>
    <x v="126"/>
    <x v="0"/>
    <x v="0"/>
    <x v="36"/>
    <x v="57"/>
    <x v="3"/>
    <x v="57"/>
    <x v="54"/>
    <x v="4"/>
    <x v="3"/>
    <x v="3"/>
    <x v="5"/>
    <x v="9"/>
    <x v="3"/>
    <x v="2"/>
    <x v="15"/>
    <x v="11"/>
    <x v="0"/>
    <x v="62"/>
    <x v="1"/>
    <x v="60"/>
    <x v="0"/>
    <x v="6"/>
    <x v="4"/>
    <x v="11"/>
    <x v="9"/>
    <x v="11"/>
    <x v="11"/>
    <x v="65"/>
    <x v="0"/>
    <x v="62"/>
    <x v="0"/>
    <x v="60"/>
    <x v="98"/>
    <x v="74"/>
    <x v="0"/>
    <x v="0"/>
    <x v="103"/>
    <x v="1"/>
    <x v="2"/>
    <x v="1"/>
    <x v="0"/>
    <x v="5"/>
    <x v="7"/>
    <x v="79"/>
    <x v="6"/>
    <x v="0"/>
    <x v="62"/>
    <x v="0"/>
    <x v="0"/>
    <x v="0"/>
    <x v="0"/>
    <x v="11"/>
    <x v="0"/>
    <x v="1"/>
    <x v="9"/>
    <x v="7"/>
    <x v="0"/>
    <x v="0"/>
    <x v="1"/>
    <x v="0"/>
    <x v="0"/>
    <x v="0"/>
    <x v="0"/>
    <x v="0"/>
    <x v="10"/>
  </r>
  <r>
    <x v="0"/>
    <x v="127"/>
    <x v="0"/>
    <x v="0"/>
    <x v="36"/>
    <x v="57"/>
    <x v="3"/>
    <x v="57"/>
    <x v="54"/>
    <x v="4"/>
    <x v="3"/>
    <x v="3"/>
    <x v="5"/>
    <x v="9"/>
    <x v="3"/>
    <x v="2"/>
    <x v="15"/>
    <x v="11"/>
    <x v="0"/>
    <x v="62"/>
    <x v="1"/>
    <x v="60"/>
    <x v="0"/>
    <x v="6"/>
    <x v="4"/>
    <x v="11"/>
    <x v="9"/>
    <x v="11"/>
    <x v="11"/>
    <x v="65"/>
    <x v="0"/>
    <x v="62"/>
    <x v="0"/>
    <x v="60"/>
    <x v="99"/>
    <x v="75"/>
    <x v="0"/>
    <x v="0"/>
    <x v="104"/>
    <x v="1"/>
    <x v="2"/>
    <x v="1"/>
    <x v="0"/>
    <x v="5"/>
    <x v="7"/>
    <x v="80"/>
    <x v="6"/>
    <x v="0"/>
    <x v="62"/>
    <x v="0"/>
    <x v="0"/>
    <x v="0"/>
    <x v="0"/>
    <x v="11"/>
    <x v="0"/>
    <x v="1"/>
    <x v="9"/>
    <x v="7"/>
    <x v="0"/>
    <x v="0"/>
    <x v="1"/>
    <x v="0"/>
    <x v="0"/>
    <x v="0"/>
    <x v="0"/>
    <x v="0"/>
    <x v="10"/>
  </r>
  <r>
    <x v="0"/>
    <x v="128"/>
    <x v="0"/>
    <x v="0"/>
    <x v="36"/>
    <x v="57"/>
    <x v="3"/>
    <x v="57"/>
    <x v="54"/>
    <x v="4"/>
    <x v="3"/>
    <x v="3"/>
    <x v="5"/>
    <x v="9"/>
    <x v="3"/>
    <x v="2"/>
    <x v="15"/>
    <x v="11"/>
    <x v="0"/>
    <x v="62"/>
    <x v="1"/>
    <x v="60"/>
    <x v="0"/>
    <x v="6"/>
    <x v="4"/>
    <x v="11"/>
    <x v="9"/>
    <x v="11"/>
    <x v="11"/>
    <x v="65"/>
    <x v="0"/>
    <x v="62"/>
    <x v="0"/>
    <x v="60"/>
    <x v="100"/>
    <x v="31"/>
    <x v="0"/>
    <x v="0"/>
    <x v="33"/>
    <x v="1"/>
    <x v="2"/>
    <x v="1"/>
    <x v="0"/>
    <x v="5"/>
    <x v="7"/>
    <x v="9"/>
    <x v="6"/>
    <x v="0"/>
    <x v="62"/>
    <x v="0"/>
    <x v="0"/>
    <x v="0"/>
    <x v="0"/>
    <x v="11"/>
    <x v="0"/>
    <x v="1"/>
    <x v="9"/>
    <x v="7"/>
    <x v="0"/>
    <x v="0"/>
    <x v="1"/>
    <x v="0"/>
    <x v="0"/>
    <x v="1"/>
    <x v="0"/>
    <x v="0"/>
    <x v="10"/>
  </r>
  <r>
    <x v="0"/>
    <x v="129"/>
    <x v="0"/>
    <x v="0"/>
    <x v="2"/>
    <x v="2"/>
    <x v="2"/>
    <x v="2"/>
    <x v="2"/>
    <x v="0"/>
    <x v="2"/>
    <x v="1"/>
    <x v="1"/>
    <x v="2"/>
    <x v="2"/>
    <x v="0"/>
    <x v="0"/>
    <x v="2"/>
    <x v="1"/>
    <x v="63"/>
    <x v="0"/>
    <x v="61"/>
    <x v="0"/>
    <x v="2"/>
    <x v="2"/>
    <x v="2"/>
    <x v="2"/>
    <x v="2"/>
    <x v="2"/>
    <x v="66"/>
    <x v="1"/>
    <x v="63"/>
    <x v="1"/>
    <x v="61"/>
    <x v="13"/>
    <x v="13"/>
    <x v="0"/>
    <x v="0"/>
    <x v="105"/>
    <x v="0"/>
    <x v="2"/>
    <x v="2"/>
    <x v="0"/>
    <x v="1"/>
    <x v="2"/>
    <x v="9"/>
    <x v="1"/>
    <x v="0"/>
    <x v="63"/>
    <x v="0"/>
    <x v="0"/>
    <x v="0"/>
    <x v="0"/>
    <x v="2"/>
    <x v="0"/>
    <x v="1"/>
    <x v="2"/>
    <x v="2"/>
    <x v="1"/>
    <x v="2"/>
    <x v="1"/>
    <x v="0"/>
    <x v="0"/>
    <x v="1"/>
    <x v="0"/>
    <x v="2"/>
    <x v="2"/>
  </r>
  <r>
    <x v="0"/>
    <x v="130"/>
    <x v="0"/>
    <x v="0"/>
    <x v="37"/>
    <x v="58"/>
    <x v="16"/>
    <x v="58"/>
    <x v="55"/>
    <x v="1"/>
    <x v="1"/>
    <x v="1"/>
    <x v="9"/>
    <x v="19"/>
    <x v="3"/>
    <x v="0"/>
    <x v="0"/>
    <x v="55"/>
    <x v="2"/>
    <x v="64"/>
    <x v="1"/>
    <x v="62"/>
    <x v="0"/>
    <x v="2"/>
    <x v="2"/>
    <x v="38"/>
    <x v="48"/>
    <x v="46"/>
    <x v="55"/>
    <x v="67"/>
    <x v="1"/>
    <x v="64"/>
    <x v="2"/>
    <x v="62"/>
    <x v="95"/>
    <x v="71"/>
    <x v="0"/>
    <x v="0"/>
    <x v="106"/>
    <x v="1"/>
    <x v="2"/>
    <x v="1"/>
    <x v="0"/>
    <x v="7"/>
    <x v="38"/>
    <x v="81"/>
    <x v="7"/>
    <x v="0"/>
    <x v="64"/>
    <x v="0"/>
    <x v="0"/>
    <x v="0"/>
    <x v="0"/>
    <x v="55"/>
    <x v="0"/>
    <x v="1"/>
    <x v="2"/>
    <x v="6"/>
    <x v="0"/>
    <x v="1"/>
    <x v="0"/>
    <x v="0"/>
    <x v="0"/>
    <x v="0"/>
    <x v="0"/>
    <x v="3"/>
    <x v="4"/>
  </r>
  <r>
    <x v="0"/>
    <x v="131"/>
    <x v="0"/>
    <x v="0"/>
    <x v="37"/>
    <x v="58"/>
    <x v="16"/>
    <x v="58"/>
    <x v="55"/>
    <x v="1"/>
    <x v="1"/>
    <x v="1"/>
    <x v="9"/>
    <x v="19"/>
    <x v="3"/>
    <x v="0"/>
    <x v="0"/>
    <x v="55"/>
    <x v="2"/>
    <x v="64"/>
    <x v="1"/>
    <x v="62"/>
    <x v="0"/>
    <x v="2"/>
    <x v="2"/>
    <x v="38"/>
    <x v="48"/>
    <x v="46"/>
    <x v="55"/>
    <x v="67"/>
    <x v="1"/>
    <x v="64"/>
    <x v="2"/>
    <x v="62"/>
    <x v="96"/>
    <x v="72"/>
    <x v="0"/>
    <x v="0"/>
    <x v="107"/>
    <x v="1"/>
    <x v="2"/>
    <x v="1"/>
    <x v="0"/>
    <x v="7"/>
    <x v="38"/>
    <x v="82"/>
    <x v="7"/>
    <x v="0"/>
    <x v="64"/>
    <x v="0"/>
    <x v="0"/>
    <x v="0"/>
    <x v="0"/>
    <x v="55"/>
    <x v="0"/>
    <x v="1"/>
    <x v="2"/>
    <x v="6"/>
    <x v="0"/>
    <x v="1"/>
    <x v="0"/>
    <x v="0"/>
    <x v="0"/>
    <x v="0"/>
    <x v="0"/>
    <x v="3"/>
    <x v="4"/>
  </r>
  <r>
    <x v="0"/>
    <x v="132"/>
    <x v="0"/>
    <x v="0"/>
    <x v="37"/>
    <x v="58"/>
    <x v="16"/>
    <x v="58"/>
    <x v="55"/>
    <x v="1"/>
    <x v="1"/>
    <x v="1"/>
    <x v="9"/>
    <x v="19"/>
    <x v="3"/>
    <x v="0"/>
    <x v="0"/>
    <x v="55"/>
    <x v="2"/>
    <x v="64"/>
    <x v="1"/>
    <x v="62"/>
    <x v="0"/>
    <x v="2"/>
    <x v="2"/>
    <x v="38"/>
    <x v="48"/>
    <x v="46"/>
    <x v="55"/>
    <x v="67"/>
    <x v="1"/>
    <x v="64"/>
    <x v="2"/>
    <x v="62"/>
    <x v="101"/>
    <x v="76"/>
    <x v="0"/>
    <x v="0"/>
    <x v="108"/>
    <x v="1"/>
    <x v="2"/>
    <x v="1"/>
    <x v="0"/>
    <x v="7"/>
    <x v="38"/>
    <x v="83"/>
    <x v="7"/>
    <x v="0"/>
    <x v="64"/>
    <x v="0"/>
    <x v="0"/>
    <x v="0"/>
    <x v="0"/>
    <x v="55"/>
    <x v="0"/>
    <x v="1"/>
    <x v="2"/>
    <x v="6"/>
    <x v="0"/>
    <x v="1"/>
    <x v="0"/>
    <x v="0"/>
    <x v="0"/>
    <x v="0"/>
    <x v="0"/>
    <x v="3"/>
    <x v="4"/>
  </r>
  <r>
    <x v="0"/>
    <x v="133"/>
    <x v="0"/>
    <x v="0"/>
    <x v="37"/>
    <x v="58"/>
    <x v="16"/>
    <x v="58"/>
    <x v="55"/>
    <x v="1"/>
    <x v="1"/>
    <x v="1"/>
    <x v="9"/>
    <x v="19"/>
    <x v="3"/>
    <x v="0"/>
    <x v="0"/>
    <x v="55"/>
    <x v="2"/>
    <x v="64"/>
    <x v="1"/>
    <x v="62"/>
    <x v="0"/>
    <x v="2"/>
    <x v="2"/>
    <x v="38"/>
    <x v="48"/>
    <x v="46"/>
    <x v="55"/>
    <x v="67"/>
    <x v="1"/>
    <x v="64"/>
    <x v="2"/>
    <x v="62"/>
    <x v="102"/>
    <x v="74"/>
    <x v="0"/>
    <x v="0"/>
    <x v="109"/>
    <x v="1"/>
    <x v="2"/>
    <x v="1"/>
    <x v="0"/>
    <x v="7"/>
    <x v="38"/>
    <x v="84"/>
    <x v="7"/>
    <x v="0"/>
    <x v="64"/>
    <x v="0"/>
    <x v="0"/>
    <x v="0"/>
    <x v="0"/>
    <x v="55"/>
    <x v="0"/>
    <x v="1"/>
    <x v="2"/>
    <x v="6"/>
    <x v="0"/>
    <x v="1"/>
    <x v="0"/>
    <x v="0"/>
    <x v="0"/>
    <x v="0"/>
    <x v="0"/>
    <x v="3"/>
    <x v="4"/>
  </r>
  <r>
    <x v="0"/>
    <x v="134"/>
    <x v="0"/>
    <x v="0"/>
    <x v="37"/>
    <x v="58"/>
    <x v="16"/>
    <x v="58"/>
    <x v="55"/>
    <x v="1"/>
    <x v="1"/>
    <x v="1"/>
    <x v="9"/>
    <x v="19"/>
    <x v="3"/>
    <x v="0"/>
    <x v="0"/>
    <x v="55"/>
    <x v="2"/>
    <x v="64"/>
    <x v="1"/>
    <x v="62"/>
    <x v="0"/>
    <x v="2"/>
    <x v="2"/>
    <x v="38"/>
    <x v="48"/>
    <x v="46"/>
    <x v="55"/>
    <x v="67"/>
    <x v="1"/>
    <x v="64"/>
    <x v="2"/>
    <x v="62"/>
    <x v="99"/>
    <x v="75"/>
    <x v="0"/>
    <x v="0"/>
    <x v="110"/>
    <x v="1"/>
    <x v="2"/>
    <x v="1"/>
    <x v="0"/>
    <x v="7"/>
    <x v="38"/>
    <x v="85"/>
    <x v="7"/>
    <x v="0"/>
    <x v="64"/>
    <x v="0"/>
    <x v="0"/>
    <x v="0"/>
    <x v="0"/>
    <x v="55"/>
    <x v="0"/>
    <x v="1"/>
    <x v="2"/>
    <x v="6"/>
    <x v="0"/>
    <x v="1"/>
    <x v="0"/>
    <x v="0"/>
    <x v="0"/>
    <x v="0"/>
    <x v="0"/>
    <x v="3"/>
    <x v="4"/>
  </r>
  <r>
    <x v="0"/>
    <x v="135"/>
    <x v="0"/>
    <x v="0"/>
    <x v="38"/>
    <x v="59"/>
    <x v="24"/>
    <x v="59"/>
    <x v="56"/>
    <x v="0"/>
    <x v="0"/>
    <x v="1"/>
    <x v="0"/>
    <x v="0"/>
    <x v="15"/>
    <x v="0"/>
    <x v="0"/>
    <x v="56"/>
    <x v="2"/>
    <x v="65"/>
    <x v="0"/>
    <x v="63"/>
    <x v="0"/>
    <x v="12"/>
    <x v="0"/>
    <x v="39"/>
    <x v="49"/>
    <x v="47"/>
    <x v="56"/>
    <x v="68"/>
    <x v="1"/>
    <x v="65"/>
    <x v="2"/>
    <x v="63"/>
    <x v="103"/>
    <x v="77"/>
    <x v="0"/>
    <x v="0"/>
    <x v="111"/>
    <x v="1"/>
    <x v="15"/>
    <x v="0"/>
    <x v="0"/>
    <x v="1"/>
    <x v="39"/>
    <x v="9"/>
    <x v="7"/>
    <x v="0"/>
    <x v="65"/>
    <x v="0"/>
    <x v="0"/>
    <x v="0"/>
    <x v="0"/>
    <x v="56"/>
    <x v="0"/>
    <x v="3"/>
    <x v="20"/>
    <x v="5"/>
    <x v="1"/>
    <x v="1"/>
    <x v="0"/>
    <x v="0"/>
    <x v="0"/>
    <x v="1"/>
    <x v="0"/>
    <x v="4"/>
    <x v="0"/>
  </r>
  <r>
    <x v="0"/>
    <x v="136"/>
    <x v="0"/>
    <x v="0"/>
    <x v="39"/>
    <x v="60"/>
    <x v="25"/>
    <x v="60"/>
    <x v="57"/>
    <x v="0"/>
    <x v="2"/>
    <x v="1"/>
    <x v="0"/>
    <x v="0"/>
    <x v="16"/>
    <x v="0"/>
    <x v="0"/>
    <x v="57"/>
    <x v="2"/>
    <x v="66"/>
    <x v="0"/>
    <x v="64"/>
    <x v="0"/>
    <x v="4"/>
    <x v="4"/>
    <x v="40"/>
    <x v="6"/>
    <x v="10"/>
    <x v="57"/>
    <x v="69"/>
    <x v="1"/>
    <x v="66"/>
    <x v="2"/>
    <x v="64"/>
    <x v="104"/>
    <x v="78"/>
    <x v="0"/>
    <x v="0"/>
    <x v="112"/>
    <x v="1"/>
    <x v="16"/>
    <x v="0"/>
    <x v="0"/>
    <x v="1"/>
    <x v="40"/>
    <x v="9"/>
    <x v="7"/>
    <x v="0"/>
    <x v="66"/>
    <x v="0"/>
    <x v="0"/>
    <x v="0"/>
    <x v="0"/>
    <x v="57"/>
    <x v="0"/>
    <x v="0"/>
    <x v="5"/>
    <x v="4"/>
    <x v="2"/>
    <x v="0"/>
    <x v="0"/>
    <x v="0"/>
    <x v="0"/>
    <x v="1"/>
    <x v="0"/>
    <x v="0"/>
    <x v="0"/>
  </r>
  <r>
    <x v="0"/>
    <x v="137"/>
    <x v="0"/>
    <x v="0"/>
    <x v="39"/>
    <x v="60"/>
    <x v="25"/>
    <x v="60"/>
    <x v="57"/>
    <x v="0"/>
    <x v="2"/>
    <x v="1"/>
    <x v="0"/>
    <x v="0"/>
    <x v="16"/>
    <x v="0"/>
    <x v="0"/>
    <x v="57"/>
    <x v="2"/>
    <x v="66"/>
    <x v="0"/>
    <x v="64"/>
    <x v="0"/>
    <x v="4"/>
    <x v="4"/>
    <x v="40"/>
    <x v="6"/>
    <x v="10"/>
    <x v="57"/>
    <x v="69"/>
    <x v="1"/>
    <x v="66"/>
    <x v="2"/>
    <x v="64"/>
    <x v="105"/>
    <x v="78"/>
    <x v="0"/>
    <x v="0"/>
    <x v="112"/>
    <x v="1"/>
    <x v="16"/>
    <x v="0"/>
    <x v="0"/>
    <x v="1"/>
    <x v="40"/>
    <x v="9"/>
    <x v="7"/>
    <x v="0"/>
    <x v="66"/>
    <x v="0"/>
    <x v="0"/>
    <x v="0"/>
    <x v="0"/>
    <x v="57"/>
    <x v="0"/>
    <x v="0"/>
    <x v="5"/>
    <x v="4"/>
    <x v="2"/>
    <x v="0"/>
    <x v="0"/>
    <x v="0"/>
    <x v="0"/>
    <x v="1"/>
    <x v="0"/>
    <x v="0"/>
    <x v="0"/>
  </r>
  <r>
    <x v="0"/>
    <x v="138"/>
    <x v="0"/>
    <x v="0"/>
    <x v="6"/>
    <x v="61"/>
    <x v="26"/>
    <x v="61"/>
    <x v="58"/>
    <x v="0"/>
    <x v="2"/>
    <x v="0"/>
    <x v="10"/>
    <x v="26"/>
    <x v="3"/>
    <x v="0"/>
    <x v="0"/>
    <x v="58"/>
    <x v="0"/>
    <x v="67"/>
    <x v="1"/>
    <x v="65"/>
    <x v="0"/>
    <x v="7"/>
    <x v="1"/>
    <x v="41"/>
    <x v="50"/>
    <x v="16"/>
    <x v="58"/>
    <x v="70"/>
    <x v="0"/>
    <x v="67"/>
    <x v="0"/>
    <x v="65"/>
    <x v="106"/>
    <x v="79"/>
    <x v="0"/>
    <x v="0"/>
    <x v="113"/>
    <x v="1"/>
    <x v="2"/>
    <x v="1"/>
    <x v="0"/>
    <x v="6"/>
    <x v="41"/>
    <x v="86"/>
    <x v="18"/>
    <x v="0"/>
    <x v="67"/>
    <x v="0"/>
    <x v="0"/>
    <x v="0"/>
    <x v="0"/>
    <x v="58"/>
    <x v="0"/>
    <x v="2"/>
    <x v="12"/>
    <x v="5"/>
    <x v="1"/>
    <x v="0"/>
    <x v="0"/>
    <x v="0"/>
    <x v="0"/>
    <x v="0"/>
    <x v="0"/>
    <x v="0"/>
    <x v="1"/>
  </r>
  <r>
    <x v="0"/>
    <x v="139"/>
    <x v="0"/>
    <x v="0"/>
    <x v="40"/>
    <x v="62"/>
    <x v="27"/>
    <x v="62"/>
    <x v="59"/>
    <x v="0"/>
    <x v="4"/>
    <x v="1"/>
    <x v="1"/>
    <x v="17"/>
    <x v="3"/>
    <x v="0"/>
    <x v="0"/>
    <x v="59"/>
    <x v="2"/>
    <x v="68"/>
    <x v="1"/>
    <x v="66"/>
    <x v="0"/>
    <x v="14"/>
    <x v="0"/>
    <x v="42"/>
    <x v="51"/>
    <x v="48"/>
    <x v="59"/>
    <x v="71"/>
    <x v="1"/>
    <x v="68"/>
    <x v="2"/>
    <x v="66"/>
    <x v="107"/>
    <x v="80"/>
    <x v="0"/>
    <x v="0"/>
    <x v="114"/>
    <x v="1"/>
    <x v="2"/>
    <x v="1"/>
    <x v="0"/>
    <x v="1"/>
    <x v="42"/>
    <x v="9"/>
    <x v="18"/>
    <x v="0"/>
    <x v="68"/>
    <x v="0"/>
    <x v="0"/>
    <x v="0"/>
    <x v="0"/>
    <x v="59"/>
    <x v="0"/>
    <x v="0"/>
    <x v="25"/>
    <x v="0"/>
    <x v="1"/>
    <x v="1"/>
    <x v="0"/>
    <x v="0"/>
    <x v="0"/>
    <x v="1"/>
    <x v="0"/>
    <x v="0"/>
    <x v="4"/>
  </r>
  <r>
    <x v="0"/>
    <x v="140"/>
    <x v="0"/>
    <x v="0"/>
    <x v="40"/>
    <x v="62"/>
    <x v="27"/>
    <x v="62"/>
    <x v="59"/>
    <x v="0"/>
    <x v="4"/>
    <x v="1"/>
    <x v="1"/>
    <x v="17"/>
    <x v="3"/>
    <x v="0"/>
    <x v="0"/>
    <x v="59"/>
    <x v="2"/>
    <x v="68"/>
    <x v="1"/>
    <x v="66"/>
    <x v="0"/>
    <x v="14"/>
    <x v="0"/>
    <x v="42"/>
    <x v="51"/>
    <x v="48"/>
    <x v="59"/>
    <x v="71"/>
    <x v="1"/>
    <x v="68"/>
    <x v="2"/>
    <x v="66"/>
    <x v="108"/>
    <x v="81"/>
    <x v="0"/>
    <x v="0"/>
    <x v="115"/>
    <x v="1"/>
    <x v="2"/>
    <x v="1"/>
    <x v="0"/>
    <x v="1"/>
    <x v="42"/>
    <x v="87"/>
    <x v="18"/>
    <x v="0"/>
    <x v="68"/>
    <x v="0"/>
    <x v="0"/>
    <x v="0"/>
    <x v="0"/>
    <x v="59"/>
    <x v="0"/>
    <x v="0"/>
    <x v="25"/>
    <x v="0"/>
    <x v="1"/>
    <x v="1"/>
    <x v="0"/>
    <x v="0"/>
    <x v="0"/>
    <x v="1"/>
    <x v="0"/>
    <x v="0"/>
    <x v="4"/>
  </r>
  <r>
    <x v="0"/>
    <x v="141"/>
    <x v="0"/>
    <x v="0"/>
    <x v="40"/>
    <x v="62"/>
    <x v="27"/>
    <x v="62"/>
    <x v="59"/>
    <x v="0"/>
    <x v="4"/>
    <x v="1"/>
    <x v="1"/>
    <x v="17"/>
    <x v="3"/>
    <x v="0"/>
    <x v="0"/>
    <x v="59"/>
    <x v="2"/>
    <x v="68"/>
    <x v="1"/>
    <x v="66"/>
    <x v="0"/>
    <x v="14"/>
    <x v="0"/>
    <x v="42"/>
    <x v="51"/>
    <x v="48"/>
    <x v="59"/>
    <x v="71"/>
    <x v="1"/>
    <x v="68"/>
    <x v="2"/>
    <x v="66"/>
    <x v="109"/>
    <x v="82"/>
    <x v="0"/>
    <x v="0"/>
    <x v="116"/>
    <x v="1"/>
    <x v="2"/>
    <x v="1"/>
    <x v="0"/>
    <x v="1"/>
    <x v="42"/>
    <x v="88"/>
    <x v="18"/>
    <x v="0"/>
    <x v="68"/>
    <x v="0"/>
    <x v="0"/>
    <x v="0"/>
    <x v="0"/>
    <x v="59"/>
    <x v="0"/>
    <x v="0"/>
    <x v="25"/>
    <x v="0"/>
    <x v="1"/>
    <x v="1"/>
    <x v="0"/>
    <x v="0"/>
    <x v="0"/>
    <x v="1"/>
    <x v="0"/>
    <x v="0"/>
    <x v="4"/>
  </r>
  <r>
    <x v="0"/>
    <x v="142"/>
    <x v="0"/>
    <x v="0"/>
    <x v="41"/>
    <x v="63"/>
    <x v="28"/>
    <x v="63"/>
    <x v="60"/>
    <x v="1"/>
    <x v="4"/>
    <x v="0"/>
    <x v="6"/>
    <x v="27"/>
    <x v="3"/>
    <x v="0"/>
    <x v="0"/>
    <x v="60"/>
    <x v="0"/>
    <x v="69"/>
    <x v="1"/>
    <x v="67"/>
    <x v="0"/>
    <x v="8"/>
    <x v="1"/>
    <x v="43"/>
    <x v="52"/>
    <x v="49"/>
    <x v="60"/>
    <x v="72"/>
    <x v="0"/>
    <x v="69"/>
    <x v="0"/>
    <x v="67"/>
    <x v="55"/>
    <x v="46"/>
    <x v="0"/>
    <x v="0"/>
    <x v="58"/>
    <x v="1"/>
    <x v="2"/>
    <x v="1"/>
    <x v="0"/>
    <x v="6"/>
    <x v="43"/>
    <x v="89"/>
    <x v="18"/>
    <x v="0"/>
    <x v="69"/>
    <x v="0"/>
    <x v="0"/>
    <x v="0"/>
    <x v="0"/>
    <x v="60"/>
    <x v="0"/>
    <x v="1"/>
    <x v="26"/>
    <x v="7"/>
    <x v="0"/>
    <x v="0"/>
    <x v="0"/>
    <x v="0"/>
    <x v="0"/>
    <x v="0"/>
    <x v="0"/>
    <x v="2"/>
    <x v="1"/>
  </r>
  <r>
    <x v="0"/>
    <x v="143"/>
    <x v="0"/>
    <x v="0"/>
    <x v="41"/>
    <x v="63"/>
    <x v="28"/>
    <x v="63"/>
    <x v="60"/>
    <x v="1"/>
    <x v="4"/>
    <x v="0"/>
    <x v="6"/>
    <x v="27"/>
    <x v="3"/>
    <x v="0"/>
    <x v="0"/>
    <x v="60"/>
    <x v="0"/>
    <x v="69"/>
    <x v="1"/>
    <x v="67"/>
    <x v="0"/>
    <x v="8"/>
    <x v="1"/>
    <x v="43"/>
    <x v="52"/>
    <x v="49"/>
    <x v="60"/>
    <x v="72"/>
    <x v="0"/>
    <x v="69"/>
    <x v="0"/>
    <x v="67"/>
    <x v="110"/>
    <x v="51"/>
    <x v="0"/>
    <x v="0"/>
    <x v="117"/>
    <x v="1"/>
    <x v="2"/>
    <x v="1"/>
    <x v="0"/>
    <x v="6"/>
    <x v="43"/>
    <x v="90"/>
    <x v="18"/>
    <x v="0"/>
    <x v="69"/>
    <x v="0"/>
    <x v="0"/>
    <x v="0"/>
    <x v="0"/>
    <x v="60"/>
    <x v="0"/>
    <x v="1"/>
    <x v="26"/>
    <x v="7"/>
    <x v="0"/>
    <x v="0"/>
    <x v="0"/>
    <x v="0"/>
    <x v="0"/>
    <x v="0"/>
    <x v="0"/>
    <x v="2"/>
    <x v="1"/>
  </r>
  <r>
    <x v="0"/>
    <x v="144"/>
    <x v="0"/>
    <x v="0"/>
    <x v="41"/>
    <x v="63"/>
    <x v="28"/>
    <x v="63"/>
    <x v="60"/>
    <x v="1"/>
    <x v="4"/>
    <x v="0"/>
    <x v="6"/>
    <x v="27"/>
    <x v="3"/>
    <x v="0"/>
    <x v="0"/>
    <x v="60"/>
    <x v="0"/>
    <x v="69"/>
    <x v="1"/>
    <x v="67"/>
    <x v="0"/>
    <x v="8"/>
    <x v="1"/>
    <x v="43"/>
    <x v="52"/>
    <x v="49"/>
    <x v="60"/>
    <x v="72"/>
    <x v="0"/>
    <x v="69"/>
    <x v="0"/>
    <x v="67"/>
    <x v="57"/>
    <x v="48"/>
    <x v="0"/>
    <x v="0"/>
    <x v="60"/>
    <x v="1"/>
    <x v="2"/>
    <x v="1"/>
    <x v="0"/>
    <x v="6"/>
    <x v="43"/>
    <x v="91"/>
    <x v="18"/>
    <x v="0"/>
    <x v="69"/>
    <x v="0"/>
    <x v="0"/>
    <x v="0"/>
    <x v="0"/>
    <x v="60"/>
    <x v="0"/>
    <x v="1"/>
    <x v="26"/>
    <x v="7"/>
    <x v="0"/>
    <x v="0"/>
    <x v="0"/>
    <x v="0"/>
    <x v="0"/>
    <x v="0"/>
    <x v="0"/>
    <x v="2"/>
    <x v="1"/>
  </r>
  <r>
    <x v="0"/>
    <x v="145"/>
    <x v="0"/>
    <x v="0"/>
    <x v="41"/>
    <x v="63"/>
    <x v="28"/>
    <x v="63"/>
    <x v="60"/>
    <x v="1"/>
    <x v="4"/>
    <x v="0"/>
    <x v="6"/>
    <x v="27"/>
    <x v="3"/>
    <x v="0"/>
    <x v="0"/>
    <x v="60"/>
    <x v="0"/>
    <x v="69"/>
    <x v="1"/>
    <x v="67"/>
    <x v="0"/>
    <x v="8"/>
    <x v="1"/>
    <x v="43"/>
    <x v="52"/>
    <x v="49"/>
    <x v="60"/>
    <x v="72"/>
    <x v="0"/>
    <x v="69"/>
    <x v="0"/>
    <x v="67"/>
    <x v="56"/>
    <x v="47"/>
    <x v="0"/>
    <x v="0"/>
    <x v="118"/>
    <x v="1"/>
    <x v="2"/>
    <x v="1"/>
    <x v="0"/>
    <x v="6"/>
    <x v="43"/>
    <x v="92"/>
    <x v="18"/>
    <x v="0"/>
    <x v="69"/>
    <x v="0"/>
    <x v="0"/>
    <x v="0"/>
    <x v="0"/>
    <x v="60"/>
    <x v="0"/>
    <x v="1"/>
    <x v="26"/>
    <x v="7"/>
    <x v="0"/>
    <x v="0"/>
    <x v="0"/>
    <x v="0"/>
    <x v="0"/>
    <x v="0"/>
    <x v="0"/>
    <x v="2"/>
    <x v="1"/>
  </r>
  <r>
    <x v="0"/>
    <x v="146"/>
    <x v="0"/>
    <x v="0"/>
    <x v="41"/>
    <x v="63"/>
    <x v="28"/>
    <x v="63"/>
    <x v="60"/>
    <x v="1"/>
    <x v="4"/>
    <x v="0"/>
    <x v="6"/>
    <x v="27"/>
    <x v="3"/>
    <x v="0"/>
    <x v="0"/>
    <x v="60"/>
    <x v="0"/>
    <x v="69"/>
    <x v="1"/>
    <x v="67"/>
    <x v="0"/>
    <x v="8"/>
    <x v="1"/>
    <x v="43"/>
    <x v="52"/>
    <x v="49"/>
    <x v="60"/>
    <x v="72"/>
    <x v="0"/>
    <x v="69"/>
    <x v="0"/>
    <x v="67"/>
    <x v="58"/>
    <x v="49"/>
    <x v="0"/>
    <x v="0"/>
    <x v="119"/>
    <x v="1"/>
    <x v="2"/>
    <x v="1"/>
    <x v="0"/>
    <x v="6"/>
    <x v="43"/>
    <x v="93"/>
    <x v="18"/>
    <x v="0"/>
    <x v="69"/>
    <x v="0"/>
    <x v="0"/>
    <x v="0"/>
    <x v="0"/>
    <x v="60"/>
    <x v="0"/>
    <x v="1"/>
    <x v="26"/>
    <x v="7"/>
    <x v="0"/>
    <x v="0"/>
    <x v="0"/>
    <x v="0"/>
    <x v="0"/>
    <x v="0"/>
    <x v="0"/>
    <x v="2"/>
    <x v="1"/>
  </r>
  <r>
    <x v="0"/>
    <x v="147"/>
    <x v="0"/>
    <x v="0"/>
    <x v="41"/>
    <x v="63"/>
    <x v="28"/>
    <x v="63"/>
    <x v="60"/>
    <x v="1"/>
    <x v="4"/>
    <x v="0"/>
    <x v="6"/>
    <x v="27"/>
    <x v="3"/>
    <x v="0"/>
    <x v="0"/>
    <x v="60"/>
    <x v="0"/>
    <x v="69"/>
    <x v="1"/>
    <x v="67"/>
    <x v="0"/>
    <x v="8"/>
    <x v="1"/>
    <x v="43"/>
    <x v="52"/>
    <x v="49"/>
    <x v="60"/>
    <x v="72"/>
    <x v="0"/>
    <x v="69"/>
    <x v="0"/>
    <x v="67"/>
    <x v="59"/>
    <x v="50"/>
    <x v="0"/>
    <x v="0"/>
    <x v="120"/>
    <x v="1"/>
    <x v="2"/>
    <x v="1"/>
    <x v="0"/>
    <x v="6"/>
    <x v="43"/>
    <x v="94"/>
    <x v="18"/>
    <x v="0"/>
    <x v="69"/>
    <x v="0"/>
    <x v="0"/>
    <x v="0"/>
    <x v="0"/>
    <x v="60"/>
    <x v="0"/>
    <x v="1"/>
    <x v="26"/>
    <x v="7"/>
    <x v="0"/>
    <x v="0"/>
    <x v="0"/>
    <x v="0"/>
    <x v="0"/>
    <x v="0"/>
    <x v="0"/>
    <x v="2"/>
    <x v="1"/>
  </r>
  <r>
    <x v="0"/>
    <x v="148"/>
    <x v="0"/>
    <x v="0"/>
    <x v="41"/>
    <x v="63"/>
    <x v="28"/>
    <x v="63"/>
    <x v="60"/>
    <x v="1"/>
    <x v="4"/>
    <x v="0"/>
    <x v="6"/>
    <x v="27"/>
    <x v="3"/>
    <x v="0"/>
    <x v="0"/>
    <x v="60"/>
    <x v="0"/>
    <x v="69"/>
    <x v="1"/>
    <x v="67"/>
    <x v="0"/>
    <x v="8"/>
    <x v="1"/>
    <x v="43"/>
    <x v="52"/>
    <x v="49"/>
    <x v="60"/>
    <x v="72"/>
    <x v="0"/>
    <x v="69"/>
    <x v="0"/>
    <x v="67"/>
    <x v="111"/>
    <x v="52"/>
    <x v="0"/>
    <x v="0"/>
    <x v="64"/>
    <x v="1"/>
    <x v="2"/>
    <x v="1"/>
    <x v="0"/>
    <x v="6"/>
    <x v="43"/>
    <x v="9"/>
    <x v="18"/>
    <x v="0"/>
    <x v="69"/>
    <x v="0"/>
    <x v="0"/>
    <x v="0"/>
    <x v="0"/>
    <x v="60"/>
    <x v="0"/>
    <x v="1"/>
    <x v="26"/>
    <x v="7"/>
    <x v="0"/>
    <x v="0"/>
    <x v="0"/>
    <x v="0"/>
    <x v="0"/>
    <x v="1"/>
    <x v="0"/>
    <x v="2"/>
    <x v="1"/>
  </r>
  <r>
    <x v="0"/>
    <x v="149"/>
    <x v="0"/>
    <x v="0"/>
    <x v="42"/>
    <x v="64"/>
    <x v="14"/>
    <x v="64"/>
    <x v="23"/>
    <x v="1"/>
    <x v="1"/>
    <x v="0"/>
    <x v="0"/>
    <x v="14"/>
    <x v="17"/>
    <x v="0"/>
    <x v="0"/>
    <x v="61"/>
    <x v="0"/>
    <x v="70"/>
    <x v="1"/>
    <x v="68"/>
    <x v="0"/>
    <x v="6"/>
    <x v="2"/>
    <x v="44"/>
    <x v="53"/>
    <x v="50"/>
    <x v="61"/>
    <x v="73"/>
    <x v="0"/>
    <x v="70"/>
    <x v="0"/>
    <x v="68"/>
    <x v="95"/>
    <x v="71"/>
    <x v="0"/>
    <x v="0"/>
    <x v="106"/>
    <x v="1"/>
    <x v="17"/>
    <x v="1"/>
    <x v="0"/>
    <x v="7"/>
    <x v="44"/>
    <x v="95"/>
    <x v="18"/>
    <x v="0"/>
    <x v="70"/>
    <x v="0"/>
    <x v="0"/>
    <x v="0"/>
    <x v="0"/>
    <x v="61"/>
    <x v="0"/>
    <x v="1"/>
    <x v="27"/>
    <x v="12"/>
    <x v="0"/>
    <x v="0"/>
    <x v="0"/>
    <x v="0"/>
    <x v="0"/>
    <x v="0"/>
    <x v="0"/>
    <x v="3"/>
    <x v="1"/>
  </r>
  <r>
    <x v="0"/>
    <x v="150"/>
    <x v="0"/>
    <x v="0"/>
    <x v="42"/>
    <x v="64"/>
    <x v="14"/>
    <x v="64"/>
    <x v="23"/>
    <x v="1"/>
    <x v="1"/>
    <x v="0"/>
    <x v="0"/>
    <x v="14"/>
    <x v="17"/>
    <x v="0"/>
    <x v="0"/>
    <x v="61"/>
    <x v="0"/>
    <x v="70"/>
    <x v="1"/>
    <x v="68"/>
    <x v="0"/>
    <x v="6"/>
    <x v="2"/>
    <x v="44"/>
    <x v="53"/>
    <x v="50"/>
    <x v="61"/>
    <x v="73"/>
    <x v="0"/>
    <x v="70"/>
    <x v="0"/>
    <x v="68"/>
    <x v="97"/>
    <x v="73"/>
    <x v="0"/>
    <x v="0"/>
    <x v="108"/>
    <x v="1"/>
    <x v="17"/>
    <x v="1"/>
    <x v="0"/>
    <x v="7"/>
    <x v="44"/>
    <x v="96"/>
    <x v="18"/>
    <x v="0"/>
    <x v="70"/>
    <x v="0"/>
    <x v="0"/>
    <x v="0"/>
    <x v="0"/>
    <x v="61"/>
    <x v="0"/>
    <x v="1"/>
    <x v="27"/>
    <x v="12"/>
    <x v="0"/>
    <x v="0"/>
    <x v="0"/>
    <x v="0"/>
    <x v="0"/>
    <x v="0"/>
    <x v="0"/>
    <x v="3"/>
    <x v="1"/>
  </r>
  <r>
    <x v="0"/>
    <x v="151"/>
    <x v="0"/>
    <x v="0"/>
    <x v="42"/>
    <x v="64"/>
    <x v="14"/>
    <x v="64"/>
    <x v="23"/>
    <x v="1"/>
    <x v="1"/>
    <x v="0"/>
    <x v="0"/>
    <x v="14"/>
    <x v="17"/>
    <x v="0"/>
    <x v="0"/>
    <x v="61"/>
    <x v="0"/>
    <x v="70"/>
    <x v="1"/>
    <x v="68"/>
    <x v="0"/>
    <x v="6"/>
    <x v="2"/>
    <x v="44"/>
    <x v="53"/>
    <x v="50"/>
    <x v="61"/>
    <x v="73"/>
    <x v="0"/>
    <x v="70"/>
    <x v="0"/>
    <x v="68"/>
    <x v="98"/>
    <x v="74"/>
    <x v="0"/>
    <x v="0"/>
    <x v="109"/>
    <x v="1"/>
    <x v="17"/>
    <x v="1"/>
    <x v="0"/>
    <x v="7"/>
    <x v="44"/>
    <x v="97"/>
    <x v="18"/>
    <x v="0"/>
    <x v="70"/>
    <x v="0"/>
    <x v="0"/>
    <x v="0"/>
    <x v="0"/>
    <x v="61"/>
    <x v="0"/>
    <x v="1"/>
    <x v="27"/>
    <x v="12"/>
    <x v="0"/>
    <x v="0"/>
    <x v="0"/>
    <x v="0"/>
    <x v="0"/>
    <x v="0"/>
    <x v="0"/>
    <x v="3"/>
    <x v="1"/>
  </r>
  <r>
    <x v="0"/>
    <x v="152"/>
    <x v="0"/>
    <x v="0"/>
    <x v="42"/>
    <x v="64"/>
    <x v="14"/>
    <x v="64"/>
    <x v="23"/>
    <x v="1"/>
    <x v="1"/>
    <x v="0"/>
    <x v="0"/>
    <x v="14"/>
    <x v="17"/>
    <x v="0"/>
    <x v="0"/>
    <x v="61"/>
    <x v="0"/>
    <x v="70"/>
    <x v="1"/>
    <x v="68"/>
    <x v="0"/>
    <x v="6"/>
    <x v="2"/>
    <x v="44"/>
    <x v="53"/>
    <x v="50"/>
    <x v="61"/>
    <x v="73"/>
    <x v="0"/>
    <x v="70"/>
    <x v="0"/>
    <x v="68"/>
    <x v="96"/>
    <x v="72"/>
    <x v="0"/>
    <x v="0"/>
    <x v="107"/>
    <x v="1"/>
    <x v="17"/>
    <x v="1"/>
    <x v="0"/>
    <x v="7"/>
    <x v="44"/>
    <x v="98"/>
    <x v="18"/>
    <x v="0"/>
    <x v="70"/>
    <x v="0"/>
    <x v="0"/>
    <x v="0"/>
    <x v="0"/>
    <x v="61"/>
    <x v="0"/>
    <x v="1"/>
    <x v="27"/>
    <x v="12"/>
    <x v="0"/>
    <x v="0"/>
    <x v="0"/>
    <x v="0"/>
    <x v="0"/>
    <x v="0"/>
    <x v="0"/>
    <x v="3"/>
    <x v="1"/>
  </r>
  <r>
    <x v="0"/>
    <x v="153"/>
    <x v="0"/>
    <x v="0"/>
    <x v="42"/>
    <x v="64"/>
    <x v="14"/>
    <x v="64"/>
    <x v="23"/>
    <x v="1"/>
    <x v="1"/>
    <x v="0"/>
    <x v="0"/>
    <x v="14"/>
    <x v="17"/>
    <x v="0"/>
    <x v="0"/>
    <x v="61"/>
    <x v="0"/>
    <x v="70"/>
    <x v="1"/>
    <x v="68"/>
    <x v="0"/>
    <x v="6"/>
    <x v="2"/>
    <x v="44"/>
    <x v="53"/>
    <x v="50"/>
    <x v="61"/>
    <x v="73"/>
    <x v="0"/>
    <x v="70"/>
    <x v="0"/>
    <x v="68"/>
    <x v="99"/>
    <x v="75"/>
    <x v="0"/>
    <x v="0"/>
    <x v="110"/>
    <x v="1"/>
    <x v="17"/>
    <x v="1"/>
    <x v="0"/>
    <x v="7"/>
    <x v="44"/>
    <x v="99"/>
    <x v="18"/>
    <x v="0"/>
    <x v="70"/>
    <x v="0"/>
    <x v="0"/>
    <x v="0"/>
    <x v="0"/>
    <x v="61"/>
    <x v="0"/>
    <x v="1"/>
    <x v="27"/>
    <x v="12"/>
    <x v="0"/>
    <x v="0"/>
    <x v="0"/>
    <x v="0"/>
    <x v="0"/>
    <x v="0"/>
    <x v="0"/>
    <x v="3"/>
    <x v="1"/>
  </r>
  <r>
    <x v="0"/>
    <x v="154"/>
    <x v="0"/>
    <x v="0"/>
    <x v="42"/>
    <x v="64"/>
    <x v="14"/>
    <x v="64"/>
    <x v="23"/>
    <x v="1"/>
    <x v="1"/>
    <x v="0"/>
    <x v="0"/>
    <x v="14"/>
    <x v="17"/>
    <x v="0"/>
    <x v="0"/>
    <x v="61"/>
    <x v="0"/>
    <x v="70"/>
    <x v="1"/>
    <x v="68"/>
    <x v="0"/>
    <x v="6"/>
    <x v="2"/>
    <x v="44"/>
    <x v="53"/>
    <x v="50"/>
    <x v="61"/>
    <x v="73"/>
    <x v="0"/>
    <x v="70"/>
    <x v="0"/>
    <x v="68"/>
    <x v="112"/>
    <x v="31"/>
    <x v="0"/>
    <x v="0"/>
    <x v="121"/>
    <x v="1"/>
    <x v="17"/>
    <x v="1"/>
    <x v="0"/>
    <x v="7"/>
    <x v="44"/>
    <x v="9"/>
    <x v="18"/>
    <x v="0"/>
    <x v="70"/>
    <x v="0"/>
    <x v="0"/>
    <x v="0"/>
    <x v="0"/>
    <x v="61"/>
    <x v="0"/>
    <x v="1"/>
    <x v="27"/>
    <x v="12"/>
    <x v="0"/>
    <x v="0"/>
    <x v="0"/>
    <x v="0"/>
    <x v="0"/>
    <x v="1"/>
    <x v="0"/>
    <x v="3"/>
    <x v="1"/>
  </r>
  <r>
    <x v="0"/>
    <x v="155"/>
    <x v="0"/>
    <x v="0"/>
    <x v="4"/>
    <x v="65"/>
    <x v="26"/>
    <x v="65"/>
    <x v="61"/>
    <x v="11"/>
    <x v="4"/>
    <x v="0"/>
    <x v="10"/>
    <x v="24"/>
    <x v="3"/>
    <x v="0"/>
    <x v="0"/>
    <x v="62"/>
    <x v="0"/>
    <x v="71"/>
    <x v="1"/>
    <x v="69"/>
    <x v="0"/>
    <x v="1"/>
    <x v="1"/>
    <x v="12"/>
    <x v="11"/>
    <x v="13"/>
    <x v="62"/>
    <x v="74"/>
    <x v="0"/>
    <x v="71"/>
    <x v="0"/>
    <x v="69"/>
    <x v="78"/>
    <x v="61"/>
    <x v="0"/>
    <x v="0"/>
    <x v="122"/>
    <x v="1"/>
    <x v="2"/>
    <x v="1"/>
    <x v="0"/>
    <x v="6"/>
    <x v="45"/>
    <x v="100"/>
    <x v="18"/>
    <x v="0"/>
    <x v="71"/>
    <x v="0"/>
    <x v="0"/>
    <x v="0"/>
    <x v="0"/>
    <x v="62"/>
    <x v="0"/>
    <x v="1"/>
    <x v="1"/>
    <x v="6"/>
    <x v="0"/>
    <x v="0"/>
    <x v="0"/>
    <x v="0"/>
    <x v="0"/>
    <x v="0"/>
    <x v="0"/>
    <x v="0"/>
    <x v="11"/>
  </r>
  <r>
    <x v="0"/>
    <x v="156"/>
    <x v="0"/>
    <x v="0"/>
    <x v="4"/>
    <x v="65"/>
    <x v="26"/>
    <x v="65"/>
    <x v="61"/>
    <x v="11"/>
    <x v="4"/>
    <x v="0"/>
    <x v="10"/>
    <x v="24"/>
    <x v="3"/>
    <x v="0"/>
    <x v="0"/>
    <x v="62"/>
    <x v="0"/>
    <x v="71"/>
    <x v="1"/>
    <x v="69"/>
    <x v="0"/>
    <x v="1"/>
    <x v="1"/>
    <x v="12"/>
    <x v="11"/>
    <x v="13"/>
    <x v="62"/>
    <x v="74"/>
    <x v="0"/>
    <x v="71"/>
    <x v="0"/>
    <x v="69"/>
    <x v="80"/>
    <x v="63"/>
    <x v="0"/>
    <x v="0"/>
    <x v="123"/>
    <x v="1"/>
    <x v="2"/>
    <x v="1"/>
    <x v="0"/>
    <x v="6"/>
    <x v="45"/>
    <x v="101"/>
    <x v="18"/>
    <x v="0"/>
    <x v="71"/>
    <x v="0"/>
    <x v="0"/>
    <x v="0"/>
    <x v="0"/>
    <x v="62"/>
    <x v="0"/>
    <x v="1"/>
    <x v="1"/>
    <x v="6"/>
    <x v="0"/>
    <x v="0"/>
    <x v="0"/>
    <x v="0"/>
    <x v="0"/>
    <x v="0"/>
    <x v="0"/>
    <x v="0"/>
    <x v="11"/>
  </r>
  <r>
    <x v="0"/>
    <x v="157"/>
    <x v="0"/>
    <x v="0"/>
    <x v="43"/>
    <x v="66"/>
    <x v="11"/>
    <x v="66"/>
    <x v="50"/>
    <x v="0"/>
    <x v="8"/>
    <x v="4"/>
    <x v="2"/>
    <x v="22"/>
    <x v="3"/>
    <x v="3"/>
    <x v="16"/>
    <x v="40"/>
    <x v="0"/>
    <x v="72"/>
    <x v="1"/>
    <x v="70"/>
    <x v="0"/>
    <x v="7"/>
    <x v="0"/>
    <x v="31"/>
    <x v="35"/>
    <x v="35"/>
    <x v="40"/>
    <x v="75"/>
    <x v="0"/>
    <x v="72"/>
    <x v="0"/>
    <x v="70"/>
    <x v="113"/>
    <x v="83"/>
    <x v="0"/>
    <x v="0"/>
    <x v="90"/>
    <x v="1"/>
    <x v="2"/>
    <x v="1"/>
    <x v="0"/>
    <x v="6"/>
    <x v="23"/>
    <x v="102"/>
    <x v="8"/>
    <x v="0"/>
    <x v="72"/>
    <x v="0"/>
    <x v="0"/>
    <x v="0"/>
    <x v="0"/>
    <x v="40"/>
    <x v="0"/>
    <x v="2"/>
    <x v="12"/>
    <x v="5"/>
    <x v="1"/>
    <x v="0"/>
    <x v="0"/>
    <x v="0"/>
    <x v="0"/>
    <x v="0"/>
    <x v="0"/>
    <x v="0"/>
    <x v="2"/>
  </r>
  <r>
    <x v="0"/>
    <x v="158"/>
    <x v="0"/>
    <x v="0"/>
    <x v="44"/>
    <x v="67"/>
    <x v="29"/>
    <x v="67"/>
    <x v="62"/>
    <x v="0"/>
    <x v="5"/>
    <x v="0"/>
    <x v="0"/>
    <x v="0"/>
    <x v="18"/>
    <x v="0"/>
    <x v="0"/>
    <x v="63"/>
    <x v="0"/>
    <x v="73"/>
    <x v="0"/>
    <x v="71"/>
    <x v="0"/>
    <x v="5"/>
    <x v="2"/>
    <x v="45"/>
    <x v="54"/>
    <x v="51"/>
    <x v="63"/>
    <x v="76"/>
    <x v="0"/>
    <x v="73"/>
    <x v="0"/>
    <x v="71"/>
    <x v="114"/>
    <x v="84"/>
    <x v="0"/>
    <x v="0"/>
    <x v="124"/>
    <x v="1"/>
    <x v="18"/>
    <x v="0"/>
    <x v="0"/>
    <x v="1"/>
    <x v="46"/>
    <x v="9"/>
    <x v="8"/>
    <x v="0"/>
    <x v="73"/>
    <x v="0"/>
    <x v="0"/>
    <x v="0"/>
    <x v="0"/>
    <x v="63"/>
    <x v="0"/>
    <x v="1"/>
    <x v="8"/>
    <x v="6"/>
    <x v="0"/>
    <x v="0"/>
    <x v="0"/>
    <x v="0"/>
    <x v="0"/>
    <x v="1"/>
    <x v="0"/>
    <x v="3"/>
    <x v="0"/>
  </r>
  <r>
    <x v="0"/>
    <x v="159"/>
    <x v="0"/>
    <x v="0"/>
    <x v="45"/>
    <x v="68"/>
    <x v="27"/>
    <x v="68"/>
    <x v="63"/>
    <x v="0"/>
    <x v="4"/>
    <x v="0"/>
    <x v="1"/>
    <x v="17"/>
    <x v="3"/>
    <x v="0"/>
    <x v="0"/>
    <x v="64"/>
    <x v="0"/>
    <x v="74"/>
    <x v="1"/>
    <x v="72"/>
    <x v="0"/>
    <x v="15"/>
    <x v="2"/>
    <x v="46"/>
    <x v="2"/>
    <x v="52"/>
    <x v="64"/>
    <x v="77"/>
    <x v="0"/>
    <x v="74"/>
    <x v="0"/>
    <x v="72"/>
    <x v="101"/>
    <x v="76"/>
    <x v="0"/>
    <x v="0"/>
    <x v="125"/>
    <x v="1"/>
    <x v="2"/>
    <x v="1"/>
    <x v="0"/>
    <x v="4"/>
    <x v="47"/>
    <x v="103"/>
    <x v="8"/>
    <x v="0"/>
    <x v="74"/>
    <x v="0"/>
    <x v="0"/>
    <x v="0"/>
    <x v="0"/>
    <x v="64"/>
    <x v="0"/>
    <x v="1"/>
    <x v="2"/>
    <x v="6"/>
    <x v="0"/>
    <x v="1"/>
    <x v="0"/>
    <x v="0"/>
    <x v="0"/>
    <x v="0"/>
    <x v="0"/>
    <x v="3"/>
    <x v="4"/>
  </r>
  <r>
    <x v="0"/>
    <x v="160"/>
    <x v="0"/>
    <x v="0"/>
    <x v="45"/>
    <x v="68"/>
    <x v="27"/>
    <x v="68"/>
    <x v="63"/>
    <x v="0"/>
    <x v="4"/>
    <x v="0"/>
    <x v="1"/>
    <x v="17"/>
    <x v="3"/>
    <x v="0"/>
    <x v="0"/>
    <x v="64"/>
    <x v="0"/>
    <x v="74"/>
    <x v="1"/>
    <x v="72"/>
    <x v="0"/>
    <x v="15"/>
    <x v="2"/>
    <x v="46"/>
    <x v="2"/>
    <x v="52"/>
    <x v="64"/>
    <x v="77"/>
    <x v="0"/>
    <x v="74"/>
    <x v="0"/>
    <x v="72"/>
    <x v="96"/>
    <x v="72"/>
    <x v="0"/>
    <x v="0"/>
    <x v="126"/>
    <x v="1"/>
    <x v="2"/>
    <x v="1"/>
    <x v="0"/>
    <x v="4"/>
    <x v="47"/>
    <x v="104"/>
    <x v="8"/>
    <x v="0"/>
    <x v="74"/>
    <x v="0"/>
    <x v="0"/>
    <x v="0"/>
    <x v="0"/>
    <x v="64"/>
    <x v="0"/>
    <x v="1"/>
    <x v="2"/>
    <x v="6"/>
    <x v="0"/>
    <x v="1"/>
    <x v="0"/>
    <x v="0"/>
    <x v="0"/>
    <x v="0"/>
    <x v="0"/>
    <x v="3"/>
    <x v="4"/>
  </r>
  <r>
    <x v="0"/>
    <x v="161"/>
    <x v="0"/>
    <x v="0"/>
    <x v="45"/>
    <x v="68"/>
    <x v="27"/>
    <x v="68"/>
    <x v="63"/>
    <x v="0"/>
    <x v="4"/>
    <x v="0"/>
    <x v="1"/>
    <x v="17"/>
    <x v="3"/>
    <x v="0"/>
    <x v="0"/>
    <x v="64"/>
    <x v="0"/>
    <x v="74"/>
    <x v="1"/>
    <x v="72"/>
    <x v="0"/>
    <x v="15"/>
    <x v="2"/>
    <x v="46"/>
    <x v="2"/>
    <x v="52"/>
    <x v="64"/>
    <x v="77"/>
    <x v="0"/>
    <x v="74"/>
    <x v="0"/>
    <x v="72"/>
    <x v="102"/>
    <x v="74"/>
    <x v="0"/>
    <x v="0"/>
    <x v="109"/>
    <x v="1"/>
    <x v="2"/>
    <x v="1"/>
    <x v="0"/>
    <x v="4"/>
    <x v="47"/>
    <x v="105"/>
    <x v="8"/>
    <x v="0"/>
    <x v="74"/>
    <x v="0"/>
    <x v="0"/>
    <x v="0"/>
    <x v="0"/>
    <x v="64"/>
    <x v="0"/>
    <x v="1"/>
    <x v="2"/>
    <x v="6"/>
    <x v="0"/>
    <x v="1"/>
    <x v="0"/>
    <x v="0"/>
    <x v="0"/>
    <x v="0"/>
    <x v="0"/>
    <x v="3"/>
    <x v="4"/>
  </r>
  <r>
    <x v="0"/>
    <x v="162"/>
    <x v="0"/>
    <x v="0"/>
    <x v="45"/>
    <x v="68"/>
    <x v="27"/>
    <x v="68"/>
    <x v="63"/>
    <x v="0"/>
    <x v="4"/>
    <x v="0"/>
    <x v="1"/>
    <x v="17"/>
    <x v="3"/>
    <x v="0"/>
    <x v="0"/>
    <x v="64"/>
    <x v="0"/>
    <x v="74"/>
    <x v="1"/>
    <x v="72"/>
    <x v="0"/>
    <x v="15"/>
    <x v="2"/>
    <x v="46"/>
    <x v="2"/>
    <x v="52"/>
    <x v="64"/>
    <x v="77"/>
    <x v="0"/>
    <x v="74"/>
    <x v="0"/>
    <x v="72"/>
    <x v="99"/>
    <x v="75"/>
    <x v="0"/>
    <x v="0"/>
    <x v="110"/>
    <x v="1"/>
    <x v="2"/>
    <x v="1"/>
    <x v="0"/>
    <x v="4"/>
    <x v="47"/>
    <x v="106"/>
    <x v="8"/>
    <x v="0"/>
    <x v="74"/>
    <x v="0"/>
    <x v="0"/>
    <x v="0"/>
    <x v="0"/>
    <x v="64"/>
    <x v="0"/>
    <x v="1"/>
    <x v="2"/>
    <x v="6"/>
    <x v="0"/>
    <x v="1"/>
    <x v="0"/>
    <x v="0"/>
    <x v="0"/>
    <x v="0"/>
    <x v="0"/>
    <x v="3"/>
    <x v="4"/>
  </r>
  <r>
    <x v="0"/>
    <x v="163"/>
    <x v="0"/>
    <x v="0"/>
    <x v="45"/>
    <x v="68"/>
    <x v="27"/>
    <x v="68"/>
    <x v="63"/>
    <x v="0"/>
    <x v="4"/>
    <x v="0"/>
    <x v="1"/>
    <x v="17"/>
    <x v="3"/>
    <x v="0"/>
    <x v="0"/>
    <x v="64"/>
    <x v="0"/>
    <x v="74"/>
    <x v="1"/>
    <x v="72"/>
    <x v="0"/>
    <x v="15"/>
    <x v="2"/>
    <x v="46"/>
    <x v="2"/>
    <x v="52"/>
    <x v="64"/>
    <x v="77"/>
    <x v="0"/>
    <x v="74"/>
    <x v="0"/>
    <x v="72"/>
    <x v="95"/>
    <x v="71"/>
    <x v="0"/>
    <x v="0"/>
    <x v="106"/>
    <x v="1"/>
    <x v="2"/>
    <x v="1"/>
    <x v="0"/>
    <x v="4"/>
    <x v="47"/>
    <x v="107"/>
    <x v="8"/>
    <x v="0"/>
    <x v="74"/>
    <x v="0"/>
    <x v="0"/>
    <x v="0"/>
    <x v="0"/>
    <x v="64"/>
    <x v="0"/>
    <x v="1"/>
    <x v="2"/>
    <x v="6"/>
    <x v="0"/>
    <x v="1"/>
    <x v="0"/>
    <x v="0"/>
    <x v="0"/>
    <x v="0"/>
    <x v="0"/>
    <x v="3"/>
    <x v="4"/>
  </r>
  <r>
    <x v="0"/>
    <x v="164"/>
    <x v="0"/>
    <x v="0"/>
    <x v="46"/>
    <x v="69"/>
    <x v="30"/>
    <x v="69"/>
    <x v="64"/>
    <x v="0"/>
    <x v="1"/>
    <x v="1"/>
    <x v="0"/>
    <x v="0"/>
    <x v="19"/>
    <x v="0"/>
    <x v="0"/>
    <x v="65"/>
    <x v="2"/>
    <x v="75"/>
    <x v="0"/>
    <x v="73"/>
    <x v="0"/>
    <x v="5"/>
    <x v="1"/>
    <x v="47"/>
    <x v="8"/>
    <x v="53"/>
    <x v="65"/>
    <x v="78"/>
    <x v="1"/>
    <x v="75"/>
    <x v="2"/>
    <x v="73"/>
    <x v="115"/>
    <x v="85"/>
    <x v="0"/>
    <x v="0"/>
    <x v="127"/>
    <x v="1"/>
    <x v="19"/>
    <x v="0"/>
    <x v="0"/>
    <x v="1"/>
    <x v="48"/>
    <x v="9"/>
    <x v="8"/>
    <x v="0"/>
    <x v="75"/>
    <x v="0"/>
    <x v="0"/>
    <x v="0"/>
    <x v="0"/>
    <x v="65"/>
    <x v="0"/>
    <x v="1"/>
    <x v="8"/>
    <x v="2"/>
    <x v="0"/>
    <x v="2"/>
    <x v="0"/>
    <x v="0"/>
    <x v="0"/>
    <x v="1"/>
    <x v="0"/>
    <x v="0"/>
    <x v="0"/>
  </r>
  <r>
    <x v="0"/>
    <x v="165"/>
    <x v="0"/>
    <x v="0"/>
    <x v="4"/>
    <x v="70"/>
    <x v="4"/>
    <x v="70"/>
    <x v="4"/>
    <x v="1"/>
    <x v="5"/>
    <x v="0"/>
    <x v="11"/>
    <x v="28"/>
    <x v="3"/>
    <x v="0"/>
    <x v="0"/>
    <x v="66"/>
    <x v="5"/>
    <x v="76"/>
    <x v="1"/>
    <x v="74"/>
    <x v="0"/>
    <x v="6"/>
    <x v="2"/>
    <x v="40"/>
    <x v="55"/>
    <x v="54"/>
    <x v="66"/>
    <x v="79"/>
    <x v="0"/>
    <x v="76"/>
    <x v="7"/>
    <x v="74"/>
    <x v="13"/>
    <x v="13"/>
    <x v="0"/>
    <x v="0"/>
    <x v="128"/>
    <x v="1"/>
    <x v="2"/>
    <x v="2"/>
    <x v="0"/>
    <x v="1"/>
    <x v="49"/>
    <x v="9"/>
    <x v="1"/>
    <x v="0"/>
    <x v="76"/>
    <x v="0"/>
    <x v="0"/>
    <x v="0"/>
    <x v="0"/>
    <x v="66"/>
    <x v="0"/>
    <x v="1"/>
    <x v="28"/>
    <x v="15"/>
    <x v="4"/>
    <x v="0"/>
    <x v="1"/>
    <x v="0"/>
    <x v="0"/>
    <x v="1"/>
    <x v="0"/>
    <x v="3"/>
    <x v="1"/>
  </r>
  <r>
    <x v="0"/>
    <x v="166"/>
    <x v="0"/>
    <x v="0"/>
    <x v="47"/>
    <x v="71"/>
    <x v="31"/>
    <x v="71"/>
    <x v="65"/>
    <x v="0"/>
    <x v="1"/>
    <x v="15"/>
    <x v="0"/>
    <x v="0"/>
    <x v="20"/>
    <x v="0"/>
    <x v="0"/>
    <x v="67"/>
    <x v="1"/>
    <x v="77"/>
    <x v="0"/>
    <x v="75"/>
    <x v="0"/>
    <x v="5"/>
    <x v="1"/>
    <x v="25"/>
    <x v="42"/>
    <x v="8"/>
    <x v="67"/>
    <x v="80"/>
    <x v="1"/>
    <x v="77"/>
    <x v="1"/>
    <x v="75"/>
    <x v="13"/>
    <x v="13"/>
    <x v="0"/>
    <x v="0"/>
    <x v="129"/>
    <x v="1"/>
    <x v="20"/>
    <x v="2"/>
    <x v="0"/>
    <x v="1"/>
    <x v="50"/>
    <x v="9"/>
    <x v="1"/>
    <x v="0"/>
    <x v="77"/>
    <x v="0"/>
    <x v="0"/>
    <x v="0"/>
    <x v="0"/>
    <x v="67"/>
    <x v="0"/>
    <x v="1"/>
    <x v="8"/>
    <x v="2"/>
    <x v="0"/>
    <x v="0"/>
    <x v="1"/>
    <x v="0"/>
    <x v="0"/>
    <x v="1"/>
    <x v="0"/>
    <x v="1"/>
    <x v="0"/>
  </r>
  <r>
    <x v="0"/>
    <x v="167"/>
    <x v="0"/>
    <x v="0"/>
    <x v="48"/>
    <x v="72"/>
    <x v="5"/>
    <x v="72"/>
    <x v="66"/>
    <x v="0"/>
    <x v="5"/>
    <x v="0"/>
    <x v="0"/>
    <x v="0"/>
    <x v="4"/>
    <x v="0"/>
    <x v="0"/>
    <x v="68"/>
    <x v="0"/>
    <x v="78"/>
    <x v="0"/>
    <x v="76"/>
    <x v="0"/>
    <x v="5"/>
    <x v="2"/>
    <x v="48"/>
    <x v="56"/>
    <x v="40"/>
    <x v="68"/>
    <x v="81"/>
    <x v="0"/>
    <x v="78"/>
    <x v="0"/>
    <x v="76"/>
    <x v="116"/>
    <x v="86"/>
    <x v="0"/>
    <x v="0"/>
    <x v="130"/>
    <x v="1"/>
    <x v="3"/>
    <x v="0"/>
    <x v="0"/>
    <x v="1"/>
    <x v="51"/>
    <x v="9"/>
    <x v="10"/>
    <x v="0"/>
    <x v="78"/>
    <x v="0"/>
    <x v="0"/>
    <x v="0"/>
    <x v="0"/>
    <x v="68"/>
    <x v="0"/>
    <x v="1"/>
    <x v="8"/>
    <x v="2"/>
    <x v="0"/>
    <x v="0"/>
    <x v="0"/>
    <x v="0"/>
    <x v="0"/>
    <x v="1"/>
    <x v="0"/>
    <x v="3"/>
    <x v="0"/>
  </r>
  <r>
    <x v="0"/>
    <x v="168"/>
    <x v="0"/>
    <x v="0"/>
    <x v="49"/>
    <x v="73"/>
    <x v="30"/>
    <x v="73"/>
    <x v="67"/>
    <x v="0"/>
    <x v="5"/>
    <x v="1"/>
    <x v="0"/>
    <x v="0"/>
    <x v="19"/>
    <x v="0"/>
    <x v="0"/>
    <x v="69"/>
    <x v="2"/>
    <x v="79"/>
    <x v="0"/>
    <x v="77"/>
    <x v="0"/>
    <x v="4"/>
    <x v="2"/>
    <x v="4"/>
    <x v="13"/>
    <x v="55"/>
    <x v="69"/>
    <x v="82"/>
    <x v="1"/>
    <x v="79"/>
    <x v="2"/>
    <x v="77"/>
    <x v="117"/>
    <x v="87"/>
    <x v="0"/>
    <x v="0"/>
    <x v="112"/>
    <x v="1"/>
    <x v="19"/>
    <x v="0"/>
    <x v="0"/>
    <x v="1"/>
    <x v="52"/>
    <x v="9"/>
    <x v="10"/>
    <x v="0"/>
    <x v="79"/>
    <x v="0"/>
    <x v="0"/>
    <x v="0"/>
    <x v="0"/>
    <x v="69"/>
    <x v="0"/>
    <x v="1"/>
    <x v="5"/>
    <x v="4"/>
    <x v="0"/>
    <x v="1"/>
    <x v="0"/>
    <x v="0"/>
    <x v="0"/>
    <x v="1"/>
    <x v="0"/>
    <x v="3"/>
    <x v="0"/>
  </r>
  <r>
    <x v="0"/>
    <x v="169"/>
    <x v="0"/>
    <x v="0"/>
    <x v="49"/>
    <x v="73"/>
    <x v="30"/>
    <x v="73"/>
    <x v="67"/>
    <x v="0"/>
    <x v="5"/>
    <x v="1"/>
    <x v="0"/>
    <x v="0"/>
    <x v="19"/>
    <x v="0"/>
    <x v="0"/>
    <x v="69"/>
    <x v="2"/>
    <x v="79"/>
    <x v="0"/>
    <x v="77"/>
    <x v="0"/>
    <x v="4"/>
    <x v="2"/>
    <x v="4"/>
    <x v="13"/>
    <x v="55"/>
    <x v="69"/>
    <x v="82"/>
    <x v="1"/>
    <x v="79"/>
    <x v="2"/>
    <x v="77"/>
    <x v="118"/>
    <x v="87"/>
    <x v="0"/>
    <x v="0"/>
    <x v="112"/>
    <x v="1"/>
    <x v="19"/>
    <x v="0"/>
    <x v="0"/>
    <x v="1"/>
    <x v="52"/>
    <x v="9"/>
    <x v="10"/>
    <x v="0"/>
    <x v="79"/>
    <x v="0"/>
    <x v="0"/>
    <x v="0"/>
    <x v="0"/>
    <x v="69"/>
    <x v="0"/>
    <x v="1"/>
    <x v="5"/>
    <x v="4"/>
    <x v="0"/>
    <x v="1"/>
    <x v="0"/>
    <x v="0"/>
    <x v="0"/>
    <x v="1"/>
    <x v="0"/>
    <x v="3"/>
    <x v="0"/>
  </r>
  <r>
    <x v="0"/>
    <x v="170"/>
    <x v="0"/>
    <x v="0"/>
    <x v="50"/>
    <x v="74"/>
    <x v="1"/>
    <x v="74"/>
    <x v="68"/>
    <x v="1"/>
    <x v="4"/>
    <x v="1"/>
    <x v="0"/>
    <x v="14"/>
    <x v="14"/>
    <x v="0"/>
    <x v="0"/>
    <x v="70"/>
    <x v="2"/>
    <x v="80"/>
    <x v="1"/>
    <x v="78"/>
    <x v="0"/>
    <x v="13"/>
    <x v="5"/>
    <x v="4"/>
    <x v="25"/>
    <x v="56"/>
    <x v="70"/>
    <x v="83"/>
    <x v="1"/>
    <x v="80"/>
    <x v="2"/>
    <x v="78"/>
    <x v="119"/>
    <x v="88"/>
    <x v="0"/>
    <x v="0"/>
    <x v="111"/>
    <x v="1"/>
    <x v="14"/>
    <x v="1"/>
    <x v="0"/>
    <x v="7"/>
    <x v="53"/>
    <x v="108"/>
    <x v="9"/>
    <x v="0"/>
    <x v="80"/>
    <x v="0"/>
    <x v="0"/>
    <x v="0"/>
    <x v="0"/>
    <x v="70"/>
    <x v="0"/>
    <x v="2"/>
    <x v="23"/>
    <x v="5"/>
    <x v="1"/>
    <x v="1"/>
    <x v="0"/>
    <x v="0"/>
    <x v="0"/>
    <x v="0"/>
    <x v="0"/>
    <x v="3"/>
    <x v="1"/>
  </r>
  <r>
    <x v="0"/>
    <x v="171"/>
    <x v="0"/>
    <x v="0"/>
    <x v="51"/>
    <x v="75"/>
    <x v="29"/>
    <x v="75"/>
    <x v="69"/>
    <x v="0"/>
    <x v="1"/>
    <x v="0"/>
    <x v="0"/>
    <x v="0"/>
    <x v="18"/>
    <x v="0"/>
    <x v="0"/>
    <x v="71"/>
    <x v="0"/>
    <x v="81"/>
    <x v="0"/>
    <x v="79"/>
    <x v="0"/>
    <x v="5"/>
    <x v="1"/>
    <x v="49"/>
    <x v="57"/>
    <x v="16"/>
    <x v="71"/>
    <x v="84"/>
    <x v="0"/>
    <x v="81"/>
    <x v="0"/>
    <x v="79"/>
    <x v="120"/>
    <x v="42"/>
    <x v="0"/>
    <x v="0"/>
    <x v="131"/>
    <x v="1"/>
    <x v="18"/>
    <x v="0"/>
    <x v="0"/>
    <x v="1"/>
    <x v="54"/>
    <x v="9"/>
    <x v="9"/>
    <x v="0"/>
    <x v="81"/>
    <x v="0"/>
    <x v="0"/>
    <x v="0"/>
    <x v="0"/>
    <x v="71"/>
    <x v="0"/>
    <x v="1"/>
    <x v="8"/>
    <x v="6"/>
    <x v="0"/>
    <x v="0"/>
    <x v="0"/>
    <x v="0"/>
    <x v="0"/>
    <x v="1"/>
    <x v="0"/>
    <x v="0"/>
    <x v="0"/>
  </r>
  <r>
    <x v="0"/>
    <x v="172"/>
    <x v="0"/>
    <x v="0"/>
    <x v="4"/>
    <x v="45"/>
    <x v="26"/>
    <x v="45"/>
    <x v="44"/>
    <x v="11"/>
    <x v="3"/>
    <x v="0"/>
    <x v="10"/>
    <x v="24"/>
    <x v="3"/>
    <x v="0"/>
    <x v="0"/>
    <x v="44"/>
    <x v="0"/>
    <x v="82"/>
    <x v="1"/>
    <x v="80"/>
    <x v="0"/>
    <x v="7"/>
    <x v="4"/>
    <x v="25"/>
    <x v="38"/>
    <x v="38"/>
    <x v="44"/>
    <x v="85"/>
    <x v="0"/>
    <x v="82"/>
    <x v="0"/>
    <x v="80"/>
    <x v="113"/>
    <x v="83"/>
    <x v="0"/>
    <x v="0"/>
    <x v="90"/>
    <x v="1"/>
    <x v="2"/>
    <x v="1"/>
    <x v="0"/>
    <x v="7"/>
    <x v="27"/>
    <x v="109"/>
    <x v="9"/>
    <x v="0"/>
    <x v="82"/>
    <x v="0"/>
    <x v="0"/>
    <x v="0"/>
    <x v="0"/>
    <x v="44"/>
    <x v="0"/>
    <x v="2"/>
    <x v="12"/>
    <x v="5"/>
    <x v="1"/>
    <x v="0"/>
    <x v="0"/>
    <x v="0"/>
    <x v="0"/>
    <x v="0"/>
    <x v="0"/>
    <x v="0"/>
    <x v="11"/>
  </r>
  <r>
    <x v="0"/>
    <x v="173"/>
    <x v="0"/>
    <x v="0"/>
    <x v="52"/>
    <x v="76"/>
    <x v="19"/>
    <x v="76"/>
    <x v="70"/>
    <x v="1"/>
    <x v="5"/>
    <x v="11"/>
    <x v="7"/>
    <x v="13"/>
    <x v="3"/>
    <x v="8"/>
    <x v="17"/>
    <x v="72"/>
    <x v="2"/>
    <x v="83"/>
    <x v="0"/>
    <x v="81"/>
    <x v="0"/>
    <x v="5"/>
    <x v="2"/>
    <x v="50"/>
    <x v="19"/>
    <x v="57"/>
    <x v="72"/>
    <x v="86"/>
    <x v="1"/>
    <x v="83"/>
    <x v="2"/>
    <x v="81"/>
    <x v="121"/>
    <x v="89"/>
    <x v="0"/>
    <x v="0"/>
    <x v="132"/>
    <x v="1"/>
    <x v="2"/>
    <x v="0"/>
    <x v="0"/>
    <x v="1"/>
    <x v="55"/>
    <x v="9"/>
    <x v="9"/>
    <x v="0"/>
    <x v="83"/>
    <x v="0"/>
    <x v="0"/>
    <x v="0"/>
    <x v="0"/>
    <x v="72"/>
    <x v="0"/>
    <x v="1"/>
    <x v="8"/>
    <x v="2"/>
    <x v="0"/>
    <x v="0"/>
    <x v="0"/>
    <x v="0"/>
    <x v="0"/>
    <x v="1"/>
    <x v="0"/>
    <x v="3"/>
    <x v="2"/>
  </r>
  <r>
    <x v="0"/>
    <x v="174"/>
    <x v="0"/>
    <x v="0"/>
    <x v="53"/>
    <x v="77"/>
    <x v="32"/>
    <x v="77"/>
    <x v="71"/>
    <x v="1"/>
    <x v="4"/>
    <x v="1"/>
    <x v="9"/>
    <x v="16"/>
    <x v="3"/>
    <x v="0"/>
    <x v="0"/>
    <x v="73"/>
    <x v="2"/>
    <x v="84"/>
    <x v="1"/>
    <x v="82"/>
    <x v="0"/>
    <x v="1"/>
    <x v="2"/>
    <x v="51"/>
    <x v="58"/>
    <x v="58"/>
    <x v="73"/>
    <x v="87"/>
    <x v="1"/>
    <x v="84"/>
    <x v="2"/>
    <x v="82"/>
    <x v="63"/>
    <x v="53"/>
    <x v="0"/>
    <x v="0"/>
    <x v="133"/>
    <x v="1"/>
    <x v="2"/>
    <x v="1"/>
    <x v="0"/>
    <x v="6"/>
    <x v="56"/>
    <x v="110"/>
    <x v="9"/>
    <x v="0"/>
    <x v="84"/>
    <x v="0"/>
    <x v="0"/>
    <x v="0"/>
    <x v="0"/>
    <x v="73"/>
    <x v="0"/>
    <x v="1"/>
    <x v="1"/>
    <x v="6"/>
    <x v="1"/>
    <x v="2"/>
    <x v="0"/>
    <x v="0"/>
    <x v="0"/>
    <x v="0"/>
    <x v="0"/>
    <x v="3"/>
    <x v="1"/>
  </r>
  <r>
    <x v="0"/>
    <x v="175"/>
    <x v="0"/>
    <x v="0"/>
    <x v="53"/>
    <x v="77"/>
    <x v="32"/>
    <x v="77"/>
    <x v="71"/>
    <x v="1"/>
    <x v="4"/>
    <x v="1"/>
    <x v="9"/>
    <x v="16"/>
    <x v="3"/>
    <x v="0"/>
    <x v="0"/>
    <x v="73"/>
    <x v="2"/>
    <x v="84"/>
    <x v="1"/>
    <x v="82"/>
    <x v="0"/>
    <x v="1"/>
    <x v="2"/>
    <x v="51"/>
    <x v="58"/>
    <x v="58"/>
    <x v="73"/>
    <x v="87"/>
    <x v="1"/>
    <x v="84"/>
    <x v="2"/>
    <x v="82"/>
    <x v="122"/>
    <x v="90"/>
    <x v="0"/>
    <x v="0"/>
    <x v="134"/>
    <x v="1"/>
    <x v="2"/>
    <x v="1"/>
    <x v="0"/>
    <x v="6"/>
    <x v="56"/>
    <x v="111"/>
    <x v="9"/>
    <x v="0"/>
    <x v="84"/>
    <x v="0"/>
    <x v="0"/>
    <x v="0"/>
    <x v="0"/>
    <x v="73"/>
    <x v="0"/>
    <x v="1"/>
    <x v="1"/>
    <x v="6"/>
    <x v="1"/>
    <x v="2"/>
    <x v="0"/>
    <x v="0"/>
    <x v="0"/>
    <x v="0"/>
    <x v="0"/>
    <x v="3"/>
    <x v="1"/>
  </r>
  <r>
    <x v="0"/>
    <x v="176"/>
    <x v="0"/>
    <x v="0"/>
    <x v="53"/>
    <x v="77"/>
    <x v="32"/>
    <x v="77"/>
    <x v="71"/>
    <x v="1"/>
    <x v="4"/>
    <x v="1"/>
    <x v="9"/>
    <x v="16"/>
    <x v="3"/>
    <x v="0"/>
    <x v="0"/>
    <x v="73"/>
    <x v="2"/>
    <x v="84"/>
    <x v="1"/>
    <x v="82"/>
    <x v="0"/>
    <x v="1"/>
    <x v="2"/>
    <x v="51"/>
    <x v="58"/>
    <x v="58"/>
    <x v="73"/>
    <x v="87"/>
    <x v="1"/>
    <x v="84"/>
    <x v="2"/>
    <x v="82"/>
    <x v="64"/>
    <x v="54"/>
    <x v="0"/>
    <x v="0"/>
    <x v="135"/>
    <x v="1"/>
    <x v="2"/>
    <x v="1"/>
    <x v="0"/>
    <x v="6"/>
    <x v="56"/>
    <x v="112"/>
    <x v="9"/>
    <x v="0"/>
    <x v="84"/>
    <x v="0"/>
    <x v="0"/>
    <x v="0"/>
    <x v="0"/>
    <x v="73"/>
    <x v="0"/>
    <x v="1"/>
    <x v="1"/>
    <x v="6"/>
    <x v="1"/>
    <x v="2"/>
    <x v="0"/>
    <x v="0"/>
    <x v="0"/>
    <x v="0"/>
    <x v="0"/>
    <x v="3"/>
    <x v="1"/>
  </r>
  <r>
    <x v="0"/>
    <x v="177"/>
    <x v="0"/>
    <x v="0"/>
    <x v="53"/>
    <x v="77"/>
    <x v="32"/>
    <x v="77"/>
    <x v="71"/>
    <x v="1"/>
    <x v="4"/>
    <x v="1"/>
    <x v="9"/>
    <x v="16"/>
    <x v="3"/>
    <x v="0"/>
    <x v="0"/>
    <x v="73"/>
    <x v="2"/>
    <x v="84"/>
    <x v="1"/>
    <x v="82"/>
    <x v="0"/>
    <x v="1"/>
    <x v="2"/>
    <x v="51"/>
    <x v="58"/>
    <x v="58"/>
    <x v="73"/>
    <x v="87"/>
    <x v="1"/>
    <x v="84"/>
    <x v="2"/>
    <x v="82"/>
    <x v="123"/>
    <x v="91"/>
    <x v="0"/>
    <x v="0"/>
    <x v="136"/>
    <x v="1"/>
    <x v="2"/>
    <x v="1"/>
    <x v="0"/>
    <x v="6"/>
    <x v="56"/>
    <x v="113"/>
    <x v="9"/>
    <x v="0"/>
    <x v="84"/>
    <x v="0"/>
    <x v="0"/>
    <x v="0"/>
    <x v="0"/>
    <x v="73"/>
    <x v="0"/>
    <x v="1"/>
    <x v="1"/>
    <x v="6"/>
    <x v="1"/>
    <x v="2"/>
    <x v="0"/>
    <x v="0"/>
    <x v="0"/>
    <x v="0"/>
    <x v="0"/>
    <x v="3"/>
    <x v="1"/>
  </r>
  <r>
    <x v="0"/>
    <x v="178"/>
    <x v="0"/>
    <x v="0"/>
    <x v="54"/>
    <x v="78"/>
    <x v="33"/>
    <x v="78"/>
    <x v="72"/>
    <x v="0"/>
    <x v="1"/>
    <x v="0"/>
    <x v="0"/>
    <x v="0"/>
    <x v="21"/>
    <x v="0"/>
    <x v="0"/>
    <x v="74"/>
    <x v="0"/>
    <x v="85"/>
    <x v="0"/>
    <x v="83"/>
    <x v="0"/>
    <x v="5"/>
    <x v="1"/>
    <x v="52"/>
    <x v="59"/>
    <x v="2"/>
    <x v="74"/>
    <x v="88"/>
    <x v="0"/>
    <x v="85"/>
    <x v="0"/>
    <x v="83"/>
    <x v="124"/>
    <x v="22"/>
    <x v="0"/>
    <x v="0"/>
    <x v="137"/>
    <x v="1"/>
    <x v="21"/>
    <x v="0"/>
    <x v="0"/>
    <x v="1"/>
    <x v="57"/>
    <x v="9"/>
    <x v="11"/>
    <x v="0"/>
    <x v="85"/>
    <x v="0"/>
    <x v="0"/>
    <x v="0"/>
    <x v="0"/>
    <x v="74"/>
    <x v="0"/>
    <x v="1"/>
    <x v="8"/>
    <x v="1"/>
    <x v="0"/>
    <x v="2"/>
    <x v="0"/>
    <x v="0"/>
    <x v="0"/>
    <x v="1"/>
    <x v="0"/>
    <x v="2"/>
    <x v="0"/>
  </r>
  <r>
    <x v="0"/>
    <x v="179"/>
    <x v="0"/>
    <x v="0"/>
    <x v="55"/>
    <x v="79"/>
    <x v="22"/>
    <x v="79"/>
    <x v="73"/>
    <x v="1"/>
    <x v="8"/>
    <x v="1"/>
    <x v="0"/>
    <x v="14"/>
    <x v="22"/>
    <x v="0"/>
    <x v="0"/>
    <x v="75"/>
    <x v="2"/>
    <x v="86"/>
    <x v="1"/>
    <x v="84"/>
    <x v="0"/>
    <x v="12"/>
    <x v="5"/>
    <x v="53"/>
    <x v="60"/>
    <x v="59"/>
    <x v="75"/>
    <x v="89"/>
    <x v="1"/>
    <x v="86"/>
    <x v="2"/>
    <x v="84"/>
    <x v="125"/>
    <x v="57"/>
    <x v="0"/>
    <x v="0"/>
    <x v="138"/>
    <x v="1"/>
    <x v="22"/>
    <x v="1"/>
    <x v="0"/>
    <x v="6"/>
    <x v="58"/>
    <x v="114"/>
    <x v="12"/>
    <x v="0"/>
    <x v="86"/>
    <x v="0"/>
    <x v="0"/>
    <x v="0"/>
    <x v="0"/>
    <x v="75"/>
    <x v="0"/>
    <x v="3"/>
    <x v="20"/>
    <x v="5"/>
    <x v="1"/>
    <x v="0"/>
    <x v="0"/>
    <x v="0"/>
    <x v="0"/>
    <x v="0"/>
    <x v="0"/>
    <x v="3"/>
    <x v="1"/>
  </r>
  <r>
    <x v="0"/>
    <x v="180"/>
    <x v="0"/>
    <x v="0"/>
    <x v="2"/>
    <x v="80"/>
    <x v="2"/>
    <x v="80"/>
    <x v="74"/>
    <x v="0"/>
    <x v="0"/>
    <x v="0"/>
    <x v="10"/>
    <x v="26"/>
    <x v="2"/>
    <x v="0"/>
    <x v="0"/>
    <x v="76"/>
    <x v="0"/>
    <x v="87"/>
    <x v="0"/>
    <x v="85"/>
    <x v="0"/>
    <x v="0"/>
    <x v="0"/>
    <x v="54"/>
    <x v="61"/>
    <x v="60"/>
    <x v="76"/>
    <x v="90"/>
    <x v="0"/>
    <x v="87"/>
    <x v="0"/>
    <x v="85"/>
    <x v="49"/>
    <x v="6"/>
    <x v="0"/>
    <x v="0"/>
    <x v="139"/>
    <x v="2"/>
    <x v="2"/>
    <x v="0"/>
    <x v="0"/>
    <x v="6"/>
    <x v="59"/>
    <x v="115"/>
    <x v="12"/>
    <x v="0"/>
    <x v="87"/>
    <x v="0"/>
    <x v="0"/>
    <x v="0"/>
    <x v="0"/>
    <x v="76"/>
    <x v="0"/>
    <x v="0"/>
    <x v="29"/>
    <x v="16"/>
    <x v="0"/>
    <x v="2"/>
    <x v="0"/>
    <x v="0"/>
    <x v="0"/>
    <x v="0"/>
    <x v="0"/>
    <x v="1"/>
    <x v="2"/>
  </r>
  <r>
    <x v="0"/>
    <x v="181"/>
    <x v="0"/>
    <x v="0"/>
    <x v="2"/>
    <x v="80"/>
    <x v="2"/>
    <x v="80"/>
    <x v="74"/>
    <x v="0"/>
    <x v="0"/>
    <x v="0"/>
    <x v="10"/>
    <x v="26"/>
    <x v="2"/>
    <x v="0"/>
    <x v="0"/>
    <x v="76"/>
    <x v="0"/>
    <x v="87"/>
    <x v="0"/>
    <x v="85"/>
    <x v="0"/>
    <x v="0"/>
    <x v="0"/>
    <x v="54"/>
    <x v="61"/>
    <x v="60"/>
    <x v="76"/>
    <x v="90"/>
    <x v="0"/>
    <x v="87"/>
    <x v="0"/>
    <x v="85"/>
    <x v="126"/>
    <x v="7"/>
    <x v="0"/>
    <x v="0"/>
    <x v="140"/>
    <x v="2"/>
    <x v="2"/>
    <x v="0"/>
    <x v="0"/>
    <x v="6"/>
    <x v="59"/>
    <x v="116"/>
    <x v="12"/>
    <x v="0"/>
    <x v="87"/>
    <x v="0"/>
    <x v="0"/>
    <x v="0"/>
    <x v="0"/>
    <x v="76"/>
    <x v="0"/>
    <x v="0"/>
    <x v="29"/>
    <x v="16"/>
    <x v="0"/>
    <x v="2"/>
    <x v="0"/>
    <x v="0"/>
    <x v="0"/>
    <x v="0"/>
    <x v="0"/>
    <x v="1"/>
    <x v="2"/>
  </r>
  <r>
    <x v="0"/>
    <x v="182"/>
    <x v="0"/>
    <x v="0"/>
    <x v="2"/>
    <x v="80"/>
    <x v="2"/>
    <x v="80"/>
    <x v="74"/>
    <x v="0"/>
    <x v="0"/>
    <x v="0"/>
    <x v="10"/>
    <x v="26"/>
    <x v="2"/>
    <x v="0"/>
    <x v="0"/>
    <x v="76"/>
    <x v="0"/>
    <x v="87"/>
    <x v="0"/>
    <x v="85"/>
    <x v="0"/>
    <x v="0"/>
    <x v="0"/>
    <x v="54"/>
    <x v="61"/>
    <x v="60"/>
    <x v="76"/>
    <x v="90"/>
    <x v="0"/>
    <x v="87"/>
    <x v="0"/>
    <x v="85"/>
    <x v="127"/>
    <x v="2"/>
    <x v="0"/>
    <x v="0"/>
    <x v="141"/>
    <x v="2"/>
    <x v="2"/>
    <x v="0"/>
    <x v="0"/>
    <x v="6"/>
    <x v="59"/>
    <x v="117"/>
    <x v="12"/>
    <x v="0"/>
    <x v="87"/>
    <x v="0"/>
    <x v="0"/>
    <x v="0"/>
    <x v="0"/>
    <x v="76"/>
    <x v="0"/>
    <x v="0"/>
    <x v="29"/>
    <x v="16"/>
    <x v="0"/>
    <x v="2"/>
    <x v="0"/>
    <x v="0"/>
    <x v="0"/>
    <x v="0"/>
    <x v="0"/>
    <x v="1"/>
    <x v="2"/>
  </r>
  <r>
    <x v="0"/>
    <x v="183"/>
    <x v="0"/>
    <x v="0"/>
    <x v="2"/>
    <x v="80"/>
    <x v="2"/>
    <x v="80"/>
    <x v="74"/>
    <x v="0"/>
    <x v="0"/>
    <x v="0"/>
    <x v="10"/>
    <x v="26"/>
    <x v="2"/>
    <x v="0"/>
    <x v="0"/>
    <x v="76"/>
    <x v="0"/>
    <x v="87"/>
    <x v="0"/>
    <x v="85"/>
    <x v="0"/>
    <x v="0"/>
    <x v="0"/>
    <x v="54"/>
    <x v="61"/>
    <x v="60"/>
    <x v="76"/>
    <x v="90"/>
    <x v="0"/>
    <x v="87"/>
    <x v="0"/>
    <x v="85"/>
    <x v="128"/>
    <x v="1"/>
    <x v="0"/>
    <x v="0"/>
    <x v="142"/>
    <x v="2"/>
    <x v="2"/>
    <x v="0"/>
    <x v="0"/>
    <x v="6"/>
    <x v="59"/>
    <x v="118"/>
    <x v="12"/>
    <x v="0"/>
    <x v="87"/>
    <x v="0"/>
    <x v="0"/>
    <x v="0"/>
    <x v="0"/>
    <x v="76"/>
    <x v="0"/>
    <x v="0"/>
    <x v="29"/>
    <x v="16"/>
    <x v="0"/>
    <x v="2"/>
    <x v="0"/>
    <x v="0"/>
    <x v="0"/>
    <x v="0"/>
    <x v="0"/>
    <x v="1"/>
    <x v="2"/>
  </r>
  <r>
    <x v="0"/>
    <x v="184"/>
    <x v="0"/>
    <x v="0"/>
    <x v="2"/>
    <x v="80"/>
    <x v="2"/>
    <x v="80"/>
    <x v="74"/>
    <x v="0"/>
    <x v="0"/>
    <x v="0"/>
    <x v="10"/>
    <x v="26"/>
    <x v="2"/>
    <x v="0"/>
    <x v="0"/>
    <x v="76"/>
    <x v="0"/>
    <x v="87"/>
    <x v="0"/>
    <x v="85"/>
    <x v="0"/>
    <x v="0"/>
    <x v="0"/>
    <x v="54"/>
    <x v="61"/>
    <x v="60"/>
    <x v="76"/>
    <x v="90"/>
    <x v="0"/>
    <x v="87"/>
    <x v="0"/>
    <x v="85"/>
    <x v="74"/>
    <x v="4"/>
    <x v="0"/>
    <x v="0"/>
    <x v="143"/>
    <x v="2"/>
    <x v="2"/>
    <x v="0"/>
    <x v="0"/>
    <x v="6"/>
    <x v="59"/>
    <x v="119"/>
    <x v="12"/>
    <x v="0"/>
    <x v="87"/>
    <x v="0"/>
    <x v="0"/>
    <x v="0"/>
    <x v="0"/>
    <x v="76"/>
    <x v="0"/>
    <x v="0"/>
    <x v="29"/>
    <x v="16"/>
    <x v="0"/>
    <x v="2"/>
    <x v="0"/>
    <x v="0"/>
    <x v="0"/>
    <x v="0"/>
    <x v="0"/>
    <x v="1"/>
    <x v="2"/>
  </r>
  <r>
    <x v="0"/>
    <x v="185"/>
    <x v="0"/>
    <x v="0"/>
    <x v="2"/>
    <x v="80"/>
    <x v="2"/>
    <x v="80"/>
    <x v="74"/>
    <x v="0"/>
    <x v="0"/>
    <x v="0"/>
    <x v="10"/>
    <x v="26"/>
    <x v="2"/>
    <x v="0"/>
    <x v="0"/>
    <x v="76"/>
    <x v="0"/>
    <x v="87"/>
    <x v="0"/>
    <x v="85"/>
    <x v="0"/>
    <x v="0"/>
    <x v="0"/>
    <x v="54"/>
    <x v="61"/>
    <x v="60"/>
    <x v="76"/>
    <x v="90"/>
    <x v="0"/>
    <x v="87"/>
    <x v="0"/>
    <x v="85"/>
    <x v="75"/>
    <x v="3"/>
    <x v="0"/>
    <x v="0"/>
    <x v="144"/>
    <x v="2"/>
    <x v="2"/>
    <x v="0"/>
    <x v="0"/>
    <x v="6"/>
    <x v="59"/>
    <x v="120"/>
    <x v="12"/>
    <x v="0"/>
    <x v="87"/>
    <x v="0"/>
    <x v="0"/>
    <x v="0"/>
    <x v="0"/>
    <x v="76"/>
    <x v="0"/>
    <x v="0"/>
    <x v="29"/>
    <x v="16"/>
    <x v="0"/>
    <x v="2"/>
    <x v="0"/>
    <x v="0"/>
    <x v="0"/>
    <x v="0"/>
    <x v="0"/>
    <x v="1"/>
    <x v="2"/>
  </r>
  <r>
    <x v="0"/>
    <x v="186"/>
    <x v="0"/>
    <x v="0"/>
    <x v="2"/>
    <x v="80"/>
    <x v="2"/>
    <x v="80"/>
    <x v="74"/>
    <x v="0"/>
    <x v="0"/>
    <x v="0"/>
    <x v="10"/>
    <x v="26"/>
    <x v="2"/>
    <x v="0"/>
    <x v="0"/>
    <x v="76"/>
    <x v="0"/>
    <x v="87"/>
    <x v="0"/>
    <x v="85"/>
    <x v="0"/>
    <x v="0"/>
    <x v="0"/>
    <x v="54"/>
    <x v="61"/>
    <x v="60"/>
    <x v="76"/>
    <x v="90"/>
    <x v="0"/>
    <x v="87"/>
    <x v="0"/>
    <x v="85"/>
    <x v="129"/>
    <x v="92"/>
    <x v="0"/>
    <x v="0"/>
    <x v="33"/>
    <x v="2"/>
    <x v="2"/>
    <x v="0"/>
    <x v="0"/>
    <x v="6"/>
    <x v="59"/>
    <x v="9"/>
    <x v="12"/>
    <x v="0"/>
    <x v="87"/>
    <x v="0"/>
    <x v="0"/>
    <x v="0"/>
    <x v="0"/>
    <x v="76"/>
    <x v="0"/>
    <x v="0"/>
    <x v="29"/>
    <x v="16"/>
    <x v="0"/>
    <x v="2"/>
    <x v="0"/>
    <x v="0"/>
    <x v="0"/>
    <x v="1"/>
    <x v="0"/>
    <x v="1"/>
    <x v="2"/>
  </r>
  <r>
    <x v="0"/>
    <x v="187"/>
    <x v="0"/>
    <x v="0"/>
    <x v="56"/>
    <x v="81"/>
    <x v="30"/>
    <x v="81"/>
    <x v="75"/>
    <x v="0"/>
    <x v="5"/>
    <x v="1"/>
    <x v="0"/>
    <x v="0"/>
    <x v="19"/>
    <x v="0"/>
    <x v="0"/>
    <x v="77"/>
    <x v="2"/>
    <x v="88"/>
    <x v="0"/>
    <x v="86"/>
    <x v="0"/>
    <x v="5"/>
    <x v="2"/>
    <x v="4"/>
    <x v="62"/>
    <x v="61"/>
    <x v="77"/>
    <x v="91"/>
    <x v="1"/>
    <x v="88"/>
    <x v="2"/>
    <x v="86"/>
    <x v="130"/>
    <x v="89"/>
    <x v="0"/>
    <x v="0"/>
    <x v="145"/>
    <x v="1"/>
    <x v="19"/>
    <x v="0"/>
    <x v="0"/>
    <x v="1"/>
    <x v="60"/>
    <x v="9"/>
    <x v="12"/>
    <x v="0"/>
    <x v="88"/>
    <x v="0"/>
    <x v="0"/>
    <x v="0"/>
    <x v="0"/>
    <x v="77"/>
    <x v="0"/>
    <x v="1"/>
    <x v="8"/>
    <x v="6"/>
    <x v="1"/>
    <x v="1"/>
    <x v="0"/>
    <x v="0"/>
    <x v="0"/>
    <x v="1"/>
    <x v="0"/>
    <x v="3"/>
    <x v="0"/>
  </r>
  <r>
    <x v="0"/>
    <x v="188"/>
    <x v="0"/>
    <x v="0"/>
    <x v="28"/>
    <x v="82"/>
    <x v="4"/>
    <x v="82"/>
    <x v="16"/>
    <x v="1"/>
    <x v="4"/>
    <x v="1"/>
    <x v="0"/>
    <x v="1"/>
    <x v="23"/>
    <x v="0"/>
    <x v="0"/>
    <x v="78"/>
    <x v="2"/>
    <x v="89"/>
    <x v="1"/>
    <x v="87"/>
    <x v="0"/>
    <x v="7"/>
    <x v="5"/>
    <x v="55"/>
    <x v="60"/>
    <x v="59"/>
    <x v="78"/>
    <x v="92"/>
    <x v="1"/>
    <x v="89"/>
    <x v="2"/>
    <x v="87"/>
    <x v="131"/>
    <x v="56"/>
    <x v="0"/>
    <x v="0"/>
    <x v="90"/>
    <x v="1"/>
    <x v="23"/>
    <x v="1"/>
    <x v="0"/>
    <x v="4"/>
    <x v="61"/>
    <x v="121"/>
    <x v="25"/>
    <x v="0"/>
    <x v="89"/>
    <x v="0"/>
    <x v="0"/>
    <x v="0"/>
    <x v="0"/>
    <x v="78"/>
    <x v="0"/>
    <x v="2"/>
    <x v="12"/>
    <x v="5"/>
    <x v="1"/>
    <x v="0"/>
    <x v="0"/>
    <x v="0"/>
    <x v="0"/>
    <x v="0"/>
    <x v="0"/>
    <x v="3"/>
    <x v="1"/>
  </r>
  <r>
    <x v="0"/>
    <x v="189"/>
    <x v="0"/>
    <x v="0"/>
    <x v="4"/>
    <x v="18"/>
    <x v="22"/>
    <x v="18"/>
    <x v="18"/>
    <x v="1"/>
    <x v="4"/>
    <x v="0"/>
    <x v="7"/>
    <x v="13"/>
    <x v="3"/>
    <x v="0"/>
    <x v="0"/>
    <x v="18"/>
    <x v="0"/>
    <x v="90"/>
    <x v="1"/>
    <x v="88"/>
    <x v="0"/>
    <x v="2"/>
    <x v="2"/>
    <x v="14"/>
    <x v="11"/>
    <x v="13"/>
    <x v="18"/>
    <x v="93"/>
    <x v="0"/>
    <x v="90"/>
    <x v="0"/>
    <x v="88"/>
    <x v="101"/>
    <x v="76"/>
    <x v="0"/>
    <x v="0"/>
    <x v="102"/>
    <x v="1"/>
    <x v="2"/>
    <x v="1"/>
    <x v="0"/>
    <x v="4"/>
    <x v="8"/>
    <x v="122"/>
    <x v="25"/>
    <x v="0"/>
    <x v="90"/>
    <x v="0"/>
    <x v="0"/>
    <x v="0"/>
    <x v="0"/>
    <x v="18"/>
    <x v="0"/>
    <x v="1"/>
    <x v="2"/>
    <x v="6"/>
    <x v="0"/>
    <x v="0"/>
    <x v="1"/>
    <x v="0"/>
    <x v="0"/>
    <x v="0"/>
    <x v="0"/>
    <x v="3"/>
    <x v="1"/>
  </r>
  <r>
    <x v="0"/>
    <x v="190"/>
    <x v="0"/>
    <x v="0"/>
    <x v="4"/>
    <x v="18"/>
    <x v="22"/>
    <x v="18"/>
    <x v="18"/>
    <x v="1"/>
    <x v="4"/>
    <x v="0"/>
    <x v="7"/>
    <x v="13"/>
    <x v="3"/>
    <x v="0"/>
    <x v="0"/>
    <x v="18"/>
    <x v="0"/>
    <x v="90"/>
    <x v="1"/>
    <x v="88"/>
    <x v="0"/>
    <x v="2"/>
    <x v="2"/>
    <x v="14"/>
    <x v="11"/>
    <x v="13"/>
    <x v="18"/>
    <x v="93"/>
    <x v="0"/>
    <x v="90"/>
    <x v="0"/>
    <x v="88"/>
    <x v="132"/>
    <x v="75"/>
    <x v="0"/>
    <x v="0"/>
    <x v="146"/>
    <x v="1"/>
    <x v="2"/>
    <x v="1"/>
    <x v="0"/>
    <x v="4"/>
    <x v="8"/>
    <x v="123"/>
    <x v="25"/>
    <x v="0"/>
    <x v="90"/>
    <x v="0"/>
    <x v="0"/>
    <x v="0"/>
    <x v="0"/>
    <x v="18"/>
    <x v="0"/>
    <x v="1"/>
    <x v="2"/>
    <x v="6"/>
    <x v="0"/>
    <x v="0"/>
    <x v="1"/>
    <x v="0"/>
    <x v="0"/>
    <x v="0"/>
    <x v="0"/>
    <x v="3"/>
    <x v="1"/>
  </r>
  <r>
    <x v="0"/>
    <x v="191"/>
    <x v="0"/>
    <x v="0"/>
    <x v="4"/>
    <x v="18"/>
    <x v="22"/>
    <x v="18"/>
    <x v="18"/>
    <x v="1"/>
    <x v="4"/>
    <x v="0"/>
    <x v="7"/>
    <x v="13"/>
    <x v="3"/>
    <x v="0"/>
    <x v="0"/>
    <x v="18"/>
    <x v="0"/>
    <x v="90"/>
    <x v="1"/>
    <x v="88"/>
    <x v="0"/>
    <x v="2"/>
    <x v="2"/>
    <x v="14"/>
    <x v="11"/>
    <x v="13"/>
    <x v="18"/>
    <x v="93"/>
    <x v="0"/>
    <x v="90"/>
    <x v="0"/>
    <x v="88"/>
    <x v="133"/>
    <x v="72"/>
    <x v="0"/>
    <x v="0"/>
    <x v="147"/>
    <x v="1"/>
    <x v="2"/>
    <x v="1"/>
    <x v="0"/>
    <x v="4"/>
    <x v="8"/>
    <x v="124"/>
    <x v="25"/>
    <x v="0"/>
    <x v="90"/>
    <x v="0"/>
    <x v="0"/>
    <x v="0"/>
    <x v="0"/>
    <x v="18"/>
    <x v="0"/>
    <x v="1"/>
    <x v="2"/>
    <x v="6"/>
    <x v="0"/>
    <x v="0"/>
    <x v="1"/>
    <x v="0"/>
    <x v="0"/>
    <x v="0"/>
    <x v="0"/>
    <x v="3"/>
    <x v="1"/>
  </r>
  <r>
    <x v="0"/>
    <x v="192"/>
    <x v="0"/>
    <x v="0"/>
    <x v="4"/>
    <x v="18"/>
    <x v="22"/>
    <x v="18"/>
    <x v="18"/>
    <x v="1"/>
    <x v="4"/>
    <x v="0"/>
    <x v="7"/>
    <x v="13"/>
    <x v="3"/>
    <x v="0"/>
    <x v="0"/>
    <x v="18"/>
    <x v="0"/>
    <x v="90"/>
    <x v="1"/>
    <x v="88"/>
    <x v="0"/>
    <x v="2"/>
    <x v="2"/>
    <x v="14"/>
    <x v="11"/>
    <x v="13"/>
    <x v="18"/>
    <x v="93"/>
    <x v="0"/>
    <x v="90"/>
    <x v="0"/>
    <x v="88"/>
    <x v="134"/>
    <x v="71"/>
    <x v="0"/>
    <x v="0"/>
    <x v="148"/>
    <x v="1"/>
    <x v="2"/>
    <x v="1"/>
    <x v="0"/>
    <x v="4"/>
    <x v="8"/>
    <x v="125"/>
    <x v="25"/>
    <x v="0"/>
    <x v="90"/>
    <x v="0"/>
    <x v="0"/>
    <x v="0"/>
    <x v="0"/>
    <x v="18"/>
    <x v="0"/>
    <x v="1"/>
    <x v="2"/>
    <x v="6"/>
    <x v="0"/>
    <x v="0"/>
    <x v="1"/>
    <x v="0"/>
    <x v="0"/>
    <x v="0"/>
    <x v="0"/>
    <x v="3"/>
    <x v="1"/>
  </r>
  <r>
    <x v="0"/>
    <x v="193"/>
    <x v="0"/>
    <x v="0"/>
    <x v="4"/>
    <x v="18"/>
    <x v="22"/>
    <x v="18"/>
    <x v="18"/>
    <x v="1"/>
    <x v="4"/>
    <x v="0"/>
    <x v="7"/>
    <x v="13"/>
    <x v="3"/>
    <x v="0"/>
    <x v="0"/>
    <x v="18"/>
    <x v="0"/>
    <x v="90"/>
    <x v="1"/>
    <x v="88"/>
    <x v="0"/>
    <x v="2"/>
    <x v="2"/>
    <x v="14"/>
    <x v="11"/>
    <x v="13"/>
    <x v="18"/>
    <x v="93"/>
    <x v="0"/>
    <x v="90"/>
    <x v="0"/>
    <x v="88"/>
    <x v="102"/>
    <x v="74"/>
    <x v="0"/>
    <x v="0"/>
    <x v="103"/>
    <x v="1"/>
    <x v="2"/>
    <x v="1"/>
    <x v="0"/>
    <x v="4"/>
    <x v="8"/>
    <x v="126"/>
    <x v="25"/>
    <x v="0"/>
    <x v="90"/>
    <x v="0"/>
    <x v="0"/>
    <x v="0"/>
    <x v="0"/>
    <x v="18"/>
    <x v="0"/>
    <x v="1"/>
    <x v="2"/>
    <x v="6"/>
    <x v="0"/>
    <x v="0"/>
    <x v="1"/>
    <x v="0"/>
    <x v="0"/>
    <x v="0"/>
    <x v="0"/>
    <x v="3"/>
    <x v="1"/>
  </r>
  <r>
    <x v="0"/>
    <x v="194"/>
    <x v="0"/>
    <x v="0"/>
    <x v="57"/>
    <x v="83"/>
    <x v="34"/>
    <x v="83"/>
    <x v="76"/>
    <x v="0"/>
    <x v="1"/>
    <x v="0"/>
    <x v="0"/>
    <x v="0"/>
    <x v="24"/>
    <x v="0"/>
    <x v="0"/>
    <x v="79"/>
    <x v="0"/>
    <x v="91"/>
    <x v="0"/>
    <x v="89"/>
    <x v="0"/>
    <x v="1"/>
    <x v="1"/>
    <x v="1"/>
    <x v="63"/>
    <x v="61"/>
    <x v="79"/>
    <x v="94"/>
    <x v="0"/>
    <x v="91"/>
    <x v="0"/>
    <x v="89"/>
    <x v="135"/>
    <x v="53"/>
    <x v="0"/>
    <x v="0"/>
    <x v="65"/>
    <x v="0"/>
    <x v="24"/>
    <x v="0"/>
    <x v="0"/>
    <x v="2"/>
    <x v="62"/>
    <x v="127"/>
    <x v="25"/>
    <x v="0"/>
    <x v="91"/>
    <x v="0"/>
    <x v="0"/>
    <x v="0"/>
    <x v="0"/>
    <x v="79"/>
    <x v="0"/>
    <x v="1"/>
    <x v="1"/>
    <x v="17"/>
    <x v="0"/>
    <x v="1"/>
    <x v="0"/>
    <x v="0"/>
    <x v="0"/>
    <x v="0"/>
    <x v="0"/>
    <x v="0"/>
    <x v="0"/>
  </r>
  <r>
    <x v="0"/>
    <x v="195"/>
    <x v="0"/>
    <x v="0"/>
    <x v="57"/>
    <x v="83"/>
    <x v="34"/>
    <x v="83"/>
    <x v="76"/>
    <x v="0"/>
    <x v="1"/>
    <x v="0"/>
    <x v="0"/>
    <x v="0"/>
    <x v="24"/>
    <x v="0"/>
    <x v="0"/>
    <x v="79"/>
    <x v="0"/>
    <x v="91"/>
    <x v="0"/>
    <x v="89"/>
    <x v="0"/>
    <x v="1"/>
    <x v="1"/>
    <x v="1"/>
    <x v="63"/>
    <x v="61"/>
    <x v="79"/>
    <x v="94"/>
    <x v="0"/>
    <x v="91"/>
    <x v="0"/>
    <x v="89"/>
    <x v="136"/>
    <x v="54"/>
    <x v="0"/>
    <x v="0"/>
    <x v="66"/>
    <x v="0"/>
    <x v="24"/>
    <x v="0"/>
    <x v="0"/>
    <x v="2"/>
    <x v="62"/>
    <x v="128"/>
    <x v="25"/>
    <x v="0"/>
    <x v="91"/>
    <x v="0"/>
    <x v="0"/>
    <x v="0"/>
    <x v="0"/>
    <x v="79"/>
    <x v="0"/>
    <x v="1"/>
    <x v="1"/>
    <x v="17"/>
    <x v="0"/>
    <x v="1"/>
    <x v="0"/>
    <x v="0"/>
    <x v="0"/>
    <x v="0"/>
    <x v="0"/>
    <x v="0"/>
    <x v="0"/>
  </r>
  <r>
    <x v="0"/>
    <x v="196"/>
    <x v="0"/>
    <x v="0"/>
    <x v="4"/>
    <x v="84"/>
    <x v="4"/>
    <x v="84"/>
    <x v="77"/>
    <x v="1"/>
    <x v="4"/>
    <x v="0"/>
    <x v="6"/>
    <x v="29"/>
    <x v="3"/>
    <x v="0"/>
    <x v="0"/>
    <x v="80"/>
    <x v="0"/>
    <x v="92"/>
    <x v="1"/>
    <x v="90"/>
    <x v="0"/>
    <x v="5"/>
    <x v="2"/>
    <x v="56"/>
    <x v="64"/>
    <x v="62"/>
    <x v="80"/>
    <x v="95"/>
    <x v="0"/>
    <x v="92"/>
    <x v="0"/>
    <x v="90"/>
    <x v="137"/>
    <x v="89"/>
    <x v="0"/>
    <x v="0"/>
    <x v="149"/>
    <x v="1"/>
    <x v="2"/>
    <x v="1"/>
    <x v="0"/>
    <x v="1"/>
    <x v="63"/>
    <x v="9"/>
    <x v="25"/>
    <x v="0"/>
    <x v="92"/>
    <x v="0"/>
    <x v="0"/>
    <x v="0"/>
    <x v="0"/>
    <x v="80"/>
    <x v="0"/>
    <x v="1"/>
    <x v="8"/>
    <x v="6"/>
    <x v="0"/>
    <x v="2"/>
    <x v="0"/>
    <x v="0"/>
    <x v="0"/>
    <x v="1"/>
    <x v="0"/>
    <x v="3"/>
    <x v="1"/>
  </r>
  <r>
    <x v="0"/>
    <x v="197"/>
    <x v="0"/>
    <x v="0"/>
    <x v="58"/>
    <x v="85"/>
    <x v="32"/>
    <x v="85"/>
    <x v="71"/>
    <x v="1"/>
    <x v="4"/>
    <x v="0"/>
    <x v="9"/>
    <x v="16"/>
    <x v="3"/>
    <x v="0"/>
    <x v="0"/>
    <x v="81"/>
    <x v="0"/>
    <x v="93"/>
    <x v="1"/>
    <x v="91"/>
    <x v="0"/>
    <x v="2"/>
    <x v="1"/>
    <x v="57"/>
    <x v="65"/>
    <x v="63"/>
    <x v="81"/>
    <x v="96"/>
    <x v="0"/>
    <x v="93"/>
    <x v="0"/>
    <x v="91"/>
    <x v="138"/>
    <x v="93"/>
    <x v="0"/>
    <x v="0"/>
    <x v="150"/>
    <x v="1"/>
    <x v="2"/>
    <x v="1"/>
    <x v="0"/>
    <x v="0"/>
    <x v="64"/>
    <x v="129"/>
    <x v="25"/>
    <x v="0"/>
    <x v="93"/>
    <x v="0"/>
    <x v="0"/>
    <x v="0"/>
    <x v="0"/>
    <x v="81"/>
    <x v="0"/>
    <x v="1"/>
    <x v="30"/>
    <x v="6"/>
    <x v="0"/>
    <x v="0"/>
    <x v="0"/>
    <x v="0"/>
    <x v="0"/>
    <x v="0"/>
    <x v="0"/>
    <x v="0"/>
    <x v="1"/>
  </r>
  <r>
    <x v="0"/>
    <x v="198"/>
    <x v="0"/>
    <x v="0"/>
    <x v="58"/>
    <x v="85"/>
    <x v="32"/>
    <x v="85"/>
    <x v="71"/>
    <x v="1"/>
    <x v="4"/>
    <x v="0"/>
    <x v="9"/>
    <x v="16"/>
    <x v="3"/>
    <x v="0"/>
    <x v="0"/>
    <x v="81"/>
    <x v="0"/>
    <x v="93"/>
    <x v="1"/>
    <x v="91"/>
    <x v="0"/>
    <x v="2"/>
    <x v="1"/>
    <x v="57"/>
    <x v="65"/>
    <x v="63"/>
    <x v="81"/>
    <x v="96"/>
    <x v="0"/>
    <x v="93"/>
    <x v="0"/>
    <x v="91"/>
    <x v="139"/>
    <x v="94"/>
    <x v="0"/>
    <x v="0"/>
    <x v="151"/>
    <x v="1"/>
    <x v="2"/>
    <x v="1"/>
    <x v="0"/>
    <x v="0"/>
    <x v="64"/>
    <x v="130"/>
    <x v="25"/>
    <x v="0"/>
    <x v="93"/>
    <x v="0"/>
    <x v="0"/>
    <x v="0"/>
    <x v="0"/>
    <x v="81"/>
    <x v="0"/>
    <x v="1"/>
    <x v="30"/>
    <x v="6"/>
    <x v="0"/>
    <x v="0"/>
    <x v="0"/>
    <x v="0"/>
    <x v="0"/>
    <x v="0"/>
    <x v="0"/>
    <x v="0"/>
    <x v="1"/>
  </r>
  <r>
    <x v="0"/>
    <x v="199"/>
    <x v="0"/>
    <x v="0"/>
    <x v="58"/>
    <x v="85"/>
    <x v="32"/>
    <x v="85"/>
    <x v="71"/>
    <x v="1"/>
    <x v="4"/>
    <x v="0"/>
    <x v="9"/>
    <x v="16"/>
    <x v="3"/>
    <x v="0"/>
    <x v="0"/>
    <x v="81"/>
    <x v="0"/>
    <x v="93"/>
    <x v="1"/>
    <x v="91"/>
    <x v="0"/>
    <x v="2"/>
    <x v="1"/>
    <x v="57"/>
    <x v="65"/>
    <x v="63"/>
    <x v="81"/>
    <x v="96"/>
    <x v="0"/>
    <x v="93"/>
    <x v="0"/>
    <x v="91"/>
    <x v="140"/>
    <x v="95"/>
    <x v="0"/>
    <x v="0"/>
    <x v="152"/>
    <x v="1"/>
    <x v="2"/>
    <x v="1"/>
    <x v="0"/>
    <x v="0"/>
    <x v="64"/>
    <x v="131"/>
    <x v="25"/>
    <x v="0"/>
    <x v="93"/>
    <x v="0"/>
    <x v="0"/>
    <x v="0"/>
    <x v="0"/>
    <x v="81"/>
    <x v="0"/>
    <x v="1"/>
    <x v="30"/>
    <x v="6"/>
    <x v="0"/>
    <x v="0"/>
    <x v="0"/>
    <x v="0"/>
    <x v="0"/>
    <x v="0"/>
    <x v="0"/>
    <x v="0"/>
    <x v="1"/>
  </r>
  <r>
    <x v="0"/>
    <x v="200"/>
    <x v="0"/>
    <x v="0"/>
    <x v="59"/>
    <x v="86"/>
    <x v="7"/>
    <x v="86"/>
    <x v="78"/>
    <x v="13"/>
    <x v="0"/>
    <x v="4"/>
    <x v="4"/>
    <x v="30"/>
    <x v="3"/>
    <x v="3"/>
    <x v="18"/>
    <x v="82"/>
    <x v="2"/>
    <x v="94"/>
    <x v="1"/>
    <x v="92"/>
    <x v="0"/>
    <x v="0"/>
    <x v="4"/>
    <x v="10"/>
    <x v="66"/>
    <x v="64"/>
    <x v="82"/>
    <x v="97"/>
    <x v="1"/>
    <x v="94"/>
    <x v="2"/>
    <x v="92"/>
    <x v="141"/>
    <x v="96"/>
    <x v="0"/>
    <x v="0"/>
    <x v="3"/>
    <x v="1"/>
    <x v="2"/>
    <x v="1"/>
    <x v="0"/>
    <x v="6"/>
    <x v="65"/>
    <x v="132"/>
    <x v="25"/>
    <x v="0"/>
    <x v="94"/>
    <x v="0"/>
    <x v="0"/>
    <x v="0"/>
    <x v="0"/>
    <x v="82"/>
    <x v="0"/>
    <x v="0"/>
    <x v="0"/>
    <x v="0"/>
    <x v="1"/>
    <x v="1"/>
    <x v="0"/>
    <x v="0"/>
    <x v="0"/>
    <x v="0"/>
    <x v="0"/>
    <x v="0"/>
    <x v="12"/>
  </r>
  <r>
    <x v="0"/>
    <x v="201"/>
    <x v="0"/>
    <x v="0"/>
    <x v="59"/>
    <x v="86"/>
    <x v="7"/>
    <x v="86"/>
    <x v="78"/>
    <x v="13"/>
    <x v="0"/>
    <x v="4"/>
    <x v="4"/>
    <x v="30"/>
    <x v="3"/>
    <x v="3"/>
    <x v="18"/>
    <x v="82"/>
    <x v="2"/>
    <x v="94"/>
    <x v="1"/>
    <x v="92"/>
    <x v="0"/>
    <x v="0"/>
    <x v="4"/>
    <x v="10"/>
    <x v="66"/>
    <x v="64"/>
    <x v="82"/>
    <x v="97"/>
    <x v="1"/>
    <x v="94"/>
    <x v="2"/>
    <x v="92"/>
    <x v="142"/>
    <x v="2"/>
    <x v="0"/>
    <x v="0"/>
    <x v="2"/>
    <x v="1"/>
    <x v="2"/>
    <x v="1"/>
    <x v="0"/>
    <x v="6"/>
    <x v="65"/>
    <x v="133"/>
    <x v="25"/>
    <x v="0"/>
    <x v="94"/>
    <x v="0"/>
    <x v="0"/>
    <x v="0"/>
    <x v="0"/>
    <x v="82"/>
    <x v="0"/>
    <x v="0"/>
    <x v="0"/>
    <x v="0"/>
    <x v="1"/>
    <x v="1"/>
    <x v="0"/>
    <x v="0"/>
    <x v="0"/>
    <x v="0"/>
    <x v="0"/>
    <x v="0"/>
    <x v="12"/>
  </r>
  <r>
    <x v="0"/>
    <x v="202"/>
    <x v="0"/>
    <x v="0"/>
    <x v="59"/>
    <x v="86"/>
    <x v="7"/>
    <x v="86"/>
    <x v="78"/>
    <x v="13"/>
    <x v="0"/>
    <x v="4"/>
    <x v="4"/>
    <x v="30"/>
    <x v="3"/>
    <x v="3"/>
    <x v="18"/>
    <x v="82"/>
    <x v="2"/>
    <x v="94"/>
    <x v="1"/>
    <x v="92"/>
    <x v="0"/>
    <x v="0"/>
    <x v="4"/>
    <x v="10"/>
    <x v="66"/>
    <x v="64"/>
    <x v="82"/>
    <x v="97"/>
    <x v="1"/>
    <x v="94"/>
    <x v="2"/>
    <x v="92"/>
    <x v="143"/>
    <x v="1"/>
    <x v="0"/>
    <x v="0"/>
    <x v="1"/>
    <x v="1"/>
    <x v="2"/>
    <x v="1"/>
    <x v="0"/>
    <x v="6"/>
    <x v="65"/>
    <x v="134"/>
    <x v="25"/>
    <x v="0"/>
    <x v="94"/>
    <x v="0"/>
    <x v="0"/>
    <x v="0"/>
    <x v="0"/>
    <x v="82"/>
    <x v="0"/>
    <x v="0"/>
    <x v="0"/>
    <x v="0"/>
    <x v="1"/>
    <x v="1"/>
    <x v="0"/>
    <x v="0"/>
    <x v="0"/>
    <x v="0"/>
    <x v="0"/>
    <x v="0"/>
    <x v="12"/>
  </r>
  <r>
    <x v="0"/>
    <x v="203"/>
    <x v="0"/>
    <x v="0"/>
    <x v="59"/>
    <x v="86"/>
    <x v="7"/>
    <x v="86"/>
    <x v="78"/>
    <x v="13"/>
    <x v="0"/>
    <x v="4"/>
    <x v="4"/>
    <x v="30"/>
    <x v="3"/>
    <x v="3"/>
    <x v="18"/>
    <x v="82"/>
    <x v="2"/>
    <x v="94"/>
    <x v="1"/>
    <x v="92"/>
    <x v="0"/>
    <x v="0"/>
    <x v="4"/>
    <x v="10"/>
    <x v="66"/>
    <x v="64"/>
    <x v="82"/>
    <x v="97"/>
    <x v="1"/>
    <x v="94"/>
    <x v="2"/>
    <x v="92"/>
    <x v="144"/>
    <x v="97"/>
    <x v="0"/>
    <x v="0"/>
    <x v="4"/>
    <x v="1"/>
    <x v="2"/>
    <x v="1"/>
    <x v="0"/>
    <x v="6"/>
    <x v="65"/>
    <x v="135"/>
    <x v="25"/>
    <x v="0"/>
    <x v="94"/>
    <x v="0"/>
    <x v="0"/>
    <x v="0"/>
    <x v="0"/>
    <x v="82"/>
    <x v="0"/>
    <x v="0"/>
    <x v="0"/>
    <x v="0"/>
    <x v="1"/>
    <x v="1"/>
    <x v="0"/>
    <x v="0"/>
    <x v="0"/>
    <x v="0"/>
    <x v="0"/>
    <x v="0"/>
    <x v="12"/>
  </r>
  <r>
    <x v="0"/>
    <x v="204"/>
    <x v="0"/>
    <x v="0"/>
    <x v="59"/>
    <x v="86"/>
    <x v="7"/>
    <x v="86"/>
    <x v="78"/>
    <x v="13"/>
    <x v="0"/>
    <x v="4"/>
    <x v="4"/>
    <x v="30"/>
    <x v="3"/>
    <x v="3"/>
    <x v="18"/>
    <x v="82"/>
    <x v="2"/>
    <x v="94"/>
    <x v="1"/>
    <x v="92"/>
    <x v="0"/>
    <x v="0"/>
    <x v="4"/>
    <x v="10"/>
    <x v="66"/>
    <x v="64"/>
    <x v="82"/>
    <x v="97"/>
    <x v="1"/>
    <x v="94"/>
    <x v="2"/>
    <x v="92"/>
    <x v="145"/>
    <x v="7"/>
    <x v="0"/>
    <x v="0"/>
    <x v="7"/>
    <x v="1"/>
    <x v="2"/>
    <x v="1"/>
    <x v="0"/>
    <x v="6"/>
    <x v="65"/>
    <x v="136"/>
    <x v="25"/>
    <x v="0"/>
    <x v="94"/>
    <x v="0"/>
    <x v="0"/>
    <x v="0"/>
    <x v="0"/>
    <x v="82"/>
    <x v="0"/>
    <x v="0"/>
    <x v="0"/>
    <x v="0"/>
    <x v="1"/>
    <x v="1"/>
    <x v="0"/>
    <x v="0"/>
    <x v="0"/>
    <x v="0"/>
    <x v="0"/>
    <x v="0"/>
    <x v="12"/>
  </r>
  <r>
    <x v="0"/>
    <x v="205"/>
    <x v="0"/>
    <x v="0"/>
    <x v="59"/>
    <x v="86"/>
    <x v="7"/>
    <x v="86"/>
    <x v="78"/>
    <x v="13"/>
    <x v="0"/>
    <x v="4"/>
    <x v="4"/>
    <x v="30"/>
    <x v="3"/>
    <x v="3"/>
    <x v="18"/>
    <x v="82"/>
    <x v="2"/>
    <x v="94"/>
    <x v="1"/>
    <x v="92"/>
    <x v="0"/>
    <x v="0"/>
    <x v="4"/>
    <x v="10"/>
    <x v="66"/>
    <x v="64"/>
    <x v="82"/>
    <x v="97"/>
    <x v="1"/>
    <x v="94"/>
    <x v="2"/>
    <x v="92"/>
    <x v="5"/>
    <x v="5"/>
    <x v="0"/>
    <x v="0"/>
    <x v="5"/>
    <x v="1"/>
    <x v="2"/>
    <x v="1"/>
    <x v="0"/>
    <x v="6"/>
    <x v="65"/>
    <x v="137"/>
    <x v="25"/>
    <x v="0"/>
    <x v="94"/>
    <x v="0"/>
    <x v="0"/>
    <x v="0"/>
    <x v="0"/>
    <x v="82"/>
    <x v="0"/>
    <x v="0"/>
    <x v="0"/>
    <x v="0"/>
    <x v="1"/>
    <x v="1"/>
    <x v="0"/>
    <x v="0"/>
    <x v="0"/>
    <x v="0"/>
    <x v="0"/>
    <x v="0"/>
    <x v="12"/>
  </r>
  <r>
    <x v="0"/>
    <x v="206"/>
    <x v="0"/>
    <x v="0"/>
    <x v="59"/>
    <x v="86"/>
    <x v="7"/>
    <x v="86"/>
    <x v="78"/>
    <x v="13"/>
    <x v="0"/>
    <x v="4"/>
    <x v="4"/>
    <x v="30"/>
    <x v="3"/>
    <x v="3"/>
    <x v="18"/>
    <x v="82"/>
    <x v="2"/>
    <x v="94"/>
    <x v="1"/>
    <x v="92"/>
    <x v="0"/>
    <x v="0"/>
    <x v="4"/>
    <x v="10"/>
    <x v="66"/>
    <x v="64"/>
    <x v="82"/>
    <x v="97"/>
    <x v="1"/>
    <x v="94"/>
    <x v="2"/>
    <x v="92"/>
    <x v="8"/>
    <x v="8"/>
    <x v="0"/>
    <x v="0"/>
    <x v="8"/>
    <x v="1"/>
    <x v="2"/>
    <x v="1"/>
    <x v="0"/>
    <x v="6"/>
    <x v="65"/>
    <x v="138"/>
    <x v="25"/>
    <x v="0"/>
    <x v="94"/>
    <x v="0"/>
    <x v="0"/>
    <x v="0"/>
    <x v="0"/>
    <x v="82"/>
    <x v="0"/>
    <x v="0"/>
    <x v="0"/>
    <x v="0"/>
    <x v="1"/>
    <x v="1"/>
    <x v="0"/>
    <x v="0"/>
    <x v="0"/>
    <x v="0"/>
    <x v="0"/>
    <x v="0"/>
    <x v="12"/>
  </r>
  <r>
    <x v="0"/>
    <x v="207"/>
    <x v="0"/>
    <x v="0"/>
    <x v="59"/>
    <x v="86"/>
    <x v="7"/>
    <x v="86"/>
    <x v="78"/>
    <x v="13"/>
    <x v="0"/>
    <x v="4"/>
    <x v="4"/>
    <x v="30"/>
    <x v="3"/>
    <x v="3"/>
    <x v="18"/>
    <x v="82"/>
    <x v="2"/>
    <x v="94"/>
    <x v="1"/>
    <x v="92"/>
    <x v="0"/>
    <x v="0"/>
    <x v="4"/>
    <x v="10"/>
    <x v="66"/>
    <x v="64"/>
    <x v="82"/>
    <x v="97"/>
    <x v="1"/>
    <x v="94"/>
    <x v="2"/>
    <x v="92"/>
    <x v="6"/>
    <x v="6"/>
    <x v="0"/>
    <x v="0"/>
    <x v="6"/>
    <x v="1"/>
    <x v="2"/>
    <x v="1"/>
    <x v="0"/>
    <x v="6"/>
    <x v="65"/>
    <x v="139"/>
    <x v="25"/>
    <x v="0"/>
    <x v="94"/>
    <x v="0"/>
    <x v="0"/>
    <x v="0"/>
    <x v="0"/>
    <x v="82"/>
    <x v="0"/>
    <x v="0"/>
    <x v="0"/>
    <x v="0"/>
    <x v="1"/>
    <x v="1"/>
    <x v="0"/>
    <x v="0"/>
    <x v="0"/>
    <x v="0"/>
    <x v="0"/>
    <x v="0"/>
    <x v="12"/>
  </r>
  <r>
    <x v="0"/>
    <x v="208"/>
    <x v="0"/>
    <x v="0"/>
    <x v="59"/>
    <x v="86"/>
    <x v="7"/>
    <x v="86"/>
    <x v="78"/>
    <x v="13"/>
    <x v="0"/>
    <x v="4"/>
    <x v="4"/>
    <x v="30"/>
    <x v="3"/>
    <x v="3"/>
    <x v="18"/>
    <x v="82"/>
    <x v="2"/>
    <x v="94"/>
    <x v="1"/>
    <x v="92"/>
    <x v="0"/>
    <x v="0"/>
    <x v="4"/>
    <x v="10"/>
    <x v="66"/>
    <x v="64"/>
    <x v="82"/>
    <x v="97"/>
    <x v="1"/>
    <x v="94"/>
    <x v="2"/>
    <x v="92"/>
    <x v="0"/>
    <x v="0"/>
    <x v="0"/>
    <x v="0"/>
    <x v="0"/>
    <x v="1"/>
    <x v="2"/>
    <x v="1"/>
    <x v="0"/>
    <x v="6"/>
    <x v="65"/>
    <x v="140"/>
    <x v="25"/>
    <x v="0"/>
    <x v="94"/>
    <x v="0"/>
    <x v="0"/>
    <x v="0"/>
    <x v="0"/>
    <x v="82"/>
    <x v="0"/>
    <x v="0"/>
    <x v="0"/>
    <x v="0"/>
    <x v="1"/>
    <x v="1"/>
    <x v="0"/>
    <x v="0"/>
    <x v="0"/>
    <x v="0"/>
    <x v="0"/>
    <x v="0"/>
    <x v="12"/>
  </r>
  <r>
    <x v="0"/>
    <x v="209"/>
    <x v="0"/>
    <x v="0"/>
    <x v="59"/>
    <x v="86"/>
    <x v="7"/>
    <x v="86"/>
    <x v="78"/>
    <x v="13"/>
    <x v="0"/>
    <x v="4"/>
    <x v="4"/>
    <x v="30"/>
    <x v="3"/>
    <x v="3"/>
    <x v="18"/>
    <x v="82"/>
    <x v="2"/>
    <x v="94"/>
    <x v="1"/>
    <x v="92"/>
    <x v="0"/>
    <x v="0"/>
    <x v="4"/>
    <x v="10"/>
    <x v="66"/>
    <x v="64"/>
    <x v="82"/>
    <x v="97"/>
    <x v="1"/>
    <x v="94"/>
    <x v="2"/>
    <x v="92"/>
    <x v="146"/>
    <x v="9"/>
    <x v="0"/>
    <x v="0"/>
    <x v="9"/>
    <x v="1"/>
    <x v="2"/>
    <x v="1"/>
    <x v="0"/>
    <x v="6"/>
    <x v="65"/>
    <x v="9"/>
    <x v="25"/>
    <x v="0"/>
    <x v="94"/>
    <x v="0"/>
    <x v="0"/>
    <x v="0"/>
    <x v="0"/>
    <x v="82"/>
    <x v="0"/>
    <x v="0"/>
    <x v="0"/>
    <x v="0"/>
    <x v="1"/>
    <x v="1"/>
    <x v="0"/>
    <x v="0"/>
    <x v="0"/>
    <x v="1"/>
    <x v="0"/>
    <x v="0"/>
    <x v="12"/>
  </r>
  <r>
    <x v="0"/>
    <x v="210"/>
    <x v="0"/>
    <x v="0"/>
    <x v="60"/>
    <x v="87"/>
    <x v="35"/>
    <x v="87"/>
    <x v="50"/>
    <x v="0"/>
    <x v="6"/>
    <x v="13"/>
    <x v="10"/>
    <x v="31"/>
    <x v="3"/>
    <x v="10"/>
    <x v="19"/>
    <x v="83"/>
    <x v="2"/>
    <x v="95"/>
    <x v="1"/>
    <x v="93"/>
    <x v="0"/>
    <x v="13"/>
    <x v="6"/>
    <x v="58"/>
    <x v="67"/>
    <x v="65"/>
    <x v="83"/>
    <x v="98"/>
    <x v="1"/>
    <x v="95"/>
    <x v="2"/>
    <x v="93"/>
    <x v="147"/>
    <x v="51"/>
    <x v="0"/>
    <x v="0"/>
    <x v="138"/>
    <x v="1"/>
    <x v="2"/>
    <x v="1"/>
    <x v="0"/>
    <x v="6"/>
    <x v="66"/>
    <x v="141"/>
    <x v="26"/>
    <x v="0"/>
    <x v="95"/>
    <x v="0"/>
    <x v="0"/>
    <x v="0"/>
    <x v="0"/>
    <x v="83"/>
    <x v="0"/>
    <x v="2"/>
    <x v="23"/>
    <x v="5"/>
    <x v="1"/>
    <x v="1"/>
    <x v="0"/>
    <x v="0"/>
    <x v="0"/>
    <x v="0"/>
    <x v="0"/>
    <x v="3"/>
    <x v="2"/>
  </r>
  <r>
    <x v="0"/>
    <x v="211"/>
    <x v="0"/>
    <x v="0"/>
    <x v="61"/>
    <x v="88"/>
    <x v="3"/>
    <x v="88"/>
    <x v="79"/>
    <x v="2"/>
    <x v="3"/>
    <x v="1"/>
    <x v="1"/>
    <x v="3"/>
    <x v="3"/>
    <x v="0"/>
    <x v="0"/>
    <x v="84"/>
    <x v="2"/>
    <x v="96"/>
    <x v="1"/>
    <x v="94"/>
    <x v="0"/>
    <x v="1"/>
    <x v="1"/>
    <x v="59"/>
    <x v="68"/>
    <x v="66"/>
    <x v="84"/>
    <x v="99"/>
    <x v="1"/>
    <x v="96"/>
    <x v="2"/>
    <x v="94"/>
    <x v="78"/>
    <x v="61"/>
    <x v="0"/>
    <x v="0"/>
    <x v="153"/>
    <x v="1"/>
    <x v="2"/>
    <x v="1"/>
    <x v="0"/>
    <x v="5"/>
    <x v="67"/>
    <x v="142"/>
    <x v="26"/>
    <x v="0"/>
    <x v="96"/>
    <x v="0"/>
    <x v="0"/>
    <x v="0"/>
    <x v="0"/>
    <x v="84"/>
    <x v="0"/>
    <x v="1"/>
    <x v="1"/>
    <x v="6"/>
    <x v="0"/>
    <x v="0"/>
    <x v="0"/>
    <x v="0"/>
    <x v="0"/>
    <x v="0"/>
    <x v="0"/>
    <x v="0"/>
    <x v="3"/>
  </r>
  <r>
    <x v="0"/>
    <x v="212"/>
    <x v="0"/>
    <x v="0"/>
    <x v="61"/>
    <x v="88"/>
    <x v="3"/>
    <x v="88"/>
    <x v="79"/>
    <x v="2"/>
    <x v="3"/>
    <x v="1"/>
    <x v="1"/>
    <x v="3"/>
    <x v="3"/>
    <x v="0"/>
    <x v="0"/>
    <x v="84"/>
    <x v="2"/>
    <x v="96"/>
    <x v="1"/>
    <x v="94"/>
    <x v="0"/>
    <x v="1"/>
    <x v="1"/>
    <x v="59"/>
    <x v="68"/>
    <x v="66"/>
    <x v="84"/>
    <x v="99"/>
    <x v="1"/>
    <x v="96"/>
    <x v="2"/>
    <x v="94"/>
    <x v="80"/>
    <x v="63"/>
    <x v="0"/>
    <x v="0"/>
    <x v="154"/>
    <x v="1"/>
    <x v="2"/>
    <x v="1"/>
    <x v="0"/>
    <x v="5"/>
    <x v="67"/>
    <x v="143"/>
    <x v="26"/>
    <x v="0"/>
    <x v="96"/>
    <x v="0"/>
    <x v="0"/>
    <x v="0"/>
    <x v="0"/>
    <x v="84"/>
    <x v="0"/>
    <x v="1"/>
    <x v="1"/>
    <x v="6"/>
    <x v="0"/>
    <x v="0"/>
    <x v="0"/>
    <x v="0"/>
    <x v="0"/>
    <x v="0"/>
    <x v="0"/>
    <x v="0"/>
    <x v="3"/>
  </r>
  <r>
    <x v="0"/>
    <x v="213"/>
    <x v="0"/>
    <x v="0"/>
    <x v="61"/>
    <x v="88"/>
    <x v="3"/>
    <x v="88"/>
    <x v="79"/>
    <x v="2"/>
    <x v="3"/>
    <x v="1"/>
    <x v="1"/>
    <x v="3"/>
    <x v="3"/>
    <x v="0"/>
    <x v="0"/>
    <x v="84"/>
    <x v="2"/>
    <x v="96"/>
    <x v="1"/>
    <x v="94"/>
    <x v="0"/>
    <x v="1"/>
    <x v="1"/>
    <x v="59"/>
    <x v="68"/>
    <x v="66"/>
    <x v="84"/>
    <x v="99"/>
    <x v="1"/>
    <x v="96"/>
    <x v="2"/>
    <x v="94"/>
    <x v="63"/>
    <x v="53"/>
    <x v="0"/>
    <x v="0"/>
    <x v="133"/>
    <x v="1"/>
    <x v="2"/>
    <x v="1"/>
    <x v="0"/>
    <x v="5"/>
    <x v="67"/>
    <x v="144"/>
    <x v="26"/>
    <x v="0"/>
    <x v="96"/>
    <x v="0"/>
    <x v="0"/>
    <x v="0"/>
    <x v="0"/>
    <x v="84"/>
    <x v="0"/>
    <x v="1"/>
    <x v="1"/>
    <x v="6"/>
    <x v="0"/>
    <x v="0"/>
    <x v="0"/>
    <x v="0"/>
    <x v="0"/>
    <x v="0"/>
    <x v="0"/>
    <x v="0"/>
    <x v="3"/>
  </r>
  <r>
    <x v="0"/>
    <x v="214"/>
    <x v="0"/>
    <x v="0"/>
    <x v="61"/>
    <x v="88"/>
    <x v="3"/>
    <x v="88"/>
    <x v="79"/>
    <x v="2"/>
    <x v="3"/>
    <x v="1"/>
    <x v="1"/>
    <x v="3"/>
    <x v="3"/>
    <x v="0"/>
    <x v="0"/>
    <x v="84"/>
    <x v="2"/>
    <x v="96"/>
    <x v="1"/>
    <x v="94"/>
    <x v="0"/>
    <x v="1"/>
    <x v="1"/>
    <x v="59"/>
    <x v="68"/>
    <x v="66"/>
    <x v="84"/>
    <x v="99"/>
    <x v="1"/>
    <x v="96"/>
    <x v="2"/>
    <x v="94"/>
    <x v="64"/>
    <x v="54"/>
    <x v="0"/>
    <x v="0"/>
    <x v="135"/>
    <x v="1"/>
    <x v="2"/>
    <x v="1"/>
    <x v="0"/>
    <x v="5"/>
    <x v="67"/>
    <x v="145"/>
    <x v="26"/>
    <x v="0"/>
    <x v="96"/>
    <x v="0"/>
    <x v="0"/>
    <x v="0"/>
    <x v="0"/>
    <x v="84"/>
    <x v="0"/>
    <x v="1"/>
    <x v="1"/>
    <x v="6"/>
    <x v="0"/>
    <x v="0"/>
    <x v="0"/>
    <x v="0"/>
    <x v="0"/>
    <x v="0"/>
    <x v="0"/>
    <x v="0"/>
    <x v="3"/>
  </r>
  <r>
    <x v="0"/>
    <x v="215"/>
    <x v="0"/>
    <x v="0"/>
    <x v="62"/>
    <x v="89"/>
    <x v="33"/>
    <x v="89"/>
    <x v="80"/>
    <x v="0"/>
    <x v="2"/>
    <x v="16"/>
    <x v="0"/>
    <x v="0"/>
    <x v="21"/>
    <x v="0"/>
    <x v="0"/>
    <x v="85"/>
    <x v="6"/>
    <x v="97"/>
    <x v="0"/>
    <x v="95"/>
    <x v="0"/>
    <x v="5"/>
    <x v="4"/>
    <x v="60"/>
    <x v="69"/>
    <x v="67"/>
    <x v="85"/>
    <x v="100"/>
    <x v="0"/>
    <x v="97"/>
    <x v="8"/>
    <x v="95"/>
    <x v="13"/>
    <x v="13"/>
    <x v="0"/>
    <x v="0"/>
    <x v="155"/>
    <x v="1"/>
    <x v="21"/>
    <x v="2"/>
    <x v="0"/>
    <x v="1"/>
    <x v="68"/>
    <x v="9"/>
    <x v="1"/>
    <x v="0"/>
    <x v="97"/>
    <x v="0"/>
    <x v="0"/>
    <x v="0"/>
    <x v="0"/>
    <x v="85"/>
    <x v="0"/>
    <x v="1"/>
    <x v="8"/>
    <x v="2"/>
    <x v="0"/>
    <x v="1"/>
    <x v="1"/>
    <x v="0"/>
    <x v="0"/>
    <x v="1"/>
    <x v="0"/>
    <x v="0"/>
    <x v="0"/>
  </r>
  <r>
    <x v="0"/>
    <x v="216"/>
    <x v="0"/>
    <x v="0"/>
    <x v="63"/>
    <x v="90"/>
    <x v="36"/>
    <x v="90"/>
    <x v="81"/>
    <x v="0"/>
    <x v="4"/>
    <x v="0"/>
    <x v="5"/>
    <x v="32"/>
    <x v="3"/>
    <x v="0"/>
    <x v="0"/>
    <x v="86"/>
    <x v="0"/>
    <x v="98"/>
    <x v="1"/>
    <x v="96"/>
    <x v="0"/>
    <x v="0"/>
    <x v="2"/>
    <x v="4"/>
    <x v="25"/>
    <x v="15"/>
    <x v="86"/>
    <x v="101"/>
    <x v="0"/>
    <x v="98"/>
    <x v="0"/>
    <x v="96"/>
    <x v="148"/>
    <x v="98"/>
    <x v="0"/>
    <x v="0"/>
    <x v="156"/>
    <x v="1"/>
    <x v="2"/>
    <x v="1"/>
    <x v="0"/>
    <x v="5"/>
    <x v="69"/>
    <x v="146"/>
    <x v="26"/>
    <x v="0"/>
    <x v="98"/>
    <x v="0"/>
    <x v="0"/>
    <x v="0"/>
    <x v="0"/>
    <x v="86"/>
    <x v="0"/>
    <x v="1"/>
    <x v="0"/>
    <x v="0"/>
    <x v="0"/>
    <x v="1"/>
    <x v="0"/>
    <x v="0"/>
    <x v="0"/>
    <x v="0"/>
    <x v="19"/>
    <x v="3"/>
    <x v="4"/>
  </r>
  <r>
    <x v="0"/>
    <x v="217"/>
    <x v="0"/>
    <x v="0"/>
    <x v="63"/>
    <x v="90"/>
    <x v="36"/>
    <x v="90"/>
    <x v="81"/>
    <x v="0"/>
    <x v="4"/>
    <x v="0"/>
    <x v="5"/>
    <x v="32"/>
    <x v="3"/>
    <x v="0"/>
    <x v="0"/>
    <x v="86"/>
    <x v="0"/>
    <x v="98"/>
    <x v="1"/>
    <x v="96"/>
    <x v="0"/>
    <x v="0"/>
    <x v="2"/>
    <x v="4"/>
    <x v="25"/>
    <x v="15"/>
    <x v="86"/>
    <x v="101"/>
    <x v="0"/>
    <x v="98"/>
    <x v="0"/>
    <x v="96"/>
    <x v="149"/>
    <x v="99"/>
    <x v="0"/>
    <x v="0"/>
    <x v="157"/>
    <x v="1"/>
    <x v="2"/>
    <x v="1"/>
    <x v="0"/>
    <x v="5"/>
    <x v="69"/>
    <x v="147"/>
    <x v="26"/>
    <x v="0"/>
    <x v="98"/>
    <x v="0"/>
    <x v="0"/>
    <x v="0"/>
    <x v="0"/>
    <x v="86"/>
    <x v="0"/>
    <x v="1"/>
    <x v="0"/>
    <x v="0"/>
    <x v="0"/>
    <x v="1"/>
    <x v="0"/>
    <x v="0"/>
    <x v="0"/>
    <x v="0"/>
    <x v="19"/>
    <x v="3"/>
    <x v="4"/>
  </r>
  <r>
    <x v="0"/>
    <x v="218"/>
    <x v="0"/>
    <x v="0"/>
    <x v="63"/>
    <x v="90"/>
    <x v="36"/>
    <x v="90"/>
    <x v="81"/>
    <x v="0"/>
    <x v="4"/>
    <x v="0"/>
    <x v="5"/>
    <x v="32"/>
    <x v="3"/>
    <x v="0"/>
    <x v="0"/>
    <x v="86"/>
    <x v="0"/>
    <x v="98"/>
    <x v="1"/>
    <x v="96"/>
    <x v="0"/>
    <x v="0"/>
    <x v="2"/>
    <x v="4"/>
    <x v="25"/>
    <x v="15"/>
    <x v="86"/>
    <x v="101"/>
    <x v="0"/>
    <x v="98"/>
    <x v="0"/>
    <x v="96"/>
    <x v="150"/>
    <x v="100"/>
    <x v="0"/>
    <x v="0"/>
    <x v="158"/>
    <x v="1"/>
    <x v="2"/>
    <x v="1"/>
    <x v="0"/>
    <x v="5"/>
    <x v="69"/>
    <x v="148"/>
    <x v="26"/>
    <x v="0"/>
    <x v="98"/>
    <x v="0"/>
    <x v="0"/>
    <x v="0"/>
    <x v="0"/>
    <x v="86"/>
    <x v="0"/>
    <x v="1"/>
    <x v="0"/>
    <x v="0"/>
    <x v="0"/>
    <x v="1"/>
    <x v="0"/>
    <x v="0"/>
    <x v="0"/>
    <x v="0"/>
    <x v="19"/>
    <x v="3"/>
    <x v="4"/>
  </r>
  <r>
    <x v="1"/>
    <x v="219"/>
    <x v="0"/>
    <x v="0"/>
    <x v="63"/>
    <x v="90"/>
    <x v="36"/>
    <x v="90"/>
    <x v="81"/>
    <x v="0"/>
    <x v="4"/>
    <x v="0"/>
    <x v="5"/>
    <x v="32"/>
    <x v="3"/>
    <x v="0"/>
    <x v="0"/>
    <x v="86"/>
    <x v="0"/>
    <x v="98"/>
    <x v="1"/>
    <x v="96"/>
    <x v="0"/>
    <x v="0"/>
    <x v="2"/>
    <x v="4"/>
    <x v="25"/>
    <x v="15"/>
    <x v="86"/>
    <x v="101"/>
    <x v="0"/>
    <x v="98"/>
    <x v="0"/>
    <x v="96"/>
    <x v="151"/>
    <x v="101"/>
    <x v="0"/>
    <x v="0"/>
    <x v="159"/>
    <x v="1"/>
    <x v="2"/>
    <x v="1"/>
    <x v="0"/>
    <x v="5"/>
    <x v="69"/>
    <x v="9"/>
    <x v="26"/>
    <x v="0"/>
    <x v="98"/>
    <x v="0"/>
    <x v="0"/>
    <x v="0"/>
    <x v="1"/>
    <x v="86"/>
    <x v="1"/>
    <x v="1"/>
    <x v="0"/>
    <x v="0"/>
    <x v="0"/>
    <x v="1"/>
    <x v="0"/>
    <x v="0"/>
    <x v="0"/>
    <x v="1"/>
    <x v="19"/>
    <x v="3"/>
    <x v="4"/>
  </r>
  <r>
    <x v="0"/>
    <x v="220"/>
    <x v="0"/>
    <x v="0"/>
    <x v="63"/>
    <x v="90"/>
    <x v="36"/>
    <x v="90"/>
    <x v="81"/>
    <x v="0"/>
    <x v="4"/>
    <x v="0"/>
    <x v="5"/>
    <x v="32"/>
    <x v="3"/>
    <x v="0"/>
    <x v="0"/>
    <x v="86"/>
    <x v="0"/>
    <x v="98"/>
    <x v="1"/>
    <x v="96"/>
    <x v="0"/>
    <x v="0"/>
    <x v="2"/>
    <x v="4"/>
    <x v="25"/>
    <x v="15"/>
    <x v="86"/>
    <x v="101"/>
    <x v="0"/>
    <x v="98"/>
    <x v="0"/>
    <x v="96"/>
    <x v="152"/>
    <x v="55"/>
    <x v="0"/>
    <x v="0"/>
    <x v="160"/>
    <x v="1"/>
    <x v="2"/>
    <x v="1"/>
    <x v="0"/>
    <x v="5"/>
    <x v="69"/>
    <x v="9"/>
    <x v="26"/>
    <x v="0"/>
    <x v="98"/>
    <x v="0"/>
    <x v="0"/>
    <x v="0"/>
    <x v="0"/>
    <x v="86"/>
    <x v="0"/>
    <x v="1"/>
    <x v="0"/>
    <x v="0"/>
    <x v="0"/>
    <x v="1"/>
    <x v="0"/>
    <x v="0"/>
    <x v="0"/>
    <x v="1"/>
    <x v="19"/>
    <x v="3"/>
    <x v="4"/>
  </r>
  <r>
    <x v="0"/>
    <x v="221"/>
    <x v="0"/>
    <x v="0"/>
    <x v="2"/>
    <x v="91"/>
    <x v="2"/>
    <x v="91"/>
    <x v="82"/>
    <x v="1"/>
    <x v="1"/>
    <x v="1"/>
    <x v="0"/>
    <x v="1"/>
    <x v="2"/>
    <x v="0"/>
    <x v="0"/>
    <x v="87"/>
    <x v="2"/>
    <x v="99"/>
    <x v="0"/>
    <x v="97"/>
    <x v="0"/>
    <x v="0"/>
    <x v="2"/>
    <x v="57"/>
    <x v="70"/>
    <x v="68"/>
    <x v="87"/>
    <x v="102"/>
    <x v="1"/>
    <x v="99"/>
    <x v="2"/>
    <x v="97"/>
    <x v="153"/>
    <x v="102"/>
    <x v="0"/>
    <x v="0"/>
    <x v="161"/>
    <x v="1"/>
    <x v="25"/>
    <x v="0"/>
    <x v="0"/>
    <x v="1"/>
    <x v="70"/>
    <x v="9"/>
    <x v="26"/>
    <x v="0"/>
    <x v="99"/>
    <x v="0"/>
    <x v="0"/>
    <x v="0"/>
    <x v="0"/>
    <x v="87"/>
    <x v="0"/>
    <x v="1"/>
    <x v="0"/>
    <x v="0"/>
    <x v="1"/>
    <x v="0"/>
    <x v="1"/>
    <x v="0"/>
    <x v="0"/>
    <x v="1"/>
    <x v="0"/>
    <x v="0"/>
    <x v="2"/>
  </r>
  <r>
    <x v="0"/>
    <x v="222"/>
    <x v="0"/>
    <x v="0"/>
    <x v="64"/>
    <x v="92"/>
    <x v="20"/>
    <x v="92"/>
    <x v="83"/>
    <x v="1"/>
    <x v="1"/>
    <x v="0"/>
    <x v="9"/>
    <x v="16"/>
    <x v="3"/>
    <x v="0"/>
    <x v="0"/>
    <x v="74"/>
    <x v="0"/>
    <x v="100"/>
    <x v="1"/>
    <x v="98"/>
    <x v="0"/>
    <x v="5"/>
    <x v="1"/>
    <x v="52"/>
    <x v="59"/>
    <x v="2"/>
    <x v="74"/>
    <x v="103"/>
    <x v="0"/>
    <x v="100"/>
    <x v="0"/>
    <x v="98"/>
    <x v="154"/>
    <x v="22"/>
    <x v="0"/>
    <x v="0"/>
    <x v="162"/>
    <x v="1"/>
    <x v="2"/>
    <x v="1"/>
    <x v="0"/>
    <x v="1"/>
    <x v="57"/>
    <x v="9"/>
    <x v="26"/>
    <x v="0"/>
    <x v="100"/>
    <x v="0"/>
    <x v="0"/>
    <x v="0"/>
    <x v="0"/>
    <x v="74"/>
    <x v="0"/>
    <x v="1"/>
    <x v="8"/>
    <x v="17"/>
    <x v="0"/>
    <x v="2"/>
    <x v="0"/>
    <x v="0"/>
    <x v="0"/>
    <x v="1"/>
    <x v="0"/>
    <x v="2"/>
    <x v="4"/>
  </r>
  <r>
    <x v="0"/>
    <x v="223"/>
    <x v="0"/>
    <x v="0"/>
    <x v="65"/>
    <x v="93"/>
    <x v="9"/>
    <x v="93"/>
    <x v="84"/>
    <x v="0"/>
    <x v="1"/>
    <x v="0"/>
    <x v="0"/>
    <x v="0"/>
    <x v="5"/>
    <x v="0"/>
    <x v="0"/>
    <x v="88"/>
    <x v="0"/>
    <x v="101"/>
    <x v="0"/>
    <x v="99"/>
    <x v="0"/>
    <x v="5"/>
    <x v="1"/>
    <x v="57"/>
    <x v="0"/>
    <x v="8"/>
    <x v="88"/>
    <x v="104"/>
    <x v="0"/>
    <x v="101"/>
    <x v="0"/>
    <x v="99"/>
    <x v="155"/>
    <x v="22"/>
    <x v="0"/>
    <x v="0"/>
    <x v="163"/>
    <x v="1"/>
    <x v="4"/>
    <x v="0"/>
    <x v="0"/>
    <x v="1"/>
    <x v="71"/>
    <x v="9"/>
    <x v="26"/>
    <x v="0"/>
    <x v="101"/>
    <x v="0"/>
    <x v="0"/>
    <x v="0"/>
    <x v="0"/>
    <x v="88"/>
    <x v="0"/>
    <x v="1"/>
    <x v="8"/>
    <x v="1"/>
    <x v="0"/>
    <x v="0"/>
    <x v="0"/>
    <x v="0"/>
    <x v="0"/>
    <x v="1"/>
    <x v="0"/>
    <x v="0"/>
    <x v="0"/>
  </r>
  <r>
    <x v="0"/>
    <x v="224"/>
    <x v="0"/>
    <x v="0"/>
    <x v="66"/>
    <x v="94"/>
    <x v="8"/>
    <x v="94"/>
    <x v="85"/>
    <x v="10"/>
    <x v="4"/>
    <x v="10"/>
    <x v="3"/>
    <x v="21"/>
    <x v="3"/>
    <x v="7"/>
    <x v="20"/>
    <x v="89"/>
    <x v="0"/>
    <x v="102"/>
    <x v="1"/>
    <x v="100"/>
    <x v="0"/>
    <x v="16"/>
    <x v="0"/>
    <x v="25"/>
    <x v="10"/>
    <x v="69"/>
    <x v="89"/>
    <x v="105"/>
    <x v="0"/>
    <x v="102"/>
    <x v="0"/>
    <x v="100"/>
    <x v="147"/>
    <x v="51"/>
    <x v="0"/>
    <x v="0"/>
    <x v="164"/>
    <x v="1"/>
    <x v="2"/>
    <x v="1"/>
    <x v="0"/>
    <x v="7"/>
    <x v="72"/>
    <x v="149"/>
    <x v="27"/>
    <x v="0"/>
    <x v="102"/>
    <x v="0"/>
    <x v="0"/>
    <x v="0"/>
    <x v="0"/>
    <x v="89"/>
    <x v="0"/>
    <x v="2"/>
    <x v="31"/>
    <x v="5"/>
    <x v="1"/>
    <x v="0"/>
    <x v="0"/>
    <x v="0"/>
    <x v="0"/>
    <x v="0"/>
    <x v="0"/>
    <x v="0"/>
    <x v="8"/>
  </r>
  <r>
    <x v="0"/>
    <x v="225"/>
    <x v="0"/>
    <x v="0"/>
    <x v="2"/>
    <x v="95"/>
    <x v="2"/>
    <x v="95"/>
    <x v="86"/>
    <x v="1"/>
    <x v="9"/>
    <x v="17"/>
    <x v="12"/>
    <x v="33"/>
    <x v="2"/>
    <x v="0"/>
    <x v="0"/>
    <x v="90"/>
    <x v="7"/>
    <x v="103"/>
    <x v="0"/>
    <x v="101"/>
    <x v="0"/>
    <x v="0"/>
    <x v="4"/>
    <x v="10"/>
    <x v="66"/>
    <x v="70"/>
    <x v="90"/>
    <x v="106"/>
    <x v="0"/>
    <x v="103"/>
    <x v="9"/>
    <x v="86"/>
    <x v="13"/>
    <x v="13"/>
    <x v="0"/>
    <x v="0"/>
    <x v="165"/>
    <x v="0"/>
    <x v="2"/>
    <x v="2"/>
    <x v="0"/>
    <x v="1"/>
    <x v="73"/>
    <x v="9"/>
    <x v="1"/>
    <x v="0"/>
    <x v="103"/>
    <x v="0"/>
    <x v="0"/>
    <x v="0"/>
    <x v="0"/>
    <x v="90"/>
    <x v="0"/>
    <x v="0"/>
    <x v="4"/>
    <x v="15"/>
    <x v="1"/>
    <x v="1"/>
    <x v="1"/>
    <x v="0"/>
    <x v="0"/>
    <x v="1"/>
    <x v="0"/>
    <x v="1"/>
    <x v="2"/>
  </r>
  <r>
    <x v="0"/>
    <x v="226"/>
    <x v="0"/>
    <x v="0"/>
    <x v="67"/>
    <x v="96"/>
    <x v="20"/>
    <x v="96"/>
    <x v="87"/>
    <x v="12"/>
    <x v="6"/>
    <x v="0"/>
    <x v="9"/>
    <x v="16"/>
    <x v="3"/>
    <x v="0"/>
    <x v="0"/>
    <x v="91"/>
    <x v="0"/>
    <x v="104"/>
    <x v="1"/>
    <x v="102"/>
    <x v="0"/>
    <x v="17"/>
    <x v="0"/>
    <x v="25"/>
    <x v="38"/>
    <x v="0"/>
    <x v="91"/>
    <x v="107"/>
    <x v="0"/>
    <x v="104"/>
    <x v="0"/>
    <x v="101"/>
    <x v="156"/>
    <x v="77"/>
    <x v="0"/>
    <x v="0"/>
    <x v="68"/>
    <x v="1"/>
    <x v="2"/>
    <x v="1"/>
    <x v="0"/>
    <x v="1"/>
    <x v="74"/>
    <x v="9"/>
    <x v="28"/>
    <x v="0"/>
    <x v="104"/>
    <x v="0"/>
    <x v="0"/>
    <x v="0"/>
    <x v="0"/>
    <x v="91"/>
    <x v="0"/>
    <x v="2"/>
    <x v="32"/>
    <x v="18"/>
    <x v="1"/>
    <x v="0"/>
    <x v="0"/>
    <x v="0"/>
    <x v="0"/>
    <x v="1"/>
    <x v="0"/>
    <x v="0"/>
    <x v="9"/>
  </r>
  <r>
    <x v="0"/>
    <x v="227"/>
    <x v="0"/>
    <x v="0"/>
    <x v="68"/>
    <x v="97"/>
    <x v="37"/>
    <x v="97"/>
    <x v="88"/>
    <x v="0"/>
    <x v="1"/>
    <x v="1"/>
    <x v="0"/>
    <x v="0"/>
    <x v="25"/>
    <x v="0"/>
    <x v="0"/>
    <x v="92"/>
    <x v="2"/>
    <x v="105"/>
    <x v="0"/>
    <x v="103"/>
    <x v="0"/>
    <x v="4"/>
    <x v="1"/>
    <x v="4"/>
    <x v="71"/>
    <x v="25"/>
    <x v="92"/>
    <x v="108"/>
    <x v="1"/>
    <x v="105"/>
    <x v="2"/>
    <x v="102"/>
    <x v="157"/>
    <x v="78"/>
    <x v="0"/>
    <x v="0"/>
    <x v="112"/>
    <x v="1"/>
    <x v="26"/>
    <x v="0"/>
    <x v="0"/>
    <x v="1"/>
    <x v="75"/>
    <x v="9"/>
    <x v="28"/>
    <x v="0"/>
    <x v="105"/>
    <x v="0"/>
    <x v="0"/>
    <x v="0"/>
    <x v="0"/>
    <x v="92"/>
    <x v="0"/>
    <x v="1"/>
    <x v="5"/>
    <x v="4"/>
    <x v="0"/>
    <x v="1"/>
    <x v="0"/>
    <x v="0"/>
    <x v="0"/>
    <x v="1"/>
    <x v="0"/>
    <x v="0"/>
    <x v="0"/>
  </r>
  <r>
    <x v="0"/>
    <x v="228"/>
    <x v="0"/>
    <x v="0"/>
    <x v="69"/>
    <x v="98"/>
    <x v="28"/>
    <x v="98"/>
    <x v="89"/>
    <x v="1"/>
    <x v="0"/>
    <x v="1"/>
    <x v="7"/>
    <x v="13"/>
    <x v="3"/>
    <x v="0"/>
    <x v="0"/>
    <x v="93"/>
    <x v="2"/>
    <x v="106"/>
    <x v="1"/>
    <x v="104"/>
    <x v="0"/>
    <x v="1"/>
    <x v="4"/>
    <x v="10"/>
    <x v="66"/>
    <x v="10"/>
    <x v="93"/>
    <x v="109"/>
    <x v="1"/>
    <x v="106"/>
    <x v="2"/>
    <x v="103"/>
    <x v="145"/>
    <x v="7"/>
    <x v="0"/>
    <x v="0"/>
    <x v="166"/>
    <x v="1"/>
    <x v="2"/>
    <x v="1"/>
    <x v="0"/>
    <x v="6"/>
    <x v="76"/>
    <x v="150"/>
    <x v="13"/>
    <x v="0"/>
    <x v="106"/>
    <x v="0"/>
    <x v="0"/>
    <x v="0"/>
    <x v="0"/>
    <x v="93"/>
    <x v="0"/>
    <x v="0"/>
    <x v="4"/>
    <x v="19"/>
    <x v="0"/>
    <x v="1"/>
    <x v="0"/>
    <x v="0"/>
    <x v="0"/>
    <x v="0"/>
    <x v="0"/>
    <x v="1"/>
    <x v="1"/>
  </r>
  <r>
    <x v="0"/>
    <x v="229"/>
    <x v="0"/>
    <x v="0"/>
    <x v="69"/>
    <x v="98"/>
    <x v="28"/>
    <x v="98"/>
    <x v="89"/>
    <x v="1"/>
    <x v="0"/>
    <x v="1"/>
    <x v="7"/>
    <x v="13"/>
    <x v="3"/>
    <x v="0"/>
    <x v="0"/>
    <x v="93"/>
    <x v="2"/>
    <x v="106"/>
    <x v="1"/>
    <x v="104"/>
    <x v="0"/>
    <x v="1"/>
    <x v="4"/>
    <x v="10"/>
    <x v="66"/>
    <x v="10"/>
    <x v="93"/>
    <x v="109"/>
    <x v="1"/>
    <x v="106"/>
    <x v="2"/>
    <x v="103"/>
    <x v="8"/>
    <x v="8"/>
    <x v="0"/>
    <x v="0"/>
    <x v="167"/>
    <x v="1"/>
    <x v="2"/>
    <x v="1"/>
    <x v="0"/>
    <x v="6"/>
    <x v="76"/>
    <x v="151"/>
    <x v="13"/>
    <x v="0"/>
    <x v="106"/>
    <x v="0"/>
    <x v="0"/>
    <x v="0"/>
    <x v="0"/>
    <x v="93"/>
    <x v="0"/>
    <x v="0"/>
    <x v="4"/>
    <x v="19"/>
    <x v="0"/>
    <x v="1"/>
    <x v="0"/>
    <x v="0"/>
    <x v="0"/>
    <x v="0"/>
    <x v="0"/>
    <x v="1"/>
    <x v="1"/>
  </r>
  <r>
    <x v="0"/>
    <x v="230"/>
    <x v="0"/>
    <x v="0"/>
    <x v="69"/>
    <x v="98"/>
    <x v="28"/>
    <x v="98"/>
    <x v="89"/>
    <x v="1"/>
    <x v="0"/>
    <x v="1"/>
    <x v="7"/>
    <x v="13"/>
    <x v="3"/>
    <x v="0"/>
    <x v="0"/>
    <x v="93"/>
    <x v="2"/>
    <x v="106"/>
    <x v="1"/>
    <x v="104"/>
    <x v="0"/>
    <x v="1"/>
    <x v="4"/>
    <x v="10"/>
    <x v="66"/>
    <x v="10"/>
    <x v="93"/>
    <x v="109"/>
    <x v="1"/>
    <x v="106"/>
    <x v="2"/>
    <x v="103"/>
    <x v="5"/>
    <x v="5"/>
    <x v="0"/>
    <x v="0"/>
    <x v="168"/>
    <x v="1"/>
    <x v="2"/>
    <x v="1"/>
    <x v="0"/>
    <x v="6"/>
    <x v="76"/>
    <x v="152"/>
    <x v="13"/>
    <x v="0"/>
    <x v="106"/>
    <x v="0"/>
    <x v="0"/>
    <x v="0"/>
    <x v="0"/>
    <x v="93"/>
    <x v="0"/>
    <x v="0"/>
    <x v="4"/>
    <x v="19"/>
    <x v="0"/>
    <x v="1"/>
    <x v="0"/>
    <x v="0"/>
    <x v="0"/>
    <x v="0"/>
    <x v="0"/>
    <x v="1"/>
    <x v="1"/>
  </r>
  <r>
    <x v="0"/>
    <x v="231"/>
    <x v="0"/>
    <x v="0"/>
    <x v="69"/>
    <x v="98"/>
    <x v="28"/>
    <x v="98"/>
    <x v="89"/>
    <x v="1"/>
    <x v="0"/>
    <x v="1"/>
    <x v="7"/>
    <x v="13"/>
    <x v="3"/>
    <x v="0"/>
    <x v="0"/>
    <x v="93"/>
    <x v="2"/>
    <x v="106"/>
    <x v="1"/>
    <x v="104"/>
    <x v="0"/>
    <x v="1"/>
    <x v="4"/>
    <x v="10"/>
    <x v="66"/>
    <x v="10"/>
    <x v="93"/>
    <x v="109"/>
    <x v="1"/>
    <x v="106"/>
    <x v="2"/>
    <x v="103"/>
    <x v="0"/>
    <x v="0"/>
    <x v="0"/>
    <x v="0"/>
    <x v="169"/>
    <x v="1"/>
    <x v="2"/>
    <x v="1"/>
    <x v="0"/>
    <x v="6"/>
    <x v="76"/>
    <x v="153"/>
    <x v="13"/>
    <x v="0"/>
    <x v="106"/>
    <x v="0"/>
    <x v="0"/>
    <x v="0"/>
    <x v="0"/>
    <x v="93"/>
    <x v="0"/>
    <x v="0"/>
    <x v="4"/>
    <x v="19"/>
    <x v="0"/>
    <x v="1"/>
    <x v="0"/>
    <x v="0"/>
    <x v="0"/>
    <x v="0"/>
    <x v="0"/>
    <x v="1"/>
    <x v="1"/>
  </r>
  <r>
    <x v="0"/>
    <x v="232"/>
    <x v="0"/>
    <x v="0"/>
    <x v="69"/>
    <x v="98"/>
    <x v="28"/>
    <x v="98"/>
    <x v="89"/>
    <x v="1"/>
    <x v="0"/>
    <x v="1"/>
    <x v="7"/>
    <x v="13"/>
    <x v="3"/>
    <x v="0"/>
    <x v="0"/>
    <x v="93"/>
    <x v="2"/>
    <x v="106"/>
    <x v="1"/>
    <x v="104"/>
    <x v="0"/>
    <x v="1"/>
    <x v="4"/>
    <x v="10"/>
    <x v="66"/>
    <x v="10"/>
    <x v="93"/>
    <x v="109"/>
    <x v="1"/>
    <x v="106"/>
    <x v="2"/>
    <x v="103"/>
    <x v="143"/>
    <x v="1"/>
    <x v="0"/>
    <x v="0"/>
    <x v="170"/>
    <x v="1"/>
    <x v="2"/>
    <x v="1"/>
    <x v="0"/>
    <x v="6"/>
    <x v="76"/>
    <x v="154"/>
    <x v="13"/>
    <x v="0"/>
    <x v="106"/>
    <x v="0"/>
    <x v="0"/>
    <x v="0"/>
    <x v="0"/>
    <x v="93"/>
    <x v="0"/>
    <x v="0"/>
    <x v="4"/>
    <x v="19"/>
    <x v="0"/>
    <x v="1"/>
    <x v="0"/>
    <x v="0"/>
    <x v="0"/>
    <x v="0"/>
    <x v="0"/>
    <x v="1"/>
    <x v="1"/>
  </r>
  <r>
    <x v="0"/>
    <x v="233"/>
    <x v="0"/>
    <x v="0"/>
    <x v="69"/>
    <x v="98"/>
    <x v="28"/>
    <x v="98"/>
    <x v="89"/>
    <x v="1"/>
    <x v="0"/>
    <x v="1"/>
    <x v="7"/>
    <x v="13"/>
    <x v="3"/>
    <x v="0"/>
    <x v="0"/>
    <x v="93"/>
    <x v="2"/>
    <x v="106"/>
    <x v="1"/>
    <x v="104"/>
    <x v="0"/>
    <x v="1"/>
    <x v="4"/>
    <x v="10"/>
    <x v="66"/>
    <x v="10"/>
    <x v="93"/>
    <x v="109"/>
    <x v="1"/>
    <x v="106"/>
    <x v="2"/>
    <x v="103"/>
    <x v="142"/>
    <x v="2"/>
    <x v="0"/>
    <x v="0"/>
    <x v="171"/>
    <x v="1"/>
    <x v="2"/>
    <x v="1"/>
    <x v="0"/>
    <x v="6"/>
    <x v="76"/>
    <x v="155"/>
    <x v="13"/>
    <x v="0"/>
    <x v="106"/>
    <x v="0"/>
    <x v="0"/>
    <x v="0"/>
    <x v="0"/>
    <x v="93"/>
    <x v="0"/>
    <x v="0"/>
    <x v="4"/>
    <x v="19"/>
    <x v="0"/>
    <x v="1"/>
    <x v="0"/>
    <x v="0"/>
    <x v="0"/>
    <x v="0"/>
    <x v="0"/>
    <x v="1"/>
    <x v="1"/>
  </r>
  <r>
    <x v="0"/>
    <x v="234"/>
    <x v="0"/>
    <x v="0"/>
    <x v="70"/>
    <x v="99"/>
    <x v="19"/>
    <x v="99"/>
    <x v="90"/>
    <x v="1"/>
    <x v="6"/>
    <x v="11"/>
    <x v="8"/>
    <x v="15"/>
    <x v="3"/>
    <x v="8"/>
    <x v="21"/>
    <x v="94"/>
    <x v="0"/>
    <x v="107"/>
    <x v="1"/>
    <x v="105"/>
    <x v="0"/>
    <x v="5"/>
    <x v="3"/>
    <x v="61"/>
    <x v="72"/>
    <x v="71"/>
    <x v="94"/>
    <x v="110"/>
    <x v="0"/>
    <x v="107"/>
    <x v="0"/>
    <x v="104"/>
    <x v="158"/>
    <x v="22"/>
    <x v="0"/>
    <x v="0"/>
    <x v="68"/>
    <x v="1"/>
    <x v="2"/>
    <x v="1"/>
    <x v="0"/>
    <x v="1"/>
    <x v="77"/>
    <x v="9"/>
    <x v="29"/>
    <x v="0"/>
    <x v="107"/>
    <x v="0"/>
    <x v="0"/>
    <x v="0"/>
    <x v="0"/>
    <x v="94"/>
    <x v="0"/>
    <x v="1"/>
    <x v="8"/>
    <x v="8"/>
    <x v="3"/>
    <x v="2"/>
    <x v="0"/>
    <x v="0"/>
    <x v="0"/>
    <x v="1"/>
    <x v="0"/>
    <x v="3"/>
    <x v="1"/>
  </r>
  <r>
    <x v="0"/>
    <x v="235"/>
    <x v="0"/>
    <x v="0"/>
    <x v="71"/>
    <x v="100"/>
    <x v="9"/>
    <x v="100"/>
    <x v="91"/>
    <x v="0"/>
    <x v="5"/>
    <x v="0"/>
    <x v="0"/>
    <x v="0"/>
    <x v="5"/>
    <x v="0"/>
    <x v="0"/>
    <x v="95"/>
    <x v="0"/>
    <x v="108"/>
    <x v="0"/>
    <x v="106"/>
    <x v="0"/>
    <x v="5"/>
    <x v="2"/>
    <x v="62"/>
    <x v="7"/>
    <x v="25"/>
    <x v="95"/>
    <x v="111"/>
    <x v="0"/>
    <x v="108"/>
    <x v="0"/>
    <x v="105"/>
    <x v="159"/>
    <x v="22"/>
    <x v="0"/>
    <x v="0"/>
    <x v="172"/>
    <x v="1"/>
    <x v="4"/>
    <x v="0"/>
    <x v="0"/>
    <x v="1"/>
    <x v="78"/>
    <x v="9"/>
    <x v="29"/>
    <x v="0"/>
    <x v="108"/>
    <x v="0"/>
    <x v="0"/>
    <x v="0"/>
    <x v="0"/>
    <x v="95"/>
    <x v="0"/>
    <x v="1"/>
    <x v="8"/>
    <x v="6"/>
    <x v="0"/>
    <x v="0"/>
    <x v="0"/>
    <x v="0"/>
    <x v="0"/>
    <x v="1"/>
    <x v="0"/>
    <x v="3"/>
    <x v="0"/>
  </r>
  <r>
    <x v="0"/>
    <x v="236"/>
    <x v="0"/>
    <x v="0"/>
    <x v="72"/>
    <x v="101"/>
    <x v="38"/>
    <x v="101"/>
    <x v="92"/>
    <x v="0"/>
    <x v="0"/>
    <x v="0"/>
    <x v="0"/>
    <x v="0"/>
    <x v="26"/>
    <x v="0"/>
    <x v="0"/>
    <x v="96"/>
    <x v="0"/>
    <x v="109"/>
    <x v="0"/>
    <x v="107"/>
    <x v="0"/>
    <x v="13"/>
    <x v="0"/>
    <x v="49"/>
    <x v="57"/>
    <x v="16"/>
    <x v="96"/>
    <x v="112"/>
    <x v="0"/>
    <x v="109"/>
    <x v="0"/>
    <x v="106"/>
    <x v="147"/>
    <x v="51"/>
    <x v="0"/>
    <x v="0"/>
    <x v="138"/>
    <x v="2"/>
    <x v="27"/>
    <x v="0"/>
    <x v="0"/>
    <x v="6"/>
    <x v="79"/>
    <x v="156"/>
    <x v="29"/>
    <x v="0"/>
    <x v="109"/>
    <x v="0"/>
    <x v="0"/>
    <x v="0"/>
    <x v="0"/>
    <x v="96"/>
    <x v="0"/>
    <x v="2"/>
    <x v="23"/>
    <x v="5"/>
    <x v="1"/>
    <x v="0"/>
    <x v="0"/>
    <x v="0"/>
    <x v="0"/>
    <x v="0"/>
    <x v="0"/>
    <x v="0"/>
    <x v="0"/>
  </r>
  <r>
    <x v="0"/>
    <x v="237"/>
    <x v="0"/>
    <x v="0"/>
    <x v="73"/>
    <x v="102"/>
    <x v="20"/>
    <x v="102"/>
    <x v="93"/>
    <x v="12"/>
    <x v="4"/>
    <x v="0"/>
    <x v="9"/>
    <x v="16"/>
    <x v="3"/>
    <x v="0"/>
    <x v="0"/>
    <x v="97"/>
    <x v="0"/>
    <x v="110"/>
    <x v="1"/>
    <x v="108"/>
    <x v="0"/>
    <x v="14"/>
    <x v="1"/>
    <x v="57"/>
    <x v="73"/>
    <x v="58"/>
    <x v="97"/>
    <x v="113"/>
    <x v="0"/>
    <x v="110"/>
    <x v="0"/>
    <x v="107"/>
    <x v="108"/>
    <x v="81"/>
    <x v="0"/>
    <x v="0"/>
    <x v="173"/>
    <x v="1"/>
    <x v="2"/>
    <x v="1"/>
    <x v="0"/>
    <x v="1"/>
    <x v="80"/>
    <x v="157"/>
    <x v="14"/>
    <x v="0"/>
    <x v="110"/>
    <x v="0"/>
    <x v="0"/>
    <x v="0"/>
    <x v="0"/>
    <x v="97"/>
    <x v="0"/>
    <x v="1"/>
    <x v="33"/>
    <x v="20"/>
    <x v="0"/>
    <x v="0"/>
    <x v="0"/>
    <x v="0"/>
    <x v="0"/>
    <x v="1"/>
    <x v="0"/>
    <x v="0"/>
    <x v="9"/>
  </r>
  <r>
    <x v="0"/>
    <x v="238"/>
    <x v="0"/>
    <x v="0"/>
    <x v="73"/>
    <x v="102"/>
    <x v="20"/>
    <x v="102"/>
    <x v="93"/>
    <x v="12"/>
    <x v="4"/>
    <x v="0"/>
    <x v="9"/>
    <x v="16"/>
    <x v="3"/>
    <x v="0"/>
    <x v="0"/>
    <x v="97"/>
    <x v="0"/>
    <x v="110"/>
    <x v="1"/>
    <x v="108"/>
    <x v="0"/>
    <x v="14"/>
    <x v="1"/>
    <x v="57"/>
    <x v="73"/>
    <x v="58"/>
    <x v="97"/>
    <x v="113"/>
    <x v="0"/>
    <x v="110"/>
    <x v="0"/>
    <x v="107"/>
    <x v="109"/>
    <x v="82"/>
    <x v="0"/>
    <x v="0"/>
    <x v="116"/>
    <x v="1"/>
    <x v="2"/>
    <x v="1"/>
    <x v="0"/>
    <x v="1"/>
    <x v="80"/>
    <x v="158"/>
    <x v="14"/>
    <x v="0"/>
    <x v="110"/>
    <x v="0"/>
    <x v="0"/>
    <x v="0"/>
    <x v="0"/>
    <x v="97"/>
    <x v="0"/>
    <x v="1"/>
    <x v="33"/>
    <x v="20"/>
    <x v="0"/>
    <x v="0"/>
    <x v="0"/>
    <x v="0"/>
    <x v="0"/>
    <x v="1"/>
    <x v="0"/>
    <x v="0"/>
    <x v="9"/>
  </r>
  <r>
    <x v="0"/>
    <x v="239"/>
    <x v="0"/>
    <x v="0"/>
    <x v="24"/>
    <x v="103"/>
    <x v="26"/>
    <x v="103"/>
    <x v="94"/>
    <x v="1"/>
    <x v="1"/>
    <x v="0"/>
    <x v="10"/>
    <x v="34"/>
    <x v="3"/>
    <x v="0"/>
    <x v="0"/>
    <x v="98"/>
    <x v="0"/>
    <x v="111"/>
    <x v="1"/>
    <x v="109"/>
    <x v="0"/>
    <x v="0"/>
    <x v="1"/>
    <x v="5"/>
    <x v="12"/>
    <x v="72"/>
    <x v="98"/>
    <x v="114"/>
    <x v="0"/>
    <x v="111"/>
    <x v="0"/>
    <x v="108"/>
    <x v="160"/>
    <x v="27"/>
    <x v="0"/>
    <x v="0"/>
    <x v="174"/>
    <x v="1"/>
    <x v="2"/>
    <x v="1"/>
    <x v="0"/>
    <x v="4"/>
    <x v="81"/>
    <x v="159"/>
    <x v="14"/>
    <x v="0"/>
    <x v="111"/>
    <x v="0"/>
    <x v="0"/>
    <x v="0"/>
    <x v="0"/>
    <x v="98"/>
    <x v="0"/>
    <x v="1"/>
    <x v="0"/>
    <x v="15"/>
    <x v="0"/>
    <x v="1"/>
    <x v="0"/>
    <x v="0"/>
    <x v="0"/>
    <x v="0"/>
    <x v="0"/>
    <x v="1"/>
    <x v="4"/>
  </r>
  <r>
    <x v="0"/>
    <x v="240"/>
    <x v="0"/>
    <x v="0"/>
    <x v="24"/>
    <x v="103"/>
    <x v="26"/>
    <x v="103"/>
    <x v="94"/>
    <x v="1"/>
    <x v="1"/>
    <x v="0"/>
    <x v="10"/>
    <x v="34"/>
    <x v="3"/>
    <x v="0"/>
    <x v="0"/>
    <x v="98"/>
    <x v="0"/>
    <x v="111"/>
    <x v="1"/>
    <x v="109"/>
    <x v="0"/>
    <x v="0"/>
    <x v="1"/>
    <x v="5"/>
    <x v="12"/>
    <x v="72"/>
    <x v="98"/>
    <x v="114"/>
    <x v="0"/>
    <x v="111"/>
    <x v="0"/>
    <x v="108"/>
    <x v="161"/>
    <x v="103"/>
    <x v="0"/>
    <x v="0"/>
    <x v="175"/>
    <x v="1"/>
    <x v="2"/>
    <x v="1"/>
    <x v="0"/>
    <x v="4"/>
    <x v="81"/>
    <x v="160"/>
    <x v="14"/>
    <x v="0"/>
    <x v="111"/>
    <x v="0"/>
    <x v="0"/>
    <x v="0"/>
    <x v="0"/>
    <x v="98"/>
    <x v="0"/>
    <x v="1"/>
    <x v="0"/>
    <x v="15"/>
    <x v="0"/>
    <x v="1"/>
    <x v="0"/>
    <x v="0"/>
    <x v="0"/>
    <x v="0"/>
    <x v="0"/>
    <x v="1"/>
    <x v="4"/>
  </r>
  <r>
    <x v="0"/>
    <x v="241"/>
    <x v="0"/>
    <x v="0"/>
    <x v="24"/>
    <x v="103"/>
    <x v="26"/>
    <x v="103"/>
    <x v="94"/>
    <x v="1"/>
    <x v="1"/>
    <x v="0"/>
    <x v="10"/>
    <x v="34"/>
    <x v="3"/>
    <x v="0"/>
    <x v="0"/>
    <x v="98"/>
    <x v="0"/>
    <x v="111"/>
    <x v="1"/>
    <x v="109"/>
    <x v="0"/>
    <x v="0"/>
    <x v="1"/>
    <x v="5"/>
    <x v="12"/>
    <x v="72"/>
    <x v="98"/>
    <x v="114"/>
    <x v="0"/>
    <x v="111"/>
    <x v="0"/>
    <x v="108"/>
    <x v="162"/>
    <x v="28"/>
    <x v="0"/>
    <x v="0"/>
    <x v="176"/>
    <x v="1"/>
    <x v="2"/>
    <x v="1"/>
    <x v="0"/>
    <x v="4"/>
    <x v="81"/>
    <x v="161"/>
    <x v="14"/>
    <x v="0"/>
    <x v="111"/>
    <x v="0"/>
    <x v="0"/>
    <x v="0"/>
    <x v="0"/>
    <x v="98"/>
    <x v="0"/>
    <x v="1"/>
    <x v="0"/>
    <x v="15"/>
    <x v="0"/>
    <x v="1"/>
    <x v="0"/>
    <x v="0"/>
    <x v="0"/>
    <x v="0"/>
    <x v="0"/>
    <x v="1"/>
    <x v="4"/>
  </r>
  <r>
    <x v="0"/>
    <x v="242"/>
    <x v="0"/>
    <x v="0"/>
    <x v="24"/>
    <x v="103"/>
    <x v="26"/>
    <x v="103"/>
    <x v="94"/>
    <x v="1"/>
    <x v="1"/>
    <x v="0"/>
    <x v="10"/>
    <x v="34"/>
    <x v="3"/>
    <x v="0"/>
    <x v="0"/>
    <x v="98"/>
    <x v="0"/>
    <x v="111"/>
    <x v="1"/>
    <x v="109"/>
    <x v="0"/>
    <x v="0"/>
    <x v="1"/>
    <x v="5"/>
    <x v="12"/>
    <x v="72"/>
    <x v="98"/>
    <x v="114"/>
    <x v="0"/>
    <x v="111"/>
    <x v="0"/>
    <x v="108"/>
    <x v="148"/>
    <x v="98"/>
    <x v="0"/>
    <x v="0"/>
    <x v="177"/>
    <x v="1"/>
    <x v="2"/>
    <x v="1"/>
    <x v="0"/>
    <x v="4"/>
    <x v="81"/>
    <x v="162"/>
    <x v="14"/>
    <x v="0"/>
    <x v="111"/>
    <x v="0"/>
    <x v="0"/>
    <x v="0"/>
    <x v="0"/>
    <x v="98"/>
    <x v="0"/>
    <x v="1"/>
    <x v="0"/>
    <x v="15"/>
    <x v="0"/>
    <x v="1"/>
    <x v="0"/>
    <x v="0"/>
    <x v="0"/>
    <x v="0"/>
    <x v="0"/>
    <x v="1"/>
    <x v="4"/>
  </r>
  <r>
    <x v="0"/>
    <x v="243"/>
    <x v="0"/>
    <x v="0"/>
    <x v="24"/>
    <x v="103"/>
    <x v="26"/>
    <x v="103"/>
    <x v="94"/>
    <x v="1"/>
    <x v="1"/>
    <x v="0"/>
    <x v="10"/>
    <x v="34"/>
    <x v="3"/>
    <x v="0"/>
    <x v="0"/>
    <x v="98"/>
    <x v="0"/>
    <x v="111"/>
    <x v="1"/>
    <x v="109"/>
    <x v="0"/>
    <x v="0"/>
    <x v="1"/>
    <x v="5"/>
    <x v="12"/>
    <x v="72"/>
    <x v="98"/>
    <x v="114"/>
    <x v="0"/>
    <x v="111"/>
    <x v="0"/>
    <x v="108"/>
    <x v="163"/>
    <x v="104"/>
    <x v="0"/>
    <x v="0"/>
    <x v="178"/>
    <x v="1"/>
    <x v="2"/>
    <x v="1"/>
    <x v="0"/>
    <x v="4"/>
    <x v="81"/>
    <x v="163"/>
    <x v="14"/>
    <x v="0"/>
    <x v="111"/>
    <x v="0"/>
    <x v="0"/>
    <x v="0"/>
    <x v="0"/>
    <x v="98"/>
    <x v="0"/>
    <x v="1"/>
    <x v="0"/>
    <x v="15"/>
    <x v="0"/>
    <x v="1"/>
    <x v="0"/>
    <x v="0"/>
    <x v="0"/>
    <x v="0"/>
    <x v="0"/>
    <x v="1"/>
    <x v="4"/>
  </r>
  <r>
    <x v="0"/>
    <x v="244"/>
    <x v="0"/>
    <x v="0"/>
    <x v="24"/>
    <x v="103"/>
    <x v="26"/>
    <x v="103"/>
    <x v="94"/>
    <x v="1"/>
    <x v="1"/>
    <x v="0"/>
    <x v="10"/>
    <x v="34"/>
    <x v="3"/>
    <x v="0"/>
    <x v="0"/>
    <x v="98"/>
    <x v="0"/>
    <x v="111"/>
    <x v="1"/>
    <x v="109"/>
    <x v="0"/>
    <x v="0"/>
    <x v="1"/>
    <x v="5"/>
    <x v="12"/>
    <x v="72"/>
    <x v="98"/>
    <x v="114"/>
    <x v="0"/>
    <x v="111"/>
    <x v="0"/>
    <x v="108"/>
    <x v="164"/>
    <x v="105"/>
    <x v="0"/>
    <x v="0"/>
    <x v="179"/>
    <x v="1"/>
    <x v="2"/>
    <x v="1"/>
    <x v="0"/>
    <x v="4"/>
    <x v="81"/>
    <x v="164"/>
    <x v="14"/>
    <x v="0"/>
    <x v="111"/>
    <x v="0"/>
    <x v="0"/>
    <x v="0"/>
    <x v="0"/>
    <x v="98"/>
    <x v="0"/>
    <x v="1"/>
    <x v="0"/>
    <x v="15"/>
    <x v="0"/>
    <x v="1"/>
    <x v="0"/>
    <x v="0"/>
    <x v="0"/>
    <x v="0"/>
    <x v="0"/>
    <x v="1"/>
    <x v="4"/>
  </r>
  <r>
    <x v="0"/>
    <x v="245"/>
    <x v="0"/>
    <x v="0"/>
    <x v="24"/>
    <x v="103"/>
    <x v="26"/>
    <x v="103"/>
    <x v="94"/>
    <x v="1"/>
    <x v="1"/>
    <x v="0"/>
    <x v="10"/>
    <x v="34"/>
    <x v="3"/>
    <x v="0"/>
    <x v="0"/>
    <x v="98"/>
    <x v="0"/>
    <x v="111"/>
    <x v="1"/>
    <x v="109"/>
    <x v="0"/>
    <x v="0"/>
    <x v="1"/>
    <x v="5"/>
    <x v="12"/>
    <x v="72"/>
    <x v="98"/>
    <x v="114"/>
    <x v="0"/>
    <x v="111"/>
    <x v="0"/>
    <x v="108"/>
    <x v="150"/>
    <x v="100"/>
    <x v="0"/>
    <x v="0"/>
    <x v="180"/>
    <x v="1"/>
    <x v="2"/>
    <x v="1"/>
    <x v="0"/>
    <x v="4"/>
    <x v="81"/>
    <x v="165"/>
    <x v="14"/>
    <x v="0"/>
    <x v="111"/>
    <x v="0"/>
    <x v="0"/>
    <x v="0"/>
    <x v="0"/>
    <x v="98"/>
    <x v="0"/>
    <x v="1"/>
    <x v="0"/>
    <x v="15"/>
    <x v="0"/>
    <x v="1"/>
    <x v="0"/>
    <x v="0"/>
    <x v="0"/>
    <x v="0"/>
    <x v="0"/>
    <x v="1"/>
    <x v="4"/>
  </r>
  <r>
    <x v="0"/>
    <x v="246"/>
    <x v="0"/>
    <x v="0"/>
    <x v="24"/>
    <x v="103"/>
    <x v="26"/>
    <x v="103"/>
    <x v="94"/>
    <x v="1"/>
    <x v="1"/>
    <x v="0"/>
    <x v="10"/>
    <x v="34"/>
    <x v="3"/>
    <x v="0"/>
    <x v="0"/>
    <x v="98"/>
    <x v="0"/>
    <x v="111"/>
    <x v="1"/>
    <x v="109"/>
    <x v="0"/>
    <x v="0"/>
    <x v="1"/>
    <x v="5"/>
    <x v="12"/>
    <x v="72"/>
    <x v="98"/>
    <x v="114"/>
    <x v="0"/>
    <x v="111"/>
    <x v="0"/>
    <x v="108"/>
    <x v="149"/>
    <x v="99"/>
    <x v="0"/>
    <x v="0"/>
    <x v="181"/>
    <x v="1"/>
    <x v="2"/>
    <x v="1"/>
    <x v="0"/>
    <x v="4"/>
    <x v="81"/>
    <x v="166"/>
    <x v="14"/>
    <x v="0"/>
    <x v="111"/>
    <x v="0"/>
    <x v="0"/>
    <x v="0"/>
    <x v="0"/>
    <x v="98"/>
    <x v="0"/>
    <x v="1"/>
    <x v="0"/>
    <x v="15"/>
    <x v="0"/>
    <x v="1"/>
    <x v="0"/>
    <x v="0"/>
    <x v="0"/>
    <x v="0"/>
    <x v="0"/>
    <x v="1"/>
    <x v="4"/>
  </r>
  <r>
    <x v="0"/>
    <x v="247"/>
    <x v="0"/>
    <x v="0"/>
    <x v="24"/>
    <x v="103"/>
    <x v="26"/>
    <x v="103"/>
    <x v="94"/>
    <x v="1"/>
    <x v="1"/>
    <x v="0"/>
    <x v="10"/>
    <x v="34"/>
    <x v="3"/>
    <x v="0"/>
    <x v="0"/>
    <x v="98"/>
    <x v="0"/>
    <x v="111"/>
    <x v="1"/>
    <x v="109"/>
    <x v="0"/>
    <x v="0"/>
    <x v="1"/>
    <x v="5"/>
    <x v="12"/>
    <x v="72"/>
    <x v="98"/>
    <x v="114"/>
    <x v="0"/>
    <x v="111"/>
    <x v="0"/>
    <x v="108"/>
    <x v="165"/>
    <x v="106"/>
    <x v="0"/>
    <x v="0"/>
    <x v="182"/>
    <x v="1"/>
    <x v="2"/>
    <x v="1"/>
    <x v="0"/>
    <x v="4"/>
    <x v="81"/>
    <x v="167"/>
    <x v="14"/>
    <x v="0"/>
    <x v="111"/>
    <x v="0"/>
    <x v="0"/>
    <x v="0"/>
    <x v="0"/>
    <x v="98"/>
    <x v="0"/>
    <x v="1"/>
    <x v="0"/>
    <x v="15"/>
    <x v="0"/>
    <x v="1"/>
    <x v="0"/>
    <x v="0"/>
    <x v="0"/>
    <x v="0"/>
    <x v="0"/>
    <x v="1"/>
    <x v="4"/>
  </r>
  <r>
    <x v="0"/>
    <x v="248"/>
    <x v="0"/>
    <x v="0"/>
    <x v="24"/>
    <x v="103"/>
    <x v="26"/>
    <x v="103"/>
    <x v="94"/>
    <x v="1"/>
    <x v="1"/>
    <x v="0"/>
    <x v="10"/>
    <x v="34"/>
    <x v="3"/>
    <x v="0"/>
    <x v="0"/>
    <x v="98"/>
    <x v="0"/>
    <x v="111"/>
    <x v="1"/>
    <x v="109"/>
    <x v="0"/>
    <x v="0"/>
    <x v="1"/>
    <x v="5"/>
    <x v="12"/>
    <x v="72"/>
    <x v="98"/>
    <x v="114"/>
    <x v="0"/>
    <x v="111"/>
    <x v="0"/>
    <x v="108"/>
    <x v="166"/>
    <x v="55"/>
    <x v="0"/>
    <x v="0"/>
    <x v="33"/>
    <x v="1"/>
    <x v="2"/>
    <x v="1"/>
    <x v="0"/>
    <x v="4"/>
    <x v="81"/>
    <x v="9"/>
    <x v="14"/>
    <x v="0"/>
    <x v="111"/>
    <x v="0"/>
    <x v="0"/>
    <x v="0"/>
    <x v="0"/>
    <x v="98"/>
    <x v="0"/>
    <x v="1"/>
    <x v="0"/>
    <x v="15"/>
    <x v="0"/>
    <x v="1"/>
    <x v="0"/>
    <x v="0"/>
    <x v="0"/>
    <x v="1"/>
    <x v="0"/>
    <x v="1"/>
    <x v="4"/>
  </r>
  <r>
    <x v="0"/>
    <x v="249"/>
    <x v="0"/>
    <x v="0"/>
    <x v="74"/>
    <x v="104"/>
    <x v="39"/>
    <x v="104"/>
    <x v="95"/>
    <x v="0"/>
    <x v="1"/>
    <x v="0"/>
    <x v="0"/>
    <x v="0"/>
    <x v="27"/>
    <x v="0"/>
    <x v="0"/>
    <x v="99"/>
    <x v="0"/>
    <x v="112"/>
    <x v="0"/>
    <x v="110"/>
    <x v="0"/>
    <x v="6"/>
    <x v="1"/>
    <x v="63"/>
    <x v="74"/>
    <x v="73"/>
    <x v="99"/>
    <x v="115"/>
    <x v="0"/>
    <x v="112"/>
    <x v="0"/>
    <x v="109"/>
    <x v="97"/>
    <x v="73"/>
    <x v="0"/>
    <x v="0"/>
    <x v="183"/>
    <x v="0"/>
    <x v="28"/>
    <x v="0"/>
    <x v="0"/>
    <x v="2"/>
    <x v="82"/>
    <x v="168"/>
    <x v="14"/>
    <x v="0"/>
    <x v="112"/>
    <x v="0"/>
    <x v="0"/>
    <x v="0"/>
    <x v="0"/>
    <x v="99"/>
    <x v="0"/>
    <x v="1"/>
    <x v="2"/>
    <x v="7"/>
    <x v="0"/>
    <x v="0"/>
    <x v="0"/>
    <x v="0"/>
    <x v="0"/>
    <x v="0"/>
    <x v="0"/>
    <x v="2"/>
    <x v="0"/>
  </r>
  <r>
    <x v="0"/>
    <x v="250"/>
    <x v="0"/>
    <x v="0"/>
    <x v="74"/>
    <x v="104"/>
    <x v="39"/>
    <x v="104"/>
    <x v="95"/>
    <x v="0"/>
    <x v="1"/>
    <x v="0"/>
    <x v="0"/>
    <x v="0"/>
    <x v="27"/>
    <x v="0"/>
    <x v="0"/>
    <x v="99"/>
    <x v="0"/>
    <x v="112"/>
    <x v="0"/>
    <x v="110"/>
    <x v="0"/>
    <x v="6"/>
    <x v="1"/>
    <x v="63"/>
    <x v="74"/>
    <x v="73"/>
    <x v="99"/>
    <x v="115"/>
    <x v="0"/>
    <x v="112"/>
    <x v="0"/>
    <x v="109"/>
    <x v="98"/>
    <x v="74"/>
    <x v="0"/>
    <x v="0"/>
    <x v="158"/>
    <x v="0"/>
    <x v="28"/>
    <x v="0"/>
    <x v="0"/>
    <x v="2"/>
    <x v="82"/>
    <x v="169"/>
    <x v="14"/>
    <x v="0"/>
    <x v="112"/>
    <x v="0"/>
    <x v="0"/>
    <x v="0"/>
    <x v="0"/>
    <x v="99"/>
    <x v="0"/>
    <x v="1"/>
    <x v="2"/>
    <x v="7"/>
    <x v="0"/>
    <x v="0"/>
    <x v="0"/>
    <x v="0"/>
    <x v="0"/>
    <x v="0"/>
    <x v="0"/>
    <x v="2"/>
    <x v="0"/>
  </r>
  <r>
    <x v="0"/>
    <x v="251"/>
    <x v="0"/>
    <x v="0"/>
    <x v="74"/>
    <x v="104"/>
    <x v="39"/>
    <x v="104"/>
    <x v="95"/>
    <x v="0"/>
    <x v="1"/>
    <x v="0"/>
    <x v="0"/>
    <x v="0"/>
    <x v="27"/>
    <x v="0"/>
    <x v="0"/>
    <x v="99"/>
    <x v="0"/>
    <x v="112"/>
    <x v="0"/>
    <x v="110"/>
    <x v="0"/>
    <x v="6"/>
    <x v="1"/>
    <x v="63"/>
    <x v="74"/>
    <x v="73"/>
    <x v="99"/>
    <x v="115"/>
    <x v="0"/>
    <x v="112"/>
    <x v="0"/>
    <x v="109"/>
    <x v="134"/>
    <x v="71"/>
    <x v="0"/>
    <x v="0"/>
    <x v="184"/>
    <x v="0"/>
    <x v="28"/>
    <x v="0"/>
    <x v="0"/>
    <x v="2"/>
    <x v="82"/>
    <x v="170"/>
    <x v="14"/>
    <x v="0"/>
    <x v="112"/>
    <x v="0"/>
    <x v="0"/>
    <x v="0"/>
    <x v="0"/>
    <x v="99"/>
    <x v="0"/>
    <x v="1"/>
    <x v="2"/>
    <x v="7"/>
    <x v="0"/>
    <x v="0"/>
    <x v="0"/>
    <x v="0"/>
    <x v="0"/>
    <x v="0"/>
    <x v="0"/>
    <x v="2"/>
    <x v="0"/>
  </r>
  <r>
    <x v="0"/>
    <x v="252"/>
    <x v="0"/>
    <x v="0"/>
    <x v="74"/>
    <x v="104"/>
    <x v="39"/>
    <x v="104"/>
    <x v="95"/>
    <x v="0"/>
    <x v="1"/>
    <x v="0"/>
    <x v="0"/>
    <x v="0"/>
    <x v="27"/>
    <x v="0"/>
    <x v="0"/>
    <x v="99"/>
    <x v="0"/>
    <x v="112"/>
    <x v="0"/>
    <x v="110"/>
    <x v="0"/>
    <x v="6"/>
    <x v="1"/>
    <x v="63"/>
    <x v="74"/>
    <x v="73"/>
    <x v="99"/>
    <x v="115"/>
    <x v="0"/>
    <x v="112"/>
    <x v="0"/>
    <x v="109"/>
    <x v="133"/>
    <x v="72"/>
    <x v="0"/>
    <x v="0"/>
    <x v="185"/>
    <x v="0"/>
    <x v="28"/>
    <x v="0"/>
    <x v="0"/>
    <x v="2"/>
    <x v="82"/>
    <x v="171"/>
    <x v="14"/>
    <x v="0"/>
    <x v="112"/>
    <x v="0"/>
    <x v="0"/>
    <x v="0"/>
    <x v="0"/>
    <x v="99"/>
    <x v="0"/>
    <x v="1"/>
    <x v="2"/>
    <x v="7"/>
    <x v="0"/>
    <x v="0"/>
    <x v="0"/>
    <x v="0"/>
    <x v="0"/>
    <x v="0"/>
    <x v="0"/>
    <x v="2"/>
    <x v="0"/>
  </r>
  <r>
    <x v="0"/>
    <x v="253"/>
    <x v="0"/>
    <x v="0"/>
    <x v="74"/>
    <x v="104"/>
    <x v="39"/>
    <x v="104"/>
    <x v="95"/>
    <x v="0"/>
    <x v="1"/>
    <x v="0"/>
    <x v="0"/>
    <x v="0"/>
    <x v="27"/>
    <x v="0"/>
    <x v="0"/>
    <x v="99"/>
    <x v="0"/>
    <x v="112"/>
    <x v="0"/>
    <x v="110"/>
    <x v="0"/>
    <x v="6"/>
    <x v="1"/>
    <x v="63"/>
    <x v="74"/>
    <x v="73"/>
    <x v="99"/>
    <x v="115"/>
    <x v="0"/>
    <x v="112"/>
    <x v="0"/>
    <x v="109"/>
    <x v="132"/>
    <x v="75"/>
    <x v="0"/>
    <x v="0"/>
    <x v="186"/>
    <x v="0"/>
    <x v="28"/>
    <x v="0"/>
    <x v="0"/>
    <x v="2"/>
    <x v="82"/>
    <x v="172"/>
    <x v="14"/>
    <x v="0"/>
    <x v="112"/>
    <x v="0"/>
    <x v="0"/>
    <x v="0"/>
    <x v="0"/>
    <x v="99"/>
    <x v="0"/>
    <x v="1"/>
    <x v="2"/>
    <x v="7"/>
    <x v="0"/>
    <x v="0"/>
    <x v="0"/>
    <x v="0"/>
    <x v="0"/>
    <x v="0"/>
    <x v="0"/>
    <x v="2"/>
    <x v="0"/>
  </r>
  <r>
    <x v="0"/>
    <x v="254"/>
    <x v="0"/>
    <x v="0"/>
    <x v="75"/>
    <x v="105"/>
    <x v="14"/>
    <x v="105"/>
    <x v="23"/>
    <x v="1"/>
    <x v="0"/>
    <x v="0"/>
    <x v="0"/>
    <x v="14"/>
    <x v="28"/>
    <x v="0"/>
    <x v="0"/>
    <x v="100"/>
    <x v="0"/>
    <x v="113"/>
    <x v="1"/>
    <x v="111"/>
    <x v="0"/>
    <x v="13"/>
    <x v="0"/>
    <x v="12"/>
    <x v="75"/>
    <x v="74"/>
    <x v="100"/>
    <x v="116"/>
    <x v="0"/>
    <x v="113"/>
    <x v="0"/>
    <x v="110"/>
    <x v="167"/>
    <x v="107"/>
    <x v="0"/>
    <x v="0"/>
    <x v="113"/>
    <x v="1"/>
    <x v="29"/>
    <x v="1"/>
    <x v="0"/>
    <x v="6"/>
    <x v="83"/>
    <x v="173"/>
    <x v="14"/>
    <x v="0"/>
    <x v="113"/>
    <x v="0"/>
    <x v="0"/>
    <x v="0"/>
    <x v="0"/>
    <x v="100"/>
    <x v="0"/>
    <x v="2"/>
    <x v="23"/>
    <x v="5"/>
    <x v="1"/>
    <x v="0"/>
    <x v="0"/>
    <x v="0"/>
    <x v="0"/>
    <x v="0"/>
    <x v="0"/>
    <x v="0"/>
    <x v="1"/>
  </r>
  <r>
    <x v="0"/>
    <x v="255"/>
    <x v="0"/>
    <x v="0"/>
    <x v="76"/>
    <x v="106"/>
    <x v="32"/>
    <x v="106"/>
    <x v="96"/>
    <x v="1"/>
    <x v="4"/>
    <x v="1"/>
    <x v="9"/>
    <x v="16"/>
    <x v="3"/>
    <x v="0"/>
    <x v="0"/>
    <x v="101"/>
    <x v="2"/>
    <x v="114"/>
    <x v="1"/>
    <x v="112"/>
    <x v="0"/>
    <x v="6"/>
    <x v="1"/>
    <x v="64"/>
    <x v="41"/>
    <x v="75"/>
    <x v="101"/>
    <x v="117"/>
    <x v="1"/>
    <x v="114"/>
    <x v="2"/>
    <x v="111"/>
    <x v="98"/>
    <x v="74"/>
    <x v="0"/>
    <x v="0"/>
    <x v="187"/>
    <x v="1"/>
    <x v="2"/>
    <x v="1"/>
    <x v="0"/>
    <x v="0"/>
    <x v="84"/>
    <x v="174"/>
    <x v="14"/>
    <x v="0"/>
    <x v="114"/>
    <x v="0"/>
    <x v="0"/>
    <x v="0"/>
    <x v="0"/>
    <x v="101"/>
    <x v="0"/>
    <x v="1"/>
    <x v="9"/>
    <x v="7"/>
    <x v="0"/>
    <x v="0"/>
    <x v="0"/>
    <x v="0"/>
    <x v="0"/>
    <x v="0"/>
    <x v="0"/>
    <x v="3"/>
    <x v="1"/>
  </r>
  <r>
    <x v="0"/>
    <x v="256"/>
    <x v="0"/>
    <x v="0"/>
    <x v="76"/>
    <x v="106"/>
    <x v="32"/>
    <x v="106"/>
    <x v="96"/>
    <x v="1"/>
    <x v="4"/>
    <x v="1"/>
    <x v="9"/>
    <x v="16"/>
    <x v="3"/>
    <x v="0"/>
    <x v="0"/>
    <x v="101"/>
    <x v="2"/>
    <x v="114"/>
    <x v="1"/>
    <x v="112"/>
    <x v="0"/>
    <x v="6"/>
    <x v="1"/>
    <x v="64"/>
    <x v="41"/>
    <x v="75"/>
    <x v="101"/>
    <x v="117"/>
    <x v="1"/>
    <x v="114"/>
    <x v="2"/>
    <x v="111"/>
    <x v="97"/>
    <x v="73"/>
    <x v="0"/>
    <x v="0"/>
    <x v="188"/>
    <x v="1"/>
    <x v="2"/>
    <x v="1"/>
    <x v="0"/>
    <x v="0"/>
    <x v="84"/>
    <x v="175"/>
    <x v="14"/>
    <x v="0"/>
    <x v="114"/>
    <x v="0"/>
    <x v="0"/>
    <x v="0"/>
    <x v="0"/>
    <x v="101"/>
    <x v="0"/>
    <x v="1"/>
    <x v="9"/>
    <x v="7"/>
    <x v="0"/>
    <x v="0"/>
    <x v="0"/>
    <x v="0"/>
    <x v="0"/>
    <x v="0"/>
    <x v="0"/>
    <x v="3"/>
    <x v="1"/>
  </r>
  <r>
    <x v="0"/>
    <x v="257"/>
    <x v="0"/>
    <x v="0"/>
    <x v="76"/>
    <x v="106"/>
    <x v="32"/>
    <x v="106"/>
    <x v="96"/>
    <x v="1"/>
    <x v="4"/>
    <x v="1"/>
    <x v="9"/>
    <x v="16"/>
    <x v="3"/>
    <x v="0"/>
    <x v="0"/>
    <x v="101"/>
    <x v="2"/>
    <x v="114"/>
    <x v="1"/>
    <x v="112"/>
    <x v="0"/>
    <x v="6"/>
    <x v="1"/>
    <x v="64"/>
    <x v="41"/>
    <x v="75"/>
    <x v="101"/>
    <x v="117"/>
    <x v="1"/>
    <x v="114"/>
    <x v="2"/>
    <x v="111"/>
    <x v="132"/>
    <x v="75"/>
    <x v="0"/>
    <x v="0"/>
    <x v="189"/>
    <x v="1"/>
    <x v="2"/>
    <x v="1"/>
    <x v="0"/>
    <x v="0"/>
    <x v="84"/>
    <x v="176"/>
    <x v="14"/>
    <x v="0"/>
    <x v="114"/>
    <x v="0"/>
    <x v="0"/>
    <x v="0"/>
    <x v="0"/>
    <x v="101"/>
    <x v="0"/>
    <x v="1"/>
    <x v="9"/>
    <x v="7"/>
    <x v="0"/>
    <x v="0"/>
    <x v="0"/>
    <x v="0"/>
    <x v="0"/>
    <x v="0"/>
    <x v="0"/>
    <x v="3"/>
    <x v="1"/>
  </r>
  <r>
    <x v="0"/>
    <x v="258"/>
    <x v="0"/>
    <x v="0"/>
    <x v="76"/>
    <x v="106"/>
    <x v="32"/>
    <x v="106"/>
    <x v="96"/>
    <x v="1"/>
    <x v="4"/>
    <x v="1"/>
    <x v="9"/>
    <x v="16"/>
    <x v="3"/>
    <x v="0"/>
    <x v="0"/>
    <x v="101"/>
    <x v="2"/>
    <x v="114"/>
    <x v="1"/>
    <x v="112"/>
    <x v="0"/>
    <x v="6"/>
    <x v="1"/>
    <x v="64"/>
    <x v="41"/>
    <x v="75"/>
    <x v="101"/>
    <x v="117"/>
    <x v="1"/>
    <x v="114"/>
    <x v="2"/>
    <x v="111"/>
    <x v="133"/>
    <x v="72"/>
    <x v="0"/>
    <x v="0"/>
    <x v="190"/>
    <x v="1"/>
    <x v="2"/>
    <x v="1"/>
    <x v="0"/>
    <x v="0"/>
    <x v="84"/>
    <x v="177"/>
    <x v="14"/>
    <x v="0"/>
    <x v="114"/>
    <x v="0"/>
    <x v="0"/>
    <x v="0"/>
    <x v="0"/>
    <x v="101"/>
    <x v="0"/>
    <x v="1"/>
    <x v="9"/>
    <x v="7"/>
    <x v="0"/>
    <x v="0"/>
    <x v="0"/>
    <x v="0"/>
    <x v="0"/>
    <x v="0"/>
    <x v="0"/>
    <x v="3"/>
    <x v="1"/>
  </r>
  <r>
    <x v="0"/>
    <x v="259"/>
    <x v="0"/>
    <x v="0"/>
    <x v="76"/>
    <x v="106"/>
    <x v="32"/>
    <x v="106"/>
    <x v="96"/>
    <x v="1"/>
    <x v="4"/>
    <x v="1"/>
    <x v="9"/>
    <x v="16"/>
    <x v="3"/>
    <x v="0"/>
    <x v="0"/>
    <x v="101"/>
    <x v="2"/>
    <x v="114"/>
    <x v="1"/>
    <x v="112"/>
    <x v="0"/>
    <x v="6"/>
    <x v="1"/>
    <x v="64"/>
    <x v="41"/>
    <x v="75"/>
    <x v="101"/>
    <x v="117"/>
    <x v="1"/>
    <x v="114"/>
    <x v="2"/>
    <x v="111"/>
    <x v="134"/>
    <x v="71"/>
    <x v="0"/>
    <x v="0"/>
    <x v="191"/>
    <x v="1"/>
    <x v="2"/>
    <x v="1"/>
    <x v="0"/>
    <x v="0"/>
    <x v="84"/>
    <x v="178"/>
    <x v="14"/>
    <x v="0"/>
    <x v="114"/>
    <x v="0"/>
    <x v="0"/>
    <x v="0"/>
    <x v="0"/>
    <x v="101"/>
    <x v="0"/>
    <x v="1"/>
    <x v="9"/>
    <x v="7"/>
    <x v="0"/>
    <x v="0"/>
    <x v="0"/>
    <x v="0"/>
    <x v="0"/>
    <x v="0"/>
    <x v="0"/>
    <x v="3"/>
    <x v="1"/>
  </r>
  <r>
    <x v="0"/>
    <x v="260"/>
    <x v="0"/>
    <x v="0"/>
    <x v="76"/>
    <x v="106"/>
    <x v="32"/>
    <x v="106"/>
    <x v="96"/>
    <x v="1"/>
    <x v="4"/>
    <x v="1"/>
    <x v="9"/>
    <x v="16"/>
    <x v="3"/>
    <x v="0"/>
    <x v="0"/>
    <x v="101"/>
    <x v="2"/>
    <x v="114"/>
    <x v="1"/>
    <x v="112"/>
    <x v="0"/>
    <x v="6"/>
    <x v="1"/>
    <x v="64"/>
    <x v="41"/>
    <x v="75"/>
    <x v="101"/>
    <x v="117"/>
    <x v="1"/>
    <x v="114"/>
    <x v="2"/>
    <x v="111"/>
    <x v="168"/>
    <x v="23"/>
    <x v="0"/>
    <x v="0"/>
    <x v="25"/>
    <x v="1"/>
    <x v="2"/>
    <x v="1"/>
    <x v="0"/>
    <x v="0"/>
    <x v="84"/>
    <x v="9"/>
    <x v="14"/>
    <x v="0"/>
    <x v="114"/>
    <x v="0"/>
    <x v="0"/>
    <x v="0"/>
    <x v="0"/>
    <x v="101"/>
    <x v="0"/>
    <x v="1"/>
    <x v="9"/>
    <x v="7"/>
    <x v="0"/>
    <x v="0"/>
    <x v="0"/>
    <x v="0"/>
    <x v="0"/>
    <x v="1"/>
    <x v="0"/>
    <x v="3"/>
    <x v="1"/>
  </r>
  <r>
    <x v="0"/>
    <x v="261"/>
    <x v="0"/>
    <x v="0"/>
    <x v="76"/>
    <x v="106"/>
    <x v="32"/>
    <x v="106"/>
    <x v="96"/>
    <x v="1"/>
    <x v="4"/>
    <x v="1"/>
    <x v="9"/>
    <x v="16"/>
    <x v="3"/>
    <x v="0"/>
    <x v="0"/>
    <x v="101"/>
    <x v="2"/>
    <x v="114"/>
    <x v="1"/>
    <x v="112"/>
    <x v="0"/>
    <x v="6"/>
    <x v="1"/>
    <x v="64"/>
    <x v="41"/>
    <x v="75"/>
    <x v="101"/>
    <x v="117"/>
    <x v="1"/>
    <x v="114"/>
    <x v="2"/>
    <x v="111"/>
    <x v="169"/>
    <x v="31"/>
    <x v="0"/>
    <x v="0"/>
    <x v="33"/>
    <x v="1"/>
    <x v="2"/>
    <x v="1"/>
    <x v="0"/>
    <x v="0"/>
    <x v="84"/>
    <x v="9"/>
    <x v="14"/>
    <x v="0"/>
    <x v="114"/>
    <x v="0"/>
    <x v="0"/>
    <x v="0"/>
    <x v="0"/>
    <x v="101"/>
    <x v="0"/>
    <x v="1"/>
    <x v="9"/>
    <x v="7"/>
    <x v="0"/>
    <x v="0"/>
    <x v="0"/>
    <x v="0"/>
    <x v="0"/>
    <x v="1"/>
    <x v="0"/>
    <x v="3"/>
    <x v="1"/>
  </r>
  <r>
    <x v="0"/>
    <x v="262"/>
    <x v="0"/>
    <x v="0"/>
    <x v="77"/>
    <x v="95"/>
    <x v="40"/>
    <x v="95"/>
    <x v="86"/>
    <x v="1"/>
    <x v="9"/>
    <x v="17"/>
    <x v="12"/>
    <x v="33"/>
    <x v="3"/>
    <x v="0"/>
    <x v="0"/>
    <x v="90"/>
    <x v="7"/>
    <x v="115"/>
    <x v="1"/>
    <x v="113"/>
    <x v="0"/>
    <x v="0"/>
    <x v="0"/>
    <x v="10"/>
    <x v="66"/>
    <x v="70"/>
    <x v="90"/>
    <x v="118"/>
    <x v="0"/>
    <x v="115"/>
    <x v="9"/>
    <x v="112"/>
    <x v="13"/>
    <x v="13"/>
    <x v="0"/>
    <x v="0"/>
    <x v="192"/>
    <x v="1"/>
    <x v="2"/>
    <x v="2"/>
    <x v="0"/>
    <x v="1"/>
    <x v="73"/>
    <x v="9"/>
    <x v="1"/>
    <x v="0"/>
    <x v="115"/>
    <x v="0"/>
    <x v="0"/>
    <x v="0"/>
    <x v="0"/>
    <x v="90"/>
    <x v="0"/>
    <x v="0"/>
    <x v="4"/>
    <x v="15"/>
    <x v="2"/>
    <x v="1"/>
    <x v="1"/>
    <x v="0"/>
    <x v="0"/>
    <x v="1"/>
    <x v="0"/>
    <x v="1"/>
    <x v="1"/>
  </r>
  <r>
    <x v="0"/>
    <x v="263"/>
    <x v="0"/>
    <x v="0"/>
    <x v="28"/>
    <x v="107"/>
    <x v="28"/>
    <x v="107"/>
    <x v="16"/>
    <x v="1"/>
    <x v="8"/>
    <x v="1"/>
    <x v="0"/>
    <x v="14"/>
    <x v="22"/>
    <x v="0"/>
    <x v="0"/>
    <x v="102"/>
    <x v="2"/>
    <x v="116"/>
    <x v="1"/>
    <x v="114"/>
    <x v="0"/>
    <x v="12"/>
    <x v="7"/>
    <x v="12"/>
    <x v="60"/>
    <x v="59"/>
    <x v="102"/>
    <x v="119"/>
    <x v="1"/>
    <x v="116"/>
    <x v="2"/>
    <x v="113"/>
    <x v="170"/>
    <x v="108"/>
    <x v="0"/>
    <x v="0"/>
    <x v="193"/>
    <x v="1"/>
    <x v="22"/>
    <x v="1"/>
    <x v="0"/>
    <x v="7"/>
    <x v="85"/>
    <x v="179"/>
    <x v="30"/>
    <x v="0"/>
    <x v="116"/>
    <x v="0"/>
    <x v="0"/>
    <x v="0"/>
    <x v="0"/>
    <x v="102"/>
    <x v="0"/>
    <x v="3"/>
    <x v="20"/>
    <x v="5"/>
    <x v="1"/>
    <x v="1"/>
    <x v="0"/>
    <x v="0"/>
    <x v="0"/>
    <x v="0"/>
    <x v="0"/>
    <x v="0"/>
    <x v="1"/>
  </r>
  <r>
    <x v="0"/>
    <x v="264"/>
    <x v="0"/>
    <x v="0"/>
    <x v="6"/>
    <x v="108"/>
    <x v="4"/>
    <x v="108"/>
    <x v="97"/>
    <x v="1"/>
    <x v="4"/>
    <x v="18"/>
    <x v="0"/>
    <x v="35"/>
    <x v="29"/>
    <x v="0"/>
    <x v="0"/>
    <x v="103"/>
    <x v="8"/>
    <x v="117"/>
    <x v="1"/>
    <x v="115"/>
    <x v="0"/>
    <x v="2"/>
    <x v="4"/>
    <x v="65"/>
    <x v="76"/>
    <x v="76"/>
    <x v="103"/>
    <x v="120"/>
    <x v="0"/>
    <x v="117"/>
    <x v="10"/>
    <x v="114"/>
    <x v="13"/>
    <x v="13"/>
    <x v="0"/>
    <x v="0"/>
    <x v="194"/>
    <x v="1"/>
    <x v="30"/>
    <x v="2"/>
    <x v="0"/>
    <x v="1"/>
    <x v="86"/>
    <x v="9"/>
    <x v="1"/>
    <x v="0"/>
    <x v="117"/>
    <x v="0"/>
    <x v="0"/>
    <x v="0"/>
    <x v="0"/>
    <x v="103"/>
    <x v="0"/>
    <x v="1"/>
    <x v="22"/>
    <x v="6"/>
    <x v="1"/>
    <x v="0"/>
    <x v="1"/>
    <x v="0"/>
    <x v="0"/>
    <x v="1"/>
    <x v="0"/>
    <x v="4"/>
    <x v="1"/>
  </r>
  <r>
    <x v="0"/>
    <x v="265"/>
    <x v="0"/>
    <x v="0"/>
    <x v="78"/>
    <x v="109"/>
    <x v="3"/>
    <x v="109"/>
    <x v="98"/>
    <x v="2"/>
    <x v="3"/>
    <x v="1"/>
    <x v="1"/>
    <x v="3"/>
    <x v="3"/>
    <x v="0"/>
    <x v="0"/>
    <x v="104"/>
    <x v="2"/>
    <x v="118"/>
    <x v="1"/>
    <x v="116"/>
    <x v="0"/>
    <x v="1"/>
    <x v="4"/>
    <x v="10"/>
    <x v="42"/>
    <x v="8"/>
    <x v="104"/>
    <x v="121"/>
    <x v="1"/>
    <x v="118"/>
    <x v="2"/>
    <x v="115"/>
    <x v="141"/>
    <x v="96"/>
    <x v="0"/>
    <x v="0"/>
    <x v="195"/>
    <x v="1"/>
    <x v="2"/>
    <x v="1"/>
    <x v="0"/>
    <x v="6"/>
    <x v="87"/>
    <x v="180"/>
    <x v="30"/>
    <x v="0"/>
    <x v="118"/>
    <x v="0"/>
    <x v="0"/>
    <x v="0"/>
    <x v="0"/>
    <x v="104"/>
    <x v="0"/>
    <x v="0"/>
    <x v="4"/>
    <x v="2"/>
    <x v="2"/>
    <x v="1"/>
    <x v="0"/>
    <x v="0"/>
    <x v="0"/>
    <x v="0"/>
    <x v="0"/>
    <x v="0"/>
    <x v="3"/>
  </r>
  <r>
    <x v="0"/>
    <x v="266"/>
    <x v="0"/>
    <x v="0"/>
    <x v="78"/>
    <x v="109"/>
    <x v="3"/>
    <x v="109"/>
    <x v="98"/>
    <x v="2"/>
    <x v="3"/>
    <x v="1"/>
    <x v="1"/>
    <x v="3"/>
    <x v="3"/>
    <x v="0"/>
    <x v="0"/>
    <x v="104"/>
    <x v="2"/>
    <x v="118"/>
    <x v="1"/>
    <x v="116"/>
    <x v="0"/>
    <x v="1"/>
    <x v="4"/>
    <x v="10"/>
    <x v="42"/>
    <x v="8"/>
    <x v="104"/>
    <x v="121"/>
    <x v="1"/>
    <x v="118"/>
    <x v="2"/>
    <x v="115"/>
    <x v="144"/>
    <x v="97"/>
    <x v="0"/>
    <x v="0"/>
    <x v="196"/>
    <x v="1"/>
    <x v="2"/>
    <x v="1"/>
    <x v="0"/>
    <x v="6"/>
    <x v="87"/>
    <x v="181"/>
    <x v="30"/>
    <x v="0"/>
    <x v="118"/>
    <x v="0"/>
    <x v="0"/>
    <x v="0"/>
    <x v="0"/>
    <x v="104"/>
    <x v="0"/>
    <x v="0"/>
    <x v="4"/>
    <x v="2"/>
    <x v="2"/>
    <x v="1"/>
    <x v="0"/>
    <x v="0"/>
    <x v="0"/>
    <x v="0"/>
    <x v="0"/>
    <x v="0"/>
    <x v="3"/>
  </r>
  <r>
    <x v="0"/>
    <x v="267"/>
    <x v="0"/>
    <x v="0"/>
    <x v="78"/>
    <x v="109"/>
    <x v="3"/>
    <x v="109"/>
    <x v="98"/>
    <x v="2"/>
    <x v="3"/>
    <x v="1"/>
    <x v="1"/>
    <x v="3"/>
    <x v="3"/>
    <x v="0"/>
    <x v="0"/>
    <x v="104"/>
    <x v="2"/>
    <x v="118"/>
    <x v="1"/>
    <x v="116"/>
    <x v="0"/>
    <x v="1"/>
    <x v="4"/>
    <x v="10"/>
    <x v="42"/>
    <x v="8"/>
    <x v="104"/>
    <x v="121"/>
    <x v="1"/>
    <x v="118"/>
    <x v="2"/>
    <x v="115"/>
    <x v="171"/>
    <x v="6"/>
    <x v="0"/>
    <x v="0"/>
    <x v="197"/>
    <x v="1"/>
    <x v="2"/>
    <x v="1"/>
    <x v="0"/>
    <x v="6"/>
    <x v="87"/>
    <x v="182"/>
    <x v="30"/>
    <x v="0"/>
    <x v="118"/>
    <x v="0"/>
    <x v="0"/>
    <x v="0"/>
    <x v="0"/>
    <x v="104"/>
    <x v="0"/>
    <x v="0"/>
    <x v="4"/>
    <x v="2"/>
    <x v="2"/>
    <x v="1"/>
    <x v="0"/>
    <x v="0"/>
    <x v="0"/>
    <x v="0"/>
    <x v="0"/>
    <x v="0"/>
    <x v="3"/>
  </r>
  <r>
    <x v="0"/>
    <x v="268"/>
    <x v="0"/>
    <x v="0"/>
    <x v="79"/>
    <x v="110"/>
    <x v="3"/>
    <x v="110"/>
    <x v="99"/>
    <x v="14"/>
    <x v="3"/>
    <x v="0"/>
    <x v="1"/>
    <x v="36"/>
    <x v="3"/>
    <x v="0"/>
    <x v="0"/>
    <x v="105"/>
    <x v="0"/>
    <x v="119"/>
    <x v="1"/>
    <x v="117"/>
    <x v="0"/>
    <x v="0"/>
    <x v="1"/>
    <x v="12"/>
    <x v="77"/>
    <x v="77"/>
    <x v="105"/>
    <x v="122"/>
    <x v="0"/>
    <x v="119"/>
    <x v="0"/>
    <x v="116"/>
    <x v="172"/>
    <x v="17"/>
    <x v="0"/>
    <x v="0"/>
    <x v="176"/>
    <x v="1"/>
    <x v="2"/>
    <x v="1"/>
    <x v="0"/>
    <x v="3"/>
    <x v="88"/>
    <x v="183"/>
    <x v="30"/>
    <x v="0"/>
    <x v="119"/>
    <x v="0"/>
    <x v="0"/>
    <x v="0"/>
    <x v="0"/>
    <x v="105"/>
    <x v="0"/>
    <x v="1"/>
    <x v="34"/>
    <x v="0"/>
    <x v="0"/>
    <x v="0"/>
    <x v="0"/>
    <x v="0"/>
    <x v="0"/>
    <x v="0"/>
    <x v="0"/>
    <x v="0"/>
    <x v="13"/>
  </r>
  <r>
    <x v="0"/>
    <x v="269"/>
    <x v="0"/>
    <x v="0"/>
    <x v="79"/>
    <x v="110"/>
    <x v="3"/>
    <x v="110"/>
    <x v="99"/>
    <x v="14"/>
    <x v="3"/>
    <x v="0"/>
    <x v="1"/>
    <x v="36"/>
    <x v="3"/>
    <x v="0"/>
    <x v="0"/>
    <x v="105"/>
    <x v="0"/>
    <x v="119"/>
    <x v="1"/>
    <x v="117"/>
    <x v="0"/>
    <x v="0"/>
    <x v="1"/>
    <x v="12"/>
    <x v="77"/>
    <x v="77"/>
    <x v="105"/>
    <x v="122"/>
    <x v="0"/>
    <x v="119"/>
    <x v="0"/>
    <x v="116"/>
    <x v="163"/>
    <x v="104"/>
    <x v="0"/>
    <x v="0"/>
    <x v="178"/>
    <x v="1"/>
    <x v="2"/>
    <x v="1"/>
    <x v="0"/>
    <x v="3"/>
    <x v="88"/>
    <x v="184"/>
    <x v="30"/>
    <x v="0"/>
    <x v="119"/>
    <x v="0"/>
    <x v="0"/>
    <x v="0"/>
    <x v="0"/>
    <x v="105"/>
    <x v="0"/>
    <x v="1"/>
    <x v="34"/>
    <x v="0"/>
    <x v="0"/>
    <x v="0"/>
    <x v="0"/>
    <x v="0"/>
    <x v="0"/>
    <x v="0"/>
    <x v="0"/>
    <x v="0"/>
    <x v="13"/>
  </r>
  <r>
    <x v="0"/>
    <x v="270"/>
    <x v="0"/>
    <x v="0"/>
    <x v="79"/>
    <x v="110"/>
    <x v="3"/>
    <x v="110"/>
    <x v="99"/>
    <x v="14"/>
    <x v="3"/>
    <x v="0"/>
    <x v="1"/>
    <x v="36"/>
    <x v="3"/>
    <x v="0"/>
    <x v="0"/>
    <x v="105"/>
    <x v="0"/>
    <x v="119"/>
    <x v="1"/>
    <x v="117"/>
    <x v="0"/>
    <x v="0"/>
    <x v="1"/>
    <x v="12"/>
    <x v="77"/>
    <x v="77"/>
    <x v="105"/>
    <x v="122"/>
    <x v="0"/>
    <x v="119"/>
    <x v="0"/>
    <x v="116"/>
    <x v="148"/>
    <x v="98"/>
    <x v="0"/>
    <x v="0"/>
    <x v="177"/>
    <x v="1"/>
    <x v="2"/>
    <x v="1"/>
    <x v="0"/>
    <x v="3"/>
    <x v="88"/>
    <x v="185"/>
    <x v="30"/>
    <x v="0"/>
    <x v="119"/>
    <x v="0"/>
    <x v="0"/>
    <x v="0"/>
    <x v="0"/>
    <x v="105"/>
    <x v="0"/>
    <x v="1"/>
    <x v="34"/>
    <x v="0"/>
    <x v="0"/>
    <x v="0"/>
    <x v="0"/>
    <x v="0"/>
    <x v="0"/>
    <x v="0"/>
    <x v="0"/>
    <x v="0"/>
    <x v="13"/>
  </r>
  <r>
    <x v="0"/>
    <x v="271"/>
    <x v="0"/>
    <x v="0"/>
    <x v="79"/>
    <x v="110"/>
    <x v="3"/>
    <x v="110"/>
    <x v="99"/>
    <x v="14"/>
    <x v="3"/>
    <x v="0"/>
    <x v="1"/>
    <x v="36"/>
    <x v="3"/>
    <x v="0"/>
    <x v="0"/>
    <x v="105"/>
    <x v="0"/>
    <x v="119"/>
    <x v="1"/>
    <x v="117"/>
    <x v="0"/>
    <x v="0"/>
    <x v="1"/>
    <x v="12"/>
    <x v="77"/>
    <x v="77"/>
    <x v="105"/>
    <x v="122"/>
    <x v="0"/>
    <x v="119"/>
    <x v="0"/>
    <x v="116"/>
    <x v="161"/>
    <x v="103"/>
    <x v="0"/>
    <x v="0"/>
    <x v="175"/>
    <x v="1"/>
    <x v="2"/>
    <x v="1"/>
    <x v="0"/>
    <x v="3"/>
    <x v="88"/>
    <x v="186"/>
    <x v="30"/>
    <x v="0"/>
    <x v="119"/>
    <x v="0"/>
    <x v="0"/>
    <x v="0"/>
    <x v="0"/>
    <x v="105"/>
    <x v="0"/>
    <x v="1"/>
    <x v="34"/>
    <x v="0"/>
    <x v="0"/>
    <x v="0"/>
    <x v="0"/>
    <x v="0"/>
    <x v="0"/>
    <x v="0"/>
    <x v="0"/>
    <x v="0"/>
    <x v="13"/>
  </r>
  <r>
    <x v="0"/>
    <x v="272"/>
    <x v="0"/>
    <x v="0"/>
    <x v="79"/>
    <x v="110"/>
    <x v="3"/>
    <x v="110"/>
    <x v="99"/>
    <x v="14"/>
    <x v="3"/>
    <x v="0"/>
    <x v="1"/>
    <x v="36"/>
    <x v="3"/>
    <x v="0"/>
    <x v="0"/>
    <x v="105"/>
    <x v="0"/>
    <x v="119"/>
    <x v="1"/>
    <x v="117"/>
    <x v="0"/>
    <x v="0"/>
    <x v="1"/>
    <x v="12"/>
    <x v="77"/>
    <x v="77"/>
    <x v="105"/>
    <x v="122"/>
    <x v="0"/>
    <x v="119"/>
    <x v="0"/>
    <x v="116"/>
    <x v="149"/>
    <x v="99"/>
    <x v="0"/>
    <x v="0"/>
    <x v="181"/>
    <x v="1"/>
    <x v="2"/>
    <x v="1"/>
    <x v="0"/>
    <x v="3"/>
    <x v="88"/>
    <x v="187"/>
    <x v="30"/>
    <x v="0"/>
    <x v="119"/>
    <x v="0"/>
    <x v="0"/>
    <x v="0"/>
    <x v="0"/>
    <x v="105"/>
    <x v="0"/>
    <x v="1"/>
    <x v="34"/>
    <x v="0"/>
    <x v="0"/>
    <x v="0"/>
    <x v="0"/>
    <x v="0"/>
    <x v="0"/>
    <x v="0"/>
    <x v="0"/>
    <x v="0"/>
    <x v="13"/>
  </r>
  <r>
    <x v="0"/>
    <x v="273"/>
    <x v="0"/>
    <x v="0"/>
    <x v="79"/>
    <x v="110"/>
    <x v="3"/>
    <x v="110"/>
    <x v="99"/>
    <x v="14"/>
    <x v="3"/>
    <x v="0"/>
    <x v="1"/>
    <x v="36"/>
    <x v="3"/>
    <x v="0"/>
    <x v="0"/>
    <x v="105"/>
    <x v="0"/>
    <x v="119"/>
    <x v="1"/>
    <x v="117"/>
    <x v="0"/>
    <x v="0"/>
    <x v="1"/>
    <x v="12"/>
    <x v="77"/>
    <x v="77"/>
    <x v="105"/>
    <x v="122"/>
    <x v="0"/>
    <x v="119"/>
    <x v="0"/>
    <x v="116"/>
    <x v="150"/>
    <x v="100"/>
    <x v="0"/>
    <x v="0"/>
    <x v="180"/>
    <x v="1"/>
    <x v="2"/>
    <x v="1"/>
    <x v="0"/>
    <x v="3"/>
    <x v="88"/>
    <x v="188"/>
    <x v="30"/>
    <x v="0"/>
    <x v="119"/>
    <x v="0"/>
    <x v="0"/>
    <x v="0"/>
    <x v="0"/>
    <x v="105"/>
    <x v="0"/>
    <x v="1"/>
    <x v="34"/>
    <x v="0"/>
    <x v="0"/>
    <x v="0"/>
    <x v="0"/>
    <x v="0"/>
    <x v="0"/>
    <x v="0"/>
    <x v="0"/>
    <x v="0"/>
    <x v="13"/>
  </r>
  <r>
    <x v="0"/>
    <x v="274"/>
    <x v="0"/>
    <x v="0"/>
    <x v="79"/>
    <x v="110"/>
    <x v="3"/>
    <x v="110"/>
    <x v="99"/>
    <x v="14"/>
    <x v="3"/>
    <x v="0"/>
    <x v="1"/>
    <x v="36"/>
    <x v="3"/>
    <x v="0"/>
    <x v="0"/>
    <x v="105"/>
    <x v="0"/>
    <x v="119"/>
    <x v="1"/>
    <x v="117"/>
    <x v="0"/>
    <x v="0"/>
    <x v="1"/>
    <x v="12"/>
    <x v="77"/>
    <x v="77"/>
    <x v="105"/>
    <x v="122"/>
    <x v="0"/>
    <x v="119"/>
    <x v="0"/>
    <x v="116"/>
    <x v="173"/>
    <x v="16"/>
    <x v="0"/>
    <x v="0"/>
    <x v="198"/>
    <x v="1"/>
    <x v="2"/>
    <x v="1"/>
    <x v="0"/>
    <x v="3"/>
    <x v="88"/>
    <x v="189"/>
    <x v="30"/>
    <x v="0"/>
    <x v="119"/>
    <x v="0"/>
    <x v="0"/>
    <x v="0"/>
    <x v="0"/>
    <x v="105"/>
    <x v="0"/>
    <x v="1"/>
    <x v="34"/>
    <x v="0"/>
    <x v="0"/>
    <x v="0"/>
    <x v="0"/>
    <x v="0"/>
    <x v="0"/>
    <x v="0"/>
    <x v="0"/>
    <x v="0"/>
    <x v="13"/>
  </r>
  <r>
    <x v="0"/>
    <x v="275"/>
    <x v="0"/>
    <x v="0"/>
    <x v="79"/>
    <x v="110"/>
    <x v="3"/>
    <x v="110"/>
    <x v="99"/>
    <x v="14"/>
    <x v="3"/>
    <x v="0"/>
    <x v="1"/>
    <x v="36"/>
    <x v="3"/>
    <x v="0"/>
    <x v="0"/>
    <x v="105"/>
    <x v="0"/>
    <x v="119"/>
    <x v="1"/>
    <x v="117"/>
    <x v="0"/>
    <x v="0"/>
    <x v="1"/>
    <x v="12"/>
    <x v="77"/>
    <x v="77"/>
    <x v="105"/>
    <x v="122"/>
    <x v="0"/>
    <x v="119"/>
    <x v="0"/>
    <x v="116"/>
    <x v="165"/>
    <x v="106"/>
    <x v="0"/>
    <x v="0"/>
    <x v="199"/>
    <x v="1"/>
    <x v="2"/>
    <x v="1"/>
    <x v="0"/>
    <x v="3"/>
    <x v="88"/>
    <x v="190"/>
    <x v="30"/>
    <x v="0"/>
    <x v="119"/>
    <x v="0"/>
    <x v="0"/>
    <x v="0"/>
    <x v="0"/>
    <x v="105"/>
    <x v="0"/>
    <x v="1"/>
    <x v="34"/>
    <x v="0"/>
    <x v="0"/>
    <x v="0"/>
    <x v="0"/>
    <x v="0"/>
    <x v="0"/>
    <x v="0"/>
    <x v="0"/>
    <x v="0"/>
    <x v="13"/>
  </r>
  <r>
    <x v="0"/>
    <x v="276"/>
    <x v="0"/>
    <x v="0"/>
    <x v="79"/>
    <x v="110"/>
    <x v="3"/>
    <x v="110"/>
    <x v="99"/>
    <x v="14"/>
    <x v="3"/>
    <x v="0"/>
    <x v="1"/>
    <x v="36"/>
    <x v="3"/>
    <x v="0"/>
    <x v="0"/>
    <x v="105"/>
    <x v="0"/>
    <x v="119"/>
    <x v="1"/>
    <x v="117"/>
    <x v="0"/>
    <x v="0"/>
    <x v="1"/>
    <x v="12"/>
    <x v="77"/>
    <x v="77"/>
    <x v="105"/>
    <x v="122"/>
    <x v="0"/>
    <x v="119"/>
    <x v="0"/>
    <x v="116"/>
    <x v="164"/>
    <x v="105"/>
    <x v="0"/>
    <x v="0"/>
    <x v="179"/>
    <x v="1"/>
    <x v="2"/>
    <x v="1"/>
    <x v="0"/>
    <x v="3"/>
    <x v="88"/>
    <x v="191"/>
    <x v="30"/>
    <x v="0"/>
    <x v="119"/>
    <x v="0"/>
    <x v="0"/>
    <x v="0"/>
    <x v="0"/>
    <x v="105"/>
    <x v="0"/>
    <x v="1"/>
    <x v="34"/>
    <x v="0"/>
    <x v="0"/>
    <x v="0"/>
    <x v="0"/>
    <x v="0"/>
    <x v="0"/>
    <x v="0"/>
    <x v="0"/>
    <x v="0"/>
    <x v="13"/>
  </r>
  <r>
    <x v="0"/>
    <x v="277"/>
    <x v="0"/>
    <x v="0"/>
    <x v="79"/>
    <x v="110"/>
    <x v="3"/>
    <x v="110"/>
    <x v="99"/>
    <x v="14"/>
    <x v="3"/>
    <x v="0"/>
    <x v="1"/>
    <x v="36"/>
    <x v="3"/>
    <x v="0"/>
    <x v="0"/>
    <x v="105"/>
    <x v="0"/>
    <x v="119"/>
    <x v="1"/>
    <x v="117"/>
    <x v="0"/>
    <x v="0"/>
    <x v="1"/>
    <x v="12"/>
    <x v="77"/>
    <x v="77"/>
    <x v="105"/>
    <x v="122"/>
    <x v="0"/>
    <x v="119"/>
    <x v="0"/>
    <x v="116"/>
    <x v="174"/>
    <x v="55"/>
    <x v="0"/>
    <x v="0"/>
    <x v="33"/>
    <x v="1"/>
    <x v="2"/>
    <x v="1"/>
    <x v="0"/>
    <x v="3"/>
    <x v="88"/>
    <x v="9"/>
    <x v="30"/>
    <x v="0"/>
    <x v="119"/>
    <x v="0"/>
    <x v="0"/>
    <x v="0"/>
    <x v="0"/>
    <x v="105"/>
    <x v="0"/>
    <x v="1"/>
    <x v="34"/>
    <x v="0"/>
    <x v="0"/>
    <x v="0"/>
    <x v="0"/>
    <x v="0"/>
    <x v="0"/>
    <x v="1"/>
    <x v="0"/>
    <x v="0"/>
    <x v="13"/>
  </r>
  <r>
    <x v="0"/>
    <x v="278"/>
    <x v="0"/>
    <x v="0"/>
    <x v="80"/>
    <x v="111"/>
    <x v="41"/>
    <x v="111"/>
    <x v="100"/>
    <x v="0"/>
    <x v="1"/>
    <x v="0"/>
    <x v="0"/>
    <x v="0"/>
    <x v="30"/>
    <x v="0"/>
    <x v="0"/>
    <x v="106"/>
    <x v="0"/>
    <x v="120"/>
    <x v="0"/>
    <x v="118"/>
    <x v="0"/>
    <x v="0"/>
    <x v="1"/>
    <x v="66"/>
    <x v="78"/>
    <x v="10"/>
    <x v="106"/>
    <x v="123"/>
    <x v="0"/>
    <x v="120"/>
    <x v="0"/>
    <x v="117"/>
    <x v="78"/>
    <x v="61"/>
    <x v="0"/>
    <x v="0"/>
    <x v="200"/>
    <x v="1"/>
    <x v="31"/>
    <x v="0"/>
    <x v="0"/>
    <x v="6"/>
    <x v="89"/>
    <x v="192"/>
    <x v="19"/>
    <x v="0"/>
    <x v="120"/>
    <x v="0"/>
    <x v="0"/>
    <x v="0"/>
    <x v="0"/>
    <x v="106"/>
    <x v="0"/>
    <x v="1"/>
    <x v="1"/>
    <x v="0"/>
    <x v="0"/>
    <x v="0"/>
    <x v="0"/>
    <x v="0"/>
    <x v="0"/>
    <x v="0"/>
    <x v="0"/>
    <x v="3"/>
    <x v="0"/>
  </r>
  <r>
    <x v="0"/>
    <x v="279"/>
    <x v="0"/>
    <x v="0"/>
    <x v="80"/>
    <x v="111"/>
    <x v="41"/>
    <x v="111"/>
    <x v="100"/>
    <x v="0"/>
    <x v="1"/>
    <x v="0"/>
    <x v="0"/>
    <x v="0"/>
    <x v="30"/>
    <x v="0"/>
    <x v="0"/>
    <x v="106"/>
    <x v="0"/>
    <x v="120"/>
    <x v="0"/>
    <x v="118"/>
    <x v="0"/>
    <x v="0"/>
    <x v="1"/>
    <x v="66"/>
    <x v="78"/>
    <x v="10"/>
    <x v="106"/>
    <x v="123"/>
    <x v="0"/>
    <x v="120"/>
    <x v="0"/>
    <x v="117"/>
    <x v="81"/>
    <x v="64"/>
    <x v="0"/>
    <x v="0"/>
    <x v="201"/>
    <x v="1"/>
    <x v="31"/>
    <x v="0"/>
    <x v="0"/>
    <x v="6"/>
    <x v="89"/>
    <x v="193"/>
    <x v="19"/>
    <x v="0"/>
    <x v="120"/>
    <x v="0"/>
    <x v="0"/>
    <x v="0"/>
    <x v="0"/>
    <x v="106"/>
    <x v="0"/>
    <x v="1"/>
    <x v="1"/>
    <x v="0"/>
    <x v="0"/>
    <x v="0"/>
    <x v="0"/>
    <x v="0"/>
    <x v="0"/>
    <x v="0"/>
    <x v="0"/>
    <x v="3"/>
    <x v="0"/>
  </r>
  <r>
    <x v="0"/>
    <x v="280"/>
    <x v="0"/>
    <x v="0"/>
    <x v="80"/>
    <x v="111"/>
    <x v="41"/>
    <x v="111"/>
    <x v="100"/>
    <x v="0"/>
    <x v="1"/>
    <x v="0"/>
    <x v="0"/>
    <x v="0"/>
    <x v="30"/>
    <x v="0"/>
    <x v="0"/>
    <x v="106"/>
    <x v="0"/>
    <x v="120"/>
    <x v="0"/>
    <x v="118"/>
    <x v="0"/>
    <x v="0"/>
    <x v="1"/>
    <x v="66"/>
    <x v="78"/>
    <x v="10"/>
    <x v="106"/>
    <x v="123"/>
    <x v="0"/>
    <x v="120"/>
    <x v="0"/>
    <x v="117"/>
    <x v="64"/>
    <x v="54"/>
    <x v="0"/>
    <x v="0"/>
    <x v="202"/>
    <x v="1"/>
    <x v="31"/>
    <x v="0"/>
    <x v="0"/>
    <x v="6"/>
    <x v="89"/>
    <x v="194"/>
    <x v="19"/>
    <x v="0"/>
    <x v="120"/>
    <x v="0"/>
    <x v="0"/>
    <x v="0"/>
    <x v="0"/>
    <x v="106"/>
    <x v="0"/>
    <x v="1"/>
    <x v="1"/>
    <x v="0"/>
    <x v="0"/>
    <x v="0"/>
    <x v="0"/>
    <x v="0"/>
    <x v="0"/>
    <x v="0"/>
    <x v="0"/>
    <x v="3"/>
    <x v="0"/>
  </r>
  <r>
    <x v="0"/>
    <x v="281"/>
    <x v="0"/>
    <x v="0"/>
    <x v="80"/>
    <x v="111"/>
    <x v="41"/>
    <x v="111"/>
    <x v="100"/>
    <x v="0"/>
    <x v="1"/>
    <x v="0"/>
    <x v="0"/>
    <x v="0"/>
    <x v="30"/>
    <x v="0"/>
    <x v="0"/>
    <x v="106"/>
    <x v="0"/>
    <x v="120"/>
    <x v="0"/>
    <x v="118"/>
    <x v="0"/>
    <x v="0"/>
    <x v="1"/>
    <x v="66"/>
    <x v="78"/>
    <x v="10"/>
    <x v="106"/>
    <x v="123"/>
    <x v="0"/>
    <x v="120"/>
    <x v="0"/>
    <x v="117"/>
    <x v="80"/>
    <x v="63"/>
    <x v="0"/>
    <x v="0"/>
    <x v="203"/>
    <x v="1"/>
    <x v="31"/>
    <x v="0"/>
    <x v="0"/>
    <x v="6"/>
    <x v="89"/>
    <x v="195"/>
    <x v="19"/>
    <x v="0"/>
    <x v="120"/>
    <x v="0"/>
    <x v="0"/>
    <x v="0"/>
    <x v="0"/>
    <x v="106"/>
    <x v="0"/>
    <x v="1"/>
    <x v="1"/>
    <x v="0"/>
    <x v="0"/>
    <x v="0"/>
    <x v="0"/>
    <x v="0"/>
    <x v="0"/>
    <x v="0"/>
    <x v="0"/>
    <x v="3"/>
    <x v="0"/>
  </r>
  <r>
    <x v="0"/>
    <x v="282"/>
    <x v="0"/>
    <x v="0"/>
    <x v="80"/>
    <x v="111"/>
    <x v="41"/>
    <x v="111"/>
    <x v="100"/>
    <x v="0"/>
    <x v="1"/>
    <x v="0"/>
    <x v="0"/>
    <x v="0"/>
    <x v="30"/>
    <x v="0"/>
    <x v="0"/>
    <x v="106"/>
    <x v="0"/>
    <x v="120"/>
    <x v="0"/>
    <x v="118"/>
    <x v="0"/>
    <x v="0"/>
    <x v="1"/>
    <x v="66"/>
    <x v="78"/>
    <x v="10"/>
    <x v="106"/>
    <x v="123"/>
    <x v="0"/>
    <x v="120"/>
    <x v="0"/>
    <x v="117"/>
    <x v="63"/>
    <x v="53"/>
    <x v="0"/>
    <x v="0"/>
    <x v="204"/>
    <x v="1"/>
    <x v="31"/>
    <x v="0"/>
    <x v="0"/>
    <x v="6"/>
    <x v="89"/>
    <x v="196"/>
    <x v="19"/>
    <x v="0"/>
    <x v="120"/>
    <x v="0"/>
    <x v="0"/>
    <x v="0"/>
    <x v="0"/>
    <x v="106"/>
    <x v="0"/>
    <x v="1"/>
    <x v="1"/>
    <x v="0"/>
    <x v="0"/>
    <x v="0"/>
    <x v="0"/>
    <x v="0"/>
    <x v="0"/>
    <x v="0"/>
    <x v="0"/>
    <x v="3"/>
    <x v="0"/>
  </r>
  <r>
    <x v="0"/>
    <x v="283"/>
    <x v="0"/>
    <x v="0"/>
    <x v="80"/>
    <x v="111"/>
    <x v="41"/>
    <x v="111"/>
    <x v="100"/>
    <x v="0"/>
    <x v="1"/>
    <x v="0"/>
    <x v="0"/>
    <x v="0"/>
    <x v="30"/>
    <x v="0"/>
    <x v="0"/>
    <x v="106"/>
    <x v="0"/>
    <x v="120"/>
    <x v="0"/>
    <x v="118"/>
    <x v="0"/>
    <x v="0"/>
    <x v="1"/>
    <x v="66"/>
    <x v="78"/>
    <x v="10"/>
    <x v="106"/>
    <x v="123"/>
    <x v="0"/>
    <x v="120"/>
    <x v="0"/>
    <x v="117"/>
    <x v="79"/>
    <x v="62"/>
    <x v="0"/>
    <x v="0"/>
    <x v="205"/>
    <x v="1"/>
    <x v="31"/>
    <x v="0"/>
    <x v="0"/>
    <x v="6"/>
    <x v="89"/>
    <x v="197"/>
    <x v="19"/>
    <x v="0"/>
    <x v="120"/>
    <x v="0"/>
    <x v="0"/>
    <x v="0"/>
    <x v="0"/>
    <x v="106"/>
    <x v="0"/>
    <x v="1"/>
    <x v="1"/>
    <x v="0"/>
    <x v="0"/>
    <x v="0"/>
    <x v="0"/>
    <x v="0"/>
    <x v="0"/>
    <x v="0"/>
    <x v="0"/>
    <x v="3"/>
    <x v="0"/>
  </r>
  <r>
    <x v="0"/>
    <x v="284"/>
    <x v="0"/>
    <x v="0"/>
    <x v="80"/>
    <x v="111"/>
    <x v="41"/>
    <x v="111"/>
    <x v="100"/>
    <x v="0"/>
    <x v="1"/>
    <x v="0"/>
    <x v="0"/>
    <x v="0"/>
    <x v="30"/>
    <x v="0"/>
    <x v="0"/>
    <x v="106"/>
    <x v="0"/>
    <x v="120"/>
    <x v="0"/>
    <x v="118"/>
    <x v="0"/>
    <x v="0"/>
    <x v="1"/>
    <x v="66"/>
    <x v="78"/>
    <x v="10"/>
    <x v="106"/>
    <x v="123"/>
    <x v="0"/>
    <x v="120"/>
    <x v="0"/>
    <x v="117"/>
    <x v="175"/>
    <x v="55"/>
    <x v="0"/>
    <x v="0"/>
    <x v="206"/>
    <x v="1"/>
    <x v="31"/>
    <x v="0"/>
    <x v="0"/>
    <x v="6"/>
    <x v="89"/>
    <x v="9"/>
    <x v="19"/>
    <x v="0"/>
    <x v="120"/>
    <x v="0"/>
    <x v="0"/>
    <x v="0"/>
    <x v="0"/>
    <x v="106"/>
    <x v="0"/>
    <x v="1"/>
    <x v="1"/>
    <x v="0"/>
    <x v="0"/>
    <x v="0"/>
    <x v="0"/>
    <x v="0"/>
    <x v="0"/>
    <x v="1"/>
    <x v="0"/>
    <x v="3"/>
    <x v="0"/>
  </r>
  <r>
    <x v="0"/>
    <x v="285"/>
    <x v="0"/>
    <x v="0"/>
    <x v="81"/>
    <x v="112"/>
    <x v="27"/>
    <x v="112"/>
    <x v="101"/>
    <x v="0"/>
    <x v="4"/>
    <x v="1"/>
    <x v="1"/>
    <x v="17"/>
    <x v="3"/>
    <x v="0"/>
    <x v="0"/>
    <x v="107"/>
    <x v="2"/>
    <x v="121"/>
    <x v="1"/>
    <x v="119"/>
    <x v="0"/>
    <x v="5"/>
    <x v="4"/>
    <x v="0"/>
    <x v="10"/>
    <x v="69"/>
    <x v="107"/>
    <x v="124"/>
    <x v="1"/>
    <x v="121"/>
    <x v="2"/>
    <x v="118"/>
    <x v="176"/>
    <x v="109"/>
    <x v="0"/>
    <x v="0"/>
    <x v="207"/>
    <x v="1"/>
    <x v="2"/>
    <x v="1"/>
    <x v="0"/>
    <x v="1"/>
    <x v="90"/>
    <x v="198"/>
    <x v="19"/>
    <x v="0"/>
    <x v="121"/>
    <x v="0"/>
    <x v="0"/>
    <x v="0"/>
    <x v="0"/>
    <x v="107"/>
    <x v="0"/>
    <x v="1"/>
    <x v="8"/>
    <x v="8"/>
    <x v="0"/>
    <x v="0"/>
    <x v="0"/>
    <x v="0"/>
    <x v="0"/>
    <x v="1"/>
    <x v="0"/>
    <x v="0"/>
    <x v="4"/>
  </r>
  <r>
    <x v="0"/>
    <x v="286"/>
    <x v="0"/>
    <x v="0"/>
    <x v="28"/>
    <x v="113"/>
    <x v="1"/>
    <x v="113"/>
    <x v="102"/>
    <x v="1"/>
    <x v="4"/>
    <x v="1"/>
    <x v="0"/>
    <x v="14"/>
    <x v="31"/>
    <x v="0"/>
    <x v="0"/>
    <x v="108"/>
    <x v="2"/>
    <x v="122"/>
    <x v="1"/>
    <x v="120"/>
    <x v="0"/>
    <x v="12"/>
    <x v="5"/>
    <x v="67"/>
    <x v="60"/>
    <x v="59"/>
    <x v="108"/>
    <x v="125"/>
    <x v="1"/>
    <x v="122"/>
    <x v="2"/>
    <x v="119"/>
    <x v="72"/>
    <x v="58"/>
    <x v="0"/>
    <x v="0"/>
    <x v="138"/>
    <x v="1"/>
    <x v="32"/>
    <x v="1"/>
    <x v="0"/>
    <x v="4"/>
    <x v="91"/>
    <x v="199"/>
    <x v="19"/>
    <x v="0"/>
    <x v="122"/>
    <x v="0"/>
    <x v="0"/>
    <x v="0"/>
    <x v="0"/>
    <x v="108"/>
    <x v="0"/>
    <x v="3"/>
    <x v="20"/>
    <x v="5"/>
    <x v="1"/>
    <x v="4"/>
    <x v="0"/>
    <x v="0"/>
    <x v="0"/>
    <x v="0"/>
    <x v="0"/>
    <x v="0"/>
    <x v="1"/>
  </r>
  <r>
    <x v="0"/>
    <x v="287"/>
    <x v="0"/>
    <x v="0"/>
    <x v="82"/>
    <x v="114"/>
    <x v="20"/>
    <x v="114"/>
    <x v="103"/>
    <x v="12"/>
    <x v="1"/>
    <x v="1"/>
    <x v="9"/>
    <x v="16"/>
    <x v="3"/>
    <x v="0"/>
    <x v="0"/>
    <x v="109"/>
    <x v="2"/>
    <x v="123"/>
    <x v="1"/>
    <x v="121"/>
    <x v="0"/>
    <x v="1"/>
    <x v="1"/>
    <x v="68"/>
    <x v="79"/>
    <x v="78"/>
    <x v="109"/>
    <x v="126"/>
    <x v="1"/>
    <x v="123"/>
    <x v="2"/>
    <x v="120"/>
    <x v="177"/>
    <x v="110"/>
    <x v="0"/>
    <x v="0"/>
    <x v="25"/>
    <x v="1"/>
    <x v="2"/>
    <x v="1"/>
    <x v="0"/>
    <x v="6"/>
    <x v="92"/>
    <x v="200"/>
    <x v="19"/>
    <x v="0"/>
    <x v="123"/>
    <x v="0"/>
    <x v="0"/>
    <x v="0"/>
    <x v="0"/>
    <x v="109"/>
    <x v="0"/>
    <x v="1"/>
    <x v="35"/>
    <x v="17"/>
    <x v="1"/>
    <x v="0"/>
    <x v="0"/>
    <x v="0"/>
    <x v="0"/>
    <x v="0"/>
    <x v="0"/>
    <x v="0"/>
    <x v="9"/>
  </r>
  <r>
    <x v="0"/>
    <x v="288"/>
    <x v="0"/>
    <x v="0"/>
    <x v="82"/>
    <x v="114"/>
    <x v="20"/>
    <x v="114"/>
    <x v="103"/>
    <x v="12"/>
    <x v="1"/>
    <x v="1"/>
    <x v="9"/>
    <x v="16"/>
    <x v="3"/>
    <x v="0"/>
    <x v="0"/>
    <x v="109"/>
    <x v="2"/>
    <x v="123"/>
    <x v="1"/>
    <x v="121"/>
    <x v="0"/>
    <x v="1"/>
    <x v="1"/>
    <x v="68"/>
    <x v="79"/>
    <x v="78"/>
    <x v="109"/>
    <x v="126"/>
    <x v="1"/>
    <x v="123"/>
    <x v="2"/>
    <x v="120"/>
    <x v="178"/>
    <x v="111"/>
    <x v="0"/>
    <x v="0"/>
    <x v="208"/>
    <x v="1"/>
    <x v="2"/>
    <x v="1"/>
    <x v="0"/>
    <x v="6"/>
    <x v="92"/>
    <x v="201"/>
    <x v="19"/>
    <x v="0"/>
    <x v="123"/>
    <x v="0"/>
    <x v="0"/>
    <x v="0"/>
    <x v="0"/>
    <x v="109"/>
    <x v="0"/>
    <x v="1"/>
    <x v="35"/>
    <x v="17"/>
    <x v="1"/>
    <x v="0"/>
    <x v="0"/>
    <x v="0"/>
    <x v="0"/>
    <x v="0"/>
    <x v="0"/>
    <x v="0"/>
    <x v="9"/>
  </r>
  <r>
    <x v="0"/>
    <x v="289"/>
    <x v="0"/>
    <x v="0"/>
    <x v="2"/>
    <x v="115"/>
    <x v="2"/>
    <x v="115"/>
    <x v="104"/>
    <x v="0"/>
    <x v="2"/>
    <x v="1"/>
    <x v="0"/>
    <x v="0"/>
    <x v="2"/>
    <x v="0"/>
    <x v="0"/>
    <x v="110"/>
    <x v="2"/>
    <x v="124"/>
    <x v="0"/>
    <x v="122"/>
    <x v="0"/>
    <x v="2"/>
    <x v="1"/>
    <x v="69"/>
    <x v="80"/>
    <x v="79"/>
    <x v="110"/>
    <x v="127"/>
    <x v="1"/>
    <x v="124"/>
    <x v="2"/>
    <x v="121"/>
    <x v="179"/>
    <x v="94"/>
    <x v="0"/>
    <x v="0"/>
    <x v="209"/>
    <x v="0"/>
    <x v="2"/>
    <x v="0"/>
    <x v="0"/>
    <x v="5"/>
    <x v="93"/>
    <x v="202"/>
    <x v="19"/>
    <x v="0"/>
    <x v="124"/>
    <x v="0"/>
    <x v="0"/>
    <x v="0"/>
    <x v="0"/>
    <x v="110"/>
    <x v="0"/>
    <x v="1"/>
    <x v="30"/>
    <x v="6"/>
    <x v="1"/>
    <x v="0"/>
    <x v="0"/>
    <x v="0"/>
    <x v="0"/>
    <x v="3"/>
    <x v="0"/>
    <x v="2"/>
    <x v="2"/>
  </r>
  <r>
    <x v="0"/>
    <x v="290"/>
    <x v="0"/>
    <x v="0"/>
    <x v="2"/>
    <x v="115"/>
    <x v="2"/>
    <x v="115"/>
    <x v="104"/>
    <x v="0"/>
    <x v="2"/>
    <x v="1"/>
    <x v="0"/>
    <x v="0"/>
    <x v="2"/>
    <x v="0"/>
    <x v="0"/>
    <x v="110"/>
    <x v="2"/>
    <x v="124"/>
    <x v="0"/>
    <x v="122"/>
    <x v="0"/>
    <x v="2"/>
    <x v="1"/>
    <x v="69"/>
    <x v="80"/>
    <x v="79"/>
    <x v="110"/>
    <x v="127"/>
    <x v="1"/>
    <x v="124"/>
    <x v="2"/>
    <x v="121"/>
    <x v="180"/>
    <x v="31"/>
    <x v="0"/>
    <x v="0"/>
    <x v="210"/>
    <x v="0"/>
    <x v="2"/>
    <x v="0"/>
    <x v="0"/>
    <x v="5"/>
    <x v="93"/>
    <x v="9"/>
    <x v="19"/>
    <x v="0"/>
    <x v="124"/>
    <x v="0"/>
    <x v="0"/>
    <x v="0"/>
    <x v="0"/>
    <x v="110"/>
    <x v="0"/>
    <x v="1"/>
    <x v="30"/>
    <x v="6"/>
    <x v="1"/>
    <x v="0"/>
    <x v="0"/>
    <x v="0"/>
    <x v="0"/>
    <x v="1"/>
    <x v="0"/>
    <x v="2"/>
    <x v="2"/>
  </r>
  <r>
    <x v="0"/>
    <x v="291"/>
    <x v="0"/>
    <x v="0"/>
    <x v="24"/>
    <x v="116"/>
    <x v="26"/>
    <x v="116"/>
    <x v="105"/>
    <x v="1"/>
    <x v="2"/>
    <x v="1"/>
    <x v="10"/>
    <x v="26"/>
    <x v="3"/>
    <x v="0"/>
    <x v="0"/>
    <x v="111"/>
    <x v="2"/>
    <x v="125"/>
    <x v="1"/>
    <x v="123"/>
    <x v="0"/>
    <x v="4"/>
    <x v="4"/>
    <x v="70"/>
    <x v="36"/>
    <x v="80"/>
    <x v="111"/>
    <x v="128"/>
    <x v="1"/>
    <x v="125"/>
    <x v="2"/>
    <x v="122"/>
    <x v="181"/>
    <x v="112"/>
    <x v="0"/>
    <x v="0"/>
    <x v="19"/>
    <x v="1"/>
    <x v="2"/>
    <x v="1"/>
    <x v="0"/>
    <x v="1"/>
    <x v="94"/>
    <x v="9"/>
    <x v="19"/>
    <x v="0"/>
    <x v="125"/>
    <x v="0"/>
    <x v="0"/>
    <x v="0"/>
    <x v="0"/>
    <x v="111"/>
    <x v="0"/>
    <x v="1"/>
    <x v="5"/>
    <x v="4"/>
    <x v="0"/>
    <x v="2"/>
    <x v="0"/>
    <x v="0"/>
    <x v="0"/>
    <x v="1"/>
    <x v="0"/>
    <x v="0"/>
    <x v="4"/>
  </r>
  <r>
    <x v="0"/>
    <x v="292"/>
    <x v="0"/>
    <x v="0"/>
    <x v="24"/>
    <x v="116"/>
    <x v="26"/>
    <x v="116"/>
    <x v="105"/>
    <x v="1"/>
    <x v="2"/>
    <x v="1"/>
    <x v="10"/>
    <x v="26"/>
    <x v="3"/>
    <x v="0"/>
    <x v="0"/>
    <x v="111"/>
    <x v="2"/>
    <x v="125"/>
    <x v="1"/>
    <x v="123"/>
    <x v="0"/>
    <x v="4"/>
    <x v="4"/>
    <x v="70"/>
    <x v="36"/>
    <x v="80"/>
    <x v="111"/>
    <x v="128"/>
    <x v="1"/>
    <x v="125"/>
    <x v="2"/>
    <x v="122"/>
    <x v="182"/>
    <x v="113"/>
    <x v="0"/>
    <x v="0"/>
    <x v="67"/>
    <x v="1"/>
    <x v="2"/>
    <x v="1"/>
    <x v="0"/>
    <x v="1"/>
    <x v="94"/>
    <x v="9"/>
    <x v="19"/>
    <x v="0"/>
    <x v="125"/>
    <x v="0"/>
    <x v="0"/>
    <x v="0"/>
    <x v="0"/>
    <x v="111"/>
    <x v="0"/>
    <x v="1"/>
    <x v="5"/>
    <x v="4"/>
    <x v="0"/>
    <x v="2"/>
    <x v="0"/>
    <x v="0"/>
    <x v="0"/>
    <x v="1"/>
    <x v="0"/>
    <x v="0"/>
    <x v="4"/>
  </r>
  <r>
    <x v="0"/>
    <x v="293"/>
    <x v="0"/>
    <x v="0"/>
    <x v="83"/>
    <x v="117"/>
    <x v="22"/>
    <x v="117"/>
    <x v="106"/>
    <x v="1"/>
    <x v="0"/>
    <x v="0"/>
    <x v="0"/>
    <x v="14"/>
    <x v="32"/>
    <x v="0"/>
    <x v="0"/>
    <x v="112"/>
    <x v="0"/>
    <x v="126"/>
    <x v="1"/>
    <x v="124"/>
    <x v="0"/>
    <x v="5"/>
    <x v="0"/>
    <x v="67"/>
    <x v="2"/>
    <x v="2"/>
    <x v="112"/>
    <x v="129"/>
    <x v="0"/>
    <x v="126"/>
    <x v="0"/>
    <x v="123"/>
    <x v="183"/>
    <x v="114"/>
    <x v="0"/>
    <x v="0"/>
    <x v="211"/>
    <x v="1"/>
    <x v="33"/>
    <x v="1"/>
    <x v="0"/>
    <x v="1"/>
    <x v="95"/>
    <x v="9"/>
    <x v="19"/>
    <x v="0"/>
    <x v="126"/>
    <x v="0"/>
    <x v="0"/>
    <x v="0"/>
    <x v="0"/>
    <x v="112"/>
    <x v="0"/>
    <x v="1"/>
    <x v="8"/>
    <x v="2"/>
    <x v="0"/>
    <x v="4"/>
    <x v="0"/>
    <x v="0"/>
    <x v="0"/>
    <x v="1"/>
    <x v="0"/>
    <x v="4"/>
    <x v="1"/>
  </r>
  <r>
    <x v="0"/>
    <x v="294"/>
    <x v="0"/>
    <x v="0"/>
    <x v="9"/>
    <x v="118"/>
    <x v="9"/>
    <x v="118"/>
    <x v="107"/>
    <x v="0"/>
    <x v="1"/>
    <x v="0"/>
    <x v="0"/>
    <x v="0"/>
    <x v="5"/>
    <x v="0"/>
    <x v="0"/>
    <x v="10"/>
    <x v="0"/>
    <x v="127"/>
    <x v="0"/>
    <x v="125"/>
    <x v="0"/>
    <x v="18"/>
    <x v="2"/>
    <x v="10"/>
    <x v="6"/>
    <x v="10"/>
    <x v="10"/>
    <x v="130"/>
    <x v="0"/>
    <x v="127"/>
    <x v="0"/>
    <x v="124"/>
    <x v="184"/>
    <x v="115"/>
    <x v="0"/>
    <x v="0"/>
    <x v="161"/>
    <x v="1"/>
    <x v="4"/>
    <x v="0"/>
    <x v="0"/>
    <x v="7"/>
    <x v="6"/>
    <x v="203"/>
    <x v="31"/>
    <x v="0"/>
    <x v="127"/>
    <x v="0"/>
    <x v="0"/>
    <x v="0"/>
    <x v="0"/>
    <x v="10"/>
    <x v="0"/>
    <x v="1"/>
    <x v="35"/>
    <x v="21"/>
    <x v="1"/>
    <x v="1"/>
    <x v="0"/>
    <x v="0"/>
    <x v="0"/>
    <x v="0"/>
    <x v="0"/>
    <x v="3"/>
    <x v="0"/>
  </r>
  <r>
    <x v="0"/>
    <x v="295"/>
    <x v="0"/>
    <x v="0"/>
    <x v="9"/>
    <x v="118"/>
    <x v="9"/>
    <x v="118"/>
    <x v="107"/>
    <x v="0"/>
    <x v="1"/>
    <x v="0"/>
    <x v="0"/>
    <x v="0"/>
    <x v="5"/>
    <x v="0"/>
    <x v="0"/>
    <x v="10"/>
    <x v="0"/>
    <x v="127"/>
    <x v="0"/>
    <x v="125"/>
    <x v="0"/>
    <x v="18"/>
    <x v="2"/>
    <x v="10"/>
    <x v="6"/>
    <x v="10"/>
    <x v="10"/>
    <x v="130"/>
    <x v="0"/>
    <x v="127"/>
    <x v="0"/>
    <x v="124"/>
    <x v="185"/>
    <x v="116"/>
    <x v="0"/>
    <x v="0"/>
    <x v="208"/>
    <x v="1"/>
    <x v="4"/>
    <x v="0"/>
    <x v="0"/>
    <x v="7"/>
    <x v="6"/>
    <x v="204"/>
    <x v="31"/>
    <x v="0"/>
    <x v="127"/>
    <x v="0"/>
    <x v="0"/>
    <x v="0"/>
    <x v="0"/>
    <x v="10"/>
    <x v="0"/>
    <x v="1"/>
    <x v="35"/>
    <x v="21"/>
    <x v="1"/>
    <x v="1"/>
    <x v="0"/>
    <x v="0"/>
    <x v="0"/>
    <x v="0"/>
    <x v="0"/>
    <x v="3"/>
    <x v="0"/>
  </r>
  <r>
    <x v="0"/>
    <x v="296"/>
    <x v="0"/>
    <x v="0"/>
    <x v="9"/>
    <x v="118"/>
    <x v="9"/>
    <x v="118"/>
    <x v="107"/>
    <x v="0"/>
    <x v="1"/>
    <x v="0"/>
    <x v="0"/>
    <x v="0"/>
    <x v="5"/>
    <x v="0"/>
    <x v="0"/>
    <x v="10"/>
    <x v="0"/>
    <x v="127"/>
    <x v="0"/>
    <x v="125"/>
    <x v="0"/>
    <x v="18"/>
    <x v="2"/>
    <x v="10"/>
    <x v="6"/>
    <x v="10"/>
    <x v="10"/>
    <x v="130"/>
    <x v="0"/>
    <x v="127"/>
    <x v="0"/>
    <x v="124"/>
    <x v="186"/>
    <x v="117"/>
    <x v="0"/>
    <x v="0"/>
    <x v="212"/>
    <x v="1"/>
    <x v="4"/>
    <x v="0"/>
    <x v="0"/>
    <x v="7"/>
    <x v="6"/>
    <x v="205"/>
    <x v="31"/>
    <x v="0"/>
    <x v="127"/>
    <x v="0"/>
    <x v="0"/>
    <x v="0"/>
    <x v="0"/>
    <x v="10"/>
    <x v="0"/>
    <x v="1"/>
    <x v="35"/>
    <x v="21"/>
    <x v="1"/>
    <x v="1"/>
    <x v="0"/>
    <x v="0"/>
    <x v="0"/>
    <x v="0"/>
    <x v="0"/>
    <x v="3"/>
    <x v="0"/>
  </r>
  <r>
    <x v="0"/>
    <x v="297"/>
    <x v="0"/>
    <x v="0"/>
    <x v="9"/>
    <x v="118"/>
    <x v="9"/>
    <x v="118"/>
    <x v="107"/>
    <x v="0"/>
    <x v="1"/>
    <x v="0"/>
    <x v="0"/>
    <x v="0"/>
    <x v="5"/>
    <x v="0"/>
    <x v="0"/>
    <x v="10"/>
    <x v="0"/>
    <x v="127"/>
    <x v="0"/>
    <x v="125"/>
    <x v="0"/>
    <x v="18"/>
    <x v="2"/>
    <x v="10"/>
    <x v="6"/>
    <x v="10"/>
    <x v="10"/>
    <x v="130"/>
    <x v="0"/>
    <x v="127"/>
    <x v="0"/>
    <x v="124"/>
    <x v="187"/>
    <x v="118"/>
    <x v="0"/>
    <x v="0"/>
    <x v="208"/>
    <x v="1"/>
    <x v="4"/>
    <x v="0"/>
    <x v="0"/>
    <x v="7"/>
    <x v="6"/>
    <x v="206"/>
    <x v="31"/>
    <x v="0"/>
    <x v="127"/>
    <x v="0"/>
    <x v="0"/>
    <x v="0"/>
    <x v="0"/>
    <x v="10"/>
    <x v="0"/>
    <x v="1"/>
    <x v="35"/>
    <x v="21"/>
    <x v="1"/>
    <x v="1"/>
    <x v="0"/>
    <x v="0"/>
    <x v="0"/>
    <x v="0"/>
    <x v="0"/>
    <x v="3"/>
    <x v="0"/>
  </r>
  <r>
    <x v="0"/>
    <x v="298"/>
    <x v="0"/>
    <x v="0"/>
    <x v="6"/>
    <x v="119"/>
    <x v="26"/>
    <x v="119"/>
    <x v="108"/>
    <x v="0"/>
    <x v="4"/>
    <x v="0"/>
    <x v="10"/>
    <x v="34"/>
    <x v="2"/>
    <x v="0"/>
    <x v="0"/>
    <x v="113"/>
    <x v="0"/>
    <x v="128"/>
    <x v="1"/>
    <x v="126"/>
    <x v="0"/>
    <x v="5"/>
    <x v="4"/>
    <x v="47"/>
    <x v="18"/>
    <x v="21"/>
    <x v="113"/>
    <x v="131"/>
    <x v="0"/>
    <x v="128"/>
    <x v="0"/>
    <x v="125"/>
    <x v="188"/>
    <x v="22"/>
    <x v="0"/>
    <x v="0"/>
    <x v="162"/>
    <x v="1"/>
    <x v="2"/>
    <x v="1"/>
    <x v="0"/>
    <x v="1"/>
    <x v="96"/>
    <x v="9"/>
    <x v="31"/>
    <x v="0"/>
    <x v="128"/>
    <x v="0"/>
    <x v="0"/>
    <x v="0"/>
    <x v="0"/>
    <x v="113"/>
    <x v="0"/>
    <x v="1"/>
    <x v="8"/>
    <x v="1"/>
    <x v="2"/>
    <x v="2"/>
    <x v="0"/>
    <x v="0"/>
    <x v="0"/>
    <x v="1"/>
    <x v="0"/>
    <x v="0"/>
    <x v="1"/>
  </r>
  <r>
    <x v="0"/>
    <x v="299"/>
    <x v="0"/>
    <x v="0"/>
    <x v="4"/>
    <x v="120"/>
    <x v="4"/>
    <x v="120"/>
    <x v="4"/>
    <x v="1"/>
    <x v="8"/>
    <x v="0"/>
    <x v="2"/>
    <x v="4"/>
    <x v="3"/>
    <x v="0"/>
    <x v="0"/>
    <x v="114"/>
    <x v="0"/>
    <x v="129"/>
    <x v="0"/>
    <x v="127"/>
    <x v="0"/>
    <x v="7"/>
    <x v="7"/>
    <x v="4"/>
    <x v="25"/>
    <x v="81"/>
    <x v="114"/>
    <x v="132"/>
    <x v="0"/>
    <x v="129"/>
    <x v="0"/>
    <x v="126"/>
    <x v="106"/>
    <x v="79"/>
    <x v="0"/>
    <x v="0"/>
    <x v="113"/>
    <x v="0"/>
    <x v="2"/>
    <x v="0"/>
    <x v="0"/>
    <x v="6"/>
    <x v="97"/>
    <x v="207"/>
    <x v="31"/>
    <x v="0"/>
    <x v="129"/>
    <x v="0"/>
    <x v="0"/>
    <x v="0"/>
    <x v="0"/>
    <x v="114"/>
    <x v="0"/>
    <x v="2"/>
    <x v="12"/>
    <x v="5"/>
    <x v="1"/>
    <x v="1"/>
    <x v="0"/>
    <x v="0"/>
    <x v="0"/>
    <x v="0"/>
    <x v="0"/>
    <x v="0"/>
    <x v="1"/>
  </r>
  <r>
    <x v="0"/>
    <x v="300"/>
    <x v="0"/>
    <x v="0"/>
    <x v="84"/>
    <x v="121"/>
    <x v="9"/>
    <x v="121"/>
    <x v="109"/>
    <x v="0"/>
    <x v="1"/>
    <x v="1"/>
    <x v="0"/>
    <x v="0"/>
    <x v="5"/>
    <x v="0"/>
    <x v="0"/>
    <x v="115"/>
    <x v="2"/>
    <x v="130"/>
    <x v="0"/>
    <x v="128"/>
    <x v="0"/>
    <x v="0"/>
    <x v="2"/>
    <x v="12"/>
    <x v="81"/>
    <x v="82"/>
    <x v="115"/>
    <x v="133"/>
    <x v="1"/>
    <x v="130"/>
    <x v="2"/>
    <x v="127"/>
    <x v="122"/>
    <x v="90"/>
    <x v="0"/>
    <x v="0"/>
    <x v="213"/>
    <x v="2"/>
    <x v="4"/>
    <x v="0"/>
    <x v="0"/>
    <x v="2"/>
    <x v="98"/>
    <x v="208"/>
    <x v="31"/>
    <x v="0"/>
    <x v="130"/>
    <x v="0"/>
    <x v="0"/>
    <x v="0"/>
    <x v="0"/>
    <x v="115"/>
    <x v="0"/>
    <x v="1"/>
    <x v="36"/>
    <x v="0"/>
    <x v="1"/>
    <x v="0"/>
    <x v="0"/>
    <x v="0"/>
    <x v="0"/>
    <x v="0"/>
    <x v="0"/>
    <x v="3"/>
    <x v="0"/>
  </r>
  <r>
    <x v="0"/>
    <x v="301"/>
    <x v="0"/>
    <x v="0"/>
    <x v="84"/>
    <x v="121"/>
    <x v="9"/>
    <x v="121"/>
    <x v="109"/>
    <x v="0"/>
    <x v="1"/>
    <x v="1"/>
    <x v="0"/>
    <x v="0"/>
    <x v="5"/>
    <x v="0"/>
    <x v="0"/>
    <x v="115"/>
    <x v="2"/>
    <x v="130"/>
    <x v="0"/>
    <x v="128"/>
    <x v="0"/>
    <x v="0"/>
    <x v="2"/>
    <x v="12"/>
    <x v="81"/>
    <x v="82"/>
    <x v="115"/>
    <x v="133"/>
    <x v="1"/>
    <x v="130"/>
    <x v="2"/>
    <x v="127"/>
    <x v="79"/>
    <x v="62"/>
    <x v="0"/>
    <x v="0"/>
    <x v="205"/>
    <x v="2"/>
    <x v="4"/>
    <x v="0"/>
    <x v="0"/>
    <x v="2"/>
    <x v="98"/>
    <x v="209"/>
    <x v="31"/>
    <x v="0"/>
    <x v="130"/>
    <x v="0"/>
    <x v="0"/>
    <x v="0"/>
    <x v="0"/>
    <x v="115"/>
    <x v="0"/>
    <x v="1"/>
    <x v="36"/>
    <x v="0"/>
    <x v="1"/>
    <x v="0"/>
    <x v="0"/>
    <x v="0"/>
    <x v="0"/>
    <x v="0"/>
    <x v="0"/>
    <x v="3"/>
    <x v="0"/>
  </r>
  <r>
    <x v="0"/>
    <x v="302"/>
    <x v="0"/>
    <x v="0"/>
    <x v="84"/>
    <x v="121"/>
    <x v="9"/>
    <x v="121"/>
    <x v="109"/>
    <x v="0"/>
    <x v="1"/>
    <x v="1"/>
    <x v="0"/>
    <x v="0"/>
    <x v="5"/>
    <x v="0"/>
    <x v="0"/>
    <x v="115"/>
    <x v="2"/>
    <x v="130"/>
    <x v="0"/>
    <x v="128"/>
    <x v="0"/>
    <x v="0"/>
    <x v="2"/>
    <x v="12"/>
    <x v="81"/>
    <x v="82"/>
    <x v="115"/>
    <x v="133"/>
    <x v="1"/>
    <x v="130"/>
    <x v="2"/>
    <x v="127"/>
    <x v="63"/>
    <x v="53"/>
    <x v="0"/>
    <x v="0"/>
    <x v="214"/>
    <x v="2"/>
    <x v="4"/>
    <x v="0"/>
    <x v="0"/>
    <x v="2"/>
    <x v="98"/>
    <x v="210"/>
    <x v="31"/>
    <x v="0"/>
    <x v="130"/>
    <x v="0"/>
    <x v="0"/>
    <x v="0"/>
    <x v="0"/>
    <x v="115"/>
    <x v="0"/>
    <x v="1"/>
    <x v="36"/>
    <x v="0"/>
    <x v="1"/>
    <x v="0"/>
    <x v="0"/>
    <x v="0"/>
    <x v="0"/>
    <x v="0"/>
    <x v="0"/>
    <x v="3"/>
    <x v="0"/>
  </r>
  <r>
    <x v="0"/>
    <x v="303"/>
    <x v="0"/>
    <x v="0"/>
    <x v="84"/>
    <x v="121"/>
    <x v="9"/>
    <x v="121"/>
    <x v="109"/>
    <x v="0"/>
    <x v="1"/>
    <x v="1"/>
    <x v="0"/>
    <x v="0"/>
    <x v="5"/>
    <x v="0"/>
    <x v="0"/>
    <x v="115"/>
    <x v="2"/>
    <x v="130"/>
    <x v="0"/>
    <x v="128"/>
    <x v="0"/>
    <x v="0"/>
    <x v="2"/>
    <x v="12"/>
    <x v="81"/>
    <x v="82"/>
    <x v="115"/>
    <x v="133"/>
    <x v="1"/>
    <x v="130"/>
    <x v="2"/>
    <x v="127"/>
    <x v="64"/>
    <x v="54"/>
    <x v="0"/>
    <x v="0"/>
    <x v="202"/>
    <x v="2"/>
    <x v="4"/>
    <x v="0"/>
    <x v="0"/>
    <x v="2"/>
    <x v="98"/>
    <x v="211"/>
    <x v="31"/>
    <x v="0"/>
    <x v="130"/>
    <x v="0"/>
    <x v="0"/>
    <x v="0"/>
    <x v="0"/>
    <x v="115"/>
    <x v="0"/>
    <x v="1"/>
    <x v="36"/>
    <x v="0"/>
    <x v="1"/>
    <x v="0"/>
    <x v="0"/>
    <x v="0"/>
    <x v="0"/>
    <x v="0"/>
    <x v="0"/>
    <x v="3"/>
    <x v="0"/>
  </r>
  <r>
    <x v="0"/>
    <x v="304"/>
    <x v="0"/>
    <x v="0"/>
    <x v="84"/>
    <x v="121"/>
    <x v="9"/>
    <x v="121"/>
    <x v="109"/>
    <x v="0"/>
    <x v="1"/>
    <x v="1"/>
    <x v="0"/>
    <x v="0"/>
    <x v="5"/>
    <x v="0"/>
    <x v="0"/>
    <x v="115"/>
    <x v="2"/>
    <x v="130"/>
    <x v="0"/>
    <x v="128"/>
    <x v="0"/>
    <x v="0"/>
    <x v="2"/>
    <x v="12"/>
    <x v="81"/>
    <x v="82"/>
    <x v="115"/>
    <x v="133"/>
    <x v="1"/>
    <x v="130"/>
    <x v="2"/>
    <x v="127"/>
    <x v="81"/>
    <x v="64"/>
    <x v="0"/>
    <x v="0"/>
    <x v="201"/>
    <x v="2"/>
    <x v="4"/>
    <x v="0"/>
    <x v="0"/>
    <x v="2"/>
    <x v="98"/>
    <x v="212"/>
    <x v="31"/>
    <x v="0"/>
    <x v="130"/>
    <x v="0"/>
    <x v="0"/>
    <x v="0"/>
    <x v="0"/>
    <x v="115"/>
    <x v="0"/>
    <x v="1"/>
    <x v="36"/>
    <x v="0"/>
    <x v="1"/>
    <x v="0"/>
    <x v="0"/>
    <x v="0"/>
    <x v="0"/>
    <x v="0"/>
    <x v="0"/>
    <x v="3"/>
    <x v="0"/>
  </r>
  <r>
    <x v="0"/>
    <x v="305"/>
    <x v="0"/>
    <x v="0"/>
    <x v="84"/>
    <x v="121"/>
    <x v="9"/>
    <x v="121"/>
    <x v="109"/>
    <x v="0"/>
    <x v="1"/>
    <x v="1"/>
    <x v="0"/>
    <x v="0"/>
    <x v="5"/>
    <x v="0"/>
    <x v="0"/>
    <x v="115"/>
    <x v="2"/>
    <x v="130"/>
    <x v="0"/>
    <x v="128"/>
    <x v="0"/>
    <x v="0"/>
    <x v="2"/>
    <x v="12"/>
    <x v="81"/>
    <x v="82"/>
    <x v="115"/>
    <x v="133"/>
    <x v="1"/>
    <x v="130"/>
    <x v="2"/>
    <x v="127"/>
    <x v="123"/>
    <x v="91"/>
    <x v="0"/>
    <x v="0"/>
    <x v="203"/>
    <x v="2"/>
    <x v="4"/>
    <x v="0"/>
    <x v="0"/>
    <x v="2"/>
    <x v="98"/>
    <x v="213"/>
    <x v="31"/>
    <x v="0"/>
    <x v="130"/>
    <x v="0"/>
    <x v="0"/>
    <x v="0"/>
    <x v="0"/>
    <x v="115"/>
    <x v="0"/>
    <x v="1"/>
    <x v="36"/>
    <x v="0"/>
    <x v="1"/>
    <x v="0"/>
    <x v="0"/>
    <x v="0"/>
    <x v="0"/>
    <x v="0"/>
    <x v="0"/>
    <x v="3"/>
    <x v="0"/>
  </r>
  <r>
    <x v="0"/>
    <x v="306"/>
    <x v="0"/>
    <x v="0"/>
    <x v="84"/>
    <x v="121"/>
    <x v="9"/>
    <x v="121"/>
    <x v="109"/>
    <x v="0"/>
    <x v="1"/>
    <x v="1"/>
    <x v="0"/>
    <x v="0"/>
    <x v="5"/>
    <x v="0"/>
    <x v="0"/>
    <x v="115"/>
    <x v="2"/>
    <x v="130"/>
    <x v="0"/>
    <x v="128"/>
    <x v="0"/>
    <x v="0"/>
    <x v="2"/>
    <x v="12"/>
    <x v="81"/>
    <x v="82"/>
    <x v="115"/>
    <x v="133"/>
    <x v="1"/>
    <x v="130"/>
    <x v="2"/>
    <x v="127"/>
    <x v="189"/>
    <x v="55"/>
    <x v="0"/>
    <x v="0"/>
    <x v="206"/>
    <x v="2"/>
    <x v="4"/>
    <x v="0"/>
    <x v="0"/>
    <x v="2"/>
    <x v="98"/>
    <x v="9"/>
    <x v="31"/>
    <x v="0"/>
    <x v="130"/>
    <x v="0"/>
    <x v="0"/>
    <x v="0"/>
    <x v="0"/>
    <x v="115"/>
    <x v="0"/>
    <x v="1"/>
    <x v="36"/>
    <x v="0"/>
    <x v="1"/>
    <x v="0"/>
    <x v="0"/>
    <x v="0"/>
    <x v="0"/>
    <x v="1"/>
    <x v="0"/>
    <x v="3"/>
    <x v="0"/>
  </r>
  <r>
    <x v="0"/>
    <x v="307"/>
    <x v="0"/>
    <x v="0"/>
    <x v="85"/>
    <x v="122"/>
    <x v="42"/>
    <x v="122"/>
    <x v="110"/>
    <x v="15"/>
    <x v="0"/>
    <x v="1"/>
    <x v="13"/>
    <x v="37"/>
    <x v="3"/>
    <x v="0"/>
    <x v="0"/>
    <x v="116"/>
    <x v="2"/>
    <x v="131"/>
    <x v="1"/>
    <x v="129"/>
    <x v="0"/>
    <x v="7"/>
    <x v="0"/>
    <x v="71"/>
    <x v="82"/>
    <x v="83"/>
    <x v="116"/>
    <x v="134"/>
    <x v="1"/>
    <x v="131"/>
    <x v="2"/>
    <x v="128"/>
    <x v="106"/>
    <x v="79"/>
    <x v="0"/>
    <x v="0"/>
    <x v="215"/>
    <x v="1"/>
    <x v="2"/>
    <x v="1"/>
    <x v="0"/>
    <x v="6"/>
    <x v="99"/>
    <x v="214"/>
    <x v="31"/>
    <x v="0"/>
    <x v="131"/>
    <x v="0"/>
    <x v="0"/>
    <x v="0"/>
    <x v="0"/>
    <x v="116"/>
    <x v="0"/>
    <x v="2"/>
    <x v="12"/>
    <x v="5"/>
    <x v="1"/>
    <x v="0"/>
    <x v="0"/>
    <x v="0"/>
    <x v="0"/>
    <x v="0"/>
    <x v="0"/>
    <x v="0"/>
    <x v="14"/>
  </r>
  <r>
    <x v="0"/>
    <x v="308"/>
    <x v="0"/>
    <x v="0"/>
    <x v="2"/>
    <x v="123"/>
    <x v="2"/>
    <x v="123"/>
    <x v="111"/>
    <x v="0"/>
    <x v="2"/>
    <x v="0"/>
    <x v="9"/>
    <x v="19"/>
    <x v="2"/>
    <x v="0"/>
    <x v="0"/>
    <x v="117"/>
    <x v="0"/>
    <x v="132"/>
    <x v="0"/>
    <x v="130"/>
    <x v="0"/>
    <x v="1"/>
    <x v="1"/>
    <x v="11"/>
    <x v="83"/>
    <x v="57"/>
    <x v="117"/>
    <x v="135"/>
    <x v="0"/>
    <x v="132"/>
    <x v="0"/>
    <x v="129"/>
    <x v="164"/>
    <x v="105"/>
    <x v="0"/>
    <x v="0"/>
    <x v="216"/>
    <x v="0"/>
    <x v="2"/>
    <x v="0"/>
    <x v="0"/>
    <x v="7"/>
    <x v="100"/>
    <x v="215"/>
    <x v="15"/>
    <x v="0"/>
    <x v="132"/>
    <x v="0"/>
    <x v="0"/>
    <x v="0"/>
    <x v="0"/>
    <x v="117"/>
    <x v="0"/>
    <x v="1"/>
    <x v="4"/>
    <x v="17"/>
    <x v="1"/>
    <x v="0"/>
    <x v="0"/>
    <x v="0"/>
    <x v="0"/>
    <x v="3"/>
    <x v="0"/>
    <x v="0"/>
    <x v="2"/>
  </r>
  <r>
    <x v="0"/>
    <x v="309"/>
    <x v="0"/>
    <x v="0"/>
    <x v="2"/>
    <x v="123"/>
    <x v="2"/>
    <x v="123"/>
    <x v="111"/>
    <x v="0"/>
    <x v="2"/>
    <x v="0"/>
    <x v="9"/>
    <x v="19"/>
    <x v="2"/>
    <x v="0"/>
    <x v="0"/>
    <x v="117"/>
    <x v="0"/>
    <x v="132"/>
    <x v="0"/>
    <x v="130"/>
    <x v="0"/>
    <x v="1"/>
    <x v="1"/>
    <x v="11"/>
    <x v="83"/>
    <x v="57"/>
    <x v="117"/>
    <x v="135"/>
    <x v="0"/>
    <x v="132"/>
    <x v="0"/>
    <x v="129"/>
    <x v="163"/>
    <x v="104"/>
    <x v="0"/>
    <x v="0"/>
    <x v="217"/>
    <x v="0"/>
    <x v="2"/>
    <x v="0"/>
    <x v="0"/>
    <x v="7"/>
    <x v="100"/>
    <x v="216"/>
    <x v="15"/>
    <x v="0"/>
    <x v="132"/>
    <x v="0"/>
    <x v="0"/>
    <x v="0"/>
    <x v="0"/>
    <x v="117"/>
    <x v="0"/>
    <x v="1"/>
    <x v="4"/>
    <x v="17"/>
    <x v="1"/>
    <x v="0"/>
    <x v="0"/>
    <x v="0"/>
    <x v="0"/>
    <x v="3"/>
    <x v="0"/>
    <x v="0"/>
    <x v="2"/>
  </r>
  <r>
    <x v="0"/>
    <x v="310"/>
    <x v="0"/>
    <x v="0"/>
    <x v="2"/>
    <x v="123"/>
    <x v="2"/>
    <x v="123"/>
    <x v="111"/>
    <x v="0"/>
    <x v="2"/>
    <x v="0"/>
    <x v="9"/>
    <x v="19"/>
    <x v="2"/>
    <x v="0"/>
    <x v="0"/>
    <x v="117"/>
    <x v="0"/>
    <x v="132"/>
    <x v="0"/>
    <x v="130"/>
    <x v="0"/>
    <x v="1"/>
    <x v="1"/>
    <x v="11"/>
    <x v="83"/>
    <x v="57"/>
    <x v="117"/>
    <x v="135"/>
    <x v="0"/>
    <x v="132"/>
    <x v="0"/>
    <x v="129"/>
    <x v="161"/>
    <x v="103"/>
    <x v="0"/>
    <x v="0"/>
    <x v="218"/>
    <x v="0"/>
    <x v="2"/>
    <x v="0"/>
    <x v="0"/>
    <x v="7"/>
    <x v="100"/>
    <x v="217"/>
    <x v="15"/>
    <x v="0"/>
    <x v="132"/>
    <x v="0"/>
    <x v="0"/>
    <x v="0"/>
    <x v="0"/>
    <x v="117"/>
    <x v="0"/>
    <x v="1"/>
    <x v="4"/>
    <x v="17"/>
    <x v="1"/>
    <x v="0"/>
    <x v="0"/>
    <x v="0"/>
    <x v="0"/>
    <x v="3"/>
    <x v="0"/>
    <x v="0"/>
    <x v="2"/>
  </r>
  <r>
    <x v="0"/>
    <x v="311"/>
    <x v="0"/>
    <x v="0"/>
    <x v="24"/>
    <x v="124"/>
    <x v="26"/>
    <x v="124"/>
    <x v="112"/>
    <x v="1"/>
    <x v="2"/>
    <x v="19"/>
    <x v="10"/>
    <x v="26"/>
    <x v="3"/>
    <x v="0"/>
    <x v="0"/>
    <x v="118"/>
    <x v="3"/>
    <x v="133"/>
    <x v="1"/>
    <x v="131"/>
    <x v="1"/>
    <x v="1"/>
    <x v="4"/>
    <x v="72"/>
    <x v="84"/>
    <x v="65"/>
    <x v="118"/>
    <x v="136"/>
    <x v="0"/>
    <x v="133"/>
    <x v="3"/>
    <x v="130"/>
    <x v="13"/>
    <x v="13"/>
    <x v="0"/>
    <x v="0"/>
    <x v="219"/>
    <x v="1"/>
    <x v="2"/>
    <x v="2"/>
    <x v="0"/>
    <x v="1"/>
    <x v="101"/>
    <x v="9"/>
    <x v="1"/>
    <x v="0"/>
    <x v="133"/>
    <x v="0"/>
    <x v="0"/>
    <x v="0"/>
    <x v="0"/>
    <x v="118"/>
    <x v="0"/>
    <x v="0"/>
    <x v="37"/>
    <x v="6"/>
    <x v="0"/>
    <x v="5"/>
    <x v="1"/>
    <x v="2"/>
    <x v="0"/>
    <x v="1"/>
    <x v="0"/>
    <x v="0"/>
    <x v="4"/>
  </r>
  <r>
    <x v="0"/>
    <x v="312"/>
    <x v="0"/>
    <x v="0"/>
    <x v="86"/>
    <x v="125"/>
    <x v="9"/>
    <x v="125"/>
    <x v="113"/>
    <x v="0"/>
    <x v="5"/>
    <x v="1"/>
    <x v="0"/>
    <x v="0"/>
    <x v="5"/>
    <x v="0"/>
    <x v="0"/>
    <x v="119"/>
    <x v="2"/>
    <x v="134"/>
    <x v="0"/>
    <x v="132"/>
    <x v="0"/>
    <x v="1"/>
    <x v="2"/>
    <x v="73"/>
    <x v="85"/>
    <x v="84"/>
    <x v="119"/>
    <x v="137"/>
    <x v="1"/>
    <x v="134"/>
    <x v="2"/>
    <x v="131"/>
    <x v="190"/>
    <x v="111"/>
    <x v="0"/>
    <x v="0"/>
    <x v="208"/>
    <x v="1"/>
    <x v="4"/>
    <x v="0"/>
    <x v="0"/>
    <x v="2"/>
    <x v="102"/>
    <x v="218"/>
    <x v="16"/>
    <x v="0"/>
    <x v="134"/>
    <x v="0"/>
    <x v="0"/>
    <x v="0"/>
    <x v="0"/>
    <x v="119"/>
    <x v="0"/>
    <x v="1"/>
    <x v="35"/>
    <x v="17"/>
    <x v="1"/>
    <x v="1"/>
    <x v="0"/>
    <x v="0"/>
    <x v="0"/>
    <x v="0"/>
    <x v="0"/>
    <x v="3"/>
    <x v="0"/>
  </r>
  <r>
    <x v="0"/>
    <x v="313"/>
    <x v="0"/>
    <x v="0"/>
    <x v="86"/>
    <x v="125"/>
    <x v="9"/>
    <x v="125"/>
    <x v="113"/>
    <x v="0"/>
    <x v="5"/>
    <x v="1"/>
    <x v="0"/>
    <x v="0"/>
    <x v="5"/>
    <x v="0"/>
    <x v="0"/>
    <x v="119"/>
    <x v="2"/>
    <x v="134"/>
    <x v="0"/>
    <x v="132"/>
    <x v="0"/>
    <x v="1"/>
    <x v="2"/>
    <x v="73"/>
    <x v="85"/>
    <x v="84"/>
    <x v="119"/>
    <x v="137"/>
    <x v="1"/>
    <x v="134"/>
    <x v="2"/>
    <x v="131"/>
    <x v="177"/>
    <x v="110"/>
    <x v="0"/>
    <x v="0"/>
    <x v="161"/>
    <x v="1"/>
    <x v="4"/>
    <x v="0"/>
    <x v="0"/>
    <x v="2"/>
    <x v="102"/>
    <x v="219"/>
    <x v="16"/>
    <x v="0"/>
    <x v="134"/>
    <x v="0"/>
    <x v="0"/>
    <x v="0"/>
    <x v="0"/>
    <x v="119"/>
    <x v="0"/>
    <x v="1"/>
    <x v="35"/>
    <x v="17"/>
    <x v="1"/>
    <x v="1"/>
    <x v="0"/>
    <x v="0"/>
    <x v="0"/>
    <x v="0"/>
    <x v="0"/>
    <x v="3"/>
    <x v="0"/>
  </r>
  <r>
    <x v="0"/>
    <x v="314"/>
    <x v="0"/>
    <x v="0"/>
    <x v="87"/>
    <x v="126"/>
    <x v="30"/>
    <x v="126"/>
    <x v="114"/>
    <x v="0"/>
    <x v="1"/>
    <x v="1"/>
    <x v="0"/>
    <x v="0"/>
    <x v="19"/>
    <x v="0"/>
    <x v="0"/>
    <x v="120"/>
    <x v="2"/>
    <x v="135"/>
    <x v="0"/>
    <x v="133"/>
    <x v="0"/>
    <x v="5"/>
    <x v="1"/>
    <x v="40"/>
    <x v="42"/>
    <x v="8"/>
    <x v="120"/>
    <x v="138"/>
    <x v="1"/>
    <x v="135"/>
    <x v="2"/>
    <x v="132"/>
    <x v="191"/>
    <x v="89"/>
    <x v="0"/>
    <x v="0"/>
    <x v="220"/>
    <x v="1"/>
    <x v="19"/>
    <x v="0"/>
    <x v="0"/>
    <x v="1"/>
    <x v="103"/>
    <x v="9"/>
    <x v="17"/>
    <x v="0"/>
    <x v="135"/>
    <x v="0"/>
    <x v="0"/>
    <x v="0"/>
    <x v="0"/>
    <x v="120"/>
    <x v="0"/>
    <x v="1"/>
    <x v="8"/>
    <x v="14"/>
    <x v="0"/>
    <x v="0"/>
    <x v="0"/>
    <x v="0"/>
    <x v="0"/>
    <x v="1"/>
    <x v="0"/>
    <x v="0"/>
    <x v="0"/>
  </r>
  <r>
    <x v="0"/>
    <x v="315"/>
    <x v="0"/>
    <x v="0"/>
    <x v="88"/>
    <x v="127"/>
    <x v="19"/>
    <x v="127"/>
    <x v="115"/>
    <x v="1"/>
    <x v="6"/>
    <x v="14"/>
    <x v="0"/>
    <x v="14"/>
    <x v="33"/>
    <x v="11"/>
    <x v="22"/>
    <x v="121"/>
    <x v="0"/>
    <x v="136"/>
    <x v="1"/>
    <x v="134"/>
    <x v="0"/>
    <x v="7"/>
    <x v="3"/>
    <x v="74"/>
    <x v="86"/>
    <x v="15"/>
    <x v="121"/>
    <x v="139"/>
    <x v="0"/>
    <x v="136"/>
    <x v="0"/>
    <x v="133"/>
    <x v="131"/>
    <x v="56"/>
    <x v="0"/>
    <x v="0"/>
    <x v="221"/>
    <x v="1"/>
    <x v="34"/>
    <x v="1"/>
    <x v="0"/>
    <x v="6"/>
    <x v="104"/>
    <x v="220"/>
    <x v="17"/>
    <x v="0"/>
    <x v="136"/>
    <x v="0"/>
    <x v="0"/>
    <x v="0"/>
    <x v="0"/>
    <x v="121"/>
    <x v="0"/>
    <x v="2"/>
    <x v="12"/>
    <x v="5"/>
    <x v="1"/>
    <x v="3"/>
    <x v="0"/>
    <x v="0"/>
    <x v="0"/>
    <x v="0"/>
    <x v="0"/>
    <x v="3"/>
    <x v="2"/>
  </r>
</pivotCacheRecord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name="pivotTable2" cacheId="2" compact="0" compactData="0" outline="1" outlineData="1" dataCaption="值" applyNumberFormats="0" applyBorderFormats="0" applyFontFormats="0" applyPatternFormats="0" applyAlignmentFormats="0" applyWidthHeightFormats="1" useAutoFormatting="1" indent="0" multipleFieldFilters="0" updatedVersion="5" minRefreshableVersion="3" createdVersion="5">
  <location ref="C1:E8" firstHeaderRow="0" firstDataRow="1" firstDataCol="2"/>
  <pivotFields count="67">
    <pivotField axis="axisRow" showAll="0" compact="0" multipleItemSelectionAllowed="1">
      <items count="3">
        <item x="1"/>
        <item x="0"/>
        <item t="default"/>
      </items>
    </pivotField>
    <pivotField showAll="0" compact="0" multipleItemSelectionAllowed="1">
      <items count="31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t="default"/>
      </items>
    </pivotField>
    <pivotField showAll="0" compact="0" multipleItemSelectionAllowed="1">
      <items count="2">
        <item x="0"/>
        <item t="default"/>
      </items>
    </pivotField>
    <pivotField showAll="0" compact="0" multipleItemSelectionAllowed="1">
      <items count="2">
        <item x="0"/>
        <item t="default"/>
      </items>
    </pivotField>
    <pivotField showAll="0" compact="0" multipleItemSelectionAllowed="1">
      <items count="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t="default"/>
      </items>
    </pivotField>
    <pivotField showAll="0" compact="0" multipleItemSelectionAllowed="1">
      <items count="12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t="default"/>
      </items>
    </pivotField>
    <pivotField showAll="0" compact="0" multipleItemSelectionAllowed="1">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showAll="0" compact="0" multipleItemSelectionAllowed="1">
      <items count="12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t="default"/>
      </items>
    </pivotField>
    <pivotField showAll="0" compact="0" multipleItemSelectionAllowed="1">
      <items count="11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t="default"/>
      </items>
    </pivotField>
    <pivotField showAll="0" compact="0" multipleItemSelectionAllowed="1">
      <items count="17">
        <item x="0"/>
        <item x="1"/>
        <item x="2"/>
        <item x="3"/>
        <item x="4"/>
        <item x="5"/>
        <item x="6"/>
        <item x="7"/>
        <item x="8"/>
        <item x="9"/>
        <item x="10"/>
        <item x="11"/>
        <item x="12"/>
        <item x="13"/>
        <item x="14"/>
        <item x="15"/>
        <item t="default"/>
      </items>
    </pivotField>
    <pivotField showAll="0" compact="0" multipleItemSelectionAllowed="1">
      <items count="11">
        <item x="0"/>
        <item x="1"/>
        <item x="2"/>
        <item x="3"/>
        <item x="4"/>
        <item x="5"/>
        <item x="6"/>
        <item x="7"/>
        <item x="8"/>
        <item x="9"/>
        <item t="default"/>
      </items>
    </pivotField>
    <pivotField showAll="0" compact="0" multipleItemSelectionAllowed="1">
      <items count="21">
        <item x="0"/>
        <item x="1"/>
        <item x="2"/>
        <item x="3"/>
        <item x="4"/>
        <item x="5"/>
        <item x="6"/>
        <item x="7"/>
        <item x="8"/>
        <item x="9"/>
        <item x="10"/>
        <item x="11"/>
        <item x="12"/>
        <item x="13"/>
        <item x="14"/>
        <item x="15"/>
        <item x="16"/>
        <item x="17"/>
        <item x="18"/>
        <item x="19"/>
        <item t="default"/>
      </items>
    </pivotField>
    <pivotField showAll="0" compact="0" multipleItemSelectionAllowed="1">
      <items count="15">
        <item x="0"/>
        <item x="1"/>
        <item x="2"/>
        <item x="3"/>
        <item x="4"/>
        <item x="5"/>
        <item x="6"/>
        <item x="7"/>
        <item x="8"/>
        <item x="9"/>
        <item x="10"/>
        <item x="11"/>
        <item x="12"/>
        <item x="13"/>
        <item t="default"/>
      </items>
    </pivotField>
    <pivotField showAll="0" compact="0" multipleItemSelectionAllowed="1">
      <items count="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showAll="0" compact="0" multipleItemSelectionAllowed="1">
      <items count="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showAll="0" compact="0" multipleItemSelectionAllowed="1">
      <items count="13">
        <item x="0"/>
        <item x="1"/>
        <item x="2"/>
        <item x="3"/>
        <item x="4"/>
        <item x="5"/>
        <item x="6"/>
        <item x="7"/>
        <item x="8"/>
        <item x="9"/>
        <item x="10"/>
        <item x="11"/>
        <item t="default"/>
      </items>
    </pivotField>
    <pivotField showAll="0" compact="0" multipleItemSelectionAllowed="1">
      <items count="24">
        <item x="0"/>
        <item x="1"/>
        <item x="2"/>
        <item x="3"/>
        <item x="4"/>
        <item x="5"/>
        <item x="6"/>
        <item x="7"/>
        <item x="8"/>
        <item x="9"/>
        <item x="10"/>
        <item x="11"/>
        <item x="12"/>
        <item x="13"/>
        <item x="14"/>
        <item x="15"/>
        <item x="16"/>
        <item x="17"/>
        <item x="18"/>
        <item x="19"/>
        <item x="20"/>
        <item x="21"/>
        <item x="22"/>
        <item t="default"/>
      </items>
    </pivotField>
    <pivotField showAll="0" compact="0" multipleItemSelectionAllowed="1">
      <items count="12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t="default"/>
      </items>
    </pivotField>
    <pivotField showAll="0" compact="0" multipleItemSelectionAllowed="1">
      <items count="10">
        <item x="0"/>
        <item x="1"/>
        <item x="2"/>
        <item x="3"/>
        <item x="4"/>
        <item x="5"/>
        <item x="6"/>
        <item x="7"/>
        <item x="8"/>
        <item t="default"/>
      </items>
    </pivotField>
    <pivotField showAll="0" compact="0" multipleItemSelectionAllowed="1">
      <items count="1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t="default"/>
      </items>
    </pivotField>
    <pivotField showAll="0" compact="0" multipleItemSelectionAllowed="1">
      <items count="3">
        <item x="0"/>
        <item x="1"/>
        <item t="default"/>
      </items>
    </pivotField>
    <pivotField showAll="0" compact="0" multipleItemSelectionAllowed="1">
      <items count="1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t="default"/>
      </items>
    </pivotField>
    <pivotField showAll="0" compact="0" multipleItemSelectionAllowed="1">
      <items count="3">
        <item x="0"/>
        <item x="1"/>
        <item t="default"/>
      </items>
    </pivotField>
    <pivotField showAll="0" compact="0" multipleItemSelectionAllowed="1">
      <items count="20">
        <item x="0"/>
        <item x="1"/>
        <item x="2"/>
        <item x="3"/>
        <item x="4"/>
        <item x="5"/>
        <item x="6"/>
        <item x="7"/>
        <item x="8"/>
        <item x="9"/>
        <item x="10"/>
        <item x="11"/>
        <item x="12"/>
        <item x="13"/>
        <item x="14"/>
        <item x="15"/>
        <item x="16"/>
        <item x="17"/>
        <item x="18"/>
        <item t="default"/>
      </items>
    </pivotField>
    <pivotField showAll="0" compact="0" multipleItemSelectionAllowed="1">
      <items count="9">
        <item x="0"/>
        <item x="1"/>
        <item x="2"/>
        <item x="3"/>
        <item x="4"/>
        <item x="5"/>
        <item x="6"/>
        <item x="7"/>
        <item t="default"/>
      </items>
    </pivotField>
    <pivotField showAll="0" compact="0" multipleItemSelectionAllowed="1">
      <items count="7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t="default"/>
      </items>
    </pivotField>
    <pivotField showAll="0" compact="0" multipleItemSelectionAllowed="1">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t="default"/>
      </items>
    </pivotField>
    <pivotField showAll="0" compact="0" multipleItemSelectionAllowed="1">
      <items count="8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t="default"/>
      </items>
    </pivotField>
    <pivotField showAll="0" compact="0" multipleItemSelectionAllowed="1">
      <items count="12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t="default"/>
      </items>
    </pivotField>
    <pivotField showAll="0" compact="0" multipleItemSelectionAllowed="1">
      <items count="1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t="default"/>
      </items>
    </pivotField>
    <pivotField axis="axisRow" showAll="0" compact="0" multipleItemSelectionAllowed="1">
      <items count="3">
        <item x="0"/>
        <item x="1"/>
        <item t="default"/>
      </items>
    </pivotField>
    <pivotField showAll="0" compact="0" multipleItemSelectionAllowed="1">
      <items count="1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t="default"/>
      </items>
    </pivotField>
    <pivotField showAll="0" compact="0" multipleItemSelectionAllowed="1">
      <items count="12">
        <item x="0"/>
        <item x="1"/>
        <item x="2"/>
        <item x="3"/>
        <item x="4"/>
        <item x="5"/>
        <item x="6"/>
        <item x="7"/>
        <item x="8"/>
        <item x="9"/>
        <item x="10"/>
        <item t="default"/>
      </items>
    </pivotField>
    <pivotField showAll="0" compact="0" multipleItemSelectionAllowed="1">
      <items count="1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t="default"/>
      </items>
    </pivotField>
    <pivotField showAll="0" compact="0" multipleItemSelectionAllowed="1">
      <items count="1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t="default"/>
      </items>
    </pivotField>
    <pivotField showAll="0" compact="0" multipleItemSelectionAllowed="1">
      <items count="12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t="default"/>
      </items>
    </pivotField>
    <pivotField showAll="0" compact="0" multipleItemSelectionAllowed="1">
      <items count="3">
        <item x="0"/>
        <item x="1"/>
        <item t="default"/>
      </items>
    </pivotField>
    <pivotField showAll="0" compact="0" multipleItemSelectionAllowed="1">
      <items count="2">
        <item x="0"/>
        <item t="default"/>
      </items>
    </pivotField>
    <pivotField dataField="1" showAll="0" compact="0" multipleItemSelectionAllowed="1">
      <items count="223">
        <item x="54"/>
        <item x="161"/>
        <item x="209"/>
        <item x="57"/>
        <item x="20"/>
        <item x="12"/>
        <item x="25"/>
        <item x="142"/>
        <item x="211"/>
        <item x="123"/>
        <item x="212"/>
        <item x="139"/>
        <item x="141"/>
        <item x="56"/>
        <item x="165"/>
        <item x="144"/>
        <item x="136"/>
        <item x="58"/>
        <item x="16"/>
        <item x="174"/>
        <item x="40"/>
        <item x="140"/>
        <item x="15"/>
        <item x="143"/>
        <item x="19"/>
        <item x="203"/>
        <item x="18"/>
        <item x="154"/>
        <item x="205"/>
        <item x="84"/>
        <item x="82"/>
        <item x="198"/>
        <item x="190"/>
        <item x="147"/>
        <item x="36"/>
        <item x="101"/>
        <item x="214"/>
        <item x="177"/>
        <item x="73"/>
        <item x="95"/>
        <item x="1"/>
        <item x="217"/>
        <item x="156"/>
        <item x="17"/>
        <item x="193"/>
        <item x="52"/>
        <item x="178"/>
        <item x="159"/>
        <item x="53"/>
        <item x="41"/>
        <item x="63"/>
        <item x="27"/>
        <item x="31"/>
        <item x="2"/>
        <item x="122"/>
        <item x="8"/>
        <item x="216"/>
        <item x="87"/>
        <item x="202"/>
        <item x="28"/>
        <item x="135"/>
        <item x="88"/>
        <item x="86"/>
        <item x="117"/>
        <item x="170"/>
        <item x="179"/>
        <item x="200"/>
        <item x="187"/>
        <item x="199"/>
        <item x="148"/>
        <item x="191"/>
        <item x="181"/>
        <item x="6"/>
        <item x="100"/>
        <item x="72"/>
        <item x="76"/>
        <item x="171"/>
        <item x="103"/>
        <item x="83"/>
        <item x="164"/>
        <item x="114"/>
        <item x="29"/>
        <item x="43"/>
        <item x="70"/>
        <item x="182"/>
        <item x="3"/>
        <item x="5"/>
        <item x="204"/>
        <item x="152"/>
        <item x="133"/>
        <item x="221"/>
        <item x="167"/>
        <item x="138"/>
        <item x="66"/>
        <item x="157"/>
        <item x="75"/>
        <item x="197"/>
        <item x="30"/>
        <item x="37"/>
        <item x="38"/>
        <item x="112"/>
        <item x="0"/>
        <item x="90"/>
        <item x="153"/>
        <item x="7"/>
        <item x="81"/>
        <item x="4"/>
        <item x="185"/>
        <item x="218"/>
        <item x="65"/>
        <item x="201"/>
        <item x="213"/>
        <item x="85"/>
        <item x="134"/>
        <item x="175"/>
        <item x="13"/>
        <item x="176"/>
        <item x="168"/>
        <item x="126"/>
        <item x="107"/>
        <item x="51"/>
        <item x="195"/>
        <item x="60"/>
        <item x="11"/>
        <item x="47"/>
        <item x="45"/>
        <item x="180"/>
        <item x="50"/>
        <item x="188"/>
        <item x="10"/>
        <item x="97"/>
        <item x="102"/>
        <item x="166"/>
        <item x="55"/>
        <item x="62"/>
        <item x="92"/>
        <item x="118"/>
        <item x="169"/>
        <item x="196"/>
        <item x="39"/>
        <item x="158"/>
        <item x="59"/>
        <item x="184"/>
        <item x="9"/>
        <item x="42"/>
        <item x="48"/>
        <item x="120"/>
        <item x="109"/>
        <item x="106"/>
        <item x="96"/>
        <item x="119"/>
        <item x="33"/>
        <item x="22"/>
        <item x="78"/>
        <item x="32"/>
        <item x="104"/>
        <item x="98"/>
        <item x="35"/>
        <item x="94"/>
        <item x="44"/>
        <item x="61"/>
        <item x="49"/>
        <item x="206"/>
        <item x="46"/>
        <item x="23"/>
        <item x="116"/>
        <item x="146"/>
        <item x="137"/>
        <item x="189"/>
        <item x="151"/>
        <item x="220"/>
        <item x="208"/>
        <item x="183"/>
        <item x="219"/>
        <item x="79"/>
        <item x="150"/>
        <item x="108"/>
        <item x="125"/>
        <item x="24"/>
        <item x="26"/>
        <item x="194"/>
        <item x="113"/>
        <item x="215"/>
        <item x="74"/>
        <item x="14"/>
        <item x="68"/>
        <item x="93"/>
        <item x="77"/>
        <item x="67"/>
        <item x="69"/>
        <item x="160"/>
        <item x="34"/>
        <item x="111"/>
        <item x="64"/>
        <item x="210"/>
        <item x="121"/>
        <item x="127"/>
        <item x="110"/>
        <item x="172"/>
        <item x="132"/>
        <item x="21"/>
        <item x="186"/>
        <item x="89"/>
        <item x="145"/>
        <item x="192"/>
        <item x="91"/>
        <item x="71"/>
        <item x="99"/>
        <item x="129"/>
        <item x="124"/>
        <item x="149"/>
        <item x="155"/>
        <item x="105"/>
        <item x="131"/>
        <item x="163"/>
        <item x="128"/>
        <item x="162"/>
        <item x="130"/>
        <item x="80"/>
        <item x="207"/>
        <item x="173"/>
        <item x="115"/>
        <item t="default"/>
      </items>
    </pivotField>
    <pivotField showAll="0" compact="0" multipleItemSelectionAllowed="1">
      <items count="4">
        <item x="0"/>
        <item x="1"/>
        <item x="2"/>
        <item t="default"/>
      </items>
    </pivotField>
    <pivotField showAll="0" compact="0" multipleItemSelectionAllowed="1">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showAll="0" compact="0" multipleItemSelectionAllowed="1">
      <items count="5">
        <item x="0"/>
        <item x="1"/>
        <item x="2"/>
        <item x="3"/>
        <item t="default"/>
      </items>
    </pivotField>
    <pivotField showAll="0" compact="0" multipleItemSelectionAllowed="1">
      <items count="4">
        <item x="0"/>
        <item x="1"/>
        <item x="2"/>
        <item t="default"/>
      </items>
    </pivotField>
    <pivotField showAll="0" compact="0" multipleItemSelectionAllowed="1">
      <items count="9">
        <item x="0"/>
        <item x="1"/>
        <item x="2"/>
        <item x="3"/>
        <item x="4"/>
        <item x="5"/>
        <item x="6"/>
        <item x="7"/>
        <item t="default"/>
      </items>
    </pivotField>
    <pivotField showAll="0" compact="0" multipleItemSelectionAllowed="1">
      <items count="10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t="default"/>
      </items>
    </pivotField>
    <pivotField showAll="0" compact="0" multipleItemSelectionAllowed="1">
      <items count="2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t="default"/>
      </items>
    </pivotField>
    <pivotField showAll="0" compact="0" multipleItemSelectionAllowed="1">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showAll="0" compact="0" multipleItemSelectionAllowed="1">
      <items count="2">
        <item x="0"/>
        <item t="default"/>
      </items>
    </pivotField>
    <pivotField showAll="0" compact="0" multipleItemSelectionAllowed="1">
      <items count="1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t="default"/>
      </items>
    </pivotField>
    <pivotField showAll="0" compact="0" multipleItemSelectionAllowed="1">
      <items count="2">
        <item x="0"/>
        <item t="default"/>
      </items>
    </pivotField>
    <pivotField showAll="0" compact="0" multipleItemSelectionAllowed="1">
      <items count="2">
        <item x="0"/>
        <item t="default"/>
      </items>
    </pivotField>
    <pivotField showAll="0" compact="0" multipleItemSelectionAllowed="1">
      <items count="2">
        <item x="0"/>
        <item t="default"/>
      </items>
    </pivotField>
    <pivotField showAll="0" compact="0" multipleItemSelectionAllowed="1">
      <items count="7">
        <item x="0"/>
        <item x="1"/>
        <item x="2"/>
        <item x="3"/>
        <item x="4"/>
        <item x="5"/>
        <item t="default"/>
      </items>
    </pivotField>
    <pivotField showAll="0" compact="0" multipleItemSelectionAllowed="1">
      <items count="12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t="default"/>
      </items>
    </pivotField>
    <pivotField showAll="0" compact="0" multipleItemSelectionAllowed="1">
      <items count="3">
        <item x="0"/>
        <item x="1"/>
        <item t="default"/>
      </items>
    </pivotField>
    <pivotField showAll="0" compact="0" multipleItemSelectionAllowed="1">
      <items count="5">
        <item x="0"/>
        <item x="1"/>
        <item x="2"/>
        <item x="3"/>
        <item t="default"/>
      </items>
    </pivotField>
    <pivotField showAll="0" compact="0" multipleItemSelectionAllowed="1">
      <items count="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showAll="0" compact="0" multipleItemSelectionAllowed="1">
      <items count="23">
        <item x="0"/>
        <item x="1"/>
        <item x="2"/>
        <item x="3"/>
        <item x="4"/>
        <item x="5"/>
        <item x="6"/>
        <item x="7"/>
        <item x="8"/>
        <item x="9"/>
        <item x="10"/>
        <item x="11"/>
        <item x="12"/>
        <item x="13"/>
        <item x="14"/>
        <item x="15"/>
        <item x="16"/>
        <item x="17"/>
        <item x="18"/>
        <item x="19"/>
        <item x="20"/>
        <item x="21"/>
        <item t="default"/>
      </items>
    </pivotField>
    <pivotField showAll="0" compact="0" multipleItemSelectionAllowed="1">
      <items count="6">
        <item x="0"/>
        <item x="1"/>
        <item x="2"/>
        <item x="3"/>
        <item x="4"/>
        <item t="default"/>
      </items>
    </pivotField>
    <pivotField showAll="0" compact="0" multipleItemSelectionAllowed="1">
      <items count="7">
        <item x="0"/>
        <item x="1"/>
        <item x="2"/>
        <item x="3"/>
        <item x="4"/>
        <item x="5"/>
        <item t="default"/>
      </items>
    </pivotField>
    <pivotField showAll="0" compact="0" multipleItemSelectionAllowed="1">
      <items count="3">
        <item x="0"/>
        <item x="1"/>
        <item t="default"/>
      </items>
    </pivotField>
    <pivotField showAll="0" compact="0" multipleItemSelectionAllowed="1">
      <items count="4">
        <item x="0"/>
        <item x="1"/>
        <item x="2"/>
        <item t="default"/>
      </items>
    </pivotField>
    <pivotField showAll="0" compact="0" multipleItemSelectionAllowed="1">
      <items count="2">
        <item x="0"/>
        <item t="default"/>
      </items>
    </pivotField>
    <pivotField showAll="0" compact="0" multipleItemSelectionAllowed="1">
      <items count="5">
        <item x="0"/>
        <item x="1"/>
        <item x="2"/>
        <item x="3"/>
        <item t="default"/>
      </items>
    </pivotField>
    <pivotField showAll="0" compact="0" multipleItemSelectionAllowed="1">
      <items count="21">
        <item x="0"/>
        <item x="1"/>
        <item x="2"/>
        <item x="3"/>
        <item x="4"/>
        <item x="5"/>
        <item x="6"/>
        <item x="7"/>
        <item x="8"/>
        <item x="9"/>
        <item x="10"/>
        <item x="11"/>
        <item x="12"/>
        <item x="13"/>
        <item x="14"/>
        <item x="15"/>
        <item x="16"/>
        <item x="17"/>
        <item x="18"/>
        <item x="19"/>
        <item t="default"/>
      </items>
    </pivotField>
    <pivotField showAll="0" compact="0" multipleItemSelectionAllowed="1">
      <items count="6">
        <item x="0"/>
        <item x="1"/>
        <item x="2"/>
        <item x="3"/>
        <item x="4"/>
        <item t="default"/>
      </items>
    </pivotField>
    <pivotField showAll="0" compact="0" multipleItemSelectionAllowed="1">
      <items count="16">
        <item x="0"/>
        <item x="1"/>
        <item x="2"/>
        <item x="3"/>
        <item x="4"/>
        <item x="5"/>
        <item x="6"/>
        <item x="7"/>
        <item x="8"/>
        <item x="9"/>
        <item x="10"/>
        <item x="11"/>
        <item x="12"/>
        <item x="13"/>
        <item x="14"/>
        <item t="default"/>
      </items>
    </pivotField>
  </pivotFields>
  <rowFields count="2">
    <field x="30"/>
    <field x="0"/>
  </rowFields>
  <dataFields count="1">
    <dataField name="求和项:学费" fld="38" subtotal="sum" baseField="0" baseItem="0"/>
  </dataFields>
  <pivotTableStyleInfo name="PivotStylePreset2_Accent1" showRowHeaders="1" showColHeaders="1" showRowStripes="0" showColStripes="0"/>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tabColor rgb="FF538135"/>
    <outlinePr summaryBelow="0" summaryRight="0"/>
  </sheetPr>
  <dimension ref="A1"/>
  <sheetViews>
    <sheetView workbookViewId="0" tabSelected="1" showGridLines="0"/>
  </sheetViews>
  <sheetFormatPr baseColWidth="10" defaultColWidth="9.1640625" defaultRowHeight="16.8" customHeight="1"/>
  <cols>
    <col min="2" max="2" width="15.1640625" customWidth="1" style="47"/>
    <col min="3" max="9" width="14.33203125" customWidth="1" style="47"/>
    <col min="10" max="10" width="30.3310546875" customWidth="1" style="47"/>
  </cols>
  <sheetData>
    <row r="1" ht="16.8" customHeight="1"/>
    <row r="2" ht="16.8" customHeight="1">
      <c r="B2" s="64" t="s">
        <v>0</v>
      </c>
      <c r="C2" s="64"/>
      <c r="D2" s="64"/>
      <c r="E2" s="64"/>
      <c r="F2" s="64"/>
      <c r="G2" s="64"/>
      <c r="H2" s="64"/>
      <c r="I2" s="64"/>
    </row>
    <row r="3" ht="16.8" customHeight="1">
      <c r="B3" s="53" t="s">
        <v>1</v>
      </c>
      <c r="C3" s="53" t="s">
        <v>2</v>
      </c>
      <c r="D3" s="53" t="s">
        <v>3</v>
      </c>
      <c r="E3" s="53" t="s">
        <v>4</v>
      </c>
      <c r="F3" s="53" t="s">
        <v>5</v>
      </c>
      <c r="G3" s="53" t="s">
        <v>6</v>
      </c>
      <c r="H3" s="53" t="s">
        <v>7</v>
      </c>
      <c r="I3" s="53" t="s">
        <v>8</v>
      </c>
    </row>
    <row r="4" ht="16.8" customHeight="1">
      <c r="B4" s="20" t="n">
        <v>1</v>
      </c>
      <c r="C4" s="18" t="s">
        <v>9</v>
      </c>
      <c r="D4" s="18" t="n">
        <v>2025.07</v>
      </c>
      <c r="E4" s="18" t="n">
        <v>238256</v>
      </c>
      <c r="F4" s="18" t="s">
        <v>10</v>
      </c>
      <c r="G4" s="18" t="s">
        <v>11</v>
      </c>
      <c r="H4" s="18" t="s">
        <v>12</v>
      </c>
      <c r="I4" s="65" t="n">
        <f>'7月绩效核算'!T4</f>
        <v>920</v>
      </c>
    </row>
    <row r="5" ht="16.8" customHeight="1">
      <c r="B5" s="20" t="n">
        <v>2</v>
      </c>
      <c r="C5" s="18" t="s">
        <v>9</v>
      </c>
      <c r="D5" s="18" t="n">
        <v>2026.07</v>
      </c>
      <c r="E5" s="18" t="n">
        <v>238256</v>
      </c>
      <c r="F5" s="18" t="s">
        <v>10</v>
      </c>
      <c r="G5" s="20" t="s">
        <v>11</v>
      </c>
      <c r="H5" s="18" t="s">
        <v>13</v>
      </c>
      <c r="I5" s="65" t="n">
        <f>'业绩汇总'!N5</f>
        <v>53861.4368</v>
      </c>
      <c r="J5" s="43"/>
    </row>
    <row r="6" ht="16.8" customHeight="1">
      <c r="B6" s="20" t="n">
        <v>3</v>
      </c>
      <c r="C6" s="18" t="s">
        <v>9</v>
      </c>
      <c r="D6" s="18" t="n">
        <v>2028.07</v>
      </c>
      <c r="E6" s="18" t="n">
        <v>341422</v>
      </c>
      <c r="F6" s="18" t="s">
        <v>14</v>
      </c>
      <c r="G6" s="20" t="s">
        <v>15</v>
      </c>
      <c r="H6" s="18" t="s">
        <v>12</v>
      </c>
      <c r="I6" s="65" t="n">
        <v>0</v>
      </c>
      <c r="J6" s="43" t="s">
        <v>16</v>
      </c>
    </row>
    <row r="7" ht="16.8" customHeight="1">
      <c r="B7" s="20" t="n">
        <v>4</v>
      </c>
      <c r="C7" s="18" t="s">
        <v>9</v>
      </c>
      <c r="D7" s="18" t="n">
        <v>2029.07</v>
      </c>
      <c r="E7" s="18" t="n">
        <v>341422</v>
      </c>
      <c r="F7" s="18" t="s">
        <v>14</v>
      </c>
      <c r="G7" s="20" t="s">
        <v>15</v>
      </c>
      <c r="H7" s="18" t="s">
        <v>13</v>
      </c>
      <c r="I7" s="65" t="n">
        <f>'业绩汇总'!N4</f>
        <v>94270.8225</v>
      </c>
      <c r="J7" s="43"/>
    </row>
    <row r="8" ht="16.8" customHeight="1">
      <c r="B8" s="20" t="n">
        <v>5</v>
      </c>
      <c r="C8" s="18" t="s">
        <v>9</v>
      </c>
      <c r="D8" s="18" t="n">
        <v>2030.07</v>
      </c>
      <c r="E8" s="18" t="n">
        <v>341422</v>
      </c>
      <c r="F8" s="18" t="s">
        <v>14</v>
      </c>
      <c r="G8" s="20" t="s">
        <v>15</v>
      </c>
      <c r="H8" s="18" t="s">
        <v>17</v>
      </c>
      <c r="I8" s="65" t="n">
        <v>4000</v>
      </c>
      <c r="J8" s="43" t="s">
        <v>18</v>
      </c>
    </row>
    <row r="9" ht="16.8" customHeight="1">
      <c r="B9" s="20" t="n">
        <v>6</v>
      </c>
      <c r="C9" s="20" t="s">
        <v>9</v>
      </c>
      <c r="D9" s="20" t="n">
        <v>2030.07</v>
      </c>
      <c r="E9" s="20" t="n">
        <v>341422</v>
      </c>
      <c r="F9" s="20" t="s">
        <v>19</v>
      </c>
      <c r="G9" s="20" t="s">
        <v>20</v>
      </c>
      <c r="H9" s="20" t="s">
        <v>12</v>
      </c>
      <c r="I9" s="65" t="n">
        <f>2000*(24/31)</f>
        <v>1548.38709677419</v>
      </c>
      <c r="J9" s="43" t="s">
        <v>21</v>
      </c>
    </row>
    <row r="10" ht="16.8" customHeight="1">
      <c r="J10" s="43"/>
    </row>
  </sheetData>
  <mergeCells count="1">
    <mergeCell ref="B2:I2"/>
  </mergeCells>
  <phoneticPr fontId="1"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tabColor rgb="FFC55A11"/>
    <outlinePr summaryBelow="0" summaryRight="0"/>
  </sheetPr>
  <dimension ref="A1"/>
  <sheetViews>
    <sheetView workbookViewId="0" showGridLines="0"/>
  </sheetViews>
  <sheetFormatPr baseColWidth="10" defaultColWidth="9.1640625" defaultRowHeight="16.8" customHeight="1"/>
  <cols>
    <col min="2" max="3" width="12.498046875" customWidth="1" style="47"/>
    <col min="4" max="7" width="17.666015625" customWidth="1" style="47"/>
    <col min="8" max="8" width="19.8310546875" customWidth="1" style="47"/>
    <col min="9" max="9" width="12.498046875" customWidth="1" style="47"/>
    <col min="10" max="10" width="21.3310546875" customWidth="1" style="47"/>
    <col min="11" max="12" width="12.498046875" customWidth="1" style="47"/>
    <col min="14" max="14" width="11.8330078125" style="47"/>
  </cols>
  <sheetData>
    <row r="1" ht="16.8" customHeight="1"/>
    <row r="2" ht="16.8" customHeight="1">
      <c r="B2" s="52" t="s">
        <v>22</v>
      </c>
      <c r="C2" s="52"/>
      <c r="D2" s="52"/>
      <c r="E2" s="52"/>
      <c r="F2" s="52"/>
      <c r="G2" s="52"/>
      <c r="H2" s="52"/>
      <c r="I2" s="52"/>
      <c r="J2" s="52"/>
      <c r="K2" s="52"/>
      <c r="L2" s="52"/>
    </row>
    <row r="3" ht="16.8" customHeight="1">
      <c r="B3" s="53" t="s">
        <v>1</v>
      </c>
      <c r="C3" s="53" t="s">
        <v>23</v>
      </c>
      <c r="D3" s="53" t="s">
        <v>24</v>
      </c>
      <c r="E3" s="53" t="s">
        <v>25</v>
      </c>
      <c r="F3" s="53" t="s">
        <v>26</v>
      </c>
      <c r="G3" s="53" t="s">
        <v>27</v>
      </c>
      <c r="H3" s="57" t="s">
        <v>28</v>
      </c>
      <c r="I3" s="57" t="s">
        <v>29</v>
      </c>
      <c r="J3" s="57" t="s">
        <v>30</v>
      </c>
      <c r="K3" s="59" t="s">
        <v>31</v>
      </c>
      <c r="L3" s="59" t="s">
        <v>32</v>
      </c>
    </row>
    <row r="4" ht="23" customHeight="1">
      <c r="B4" s="54" t="n">
        <v>1</v>
      </c>
      <c r="C4" s="54" t="s">
        <v>14</v>
      </c>
      <c r="D4" s="54" t="n">
        <v>1100000</v>
      </c>
      <c r="E4" s="54" t="n">
        <f>GETPIVOTDATA("学费",'7月签约班级明细导出'!$C$1,"标签","地面业绩","签约单录入人","谭悦")</f>
        <v>2167026.9</v>
      </c>
      <c r="F4" s="54" t="n">
        <f>GETPIVOTDATA("学费",'7月签约班级明细导出'!$C$1,"标签","代售网课","签约单录入人","谭悦")</f>
        <v>104102.6</v>
      </c>
      <c r="G4" s="54" t="n">
        <f>E4+F4</f>
        <v>2271129.5</v>
      </c>
      <c r="H4" s="54" t="n">
        <f>'7月钉钉退费共享表明细'!AP39-'7月钉钉退费共享表明细'!AP38-'7月钉钉退费共享表明细'!AP37-'7月钉钉退费共享表明细'!AP36</f>
        <v>385463.05</v>
      </c>
      <c r="I4" s="54" t="n">
        <f>'7月钉钉退费共享表明细'!AP36+'7月钉钉退费共享表明细'!AP37+'7月钉钉退费共享表明细'!AP38</f>
        <v>250</v>
      </c>
      <c r="J4" s="54" t="n">
        <f>H4+I4</f>
        <v>385713.05</v>
      </c>
      <c r="K4" s="54" t="n">
        <f>G4-J4</f>
        <v>1885416.45</v>
      </c>
      <c r="L4" s="60" t="n">
        <f>K4/D4</f>
        <v>1.71401495454545</v>
      </c>
      <c r="N4" s="47" t="n">
        <f>K4*0.05</f>
        <v>94270.8225</v>
      </c>
    </row>
    <row r="5" ht="23" customHeight="1">
      <c r="B5" s="54" t="n">
        <v>2</v>
      </c>
      <c r="C5" s="54" t="s">
        <v>33</v>
      </c>
      <c r="D5" s="54" t="n">
        <v>1100000</v>
      </c>
      <c r="E5" s="54" t="n">
        <f>GETPIVOTDATA("学费",'7月签约班级明细导出'!$C$1,"标签","地面业绩","签约单录入人","赵星火")</f>
        <v>1478651.6</v>
      </c>
      <c r="F5" s="54" t="n">
        <f>GETPIVOTDATA("学费",'7月签约班级明细导出'!$C$1,"标签","代售网课","签约单录入人","赵星火")</f>
        <v>71792.8</v>
      </c>
      <c r="G5" s="54" t="n">
        <f>E5+F5</f>
        <v>1550444.4</v>
      </c>
      <c r="H5" s="54" t="n">
        <f>'7月钉钉退费共享表明细'!AP64-'7月钉钉退费共享表明细'!AP63-'7月钉钉退费共享表明细'!AP62</f>
        <v>196501.85</v>
      </c>
      <c r="I5" s="54" t="n">
        <f>'7月钉钉退费共享表明细'!AP62+'7月钉钉退费共享表明细'!AP63</f>
        <v>7406.63</v>
      </c>
      <c r="J5" s="54" t="n">
        <f>H5+I5</f>
        <v>203908.48</v>
      </c>
      <c r="K5" s="54" t="n">
        <f>G5-J5</f>
        <v>1346535.92</v>
      </c>
      <c r="L5" s="60" t="n">
        <f>K5/D5</f>
        <v>1.22412356363636</v>
      </c>
      <c r="N5" s="47" t="n">
        <f>K5*0.04</f>
        <v>53861.4368</v>
      </c>
    </row>
    <row r="6" ht="24" customHeight="1">
      <c r="B6" s="55" t="s">
        <v>34</v>
      </c>
      <c r="C6" s="55"/>
      <c r="D6" s="56" t="n">
        <f>SUM(D4:D5)</f>
        <v>2200000</v>
      </c>
      <c r="E6" s="56" t="n">
        <f>SUM(E4:E5)</f>
        <v>3645678.5</v>
      </c>
      <c r="F6" s="56" t="n">
        <v>108898.6</v>
      </c>
      <c r="G6" s="56" t="n">
        <f>E6+F6</f>
        <v>3754577.1</v>
      </c>
      <c r="H6" s="58" t="s">
        <v>35</v>
      </c>
      <c r="I6" s="58" t="n">
        <v>8464</v>
      </c>
      <c r="J6" s="61" t="n">
        <f>SUM(J4:J5)</f>
        <v>589621.53</v>
      </c>
      <c r="K6" s="62" t="n">
        <f>SUM(K4:K5)</f>
        <v>3231952.37</v>
      </c>
      <c r="L6" s="63" t="n">
        <f>K6/D6</f>
        <v>1.46906925909091</v>
      </c>
    </row>
  </sheetData>
  <mergeCells count="2">
    <mergeCell ref="B6:C6"/>
    <mergeCell ref="B2:L2"/>
  </mergeCells>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6.8" customHeight="1"/>
  <cols>
    <col min="3" max="3" width="10.3330078125" style="47"/>
    <col min="4" max="4" width="10.5" style="47"/>
    <col min="5" max="5" width="13.998046875" style="47"/>
    <col min="30" max="30" width="10.5" style="47"/>
    <col min="31" max="31" width="18.3310546875" customWidth="1" style="47"/>
    <col min="32" max="32" width="14.33203125" customWidth="1" style="47"/>
    <col min="33" max="33" width="11.4990234375" customWidth="1" style="47"/>
    <col min="39" max="39" width="10.5" style="47"/>
    <col min="54" max="54" width="11.8330078125" style="47"/>
    <col min="65" max="65" width="13.166015625" style="47"/>
  </cols>
  <sheetData>
    <row r="1" ht="16.8" customHeight="1">
      <c r="A1" s="47"/>
      <c r="C1" s="47">
        <v/>
      </c>
      <c r="D1" s="47" t="s">
        <v>36</v>
      </c>
      <c r="E1" s="47" t="s">
        <v>37</v>
      </c>
    </row>
    <row r="2" ht="16.8" customHeight="1">
      <c r="C2" s="47" t="s">
        <v>14</v>
      </c>
      <c r="D2" s="47"/>
      <c r="E2" s="47" t="n">
        <v>2271129.5</v>
      </c>
    </row>
    <row r="3" ht="16.8" customHeight="1">
      <c r="C3" s="47"/>
      <c r="D3" s="47" t="s">
        <v>38</v>
      </c>
      <c r="E3" s="47" t="n">
        <v>104102.6</v>
      </c>
    </row>
    <row r="4" ht="16.8" customHeight="1">
      <c r="C4" s="47"/>
      <c r="D4" s="47" t="s">
        <v>25</v>
      </c>
      <c r="E4" s="47" t="n">
        <v>2167026.9</v>
      </c>
    </row>
    <row r="5" ht="16.8" customHeight="1">
      <c r="C5" s="47" t="s">
        <v>10</v>
      </c>
      <c r="D5" s="47"/>
      <c r="E5" s="47" t="n">
        <v>1550444.4</v>
      </c>
    </row>
    <row r="6" ht="16.8" customHeight="1">
      <c r="C6" s="47"/>
      <c r="D6" s="47" t="s">
        <v>38</v>
      </c>
      <c r="E6" s="47" t="n">
        <v>71792.8</v>
      </c>
    </row>
    <row r="7" ht="16.8" customHeight="1">
      <c r="C7" s="47"/>
      <c r="D7" s="47" t="s">
        <v>25</v>
      </c>
      <c r="E7" s="47" t="n">
        <v>1478651.6</v>
      </c>
    </row>
    <row r="8" ht="16.8" customHeight="1">
      <c r="C8" s="47" t="s">
        <v>39</v>
      </c>
      <c r="D8" s="47"/>
      <c r="E8" s="47" t="n">
        <v>3821573.9</v>
      </c>
    </row>
    <row r="10" ht="14" customHeight="1">
      <c r="A10" s="48" t="s">
        <v>36</v>
      </c>
      <c r="B10" s="48" t="s">
        <v>1</v>
      </c>
      <c r="C10" s="48" t="s">
        <v>40</v>
      </c>
      <c r="D10" s="48" t="s">
        <v>6</v>
      </c>
      <c r="E10" s="48" t="s">
        <v>41</v>
      </c>
      <c r="F10" s="48" t="s">
        <v>42</v>
      </c>
      <c r="G10" s="48" t="s">
        <v>43</v>
      </c>
      <c r="H10" s="48" t="s">
        <v>44</v>
      </c>
      <c r="I10" s="48" t="s">
        <v>45</v>
      </c>
      <c r="J10" s="48" t="s">
        <v>46</v>
      </c>
      <c r="K10" s="48" t="s">
        <v>47</v>
      </c>
      <c r="L10" s="48" t="s">
        <v>48</v>
      </c>
      <c r="M10" s="48" t="s">
        <v>49</v>
      </c>
      <c r="N10" s="48" t="s">
        <v>50</v>
      </c>
      <c r="O10" s="48" t="s">
        <v>51</v>
      </c>
      <c r="P10" s="48" t="s">
        <v>52</v>
      </c>
      <c r="Q10" s="48" t="s">
        <v>53</v>
      </c>
      <c r="R10" s="48" t="s">
        <v>54</v>
      </c>
      <c r="S10" s="48" t="s">
        <v>55</v>
      </c>
      <c r="T10" s="48" t="s">
        <v>56</v>
      </c>
      <c r="U10" s="48" t="s">
        <v>57</v>
      </c>
      <c r="V10" s="48" t="s">
        <v>58</v>
      </c>
      <c r="W10" s="48" t="s">
        <v>59</v>
      </c>
      <c r="X10" s="48" t="s">
        <v>60</v>
      </c>
      <c r="Y10" s="48" t="s">
        <v>61</v>
      </c>
      <c r="Z10" s="48" t="s">
        <v>40</v>
      </c>
      <c r="AA10" s="48" t="s">
        <v>62</v>
      </c>
      <c r="AB10" s="48" t="s">
        <v>63</v>
      </c>
      <c r="AC10" s="48" t="s">
        <v>64</v>
      </c>
      <c r="AD10" s="48" t="s">
        <v>65</v>
      </c>
      <c r="AE10" s="48" t="s">
        <v>66</v>
      </c>
      <c r="AF10" s="48" t="s">
        <v>67</v>
      </c>
      <c r="AG10" s="48" t="s">
        <v>68</v>
      </c>
      <c r="AH10" s="48" t="s">
        <v>69</v>
      </c>
      <c r="AI10" s="48" t="s">
        <v>70</v>
      </c>
      <c r="AJ10" s="48" t="s">
        <v>71</v>
      </c>
      <c r="AK10" s="48" t="s">
        <v>72</v>
      </c>
      <c r="AL10" s="48" t="s">
        <v>73</v>
      </c>
      <c r="AM10" s="48" t="s">
        <v>74</v>
      </c>
      <c r="AN10" s="48" t="s">
        <v>75</v>
      </c>
      <c r="AO10" s="48" t="s">
        <v>76</v>
      </c>
      <c r="AP10" s="48" t="s">
        <v>77</v>
      </c>
      <c r="AQ10" s="48" t="s">
        <v>78</v>
      </c>
      <c r="AR10" s="48" t="s">
        <v>79</v>
      </c>
      <c r="AS10" s="48" t="s">
        <v>80</v>
      </c>
      <c r="AT10" s="48" t="s">
        <v>81</v>
      </c>
      <c r="AU10" s="48" t="s">
        <v>82</v>
      </c>
      <c r="AV10" s="48" t="s">
        <v>83</v>
      </c>
      <c r="AW10" s="48" t="s">
        <v>84</v>
      </c>
      <c r="AX10" s="48" t="s">
        <v>85</v>
      </c>
      <c r="AY10" s="48" t="s">
        <v>86</v>
      </c>
      <c r="AZ10" s="48" t="s">
        <v>87</v>
      </c>
      <c r="BA10" s="48" t="s">
        <v>88</v>
      </c>
      <c r="BB10" s="48" t="s">
        <v>89</v>
      </c>
      <c r="BC10" s="48" t="s">
        <v>90</v>
      </c>
      <c r="BD10" s="48" t="s">
        <v>91</v>
      </c>
      <c r="BE10" s="48" t="s">
        <v>92</v>
      </c>
      <c r="BF10" s="48" t="s">
        <v>93</v>
      </c>
      <c r="BG10" s="48" t="s">
        <v>94</v>
      </c>
      <c r="BH10" s="48" t="s">
        <v>95</v>
      </c>
      <c r="BI10" s="48" t="s">
        <v>96</v>
      </c>
      <c r="BJ10" s="48" t="s">
        <v>97</v>
      </c>
      <c r="BK10" s="48" t="s">
        <v>98</v>
      </c>
      <c r="BL10" s="48" t="s">
        <v>99</v>
      </c>
      <c r="BM10" s="48" t="s">
        <v>100</v>
      </c>
      <c r="BN10" s="48" t="s">
        <v>101</v>
      </c>
      <c r="BO10" s="48" t="s">
        <v>102</v>
      </c>
    </row>
    <row r="11" ht="16.8" customHeight="1">
      <c r="A11" s="43" t="s">
        <v>25</v>
      </c>
      <c r="B11" s="49" t="n">
        <v>1</v>
      </c>
      <c r="C11" s="49" t="s">
        <v>103</v>
      </c>
      <c r="D11" s="49" t="s">
        <v>104</v>
      </c>
      <c r="E11" s="49" t="s">
        <v>105</v>
      </c>
      <c r="F11" s="49" t="s">
        <v>106</v>
      </c>
      <c r="G11" s="49" t="s">
        <v>107</v>
      </c>
      <c r="H11" s="49" t="s">
        <v>108</v>
      </c>
      <c r="I11" s="49" t="s">
        <v>109</v>
      </c>
      <c r="J11" s="49"/>
      <c r="K11" s="49" t="s">
        <v>110</v>
      </c>
      <c r="L11" s="49" t="s">
        <v>14</v>
      </c>
      <c r="M11" s="49" t="s">
        <v>111</v>
      </c>
      <c r="N11" s="49" t="s">
        <v>112</v>
      </c>
      <c r="O11" s="49" t="s">
        <v>113</v>
      </c>
      <c r="P11" s="49"/>
      <c r="Q11" s="49"/>
      <c r="R11" s="49" t="s">
        <v>105</v>
      </c>
      <c r="S11" s="49" t="s">
        <v>14</v>
      </c>
      <c r="T11" s="49" t="s">
        <v>114</v>
      </c>
      <c r="U11" s="49" t="s">
        <v>115</v>
      </c>
      <c r="V11" s="49" t="s">
        <v>116</v>
      </c>
      <c r="W11" s="49" t="s">
        <v>117</v>
      </c>
      <c r="X11" s="49" t="s">
        <v>118</v>
      </c>
      <c r="Y11" s="49" t="s">
        <v>110</v>
      </c>
      <c r="Z11" s="49" t="s">
        <v>119</v>
      </c>
      <c r="AA11" s="49" t="s">
        <v>120</v>
      </c>
      <c r="AB11" s="49" t="s">
        <v>121</v>
      </c>
      <c r="AC11" s="49" t="s">
        <v>105</v>
      </c>
      <c r="AD11" s="49" t="n">
        <v>5528120</v>
      </c>
      <c r="AE11" s="49" t="s">
        <v>14</v>
      </c>
      <c r="AF11" s="49" t="s">
        <v>116</v>
      </c>
      <c r="AG11" s="49" t="s">
        <v>14</v>
      </c>
      <c r="AH11" s="49" t="s">
        <v>116</v>
      </c>
      <c r="AI11" s="49" t="s">
        <v>122</v>
      </c>
      <c r="AJ11" s="49" t="s">
        <v>123</v>
      </c>
      <c r="AK11" s="49" t="s">
        <v>124</v>
      </c>
      <c r="AL11" s="49" t="s">
        <v>125</v>
      </c>
      <c r="AM11" s="51" t="n">
        <v>6100</v>
      </c>
      <c r="AN11" s="49" t="s">
        <v>126</v>
      </c>
      <c r="AO11" s="49" t="s">
        <v>107</v>
      </c>
      <c r="AP11" s="49" t="s">
        <v>127</v>
      </c>
      <c r="AQ11" s="49" t="s">
        <v>128</v>
      </c>
      <c r="AR11" s="49" t="s">
        <v>129</v>
      </c>
      <c r="AS11" s="49" t="s">
        <v>130</v>
      </c>
      <c r="AT11" s="49" t="s">
        <v>131</v>
      </c>
      <c r="AU11" s="49" t="s">
        <v>132</v>
      </c>
      <c r="AV11" s="49"/>
      <c r="AW11" s="49" t="s">
        <v>133</v>
      </c>
      <c r="AX11" s="49"/>
      <c r="AY11" s="49"/>
      <c r="AZ11" s="49"/>
      <c r="BA11" s="49"/>
      <c r="BB11" s="49" t="n">
        <v>44495810</v>
      </c>
      <c r="BC11" s="49" t="s">
        <v>134</v>
      </c>
      <c r="BD11" s="49" t="s">
        <v>135</v>
      </c>
      <c r="BE11" s="49" t="s">
        <v>136</v>
      </c>
      <c r="BF11" s="49" t="s">
        <v>137</v>
      </c>
      <c r="BG11" s="49" t="s">
        <v>138</v>
      </c>
      <c r="BH11" s="49" t="s">
        <v>139</v>
      </c>
      <c r="BI11" s="49" t="s">
        <v>140</v>
      </c>
      <c r="BJ11" s="49" t="s">
        <v>125</v>
      </c>
      <c r="BK11" s="49"/>
      <c r="BL11" s="49" t="s">
        <v>141</v>
      </c>
      <c r="BM11" s="49"/>
      <c r="BN11" s="49" t="s">
        <v>142</v>
      </c>
      <c r="BO11" s="49" t="s">
        <v>112</v>
      </c>
    </row>
    <row r="12" ht="16.8" customHeight="1">
      <c r="A12" s="43" t="s">
        <v>25</v>
      </c>
      <c r="B12" s="49" t="n">
        <v>2</v>
      </c>
      <c r="C12" s="49" t="s">
        <v>103</v>
      </c>
      <c r="D12" s="49" t="s">
        <v>104</v>
      </c>
      <c r="E12" s="49" t="s">
        <v>105</v>
      </c>
      <c r="F12" s="49" t="s">
        <v>106</v>
      </c>
      <c r="G12" s="49" t="s">
        <v>107</v>
      </c>
      <c r="H12" s="49" t="s">
        <v>108</v>
      </c>
      <c r="I12" s="49" t="s">
        <v>109</v>
      </c>
      <c r="J12" s="49"/>
      <c r="K12" s="49" t="s">
        <v>110</v>
      </c>
      <c r="L12" s="49" t="s">
        <v>14</v>
      </c>
      <c r="M12" s="49" t="s">
        <v>111</v>
      </c>
      <c r="N12" s="49" t="s">
        <v>112</v>
      </c>
      <c r="O12" s="49" t="s">
        <v>113</v>
      </c>
      <c r="P12" s="49"/>
      <c r="Q12" s="49"/>
      <c r="R12" s="49" t="s">
        <v>105</v>
      </c>
      <c r="S12" s="49" t="s">
        <v>14</v>
      </c>
      <c r="T12" s="49" t="s">
        <v>114</v>
      </c>
      <c r="U12" s="49" t="s">
        <v>115</v>
      </c>
      <c r="V12" s="49" t="s">
        <v>116</v>
      </c>
      <c r="W12" s="49" t="s">
        <v>117</v>
      </c>
      <c r="X12" s="49" t="s">
        <v>118</v>
      </c>
      <c r="Y12" s="49" t="s">
        <v>110</v>
      </c>
      <c r="Z12" s="49" t="s">
        <v>119</v>
      </c>
      <c r="AA12" s="49" t="s">
        <v>120</v>
      </c>
      <c r="AB12" s="49" t="s">
        <v>121</v>
      </c>
      <c r="AC12" s="49" t="s">
        <v>105</v>
      </c>
      <c r="AD12" s="49" t="n">
        <v>5528120</v>
      </c>
      <c r="AE12" s="49" t="s">
        <v>14</v>
      </c>
      <c r="AF12" s="49" t="s">
        <v>116</v>
      </c>
      <c r="AG12" s="49" t="s">
        <v>14</v>
      </c>
      <c r="AH12" s="49" t="s">
        <v>116</v>
      </c>
      <c r="AI12" s="49" t="s">
        <v>143</v>
      </c>
      <c r="AJ12" s="49" t="s">
        <v>144</v>
      </c>
      <c r="AK12" s="49" t="s">
        <v>124</v>
      </c>
      <c r="AL12" s="49" t="s">
        <v>125</v>
      </c>
      <c r="AM12" s="51" t="n">
        <v>3600</v>
      </c>
      <c r="AN12" s="49" t="s">
        <v>126</v>
      </c>
      <c r="AO12" s="49" t="s">
        <v>107</v>
      </c>
      <c r="AP12" s="49" t="s">
        <v>127</v>
      </c>
      <c r="AQ12" s="49" t="s">
        <v>128</v>
      </c>
      <c r="AR12" s="49" t="s">
        <v>129</v>
      </c>
      <c r="AS12" s="49" t="s">
        <v>130</v>
      </c>
      <c r="AT12" s="49" t="s">
        <v>145</v>
      </c>
      <c r="AU12" s="49" t="s">
        <v>132</v>
      </c>
      <c r="AV12" s="49"/>
      <c r="AW12" s="49" t="s">
        <v>133</v>
      </c>
      <c r="AX12" s="49"/>
      <c r="AY12" s="49"/>
      <c r="AZ12" s="49"/>
      <c r="BA12" s="49"/>
      <c r="BB12" s="49" t="n">
        <v>44495810</v>
      </c>
      <c r="BC12" s="49" t="s">
        <v>134</v>
      </c>
      <c r="BD12" s="49" t="s">
        <v>135</v>
      </c>
      <c r="BE12" s="49" t="s">
        <v>136</v>
      </c>
      <c r="BF12" s="49" t="s">
        <v>137</v>
      </c>
      <c r="BG12" s="49" t="s">
        <v>138</v>
      </c>
      <c r="BH12" s="49" t="s">
        <v>139</v>
      </c>
      <c r="BI12" s="49" t="s">
        <v>140</v>
      </c>
      <c r="BJ12" s="49" t="s">
        <v>125</v>
      </c>
      <c r="BK12" s="49"/>
      <c r="BL12" s="49" t="s">
        <v>141</v>
      </c>
      <c r="BM12" s="49"/>
      <c r="BN12" s="49" t="s">
        <v>142</v>
      </c>
      <c r="BO12" s="49" t="s">
        <v>112</v>
      </c>
    </row>
    <row r="13" ht="16.8" customHeight="1">
      <c r="A13" s="43" t="s">
        <v>25</v>
      </c>
      <c r="B13" s="49" t="n">
        <v>3</v>
      </c>
      <c r="C13" s="49" t="s">
        <v>103</v>
      </c>
      <c r="D13" s="49" t="s">
        <v>104</v>
      </c>
      <c r="E13" s="49" t="s">
        <v>105</v>
      </c>
      <c r="F13" s="49" t="s">
        <v>106</v>
      </c>
      <c r="G13" s="49" t="s">
        <v>107</v>
      </c>
      <c r="H13" s="49" t="s">
        <v>108</v>
      </c>
      <c r="I13" s="49" t="s">
        <v>109</v>
      </c>
      <c r="J13" s="49"/>
      <c r="K13" s="49" t="s">
        <v>110</v>
      </c>
      <c r="L13" s="49" t="s">
        <v>14</v>
      </c>
      <c r="M13" s="49" t="s">
        <v>111</v>
      </c>
      <c r="N13" s="49" t="s">
        <v>112</v>
      </c>
      <c r="O13" s="49" t="s">
        <v>113</v>
      </c>
      <c r="P13" s="49"/>
      <c r="Q13" s="49"/>
      <c r="R13" s="49" t="s">
        <v>105</v>
      </c>
      <c r="S13" s="49" t="s">
        <v>14</v>
      </c>
      <c r="T13" s="49" t="s">
        <v>114</v>
      </c>
      <c r="U13" s="49" t="s">
        <v>115</v>
      </c>
      <c r="V13" s="49" t="s">
        <v>116</v>
      </c>
      <c r="W13" s="49" t="s">
        <v>117</v>
      </c>
      <c r="X13" s="49" t="s">
        <v>118</v>
      </c>
      <c r="Y13" s="49" t="s">
        <v>110</v>
      </c>
      <c r="Z13" s="49" t="s">
        <v>119</v>
      </c>
      <c r="AA13" s="49" t="s">
        <v>120</v>
      </c>
      <c r="AB13" s="49" t="s">
        <v>121</v>
      </c>
      <c r="AC13" s="49" t="s">
        <v>105</v>
      </c>
      <c r="AD13" s="49" t="n">
        <v>5528120</v>
      </c>
      <c r="AE13" s="49" t="s">
        <v>14</v>
      </c>
      <c r="AF13" s="49" t="s">
        <v>116</v>
      </c>
      <c r="AG13" s="49" t="s">
        <v>14</v>
      </c>
      <c r="AH13" s="49" t="s">
        <v>116</v>
      </c>
      <c r="AI13" s="49" t="s">
        <v>146</v>
      </c>
      <c r="AJ13" s="49" t="s">
        <v>147</v>
      </c>
      <c r="AK13" s="49" t="s">
        <v>124</v>
      </c>
      <c r="AL13" s="49" t="s">
        <v>125</v>
      </c>
      <c r="AM13" s="51" t="n">
        <v>4275</v>
      </c>
      <c r="AN13" s="49" t="s">
        <v>126</v>
      </c>
      <c r="AO13" s="49" t="s">
        <v>107</v>
      </c>
      <c r="AP13" s="49" t="s">
        <v>127</v>
      </c>
      <c r="AQ13" s="49" t="s">
        <v>128</v>
      </c>
      <c r="AR13" s="49" t="s">
        <v>129</v>
      </c>
      <c r="AS13" s="49" t="s">
        <v>130</v>
      </c>
      <c r="AT13" s="49" t="s">
        <v>148</v>
      </c>
      <c r="AU13" s="49" t="s">
        <v>132</v>
      </c>
      <c r="AV13" s="49"/>
      <c r="AW13" s="49" t="s">
        <v>133</v>
      </c>
      <c r="AX13" s="49"/>
      <c r="AY13" s="49"/>
      <c r="AZ13" s="49"/>
      <c r="BA13" s="49"/>
      <c r="BB13" s="49" t="n">
        <v>44495810</v>
      </c>
      <c r="BC13" s="49" t="s">
        <v>134</v>
      </c>
      <c r="BD13" s="49" t="s">
        <v>135</v>
      </c>
      <c r="BE13" s="49" t="s">
        <v>136</v>
      </c>
      <c r="BF13" s="49" t="s">
        <v>137</v>
      </c>
      <c r="BG13" s="49" t="s">
        <v>138</v>
      </c>
      <c r="BH13" s="49" t="s">
        <v>139</v>
      </c>
      <c r="BI13" s="49" t="s">
        <v>140</v>
      </c>
      <c r="BJ13" s="49" t="s">
        <v>125</v>
      </c>
      <c r="BK13" s="49"/>
      <c r="BL13" s="49" t="s">
        <v>141</v>
      </c>
      <c r="BM13" s="49"/>
      <c r="BN13" s="49" t="s">
        <v>142</v>
      </c>
      <c r="BO13" s="49" t="s">
        <v>112</v>
      </c>
    </row>
    <row r="14" ht="16.8" customHeight="1">
      <c r="A14" s="43" t="s">
        <v>25</v>
      </c>
      <c r="B14" s="49" t="n">
        <v>4</v>
      </c>
      <c r="C14" s="49" t="s">
        <v>103</v>
      </c>
      <c r="D14" s="49" t="s">
        <v>104</v>
      </c>
      <c r="E14" s="49" t="s">
        <v>105</v>
      </c>
      <c r="F14" s="49" t="s">
        <v>106</v>
      </c>
      <c r="G14" s="49" t="s">
        <v>107</v>
      </c>
      <c r="H14" s="49" t="s">
        <v>108</v>
      </c>
      <c r="I14" s="49" t="s">
        <v>109</v>
      </c>
      <c r="J14" s="49"/>
      <c r="K14" s="49" t="s">
        <v>110</v>
      </c>
      <c r="L14" s="49" t="s">
        <v>14</v>
      </c>
      <c r="M14" s="49" t="s">
        <v>111</v>
      </c>
      <c r="N14" s="49" t="s">
        <v>112</v>
      </c>
      <c r="O14" s="49" t="s">
        <v>113</v>
      </c>
      <c r="P14" s="49"/>
      <c r="Q14" s="49"/>
      <c r="R14" s="49" t="s">
        <v>105</v>
      </c>
      <c r="S14" s="49" t="s">
        <v>14</v>
      </c>
      <c r="T14" s="49" t="s">
        <v>114</v>
      </c>
      <c r="U14" s="49" t="s">
        <v>115</v>
      </c>
      <c r="V14" s="49" t="s">
        <v>116</v>
      </c>
      <c r="W14" s="49" t="s">
        <v>117</v>
      </c>
      <c r="X14" s="49" t="s">
        <v>118</v>
      </c>
      <c r="Y14" s="49" t="s">
        <v>110</v>
      </c>
      <c r="Z14" s="49" t="s">
        <v>119</v>
      </c>
      <c r="AA14" s="49" t="s">
        <v>120</v>
      </c>
      <c r="AB14" s="49" t="s">
        <v>121</v>
      </c>
      <c r="AC14" s="49" t="s">
        <v>105</v>
      </c>
      <c r="AD14" s="49" t="n">
        <v>5528120</v>
      </c>
      <c r="AE14" s="49" t="s">
        <v>14</v>
      </c>
      <c r="AF14" s="49" t="s">
        <v>116</v>
      </c>
      <c r="AG14" s="49" t="s">
        <v>14</v>
      </c>
      <c r="AH14" s="49" t="s">
        <v>116</v>
      </c>
      <c r="AI14" s="49" t="s">
        <v>149</v>
      </c>
      <c r="AJ14" s="49" t="s">
        <v>150</v>
      </c>
      <c r="AK14" s="49" t="s">
        <v>124</v>
      </c>
      <c r="AL14" s="49" t="s">
        <v>125</v>
      </c>
      <c r="AM14" s="51" t="n">
        <v>5250</v>
      </c>
      <c r="AN14" s="49" t="s">
        <v>126</v>
      </c>
      <c r="AO14" s="49" t="s">
        <v>107</v>
      </c>
      <c r="AP14" s="49" t="s">
        <v>127</v>
      </c>
      <c r="AQ14" s="49" t="s">
        <v>128</v>
      </c>
      <c r="AR14" s="49" t="s">
        <v>129</v>
      </c>
      <c r="AS14" s="49" t="s">
        <v>130</v>
      </c>
      <c r="AT14" s="49" t="s">
        <v>151</v>
      </c>
      <c r="AU14" s="49" t="s">
        <v>132</v>
      </c>
      <c r="AV14" s="49"/>
      <c r="AW14" s="49" t="s">
        <v>133</v>
      </c>
      <c r="AX14" s="49"/>
      <c r="AY14" s="49"/>
      <c r="AZ14" s="49"/>
      <c r="BA14" s="49"/>
      <c r="BB14" s="49" t="n">
        <v>44495810</v>
      </c>
      <c r="BC14" s="49" t="s">
        <v>134</v>
      </c>
      <c r="BD14" s="49" t="s">
        <v>135</v>
      </c>
      <c r="BE14" s="49" t="s">
        <v>136</v>
      </c>
      <c r="BF14" s="49" t="s">
        <v>137</v>
      </c>
      <c r="BG14" s="49" t="s">
        <v>138</v>
      </c>
      <c r="BH14" s="49" t="s">
        <v>139</v>
      </c>
      <c r="BI14" s="49" t="s">
        <v>140</v>
      </c>
      <c r="BJ14" s="49" t="s">
        <v>125</v>
      </c>
      <c r="BK14" s="49"/>
      <c r="BL14" s="49" t="s">
        <v>141</v>
      </c>
      <c r="BM14" s="49"/>
      <c r="BN14" s="49" t="s">
        <v>142</v>
      </c>
      <c r="BO14" s="49" t="s">
        <v>112</v>
      </c>
    </row>
    <row r="15" ht="16.8" customHeight="1">
      <c r="A15" s="43" t="s">
        <v>25</v>
      </c>
      <c r="B15" s="49" t="n">
        <v>5</v>
      </c>
      <c r="C15" s="49" t="s">
        <v>103</v>
      </c>
      <c r="D15" s="49" t="s">
        <v>104</v>
      </c>
      <c r="E15" s="49" t="s">
        <v>105</v>
      </c>
      <c r="F15" s="49" t="s">
        <v>106</v>
      </c>
      <c r="G15" s="49" t="s">
        <v>107</v>
      </c>
      <c r="H15" s="49" t="s">
        <v>108</v>
      </c>
      <c r="I15" s="49" t="s">
        <v>109</v>
      </c>
      <c r="J15" s="49"/>
      <c r="K15" s="49" t="s">
        <v>110</v>
      </c>
      <c r="L15" s="49" t="s">
        <v>14</v>
      </c>
      <c r="M15" s="49" t="s">
        <v>111</v>
      </c>
      <c r="N15" s="49" t="s">
        <v>112</v>
      </c>
      <c r="O15" s="49" t="s">
        <v>113</v>
      </c>
      <c r="P15" s="49"/>
      <c r="Q15" s="49"/>
      <c r="R15" s="49" t="s">
        <v>105</v>
      </c>
      <c r="S15" s="49" t="s">
        <v>14</v>
      </c>
      <c r="T15" s="49" t="s">
        <v>114</v>
      </c>
      <c r="U15" s="49" t="s">
        <v>115</v>
      </c>
      <c r="V15" s="49" t="s">
        <v>116</v>
      </c>
      <c r="W15" s="49" t="s">
        <v>117</v>
      </c>
      <c r="X15" s="49" t="s">
        <v>118</v>
      </c>
      <c r="Y15" s="49" t="s">
        <v>110</v>
      </c>
      <c r="Z15" s="49" t="s">
        <v>119</v>
      </c>
      <c r="AA15" s="49" t="s">
        <v>120</v>
      </c>
      <c r="AB15" s="49" t="s">
        <v>121</v>
      </c>
      <c r="AC15" s="49" t="s">
        <v>105</v>
      </c>
      <c r="AD15" s="49" t="n">
        <v>5528120</v>
      </c>
      <c r="AE15" s="49" t="s">
        <v>14</v>
      </c>
      <c r="AF15" s="49" t="s">
        <v>116</v>
      </c>
      <c r="AG15" s="49" t="s">
        <v>14</v>
      </c>
      <c r="AH15" s="49" t="s">
        <v>116</v>
      </c>
      <c r="AI15" s="49" t="s">
        <v>152</v>
      </c>
      <c r="AJ15" s="49" t="s">
        <v>153</v>
      </c>
      <c r="AK15" s="49" t="s">
        <v>124</v>
      </c>
      <c r="AL15" s="49" t="s">
        <v>125</v>
      </c>
      <c r="AM15" s="51" t="n">
        <v>6300</v>
      </c>
      <c r="AN15" s="49" t="s">
        <v>126</v>
      </c>
      <c r="AO15" s="49" t="s">
        <v>107</v>
      </c>
      <c r="AP15" s="49" t="s">
        <v>127</v>
      </c>
      <c r="AQ15" s="49" t="s">
        <v>128</v>
      </c>
      <c r="AR15" s="49" t="s">
        <v>129</v>
      </c>
      <c r="AS15" s="49" t="s">
        <v>130</v>
      </c>
      <c r="AT15" s="49" t="s">
        <v>154</v>
      </c>
      <c r="AU15" s="49" t="s">
        <v>132</v>
      </c>
      <c r="AV15" s="49"/>
      <c r="AW15" s="49" t="s">
        <v>133</v>
      </c>
      <c r="AX15" s="49"/>
      <c r="AY15" s="49"/>
      <c r="AZ15" s="49"/>
      <c r="BA15" s="49"/>
      <c r="BB15" s="49" t="n">
        <v>44495810</v>
      </c>
      <c r="BC15" s="49" t="s">
        <v>134</v>
      </c>
      <c r="BD15" s="49" t="s">
        <v>135</v>
      </c>
      <c r="BE15" s="49" t="s">
        <v>136</v>
      </c>
      <c r="BF15" s="49" t="s">
        <v>137</v>
      </c>
      <c r="BG15" s="49" t="s">
        <v>138</v>
      </c>
      <c r="BH15" s="49" t="s">
        <v>139</v>
      </c>
      <c r="BI15" s="49" t="s">
        <v>140</v>
      </c>
      <c r="BJ15" s="49" t="s">
        <v>125</v>
      </c>
      <c r="BK15" s="49"/>
      <c r="BL15" s="49" t="s">
        <v>141</v>
      </c>
      <c r="BM15" s="49"/>
      <c r="BN15" s="49" t="s">
        <v>142</v>
      </c>
      <c r="BO15" s="49" t="s">
        <v>112</v>
      </c>
    </row>
    <row r="16" ht="16.8" customHeight="1">
      <c r="A16" s="43" t="s">
        <v>25</v>
      </c>
      <c r="B16" s="49" t="n">
        <v>6</v>
      </c>
      <c r="C16" s="49" t="s">
        <v>103</v>
      </c>
      <c r="D16" s="49" t="s">
        <v>104</v>
      </c>
      <c r="E16" s="49" t="s">
        <v>105</v>
      </c>
      <c r="F16" s="49" t="s">
        <v>106</v>
      </c>
      <c r="G16" s="49" t="s">
        <v>107</v>
      </c>
      <c r="H16" s="49" t="s">
        <v>108</v>
      </c>
      <c r="I16" s="49" t="s">
        <v>109</v>
      </c>
      <c r="J16" s="49"/>
      <c r="K16" s="49" t="s">
        <v>110</v>
      </c>
      <c r="L16" s="49" t="s">
        <v>14</v>
      </c>
      <c r="M16" s="49" t="s">
        <v>111</v>
      </c>
      <c r="N16" s="49" t="s">
        <v>112</v>
      </c>
      <c r="O16" s="49" t="s">
        <v>113</v>
      </c>
      <c r="P16" s="49"/>
      <c r="Q16" s="49"/>
      <c r="R16" s="49" t="s">
        <v>105</v>
      </c>
      <c r="S16" s="49" t="s">
        <v>14</v>
      </c>
      <c r="T16" s="49" t="s">
        <v>114</v>
      </c>
      <c r="U16" s="49" t="s">
        <v>115</v>
      </c>
      <c r="V16" s="49" t="s">
        <v>116</v>
      </c>
      <c r="W16" s="49" t="s">
        <v>117</v>
      </c>
      <c r="X16" s="49" t="s">
        <v>118</v>
      </c>
      <c r="Y16" s="49" t="s">
        <v>110</v>
      </c>
      <c r="Z16" s="49" t="s">
        <v>119</v>
      </c>
      <c r="AA16" s="49" t="s">
        <v>120</v>
      </c>
      <c r="AB16" s="49" t="s">
        <v>121</v>
      </c>
      <c r="AC16" s="49" t="s">
        <v>105</v>
      </c>
      <c r="AD16" s="49" t="n">
        <v>5528120</v>
      </c>
      <c r="AE16" s="49" t="s">
        <v>14</v>
      </c>
      <c r="AF16" s="49" t="s">
        <v>116</v>
      </c>
      <c r="AG16" s="49" t="s">
        <v>14</v>
      </c>
      <c r="AH16" s="49" t="s">
        <v>116</v>
      </c>
      <c r="AI16" s="49" t="s">
        <v>155</v>
      </c>
      <c r="AJ16" s="49" t="s">
        <v>156</v>
      </c>
      <c r="AK16" s="49" t="s">
        <v>124</v>
      </c>
      <c r="AL16" s="49" t="s">
        <v>125</v>
      </c>
      <c r="AM16" s="51" t="n">
        <v>5400</v>
      </c>
      <c r="AN16" s="49" t="s">
        <v>126</v>
      </c>
      <c r="AO16" s="49" t="s">
        <v>107</v>
      </c>
      <c r="AP16" s="49" t="s">
        <v>127</v>
      </c>
      <c r="AQ16" s="49" t="s">
        <v>128</v>
      </c>
      <c r="AR16" s="49" t="s">
        <v>129</v>
      </c>
      <c r="AS16" s="49" t="s">
        <v>130</v>
      </c>
      <c r="AT16" s="49" t="s">
        <v>157</v>
      </c>
      <c r="AU16" s="49" t="s">
        <v>132</v>
      </c>
      <c r="AV16" s="49"/>
      <c r="AW16" s="49" t="s">
        <v>133</v>
      </c>
      <c r="AX16" s="49"/>
      <c r="AY16" s="49"/>
      <c r="AZ16" s="49"/>
      <c r="BA16" s="49"/>
      <c r="BB16" s="49" t="n">
        <v>44495810</v>
      </c>
      <c r="BC16" s="49" t="s">
        <v>134</v>
      </c>
      <c r="BD16" s="49" t="s">
        <v>135</v>
      </c>
      <c r="BE16" s="49" t="s">
        <v>136</v>
      </c>
      <c r="BF16" s="49" t="s">
        <v>137</v>
      </c>
      <c r="BG16" s="49" t="s">
        <v>138</v>
      </c>
      <c r="BH16" s="49" t="s">
        <v>139</v>
      </c>
      <c r="BI16" s="49" t="s">
        <v>140</v>
      </c>
      <c r="BJ16" s="49" t="s">
        <v>125</v>
      </c>
      <c r="BK16" s="49"/>
      <c r="BL16" s="49" t="s">
        <v>141</v>
      </c>
      <c r="BM16" s="49"/>
      <c r="BN16" s="49" t="s">
        <v>142</v>
      </c>
      <c r="BO16" s="49" t="s">
        <v>112</v>
      </c>
    </row>
    <row r="17" ht="16.8" customHeight="1">
      <c r="A17" s="43" t="s">
        <v>25</v>
      </c>
      <c r="B17" s="49" t="n">
        <v>7</v>
      </c>
      <c r="C17" s="49" t="s">
        <v>103</v>
      </c>
      <c r="D17" s="49" t="s">
        <v>104</v>
      </c>
      <c r="E17" s="49" t="s">
        <v>105</v>
      </c>
      <c r="F17" s="49" t="s">
        <v>106</v>
      </c>
      <c r="G17" s="49" t="s">
        <v>107</v>
      </c>
      <c r="H17" s="49" t="s">
        <v>108</v>
      </c>
      <c r="I17" s="49" t="s">
        <v>109</v>
      </c>
      <c r="J17" s="49"/>
      <c r="K17" s="49" t="s">
        <v>110</v>
      </c>
      <c r="L17" s="49" t="s">
        <v>14</v>
      </c>
      <c r="M17" s="49" t="s">
        <v>111</v>
      </c>
      <c r="N17" s="49" t="s">
        <v>112</v>
      </c>
      <c r="O17" s="49" t="s">
        <v>113</v>
      </c>
      <c r="P17" s="49"/>
      <c r="Q17" s="49"/>
      <c r="R17" s="49" t="s">
        <v>105</v>
      </c>
      <c r="S17" s="49" t="s">
        <v>14</v>
      </c>
      <c r="T17" s="49" t="s">
        <v>114</v>
      </c>
      <c r="U17" s="49" t="s">
        <v>115</v>
      </c>
      <c r="V17" s="49" t="s">
        <v>116</v>
      </c>
      <c r="W17" s="49" t="s">
        <v>117</v>
      </c>
      <c r="X17" s="49" t="s">
        <v>118</v>
      </c>
      <c r="Y17" s="49" t="s">
        <v>110</v>
      </c>
      <c r="Z17" s="49" t="s">
        <v>119</v>
      </c>
      <c r="AA17" s="49" t="s">
        <v>120</v>
      </c>
      <c r="AB17" s="49" t="s">
        <v>121</v>
      </c>
      <c r="AC17" s="49" t="s">
        <v>105</v>
      </c>
      <c r="AD17" s="49" t="n">
        <v>5528120</v>
      </c>
      <c r="AE17" s="49" t="s">
        <v>14</v>
      </c>
      <c r="AF17" s="49" t="s">
        <v>116</v>
      </c>
      <c r="AG17" s="49" t="s">
        <v>14</v>
      </c>
      <c r="AH17" s="49" t="s">
        <v>116</v>
      </c>
      <c r="AI17" s="49" t="s">
        <v>158</v>
      </c>
      <c r="AJ17" s="49" t="s">
        <v>159</v>
      </c>
      <c r="AK17" s="49" t="s">
        <v>124</v>
      </c>
      <c r="AL17" s="49" t="s">
        <v>125</v>
      </c>
      <c r="AM17" s="51" t="n">
        <v>4800</v>
      </c>
      <c r="AN17" s="49" t="s">
        <v>126</v>
      </c>
      <c r="AO17" s="49" t="s">
        <v>107</v>
      </c>
      <c r="AP17" s="49" t="s">
        <v>127</v>
      </c>
      <c r="AQ17" s="49" t="s">
        <v>128</v>
      </c>
      <c r="AR17" s="49" t="s">
        <v>129</v>
      </c>
      <c r="AS17" s="49" t="s">
        <v>130</v>
      </c>
      <c r="AT17" s="49" t="s">
        <v>160</v>
      </c>
      <c r="AU17" s="49" t="s">
        <v>132</v>
      </c>
      <c r="AV17" s="49"/>
      <c r="AW17" s="49" t="s">
        <v>133</v>
      </c>
      <c r="AX17" s="49"/>
      <c r="AY17" s="49"/>
      <c r="AZ17" s="49"/>
      <c r="BA17" s="49"/>
      <c r="BB17" s="49" t="n">
        <v>44495810</v>
      </c>
      <c r="BC17" s="49" t="s">
        <v>134</v>
      </c>
      <c r="BD17" s="49" t="s">
        <v>135</v>
      </c>
      <c r="BE17" s="49" t="s">
        <v>136</v>
      </c>
      <c r="BF17" s="49" t="s">
        <v>137</v>
      </c>
      <c r="BG17" s="49" t="s">
        <v>138</v>
      </c>
      <c r="BH17" s="49" t="s">
        <v>139</v>
      </c>
      <c r="BI17" s="49" t="s">
        <v>140</v>
      </c>
      <c r="BJ17" s="49" t="s">
        <v>125</v>
      </c>
      <c r="BK17" s="49"/>
      <c r="BL17" s="49" t="s">
        <v>141</v>
      </c>
      <c r="BM17" s="49"/>
      <c r="BN17" s="49" t="s">
        <v>142</v>
      </c>
      <c r="BO17" s="49" t="s">
        <v>112</v>
      </c>
    </row>
    <row r="18" ht="16.8" customHeight="1">
      <c r="A18" s="43" t="s">
        <v>25</v>
      </c>
      <c r="B18" s="49" t="n">
        <v>8</v>
      </c>
      <c r="C18" s="49" t="s">
        <v>103</v>
      </c>
      <c r="D18" s="49" t="s">
        <v>104</v>
      </c>
      <c r="E18" s="49" t="s">
        <v>105</v>
      </c>
      <c r="F18" s="49" t="s">
        <v>106</v>
      </c>
      <c r="G18" s="49" t="s">
        <v>107</v>
      </c>
      <c r="H18" s="49" t="s">
        <v>108</v>
      </c>
      <c r="I18" s="49" t="s">
        <v>109</v>
      </c>
      <c r="J18" s="49"/>
      <c r="K18" s="49" t="s">
        <v>110</v>
      </c>
      <c r="L18" s="49" t="s">
        <v>14</v>
      </c>
      <c r="M18" s="49" t="s">
        <v>111</v>
      </c>
      <c r="N18" s="49" t="s">
        <v>112</v>
      </c>
      <c r="O18" s="49" t="s">
        <v>113</v>
      </c>
      <c r="P18" s="49"/>
      <c r="Q18" s="49"/>
      <c r="R18" s="49" t="s">
        <v>105</v>
      </c>
      <c r="S18" s="49" t="s">
        <v>14</v>
      </c>
      <c r="T18" s="49" t="s">
        <v>114</v>
      </c>
      <c r="U18" s="49" t="s">
        <v>115</v>
      </c>
      <c r="V18" s="49" t="s">
        <v>116</v>
      </c>
      <c r="W18" s="49" t="s">
        <v>117</v>
      </c>
      <c r="X18" s="49" t="s">
        <v>118</v>
      </c>
      <c r="Y18" s="49" t="s">
        <v>110</v>
      </c>
      <c r="Z18" s="49" t="s">
        <v>119</v>
      </c>
      <c r="AA18" s="49" t="s">
        <v>120</v>
      </c>
      <c r="AB18" s="49" t="s">
        <v>121</v>
      </c>
      <c r="AC18" s="49" t="s">
        <v>105</v>
      </c>
      <c r="AD18" s="49" t="n">
        <v>5528120</v>
      </c>
      <c r="AE18" s="49" t="s">
        <v>14</v>
      </c>
      <c r="AF18" s="49" t="s">
        <v>116</v>
      </c>
      <c r="AG18" s="49" t="s">
        <v>14</v>
      </c>
      <c r="AH18" s="49" t="s">
        <v>116</v>
      </c>
      <c r="AI18" s="49" t="s">
        <v>161</v>
      </c>
      <c r="AJ18" s="49" t="s">
        <v>162</v>
      </c>
      <c r="AK18" s="49" t="s">
        <v>124</v>
      </c>
      <c r="AL18" s="49" t="s">
        <v>125</v>
      </c>
      <c r="AM18" s="51" t="n">
        <v>6225</v>
      </c>
      <c r="AN18" s="49" t="s">
        <v>126</v>
      </c>
      <c r="AO18" s="49" t="s">
        <v>107</v>
      </c>
      <c r="AP18" s="49" t="s">
        <v>127</v>
      </c>
      <c r="AQ18" s="49" t="s">
        <v>128</v>
      </c>
      <c r="AR18" s="49" t="s">
        <v>129</v>
      </c>
      <c r="AS18" s="49" t="s">
        <v>130</v>
      </c>
      <c r="AT18" s="49" t="s">
        <v>163</v>
      </c>
      <c r="AU18" s="49" t="s">
        <v>132</v>
      </c>
      <c r="AV18" s="49"/>
      <c r="AW18" s="49" t="s">
        <v>133</v>
      </c>
      <c r="AX18" s="49"/>
      <c r="AY18" s="49"/>
      <c r="AZ18" s="49"/>
      <c r="BA18" s="49"/>
      <c r="BB18" s="49" t="n">
        <v>44495810</v>
      </c>
      <c r="BC18" s="49" t="s">
        <v>134</v>
      </c>
      <c r="BD18" s="49" t="s">
        <v>135</v>
      </c>
      <c r="BE18" s="49" t="s">
        <v>136</v>
      </c>
      <c r="BF18" s="49" t="s">
        <v>137</v>
      </c>
      <c r="BG18" s="49" t="s">
        <v>138</v>
      </c>
      <c r="BH18" s="49" t="s">
        <v>139</v>
      </c>
      <c r="BI18" s="49" t="s">
        <v>140</v>
      </c>
      <c r="BJ18" s="49" t="s">
        <v>125</v>
      </c>
      <c r="BK18" s="49"/>
      <c r="BL18" s="49" t="s">
        <v>141</v>
      </c>
      <c r="BM18" s="49"/>
      <c r="BN18" s="49" t="s">
        <v>142</v>
      </c>
      <c r="BO18" s="49" t="s">
        <v>112</v>
      </c>
    </row>
    <row r="19" ht="16.8" customHeight="1">
      <c r="A19" s="43" t="s">
        <v>25</v>
      </c>
      <c r="B19" s="49" t="n">
        <v>9</v>
      </c>
      <c r="C19" s="49" t="s">
        <v>103</v>
      </c>
      <c r="D19" s="49" t="s">
        <v>104</v>
      </c>
      <c r="E19" s="49" t="s">
        <v>105</v>
      </c>
      <c r="F19" s="49" t="s">
        <v>106</v>
      </c>
      <c r="G19" s="49" t="s">
        <v>107</v>
      </c>
      <c r="H19" s="49" t="s">
        <v>108</v>
      </c>
      <c r="I19" s="49" t="s">
        <v>109</v>
      </c>
      <c r="J19" s="49"/>
      <c r="K19" s="49" t="s">
        <v>110</v>
      </c>
      <c r="L19" s="49" t="s">
        <v>14</v>
      </c>
      <c r="M19" s="49" t="s">
        <v>111</v>
      </c>
      <c r="N19" s="49" t="s">
        <v>112</v>
      </c>
      <c r="O19" s="49" t="s">
        <v>113</v>
      </c>
      <c r="P19" s="49"/>
      <c r="Q19" s="49"/>
      <c r="R19" s="49" t="s">
        <v>105</v>
      </c>
      <c r="S19" s="49" t="s">
        <v>14</v>
      </c>
      <c r="T19" s="49" t="s">
        <v>114</v>
      </c>
      <c r="U19" s="49" t="s">
        <v>115</v>
      </c>
      <c r="V19" s="49" t="s">
        <v>116</v>
      </c>
      <c r="W19" s="49" t="s">
        <v>117</v>
      </c>
      <c r="X19" s="49" t="s">
        <v>118</v>
      </c>
      <c r="Y19" s="49" t="s">
        <v>110</v>
      </c>
      <c r="Z19" s="49" t="s">
        <v>119</v>
      </c>
      <c r="AA19" s="49" t="s">
        <v>120</v>
      </c>
      <c r="AB19" s="49" t="s">
        <v>121</v>
      </c>
      <c r="AC19" s="49" t="s">
        <v>105</v>
      </c>
      <c r="AD19" s="49" t="n">
        <v>5528120</v>
      </c>
      <c r="AE19" s="49" t="s">
        <v>14</v>
      </c>
      <c r="AF19" s="49" t="s">
        <v>116</v>
      </c>
      <c r="AG19" s="49" t="s">
        <v>14</v>
      </c>
      <c r="AH19" s="49" t="s">
        <v>116</v>
      </c>
      <c r="AI19" s="49" t="s">
        <v>164</v>
      </c>
      <c r="AJ19" s="49" t="s">
        <v>165</v>
      </c>
      <c r="AK19" s="49" t="s">
        <v>124</v>
      </c>
      <c r="AL19" s="49" t="s">
        <v>125</v>
      </c>
      <c r="AM19" s="51" t="n">
        <v>4350</v>
      </c>
      <c r="AN19" s="49" t="s">
        <v>126</v>
      </c>
      <c r="AO19" s="49" t="s">
        <v>107</v>
      </c>
      <c r="AP19" s="49" t="s">
        <v>127</v>
      </c>
      <c r="AQ19" s="49" t="s">
        <v>128</v>
      </c>
      <c r="AR19" s="49" t="s">
        <v>129</v>
      </c>
      <c r="AS19" s="49" t="s">
        <v>130</v>
      </c>
      <c r="AT19" s="49" t="s">
        <v>166</v>
      </c>
      <c r="AU19" s="49" t="s">
        <v>132</v>
      </c>
      <c r="AV19" s="49"/>
      <c r="AW19" s="49" t="s">
        <v>133</v>
      </c>
      <c r="AX19" s="49"/>
      <c r="AY19" s="49"/>
      <c r="AZ19" s="49"/>
      <c r="BA19" s="49"/>
      <c r="BB19" s="49" t="n">
        <v>44495810</v>
      </c>
      <c r="BC19" s="49" t="s">
        <v>134</v>
      </c>
      <c r="BD19" s="49" t="s">
        <v>135</v>
      </c>
      <c r="BE19" s="49" t="s">
        <v>136</v>
      </c>
      <c r="BF19" s="49" t="s">
        <v>137</v>
      </c>
      <c r="BG19" s="49" t="s">
        <v>138</v>
      </c>
      <c r="BH19" s="49" t="s">
        <v>139</v>
      </c>
      <c r="BI19" s="49" t="s">
        <v>140</v>
      </c>
      <c r="BJ19" s="49" t="s">
        <v>125</v>
      </c>
      <c r="BK19" s="49"/>
      <c r="BL19" s="49" t="s">
        <v>141</v>
      </c>
      <c r="BM19" s="49"/>
      <c r="BN19" s="49" t="s">
        <v>142</v>
      </c>
      <c r="BO19" s="49" t="s">
        <v>112</v>
      </c>
    </row>
    <row r="20" ht="16.8" customHeight="1">
      <c r="A20" s="43" t="s">
        <v>25</v>
      </c>
      <c r="B20" s="49" t="n">
        <v>10</v>
      </c>
      <c r="C20" s="49" t="s">
        <v>103</v>
      </c>
      <c r="D20" s="49" t="s">
        <v>104</v>
      </c>
      <c r="E20" s="49" t="s">
        <v>105</v>
      </c>
      <c r="F20" s="49" t="s">
        <v>106</v>
      </c>
      <c r="G20" s="49" t="s">
        <v>107</v>
      </c>
      <c r="H20" s="49" t="s">
        <v>108</v>
      </c>
      <c r="I20" s="49" t="s">
        <v>109</v>
      </c>
      <c r="J20" s="49"/>
      <c r="K20" s="49" t="s">
        <v>110</v>
      </c>
      <c r="L20" s="49" t="s">
        <v>14</v>
      </c>
      <c r="M20" s="49" t="s">
        <v>111</v>
      </c>
      <c r="N20" s="49" t="s">
        <v>112</v>
      </c>
      <c r="O20" s="49" t="s">
        <v>113</v>
      </c>
      <c r="P20" s="49"/>
      <c r="Q20" s="49"/>
      <c r="R20" s="49" t="s">
        <v>105</v>
      </c>
      <c r="S20" s="49" t="s">
        <v>14</v>
      </c>
      <c r="T20" s="49" t="s">
        <v>114</v>
      </c>
      <c r="U20" s="49" t="s">
        <v>115</v>
      </c>
      <c r="V20" s="49" t="s">
        <v>116</v>
      </c>
      <c r="W20" s="49" t="s">
        <v>117</v>
      </c>
      <c r="X20" s="49" t="s">
        <v>118</v>
      </c>
      <c r="Y20" s="49" t="s">
        <v>110</v>
      </c>
      <c r="Z20" s="49" t="s">
        <v>119</v>
      </c>
      <c r="AA20" s="49" t="s">
        <v>120</v>
      </c>
      <c r="AB20" s="49" t="s">
        <v>121</v>
      </c>
      <c r="AC20" s="49" t="s">
        <v>105</v>
      </c>
      <c r="AD20" s="49" t="n">
        <v>5528120</v>
      </c>
      <c r="AE20" s="49" t="s">
        <v>14</v>
      </c>
      <c r="AF20" s="49" t="s">
        <v>116</v>
      </c>
      <c r="AG20" s="49" t="s">
        <v>14</v>
      </c>
      <c r="AH20" s="49" t="s">
        <v>116</v>
      </c>
      <c r="AI20" s="49" t="s">
        <v>167</v>
      </c>
      <c r="AJ20" s="49" t="s">
        <v>168</v>
      </c>
      <c r="AK20" s="49" t="s">
        <v>124</v>
      </c>
      <c r="AL20" s="49" t="s">
        <v>125</v>
      </c>
      <c r="AM20" s="51" t="n">
        <v>9000</v>
      </c>
      <c r="AN20" s="49" t="s">
        <v>126</v>
      </c>
      <c r="AO20" s="49" t="s">
        <v>107</v>
      </c>
      <c r="AP20" s="49" t="s">
        <v>127</v>
      </c>
      <c r="AQ20" s="49" t="s">
        <v>128</v>
      </c>
      <c r="AR20" s="49" t="s">
        <v>129</v>
      </c>
      <c r="AS20" s="49" t="s">
        <v>130</v>
      </c>
      <c r="AT20" s="49"/>
      <c r="AU20" s="49" t="s">
        <v>132</v>
      </c>
      <c r="AV20" s="49"/>
      <c r="AW20" s="49" t="s">
        <v>133</v>
      </c>
      <c r="AX20" s="49"/>
      <c r="AY20" s="49"/>
      <c r="AZ20" s="49"/>
      <c r="BA20" s="49"/>
      <c r="BB20" s="49" t="n">
        <v>44495810</v>
      </c>
      <c r="BC20" s="49" t="s">
        <v>134</v>
      </c>
      <c r="BD20" s="49" t="s">
        <v>135</v>
      </c>
      <c r="BE20" s="49" t="s">
        <v>136</v>
      </c>
      <c r="BF20" s="49" t="s">
        <v>137</v>
      </c>
      <c r="BG20" s="49" t="s">
        <v>138</v>
      </c>
      <c r="BH20" s="49" t="s">
        <v>139</v>
      </c>
      <c r="BI20" s="49" t="s">
        <v>140</v>
      </c>
      <c r="BJ20" s="49" t="s">
        <v>125</v>
      </c>
      <c r="BK20" s="49"/>
      <c r="BL20" s="49"/>
      <c r="BM20" s="49"/>
      <c r="BN20" s="49" t="s">
        <v>142</v>
      </c>
      <c r="BO20" s="49" t="s">
        <v>112</v>
      </c>
    </row>
    <row r="21" ht="16.8" customHeight="1">
      <c r="A21" s="43" t="s">
        <v>25</v>
      </c>
      <c r="B21" s="49" t="n">
        <v>11</v>
      </c>
      <c r="C21" s="49" t="s">
        <v>103</v>
      </c>
      <c r="D21" s="49" t="s">
        <v>104</v>
      </c>
      <c r="E21" s="49" t="s">
        <v>169</v>
      </c>
      <c r="F21" s="49" t="s">
        <v>170</v>
      </c>
      <c r="G21" s="49" t="s">
        <v>171</v>
      </c>
      <c r="H21" s="49" t="s">
        <v>172</v>
      </c>
      <c r="I21" s="66" t="s">
        <v>173</v>
      </c>
      <c r="J21" s="49" t="s">
        <v>125</v>
      </c>
      <c r="K21" s="49" t="s">
        <v>174</v>
      </c>
      <c r="L21" s="49" t="s">
        <v>14</v>
      </c>
      <c r="M21" s="49" t="s">
        <v>111</v>
      </c>
      <c r="N21" s="49" t="s">
        <v>175</v>
      </c>
      <c r="O21" s="49" t="s">
        <v>176</v>
      </c>
      <c r="P21" s="49"/>
      <c r="Q21" s="49"/>
      <c r="R21" s="49" t="s">
        <v>169</v>
      </c>
      <c r="S21" s="49" t="s">
        <v>14</v>
      </c>
      <c r="T21" s="49" t="s">
        <v>177</v>
      </c>
      <c r="U21" s="49" t="s">
        <v>178</v>
      </c>
      <c r="V21" s="49" t="s">
        <v>179</v>
      </c>
      <c r="W21" s="49" t="s">
        <v>117</v>
      </c>
      <c r="X21" s="49" t="s">
        <v>180</v>
      </c>
      <c r="Y21" s="49" t="s">
        <v>174</v>
      </c>
      <c r="Z21" s="49" t="s">
        <v>181</v>
      </c>
      <c r="AA21" s="49" t="s">
        <v>182</v>
      </c>
      <c r="AB21" s="49" t="s">
        <v>183</v>
      </c>
      <c r="AC21" s="49" t="s">
        <v>169</v>
      </c>
      <c r="AD21" s="49" t="n">
        <v>5528086</v>
      </c>
      <c r="AE21" s="49" t="s">
        <v>14</v>
      </c>
      <c r="AF21" s="49" t="s">
        <v>184</v>
      </c>
      <c r="AG21" s="49" t="s">
        <v>14</v>
      </c>
      <c r="AH21" s="49" t="s">
        <v>184</v>
      </c>
      <c r="AI21" s="49" t="s">
        <v>185</v>
      </c>
      <c r="AJ21" s="49" t="s">
        <v>186</v>
      </c>
      <c r="AK21" s="49" t="s">
        <v>124</v>
      </c>
      <c r="AL21" s="49" t="s">
        <v>125</v>
      </c>
      <c r="AM21" s="51" t="n">
        <v>7600</v>
      </c>
      <c r="AN21" s="49"/>
      <c r="AO21" s="49" t="s">
        <v>14</v>
      </c>
      <c r="AP21" s="49" t="s">
        <v>187</v>
      </c>
      <c r="AQ21" s="49" t="s">
        <v>128</v>
      </c>
      <c r="AR21" s="49" t="s">
        <v>129</v>
      </c>
      <c r="AS21" s="49" t="s">
        <v>188</v>
      </c>
      <c r="AT21" s="49" t="s">
        <v>189</v>
      </c>
      <c r="AU21" s="49" t="s">
        <v>132</v>
      </c>
      <c r="AV21" s="49"/>
      <c r="AW21" s="49" t="s">
        <v>190</v>
      </c>
      <c r="AX21" s="49"/>
      <c r="AY21" s="49"/>
      <c r="AZ21" s="49"/>
      <c r="BA21" s="49"/>
      <c r="BB21" s="49" t="n">
        <v>30795044</v>
      </c>
      <c r="BC21" s="49" t="s">
        <v>134</v>
      </c>
      <c r="BD21" s="49" t="s">
        <v>191</v>
      </c>
      <c r="BE21" s="49" t="s">
        <v>192</v>
      </c>
      <c r="BF21" s="49" t="s">
        <v>193</v>
      </c>
      <c r="BG21" s="49" t="s">
        <v>138</v>
      </c>
      <c r="BH21" s="49" t="s">
        <v>194</v>
      </c>
      <c r="BI21" s="49" t="s">
        <v>140</v>
      </c>
      <c r="BJ21" s="49" t="s">
        <v>125</v>
      </c>
      <c r="BK21" s="49"/>
      <c r="BL21" s="49" t="s">
        <v>141</v>
      </c>
      <c r="BM21" s="49"/>
      <c r="BN21" s="49" t="s">
        <v>195</v>
      </c>
      <c r="BO21" s="49" t="s">
        <v>196</v>
      </c>
    </row>
    <row r="22" ht="16.8" customHeight="1">
      <c r="A22" s="43" t="s">
        <v>25</v>
      </c>
      <c r="B22" s="49" t="n">
        <v>12</v>
      </c>
      <c r="C22" s="49" t="s">
        <v>103</v>
      </c>
      <c r="D22" s="49" t="s">
        <v>104</v>
      </c>
      <c r="E22" s="49" t="s">
        <v>169</v>
      </c>
      <c r="F22" s="49" t="s">
        <v>170</v>
      </c>
      <c r="G22" s="49" t="s">
        <v>171</v>
      </c>
      <c r="H22" s="49" t="s">
        <v>172</v>
      </c>
      <c r="I22" s="67" t="s">
        <v>173</v>
      </c>
      <c r="J22" s="49" t="s">
        <v>125</v>
      </c>
      <c r="K22" s="49" t="s">
        <v>174</v>
      </c>
      <c r="L22" s="49" t="s">
        <v>14</v>
      </c>
      <c r="M22" s="49" t="s">
        <v>111</v>
      </c>
      <c r="N22" s="49" t="s">
        <v>175</v>
      </c>
      <c r="O22" s="49" t="s">
        <v>176</v>
      </c>
      <c r="P22" s="49"/>
      <c r="Q22" s="49"/>
      <c r="R22" s="49" t="s">
        <v>169</v>
      </c>
      <c r="S22" s="49" t="s">
        <v>14</v>
      </c>
      <c r="T22" s="49" t="s">
        <v>177</v>
      </c>
      <c r="U22" s="49" t="s">
        <v>178</v>
      </c>
      <c r="V22" s="49" t="s">
        <v>179</v>
      </c>
      <c r="W22" s="49" t="s">
        <v>117</v>
      </c>
      <c r="X22" s="49" t="s">
        <v>180</v>
      </c>
      <c r="Y22" s="49" t="s">
        <v>174</v>
      </c>
      <c r="Z22" s="49" t="s">
        <v>181</v>
      </c>
      <c r="AA22" s="49" t="s">
        <v>182</v>
      </c>
      <c r="AB22" s="49" t="s">
        <v>183</v>
      </c>
      <c r="AC22" s="49" t="s">
        <v>169</v>
      </c>
      <c r="AD22" s="49" t="n">
        <v>5528086</v>
      </c>
      <c r="AE22" s="49" t="s">
        <v>14</v>
      </c>
      <c r="AF22" s="49" t="s">
        <v>184</v>
      </c>
      <c r="AG22" s="49" t="s">
        <v>14</v>
      </c>
      <c r="AH22" s="49" t="s">
        <v>184</v>
      </c>
      <c r="AI22" s="49" t="s">
        <v>197</v>
      </c>
      <c r="AJ22" s="49" t="s">
        <v>198</v>
      </c>
      <c r="AK22" s="49" t="s">
        <v>124</v>
      </c>
      <c r="AL22" s="49" t="s">
        <v>125</v>
      </c>
      <c r="AM22" s="51" t="n">
        <v>7100</v>
      </c>
      <c r="AN22" s="49"/>
      <c r="AO22" s="49" t="s">
        <v>14</v>
      </c>
      <c r="AP22" s="49" t="s">
        <v>187</v>
      </c>
      <c r="AQ22" s="49" t="s">
        <v>128</v>
      </c>
      <c r="AR22" s="49" t="s">
        <v>129</v>
      </c>
      <c r="AS22" s="49" t="s">
        <v>188</v>
      </c>
      <c r="AT22" s="49" t="s">
        <v>199</v>
      </c>
      <c r="AU22" s="49" t="s">
        <v>132</v>
      </c>
      <c r="AV22" s="49"/>
      <c r="AW22" s="49" t="s">
        <v>190</v>
      </c>
      <c r="AX22" s="49"/>
      <c r="AY22" s="49"/>
      <c r="AZ22" s="49"/>
      <c r="BA22" s="49"/>
      <c r="BB22" s="49" t="n">
        <v>30795044</v>
      </c>
      <c r="BC22" s="49" t="s">
        <v>134</v>
      </c>
      <c r="BD22" s="49" t="s">
        <v>191</v>
      </c>
      <c r="BE22" s="49" t="s">
        <v>192</v>
      </c>
      <c r="BF22" s="49" t="s">
        <v>193</v>
      </c>
      <c r="BG22" s="49" t="s">
        <v>138</v>
      </c>
      <c r="BH22" s="49" t="s">
        <v>194</v>
      </c>
      <c r="BI22" s="49" t="s">
        <v>140</v>
      </c>
      <c r="BJ22" s="49" t="s">
        <v>125</v>
      </c>
      <c r="BK22" s="49"/>
      <c r="BL22" s="49" t="s">
        <v>141</v>
      </c>
      <c r="BM22" s="49"/>
      <c r="BN22" s="49" t="s">
        <v>195</v>
      </c>
      <c r="BO22" s="49" t="s">
        <v>196</v>
      </c>
    </row>
    <row r="23" ht="16.8" customHeight="1">
      <c r="A23" s="43" t="s">
        <v>25</v>
      </c>
      <c r="B23" s="49" t="n">
        <v>13</v>
      </c>
      <c r="C23" s="49" t="s">
        <v>103</v>
      </c>
      <c r="D23" s="49" t="s">
        <v>104</v>
      </c>
      <c r="E23" s="49" t="s">
        <v>169</v>
      </c>
      <c r="F23" s="49" t="s">
        <v>170</v>
      </c>
      <c r="G23" s="49" t="s">
        <v>171</v>
      </c>
      <c r="H23" s="49" t="s">
        <v>172</v>
      </c>
      <c r="I23" s="68" t="s">
        <v>173</v>
      </c>
      <c r="J23" s="49" t="s">
        <v>125</v>
      </c>
      <c r="K23" s="49" t="s">
        <v>174</v>
      </c>
      <c r="L23" s="49" t="s">
        <v>14</v>
      </c>
      <c r="M23" s="49" t="s">
        <v>111</v>
      </c>
      <c r="N23" s="49" t="s">
        <v>175</v>
      </c>
      <c r="O23" s="49" t="s">
        <v>176</v>
      </c>
      <c r="P23" s="49"/>
      <c r="Q23" s="49"/>
      <c r="R23" s="49" t="s">
        <v>169</v>
      </c>
      <c r="S23" s="49" t="s">
        <v>14</v>
      </c>
      <c r="T23" s="49" t="s">
        <v>177</v>
      </c>
      <c r="U23" s="49" t="s">
        <v>178</v>
      </c>
      <c r="V23" s="49" t="s">
        <v>179</v>
      </c>
      <c r="W23" s="49" t="s">
        <v>117</v>
      </c>
      <c r="X23" s="49" t="s">
        <v>180</v>
      </c>
      <c r="Y23" s="49" t="s">
        <v>174</v>
      </c>
      <c r="Z23" s="49" t="s">
        <v>181</v>
      </c>
      <c r="AA23" s="49" t="s">
        <v>182</v>
      </c>
      <c r="AB23" s="49" t="s">
        <v>183</v>
      </c>
      <c r="AC23" s="49" t="s">
        <v>169</v>
      </c>
      <c r="AD23" s="49" t="n">
        <v>5528086</v>
      </c>
      <c r="AE23" s="49" t="s">
        <v>14</v>
      </c>
      <c r="AF23" s="49" t="s">
        <v>184</v>
      </c>
      <c r="AG23" s="49" t="s">
        <v>14</v>
      </c>
      <c r="AH23" s="49" t="s">
        <v>184</v>
      </c>
      <c r="AI23" s="49" t="s">
        <v>200</v>
      </c>
      <c r="AJ23" s="49" t="s">
        <v>201</v>
      </c>
      <c r="AK23" s="49" t="s">
        <v>124</v>
      </c>
      <c r="AL23" s="49" t="s">
        <v>125</v>
      </c>
      <c r="AM23" s="51" t="n">
        <v>7100</v>
      </c>
      <c r="AN23" s="49"/>
      <c r="AO23" s="49" t="s">
        <v>14</v>
      </c>
      <c r="AP23" s="49" t="s">
        <v>187</v>
      </c>
      <c r="AQ23" s="49" t="s">
        <v>128</v>
      </c>
      <c r="AR23" s="49" t="s">
        <v>129</v>
      </c>
      <c r="AS23" s="49" t="s">
        <v>188</v>
      </c>
      <c r="AT23" s="49" t="s">
        <v>202</v>
      </c>
      <c r="AU23" s="49" t="s">
        <v>132</v>
      </c>
      <c r="AV23" s="49"/>
      <c r="AW23" s="49" t="s">
        <v>190</v>
      </c>
      <c r="AX23" s="49"/>
      <c r="AY23" s="49"/>
      <c r="AZ23" s="49"/>
      <c r="BA23" s="49"/>
      <c r="BB23" s="49" t="n">
        <v>30795044</v>
      </c>
      <c r="BC23" s="49" t="s">
        <v>134</v>
      </c>
      <c r="BD23" s="49" t="s">
        <v>191</v>
      </c>
      <c r="BE23" s="49" t="s">
        <v>192</v>
      </c>
      <c r="BF23" s="49" t="s">
        <v>193</v>
      </c>
      <c r="BG23" s="49" t="s">
        <v>138</v>
      </c>
      <c r="BH23" s="49" t="s">
        <v>194</v>
      </c>
      <c r="BI23" s="49" t="s">
        <v>140</v>
      </c>
      <c r="BJ23" s="49" t="s">
        <v>125</v>
      </c>
      <c r="BK23" s="49"/>
      <c r="BL23" s="49" t="s">
        <v>141</v>
      </c>
      <c r="BM23" s="49"/>
      <c r="BN23" s="49" t="s">
        <v>195</v>
      </c>
      <c r="BO23" s="49" t="s">
        <v>196</v>
      </c>
    </row>
    <row r="24" ht="16.8" customHeight="1">
      <c r="A24" s="43" t="s">
        <v>25</v>
      </c>
      <c r="B24" s="49" t="n">
        <v>14</v>
      </c>
      <c r="C24" s="49" t="s">
        <v>103</v>
      </c>
      <c r="D24" s="49" t="s">
        <v>104</v>
      </c>
      <c r="E24" s="49"/>
      <c r="F24" s="49" t="s">
        <v>203</v>
      </c>
      <c r="G24" s="49"/>
      <c r="H24" s="49" t="s">
        <v>204</v>
      </c>
      <c r="I24" s="69" t="s">
        <v>205</v>
      </c>
      <c r="J24" s="49"/>
      <c r="K24" s="49" t="s">
        <v>206</v>
      </c>
      <c r="L24" s="49" t="s">
        <v>10</v>
      </c>
      <c r="M24" s="49" t="s">
        <v>207</v>
      </c>
      <c r="N24" s="49" t="s">
        <v>208</v>
      </c>
      <c r="O24" s="49"/>
      <c r="P24" s="49"/>
      <c r="Q24" s="49"/>
      <c r="R24" s="49" t="s">
        <v>209</v>
      </c>
      <c r="S24" s="49" t="s">
        <v>210</v>
      </c>
      <c r="T24" s="49" t="s">
        <v>211</v>
      </c>
      <c r="U24" s="49" t="s">
        <v>115</v>
      </c>
      <c r="V24" s="49" t="s">
        <v>212</v>
      </c>
      <c r="W24" s="49" t="s">
        <v>117</v>
      </c>
      <c r="X24" s="49" t="s">
        <v>213</v>
      </c>
      <c r="Y24" s="49" t="s">
        <v>214</v>
      </c>
      <c r="Z24" s="49" t="s">
        <v>215</v>
      </c>
      <c r="AA24" s="49" t="s">
        <v>216</v>
      </c>
      <c r="AB24" s="49" t="s">
        <v>217</v>
      </c>
      <c r="AC24" s="49" t="s">
        <v>209</v>
      </c>
      <c r="AD24" s="49" t="n">
        <v>5527877</v>
      </c>
      <c r="AE24" s="49" t="s">
        <v>10</v>
      </c>
      <c r="AF24" s="49" t="s">
        <v>218</v>
      </c>
      <c r="AG24" s="49" t="s">
        <v>210</v>
      </c>
      <c r="AH24" s="49" t="s">
        <v>219</v>
      </c>
      <c r="AI24" s="49"/>
      <c r="AJ24" s="49"/>
      <c r="AK24" s="49" t="s">
        <v>124</v>
      </c>
      <c r="AL24" s="49" t="s">
        <v>125</v>
      </c>
      <c r="AM24" s="51" t="n">
        <v>1417.5</v>
      </c>
      <c r="AN24" s="49"/>
      <c r="AO24" s="49" t="s">
        <v>125</v>
      </c>
      <c r="AP24" s="49" t="s">
        <v>220</v>
      </c>
      <c r="AQ24" s="49" t="s">
        <v>221</v>
      </c>
      <c r="AR24" s="49"/>
      <c r="AS24" s="49" t="s">
        <v>222</v>
      </c>
      <c r="AT24" s="49"/>
      <c r="AU24" s="49"/>
      <c r="AV24" s="49"/>
      <c r="AW24" s="49" t="s">
        <v>223</v>
      </c>
      <c r="AX24" s="49"/>
      <c r="AY24" s="49"/>
      <c r="AZ24" s="49"/>
      <c r="BA24" s="49"/>
      <c r="BB24" s="49" t="n">
        <v>62316553</v>
      </c>
      <c r="BC24" s="49" t="s">
        <v>134</v>
      </c>
      <c r="BD24" s="49" t="s">
        <v>191</v>
      </c>
      <c r="BE24" s="49" t="s">
        <v>224</v>
      </c>
      <c r="BF24" s="49" t="s">
        <v>225</v>
      </c>
      <c r="BG24" s="49"/>
      <c r="BH24" s="49" t="s">
        <v>226</v>
      </c>
      <c r="BI24" s="49" t="s">
        <v>134</v>
      </c>
      <c r="BJ24" s="49" t="s">
        <v>125</v>
      </c>
      <c r="BK24" s="49"/>
      <c r="BL24" s="49"/>
      <c r="BM24" s="49"/>
      <c r="BN24" s="49" t="s">
        <v>227</v>
      </c>
      <c r="BO24" s="49"/>
    </row>
    <row r="25" ht="16.8" customHeight="1">
      <c r="A25" s="43" t="s">
        <v>38</v>
      </c>
      <c r="B25" s="49" t="n">
        <v>15</v>
      </c>
      <c r="C25" s="49" t="s">
        <v>103</v>
      </c>
      <c r="D25" s="49" t="s">
        <v>104</v>
      </c>
      <c r="E25" s="49" t="s">
        <v>228</v>
      </c>
      <c r="F25" s="49" t="s">
        <v>229</v>
      </c>
      <c r="G25" s="49" t="s">
        <v>230</v>
      </c>
      <c r="H25" s="49" t="s">
        <v>231</v>
      </c>
      <c r="I25" s="70" t="s">
        <v>232</v>
      </c>
      <c r="J25" s="49" t="s">
        <v>233</v>
      </c>
      <c r="K25" s="49"/>
      <c r="L25" s="49" t="s">
        <v>14</v>
      </c>
      <c r="M25" s="49" t="s">
        <v>207</v>
      </c>
      <c r="N25" s="49" t="s">
        <v>234</v>
      </c>
      <c r="O25" s="49" t="s">
        <v>125</v>
      </c>
      <c r="P25" s="49"/>
      <c r="Q25" s="49"/>
      <c r="R25" s="49" t="s">
        <v>235</v>
      </c>
      <c r="S25" s="49" t="s">
        <v>14</v>
      </c>
      <c r="T25" s="49" t="s">
        <v>236</v>
      </c>
      <c r="U25" s="49" t="s">
        <v>178</v>
      </c>
      <c r="V25" s="49" t="s">
        <v>237</v>
      </c>
      <c r="W25" s="49" t="s">
        <v>117</v>
      </c>
      <c r="X25" s="49" t="s">
        <v>238</v>
      </c>
      <c r="Y25" s="49" t="s">
        <v>239</v>
      </c>
      <c r="Z25" s="49" t="s">
        <v>240</v>
      </c>
      <c r="AA25" s="49" t="s">
        <v>241</v>
      </c>
      <c r="AB25" s="49" t="s">
        <v>242</v>
      </c>
      <c r="AC25" s="49" t="s">
        <v>235</v>
      </c>
      <c r="AD25" s="49" t="n">
        <v>5527161</v>
      </c>
      <c r="AE25" s="49" t="s">
        <v>14</v>
      </c>
      <c r="AF25" s="49" t="s">
        <v>243</v>
      </c>
      <c r="AG25" s="49" t="s">
        <v>14</v>
      </c>
      <c r="AH25" s="49" t="s">
        <v>244</v>
      </c>
      <c r="AI25" s="49" t="s">
        <v>245</v>
      </c>
      <c r="AJ25" s="50" t="s">
        <v>246</v>
      </c>
      <c r="AK25" s="49" t="s">
        <v>124</v>
      </c>
      <c r="AL25" s="49" t="s">
        <v>125</v>
      </c>
      <c r="AM25" s="51" t="n">
        <v>6791.5</v>
      </c>
      <c r="AN25" s="49"/>
      <c r="AO25" s="49" t="s">
        <v>125</v>
      </c>
      <c r="AP25" s="49" t="s">
        <v>187</v>
      </c>
      <c r="AQ25" s="49" t="s">
        <v>221</v>
      </c>
      <c r="AR25" s="49"/>
      <c r="AS25" s="49"/>
      <c r="AT25" s="49"/>
      <c r="AU25" s="49" t="s">
        <v>132</v>
      </c>
      <c r="AV25" s="49"/>
      <c r="AW25" s="49" t="s">
        <v>247</v>
      </c>
      <c r="AX25" s="49"/>
      <c r="AY25" s="49"/>
      <c r="AZ25" s="49"/>
      <c r="BA25" s="49" t="s">
        <v>248</v>
      </c>
      <c r="BB25" s="49" t="n">
        <v>82103592</v>
      </c>
      <c r="BC25" s="49" t="s">
        <v>140</v>
      </c>
      <c r="BD25" s="49" t="s">
        <v>191</v>
      </c>
      <c r="BE25" s="49" t="s">
        <v>249</v>
      </c>
      <c r="BF25" s="49" t="s">
        <v>225</v>
      </c>
      <c r="BG25" s="49" t="s">
        <v>138</v>
      </c>
      <c r="BH25" s="49" t="s">
        <v>226</v>
      </c>
      <c r="BI25" s="49" t="s">
        <v>134</v>
      </c>
      <c r="BJ25" s="49" t="s">
        <v>125</v>
      </c>
      <c r="BK25" s="49"/>
      <c r="BL25" s="49"/>
      <c r="BM25" s="49" t="n">
        <v>110624761</v>
      </c>
      <c r="BN25" s="49"/>
      <c r="BO25" s="49" t="s">
        <v>208</v>
      </c>
    </row>
    <row r="26" ht="16.8" customHeight="1">
      <c r="A26" s="43" t="s">
        <v>38</v>
      </c>
      <c r="B26" s="49" t="n">
        <v>16</v>
      </c>
      <c r="C26" s="49" t="s">
        <v>103</v>
      </c>
      <c r="D26" s="49" t="s">
        <v>104</v>
      </c>
      <c r="E26" s="49" t="s">
        <v>250</v>
      </c>
      <c r="F26" s="49" t="s">
        <v>251</v>
      </c>
      <c r="G26" s="49" t="s">
        <v>252</v>
      </c>
      <c r="H26" s="49" t="s">
        <v>253</v>
      </c>
      <c r="I26" s="49" t="s">
        <v>254</v>
      </c>
      <c r="J26" s="49" t="s">
        <v>125</v>
      </c>
      <c r="K26" s="49" t="s">
        <v>174</v>
      </c>
      <c r="L26" s="49" t="s">
        <v>10</v>
      </c>
      <c r="M26" s="49" t="s">
        <v>255</v>
      </c>
      <c r="N26" s="49" t="s">
        <v>255</v>
      </c>
      <c r="O26" s="49"/>
      <c r="P26" s="49"/>
      <c r="Q26" s="49"/>
      <c r="R26" s="49" t="s">
        <v>256</v>
      </c>
      <c r="S26" s="49" t="s">
        <v>10</v>
      </c>
      <c r="T26" s="49" t="s">
        <v>257</v>
      </c>
      <c r="U26" s="49" t="s">
        <v>178</v>
      </c>
      <c r="V26" s="49" t="s">
        <v>258</v>
      </c>
      <c r="W26" s="49" t="s">
        <v>117</v>
      </c>
      <c r="X26" s="49" t="s">
        <v>238</v>
      </c>
      <c r="Y26" s="49" t="s">
        <v>174</v>
      </c>
      <c r="Z26" s="49" t="s">
        <v>259</v>
      </c>
      <c r="AA26" s="49" t="s">
        <v>260</v>
      </c>
      <c r="AB26" s="49" t="s">
        <v>261</v>
      </c>
      <c r="AC26" s="49" t="s">
        <v>256</v>
      </c>
      <c r="AD26" s="49" t="n">
        <v>5500336</v>
      </c>
      <c r="AE26" s="49" t="s">
        <v>10</v>
      </c>
      <c r="AF26" s="49" t="s">
        <v>258</v>
      </c>
      <c r="AG26" s="49" t="s">
        <v>10</v>
      </c>
      <c r="AH26" s="49" t="s">
        <v>262</v>
      </c>
      <c r="AI26" s="49" t="s">
        <v>263</v>
      </c>
      <c r="AJ26" s="50" t="s">
        <v>264</v>
      </c>
      <c r="AK26" s="49" t="s">
        <v>124</v>
      </c>
      <c r="AL26" s="49" t="s">
        <v>125</v>
      </c>
      <c r="AM26" s="51" t="n">
        <v>17136</v>
      </c>
      <c r="AN26" s="49"/>
      <c r="AO26" s="49" t="s">
        <v>125</v>
      </c>
      <c r="AP26" s="49" t="s">
        <v>187</v>
      </c>
      <c r="AQ26" s="49" t="s">
        <v>221</v>
      </c>
      <c r="AR26" s="49"/>
      <c r="AS26" s="49"/>
      <c r="AT26" s="49"/>
      <c r="AU26" s="49" t="s">
        <v>132</v>
      </c>
      <c r="AV26" s="49"/>
      <c r="AW26" s="49" t="s">
        <v>265</v>
      </c>
      <c r="AX26" s="49"/>
      <c r="AY26" s="49"/>
      <c r="AZ26" s="49"/>
      <c r="BA26" s="49" t="s">
        <v>266</v>
      </c>
      <c r="BB26" s="49" t="n">
        <v>30923959</v>
      </c>
      <c r="BC26" s="49" t="s">
        <v>140</v>
      </c>
      <c r="BD26" s="49" t="s">
        <v>191</v>
      </c>
      <c r="BE26" s="49" t="s">
        <v>249</v>
      </c>
      <c r="BF26" s="49" t="s">
        <v>267</v>
      </c>
      <c r="BG26" s="49" t="s">
        <v>267</v>
      </c>
      <c r="BH26" s="49" t="s">
        <v>194</v>
      </c>
      <c r="BI26" s="49" t="s">
        <v>134</v>
      </c>
      <c r="BJ26" s="49" t="s">
        <v>125</v>
      </c>
      <c r="BK26" s="49"/>
      <c r="BL26" s="49"/>
      <c r="BM26" s="49" t="n">
        <v>109947422</v>
      </c>
      <c r="BN26" s="49" t="s">
        <v>142</v>
      </c>
      <c r="BO26" s="49" t="s">
        <v>196</v>
      </c>
    </row>
    <row r="27" ht="16.8" customHeight="1">
      <c r="A27" s="43" t="s">
        <v>25</v>
      </c>
      <c r="B27" s="49" t="n">
        <v>17</v>
      </c>
      <c r="C27" s="49" t="s">
        <v>103</v>
      </c>
      <c r="D27" s="49" t="s">
        <v>104</v>
      </c>
      <c r="E27" s="49"/>
      <c r="F27" s="49" t="s">
        <v>268</v>
      </c>
      <c r="G27" s="49"/>
      <c r="H27" s="49" t="s">
        <v>269</v>
      </c>
      <c r="I27" s="49" t="s">
        <v>270</v>
      </c>
      <c r="J27" s="49"/>
      <c r="K27" s="49" t="s">
        <v>174</v>
      </c>
      <c r="L27" s="49" t="s">
        <v>14</v>
      </c>
      <c r="M27" s="49" t="s">
        <v>111</v>
      </c>
      <c r="N27" s="49" t="s">
        <v>112</v>
      </c>
      <c r="O27" s="49"/>
      <c r="P27" s="49"/>
      <c r="Q27" s="49"/>
      <c r="R27" s="49" t="s">
        <v>271</v>
      </c>
      <c r="S27" s="49" t="s">
        <v>14</v>
      </c>
      <c r="T27" s="49" t="s">
        <v>272</v>
      </c>
      <c r="U27" s="49" t="s">
        <v>115</v>
      </c>
      <c r="V27" s="49" t="s">
        <v>273</v>
      </c>
      <c r="W27" s="49" t="s">
        <v>117</v>
      </c>
      <c r="X27" s="49" t="s">
        <v>180</v>
      </c>
      <c r="Y27" s="49" t="s">
        <v>174</v>
      </c>
      <c r="Z27" s="49" t="s">
        <v>274</v>
      </c>
      <c r="AA27" s="49" t="s">
        <v>275</v>
      </c>
      <c r="AB27" s="49" t="s">
        <v>276</v>
      </c>
      <c r="AC27" s="49" t="s">
        <v>271</v>
      </c>
      <c r="AD27" s="49" t="n">
        <v>5526455</v>
      </c>
      <c r="AE27" s="49" t="s">
        <v>14</v>
      </c>
      <c r="AF27" s="49" t="s">
        <v>273</v>
      </c>
      <c r="AG27" s="49" t="s">
        <v>14</v>
      </c>
      <c r="AH27" s="49" t="s">
        <v>277</v>
      </c>
      <c r="AI27" s="49" t="s">
        <v>278</v>
      </c>
      <c r="AJ27" s="49" t="s">
        <v>279</v>
      </c>
      <c r="AK27" s="49" t="s">
        <v>124</v>
      </c>
      <c r="AL27" s="49" t="s">
        <v>125</v>
      </c>
      <c r="AM27" s="51" t="n">
        <v>2965.2</v>
      </c>
      <c r="AN27" s="49" t="s">
        <v>126</v>
      </c>
      <c r="AO27" s="49" t="s">
        <v>125</v>
      </c>
      <c r="AP27" s="49" t="s">
        <v>127</v>
      </c>
      <c r="AQ27" s="49" t="s">
        <v>221</v>
      </c>
      <c r="AR27" s="49" t="s">
        <v>280</v>
      </c>
      <c r="AS27" s="49" t="s">
        <v>281</v>
      </c>
      <c r="AT27" s="49" t="s">
        <v>282</v>
      </c>
      <c r="AU27" s="49" t="s">
        <v>283</v>
      </c>
      <c r="AV27" s="49"/>
      <c r="AW27" s="49" t="s">
        <v>284</v>
      </c>
      <c r="AX27" s="49"/>
      <c r="AY27" s="49"/>
      <c r="AZ27" s="49"/>
      <c r="BA27" s="49"/>
      <c r="BB27" s="49" t="n">
        <v>60647114</v>
      </c>
      <c r="BC27" s="49" t="s">
        <v>134</v>
      </c>
      <c r="BD27" s="49" t="s">
        <v>191</v>
      </c>
      <c r="BE27" s="49" t="s">
        <v>285</v>
      </c>
      <c r="BF27" s="49" t="s">
        <v>225</v>
      </c>
      <c r="BG27" s="49"/>
      <c r="BH27" s="49" t="s">
        <v>194</v>
      </c>
      <c r="BI27" s="49" t="s">
        <v>134</v>
      </c>
      <c r="BJ27" s="49" t="s">
        <v>125</v>
      </c>
      <c r="BK27" s="49"/>
      <c r="BL27" s="49" t="s">
        <v>286</v>
      </c>
      <c r="BM27" s="49"/>
      <c r="BN27" s="49" t="s">
        <v>142</v>
      </c>
      <c r="BO27" s="49"/>
    </row>
    <row r="28" ht="16.8" customHeight="1">
      <c r="A28" s="43" t="s">
        <v>25</v>
      </c>
      <c r="B28" s="49" t="n">
        <v>18</v>
      </c>
      <c r="C28" s="49" t="s">
        <v>103</v>
      </c>
      <c r="D28" s="49" t="s">
        <v>104</v>
      </c>
      <c r="E28" s="49"/>
      <c r="F28" s="49" t="s">
        <v>268</v>
      </c>
      <c r="G28" s="49"/>
      <c r="H28" s="49" t="s">
        <v>269</v>
      </c>
      <c r="I28" s="49" t="s">
        <v>270</v>
      </c>
      <c r="J28" s="49"/>
      <c r="K28" s="49" t="s">
        <v>174</v>
      </c>
      <c r="L28" s="49" t="s">
        <v>14</v>
      </c>
      <c r="M28" s="49" t="s">
        <v>111</v>
      </c>
      <c r="N28" s="49" t="s">
        <v>112</v>
      </c>
      <c r="O28" s="49"/>
      <c r="P28" s="49"/>
      <c r="Q28" s="49"/>
      <c r="R28" s="49" t="s">
        <v>271</v>
      </c>
      <c r="S28" s="49" t="s">
        <v>14</v>
      </c>
      <c r="T28" s="49" t="s">
        <v>272</v>
      </c>
      <c r="U28" s="49" t="s">
        <v>115</v>
      </c>
      <c r="V28" s="49" t="s">
        <v>273</v>
      </c>
      <c r="W28" s="49" t="s">
        <v>117</v>
      </c>
      <c r="X28" s="49" t="s">
        <v>180</v>
      </c>
      <c r="Y28" s="49" t="s">
        <v>174</v>
      </c>
      <c r="Z28" s="49" t="s">
        <v>274</v>
      </c>
      <c r="AA28" s="49" t="s">
        <v>275</v>
      </c>
      <c r="AB28" s="49" t="s">
        <v>276</v>
      </c>
      <c r="AC28" s="49" t="s">
        <v>271</v>
      </c>
      <c r="AD28" s="49" t="n">
        <v>5526455</v>
      </c>
      <c r="AE28" s="49" t="s">
        <v>14</v>
      </c>
      <c r="AF28" s="49" t="s">
        <v>273</v>
      </c>
      <c r="AG28" s="49" t="s">
        <v>14</v>
      </c>
      <c r="AH28" s="49" t="s">
        <v>277</v>
      </c>
      <c r="AI28" s="49" t="s">
        <v>287</v>
      </c>
      <c r="AJ28" s="49" t="s">
        <v>288</v>
      </c>
      <c r="AK28" s="49" t="s">
        <v>124</v>
      </c>
      <c r="AL28" s="49" t="s">
        <v>125</v>
      </c>
      <c r="AM28" s="51" t="n">
        <v>2732.2</v>
      </c>
      <c r="AN28" s="49" t="s">
        <v>126</v>
      </c>
      <c r="AO28" s="49" t="s">
        <v>125</v>
      </c>
      <c r="AP28" s="49" t="s">
        <v>127</v>
      </c>
      <c r="AQ28" s="49" t="s">
        <v>221</v>
      </c>
      <c r="AR28" s="49" t="s">
        <v>280</v>
      </c>
      <c r="AS28" s="49" t="s">
        <v>281</v>
      </c>
      <c r="AT28" s="49" t="s">
        <v>289</v>
      </c>
      <c r="AU28" s="49" t="s">
        <v>283</v>
      </c>
      <c r="AV28" s="49"/>
      <c r="AW28" s="49" t="s">
        <v>284</v>
      </c>
      <c r="AX28" s="49"/>
      <c r="AY28" s="49"/>
      <c r="AZ28" s="49"/>
      <c r="BA28" s="49"/>
      <c r="BB28" s="49" t="n">
        <v>60647114</v>
      </c>
      <c r="BC28" s="49" t="s">
        <v>134</v>
      </c>
      <c r="BD28" s="49" t="s">
        <v>191</v>
      </c>
      <c r="BE28" s="49" t="s">
        <v>285</v>
      </c>
      <c r="BF28" s="49" t="s">
        <v>225</v>
      </c>
      <c r="BG28" s="49"/>
      <c r="BH28" s="49" t="s">
        <v>194</v>
      </c>
      <c r="BI28" s="49" t="s">
        <v>134</v>
      </c>
      <c r="BJ28" s="49" t="s">
        <v>125</v>
      </c>
      <c r="BK28" s="49"/>
      <c r="BL28" s="49" t="s">
        <v>286</v>
      </c>
      <c r="BM28" s="49"/>
      <c r="BN28" s="49" t="s">
        <v>142</v>
      </c>
      <c r="BO28" s="49"/>
    </row>
    <row r="29" ht="16.8" customHeight="1">
      <c r="A29" s="43" t="s">
        <v>25</v>
      </c>
      <c r="B29" s="49" t="n">
        <v>19</v>
      </c>
      <c r="C29" s="49" t="s">
        <v>103</v>
      </c>
      <c r="D29" s="49" t="s">
        <v>104</v>
      </c>
      <c r="E29" s="49"/>
      <c r="F29" s="49" t="s">
        <v>290</v>
      </c>
      <c r="G29" s="49"/>
      <c r="H29" s="49" t="s">
        <v>291</v>
      </c>
      <c r="I29" s="71" t="s">
        <v>292</v>
      </c>
      <c r="J29" s="49"/>
      <c r="K29" s="49" t="s">
        <v>250</v>
      </c>
      <c r="L29" s="49" t="s">
        <v>10</v>
      </c>
      <c r="M29" s="49" t="s">
        <v>207</v>
      </c>
      <c r="N29" s="49" t="s">
        <v>293</v>
      </c>
      <c r="O29" s="49"/>
      <c r="P29" s="49"/>
      <c r="Q29" s="49"/>
      <c r="R29" s="49" t="s">
        <v>294</v>
      </c>
      <c r="S29" s="49" t="s">
        <v>10</v>
      </c>
      <c r="T29" s="49" t="s">
        <v>295</v>
      </c>
      <c r="U29" s="49" t="s">
        <v>115</v>
      </c>
      <c r="V29" s="49" t="s">
        <v>296</v>
      </c>
      <c r="W29" s="49" t="s">
        <v>117</v>
      </c>
      <c r="X29" s="49" t="s">
        <v>118</v>
      </c>
      <c r="Y29" s="49" t="s">
        <v>174</v>
      </c>
      <c r="Z29" s="49" t="s">
        <v>297</v>
      </c>
      <c r="AA29" s="49" t="s">
        <v>298</v>
      </c>
      <c r="AB29" s="49" t="s">
        <v>299</v>
      </c>
      <c r="AC29" s="49" t="s">
        <v>294</v>
      </c>
      <c r="AD29" s="49" t="n">
        <v>5526266</v>
      </c>
      <c r="AE29" s="49" t="s">
        <v>10</v>
      </c>
      <c r="AF29" s="49" t="s">
        <v>300</v>
      </c>
      <c r="AG29" s="49" t="s">
        <v>10</v>
      </c>
      <c r="AH29" s="49" t="s">
        <v>301</v>
      </c>
      <c r="AI29" s="49" t="s">
        <v>302</v>
      </c>
      <c r="AJ29" s="49" t="s">
        <v>288</v>
      </c>
      <c r="AK29" s="49" t="s">
        <v>124</v>
      </c>
      <c r="AL29" s="49" t="s">
        <v>125</v>
      </c>
      <c r="AM29" s="51" t="n">
        <v>3812.8</v>
      </c>
      <c r="AN29" s="49" t="s">
        <v>126</v>
      </c>
      <c r="AO29" s="49" t="s">
        <v>125</v>
      </c>
      <c r="AP29" s="49" t="s">
        <v>127</v>
      </c>
      <c r="AQ29" s="49" t="s">
        <v>221</v>
      </c>
      <c r="AR29" s="49" t="s">
        <v>129</v>
      </c>
      <c r="AS29" s="49" t="s">
        <v>303</v>
      </c>
      <c r="AT29" s="49" t="s">
        <v>304</v>
      </c>
      <c r="AU29" s="49" t="s">
        <v>283</v>
      </c>
      <c r="AV29" s="49"/>
      <c r="AW29" s="49" t="s">
        <v>305</v>
      </c>
      <c r="AX29" s="49"/>
      <c r="AY29" s="49"/>
      <c r="AZ29" s="49"/>
      <c r="BA29" s="49"/>
      <c r="BB29" s="49" t="n">
        <v>65132392</v>
      </c>
      <c r="BC29" s="49" t="s">
        <v>134</v>
      </c>
      <c r="BD29" s="49" t="s">
        <v>191</v>
      </c>
      <c r="BE29" s="49" t="s">
        <v>136</v>
      </c>
      <c r="BF29" s="49" t="s">
        <v>137</v>
      </c>
      <c r="BG29" s="49"/>
      <c r="BH29" s="49" t="s">
        <v>194</v>
      </c>
      <c r="BI29" s="49" t="s">
        <v>134</v>
      </c>
      <c r="BJ29" s="49" t="s">
        <v>125</v>
      </c>
      <c r="BK29" s="49"/>
      <c r="BL29" s="49" t="s">
        <v>286</v>
      </c>
      <c r="BM29" s="49"/>
      <c r="BN29" s="49" t="s">
        <v>142</v>
      </c>
      <c r="BO29" s="49"/>
    </row>
    <row r="30" ht="16.8" customHeight="1">
      <c r="A30" s="43" t="s">
        <v>25</v>
      </c>
      <c r="B30" s="49" t="n">
        <v>20</v>
      </c>
      <c r="C30" s="49" t="s">
        <v>103</v>
      </c>
      <c r="D30" s="49" t="s">
        <v>104</v>
      </c>
      <c r="E30" s="49"/>
      <c r="F30" s="49" t="s">
        <v>290</v>
      </c>
      <c r="G30" s="49"/>
      <c r="H30" s="49" t="s">
        <v>291</v>
      </c>
      <c r="I30" s="72" t="s">
        <v>292</v>
      </c>
      <c r="J30" s="49"/>
      <c r="K30" s="49" t="s">
        <v>250</v>
      </c>
      <c r="L30" s="49" t="s">
        <v>10</v>
      </c>
      <c r="M30" s="49" t="s">
        <v>207</v>
      </c>
      <c r="N30" s="49" t="s">
        <v>293</v>
      </c>
      <c r="O30" s="49"/>
      <c r="P30" s="49"/>
      <c r="Q30" s="49"/>
      <c r="R30" s="49" t="s">
        <v>294</v>
      </c>
      <c r="S30" s="49" t="s">
        <v>10</v>
      </c>
      <c r="T30" s="49" t="s">
        <v>295</v>
      </c>
      <c r="U30" s="49" t="s">
        <v>115</v>
      </c>
      <c r="V30" s="49" t="s">
        <v>296</v>
      </c>
      <c r="W30" s="49" t="s">
        <v>117</v>
      </c>
      <c r="X30" s="49" t="s">
        <v>118</v>
      </c>
      <c r="Y30" s="49" t="s">
        <v>174</v>
      </c>
      <c r="Z30" s="49" t="s">
        <v>297</v>
      </c>
      <c r="AA30" s="49" t="s">
        <v>298</v>
      </c>
      <c r="AB30" s="49" t="s">
        <v>299</v>
      </c>
      <c r="AC30" s="49" t="s">
        <v>294</v>
      </c>
      <c r="AD30" s="49" t="n">
        <v>5526266</v>
      </c>
      <c r="AE30" s="49" t="s">
        <v>10</v>
      </c>
      <c r="AF30" s="49" t="s">
        <v>300</v>
      </c>
      <c r="AG30" s="49" t="s">
        <v>10</v>
      </c>
      <c r="AH30" s="49" t="s">
        <v>301</v>
      </c>
      <c r="AI30" s="49" t="s">
        <v>306</v>
      </c>
      <c r="AJ30" s="49" t="s">
        <v>279</v>
      </c>
      <c r="AK30" s="49" t="s">
        <v>124</v>
      </c>
      <c r="AL30" s="49" t="s">
        <v>125</v>
      </c>
      <c r="AM30" s="51" t="n">
        <v>3177.3</v>
      </c>
      <c r="AN30" s="49" t="s">
        <v>126</v>
      </c>
      <c r="AO30" s="49" t="s">
        <v>125</v>
      </c>
      <c r="AP30" s="49" t="s">
        <v>127</v>
      </c>
      <c r="AQ30" s="49" t="s">
        <v>221</v>
      </c>
      <c r="AR30" s="49" t="s">
        <v>129</v>
      </c>
      <c r="AS30" s="49" t="s">
        <v>303</v>
      </c>
      <c r="AT30" s="49" t="s">
        <v>307</v>
      </c>
      <c r="AU30" s="49" t="s">
        <v>283</v>
      </c>
      <c r="AV30" s="49"/>
      <c r="AW30" s="49" t="s">
        <v>305</v>
      </c>
      <c r="AX30" s="49"/>
      <c r="AY30" s="49"/>
      <c r="AZ30" s="49"/>
      <c r="BA30" s="49"/>
      <c r="BB30" s="49" t="n">
        <v>65132392</v>
      </c>
      <c r="BC30" s="49" t="s">
        <v>134</v>
      </c>
      <c r="BD30" s="49" t="s">
        <v>191</v>
      </c>
      <c r="BE30" s="49" t="s">
        <v>136</v>
      </c>
      <c r="BF30" s="49" t="s">
        <v>137</v>
      </c>
      <c r="BG30" s="49"/>
      <c r="BH30" s="49" t="s">
        <v>194</v>
      </c>
      <c r="BI30" s="49" t="s">
        <v>134</v>
      </c>
      <c r="BJ30" s="49" t="s">
        <v>125</v>
      </c>
      <c r="BK30" s="49"/>
      <c r="BL30" s="49" t="s">
        <v>286</v>
      </c>
      <c r="BM30" s="49"/>
      <c r="BN30" s="49" t="s">
        <v>142</v>
      </c>
      <c r="BO30" s="49"/>
    </row>
    <row r="31" ht="16.8" customHeight="1">
      <c r="A31" s="43" t="s">
        <v>25</v>
      </c>
      <c r="B31" s="49" t="n">
        <v>21</v>
      </c>
      <c r="C31" s="49" t="s">
        <v>103</v>
      </c>
      <c r="D31" s="49" t="s">
        <v>104</v>
      </c>
      <c r="E31" s="49" t="s">
        <v>271</v>
      </c>
      <c r="F31" s="49" t="s">
        <v>268</v>
      </c>
      <c r="G31" s="49" t="s">
        <v>308</v>
      </c>
      <c r="H31" s="49" t="s">
        <v>269</v>
      </c>
      <c r="I31" s="49" t="s">
        <v>270</v>
      </c>
      <c r="J31" s="49"/>
      <c r="K31" s="49" t="s">
        <v>174</v>
      </c>
      <c r="L31" s="49" t="s">
        <v>14</v>
      </c>
      <c r="M31" s="49" t="s">
        <v>111</v>
      </c>
      <c r="N31" s="49" t="s">
        <v>112</v>
      </c>
      <c r="O31" s="49" t="s">
        <v>309</v>
      </c>
      <c r="P31" s="49"/>
      <c r="Q31" s="49"/>
      <c r="R31" s="49" t="s">
        <v>271</v>
      </c>
      <c r="S31" s="49" t="s">
        <v>14</v>
      </c>
      <c r="T31" s="49" t="s">
        <v>310</v>
      </c>
      <c r="U31" s="49" t="s">
        <v>115</v>
      </c>
      <c r="V31" s="49" t="s">
        <v>311</v>
      </c>
      <c r="W31" s="49" t="s">
        <v>117</v>
      </c>
      <c r="X31" s="49" t="s">
        <v>312</v>
      </c>
      <c r="Y31" s="49" t="s">
        <v>174</v>
      </c>
      <c r="Z31" s="49" t="s">
        <v>274</v>
      </c>
      <c r="AA31" s="49" t="s">
        <v>275</v>
      </c>
      <c r="AB31" s="49" t="s">
        <v>276</v>
      </c>
      <c r="AC31" s="49" t="s">
        <v>271</v>
      </c>
      <c r="AD31" s="49" t="n">
        <v>5420608</v>
      </c>
      <c r="AE31" s="49" t="s">
        <v>14</v>
      </c>
      <c r="AF31" s="49" t="s">
        <v>313</v>
      </c>
      <c r="AG31" s="49" t="s">
        <v>14</v>
      </c>
      <c r="AH31" s="49" t="s">
        <v>314</v>
      </c>
      <c r="AI31" s="49" t="s">
        <v>315</v>
      </c>
      <c r="AJ31" s="49" t="s">
        <v>316</v>
      </c>
      <c r="AK31" s="49" t="s">
        <v>124</v>
      </c>
      <c r="AL31" s="49" t="s">
        <v>125</v>
      </c>
      <c r="AM31" s="51" t="n">
        <v>3000</v>
      </c>
      <c r="AN31" s="49"/>
      <c r="AO31" s="49" t="s">
        <v>308</v>
      </c>
      <c r="AP31" s="49" t="s">
        <v>127</v>
      </c>
      <c r="AQ31" s="49" t="s">
        <v>221</v>
      </c>
      <c r="AR31" s="49"/>
      <c r="AS31" s="49" t="s">
        <v>281</v>
      </c>
      <c r="AT31" s="49"/>
      <c r="AU31" s="49" t="s">
        <v>283</v>
      </c>
      <c r="AV31" s="49"/>
      <c r="AW31" s="49" t="s">
        <v>317</v>
      </c>
      <c r="AX31" s="49"/>
      <c r="AY31" s="49"/>
      <c r="AZ31" s="49"/>
      <c r="BA31" s="49"/>
      <c r="BB31" s="49" t="n">
        <v>60647114</v>
      </c>
      <c r="BC31" s="49" t="s">
        <v>134</v>
      </c>
      <c r="BD31" s="49" t="s">
        <v>191</v>
      </c>
      <c r="BE31" s="49" t="s">
        <v>318</v>
      </c>
      <c r="BF31" s="49" t="s">
        <v>319</v>
      </c>
      <c r="BG31" s="49" t="s">
        <v>138</v>
      </c>
      <c r="BH31" s="49" t="s">
        <v>194</v>
      </c>
      <c r="BI31" s="49" t="s">
        <v>134</v>
      </c>
      <c r="BJ31" s="49" t="s">
        <v>125</v>
      </c>
      <c r="BK31" s="49"/>
      <c r="BL31" s="49"/>
      <c r="BM31" s="49"/>
      <c r="BN31" s="49" t="s">
        <v>142</v>
      </c>
      <c r="BO31" s="49" t="s">
        <v>112</v>
      </c>
    </row>
    <row r="32" ht="16.8" customHeight="1">
      <c r="A32" s="43" t="s">
        <v>38</v>
      </c>
      <c r="B32" s="49" t="n">
        <v>22</v>
      </c>
      <c r="C32" s="49" t="s">
        <v>103</v>
      </c>
      <c r="D32" s="49" t="s">
        <v>104</v>
      </c>
      <c r="E32" s="49" t="s">
        <v>320</v>
      </c>
      <c r="F32" s="49" t="s">
        <v>321</v>
      </c>
      <c r="G32" s="49" t="s">
        <v>322</v>
      </c>
      <c r="H32" s="49" t="s">
        <v>323</v>
      </c>
      <c r="I32" s="49" t="s">
        <v>324</v>
      </c>
      <c r="J32" s="49"/>
      <c r="K32" s="49" t="s">
        <v>174</v>
      </c>
      <c r="L32" s="49" t="s">
        <v>10</v>
      </c>
      <c r="M32" s="49" t="s">
        <v>325</v>
      </c>
      <c r="N32" s="49" t="s">
        <v>326</v>
      </c>
      <c r="O32" s="49" t="s">
        <v>125</v>
      </c>
      <c r="P32" s="49"/>
      <c r="Q32" s="49"/>
      <c r="R32" s="49" t="s">
        <v>327</v>
      </c>
      <c r="S32" s="49" t="s">
        <v>10</v>
      </c>
      <c r="T32" s="49" t="s">
        <v>328</v>
      </c>
      <c r="U32" s="49" t="s">
        <v>178</v>
      </c>
      <c r="V32" s="49" t="s">
        <v>329</v>
      </c>
      <c r="W32" s="49" t="s">
        <v>117</v>
      </c>
      <c r="X32" s="49" t="s">
        <v>238</v>
      </c>
      <c r="Y32" s="49" t="s">
        <v>174</v>
      </c>
      <c r="Z32" s="49" t="s">
        <v>330</v>
      </c>
      <c r="AA32" s="49" t="s">
        <v>331</v>
      </c>
      <c r="AB32" s="49" t="s">
        <v>332</v>
      </c>
      <c r="AC32" s="49" t="s">
        <v>327</v>
      </c>
      <c r="AD32" s="49" t="n">
        <v>5420588</v>
      </c>
      <c r="AE32" s="49" t="s">
        <v>10</v>
      </c>
      <c r="AF32" s="49" t="s">
        <v>333</v>
      </c>
      <c r="AG32" s="49" t="s">
        <v>10</v>
      </c>
      <c r="AH32" s="49" t="s">
        <v>333</v>
      </c>
      <c r="AI32" s="49" t="s">
        <v>334</v>
      </c>
      <c r="AJ32" s="50" t="s">
        <v>335</v>
      </c>
      <c r="AK32" s="49" t="s">
        <v>124</v>
      </c>
      <c r="AL32" s="49" t="s">
        <v>125</v>
      </c>
      <c r="AM32" s="51" t="n">
        <v>1096.5</v>
      </c>
      <c r="AN32" s="49"/>
      <c r="AO32" s="49" t="s">
        <v>125</v>
      </c>
      <c r="AP32" s="49" t="s">
        <v>187</v>
      </c>
      <c r="AQ32" s="49" t="s">
        <v>221</v>
      </c>
      <c r="AR32" s="49"/>
      <c r="AS32" s="49"/>
      <c r="AT32" s="49"/>
      <c r="AU32" s="49" t="s">
        <v>283</v>
      </c>
      <c r="AV32" s="49"/>
      <c r="AW32" s="49" t="s">
        <v>336</v>
      </c>
      <c r="AX32" s="49"/>
      <c r="AY32" s="49"/>
      <c r="AZ32" s="49"/>
      <c r="BA32" s="49" t="s">
        <v>248</v>
      </c>
      <c r="BB32" s="49" t="n">
        <v>82421047</v>
      </c>
      <c r="BC32" s="49" t="s">
        <v>140</v>
      </c>
      <c r="BD32" s="49" t="s">
        <v>191</v>
      </c>
      <c r="BE32" s="49" t="s">
        <v>337</v>
      </c>
      <c r="BF32" s="49" t="s">
        <v>125</v>
      </c>
      <c r="BG32" s="49"/>
      <c r="BH32" s="49" t="s">
        <v>139</v>
      </c>
      <c r="BI32" s="49" t="s">
        <v>134</v>
      </c>
      <c r="BJ32" s="49" t="s">
        <v>125</v>
      </c>
      <c r="BK32" s="49"/>
      <c r="BL32" s="49"/>
      <c r="BM32" s="49" t="n">
        <v>110614822</v>
      </c>
      <c r="BN32" s="49" t="s">
        <v>142</v>
      </c>
      <c r="BO32" s="49" t="s">
        <v>338</v>
      </c>
    </row>
    <row r="33" ht="16.8" customHeight="1">
      <c r="A33" s="43" t="s">
        <v>38</v>
      </c>
      <c r="B33" s="49" t="n">
        <v>23</v>
      </c>
      <c r="C33" s="49" t="s">
        <v>103</v>
      </c>
      <c r="D33" s="49" t="s">
        <v>104</v>
      </c>
      <c r="E33" s="49" t="s">
        <v>339</v>
      </c>
      <c r="F33" s="49" t="s">
        <v>340</v>
      </c>
      <c r="G33" s="49" t="s">
        <v>341</v>
      </c>
      <c r="H33" s="49" t="s">
        <v>342</v>
      </c>
      <c r="I33" s="73" t="s">
        <v>343</v>
      </c>
      <c r="J33" s="49" t="s">
        <v>344</v>
      </c>
      <c r="K33" s="49"/>
      <c r="L33" s="49" t="s">
        <v>345</v>
      </c>
      <c r="M33" s="49" t="s">
        <v>346</v>
      </c>
      <c r="N33" s="49" t="s">
        <v>347</v>
      </c>
      <c r="O33" s="49" t="s">
        <v>125</v>
      </c>
      <c r="P33" s="49" t="s">
        <v>345</v>
      </c>
      <c r="Q33" s="49" t="s">
        <v>348</v>
      </c>
      <c r="R33" s="49" t="s">
        <v>339</v>
      </c>
      <c r="S33" s="49" t="s">
        <v>10</v>
      </c>
      <c r="T33" s="49" t="s">
        <v>349</v>
      </c>
      <c r="U33" s="49" t="s">
        <v>178</v>
      </c>
      <c r="V33" s="49" t="s">
        <v>350</v>
      </c>
      <c r="W33" s="49" t="s">
        <v>117</v>
      </c>
      <c r="X33" s="49" t="s">
        <v>238</v>
      </c>
      <c r="Y33" s="49" t="s">
        <v>239</v>
      </c>
      <c r="Z33" s="49" t="s">
        <v>351</v>
      </c>
      <c r="AA33" s="49" t="s">
        <v>352</v>
      </c>
      <c r="AB33" s="49" t="s">
        <v>353</v>
      </c>
      <c r="AC33" s="49" t="s">
        <v>339</v>
      </c>
      <c r="AD33" s="49" t="n">
        <v>5524661</v>
      </c>
      <c r="AE33" s="49" t="s">
        <v>10</v>
      </c>
      <c r="AF33" s="49" t="s">
        <v>354</v>
      </c>
      <c r="AG33" s="49" t="s">
        <v>10</v>
      </c>
      <c r="AH33" s="49" t="s">
        <v>355</v>
      </c>
      <c r="AI33" s="49" t="s">
        <v>356</v>
      </c>
      <c r="AJ33" s="50" t="s">
        <v>357</v>
      </c>
      <c r="AK33" s="49" t="s">
        <v>124</v>
      </c>
      <c r="AL33" s="49" t="s">
        <v>125</v>
      </c>
      <c r="AM33" s="51" t="n">
        <v>24471</v>
      </c>
      <c r="AN33" s="49"/>
      <c r="AO33" s="49" t="s">
        <v>125</v>
      </c>
      <c r="AP33" s="49" t="s">
        <v>187</v>
      </c>
      <c r="AQ33" s="49" t="s">
        <v>221</v>
      </c>
      <c r="AR33" s="49"/>
      <c r="AS33" s="49"/>
      <c r="AT33" s="49"/>
      <c r="AU33" s="49" t="s">
        <v>358</v>
      </c>
      <c r="AV33" s="49"/>
      <c r="AW33" s="49" t="s">
        <v>359</v>
      </c>
      <c r="AX33" s="49"/>
      <c r="AY33" s="49"/>
      <c r="AZ33" s="49"/>
      <c r="BA33" s="49" t="s">
        <v>360</v>
      </c>
      <c r="BB33" s="49" t="n">
        <v>82475627</v>
      </c>
      <c r="BC33" s="49" t="s">
        <v>140</v>
      </c>
      <c r="BD33" s="49" t="s">
        <v>191</v>
      </c>
      <c r="BE33" s="49" t="s">
        <v>361</v>
      </c>
      <c r="BF33" s="49" t="s">
        <v>225</v>
      </c>
      <c r="BG33" s="49" t="s">
        <v>267</v>
      </c>
      <c r="BH33" s="49" t="s">
        <v>139</v>
      </c>
      <c r="BI33" s="49" t="s">
        <v>134</v>
      </c>
      <c r="BJ33" s="49" t="s">
        <v>125</v>
      </c>
      <c r="BK33" s="49"/>
      <c r="BL33" s="49"/>
      <c r="BM33" s="49" t="n">
        <v>110610561</v>
      </c>
      <c r="BN33" s="49"/>
      <c r="BO33" s="49" t="s">
        <v>362</v>
      </c>
    </row>
    <row r="34" ht="16.8" customHeight="1">
      <c r="A34" s="43" t="s">
        <v>25</v>
      </c>
      <c r="B34" s="49" t="n">
        <v>24</v>
      </c>
      <c r="C34" s="49" t="s">
        <v>103</v>
      </c>
      <c r="D34" s="49" t="s">
        <v>104</v>
      </c>
      <c r="E34" s="49"/>
      <c r="F34" s="49" t="s">
        <v>203</v>
      </c>
      <c r="G34" s="49"/>
      <c r="H34" s="49" t="s">
        <v>204</v>
      </c>
      <c r="I34" s="74" t="s">
        <v>205</v>
      </c>
      <c r="J34" s="49"/>
      <c r="K34" s="49" t="s">
        <v>206</v>
      </c>
      <c r="L34" s="49" t="s">
        <v>10</v>
      </c>
      <c r="M34" s="49" t="s">
        <v>207</v>
      </c>
      <c r="N34" s="49" t="s">
        <v>208</v>
      </c>
      <c r="O34" s="49"/>
      <c r="P34" s="49"/>
      <c r="Q34" s="49"/>
      <c r="R34" s="49" t="s">
        <v>209</v>
      </c>
      <c r="S34" s="49" t="s">
        <v>210</v>
      </c>
      <c r="T34" s="49" t="s">
        <v>363</v>
      </c>
      <c r="U34" s="49" t="s">
        <v>115</v>
      </c>
      <c r="V34" s="49" t="s">
        <v>364</v>
      </c>
      <c r="W34" s="49" t="s">
        <v>117</v>
      </c>
      <c r="X34" s="49" t="s">
        <v>213</v>
      </c>
      <c r="Y34" s="49" t="s">
        <v>214</v>
      </c>
      <c r="Z34" s="49" t="s">
        <v>215</v>
      </c>
      <c r="AA34" s="49" t="s">
        <v>216</v>
      </c>
      <c r="AB34" s="49" t="s">
        <v>217</v>
      </c>
      <c r="AC34" s="49" t="s">
        <v>209</v>
      </c>
      <c r="AD34" s="49" t="n">
        <v>5498616</v>
      </c>
      <c r="AE34" s="49" t="s">
        <v>10</v>
      </c>
      <c r="AF34" s="49" t="s">
        <v>364</v>
      </c>
      <c r="AG34" s="49" t="s">
        <v>210</v>
      </c>
      <c r="AH34" s="49" t="s">
        <v>365</v>
      </c>
      <c r="AI34" s="49"/>
      <c r="AJ34" s="49"/>
      <c r="AK34" s="49" t="s">
        <v>124</v>
      </c>
      <c r="AL34" s="49" t="s">
        <v>125</v>
      </c>
      <c r="AM34" s="51" t="n">
        <v>10855.2</v>
      </c>
      <c r="AN34" s="49" t="s">
        <v>126</v>
      </c>
      <c r="AO34" s="49" t="s">
        <v>125</v>
      </c>
      <c r="AP34" s="49" t="s">
        <v>220</v>
      </c>
      <c r="AQ34" s="49" t="s">
        <v>221</v>
      </c>
      <c r="AR34" s="49"/>
      <c r="AS34" s="49" t="s">
        <v>222</v>
      </c>
      <c r="AT34" s="49"/>
      <c r="AU34" s="49"/>
      <c r="AV34" s="49"/>
      <c r="AW34" s="49" t="s">
        <v>366</v>
      </c>
      <c r="AX34" s="49"/>
      <c r="AY34" s="49"/>
      <c r="AZ34" s="49"/>
      <c r="BA34" s="49"/>
      <c r="BB34" s="49" t="n">
        <v>62316553</v>
      </c>
      <c r="BC34" s="49" t="s">
        <v>134</v>
      </c>
      <c r="BD34" s="49" t="s">
        <v>191</v>
      </c>
      <c r="BE34" s="49" t="s">
        <v>224</v>
      </c>
      <c r="BF34" s="49" t="s">
        <v>225</v>
      </c>
      <c r="BG34" s="49"/>
      <c r="BH34" s="49" t="s">
        <v>226</v>
      </c>
      <c r="BI34" s="49" t="s">
        <v>134</v>
      </c>
      <c r="BJ34" s="49" t="s">
        <v>125</v>
      </c>
      <c r="BK34" s="49"/>
      <c r="BL34" s="49"/>
      <c r="BM34" s="49"/>
      <c r="BN34" s="49" t="s">
        <v>227</v>
      </c>
      <c r="BO34" s="49"/>
    </row>
    <row r="35" ht="16.8" customHeight="1">
      <c r="A35" s="43" t="s">
        <v>38</v>
      </c>
      <c r="B35" s="49" t="n">
        <v>25</v>
      </c>
      <c r="C35" s="49" t="s">
        <v>103</v>
      </c>
      <c r="D35" s="49" t="s">
        <v>104</v>
      </c>
      <c r="E35" s="49" t="s">
        <v>367</v>
      </c>
      <c r="F35" s="49" t="s">
        <v>368</v>
      </c>
      <c r="G35" s="49" t="s">
        <v>369</v>
      </c>
      <c r="H35" s="49" t="s">
        <v>370</v>
      </c>
      <c r="I35" s="75" t="s">
        <v>371</v>
      </c>
      <c r="J35" s="49"/>
      <c r="K35" s="49" t="s">
        <v>206</v>
      </c>
      <c r="L35" s="49" t="s">
        <v>10</v>
      </c>
      <c r="M35" s="49" t="s">
        <v>346</v>
      </c>
      <c r="N35" s="49" t="s">
        <v>372</v>
      </c>
      <c r="O35" s="49" t="s">
        <v>125</v>
      </c>
      <c r="P35" s="49"/>
      <c r="Q35" s="49"/>
      <c r="R35" s="49" t="s">
        <v>367</v>
      </c>
      <c r="S35" s="49" t="s">
        <v>10</v>
      </c>
      <c r="T35" s="49" t="s">
        <v>373</v>
      </c>
      <c r="U35" s="49" t="s">
        <v>178</v>
      </c>
      <c r="V35" s="49" t="s">
        <v>374</v>
      </c>
      <c r="W35" s="49" t="s">
        <v>117</v>
      </c>
      <c r="X35" s="49" t="s">
        <v>238</v>
      </c>
      <c r="Y35" s="49" t="s">
        <v>206</v>
      </c>
      <c r="Z35" s="49" t="s">
        <v>375</v>
      </c>
      <c r="AA35" s="49" t="s">
        <v>331</v>
      </c>
      <c r="AB35" s="49" t="s">
        <v>376</v>
      </c>
      <c r="AC35" s="49" t="s">
        <v>367</v>
      </c>
      <c r="AD35" s="49" t="n">
        <v>5494164</v>
      </c>
      <c r="AE35" s="49" t="s">
        <v>10</v>
      </c>
      <c r="AF35" s="49" t="s">
        <v>377</v>
      </c>
      <c r="AG35" s="49" t="s">
        <v>10</v>
      </c>
      <c r="AH35" s="49" t="s">
        <v>377</v>
      </c>
      <c r="AI35" s="49" t="s">
        <v>378</v>
      </c>
      <c r="AJ35" s="50" t="s">
        <v>379</v>
      </c>
      <c r="AK35" s="49" t="s">
        <v>124</v>
      </c>
      <c r="AL35" s="49" t="s">
        <v>125</v>
      </c>
      <c r="AM35" s="51" t="n">
        <v>11902.8</v>
      </c>
      <c r="AN35" s="49"/>
      <c r="AO35" s="49" t="s">
        <v>125</v>
      </c>
      <c r="AP35" s="49" t="s">
        <v>187</v>
      </c>
      <c r="AQ35" s="49" t="s">
        <v>221</v>
      </c>
      <c r="AR35" s="49"/>
      <c r="AS35" s="49"/>
      <c r="AT35" s="49"/>
      <c r="AU35" s="49" t="s">
        <v>380</v>
      </c>
      <c r="AV35" s="49"/>
      <c r="AW35" s="49" t="s">
        <v>381</v>
      </c>
      <c r="AX35" s="49"/>
      <c r="AY35" s="49"/>
      <c r="AZ35" s="49"/>
      <c r="BA35" s="49" t="s">
        <v>360</v>
      </c>
      <c r="BB35" s="49" t="n">
        <v>81577565</v>
      </c>
      <c r="BC35" s="49" t="s">
        <v>140</v>
      </c>
      <c r="BD35" s="49" t="s">
        <v>135</v>
      </c>
      <c r="BE35" s="49" t="s">
        <v>249</v>
      </c>
      <c r="BF35" s="49" t="s">
        <v>225</v>
      </c>
      <c r="BG35" s="49" t="s">
        <v>138</v>
      </c>
      <c r="BH35" s="49" t="s">
        <v>139</v>
      </c>
      <c r="BI35" s="49" t="s">
        <v>134</v>
      </c>
      <c r="BJ35" s="49" t="s">
        <v>125</v>
      </c>
      <c r="BK35" s="49"/>
      <c r="BL35" s="49"/>
      <c r="BM35" s="49" t="n">
        <v>110601979</v>
      </c>
      <c r="BN35" s="49" t="s">
        <v>227</v>
      </c>
      <c r="BO35" s="49" t="s">
        <v>382</v>
      </c>
    </row>
    <row r="36" ht="16.8" customHeight="1">
      <c r="A36" s="43" t="s">
        <v>25</v>
      </c>
      <c r="B36" s="49" t="n">
        <v>26</v>
      </c>
      <c r="C36" s="49" t="s">
        <v>103</v>
      </c>
      <c r="D36" s="49" t="s">
        <v>104</v>
      </c>
      <c r="E36" s="49" t="s">
        <v>383</v>
      </c>
      <c r="F36" s="49" t="s">
        <v>384</v>
      </c>
      <c r="G36" s="49" t="s">
        <v>385</v>
      </c>
      <c r="H36" s="49" t="s">
        <v>386</v>
      </c>
      <c r="I36" s="49" t="s">
        <v>387</v>
      </c>
      <c r="J36" s="49"/>
      <c r="K36" s="49" t="s">
        <v>214</v>
      </c>
      <c r="L36" s="49" t="s">
        <v>14</v>
      </c>
      <c r="M36" s="49" t="s">
        <v>111</v>
      </c>
      <c r="N36" s="49" t="s">
        <v>112</v>
      </c>
      <c r="O36" s="49" t="s">
        <v>388</v>
      </c>
      <c r="P36" s="49"/>
      <c r="Q36" s="49"/>
      <c r="R36" s="49" t="s">
        <v>383</v>
      </c>
      <c r="S36" s="49" t="s">
        <v>14</v>
      </c>
      <c r="T36" s="49" t="s">
        <v>389</v>
      </c>
      <c r="U36" s="49" t="s">
        <v>115</v>
      </c>
      <c r="V36" s="49" t="s">
        <v>390</v>
      </c>
      <c r="W36" s="49" t="s">
        <v>117</v>
      </c>
      <c r="X36" s="49" t="s">
        <v>391</v>
      </c>
      <c r="Y36" s="49" t="s">
        <v>214</v>
      </c>
      <c r="Z36" s="49" t="s">
        <v>392</v>
      </c>
      <c r="AA36" s="49" t="s">
        <v>298</v>
      </c>
      <c r="AB36" s="49" t="s">
        <v>393</v>
      </c>
      <c r="AC36" s="49" t="s">
        <v>383</v>
      </c>
      <c r="AD36" s="49" t="n">
        <v>5418288</v>
      </c>
      <c r="AE36" s="49" t="s">
        <v>14</v>
      </c>
      <c r="AF36" s="49" t="s">
        <v>394</v>
      </c>
      <c r="AG36" s="49" t="s">
        <v>14</v>
      </c>
      <c r="AH36" s="49" t="s">
        <v>395</v>
      </c>
      <c r="AI36" s="49" t="s">
        <v>396</v>
      </c>
      <c r="AJ36" s="49" t="s">
        <v>397</v>
      </c>
      <c r="AK36" s="49" t="s">
        <v>124</v>
      </c>
      <c r="AL36" s="49" t="s">
        <v>125</v>
      </c>
      <c r="AM36" s="51" t="n">
        <v>15600</v>
      </c>
      <c r="AN36" s="49"/>
      <c r="AO36" s="49" t="s">
        <v>385</v>
      </c>
      <c r="AP36" s="49" t="s">
        <v>127</v>
      </c>
      <c r="AQ36" s="49" t="s">
        <v>128</v>
      </c>
      <c r="AR36" s="49"/>
      <c r="AS36" s="49" t="s">
        <v>398</v>
      </c>
      <c r="AT36" s="49"/>
      <c r="AU36" s="49" t="s">
        <v>399</v>
      </c>
      <c r="AV36" s="49"/>
      <c r="AW36" s="49" t="s">
        <v>400</v>
      </c>
      <c r="AX36" s="49"/>
      <c r="AY36" s="49"/>
      <c r="AZ36" s="49"/>
      <c r="BA36" s="49"/>
      <c r="BB36" s="49" t="n">
        <v>33569231</v>
      </c>
      <c r="BC36" s="49" t="s">
        <v>134</v>
      </c>
      <c r="BD36" s="49" t="s">
        <v>191</v>
      </c>
      <c r="BE36" s="49" t="s">
        <v>401</v>
      </c>
      <c r="BF36" s="49" t="s">
        <v>402</v>
      </c>
      <c r="BG36" s="49" t="s">
        <v>138</v>
      </c>
      <c r="BH36" s="49" t="s">
        <v>194</v>
      </c>
      <c r="BI36" s="49" t="s">
        <v>140</v>
      </c>
      <c r="BJ36" s="49" t="s">
        <v>125</v>
      </c>
      <c r="BK36" s="49"/>
      <c r="BL36" s="49"/>
      <c r="BM36" s="49"/>
      <c r="BN36" s="49"/>
      <c r="BO36" s="49" t="s">
        <v>112</v>
      </c>
    </row>
    <row r="37" ht="16.8" customHeight="1">
      <c r="A37" s="43" t="s">
        <v>25</v>
      </c>
      <c r="B37" s="49" t="n">
        <v>27</v>
      </c>
      <c r="C37" s="49" t="s">
        <v>103</v>
      </c>
      <c r="D37" s="49" t="s">
        <v>104</v>
      </c>
      <c r="E37" s="49"/>
      <c r="F37" s="49" t="s">
        <v>403</v>
      </c>
      <c r="G37" s="49"/>
      <c r="H37" s="49" t="s">
        <v>404</v>
      </c>
      <c r="I37" s="76" t="s">
        <v>405</v>
      </c>
      <c r="J37" s="49" t="s">
        <v>406</v>
      </c>
      <c r="K37" s="49" t="s">
        <v>206</v>
      </c>
      <c r="L37" s="49" t="s">
        <v>14</v>
      </c>
      <c r="M37" s="49" t="s">
        <v>407</v>
      </c>
      <c r="N37" s="49" t="s">
        <v>408</v>
      </c>
      <c r="O37" s="49"/>
      <c r="P37" s="49"/>
      <c r="Q37" s="49"/>
      <c r="R37" s="49" t="s">
        <v>409</v>
      </c>
      <c r="S37" s="49" t="s">
        <v>14</v>
      </c>
      <c r="T37" s="49" t="s">
        <v>410</v>
      </c>
      <c r="U37" s="49" t="s">
        <v>115</v>
      </c>
      <c r="V37" s="49" t="s">
        <v>411</v>
      </c>
      <c r="W37" s="49" t="s">
        <v>117</v>
      </c>
      <c r="X37" s="49" t="s">
        <v>412</v>
      </c>
      <c r="Y37" s="49" t="s">
        <v>174</v>
      </c>
      <c r="Z37" s="49" t="s">
        <v>413</v>
      </c>
      <c r="AA37" s="49" t="s">
        <v>414</v>
      </c>
      <c r="AB37" s="49" t="s">
        <v>415</v>
      </c>
      <c r="AC37" s="49" t="s">
        <v>409</v>
      </c>
      <c r="AD37" s="49" t="n">
        <v>5487404</v>
      </c>
      <c r="AE37" s="49" t="s">
        <v>14</v>
      </c>
      <c r="AF37" s="49" t="s">
        <v>416</v>
      </c>
      <c r="AG37" s="49" t="s">
        <v>14</v>
      </c>
      <c r="AH37" s="49" t="s">
        <v>417</v>
      </c>
      <c r="AI37" s="49" t="s">
        <v>418</v>
      </c>
      <c r="AJ37" s="49" t="s">
        <v>419</v>
      </c>
      <c r="AK37" s="49" t="s">
        <v>124</v>
      </c>
      <c r="AL37" s="49" t="s">
        <v>125</v>
      </c>
      <c r="AM37" s="51" t="n">
        <v>1500</v>
      </c>
      <c r="AN37" s="49"/>
      <c r="AO37" s="49" t="s">
        <v>125</v>
      </c>
      <c r="AP37" s="49" t="s">
        <v>127</v>
      </c>
      <c r="AQ37" s="49" t="s">
        <v>128</v>
      </c>
      <c r="AR37" s="49"/>
      <c r="AS37" s="49" t="s">
        <v>420</v>
      </c>
      <c r="AT37" s="49"/>
      <c r="AU37" s="49" t="s">
        <v>421</v>
      </c>
      <c r="AV37" s="49"/>
      <c r="AW37" s="49" t="s">
        <v>422</v>
      </c>
      <c r="AX37" s="49"/>
      <c r="AY37" s="49"/>
      <c r="AZ37" s="49"/>
      <c r="BA37" s="49"/>
      <c r="BB37" s="49" t="n">
        <v>82087801</v>
      </c>
      <c r="BC37" s="49" t="s">
        <v>134</v>
      </c>
      <c r="BD37" s="49" t="s">
        <v>191</v>
      </c>
      <c r="BE37" s="49" t="s">
        <v>423</v>
      </c>
      <c r="BF37" s="49" t="s">
        <v>424</v>
      </c>
      <c r="BG37" s="49"/>
      <c r="BH37" s="49" t="s">
        <v>139</v>
      </c>
      <c r="BI37" s="49" t="s">
        <v>140</v>
      </c>
      <c r="BJ37" s="49" t="s">
        <v>125</v>
      </c>
      <c r="BK37" s="49"/>
      <c r="BL37" s="49"/>
      <c r="BM37" s="49"/>
      <c r="BN37" s="49" t="s">
        <v>142</v>
      </c>
      <c r="BO37" s="49"/>
    </row>
    <row r="38" ht="16.8" customHeight="1">
      <c r="A38" s="43" t="s">
        <v>38</v>
      </c>
      <c r="B38" s="49" t="n">
        <v>28</v>
      </c>
      <c r="C38" s="49" t="s">
        <v>103</v>
      </c>
      <c r="D38" s="49" t="s">
        <v>104</v>
      </c>
      <c r="E38" s="49" t="s">
        <v>425</v>
      </c>
      <c r="F38" s="49" t="s">
        <v>426</v>
      </c>
      <c r="G38" s="49" t="s">
        <v>427</v>
      </c>
      <c r="H38" s="49" t="s">
        <v>428</v>
      </c>
      <c r="I38" s="49" t="s">
        <v>429</v>
      </c>
      <c r="J38" s="49" t="s">
        <v>430</v>
      </c>
      <c r="K38" s="49"/>
      <c r="L38" s="49" t="s">
        <v>431</v>
      </c>
      <c r="M38" s="49" t="s">
        <v>432</v>
      </c>
      <c r="N38" s="49" t="s">
        <v>433</v>
      </c>
      <c r="O38" s="49" t="s">
        <v>125</v>
      </c>
      <c r="P38" s="49" t="s">
        <v>431</v>
      </c>
      <c r="Q38" s="49" t="s">
        <v>434</v>
      </c>
      <c r="R38" s="49" t="s">
        <v>435</v>
      </c>
      <c r="S38" s="49" t="s">
        <v>14</v>
      </c>
      <c r="T38" s="49" t="s">
        <v>436</v>
      </c>
      <c r="U38" s="49" t="s">
        <v>178</v>
      </c>
      <c r="V38" s="49" t="s">
        <v>437</v>
      </c>
      <c r="W38" s="49" t="s">
        <v>117</v>
      </c>
      <c r="X38" s="49" t="s">
        <v>238</v>
      </c>
      <c r="Y38" s="49" t="s">
        <v>174</v>
      </c>
      <c r="Z38" s="49" t="s">
        <v>119</v>
      </c>
      <c r="AA38" s="49" t="s">
        <v>438</v>
      </c>
      <c r="AB38" s="49" t="s">
        <v>439</v>
      </c>
      <c r="AC38" s="49" t="s">
        <v>435</v>
      </c>
      <c r="AD38" s="49" t="n">
        <v>5416998</v>
      </c>
      <c r="AE38" s="49" t="s">
        <v>14</v>
      </c>
      <c r="AF38" s="49" t="s">
        <v>440</v>
      </c>
      <c r="AG38" s="49" t="s">
        <v>14</v>
      </c>
      <c r="AH38" s="49" t="s">
        <v>440</v>
      </c>
      <c r="AI38" s="49" t="s">
        <v>441</v>
      </c>
      <c r="AJ38" s="50" t="s">
        <v>442</v>
      </c>
      <c r="AK38" s="49" t="s">
        <v>124</v>
      </c>
      <c r="AL38" s="49" t="s">
        <v>125</v>
      </c>
      <c r="AM38" s="51" t="n">
        <v>15651</v>
      </c>
      <c r="AN38" s="49"/>
      <c r="AO38" s="49" t="s">
        <v>125</v>
      </c>
      <c r="AP38" s="49" t="s">
        <v>187</v>
      </c>
      <c r="AQ38" s="49" t="s">
        <v>221</v>
      </c>
      <c r="AR38" s="49"/>
      <c r="AS38" s="49"/>
      <c r="AT38" s="49"/>
      <c r="AU38" s="49" t="s">
        <v>421</v>
      </c>
      <c r="AV38" s="49"/>
      <c r="AW38" s="49" t="s">
        <v>443</v>
      </c>
      <c r="AX38" s="49"/>
      <c r="AY38" s="49"/>
      <c r="AZ38" s="49"/>
      <c r="BA38" s="49" t="s">
        <v>444</v>
      </c>
      <c r="BB38" s="49" t="n">
        <v>82071259</v>
      </c>
      <c r="BC38" s="49" t="s">
        <v>140</v>
      </c>
      <c r="BD38" s="49" t="s">
        <v>191</v>
      </c>
      <c r="BE38" s="49" t="s">
        <v>361</v>
      </c>
      <c r="BF38" s="49" t="s">
        <v>402</v>
      </c>
      <c r="BG38" s="49" t="s">
        <v>138</v>
      </c>
      <c r="BH38" s="49" t="s">
        <v>139</v>
      </c>
      <c r="BI38" s="49" t="s">
        <v>134</v>
      </c>
      <c r="BJ38" s="49" t="s">
        <v>125</v>
      </c>
      <c r="BK38" s="49"/>
      <c r="BL38" s="49"/>
      <c r="BM38" s="49" t="n">
        <v>107965657</v>
      </c>
      <c r="BN38" s="49" t="s">
        <v>142</v>
      </c>
      <c r="BO38" s="49" t="s">
        <v>445</v>
      </c>
    </row>
    <row r="39" ht="16.8" customHeight="1">
      <c r="A39" s="43" t="s">
        <v>38</v>
      </c>
      <c r="B39" s="49" t="n">
        <v>29</v>
      </c>
      <c r="C39" s="49" t="s">
        <v>103</v>
      </c>
      <c r="D39" s="49" t="s">
        <v>104</v>
      </c>
      <c r="E39" s="49" t="s">
        <v>446</v>
      </c>
      <c r="F39" s="49" t="s">
        <v>447</v>
      </c>
      <c r="G39" s="49" t="s">
        <v>427</v>
      </c>
      <c r="H39" s="49" t="s">
        <v>448</v>
      </c>
      <c r="I39" s="49" t="s">
        <v>449</v>
      </c>
      <c r="J39" s="49" t="s">
        <v>430</v>
      </c>
      <c r="K39" s="49"/>
      <c r="L39" s="49" t="s">
        <v>431</v>
      </c>
      <c r="M39" s="49" t="s">
        <v>432</v>
      </c>
      <c r="N39" s="49" t="s">
        <v>450</v>
      </c>
      <c r="O39" s="49" t="s">
        <v>125</v>
      </c>
      <c r="P39" s="49" t="s">
        <v>431</v>
      </c>
      <c r="Q39" s="49" t="s">
        <v>451</v>
      </c>
      <c r="R39" s="49" t="s">
        <v>452</v>
      </c>
      <c r="S39" s="49" t="s">
        <v>14</v>
      </c>
      <c r="T39" s="49" t="s">
        <v>453</v>
      </c>
      <c r="U39" s="49" t="s">
        <v>178</v>
      </c>
      <c r="V39" s="49" t="s">
        <v>454</v>
      </c>
      <c r="W39" s="49" t="s">
        <v>117</v>
      </c>
      <c r="X39" s="49" t="s">
        <v>238</v>
      </c>
      <c r="Y39" s="49" t="s">
        <v>206</v>
      </c>
      <c r="Z39" s="49" t="s">
        <v>455</v>
      </c>
      <c r="AA39" s="49" t="s">
        <v>456</v>
      </c>
      <c r="AB39" s="49" t="s">
        <v>457</v>
      </c>
      <c r="AC39" s="49" t="s">
        <v>452</v>
      </c>
      <c r="AD39" s="49" t="n">
        <v>5486586</v>
      </c>
      <c r="AE39" s="49" t="s">
        <v>14</v>
      </c>
      <c r="AF39" s="49" t="s">
        <v>458</v>
      </c>
      <c r="AG39" s="49" t="s">
        <v>14</v>
      </c>
      <c r="AH39" s="49" t="s">
        <v>459</v>
      </c>
      <c r="AI39" s="49" t="s">
        <v>460</v>
      </c>
      <c r="AJ39" s="50" t="s">
        <v>461</v>
      </c>
      <c r="AK39" s="49" t="s">
        <v>124</v>
      </c>
      <c r="AL39" s="49" t="s">
        <v>125</v>
      </c>
      <c r="AM39" s="51" t="n">
        <v>4139.5</v>
      </c>
      <c r="AN39" s="49"/>
      <c r="AO39" s="49" t="s">
        <v>125</v>
      </c>
      <c r="AP39" s="49" t="s">
        <v>187</v>
      </c>
      <c r="AQ39" s="49" t="s">
        <v>221</v>
      </c>
      <c r="AR39" s="49"/>
      <c r="AS39" s="49"/>
      <c r="AT39" s="49"/>
      <c r="AU39" s="49" t="s">
        <v>462</v>
      </c>
      <c r="AV39" s="49"/>
      <c r="AW39" s="49" t="s">
        <v>463</v>
      </c>
      <c r="AX39" s="49"/>
      <c r="AY39" s="49"/>
      <c r="AZ39" s="49"/>
      <c r="BA39" s="49" t="s">
        <v>248</v>
      </c>
      <c r="BB39" s="49" t="n">
        <v>82058266</v>
      </c>
      <c r="BC39" s="49" t="s">
        <v>140</v>
      </c>
      <c r="BD39" s="49" t="s">
        <v>191</v>
      </c>
      <c r="BE39" s="49" t="s">
        <v>337</v>
      </c>
      <c r="BF39" s="49" t="s">
        <v>464</v>
      </c>
      <c r="BG39" s="49" t="s">
        <v>138</v>
      </c>
      <c r="BH39" s="49" t="s">
        <v>139</v>
      </c>
      <c r="BI39" s="49" t="s">
        <v>134</v>
      </c>
      <c r="BJ39" s="49" t="s">
        <v>125</v>
      </c>
      <c r="BK39" s="49"/>
      <c r="BL39" s="49"/>
      <c r="BM39" s="49" t="n">
        <v>110572419</v>
      </c>
      <c r="BN39" s="49" t="s">
        <v>142</v>
      </c>
      <c r="BO39" s="49" t="s">
        <v>445</v>
      </c>
    </row>
    <row r="40" ht="16.8" customHeight="1">
      <c r="A40" s="43" t="s">
        <v>38</v>
      </c>
      <c r="B40" s="49" t="n">
        <v>30</v>
      </c>
      <c r="C40" s="49" t="s">
        <v>103</v>
      </c>
      <c r="D40" s="49" t="s">
        <v>104</v>
      </c>
      <c r="E40" s="49" t="s">
        <v>465</v>
      </c>
      <c r="F40" s="49" t="s">
        <v>466</v>
      </c>
      <c r="G40" s="49" t="s">
        <v>369</v>
      </c>
      <c r="H40" s="49" t="s">
        <v>467</v>
      </c>
      <c r="I40" s="77" t="s">
        <v>468</v>
      </c>
      <c r="J40" s="49"/>
      <c r="K40" s="49" t="s">
        <v>206</v>
      </c>
      <c r="L40" s="49" t="s">
        <v>14</v>
      </c>
      <c r="M40" s="49" t="s">
        <v>346</v>
      </c>
      <c r="N40" s="49" t="s">
        <v>372</v>
      </c>
      <c r="O40" s="49" t="s">
        <v>125</v>
      </c>
      <c r="P40" s="49"/>
      <c r="Q40" s="49"/>
      <c r="R40" s="49" t="s">
        <v>465</v>
      </c>
      <c r="S40" s="49" t="s">
        <v>10</v>
      </c>
      <c r="T40" s="49" t="s">
        <v>469</v>
      </c>
      <c r="U40" s="49" t="s">
        <v>115</v>
      </c>
      <c r="V40" s="49" t="s">
        <v>470</v>
      </c>
      <c r="W40" s="49" t="s">
        <v>117</v>
      </c>
      <c r="X40" s="49" t="s">
        <v>238</v>
      </c>
      <c r="Y40" s="49" t="s">
        <v>206</v>
      </c>
      <c r="Z40" s="49" t="s">
        <v>119</v>
      </c>
      <c r="AA40" s="49" t="s">
        <v>120</v>
      </c>
      <c r="AB40" s="49" t="s">
        <v>471</v>
      </c>
      <c r="AC40" s="49" t="s">
        <v>465</v>
      </c>
      <c r="AD40" s="49" t="n">
        <v>5483935</v>
      </c>
      <c r="AE40" s="49" t="s">
        <v>10</v>
      </c>
      <c r="AF40" s="49" t="s">
        <v>472</v>
      </c>
      <c r="AG40" s="49" t="s">
        <v>10</v>
      </c>
      <c r="AH40" s="49" t="s">
        <v>472</v>
      </c>
      <c r="AI40" s="49" t="s">
        <v>473</v>
      </c>
      <c r="AJ40" s="50" t="s">
        <v>474</v>
      </c>
      <c r="AK40" s="49" t="s">
        <v>124</v>
      </c>
      <c r="AL40" s="49" t="s">
        <v>125</v>
      </c>
      <c r="AM40" s="51" t="n">
        <v>4443.6</v>
      </c>
      <c r="AN40" s="49"/>
      <c r="AO40" s="49" t="s">
        <v>125</v>
      </c>
      <c r="AP40" s="49" t="s">
        <v>127</v>
      </c>
      <c r="AQ40" s="49" t="s">
        <v>221</v>
      </c>
      <c r="AR40" s="49"/>
      <c r="AS40" s="49"/>
      <c r="AT40" s="49"/>
      <c r="AU40" s="49" t="s">
        <v>475</v>
      </c>
      <c r="AV40" s="49"/>
      <c r="AW40" s="49" t="s">
        <v>476</v>
      </c>
      <c r="AX40" s="49"/>
      <c r="AY40" s="49"/>
      <c r="AZ40" s="49"/>
      <c r="BA40" s="49" t="s">
        <v>444</v>
      </c>
      <c r="BB40" s="49" t="n">
        <v>50793454</v>
      </c>
      <c r="BC40" s="49" t="s">
        <v>140</v>
      </c>
      <c r="BD40" s="49" t="s">
        <v>191</v>
      </c>
      <c r="BE40" s="49" t="s">
        <v>249</v>
      </c>
      <c r="BF40" s="49" t="s">
        <v>402</v>
      </c>
      <c r="BG40" s="49" t="s">
        <v>138</v>
      </c>
      <c r="BH40" s="49" t="s">
        <v>139</v>
      </c>
      <c r="BI40" s="49" t="s">
        <v>134</v>
      </c>
      <c r="BJ40" s="49" t="s">
        <v>125</v>
      </c>
      <c r="BK40" s="49"/>
      <c r="BL40" s="49"/>
      <c r="BM40" s="49" t="n">
        <v>107425955</v>
      </c>
      <c r="BN40" s="49" t="s">
        <v>142</v>
      </c>
      <c r="BO40" s="49" t="s">
        <v>382</v>
      </c>
    </row>
    <row r="41" ht="16.8" customHeight="1">
      <c r="A41" s="43" t="s">
        <v>25</v>
      </c>
      <c r="B41" s="49" t="n">
        <v>31</v>
      </c>
      <c r="C41" s="49" t="s">
        <v>103</v>
      </c>
      <c r="D41" s="49" t="s">
        <v>104</v>
      </c>
      <c r="E41" s="49" t="s">
        <v>465</v>
      </c>
      <c r="F41" s="49" t="s">
        <v>466</v>
      </c>
      <c r="G41" s="49" t="s">
        <v>369</v>
      </c>
      <c r="H41" s="49" t="s">
        <v>467</v>
      </c>
      <c r="I41" s="78" t="s">
        <v>468</v>
      </c>
      <c r="J41" s="49"/>
      <c r="K41" s="49" t="s">
        <v>206</v>
      </c>
      <c r="L41" s="49" t="s">
        <v>14</v>
      </c>
      <c r="M41" s="49" t="s">
        <v>346</v>
      </c>
      <c r="N41" s="49" t="s">
        <v>372</v>
      </c>
      <c r="O41" s="49" t="s">
        <v>125</v>
      </c>
      <c r="P41" s="49"/>
      <c r="Q41" s="49"/>
      <c r="R41" s="49" t="s">
        <v>465</v>
      </c>
      <c r="S41" s="49" t="s">
        <v>10</v>
      </c>
      <c r="T41" s="49" t="s">
        <v>469</v>
      </c>
      <c r="U41" s="49" t="s">
        <v>115</v>
      </c>
      <c r="V41" s="49" t="s">
        <v>470</v>
      </c>
      <c r="W41" s="49" t="s">
        <v>117</v>
      </c>
      <c r="X41" s="49" t="s">
        <v>238</v>
      </c>
      <c r="Y41" s="49" t="s">
        <v>206</v>
      </c>
      <c r="Z41" s="49" t="s">
        <v>119</v>
      </c>
      <c r="AA41" s="49" t="s">
        <v>120</v>
      </c>
      <c r="AB41" s="49" t="s">
        <v>471</v>
      </c>
      <c r="AC41" s="49" t="s">
        <v>465</v>
      </c>
      <c r="AD41" s="49" t="n">
        <v>5455920</v>
      </c>
      <c r="AE41" s="49" t="s">
        <v>14</v>
      </c>
      <c r="AF41" s="49" t="s">
        <v>472</v>
      </c>
      <c r="AG41" s="49" t="s">
        <v>10</v>
      </c>
      <c r="AH41" s="49" t="s">
        <v>472</v>
      </c>
      <c r="AI41" s="49"/>
      <c r="AJ41" s="49"/>
      <c r="AK41" s="49" t="s">
        <v>124</v>
      </c>
      <c r="AL41" s="49" t="s">
        <v>125</v>
      </c>
      <c r="AM41" s="51" t="n">
        <v>4443.6</v>
      </c>
      <c r="AN41" s="49"/>
      <c r="AO41" s="49" t="s">
        <v>125</v>
      </c>
      <c r="AP41" s="49" t="s">
        <v>220</v>
      </c>
      <c r="AQ41" s="49" t="s">
        <v>221</v>
      </c>
      <c r="AR41" s="49"/>
      <c r="AS41" s="49"/>
      <c r="AT41" s="49"/>
      <c r="AU41" s="49"/>
      <c r="AV41" s="49"/>
      <c r="AW41" s="49" t="s">
        <v>476</v>
      </c>
      <c r="AX41" s="49"/>
      <c r="AY41" s="49"/>
      <c r="AZ41" s="49"/>
      <c r="BA41" s="49"/>
      <c r="BB41" s="49" t="n">
        <v>50793454</v>
      </c>
      <c r="BC41" s="49" t="s">
        <v>140</v>
      </c>
      <c r="BD41" s="49" t="s">
        <v>191</v>
      </c>
      <c r="BE41" s="49" t="s">
        <v>249</v>
      </c>
      <c r="BF41" s="49" t="s">
        <v>402</v>
      </c>
      <c r="BG41" s="49" t="s">
        <v>138</v>
      </c>
      <c r="BH41" s="49" t="s">
        <v>139</v>
      </c>
      <c r="BI41" s="49" t="s">
        <v>134</v>
      </c>
      <c r="BJ41" s="49" t="s">
        <v>125</v>
      </c>
      <c r="BK41" s="49"/>
      <c r="BL41" s="49"/>
      <c r="BM41" s="49"/>
      <c r="BN41" s="49" t="s">
        <v>142</v>
      </c>
      <c r="BO41" s="49" t="s">
        <v>382</v>
      </c>
    </row>
    <row r="42" ht="16.8" customHeight="1">
      <c r="A42" s="43" t="s">
        <v>25</v>
      </c>
      <c r="B42" s="49" t="n">
        <v>32</v>
      </c>
      <c r="C42" s="49" t="s">
        <v>103</v>
      </c>
      <c r="D42" s="49" t="s">
        <v>104</v>
      </c>
      <c r="E42" s="49"/>
      <c r="F42" s="49" t="s">
        <v>290</v>
      </c>
      <c r="G42" s="49"/>
      <c r="H42" s="49" t="s">
        <v>291</v>
      </c>
      <c r="I42" s="79" t="s">
        <v>292</v>
      </c>
      <c r="J42" s="49"/>
      <c r="K42" s="49" t="s">
        <v>250</v>
      </c>
      <c r="L42" s="49" t="s">
        <v>10</v>
      </c>
      <c r="M42" s="49" t="s">
        <v>207</v>
      </c>
      <c r="N42" s="49" t="s">
        <v>293</v>
      </c>
      <c r="O42" s="49"/>
      <c r="P42" s="49"/>
      <c r="Q42" s="49"/>
      <c r="R42" s="49" t="s">
        <v>294</v>
      </c>
      <c r="S42" s="49" t="s">
        <v>10</v>
      </c>
      <c r="T42" s="49" t="s">
        <v>477</v>
      </c>
      <c r="U42" s="49" t="s">
        <v>115</v>
      </c>
      <c r="V42" s="49" t="s">
        <v>478</v>
      </c>
      <c r="W42" s="49" t="s">
        <v>117</v>
      </c>
      <c r="X42" s="49" t="s">
        <v>118</v>
      </c>
      <c r="Y42" s="49" t="s">
        <v>174</v>
      </c>
      <c r="Z42" s="49" t="s">
        <v>297</v>
      </c>
      <c r="AA42" s="49" t="s">
        <v>298</v>
      </c>
      <c r="AB42" s="49" t="s">
        <v>299</v>
      </c>
      <c r="AC42" s="49" t="s">
        <v>294</v>
      </c>
      <c r="AD42" s="49" t="n">
        <v>5519037</v>
      </c>
      <c r="AE42" s="49" t="s">
        <v>10</v>
      </c>
      <c r="AF42" s="49" t="s">
        <v>478</v>
      </c>
      <c r="AG42" s="49" t="s">
        <v>10</v>
      </c>
      <c r="AH42" s="49" t="s">
        <v>478</v>
      </c>
      <c r="AI42" s="49" t="s">
        <v>479</v>
      </c>
      <c r="AJ42" s="49" t="s">
        <v>480</v>
      </c>
      <c r="AK42" s="49" t="s">
        <v>124</v>
      </c>
      <c r="AL42" s="49" t="s">
        <v>125</v>
      </c>
      <c r="AM42" s="51" t="n">
        <v>3177.3</v>
      </c>
      <c r="AN42" s="49" t="s">
        <v>126</v>
      </c>
      <c r="AO42" s="49" t="s">
        <v>125</v>
      </c>
      <c r="AP42" s="49" t="s">
        <v>127</v>
      </c>
      <c r="AQ42" s="49" t="s">
        <v>221</v>
      </c>
      <c r="AR42" s="49" t="s">
        <v>280</v>
      </c>
      <c r="AS42" s="49" t="s">
        <v>303</v>
      </c>
      <c r="AT42" s="49" t="s">
        <v>481</v>
      </c>
      <c r="AU42" s="49" t="s">
        <v>482</v>
      </c>
      <c r="AV42" s="49"/>
      <c r="AW42" s="49" t="s">
        <v>483</v>
      </c>
      <c r="AX42" s="49"/>
      <c r="AY42" s="49"/>
      <c r="AZ42" s="49"/>
      <c r="BA42" s="49"/>
      <c r="BB42" s="49" t="n">
        <v>65132392</v>
      </c>
      <c r="BC42" s="49" t="s">
        <v>134</v>
      </c>
      <c r="BD42" s="49" t="s">
        <v>191</v>
      </c>
      <c r="BE42" s="49" t="s">
        <v>136</v>
      </c>
      <c r="BF42" s="49" t="s">
        <v>137</v>
      </c>
      <c r="BG42" s="49"/>
      <c r="BH42" s="49" t="s">
        <v>194</v>
      </c>
      <c r="BI42" s="49" t="s">
        <v>134</v>
      </c>
      <c r="BJ42" s="49" t="s">
        <v>125</v>
      </c>
      <c r="BK42" s="49"/>
      <c r="BL42" s="49" t="s">
        <v>286</v>
      </c>
      <c r="BM42" s="49"/>
      <c r="BN42" s="49" t="s">
        <v>142</v>
      </c>
      <c r="BO42" s="49"/>
    </row>
    <row r="43" ht="16.8" customHeight="1">
      <c r="A43" s="43" t="s">
        <v>25</v>
      </c>
      <c r="B43" s="49" t="n">
        <v>33</v>
      </c>
      <c r="C43" s="49" t="s">
        <v>103</v>
      </c>
      <c r="D43" s="49" t="s">
        <v>104</v>
      </c>
      <c r="E43" s="49"/>
      <c r="F43" s="49" t="s">
        <v>290</v>
      </c>
      <c r="G43" s="49"/>
      <c r="H43" s="49" t="s">
        <v>291</v>
      </c>
      <c r="I43" s="80" t="s">
        <v>292</v>
      </c>
      <c r="J43" s="49"/>
      <c r="K43" s="49" t="s">
        <v>250</v>
      </c>
      <c r="L43" s="49" t="s">
        <v>10</v>
      </c>
      <c r="M43" s="49" t="s">
        <v>207</v>
      </c>
      <c r="N43" s="49" t="s">
        <v>293</v>
      </c>
      <c r="O43" s="49"/>
      <c r="P43" s="49"/>
      <c r="Q43" s="49"/>
      <c r="R43" s="49" t="s">
        <v>294</v>
      </c>
      <c r="S43" s="49" t="s">
        <v>10</v>
      </c>
      <c r="T43" s="49" t="s">
        <v>477</v>
      </c>
      <c r="U43" s="49" t="s">
        <v>115</v>
      </c>
      <c r="V43" s="49" t="s">
        <v>478</v>
      </c>
      <c r="W43" s="49" t="s">
        <v>117</v>
      </c>
      <c r="X43" s="49" t="s">
        <v>118</v>
      </c>
      <c r="Y43" s="49" t="s">
        <v>174</v>
      </c>
      <c r="Z43" s="49" t="s">
        <v>297</v>
      </c>
      <c r="AA43" s="49" t="s">
        <v>298</v>
      </c>
      <c r="AB43" s="49" t="s">
        <v>299</v>
      </c>
      <c r="AC43" s="49" t="s">
        <v>294</v>
      </c>
      <c r="AD43" s="49" t="n">
        <v>5519037</v>
      </c>
      <c r="AE43" s="49" t="s">
        <v>10</v>
      </c>
      <c r="AF43" s="49" t="s">
        <v>478</v>
      </c>
      <c r="AG43" s="49" t="s">
        <v>10</v>
      </c>
      <c r="AH43" s="49" t="s">
        <v>478</v>
      </c>
      <c r="AI43" s="49" t="s">
        <v>484</v>
      </c>
      <c r="AJ43" s="49" t="s">
        <v>485</v>
      </c>
      <c r="AK43" s="49" t="s">
        <v>124</v>
      </c>
      <c r="AL43" s="49" t="s">
        <v>125</v>
      </c>
      <c r="AM43" s="51" t="n">
        <v>5083.7</v>
      </c>
      <c r="AN43" s="49" t="s">
        <v>126</v>
      </c>
      <c r="AO43" s="49" t="s">
        <v>125</v>
      </c>
      <c r="AP43" s="49" t="s">
        <v>127</v>
      </c>
      <c r="AQ43" s="49" t="s">
        <v>221</v>
      </c>
      <c r="AR43" s="49" t="s">
        <v>129</v>
      </c>
      <c r="AS43" s="49" t="s">
        <v>303</v>
      </c>
      <c r="AT43" s="49" t="s">
        <v>486</v>
      </c>
      <c r="AU43" s="49" t="s">
        <v>487</v>
      </c>
      <c r="AV43" s="49"/>
      <c r="AW43" s="49" t="s">
        <v>483</v>
      </c>
      <c r="AX43" s="49"/>
      <c r="AY43" s="49"/>
      <c r="AZ43" s="49"/>
      <c r="BA43" s="49"/>
      <c r="BB43" s="49" t="n">
        <v>65132392</v>
      </c>
      <c r="BC43" s="49" t="s">
        <v>134</v>
      </c>
      <c r="BD43" s="49" t="s">
        <v>191</v>
      </c>
      <c r="BE43" s="49" t="s">
        <v>136</v>
      </c>
      <c r="BF43" s="49" t="s">
        <v>137</v>
      </c>
      <c r="BG43" s="49"/>
      <c r="BH43" s="49" t="s">
        <v>194</v>
      </c>
      <c r="BI43" s="49" t="s">
        <v>134</v>
      </c>
      <c r="BJ43" s="49" t="s">
        <v>125</v>
      </c>
      <c r="BK43" s="49"/>
      <c r="BL43" s="49" t="s">
        <v>286</v>
      </c>
      <c r="BM43" s="49"/>
      <c r="BN43" s="49" t="s">
        <v>142</v>
      </c>
      <c r="BO43" s="49"/>
    </row>
    <row r="44" ht="16.8" customHeight="1">
      <c r="A44" s="43" t="s">
        <v>38</v>
      </c>
      <c r="B44" s="49" t="n">
        <v>34</v>
      </c>
      <c r="C44" s="49" t="s">
        <v>103</v>
      </c>
      <c r="D44" s="49" t="s">
        <v>104</v>
      </c>
      <c r="E44" s="49"/>
      <c r="F44" s="49" t="s">
        <v>488</v>
      </c>
      <c r="G44" s="49"/>
      <c r="H44" s="49" t="s">
        <v>489</v>
      </c>
      <c r="I44" s="81" t="s">
        <v>490</v>
      </c>
      <c r="J44" s="49" t="s">
        <v>491</v>
      </c>
      <c r="K44" s="49"/>
      <c r="L44" s="49" t="s">
        <v>14</v>
      </c>
      <c r="M44" s="49" t="s">
        <v>207</v>
      </c>
      <c r="N44" s="49" t="s">
        <v>492</v>
      </c>
      <c r="O44" s="49"/>
      <c r="P44" s="49"/>
      <c r="Q44" s="49"/>
      <c r="R44" s="49" t="s">
        <v>493</v>
      </c>
      <c r="S44" s="49" t="s">
        <v>14</v>
      </c>
      <c r="T44" s="49" t="s">
        <v>494</v>
      </c>
      <c r="U44" s="49" t="s">
        <v>115</v>
      </c>
      <c r="V44" s="49" t="s">
        <v>495</v>
      </c>
      <c r="W44" s="49" t="s">
        <v>117</v>
      </c>
      <c r="X44" s="49" t="s">
        <v>180</v>
      </c>
      <c r="Y44" s="49" t="s">
        <v>214</v>
      </c>
      <c r="Z44" s="49" t="s">
        <v>274</v>
      </c>
      <c r="AA44" s="49" t="s">
        <v>496</v>
      </c>
      <c r="AB44" s="49" t="s">
        <v>497</v>
      </c>
      <c r="AC44" s="49" t="s">
        <v>493</v>
      </c>
      <c r="AD44" s="49" t="n">
        <v>5453615</v>
      </c>
      <c r="AE44" s="49" t="s">
        <v>14</v>
      </c>
      <c r="AF44" s="49" t="s">
        <v>498</v>
      </c>
      <c r="AG44" s="49" t="s">
        <v>14</v>
      </c>
      <c r="AH44" s="49" t="s">
        <v>499</v>
      </c>
      <c r="AI44" s="49" t="s">
        <v>500</v>
      </c>
      <c r="AJ44" s="50" t="s">
        <v>501</v>
      </c>
      <c r="AK44" s="49" t="s">
        <v>124</v>
      </c>
      <c r="AL44" s="49" t="s">
        <v>125</v>
      </c>
      <c r="AM44" s="51" t="n">
        <v>5941.5</v>
      </c>
      <c r="AN44" s="49"/>
      <c r="AO44" s="49" t="s">
        <v>125</v>
      </c>
      <c r="AP44" s="49" t="s">
        <v>127</v>
      </c>
      <c r="AQ44" s="49" t="s">
        <v>221</v>
      </c>
      <c r="AR44" s="49"/>
      <c r="AS44" s="49"/>
      <c r="AT44" s="49"/>
      <c r="AU44" s="49" t="s">
        <v>482</v>
      </c>
      <c r="AV44" s="49"/>
      <c r="AW44" s="49" t="s">
        <v>502</v>
      </c>
      <c r="AX44" s="49"/>
      <c r="AY44" s="49"/>
      <c r="AZ44" s="49"/>
      <c r="BA44" s="49" t="s">
        <v>248</v>
      </c>
      <c r="BB44" s="49" t="n">
        <v>80249839</v>
      </c>
      <c r="BC44" s="49" t="s">
        <v>140</v>
      </c>
      <c r="BD44" s="49" t="s">
        <v>191</v>
      </c>
      <c r="BE44" s="49" t="s">
        <v>285</v>
      </c>
      <c r="BF44" s="49" t="s">
        <v>267</v>
      </c>
      <c r="BG44" s="49"/>
      <c r="BH44" s="49" t="s">
        <v>194</v>
      </c>
      <c r="BI44" s="49" t="s">
        <v>134</v>
      </c>
      <c r="BJ44" s="49" t="s">
        <v>125</v>
      </c>
      <c r="BK44" s="49"/>
      <c r="BL44" s="49"/>
      <c r="BM44" s="49" t="n">
        <v>110549227</v>
      </c>
      <c r="BN44" s="49" t="s">
        <v>142</v>
      </c>
      <c r="BO44" s="49"/>
    </row>
    <row r="45" ht="16.8" customHeight="1">
      <c r="A45" s="43" t="s">
        <v>25</v>
      </c>
      <c r="B45" s="49" t="n">
        <v>35</v>
      </c>
      <c r="C45" s="49" t="s">
        <v>103</v>
      </c>
      <c r="D45" s="49" t="s">
        <v>104</v>
      </c>
      <c r="E45" s="49" t="s">
        <v>503</v>
      </c>
      <c r="F45" s="49" t="s">
        <v>504</v>
      </c>
      <c r="G45" s="49" t="s">
        <v>505</v>
      </c>
      <c r="H45" s="49" t="s">
        <v>506</v>
      </c>
      <c r="I45" s="49" t="s">
        <v>125</v>
      </c>
      <c r="J45" s="49" t="s">
        <v>125</v>
      </c>
      <c r="K45" s="49" t="s">
        <v>214</v>
      </c>
      <c r="L45" s="49" t="s">
        <v>505</v>
      </c>
      <c r="M45" s="49" t="s">
        <v>507</v>
      </c>
      <c r="N45" s="49" t="s">
        <v>507</v>
      </c>
      <c r="O45" s="49" t="s">
        <v>125</v>
      </c>
      <c r="P45" s="49" t="s">
        <v>505</v>
      </c>
      <c r="Q45" s="49" t="s">
        <v>508</v>
      </c>
      <c r="R45" s="49" t="s">
        <v>503</v>
      </c>
      <c r="S45" s="49" t="s">
        <v>509</v>
      </c>
      <c r="T45" s="49" t="s">
        <v>510</v>
      </c>
      <c r="U45" s="49" t="s">
        <v>178</v>
      </c>
      <c r="V45" s="49" t="s">
        <v>511</v>
      </c>
      <c r="W45" s="49" t="s">
        <v>117</v>
      </c>
      <c r="X45" s="49" t="s">
        <v>238</v>
      </c>
      <c r="Y45" s="49" t="s">
        <v>214</v>
      </c>
      <c r="Z45" s="49" t="s">
        <v>259</v>
      </c>
      <c r="AA45" s="49" t="s">
        <v>512</v>
      </c>
      <c r="AB45" s="49" t="s">
        <v>513</v>
      </c>
      <c r="AC45" s="49" t="s">
        <v>503</v>
      </c>
      <c r="AD45" s="49" t="n">
        <v>5414954</v>
      </c>
      <c r="AE45" s="49" t="s">
        <v>14</v>
      </c>
      <c r="AF45" s="49" t="s">
        <v>514</v>
      </c>
      <c r="AG45" s="49" t="s">
        <v>509</v>
      </c>
      <c r="AH45" s="49" t="s">
        <v>515</v>
      </c>
      <c r="AI45" s="49"/>
      <c r="AJ45" s="49"/>
      <c r="AK45" s="49" t="s">
        <v>124</v>
      </c>
      <c r="AL45" s="49" t="s">
        <v>125</v>
      </c>
      <c r="AM45" s="51" t="n">
        <v>4232</v>
      </c>
      <c r="AN45" s="49"/>
      <c r="AO45" s="49" t="s">
        <v>125</v>
      </c>
      <c r="AP45" s="49" t="s">
        <v>220</v>
      </c>
      <c r="AQ45" s="49" t="s">
        <v>221</v>
      </c>
      <c r="AR45" s="49"/>
      <c r="AS45" s="49"/>
      <c r="AT45" s="49"/>
      <c r="AU45" s="49"/>
      <c r="AV45" s="49"/>
      <c r="AW45" s="49" t="s">
        <v>516</v>
      </c>
      <c r="AX45" s="49"/>
      <c r="AY45" s="49"/>
      <c r="AZ45" s="49"/>
      <c r="BA45" s="49"/>
      <c r="BB45" s="49" t="n">
        <v>81747257</v>
      </c>
      <c r="BC45" s="49" t="s">
        <v>134</v>
      </c>
      <c r="BD45" s="49" t="s">
        <v>191</v>
      </c>
      <c r="BE45" s="49" t="s">
        <v>249</v>
      </c>
      <c r="BF45" s="49" t="s">
        <v>402</v>
      </c>
      <c r="BG45" s="49" t="s">
        <v>138</v>
      </c>
      <c r="BH45" s="49" t="s">
        <v>194</v>
      </c>
      <c r="BI45" s="49" t="s">
        <v>134</v>
      </c>
      <c r="BJ45" s="49" t="s">
        <v>125</v>
      </c>
      <c r="BK45" s="49"/>
      <c r="BL45" s="49"/>
      <c r="BM45" s="49"/>
      <c r="BN45" s="49"/>
      <c r="BO45" s="49" t="s">
        <v>196</v>
      </c>
    </row>
    <row r="46" ht="16.8" customHeight="1">
      <c r="A46" s="43" t="s">
        <v>38</v>
      </c>
      <c r="B46" s="49" t="n">
        <v>36</v>
      </c>
      <c r="C46" s="49" t="s">
        <v>103</v>
      </c>
      <c r="D46" s="49" t="s">
        <v>104</v>
      </c>
      <c r="E46" s="49" t="s">
        <v>517</v>
      </c>
      <c r="F46" s="49" t="s">
        <v>518</v>
      </c>
      <c r="G46" s="49" t="s">
        <v>519</v>
      </c>
      <c r="H46" s="49" t="s">
        <v>520</v>
      </c>
      <c r="I46" s="49" t="s">
        <v>521</v>
      </c>
      <c r="J46" s="49" t="s">
        <v>125</v>
      </c>
      <c r="K46" s="49" t="s">
        <v>214</v>
      </c>
      <c r="L46" s="49" t="s">
        <v>171</v>
      </c>
      <c r="M46" s="49" t="s">
        <v>325</v>
      </c>
      <c r="N46" s="49" t="s">
        <v>326</v>
      </c>
      <c r="O46" s="49" t="s">
        <v>125</v>
      </c>
      <c r="P46" s="49" t="s">
        <v>171</v>
      </c>
      <c r="Q46" s="49" t="s">
        <v>522</v>
      </c>
      <c r="R46" s="49" t="s">
        <v>523</v>
      </c>
      <c r="S46" s="49" t="s">
        <v>14</v>
      </c>
      <c r="T46" s="49" t="s">
        <v>524</v>
      </c>
      <c r="U46" s="49" t="s">
        <v>178</v>
      </c>
      <c r="V46" s="49" t="s">
        <v>525</v>
      </c>
      <c r="W46" s="49" t="s">
        <v>117</v>
      </c>
      <c r="X46" s="49" t="s">
        <v>238</v>
      </c>
      <c r="Y46" s="49" t="s">
        <v>174</v>
      </c>
      <c r="Z46" s="49" t="s">
        <v>526</v>
      </c>
      <c r="AA46" s="49" t="s">
        <v>527</v>
      </c>
      <c r="AB46" s="49" t="s">
        <v>528</v>
      </c>
      <c r="AC46" s="49" t="s">
        <v>523</v>
      </c>
      <c r="AD46" s="49" t="n">
        <v>5414774</v>
      </c>
      <c r="AE46" s="49" t="s">
        <v>14</v>
      </c>
      <c r="AF46" s="49" t="s">
        <v>529</v>
      </c>
      <c r="AG46" s="49" t="s">
        <v>14</v>
      </c>
      <c r="AH46" s="49" t="s">
        <v>529</v>
      </c>
      <c r="AI46" s="49" t="s">
        <v>530</v>
      </c>
      <c r="AJ46" s="50" t="s">
        <v>531</v>
      </c>
      <c r="AK46" s="49" t="s">
        <v>124</v>
      </c>
      <c r="AL46" s="49" t="s">
        <v>125</v>
      </c>
      <c r="AM46" s="51" t="n">
        <v>10931</v>
      </c>
      <c r="AN46" s="49"/>
      <c r="AO46" s="49" t="s">
        <v>125</v>
      </c>
      <c r="AP46" s="49" t="s">
        <v>187</v>
      </c>
      <c r="AQ46" s="49" t="s">
        <v>221</v>
      </c>
      <c r="AR46" s="49"/>
      <c r="AS46" s="49"/>
      <c r="AT46" s="49"/>
      <c r="AU46" s="49" t="s">
        <v>482</v>
      </c>
      <c r="AV46" s="49"/>
      <c r="AW46" s="49" t="s">
        <v>532</v>
      </c>
      <c r="AX46" s="49"/>
      <c r="AY46" s="49"/>
      <c r="AZ46" s="49"/>
      <c r="BA46" s="49" t="s">
        <v>360</v>
      </c>
      <c r="BB46" s="49" t="n">
        <v>80468395</v>
      </c>
      <c r="BC46" s="49" t="s">
        <v>140</v>
      </c>
      <c r="BD46" s="49" t="s">
        <v>191</v>
      </c>
      <c r="BE46" s="49" t="s">
        <v>249</v>
      </c>
      <c r="BF46" s="49" t="s">
        <v>533</v>
      </c>
      <c r="BG46" s="49" t="s">
        <v>138</v>
      </c>
      <c r="BH46" s="49" t="s">
        <v>534</v>
      </c>
      <c r="BI46" s="49" t="s">
        <v>134</v>
      </c>
      <c r="BJ46" s="49" t="s">
        <v>125</v>
      </c>
      <c r="BK46" s="49"/>
      <c r="BL46" s="49"/>
      <c r="BM46" s="49" t="n">
        <v>109081890</v>
      </c>
      <c r="BN46" s="49" t="s">
        <v>142</v>
      </c>
      <c r="BO46" s="49"/>
    </row>
    <row r="47" ht="16.8" customHeight="1">
      <c r="A47" s="43" t="s">
        <v>25</v>
      </c>
      <c r="B47" s="49" t="n">
        <v>37</v>
      </c>
      <c r="C47" s="49" t="s">
        <v>103</v>
      </c>
      <c r="D47" s="49" t="s">
        <v>104</v>
      </c>
      <c r="E47" s="49"/>
      <c r="F47" s="49" t="s">
        <v>535</v>
      </c>
      <c r="G47" s="49"/>
      <c r="H47" s="49" t="s">
        <v>536</v>
      </c>
      <c r="I47" s="49" t="s">
        <v>537</v>
      </c>
      <c r="J47" s="49" t="s">
        <v>125</v>
      </c>
      <c r="K47" s="49" t="s">
        <v>250</v>
      </c>
      <c r="L47" s="49" t="s">
        <v>14</v>
      </c>
      <c r="M47" s="49" t="s">
        <v>507</v>
      </c>
      <c r="N47" s="49" t="s">
        <v>507</v>
      </c>
      <c r="O47" s="49"/>
      <c r="P47" s="49"/>
      <c r="Q47" s="49"/>
      <c r="R47" s="49" t="s">
        <v>538</v>
      </c>
      <c r="S47" s="49" t="s">
        <v>14</v>
      </c>
      <c r="T47" s="49" t="s">
        <v>539</v>
      </c>
      <c r="U47" s="49" t="s">
        <v>115</v>
      </c>
      <c r="V47" s="49" t="s">
        <v>540</v>
      </c>
      <c r="W47" s="49" t="s">
        <v>117</v>
      </c>
      <c r="X47" s="49" t="s">
        <v>312</v>
      </c>
      <c r="Y47" s="49" t="s">
        <v>239</v>
      </c>
      <c r="Z47" s="49" t="s">
        <v>541</v>
      </c>
      <c r="AA47" s="49" t="s">
        <v>456</v>
      </c>
      <c r="AB47" s="49" t="s">
        <v>457</v>
      </c>
      <c r="AC47" s="49" t="s">
        <v>538</v>
      </c>
      <c r="AD47" s="49" t="n">
        <v>5452254</v>
      </c>
      <c r="AE47" s="49" t="s">
        <v>14</v>
      </c>
      <c r="AF47" s="49" t="s">
        <v>542</v>
      </c>
      <c r="AG47" s="49" t="s">
        <v>14</v>
      </c>
      <c r="AH47" s="49" t="s">
        <v>543</v>
      </c>
      <c r="AI47" s="49" t="s">
        <v>544</v>
      </c>
      <c r="AJ47" s="49" t="s">
        <v>545</v>
      </c>
      <c r="AK47" s="49" t="s">
        <v>124</v>
      </c>
      <c r="AL47" s="49" t="s">
        <v>125</v>
      </c>
      <c r="AM47" s="51" t="n">
        <v>10500</v>
      </c>
      <c r="AN47" s="49"/>
      <c r="AO47" s="49" t="s">
        <v>125</v>
      </c>
      <c r="AP47" s="49" t="s">
        <v>127</v>
      </c>
      <c r="AQ47" s="49" t="s">
        <v>128</v>
      </c>
      <c r="AR47" s="49" t="s">
        <v>280</v>
      </c>
      <c r="AS47" s="49" t="s">
        <v>546</v>
      </c>
      <c r="AT47" s="49"/>
      <c r="AU47" s="49" t="s">
        <v>547</v>
      </c>
      <c r="AV47" s="49"/>
      <c r="AW47" s="49" t="s">
        <v>548</v>
      </c>
      <c r="AX47" s="49"/>
      <c r="AY47" s="49"/>
      <c r="AZ47" s="49"/>
      <c r="BA47" s="49"/>
      <c r="BB47" s="49" t="n">
        <v>67283110</v>
      </c>
      <c r="BC47" s="49" t="s">
        <v>134</v>
      </c>
      <c r="BD47" s="49" t="s">
        <v>191</v>
      </c>
      <c r="BE47" s="49" t="s">
        <v>549</v>
      </c>
      <c r="BF47" s="49" t="s">
        <v>402</v>
      </c>
      <c r="BG47" s="49"/>
      <c r="BH47" s="49" t="s">
        <v>139</v>
      </c>
      <c r="BI47" s="49" t="s">
        <v>140</v>
      </c>
      <c r="BJ47" s="49" t="s">
        <v>125</v>
      </c>
      <c r="BK47" s="49"/>
      <c r="BL47" s="49"/>
      <c r="BM47" s="49"/>
      <c r="BN47" s="49"/>
      <c r="BO47" s="49"/>
    </row>
    <row r="48" ht="16.8" customHeight="1">
      <c r="A48" s="43" t="s">
        <v>38</v>
      </c>
      <c r="B48" s="49" t="n">
        <v>38</v>
      </c>
      <c r="C48" s="49" t="s">
        <v>103</v>
      </c>
      <c r="D48" s="49" t="s">
        <v>104</v>
      </c>
      <c r="E48" s="49" t="s">
        <v>550</v>
      </c>
      <c r="F48" s="49" t="s">
        <v>551</v>
      </c>
      <c r="G48" s="49" t="s">
        <v>252</v>
      </c>
      <c r="H48" s="49" t="s">
        <v>552</v>
      </c>
      <c r="I48" s="82" t="s">
        <v>553</v>
      </c>
      <c r="J48" s="49" t="s">
        <v>125</v>
      </c>
      <c r="K48" s="49" t="s">
        <v>250</v>
      </c>
      <c r="L48" s="49" t="s">
        <v>14</v>
      </c>
      <c r="M48" s="49" t="s">
        <v>111</v>
      </c>
      <c r="N48" s="49" t="s">
        <v>554</v>
      </c>
      <c r="O48" s="49" t="s">
        <v>555</v>
      </c>
      <c r="P48" s="49"/>
      <c r="Q48" s="49"/>
      <c r="R48" s="49" t="s">
        <v>550</v>
      </c>
      <c r="S48" s="49" t="s">
        <v>14</v>
      </c>
      <c r="T48" s="49" t="s">
        <v>556</v>
      </c>
      <c r="U48" s="49" t="s">
        <v>178</v>
      </c>
      <c r="V48" s="49" t="s">
        <v>557</v>
      </c>
      <c r="W48" s="49" t="s">
        <v>117</v>
      </c>
      <c r="X48" s="49" t="s">
        <v>238</v>
      </c>
      <c r="Y48" s="49" t="s">
        <v>206</v>
      </c>
      <c r="Z48" s="49" t="s">
        <v>558</v>
      </c>
      <c r="AA48" s="49" t="s">
        <v>559</v>
      </c>
      <c r="AB48" s="49" t="s">
        <v>560</v>
      </c>
      <c r="AC48" s="49" t="s">
        <v>550</v>
      </c>
      <c r="AD48" s="49" t="n">
        <v>5451463</v>
      </c>
      <c r="AE48" s="49" t="s">
        <v>14</v>
      </c>
      <c r="AF48" s="49" t="s">
        <v>561</v>
      </c>
      <c r="AG48" s="49" t="s">
        <v>14</v>
      </c>
      <c r="AH48" s="49" t="s">
        <v>562</v>
      </c>
      <c r="AI48" s="49" t="s">
        <v>563</v>
      </c>
      <c r="AJ48" s="50" t="s">
        <v>564</v>
      </c>
      <c r="AK48" s="49" t="s">
        <v>124</v>
      </c>
      <c r="AL48" s="49" t="s">
        <v>125</v>
      </c>
      <c r="AM48" s="51" t="n">
        <v>18805.6</v>
      </c>
      <c r="AN48" s="49"/>
      <c r="AO48" s="49" t="s">
        <v>555</v>
      </c>
      <c r="AP48" s="49" t="s">
        <v>187</v>
      </c>
      <c r="AQ48" s="49" t="s">
        <v>221</v>
      </c>
      <c r="AR48" s="49"/>
      <c r="AS48" s="49"/>
      <c r="AT48" s="49"/>
      <c r="AU48" s="49" t="s">
        <v>565</v>
      </c>
      <c r="AV48" s="49"/>
      <c r="AW48" s="49" t="s">
        <v>566</v>
      </c>
      <c r="AX48" s="49"/>
      <c r="AY48" s="49"/>
      <c r="AZ48" s="49"/>
      <c r="BA48" s="49" t="s">
        <v>360</v>
      </c>
      <c r="BB48" s="49" t="n">
        <v>81570635</v>
      </c>
      <c r="BC48" s="49" t="s">
        <v>140</v>
      </c>
      <c r="BD48" s="49" t="s">
        <v>135</v>
      </c>
      <c r="BE48" s="49" t="s">
        <v>567</v>
      </c>
      <c r="BF48" s="49" t="s">
        <v>533</v>
      </c>
      <c r="BG48" s="49" t="s">
        <v>138</v>
      </c>
      <c r="BH48" s="49" t="s">
        <v>139</v>
      </c>
      <c r="BI48" s="49" t="s">
        <v>134</v>
      </c>
      <c r="BJ48" s="49" t="s">
        <v>125</v>
      </c>
      <c r="BK48" s="49"/>
      <c r="BL48" s="49"/>
      <c r="BM48" s="49" t="n">
        <v>110538582</v>
      </c>
      <c r="BN48" s="49" t="s">
        <v>227</v>
      </c>
      <c r="BO48" s="49" t="s">
        <v>196</v>
      </c>
    </row>
    <row r="49" ht="16.8" customHeight="1">
      <c r="A49" s="43" t="s">
        <v>38</v>
      </c>
      <c r="B49" s="49" t="n">
        <v>39</v>
      </c>
      <c r="C49" s="49" t="s">
        <v>103</v>
      </c>
      <c r="D49" s="49" t="s">
        <v>104</v>
      </c>
      <c r="E49" s="49" t="s">
        <v>550</v>
      </c>
      <c r="F49" s="49" t="s">
        <v>551</v>
      </c>
      <c r="G49" s="49" t="s">
        <v>252</v>
      </c>
      <c r="H49" s="49" t="s">
        <v>552</v>
      </c>
      <c r="I49" s="83" t="s">
        <v>553</v>
      </c>
      <c r="J49" s="49" t="s">
        <v>125</v>
      </c>
      <c r="K49" s="49" t="s">
        <v>250</v>
      </c>
      <c r="L49" s="49" t="s">
        <v>14</v>
      </c>
      <c r="M49" s="49" t="s">
        <v>111</v>
      </c>
      <c r="N49" s="49" t="s">
        <v>554</v>
      </c>
      <c r="O49" s="49" t="s">
        <v>555</v>
      </c>
      <c r="P49" s="49"/>
      <c r="Q49" s="49"/>
      <c r="R49" s="49" t="s">
        <v>550</v>
      </c>
      <c r="S49" s="49" t="s">
        <v>14</v>
      </c>
      <c r="T49" s="49" t="s">
        <v>556</v>
      </c>
      <c r="U49" s="49" t="s">
        <v>178</v>
      </c>
      <c r="V49" s="49" t="s">
        <v>557</v>
      </c>
      <c r="W49" s="49" t="s">
        <v>117</v>
      </c>
      <c r="X49" s="49" t="s">
        <v>238</v>
      </c>
      <c r="Y49" s="49" t="s">
        <v>206</v>
      </c>
      <c r="Z49" s="49" t="s">
        <v>558</v>
      </c>
      <c r="AA49" s="49" t="s">
        <v>559</v>
      </c>
      <c r="AB49" s="49" t="s">
        <v>560</v>
      </c>
      <c r="AC49" s="49" t="s">
        <v>550</v>
      </c>
      <c r="AD49" s="49" t="n">
        <v>5451463</v>
      </c>
      <c r="AE49" s="49" t="s">
        <v>14</v>
      </c>
      <c r="AF49" s="49" t="s">
        <v>561</v>
      </c>
      <c r="AG49" s="49" t="s">
        <v>14</v>
      </c>
      <c r="AH49" s="49" t="s">
        <v>562</v>
      </c>
      <c r="AI49" s="49" t="s">
        <v>568</v>
      </c>
      <c r="AJ49" s="50" t="s">
        <v>569</v>
      </c>
      <c r="AK49" s="49" t="s">
        <v>124</v>
      </c>
      <c r="AL49" s="49" t="s">
        <v>125</v>
      </c>
      <c r="AM49" s="51" t="n">
        <v>11160</v>
      </c>
      <c r="AN49" s="49"/>
      <c r="AO49" s="49" t="s">
        <v>555</v>
      </c>
      <c r="AP49" s="49" t="s">
        <v>187</v>
      </c>
      <c r="AQ49" s="49" t="s">
        <v>221</v>
      </c>
      <c r="AR49" s="49"/>
      <c r="AS49" s="49"/>
      <c r="AT49" s="49"/>
      <c r="AU49" s="49" t="s">
        <v>565</v>
      </c>
      <c r="AV49" s="49"/>
      <c r="AW49" s="49" t="s">
        <v>566</v>
      </c>
      <c r="AX49" s="49"/>
      <c r="AY49" s="49"/>
      <c r="AZ49" s="49"/>
      <c r="BA49" s="49" t="s">
        <v>248</v>
      </c>
      <c r="BB49" s="49" t="n">
        <v>81570635</v>
      </c>
      <c r="BC49" s="49" t="s">
        <v>140</v>
      </c>
      <c r="BD49" s="49" t="s">
        <v>135</v>
      </c>
      <c r="BE49" s="49" t="s">
        <v>567</v>
      </c>
      <c r="BF49" s="49" t="s">
        <v>533</v>
      </c>
      <c r="BG49" s="49" t="s">
        <v>138</v>
      </c>
      <c r="BH49" s="49" t="s">
        <v>139</v>
      </c>
      <c r="BI49" s="49" t="s">
        <v>134</v>
      </c>
      <c r="BJ49" s="49" t="s">
        <v>125</v>
      </c>
      <c r="BK49" s="49"/>
      <c r="BL49" s="49"/>
      <c r="BM49" s="49" t="n">
        <v>110538582</v>
      </c>
      <c r="BN49" s="49" t="s">
        <v>227</v>
      </c>
      <c r="BO49" s="49" t="s">
        <v>196</v>
      </c>
    </row>
    <row r="50" ht="16.8" customHeight="1">
      <c r="A50" s="43" t="s">
        <v>38</v>
      </c>
      <c r="B50" s="49" t="n">
        <v>40</v>
      </c>
      <c r="C50" s="49" t="s">
        <v>103</v>
      </c>
      <c r="D50" s="49" t="s">
        <v>104</v>
      </c>
      <c r="E50" s="49" t="s">
        <v>570</v>
      </c>
      <c r="F50" s="49" t="s">
        <v>571</v>
      </c>
      <c r="G50" s="49" t="s">
        <v>230</v>
      </c>
      <c r="H50" s="49" t="s">
        <v>572</v>
      </c>
      <c r="I50" s="84" t="s">
        <v>573</v>
      </c>
      <c r="J50" s="49" t="s">
        <v>574</v>
      </c>
      <c r="K50" s="49"/>
      <c r="L50" s="49" t="s">
        <v>14</v>
      </c>
      <c r="M50" s="49" t="s">
        <v>207</v>
      </c>
      <c r="N50" s="49" t="s">
        <v>234</v>
      </c>
      <c r="O50" s="49" t="s">
        <v>125</v>
      </c>
      <c r="P50" s="49"/>
      <c r="Q50" s="49"/>
      <c r="R50" s="49" t="s">
        <v>575</v>
      </c>
      <c r="S50" s="49" t="s">
        <v>14</v>
      </c>
      <c r="T50" s="49" t="s">
        <v>576</v>
      </c>
      <c r="U50" s="49" t="s">
        <v>178</v>
      </c>
      <c r="V50" s="49" t="s">
        <v>577</v>
      </c>
      <c r="W50" s="49" t="s">
        <v>117</v>
      </c>
      <c r="X50" s="49" t="s">
        <v>238</v>
      </c>
      <c r="Y50" s="49" t="s">
        <v>206</v>
      </c>
      <c r="Z50" s="49" t="s">
        <v>392</v>
      </c>
      <c r="AA50" s="49" t="s">
        <v>578</v>
      </c>
      <c r="AB50" s="49" t="s">
        <v>579</v>
      </c>
      <c r="AC50" s="49" t="s">
        <v>575</v>
      </c>
      <c r="AD50" s="49" t="n">
        <v>5474503</v>
      </c>
      <c r="AE50" s="49" t="s">
        <v>14</v>
      </c>
      <c r="AF50" s="49" t="s">
        <v>580</v>
      </c>
      <c r="AG50" s="49" t="s">
        <v>14</v>
      </c>
      <c r="AH50" s="49" t="s">
        <v>580</v>
      </c>
      <c r="AI50" s="49" t="s">
        <v>581</v>
      </c>
      <c r="AJ50" s="50" t="s">
        <v>582</v>
      </c>
      <c r="AK50" s="49" t="s">
        <v>124</v>
      </c>
      <c r="AL50" s="49" t="s">
        <v>125</v>
      </c>
      <c r="AM50" s="51" t="n">
        <v>3348.5</v>
      </c>
      <c r="AN50" s="49"/>
      <c r="AO50" s="49" t="s">
        <v>125</v>
      </c>
      <c r="AP50" s="49" t="s">
        <v>187</v>
      </c>
      <c r="AQ50" s="49" t="s">
        <v>221</v>
      </c>
      <c r="AR50" s="49"/>
      <c r="AS50" s="49"/>
      <c r="AT50" s="49"/>
      <c r="AU50" s="49" t="s">
        <v>583</v>
      </c>
      <c r="AV50" s="49"/>
      <c r="AW50" s="49" t="s">
        <v>584</v>
      </c>
      <c r="AX50" s="49"/>
      <c r="AY50" s="49"/>
      <c r="AZ50" s="49"/>
      <c r="BA50" s="49" t="s">
        <v>585</v>
      </c>
      <c r="BB50" s="49" t="n">
        <v>67544838</v>
      </c>
      <c r="BC50" s="49" t="s">
        <v>140</v>
      </c>
      <c r="BD50" s="49" t="s">
        <v>191</v>
      </c>
      <c r="BE50" s="49" t="s">
        <v>337</v>
      </c>
      <c r="BF50" s="49" t="s">
        <v>193</v>
      </c>
      <c r="BG50" s="49" t="s">
        <v>138</v>
      </c>
      <c r="BH50" s="49" t="s">
        <v>194</v>
      </c>
      <c r="BI50" s="49" t="s">
        <v>134</v>
      </c>
      <c r="BJ50" s="49" t="s">
        <v>125</v>
      </c>
      <c r="BK50" s="49"/>
      <c r="BL50" s="49"/>
      <c r="BM50" s="49" t="n">
        <v>110512915</v>
      </c>
      <c r="BN50" s="49" t="s">
        <v>142</v>
      </c>
      <c r="BO50" s="49" t="s">
        <v>208</v>
      </c>
    </row>
    <row r="51" ht="16.8" customHeight="1">
      <c r="A51" s="43" t="s">
        <v>38</v>
      </c>
      <c r="B51" s="49" t="n">
        <v>41</v>
      </c>
      <c r="C51" s="49" t="s">
        <v>103</v>
      </c>
      <c r="D51" s="49" t="s">
        <v>104</v>
      </c>
      <c r="E51" s="49" t="s">
        <v>586</v>
      </c>
      <c r="F51" s="49" t="s">
        <v>587</v>
      </c>
      <c r="G51" s="49" t="s">
        <v>588</v>
      </c>
      <c r="H51" s="49" t="s">
        <v>589</v>
      </c>
      <c r="I51" s="49" t="s">
        <v>590</v>
      </c>
      <c r="J51" s="49" t="s">
        <v>125</v>
      </c>
      <c r="K51" s="49" t="s">
        <v>206</v>
      </c>
      <c r="L51" s="49" t="s">
        <v>588</v>
      </c>
      <c r="M51" s="49" t="s">
        <v>591</v>
      </c>
      <c r="N51" s="49" t="s">
        <v>592</v>
      </c>
      <c r="O51" s="49" t="s">
        <v>125</v>
      </c>
      <c r="P51" s="49" t="s">
        <v>588</v>
      </c>
      <c r="Q51" s="49" t="s">
        <v>593</v>
      </c>
      <c r="R51" s="49" t="s">
        <v>586</v>
      </c>
      <c r="S51" s="49" t="s">
        <v>10</v>
      </c>
      <c r="T51" s="49" t="s">
        <v>594</v>
      </c>
      <c r="U51" s="49" t="s">
        <v>178</v>
      </c>
      <c r="V51" s="49" t="s">
        <v>595</v>
      </c>
      <c r="W51" s="49" t="s">
        <v>117</v>
      </c>
      <c r="X51" s="49" t="s">
        <v>238</v>
      </c>
      <c r="Y51" s="49" t="s">
        <v>206</v>
      </c>
      <c r="Z51" s="49" t="s">
        <v>181</v>
      </c>
      <c r="AA51" s="49" t="s">
        <v>596</v>
      </c>
      <c r="AB51" s="49" t="s">
        <v>597</v>
      </c>
      <c r="AC51" s="49" t="s">
        <v>586</v>
      </c>
      <c r="AD51" s="49" t="n">
        <v>5471244</v>
      </c>
      <c r="AE51" s="49" t="s">
        <v>10</v>
      </c>
      <c r="AF51" s="49" t="s">
        <v>598</v>
      </c>
      <c r="AG51" s="49" t="s">
        <v>10</v>
      </c>
      <c r="AH51" s="49" t="s">
        <v>599</v>
      </c>
      <c r="AI51" s="49" t="s">
        <v>600</v>
      </c>
      <c r="AJ51" s="50" t="s">
        <v>379</v>
      </c>
      <c r="AK51" s="49" t="s">
        <v>124</v>
      </c>
      <c r="AL51" s="49" t="s">
        <v>125</v>
      </c>
      <c r="AM51" s="51" t="n">
        <v>5951.4</v>
      </c>
      <c r="AN51" s="49"/>
      <c r="AO51" s="49" t="s">
        <v>125</v>
      </c>
      <c r="AP51" s="49" t="s">
        <v>187</v>
      </c>
      <c r="AQ51" s="49" t="s">
        <v>221</v>
      </c>
      <c r="AR51" s="49"/>
      <c r="AS51" s="49"/>
      <c r="AT51" s="49"/>
      <c r="AU51" s="49" t="s">
        <v>601</v>
      </c>
      <c r="AV51" s="49"/>
      <c r="AW51" s="49" t="s">
        <v>602</v>
      </c>
      <c r="AX51" s="49"/>
      <c r="AY51" s="49"/>
      <c r="AZ51" s="49"/>
      <c r="BA51" s="49" t="s">
        <v>360</v>
      </c>
      <c r="BB51" s="49" t="n">
        <v>81188674</v>
      </c>
      <c r="BC51" s="49" t="s">
        <v>140</v>
      </c>
      <c r="BD51" s="49" t="s">
        <v>135</v>
      </c>
      <c r="BE51" s="49" t="s">
        <v>249</v>
      </c>
      <c r="BF51" s="49" t="s">
        <v>225</v>
      </c>
      <c r="BG51" s="49" t="s">
        <v>138</v>
      </c>
      <c r="BH51" s="49" t="s">
        <v>194</v>
      </c>
      <c r="BI51" s="49" t="s">
        <v>134</v>
      </c>
      <c r="BJ51" s="49" t="s">
        <v>125</v>
      </c>
      <c r="BK51" s="49"/>
      <c r="BL51" s="49"/>
      <c r="BM51" s="49" t="n">
        <v>109848410</v>
      </c>
      <c r="BN51" s="49" t="s">
        <v>142</v>
      </c>
      <c r="BO51" s="49" t="s">
        <v>196</v>
      </c>
    </row>
    <row r="52" ht="16.8" customHeight="1">
      <c r="A52" s="43" t="s">
        <v>38</v>
      </c>
      <c r="B52" s="49" t="n">
        <v>42</v>
      </c>
      <c r="C52" s="49" t="s">
        <v>103</v>
      </c>
      <c r="D52" s="49" t="s">
        <v>104</v>
      </c>
      <c r="E52" s="49" t="s">
        <v>603</v>
      </c>
      <c r="F52" s="49" t="s">
        <v>604</v>
      </c>
      <c r="G52" s="49" t="s">
        <v>519</v>
      </c>
      <c r="H52" s="49" t="s">
        <v>605</v>
      </c>
      <c r="I52" s="85" t="s">
        <v>606</v>
      </c>
      <c r="J52" s="49" t="s">
        <v>125</v>
      </c>
      <c r="K52" s="49" t="s">
        <v>239</v>
      </c>
      <c r="L52" s="49" t="s">
        <v>519</v>
      </c>
      <c r="M52" s="49" t="s">
        <v>607</v>
      </c>
      <c r="N52" s="49" t="s">
        <v>608</v>
      </c>
      <c r="O52" s="49" t="s">
        <v>125</v>
      </c>
      <c r="P52" s="49" t="s">
        <v>519</v>
      </c>
      <c r="Q52" s="49" t="s">
        <v>609</v>
      </c>
      <c r="R52" s="49" t="s">
        <v>603</v>
      </c>
      <c r="S52" s="49" t="s">
        <v>14</v>
      </c>
      <c r="T52" s="49" t="s">
        <v>610</v>
      </c>
      <c r="U52" s="49" t="s">
        <v>178</v>
      </c>
      <c r="V52" s="49" t="s">
        <v>611</v>
      </c>
      <c r="W52" s="49" t="s">
        <v>117</v>
      </c>
      <c r="X52" s="49" t="s">
        <v>238</v>
      </c>
      <c r="Y52" s="49" t="s">
        <v>239</v>
      </c>
      <c r="Z52" s="49" t="s">
        <v>612</v>
      </c>
      <c r="AA52" s="49" t="s">
        <v>613</v>
      </c>
      <c r="AB52" s="49" t="s">
        <v>614</v>
      </c>
      <c r="AC52" s="49" t="s">
        <v>603</v>
      </c>
      <c r="AD52" s="49" t="n">
        <v>5470810</v>
      </c>
      <c r="AE52" s="49" t="s">
        <v>14</v>
      </c>
      <c r="AF52" s="49" t="s">
        <v>615</v>
      </c>
      <c r="AG52" s="49" t="s">
        <v>14</v>
      </c>
      <c r="AH52" s="49" t="s">
        <v>616</v>
      </c>
      <c r="AI52" s="49" t="s">
        <v>617</v>
      </c>
      <c r="AJ52" s="50" t="s">
        <v>618</v>
      </c>
      <c r="AK52" s="49" t="s">
        <v>124</v>
      </c>
      <c r="AL52" s="49" t="s">
        <v>125</v>
      </c>
      <c r="AM52" s="51" t="n">
        <v>5992.5</v>
      </c>
      <c r="AN52" s="49"/>
      <c r="AO52" s="49" t="s">
        <v>125</v>
      </c>
      <c r="AP52" s="49" t="s">
        <v>187</v>
      </c>
      <c r="AQ52" s="49" t="s">
        <v>221</v>
      </c>
      <c r="AR52" s="49"/>
      <c r="AS52" s="49"/>
      <c r="AT52" s="49"/>
      <c r="AU52" s="49" t="s">
        <v>601</v>
      </c>
      <c r="AV52" s="49"/>
      <c r="AW52" s="49" t="s">
        <v>125</v>
      </c>
      <c r="AX52" s="49"/>
      <c r="AY52" s="49"/>
      <c r="AZ52" s="49"/>
      <c r="BA52" s="49" t="s">
        <v>248</v>
      </c>
      <c r="BB52" s="49" t="n">
        <v>69060590</v>
      </c>
      <c r="BC52" s="49" t="s">
        <v>140</v>
      </c>
      <c r="BD52" s="49" t="s">
        <v>191</v>
      </c>
      <c r="BE52" s="49" t="s">
        <v>249</v>
      </c>
      <c r="BF52" s="49" t="s">
        <v>402</v>
      </c>
      <c r="BG52" s="49" t="s">
        <v>619</v>
      </c>
      <c r="BH52" s="49" t="s">
        <v>139</v>
      </c>
      <c r="BI52" s="49" t="s">
        <v>134</v>
      </c>
      <c r="BJ52" s="49" t="s">
        <v>125</v>
      </c>
      <c r="BK52" s="49"/>
      <c r="BL52" s="49"/>
      <c r="BM52" s="49" t="n">
        <v>75211762</v>
      </c>
      <c r="BN52" s="49"/>
      <c r="BO52" s="49"/>
    </row>
    <row r="53" ht="16.8" customHeight="1">
      <c r="A53" s="43" t="s">
        <v>25</v>
      </c>
      <c r="B53" s="49" t="n">
        <v>43</v>
      </c>
      <c r="C53" s="49" t="s">
        <v>103</v>
      </c>
      <c r="D53" s="49" t="s">
        <v>104</v>
      </c>
      <c r="E53" s="49" t="s">
        <v>586</v>
      </c>
      <c r="F53" s="49" t="s">
        <v>587</v>
      </c>
      <c r="G53" s="49" t="s">
        <v>588</v>
      </c>
      <c r="H53" s="49" t="s">
        <v>589</v>
      </c>
      <c r="I53" s="49" t="s">
        <v>590</v>
      </c>
      <c r="J53" s="49" t="s">
        <v>125</v>
      </c>
      <c r="K53" s="49" t="s">
        <v>206</v>
      </c>
      <c r="L53" s="49" t="s">
        <v>588</v>
      </c>
      <c r="M53" s="49" t="s">
        <v>591</v>
      </c>
      <c r="N53" s="49" t="s">
        <v>592</v>
      </c>
      <c r="O53" s="49" t="s">
        <v>125</v>
      </c>
      <c r="P53" s="49" t="s">
        <v>588</v>
      </c>
      <c r="Q53" s="49" t="s">
        <v>593</v>
      </c>
      <c r="R53" s="49" t="s">
        <v>586</v>
      </c>
      <c r="S53" s="49" t="s">
        <v>10</v>
      </c>
      <c r="T53" s="49" t="s">
        <v>594</v>
      </c>
      <c r="U53" s="49" t="s">
        <v>178</v>
      </c>
      <c r="V53" s="49" t="s">
        <v>595</v>
      </c>
      <c r="W53" s="49" t="s">
        <v>117</v>
      </c>
      <c r="X53" s="49" t="s">
        <v>238</v>
      </c>
      <c r="Y53" s="49" t="s">
        <v>206</v>
      </c>
      <c r="Z53" s="49" t="s">
        <v>181</v>
      </c>
      <c r="AA53" s="49" t="s">
        <v>596</v>
      </c>
      <c r="AB53" s="49" t="s">
        <v>597</v>
      </c>
      <c r="AC53" s="49" t="s">
        <v>586</v>
      </c>
      <c r="AD53" s="49" t="n">
        <v>5442502</v>
      </c>
      <c r="AE53" s="49" t="s">
        <v>14</v>
      </c>
      <c r="AF53" s="49" t="s">
        <v>598</v>
      </c>
      <c r="AG53" s="49" t="s">
        <v>10</v>
      </c>
      <c r="AH53" s="49" t="s">
        <v>599</v>
      </c>
      <c r="AI53" s="49"/>
      <c r="AJ53" s="49"/>
      <c r="AK53" s="49" t="s">
        <v>124</v>
      </c>
      <c r="AL53" s="49" t="s">
        <v>125</v>
      </c>
      <c r="AM53" s="51" t="n">
        <v>5951.4</v>
      </c>
      <c r="AN53" s="49"/>
      <c r="AO53" s="49" t="s">
        <v>125</v>
      </c>
      <c r="AP53" s="49" t="s">
        <v>220</v>
      </c>
      <c r="AQ53" s="49" t="s">
        <v>221</v>
      </c>
      <c r="AR53" s="49"/>
      <c r="AS53" s="49"/>
      <c r="AT53" s="49"/>
      <c r="AU53" s="49"/>
      <c r="AV53" s="49"/>
      <c r="AW53" s="49" t="s">
        <v>602</v>
      </c>
      <c r="AX53" s="49"/>
      <c r="AY53" s="49"/>
      <c r="AZ53" s="49"/>
      <c r="BA53" s="49"/>
      <c r="BB53" s="49" t="n">
        <v>81188674</v>
      </c>
      <c r="BC53" s="49" t="s">
        <v>140</v>
      </c>
      <c r="BD53" s="49" t="s">
        <v>135</v>
      </c>
      <c r="BE53" s="49" t="s">
        <v>249</v>
      </c>
      <c r="BF53" s="49" t="s">
        <v>225</v>
      </c>
      <c r="BG53" s="49" t="s">
        <v>138</v>
      </c>
      <c r="BH53" s="49" t="s">
        <v>194</v>
      </c>
      <c r="BI53" s="49" t="s">
        <v>134</v>
      </c>
      <c r="BJ53" s="49" t="s">
        <v>125</v>
      </c>
      <c r="BK53" s="49"/>
      <c r="BL53" s="49"/>
      <c r="BM53" s="49"/>
      <c r="BN53" s="49" t="s">
        <v>142</v>
      </c>
      <c r="BO53" s="49" t="s">
        <v>196</v>
      </c>
    </row>
    <row r="54" ht="16.8" customHeight="1">
      <c r="A54" s="43" t="s">
        <v>38</v>
      </c>
      <c r="B54" s="49" t="n">
        <v>44</v>
      </c>
      <c r="C54" s="49" t="s">
        <v>103</v>
      </c>
      <c r="D54" s="49" t="s">
        <v>104</v>
      </c>
      <c r="E54" s="49" t="s">
        <v>620</v>
      </c>
      <c r="F54" s="49" t="s">
        <v>621</v>
      </c>
      <c r="G54" s="49" t="s">
        <v>622</v>
      </c>
      <c r="H54" s="49" t="s">
        <v>623</v>
      </c>
      <c r="I54" s="49" t="s">
        <v>624</v>
      </c>
      <c r="J54" s="49" t="s">
        <v>125</v>
      </c>
      <c r="K54" s="49" t="s">
        <v>174</v>
      </c>
      <c r="L54" s="49" t="s">
        <v>14</v>
      </c>
      <c r="M54" s="49" t="s">
        <v>111</v>
      </c>
      <c r="N54" s="49" t="s">
        <v>554</v>
      </c>
      <c r="O54" s="49" t="s">
        <v>625</v>
      </c>
      <c r="P54" s="49"/>
      <c r="Q54" s="49"/>
      <c r="R54" s="49" t="s">
        <v>620</v>
      </c>
      <c r="S54" s="49" t="s">
        <v>14</v>
      </c>
      <c r="T54" s="49" t="s">
        <v>626</v>
      </c>
      <c r="U54" s="49" t="s">
        <v>178</v>
      </c>
      <c r="V54" s="49" t="s">
        <v>627</v>
      </c>
      <c r="W54" s="49" t="s">
        <v>117</v>
      </c>
      <c r="X54" s="49" t="s">
        <v>238</v>
      </c>
      <c r="Y54" s="49" t="s">
        <v>174</v>
      </c>
      <c r="Z54" s="49" t="s">
        <v>628</v>
      </c>
      <c r="AA54" s="49" t="s">
        <v>629</v>
      </c>
      <c r="AB54" s="49" t="s">
        <v>630</v>
      </c>
      <c r="AC54" s="49" t="s">
        <v>620</v>
      </c>
      <c r="AD54" s="49" t="n">
        <v>5465643</v>
      </c>
      <c r="AE54" s="49" t="s">
        <v>14</v>
      </c>
      <c r="AF54" s="49" t="s">
        <v>631</v>
      </c>
      <c r="AG54" s="49" t="s">
        <v>14</v>
      </c>
      <c r="AH54" s="49" t="s">
        <v>632</v>
      </c>
      <c r="AI54" s="49" t="s">
        <v>633</v>
      </c>
      <c r="AJ54" s="50" t="s">
        <v>634</v>
      </c>
      <c r="AK54" s="49" t="s">
        <v>124</v>
      </c>
      <c r="AL54" s="49" t="s">
        <v>125</v>
      </c>
      <c r="AM54" s="51" t="n">
        <v>8464</v>
      </c>
      <c r="AN54" s="49"/>
      <c r="AO54" s="49" t="s">
        <v>625</v>
      </c>
      <c r="AP54" s="49" t="s">
        <v>187</v>
      </c>
      <c r="AQ54" s="49" t="s">
        <v>221</v>
      </c>
      <c r="AR54" s="49"/>
      <c r="AS54" s="49"/>
      <c r="AT54" s="49"/>
      <c r="AU54" s="49" t="s">
        <v>635</v>
      </c>
      <c r="AV54" s="49"/>
      <c r="AW54" s="49" t="s">
        <v>636</v>
      </c>
      <c r="AX54" s="49"/>
      <c r="AY54" s="49"/>
      <c r="AZ54" s="49"/>
      <c r="BA54" s="49" t="s">
        <v>444</v>
      </c>
      <c r="BB54" s="49" t="n">
        <v>81056684</v>
      </c>
      <c r="BC54" s="49" t="s">
        <v>140</v>
      </c>
      <c r="BD54" s="49" t="s">
        <v>191</v>
      </c>
      <c r="BE54" s="49" t="s">
        <v>249</v>
      </c>
      <c r="BF54" s="49" t="s">
        <v>402</v>
      </c>
      <c r="BG54" s="49" t="s">
        <v>138</v>
      </c>
      <c r="BH54" s="49" t="s">
        <v>194</v>
      </c>
      <c r="BI54" s="49" t="s">
        <v>134</v>
      </c>
      <c r="BJ54" s="49" t="s">
        <v>125</v>
      </c>
      <c r="BK54" s="49"/>
      <c r="BL54" s="49"/>
      <c r="BM54" s="49" t="n">
        <v>107230195</v>
      </c>
      <c r="BN54" s="49" t="s">
        <v>142</v>
      </c>
      <c r="BO54" s="49" t="s">
        <v>196</v>
      </c>
    </row>
    <row r="55" ht="16.8" customHeight="1">
      <c r="A55" s="43" t="s">
        <v>25</v>
      </c>
      <c r="B55" s="49" t="n">
        <v>45</v>
      </c>
      <c r="C55" s="49" t="s">
        <v>103</v>
      </c>
      <c r="D55" s="49" t="s">
        <v>104</v>
      </c>
      <c r="E55" s="49" t="s">
        <v>637</v>
      </c>
      <c r="F55" s="49" t="s">
        <v>638</v>
      </c>
      <c r="G55" s="49" t="s">
        <v>639</v>
      </c>
      <c r="H55" s="49" t="s">
        <v>640</v>
      </c>
      <c r="I55" s="49" t="s">
        <v>641</v>
      </c>
      <c r="J55" s="49" t="s">
        <v>125</v>
      </c>
      <c r="K55" s="49" t="s">
        <v>206</v>
      </c>
      <c r="L55" s="49" t="s">
        <v>642</v>
      </c>
      <c r="M55" s="49" t="s">
        <v>111</v>
      </c>
      <c r="N55" s="49" t="s">
        <v>554</v>
      </c>
      <c r="O55" s="49" t="s">
        <v>643</v>
      </c>
      <c r="P55" s="49"/>
      <c r="Q55" s="49"/>
      <c r="R55" s="49" t="s">
        <v>644</v>
      </c>
      <c r="S55" s="49" t="s">
        <v>642</v>
      </c>
      <c r="T55" s="49" t="s">
        <v>645</v>
      </c>
      <c r="U55" s="49" t="s">
        <v>178</v>
      </c>
      <c r="V55" s="49" t="s">
        <v>646</v>
      </c>
      <c r="W55" s="49" t="s">
        <v>117</v>
      </c>
      <c r="X55" s="49" t="s">
        <v>647</v>
      </c>
      <c r="Y55" s="49" t="s">
        <v>110</v>
      </c>
      <c r="Z55" s="49" t="s">
        <v>648</v>
      </c>
      <c r="AA55" s="49" t="s">
        <v>649</v>
      </c>
      <c r="AB55" s="49" t="s">
        <v>650</v>
      </c>
      <c r="AC55" s="49" t="s">
        <v>644</v>
      </c>
      <c r="AD55" s="49" t="n">
        <v>5465207</v>
      </c>
      <c r="AE55" s="49" t="s">
        <v>14</v>
      </c>
      <c r="AF55" s="49" t="s">
        <v>651</v>
      </c>
      <c r="AG55" s="49" t="s">
        <v>642</v>
      </c>
      <c r="AH55" s="49" t="s">
        <v>652</v>
      </c>
      <c r="AI55" s="49"/>
      <c r="AJ55" s="49"/>
      <c r="AK55" s="49" t="s">
        <v>124</v>
      </c>
      <c r="AL55" s="49" t="s">
        <v>125</v>
      </c>
      <c r="AM55" s="51" t="n">
        <v>2840</v>
      </c>
      <c r="AN55" s="49"/>
      <c r="AO55" s="49" t="s">
        <v>643</v>
      </c>
      <c r="AP55" s="49" t="s">
        <v>220</v>
      </c>
      <c r="AQ55" s="49" t="s">
        <v>221</v>
      </c>
      <c r="AR55" s="49"/>
      <c r="AS55" s="49" t="s">
        <v>653</v>
      </c>
      <c r="AT55" s="49"/>
      <c r="AU55" s="49"/>
      <c r="AV55" s="49"/>
      <c r="AW55" s="49" t="s">
        <v>654</v>
      </c>
      <c r="AX55" s="49"/>
      <c r="AY55" s="49"/>
      <c r="AZ55" s="49"/>
      <c r="BA55" s="49"/>
      <c r="BB55" s="49" t="n">
        <v>80737003</v>
      </c>
      <c r="BC55" s="49" t="s">
        <v>134</v>
      </c>
      <c r="BD55" s="49" t="s">
        <v>655</v>
      </c>
      <c r="BE55" s="49" t="s">
        <v>656</v>
      </c>
      <c r="BF55" s="49" t="s">
        <v>125</v>
      </c>
      <c r="BG55" s="49"/>
      <c r="BH55" s="49" t="s">
        <v>139</v>
      </c>
      <c r="BI55" s="49" t="s">
        <v>134</v>
      </c>
      <c r="BJ55" s="49" t="s">
        <v>125</v>
      </c>
      <c r="BK55" s="49"/>
      <c r="BL55" s="49"/>
      <c r="BM55" s="49"/>
      <c r="BN55" s="49" t="s">
        <v>227</v>
      </c>
      <c r="BO55" s="49" t="s">
        <v>196</v>
      </c>
    </row>
    <row r="56" ht="16.8" customHeight="1">
      <c r="A56" s="43" t="s">
        <v>25</v>
      </c>
      <c r="B56" s="49" t="n">
        <v>46</v>
      </c>
      <c r="C56" s="49" t="s">
        <v>103</v>
      </c>
      <c r="D56" s="49" t="s">
        <v>104</v>
      </c>
      <c r="E56" s="49"/>
      <c r="F56" s="49" t="s">
        <v>657</v>
      </c>
      <c r="G56" s="49"/>
      <c r="H56" s="49" t="s">
        <v>658</v>
      </c>
      <c r="I56" s="49" t="s">
        <v>659</v>
      </c>
      <c r="J56" s="49"/>
      <c r="K56" s="49" t="s">
        <v>206</v>
      </c>
      <c r="L56" s="49" t="s">
        <v>14</v>
      </c>
      <c r="M56" s="49" t="s">
        <v>111</v>
      </c>
      <c r="N56" s="49" t="s">
        <v>112</v>
      </c>
      <c r="O56" s="49"/>
      <c r="P56" s="49"/>
      <c r="Q56" s="49"/>
      <c r="R56" s="49" t="s">
        <v>271</v>
      </c>
      <c r="S56" s="49" t="s">
        <v>14</v>
      </c>
      <c r="T56" s="49" t="s">
        <v>660</v>
      </c>
      <c r="U56" s="49" t="s">
        <v>115</v>
      </c>
      <c r="V56" s="49" t="s">
        <v>661</v>
      </c>
      <c r="W56" s="49" t="s">
        <v>117</v>
      </c>
      <c r="X56" s="49" t="s">
        <v>391</v>
      </c>
      <c r="Y56" s="49" t="s">
        <v>174</v>
      </c>
      <c r="Z56" s="49" t="s">
        <v>274</v>
      </c>
      <c r="AA56" s="49" t="s">
        <v>275</v>
      </c>
      <c r="AB56" s="49" t="s">
        <v>276</v>
      </c>
      <c r="AC56" s="49" t="s">
        <v>271</v>
      </c>
      <c r="AD56" s="49" t="n">
        <v>5437764</v>
      </c>
      <c r="AE56" s="49" t="s">
        <v>14</v>
      </c>
      <c r="AF56" s="49" t="s">
        <v>662</v>
      </c>
      <c r="AG56" s="49" t="s">
        <v>14</v>
      </c>
      <c r="AH56" s="49" t="s">
        <v>662</v>
      </c>
      <c r="AI56" s="49" t="s">
        <v>663</v>
      </c>
      <c r="AJ56" s="49" t="s">
        <v>485</v>
      </c>
      <c r="AK56" s="49" t="s">
        <v>124</v>
      </c>
      <c r="AL56" s="49" t="s">
        <v>125</v>
      </c>
      <c r="AM56" s="51" t="n">
        <v>3946.5</v>
      </c>
      <c r="AN56" s="49" t="s">
        <v>126</v>
      </c>
      <c r="AO56" s="49" t="s">
        <v>125</v>
      </c>
      <c r="AP56" s="49" t="s">
        <v>127</v>
      </c>
      <c r="AQ56" s="49" t="s">
        <v>128</v>
      </c>
      <c r="AR56" s="49" t="s">
        <v>664</v>
      </c>
      <c r="AS56" s="49" t="s">
        <v>281</v>
      </c>
      <c r="AT56" s="49" t="s">
        <v>665</v>
      </c>
      <c r="AU56" s="49" t="s">
        <v>666</v>
      </c>
      <c r="AV56" s="49"/>
      <c r="AW56" s="49" t="s">
        <v>667</v>
      </c>
      <c r="AX56" s="49"/>
      <c r="AY56" s="49"/>
      <c r="AZ56" s="49"/>
      <c r="BA56" s="49"/>
      <c r="BB56" s="49" t="n">
        <v>60647114</v>
      </c>
      <c r="BC56" s="49" t="s">
        <v>134</v>
      </c>
      <c r="BD56" s="49" t="s">
        <v>191</v>
      </c>
      <c r="BE56" s="49" t="s">
        <v>401</v>
      </c>
      <c r="BF56" s="49" t="s">
        <v>193</v>
      </c>
      <c r="BG56" s="49"/>
      <c r="BH56" s="49" t="s">
        <v>194</v>
      </c>
      <c r="BI56" s="49" t="s">
        <v>134</v>
      </c>
      <c r="BJ56" s="49" t="s">
        <v>125</v>
      </c>
      <c r="BK56" s="49"/>
      <c r="BL56" s="49" t="s">
        <v>286</v>
      </c>
      <c r="BM56" s="49"/>
      <c r="BN56" s="49" t="s">
        <v>142</v>
      </c>
      <c r="BO56" s="49"/>
    </row>
    <row r="57" ht="16.8" customHeight="1">
      <c r="A57" s="43" t="s">
        <v>25</v>
      </c>
      <c r="B57" s="49" t="n">
        <v>47</v>
      </c>
      <c r="C57" s="49" t="s">
        <v>103</v>
      </c>
      <c r="D57" s="49" t="s">
        <v>104</v>
      </c>
      <c r="E57" s="49"/>
      <c r="F57" s="49" t="s">
        <v>657</v>
      </c>
      <c r="G57" s="49"/>
      <c r="H57" s="49" t="s">
        <v>658</v>
      </c>
      <c r="I57" s="49" t="s">
        <v>659</v>
      </c>
      <c r="J57" s="49"/>
      <c r="K57" s="49" t="s">
        <v>206</v>
      </c>
      <c r="L57" s="49" t="s">
        <v>14</v>
      </c>
      <c r="M57" s="49" t="s">
        <v>111</v>
      </c>
      <c r="N57" s="49" t="s">
        <v>112</v>
      </c>
      <c r="O57" s="49"/>
      <c r="P57" s="49"/>
      <c r="Q57" s="49"/>
      <c r="R57" s="49" t="s">
        <v>271</v>
      </c>
      <c r="S57" s="49" t="s">
        <v>14</v>
      </c>
      <c r="T57" s="49" t="s">
        <v>660</v>
      </c>
      <c r="U57" s="49" t="s">
        <v>115</v>
      </c>
      <c r="V57" s="49" t="s">
        <v>661</v>
      </c>
      <c r="W57" s="49" t="s">
        <v>117</v>
      </c>
      <c r="X57" s="49" t="s">
        <v>391</v>
      </c>
      <c r="Y57" s="49" t="s">
        <v>174</v>
      </c>
      <c r="Z57" s="49" t="s">
        <v>274</v>
      </c>
      <c r="AA57" s="49" t="s">
        <v>275</v>
      </c>
      <c r="AB57" s="49" t="s">
        <v>276</v>
      </c>
      <c r="AC57" s="49" t="s">
        <v>271</v>
      </c>
      <c r="AD57" s="49" t="n">
        <v>5437764</v>
      </c>
      <c r="AE57" s="49" t="s">
        <v>14</v>
      </c>
      <c r="AF57" s="49" t="s">
        <v>662</v>
      </c>
      <c r="AG57" s="49" t="s">
        <v>14</v>
      </c>
      <c r="AH57" s="49" t="s">
        <v>662</v>
      </c>
      <c r="AI57" s="49" t="s">
        <v>668</v>
      </c>
      <c r="AJ57" s="49" t="s">
        <v>480</v>
      </c>
      <c r="AK57" s="49" t="s">
        <v>124</v>
      </c>
      <c r="AL57" s="49" t="s">
        <v>125</v>
      </c>
      <c r="AM57" s="51" t="n">
        <v>2965.2</v>
      </c>
      <c r="AN57" s="49" t="s">
        <v>126</v>
      </c>
      <c r="AO57" s="49" t="s">
        <v>125</v>
      </c>
      <c r="AP57" s="49" t="s">
        <v>127</v>
      </c>
      <c r="AQ57" s="49" t="s">
        <v>128</v>
      </c>
      <c r="AR57" s="49" t="s">
        <v>664</v>
      </c>
      <c r="AS57" s="49" t="s">
        <v>281</v>
      </c>
      <c r="AT57" s="49" t="s">
        <v>669</v>
      </c>
      <c r="AU57" s="49" t="s">
        <v>666</v>
      </c>
      <c r="AV57" s="49"/>
      <c r="AW57" s="49" t="s">
        <v>667</v>
      </c>
      <c r="AX57" s="49"/>
      <c r="AY57" s="49"/>
      <c r="AZ57" s="49"/>
      <c r="BA57" s="49"/>
      <c r="BB57" s="49" t="n">
        <v>60647114</v>
      </c>
      <c r="BC57" s="49" t="s">
        <v>134</v>
      </c>
      <c r="BD57" s="49" t="s">
        <v>191</v>
      </c>
      <c r="BE57" s="49" t="s">
        <v>401</v>
      </c>
      <c r="BF57" s="49" t="s">
        <v>193</v>
      </c>
      <c r="BG57" s="49"/>
      <c r="BH57" s="49" t="s">
        <v>194</v>
      </c>
      <c r="BI57" s="49" t="s">
        <v>134</v>
      </c>
      <c r="BJ57" s="49" t="s">
        <v>125</v>
      </c>
      <c r="BK57" s="49"/>
      <c r="BL57" s="49" t="s">
        <v>286</v>
      </c>
      <c r="BM57" s="49"/>
      <c r="BN57" s="49" t="s">
        <v>142</v>
      </c>
      <c r="BO57" s="49"/>
    </row>
    <row r="58" ht="16.8" customHeight="1">
      <c r="A58" s="43" t="s">
        <v>25</v>
      </c>
      <c r="B58" s="49" t="n">
        <v>48</v>
      </c>
      <c r="C58" s="49" t="s">
        <v>103</v>
      </c>
      <c r="D58" s="49" t="s">
        <v>104</v>
      </c>
      <c r="E58" s="49"/>
      <c r="F58" s="49" t="s">
        <v>670</v>
      </c>
      <c r="G58" s="49"/>
      <c r="H58" s="49" t="s">
        <v>671</v>
      </c>
      <c r="I58" s="49" t="s">
        <v>672</v>
      </c>
      <c r="J58" s="49"/>
      <c r="K58" s="49" t="s">
        <v>206</v>
      </c>
      <c r="L58" s="49" t="s">
        <v>10</v>
      </c>
      <c r="M58" s="49" t="s">
        <v>111</v>
      </c>
      <c r="N58" s="49" t="s">
        <v>112</v>
      </c>
      <c r="O58" s="49"/>
      <c r="P58" s="49"/>
      <c r="Q58" s="49"/>
      <c r="R58" s="49" t="s">
        <v>673</v>
      </c>
      <c r="S58" s="49" t="s">
        <v>10</v>
      </c>
      <c r="T58" s="49" t="s">
        <v>674</v>
      </c>
      <c r="U58" s="49" t="s">
        <v>115</v>
      </c>
      <c r="V58" s="49" t="s">
        <v>675</v>
      </c>
      <c r="W58" s="49" t="s">
        <v>117</v>
      </c>
      <c r="X58" s="49" t="s">
        <v>312</v>
      </c>
      <c r="Y58" s="49" t="s">
        <v>174</v>
      </c>
      <c r="Z58" s="49" t="s">
        <v>676</v>
      </c>
      <c r="AA58" s="49" t="s">
        <v>677</v>
      </c>
      <c r="AB58" s="49" t="s">
        <v>353</v>
      </c>
      <c r="AC58" s="49" t="s">
        <v>673</v>
      </c>
      <c r="AD58" s="49" t="n">
        <v>5467838</v>
      </c>
      <c r="AE58" s="49" t="s">
        <v>10</v>
      </c>
      <c r="AF58" s="49" t="s">
        <v>678</v>
      </c>
      <c r="AG58" s="49" t="s">
        <v>10</v>
      </c>
      <c r="AH58" s="49" t="s">
        <v>678</v>
      </c>
      <c r="AI58" s="49" t="s">
        <v>679</v>
      </c>
      <c r="AJ58" s="49" t="s">
        <v>680</v>
      </c>
      <c r="AK58" s="49" t="s">
        <v>124</v>
      </c>
      <c r="AL58" s="49" t="s">
        <v>125</v>
      </c>
      <c r="AM58" s="51" t="n">
        <v>9096.4</v>
      </c>
      <c r="AN58" s="49" t="s">
        <v>126</v>
      </c>
      <c r="AO58" s="49" t="s">
        <v>125</v>
      </c>
      <c r="AP58" s="49" t="s">
        <v>127</v>
      </c>
      <c r="AQ58" s="49" t="s">
        <v>221</v>
      </c>
      <c r="AR58" s="49" t="s">
        <v>681</v>
      </c>
      <c r="AS58" s="49" t="s">
        <v>682</v>
      </c>
      <c r="AT58" s="49" t="s">
        <v>683</v>
      </c>
      <c r="AU58" s="49" t="s">
        <v>684</v>
      </c>
      <c r="AV58" s="49"/>
      <c r="AW58" s="49" t="s">
        <v>685</v>
      </c>
      <c r="AX58" s="49"/>
      <c r="AY58" s="49"/>
      <c r="AZ58" s="49"/>
      <c r="BA58" s="49"/>
      <c r="BB58" s="49" t="n">
        <v>53063270</v>
      </c>
      <c r="BC58" s="49" t="s">
        <v>134</v>
      </c>
      <c r="BD58" s="49" t="s">
        <v>191</v>
      </c>
      <c r="BE58" s="49" t="s">
        <v>318</v>
      </c>
      <c r="BF58" s="49" t="s">
        <v>319</v>
      </c>
      <c r="BG58" s="49"/>
      <c r="BH58" s="49" t="s">
        <v>139</v>
      </c>
      <c r="BI58" s="49" t="s">
        <v>134</v>
      </c>
      <c r="BJ58" s="49" t="s">
        <v>125</v>
      </c>
      <c r="BK58" s="49"/>
      <c r="BL58" s="49" t="s">
        <v>286</v>
      </c>
      <c r="BM58" s="49"/>
      <c r="BN58" s="49" t="s">
        <v>227</v>
      </c>
      <c r="BO58" s="49"/>
    </row>
    <row r="59" ht="16.8" customHeight="1">
      <c r="A59" s="43" t="s">
        <v>25</v>
      </c>
      <c r="B59" s="49" t="n">
        <v>49</v>
      </c>
      <c r="C59" s="49" t="s">
        <v>103</v>
      </c>
      <c r="D59" s="49" t="s">
        <v>104</v>
      </c>
      <c r="E59" s="49"/>
      <c r="F59" s="49" t="s">
        <v>670</v>
      </c>
      <c r="G59" s="49"/>
      <c r="H59" s="49" t="s">
        <v>671</v>
      </c>
      <c r="I59" s="49" t="s">
        <v>672</v>
      </c>
      <c r="J59" s="49"/>
      <c r="K59" s="49" t="s">
        <v>206</v>
      </c>
      <c r="L59" s="49" t="s">
        <v>10</v>
      </c>
      <c r="M59" s="49" t="s">
        <v>111</v>
      </c>
      <c r="N59" s="49" t="s">
        <v>112</v>
      </c>
      <c r="O59" s="49"/>
      <c r="P59" s="49"/>
      <c r="Q59" s="49"/>
      <c r="R59" s="49" t="s">
        <v>673</v>
      </c>
      <c r="S59" s="49" t="s">
        <v>10</v>
      </c>
      <c r="T59" s="49" t="s">
        <v>674</v>
      </c>
      <c r="U59" s="49" t="s">
        <v>115</v>
      </c>
      <c r="V59" s="49" t="s">
        <v>675</v>
      </c>
      <c r="W59" s="49" t="s">
        <v>117</v>
      </c>
      <c r="X59" s="49" t="s">
        <v>312</v>
      </c>
      <c r="Y59" s="49" t="s">
        <v>174</v>
      </c>
      <c r="Z59" s="49" t="s">
        <v>676</v>
      </c>
      <c r="AA59" s="49" t="s">
        <v>677</v>
      </c>
      <c r="AB59" s="49" t="s">
        <v>353</v>
      </c>
      <c r="AC59" s="49" t="s">
        <v>673</v>
      </c>
      <c r="AD59" s="49" t="n">
        <v>5467838</v>
      </c>
      <c r="AE59" s="49" t="s">
        <v>10</v>
      </c>
      <c r="AF59" s="49" t="s">
        <v>678</v>
      </c>
      <c r="AG59" s="49" t="s">
        <v>10</v>
      </c>
      <c r="AH59" s="49" t="s">
        <v>678</v>
      </c>
      <c r="AI59" s="49" t="s">
        <v>686</v>
      </c>
      <c r="AJ59" s="49" t="s">
        <v>687</v>
      </c>
      <c r="AK59" s="49" t="s">
        <v>124</v>
      </c>
      <c r="AL59" s="49" t="s">
        <v>125</v>
      </c>
      <c r="AM59" s="51" t="n">
        <v>5141.3</v>
      </c>
      <c r="AN59" s="49" t="s">
        <v>126</v>
      </c>
      <c r="AO59" s="49" t="s">
        <v>125</v>
      </c>
      <c r="AP59" s="49" t="s">
        <v>127</v>
      </c>
      <c r="AQ59" s="49" t="s">
        <v>221</v>
      </c>
      <c r="AR59" s="49" t="s">
        <v>681</v>
      </c>
      <c r="AS59" s="49" t="s">
        <v>682</v>
      </c>
      <c r="AT59" s="49" t="s">
        <v>688</v>
      </c>
      <c r="AU59" s="49" t="s">
        <v>684</v>
      </c>
      <c r="AV59" s="49"/>
      <c r="AW59" s="49" t="s">
        <v>685</v>
      </c>
      <c r="AX59" s="49"/>
      <c r="AY59" s="49"/>
      <c r="AZ59" s="49"/>
      <c r="BA59" s="49"/>
      <c r="BB59" s="49" t="n">
        <v>53063270</v>
      </c>
      <c r="BC59" s="49" t="s">
        <v>134</v>
      </c>
      <c r="BD59" s="49" t="s">
        <v>191</v>
      </c>
      <c r="BE59" s="49" t="s">
        <v>318</v>
      </c>
      <c r="BF59" s="49" t="s">
        <v>319</v>
      </c>
      <c r="BG59" s="49"/>
      <c r="BH59" s="49" t="s">
        <v>139</v>
      </c>
      <c r="BI59" s="49" t="s">
        <v>134</v>
      </c>
      <c r="BJ59" s="49" t="s">
        <v>125</v>
      </c>
      <c r="BK59" s="49"/>
      <c r="BL59" s="49" t="s">
        <v>286</v>
      </c>
      <c r="BM59" s="49"/>
      <c r="BN59" s="49" t="s">
        <v>227</v>
      </c>
      <c r="BO59" s="49"/>
    </row>
    <row r="60" ht="16.8" customHeight="1">
      <c r="A60" s="43" t="s">
        <v>25</v>
      </c>
      <c r="B60" s="49" t="n">
        <v>50</v>
      </c>
      <c r="C60" s="49" t="s">
        <v>103</v>
      </c>
      <c r="D60" s="49" t="s">
        <v>104</v>
      </c>
      <c r="E60" s="49"/>
      <c r="F60" s="49" t="s">
        <v>689</v>
      </c>
      <c r="G60" s="49"/>
      <c r="H60" s="49" t="s">
        <v>690</v>
      </c>
      <c r="I60" s="86" t="s">
        <v>691</v>
      </c>
      <c r="J60" s="49"/>
      <c r="K60" s="49" t="s">
        <v>206</v>
      </c>
      <c r="L60" s="49" t="s">
        <v>14</v>
      </c>
      <c r="M60" s="49" t="s">
        <v>346</v>
      </c>
      <c r="N60" s="49" t="s">
        <v>372</v>
      </c>
      <c r="O60" s="49"/>
      <c r="P60" s="49"/>
      <c r="Q60" s="49"/>
      <c r="R60" s="49" t="s">
        <v>692</v>
      </c>
      <c r="S60" s="49" t="s">
        <v>14</v>
      </c>
      <c r="T60" s="49" t="s">
        <v>693</v>
      </c>
      <c r="U60" s="49" t="s">
        <v>115</v>
      </c>
      <c r="V60" s="49" t="s">
        <v>694</v>
      </c>
      <c r="W60" s="49" t="s">
        <v>117</v>
      </c>
      <c r="X60" s="49" t="s">
        <v>412</v>
      </c>
      <c r="Y60" s="49" t="s">
        <v>174</v>
      </c>
      <c r="Z60" s="49" t="s">
        <v>695</v>
      </c>
      <c r="AA60" s="49" t="s">
        <v>696</v>
      </c>
      <c r="AB60" s="49" t="s">
        <v>697</v>
      </c>
      <c r="AC60" s="49" t="s">
        <v>692</v>
      </c>
      <c r="AD60" s="49" t="n">
        <v>5467489</v>
      </c>
      <c r="AE60" s="49" t="s">
        <v>14</v>
      </c>
      <c r="AF60" s="49" t="s">
        <v>698</v>
      </c>
      <c r="AG60" s="49" t="s">
        <v>14</v>
      </c>
      <c r="AH60" s="49" t="s">
        <v>698</v>
      </c>
      <c r="AI60" s="49" t="s">
        <v>699</v>
      </c>
      <c r="AJ60" s="49" t="s">
        <v>680</v>
      </c>
      <c r="AK60" s="49" t="s">
        <v>124</v>
      </c>
      <c r="AL60" s="49" t="s">
        <v>125</v>
      </c>
      <c r="AM60" s="51" t="n">
        <v>11497.4</v>
      </c>
      <c r="AN60" s="49" t="s">
        <v>126</v>
      </c>
      <c r="AO60" s="49" t="s">
        <v>125</v>
      </c>
      <c r="AP60" s="49" t="s">
        <v>127</v>
      </c>
      <c r="AQ60" s="49" t="s">
        <v>221</v>
      </c>
      <c r="AR60" s="49" t="s">
        <v>681</v>
      </c>
      <c r="AS60" s="49" t="s">
        <v>700</v>
      </c>
      <c r="AT60" s="49" t="s">
        <v>701</v>
      </c>
      <c r="AU60" s="49" t="s">
        <v>684</v>
      </c>
      <c r="AV60" s="49"/>
      <c r="AW60" s="49" t="s">
        <v>702</v>
      </c>
      <c r="AX60" s="49"/>
      <c r="AY60" s="49"/>
      <c r="AZ60" s="49"/>
      <c r="BA60" s="49"/>
      <c r="BB60" s="49" t="n">
        <v>65286884</v>
      </c>
      <c r="BC60" s="49" t="s">
        <v>134</v>
      </c>
      <c r="BD60" s="49" t="s">
        <v>191</v>
      </c>
      <c r="BE60" s="49" t="s">
        <v>703</v>
      </c>
      <c r="BF60" s="49" t="s">
        <v>704</v>
      </c>
      <c r="BG60" s="49"/>
      <c r="BH60" s="49" t="s">
        <v>139</v>
      </c>
      <c r="BI60" s="49" t="s">
        <v>134</v>
      </c>
      <c r="BJ60" s="49" t="s">
        <v>125</v>
      </c>
      <c r="BK60" s="49"/>
      <c r="BL60" s="49" t="s">
        <v>286</v>
      </c>
      <c r="BM60" s="49"/>
      <c r="BN60" s="49" t="s">
        <v>227</v>
      </c>
      <c r="BO60" s="49"/>
    </row>
    <row r="61" ht="16.8" customHeight="1">
      <c r="A61" s="43" t="s">
        <v>25</v>
      </c>
      <c r="B61" s="49" t="n">
        <v>51</v>
      </c>
      <c r="C61" s="49" t="s">
        <v>103</v>
      </c>
      <c r="D61" s="49" t="s">
        <v>104</v>
      </c>
      <c r="E61" s="49"/>
      <c r="F61" s="49" t="s">
        <v>689</v>
      </c>
      <c r="G61" s="49"/>
      <c r="H61" s="49" t="s">
        <v>690</v>
      </c>
      <c r="I61" s="87" t="s">
        <v>691</v>
      </c>
      <c r="J61" s="49"/>
      <c r="K61" s="49" t="s">
        <v>206</v>
      </c>
      <c r="L61" s="49" t="s">
        <v>14</v>
      </c>
      <c r="M61" s="49" t="s">
        <v>346</v>
      </c>
      <c r="N61" s="49" t="s">
        <v>372</v>
      </c>
      <c r="O61" s="49"/>
      <c r="P61" s="49"/>
      <c r="Q61" s="49"/>
      <c r="R61" s="49" t="s">
        <v>692</v>
      </c>
      <c r="S61" s="49" t="s">
        <v>14</v>
      </c>
      <c r="T61" s="49" t="s">
        <v>693</v>
      </c>
      <c r="U61" s="49" t="s">
        <v>115</v>
      </c>
      <c r="V61" s="49" t="s">
        <v>694</v>
      </c>
      <c r="W61" s="49" t="s">
        <v>117</v>
      </c>
      <c r="X61" s="49" t="s">
        <v>412</v>
      </c>
      <c r="Y61" s="49" t="s">
        <v>174</v>
      </c>
      <c r="Z61" s="49" t="s">
        <v>695</v>
      </c>
      <c r="AA61" s="49" t="s">
        <v>696</v>
      </c>
      <c r="AB61" s="49" t="s">
        <v>697</v>
      </c>
      <c r="AC61" s="49" t="s">
        <v>692</v>
      </c>
      <c r="AD61" s="49" t="n">
        <v>5467489</v>
      </c>
      <c r="AE61" s="49" t="s">
        <v>14</v>
      </c>
      <c r="AF61" s="49" t="s">
        <v>698</v>
      </c>
      <c r="AG61" s="49" t="s">
        <v>14</v>
      </c>
      <c r="AH61" s="49" t="s">
        <v>698</v>
      </c>
      <c r="AI61" s="49" t="s">
        <v>705</v>
      </c>
      <c r="AJ61" s="49" t="s">
        <v>687</v>
      </c>
      <c r="AK61" s="49" t="s">
        <v>124</v>
      </c>
      <c r="AL61" s="49" t="s">
        <v>125</v>
      </c>
      <c r="AM61" s="51" t="n">
        <v>7131.3</v>
      </c>
      <c r="AN61" s="49" t="s">
        <v>126</v>
      </c>
      <c r="AO61" s="49" t="s">
        <v>125</v>
      </c>
      <c r="AP61" s="49" t="s">
        <v>127</v>
      </c>
      <c r="AQ61" s="49" t="s">
        <v>221</v>
      </c>
      <c r="AR61" s="49" t="s">
        <v>681</v>
      </c>
      <c r="AS61" s="49" t="s">
        <v>700</v>
      </c>
      <c r="AT61" s="49" t="s">
        <v>706</v>
      </c>
      <c r="AU61" s="49" t="s">
        <v>684</v>
      </c>
      <c r="AV61" s="49"/>
      <c r="AW61" s="49" t="s">
        <v>702</v>
      </c>
      <c r="AX61" s="49"/>
      <c r="AY61" s="49"/>
      <c r="AZ61" s="49"/>
      <c r="BA61" s="49"/>
      <c r="BB61" s="49" t="n">
        <v>65286884</v>
      </c>
      <c r="BC61" s="49" t="s">
        <v>134</v>
      </c>
      <c r="BD61" s="49" t="s">
        <v>191</v>
      </c>
      <c r="BE61" s="49" t="s">
        <v>703</v>
      </c>
      <c r="BF61" s="49" t="s">
        <v>704</v>
      </c>
      <c r="BG61" s="49"/>
      <c r="BH61" s="49" t="s">
        <v>139</v>
      </c>
      <c r="BI61" s="49" t="s">
        <v>134</v>
      </c>
      <c r="BJ61" s="49" t="s">
        <v>125</v>
      </c>
      <c r="BK61" s="49"/>
      <c r="BL61" s="49" t="s">
        <v>286</v>
      </c>
      <c r="BM61" s="49"/>
      <c r="BN61" s="49" t="s">
        <v>227</v>
      </c>
      <c r="BO61" s="49"/>
    </row>
    <row r="62" ht="16.8" customHeight="1">
      <c r="A62" s="43" t="s">
        <v>25</v>
      </c>
      <c r="B62" s="49" t="n">
        <v>52</v>
      </c>
      <c r="C62" s="49" t="s">
        <v>103</v>
      </c>
      <c r="D62" s="49" t="s">
        <v>104</v>
      </c>
      <c r="E62" s="49"/>
      <c r="F62" s="49" t="s">
        <v>707</v>
      </c>
      <c r="G62" s="49"/>
      <c r="H62" s="49" t="s">
        <v>708</v>
      </c>
      <c r="I62" s="49" t="s">
        <v>709</v>
      </c>
      <c r="J62" s="49" t="s">
        <v>125</v>
      </c>
      <c r="K62" s="49" t="s">
        <v>206</v>
      </c>
      <c r="L62" s="49" t="s">
        <v>14</v>
      </c>
      <c r="M62" s="49" t="s">
        <v>111</v>
      </c>
      <c r="N62" s="49" t="s">
        <v>175</v>
      </c>
      <c r="O62" s="49"/>
      <c r="P62" s="49"/>
      <c r="Q62" s="49"/>
      <c r="R62" s="49" t="s">
        <v>710</v>
      </c>
      <c r="S62" s="49" t="s">
        <v>14</v>
      </c>
      <c r="T62" s="49" t="s">
        <v>711</v>
      </c>
      <c r="U62" s="49" t="s">
        <v>115</v>
      </c>
      <c r="V62" s="49" t="s">
        <v>694</v>
      </c>
      <c r="W62" s="49" t="s">
        <v>117</v>
      </c>
      <c r="X62" s="49" t="s">
        <v>412</v>
      </c>
      <c r="Y62" s="49" t="s">
        <v>174</v>
      </c>
      <c r="Z62" s="49" t="s">
        <v>712</v>
      </c>
      <c r="AA62" s="49" t="s">
        <v>713</v>
      </c>
      <c r="AB62" s="49" t="s">
        <v>714</v>
      </c>
      <c r="AC62" s="49" t="s">
        <v>710</v>
      </c>
      <c r="AD62" s="49" t="n">
        <v>5467485</v>
      </c>
      <c r="AE62" s="49" t="s">
        <v>14</v>
      </c>
      <c r="AF62" s="49" t="s">
        <v>715</v>
      </c>
      <c r="AG62" s="49" t="s">
        <v>14</v>
      </c>
      <c r="AH62" s="49" t="s">
        <v>715</v>
      </c>
      <c r="AI62" s="49" t="s">
        <v>716</v>
      </c>
      <c r="AJ62" s="49" t="s">
        <v>717</v>
      </c>
      <c r="AK62" s="49" t="s">
        <v>124</v>
      </c>
      <c r="AL62" s="49" t="s">
        <v>125</v>
      </c>
      <c r="AM62" s="51" t="n">
        <v>11867.7</v>
      </c>
      <c r="AN62" s="49" t="s">
        <v>126</v>
      </c>
      <c r="AO62" s="49" t="s">
        <v>718</v>
      </c>
      <c r="AP62" s="49" t="s">
        <v>127</v>
      </c>
      <c r="AQ62" s="49" t="s">
        <v>221</v>
      </c>
      <c r="AR62" s="49" t="s">
        <v>681</v>
      </c>
      <c r="AS62" s="49" t="s">
        <v>719</v>
      </c>
      <c r="AT62" s="49" t="s">
        <v>720</v>
      </c>
      <c r="AU62" s="49" t="s">
        <v>684</v>
      </c>
      <c r="AV62" s="49"/>
      <c r="AW62" s="49" t="s">
        <v>721</v>
      </c>
      <c r="AX62" s="49"/>
      <c r="AY62" s="49"/>
      <c r="AZ62" s="49"/>
      <c r="BA62" s="49"/>
      <c r="BB62" s="49" t="n">
        <v>65878928</v>
      </c>
      <c r="BC62" s="49" t="s">
        <v>134</v>
      </c>
      <c r="BD62" s="49" t="s">
        <v>191</v>
      </c>
      <c r="BE62" s="49" t="s">
        <v>722</v>
      </c>
      <c r="BF62" s="49" t="s">
        <v>723</v>
      </c>
      <c r="BG62" s="49"/>
      <c r="BH62" s="49" t="s">
        <v>194</v>
      </c>
      <c r="BI62" s="49" t="s">
        <v>134</v>
      </c>
      <c r="BJ62" s="49" t="s">
        <v>125</v>
      </c>
      <c r="BK62" s="49"/>
      <c r="BL62" s="49" t="s">
        <v>286</v>
      </c>
      <c r="BM62" s="49"/>
      <c r="BN62" s="49" t="s">
        <v>195</v>
      </c>
      <c r="BO62" s="49"/>
    </row>
    <row r="63" ht="16.8" customHeight="1">
      <c r="A63" s="43" t="s">
        <v>25</v>
      </c>
      <c r="B63" s="49" t="n">
        <v>53</v>
      </c>
      <c r="C63" s="49" t="s">
        <v>103</v>
      </c>
      <c r="D63" s="49" t="s">
        <v>104</v>
      </c>
      <c r="E63" s="49"/>
      <c r="F63" s="49" t="s">
        <v>707</v>
      </c>
      <c r="G63" s="49"/>
      <c r="H63" s="49" t="s">
        <v>708</v>
      </c>
      <c r="I63" s="49" t="s">
        <v>709</v>
      </c>
      <c r="J63" s="49" t="s">
        <v>125</v>
      </c>
      <c r="K63" s="49" t="s">
        <v>206</v>
      </c>
      <c r="L63" s="49" t="s">
        <v>14</v>
      </c>
      <c r="M63" s="49" t="s">
        <v>111</v>
      </c>
      <c r="N63" s="49" t="s">
        <v>175</v>
      </c>
      <c r="O63" s="49"/>
      <c r="P63" s="49"/>
      <c r="Q63" s="49"/>
      <c r="R63" s="49" t="s">
        <v>710</v>
      </c>
      <c r="S63" s="49" t="s">
        <v>14</v>
      </c>
      <c r="T63" s="49" t="s">
        <v>711</v>
      </c>
      <c r="U63" s="49" t="s">
        <v>115</v>
      </c>
      <c r="V63" s="49" t="s">
        <v>694</v>
      </c>
      <c r="W63" s="49" t="s">
        <v>117</v>
      </c>
      <c r="X63" s="49" t="s">
        <v>412</v>
      </c>
      <c r="Y63" s="49" t="s">
        <v>174</v>
      </c>
      <c r="Z63" s="49" t="s">
        <v>712</v>
      </c>
      <c r="AA63" s="49" t="s">
        <v>713</v>
      </c>
      <c r="AB63" s="49" t="s">
        <v>714</v>
      </c>
      <c r="AC63" s="49" t="s">
        <v>710</v>
      </c>
      <c r="AD63" s="49" t="n">
        <v>5467485</v>
      </c>
      <c r="AE63" s="49" t="s">
        <v>14</v>
      </c>
      <c r="AF63" s="49" t="s">
        <v>715</v>
      </c>
      <c r="AG63" s="49" t="s">
        <v>14</v>
      </c>
      <c r="AH63" s="49" t="s">
        <v>715</v>
      </c>
      <c r="AI63" s="49" t="s">
        <v>724</v>
      </c>
      <c r="AJ63" s="49" t="s">
        <v>687</v>
      </c>
      <c r="AK63" s="49" t="s">
        <v>124</v>
      </c>
      <c r="AL63" s="49" t="s">
        <v>125</v>
      </c>
      <c r="AM63" s="51" t="n">
        <v>7101.4</v>
      </c>
      <c r="AN63" s="49" t="s">
        <v>126</v>
      </c>
      <c r="AO63" s="49" t="s">
        <v>718</v>
      </c>
      <c r="AP63" s="49" t="s">
        <v>127</v>
      </c>
      <c r="AQ63" s="49" t="s">
        <v>221</v>
      </c>
      <c r="AR63" s="49" t="s">
        <v>681</v>
      </c>
      <c r="AS63" s="49" t="s">
        <v>719</v>
      </c>
      <c r="AT63" s="49" t="s">
        <v>725</v>
      </c>
      <c r="AU63" s="49" t="s">
        <v>684</v>
      </c>
      <c r="AV63" s="49"/>
      <c r="AW63" s="49" t="s">
        <v>721</v>
      </c>
      <c r="AX63" s="49"/>
      <c r="AY63" s="49"/>
      <c r="AZ63" s="49"/>
      <c r="BA63" s="49"/>
      <c r="BB63" s="49" t="n">
        <v>65878928</v>
      </c>
      <c r="BC63" s="49" t="s">
        <v>134</v>
      </c>
      <c r="BD63" s="49" t="s">
        <v>191</v>
      </c>
      <c r="BE63" s="49" t="s">
        <v>722</v>
      </c>
      <c r="BF63" s="49" t="s">
        <v>723</v>
      </c>
      <c r="BG63" s="49"/>
      <c r="BH63" s="49" t="s">
        <v>194</v>
      </c>
      <c r="BI63" s="49" t="s">
        <v>134</v>
      </c>
      <c r="BJ63" s="49" t="s">
        <v>125</v>
      </c>
      <c r="BK63" s="49"/>
      <c r="BL63" s="49" t="s">
        <v>286</v>
      </c>
      <c r="BM63" s="49"/>
      <c r="BN63" s="49" t="s">
        <v>195</v>
      </c>
      <c r="BO63" s="49"/>
    </row>
    <row r="64" ht="16.8" customHeight="1">
      <c r="A64" s="43" t="s">
        <v>25</v>
      </c>
      <c r="B64" s="49" t="n">
        <v>54</v>
      </c>
      <c r="C64" s="49" t="s">
        <v>103</v>
      </c>
      <c r="D64" s="49" t="s">
        <v>104</v>
      </c>
      <c r="E64" s="49"/>
      <c r="F64" s="49" t="s">
        <v>726</v>
      </c>
      <c r="G64" s="49"/>
      <c r="H64" s="49" t="s">
        <v>727</v>
      </c>
      <c r="I64" s="88" t="s">
        <v>728</v>
      </c>
      <c r="J64" s="49" t="s">
        <v>125</v>
      </c>
      <c r="K64" s="49" t="s">
        <v>250</v>
      </c>
      <c r="L64" s="49" t="s">
        <v>729</v>
      </c>
      <c r="M64" s="49" t="s">
        <v>207</v>
      </c>
      <c r="N64" s="49" t="s">
        <v>208</v>
      </c>
      <c r="O64" s="49"/>
      <c r="P64" s="49"/>
      <c r="Q64" s="49"/>
      <c r="R64" s="49" t="s">
        <v>730</v>
      </c>
      <c r="S64" s="49" t="s">
        <v>14</v>
      </c>
      <c r="T64" s="49" t="s">
        <v>731</v>
      </c>
      <c r="U64" s="49" t="s">
        <v>115</v>
      </c>
      <c r="V64" s="49" t="s">
        <v>732</v>
      </c>
      <c r="W64" s="49" t="s">
        <v>117</v>
      </c>
      <c r="X64" s="49" t="s">
        <v>412</v>
      </c>
      <c r="Y64" s="49" t="s">
        <v>174</v>
      </c>
      <c r="Z64" s="49" t="s">
        <v>733</v>
      </c>
      <c r="AA64" s="49" t="s">
        <v>734</v>
      </c>
      <c r="AB64" s="49" t="s">
        <v>735</v>
      </c>
      <c r="AC64" s="49" t="s">
        <v>730</v>
      </c>
      <c r="AD64" s="49" t="n">
        <v>5438819</v>
      </c>
      <c r="AE64" s="49" t="s">
        <v>14</v>
      </c>
      <c r="AF64" s="49" t="s">
        <v>736</v>
      </c>
      <c r="AG64" s="49" t="s">
        <v>14</v>
      </c>
      <c r="AH64" s="49" t="s">
        <v>736</v>
      </c>
      <c r="AI64" s="49" t="s">
        <v>679</v>
      </c>
      <c r="AJ64" s="49" t="s">
        <v>680</v>
      </c>
      <c r="AK64" s="49" t="s">
        <v>124</v>
      </c>
      <c r="AL64" s="49" t="s">
        <v>125</v>
      </c>
      <c r="AM64" s="51" t="n">
        <v>9096.4</v>
      </c>
      <c r="AN64" s="49" t="s">
        <v>126</v>
      </c>
      <c r="AO64" s="49" t="s">
        <v>125</v>
      </c>
      <c r="AP64" s="49" t="s">
        <v>127</v>
      </c>
      <c r="AQ64" s="49" t="s">
        <v>221</v>
      </c>
      <c r="AR64" s="49" t="s">
        <v>681</v>
      </c>
      <c r="AS64" s="49" t="s">
        <v>737</v>
      </c>
      <c r="AT64" s="49" t="s">
        <v>738</v>
      </c>
      <c r="AU64" s="49" t="s">
        <v>684</v>
      </c>
      <c r="AV64" s="49"/>
      <c r="AW64" s="49" t="s">
        <v>739</v>
      </c>
      <c r="AX64" s="49"/>
      <c r="AY64" s="49"/>
      <c r="AZ64" s="49"/>
      <c r="BA64" s="49"/>
      <c r="BB64" s="49" t="n">
        <v>33529072</v>
      </c>
      <c r="BC64" s="49" t="s">
        <v>134</v>
      </c>
      <c r="BD64" s="49" t="s">
        <v>191</v>
      </c>
      <c r="BE64" s="49" t="s">
        <v>740</v>
      </c>
      <c r="BF64" s="49" t="s">
        <v>137</v>
      </c>
      <c r="BG64" s="49"/>
      <c r="BH64" s="49" t="s">
        <v>194</v>
      </c>
      <c r="BI64" s="49" t="s">
        <v>134</v>
      </c>
      <c r="BJ64" s="49" t="s">
        <v>125</v>
      </c>
      <c r="BK64" s="49"/>
      <c r="BL64" s="49" t="s">
        <v>286</v>
      </c>
      <c r="BM64" s="49"/>
      <c r="BN64" s="49"/>
      <c r="BO64" s="49"/>
    </row>
    <row r="65" ht="16.8" customHeight="1">
      <c r="A65" s="43" t="s">
        <v>25</v>
      </c>
      <c r="B65" s="49" t="n">
        <v>55</v>
      </c>
      <c r="C65" s="49" t="s">
        <v>103</v>
      </c>
      <c r="D65" s="49" t="s">
        <v>104</v>
      </c>
      <c r="E65" s="49"/>
      <c r="F65" s="49" t="s">
        <v>726</v>
      </c>
      <c r="G65" s="49"/>
      <c r="H65" s="49" t="s">
        <v>727</v>
      </c>
      <c r="I65" s="89" t="s">
        <v>728</v>
      </c>
      <c r="J65" s="49" t="s">
        <v>125</v>
      </c>
      <c r="K65" s="49" t="s">
        <v>250</v>
      </c>
      <c r="L65" s="49" t="s">
        <v>729</v>
      </c>
      <c r="M65" s="49" t="s">
        <v>207</v>
      </c>
      <c r="N65" s="49" t="s">
        <v>208</v>
      </c>
      <c r="O65" s="49"/>
      <c r="P65" s="49"/>
      <c r="Q65" s="49"/>
      <c r="R65" s="49" t="s">
        <v>730</v>
      </c>
      <c r="S65" s="49" t="s">
        <v>14</v>
      </c>
      <c r="T65" s="49" t="s">
        <v>731</v>
      </c>
      <c r="U65" s="49" t="s">
        <v>115</v>
      </c>
      <c r="V65" s="49" t="s">
        <v>732</v>
      </c>
      <c r="W65" s="49" t="s">
        <v>117</v>
      </c>
      <c r="X65" s="49" t="s">
        <v>412</v>
      </c>
      <c r="Y65" s="49" t="s">
        <v>174</v>
      </c>
      <c r="Z65" s="49" t="s">
        <v>733</v>
      </c>
      <c r="AA65" s="49" t="s">
        <v>734</v>
      </c>
      <c r="AB65" s="49" t="s">
        <v>735</v>
      </c>
      <c r="AC65" s="49" t="s">
        <v>730</v>
      </c>
      <c r="AD65" s="49" t="n">
        <v>5438819</v>
      </c>
      <c r="AE65" s="49" t="s">
        <v>14</v>
      </c>
      <c r="AF65" s="49" t="s">
        <v>736</v>
      </c>
      <c r="AG65" s="49" t="s">
        <v>14</v>
      </c>
      <c r="AH65" s="49" t="s">
        <v>736</v>
      </c>
      <c r="AI65" s="49" t="s">
        <v>686</v>
      </c>
      <c r="AJ65" s="49" t="s">
        <v>687</v>
      </c>
      <c r="AK65" s="49" t="s">
        <v>124</v>
      </c>
      <c r="AL65" s="49" t="s">
        <v>125</v>
      </c>
      <c r="AM65" s="51" t="n">
        <v>5141.3</v>
      </c>
      <c r="AN65" s="49" t="s">
        <v>126</v>
      </c>
      <c r="AO65" s="49" t="s">
        <v>125</v>
      </c>
      <c r="AP65" s="49" t="s">
        <v>127</v>
      </c>
      <c r="AQ65" s="49" t="s">
        <v>221</v>
      </c>
      <c r="AR65" s="49" t="s">
        <v>681</v>
      </c>
      <c r="AS65" s="49" t="s">
        <v>737</v>
      </c>
      <c r="AT65" s="49" t="s">
        <v>741</v>
      </c>
      <c r="AU65" s="49" t="s">
        <v>684</v>
      </c>
      <c r="AV65" s="49"/>
      <c r="AW65" s="49" t="s">
        <v>739</v>
      </c>
      <c r="AX65" s="49"/>
      <c r="AY65" s="49"/>
      <c r="AZ65" s="49"/>
      <c r="BA65" s="49"/>
      <c r="BB65" s="49" t="n">
        <v>33529072</v>
      </c>
      <c r="BC65" s="49" t="s">
        <v>134</v>
      </c>
      <c r="BD65" s="49" t="s">
        <v>191</v>
      </c>
      <c r="BE65" s="49" t="s">
        <v>740</v>
      </c>
      <c r="BF65" s="49" t="s">
        <v>137</v>
      </c>
      <c r="BG65" s="49"/>
      <c r="BH65" s="49" t="s">
        <v>194</v>
      </c>
      <c r="BI65" s="49" t="s">
        <v>134</v>
      </c>
      <c r="BJ65" s="49" t="s">
        <v>125</v>
      </c>
      <c r="BK65" s="49"/>
      <c r="BL65" s="49" t="s">
        <v>286</v>
      </c>
      <c r="BM65" s="49"/>
      <c r="BN65" s="49"/>
      <c r="BO65" s="49"/>
    </row>
    <row r="66" ht="16.8" customHeight="1">
      <c r="A66" s="43" t="s">
        <v>25</v>
      </c>
      <c r="B66" s="49" t="n">
        <v>56</v>
      </c>
      <c r="C66" s="49" t="s">
        <v>103</v>
      </c>
      <c r="D66" s="49" t="s">
        <v>104</v>
      </c>
      <c r="E66" s="49"/>
      <c r="F66" s="49" t="s">
        <v>742</v>
      </c>
      <c r="G66" s="49"/>
      <c r="H66" s="49" t="s">
        <v>743</v>
      </c>
      <c r="I66" s="90" t="s">
        <v>744</v>
      </c>
      <c r="J66" s="49" t="s">
        <v>745</v>
      </c>
      <c r="K66" s="49" t="s">
        <v>110</v>
      </c>
      <c r="L66" s="49" t="s">
        <v>14</v>
      </c>
      <c r="M66" s="49" t="s">
        <v>346</v>
      </c>
      <c r="N66" s="49" t="s">
        <v>372</v>
      </c>
      <c r="O66" s="49"/>
      <c r="P66" s="49"/>
      <c r="Q66" s="49"/>
      <c r="R66" s="49" t="s">
        <v>746</v>
      </c>
      <c r="S66" s="49" t="s">
        <v>14</v>
      </c>
      <c r="T66" s="49" t="s">
        <v>747</v>
      </c>
      <c r="U66" s="49" t="s">
        <v>115</v>
      </c>
      <c r="V66" s="49" t="s">
        <v>694</v>
      </c>
      <c r="W66" s="49" t="s">
        <v>117</v>
      </c>
      <c r="X66" s="49" t="s">
        <v>748</v>
      </c>
      <c r="Y66" s="49" t="s">
        <v>174</v>
      </c>
      <c r="Z66" s="49" t="s">
        <v>259</v>
      </c>
      <c r="AA66" s="49" t="s">
        <v>749</v>
      </c>
      <c r="AB66" s="49" t="s">
        <v>299</v>
      </c>
      <c r="AC66" s="49" t="s">
        <v>746</v>
      </c>
      <c r="AD66" s="49" t="n">
        <v>5438817</v>
      </c>
      <c r="AE66" s="49" t="s">
        <v>14</v>
      </c>
      <c r="AF66" s="49" t="s">
        <v>750</v>
      </c>
      <c r="AG66" s="49" t="s">
        <v>14</v>
      </c>
      <c r="AH66" s="49" t="s">
        <v>750</v>
      </c>
      <c r="AI66" s="49" t="s">
        <v>679</v>
      </c>
      <c r="AJ66" s="49" t="s">
        <v>680</v>
      </c>
      <c r="AK66" s="49" t="s">
        <v>124</v>
      </c>
      <c r="AL66" s="49" t="s">
        <v>125</v>
      </c>
      <c r="AM66" s="51" t="n">
        <v>9096.5</v>
      </c>
      <c r="AN66" s="49" t="s">
        <v>126</v>
      </c>
      <c r="AO66" s="49" t="s">
        <v>125</v>
      </c>
      <c r="AP66" s="49" t="s">
        <v>127</v>
      </c>
      <c r="AQ66" s="49" t="s">
        <v>221</v>
      </c>
      <c r="AR66" s="49" t="s">
        <v>681</v>
      </c>
      <c r="AS66" s="49" t="s">
        <v>751</v>
      </c>
      <c r="AT66" s="49" t="s">
        <v>752</v>
      </c>
      <c r="AU66" s="49" t="s">
        <v>684</v>
      </c>
      <c r="AV66" s="49"/>
      <c r="AW66" s="49" t="s">
        <v>753</v>
      </c>
      <c r="AX66" s="49"/>
      <c r="AY66" s="49"/>
      <c r="AZ66" s="49"/>
      <c r="BA66" s="49"/>
      <c r="BB66" s="49" t="n">
        <v>58864973</v>
      </c>
      <c r="BC66" s="49" t="s">
        <v>134</v>
      </c>
      <c r="BD66" s="49" t="s">
        <v>191</v>
      </c>
      <c r="BE66" s="49" t="s">
        <v>754</v>
      </c>
      <c r="BF66" s="49" t="s">
        <v>137</v>
      </c>
      <c r="BG66" s="49"/>
      <c r="BH66" s="49" t="s">
        <v>194</v>
      </c>
      <c r="BI66" s="49" t="s">
        <v>134</v>
      </c>
      <c r="BJ66" s="49" t="s">
        <v>125</v>
      </c>
      <c r="BK66" s="49"/>
      <c r="BL66" s="49" t="s">
        <v>286</v>
      </c>
      <c r="BM66" s="49"/>
      <c r="BN66" s="49" t="s">
        <v>142</v>
      </c>
      <c r="BO66" s="49"/>
    </row>
    <row r="67" ht="16.8" customHeight="1">
      <c r="A67" s="43" t="s">
        <v>25</v>
      </c>
      <c r="B67" s="49" t="n">
        <v>57</v>
      </c>
      <c r="C67" s="49" t="s">
        <v>103</v>
      </c>
      <c r="D67" s="49" t="s">
        <v>104</v>
      </c>
      <c r="E67" s="49"/>
      <c r="F67" s="49" t="s">
        <v>742</v>
      </c>
      <c r="G67" s="49"/>
      <c r="H67" s="49" t="s">
        <v>743</v>
      </c>
      <c r="I67" s="91" t="s">
        <v>744</v>
      </c>
      <c r="J67" s="49" t="s">
        <v>745</v>
      </c>
      <c r="K67" s="49" t="s">
        <v>110</v>
      </c>
      <c r="L67" s="49" t="s">
        <v>14</v>
      </c>
      <c r="M67" s="49" t="s">
        <v>346</v>
      </c>
      <c r="N67" s="49" t="s">
        <v>372</v>
      </c>
      <c r="O67" s="49"/>
      <c r="P67" s="49"/>
      <c r="Q67" s="49"/>
      <c r="R67" s="49" t="s">
        <v>746</v>
      </c>
      <c r="S67" s="49" t="s">
        <v>14</v>
      </c>
      <c r="T67" s="49" t="s">
        <v>747</v>
      </c>
      <c r="U67" s="49" t="s">
        <v>115</v>
      </c>
      <c r="V67" s="49" t="s">
        <v>694</v>
      </c>
      <c r="W67" s="49" t="s">
        <v>117</v>
      </c>
      <c r="X67" s="49" t="s">
        <v>748</v>
      </c>
      <c r="Y67" s="49" t="s">
        <v>174</v>
      </c>
      <c r="Z67" s="49" t="s">
        <v>259</v>
      </c>
      <c r="AA67" s="49" t="s">
        <v>749</v>
      </c>
      <c r="AB67" s="49" t="s">
        <v>299</v>
      </c>
      <c r="AC67" s="49" t="s">
        <v>746</v>
      </c>
      <c r="AD67" s="49" t="n">
        <v>5438817</v>
      </c>
      <c r="AE67" s="49" t="s">
        <v>14</v>
      </c>
      <c r="AF67" s="49" t="s">
        <v>750</v>
      </c>
      <c r="AG67" s="49" t="s">
        <v>14</v>
      </c>
      <c r="AH67" s="49" t="s">
        <v>750</v>
      </c>
      <c r="AI67" s="49" t="s">
        <v>686</v>
      </c>
      <c r="AJ67" s="49" t="s">
        <v>687</v>
      </c>
      <c r="AK67" s="49" t="s">
        <v>124</v>
      </c>
      <c r="AL67" s="49" t="s">
        <v>125</v>
      </c>
      <c r="AM67" s="51" t="n">
        <v>5141.3</v>
      </c>
      <c r="AN67" s="49" t="s">
        <v>126</v>
      </c>
      <c r="AO67" s="49" t="s">
        <v>125</v>
      </c>
      <c r="AP67" s="49" t="s">
        <v>127</v>
      </c>
      <c r="AQ67" s="49" t="s">
        <v>221</v>
      </c>
      <c r="AR67" s="49" t="s">
        <v>681</v>
      </c>
      <c r="AS67" s="49" t="s">
        <v>751</v>
      </c>
      <c r="AT67" s="49" t="s">
        <v>755</v>
      </c>
      <c r="AU67" s="49" t="s">
        <v>684</v>
      </c>
      <c r="AV67" s="49"/>
      <c r="AW67" s="49" t="s">
        <v>753</v>
      </c>
      <c r="AX67" s="49"/>
      <c r="AY67" s="49"/>
      <c r="AZ67" s="49"/>
      <c r="BA67" s="49"/>
      <c r="BB67" s="49" t="n">
        <v>58864973</v>
      </c>
      <c r="BC67" s="49" t="s">
        <v>134</v>
      </c>
      <c r="BD67" s="49" t="s">
        <v>191</v>
      </c>
      <c r="BE67" s="49" t="s">
        <v>754</v>
      </c>
      <c r="BF67" s="49" t="s">
        <v>137</v>
      </c>
      <c r="BG67" s="49"/>
      <c r="BH67" s="49" t="s">
        <v>194</v>
      </c>
      <c r="BI67" s="49" t="s">
        <v>134</v>
      </c>
      <c r="BJ67" s="49" t="s">
        <v>125</v>
      </c>
      <c r="BK67" s="49"/>
      <c r="BL67" s="49" t="s">
        <v>286</v>
      </c>
      <c r="BM67" s="49"/>
      <c r="BN67" s="49" t="s">
        <v>142</v>
      </c>
      <c r="BO67" s="49"/>
    </row>
    <row r="68" ht="16.8" customHeight="1">
      <c r="A68" s="43" t="s">
        <v>25</v>
      </c>
      <c r="B68" s="49" t="n">
        <v>58</v>
      </c>
      <c r="C68" s="49" t="s">
        <v>103</v>
      </c>
      <c r="D68" s="49" t="s">
        <v>104</v>
      </c>
      <c r="E68" s="49"/>
      <c r="F68" s="49" t="s">
        <v>756</v>
      </c>
      <c r="G68" s="49"/>
      <c r="H68" s="49" t="s">
        <v>757</v>
      </c>
      <c r="I68" s="49" t="s">
        <v>758</v>
      </c>
      <c r="J68" s="49"/>
      <c r="K68" s="49" t="s">
        <v>174</v>
      </c>
      <c r="L68" s="49" t="s">
        <v>14</v>
      </c>
      <c r="M68" s="49" t="s">
        <v>111</v>
      </c>
      <c r="N68" s="49" t="s">
        <v>112</v>
      </c>
      <c r="O68" s="49"/>
      <c r="P68" s="49"/>
      <c r="Q68" s="49"/>
      <c r="R68" s="49" t="s">
        <v>759</v>
      </c>
      <c r="S68" s="49" t="s">
        <v>14</v>
      </c>
      <c r="T68" s="49" t="s">
        <v>760</v>
      </c>
      <c r="U68" s="49" t="s">
        <v>115</v>
      </c>
      <c r="V68" s="49" t="s">
        <v>761</v>
      </c>
      <c r="W68" s="49" t="s">
        <v>117</v>
      </c>
      <c r="X68" s="49" t="s">
        <v>312</v>
      </c>
      <c r="Y68" s="49" t="s">
        <v>174</v>
      </c>
      <c r="Z68" s="49" t="s">
        <v>762</v>
      </c>
      <c r="AA68" s="49" t="s">
        <v>763</v>
      </c>
      <c r="AB68" s="49" t="s">
        <v>764</v>
      </c>
      <c r="AC68" s="49" t="s">
        <v>759</v>
      </c>
      <c r="AD68" s="49" t="n">
        <v>5438803</v>
      </c>
      <c r="AE68" s="49" t="s">
        <v>14</v>
      </c>
      <c r="AF68" s="49" t="s">
        <v>761</v>
      </c>
      <c r="AG68" s="49" t="s">
        <v>14</v>
      </c>
      <c r="AH68" s="49" t="s">
        <v>732</v>
      </c>
      <c r="AI68" s="49" t="s">
        <v>679</v>
      </c>
      <c r="AJ68" s="49" t="s">
        <v>680</v>
      </c>
      <c r="AK68" s="49" t="s">
        <v>124</v>
      </c>
      <c r="AL68" s="49" t="s">
        <v>125</v>
      </c>
      <c r="AM68" s="51" t="n">
        <v>11729.9</v>
      </c>
      <c r="AN68" s="49" t="s">
        <v>126</v>
      </c>
      <c r="AO68" s="49" t="s">
        <v>125</v>
      </c>
      <c r="AP68" s="49" t="s">
        <v>127</v>
      </c>
      <c r="AQ68" s="49" t="s">
        <v>221</v>
      </c>
      <c r="AR68" s="49" t="s">
        <v>681</v>
      </c>
      <c r="AS68" s="49" t="s">
        <v>765</v>
      </c>
      <c r="AT68" s="49" t="s">
        <v>766</v>
      </c>
      <c r="AU68" s="49" t="s">
        <v>684</v>
      </c>
      <c r="AV68" s="49"/>
      <c r="AW68" s="49" t="s">
        <v>767</v>
      </c>
      <c r="AX68" s="49"/>
      <c r="AY68" s="49"/>
      <c r="AZ68" s="49"/>
      <c r="BA68" s="49"/>
      <c r="BB68" s="49" t="n">
        <v>63993771</v>
      </c>
      <c r="BC68" s="49" t="s">
        <v>134</v>
      </c>
      <c r="BD68" s="49" t="s">
        <v>191</v>
      </c>
      <c r="BE68" s="49" t="s">
        <v>318</v>
      </c>
      <c r="BF68" s="49" t="s">
        <v>319</v>
      </c>
      <c r="BG68" s="49"/>
      <c r="BH68" s="49" t="s">
        <v>139</v>
      </c>
      <c r="BI68" s="49" t="s">
        <v>134</v>
      </c>
      <c r="BJ68" s="49" t="s">
        <v>125</v>
      </c>
      <c r="BK68" s="49"/>
      <c r="BL68" s="49" t="s">
        <v>286</v>
      </c>
      <c r="BM68" s="49"/>
      <c r="BN68" s="49" t="s">
        <v>227</v>
      </c>
      <c r="BO68" s="49"/>
    </row>
    <row r="69" ht="16.8" customHeight="1">
      <c r="A69" s="43" t="s">
        <v>25</v>
      </c>
      <c r="B69" s="49" t="n">
        <v>59</v>
      </c>
      <c r="C69" s="49" t="s">
        <v>103</v>
      </c>
      <c r="D69" s="49" t="s">
        <v>104</v>
      </c>
      <c r="E69" s="49"/>
      <c r="F69" s="49" t="s">
        <v>756</v>
      </c>
      <c r="G69" s="49"/>
      <c r="H69" s="49" t="s">
        <v>757</v>
      </c>
      <c r="I69" s="49" t="s">
        <v>758</v>
      </c>
      <c r="J69" s="49"/>
      <c r="K69" s="49" t="s">
        <v>174</v>
      </c>
      <c r="L69" s="49" t="s">
        <v>14</v>
      </c>
      <c r="M69" s="49" t="s">
        <v>111</v>
      </c>
      <c r="N69" s="49" t="s">
        <v>112</v>
      </c>
      <c r="O69" s="49"/>
      <c r="P69" s="49"/>
      <c r="Q69" s="49"/>
      <c r="R69" s="49" t="s">
        <v>759</v>
      </c>
      <c r="S69" s="49" t="s">
        <v>14</v>
      </c>
      <c r="T69" s="49" t="s">
        <v>760</v>
      </c>
      <c r="U69" s="49" t="s">
        <v>115</v>
      </c>
      <c r="V69" s="49" t="s">
        <v>761</v>
      </c>
      <c r="W69" s="49" t="s">
        <v>117</v>
      </c>
      <c r="X69" s="49" t="s">
        <v>312</v>
      </c>
      <c r="Y69" s="49" t="s">
        <v>174</v>
      </c>
      <c r="Z69" s="49" t="s">
        <v>762</v>
      </c>
      <c r="AA69" s="49" t="s">
        <v>763</v>
      </c>
      <c r="AB69" s="49" t="s">
        <v>764</v>
      </c>
      <c r="AC69" s="49" t="s">
        <v>759</v>
      </c>
      <c r="AD69" s="49" t="n">
        <v>5438803</v>
      </c>
      <c r="AE69" s="49" t="s">
        <v>14</v>
      </c>
      <c r="AF69" s="49" t="s">
        <v>761</v>
      </c>
      <c r="AG69" s="49" t="s">
        <v>14</v>
      </c>
      <c r="AH69" s="49" t="s">
        <v>732</v>
      </c>
      <c r="AI69" s="49" t="s">
        <v>686</v>
      </c>
      <c r="AJ69" s="49" t="s">
        <v>687</v>
      </c>
      <c r="AK69" s="49" t="s">
        <v>124</v>
      </c>
      <c r="AL69" s="49" t="s">
        <v>125</v>
      </c>
      <c r="AM69" s="51" t="n">
        <v>7269.5</v>
      </c>
      <c r="AN69" s="49" t="s">
        <v>126</v>
      </c>
      <c r="AO69" s="49" t="s">
        <v>125</v>
      </c>
      <c r="AP69" s="49" t="s">
        <v>127</v>
      </c>
      <c r="AQ69" s="49" t="s">
        <v>221</v>
      </c>
      <c r="AR69" s="49" t="s">
        <v>681</v>
      </c>
      <c r="AS69" s="49" t="s">
        <v>765</v>
      </c>
      <c r="AT69" s="49" t="s">
        <v>768</v>
      </c>
      <c r="AU69" s="49" t="s">
        <v>684</v>
      </c>
      <c r="AV69" s="49"/>
      <c r="AW69" s="49" t="s">
        <v>767</v>
      </c>
      <c r="AX69" s="49"/>
      <c r="AY69" s="49"/>
      <c r="AZ69" s="49"/>
      <c r="BA69" s="49"/>
      <c r="BB69" s="49" t="n">
        <v>63993771</v>
      </c>
      <c r="BC69" s="49" t="s">
        <v>134</v>
      </c>
      <c r="BD69" s="49" t="s">
        <v>191</v>
      </c>
      <c r="BE69" s="49" t="s">
        <v>318</v>
      </c>
      <c r="BF69" s="49" t="s">
        <v>319</v>
      </c>
      <c r="BG69" s="49"/>
      <c r="BH69" s="49" t="s">
        <v>139</v>
      </c>
      <c r="BI69" s="49" t="s">
        <v>134</v>
      </c>
      <c r="BJ69" s="49" t="s">
        <v>125</v>
      </c>
      <c r="BK69" s="49"/>
      <c r="BL69" s="49" t="s">
        <v>286</v>
      </c>
      <c r="BM69" s="49"/>
      <c r="BN69" s="49" t="s">
        <v>227</v>
      </c>
      <c r="BO69" s="49"/>
    </row>
    <row r="70" ht="16.8" customHeight="1">
      <c r="A70" s="43" t="s">
        <v>25</v>
      </c>
      <c r="B70" s="49" t="n">
        <v>60</v>
      </c>
      <c r="C70" s="49" t="s">
        <v>103</v>
      </c>
      <c r="D70" s="49" t="s">
        <v>104</v>
      </c>
      <c r="E70" s="49"/>
      <c r="F70" s="49" t="s">
        <v>756</v>
      </c>
      <c r="G70" s="49"/>
      <c r="H70" s="49" t="s">
        <v>757</v>
      </c>
      <c r="I70" s="49" t="s">
        <v>758</v>
      </c>
      <c r="J70" s="49"/>
      <c r="K70" s="49" t="s">
        <v>174</v>
      </c>
      <c r="L70" s="49" t="s">
        <v>14</v>
      </c>
      <c r="M70" s="49" t="s">
        <v>111</v>
      </c>
      <c r="N70" s="49" t="s">
        <v>112</v>
      </c>
      <c r="O70" s="49"/>
      <c r="P70" s="49"/>
      <c r="Q70" s="49"/>
      <c r="R70" s="49" t="s">
        <v>759</v>
      </c>
      <c r="S70" s="49" t="s">
        <v>14</v>
      </c>
      <c r="T70" s="49" t="s">
        <v>760</v>
      </c>
      <c r="U70" s="49" t="s">
        <v>115</v>
      </c>
      <c r="V70" s="49" t="s">
        <v>761</v>
      </c>
      <c r="W70" s="49" t="s">
        <v>117</v>
      </c>
      <c r="X70" s="49" t="s">
        <v>312</v>
      </c>
      <c r="Y70" s="49" t="s">
        <v>174</v>
      </c>
      <c r="Z70" s="49" t="s">
        <v>762</v>
      </c>
      <c r="AA70" s="49" t="s">
        <v>763</v>
      </c>
      <c r="AB70" s="49" t="s">
        <v>764</v>
      </c>
      <c r="AC70" s="49" t="s">
        <v>759</v>
      </c>
      <c r="AD70" s="49" t="n">
        <v>5438803</v>
      </c>
      <c r="AE70" s="49" t="s">
        <v>14</v>
      </c>
      <c r="AF70" s="49" t="s">
        <v>761</v>
      </c>
      <c r="AG70" s="49" t="s">
        <v>14</v>
      </c>
      <c r="AH70" s="49" t="s">
        <v>732</v>
      </c>
      <c r="AI70" s="49" t="s">
        <v>724</v>
      </c>
      <c r="AJ70" s="49" t="s">
        <v>687</v>
      </c>
      <c r="AK70" s="49" t="s">
        <v>124</v>
      </c>
      <c r="AL70" s="49" t="s">
        <v>125</v>
      </c>
      <c r="AM70" s="51" t="n">
        <v>7269.5</v>
      </c>
      <c r="AN70" s="49" t="s">
        <v>126</v>
      </c>
      <c r="AO70" s="49" t="s">
        <v>125</v>
      </c>
      <c r="AP70" s="49" t="s">
        <v>127</v>
      </c>
      <c r="AQ70" s="49" t="s">
        <v>221</v>
      </c>
      <c r="AR70" s="49" t="s">
        <v>129</v>
      </c>
      <c r="AS70" s="49" t="s">
        <v>765</v>
      </c>
      <c r="AT70" s="49" t="s">
        <v>769</v>
      </c>
      <c r="AU70" s="49" t="s">
        <v>684</v>
      </c>
      <c r="AV70" s="49"/>
      <c r="AW70" s="49" t="s">
        <v>767</v>
      </c>
      <c r="AX70" s="49"/>
      <c r="AY70" s="49"/>
      <c r="AZ70" s="49"/>
      <c r="BA70" s="49"/>
      <c r="BB70" s="49" t="n">
        <v>63993771</v>
      </c>
      <c r="BC70" s="49" t="s">
        <v>134</v>
      </c>
      <c r="BD70" s="49" t="s">
        <v>191</v>
      </c>
      <c r="BE70" s="49" t="s">
        <v>318</v>
      </c>
      <c r="BF70" s="49" t="s">
        <v>319</v>
      </c>
      <c r="BG70" s="49"/>
      <c r="BH70" s="49" t="s">
        <v>139</v>
      </c>
      <c r="BI70" s="49" t="s">
        <v>134</v>
      </c>
      <c r="BJ70" s="49" t="s">
        <v>125</v>
      </c>
      <c r="BK70" s="49"/>
      <c r="BL70" s="49" t="s">
        <v>286</v>
      </c>
      <c r="BM70" s="49"/>
      <c r="BN70" s="49" t="s">
        <v>227</v>
      </c>
      <c r="BO70" s="49"/>
    </row>
    <row r="71" ht="16.8" customHeight="1">
      <c r="A71" s="43" t="s">
        <v>25</v>
      </c>
      <c r="B71" s="49" t="n">
        <v>61</v>
      </c>
      <c r="C71" s="49" t="s">
        <v>103</v>
      </c>
      <c r="D71" s="49" t="s">
        <v>104</v>
      </c>
      <c r="E71" s="49"/>
      <c r="F71" s="49" t="s">
        <v>756</v>
      </c>
      <c r="G71" s="49"/>
      <c r="H71" s="49" t="s">
        <v>757</v>
      </c>
      <c r="I71" s="49" t="s">
        <v>758</v>
      </c>
      <c r="J71" s="49"/>
      <c r="K71" s="49" t="s">
        <v>174</v>
      </c>
      <c r="L71" s="49" t="s">
        <v>14</v>
      </c>
      <c r="M71" s="49" t="s">
        <v>111</v>
      </c>
      <c r="N71" s="49" t="s">
        <v>112</v>
      </c>
      <c r="O71" s="49"/>
      <c r="P71" s="49"/>
      <c r="Q71" s="49"/>
      <c r="R71" s="49" t="s">
        <v>759</v>
      </c>
      <c r="S71" s="49" t="s">
        <v>14</v>
      </c>
      <c r="T71" s="49" t="s">
        <v>760</v>
      </c>
      <c r="U71" s="49" t="s">
        <v>115</v>
      </c>
      <c r="V71" s="49" t="s">
        <v>761</v>
      </c>
      <c r="W71" s="49" t="s">
        <v>117</v>
      </c>
      <c r="X71" s="49" t="s">
        <v>312</v>
      </c>
      <c r="Y71" s="49" t="s">
        <v>174</v>
      </c>
      <c r="Z71" s="49" t="s">
        <v>762</v>
      </c>
      <c r="AA71" s="49" t="s">
        <v>763</v>
      </c>
      <c r="AB71" s="49" t="s">
        <v>764</v>
      </c>
      <c r="AC71" s="49" t="s">
        <v>759</v>
      </c>
      <c r="AD71" s="49" t="n">
        <v>5438803</v>
      </c>
      <c r="AE71" s="49" t="s">
        <v>14</v>
      </c>
      <c r="AF71" s="49" t="s">
        <v>761</v>
      </c>
      <c r="AG71" s="49" t="s">
        <v>14</v>
      </c>
      <c r="AH71" s="49" t="s">
        <v>732</v>
      </c>
      <c r="AI71" s="49" t="s">
        <v>716</v>
      </c>
      <c r="AJ71" s="49" t="s">
        <v>717</v>
      </c>
      <c r="AK71" s="49" t="s">
        <v>124</v>
      </c>
      <c r="AL71" s="49" t="s">
        <v>125</v>
      </c>
      <c r="AM71" s="51" t="n">
        <v>11729.9</v>
      </c>
      <c r="AN71" s="49" t="s">
        <v>126</v>
      </c>
      <c r="AO71" s="49" t="s">
        <v>125</v>
      </c>
      <c r="AP71" s="49" t="s">
        <v>127</v>
      </c>
      <c r="AQ71" s="49" t="s">
        <v>221</v>
      </c>
      <c r="AR71" s="49" t="s">
        <v>129</v>
      </c>
      <c r="AS71" s="49" t="s">
        <v>765</v>
      </c>
      <c r="AT71" s="49" t="s">
        <v>770</v>
      </c>
      <c r="AU71" s="49" t="s">
        <v>684</v>
      </c>
      <c r="AV71" s="49"/>
      <c r="AW71" s="49" t="s">
        <v>767</v>
      </c>
      <c r="AX71" s="49"/>
      <c r="AY71" s="49"/>
      <c r="AZ71" s="49"/>
      <c r="BA71" s="49"/>
      <c r="BB71" s="49" t="n">
        <v>63993771</v>
      </c>
      <c r="BC71" s="49" t="s">
        <v>134</v>
      </c>
      <c r="BD71" s="49" t="s">
        <v>191</v>
      </c>
      <c r="BE71" s="49" t="s">
        <v>318</v>
      </c>
      <c r="BF71" s="49" t="s">
        <v>319</v>
      </c>
      <c r="BG71" s="49"/>
      <c r="BH71" s="49" t="s">
        <v>139</v>
      </c>
      <c r="BI71" s="49" t="s">
        <v>134</v>
      </c>
      <c r="BJ71" s="49" t="s">
        <v>125</v>
      </c>
      <c r="BK71" s="49"/>
      <c r="BL71" s="49" t="s">
        <v>286</v>
      </c>
      <c r="BM71" s="49"/>
      <c r="BN71" s="49" t="s">
        <v>227</v>
      </c>
      <c r="BO71" s="49"/>
    </row>
    <row r="72" ht="16.8" customHeight="1">
      <c r="A72" s="43" t="s">
        <v>38</v>
      </c>
      <c r="B72" s="49" t="n">
        <v>62</v>
      </c>
      <c r="C72" s="49" t="s">
        <v>103</v>
      </c>
      <c r="D72" s="49" t="s">
        <v>104</v>
      </c>
      <c r="E72" s="49" t="s">
        <v>250</v>
      </c>
      <c r="F72" s="49" t="s">
        <v>771</v>
      </c>
      <c r="G72" s="49" t="s">
        <v>252</v>
      </c>
      <c r="H72" s="49" t="s">
        <v>772</v>
      </c>
      <c r="I72" s="49" t="s">
        <v>254</v>
      </c>
      <c r="J72" s="49" t="s">
        <v>125</v>
      </c>
      <c r="K72" s="49" t="s">
        <v>174</v>
      </c>
      <c r="L72" s="49" t="s">
        <v>14</v>
      </c>
      <c r="M72" s="49" t="s">
        <v>207</v>
      </c>
      <c r="N72" s="49" t="s">
        <v>773</v>
      </c>
      <c r="O72" s="49" t="s">
        <v>125</v>
      </c>
      <c r="P72" s="49"/>
      <c r="Q72" s="49"/>
      <c r="R72" s="49" t="s">
        <v>774</v>
      </c>
      <c r="S72" s="49" t="s">
        <v>14</v>
      </c>
      <c r="T72" s="49" t="s">
        <v>775</v>
      </c>
      <c r="U72" s="49" t="s">
        <v>178</v>
      </c>
      <c r="V72" s="49" t="s">
        <v>776</v>
      </c>
      <c r="W72" s="49" t="s">
        <v>117</v>
      </c>
      <c r="X72" s="49" t="s">
        <v>238</v>
      </c>
      <c r="Y72" s="49" t="s">
        <v>174</v>
      </c>
      <c r="Z72" s="49" t="s">
        <v>777</v>
      </c>
      <c r="AA72" s="49" t="s">
        <v>182</v>
      </c>
      <c r="AB72" s="49" t="s">
        <v>778</v>
      </c>
      <c r="AC72" s="49" t="s">
        <v>774</v>
      </c>
      <c r="AD72" s="49" t="n">
        <v>5494745</v>
      </c>
      <c r="AE72" s="49" t="s">
        <v>14</v>
      </c>
      <c r="AF72" s="49" t="s">
        <v>779</v>
      </c>
      <c r="AG72" s="49"/>
      <c r="AH72" s="49"/>
      <c r="AI72" s="49" t="s">
        <v>780</v>
      </c>
      <c r="AJ72" s="50" t="s">
        <v>781</v>
      </c>
      <c r="AK72" s="49"/>
      <c r="AL72" s="49" t="s">
        <v>125</v>
      </c>
      <c r="AM72" s="51" t="n">
        <v>6953</v>
      </c>
      <c r="AN72" s="49"/>
      <c r="AO72" s="49" t="s">
        <v>125</v>
      </c>
      <c r="AP72" s="49" t="s">
        <v>187</v>
      </c>
      <c r="AQ72" s="49" t="s">
        <v>782</v>
      </c>
      <c r="AR72" s="49"/>
      <c r="AS72" s="49"/>
      <c r="AT72" s="49"/>
      <c r="AU72" s="49" t="s">
        <v>380</v>
      </c>
      <c r="AV72" s="49"/>
      <c r="AW72" s="49" t="s">
        <v>783</v>
      </c>
      <c r="AX72" s="49"/>
      <c r="AY72" s="49"/>
      <c r="AZ72" s="49"/>
      <c r="BA72" s="49" t="s">
        <v>444</v>
      </c>
      <c r="BB72" s="49" t="n">
        <v>74099200</v>
      </c>
      <c r="BC72" s="49" t="s">
        <v>140</v>
      </c>
      <c r="BD72" s="49" t="s">
        <v>191</v>
      </c>
      <c r="BE72" s="49" t="s">
        <v>337</v>
      </c>
      <c r="BF72" s="49" t="s">
        <v>225</v>
      </c>
      <c r="BG72" s="49" t="s">
        <v>138</v>
      </c>
      <c r="BH72" s="49" t="s">
        <v>139</v>
      </c>
      <c r="BI72" s="49" t="s">
        <v>134</v>
      </c>
      <c r="BJ72" s="49"/>
      <c r="BK72" s="49"/>
      <c r="BL72" s="49"/>
      <c r="BM72" s="49" t="n">
        <v>103009134</v>
      </c>
      <c r="BN72" s="49" t="s">
        <v>142</v>
      </c>
      <c r="BO72" s="49" t="s">
        <v>196</v>
      </c>
    </row>
    <row r="73" ht="16.8" customHeight="1">
      <c r="A73" s="43" t="s">
        <v>25</v>
      </c>
      <c r="B73" s="49" t="n">
        <v>63</v>
      </c>
      <c r="C73" s="49" t="s">
        <v>103</v>
      </c>
      <c r="D73" s="49" t="s">
        <v>104</v>
      </c>
      <c r="E73" s="49"/>
      <c r="F73" s="49" t="s">
        <v>784</v>
      </c>
      <c r="G73" s="49"/>
      <c r="H73" s="49" t="s">
        <v>785</v>
      </c>
      <c r="I73" s="49" t="s">
        <v>786</v>
      </c>
      <c r="J73" s="49"/>
      <c r="K73" s="49" t="s">
        <v>250</v>
      </c>
      <c r="L73" s="49" t="s">
        <v>14</v>
      </c>
      <c r="M73" s="49" t="s">
        <v>207</v>
      </c>
      <c r="N73" s="49" t="s">
        <v>773</v>
      </c>
      <c r="O73" s="49"/>
      <c r="P73" s="49"/>
      <c r="Q73" s="49"/>
      <c r="R73" s="49" t="s">
        <v>787</v>
      </c>
      <c r="S73" s="49" t="s">
        <v>14</v>
      </c>
      <c r="T73" s="49" t="s">
        <v>788</v>
      </c>
      <c r="U73" s="49" t="s">
        <v>115</v>
      </c>
      <c r="V73" s="49" t="s">
        <v>789</v>
      </c>
      <c r="W73" s="49" t="s">
        <v>117</v>
      </c>
      <c r="X73" s="49" t="s">
        <v>790</v>
      </c>
      <c r="Y73" s="49" t="s">
        <v>206</v>
      </c>
      <c r="Z73" s="49" t="s">
        <v>526</v>
      </c>
      <c r="AA73" s="49" t="s">
        <v>791</v>
      </c>
      <c r="AB73" s="49" t="s">
        <v>217</v>
      </c>
      <c r="AC73" s="49" t="s">
        <v>787</v>
      </c>
      <c r="AD73" s="49" t="n">
        <v>5521655</v>
      </c>
      <c r="AE73" s="49" t="s">
        <v>14</v>
      </c>
      <c r="AF73" s="49" t="s">
        <v>789</v>
      </c>
      <c r="AG73" s="49" t="s">
        <v>14</v>
      </c>
      <c r="AH73" s="49" t="s">
        <v>789</v>
      </c>
      <c r="AI73" s="49" t="s">
        <v>792</v>
      </c>
      <c r="AJ73" s="49" t="s">
        <v>159</v>
      </c>
      <c r="AK73" s="49" t="s">
        <v>124</v>
      </c>
      <c r="AL73" s="49" t="s">
        <v>125</v>
      </c>
      <c r="AM73" s="51" t="n">
        <v>3891.1</v>
      </c>
      <c r="AN73" s="49" t="s">
        <v>126</v>
      </c>
      <c r="AO73" s="49" t="s">
        <v>125</v>
      </c>
      <c r="AP73" s="49" t="s">
        <v>127</v>
      </c>
      <c r="AQ73" s="49" t="s">
        <v>782</v>
      </c>
      <c r="AR73" s="49" t="s">
        <v>280</v>
      </c>
      <c r="AS73" s="49" t="s">
        <v>793</v>
      </c>
      <c r="AT73" s="49" t="s">
        <v>794</v>
      </c>
      <c r="AU73" s="49" t="s">
        <v>399</v>
      </c>
      <c r="AV73" s="49"/>
      <c r="AW73" s="49" t="s">
        <v>795</v>
      </c>
      <c r="AX73" s="49"/>
      <c r="AY73" s="49"/>
      <c r="AZ73" s="49"/>
      <c r="BA73" s="49"/>
      <c r="BB73" s="49" t="n">
        <v>67848549</v>
      </c>
      <c r="BC73" s="49" t="s">
        <v>134</v>
      </c>
      <c r="BD73" s="49" t="s">
        <v>191</v>
      </c>
      <c r="BE73" s="49" t="s">
        <v>796</v>
      </c>
      <c r="BF73" s="49" t="s">
        <v>797</v>
      </c>
      <c r="BG73" s="49"/>
      <c r="BH73" s="49" t="s">
        <v>534</v>
      </c>
      <c r="BI73" s="49" t="s">
        <v>134</v>
      </c>
      <c r="BJ73" s="49" t="s">
        <v>125</v>
      </c>
      <c r="BK73" s="49"/>
      <c r="BL73" s="49" t="s">
        <v>286</v>
      </c>
      <c r="BM73" s="49"/>
      <c r="BN73" s="49" t="s">
        <v>142</v>
      </c>
      <c r="BO73" s="49"/>
    </row>
    <row r="74" ht="16.8" customHeight="1">
      <c r="A74" s="43" t="s">
        <v>25</v>
      </c>
      <c r="B74" s="49" t="n">
        <v>64</v>
      </c>
      <c r="C74" s="49" t="s">
        <v>103</v>
      </c>
      <c r="D74" s="49" t="s">
        <v>104</v>
      </c>
      <c r="E74" s="49"/>
      <c r="F74" s="49" t="s">
        <v>798</v>
      </c>
      <c r="G74" s="49"/>
      <c r="H74" s="49" t="s">
        <v>799</v>
      </c>
      <c r="I74" s="92" t="s">
        <v>800</v>
      </c>
      <c r="J74" s="49" t="s">
        <v>125</v>
      </c>
      <c r="K74" s="49" t="s">
        <v>206</v>
      </c>
      <c r="L74" s="49" t="s">
        <v>14</v>
      </c>
      <c r="M74" s="49" t="s">
        <v>111</v>
      </c>
      <c r="N74" s="49" t="s">
        <v>801</v>
      </c>
      <c r="O74" s="49"/>
      <c r="P74" s="49"/>
      <c r="Q74" s="49"/>
      <c r="R74" s="49" t="s">
        <v>802</v>
      </c>
      <c r="S74" s="49" t="s">
        <v>14</v>
      </c>
      <c r="T74" s="49" t="s">
        <v>803</v>
      </c>
      <c r="U74" s="49" t="s">
        <v>115</v>
      </c>
      <c r="V74" s="49" t="s">
        <v>804</v>
      </c>
      <c r="W74" s="49" t="s">
        <v>117</v>
      </c>
      <c r="X74" s="49" t="s">
        <v>790</v>
      </c>
      <c r="Y74" s="49" t="s">
        <v>174</v>
      </c>
      <c r="Z74" s="49" t="s">
        <v>805</v>
      </c>
      <c r="AA74" s="49" t="s">
        <v>806</v>
      </c>
      <c r="AB74" s="49" t="s">
        <v>806</v>
      </c>
      <c r="AC74" s="49" t="s">
        <v>802</v>
      </c>
      <c r="AD74" s="49" t="n">
        <v>5485946</v>
      </c>
      <c r="AE74" s="49" t="s">
        <v>14</v>
      </c>
      <c r="AF74" s="49" t="s">
        <v>807</v>
      </c>
      <c r="AG74" s="49" t="s">
        <v>14</v>
      </c>
      <c r="AH74" s="49" t="s">
        <v>807</v>
      </c>
      <c r="AI74" s="49" t="s">
        <v>158</v>
      </c>
      <c r="AJ74" s="49" t="s">
        <v>159</v>
      </c>
      <c r="AK74" s="49" t="s">
        <v>124</v>
      </c>
      <c r="AL74" s="49" t="s">
        <v>125</v>
      </c>
      <c r="AM74" s="51" t="n">
        <v>3915</v>
      </c>
      <c r="AN74" s="49" t="s">
        <v>126</v>
      </c>
      <c r="AO74" s="49" t="s">
        <v>125</v>
      </c>
      <c r="AP74" s="49" t="s">
        <v>127</v>
      </c>
      <c r="AQ74" s="49" t="s">
        <v>782</v>
      </c>
      <c r="AR74" s="49" t="s">
        <v>280</v>
      </c>
      <c r="AS74" s="49" t="s">
        <v>808</v>
      </c>
      <c r="AT74" s="49" t="s">
        <v>809</v>
      </c>
      <c r="AU74" s="49" t="s">
        <v>810</v>
      </c>
      <c r="AV74" s="49"/>
      <c r="AW74" s="49" t="s">
        <v>811</v>
      </c>
      <c r="AX74" s="49"/>
      <c r="AY74" s="49"/>
      <c r="AZ74" s="49"/>
      <c r="BA74" s="49"/>
      <c r="BB74" s="49" t="n">
        <v>70870277</v>
      </c>
      <c r="BC74" s="49" t="s">
        <v>134</v>
      </c>
      <c r="BD74" s="49" t="s">
        <v>135</v>
      </c>
      <c r="BE74" s="49" t="s">
        <v>796</v>
      </c>
      <c r="BF74" s="49" t="s">
        <v>424</v>
      </c>
      <c r="BG74" s="49"/>
      <c r="BH74" s="49" t="s">
        <v>139</v>
      </c>
      <c r="BI74" s="49" t="s">
        <v>134</v>
      </c>
      <c r="BJ74" s="49" t="s">
        <v>125</v>
      </c>
      <c r="BK74" s="49"/>
      <c r="BL74" s="49" t="s">
        <v>286</v>
      </c>
      <c r="BM74" s="49"/>
      <c r="BN74" s="49" t="s">
        <v>142</v>
      </c>
      <c r="BO74" s="49"/>
    </row>
    <row r="75" ht="16.8" customHeight="1">
      <c r="A75" s="43" t="s">
        <v>25</v>
      </c>
      <c r="B75" s="49" t="n">
        <v>65</v>
      </c>
      <c r="C75" s="49" t="s">
        <v>103</v>
      </c>
      <c r="D75" s="49" t="s">
        <v>104</v>
      </c>
      <c r="E75" s="49"/>
      <c r="F75" s="49" t="s">
        <v>812</v>
      </c>
      <c r="G75" s="49"/>
      <c r="H75" s="49" t="s">
        <v>813</v>
      </c>
      <c r="I75" s="49" t="s">
        <v>814</v>
      </c>
      <c r="J75" s="49" t="s">
        <v>125</v>
      </c>
      <c r="K75" s="49" t="s">
        <v>206</v>
      </c>
      <c r="L75" s="49" t="s">
        <v>14</v>
      </c>
      <c r="M75" s="49" t="s">
        <v>111</v>
      </c>
      <c r="N75" s="49" t="s">
        <v>175</v>
      </c>
      <c r="O75" s="49"/>
      <c r="P75" s="49"/>
      <c r="Q75" s="49"/>
      <c r="R75" s="49" t="s">
        <v>815</v>
      </c>
      <c r="S75" s="49" t="s">
        <v>14</v>
      </c>
      <c r="T75" s="49" t="s">
        <v>816</v>
      </c>
      <c r="U75" s="49" t="s">
        <v>115</v>
      </c>
      <c r="V75" s="49" t="s">
        <v>817</v>
      </c>
      <c r="W75" s="49" t="s">
        <v>117</v>
      </c>
      <c r="X75" s="49" t="s">
        <v>391</v>
      </c>
      <c r="Y75" s="49" t="s">
        <v>206</v>
      </c>
      <c r="Z75" s="49" t="s">
        <v>712</v>
      </c>
      <c r="AA75" s="49" t="s">
        <v>818</v>
      </c>
      <c r="AB75" s="49" t="s">
        <v>819</v>
      </c>
      <c r="AC75" s="49" t="s">
        <v>815</v>
      </c>
      <c r="AD75" s="49" t="n">
        <v>5455697</v>
      </c>
      <c r="AE75" s="49" t="s">
        <v>14</v>
      </c>
      <c r="AF75" s="49" t="s">
        <v>817</v>
      </c>
      <c r="AG75" s="49" t="s">
        <v>820</v>
      </c>
      <c r="AH75" s="49" t="s">
        <v>817</v>
      </c>
      <c r="AI75" s="49" t="s">
        <v>821</v>
      </c>
      <c r="AJ75" s="49" t="s">
        <v>822</v>
      </c>
      <c r="AK75" s="49"/>
      <c r="AL75" s="49" t="s">
        <v>125</v>
      </c>
      <c r="AM75" s="51" t="n">
        <v>-8000</v>
      </c>
      <c r="AN75" s="49"/>
      <c r="AO75" s="49" t="s">
        <v>718</v>
      </c>
      <c r="AP75" s="49"/>
      <c r="AQ75" s="49" t="s">
        <v>782</v>
      </c>
      <c r="AR75" s="49"/>
      <c r="AS75" s="49" t="s">
        <v>823</v>
      </c>
      <c r="AT75" s="49"/>
      <c r="AU75" s="49" t="s">
        <v>475</v>
      </c>
      <c r="AV75" s="49"/>
      <c r="AW75" s="49" t="s">
        <v>824</v>
      </c>
      <c r="AX75" s="49"/>
      <c r="AY75" s="49"/>
      <c r="AZ75" s="49"/>
      <c r="BA75" s="49"/>
      <c r="BB75" s="49" t="n">
        <v>64168068</v>
      </c>
      <c r="BC75" s="49" t="s">
        <v>134</v>
      </c>
      <c r="BD75" s="49" t="s">
        <v>191</v>
      </c>
      <c r="BE75" s="49" t="s">
        <v>401</v>
      </c>
      <c r="BF75" s="49" t="s">
        <v>464</v>
      </c>
      <c r="BG75" s="49"/>
      <c r="BH75" s="49" t="s">
        <v>194</v>
      </c>
      <c r="BI75" s="49" t="s">
        <v>134</v>
      </c>
      <c r="BJ75" s="49"/>
      <c r="BK75" s="49"/>
      <c r="BL75" s="49"/>
      <c r="BM75" s="49"/>
      <c r="BN75" s="49"/>
      <c r="BO75" s="49"/>
    </row>
    <row r="76" ht="16.8" customHeight="1">
      <c r="A76" s="43" t="s">
        <v>25</v>
      </c>
      <c r="B76" s="49" t="n">
        <v>66</v>
      </c>
      <c r="C76" s="49" t="s">
        <v>103</v>
      </c>
      <c r="D76" s="49" t="s">
        <v>104</v>
      </c>
      <c r="E76" s="49"/>
      <c r="F76" s="49" t="s">
        <v>812</v>
      </c>
      <c r="G76" s="49"/>
      <c r="H76" s="49" t="s">
        <v>813</v>
      </c>
      <c r="I76" s="49" t="s">
        <v>814</v>
      </c>
      <c r="J76" s="49" t="s">
        <v>125</v>
      </c>
      <c r="K76" s="49" t="s">
        <v>206</v>
      </c>
      <c r="L76" s="49" t="s">
        <v>14</v>
      </c>
      <c r="M76" s="49" t="s">
        <v>111</v>
      </c>
      <c r="N76" s="49" t="s">
        <v>175</v>
      </c>
      <c r="O76" s="49"/>
      <c r="P76" s="49"/>
      <c r="Q76" s="49"/>
      <c r="R76" s="49" t="s">
        <v>815</v>
      </c>
      <c r="S76" s="49" t="s">
        <v>14</v>
      </c>
      <c r="T76" s="49" t="s">
        <v>816</v>
      </c>
      <c r="U76" s="49" t="s">
        <v>115</v>
      </c>
      <c r="V76" s="49" t="s">
        <v>817</v>
      </c>
      <c r="W76" s="49" t="s">
        <v>117</v>
      </c>
      <c r="X76" s="49" t="s">
        <v>391</v>
      </c>
      <c r="Y76" s="49" t="s">
        <v>206</v>
      </c>
      <c r="Z76" s="49" t="s">
        <v>712</v>
      </c>
      <c r="AA76" s="49" t="s">
        <v>818</v>
      </c>
      <c r="AB76" s="49" t="s">
        <v>819</v>
      </c>
      <c r="AC76" s="49" t="s">
        <v>815</v>
      </c>
      <c r="AD76" s="49" t="n">
        <v>5455697</v>
      </c>
      <c r="AE76" s="49" t="s">
        <v>14</v>
      </c>
      <c r="AF76" s="49" t="s">
        <v>817</v>
      </c>
      <c r="AG76" s="49" t="s">
        <v>820</v>
      </c>
      <c r="AH76" s="49" t="s">
        <v>817</v>
      </c>
      <c r="AI76" s="49" t="s">
        <v>825</v>
      </c>
      <c r="AJ76" s="49" t="s">
        <v>826</v>
      </c>
      <c r="AK76" s="49"/>
      <c r="AL76" s="49" t="s">
        <v>125</v>
      </c>
      <c r="AM76" s="51" t="n">
        <v>8000</v>
      </c>
      <c r="AN76" s="49"/>
      <c r="AO76" s="49" t="s">
        <v>718</v>
      </c>
      <c r="AP76" s="49"/>
      <c r="AQ76" s="49" t="s">
        <v>782</v>
      </c>
      <c r="AR76" s="49"/>
      <c r="AS76" s="49" t="s">
        <v>823</v>
      </c>
      <c r="AT76" s="49"/>
      <c r="AU76" s="49" t="s">
        <v>475</v>
      </c>
      <c r="AV76" s="49"/>
      <c r="AW76" s="49" t="s">
        <v>824</v>
      </c>
      <c r="AX76" s="49"/>
      <c r="AY76" s="49"/>
      <c r="AZ76" s="49"/>
      <c r="BA76" s="49"/>
      <c r="BB76" s="49" t="n">
        <v>64168068</v>
      </c>
      <c r="BC76" s="49" t="s">
        <v>134</v>
      </c>
      <c r="BD76" s="49" t="s">
        <v>191</v>
      </c>
      <c r="BE76" s="49" t="s">
        <v>401</v>
      </c>
      <c r="BF76" s="49" t="s">
        <v>464</v>
      </c>
      <c r="BG76" s="49"/>
      <c r="BH76" s="49" t="s">
        <v>194</v>
      </c>
      <c r="BI76" s="49" t="s">
        <v>134</v>
      </c>
      <c r="BJ76" s="49"/>
      <c r="BK76" s="49"/>
      <c r="BL76" s="49"/>
      <c r="BM76" s="49"/>
      <c r="BN76" s="49"/>
      <c r="BO76" s="49"/>
    </row>
    <row r="77" ht="16.8" customHeight="1">
      <c r="A77" s="43" t="s">
        <v>38</v>
      </c>
      <c r="B77" s="49" t="n">
        <v>67</v>
      </c>
      <c r="C77" s="49" t="s">
        <v>103</v>
      </c>
      <c r="D77" s="49" t="s">
        <v>104</v>
      </c>
      <c r="E77" s="49" t="s">
        <v>827</v>
      </c>
      <c r="F77" s="49" t="s">
        <v>828</v>
      </c>
      <c r="G77" s="49" t="s">
        <v>829</v>
      </c>
      <c r="H77" s="49" t="s">
        <v>830</v>
      </c>
      <c r="I77" s="49" t="s">
        <v>831</v>
      </c>
      <c r="J77" s="49" t="s">
        <v>125</v>
      </c>
      <c r="K77" s="49" t="s">
        <v>214</v>
      </c>
      <c r="L77" s="49" t="s">
        <v>14</v>
      </c>
      <c r="M77" s="49" t="s">
        <v>607</v>
      </c>
      <c r="N77" s="49" t="s">
        <v>832</v>
      </c>
      <c r="O77" s="49" t="s">
        <v>125</v>
      </c>
      <c r="P77" s="49"/>
      <c r="Q77" s="49"/>
      <c r="R77" s="49" t="s">
        <v>833</v>
      </c>
      <c r="S77" s="49" t="s">
        <v>14</v>
      </c>
      <c r="T77" s="49" t="s">
        <v>834</v>
      </c>
      <c r="U77" s="49" t="s">
        <v>178</v>
      </c>
      <c r="V77" s="49" t="s">
        <v>835</v>
      </c>
      <c r="W77" s="49" t="s">
        <v>117</v>
      </c>
      <c r="X77" s="49" t="s">
        <v>238</v>
      </c>
      <c r="Y77" s="49" t="s">
        <v>214</v>
      </c>
      <c r="Z77" s="49" t="s">
        <v>836</v>
      </c>
      <c r="AA77" s="49" t="s">
        <v>837</v>
      </c>
      <c r="AB77" s="49" t="s">
        <v>838</v>
      </c>
      <c r="AC77" s="49" t="s">
        <v>833</v>
      </c>
      <c r="AD77" s="49" t="n">
        <v>5443051</v>
      </c>
      <c r="AE77" s="49" t="s">
        <v>14</v>
      </c>
      <c r="AF77" s="49" t="s">
        <v>839</v>
      </c>
      <c r="AG77" s="49"/>
      <c r="AH77" s="49"/>
      <c r="AI77" s="49" t="s">
        <v>840</v>
      </c>
      <c r="AJ77" s="50" t="s">
        <v>841</v>
      </c>
      <c r="AK77" s="49"/>
      <c r="AL77" s="49" t="s">
        <v>125</v>
      </c>
      <c r="AM77" s="51" t="n">
        <v>2023</v>
      </c>
      <c r="AN77" s="49"/>
      <c r="AO77" s="49" t="s">
        <v>125</v>
      </c>
      <c r="AP77" s="49" t="s">
        <v>187</v>
      </c>
      <c r="AQ77" s="49" t="s">
        <v>782</v>
      </c>
      <c r="AR77" s="49"/>
      <c r="AS77" s="49"/>
      <c r="AT77" s="49"/>
      <c r="AU77" s="49" t="s">
        <v>601</v>
      </c>
      <c r="AV77" s="49"/>
      <c r="AW77" s="49" t="s">
        <v>842</v>
      </c>
      <c r="AX77" s="49"/>
      <c r="AY77" s="49"/>
      <c r="AZ77" s="49"/>
      <c r="BA77" s="49" t="s">
        <v>444</v>
      </c>
      <c r="BB77" s="49" t="n">
        <v>21163465</v>
      </c>
      <c r="BC77" s="49" t="s">
        <v>140</v>
      </c>
      <c r="BD77" s="49" t="s">
        <v>191</v>
      </c>
      <c r="BE77" s="49" t="s">
        <v>337</v>
      </c>
      <c r="BF77" s="49" t="s">
        <v>402</v>
      </c>
      <c r="BG77" s="49" t="s">
        <v>138</v>
      </c>
      <c r="BH77" s="49" t="s">
        <v>194</v>
      </c>
      <c r="BI77" s="49" t="s">
        <v>134</v>
      </c>
      <c r="BJ77" s="49"/>
      <c r="BK77" s="49"/>
      <c r="BL77" s="49"/>
      <c r="BM77" s="49" t="n">
        <v>110500249</v>
      </c>
      <c r="BN77" s="49"/>
      <c r="BO77" s="49" t="s">
        <v>338</v>
      </c>
    </row>
    <row r="78" ht="16.8" customHeight="1">
      <c r="A78" s="43" t="s">
        <v>25</v>
      </c>
      <c r="B78" s="49" t="n">
        <v>68</v>
      </c>
      <c r="C78" s="49" t="s">
        <v>103</v>
      </c>
      <c r="D78" s="49" t="s">
        <v>104</v>
      </c>
      <c r="E78" s="49"/>
      <c r="F78" s="49" t="s">
        <v>657</v>
      </c>
      <c r="G78" s="49"/>
      <c r="H78" s="49" t="s">
        <v>658</v>
      </c>
      <c r="I78" s="49" t="s">
        <v>659</v>
      </c>
      <c r="J78" s="49"/>
      <c r="K78" s="49" t="s">
        <v>206</v>
      </c>
      <c r="L78" s="49" t="s">
        <v>14</v>
      </c>
      <c r="M78" s="49" t="s">
        <v>111</v>
      </c>
      <c r="N78" s="49" t="s">
        <v>112</v>
      </c>
      <c r="O78" s="49"/>
      <c r="P78" s="49"/>
      <c r="Q78" s="49"/>
      <c r="R78" s="49" t="s">
        <v>271</v>
      </c>
      <c r="S78" s="49" t="s">
        <v>14</v>
      </c>
      <c r="T78" s="49" t="s">
        <v>843</v>
      </c>
      <c r="U78" s="49" t="s">
        <v>115</v>
      </c>
      <c r="V78" s="49" t="s">
        <v>844</v>
      </c>
      <c r="W78" s="49" t="s">
        <v>117</v>
      </c>
      <c r="X78" s="49" t="s">
        <v>391</v>
      </c>
      <c r="Y78" s="49" t="s">
        <v>174</v>
      </c>
      <c r="Z78" s="49" t="s">
        <v>274</v>
      </c>
      <c r="AA78" s="49" t="s">
        <v>275</v>
      </c>
      <c r="AB78" s="49" t="s">
        <v>276</v>
      </c>
      <c r="AC78" s="49" t="s">
        <v>271</v>
      </c>
      <c r="AD78" s="49" t="n">
        <v>5439870</v>
      </c>
      <c r="AE78" s="49" t="s">
        <v>14</v>
      </c>
      <c r="AF78" s="49" t="s">
        <v>845</v>
      </c>
      <c r="AG78" s="49"/>
      <c r="AH78" s="49"/>
      <c r="AI78" s="49" t="s">
        <v>846</v>
      </c>
      <c r="AJ78" s="49" t="s">
        <v>847</v>
      </c>
      <c r="AK78" s="49"/>
      <c r="AL78" s="49" t="s">
        <v>125</v>
      </c>
      <c r="AM78" s="51" t="n">
        <v>500</v>
      </c>
      <c r="AN78" s="49"/>
      <c r="AO78" s="49" t="s">
        <v>125</v>
      </c>
      <c r="AP78" s="49" t="s">
        <v>127</v>
      </c>
      <c r="AQ78" s="49" t="s">
        <v>782</v>
      </c>
      <c r="AR78" s="49"/>
      <c r="AS78" s="49" t="s">
        <v>281</v>
      </c>
      <c r="AT78" s="49"/>
      <c r="AU78" s="49" t="s">
        <v>848</v>
      </c>
      <c r="AV78" s="49"/>
      <c r="AW78" s="49" t="s">
        <v>849</v>
      </c>
      <c r="AX78" s="49"/>
      <c r="AY78" s="49"/>
      <c r="AZ78" s="49"/>
      <c r="BA78" s="49"/>
      <c r="BB78" s="49" t="n">
        <v>60647114</v>
      </c>
      <c r="BC78" s="49" t="s">
        <v>134</v>
      </c>
      <c r="BD78" s="49" t="s">
        <v>191</v>
      </c>
      <c r="BE78" s="49" t="s">
        <v>401</v>
      </c>
      <c r="BF78" s="49" t="s">
        <v>193</v>
      </c>
      <c r="BG78" s="49"/>
      <c r="BH78" s="49" t="s">
        <v>194</v>
      </c>
      <c r="BI78" s="49" t="s">
        <v>134</v>
      </c>
      <c r="BJ78" s="49"/>
      <c r="BK78" s="49"/>
      <c r="BL78" s="49"/>
      <c r="BM78" s="49"/>
      <c r="BN78" s="49" t="s">
        <v>142</v>
      </c>
      <c r="BO78" s="49"/>
    </row>
    <row r="79" ht="16.8" customHeight="1">
      <c r="A79" s="43" t="s">
        <v>25</v>
      </c>
      <c r="B79" s="49" t="n">
        <v>69</v>
      </c>
      <c r="C79" s="49" t="s">
        <v>103</v>
      </c>
      <c r="D79" s="49" t="s">
        <v>104</v>
      </c>
      <c r="E79" s="49" t="s">
        <v>759</v>
      </c>
      <c r="F79" s="49" t="s">
        <v>756</v>
      </c>
      <c r="G79" s="49" t="s">
        <v>850</v>
      </c>
      <c r="H79" s="49" t="s">
        <v>757</v>
      </c>
      <c r="I79" s="49" t="s">
        <v>758</v>
      </c>
      <c r="J79" s="49"/>
      <c r="K79" s="49" t="s">
        <v>174</v>
      </c>
      <c r="L79" s="49" t="s">
        <v>14</v>
      </c>
      <c r="M79" s="49" t="s">
        <v>111</v>
      </c>
      <c r="N79" s="49" t="s">
        <v>112</v>
      </c>
      <c r="O79" s="49" t="s">
        <v>851</v>
      </c>
      <c r="P79" s="49"/>
      <c r="Q79" s="49"/>
      <c r="R79" s="49" t="s">
        <v>759</v>
      </c>
      <c r="S79" s="49" t="s">
        <v>14</v>
      </c>
      <c r="T79" s="49" t="s">
        <v>852</v>
      </c>
      <c r="U79" s="49" t="s">
        <v>115</v>
      </c>
      <c r="V79" s="49" t="s">
        <v>853</v>
      </c>
      <c r="W79" s="49" t="s">
        <v>117</v>
      </c>
      <c r="X79" s="49" t="s">
        <v>312</v>
      </c>
      <c r="Y79" s="49" t="s">
        <v>174</v>
      </c>
      <c r="Z79" s="49" t="s">
        <v>762</v>
      </c>
      <c r="AA79" s="49" t="s">
        <v>763</v>
      </c>
      <c r="AB79" s="49" t="s">
        <v>764</v>
      </c>
      <c r="AC79" s="49" t="s">
        <v>759</v>
      </c>
      <c r="AD79" s="49" t="n">
        <v>5406797</v>
      </c>
      <c r="AE79" s="49" t="s">
        <v>14</v>
      </c>
      <c r="AF79" s="49" t="s">
        <v>854</v>
      </c>
      <c r="AG79" s="49" t="s">
        <v>14</v>
      </c>
      <c r="AH79" s="49" t="s">
        <v>855</v>
      </c>
      <c r="AI79" s="49" t="s">
        <v>856</v>
      </c>
      <c r="AJ79" s="49" t="s">
        <v>857</v>
      </c>
      <c r="AK79" s="49" t="s">
        <v>124</v>
      </c>
      <c r="AL79" s="49" t="s">
        <v>125</v>
      </c>
      <c r="AM79" s="51" t="n">
        <v>500</v>
      </c>
      <c r="AN79" s="49"/>
      <c r="AO79" s="49" t="s">
        <v>850</v>
      </c>
      <c r="AP79" s="49" t="s">
        <v>127</v>
      </c>
      <c r="AQ79" s="49" t="s">
        <v>782</v>
      </c>
      <c r="AR79" s="49"/>
      <c r="AS79" s="49" t="s">
        <v>765</v>
      </c>
      <c r="AT79" s="49"/>
      <c r="AU79" s="49" t="s">
        <v>684</v>
      </c>
      <c r="AV79" s="49"/>
      <c r="AW79" s="49" t="s">
        <v>858</v>
      </c>
      <c r="AX79" s="49"/>
      <c r="AY79" s="49"/>
      <c r="AZ79" s="49"/>
      <c r="BA79" s="49"/>
      <c r="BB79" s="49" t="n">
        <v>63993771</v>
      </c>
      <c r="BC79" s="49" t="s">
        <v>134</v>
      </c>
      <c r="BD79" s="49" t="s">
        <v>191</v>
      </c>
      <c r="BE79" s="49" t="s">
        <v>318</v>
      </c>
      <c r="BF79" s="49" t="s">
        <v>319</v>
      </c>
      <c r="BG79" s="49" t="s">
        <v>138</v>
      </c>
      <c r="BH79" s="49" t="s">
        <v>139</v>
      </c>
      <c r="BI79" s="49" t="s">
        <v>134</v>
      </c>
      <c r="BJ79" s="49" t="s">
        <v>125</v>
      </c>
      <c r="BK79" s="49"/>
      <c r="BL79" s="49"/>
      <c r="BM79" s="49"/>
      <c r="BN79" s="49" t="s">
        <v>227</v>
      </c>
      <c r="BO79" s="49" t="s">
        <v>112</v>
      </c>
    </row>
    <row r="80" ht="16.8" customHeight="1">
      <c r="A80" s="43" t="s">
        <v>25</v>
      </c>
      <c r="B80" s="49" t="n">
        <v>70</v>
      </c>
      <c r="C80" s="49" t="s">
        <v>103</v>
      </c>
      <c r="D80" s="49" t="s">
        <v>104</v>
      </c>
      <c r="E80" s="49" t="s">
        <v>859</v>
      </c>
      <c r="F80" s="49" t="s">
        <v>860</v>
      </c>
      <c r="G80" s="49" t="s">
        <v>341</v>
      </c>
      <c r="H80" s="49" t="s">
        <v>861</v>
      </c>
      <c r="I80" s="93" t="s">
        <v>862</v>
      </c>
      <c r="J80" s="49" t="s">
        <v>863</v>
      </c>
      <c r="K80" s="49"/>
      <c r="L80" s="49" t="s">
        <v>431</v>
      </c>
      <c r="M80" s="49" t="s">
        <v>346</v>
      </c>
      <c r="N80" s="49" t="s">
        <v>864</v>
      </c>
      <c r="O80" s="49" t="s">
        <v>125</v>
      </c>
      <c r="P80" s="49" t="s">
        <v>431</v>
      </c>
      <c r="Q80" s="49" t="s">
        <v>865</v>
      </c>
      <c r="R80" s="49" t="s">
        <v>866</v>
      </c>
      <c r="S80" s="49" t="s">
        <v>10</v>
      </c>
      <c r="T80" s="49" t="s">
        <v>867</v>
      </c>
      <c r="U80" s="49" t="s">
        <v>178</v>
      </c>
      <c r="V80" s="49" t="s">
        <v>868</v>
      </c>
      <c r="W80" s="49" t="s">
        <v>117</v>
      </c>
      <c r="X80" s="49" t="s">
        <v>748</v>
      </c>
      <c r="Y80" s="49" t="s">
        <v>206</v>
      </c>
      <c r="Z80" s="49" t="s">
        <v>869</v>
      </c>
      <c r="AA80" s="49" t="s">
        <v>870</v>
      </c>
      <c r="AB80" s="49" t="s">
        <v>871</v>
      </c>
      <c r="AC80" s="49" t="s">
        <v>866</v>
      </c>
      <c r="AD80" s="49" t="n">
        <v>5420738</v>
      </c>
      <c r="AE80" s="49" t="s">
        <v>10</v>
      </c>
      <c r="AF80" s="49" t="s">
        <v>872</v>
      </c>
      <c r="AG80" s="49" t="s">
        <v>10</v>
      </c>
      <c r="AH80" s="49" t="s">
        <v>873</v>
      </c>
      <c r="AI80" s="49" t="s">
        <v>874</v>
      </c>
      <c r="AJ80" s="49" t="s">
        <v>875</v>
      </c>
      <c r="AK80" s="49" t="s">
        <v>124</v>
      </c>
      <c r="AL80" s="49" t="s">
        <v>125</v>
      </c>
      <c r="AM80" s="51" t="n">
        <v>2720</v>
      </c>
      <c r="AN80" s="49"/>
      <c r="AO80" s="49" t="s">
        <v>125</v>
      </c>
      <c r="AP80" s="49" t="s">
        <v>187</v>
      </c>
      <c r="AQ80" s="49" t="s">
        <v>128</v>
      </c>
      <c r="AR80" s="49" t="s">
        <v>129</v>
      </c>
      <c r="AS80" s="49" t="s">
        <v>876</v>
      </c>
      <c r="AT80" s="49" t="s">
        <v>877</v>
      </c>
      <c r="AU80" s="49" t="s">
        <v>283</v>
      </c>
      <c r="AV80" s="49"/>
      <c r="AW80" s="49" t="s">
        <v>878</v>
      </c>
      <c r="AX80" s="49"/>
      <c r="AY80" s="49"/>
      <c r="AZ80" s="49"/>
      <c r="BA80" s="49"/>
      <c r="BB80" s="49" t="n">
        <v>82414438</v>
      </c>
      <c r="BC80" s="49" t="s">
        <v>134</v>
      </c>
      <c r="BD80" s="49" t="s">
        <v>135</v>
      </c>
      <c r="BE80" s="49" t="s">
        <v>879</v>
      </c>
      <c r="BF80" s="49" t="s">
        <v>424</v>
      </c>
      <c r="BG80" s="49" t="s">
        <v>880</v>
      </c>
      <c r="BH80" s="49" t="s">
        <v>194</v>
      </c>
      <c r="BI80" s="49" t="s">
        <v>140</v>
      </c>
      <c r="BJ80" s="49" t="s">
        <v>125</v>
      </c>
      <c r="BK80" s="49"/>
      <c r="BL80" s="49" t="s">
        <v>141</v>
      </c>
      <c r="BM80" s="49"/>
      <c r="BN80" s="49" t="s">
        <v>142</v>
      </c>
      <c r="BO80" s="49" t="s">
        <v>362</v>
      </c>
    </row>
    <row r="81" ht="16.8" customHeight="1">
      <c r="A81" s="43" t="s">
        <v>25</v>
      </c>
      <c r="B81" s="49" t="n">
        <v>71</v>
      </c>
      <c r="C81" s="49" t="s">
        <v>103</v>
      </c>
      <c r="D81" s="49" t="s">
        <v>104</v>
      </c>
      <c r="E81" s="49" t="s">
        <v>859</v>
      </c>
      <c r="F81" s="49" t="s">
        <v>860</v>
      </c>
      <c r="G81" s="49" t="s">
        <v>341</v>
      </c>
      <c r="H81" s="49" t="s">
        <v>861</v>
      </c>
      <c r="I81" s="94" t="s">
        <v>862</v>
      </c>
      <c r="J81" s="49" t="s">
        <v>863</v>
      </c>
      <c r="K81" s="49"/>
      <c r="L81" s="49" t="s">
        <v>431</v>
      </c>
      <c r="M81" s="49" t="s">
        <v>346</v>
      </c>
      <c r="N81" s="49" t="s">
        <v>864</v>
      </c>
      <c r="O81" s="49" t="s">
        <v>125</v>
      </c>
      <c r="P81" s="49" t="s">
        <v>431</v>
      </c>
      <c r="Q81" s="49" t="s">
        <v>865</v>
      </c>
      <c r="R81" s="49" t="s">
        <v>866</v>
      </c>
      <c r="S81" s="49" t="s">
        <v>10</v>
      </c>
      <c r="T81" s="49" t="s">
        <v>867</v>
      </c>
      <c r="U81" s="49" t="s">
        <v>178</v>
      </c>
      <c r="V81" s="49" t="s">
        <v>868</v>
      </c>
      <c r="W81" s="49" t="s">
        <v>117</v>
      </c>
      <c r="X81" s="49" t="s">
        <v>748</v>
      </c>
      <c r="Y81" s="49" t="s">
        <v>206</v>
      </c>
      <c r="Z81" s="49" t="s">
        <v>869</v>
      </c>
      <c r="AA81" s="49" t="s">
        <v>870</v>
      </c>
      <c r="AB81" s="49" t="s">
        <v>871</v>
      </c>
      <c r="AC81" s="49" t="s">
        <v>866</v>
      </c>
      <c r="AD81" s="49" t="n">
        <v>5420738</v>
      </c>
      <c r="AE81" s="49" t="s">
        <v>10</v>
      </c>
      <c r="AF81" s="49" t="s">
        <v>872</v>
      </c>
      <c r="AG81" s="49" t="s">
        <v>10</v>
      </c>
      <c r="AH81" s="49" t="s">
        <v>873</v>
      </c>
      <c r="AI81" s="49" t="s">
        <v>881</v>
      </c>
      <c r="AJ81" s="49" t="s">
        <v>882</v>
      </c>
      <c r="AK81" s="49" t="s">
        <v>124</v>
      </c>
      <c r="AL81" s="49" t="s">
        <v>125</v>
      </c>
      <c r="AM81" s="51" t="n">
        <v>8829.3</v>
      </c>
      <c r="AN81" s="49"/>
      <c r="AO81" s="49" t="s">
        <v>125</v>
      </c>
      <c r="AP81" s="49" t="s">
        <v>187</v>
      </c>
      <c r="AQ81" s="49" t="s">
        <v>128</v>
      </c>
      <c r="AR81" s="49" t="s">
        <v>129</v>
      </c>
      <c r="AS81" s="49" t="s">
        <v>876</v>
      </c>
      <c r="AT81" s="49" t="s">
        <v>883</v>
      </c>
      <c r="AU81" s="49" t="s">
        <v>283</v>
      </c>
      <c r="AV81" s="49"/>
      <c r="AW81" s="49" t="s">
        <v>878</v>
      </c>
      <c r="AX81" s="49"/>
      <c r="AY81" s="49"/>
      <c r="AZ81" s="49"/>
      <c r="BA81" s="49"/>
      <c r="BB81" s="49" t="n">
        <v>82414438</v>
      </c>
      <c r="BC81" s="49" t="s">
        <v>134</v>
      </c>
      <c r="BD81" s="49" t="s">
        <v>135</v>
      </c>
      <c r="BE81" s="49" t="s">
        <v>879</v>
      </c>
      <c r="BF81" s="49" t="s">
        <v>424</v>
      </c>
      <c r="BG81" s="49" t="s">
        <v>880</v>
      </c>
      <c r="BH81" s="49" t="s">
        <v>194</v>
      </c>
      <c r="BI81" s="49" t="s">
        <v>140</v>
      </c>
      <c r="BJ81" s="49" t="s">
        <v>125</v>
      </c>
      <c r="BK81" s="49"/>
      <c r="BL81" s="49" t="s">
        <v>141</v>
      </c>
      <c r="BM81" s="49"/>
      <c r="BN81" s="49" t="s">
        <v>142</v>
      </c>
      <c r="BO81" s="49" t="s">
        <v>362</v>
      </c>
    </row>
    <row r="82" ht="16.8" customHeight="1">
      <c r="A82" s="43" t="s">
        <v>25</v>
      </c>
      <c r="B82" s="49" t="n">
        <v>72</v>
      </c>
      <c r="C82" s="49" t="s">
        <v>103</v>
      </c>
      <c r="D82" s="49" t="s">
        <v>104</v>
      </c>
      <c r="E82" s="49" t="s">
        <v>859</v>
      </c>
      <c r="F82" s="49" t="s">
        <v>860</v>
      </c>
      <c r="G82" s="49" t="s">
        <v>341</v>
      </c>
      <c r="H82" s="49" t="s">
        <v>861</v>
      </c>
      <c r="I82" s="95" t="s">
        <v>862</v>
      </c>
      <c r="J82" s="49" t="s">
        <v>863</v>
      </c>
      <c r="K82" s="49"/>
      <c r="L82" s="49" t="s">
        <v>431</v>
      </c>
      <c r="M82" s="49" t="s">
        <v>346</v>
      </c>
      <c r="N82" s="49" t="s">
        <v>864</v>
      </c>
      <c r="O82" s="49" t="s">
        <v>125</v>
      </c>
      <c r="P82" s="49" t="s">
        <v>431</v>
      </c>
      <c r="Q82" s="49" t="s">
        <v>865</v>
      </c>
      <c r="R82" s="49" t="s">
        <v>866</v>
      </c>
      <c r="S82" s="49" t="s">
        <v>10</v>
      </c>
      <c r="T82" s="49" t="s">
        <v>867</v>
      </c>
      <c r="U82" s="49" t="s">
        <v>178</v>
      </c>
      <c r="V82" s="49" t="s">
        <v>868</v>
      </c>
      <c r="W82" s="49" t="s">
        <v>117</v>
      </c>
      <c r="X82" s="49" t="s">
        <v>748</v>
      </c>
      <c r="Y82" s="49" t="s">
        <v>206</v>
      </c>
      <c r="Z82" s="49" t="s">
        <v>869</v>
      </c>
      <c r="AA82" s="49" t="s">
        <v>870</v>
      </c>
      <c r="AB82" s="49" t="s">
        <v>871</v>
      </c>
      <c r="AC82" s="49" t="s">
        <v>866</v>
      </c>
      <c r="AD82" s="49" t="n">
        <v>5420738</v>
      </c>
      <c r="AE82" s="49" t="s">
        <v>10</v>
      </c>
      <c r="AF82" s="49" t="s">
        <v>872</v>
      </c>
      <c r="AG82" s="49" t="s">
        <v>10</v>
      </c>
      <c r="AH82" s="49" t="s">
        <v>873</v>
      </c>
      <c r="AI82" s="49" t="s">
        <v>884</v>
      </c>
      <c r="AJ82" s="49" t="s">
        <v>885</v>
      </c>
      <c r="AK82" s="49" t="s">
        <v>124</v>
      </c>
      <c r="AL82" s="49" t="s">
        <v>125</v>
      </c>
      <c r="AM82" s="51" t="n">
        <v>7040</v>
      </c>
      <c r="AN82" s="49"/>
      <c r="AO82" s="49" t="s">
        <v>125</v>
      </c>
      <c r="AP82" s="49" t="s">
        <v>187</v>
      </c>
      <c r="AQ82" s="49" t="s">
        <v>128</v>
      </c>
      <c r="AR82" s="49" t="s">
        <v>129</v>
      </c>
      <c r="AS82" s="49" t="s">
        <v>876</v>
      </c>
      <c r="AT82" s="49" t="s">
        <v>886</v>
      </c>
      <c r="AU82" s="49" t="s">
        <v>283</v>
      </c>
      <c r="AV82" s="49"/>
      <c r="AW82" s="49" t="s">
        <v>878</v>
      </c>
      <c r="AX82" s="49"/>
      <c r="AY82" s="49"/>
      <c r="AZ82" s="49"/>
      <c r="BA82" s="49"/>
      <c r="BB82" s="49" t="n">
        <v>82414438</v>
      </c>
      <c r="BC82" s="49" t="s">
        <v>134</v>
      </c>
      <c r="BD82" s="49" t="s">
        <v>135</v>
      </c>
      <c r="BE82" s="49" t="s">
        <v>879</v>
      </c>
      <c r="BF82" s="49" t="s">
        <v>424</v>
      </c>
      <c r="BG82" s="49" t="s">
        <v>880</v>
      </c>
      <c r="BH82" s="49" t="s">
        <v>194</v>
      </c>
      <c r="BI82" s="49" t="s">
        <v>140</v>
      </c>
      <c r="BJ82" s="49" t="s">
        <v>125</v>
      </c>
      <c r="BK82" s="49"/>
      <c r="BL82" s="49" t="s">
        <v>141</v>
      </c>
      <c r="BM82" s="49"/>
      <c r="BN82" s="49" t="s">
        <v>142</v>
      </c>
      <c r="BO82" s="49" t="s">
        <v>362</v>
      </c>
    </row>
    <row r="83" ht="16.8" customHeight="1">
      <c r="A83" s="43" t="s">
        <v>25</v>
      </c>
      <c r="B83" s="49" t="n">
        <v>73</v>
      </c>
      <c r="C83" s="49" t="s">
        <v>103</v>
      </c>
      <c r="D83" s="49" t="s">
        <v>104</v>
      </c>
      <c r="E83" s="49" t="s">
        <v>859</v>
      </c>
      <c r="F83" s="49" t="s">
        <v>860</v>
      </c>
      <c r="G83" s="49" t="s">
        <v>341</v>
      </c>
      <c r="H83" s="49" t="s">
        <v>861</v>
      </c>
      <c r="I83" s="96" t="s">
        <v>862</v>
      </c>
      <c r="J83" s="49" t="s">
        <v>863</v>
      </c>
      <c r="K83" s="49"/>
      <c r="L83" s="49" t="s">
        <v>431</v>
      </c>
      <c r="M83" s="49" t="s">
        <v>346</v>
      </c>
      <c r="N83" s="49" t="s">
        <v>864</v>
      </c>
      <c r="O83" s="49" t="s">
        <v>125</v>
      </c>
      <c r="P83" s="49" t="s">
        <v>431</v>
      </c>
      <c r="Q83" s="49" t="s">
        <v>865</v>
      </c>
      <c r="R83" s="49" t="s">
        <v>866</v>
      </c>
      <c r="S83" s="49" t="s">
        <v>10</v>
      </c>
      <c r="T83" s="49" t="s">
        <v>867</v>
      </c>
      <c r="U83" s="49" t="s">
        <v>178</v>
      </c>
      <c r="V83" s="49" t="s">
        <v>868</v>
      </c>
      <c r="W83" s="49" t="s">
        <v>117</v>
      </c>
      <c r="X83" s="49" t="s">
        <v>748</v>
      </c>
      <c r="Y83" s="49" t="s">
        <v>206</v>
      </c>
      <c r="Z83" s="49" t="s">
        <v>869</v>
      </c>
      <c r="AA83" s="49" t="s">
        <v>870</v>
      </c>
      <c r="AB83" s="49" t="s">
        <v>871</v>
      </c>
      <c r="AC83" s="49" t="s">
        <v>866</v>
      </c>
      <c r="AD83" s="49" t="n">
        <v>5420738</v>
      </c>
      <c r="AE83" s="49" t="s">
        <v>10</v>
      </c>
      <c r="AF83" s="49" t="s">
        <v>872</v>
      </c>
      <c r="AG83" s="49" t="s">
        <v>10</v>
      </c>
      <c r="AH83" s="49" t="s">
        <v>873</v>
      </c>
      <c r="AI83" s="49" t="s">
        <v>887</v>
      </c>
      <c r="AJ83" s="49" t="s">
        <v>888</v>
      </c>
      <c r="AK83" s="49" t="s">
        <v>124</v>
      </c>
      <c r="AL83" s="49" t="s">
        <v>125</v>
      </c>
      <c r="AM83" s="51" t="n">
        <v>11517.6</v>
      </c>
      <c r="AN83" s="49"/>
      <c r="AO83" s="49" t="s">
        <v>125</v>
      </c>
      <c r="AP83" s="49" t="s">
        <v>187</v>
      </c>
      <c r="AQ83" s="49" t="s">
        <v>128</v>
      </c>
      <c r="AR83" s="49" t="s">
        <v>129</v>
      </c>
      <c r="AS83" s="49" t="s">
        <v>876</v>
      </c>
      <c r="AT83" s="49" t="s">
        <v>889</v>
      </c>
      <c r="AU83" s="49" t="s">
        <v>283</v>
      </c>
      <c r="AV83" s="49"/>
      <c r="AW83" s="49" t="s">
        <v>878</v>
      </c>
      <c r="AX83" s="49"/>
      <c r="AY83" s="49"/>
      <c r="AZ83" s="49"/>
      <c r="BA83" s="49"/>
      <c r="BB83" s="49" t="n">
        <v>82414438</v>
      </c>
      <c r="BC83" s="49" t="s">
        <v>134</v>
      </c>
      <c r="BD83" s="49" t="s">
        <v>135</v>
      </c>
      <c r="BE83" s="49" t="s">
        <v>879</v>
      </c>
      <c r="BF83" s="49" t="s">
        <v>424</v>
      </c>
      <c r="BG83" s="49" t="s">
        <v>880</v>
      </c>
      <c r="BH83" s="49" t="s">
        <v>194</v>
      </c>
      <c r="BI83" s="49" t="s">
        <v>140</v>
      </c>
      <c r="BJ83" s="49" t="s">
        <v>125</v>
      </c>
      <c r="BK83" s="49"/>
      <c r="BL83" s="49" t="s">
        <v>141</v>
      </c>
      <c r="BM83" s="49"/>
      <c r="BN83" s="49" t="s">
        <v>142</v>
      </c>
      <c r="BO83" s="49" t="s">
        <v>362</v>
      </c>
    </row>
    <row r="84" ht="16.8" customHeight="1">
      <c r="A84" s="43" t="s">
        <v>25</v>
      </c>
      <c r="B84" s="49" t="n">
        <v>74</v>
      </c>
      <c r="C84" s="49" t="s">
        <v>103</v>
      </c>
      <c r="D84" s="49" t="s">
        <v>104</v>
      </c>
      <c r="E84" s="49" t="s">
        <v>859</v>
      </c>
      <c r="F84" s="49" t="s">
        <v>860</v>
      </c>
      <c r="G84" s="49" t="s">
        <v>341</v>
      </c>
      <c r="H84" s="49" t="s">
        <v>861</v>
      </c>
      <c r="I84" s="97" t="s">
        <v>862</v>
      </c>
      <c r="J84" s="49" t="s">
        <v>863</v>
      </c>
      <c r="K84" s="49"/>
      <c r="L84" s="49" t="s">
        <v>431</v>
      </c>
      <c r="M84" s="49" t="s">
        <v>346</v>
      </c>
      <c r="N84" s="49" t="s">
        <v>864</v>
      </c>
      <c r="O84" s="49" t="s">
        <v>125</v>
      </c>
      <c r="P84" s="49" t="s">
        <v>431</v>
      </c>
      <c r="Q84" s="49" t="s">
        <v>865</v>
      </c>
      <c r="R84" s="49" t="s">
        <v>866</v>
      </c>
      <c r="S84" s="49" t="s">
        <v>10</v>
      </c>
      <c r="T84" s="49" t="s">
        <v>867</v>
      </c>
      <c r="U84" s="49" t="s">
        <v>178</v>
      </c>
      <c r="V84" s="49" t="s">
        <v>868</v>
      </c>
      <c r="W84" s="49" t="s">
        <v>117</v>
      </c>
      <c r="X84" s="49" t="s">
        <v>748</v>
      </c>
      <c r="Y84" s="49" t="s">
        <v>206</v>
      </c>
      <c r="Z84" s="49" t="s">
        <v>869</v>
      </c>
      <c r="AA84" s="49" t="s">
        <v>870</v>
      </c>
      <c r="AB84" s="49" t="s">
        <v>871</v>
      </c>
      <c r="AC84" s="49" t="s">
        <v>866</v>
      </c>
      <c r="AD84" s="49" t="n">
        <v>5420738</v>
      </c>
      <c r="AE84" s="49" t="s">
        <v>10</v>
      </c>
      <c r="AF84" s="49" t="s">
        <v>872</v>
      </c>
      <c r="AG84" s="49" t="s">
        <v>10</v>
      </c>
      <c r="AH84" s="49" t="s">
        <v>873</v>
      </c>
      <c r="AI84" s="49" t="s">
        <v>890</v>
      </c>
      <c r="AJ84" s="49" t="s">
        <v>891</v>
      </c>
      <c r="AK84" s="49" t="s">
        <v>124</v>
      </c>
      <c r="AL84" s="49" t="s">
        <v>125</v>
      </c>
      <c r="AM84" s="51" t="n">
        <v>8019.9</v>
      </c>
      <c r="AN84" s="49"/>
      <c r="AO84" s="49" t="s">
        <v>125</v>
      </c>
      <c r="AP84" s="49" t="s">
        <v>187</v>
      </c>
      <c r="AQ84" s="49" t="s">
        <v>128</v>
      </c>
      <c r="AR84" s="49" t="s">
        <v>129</v>
      </c>
      <c r="AS84" s="49" t="s">
        <v>876</v>
      </c>
      <c r="AT84" s="49" t="s">
        <v>892</v>
      </c>
      <c r="AU84" s="49" t="s">
        <v>283</v>
      </c>
      <c r="AV84" s="49"/>
      <c r="AW84" s="49" t="s">
        <v>878</v>
      </c>
      <c r="AX84" s="49"/>
      <c r="AY84" s="49"/>
      <c r="AZ84" s="49"/>
      <c r="BA84" s="49"/>
      <c r="BB84" s="49" t="n">
        <v>82414438</v>
      </c>
      <c r="BC84" s="49" t="s">
        <v>134</v>
      </c>
      <c r="BD84" s="49" t="s">
        <v>135</v>
      </c>
      <c r="BE84" s="49" t="s">
        <v>879</v>
      </c>
      <c r="BF84" s="49" t="s">
        <v>424</v>
      </c>
      <c r="BG84" s="49" t="s">
        <v>880</v>
      </c>
      <c r="BH84" s="49" t="s">
        <v>194</v>
      </c>
      <c r="BI84" s="49" t="s">
        <v>140</v>
      </c>
      <c r="BJ84" s="49" t="s">
        <v>125</v>
      </c>
      <c r="BK84" s="49"/>
      <c r="BL84" s="49" t="s">
        <v>141</v>
      </c>
      <c r="BM84" s="49"/>
      <c r="BN84" s="49" t="s">
        <v>142</v>
      </c>
      <c r="BO84" s="49" t="s">
        <v>362</v>
      </c>
    </row>
    <row r="85" ht="16.8" customHeight="1">
      <c r="A85" s="43" t="s">
        <v>25</v>
      </c>
      <c r="B85" s="49" t="n">
        <v>75</v>
      </c>
      <c r="C85" s="49" t="s">
        <v>103</v>
      </c>
      <c r="D85" s="49" t="s">
        <v>104</v>
      </c>
      <c r="E85" s="49" t="s">
        <v>859</v>
      </c>
      <c r="F85" s="49" t="s">
        <v>860</v>
      </c>
      <c r="G85" s="49" t="s">
        <v>341</v>
      </c>
      <c r="H85" s="49" t="s">
        <v>861</v>
      </c>
      <c r="I85" s="98" t="s">
        <v>862</v>
      </c>
      <c r="J85" s="49" t="s">
        <v>863</v>
      </c>
      <c r="K85" s="49"/>
      <c r="L85" s="49" t="s">
        <v>431</v>
      </c>
      <c r="M85" s="49" t="s">
        <v>346</v>
      </c>
      <c r="N85" s="49" t="s">
        <v>864</v>
      </c>
      <c r="O85" s="49" t="s">
        <v>125</v>
      </c>
      <c r="P85" s="49" t="s">
        <v>431</v>
      </c>
      <c r="Q85" s="49" t="s">
        <v>865</v>
      </c>
      <c r="R85" s="49" t="s">
        <v>866</v>
      </c>
      <c r="S85" s="49" t="s">
        <v>10</v>
      </c>
      <c r="T85" s="49" t="s">
        <v>867</v>
      </c>
      <c r="U85" s="49" t="s">
        <v>178</v>
      </c>
      <c r="V85" s="49" t="s">
        <v>868</v>
      </c>
      <c r="W85" s="49" t="s">
        <v>117</v>
      </c>
      <c r="X85" s="49" t="s">
        <v>748</v>
      </c>
      <c r="Y85" s="49" t="s">
        <v>206</v>
      </c>
      <c r="Z85" s="49" t="s">
        <v>869</v>
      </c>
      <c r="AA85" s="49" t="s">
        <v>870</v>
      </c>
      <c r="AB85" s="49" t="s">
        <v>871</v>
      </c>
      <c r="AC85" s="49" t="s">
        <v>866</v>
      </c>
      <c r="AD85" s="49" t="n">
        <v>5420738</v>
      </c>
      <c r="AE85" s="49" t="s">
        <v>10</v>
      </c>
      <c r="AF85" s="49" t="s">
        <v>872</v>
      </c>
      <c r="AG85" s="49" t="s">
        <v>10</v>
      </c>
      <c r="AH85" s="49" t="s">
        <v>873</v>
      </c>
      <c r="AI85" s="49" t="s">
        <v>893</v>
      </c>
      <c r="AJ85" s="49" t="s">
        <v>894</v>
      </c>
      <c r="AK85" s="49" t="s">
        <v>124</v>
      </c>
      <c r="AL85" s="49" t="s">
        <v>125</v>
      </c>
      <c r="AM85" s="51" t="n">
        <v>3973.2</v>
      </c>
      <c r="AN85" s="49"/>
      <c r="AO85" s="49" t="s">
        <v>125</v>
      </c>
      <c r="AP85" s="49" t="s">
        <v>187</v>
      </c>
      <c r="AQ85" s="49" t="s">
        <v>128</v>
      </c>
      <c r="AR85" s="49" t="s">
        <v>129</v>
      </c>
      <c r="AS85" s="49" t="s">
        <v>876</v>
      </c>
      <c r="AT85" s="49" t="s">
        <v>895</v>
      </c>
      <c r="AU85" s="49" t="s">
        <v>283</v>
      </c>
      <c r="AV85" s="49"/>
      <c r="AW85" s="49" t="s">
        <v>878</v>
      </c>
      <c r="AX85" s="49"/>
      <c r="AY85" s="49"/>
      <c r="AZ85" s="49"/>
      <c r="BA85" s="49"/>
      <c r="BB85" s="49" t="n">
        <v>82414438</v>
      </c>
      <c r="BC85" s="49" t="s">
        <v>134</v>
      </c>
      <c r="BD85" s="49" t="s">
        <v>135</v>
      </c>
      <c r="BE85" s="49" t="s">
        <v>879</v>
      </c>
      <c r="BF85" s="49" t="s">
        <v>424</v>
      </c>
      <c r="BG85" s="49" t="s">
        <v>880</v>
      </c>
      <c r="BH85" s="49" t="s">
        <v>194</v>
      </c>
      <c r="BI85" s="49" t="s">
        <v>140</v>
      </c>
      <c r="BJ85" s="49" t="s">
        <v>125</v>
      </c>
      <c r="BK85" s="49"/>
      <c r="BL85" s="49" t="s">
        <v>141</v>
      </c>
      <c r="BM85" s="49"/>
      <c r="BN85" s="49" t="s">
        <v>142</v>
      </c>
      <c r="BO85" s="49" t="s">
        <v>362</v>
      </c>
    </row>
    <row r="86" ht="16.8" customHeight="1">
      <c r="A86" s="43" t="s">
        <v>25</v>
      </c>
      <c r="B86" s="49" t="n">
        <v>76</v>
      </c>
      <c r="C86" s="49" t="s">
        <v>103</v>
      </c>
      <c r="D86" s="49" t="s">
        <v>104</v>
      </c>
      <c r="E86" s="49" t="s">
        <v>859</v>
      </c>
      <c r="F86" s="49" t="s">
        <v>860</v>
      </c>
      <c r="G86" s="49" t="s">
        <v>341</v>
      </c>
      <c r="H86" s="49" t="s">
        <v>861</v>
      </c>
      <c r="I86" s="99" t="s">
        <v>862</v>
      </c>
      <c r="J86" s="49" t="s">
        <v>863</v>
      </c>
      <c r="K86" s="49"/>
      <c r="L86" s="49" t="s">
        <v>431</v>
      </c>
      <c r="M86" s="49" t="s">
        <v>346</v>
      </c>
      <c r="N86" s="49" t="s">
        <v>864</v>
      </c>
      <c r="O86" s="49" t="s">
        <v>125</v>
      </c>
      <c r="P86" s="49" t="s">
        <v>431</v>
      </c>
      <c r="Q86" s="49" t="s">
        <v>865</v>
      </c>
      <c r="R86" s="49" t="s">
        <v>866</v>
      </c>
      <c r="S86" s="49" t="s">
        <v>10</v>
      </c>
      <c r="T86" s="49" t="s">
        <v>867</v>
      </c>
      <c r="U86" s="49" t="s">
        <v>178</v>
      </c>
      <c r="V86" s="49" t="s">
        <v>868</v>
      </c>
      <c r="W86" s="49" t="s">
        <v>117</v>
      </c>
      <c r="X86" s="49" t="s">
        <v>748</v>
      </c>
      <c r="Y86" s="49" t="s">
        <v>206</v>
      </c>
      <c r="Z86" s="49" t="s">
        <v>869</v>
      </c>
      <c r="AA86" s="49" t="s">
        <v>870</v>
      </c>
      <c r="AB86" s="49" t="s">
        <v>871</v>
      </c>
      <c r="AC86" s="49" t="s">
        <v>866</v>
      </c>
      <c r="AD86" s="49" t="n">
        <v>5420738</v>
      </c>
      <c r="AE86" s="49" t="s">
        <v>10</v>
      </c>
      <c r="AF86" s="49" t="s">
        <v>872</v>
      </c>
      <c r="AG86" s="49" t="s">
        <v>10</v>
      </c>
      <c r="AH86" s="49" t="s">
        <v>873</v>
      </c>
      <c r="AI86" s="49" t="s">
        <v>896</v>
      </c>
      <c r="AJ86" s="49" t="s">
        <v>419</v>
      </c>
      <c r="AK86" s="49" t="s">
        <v>124</v>
      </c>
      <c r="AL86" s="49" t="s">
        <v>125</v>
      </c>
      <c r="AM86" s="51" t="n">
        <v>3000</v>
      </c>
      <c r="AN86" s="49"/>
      <c r="AO86" s="49" t="s">
        <v>125</v>
      </c>
      <c r="AP86" s="49" t="s">
        <v>187</v>
      </c>
      <c r="AQ86" s="49" t="s">
        <v>128</v>
      </c>
      <c r="AR86" s="49" t="s">
        <v>129</v>
      </c>
      <c r="AS86" s="49" t="s">
        <v>876</v>
      </c>
      <c r="AT86" s="49"/>
      <c r="AU86" s="49" t="s">
        <v>283</v>
      </c>
      <c r="AV86" s="49"/>
      <c r="AW86" s="49" t="s">
        <v>878</v>
      </c>
      <c r="AX86" s="49"/>
      <c r="AY86" s="49"/>
      <c r="AZ86" s="49"/>
      <c r="BA86" s="49"/>
      <c r="BB86" s="49" t="n">
        <v>82414438</v>
      </c>
      <c r="BC86" s="49" t="s">
        <v>134</v>
      </c>
      <c r="BD86" s="49" t="s">
        <v>135</v>
      </c>
      <c r="BE86" s="49" t="s">
        <v>879</v>
      </c>
      <c r="BF86" s="49" t="s">
        <v>424</v>
      </c>
      <c r="BG86" s="49" t="s">
        <v>880</v>
      </c>
      <c r="BH86" s="49" t="s">
        <v>194</v>
      </c>
      <c r="BI86" s="49" t="s">
        <v>140</v>
      </c>
      <c r="BJ86" s="49" t="s">
        <v>125</v>
      </c>
      <c r="BK86" s="49"/>
      <c r="BL86" s="49"/>
      <c r="BM86" s="49"/>
      <c r="BN86" s="49" t="s">
        <v>142</v>
      </c>
      <c r="BO86" s="49" t="s">
        <v>362</v>
      </c>
    </row>
    <row r="87" ht="16.8" customHeight="1">
      <c r="A87" s="43" t="s">
        <v>25</v>
      </c>
      <c r="B87" s="49" t="n">
        <v>77</v>
      </c>
      <c r="C87" s="49" t="s">
        <v>103</v>
      </c>
      <c r="D87" s="49" t="s">
        <v>104</v>
      </c>
      <c r="E87" s="49" t="s">
        <v>859</v>
      </c>
      <c r="F87" s="49" t="s">
        <v>860</v>
      </c>
      <c r="G87" s="49" t="s">
        <v>341</v>
      </c>
      <c r="H87" s="49" t="s">
        <v>861</v>
      </c>
      <c r="I87" s="100" t="s">
        <v>862</v>
      </c>
      <c r="J87" s="49" t="s">
        <v>863</v>
      </c>
      <c r="K87" s="49"/>
      <c r="L87" s="49" t="s">
        <v>431</v>
      </c>
      <c r="M87" s="49" t="s">
        <v>346</v>
      </c>
      <c r="N87" s="49" t="s">
        <v>864</v>
      </c>
      <c r="O87" s="49" t="s">
        <v>125</v>
      </c>
      <c r="P87" s="49" t="s">
        <v>431</v>
      </c>
      <c r="Q87" s="49" t="s">
        <v>865</v>
      </c>
      <c r="R87" s="49" t="s">
        <v>866</v>
      </c>
      <c r="S87" s="49" t="s">
        <v>10</v>
      </c>
      <c r="T87" s="49" t="s">
        <v>867</v>
      </c>
      <c r="U87" s="49" t="s">
        <v>178</v>
      </c>
      <c r="V87" s="49" t="s">
        <v>868</v>
      </c>
      <c r="W87" s="49" t="s">
        <v>117</v>
      </c>
      <c r="X87" s="49" t="s">
        <v>748</v>
      </c>
      <c r="Y87" s="49" t="s">
        <v>206</v>
      </c>
      <c r="Z87" s="49" t="s">
        <v>869</v>
      </c>
      <c r="AA87" s="49" t="s">
        <v>870</v>
      </c>
      <c r="AB87" s="49" t="s">
        <v>871</v>
      </c>
      <c r="AC87" s="49" t="s">
        <v>866</v>
      </c>
      <c r="AD87" s="49" t="n">
        <v>5420738</v>
      </c>
      <c r="AE87" s="49" t="s">
        <v>10</v>
      </c>
      <c r="AF87" s="49" t="s">
        <v>872</v>
      </c>
      <c r="AG87" s="49" t="s">
        <v>10</v>
      </c>
      <c r="AH87" s="49" t="s">
        <v>873</v>
      </c>
      <c r="AI87" s="49" t="s">
        <v>897</v>
      </c>
      <c r="AJ87" s="49" t="s">
        <v>898</v>
      </c>
      <c r="AK87" s="49" t="s">
        <v>124</v>
      </c>
      <c r="AL87" s="49" t="s">
        <v>125</v>
      </c>
      <c r="AM87" s="51" t="n">
        <v>20000</v>
      </c>
      <c r="AN87" s="49"/>
      <c r="AO87" s="49" t="s">
        <v>125</v>
      </c>
      <c r="AP87" s="49" t="s">
        <v>187</v>
      </c>
      <c r="AQ87" s="49" t="s">
        <v>128</v>
      </c>
      <c r="AR87" s="49" t="s">
        <v>129</v>
      </c>
      <c r="AS87" s="49" t="s">
        <v>876</v>
      </c>
      <c r="AT87" s="49"/>
      <c r="AU87" s="49" t="s">
        <v>283</v>
      </c>
      <c r="AV87" s="49"/>
      <c r="AW87" s="49" t="s">
        <v>878</v>
      </c>
      <c r="AX87" s="49"/>
      <c r="AY87" s="49"/>
      <c r="AZ87" s="49"/>
      <c r="BA87" s="49"/>
      <c r="BB87" s="49" t="n">
        <v>82414438</v>
      </c>
      <c r="BC87" s="49" t="s">
        <v>134</v>
      </c>
      <c r="BD87" s="49" t="s">
        <v>135</v>
      </c>
      <c r="BE87" s="49" t="s">
        <v>879</v>
      </c>
      <c r="BF87" s="49" t="s">
        <v>424</v>
      </c>
      <c r="BG87" s="49" t="s">
        <v>880</v>
      </c>
      <c r="BH87" s="49" t="s">
        <v>194</v>
      </c>
      <c r="BI87" s="49" t="s">
        <v>140</v>
      </c>
      <c r="BJ87" s="49" t="s">
        <v>125</v>
      </c>
      <c r="BK87" s="49"/>
      <c r="BL87" s="49"/>
      <c r="BM87" s="49"/>
      <c r="BN87" s="49" t="s">
        <v>142</v>
      </c>
      <c r="BO87" s="49" t="s">
        <v>362</v>
      </c>
    </row>
    <row r="88" ht="16.8" customHeight="1">
      <c r="A88" s="43" t="s">
        <v>25</v>
      </c>
      <c r="B88" s="49" t="n">
        <v>78</v>
      </c>
      <c r="C88" s="49" t="s">
        <v>103</v>
      </c>
      <c r="D88" s="49" t="s">
        <v>104</v>
      </c>
      <c r="E88" s="49" t="s">
        <v>899</v>
      </c>
      <c r="F88" s="49" t="s">
        <v>900</v>
      </c>
      <c r="G88" s="49" t="s">
        <v>901</v>
      </c>
      <c r="H88" s="49" t="s">
        <v>902</v>
      </c>
      <c r="I88" s="49" t="s">
        <v>903</v>
      </c>
      <c r="J88" s="49" t="s">
        <v>125</v>
      </c>
      <c r="K88" s="49" t="s">
        <v>174</v>
      </c>
      <c r="L88" s="49" t="s">
        <v>10</v>
      </c>
      <c r="M88" s="49" t="s">
        <v>325</v>
      </c>
      <c r="N88" s="49" t="s">
        <v>326</v>
      </c>
      <c r="O88" s="49" t="s">
        <v>125</v>
      </c>
      <c r="P88" s="49"/>
      <c r="Q88" s="49"/>
      <c r="R88" s="49" t="s">
        <v>904</v>
      </c>
      <c r="S88" s="49" t="s">
        <v>10</v>
      </c>
      <c r="T88" s="49" t="s">
        <v>905</v>
      </c>
      <c r="U88" s="49" t="s">
        <v>115</v>
      </c>
      <c r="V88" s="49" t="s">
        <v>906</v>
      </c>
      <c r="W88" s="49" t="s">
        <v>117</v>
      </c>
      <c r="X88" s="49" t="s">
        <v>907</v>
      </c>
      <c r="Y88" s="49" t="s">
        <v>174</v>
      </c>
      <c r="Z88" s="49" t="s">
        <v>908</v>
      </c>
      <c r="AA88" s="49" t="s">
        <v>909</v>
      </c>
      <c r="AB88" s="49" t="s">
        <v>910</v>
      </c>
      <c r="AC88" s="49" t="s">
        <v>904</v>
      </c>
      <c r="AD88" s="49" t="n">
        <v>5420638</v>
      </c>
      <c r="AE88" s="49" t="s">
        <v>10</v>
      </c>
      <c r="AF88" s="49" t="s">
        <v>314</v>
      </c>
      <c r="AG88" s="49" t="s">
        <v>10</v>
      </c>
      <c r="AH88" s="49" t="s">
        <v>911</v>
      </c>
      <c r="AI88" s="49" t="s">
        <v>912</v>
      </c>
      <c r="AJ88" s="49" t="s">
        <v>913</v>
      </c>
      <c r="AK88" s="49" t="s">
        <v>124</v>
      </c>
      <c r="AL88" s="49" t="s">
        <v>125</v>
      </c>
      <c r="AM88" s="51" t="n">
        <v>6540</v>
      </c>
      <c r="AN88" s="49"/>
      <c r="AO88" s="49" t="s">
        <v>125</v>
      </c>
      <c r="AP88" s="49" t="s">
        <v>127</v>
      </c>
      <c r="AQ88" s="49" t="s">
        <v>128</v>
      </c>
      <c r="AR88" s="49" t="s">
        <v>280</v>
      </c>
      <c r="AS88" s="49" t="s">
        <v>914</v>
      </c>
      <c r="AT88" s="49" t="s">
        <v>915</v>
      </c>
      <c r="AU88" s="49" t="s">
        <v>283</v>
      </c>
      <c r="AV88" s="49"/>
      <c r="AW88" s="49" t="s">
        <v>916</v>
      </c>
      <c r="AX88" s="49"/>
      <c r="AY88" s="49"/>
      <c r="AZ88" s="49"/>
      <c r="BA88" s="49"/>
      <c r="BB88" s="49" t="n">
        <v>68322448</v>
      </c>
      <c r="BC88" s="49" t="s">
        <v>134</v>
      </c>
      <c r="BD88" s="49" t="s">
        <v>191</v>
      </c>
      <c r="BE88" s="49" t="s">
        <v>917</v>
      </c>
      <c r="BF88" s="49" t="s">
        <v>424</v>
      </c>
      <c r="BG88" s="49"/>
      <c r="BH88" s="49" t="s">
        <v>918</v>
      </c>
      <c r="BI88" s="49" t="s">
        <v>140</v>
      </c>
      <c r="BJ88" s="49" t="s">
        <v>125</v>
      </c>
      <c r="BK88" s="49"/>
      <c r="BL88" s="49" t="s">
        <v>141</v>
      </c>
      <c r="BM88" s="49" t="n">
        <v>109948778</v>
      </c>
      <c r="BN88" s="49" t="s">
        <v>195</v>
      </c>
      <c r="BO88" s="49" t="s">
        <v>338</v>
      </c>
    </row>
    <row r="89" ht="16.8" customHeight="1">
      <c r="A89" s="43" t="s">
        <v>25</v>
      </c>
      <c r="B89" s="49" t="n">
        <v>79</v>
      </c>
      <c r="C89" s="49" t="s">
        <v>103</v>
      </c>
      <c r="D89" s="49" t="s">
        <v>104</v>
      </c>
      <c r="E89" s="49" t="s">
        <v>899</v>
      </c>
      <c r="F89" s="49" t="s">
        <v>900</v>
      </c>
      <c r="G89" s="49" t="s">
        <v>901</v>
      </c>
      <c r="H89" s="49" t="s">
        <v>902</v>
      </c>
      <c r="I89" s="49" t="s">
        <v>903</v>
      </c>
      <c r="J89" s="49" t="s">
        <v>125</v>
      </c>
      <c r="K89" s="49" t="s">
        <v>174</v>
      </c>
      <c r="L89" s="49" t="s">
        <v>10</v>
      </c>
      <c r="M89" s="49" t="s">
        <v>325</v>
      </c>
      <c r="N89" s="49" t="s">
        <v>326</v>
      </c>
      <c r="O89" s="49" t="s">
        <v>125</v>
      </c>
      <c r="P89" s="49"/>
      <c r="Q89" s="49"/>
      <c r="R89" s="49" t="s">
        <v>904</v>
      </c>
      <c r="S89" s="49" t="s">
        <v>10</v>
      </c>
      <c r="T89" s="49" t="s">
        <v>905</v>
      </c>
      <c r="U89" s="49" t="s">
        <v>115</v>
      </c>
      <c r="V89" s="49" t="s">
        <v>906</v>
      </c>
      <c r="W89" s="49" t="s">
        <v>117</v>
      </c>
      <c r="X89" s="49" t="s">
        <v>907</v>
      </c>
      <c r="Y89" s="49" t="s">
        <v>174</v>
      </c>
      <c r="Z89" s="49" t="s">
        <v>908</v>
      </c>
      <c r="AA89" s="49" t="s">
        <v>909</v>
      </c>
      <c r="AB89" s="49" t="s">
        <v>910</v>
      </c>
      <c r="AC89" s="49" t="s">
        <v>904</v>
      </c>
      <c r="AD89" s="49" t="n">
        <v>5420638</v>
      </c>
      <c r="AE89" s="49" t="s">
        <v>10</v>
      </c>
      <c r="AF89" s="49" t="s">
        <v>314</v>
      </c>
      <c r="AG89" s="49" t="s">
        <v>10</v>
      </c>
      <c r="AH89" s="49" t="s">
        <v>911</v>
      </c>
      <c r="AI89" s="49" t="s">
        <v>919</v>
      </c>
      <c r="AJ89" s="49" t="s">
        <v>920</v>
      </c>
      <c r="AK89" s="49" t="s">
        <v>124</v>
      </c>
      <c r="AL89" s="49" t="s">
        <v>125</v>
      </c>
      <c r="AM89" s="51" t="n">
        <v>5760</v>
      </c>
      <c r="AN89" s="49"/>
      <c r="AO89" s="49" t="s">
        <v>125</v>
      </c>
      <c r="AP89" s="49" t="s">
        <v>127</v>
      </c>
      <c r="AQ89" s="49" t="s">
        <v>128</v>
      </c>
      <c r="AR89" s="49" t="s">
        <v>280</v>
      </c>
      <c r="AS89" s="49" t="s">
        <v>914</v>
      </c>
      <c r="AT89" s="49" t="s">
        <v>921</v>
      </c>
      <c r="AU89" s="49" t="s">
        <v>283</v>
      </c>
      <c r="AV89" s="49"/>
      <c r="AW89" s="49" t="s">
        <v>916</v>
      </c>
      <c r="AX89" s="49"/>
      <c r="AY89" s="49"/>
      <c r="AZ89" s="49"/>
      <c r="BA89" s="49"/>
      <c r="BB89" s="49" t="n">
        <v>68322448</v>
      </c>
      <c r="BC89" s="49" t="s">
        <v>134</v>
      </c>
      <c r="BD89" s="49" t="s">
        <v>191</v>
      </c>
      <c r="BE89" s="49" t="s">
        <v>917</v>
      </c>
      <c r="BF89" s="49" t="s">
        <v>424</v>
      </c>
      <c r="BG89" s="49"/>
      <c r="BH89" s="49" t="s">
        <v>918</v>
      </c>
      <c r="BI89" s="49" t="s">
        <v>140</v>
      </c>
      <c r="BJ89" s="49" t="s">
        <v>125</v>
      </c>
      <c r="BK89" s="49"/>
      <c r="BL89" s="49" t="s">
        <v>141</v>
      </c>
      <c r="BM89" s="49" t="n">
        <v>109948778</v>
      </c>
      <c r="BN89" s="49" t="s">
        <v>195</v>
      </c>
      <c r="BO89" s="49" t="s">
        <v>338</v>
      </c>
    </row>
    <row r="90" ht="16.8" customHeight="1">
      <c r="A90" s="43" t="s">
        <v>38</v>
      </c>
      <c r="B90" s="49" t="n">
        <v>80</v>
      </c>
      <c r="C90" s="49" t="s">
        <v>103</v>
      </c>
      <c r="D90" s="49" t="s">
        <v>104</v>
      </c>
      <c r="E90" s="49" t="s">
        <v>899</v>
      </c>
      <c r="F90" s="49" t="s">
        <v>900</v>
      </c>
      <c r="G90" s="49" t="s">
        <v>901</v>
      </c>
      <c r="H90" s="49" t="s">
        <v>902</v>
      </c>
      <c r="I90" s="49" t="s">
        <v>903</v>
      </c>
      <c r="J90" s="49" t="s">
        <v>125</v>
      </c>
      <c r="K90" s="49" t="s">
        <v>174</v>
      </c>
      <c r="L90" s="49" t="s">
        <v>10</v>
      </c>
      <c r="M90" s="49" t="s">
        <v>325</v>
      </c>
      <c r="N90" s="49" t="s">
        <v>326</v>
      </c>
      <c r="O90" s="49" t="s">
        <v>125</v>
      </c>
      <c r="P90" s="49"/>
      <c r="Q90" s="49"/>
      <c r="R90" s="49" t="s">
        <v>904</v>
      </c>
      <c r="S90" s="49" t="s">
        <v>10</v>
      </c>
      <c r="T90" s="49" t="s">
        <v>905</v>
      </c>
      <c r="U90" s="49" t="s">
        <v>115</v>
      </c>
      <c r="V90" s="49" t="s">
        <v>906</v>
      </c>
      <c r="W90" s="49" t="s">
        <v>117</v>
      </c>
      <c r="X90" s="49" t="s">
        <v>907</v>
      </c>
      <c r="Y90" s="49" t="s">
        <v>174</v>
      </c>
      <c r="Z90" s="49" t="s">
        <v>908</v>
      </c>
      <c r="AA90" s="49" t="s">
        <v>909</v>
      </c>
      <c r="AB90" s="49" t="s">
        <v>910</v>
      </c>
      <c r="AC90" s="49" t="s">
        <v>904</v>
      </c>
      <c r="AD90" s="49" t="n">
        <v>5420638</v>
      </c>
      <c r="AE90" s="49" t="s">
        <v>10</v>
      </c>
      <c r="AF90" s="49" t="s">
        <v>314</v>
      </c>
      <c r="AG90" s="49" t="s">
        <v>10</v>
      </c>
      <c r="AH90" s="49" t="s">
        <v>911</v>
      </c>
      <c r="AI90" s="49" t="s">
        <v>922</v>
      </c>
      <c r="AJ90" s="50" t="s">
        <v>246</v>
      </c>
      <c r="AK90" s="49" t="s">
        <v>124</v>
      </c>
      <c r="AL90" s="49" t="s">
        <v>125</v>
      </c>
      <c r="AM90" s="51" t="n">
        <v>6791.5</v>
      </c>
      <c r="AN90" s="49"/>
      <c r="AO90" s="49" t="s">
        <v>125</v>
      </c>
      <c r="AP90" s="49" t="s">
        <v>127</v>
      </c>
      <c r="AQ90" s="49" t="s">
        <v>128</v>
      </c>
      <c r="AR90" s="49" t="s">
        <v>280</v>
      </c>
      <c r="AS90" s="49" t="s">
        <v>914</v>
      </c>
      <c r="AT90" s="49"/>
      <c r="AU90" s="49" t="s">
        <v>283</v>
      </c>
      <c r="AV90" s="49"/>
      <c r="AW90" s="49" t="s">
        <v>916</v>
      </c>
      <c r="AX90" s="49"/>
      <c r="AY90" s="49"/>
      <c r="AZ90" s="49"/>
      <c r="BA90" s="49" t="s">
        <v>248</v>
      </c>
      <c r="BB90" s="49" t="n">
        <v>68322448</v>
      </c>
      <c r="BC90" s="49" t="s">
        <v>140</v>
      </c>
      <c r="BD90" s="49" t="s">
        <v>191</v>
      </c>
      <c r="BE90" s="49" t="s">
        <v>917</v>
      </c>
      <c r="BF90" s="49" t="s">
        <v>424</v>
      </c>
      <c r="BG90" s="49"/>
      <c r="BH90" s="49" t="s">
        <v>918</v>
      </c>
      <c r="BI90" s="49" t="s">
        <v>140</v>
      </c>
      <c r="BJ90" s="49" t="s">
        <v>125</v>
      </c>
      <c r="BK90" s="49"/>
      <c r="BL90" s="49"/>
      <c r="BM90" s="49" t="n">
        <v>109948778</v>
      </c>
      <c r="BN90" s="49" t="s">
        <v>195</v>
      </c>
      <c r="BO90" s="49" t="s">
        <v>338</v>
      </c>
    </row>
    <row r="91" ht="16.8" customHeight="1">
      <c r="A91" s="43" t="s">
        <v>25</v>
      </c>
      <c r="B91" s="49" t="n">
        <v>81</v>
      </c>
      <c r="C91" s="49" t="s">
        <v>103</v>
      </c>
      <c r="D91" s="49" t="s">
        <v>104</v>
      </c>
      <c r="E91" s="49" t="s">
        <v>899</v>
      </c>
      <c r="F91" s="49" t="s">
        <v>900</v>
      </c>
      <c r="G91" s="49" t="s">
        <v>901</v>
      </c>
      <c r="H91" s="49" t="s">
        <v>902</v>
      </c>
      <c r="I91" s="49" t="s">
        <v>903</v>
      </c>
      <c r="J91" s="49" t="s">
        <v>125</v>
      </c>
      <c r="K91" s="49" t="s">
        <v>174</v>
      </c>
      <c r="L91" s="49" t="s">
        <v>10</v>
      </c>
      <c r="M91" s="49" t="s">
        <v>325</v>
      </c>
      <c r="N91" s="49" t="s">
        <v>326</v>
      </c>
      <c r="O91" s="49" t="s">
        <v>125</v>
      </c>
      <c r="P91" s="49"/>
      <c r="Q91" s="49"/>
      <c r="R91" s="49" t="s">
        <v>904</v>
      </c>
      <c r="S91" s="49" t="s">
        <v>10</v>
      </c>
      <c r="T91" s="49" t="s">
        <v>905</v>
      </c>
      <c r="U91" s="49" t="s">
        <v>115</v>
      </c>
      <c r="V91" s="49" t="s">
        <v>906</v>
      </c>
      <c r="W91" s="49" t="s">
        <v>117</v>
      </c>
      <c r="X91" s="49" t="s">
        <v>907</v>
      </c>
      <c r="Y91" s="49" t="s">
        <v>174</v>
      </c>
      <c r="Z91" s="49" t="s">
        <v>908</v>
      </c>
      <c r="AA91" s="49" t="s">
        <v>909</v>
      </c>
      <c r="AB91" s="49" t="s">
        <v>910</v>
      </c>
      <c r="AC91" s="49" t="s">
        <v>904</v>
      </c>
      <c r="AD91" s="49" t="n">
        <v>5420638</v>
      </c>
      <c r="AE91" s="49" t="s">
        <v>10</v>
      </c>
      <c r="AF91" s="49" t="s">
        <v>314</v>
      </c>
      <c r="AG91" s="49" t="s">
        <v>10</v>
      </c>
      <c r="AH91" s="49" t="s">
        <v>911</v>
      </c>
      <c r="AI91" s="49" t="s">
        <v>923</v>
      </c>
      <c r="AJ91" s="49" t="s">
        <v>924</v>
      </c>
      <c r="AK91" s="49" t="s">
        <v>124</v>
      </c>
      <c r="AL91" s="49" t="s">
        <v>125</v>
      </c>
      <c r="AM91" s="51" t="n">
        <v>18300</v>
      </c>
      <c r="AN91" s="49"/>
      <c r="AO91" s="49" t="s">
        <v>125</v>
      </c>
      <c r="AP91" s="49" t="s">
        <v>127</v>
      </c>
      <c r="AQ91" s="49" t="s">
        <v>128</v>
      </c>
      <c r="AR91" s="49" t="s">
        <v>280</v>
      </c>
      <c r="AS91" s="49" t="s">
        <v>914</v>
      </c>
      <c r="AT91" s="49"/>
      <c r="AU91" s="49" t="s">
        <v>283</v>
      </c>
      <c r="AV91" s="49"/>
      <c r="AW91" s="49" t="s">
        <v>916</v>
      </c>
      <c r="AX91" s="49"/>
      <c r="AY91" s="49"/>
      <c r="AZ91" s="49"/>
      <c r="BA91" s="49"/>
      <c r="BB91" s="49" t="n">
        <v>68322448</v>
      </c>
      <c r="BC91" s="49" t="s">
        <v>134</v>
      </c>
      <c r="BD91" s="49" t="s">
        <v>191</v>
      </c>
      <c r="BE91" s="49" t="s">
        <v>917</v>
      </c>
      <c r="BF91" s="49" t="s">
        <v>424</v>
      </c>
      <c r="BG91" s="49"/>
      <c r="BH91" s="49" t="s">
        <v>918</v>
      </c>
      <c r="BI91" s="49" t="s">
        <v>140</v>
      </c>
      <c r="BJ91" s="49" t="s">
        <v>125</v>
      </c>
      <c r="BK91" s="49"/>
      <c r="BL91" s="49"/>
      <c r="BM91" s="49" t="n">
        <v>109948778</v>
      </c>
      <c r="BN91" s="49" t="s">
        <v>195</v>
      </c>
      <c r="BO91" s="49" t="s">
        <v>338</v>
      </c>
    </row>
    <row r="92" ht="16.8" customHeight="1">
      <c r="A92" s="43" t="s">
        <v>25</v>
      </c>
      <c r="B92" s="49" t="n">
        <v>82</v>
      </c>
      <c r="C92" s="49" t="s">
        <v>103</v>
      </c>
      <c r="D92" s="49" t="s">
        <v>104</v>
      </c>
      <c r="E92" s="49" t="s">
        <v>925</v>
      </c>
      <c r="F92" s="49" t="s">
        <v>926</v>
      </c>
      <c r="G92" s="49" t="s">
        <v>369</v>
      </c>
      <c r="H92" s="49" t="s">
        <v>927</v>
      </c>
      <c r="I92" s="101" t="s">
        <v>928</v>
      </c>
      <c r="J92" s="49" t="s">
        <v>929</v>
      </c>
      <c r="K92" s="49" t="s">
        <v>250</v>
      </c>
      <c r="L92" s="49" t="s">
        <v>930</v>
      </c>
      <c r="M92" s="49" t="s">
        <v>325</v>
      </c>
      <c r="N92" s="49" t="s">
        <v>931</v>
      </c>
      <c r="O92" s="49" t="s">
        <v>125</v>
      </c>
      <c r="P92" s="49" t="s">
        <v>930</v>
      </c>
      <c r="Q92" s="49" t="s">
        <v>932</v>
      </c>
      <c r="R92" s="49" t="s">
        <v>925</v>
      </c>
      <c r="S92" s="49" t="s">
        <v>14</v>
      </c>
      <c r="T92" s="49" t="s">
        <v>933</v>
      </c>
      <c r="U92" s="49" t="s">
        <v>178</v>
      </c>
      <c r="V92" s="49" t="s">
        <v>934</v>
      </c>
      <c r="W92" s="49" t="s">
        <v>117</v>
      </c>
      <c r="X92" s="49" t="s">
        <v>391</v>
      </c>
      <c r="Y92" s="49" t="s">
        <v>174</v>
      </c>
      <c r="Z92" s="49" t="s">
        <v>935</v>
      </c>
      <c r="AA92" s="49" t="s">
        <v>936</v>
      </c>
      <c r="AB92" s="49" t="s">
        <v>937</v>
      </c>
      <c r="AC92" s="49" t="s">
        <v>925</v>
      </c>
      <c r="AD92" s="49" t="n">
        <v>5496399</v>
      </c>
      <c r="AE92" s="49" t="s">
        <v>14</v>
      </c>
      <c r="AF92" s="49" t="s">
        <v>938</v>
      </c>
      <c r="AG92" s="49" t="s">
        <v>14</v>
      </c>
      <c r="AH92" s="49" t="s">
        <v>938</v>
      </c>
      <c r="AI92" s="49" t="s">
        <v>939</v>
      </c>
      <c r="AJ92" s="49" t="s">
        <v>397</v>
      </c>
      <c r="AK92" s="49" t="s">
        <v>124</v>
      </c>
      <c r="AL92" s="49" t="s">
        <v>125</v>
      </c>
      <c r="AM92" s="51" t="n">
        <v>17500</v>
      </c>
      <c r="AN92" s="49"/>
      <c r="AO92" s="49" t="s">
        <v>125</v>
      </c>
      <c r="AP92" s="49" t="s">
        <v>187</v>
      </c>
      <c r="AQ92" s="49" t="s">
        <v>128</v>
      </c>
      <c r="AR92" s="49"/>
      <c r="AS92" s="49" t="s">
        <v>940</v>
      </c>
      <c r="AT92" s="49"/>
      <c r="AU92" s="49" t="s">
        <v>941</v>
      </c>
      <c r="AV92" s="49"/>
      <c r="AW92" s="49" t="s">
        <v>942</v>
      </c>
      <c r="AX92" s="49"/>
      <c r="AY92" s="49"/>
      <c r="AZ92" s="49"/>
      <c r="BA92" s="49"/>
      <c r="BB92" s="49" t="n">
        <v>81476308</v>
      </c>
      <c r="BC92" s="49" t="s">
        <v>134</v>
      </c>
      <c r="BD92" s="49" t="s">
        <v>191</v>
      </c>
      <c r="BE92" s="49" t="s">
        <v>401</v>
      </c>
      <c r="BF92" s="49" t="s">
        <v>943</v>
      </c>
      <c r="BG92" s="49" t="s">
        <v>138</v>
      </c>
      <c r="BH92" s="49" t="s">
        <v>534</v>
      </c>
      <c r="BI92" s="49" t="s">
        <v>140</v>
      </c>
      <c r="BJ92" s="49" t="s">
        <v>125</v>
      </c>
      <c r="BK92" s="49"/>
      <c r="BL92" s="49"/>
      <c r="BM92" s="49"/>
      <c r="BN92" s="49" t="s">
        <v>142</v>
      </c>
      <c r="BO92" s="49" t="s">
        <v>944</v>
      </c>
    </row>
    <row r="93" ht="16.8" customHeight="1">
      <c r="A93" s="43" t="s">
        <v>25</v>
      </c>
      <c r="B93" s="49" t="n">
        <v>83</v>
      </c>
      <c r="C93" s="49" t="s">
        <v>103</v>
      </c>
      <c r="D93" s="49" t="s">
        <v>104</v>
      </c>
      <c r="E93" s="49" t="s">
        <v>945</v>
      </c>
      <c r="F93" s="49" t="s">
        <v>946</v>
      </c>
      <c r="G93" s="49" t="s">
        <v>385</v>
      </c>
      <c r="H93" s="49" t="s">
        <v>947</v>
      </c>
      <c r="I93" s="49" t="s">
        <v>948</v>
      </c>
      <c r="J93" s="49"/>
      <c r="K93" s="49" t="s">
        <v>174</v>
      </c>
      <c r="L93" s="49" t="s">
        <v>14</v>
      </c>
      <c r="M93" s="49" t="s">
        <v>111</v>
      </c>
      <c r="N93" s="49" t="s">
        <v>112</v>
      </c>
      <c r="O93" s="49" t="s">
        <v>388</v>
      </c>
      <c r="P93" s="49"/>
      <c r="Q93" s="49"/>
      <c r="R93" s="49" t="s">
        <v>945</v>
      </c>
      <c r="S93" s="49" t="s">
        <v>14</v>
      </c>
      <c r="T93" s="49" t="s">
        <v>949</v>
      </c>
      <c r="U93" s="49" t="s">
        <v>115</v>
      </c>
      <c r="V93" s="49" t="s">
        <v>950</v>
      </c>
      <c r="W93" s="49" t="s">
        <v>117</v>
      </c>
      <c r="X93" s="49" t="s">
        <v>391</v>
      </c>
      <c r="Y93" s="49" t="s">
        <v>174</v>
      </c>
      <c r="Z93" s="49" t="s">
        <v>951</v>
      </c>
      <c r="AA93" s="49" t="s">
        <v>952</v>
      </c>
      <c r="AB93" s="49" t="s">
        <v>497</v>
      </c>
      <c r="AC93" s="49" t="s">
        <v>945</v>
      </c>
      <c r="AD93" s="49" t="n">
        <v>5419399</v>
      </c>
      <c r="AE93" s="49" t="s">
        <v>14</v>
      </c>
      <c r="AF93" s="49" t="s">
        <v>953</v>
      </c>
      <c r="AG93" s="49" t="s">
        <v>14</v>
      </c>
      <c r="AH93" s="49" t="s">
        <v>954</v>
      </c>
      <c r="AI93" s="49" t="s">
        <v>955</v>
      </c>
      <c r="AJ93" s="49" t="s">
        <v>397</v>
      </c>
      <c r="AK93" s="49" t="s">
        <v>124</v>
      </c>
      <c r="AL93" s="49" t="s">
        <v>125</v>
      </c>
      <c r="AM93" s="51" t="n">
        <v>18400</v>
      </c>
      <c r="AN93" s="49"/>
      <c r="AO93" s="49" t="s">
        <v>385</v>
      </c>
      <c r="AP93" s="49" t="s">
        <v>187</v>
      </c>
      <c r="AQ93" s="49" t="s">
        <v>128</v>
      </c>
      <c r="AR93" s="49"/>
      <c r="AS93" s="49" t="s">
        <v>956</v>
      </c>
      <c r="AT93" s="49"/>
      <c r="AU93" s="49" t="s">
        <v>957</v>
      </c>
      <c r="AV93" s="49"/>
      <c r="AW93" s="49" t="s">
        <v>958</v>
      </c>
      <c r="AX93" s="49"/>
      <c r="AY93" s="49"/>
      <c r="AZ93" s="49"/>
      <c r="BA93" s="49"/>
      <c r="BB93" s="49" t="n">
        <v>70318208</v>
      </c>
      <c r="BC93" s="49" t="s">
        <v>134</v>
      </c>
      <c r="BD93" s="49" t="s">
        <v>191</v>
      </c>
      <c r="BE93" s="49" t="s">
        <v>401</v>
      </c>
      <c r="BF93" s="49" t="s">
        <v>225</v>
      </c>
      <c r="BG93" s="49" t="s">
        <v>138</v>
      </c>
      <c r="BH93" s="49" t="s">
        <v>194</v>
      </c>
      <c r="BI93" s="49" t="s">
        <v>140</v>
      </c>
      <c r="BJ93" s="49" t="s">
        <v>125</v>
      </c>
      <c r="BK93" s="49"/>
      <c r="BL93" s="49"/>
      <c r="BM93" s="49"/>
      <c r="BN93" s="49" t="s">
        <v>959</v>
      </c>
      <c r="BO93" s="49" t="s">
        <v>112</v>
      </c>
    </row>
    <row r="94" ht="16.8" customHeight="1">
      <c r="A94" s="43" t="s">
        <v>25</v>
      </c>
      <c r="B94" s="49" t="n">
        <v>84</v>
      </c>
      <c r="C94" s="49" t="s">
        <v>103</v>
      </c>
      <c r="D94" s="49" t="s">
        <v>104</v>
      </c>
      <c r="E94" s="49"/>
      <c r="F94" s="49" t="s">
        <v>960</v>
      </c>
      <c r="G94" s="49"/>
      <c r="H94" s="49" t="s">
        <v>961</v>
      </c>
      <c r="I94" s="49" t="s">
        <v>962</v>
      </c>
      <c r="J94" s="49"/>
      <c r="K94" s="49" t="s">
        <v>110</v>
      </c>
      <c r="L94" s="49" t="s">
        <v>14</v>
      </c>
      <c r="M94" s="49" t="s">
        <v>255</v>
      </c>
      <c r="N94" s="49" t="s">
        <v>963</v>
      </c>
      <c r="O94" s="49"/>
      <c r="P94" s="49"/>
      <c r="Q94" s="49"/>
      <c r="R94" s="49" t="s">
        <v>964</v>
      </c>
      <c r="S94" s="49" t="s">
        <v>14</v>
      </c>
      <c r="T94" s="49" t="s">
        <v>965</v>
      </c>
      <c r="U94" s="49" t="s">
        <v>115</v>
      </c>
      <c r="V94" s="49" t="s">
        <v>966</v>
      </c>
      <c r="W94" s="49" t="s">
        <v>117</v>
      </c>
      <c r="X94" s="49" t="s">
        <v>647</v>
      </c>
      <c r="Y94" s="49" t="s">
        <v>110</v>
      </c>
      <c r="Z94" s="49" t="s">
        <v>967</v>
      </c>
      <c r="AA94" s="49" t="s">
        <v>968</v>
      </c>
      <c r="AB94" s="49" t="s">
        <v>968</v>
      </c>
      <c r="AC94" s="49" t="s">
        <v>964</v>
      </c>
      <c r="AD94" s="49" t="n">
        <v>5522538</v>
      </c>
      <c r="AE94" s="49" t="s">
        <v>14</v>
      </c>
      <c r="AF94" s="49" t="s">
        <v>969</v>
      </c>
      <c r="AG94" s="49" t="s">
        <v>14</v>
      </c>
      <c r="AH94" s="49" t="s">
        <v>969</v>
      </c>
      <c r="AI94" s="49" t="s">
        <v>970</v>
      </c>
      <c r="AJ94" s="49" t="s">
        <v>656</v>
      </c>
      <c r="AK94" s="49" t="s">
        <v>124</v>
      </c>
      <c r="AL94" s="49" t="s">
        <v>125</v>
      </c>
      <c r="AM94" s="51" t="n">
        <v>5180</v>
      </c>
      <c r="AN94" s="49" t="s">
        <v>126</v>
      </c>
      <c r="AO94" s="49" t="s">
        <v>125</v>
      </c>
      <c r="AP94" s="49" t="s">
        <v>127</v>
      </c>
      <c r="AQ94" s="49" t="s">
        <v>128</v>
      </c>
      <c r="AR94" s="49" t="s">
        <v>971</v>
      </c>
      <c r="AS94" s="49" t="s">
        <v>972</v>
      </c>
      <c r="AT94" s="49" t="s">
        <v>973</v>
      </c>
      <c r="AU94" s="49" t="s">
        <v>380</v>
      </c>
      <c r="AV94" s="49"/>
      <c r="AW94" s="49" t="s">
        <v>974</v>
      </c>
      <c r="AX94" s="49"/>
      <c r="AY94" s="49"/>
      <c r="AZ94" s="49"/>
      <c r="BA94" s="49"/>
      <c r="BB94" s="49" t="n">
        <v>51138576</v>
      </c>
      <c r="BC94" s="49" t="s">
        <v>134</v>
      </c>
      <c r="BD94" s="49" t="s">
        <v>655</v>
      </c>
      <c r="BE94" s="49" t="s">
        <v>656</v>
      </c>
      <c r="BF94" s="49" t="s">
        <v>125</v>
      </c>
      <c r="BG94" s="49"/>
      <c r="BH94" s="49" t="s">
        <v>139</v>
      </c>
      <c r="BI94" s="49" t="s">
        <v>140</v>
      </c>
      <c r="BJ94" s="49" t="s">
        <v>125</v>
      </c>
      <c r="BK94" s="49"/>
      <c r="BL94" s="49" t="s">
        <v>286</v>
      </c>
      <c r="BM94" s="49"/>
      <c r="BN94" s="49" t="s">
        <v>142</v>
      </c>
      <c r="BO94" s="49"/>
    </row>
    <row r="95" ht="16.8" customHeight="1">
      <c r="A95" s="43" t="s">
        <v>25</v>
      </c>
      <c r="B95" s="49" t="n">
        <v>85</v>
      </c>
      <c r="C95" s="49" t="s">
        <v>103</v>
      </c>
      <c r="D95" s="49" t="s">
        <v>104</v>
      </c>
      <c r="E95" s="49"/>
      <c r="F95" s="49" t="s">
        <v>960</v>
      </c>
      <c r="G95" s="49"/>
      <c r="H95" s="49" t="s">
        <v>961</v>
      </c>
      <c r="I95" s="49" t="s">
        <v>962</v>
      </c>
      <c r="J95" s="49"/>
      <c r="K95" s="49" t="s">
        <v>110</v>
      </c>
      <c r="L95" s="49" t="s">
        <v>14</v>
      </c>
      <c r="M95" s="49" t="s">
        <v>255</v>
      </c>
      <c r="N95" s="49" t="s">
        <v>963</v>
      </c>
      <c r="O95" s="49"/>
      <c r="P95" s="49"/>
      <c r="Q95" s="49"/>
      <c r="R95" s="49" t="s">
        <v>964</v>
      </c>
      <c r="S95" s="49" t="s">
        <v>14</v>
      </c>
      <c r="T95" s="49" t="s">
        <v>965</v>
      </c>
      <c r="U95" s="49" t="s">
        <v>115</v>
      </c>
      <c r="V95" s="49" t="s">
        <v>966</v>
      </c>
      <c r="W95" s="49" t="s">
        <v>117</v>
      </c>
      <c r="X95" s="49" t="s">
        <v>647</v>
      </c>
      <c r="Y95" s="49" t="s">
        <v>110</v>
      </c>
      <c r="Z95" s="49" t="s">
        <v>967</v>
      </c>
      <c r="AA95" s="49" t="s">
        <v>968</v>
      </c>
      <c r="AB95" s="49" t="s">
        <v>968</v>
      </c>
      <c r="AC95" s="49" t="s">
        <v>964</v>
      </c>
      <c r="AD95" s="49" t="n">
        <v>5522538</v>
      </c>
      <c r="AE95" s="49" t="s">
        <v>14</v>
      </c>
      <c r="AF95" s="49" t="s">
        <v>969</v>
      </c>
      <c r="AG95" s="49" t="s">
        <v>14</v>
      </c>
      <c r="AH95" s="49" t="s">
        <v>969</v>
      </c>
      <c r="AI95" s="49" t="s">
        <v>975</v>
      </c>
      <c r="AJ95" s="49" t="s">
        <v>976</v>
      </c>
      <c r="AK95" s="49" t="s">
        <v>124</v>
      </c>
      <c r="AL95" s="49" t="s">
        <v>125</v>
      </c>
      <c r="AM95" s="51" t="n">
        <v>5180</v>
      </c>
      <c r="AN95" s="49" t="s">
        <v>126</v>
      </c>
      <c r="AO95" s="49" t="s">
        <v>125</v>
      </c>
      <c r="AP95" s="49" t="s">
        <v>127</v>
      </c>
      <c r="AQ95" s="49" t="s">
        <v>128</v>
      </c>
      <c r="AR95" s="49" t="s">
        <v>971</v>
      </c>
      <c r="AS95" s="49" t="s">
        <v>972</v>
      </c>
      <c r="AT95" s="49" t="s">
        <v>977</v>
      </c>
      <c r="AU95" s="49" t="s">
        <v>380</v>
      </c>
      <c r="AV95" s="49"/>
      <c r="AW95" s="49" t="s">
        <v>974</v>
      </c>
      <c r="AX95" s="49"/>
      <c r="AY95" s="49"/>
      <c r="AZ95" s="49"/>
      <c r="BA95" s="49"/>
      <c r="BB95" s="49" t="n">
        <v>51138576</v>
      </c>
      <c r="BC95" s="49" t="s">
        <v>134</v>
      </c>
      <c r="BD95" s="49" t="s">
        <v>655</v>
      </c>
      <c r="BE95" s="49" t="s">
        <v>656</v>
      </c>
      <c r="BF95" s="49" t="s">
        <v>125</v>
      </c>
      <c r="BG95" s="49"/>
      <c r="BH95" s="49" t="s">
        <v>139</v>
      </c>
      <c r="BI95" s="49" t="s">
        <v>140</v>
      </c>
      <c r="BJ95" s="49" t="s">
        <v>125</v>
      </c>
      <c r="BK95" s="49"/>
      <c r="BL95" s="49" t="s">
        <v>286</v>
      </c>
      <c r="BM95" s="49"/>
      <c r="BN95" s="49" t="s">
        <v>142</v>
      </c>
      <c r="BO95" s="49"/>
    </row>
    <row r="96" ht="16.8" customHeight="1">
      <c r="A96" s="43" t="s">
        <v>25</v>
      </c>
      <c r="B96" s="49" t="n">
        <v>86</v>
      </c>
      <c r="C96" s="49" t="s">
        <v>103</v>
      </c>
      <c r="D96" s="49" t="s">
        <v>104</v>
      </c>
      <c r="E96" s="49" t="s">
        <v>978</v>
      </c>
      <c r="F96" s="49" t="s">
        <v>979</v>
      </c>
      <c r="G96" s="49" t="s">
        <v>980</v>
      </c>
      <c r="H96" s="49" t="s">
        <v>981</v>
      </c>
      <c r="I96" s="49" t="s">
        <v>982</v>
      </c>
      <c r="J96" s="49" t="s">
        <v>125</v>
      </c>
      <c r="K96" s="49" t="s">
        <v>206</v>
      </c>
      <c r="L96" s="49" t="s">
        <v>980</v>
      </c>
      <c r="M96" s="49" t="s">
        <v>255</v>
      </c>
      <c r="N96" s="49" t="s">
        <v>255</v>
      </c>
      <c r="O96" s="49" t="s">
        <v>125</v>
      </c>
      <c r="P96" s="49" t="s">
        <v>980</v>
      </c>
      <c r="Q96" s="49" t="s">
        <v>983</v>
      </c>
      <c r="R96" s="49" t="s">
        <v>978</v>
      </c>
      <c r="S96" s="49" t="s">
        <v>10</v>
      </c>
      <c r="T96" s="49" t="s">
        <v>984</v>
      </c>
      <c r="U96" s="49" t="s">
        <v>115</v>
      </c>
      <c r="V96" s="49" t="s">
        <v>985</v>
      </c>
      <c r="W96" s="49" t="s">
        <v>117</v>
      </c>
      <c r="X96" s="49" t="s">
        <v>986</v>
      </c>
      <c r="Y96" s="49" t="s">
        <v>206</v>
      </c>
      <c r="Z96" s="49" t="s">
        <v>119</v>
      </c>
      <c r="AA96" s="49" t="s">
        <v>438</v>
      </c>
      <c r="AB96" s="49" t="s">
        <v>439</v>
      </c>
      <c r="AC96" s="49" t="s">
        <v>978</v>
      </c>
      <c r="AD96" s="49" t="n">
        <v>5521885</v>
      </c>
      <c r="AE96" s="49" t="s">
        <v>10</v>
      </c>
      <c r="AF96" s="49" t="s">
        <v>987</v>
      </c>
      <c r="AG96" s="49" t="s">
        <v>10</v>
      </c>
      <c r="AH96" s="49" t="s">
        <v>988</v>
      </c>
      <c r="AI96" s="49" t="s">
        <v>989</v>
      </c>
      <c r="AJ96" s="49" t="s">
        <v>397</v>
      </c>
      <c r="AK96" s="49" t="s">
        <v>124</v>
      </c>
      <c r="AL96" s="49" t="s">
        <v>125</v>
      </c>
      <c r="AM96" s="51" t="n">
        <v>33500</v>
      </c>
      <c r="AN96" s="49"/>
      <c r="AO96" s="49" t="s">
        <v>125</v>
      </c>
      <c r="AP96" s="49" t="s">
        <v>187</v>
      </c>
      <c r="AQ96" s="49" t="s">
        <v>128</v>
      </c>
      <c r="AR96" s="49"/>
      <c r="AS96" s="49" t="s">
        <v>990</v>
      </c>
      <c r="AT96" s="49"/>
      <c r="AU96" s="49" t="s">
        <v>380</v>
      </c>
      <c r="AV96" s="49"/>
      <c r="AW96" s="49" t="s">
        <v>991</v>
      </c>
      <c r="AX96" s="49"/>
      <c r="AY96" s="49"/>
      <c r="AZ96" s="49"/>
      <c r="BA96" s="49"/>
      <c r="BB96" s="49" t="n">
        <v>44438330</v>
      </c>
      <c r="BC96" s="49" t="s">
        <v>134</v>
      </c>
      <c r="BD96" s="49" t="s">
        <v>191</v>
      </c>
      <c r="BE96" s="49" t="s">
        <v>224</v>
      </c>
      <c r="BF96" s="49" t="s">
        <v>225</v>
      </c>
      <c r="BG96" s="49" t="s">
        <v>138</v>
      </c>
      <c r="BH96" s="49" t="s">
        <v>139</v>
      </c>
      <c r="BI96" s="49" t="s">
        <v>140</v>
      </c>
      <c r="BJ96" s="49" t="s">
        <v>125</v>
      </c>
      <c r="BK96" s="49"/>
      <c r="BL96" s="49"/>
      <c r="BM96" s="49"/>
      <c r="BN96" s="49" t="s">
        <v>227</v>
      </c>
      <c r="BO96" s="49"/>
    </row>
    <row r="97" ht="16.8" customHeight="1">
      <c r="A97" s="43" t="s">
        <v>25</v>
      </c>
      <c r="B97" s="49" t="n">
        <v>87</v>
      </c>
      <c r="C97" s="49" t="s">
        <v>103</v>
      </c>
      <c r="D97" s="49" t="s">
        <v>104</v>
      </c>
      <c r="E97" s="49" t="s">
        <v>992</v>
      </c>
      <c r="F97" s="49" t="s">
        <v>993</v>
      </c>
      <c r="G97" s="49" t="s">
        <v>171</v>
      </c>
      <c r="H97" s="49" t="s">
        <v>994</v>
      </c>
      <c r="I97" s="49" t="s">
        <v>995</v>
      </c>
      <c r="J97" s="49" t="s">
        <v>125</v>
      </c>
      <c r="K97" s="49" t="s">
        <v>996</v>
      </c>
      <c r="L97" s="49" t="s">
        <v>10</v>
      </c>
      <c r="M97" s="49" t="s">
        <v>111</v>
      </c>
      <c r="N97" s="49" t="s">
        <v>997</v>
      </c>
      <c r="O97" s="49" t="s">
        <v>998</v>
      </c>
      <c r="P97" s="49"/>
      <c r="Q97" s="49"/>
      <c r="R97" s="49" t="s">
        <v>999</v>
      </c>
      <c r="S97" s="49" t="s">
        <v>10</v>
      </c>
      <c r="T97" s="49" t="s">
        <v>1000</v>
      </c>
      <c r="U97" s="49" t="s">
        <v>178</v>
      </c>
      <c r="V97" s="49" t="s">
        <v>1001</v>
      </c>
      <c r="W97" s="49" t="s">
        <v>117</v>
      </c>
      <c r="X97" s="49" t="s">
        <v>1002</v>
      </c>
      <c r="Y97" s="49" t="s">
        <v>996</v>
      </c>
      <c r="Z97" s="49" t="s">
        <v>455</v>
      </c>
      <c r="AA97" s="49" t="s">
        <v>1003</v>
      </c>
      <c r="AB97" s="49" t="s">
        <v>1004</v>
      </c>
      <c r="AC97" s="49" t="s">
        <v>999</v>
      </c>
      <c r="AD97" s="49" t="n">
        <v>5521795</v>
      </c>
      <c r="AE97" s="49" t="s">
        <v>10</v>
      </c>
      <c r="AF97" s="49" t="s">
        <v>1005</v>
      </c>
      <c r="AG97" s="49" t="s">
        <v>10</v>
      </c>
      <c r="AH97" s="49" t="s">
        <v>1006</v>
      </c>
      <c r="AI97" s="49" t="s">
        <v>1007</v>
      </c>
      <c r="AJ97" s="49" t="s">
        <v>1008</v>
      </c>
      <c r="AK97" s="49" t="s">
        <v>124</v>
      </c>
      <c r="AL97" s="49" t="s">
        <v>125</v>
      </c>
      <c r="AM97" s="51" t="n">
        <v>4880</v>
      </c>
      <c r="AN97" s="49"/>
      <c r="AO97" s="49" t="s">
        <v>998</v>
      </c>
      <c r="AP97" s="49" t="s">
        <v>187</v>
      </c>
      <c r="AQ97" s="49" t="s">
        <v>128</v>
      </c>
      <c r="AR97" s="49" t="s">
        <v>280</v>
      </c>
      <c r="AS97" s="49" t="s">
        <v>1009</v>
      </c>
      <c r="AT97" s="49" t="s">
        <v>1010</v>
      </c>
      <c r="AU97" s="49" t="s">
        <v>380</v>
      </c>
      <c r="AV97" s="49"/>
      <c r="AW97" s="49" t="s">
        <v>1011</v>
      </c>
      <c r="AX97" s="49"/>
      <c r="AY97" s="49"/>
      <c r="AZ97" s="49"/>
      <c r="BA97" s="49"/>
      <c r="BB97" s="49" t="n">
        <v>74808876</v>
      </c>
      <c r="BC97" s="49" t="s">
        <v>134</v>
      </c>
      <c r="BD97" s="49"/>
      <c r="BE97" s="49" t="s">
        <v>125</v>
      </c>
      <c r="BF97" s="49" t="s">
        <v>125</v>
      </c>
      <c r="BG97" s="49"/>
      <c r="BH97" s="49" t="s">
        <v>139</v>
      </c>
      <c r="BI97" s="49" t="s">
        <v>140</v>
      </c>
      <c r="BJ97" s="49" t="s">
        <v>125</v>
      </c>
      <c r="BK97" s="49"/>
      <c r="BL97" s="49" t="s">
        <v>141</v>
      </c>
      <c r="BM97" s="49"/>
      <c r="BN97" s="49" t="s">
        <v>142</v>
      </c>
      <c r="BO97" s="49" t="s">
        <v>196</v>
      </c>
    </row>
    <row r="98" ht="16.8" customHeight="1">
      <c r="A98" s="43" t="s">
        <v>25</v>
      </c>
      <c r="B98" s="49" t="n">
        <v>88</v>
      </c>
      <c r="C98" s="49" t="s">
        <v>103</v>
      </c>
      <c r="D98" s="49" t="s">
        <v>104</v>
      </c>
      <c r="E98" s="49" t="s">
        <v>320</v>
      </c>
      <c r="F98" s="49" t="s">
        <v>1012</v>
      </c>
      <c r="G98" s="49" t="s">
        <v>622</v>
      </c>
      <c r="H98" s="49" t="s">
        <v>1013</v>
      </c>
      <c r="I98" s="49" t="s">
        <v>1014</v>
      </c>
      <c r="J98" s="49" t="s">
        <v>125</v>
      </c>
      <c r="K98" s="49" t="s">
        <v>239</v>
      </c>
      <c r="L98" s="49" t="s">
        <v>14</v>
      </c>
      <c r="M98" s="49" t="s">
        <v>111</v>
      </c>
      <c r="N98" s="49" t="s">
        <v>175</v>
      </c>
      <c r="O98" s="49" t="s">
        <v>176</v>
      </c>
      <c r="P98" s="49"/>
      <c r="Q98" s="49"/>
      <c r="R98" s="49" t="s">
        <v>1015</v>
      </c>
      <c r="S98" s="49" t="s">
        <v>14</v>
      </c>
      <c r="T98" s="49" t="s">
        <v>1016</v>
      </c>
      <c r="U98" s="49" t="s">
        <v>178</v>
      </c>
      <c r="V98" s="49" t="s">
        <v>1017</v>
      </c>
      <c r="W98" s="49" t="s">
        <v>117</v>
      </c>
      <c r="X98" s="49" t="s">
        <v>118</v>
      </c>
      <c r="Y98" s="49" t="s">
        <v>239</v>
      </c>
      <c r="Z98" s="49" t="s">
        <v>413</v>
      </c>
      <c r="AA98" s="49" t="s">
        <v>1018</v>
      </c>
      <c r="AB98" s="49" t="s">
        <v>1019</v>
      </c>
      <c r="AC98" s="49" t="s">
        <v>1015</v>
      </c>
      <c r="AD98" s="49" t="n">
        <v>5494278</v>
      </c>
      <c r="AE98" s="49" t="s">
        <v>14</v>
      </c>
      <c r="AF98" s="49" t="s">
        <v>1020</v>
      </c>
      <c r="AG98" s="49" t="s">
        <v>14</v>
      </c>
      <c r="AH98" s="49" t="s">
        <v>1020</v>
      </c>
      <c r="AI98" s="49" t="s">
        <v>792</v>
      </c>
      <c r="AJ98" s="49" t="s">
        <v>159</v>
      </c>
      <c r="AK98" s="49" t="s">
        <v>124</v>
      </c>
      <c r="AL98" s="49" t="s">
        <v>125</v>
      </c>
      <c r="AM98" s="51" t="n">
        <v>3463.1</v>
      </c>
      <c r="AN98" s="49"/>
      <c r="AO98" s="49" t="s">
        <v>14</v>
      </c>
      <c r="AP98" s="49" t="s">
        <v>187</v>
      </c>
      <c r="AQ98" s="49" t="s">
        <v>128</v>
      </c>
      <c r="AR98" s="49" t="s">
        <v>971</v>
      </c>
      <c r="AS98" s="49" t="s">
        <v>1021</v>
      </c>
      <c r="AT98" s="49" t="s">
        <v>1022</v>
      </c>
      <c r="AU98" s="49" t="s">
        <v>380</v>
      </c>
      <c r="AV98" s="49"/>
      <c r="AW98" s="49" t="s">
        <v>1023</v>
      </c>
      <c r="AX98" s="49"/>
      <c r="AY98" s="49"/>
      <c r="AZ98" s="49"/>
      <c r="BA98" s="49"/>
      <c r="BB98" s="49" t="n">
        <v>81442098</v>
      </c>
      <c r="BC98" s="49" t="s">
        <v>134</v>
      </c>
      <c r="BD98" s="49" t="s">
        <v>191</v>
      </c>
      <c r="BE98" s="49" t="s">
        <v>1024</v>
      </c>
      <c r="BF98" s="49" t="s">
        <v>464</v>
      </c>
      <c r="BG98" s="49" t="s">
        <v>138</v>
      </c>
      <c r="BH98" s="49" t="s">
        <v>139</v>
      </c>
      <c r="BI98" s="49" t="s">
        <v>140</v>
      </c>
      <c r="BJ98" s="49" t="s">
        <v>125</v>
      </c>
      <c r="BK98" s="49"/>
      <c r="BL98" s="49" t="s">
        <v>141</v>
      </c>
      <c r="BM98" s="49"/>
      <c r="BN98" s="49"/>
      <c r="BO98" s="49" t="s">
        <v>196</v>
      </c>
    </row>
    <row r="99" ht="16.8" customHeight="1">
      <c r="A99" s="43" t="s">
        <v>25</v>
      </c>
      <c r="B99" s="49" t="n">
        <v>89</v>
      </c>
      <c r="C99" s="49" t="s">
        <v>103</v>
      </c>
      <c r="D99" s="49" t="s">
        <v>104</v>
      </c>
      <c r="E99" s="49" t="s">
        <v>320</v>
      </c>
      <c r="F99" s="49" t="s">
        <v>1012</v>
      </c>
      <c r="G99" s="49" t="s">
        <v>622</v>
      </c>
      <c r="H99" s="49" t="s">
        <v>1013</v>
      </c>
      <c r="I99" s="49" t="s">
        <v>1014</v>
      </c>
      <c r="J99" s="49" t="s">
        <v>125</v>
      </c>
      <c r="K99" s="49" t="s">
        <v>239</v>
      </c>
      <c r="L99" s="49" t="s">
        <v>14</v>
      </c>
      <c r="M99" s="49" t="s">
        <v>111</v>
      </c>
      <c r="N99" s="49" t="s">
        <v>175</v>
      </c>
      <c r="O99" s="49" t="s">
        <v>176</v>
      </c>
      <c r="P99" s="49"/>
      <c r="Q99" s="49"/>
      <c r="R99" s="49" t="s">
        <v>1015</v>
      </c>
      <c r="S99" s="49" t="s">
        <v>14</v>
      </c>
      <c r="T99" s="49" t="s">
        <v>1016</v>
      </c>
      <c r="U99" s="49" t="s">
        <v>178</v>
      </c>
      <c r="V99" s="49" t="s">
        <v>1017</v>
      </c>
      <c r="W99" s="49" t="s">
        <v>117</v>
      </c>
      <c r="X99" s="49" t="s">
        <v>118</v>
      </c>
      <c r="Y99" s="49" t="s">
        <v>239</v>
      </c>
      <c r="Z99" s="49" t="s">
        <v>413</v>
      </c>
      <c r="AA99" s="49" t="s">
        <v>1018</v>
      </c>
      <c r="AB99" s="49" t="s">
        <v>1019</v>
      </c>
      <c r="AC99" s="49" t="s">
        <v>1015</v>
      </c>
      <c r="AD99" s="49" t="n">
        <v>5494278</v>
      </c>
      <c r="AE99" s="49" t="s">
        <v>14</v>
      </c>
      <c r="AF99" s="49" t="s">
        <v>1020</v>
      </c>
      <c r="AG99" s="49" t="s">
        <v>14</v>
      </c>
      <c r="AH99" s="49" t="s">
        <v>1020</v>
      </c>
      <c r="AI99" s="49" t="s">
        <v>1025</v>
      </c>
      <c r="AJ99" s="49" t="s">
        <v>1026</v>
      </c>
      <c r="AK99" s="49" t="s">
        <v>124</v>
      </c>
      <c r="AL99" s="49" t="s">
        <v>125</v>
      </c>
      <c r="AM99" s="51" t="n">
        <v>16597.4</v>
      </c>
      <c r="AN99" s="49"/>
      <c r="AO99" s="49" t="s">
        <v>14</v>
      </c>
      <c r="AP99" s="49" t="s">
        <v>187</v>
      </c>
      <c r="AQ99" s="49" t="s">
        <v>128</v>
      </c>
      <c r="AR99" s="49" t="s">
        <v>971</v>
      </c>
      <c r="AS99" s="49" t="s">
        <v>1021</v>
      </c>
      <c r="AT99" s="49" t="s">
        <v>1027</v>
      </c>
      <c r="AU99" s="49" t="s">
        <v>380</v>
      </c>
      <c r="AV99" s="49"/>
      <c r="AW99" s="49" t="s">
        <v>1023</v>
      </c>
      <c r="AX99" s="49"/>
      <c r="AY99" s="49"/>
      <c r="AZ99" s="49"/>
      <c r="BA99" s="49"/>
      <c r="BB99" s="49" t="n">
        <v>81442098</v>
      </c>
      <c r="BC99" s="49" t="s">
        <v>134</v>
      </c>
      <c r="BD99" s="49" t="s">
        <v>191</v>
      </c>
      <c r="BE99" s="49" t="s">
        <v>1024</v>
      </c>
      <c r="BF99" s="49" t="s">
        <v>464</v>
      </c>
      <c r="BG99" s="49" t="s">
        <v>138</v>
      </c>
      <c r="BH99" s="49" t="s">
        <v>139</v>
      </c>
      <c r="BI99" s="49" t="s">
        <v>140</v>
      </c>
      <c r="BJ99" s="49" t="s">
        <v>125</v>
      </c>
      <c r="BK99" s="49"/>
      <c r="BL99" s="49" t="s">
        <v>141</v>
      </c>
      <c r="BM99" s="49"/>
      <c r="BN99" s="49"/>
      <c r="BO99" s="49" t="s">
        <v>196</v>
      </c>
    </row>
    <row r="100" ht="16.8" customHeight="1">
      <c r="A100" s="43" t="s">
        <v>25</v>
      </c>
      <c r="B100" s="49" t="n">
        <v>90</v>
      </c>
      <c r="C100" s="49" t="s">
        <v>103</v>
      </c>
      <c r="D100" s="49" t="s">
        <v>104</v>
      </c>
      <c r="E100" s="49" t="s">
        <v>320</v>
      </c>
      <c r="F100" s="49" t="s">
        <v>1012</v>
      </c>
      <c r="G100" s="49" t="s">
        <v>622</v>
      </c>
      <c r="H100" s="49" t="s">
        <v>1013</v>
      </c>
      <c r="I100" s="49" t="s">
        <v>1014</v>
      </c>
      <c r="J100" s="49" t="s">
        <v>125</v>
      </c>
      <c r="K100" s="49" t="s">
        <v>239</v>
      </c>
      <c r="L100" s="49" t="s">
        <v>14</v>
      </c>
      <c r="M100" s="49" t="s">
        <v>111</v>
      </c>
      <c r="N100" s="49" t="s">
        <v>175</v>
      </c>
      <c r="O100" s="49" t="s">
        <v>176</v>
      </c>
      <c r="P100" s="49"/>
      <c r="Q100" s="49"/>
      <c r="R100" s="49" t="s">
        <v>1015</v>
      </c>
      <c r="S100" s="49" t="s">
        <v>14</v>
      </c>
      <c r="T100" s="49" t="s">
        <v>1016</v>
      </c>
      <c r="U100" s="49" t="s">
        <v>178</v>
      </c>
      <c r="V100" s="49" t="s">
        <v>1017</v>
      </c>
      <c r="W100" s="49" t="s">
        <v>117</v>
      </c>
      <c r="X100" s="49" t="s">
        <v>118</v>
      </c>
      <c r="Y100" s="49" t="s">
        <v>239</v>
      </c>
      <c r="Z100" s="49" t="s">
        <v>413</v>
      </c>
      <c r="AA100" s="49" t="s">
        <v>1018</v>
      </c>
      <c r="AB100" s="49" t="s">
        <v>1019</v>
      </c>
      <c r="AC100" s="49" t="s">
        <v>1015</v>
      </c>
      <c r="AD100" s="49" t="n">
        <v>5494278</v>
      </c>
      <c r="AE100" s="49" t="s">
        <v>14</v>
      </c>
      <c r="AF100" s="49" t="s">
        <v>1020</v>
      </c>
      <c r="AG100" s="49" t="s">
        <v>14</v>
      </c>
      <c r="AH100" s="49" t="s">
        <v>1020</v>
      </c>
      <c r="AI100" s="49" t="s">
        <v>1028</v>
      </c>
      <c r="AJ100" s="49" t="s">
        <v>153</v>
      </c>
      <c r="AK100" s="49" t="s">
        <v>124</v>
      </c>
      <c r="AL100" s="49" t="s">
        <v>125</v>
      </c>
      <c r="AM100" s="51" t="n">
        <v>5857.9</v>
      </c>
      <c r="AN100" s="49"/>
      <c r="AO100" s="49" t="s">
        <v>14</v>
      </c>
      <c r="AP100" s="49" t="s">
        <v>187</v>
      </c>
      <c r="AQ100" s="49" t="s">
        <v>128</v>
      </c>
      <c r="AR100" s="49" t="s">
        <v>971</v>
      </c>
      <c r="AS100" s="49" t="s">
        <v>1021</v>
      </c>
      <c r="AT100" s="49" t="s">
        <v>1029</v>
      </c>
      <c r="AU100" s="49" t="s">
        <v>380</v>
      </c>
      <c r="AV100" s="49"/>
      <c r="AW100" s="49" t="s">
        <v>1023</v>
      </c>
      <c r="AX100" s="49"/>
      <c r="AY100" s="49"/>
      <c r="AZ100" s="49"/>
      <c r="BA100" s="49"/>
      <c r="BB100" s="49" t="n">
        <v>81442098</v>
      </c>
      <c r="BC100" s="49" t="s">
        <v>134</v>
      </c>
      <c r="BD100" s="49" t="s">
        <v>191</v>
      </c>
      <c r="BE100" s="49" t="s">
        <v>1024</v>
      </c>
      <c r="BF100" s="49" t="s">
        <v>464</v>
      </c>
      <c r="BG100" s="49" t="s">
        <v>138</v>
      </c>
      <c r="BH100" s="49" t="s">
        <v>139</v>
      </c>
      <c r="BI100" s="49" t="s">
        <v>140</v>
      </c>
      <c r="BJ100" s="49" t="s">
        <v>125</v>
      </c>
      <c r="BK100" s="49"/>
      <c r="BL100" s="49" t="s">
        <v>141</v>
      </c>
      <c r="BM100" s="49"/>
      <c r="BN100" s="49"/>
      <c r="BO100" s="49" t="s">
        <v>196</v>
      </c>
    </row>
    <row r="101" ht="16.8" customHeight="1">
      <c r="A101" s="43" t="s">
        <v>25</v>
      </c>
      <c r="B101" s="49" t="n">
        <v>91</v>
      </c>
      <c r="C101" s="49" t="s">
        <v>103</v>
      </c>
      <c r="D101" s="49" t="s">
        <v>104</v>
      </c>
      <c r="E101" s="49" t="s">
        <v>320</v>
      </c>
      <c r="F101" s="49" t="s">
        <v>1012</v>
      </c>
      <c r="G101" s="49" t="s">
        <v>622</v>
      </c>
      <c r="H101" s="49" t="s">
        <v>1013</v>
      </c>
      <c r="I101" s="49" t="s">
        <v>1014</v>
      </c>
      <c r="J101" s="49" t="s">
        <v>125</v>
      </c>
      <c r="K101" s="49" t="s">
        <v>239</v>
      </c>
      <c r="L101" s="49" t="s">
        <v>14</v>
      </c>
      <c r="M101" s="49" t="s">
        <v>111</v>
      </c>
      <c r="N101" s="49" t="s">
        <v>175</v>
      </c>
      <c r="O101" s="49" t="s">
        <v>176</v>
      </c>
      <c r="P101" s="49"/>
      <c r="Q101" s="49"/>
      <c r="R101" s="49" t="s">
        <v>1015</v>
      </c>
      <c r="S101" s="49" t="s">
        <v>14</v>
      </c>
      <c r="T101" s="49" t="s">
        <v>1016</v>
      </c>
      <c r="U101" s="49" t="s">
        <v>178</v>
      </c>
      <c r="V101" s="49" t="s">
        <v>1017</v>
      </c>
      <c r="W101" s="49" t="s">
        <v>117</v>
      </c>
      <c r="X101" s="49" t="s">
        <v>118</v>
      </c>
      <c r="Y101" s="49" t="s">
        <v>239</v>
      </c>
      <c r="Z101" s="49" t="s">
        <v>413</v>
      </c>
      <c r="AA101" s="49" t="s">
        <v>1018</v>
      </c>
      <c r="AB101" s="49" t="s">
        <v>1019</v>
      </c>
      <c r="AC101" s="49" t="s">
        <v>1015</v>
      </c>
      <c r="AD101" s="49" t="n">
        <v>5494278</v>
      </c>
      <c r="AE101" s="49" t="s">
        <v>14</v>
      </c>
      <c r="AF101" s="49" t="s">
        <v>1020</v>
      </c>
      <c r="AG101" s="49" t="s">
        <v>14</v>
      </c>
      <c r="AH101" s="49" t="s">
        <v>1020</v>
      </c>
      <c r="AI101" s="49" t="s">
        <v>1030</v>
      </c>
      <c r="AJ101" s="49" t="s">
        <v>150</v>
      </c>
      <c r="AK101" s="49" t="s">
        <v>124</v>
      </c>
      <c r="AL101" s="49" t="s">
        <v>125</v>
      </c>
      <c r="AM101" s="51" t="n">
        <v>4881.6</v>
      </c>
      <c r="AN101" s="49"/>
      <c r="AO101" s="49" t="s">
        <v>14</v>
      </c>
      <c r="AP101" s="49" t="s">
        <v>187</v>
      </c>
      <c r="AQ101" s="49" t="s">
        <v>128</v>
      </c>
      <c r="AR101" s="49" t="s">
        <v>971</v>
      </c>
      <c r="AS101" s="49" t="s">
        <v>1021</v>
      </c>
      <c r="AT101" s="49" t="s">
        <v>1031</v>
      </c>
      <c r="AU101" s="49" t="s">
        <v>380</v>
      </c>
      <c r="AV101" s="49"/>
      <c r="AW101" s="49" t="s">
        <v>1023</v>
      </c>
      <c r="AX101" s="49"/>
      <c r="AY101" s="49"/>
      <c r="AZ101" s="49"/>
      <c r="BA101" s="49"/>
      <c r="BB101" s="49" t="n">
        <v>81442098</v>
      </c>
      <c r="BC101" s="49" t="s">
        <v>134</v>
      </c>
      <c r="BD101" s="49" t="s">
        <v>191</v>
      </c>
      <c r="BE101" s="49" t="s">
        <v>1024</v>
      </c>
      <c r="BF101" s="49" t="s">
        <v>464</v>
      </c>
      <c r="BG101" s="49" t="s">
        <v>138</v>
      </c>
      <c r="BH101" s="49" t="s">
        <v>139</v>
      </c>
      <c r="BI101" s="49" t="s">
        <v>140</v>
      </c>
      <c r="BJ101" s="49" t="s">
        <v>125</v>
      </c>
      <c r="BK101" s="49"/>
      <c r="BL101" s="49" t="s">
        <v>141</v>
      </c>
      <c r="BM101" s="49"/>
      <c r="BN101" s="49"/>
      <c r="BO101" s="49" t="s">
        <v>196</v>
      </c>
    </row>
    <row r="102" ht="16.8" customHeight="1">
      <c r="A102" s="43" t="s">
        <v>25</v>
      </c>
      <c r="B102" s="49" t="n">
        <v>92</v>
      </c>
      <c r="C102" s="49" t="s">
        <v>103</v>
      </c>
      <c r="D102" s="49" t="s">
        <v>104</v>
      </c>
      <c r="E102" s="49"/>
      <c r="F102" s="49" t="s">
        <v>1032</v>
      </c>
      <c r="G102" s="49"/>
      <c r="H102" s="49" t="s">
        <v>1033</v>
      </c>
      <c r="I102" s="102" t="s">
        <v>1034</v>
      </c>
      <c r="J102" s="49" t="s">
        <v>1035</v>
      </c>
      <c r="K102" s="49"/>
      <c r="L102" s="49" t="s">
        <v>14</v>
      </c>
      <c r="M102" s="49" t="s">
        <v>1036</v>
      </c>
      <c r="N102" s="49" t="s">
        <v>1037</v>
      </c>
      <c r="O102" s="49"/>
      <c r="P102" s="49"/>
      <c r="Q102" s="49"/>
      <c r="R102" s="49" t="s">
        <v>1038</v>
      </c>
      <c r="S102" s="49" t="s">
        <v>14</v>
      </c>
      <c r="T102" s="49" t="s">
        <v>1039</v>
      </c>
      <c r="U102" s="49" t="s">
        <v>115</v>
      </c>
      <c r="V102" s="49" t="s">
        <v>1040</v>
      </c>
      <c r="W102" s="49" t="s">
        <v>117</v>
      </c>
      <c r="X102" s="49" t="s">
        <v>647</v>
      </c>
      <c r="Y102" s="49" t="s">
        <v>206</v>
      </c>
      <c r="Z102" s="49" t="s">
        <v>805</v>
      </c>
      <c r="AA102" s="49" t="s">
        <v>1041</v>
      </c>
      <c r="AB102" s="49" t="s">
        <v>1042</v>
      </c>
      <c r="AC102" s="49" t="s">
        <v>1038</v>
      </c>
      <c r="AD102" s="49" t="n">
        <v>5419260</v>
      </c>
      <c r="AE102" s="49" t="s">
        <v>14</v>
      </c>
      <c r="AF102" s="49" t="s">
        <v>1040</v>
      </c>
      <c r="AG102" s="49" t="s">
        <v>14</v>
      </c>
      <c r="AH102" s="49" t="s">
        <v>1040</v>
      </c>
      <c r="AI102" s="49" t="s">
        <v>1043</v>
      </c>
      <c r="AJ102" s="49" t="s">
        <v>1044</v>
      </c>
      <c r="AK102" s="49" t="s">
        <v>124</v>
      </c>
      <c r="AL102" s="49" t="s">
        <v>125</v>
      </c>
      <c r="AM102" s="51" t="n">
        <v>17800</v>
      </c>
      <c r="AN102" s="49" t="s">
        <v>126</v>
      </c>
      <c r="AO102" s="49" t="s">
        <v>125</v>
      </c>
      <c r="AP102" s="49" t="s">
        <v>127</v>
      </c>
      <c r="AQ102" s="49" t="s">
        <v>128</v>
      </c>
      <c r="AR102" s="49" t="s">
        <v>129</v>
      </c>
      <c r="AS102" s="49" t="s">
        <v>1045</v>
      </c>
      <c r="AT102" s="49" t="s">
        <v>1046</v>
      </c>
      <c r="AU102" s="49" t="s">
        <v>380</v>
      </c>
      <c r="AV102" s="49"/>
      <c r="AW102" s="49" t="s">
        <v>1047</v>
      </c>
      <c r="AX102" s="49"/>
      <c r="AY102" s="49"/>
      <c r="AZ102" s="49"/>
      <c r="BA102" s="49"/>
      <c r="BB102" s="49" t="n">
        <v>67544620</v>
      </c>
      <c r="BC102" s="49" t="s">
        <v>134</v>
      </c>
      <c r="BD102" s="49" t="s">
        <v>655</v>
      </c>
      <c r="BE102" s="49" t="s">
        <v>656</v>
      </c>
      <c r="BF102" s="49" t="s">
        <v>125</v>
      </c>
      <c r="BG102" s="49"/>
      <c r="BH102" s="49" t="s">
        <v>139</v>
      </c>
      <c r="BI102" s="49" t="s">
        <v>140</v>
      </c>
      <c r="BJ102" s="49" t="s">
        <v>125</v>
      </c>
      <c r="BK102" s="49"/>
      <c r="BL102" s="49" t="s">
        <v>286</v>
      </c>
      <c r="BM102" s="49"/>
      <c r="BN102" s="49" t="s">
        <v>142</v>
      </c>
      <c r="BO102" s="49"/>
    </row>
    <row r="103" ht="16.8" customHeight="1">
      <c r="A103" s="43" t="s">
        <v>25</v>
      </c>
      <c r="B103" s="49" t="n">
        <v>93</v>
      </c>
      <c r="C103" s="49" t="s">
        <v>103</v>
      </c>
      <c r="D103" s="49" t="s">
        <v>104</v>
      </c>
      <c r="E103" s="49" t="s">
        <v>1048</v>
      </c>
      <c r="F103" s="49" t="s">
        <v>1049</v>
      </c>
      <c r="G103" s="49" t="s">
        <v>1050</v>
      </c>
      <c r="H103" s="49" t="s">
        <v>1051</v>
      </c>
      <c r="I103" s="103" t="s">
        <v>1052</v>
      </c>
      <c r="J103" s="49" t="s">
        <v>1053</v>
      </c>
      <c r="K103" s="49" t="s">
        <v>250</v>
      </c>
      <c r="L103" s="49" t="s">
        <v>14</v>
      </c>
      <c r="M103" s="49" t="s">
        <v>607</v>
      </c>
      <c r="N103" s="49" t="s">
        <v>608</v>
      </c>
      <c r="O103" s="49" t="s">
        <v>125</v>
      </c>
      <c r="P103" s="49"/>
      <c r="Q103" s="49"/>
      <c r="R103" s="49" t="s">
        <v>1054</v>
      </c>
      <c r="S103" s="49" t="s">
        <v>14</v>
      </c>
      <c r="T103" s="49" t="s">
        <v>1055</v>
      </c>
      <c r="U103" s="49" t="s">
        <v>178</v>
      </c>
      <c r="V103" s="49" t="s">
        <v>1056</v>
      </c>
      <c r="W103" s="49" t="s">
        <v>117</v>
      </c>
      <c r="X103" s="49" t="s">
        <v>213</v>
      </c>
      <c r="Y103" s="49" t="s">
        <v>206</v>
      </c>
      <c r="Z103" s="49" t="s">
        <v>1057</v>
      </c>
      <c r="AA103" s="49" t="s">
        <v>1058</v>
      </c>
      <c r="AB103" s="49" t="s">
        <v>1059</v>
      </c>
      <c r="AC103" s="49" t="s">
        <v>1054</v>
      </c>
      <c r="AD103" s="49" t="n">
        <v>5521594</v>
      </c>
      <c r="AE103" s="49" t="s">
        <v>14</v>
      </c>
      <c r="AF103" s="49" t="s">
        <v>1060</v>
      </c>
      <c r="AG103" s="49" t="s">
        <v>14</v>
      </c>
      <c r="AH103" s="49" t="s">
        <v>1061</v>
      </c>
      <c r="AI103" s="49" t="s">
        <v>884</v>
      </c>
      <c r="AJ103" s="49" t="s">
        <v>885</v>
      </c>
      <c r="AK103" s="49" t="s">
        <v>124</v>
      </c>
      <c r="AL103" s="49" t="s">
        <v>125</v>
      </c>
      <c r="AM103" s="51" t="n">
        <v>7040</v>
      </c>
      <c r="AN103" s="49"/>
      <c r="AO103" s="49" t="s">
        <v>125</v>
      </c>
      <c r="AP103" s="49" t="s">
        <v>187</v>
      </c>
      <c r="AQ103" s="49" t="s">
        <v>128</v>
      </c>
      <c r="AR103" s="49" t="s">
        <v>1062</v>
      </c>
      <c r="AS103" s="49" t="s">
        <v>1063</v>
      </c>
      <c r="AT103" s="49" t="s">
        <v>1064</v>
      </c>
      <c r="AU103" s="49" t="s">
        <v>1065</v>
      </c>
      <c r="AV103" s="49"/>
      <c r="AW103" s="49" t="s">
        <v>1066</v>
      </c>
      <c r="AX103" s="49"/>
      <c r="AY103" s="49"/>
      <c r="AZ103" s="49"/>
      <c r="BA103" s="49"/>
      <c r="BB103" s="49" t="n">
        <v>81754920</v>
      </c>
      <c r="BC103" s="49" t="s">
        <v>134</v>
      </c>
      <c r="BD103" s="49" t="s">
        <v>135</v>
      </c>
      <c r="BE103" s="49" t="s">
        <v>1067</v>
      </c>
      <c r="BF103" s="49" t="s">
        <v>402</v>
      </c>
      <c r="BG103" s="49" t="s">
        <v>138</v>
      </c>
      <c r="BH103" s="49" t="s">
        <v>139</v>
      </c>
      <c r="BI103" s="49" t="s">
        <v>140</v>
      </c>
      <c r="BJ103" s="49" t="s">
        <v>125</v>
      </c>
      <c r="BK103" s="49"/>
      <c r="BL103" s="49" t="s">
        <v>141</v>
      </c>
      <c r="BM103" s="49"/>
      <c r="BN103" s="49" t="s">
        <v>227</v>
      </c>
      <c r="BO103" s="49" t="s">
        <v>608</v>
      </c>
    </row>
    <row r="104" ht="16.8" customHeight="1">
      <c r="A104" s="43" t="s">
        <v>25</v>
      </c>
      <c r="B104" s="49" t="n">
        <v>94</v>
      </c>
      <c r="C104" s="49" t="s">
        <v>103</v>
      </c>
      <c r="D104" s="49" t="s">
        <v>104</v>
      </c>
      <c r="E104" s="49" t="s">
        <v>1048</v>
      </c>
      <c r="F104" s="49" t="s">
        <v>1049</v>
      </c>
      <c r="G104" s="49" t="s">
        <v>1050</v>
      </c>
      <c r="H104" s="49" t="s">
        <v>1051</v>
      </c>
      <c r="I104" s="104" t="s">
        <v>1052</v>
      </c>
      <c r="J104" s="49" t="s">
        <v>1053</v>
      </c>
      <c r="K104" s="49" t="s">
        <v>250</v>
      </c>
      <c r="L104" s="49" t="s">
        <v>14</v>
      </c>
      <c r="M104" s="49" t="s">
        <v>607</v>
      </c>
      <c r="N104" s="49" t="s">
        <v>608</v>
      </c>
      <c r="O104" s="49" t="s">
        <v>125</v>
      </c>
      <c r="P104" s="49"/>
      <c r="Q104" s="49"/>
      <c r="R104" s="49" t="s">
        <v>1054</v>
      </c>
      <c r="S104" s="49" t="s">
        <v>14</v>
      </c>
      <c r="T104" s="49" t="s">
        <v>1055</v>
      </c>
      <c r="U104" s="49" t="s">
        <v>178</v>
      </c>
      <c r="V104" s="49" t="s">
        <v>1056</v>
      </c>
      <c r="W104" s="49" t="s">
        <v>117</v>
      </c>
      <c r="X104" s="49" t="s">
        <v>213</v>
      </c>
      <c r="Y104" s="49" t="s">
        <v>206</v>
      </c>
      <c r="Z104" s="49" t="s">
        <v>1057</v>
      </c>
      <c r="AA104" s="49" t="s">
        <v>1058</v>
      </c>
      <c r="AB104" s="49" t="s">
        <v>1059</v>
      </c>
      <c r="AC104" s="49" t="s">
        <v>1054</v>
      </c>
      <c r="AD104" s="49" t="n">
        <v>5521594</v>
      </c>
      <c r="AE104" s="49" t="s">
        <v>14</v>
      </c>
      <c r="AF104" s="49" t="s">
        <v>1060</v>
      </c>
      <c r="AG104" s="49" t="s">
        <v>14</v>
      </c>
      <c r="AH104" s="49" t="s">
        <v>1061</v>
      </c>
      <c r="AI104" s="49" t="s">
        <v>881</v>
      </c>
      <c r="AJ104" s="49" t="s">
        <v>882</v>
      </c>
      <c r="AK104" s="49" t="s">
        <v>124</v>
      </c>
      <c r="AL104" s="49" t="s">
        <v>125</v>
      </c>
      <c r="AM104" s="51" t="n">
        <v>10910.1</v>
      </c>
      <c r="AN104" s="49"/>
      <c r="AO104" s="49" t="s">
        <v>125</v>
      </c>
      <c r="AP104" s="49" t="s">
        <v>187</v>
      </c>
      <c r="AQ104" s="49" t="s">
        <v>128</v>
      </c>
      <c r="AR104" s="49" t="s">
        <v>1062</v>
      </c>
      <c r="AS104" s="49" t="s">
        <v>1063</v>
      </c>
      <c r="AT104" s="49" t="s">
        <v>1068</v>
      </c>
      <c r="AU104" s="49" t="s">
        <v>1065</v>
      </c>
      <c r="AV104" s="49"/>
      <c r="AW104" s="49" t="s">
        <v>1066</v>
      </c>
      <c r="AX104" s="49"/>
      <c r="AY104" s="49"/>
      <c r="AZ104" s="49"/>
      <c r="BA104" s="49"/>
      <c r="BB104" s="49" t="n">
        <v>81754920</v>
      </c>
      <c r="BC104" s="49" t="s">
        <v>134</v>
      </c>
      <c r="BD104" s="49" t="s">
        <v>135</v>
      </c>
      <c r="BE104" s="49" t="s">
        <v>1067</v>
      </c>
      <c r="BF104" s="49" t="s">
        <v>402</v>
      </c>
      <c r="BG104" s="49" t="s">
        <v>138</v>
      </c>
      <c r="BH104" s="49" t="s">
        <v>139</v>
      </c>
      <c r="BI104" s="49" t="s">
        <v>140</v>
      </c>
      <c r="BJ104" s="49" t="s">
        <v>125</v>
      </c>
      <c r="BK104" s="49"/>
      <c r="BL104" s="49" t="s">
        <v>141</v>
      </c>
      <c r="BM104" s="49"/>
      <c r="BN104" s="49" t="s">
        <v>227</v>
      </c>
      <c r="BO104" s="49" t="s">
        <v>608</v>
      </c>
    </row>
    <row r="105" ht="16.8" customHeight="1">
      <c r="A105" s="43" t="s">
        <v>25</v>
      </c>
      <c r="B105" s="49" t="n">
        <v>95</v>
      </c>
      <c r="C105" s="49" t="s">
        <v>103</v>
      </c>
      <c r="D105" s="49" t="s">
        <v>104</v>
      </c>
      <c r="E105" s="49" t="s">
        <v>1048</v>
      </c>
      <c r="F105" s="49" t="s">
        <v>1049</v>
      </c>
      <c r="G105" s="49" t="s">
        <v>1050</v>
      </c>
      <c r="H105" s="49" t="s">
        <v>1051</v>
      </c>
      <c r="I105" s="105" t="s">
        <v>1052</v>
      </c>
      <c r="J105" s="49" t="s">
        <v>1053</v>
      </c>
      <c r="K105" s="49" t="s">
        <v>250</v>
      </c>
      <c r="L105" s="49" t="s">
        <v>14</v>
      </c>
      <c r="M105" s="49" t="s">
        <v>607</v>
      </c>
      <c r="N105" s="49" t="s">
        <v>608</v>
      </c>
      <c r="O105" s="49" t="s">
        <v>125</v>
      </c>
      <c r="P105" s="49"/>
      <c r="Q105" s="49"/>
      <c r="R105" s="49" t="s">
        <v>1054</v>
      </c>
      <c r="S105" s="49" t="s">
        <v>14</v>
      </c>
      <c r="T105" s="49" t="s">
        <v>1055</v>
      </c>
      <c r="U105" s="49" t="s">
        <v>178</v>
      </c>
      <c r="V105" s="49" t="s">
        <v>1056</v>
      </c>
      <c r="W105" s="49" t="s">
        <v>117</v>
      </c>
      <c r="X105" s="49" t="s">
        <v>213</v>
      </c>
      <c r="Y105" s="49" t="s">
        <v>206</v>
      </c>
      <c r="Z105" s="49" t="s">
        <v>1057</v>
      </c>
      <c r="AA105" s="49" t="s">
        <v>1058</v>
      </c>
      <c r="AB105" s="49" t="s">
        <v>1059</v>
      </c>
      <c r="AC105" s="49" t="s">
        <v>1054</v>
      </c>
      <c r="AD105" s="49" t="n">
        <v>5521594</v>
      </c>
      <c r="AE105" s="49" t="s">
        <v>14</v>
      </c>
      <c r="AF105" s="49" t="s">
        <v>1060</v>
      </c>
      <c r="AG105" s="49" t="s">
        <v>14</v>
      </c>
      <c r="AH105" s="49" t="s">
        <v>1061</v>
      </c>
      <c r="AI105" s="49" t="s">
        <v>887</v>
      </c>
      <c r="AJ105" s="49" t="s">
        <v>888</v>
      </c>
      <c r="AK105" s="49" t="s">
        <v>124</v>
      </c>
      <c r="AL105" s="49" t="s">
        <v>125</v>
      </c>
      <c r="AM105" s="51" t="n">
        <v>14349.9</v>
      </c>
      <c r="AN105" s="49"/>
      <c r="AO105" s="49" t="s">
        <v>125</v>
      </c>
      <c r="AP105" s="49" t="s">
        <v>187</v>
      </c>
      <c r="AQ105" s="49" t="s">
        <v>128</v>
      </c>
      <c r="AR105" s="49" t="s">
        <v>1062</v>
      </c>
      <c r="AS105" s="49" t="s">
        <v>1063</v>
      </c>
      <c r="AT105" s="49" t="s">
        <v>1069</v>
      </c>
      <c r="AU105" s="49" t="s">
        <v>1065</v>
      </c>
      <c r="AV105" s="49"/>
      <c r="AW105" s="49" t="s">
        <v>1066</v>
      </c>
      <c r="AX105" s="49"/>
      <c r="AY105" s="49"/>
      <c r="AZ105" s="49"/>
      <c r="BA105" s="49"/>
      <c r="BB105" s="49" t="n">
        <v>81754920</v>
      </c>
      <c r="BC105" s="49" t="s">
        <v>134</v>
      </c>
      <c r="BD105" s="49" t="s">
        <v>135</v>
      </c>
      <c r="BE105" s="49" t="s">
        <v>1067</v>
      </c>
      <c r="BF105" s="49" t="s">
        <v>402</v>
      </c>
      <c r="BG105" s="49" t="s">
        <v>138</v>
      </c>
      <c r="BH105" s="49" t="s">
        <v>139</v>
      </c>
      <c r="BI105" s="49" t="s">
        <v>140</v>
      </c>
      <c r="BJ105" s="49" t="s">
        <v>125</v>
      </c>
      <c r="BK105" s="49"/>
      <c r="BL105" s="49" t="s">
        <v>141</v>
      </c>
      <c r="BM105" s="49"/>
      <c r="BN105" s="49" t="s">
        <v>227</v>
      </c>
      <c r="BO105" s="49" t="s">
        <v>608</v>
      </c>
    </row>
    <row r="106" ht="16.8" customHeight="1">
      <c r="A106" s="43" t="s">
        <v>25</v>
      </c>
      <c r="B106" s="49" t="n">
        <v>96</v>
      </c>
      <c r="C106" s="49" t="s">
        <v>103</v>
      </c>
      <c r="D106" s="49" t="s">
        <v>104</v>
      </c>
      <c r="E106" s="49"/>
      <c r="F106" s="49" t="s">
        <v>1070</v>
      </c>
      <c r="G106" s="49"/>
      <c r="H106" s="49" t="s">
        <v>1071</v>
      </c>
      <c r="I106" s="49" t="s">
        <v>1072</v>
      </c>
      <c r="J106" s="49" t="s">
        <v>430</v>
      </c>
      <c r="K106" s="49" t="s">
        <v>174</v>
      </c>
      <c r="L106" s="49" t="s">
        <v>10</v>
      </c>
      <c r="M106" s="49" t="s">
        <v>432</v>
      </c>
      <c r="N106" s="49" t="s">
        <v>1073</v>
      </c>
      <c r="O106" s="49"/>
      <c r="P106" s="49"/>
      <c r="Q106" s="49"/>
      <c r="R106" s="49" t="s">
        <v>1074</v>
      </c>
      <c r="S106" s="49" t="s">
        <v>10</v>
      </c>
      <c r="T106" s="49" t="s">
        <v>1075</v>
      </c>
      <c r="U106" s="49" t="s">
        <v>115</v>
      </c>
      <c r="V106" s="49" t="s">
        <v>1076</v>
      </c>
      <c r="W106" s="49" t="s">
        <v>117</v>
      </c>
      <c r="X106" s="49" t="s">
        <v>391</v>
      </c>
      <c r="Y106" s="49" t="s">
        <v>174</v>
      </c>
      <c r="Z106" s="49" t="s">
        <v>274</v>
      </c>
      <c r="AA106" s="49" t="s">
        <v>1077</v>
      </c>
      <c r="AB106" s="49" t="s">
        <v>513</v>
      </c>
      <c r="AC106" s="49" t="s">
        <v>1074</v>
      </c>
      <c r="AD106" s="49" t="n">
        <v>5521267</v>
      </c>
      <c r="AE106" s="49" t="s">
        <v>10</v>
      </c>
      <c r="AF106" s="49" t="s">
        <v>1078</v>
      </c>
      <c r="AG106" s="49" t="s">
        <v>10</v>
      </c>
      <c r="AH106" s="49" t="s">
        <v>1079</v>
      </c>
      <c r="AI106" s="49" t="s">
        <v>1080</v>
      </c>
      <c r="AJ106" s="49" t="s">
        <v>397</v>
      </c>
      <c r="AK106" s="49" t="s">
        <v>124</v>
      </c>
      <c r="AL106" s="49" t="s">
        <v>125</v>
      </c>
      <c r="AM106" s="51" t="n">
        <v>103000</v>
      </c>
      <c r="AN106" s="49"/>
      <c r="AO106" s="49" t="s">
        <v>125</v>
      </c>
      <c r="AP106" s="49" t="s">
        <v>127</v>
      </c>
      <c r="AQ106" s="49" t="s">
        <v>128</v>
      </c>
      <c r="AR106" s="49"/>
      <c r="AS106" s="49" t="s">
        <v>1081</v>
      </c>
      <c r="AT106" s="49"/>
      <c r="AU106" s="49" t="s">
        <v>1065</v>
      </c>
      <c r="AV106" s="49"/>
      <c r="AW106" s="49" t="s">
        <v>1082</v>
      </c>
      <c r="AX106" s="49"/>
      <c r="AY106" s="49"/>
      <c r="AZ106" s="49"/>
      <c r="BA106" s="49"/>
      <c r="BB106" s="49" t="n">
        <v>81163274</v>
      </c>
      <c r="BC106" s="49" t="s">
        <v>134</v>
      </c>
      <c r="BD106" s="49" t="s">
        <v>191</v>
      </c>
      <c r="BE106" s="49" t="s">
        <v>401</v>
      </c>
      <c r="BF106" s="49" t="s">
        <v>402</v>
      </c>
      <c r="BG106" s="49"/>
      <c r="BH106" s="49" t="s">
        <v>194</v>
      </c>
      <c r="BI106" s="49" t="s">
        <v>140</v>
      </c>
      <c r="BJ106" s="49" t="s">
        <v>125</v>
      </c>
      <c r="BK106" s="49"/>
      <c r="BL106" s="49"/>
      <c r="BM106" s="49"/>
      <c r="BN106" s="49" t="s">
        <v>195</v>
      </c>
      <c r="BO106" s="49"/>
    </row>
    <row r="107" ht="16.8" customHeight="1">
      <c r="A107" s="43" t="s">
        <v>25</v>
      </c>
      <c r="B107" s="49" t="n">
        <v>97</v>
      </c>
      <c r="C107" s="49" t="s">
        <v>103</v>
      </c>
      <c r="D107" s="49" t="s">
        <v>104</v>
      </c>
      <c r="E107" s="49" t="s">
        <v>250</v>
      </c>
      <c r="F107" s="49" t="s">
        <v>1083</v>
      </c>
      <c r="G107" s="49" t="s">
        <v>252</v>
      </c>
      <c r="H107" s="49" t="s">
        <v>1084</v>
      </c>
      <c r="I107" s="49" t="s">
        <v>254</v>
      </c>
      <c r="J107" s="49" t="s">
        <v>125</v>
      </c>
      <c r="K107" s="49" t="s">
        <v>174</v>
      </c>
      <c r="L107" s="49" t="s">
        <v>14</v>
      </c>
      <c r="M107" s="49" t="s">
        <v>111</v>
      </c>
      <c r="N107" s="49" t="s">
        <v>175</v>
      </c>
      <c r="O107" s="49" t="s">
        <v>254</v>
      </c>
      <c r="P107" s="49"/>
      <c r="Q107" s="49"/>
      <c r="R107" s="49" t="s">
        <v>1085</v>
      </c>
      <c r="S107" s="49" t="s">
        <v>14</v>
      </c>
      <c r="T107" s="49" t="s">
        <v>1086</v>
      </c>
      <c r="U107" s="49" t="s">
        <v>178</v>
      </c>
      <c r="V107" s="49" t="s">
        <v>1087</v>
      </c>
      <c r="W107" s="49" t="s">
        <v>117</v>
      </c>
      <c r="X107" s="49" t="s">
        <v>180</v>
      </c>
      <c r="Y107" s="49" t="s">
        <v>174</v>
      </c>
      <c r="Z107" s="49" t="s">
        <v>526</v>
      </c>
      <c r="AA107" s="49" t="s">
        <v>677</v>
      </c>
      <c r="AB107" s="49" t="s">
        <v>353</v>
      </c>
      <c r="AC107" s="49" t="s">
        <v>1085</v>
      </c>
      <c r="AD107" s="49" t="n">
        <v>5492273</v>
      </c>
      <c r="AE107" s="49" t="s">
        <v>14</v>
      </c>
      <c r="AF107" s="49" t="s">
        <v>1088</v>
      </c>
      <c r="AG107" s="49" t="s">
        <v>14</v>
      </c>
      <c r="AH107" s="49" t="s">
        <v>1088</v>
      </c>
      <c r="AI107" s="49" t="s">
        <v>1089</v>
      </c>
      <c r="AJ107" s="49" t="s">
        <v>1090</v>
      </c>
      <c r="AK107" s="49" t="s">
        <v>124</v>
      </c>
      <c r="AL107" s="49" t="s">
        <v>125</v>
      </c>
      <c r="AM107" s="51" t="n">
        <v>6228.3</v>
      </c>
      <c r="AN107" s="49"/>
      <c r="AO107" s="49" t="s">
        <v>254</v>
      </c>
      <c r="AP107" s="49" t="s">
        <v>187</v>
      </c>
      <c r="AQ107" s="49" t="s">
        <v>128</v>
      </c>
      <c r="AR107" s="49" t="s">
        <v>1091</v>
      </c>
      <c r="AS107" s="49" t="s">
        <v>1092</v>
      </c>
      <c r="AT107" s="49" t="s">
        <v>1093</v>
      </c>
      <c r="AU107" s="49" t="s">
        <v>399</v>
      </c>
      <c r="AV107" s="49"/>
      <c r="AW107" s="49" t="s">
        <v>1094</v>
      </c>
      <c r="AX107" s="49"/>
      <c r="AY107" s="49"/>
      <c r="AZ107" s="49"/>
      <c r="BA107" s="49"/>
      <c r="BB107" s="49" t="n">
        <v>67577498</v>
      </c>
      <c r="BC107" s="49" t="s">
        <v>134</v>
      </c>
      <c r="BD107" s="49" t="s">
        <v>191</v>
      </c>
      <c r="BE107" s="49" t="s">
        <v>192</v>
      </c>
      <c r="BF107" s="49" t="s">
        <v>193</v>
      </c>
      <c r="BG107" s="49" t="s">
        <v>138</v>
      </c>
      <c r="BH107" s="49" t="s">
        <v>534</v>
      </c>
      <c r="BI107" s="49" t="s">
        <v>140</v>
      </c>
      <c r="BJ107" s="49" t="s">
        <v>125</v>
      </c>
      <c r="BK107" s="49"/>
      <c r="BL107" s="49" t="s">
        <v>141</v>
      </c>
      <c r="BM107" s="49"/>
      <c r="BN107" s="49" t="s">
        <v>142</v>
      </c>
      <c r="BO107" s="49" t="s">
        <v>196</v>
      </c>
    </row>
    <row r="108" ht="16.8" customHeight="1">
      <c r="A108" s="43" t="s">
        <v>25</v>
      </c>
      <c r="B108" s="49" t="n">
        <v>98</v>
      </c>
      <c r="C108" s="49" t="s">
        <v>103</v>
      </c>
      <c r="D108" s="49" t="s">
        <v>104</v>
      </c>
      <c r="E108" s="49" t="s">
        <v>250</v>
      </c>
      <c r="F108" s="49" t="s">
        <v>1083</v>
      </c>
      <c r="G108" s="49" t="s">
        <v>252</v>
      </c>
      <c r="H108" s="49" t="s">
        <v>1084</v>
      </c>
      <c r="I108" s="49" t="s">
        <v>254</v>
      </c>
      <c r="J108" s="49" t="s">
        <v>125</v>
      </c>
      <c r="K108" s="49" t="s">
        <v>174</v>
      </c>
      <c r="L108" s="49" t="s">
        <v>14</v>
      </c>
      <c r="M108" s="49" t="s">
        <v>111</v>
      </c>
      <c r="N108" s="49" t="s">
        <v>175</v>
      </c>
      <c r="O108" s="49" t="s">
        <v>254</v>
      </c>
      <c r="P108" s="49"/>
      <c r="Q108" s="49"/>
      <c r="R108" s="49" t="s">
        <v>1085</v>
      </c>
      <c r="S108" s="49" t="s">
        <v>14</v>
      </c>
      <c r="T108" s="49" t="s">
        <v>1086</v>
      </c>
      <c r="U108" s="49" t="s">
        <v>178</v>
      </c>
      <c r="V108" s="49" t="s">
        <v>1087</v>
      </c>
      <c r="W108" s="49" t="s">
        <v>117</v>
      </c>
      <c r="X108" s="49" t="s">
        <v>180</v>
      </c>
      <c r="Y108" s="49" t="s">
        <v>174</v>
      </c>
      <c r="Z108" s="49" t="s">
        <v>526</v>
      </c>
      <c r="AA108" s="49" t="s">
        <v>677</v>
      </c>
      <c r="AB108" s="49" t="s">
        <v>353</v>
      </c>
      <c r="AC108" s="49" t="s">
        <v>1085</v>
      </c>
      <c r="AD108" s="49" t="n">
        <v>5492273</v>
      </c>
      <c r="AE108" s="49" t="s">
        <v>14</v>
      </c>
      <c r="AF108" s="49" t="s">
        <v>1088</v>
      </c>
      <c r="AG108" s="49" t="s">
        <v>14</v>
      </c>
      <c r="AH108" s="49" t="s">
        <v>1088</v>
      </c>
      <c r="AI108" s="49" t="s">
        <v>1095</v>
      </c>
      <c r="AJ108" s="49" t="s">
        <v>1096</v>
      </c>
      <c r="AK108" s="49" t="s">
        <v>124</v>
      </c>
      <c r="AL108" s="49" t="s">
        <v>125</v>
      </c>
      <c r="AM108" s="51" t="n">
        <v>3236.1</v>
      </c>
      <c r="AN108" s="49"/>
      <c r="AO108" s="49" t="s">
        <v>254</v>
      </c>
      <c r="AP108" s="49" t="s">
        <v>187</v>
      </c>
      <c r="AQ108" s="49" t="s">
        <v>128</v>
      </c>
      <c r="AR108" s="49" t="s">
        <v>1091</v>
      </c>
      <c r="AS108" s="49" t="s">
        <v>1092</v>
      </c>
      <c r="AT108" s="49" t="s">
        <v>1097</v>
      </c>
      <c r="AU108" s="49" t="s">
        <v>399</v>
      </c>
      <c r="AV108" s="49"/>
      <c r="AW108" s="49" t="s">
        <v>1094</v>
      </c>
      <c r="AX108" s="49"/>
      <c r="AY108" s="49"/>
      <c r="AZ108" s="49"/>
      <c r="BA108" s="49"/>
      <c r="BB108" s="49" t="n">
        <v>67577498</v>
      </c>
      <c r="BC108" s="49" t="s">
        <v>134</v>
      </c>
      <c r="BD108" s="49" t="s">
        <v>191</v>
      </c>
      <c r="BE108" s="49" t="s">
        <v>192</v>
      </c>
      <c r="BF108" s="49" t="s">
        <v>193</v>
      </c>
      <c r="BG108" s="49" t="s">
        <v>138</v>
      </c>
      <c r="BH108" s="49" t="s">
        <v>534</v>
      </c>
      <c r="BI108" s="49" t="s">
        <v>140</v>
      </c>
      <c r="BJ108" s="49" t="s">
        <v>125</v>
      </c>
      <c r="BK108" s="49"/>
      <c r="BL108" s="49" t="s">
        <v>141</v>
      </c>
      <c r="BM108" s="49"/>
      <c r="BN108" s="49" t="s">
        <v>142</v>
      </c>
      <c r="BO108" s="49" t="s">
        <v>196</v>
      </c>
    </row>
    <row r="109" ht="16.8" customHeight="1">
      <c r="A109" s="43" t="s">
        <v>25</v>
      </c>
      <c r="B109" s="49" t="n">
        <v>99</v>
      </c>
      <c r="C109" s="49" t="s">
        <v>103</v>
      </c>
      <c r="D109" s="49" t="s">
        <v>104</v>
      </c>
      <c r="E109" s="49" t="s">
        <v>250</v>
      </c>
      <c r="F109" s="49" t="s">
        <v>1083</v>
      </c>
      <c r="G109" s="49" t="s">
        <v>252</v>
      </c>
      <c r="H109" s="49" t="s">
        <v>1084</v>
      </c>
      <c r="I109" s="49" t="s">
        <v>254</v>
      </c>
      <c r="J109" s="49" t="s">
        <v>125</v>
      </c>
      <c r="K109" s="49" t="s">
        <v>174</v>
      </c>
      <c r="L109" s="49" t="s">
        <v>14</v>
      </c>
      <c r="M109" s="49" t="s">
        <v>111</v>
      </c>
      <c r="N109" s="49" t="s">
        <v>175</v>
      </c>
      <c r="O109" s="49" t="s">
        <v>254</v>
      </c>
      <c r="P109" s="49"/>
      <c r="Q109" s="49"/>
      <c r="R109" s="49" t="s">
        <v>1085</v>
      </c>
      <c r="S109" s="49" t="s">
        <v>14</v>
      </c>
      <c r="T109" s="49" t="s">
        <v>1086</v>
      </c>
      <c r="U109" s="49" t="s">
        <v>178</v>
      </c>
      <c r="V109" s="49" t="s">
        <v>1087</v>
      </c>
      <c r="W109" s="49" t="s">
        <v>117</v>
      </c>
      <c r="X109" s="49" t="s">
        <v>180</v>
      </c>
      <c r="Y109" s="49" t="s">
        <v>174</v>
      </c>
      <c r="Z109" s="49" t="s">
        <v>526</v>
      </c>
      <c r="AA109" s="49" t="s">
        <v>677</v>
      </c>
      <c r="AB109" s="49" t="s">
        <v>353</v>
      </c>
      <c r="AC109" s="49" t="s">
        <v>1085</v>
      </c>
      <c r="AD109" s="49" t="n">
        <v>5492273</v>
      </c>
      <c r="AE109" s="49" t="s">
        <v>14</v>
      </c>
      <c r="AF109" s="49" t="s">
        <v>1088</v>
      </c>
      <c r="AG109" s="49" t="s">
        <v>14</v>
      </c>
      <c r="AH109" s="49" t="s">
        <v>1088</v>
      </c>
      <c r="AI109" s="49" t="s">
        <v>912</v>
      </c>
      <c r="AJ109" s="49" t="s">
        <v>913</v>
      </c>
      <c r="AK109" s="49" t="s">
        <v>124</v>
      </c>
      <c r="AL109" s="49" t="s">
        <v>125</v>
      </c>
      <c r="AM109" s="51" t="n">
        <v>4963.3</v>
      </c>
      <c r="AN109" s="49"/>
      <c r="AO109" s="49" t="s">
        <v>254</v>
      </c>
      <c r="AP109" s="49" t="s">
        <v>187</v>
      </c>
      <c r="AQ109" s="49" t="s">
        <v>128</v>
      </c>
      <c r="AR109" s="49" t="s">
        <v>1091</v>
      </c>
      <c r="AS109" s="49" t="s">
        <v>1092</v>
      </c>
      <c r="AT109" s="49" t="s">
        <v>1098</v>
      </c>
      <c r="AU109" s="49" t="s">
        <v>399</v>
      </c>
      <c r="AV109" s="49"/>
      <c r="AW109" s="49" t="s">
        <v>1094</v>
      </c>
      <c r="AX109" s="49"/>
      <c r="AY109" s="49"/>
      <c r="AZ109" s="49"/>
      <c r="BA109" s="49"/>
      <c r="BB109" s="49" t="n">
        <v>67577498</v>
      </c>
      <c r="BC109" s="49" t="s">
        <v>134</v>
      </c>
      <c r="BD109" s="49" t="s">
        <v>191</v>
      </c>
      <c r="BE109" s="49" t="s">
        <v>192</v>
      </c>
      <c r="BF109" s="49" t="s">
        <v>193</v>
      </c>
      <c r="BG109" s="49" t="s">
        <v>138</v>
      </c>
      <c r="BH109" s="49" t="s">
        <v>534</v>
      </c>
      <c r="BI109" s="49" t="s">
        <v>140</v>
      </c>
      <c r="BJ109" s="49" t="s">
        <v>125</v>
      </c>
      <c r="BK109" s="49"/>
      <c r="BL109" s="49" t="s">
        <v>141</v>
      </c>
      <c r="BM109" s="49"/>
      <c r="BN109" s="49" t="s">
        <v>142</v>
      </c>
      <c r="BO109" s="49" t="s">
        <v>196</v>
      </c>
    </row>
    <row r="110" ht="16.8" customHeight="1">
      <c r="A110" s="43" t="s">
        <v>25</v>
      </c>
      <c r="B110" s="49" t="n">
        <v>100</v>
      </c>
      <c r="C110" s="49" t="s">
        <v>103</v>
      </c>
      <c r="D110" s="49" t="s">
        <v>104</v>
      </c>
      <c r="E110" s="49" t="s">
        <v>250</v>
      </c>
      <c r="F110" s="49" t="s">
        <v>1083</v>
      </c>
      <c r="G110" s="49" t="s">
        <v>252</v>
      </c>
      <c r="H110" s="49" t="s">
        <v>1084</v>
      </c>
      <c r="I110" s="49" t="s">
        <v>254</v>
      </c>
      <c r="J110" s="49" t="s">
        <v>125</v>
      </c>
      <c r="K110" s="49" t="s">
        <v>174</v>
      </c>
      <c r="L110" s="49" t="s">
        <v>14</v>
      </c>
      <c r="M110" s="49" t="s">
        <v>111</v>
      </c>
      <c r="N110" s="49" t="s">
        <v>175</v>
      </c>
      <c r="O110" s="49" t="s">
        <v>254</v>
      </c>
      <c r="P110" s="49"/>
      <c r="Q110" s="49"/>
      <c r="R110" s="49" t="s">
        <v>1085</v>
      </c>
      <c r="S110" s="49" t="s">
        <v>14</v>
      </c>
      <c r="T110" s="49" t="s">
        <v>1086</v>
      </c>
      <c r="U110" s="49" t="s">
        <v>178</v>
      </c>
      <c r="V110" s="49" t="s">
        <v>1087</v>
      </c>
      <c r="W110" s="49" t="s">
        <v>117</v>
      </c>
      <c r="X110" s="49" t="s">
        <v>180</v>
      </c>
      <c r="Y110" s="49" t="s">
        <v>174</v>
      </c>
      <c r="Z110" s="49" t="s">
        <v>526</v>
      </c>
      <c r="AA110" s="49" t="s">
        <v>677</v>
      </c>
      <c r="AB110" s="49" t="s">
        <v>353</v>
      </c>
      <c r="AC110" s="49" t="s">
        <v>1085</v>
      </c>
      <c r="AD110" s="49" t="n">
        <v>5492273</v>
      </c>
      <c r="AE110" s="49" t="s">
        <v>14</v>
      </c>
      <c r="AF110" s="49" t="s">
        <v>1088</v>
      </c>
      <c r="AG110" s="49" t="s">
        <v>14</v>
      </c>
      <c r="AH110" s="49" t="s">
        <v>1088</v>
      </c>
      <c r="AI110" s="49" t="s">
        <v>1099</v>
      </c>
      <c r="AJ110" s="49" t="s">
        <v>1100</v>
      </c>
      <c r="AK110" s="49" t="s">
        <v>124</v>
      </c>
      <c r="AL110" s="49" t="s">
        <v>125</v>
      </c>
      <c r="AM110" s="51" t="n">
        <v>3205.1</v>
      </c>
      <c r="AN110" s="49"/>
      <c r="AO110" s="49" t="s">
        <v>254</v>
      </c>
      <c r="AP110" s="49" t="s">
        <v>187</v>
      </c>
      <c r="AQ110" s="49" t="s">
        <v>128</v>
      </c>
      <c r="AR110" s="49" t="s">
        <v>1091</v>
      </c>
      <c r="AS110" s="49" t="s">
        <v>1092</v>
      </c>
      <c r="AT110" s="49" t="s">
        <v>1101</v>
      </c>
      <c r="AU110" s="49" t="s">
        <v>399</v>
      </c>
      <c r="AV110" s="49"/>
      <c r="AW110" s="49" t="s">
        <v>1094</v>
      </c>
      <c r="AX110" s="49"/>
      <c r="AY110" s="49"/>
      <c r="AZ110" s="49"/>
      <c r="BA110" s="49"/>
      <c r="BB110" s="49" t="n">
        <v>67577498</v>
      </c>
      <c r="BC110" s="49" t="s">
        <v>134</v>
      </c>
      <c r="BD110" s="49" t="s">
        <v>191</v>
      </c>
      <c r="BE110" s="49" t="s">
        <v>192</v>
      </c>
      <c r="BF110" s="49" t="s">
        <v>193</v>
      </c>
      <c r="BG110" s="49" t="s">
        <v>138</v>
      </c>
      <c r="BH110" s="49" t="s">
        <v>534</v>
      </c>
      <c r="BI110" s="49" t="s">
        <v>140</v>
      </c>
      <c r="BJ110" s="49" t="s">
        <v>125</v>
      </c>
      <c r="BK110" s="49"/>
      <c r="BL110" s="49" t="s">
        <v>141</v>
      </c>
      <c r="BM110" s="49"/>
      <c r="BN110" s="49" t="s">
        <v>142</v>
      </c>
      <c r="BO110" s="49" t="s">
        <v>196</v>
      </c>
    </row>
    <row r="111" ht="16.8" customHeight="1">
      <c r="A111" s="43" t="s">
        <v>25</v>
      </c>
      <c r="B111" s="49" t="n">
        <v>101</v>
      </c>
      <c r="C111" s="49" t="s">
        <v>103</v>
      </c>
      <c r="D111" s="49" t="s">
        <v>104</v>
      </c>
      <c r="E111" s="49" t="s">
        <v>250</v>
      </c>
      <c r="F111" s="49" t="s">
        <v>1083</v>
      </c>
      <c r="G111" s="49" t="s">
        <v>252</v>
      </c>
      <c r="H111" s="49" t="s">
        <v>1084</v>
      </c>
      <c r="I111" s="49" t="s">
        <v>254</v>
      </c>
      <c r="J111" s="49" t="s">
        <v>125</v>
      </c>
      <c r="K111" s="49" t="s">
        <v>174</v>
      </c>
      <c r="L111" s="49" t="s">
        <v>14</v>
      </c>
      <c r="M111" s="49" t="s">
        <v>111</v>
      </c>
      <c r="N111" s="49" t="s">
        <v>175</v>
      </c>
      <c r="O111" s="49" t="s">
        <v>254</v>
      </c>
      <c r="P111" s="49"/>
      <c r="Q111" s="49"/>
      <c r="R111" s="49" t="s">
        <v>1085</v>
      </c>
      <c r="S111" s="49" t="s">
        <v>14</v>
      </c>
      <c r="T111" s="49" t="s">
        <v>1086</v>
      </c>
      <c r="U111" s="49" t="s">
        <v>178</v>
      </c>
      <c r="V111" s="49" t="s">
        <v>1087</v>
      </c>
      <c r="W111" s="49" t="s">
        <v>117</v>
      </c>
      <c r="X111" s="49" t="s">
        <v>180</v>
      </c>
      <c r="Y111" s="49" t="s">
        <v>174</v>
      </c>
      <c r="Z111" s="49" t="s">
        <v>526</v>
      </c>
      <c r="AA111" s="49" t="s">
        <v>677</v>
      </c>
      <c r="AB111" s="49" t="s">
        <v>353</v>
      </c>
      <c r="AC111" s="49" t="s">
        <v>1085</v>
      </c>
      <c r="AD111" s="49" t="n">
        <v>5492273</v>
      </c>
      <c r="AE111" s="49" t="s">
        <v>14</v>
      </c>
      <c r="AF111" s="49" t="s">
        <v>1088</v>
      </c>
      <c r="AG111" s="49" t="s">
        <v>14</v>
      </c>
      <c r="AH111" s="49" t="s">
        <v>1088</v>
      </c>
      <c r="AI111" s="49" t="s">
        <v>1102</v>
      </c>
      <c r="AJ111" s="49" t="s">
        <v>1103</v>
      </c>
      <c r="AK111" s="49" t="s">
        <v>124</v>
      </c>
      <c r="AL111" s="49" t="s">
        <v>125</v>
      </c>
      <c r="AM111" s="51" t="n">
        <v>6697.2</v>
      </c>
      <c r="AN111" s="49"/>
      <c r="AO111" s="49" t="s">
        <v>254</v>
      </c>
      <c r="AP111" s="49" t="s">
        <v>187</v>
      </c>
      <c r="AQ111" s="49" t="s">
        <v>128</v>
      </c>
      <c r="AR111" s="49" t="s">
        <v>1091</v>
      </c>
      <c r="AS111" s="49" t="s">
        <v>1092</v>
      </c>
      <c r="AT111" s="49" t="s">
        <v>1104</v>
      </c>
      <c r="AU111" s="49" t="s">
        <v>399</v>
      </c>
      <c r="AV111" s="49"/>
      <c r="AW111" s="49" t="s">
        <v>1094</v>
      </c>
      <c r="AX111" s="49"/>
      <c r="AY111" s="49"/>
      <c r="AZ111" s="49"/>
      <c r="BA111" s="49"/>
      <c r="BB111" s="49" t="n">
        <v>67577498</v>
      </c>
      <c r="BC111" s="49" t="s">
        <v>134</v>
      </c>
      <c r="BD111" s="49" t="s">
        <v>191</v>
      </c>
      <c r="BE111" s="49" t="s">
        <v>192</v>
      </c>
      <c r="BF111" s="49" t="s">
        <v>193</v>
      </c>
      <c r="BG111" s="49" t="s">
        <v>138</v>
      </c>
      <c r="BH111" s="49" t="s">
        <v>534</v>
      </c>
      <c r="BI111" s="49" t="s">
        <v>140</v>
      </c>
      <c r="BJ111" s="49" t="s">
        <v>125</v>
      </c>
      <c r="BK111" s="49"/>
      <c r="BL111" s="49" t="s">
        <v>141</v>
      </c>
      <c r="BM111" s="49"/>
      <c r="BN111" s="49" t="s">
        <v>142</v>
      </c>
      <c r="BO111" s="49" t="s">
        <v>196</v>
      </c>
    </row>
    <row r="112" ht="16.8" customHeight="1">
      <c r="A112" s="43" t="s">
        <v>25</v>
      </c>
      <c r="B112" s="49" t="n">
        <v>102</v>
      </c>
      <c r="C112" s="49" t="s">
        <v>103</v>
      </c>
      <c r="D112" s="49" t="s">
        <v>104</v>
      </c>
      <c r="E112" s="49" t="s">
        <v>250</v>
      </c>
      <c r="F112" s="49" t="s">
        <v>1083</v>
      </c>
      <c r="G112" s="49" t="s">
        <v>252</v>
      </c>
      <c r="H112" s="49" t="s">
        <v>1084</v>
      </c>
      <c r="I112" s="49" t="s">
        <v>254</v>
      </c>
      <c r="J112" s="49" t="s">
        <v>125</v>
      </c>
      <c r="K112" s="49" t="s">
        <v>174</v>
      </c>
      <c r="L112" s="49" t="s">
        <v>14</v>
      </c>
      <c r="M112" s="49" t="s">
        <v>111</v>
      </c>
      <c r="N112" s="49" t="s">
        <v>175</v>
      </c>
      <c r="O112" s="49" t="s">
        <v>254</v>
      </c>
      <c r="P112" s="49"/>
      <c r="Q112" s="49"/>
      <c r="R112" s="49" t="s">
        <v>1085</v>
      </c>
      <c r="S112" s="49" t="s">
        <v>14</v>
      </c>
      <c r="T112" s="49" t="s">
        <v>1086</v>
      </c>
      <c r="U112" s="49" t="s">
        <v>178</v>
      </c>
      <c r="V112" s="49" t="s">
        <v>1087</v>
      </c>
      <c r="W112" s="49" t="s">
        <v>117</v>
      </c>
      <c r="X112" s="49" t="s">
        <v>180</v>
      </c>
      <c r="Y112" s="49" t="s">
        <v>174</v>
      </c>
      <c r="Z112" s="49" t="s">
        <v>526</v>
      </c>
      <c r="AA112" s="49" t="s">
        <v>677</v>
      </c>
      <c r="AB112" s="49" t="s">
        <v>353</v>
      </c>
      <c r="AC112" s="49" t="s">
        <v>1085</v>
      </c>
      <c r="AD112" s="49" t="n">
        <v>5492273</v>
      </c>
      <c r="AE112" s="49" t="s">
        <v>14</v>
      </c>
      <c r="AF112" s="49" t="s">
        <v>1088</v>
      </c>
      <c r="AG112" s="49" t="s">
        <v>14</v>
      </c>
      <c r="AH112" s="49" t="s">
        <v>1088</v>
      </c>
      <c r="AI112" s="49" t="s">
        <v>919</v>
      </c>
      <c r="AJ112" s="49" t="s">
        <v>920</v>
      </c>
      <c r="AK112" s="49" t="s">
        <v>124</v>
      </c>
      <c r="AL112" s="49" t="s">
        <v>125</v>
      </c>
      <c r="AM112" s="51" t="n">
        <v>4470</v>
      </c>
      <c r="AN112" s="49"/>
      <c r="AO112" s="49" t="s">
        <v>254</v>
      </c>
      <c r="AP112" s="49" t="s">
        <v>187</v>
      </c>
      <c r="AQ112" s="49" t="s">
        <v>128</v>
      </c>
      <c r="AR112" s="49" t="s">
        <v>1091</v>
      </c>
      <c r="AS112" s="49" t="s">
        <v>1092</v>
      </c>
      <c r="AT112" s="49" t="s">
        <v>1105</v>
      </c>
      <c r="AU112" s="49" t="s">
        <v>399</v>
      </c>
      <c r="AV112" s="49"/>
      <c r="AW112" s="49" t="s">
        <v>1094</v>
      </c>
      <c r="AX112" s="49"/>
      <c r="AY112" s="49"/>
      <c r="AZ112" s="49"/>
      <c r="BA112" s="49"/>
      <c r="BB112" s="49" t="n">
        <v>67577498</v>
      </c>
      <c r="BC112" s="49" t="s">
        <v>134</v>
      </c>
      <c r="BD112" s="49" t="s">
        <v>191</v>
      </c>
      <c r="BE112" s="49" t="s">
        <v>192</v>
      </c>
      <c r="BF112" s="49" t="s">
        <v>193</v>
      </c>
      <c r="BG112" s="49" t="s">
        <v>138</v>
      </c>
      <c r="BH112" s="49" t="s">
        <v>534</v>
      </c>
      <c r="BI112" s="49" t="s">
        <v>140</v>
      </c>
      <c r="BJ112" s="49" t="s">
        <v>125</v>
      </c>
      <c r="BK112" s="49"/>
      <c r="BL112" s="49" t="s">
        <v>141</v>
      </c>
      <c r="BM112" s="49"/>
      <c r="BN112" s="49" t="s">
        <v>142</v>
      </c>
      <c r="BO112" s="49" t="s">
        <v>196</v>
      </c>
    </row>
    <row r="113" ht="16.8" customHeight="1">
      <c r="A113" s="43" t="s">
        <v>25</v>
      </c>
      <c r="B113" s="49" t="n">
        <v>103</v>
      </c>
      <c r="C113" s="49" t="s">
        <v>103</v>
      </c>
      <c r="D113" s="49" t="s">
        <v>104</v>
      </c>
      <c r="E113" s="49" t="s">
        <v>1106</v>
      </c>
      <c r="F113" s="49" t="s">
        <v>1107</v>
      </c>
      <c r="G113" s="49" t="s">
        <v>519</v>
      </c>
      <c r="H113" s="49" t="s">
        <v>1108</v>
      </c>
      <c r="I113" s="49" t="s">
        <v>1109</v>
      </c>
      <c r="J113" s="49" t="s">
        <v>125</v>
      </c>
      <c r="K113" s="49" t="s">
        <v>206</v>
      </c>
      <c r="L113" s="49" t="s">
        <v>622</v>
      </c>
      <c r="M113" s="49" t="s">
        <v>111</v>
      </c>
      <c r="N113" s="49" t="s">
        <v>554</v>
      </c>
      <c r="O113" s="49" t="s">
        <v>1110</v>
      </c>
      <c r="P113" s="49" t="s">
        <v>622</v>
      </c>
      <c r="Q113" s="49" t="s">
        <v>1111</v>
      </c>
      <c r="R113" s="49" t="s">
        <v>1106</v>
      </c>
      <c r="S113" s="49" t="s">
        <v>10</v>
      </c>
      <c r="T113" s="49" t="s">
        <v>1112</v>
      </c>
      <c r="U113" s="49" t="s">
        <v>178</v>
      </c>
      <c r="V113" s="49" t="s">
        <v>1113</v>
      </c>
      <c r="W113" s="49" t="s">
        <v>117</v>
      </c>
      <c r="X113" s="49" t="s">
        <v>118</v>
      </c>
      <c r="Y113" s="49" t="s">
        <v>206</v>
      </c>
      <c r="Z113" s="49" t="s">
        <v>240</v>
      </c>
      <c r="AA113" s="49" t="s">
        <v>1114</v>
      </c>
      <c r="AB113" s="49" t="s">
        <v>225</v>
      </c>
      <c r="AC113" s="49" t="s">
        <v>1106</v>
      </c>
      <c r="AD113" s="49" t="n">
        <v>5418192</v>
      </c>
      <c r="AE113" s="49" t="s">
        <v>10</v>
      </c>
      <c r="AF113" s="49" t="s">
        <v>1115</v>
      </c>
      <c r="AG113" s="49" t="s">
        <v>10</v>
      </c>
      <c r="AH113" s="49" t="s">
        <v>1115</v>
      </c>
      <c r="AI113" s="49" t="s">
        <v>149</v>
      </c>
      <c r="AJ113" s="49" t="s">
        <v>150</v>
      </c>
      <c r="AK113" s="49" t="s">
        <v>124</v>
      </c>
      <c r="AL113" s="49" t="s">
        <v>125</v>
      </c>
      <c r="AM113" s="51" t="n">
        <v>4381.5</v>
      </c>
      <c r="AN113" s="49"/>
      <c r="AO113" s="49" t="s">
        <v>1110</v>
      </c>
      <c r="AP113" s="49" t="s">
        <v>127</v>
      </c>
      <c r="AQ113" s="49" t="s">
        <v>128</v>
      </c>
      <c r="AR113" s="49" t="s">
        <v>1062</v>
      </c>
      <c r="AS113" s="49" t="s">
        <v>1116</v>
      </c>
      <c r="AT113" s="49" t="s">
        <v>1117</v>
      </c>
      <c r="AU113" s="49" t="s">
        <v>399</v>
      </c>
      <c r="AV113" s="49"/>
      <c r="AW113" s="49" t="s">
        <v>1118</v>
      </c>
      <c r="AX113" s="49"/>
      <c r="AY113" s="49"/>
      <c r="AZ113" s="49"/>
      <c r="BA113" s="49"/>
      <c r="BB113" s="49" t="n">
        <v>63093516</v>
      </c>
      <c r="BC113" s="49" t="s">
        <v>134</v>
      </c>
      <c r="BD113" s="49" t="s">
        <v>135</v>
      </c>
      <c r="BE113" s="49" t="s">
        <v>1024</v>
      </c>
      <c r="BF113" s="49" t="s">
        <v>464</v>
      </c>
      <c r="BG113" s="49"/>
      <c r="BH113" s="49" t="s">
        <v>226</v>
      </c>
      <c r="BI113" s="49" t="s">
        <v>140</v>
      </c>
      <c r="BJ113" s="49" t="s">
        <v>125</v>
      </c>
      <c r="BK113" s="49"/>
      <c r="BL113" s="49" t="s">
        <v>141</v>
      </c>
      <c r="BM113" s="49"/>
      <c r="BN113" s="49" t="s">
        <v>142</v>
      </c>
      <c r="BO113" s="49"/>
    </row>
    <row r="114" ht="16.8" customHeight="1">
      <c r="A114" s="43" t="s">
        <v>25</v>
      </c>
      <c r="B114" s="49" t="n">
        <v>104</v>
      </c>
      <c r="C114" s="49" t="s">
        <v>103</v>
      </c>
      <c r="D114" s="49" t="s">
        <v>104</v>
      </c>
      <c r="E114" s="49" t="s">
        <v>1106</v>
      </c>
      <c r="F114" s="49" t="s">
        <v>1107</v>
      </c>
      <c r="G114" s="49" t="s">
        <v>519</v>
      </c>
      <c r="H114" s="49" t="s">
        <v>1108</v>
      </c>
      <c r="I114" s="49" t="s">
        <v>1109</v>
      </c>
      <c r="J114" s="49" t="s">
        <v>125</v>
      </c>
      <c r="K114" s="49" t="s">
        <v>206</v>
      </c>
      <c r="L114" s="49" t="s">
        <v>622</v>
      </c>
      <c r="M114" s="49" t="s">
        <v>111</v>
      </c>
      <c r="N114" s="49" t="s">
        <v>554</v>
      </c>
      <c r="O114" s="49" t="s">
        <v>1110</v>
      </c>
      <c r="P114" s="49" t="s">
        <v>622</v>
      </c>
      <c r="Q114" s="49" t="s">
        <v>1111</v>
      </c>
      <c r="R114" s="49" t="s">
        <v>1106</v>
      </c>
      <c r="S114" s="49" t="s">
        <v>10</v>
      </c>
      <c r="T114" s="49" t="s">
        <v>1112</v>
      </c>
      <c r="U114" s="49" t="s">
        <v>178</v>
      </c>
      <c r="V114" s="49" t="s">
        <v>1113</v>
      </c>
      <c r="W114" s="49" t="s">
        <v>117</v>
      </c>
      <c r="X114" s="49" t="s">
        <v>118</v>
      </c>
      <c r="Y114" s="49" t="s">
        <v>206</v>
      </c>
      <c r="Z114" s="49" t="s">
        <v>240</v>
      </c>
      <c r="AA114" s="49" t="s">
        <v>1114</v>
      </c>
      <c r="AB114" s="49" t="s">
        <v>225</v>
      </c>
      <c r="AC114" s="49" t="s">
        <v>1106</v>
      </c>
      <c r="AD114" s="49" t="n">
        <v>5418192</v>
      </c>
      <c r="AE114" s="49" t="s">
        <v>10</v>
      </c>
      <c r="AF114" s="49" t="s">
        <v>1115</v>
      </c>
      <c r="AG114" s="49" t="s">
        <v>10</v>
      </c>
      <c r="AH114" s="49" t="s">
        <v>1115</v>
      </c>
      <c r="AI114" s="49" t="s">
        <v>152</v>
      </c>
      <c r="AJ114" s="49" t="s">
        <v>153</v>
      </c>
      <c r="AK114" s="49" t="s">
        <v>124</v>
      </c>
      <c r="AL114" s="49" t="s">
        <v>125</v>
      </c>
      <c r="AM114" s="51" t="n">
        <v>5857.9</v>
      </c>
      <c r="AN114" s="49"/>
      <c r="AO114" s="49" t="s">
        <v>1110</v>
      </c>
      <c r="AP114" s="49" t="s">
        <v>127</v>
      </c>
      <c r="AQ114" s="49" t="s">
        <v>128</v>
      </c>
      <c r="AR114" s="49" t="s">
        <v>1062</v>
      </c>
      <c r="AS114" s="49" t="s">
        <v>1116</v>
      </c>
      <c r="AT114" s="49" t="s">
        <v>1119</v>
      </c>
      <c r="AU114" s="49" t="s">
        <v>399</v>
      </c>
      <c r="AV114" s="49"/>
      <c r="AW114" s="49" t="s">
        <v>1118</v>
      </c>
      <c r="AX114" s="49"/>
      <c r="AY114" s="49"/>
      <c r="AZ114" s="49"/>
      <c r="BA114" s="49"/>
      <c r="BB114" s="49" t="n">
        <v>63093516</v>
      </c>
      <c r="BC114" s="49" t="s">
        <v>134</v>
      </c>
      <c r="BD114" s="49" t="s">
        <v>135</v>
      </c>
      <c r="BE114" s="49" t="s">
        <v>1024</v>
      </c>
      <c r="BF114" s="49" t="s">
        <v>464</v>
      </c>
      <c r="BG114" s="49"/>
      <c r="BH114" s="49" t="s">
        <v>226</v>
      </c>
      <c r="BI114" s="49" t="s">
        <v>140</v>
      </c>
      <c r="BJ114" s="49" t="s">
        <v>125</v>
      </c>
      <c r="BK114" s="49"/>
      <c r="BL114" s="49" t="s">
        <v>141</v>
      </c>
      <c r="BM114" s="49"/>
      <c r="BN114" s="49" t="s">
        <v>142</v>
      </c>
      <c r="BO114" s="49"/>
    </row>
    <row r="115" ht="16.8" customHeight="1">
      <c r="A115" s="43" t="s">
        <v>25</v>
      </c>
      <c r="B115" s="49" t="n">
        <v>105</v>
      </c>
      <c r="C115" s="49" t="s">
        <v>103</v>
      </c>
      <c r="D115" s="49" t="s">
        <v>104</v>
      </c>
      <c r="E115" s="49" t="s">
        <v>1106</v>
      </c>
      <c r="F115" s="49" t="s">
        <v>1107</v>
      </c>
      <c r="G115" s="49" t="s">
        <v>519</v>
      </c>
      <c r="H115" s="49" t="s">
        <v>1108</v>
      </c>
      <c r="I115" s="49" t="s">
        <v>1109</v>
      </c>
      <c r="J115" s="49" t="s">
        <v>125</v>
      </c>
      <c r="K115" s="49" t="s">
        <v>206</v>
      </c>
      <c r="L115" s="49" t="s">
        <v>622</v>
      </c>
      <c r="M115" s="49" t="s">
        <v>111</v>
      </c>
      <c r="N115" s="49" t="s">
        <v>554</v>
      </c>
      <c r="O115" s="49" t="s">
        <v>1110</v>
      </c>
      <c r="P115" s="49" t="s">
        <v>622</v>
      </c>
      <c r="Q115" s="49" t="s">
        <v>1111</v>
      </c>
      <c r="R115" s="49" t="s">
        <v>1106</v>
      </c>
      <c r="S115" s="49" t="s">
        <v>10</v>
      </c>
      <c r="T115" s="49" t="s">
        <v>1112</v>
      </c>
      <c r="U115" s="49" t="s">
        <v>178</v>
      </c>
      <c r="V115" s="49" t="s">
        <v>1113</v>
      </c>
      <c r="W115" s="49" t="s">
        <v>117</v>
      </c>
      <c r="X115" s="49" t="s">
        <v>118</v>
      </c>
      <c r="Y115" s="49" t="s">
        <v>206</v>
      </c>
      <c r="Z115" s="49" t="s">
        <v>240</v>
      </c>
      <c r="AA115" s="49" t="s">
        <v>1114</v>
      </c>
      <c r="AB115" s="49" t="s">
        <v>225</v>
      </c>
      <c r="AC115" s="49" t="s">
        <v>1106</v>
      </c>
      <c r="AD115" s="49" t="n">
        <v>5418192</v>
      </c>
      <c r="AE115" s="49" t="s">
        <v>10</v>
      </c>
      <c r="AF115" s="49" t="s">
        <v>1115</v>
      </c>
      <c r="AG115" s="49" t="s">
        <v>10</v>
      </c>
      <c r="AH115" s="49" t="s">
        <v>1115</v>
      </c>
      <c r="AI115" s="49" t="s">
        <v>1120</v>
      </c>
      <c r="AJ115" s="49" t="s">
        <v>1026</v>
      </c>
      <c r="AK115" s="49" t="s">
        <v>124</v>
      </c>
      <c r="AL115" s="49" t="s">
        <v>125</v>
      </c>
      <c r="AM115" s="51" t="n">
        <v>16597.4</v>
      </c>
      <c r="AN115" s="49"/>
      <c r="AO115" s="49" t="s">
        <v>1110</v>
      </c>
      <c r="AP115" s="49" t="s">
        <v>127</v>
      </c>
      <c r="AQ115" s="49" t="s">
        <v>128</v>
      </c>
      <c r="AR115" s="49" t="s">
        <v>1062</v>
      </c>
      <c r="AS115" s="49" t="s">
        <v>1116</v>
      </c>
      <c r="AT115" s="49" t="s">
        <v>1121</v>
      </c>
      <c r="AU115" s="49" t="s">
        <v>399</v>
      </c>
      <c r="AV115" s="49"/>
      <c r="AW115" s="49" t="s">
        <v>1118</v>
      </c>
      <c r="AX115" s="49"/>
      <c r="AY115" s="49"/>
      <c r="AZ115" s="49"/>
      <c r="BA115" s="49"/>
      <c r="BB115" s="49" t="n">
        <v>63093516</v>
      </c>
      <c r="BC115" s="49" t="s">
        <v>134</v>
      </c>
      <c r="BD115" s="49" t="s">
        <v>135</v>
      </c>
      <c r="BE115" s="49" t="s">
        <v>1024</v>
      </c>
      <c r="BF115" s="49" t="s">
        <v>464</v>
      </c>
      <c r="BG115" s="49"/>
      <c r="BH115" s="49" t="s">
        <v>226</v>
      </c>
      <c r="BI115" s="49" t="s">
        <v>140</v>
      </c>
      <c r="BJ115" s="49" t="s">
        <v>125</v>
      </c>
      <c r="BK115" s="49"/>
      <c r="BL115" s="49" t="s">
        <v>141</v>
      </c>
      <c r="BM115" s="49"/>
      <c r="BN115" s="49" t="s">
        <v>142</v>
      </c>
      <c r="BO115" s="49"/>
    </row>
    <row r="116" ht="16.8" customHeight="1">
      <c r="A116" s="43" t="s">
        <v>25</v>
      </c>
      <c r="B116" s="49" t="n">
        <v>106</v>
      </c>
      <c r="C116" s="49" t="s">
        <v>103</v>
      </c>
      <c r="D116" s="49" t="s">
        <v>104</v>
      </c>
      <c r="E116" s="49" t="s">
        <v>1106</v>
      </c>
      <c r="F116" s="49" t="s">
        <v>1107</v>
      </c>
      <c r="G116" s="49" t="s">
        <v>519</v>
      </c>
      <c r="H116" s="49" t="s">
        <v>1108</v>
      </c>
      <c r="I116" s="49" t="s">
        <v>1109</v>
      </c>
      <c r="J116" s="49" t="s">
        <v>125</v>
      </c>
      <c r="K116" s="49" t="s">
        <v>206</v>
      </c>
      <c r="L116" s="49" t="s">
        <v>622</v>
      </c>
      <c r="M116" s="49" t="s">
        <v>111</v>
      </c>
      <c r="N116" s="49" t="s">
        <v>554</v>
      </c>
      <c r="O116" s="49" t="s">
        <v>1110</v>
      </c>
      <c r="P116" s="49" t="s">
        <v>622</v>
      </c>
      <c r="Q116" s="49" t="s">
        <v>1111</v>
      </c>
      <c r="R116" s="49" t="s">
        <v>1106</v>
      </c>
      <c r="S116" s="49" t="s">
        <v>10</v>
      </c>
      <c r="T116" s="49" t="s">
        <v>1112</v>
      </c>
      <c r="U116" s="49" t="s">
        <v>178</v>
      </c>
      <c r="V116" s="49" t="s">
        <v>1113</v>
      </c>
      <c r="W116" s="49" t="s">
        <v>117</v>
      </c>
      <c r="X116" s="49" t="s">
        <v>118</v>
      </c>
      <c r="Y116" s="49" t="s">
        <v>206</v>
      </c>
      <c r="Z116" s="49" t="s">
        <v>240</v>
      </c>
      <c r="AA116" s="49" t="s">
        <v>1114</v>
      </c>
      <c r="AB116" s="49" t="s">
        <v>225</v>
      </c>
      <c r="AC116" s="49" t="s">
        <v>1106</v>
      </c>
      <c r="AD116" s="49" t="n">
        <v>5418192</v>
      </c>
      <c r="AE116" s="49" t="s">
        <v>10</v>
      </c>
      <c r="AF116" s="49" t="s">
        <v>1115</v>
      </c>
      <c r="AG116" s="49" t="s">
        <v>10</v>
      </c>
      <c r="AH116" s="49" t="s">
        <v>1115</v>
      </c>
      <c r="AI116" s="49" t="s">
        <v>158</v>
      </c>
      <c r="AJ116" s="49" t="s">
        <v>159</v>
      </c>
      <c r="AK116" s="49" t="s">
        <v>124</v>
      </c>
      <c r="AL116" s="49" t="s">
        <v>125</v>
      </c>
      <c r="AM116" s="51" t="n">
        <v>4463.2</v>
      </c>
      <c r="AN116" s="49"/>
      <c r="AO116" s="49" t="s">
        <v>1110</v>
      </c>
      <c r="AP116" s="49" t="s">
        <v>127</v>
      </c>
      <c r="AQ116" s="49" t="s">
        <v>128</v>
      </c>
      <c r="AR116" s="49" t="s">
        <v>1062</v>
      </c>
      <c r="AS116" s="49" t="s">
        <v>1116</v>
      </c>
      <c r="AT116" s="49" t="s">
        <v>1122</v>
      </c>
      <c r="AU116" s="49" t="s">
        <v>399</v>
      </c>
      <c r="AV116" s="49"/>
      <c r="AW116" s="49" t="s">
        <v>1118</v>
      </c>
      <c r="AX116" s="49"/>
      <c r="AY116" s="49"/>
      <c r="AZ116" s="49"/>
      <c r="BA116" s="49"/>
      <c r="BB116" s="49" t="n">
        <v>63093516</v>
      </c>
      <c r="BC116" s="49" t="s">
        <v>134</v>
      </c>
      <c r="BD116" s="49" t="s">
        <v>135</v>
      </c>
      <c r="BE116" s="49" t="s">
        <v>1024</v>
      </c>
      <c r="BF116" s="49" t="s">
        <v>464</v>
      </c>
      <c r="BG116" s="49"/>
      <c r="BH116" s="49" t="s">
        <v>226</v>
      </c>
      <c r="BI116" s="49" t="s">
        <v>140</v>
      </c>
      <c r="BJ116" s="49" t="s">
        <v>125</v>
      </c>
      <c r="BK116" s="49"/>
      <c r="BL116" s="49" t="s">
        <v>141</v>
      </c>
      <c r="BM116" s="49"/>
      <c r="BN116" s="49" t="s">
        <v>142</v>
      </c>
      <c r="BO116" s="49"/>
    </row>
    <row r="117" ht="16.8" customHeight="1">
      <c r="A117" s="43" t="s">
        <v>25</v>
      </c>
      <c r="B117" s="49" t="n">
        <v>107</v>
      </c>
      <c r="C117" s="49" t="s">
        <v>103</v>
      </c>
      <c r="D117" s="49" t="s">
        <v>104</v>
      </c>
      <c r="E117" s="49" t="s">
        <v>1106</v>
      </c>
      <c r="F117" s="49" t="s">
        <v>1107</v>
      </c>
      <c r="G117" s="49" t="s">
        <v>519</v>
      </c>
      <c r="H117" s="49" t="s">
        <v>1108</v>
      </c>
      <c r="I117" s="49" t="s">
        <v>1109</v>
      </c>
      <c r="J117" s="49" t="s">
        <v>125</v>
      </c>
      <c r="K117" s="49" t="s">
        <v>206</v>
      </c>
      <c r="L117" s="49" t="s">
        <v>622</v>
      </c>
      <c r="M117" s="49" t="s">
        <v>111</v>
      </c>
      <c r="N117" s="49" t="s">
        <v>554</v>
      </c>
      <c r="O117" s="49" t="s">
        <v>1110</v>
      </c>
      <c r="P117" s="49" t="s">
        <v>622</v>
      </c>
      <c r="Q117" s="49" t="s">
        <v>1111</v>
      </c>
      <c r="R117" s="49" t="s">
        <v>1106</v>
      </c>
      <c r="S117" s="49" t="s">
        <v>10</v>
      </c>
      <c r="T117" s="49" t="s">
        <v>1112</v>
      </c>
      <c r="U117" s="49" t="s">
        <v>178</v>
      </c>
      <c r="V117" s="49" t="s">
        <v>1113</v>
      </c>
      <c r="W117" s="49" t="s">
        <v>117</v>
      </c>
      <c r="X117" s="49" t="s">
        <v>118</v>
      </c>
      <c r="Y117" s="49" t="s">
        <v>206</v>
      </c>
      <c r="Z117" s="49" t="s">
        <v>240</v>
      </c>
      <c r="AA117" s="49" t="s">
        <v>1114</v>
      </c>
      <c r="AB117" s="49" t="s">
        <v>225</v>
      </c>
      <c r="AC117" s="49" t="s">
        <v>1106</v>
      </c>
      <c r="AD117" s="49" t="n">
        <v>5418192</v>
      </c>
      <c r="AE117" s="49" t="s">
        <v>10</v>
      </c>
      <c r="AF117" s="49" t="s">
        <v>1115</v>
      </c>
      <c r="AG117" s="49" t="s">
        <v>10</v>
      </c>
      <c r="AH117" s="49" t="s">
        <v>1115</v>
      </c>
      <c r="AI117" s="49" t="s">
        <v>1123</v>
      </c>
      <c r="AJ117" s="49" t="s">
        <v>1124</v>
      </c>
      <c r="AK117" s="49" t="s">
        <v>124</v>
      </c>
      <c r="AL117" s="49" t="s">
        <v>125</v>
      </c>
      <c r="AM117" s="51" t="n">
        <v>25500</v>
      </c>
      <c r="AN117" s="49"/>
      <c r="AO117" s="49" t="s">
        <v>1110</v>
      </c>
      <c r="AP117" s="49" t="s">
        <v>127</v>
      </c>
      <c r="AQ117" s="49" t="s">
        <v>128</v>
      </c>
      <c r="AR117" s="49" t="s">
        <v>1062</v>
      </c>
      <c r="AS117" s="49" t="s">
        <v>1116</v>
      </c>
      <c r="AT117" s="49"/>
      <c r="AU117" s="49" t="s">
        <v>399</v>
      </c>
      <c r="AV117" s="49"/>
      <c r="AW117" s="49" t="s">
        <v>1118</v>
      </c>
      <c r="AX117" s="49"/>
      <c r="AY117" s="49"/>
      <c r="AZ117" s="49"/>
      <c r="BA117" s="49"/>
      <c r="BB117" s="49" t="n">
        <v>63093516</v>
      </c>
      <c r="BC117" s="49" t="s">
        <v>134</v>
      </c>
      <c r="BD117" s="49" t="s">
        <v>135</v>
      </c>
      <c r="BE117" s="49" t="s">
        <v>1024</v>
      </c>
      <c r="BF117" s="49" t="s">
        <v>464</v>
      </c>
      <c r="BG117" s="49"/>
      <c r="BH117" s="49" t="s">
        <v>226</v>
      </c>
      <c r="BI117" s="49" t="s">
        <v>140</v>
      </c>
      <c r="BJ117" s="49" t="s">
        <v>125</v>
      </c>
      <c r="BK117" s="49"/>
      <c r="BL117" s="49"/>
      <c r="BM117" s="49"/>
      <c r="BN117" s="49" t="s">
        <v>142</v>
      </c>
      <c r="BO117" s="49"/>
    </row>
    <row r="118" ht="16.8" customHeight="1">
      <c r="A118" s="43" t="s">
        <v>25</v>
      </c>
      <c r="B118" s="49" t="n">
        <v>108</v>
      </c>
      <c r="C118" s="49" t="s">
        <v>103</v>
      </c>
      <c r="D118" s="49" t="s">
        <v>104</v>
      </c>
      <c r="E118" s="49" t="s">
        <v>320</v>
      </c>
      <c r="F118" s="49" t="s">
        <v>1125</v>
      </c>
      <c r="G118" s="49" t="s">
        <v>622</v>
      </c>
      <c r="H118" s="49" t="s">
        <v>1126</v>
      </c>
      <c r="I118" s="49" t="s">
        <v>1127</v>
      </c>
      <c r="J118" s="49" t="s">
        <v>125</v>
      </c>
      <c r="K118" s="49" t="s">
        <v>110</v>
      </c>
      <c r="L118" s="49" t="s">
        <v>10</v>
      </c>
      <c r="M118" s="49" t="s">
        <v>507</v>
      </c>
      <c r="N118" s="49" t="s">
        <v>507</v>
      </c>
      <c r="O118" s="49" t="s">
        <v>125</v>
      </c>
      <c r="P118" s="49"/>
      <c r="Q118" s="49"/>
      <c r="R118" s="49" t="s">
        <v>1128</v>
      </c>
      <c r="S118" s="49" t="s">
        <v>10</v>
      </c>
      <c r="T118" s="49" t="s">
        <v>1129</v>
      </c>
      <c r="U118" s="49" t="s">
        <v>178</v>
      </c>
      <c r="V118" s="49" t="s">
        <v>1130</v>
      </c>
      <c r="W118" s="49" t="s">
        <v>117</v>
      </c>
      <c r="X118" s="49" t="s">
        <v>1131</v>
      </c>
      <c r="Y118" s="49" t="s">
        <v>110</v>
      </c>
      <c r="Z118" s="49" t="s">
        <v>1132</v>
      </c>
      <c r="AA118" s="49" t="s">
        <v>1133</v>
      </c>
      <c r="AB118" s="49" t="s">
        <v>1134</v>
      </c>
      <c r="AC118" s="49" t="s">
        <v>1128</v>
      </c>
      <c r="AD118" s="49" t="n">
        <v>5518837</v>
      </c>
      <c r="AE118" s="49" t="s">
        <v>10</v>
      </c>
      <c r="AF118" s="49" t="s">
        <v>1130</v>
      </c>
      <c r="AG118" s="49" t="s">
        <v>10</v>
      </c>
      <c r="AH118" s="49" t="s">
        <v>1130</v>
      </c>
      <c r="AI118" s="49" t="s">
        <v>893</v>
      </c>
      <c r="AJ118" s="49" t="s">
        <v>894</v>
      </c>
      <c r="AK118" s="49" t="s">
        <v>124</v>
      </c>
      <c r="AL118" s="49" t="s">
        <v>125</v>
      </c>
      <c r="AM118" s="51" t="n">
        <v>6180</v>
      </c>
      <c r="AN118" s="49"/>
      <c r="AO118" s="49" t="s">
        <v>125</v>
      </c>
      <c r="AP118" s="49" t="s">
        <v>187</v>
      </c>
      <c r="AQ118" s="49" t="s">
        <v>128</v>
      </c>
      <c r="AR118" s="49" t="s">
        <v>971</v>
      </c>
      <c r="AS118" s="49" t="s">
        <v>1135</v>
      </c>
      <c r="AT118" s="49" t="s">
        <v>1136</v>
      </c>
      <c r="AU118" s="49" t="s">
        <v>1137</v>
      </c>
      <c r="AV118" s="49"/>
      <c r="AW118" s="49" t="s">
        <v>1138</v>
      </c>
      <c r="AX118" s="49"/>
      <c r="AY118" s="49"/>
      <c r="AZ118" s="49"/>
      <c r="BA118" s="49"/>
      <c r="BB118" s="49" t="n">
        <v>82233267</v>
      </c>
      <c r="BC118" s="49" t="s">
        <v>134</v>
      </c>
      <c r="BD118" s="49" t="s">
        <v>655</v>
      </c>
      <c r="BE118" s="49" t="s">
        <v>894</v>
      </c>
      <c r="BF118" s="49" t="s">
        <v>125</v>
      </c>
      <c r="BG118" s="49"/>
      <c r="BH118" s="49" t="s">
        <v>226</v>
      </c>
      <c r="BI118" s="49" t="s">
        <v>140</v>
      </c>
      <c r="BJ118" s="49" t="s">
        <v>125</v>
      </c>
      <c r="BK118" s="49"/>
      <c r="BL118" s="49" t="s">
        <v>141</v>
      </c>
      <c r="BM118" s="49"/>
      <c r="BN118" s="49" t="s">
        <v>195</v>
      </c>
      <c r="BO118" s="49" t="s">
        <v>196</v>
      </c>
    </row>
    <row r="119" ht="16.8" customHeight="1">
      <c r="A119" s="43" t="s">
        <v>25</v>
      </c>
      <c r="B119" s="49" t="n">
        <v>109</v>
      </c>
      <c r="C119" s="49" t="s">
        <v>103</v>
      </c>
      <c r="D119" s="49" t="s">
        <v>104</v>
      </c>
      <c r="E119" s="49" t="s">
        <v>1139</v>
      </c>
      <c r="F119" s="49" t="s">
        <v>1140</v>
      </c>
      <c r="G119" s="49" t="s">
        <v>1141</v>
      </c>
      <c r="H119" s="49" t="s">
        <v>1142</v>
      </c>
      <c r="I119" s="49" t="s">
        <v>1143</v>
      </c>
      <c r="J119" s="49" t="s">
        <v>125</v>
      </c>
      <c r="K119" s="49" t="s">
        <v>214</v>
      </c>
      <c r="L119" s="49" t="s">
        <v>10</v>
      </c>
      <c r="M119" s="49" t="s">
        <v>325</v>
      </c>
      <c r="N119" s="49" t="s">
        <v>931</v>
      </c>
      <c r="O119" s="49" t="s">
        <v>125</v>
      </c>
      <c r="P119" s="49"/>
      <c r="Q119" s="49"/>
      <c r="R119" s="49" t="s">
        <v>1144</v>
      </c>
      <c r="S119" s="49" t="s">
        <v>10</v>
      </c>
      <c r="T119" s="49" t="s">
        <v>1145</v>
      </c>
      <c r="U119" s="49" t="s">
        <v>178</v>
      </c>
      <c r="V119" s="49" t="s">
        <v>1146</v>
      </c>
      <c r="W119" s="49" t="s">
        <v>117</v>
      </c>
      <c r="X119" s="49" t="s">
        <v>391</v>
      </c>
      <c r="Y119" s="49" t="s">
        <v>214</v>
      </c>
      <c r="Z119" s="49" t="s">
        <v>1147</v>
      </c>
      <c r="AA119" s="49" t="s">
        <v>1148</v>
      </c>
      <c r="AB119" s="49" t="s">
        <v>1149</v>
      </c>
      <c r="AC119" s="49" t="s">
        <v>1144</v>
      </c>
      <c r="AD119" s="49" t="n">
        <v>5518797</v>
      </c>
      <c r="AE119" s="49" t="s">
        <v>14</v>
      </c>
      <c r="AF119" s="49" t="s">
        <v>1150</v>
      </c>
      <c r="AG119" s="49" t="s">
        <v>10</v>
      </c>
      <c r="AH119" s="49" t="s">
        <v>1151</v>
      </c>
      <c r="AI119" s="49"/>
      <c r="AJ119" s="49"/>
      <c r="AK119" s="49" t="s">
        <v>124</v>
      </c>
      <c r="AL119" s="49" t="s">
        <v>125</v>
      </c>
      <c r="AM119" s="51" t="n">
        <v>32300</v>
      </c>
      <c r="AN119" s="49"/>
      <c r="AO119" s="49" t="s">
        <v>125</v>
      </c>
      <c r="AP119" s="49" t="s">
        <v>220</v>
      </c>
      <c r="AQ119" s="49" t="s">
        <v>128</v>
      </c>
      <c r="AR119" s="49"/>
      <c r="AS119" s="49" t="s">
        <v>1152</v>
      </c>
      <c r="AT119" s="49"/>
      <c r="AU119" s="49"/>
      <c r="AV119" s="49"/>
      <c r="AW119" s="49" t="s">
        <v>1153</v>
      </c>
      <c r="AX119" s="49"/>
      <c r="AY119" s="49"/>
      <c r="AZ119" s="49"/>
      <c r="BA119" s="49"/>
      <c r="BB119" s="49" t="n">
        <v>80754759</v>
      </c>
      <c r="BC119" s="49" t="s">
        <v>134</v>
      </c>
      <c r="BD119" s="49" t="s">
        <v>191</v>
      </c>
      <c r="BE119" s="49" t="s">
        <v>401</v>
      </c>
      <c r="BF119" s="49" t="s">
        <v>1154</v>
      </c>
      <c r="BG119" s="49" t="s">
        <v>138</v>
      </c>
      <c r="BH119" s="49" t="s">
        <v>194</v>
      </c>
      <c r="BI119" s="49" t="s">
        <v>134</v>
      </c>
      <c r="BJ119" s="49" t="s">
        <v>125</v>
      </c>
      <c r="BK119" s="49"/>
      <c r="BL119" s="49"/>
      <c r="BM119" s="49"/>
      <c r="BN119" s="49"/>
      <c r="BO119" s="49" t="s">
        <v>338</v>
      </c>
    </row>
    <row r="120" ht="16.8" customHeight="1">
      <c r="A120" s="43" t="s">
        <v>25</v>
      </c>
      <c r="B120" s="49" t="n">
        <v>110</v>
      </c>
      <c r="C120" s="49" t="s">
        <v>103</v>
      </c>
      <c r="D120" s="49" t="s">
        <v>104</v>
      </c>
      <c r="E120" s="49" t="s">
        <v>1155</v>
      </c>
      <c r="F120" s="49" t="s">
        <v>1156</v>
      </c>
      <c r="G120" s="49" t="s">
        <v>1157</v>
      </c>
      <c r="H120" s="49" t="s">
        <v>1158</v>
      </c>
      <c r="I120" s="49"/>
      <c r="J120" s="49"/>
      <c r="K120" s="49" t="s">
        <v>206</v>
      </c>
      <c r="L120" s="49" t="s">
        <v>1157</v>
      </c>
      <c r="M120" s="49" t="s">
        <v>111</v>
      </c>
      <c r="N120" s="49" t="s">
        <v>175</v>
      </c>
      <c r="O120" s="49" t="s">
        <v>1159</v>
      </c>
      <c r="P120" s="49" t="s">
        <v>1157</v>
      </c>
      <c r="Q120" s="49" t="s">
        <v>1160</v>
      </c>
      <c r="R120" s="49" t="s">
        <v>1155</v>
      </c>
      <c r="S120" s="49" t="s">
        <v>14</v>
      </c>
      <c r="T120" s="49" t="s">
        <v>1161</v>
      </c>
      <c r="U120" s="49" t="s">
        <v>178</v>
      </c>
      <c r="V120" s="49" t="s">
        <v>1162</v>
      </c>
      <c r="W120" s="49" t="s">
        <v>117</v>
      </c>
      <c r="X120" s="49" t="s">
        <v>748</v>
      </c>
      <c r="Y120" s="49" t="s">
        <v>206</v>
      </c>
      <c r="Z120" s="49" t="s">
        <v>1163</v>
      </c>
      <c r="AA120" s="49" t="s">
        <v>1164</v>
      </c>
      <c r="AB120" s="49" t="s">
        <v>353</v>
      </c>
      <c r="AC120" s="49" t="s">
        <v>1155</v>
      </c>
      <c r="AD120" s="49" t="n">
        <v>5491524</v>
      </c>
      <c r="AE120" s="49" t="s">
        <v>14</v>
      </c>
      <c r="AF120" s="49" t="s">
        <v>1165</v>
      </c>
      <c r="AG120" s="49" t="s">
        <v>14</v>
      </c>
      <c r="AH120" s="49" t="s">
        <v>1166</v>
      </c>
      <c r="AI120" s="49" t="s">
        <v>1167</v>
      </c>
      <c r="AJ120" s="49" t="s">
        <v>882</v>
      </c>
      <c r="AK120" s="49" t="s">
        <v>124</v>
      </c>
      <c r="AL120" s="49" t="s">
        <v>125</v>
      </c>
      <c r="AM120" s="51" t="n">
        <v>8067.1</v>
      </c>
      <c r="AN120" s="49"/>
      <c r="AO120" s="49" t="s">
        <v>1159</v>
      </c>
      <c r="AP120" s="49" t="s">
        <v>127</v>
      </c>
      <c r="AQ120" s="49" t="s">
        <v>128</v>
      </c>
      <c r="AR120" s="49" t="s">
        <v>681</v>
      </c>
      <c r="AS120" s="49" t="s">
        <v>1168</v>
      </c>
      <c r="AT120" s="49" t="s">
        <v>1169</v>
      </c>
      <c r="AU120" s="49" t="s">
        <v>1137</v>
      </c>
      <c r="AV120" s="49"/>
      <c r="AW120" s="49" t="s">
        <v>1170</v>
      </c>
      <c r="AX120" s="49"/>
      <c r="AY120" s="49"/>
      <c r="AZ120" s="49"/>
      <c r="BA120" s="49"/>
      <c r="BB120" s="49" t="n">
        <v>82291069</v>
      </c>
      <c r="BC120" s="49" t="s">
        <v>134</v>
      </c>
      <c r="BD120" s="49" t="s">
        <v>135</v>
      </c>
      <c r="BE120" s="49" t="s">
        <v>1171</v>
      </c>
      <c r="BF120" s="49" t="s">
        <v>1172</v>
      </c>
      <c r="BG120" s="49" t="s">
        <v>138</v>
      </c>
      <c r="BH120" s="49" t="s">
        <v>194</v>
      </c>
      <c r="BI120" s="49" t="s">
        <v>140</v>
      </c>
      <c r="BJ120" s="49" t="s">
        <v>125</v>
      </c>
      <c r="BK120" s="49"/>
      <c r="BL120" s="49" t="s">
        <v>141</v>
      </c>
      <c r="BM120" s="49"/>
      <c r="BN120" s="49" t="s">
        <v>227</v>
      </c>
      <c r="BO120" s="49"/>
    </row>
    <row r="121" ht="16.8" customHeight="1">
      <c r="A121" s="43" t="s">
        <v>25</v>
      </c>
      <c r="B121" s="49" t="n">
        <v>111</v>
      </c>
      <c r="C121" s="49" t="s">
        <v>103</v>
      </c>
      <c r="D121" s="49" t="s">
        <v>104</v>
      </c>
      <c r="E121" s="49" t="s">
        <v>1155</v>
      </c>
      <c r="F121" s="49" t="s">
        <v>1156</v>
      </c>
      <c r="G121" s="49" t="s">
        <v>1157</v>
      </c>
      <c r="H121" s="49" t="s">
        <v>1158</v>
      </c>
      <c r="I121" s="49"/>
      <c r="J121" s="49"/>
      <c r="K121" s="49" t="s">
        <v>206</v>
      </c>
      <c r="L121" s="49" t="s">
        <v>1157</v>
      </c>
      <c r="M121" s="49" t="s">
        <v>111</v>
      </c>
      <c r="N121" s="49" t="s">
        <v>175</v>
      </c>
      <c r="O121" s="49" t="s">
        <v>1159</v>
      </c>
      <c r="P121" s="49" t="s">
        <v>1157</v>
      </c>
      <c r="Q121" s="49" t="s">
        <v>1160</v>
      </c>
      <c r="R121" s="49" t="s">
        <v>1155</v>
      </c>
      <c r="S121" s="49" t="s">
        <v>14</v>
      </c>
      <c r="T121" s="49" t="s">
        <v>1161</v>
      </c>
      <c r="U121" s="49" t="s">
        <v>178</v>
      </c>
      <c r="V121" s="49" t="s">
        <v>1162</v>
      </c>
      <c r="W121" s="49" t="s">
        <v>117</v>
      </c>
      <c r="X121" s="49" t="s">
        <v>748</v>
      </c>
      <c r="Y121" s="49" t="s">
        <v>206</v>
      </c>
      <c r="Z121" s="49" t="s">
        <v>1163</v>
      </c>
      <c r="AA121" s="49" t="s">
        <v>1164</v>
      </c>
      <c r="AB121" s="49" t="s">
        <v>353</v>
      </c>
      <c r="AC121" s="49" t="s">
        <v>1155</v>
      </c>
      <c r="AD121" s="49" t="n">
        <v>5491524</v>
      </c>
      <c r="AE121" s="49" t="s">
        <v>14</v>
      </c>
      <c r="AF121" s="49" t="s">
        <v>1165</v>
      </c>
      <c r="AG121" s="49" t="s">
        <v>14</v>
      </c>
      <c r="AH121" s="49" t="s">
        <v>1166</v>
      </c>
      <c r="AI121" s="49" t="s">
        <v>1173</v>
      </c>
      <c r="AJ121" s="49" t="s">
        <v>1174</v>
      </c>
      <c r="AK121" s="49" t="s">
        <v>124</v>
      </c>
      <c r="AL121" s="49" t="s">
        <v>125</v>
      </c>
      <c r="AM121" s="51" t="n">
        <v>17610.4</v>
      </c>
      <c r="AN121" s="49"/>
      <c r="AO121" s="49" t="s">
        <v>1159</v>
      </c>
      <c r="AP121" s="49" t="s">
        <v>127</v>
      </c>
      <c r="AQ121" s="49" t="s">
        <v>128</v>
      </c>
      <c r="AR121" s="49" t="s">
        <v>681</v>
      </c>
      <c r="AS121" s="49" t="s">
        <v>1168</v>
      </c>
      <c r="AT121" s="49" t="s">
        <v>1175</v>
      </c>
      <c r="AU121" s="49" t="s">
        <v>1137</v>
      </c>
      <c r="AV121" s="49"/>
      <c r="AW121" s="49" t="s">
        <v>1170</v>
      </c>
      <c r="AX121" s="49"/>
      <c r="AY121" s="49"/>
      <c r="AZ121" s="49"/>
      <c r="BA121" s="49"/>
      <c r="BB121" s="49" t="n">
        <v>82291069</v>
      </c>
      <c r="BC121" s="49" t="s">
        <v>134</v>
      </c>
      <c r="BD121" s="49" t="s">
        <v>135</v>
      </c>
      <c r="BE121" s="49" t="s">
        <v>1171</v>
      </c>
      <c r="BF121" s="49" t="s">
        <v>1172</v>
      </c>
      <c r="BG121" s="49" t="s">
        <v>138</v>
      </c>
      <c r="BH121" s="49" t="s">
        <v>194</v>
      </c>
      <c r="BI121" s="49" t="s">
        <v>140</v>
      </c>
      <c r="BJ121" s="49" t="s">
        <v>125</v>
      </c>
      <c r="BK121" s="49"/>
      <c r="BL121" s="49" t="s">
        <v>141</v>
      </c>
      <c r="BM121" s="49"/>
      <c r="BN121" s="49" t="s">
        <v>227</v>
      </c>
      <c r="BO121" s="49"/>
    </row>
    <row r="122" ht="16.8" customHeight="1">
      <c r="A122" s="43" t="s">
        <v>25</v>
      </c>
      <c r="B122" s="49" t="n">
        <v>112</v>
      </c>
      <c r="C122" s="49" t="s">
        <v>103</v>
      </c>
      <c r="D122" s="49" t="s">
        <v>104</v>
      </c>
      <c r="E122" s="49" t="s">
        <v>1155</v>
      </c>
      <c r="F122" s="49" t="s">
        <v>1156</v>
      </c>
      <c r="G122" s="49" t="s">
        <v>1157</v>
      </c>
      <c r="H122" s="49" t="s">
        <v>1158</v>
      </c>
      <c r="I122" s="49"/>
      <c r="J122" s="49"/>
      <c r="K122" s="49" t="s">
        <v>206</v>
      </c>
      <c r="L122" s="49" t="s">
        <v>1157</v>
      </c>
      <c r="M122" s="49" t="s">
        <v>111</v>
      </c>
      <c r="N122" s="49" t="s">
        <v>175</v>
      </c>
      <c r="O122" s="49" t="s">
        <v>1159</v>
      </c>
      <c r="P122" s="49" t="s">
        <v>1157</v>
      </c>
      <c r="Q122" s="49" t="s">
        <v>1160</v>
      </c>
      <c r="R122" s="49" t="s">
        <v>1155</v>
      </c>
      <c r="S122" s="49" t="s">
        <v>14</v>
      </c>
      <c r="T122" s="49" t="s">
        <v>1161</v>
      </c>
      <c r="U122" s="49" t="s">
        <v>178</v>
      </c>
      <c r="V122" s="49" t="s">
        <v>1162</v>
      </c>
      <c r="W122" s="49" t="s">
        <v>117</v>
      </c>
      <c r="X122" s="49" t="s">
        <v>748</v>
      </c>
      <c r="Y122" s="49" t="s">
        <v>206</v>
      </c>
      <c r="Z122" s="49" t="s">
        <v>1163</v>
      </c>
      <c r="AA122" s="49" t="s">
        <v>1164</v>
      </c>
      <c r="AB122" s="49" t="s">
        <v>353</v>
      </c>
      <c r="AC122" s="49" t="s">
        <v>1155</v>
      </c>
      <c r="AD122" s="49" t="n">
        <v>5491524</v>
      </c>
      <c r="AE122" s="49" t="s">
        <v>14</v>
      </c>
      <c r="AF122" s="49" t="s">
        <v>1165</v>
      </c>
      <c r="AG122" s="49" t="s">
        <v>14</v>
      </c>
      <c r="AH122" s="49" t="s">
        <v>1166</v>
      </c>
      <c r="AI122" s="49" t="s">
        <v>1176</v>
      </c>
      <c r="AJ122" s="49" t="s">
        <v>888</v>
      </c>
      <c r="AK122" s="49" t="s">
        <v>124</v>
      </c>
      <c r="AL122" s="49" t="s">
        <v>125</v>
      </c>
      <c r="AM122" s="51" t="n">
        <v>11160.9</v>
      </c>
      <c r="AN122" s="49"/>
      <c r="AO122" s="49" t="s">
        <v>1159</v>
      </c>
      <c r="AP122" s="49" t="s">
        <v>127</v>
      </c>
      <c r="AQ122" s="49" t="s">
        <v>128</v>
      </c>
      <c r="AR122" s="49" t="s">
        <v>681</v>
      </c>
      <c r="AS122" s="49" t="s">
        <v>1168</v>
      </c>
      <c r="AT122" s="49" t="s">
        <v>1177</v>
      </c>
      <c r="AU122" s="49" t="s">
        <v>1137</v>
      </c>
      <c r="AV122" s="49"/>
      <c r="AW122" s="49" t="s">
        <v>1170</v>
      </c>
      <c r="AX122" s="49"/>
      <c r="AY122" s="49"/>
      <c r="AZ122" s="49"/>
      <c r="BA122" s="49"/>
      <c r="BB122" s="49" t="n">
        <v>82291069</v>
      </c>
      <c r="BC122" s="49" t="s">
        <v>134</v>
      </c>
      <c r="BD122" s="49" t="s">
        <v>135</v>
      </c>
      <c r="BE122" s="49" t="s">
        <v>1171</v>
      </c>
      <c r="BF122" s="49" t="s">
        <v>1172</v>
      </c>
      <c r="BG122" s="49" t="s">
        <v>138</v>
      </c>
      <c r="BH122" s="49" t="s">
        <v>194</v>
      </c>
      <c r="BI122" s="49" t="s">
        <v>140</v>
      </c>
      <c r="BJ122" s="49" t="s">
        <v>125</v>
      </c>
      <c r="BK122" s="49"/>
      <c r="BL122" s="49" t="s">
        <v>141</v>
      </c>
      <c r="BM122" s="49"/>
      <c r="BN122" s="49" t="s">
        <v>227</v>
      </c>
      <c r="BO122" s="49"/>
    </row>
    <row r="123" ht="16.8" customHeight="1">
      <c r="A123" s="43" t="s">
        <v>25</v>
      </c>
      <c r="B123" s="49" t="n">
        <v>113</v>
      </c>
      <c r="C123" s="49" t="s">
        <v>103</v>
      </c>
      <c r="D123" s="49" t="s">
        <v>104</v>
      </c>
      <c r="E123" s="49" t="s">
        <v>1155</v>
      </c>
      <c r="F123" s="49" t="s">
        <v>1156</v>
      </c>
      <c r="G123" s="49" t="s">
        <v>1157</v>
      </c>
      <c r="H123" s="49" t="s">
        <v>1158</v>
      </c>
      <c r="I123" s="49"/>
      <c r="J123" s="49"/>
      <c r="K123" s="49" t="s">
        <v>206</v>
      </c>
      <c r="L123" s="49" t="s">
        <v>1157</v>
      </c>
      <c r="M123" s="49" t="s">
        <v>111</v>
      </c>
      <c r="N123" s="49" t="s">
        <v>175</v>
      </c>
      <c r="O123" s="49" t="s">
        <v>1159</v>
      </c>
      <c r="P123" s="49" t="s">
        <v>1157</v>
      </c>
      <c r="Q123" s="49" t="s">
        <v>1160</v>
      </c>
      <c r="R123" s="49" t="s">
        <v>1155</v>
      </c>
      <c r="S123" s="49" t="s">
        <v>14</v>
      </c>
      <c r="T123" s="49" t="s">
        <v>1161</v>
      </c>
      <c r="U123" s="49" t="s">
        <v>178</v>
      </c>
      <c r="V123" s="49" t="s">
        <v>1162</v>
      </c>
      <c r="W123" s="49" t="s">
        <v>117</v>
      </c>
      <c r="X123" s="49" t="s">
        <v>748</v>
      </c>
      <c r="Y123" s="49" t="s">
        <v>206</v>
      </c>
      <c r="Z123" s="49" t="s">
        <v>1163</v>
      </c>
      <c r="AA123" s="49" t="s">
        <v>1164</v>
      </c>
      <c r="AB123" s="49" t="s">
        <v>353</v>
      </c>
      <c r="AC123" s="49" t="s">
        <v>1155</v>
      </c>
      <c r="AD123" s="49" t="n">
        <v>5491524</v>
      </c>
      <c r="AE123" s="49" t="s">
        <v>14</v>
      </c>
      <c r="AF123" s="49" t="s">
        <v>1165</v>
      </c>
      <c r="AG123" s="49" t="s">
        <v>14</v>
      </c>
      <c r="AH123" s="49" t="s">
        <v>1166</v>
      </c>
      <c r="AI123" s="49" t="s">
        <v>1178</v>
      </c>
      <c r="AJ123" s="49" t="s">
        <v>894</v>
      </c>
      <c r="AK123" s="49" t="s">
        <v>124</v>
      </c>
      <c r="AL123" s="49" t="s">
        <v>125</v>
      </c>
      <c r="AM123" s="51" t="n">
        <v>3557.8</v>
      </c>
      <c r="AN123" s="49"/>
      <c r="AO123" s="49" t="s">
        <v>1159</v>
      </c>
      <c r="AP123" s="49" t="s">
        <v>127</v>
      </c>
      <c r="AQ123" s="49" t="s">
        <v>128</v>
      </c>
      <c r="AR123" s="49" t="s">
        <v>681</v>
      </c>
      <c r="AS123" s="49" t="s">
        <v>1168</v>
      </c>
      <c r="AT123" s="49" t="s">
        <v>1179</v>
      </c>
      <c r="AU123" s="49" t="s">
        <v>1137</v>
      </c>
      <c r="AV123" s="49"/>
      <c r="AW123" s="49" t="s">
        <v>1170</v>
      </c>
      <c r="AX123" s="49"/>
      <c r="AY123" s="49"/>
      <c r="AZ123" s="49"/>
      <c r="BA123" s="49"/>
      <c r="BB123" s="49" t="n">
        <v>82291069</v>
      </c>
      <c r="BC123" s="49" t="s">
        <v>134</v>
      </c>
      <c r="BD123" s="49" t="s">
        <v>135</v>
      </c>
      <c r="BE123" s="49" t="s">
        <v>1171</v>
      </c>
      <c r="BF123" s="49" t="s">
        <v>1172</v>
      </c>
      <c r="BG123" s="49" t="s">
        <v>138</v>
      </c>
      <c r="BH123" s="49" t="s">
        <v>194</v>
      </c>
      <c r="BI123" s="49" t="s">
        <v>140</v>
      </c>
      <c r="BJ123" s="49" t="s">
        <v>125</v>
      </c>
      <c r="BK123" s="49"/>
      <c r="BL123" s="49" t="s">
        <v>141</v>
      </c>
      <c r="BM123" s="49"/>
      <c r="BN123" s="49" t="s">
        <v>227</v>
      </c>
      <c r="BO123" s="49"/>
    </row>
    <row r="124" ht="16.8" customHeight="1">
      <c r="A124" s="43" t="s">
        <v>25</v>
      </c>
      <c r="B124" s="49" t="n">
        <v>114</v>
      </c>
      <c r="C124" s="49" t="s">
        <v>103</v>
      </c>
      <c r="D124" s="49" t="s">
        <v>104</v>
      </c>
      <c r="E124" s="49" t="s">
        <v>1155</v>
      </c>
      <c r="F124" s="49" t="s">
        <v>1156</v>
      </c>
      <c r="G124" s="49" t="s">
        <v>1157</v>
      </c>
      <c r="H124" s="49" t="s">
        <v>1158</v>
      </c>
      <c r="I124" s="49"/>
      <c r="J124" s="49"/>
      <c r="K124" s="49" t="s">
        <v>206</v>
      </c>
      <c r="L124" s="49" t="s">
        <v>1157</v>
      </c>
      <c r="M124" s="49" t="s">
        <v>111</v>
      </c>
      <c r="N124" s="49" t="s">
        <v>175</v>
      </c>
      <c r="O124" s="49" t="s">
        <v>1159</v>
      </c>
      <c r="P124" s="49" t="s">
        <v>1157</v>
      </c>
      <c r="Q124" s="49" t="s">
        <v>1160</v>
      </c>
      <c r="R124" s="49" t="s">
        <v>1155</v>
      </c>
      <c r="S124" s="49" t="s">
        <v>14</v>
      </c>
      <c r="T124" s="49" t="s">
        <v>1161</v>
      </c>
      <c r="U124" s="49" t="s">
        <v>178</v>
      </c>
      <c r="V124" s="49" t="s">
        <v>1162</v>
      </c>
      <c r="W124" s="49" t="s">
        <v>117</v>
      </c>
      <c r="X124" s="49" t="s">
        <v>748</v>
      </c>
      <c r="Y124" s="49" t="s">
        <v>206</v>
      </c>
      <c r="Z124" s="49" t="s">
        <v>1163</v>
      </c>
      <c r="AA124" s="49" t="s">
        <v>1164</v>
      </c>
      <c r="AB124" s="49" t="s">
        <v>353</v>
      </c>
      <c r="AC124" s="49" t="s">
        <v>1155</v>
      </c>
      <c r="AD124" s="49" t="n">
        <v>5491524</v>
      </c>
      <c r="AE124" s="49" t="s">
        <v>14</v>
      </c>
      <c r="AF124" s="49" t="s">
        <v>1165</v>
      </c>
      <c r="AG124" s="49" t="s">
        <v>14</v>
      </c>
      <c r="AH124" s="49" t="s">
        <v>1166</v>
      </c>
      <c r="AI124" s="49" t="s">
        <v>1180</v>
      </c>
      <c r="AJ124" s="49" t="s">
        <v>1181</v>
      </c>
      <c r="AK124" s="49" t="s">
        <v>124</v>
      </c>
      <c r="AL124" s="49" t="s">
        <v>125</v>
      </c>
      <c r="AM124" s="51" t="n">
        <v>9920</v>
      </c>
      <c r="AN124" s="49"/>
      <c r="AO124" s="49" t="s">
        <v>1159</v>
      </c>
      <c r="AP124" s="49" t="s">
        <v>127</v>
      </c>
      <c r="AQ124" s="49" t="s">
        <v>128</v>
      </c>
      <c r="AR124" s="49" t="s">
        <v>681</v>
      </c>
      <c r="AS124" s="49" t="s">
        <v>1168</v>
      </c>
      <c r="AT124" s="49" t="s">
        <v>1182</v>
      </c>
      <c r="AU124" s="49" t="s">
        <v>1137</v>
      </c>
      <c r="AV124" s="49"/>
      <c r="AW124" s="49" t="s">
        <v>1170</v>
      </c>
      <c r="AX124" s="49"/>
      <c r="AY124" s="49"/>
      <c r="AZ124" s="49"/>
      <c r="BA124" s="49"/>
      <c r="BB124" s="49" t="n">
        <v>82291069</v>
      </c>
      <c r="BC124" s="49" t="s">
        <v>134</v>
      </c>
      <c r="BD124" s="49" t="s">
        <v>135</v>
      </c>
      <c r="BE124" s="49" t="s">
        <v>1171</v>
      </c>
      <c r="BF124" s="49" t="s">
        <v>1172</v>
      </c>
      <c r="BG124" s="49" t="s">
        <v>138</v>
      </c>
      <c r="BH124" s="49" t="s">
        <v>194</v>
      </c>
      <c r="BI124" s="49" t="s">
        <v>140</v>
      </c>
      <c r="BJ124" s="49" t="s">
        <v>125</v>
      </c>
      <c r="BK124" s="49"/>
      <c r="BL124" s="49" t="s">
        <v>141</v>
      </c>
      <c r="BM124" s="49"/>
      <c r="BN124" s="49" t="s">
        <v>227</v>
      </c>
      <c r="BO124" s="49"/>
    </row>
    <row r="125" ht="16.8" customHeight="1">
      <c r="A125" s="43" t="s">
        <v>25</v>
      </c>
      <c r="B125" s="49" t="n">
        <v>115</v>
      </c>
      <c r="C125" s="49" t="s">
        <v>103</v>
      </c>
      <c r="D125" s="49" t="s">
        <v>104</v>
      </c>
      <c r="E125" s="49" t="s">
        <v>1155</v>
      </c>
      <c r="F125" s="49" t="s">
        <v>1156</v>
      </c>
      <c r="G125" s="49" t="s">
        <v>1157</v>
      </c>
      <c r="H125" s="49" t="s">
        <v>1158</v>
      </c>
      <c r="I125" s="49"/>
      <c r="J125" s="49"/>
      <c r="K125" s="49" t="s">
        <v>206</v>
      </c>
      <c r="L125" s="49" t="s">
        <v>1157</v>
      </c>
      <c r="M125" s="49" t="s">
        <v>111</v>
      </c>
      <c r="N125" s="49" t="s">
        <v>175</v>
      </c>
      <c r="O125" s="49" t="s">
        <v>1159</v>
      </c>
      <c r="P125" s="49" t="s">
        <v>1157</v>
      </c>
      <c r="Q125" s="49" t="s">
        <v>1160</v>
      </c>
      <c r="R125" s="49" t="s">
        <v>1155</v>
      </c>
      <c r="S125" s="49" t="s">
        <v>14</v>
      </c>
      <c r="T125" s="49" t="s">
        <v>1161</v>
      </c>
      <c r="U125" s="49" t="s">
        <v>178</v>
      </c>
      <c r="V125" s="49" t="s">
        <v>1162</v>
      </c>
      <c r="W125" s="49" t="s">
        <v>117</v>
      </c>
      <c r="X125" s="49" t="s">
        <v>748</v>
      </c>
      <c r="Y125" s="49" t="s">
        <v>206</v>
      </c>
      <c r="Z125" s="49" t="s">
        <v>1163</v>
      </c>
      <c r="AA125" s="49" t="s">
        <v>1164</v>
      </c>
      <c r="AB125" s="49" t="s">
        <v>353</v>
      </c>
      <c r="AC125" s="49" t="s">
        <v>1155</v>
      </c>
      <c r="AD125" s="49" t="n">
        <v>5491524</v>
      </c>
      <c r="AE125" s="49" t="s">
        <v>14</v>
      </c>
      <c r="AF125" s="49" t="s">
        <v>1165</v>
      </c>
      <c r="AG125" s="49" t="s">
        <v>14</v>
      </c>
      <c r="AH125" s="49" t="s">
        <v>1166</v>
      </c>
      <c r="AI125" s="49" t="s">
        <v>1183</v>
      </c>
      <c r="AJ125" s="49" t="s">
        <v>1184</v>
      </c>
      <c r="AK125" s="49" t="s">
        <v>124</v>
      </c>
      <c r="AL125" s="49" t="s">
        <v>125</v>
      </c>
      <c r="AM125" s="51" t="n">
        <v>7781.9</v>
      </c>
      <c r="AN125" s="49"/>
      <c r="AO125" s="49" t="s">
        <v>1159</v>
      </c>
      <c r="AP125" s="49" t="s">
        <v>127</v>
      </c>
      <c r="AQ125" s="49" t="s">
        <v>128</v>
      </c>
      <c r="AR125" s="49" t="s">
        <v>681</v>
      </c>
      <c r="AS125" s="49" t="s">
        <v>1168</v>
      </c>
      <c r="AT125" s="49" t="s">
        <v>1185</v>
      </c>
      <c r="AU125" s="49" t="s">
        <v>1137</v>
      </c>
      <c r="AV125" s="49"/>
      <c r="AW125" s="49" t="s">
        <v>1170</v>
      </c>
      <c r="AX125" s="49"/>
      <c r="AY125" s="49"/>
      <c r="AZ125" s="49"/>
      <c r="BA125" s="49"/>
      <c r="BB125" s="49" t="n">
        <v>82291069</v>
      </c>
      <c r="BC125" s="49" t="s">
        <v>134</v>
      </c>
      <c r="BD125" s="49" t="s">
        <v>135</v>
      </c>
      <c r="BE125" s="49" t="s">
        <v>1171</v>
      </c>
      <c r="BF125" s="49" t="s">
        <v>1172</v>
      </c>
      <c r="BG125" s="49" t="s">
        <v>138</v>
      </c>
      <c r="BH125" s="49" t="s">
        <v>194</v>
      </c>
      <c r="BI125" s="49" t="s">
        <v>140</v>
      </c>
      <c r="BJ125" s="49" t="s">
        <v>125</v>
      </c>
      <c r="BK125" s="49"/>
      <c r="BL125" s="49" t="s">
        <v>141</v>
      </c>
      <c r="BM125" s="49"/>
      <c r="BN125" s="49" t="s">
        <v>227</v>
      </c>
      <c r="BO125" s="49"/>
    </row>
    <row r="126" ht="16.8" customHeight="1">
      <c r="A126" s="43" t="s">
        <v>25</v>
      </c>
      <c r="B126" s="49" t="n">
        <v>116</v>
      </c>
      <c r="C126" s="49" t="s">
        <v>103</v>
      </c>
      <c r="D126" s="49" t="s">
        <v>104</v>
      </c>
      <c r="E126" s="49" t="s">
        <v>1155</v>
      </c>
      <c r="F126" s="49" t="s">
        <v>1156</v>
      </c>
      <c r="G126" s="49" t="s">
        <v>1157</v>
      </c>
      <c r="H126" s="49" t="s">
        <v>1158</v>
      </c>
      <c r="I126" s="49"/>
      <c r="J126" s="49"/>
      <c r="K126" s="49" t="s">
        <v>206</v>
      </c>
      <c r="L126" s="49" t="s">
        <v>1157</v>
      </c>
      <c r="M126" s="49" t="s">
        <v>111</v>
      </c>
      <c r="N126" s="49" t="s">
        <v>175</v>
      </c>
      <c r="O126" s="49" t="s">
        <v>1159</v>
      </c>
      <c r="P126" s="49" t="s">
        <v>1157</v>
      </c>
      <c r="Q126" s="49" t="s">
        <v>1160</v>
      </c>
      <c r="R126" s="49" t="s">
        <v>1155</v>
      </c>
      <c r="S126" s="49" t="s">
        <v>14</v>
      </c>
      <c r="T126" s="49" t="s">
        <v>1161</v>
      </c>
      <c r="U126" s="49" t="s">
        <v>178</v>
      </c>
      <c r="V126" s="49" t="s">
        <v>1162</v>
      </c>
      <c r="W126" s="49" t="s">
        <v>117</v>
      </c>
      <c r="X126" s="49" t="s">
        <v>748</v>
      </c>
      <c r="Y126" s="49" t="s">
        <v>206</v>
      </c>
      <c r="Z126" s="49" t="s">
        <v>1163</v>
      </c>
      <c r="AA126" s="49" t="s">
        <v>1164</v>
      </c>
      <c r="AB126" s="49" t="s">
        <v>353</v>
      </c>
      <c r="AC126" s="49" t="s">
        <v>1155</v>
      </c>
      <c r="AD126" s="49" t="n">
        <v>5491524</v>
      </c>
      <c r="AE126" s="49" t="s">
        <v>14</v>
      </c>
      <c r="AF126" s="49" t="s">
        <v>1165</v>
      </c>
      <c r="AG126" s="49" t="s">
        <v>14</v>
      </c>
      <c r="AH126" s="49" t="s">
        <v>1166</v>
      </c>
      <c r="AI126" s="49" t="s">
        <v>874</v>
      </c>
      <c r="AJ126" s="49" t="s">
        <v>875</v>
      </c>
      <c r="AK126" s="49" t="s">
        <v>124</v>
      </c>
      <c r="AL126" s="49" t="s">
        <v>125</v>
      </c>
      <c r="AM126" s="51" t="n">
        <v>2720</v>
      </c>
      <c r="AN126" s="49"/>
      <c r="AO126" s="49" t="s">
        <v>1159</v>
      </c>
      <c r="AP126" s="49" t="s">
        <v>127</v>
      </c>
      <c r="AQ126" s="49" t="s">
        <v>128</v>
      </c>
      <c r="AR126" s="49" t="s">
        <v>681</v>
      </c>
      <c r="AS126" s="49" t="s">
        <v>1168</v>
      </c>
      <c r="AT126" s="49" t="s">
        <v>1186</v>
      </c>
      <c r="AU126" s="49" t="s">
        <v>1137</v>
      </c>
      <c r="AV126" s="49"/>
      <c r="AW126" s="49" t="s">
        <v>1170</v>
      </c>
      <c r="AX126" s="49"/>
      <c r="AY126" s="49"/>
      <c r="AZ126" s="49"/>
      <c r="BA126" s="49"/>
      <c r="BB126" s="49" t="n">
        <v>82291069</v>
      </c>
      <c r="BC126" s="49" t="s">
        <v>134</v>
      </c>
      <c r="BD126" s="49" t="s">
        <v>135</v>
      </c>
      <c r="BE126" s="49" t="s">
        <v>1171</v>
      </c>
      <c r="BF126" s="49" t="s">
        <v>1172</v>
      </c>
      <c r="BG126" s="49" t="s">
        <v>138</v>
      </c>
      <c r="BH126" s="49" t="s">
        <v>194</v>
      </c>
      <c r="BI126" s="49" t="s">
        <v>140</v>
      </c>
      <c r="BJ126" s="49" t="s">
        <v>125</v>
      </c>
      <c r="BK126" s="49"/>
      <c r="BL126" s="49" t="s">
        <v>141</v>
      </c>
      <c r="BM126" s="49"/>
      <c r="BN126" s="49" t="s">
        <v>227</v>
      </c>
      <c r="BO126" s="49"/>
    </row>
    <row r="127" ht="16.8" customHeight="1">
      <c r="A127" s="43" t="s">
        <v>25</v>
      </c>
      <c r="B127" s="49" t="n">
        <v>117</v>
      </c>
      <c r="C127" s="49" t="s">
        <v>103</v>
      </c>
      <c r="D127" s="49" t="s">
        <v>104</v>
      </c>
      <c r="E127" s="49" t="s">
        <v>1155</v>
      </c>
      <c r="F127" s="49" t="s">
        <v>1156</v>
      </c>
      <c r="G127" s="49" t="s">
        <v>1157</v>
      </c>
      <c r="H127" s="49" t="s">
        <v>1158</v>
      </c>
      <c r="I127" s="49"/>
      <c r="J127" s="49"/>
      <c r="K127" s="49" t="s">
        <v>206</v>
      </c>
      <c r="L127" s="49" t="s">
        <v>1157</v>
      </c>
      <c r="M127" s="49" t="s">
        <v>111</v>
      </c>
      <c r="N127" s="49" t="s">
        <v>175</v>
      </c>
      <c r="O127" s="49" t="s">
        <v>1159</v>
      </c>
      <c r="P127" s="49" t="s">
        <v>1157</v>
      </c>
      <c r="Q127" s="49" t="s">
        <v>1160</v>
      </c>
      <c r="R127" s="49" t="s">
        <v>1155</v>
      </c>
      <c r="S127" s="49" t="s">
        <v>14</v>
      </c>
      <c r="T127" s="49" t="s">
        <v>1161</v>
      </c>
      <c r="U127" s="49" t="s">
        <v>178</v>
      </c>
      <c r="V127" s="49" t="s">
        <v>1162</v>
      </c>
      <c r="W127" s="49" t="s">
        <v>117</v>
      </c>
      <c r="X127" s="49" t="s">
        <v>748</v>
      </c>
      <c r="Y127" s="49" t="s">
        <v>206</v>
      </c>
      <c r="Z127" s="49" t="s">
        <v>1163</v>
      </c>
      <c r="AA127" s="49" t="s">
        <v>1164</v>
      </c>
      <c r="AB127" s="49" t="s">
        <v>353</v>
      </c>
      <c r="AC127" s="49" t="s">
        <v>1155</v>
      </c>
      <c r="AD127" s="49" t="n">
        <v>5491524</v>
      </c>
      <c r="AE127" s="49" t="s">
        <v>14</v>
      </c>
      <c r="AF127" s="49" t="s">
        <v>1165</v>
      </c>
      <c r="AG127" s="49" t="s">
        <v>14</v>
      </c>
      <c r="AH127" s="49" t="s">
        <v>1166</v>
      </c>
      <c r="AI127" s="49" t="s">
        <v>890</v>
      </c>
      <c r="AJ127" s="49" t="s">
        <v>891</v>
      </c>
      <c r="AK127" s="49" t="s">
        <v>124</v>
      </c>
      <c r="AL127" s="49" t="s">
        <v>125</v>
      </c>
      <c r="AM127" s="51" t="n">
        <v>7781.9</v>
      </c>
      <c r="AN127" s="49"/>
      <c r="AO127" s="49" t="s">
        <v>1159</v>
      </c>
      <c r="AP127" s="49" t="s">
        <v>127</v>
      </c>
      <c r="AQ127" s="49" t="s">
        <v>128</v>
      </c>
      <c r="AR127" s="49" t="s">
        <v>681</v>
      </c>
      <c r="AS127" s="49" t="s">
        <v>1168</v>
      </c>
      <c r="AT127" s="49" t="s">
        <v>1187</v>
      </c>
      <c r="AU127" s="49" t="s">
        <v>1137</v>
      </c>
      <c r="AV127" s="49"/>
      <c r="AW127" s="49" t="s">
        <v>1170</v>
      </c>
      <c r="AX127" s="49"/>
      <c r="AY127" s="49"/>
      <c r="AZ127" s="49"/>
      <c r="BA127" s="49"/>
      <c r="BB127" s="49" t="n">
        <v>82291069</v>
      </c>
      <c r="BC127" s="49" t="s">
        <v>134</v>
      </c>
      <c r="BD127" s="49" t="s">
        <v>135</v>
      </c>
      <c r="BE127" s="49" t="s">
        <v>1171</v>
      </c>
      <c r="BF127" s="49" t="s">
        <v>1172</v>
      </c>
      <c r="BG127" s="49" t="s">
        <v>138</v>
      </c>
      <c r="BH127" s="49" t="s">
        <v>194</v>
      </c>
      <c r="BI127" s="49" t="s">
        <v>140</v>
      </c>
      <c r="BJ127" s="49" t="s">
        <v>125</v>
      </c>
      <c r="BK127" s="49"/>
      <c r="BL127" s="49" t="s">
        <v>141</v>
      </c>
      <c r="BM127" s="49"/>
      <c r="BN127" s="49" t="s">
        <v>227</v>
      </c>
      <c r="BO127" s="49"/>
    </row>
    <row r="128" ht="16.8" customHeight="1">
      <c r="A128" s="43" t="s">
        <v>25</v>
      </c>
      <c r="B128" s="49" t="n">
        <v>118</v>
      </c>
      <c r="C128" s="49" t="s">
        <v>103</v>
      </c>
      <c r="D128" s="49" t="s">
        <v>104</v>
      </c>
      <c r="E128" s="49" t="s">
        <v>1155</v>
      </c>
      <c r="F128" s="49" t="s">
        <v>1156</v>
      </c>
      <c r="G128" s="49" t="s">
        <v>1157</v>
      </c>
      <c r="H128" s="49" t="s">
        <v>1158</v>
      </c>
      <c r="I128" s="49"/>
      <c r="J128" s="49"/>
      <c r="K128" s="49" t="s">
        <v>206</v>
      </c>
      <c r="L128" s="49" t="s">
        <v>1157</v>
      </c>
      <c r="M128" s="49" t="s">
        <v>111</v>
      </c>
      <c r="N128" s="49" t="s">
        <v>175</v>
      </c>
      <c r="O128" s="49" t="s">
        <v>1159</v>
      </c>
      <c r="P128" s="49" t="s">
        <v>1157</v>
      </c>
      <c r="Q128" s="49" t="s">
        <v>1160</v>
      </c>
      <c r="R128" s="49" t="s">
        <v>1155</v>
      </c>
      <c r="S128" s="49" t="s">
        <v>14</v>
      </c>
      <c r="T128" s="49" t="s">
        <v>1161</v>
      </c>
      <c r="U128" s="49" t="s">
        <v>178</v>
      </c>
      <c r="V128" s="49" t="s">
        <v>1162</v>
      </c>
      <c r="W128" s="49" t="s">
        <v>117</v>
      </c>
      <c r="X128" s="49" t="s">
        <v>748</v>
      </c>
      <c r="Y128" s="49" t="s">
        <v>206</v>
      </c>
      <c r="Z128" s="49" t="s">
        <v>1163</v>
      </c>
      <c r="AA128" s="49" t="s">
        <v>1164</v>
      </c>
      <c r="AB128" s="49" t="s">
        <v>353</v>
      </c>
      <c r="AC128" s="49" t="s">
        <v>1155</v>
      </c>
      <c r="AD128" s="49" t="n">
        <v>5491524</v>
      </c>
      <c r="AE128" s="49" t="s">
        <v>14</v>
      </c>
      <c r="AF128" s="49" t="s">
        <v>1165</v>
      </c>
      <c r="AG128" s="49" t="s">
        <v>14</v>
      </c>
      <c r="AH128" s="49" t="s">
        <v>1166</v>
      </c>
      <c r="AI128" s="49" t="s">
        <v>1188</v>
      </c>
      <c r="AJ128" s="49" t="s">
        <v>1189</v>
      </c>
      <c r="AK128" s="49" t="s">
        <v>124</v>
      </c>
      <c r="AL128" s="49" t="s">
        <v>125</v>
      </c>
      <c r="AM128" s="51" t="n">
        <v>11000</v>
      </c>
      <c r="AN128" s="49"/>
      <c r="AO128" s="49" t="s">
        <v>1159</v>
      </c>
      <c r="AP128" s="49" t="s">
        <v>127</v>
      </c>
      <c r="AQ128" s="49" t="s">
        <v>128</v>
      </c>
      <c r="AR128" s="49" t="s">
        <v>681</v>
      </c>
      <c r="AS128" s="49" t="s">
        <v>1168</v>
      </c>
      <c r="AT128" s="49"/>
      <c r="AU128" s="49" t="s">
        <v>1137</v>
      </c>
      <c r="AV128" s="49"/>
      <c r="AW128" s="49" t="s">
        <v>1170</v>
      </c>
      <c r="AX128" s="49"/>
      <c r="AY128" s="49"/>
      <c r="AZ128" s="49"/>
      <c r="BA128" s="49"/>
      <c r="BB128" s="49" t="n">
        <v>82291069</v>
      </c>
      <c r="BC128" s="49" t="s">
        <v>134</v>
      </c>
      <c r="BD128" s="49" t="s">
        <v>135</v>
      </c>
      <c r="BE128" s="49" t="s">
        <v>1171</v>
      </c>
      <c r="BF128" s="49" t="s">
        <v>1172</v>
      </c>
      <c r="BG128" s="49" t="s">
        <v>138</v>
      </c>
      <c r="BH128" s="49" t="s">
        <v>194</v>
      </c>
      <c r="BI128" s="49" t="s">
        <v>140</v>
      </c>
      <c r="BJ128" s="49" t="s">
        <v>125</v>
      </c>
      <c r="BK128" s="49"/>
      <c r="BL128" s="49"/>
      <c r="BM128" s="49"/>
      <c r="BN128" s="49" t="s">
        <v>227</v>
      </c>
      <c r="BO128" s="49"/>
    </row>
    <row r="129" ht="16.8" customHeight="1">
      <c r="A129" s="43" t="s">
        <v>25</v>
      </c>
      <c r="B129" s="49" t="n">
        <v>119</v>
      </c>
      <c r="C129" s="49" t="s">
        <v>103</v>
      </c>
      <c r="D129" s="49" t="s">
        <v>104</v>
      </c>
      <c r="E129" s="49" t="s">
        <v>1139</v>
      </c>
      <c r="F129" s="49" t="s">
        <v>1140</v>
      </c>
      <c r="G129" s="49" t="s">
        <v>1141</v>
      </c>
      <c r="H129" s="49" t="s">
        <v>1142</v>
      </c>
      <c r="I129" s="49" t="s">
        <v>1143</v>
      </c>
      <c r="J129" s="49" t="s">
        <v>125</v>
      </c>
      <c r="K129" s="49" t="s">
        <v>214</v>
      </c>
      <c r="L129" s="49" t="s">
        <v>10</v>
      </c>
      <c r="M129" s="49" t="s">
        <v>325</v>
      </c>
      <c r="N129" s="49" t="s">
        <v>931</v>
      </c>
      <c r="O129" s="49" t="s">
        <v>125</v>
      </c>
      <c r="P129" s="49"/>
      <c r="Q129" s="49"/>
      <c r="R129" s="49" t="s">
        <v>1144</v>
      </c>
      <c r="S129" s="49" t="s">
        <v>10</v>
      </c>
      <c r="T129" s="49" t="s">
        <v>1145</v>
      </c>
      <c r="U129" s="49" t="s">
        <v>178</v>
      </c>
      <c r="V129" s="49" t="s">
        <v>1146</v>
      </c>
      <c r="W129" s="49" t="s">
        <v>117</v>
      </c>
      <c r="X129" s="49" t="s">
        <v>391</v>
      </c>
      <c r="Y129" s="49" t="s">
        <v>214</v>
      </c>
      <c r="Z129" s="49" t="s">
        <v>1147</v>
      </c>
      <c r="AA129" s="49" t="s">
        <v>1148</v>
      </c>
      <c r="AB129" s="49" t="s">
        <v>1149</v>
      </c>
      <c r="AC129" s="49" t="s">
        <v>1144</v>
      </c>
      <c r="AD129" s="49" t="n">
        <v>5417619</v>
      </c>
      <c r="AE129" s="49" t="s">
        <v>10</v>
      </c>
      <c r="AF129" s="49" t="s">
        <v>1150</v>
      </c>
      <c r="AG129" s="49" t="s">
        <v>10</v>
      </c>
      <c r="AH129" s="49" t="s">
        <v>1151</v>
      </c>
      <c r="AI129" s="49" t="s">
        <v>1190</v>
      </c>
      <c r="AJ129" s="49" t="s">
        <v>397</v>
      </c>
      <c r="AK129" s="49" t="s">
        <v>124</v>
      </c>
      <c r="AL129" s="49" t="s">
        <v>125</v>
      </c>
      <c r="AM129" s="51" t="n">
        <v>32300</v>
      </c>
      <c r="AN129" s="49"/>
      <c r="AO129" s="49" t="s">
        <v>125</v>
      </c>
      <c r="AP129" s="49" t="s">
        <v>187</v>
      </c>
      <c r="AQ129" s="49" t="s">
        <v>128</v>
      </c>
      <c r="AR129" s="49"/>
      <c r="AS129" s="49" t="s">
        <v>1152</v>
      </c>
      <c r="AT129" s="49"/>
      <c r="AU129" s="49" t="s">
        <v>1137</v>
      </c>
      <c r="AV129" s="49"/>
      <c r="AW129" s="49" t="s">
        <v>1153</v>
      </c>
      <c r="AX129" s="49"/>
      <c r="AY129" s="49"/>
      <c r="AZ129" s="49"/>
      <c r="BA129" s="49"/>
      <c r="BB129" s="49" t="n">
        <v>80754759</v>
      </c>
      <c r="BC129" s="49" t="s">
        <v>134</v>
      </c>
      <c r="BD129" s="49" t="s">
        <v>191</v>
      </c>
      <c r="BE129" s="49" t="s">
        <v>401</v>
      </c>
      <c r="BF129" s="49" t="s">
        <v>1154</v>
      </c>
      <c r="BG129" s="49" t="s">
        <v>138</v>
      </c>
      <c r="BH129" s="49" t="s">
        <v>194</v>
      </c>
      <c r="BI129" s="49" t="s">
        <v>134</v>
      </c>
      <c r="BJ129" s="49" t="s">
        <v>125</v>
      </c>
      <c r="BK129" s="49"/>
      <c r="BL129" s="49"/>
      <c r="BM129" s="49"/>
      <c r="BN129" s="49"/>
      <c r="BO129" s="49" t="s">
        <v>338</v>
      </c>
    </row>
    <row r="130" ht="16.8" customHeight="1">
      <c r="A130" s="43" t="s">
        <v>25</v>
      </c>
      <c r="B130" s="49" t="n">
        <v>120</v>
      </c>
      <c r="C130" s="49" t="s">
        <v>103</v>
      </c>
      <c r="D130" s="49" t="s">
        <v>104</v>
      </c>
      <c r="E130" s="49" t="s">
        <v>1191</v>
      </c>
      <c r="F130" s="49" t="s">
        <v>1192</v>
      </c>
      <c r="G130" s="49" t="s">
        <v>639</v>
      </c>
      <c r="H130" s="49" t="s">
        <v>1193</v>
      </c>
      <c r="I130" s="49"/>
      <c r="J130" s="49"/>
      <c r="K130" s="49" t="s">
        <v>214</v>
      </c>
      <c r="L130" s="49" t="s">
        <v>639</v>
      </c>
      <c r="M130" s="49" t="s">
        <v>207</v>
      </c>
      <c r="N130" s="49" t="s">
        <v>234</v>
      </c>
      <c r="O130" s="49" t="s">
        <v>125</v>
      </c>
      <c r="P130" s="49" t="s">
        <v>639</v>
      </c>
      <c r="Q130" s="49" t="s">
        <v>1194</v>
      </c>
      <c r="R130" s="49" t="s">
        <v>1195</v>
      </c>
      <c r="S130" s="49" t="s">
        <v>14</v>
      </c>
      <c r="T130" s="49" t="s">
        <v>1196</v>
      </c>
      <c r="U130" s="49" t="s">
        <v>178</v>
      </c>
      <c r="V130" s="49" t="s">
        <v>1197</v>
      </c>
      <c r="W130" s="49" t="s">
        <v>117</v>
      </c>
      <c r="X130" s="49" t="s">
        <v>391</v>
      </c>
      <c r="Y130" s="49" t="s">
        <v>214</v>
      </c>
      <c r="Z130" s="49" t="s">
        <v>1198</v>
      </c>
      <c r="AA130" s="49" t="s">
        <v>1199</v>
      </c>
      <c r="AB130" s="49" t="s">
        <v>1200</v>
      </c>
      <c r="AC130" s="49" t="s">
        <v>1195</v>
      </c>
      <c r="AD130" s="49" t="n">
        <v>5417610</v>
      </c>
      <c r="AE130" s="49" t="s">
        <v>14</v>
      </c>
      <c r="AF130" s="49" t="s">
        <v>1201</v>
      </c>
      <c r="AG130" s="49" t="s">
        <v>14</v>
      </c>
      <c r="AH130" s="49" t="s">
        <v>1202</v>
      </c>
      <c r="AI130" s="49" t="s">
        <v>1203</v>
      </c>
      <c r="AJ130" s="49" t="s">
        <v>397</v>
      </c>
      <c r="AK130" s="49" t="s">
        <v>124</v>
      </c>
      <c r="AL130" s="49" t="s">
        <v>125</v>
      </c>
      <c r="AM130" s="51" t="n">
        <v>33500</v>
      </c>
      <c r="AN130" s="49"/>
      <c r="AO130" s="49" t="s">
        <v>125</v>
      </c>
      <c r="AP130" s="49" t="s">
        <v>187</v>
      </c>
      <c r="AQ130" s="49" t="s">
        <v>128</v>
      </c>
      <c r="AR130" s="49"/>
      <c r="AS130" s="49" t="s">
        <v>1204</v>
      </c>
      <c r="AT130" s="49"/>
      <c r="AU130" s="49" t="s">
        <v>1137</v>
      </c>
      <c r="AV130" s="49"/>
      <c r="AW130" s="49" t="s">
        <v>1205</v>
      </c>
      <c r="AX130" s="49"/>
      <c r="AY130" s="49"/>
      <c r="AZ130" s="49"/>
      <c r="BA130" s="49"/>
      <c r="BB130" s="49" t="n">
        <v>69194672</v>
      </c>
      <c r="BC130" s="49" t="s">
        <v>134</v>
      </c>
      <c r="BD130" s="49" t="s">
        <v>191</v>
      </c>
      <c r="BE130" s="49" t="s">
        <v>401</v>
      </c>
      <c r="BF130" s="49" t="s">
        <v>225</v>
      </c>
      <c r="BG130" s="49" t="s">
        <v>138</v>
      </c>
      <c r="BH130" s="49" t="s">
        <v>918</v>
      </c>
      <c r="BI130" s="49" t="s">
        <v>140</v>
      </c>
      <c r="BJ130" s="49" t="s">
        <v>125</v>
      </c>
      <c r="BK130" s="49"/>
      <c r="BL130" s="49"/>
      <c r="BM130" s="49"/>
      <c r="BN130" s="49"/>
      <c r="BO130" s="49"/>
    </row>
    <row r="131" ht="16.8" customHeight="1">
      <c r="A131" s="43" t="s">
        <v>25</v>
      </c>
      <c r="B131" s="49" t="n">
        <v>121</v>
      </c>
      <c r="C131" s="49" t="s">
        <v>103</v>
      </c>
      <c r="D131" s="49" t="s">
        <v>104</v>
      </c>
      <c r="E131" s="49" t="s">
        <v>1206</v>
      </c>
      <c r="F131" s="49" t="s">
        <v>1207</v>
      </c>
      <c r="G131" s="49" t="s">
        <v>431</v>
      </c>
      <c r="H131" s="49" t="s">
        <v>1208</v>
      </c>
      <c r="I131" s="49" t="s">
        <v>1209</v>
      </c>
      <c r="J131" s="49" t="s">
        <v>430</v>
      </c>
      <c r="K131" s="49" t="s">
        <v>174</v>
      </c>
      <c r="L131" s="49" t="s">
        <v>431</v>
      </c>
      <c r="M131" s="49" t="s">
        <v>432</v>
      </c>
      <c r="N131" s="49" t="s">
        <v>1073</v>
      </c>
      <c r="O131" s="49" t="s">
        <v>125</v>
      </c>
      <c r="P131" s="49" t="s">
        <v>431</v>
      </c>
      <c r="Q131" s="49" t="s">
        <v>1071</v>
      </c>
      <c r="R131" s="49" t="s">
        <v>1074</v>
      </c>
      <c r="S131" s="49" t="s">
        <v>10</v>
      </c>
      <c r="T131" s="49" t="s">
        <v>1210</v>
      </c>
      <c r="U131" s="49" t="s">
        <v>178</v>
      </c>
      <c r="V131" s="49" t="s">
        <v>1211</v>
      </c>
      <c r="W131" s="49" t="s">
        <v>117</v>
      </c>
      <c r="X131" s="49" t="s">
        <v>391</v>
      </c>
      <c r="Y131" s="49" t="s">
        <v>174</v>
      </c>
      <c r="Z131" s="49" t="s">
        <v>274</v>
      </c>
      <c r="AA131" s="49" t="s">
        <v>1077</v>
      </c>
      <c r="AB131" s="49" t="s">
        <v>513</v>
      </c>
      <c r="AC131" s="49" t="s">
        <v>1074</v>
      </c>
      <c r="AD131" s="49" t="n">
        <v>5518315</v>
      </c>
      <c r="AE131" s="49" t="s">
        <v>10</v>
      </c>
      <c r="AF131" s="49" t="s">
        <v>1212</v>
      </c>
      <c r="AG131" s="49" t="s">
        <v>10</v>
      </c>
      <c r="AH131" s="49" t="s">
        <v>1213</v>
      </c>
      <c r="AI131" s="49" t="s">
        <v>1214</v>
      </c>
      <c r="AJ131" s="49" t="s">
        <v>397</v>
      </c>
      <c r="AK131" s="49" t="s">
        <v>124</v>
      </c>
      <c r="AL131" s="49" t="s">
        <v>125</v>
      </c>
      <c r="AM131" s="51" t="n">
        <v>3600</v>
      </c>
      <c r="AN131" s="49"/>
      <c r="AO131" s="49" t="s">
        <v>125</v>
      </c>
      <c r="AP131" s="49" t="s">
        <v>187</v>
      </c>
      <c r="AQ131" s="49" t="s">
        <v>128</v>
      </c>
      <c r="AR131" s="49"/>
      <c r="AS131" s="49" t="s">
        <v>1081</v>
      </c>
      <c r="AT131" s="49"/>
      <c r="AU131" s="49" t="s">
        <v>1215</v>
      </c>
      <c r="AV131" s="49"/>
      <c r="AW131" s="49" t="s">
        <v>1216</v>
      </c>
      <c r="AX131" s="49"/>
      <c r="AY131" s="49"/>
      <c r="AZ131" s="49"/>
      <c r="BA131" s="49"/>
      <c r="BB131" s="49" t="n">
        <v>81163274</v>
      </c>
      <c r="BC131" s="49" t="s">
        <v>134</v>
      </c>
      <c r="BD131" s="49" t="s">
        <v>191</v>
      </c>
      <c r="BE131" s="49" t="s">
        <v>401</v>
      </c>
      <c r="BF131" s="49" t="s">
        <v>402</v>
      </c>
      <c r="BG131" s="49"/>
      <c r="BH131" s="49" t="s">
        <v>194</v>
      </c>
      <c r="BI131" s="49" t="s">
        <v>140</v>
      </c>
      <c r="BJ131" s="49" t="s">
        <v>125</v>
      </c>
      <c r="BK131" s="49"/>
      <c r="BL131" s="49"/>
      <c r="BM131" s="49"/>
      <c r="BN131" s="49" t="s">
        <v>195</v>
      </c>
      <c r="BO131" s="49"/>
    </row>
    <row r="132" ht="16.8" customHeight="1">
      <c r="A132" s="43" t="s">
        <v>25</v>
      </c>
      <c r="B132" s="49" t="n">
        <v>122</v>
      </c>
      <c r="C132" s="49" t="s">
        <v>103</v>
      </c>
      <c r="D132" s="49" t="s">
        <v>104</v>
      </c>
      <c r="E132" s="49" t="s">
        <v>320</v>
      </c>
      <c r="F132" s="49" t="s">
        <v>1217</v>
      </c>
      <c r="G132" s="49" t="s">
        <v>622</v>
      </c>
      <c r="H132" s="49" t="s">
        <v>1218</v>
      </c>
      <c r="I132" s="49" t="s">
        <v>1219</v>
      </c>
      <c r="J132" s="49" t="s">
        <v>125</v>
      </c>
      <c r="K132" s="49" t="s">
        <v>996</v>
      </c>
      <c r="L132" s="49" t="s">
        <v>10</v>
      </c>
      <c r="M132" s="49" t="s">
        <v>111</v>
      </c>
      <c r="N132" s="49" t="s">
        <v>554</v>
      </c>
      <c r="O132" s="49" t="s">
        <v>1220</v>
      </c>
      <c r="P132" s="49"/>
      <c r="Q132" s="49"/>
      <c r="R132" s="49" t="s">
        <v>1221</v>
      </c>
      <c r="S132" s="49" t="s">
        <v>10</v>
      </c>
      <c r="T132" s="49" t="s">
        <v>1222</v>
      </c>
      <c r="U132" s="49" t="s">
        <v>178</v>
      </c>
      <c r="V132" s="49" t="s">
        <v>1223</v>
      </c>
      <c r="W132" s="49" t="s">
        <v>117</v>
      </c>
      <c r="X132" s="49" t="s">
        <v>1002</v>
      </c>
      <c r="Y132" s="49" t="s">
        <v>996</v>
      </c>
      <c r="Z132" s="49" t="s">
        <v>526</v>
      </c>
      <c r="AA132" s="49" t="s">
        <v>1224</v>
      </c>
      <c r="AB132" s="49" t="s">
        <v>1225</v>
      </c>
      <c r="AC132" s="49" t="s">
        <v>1221</v>
      </c>
      <c r="AD132" s="49" t="n">
        <v>5517832</v>
      </c>
      <c r="AE132" s="49" t="s">
        <v>10</v>
      </c>
      <c r="AF132" s="49" t="s">
        <v>1226</v>
      </c>
      <c r="AG132" s="49" t="s">
        <v>10</v>
      </c>
      <c r="AH132" s="49" t="s">
        <v>1227</v>
      </c>
      <c r="AI132" s="49" t="s">
        <v>1228</v>
      </c>
      <c r="AJ132" s="49" t="s">
        <v>1229</v>
      </c>
      <c r="AK132" s="49" t="s">
        <v>124</v>
      </c>
      <c r="AL132" s="49" t="s">
        <v>125</v>
      </c>
      <c r="AM132" s="51" t="n">
        <v>37500</v>
      </c>
      <c r="AN132" s="49"/>
      <c r="AO132" s="49" t="s">
        <v>1220</v>
      </c>
      <c r="AP132" s="49" t="s">
        <v>187</v>
      </c>
      <c r="AQ132" s="49" t="s">
        <v>128</v>
      </c>
      <c r="AR132" s="49"/>
      <c r="AS132" s="49" t="s">
        <v>1230</v>
      </c>
      <c r="AT132" s="49"/>
      <c r="AU132" s="49" t="s">
        <v>1215</v>
      </c>
      <c r="AV132" s="49"/>
      <c r="AW132" s="49" t="s">
        <v>1231</v>
      </c>
      <c r="AX132" s="49"/>
      <c r="AY132" s="49"/>
      <c r="AZ132" s="49"/>
      <c r="BA132" s="49"/>
      <c r="BB132" s="49" t="n">
        <v>75301464</v>
      </c>
      <c r="BC132" s="49" t="s">
        <v>134</v>
      </c>
      <c r="BD132" s="49"/>
      <c r="BE132" s="49" t="s">
        <v>125</v>
      </c>
      <c r="BF132" s="49" t="s">
        <v>125</v>
      </c>
      <c r="BG132" s="49"/>
      <c r="BH132" s="49" t="s">
        <v>534</v>
      </c>
      <c r="BI132" s="49" t="s">
        <v>140</v>
      </c>
      <c r="BJ132" s="49" t="s">
        <v>125</v>
      </c>
      <c r="BK132" s="49"/>
      <c r="BL132" s="49"/>
      <c r="BM132" s="49"/>
      <c r="BN132" s="49" t="s">
        <v>142</v>
      </c>
      <c r="BO132" s="49" t="s">
        <v>196</v>
      </c>
    </row>
    <row r="133" ht="16.8" customHeight="1">
      <c r="A133" s="43" t="s">
        <v>25</v>
      </c>
      <c r="B133" s="49" t="n">
        <v>123</v>
      </c>
      <c r="C133" s="49" t="s">
        <v>103</v>
      </c>
      <c r="D133" s="49" t="s">
        <v>104</v>
      </c>
      <c r="E133" s="49" t="s">
        <v>1232</v>
      </c>
      <c r="F133" s="49" t="s">
        <v>1233</v>
      </c>
      <c r="G133" s="49" t="s">
        <v>1234</v>
      </c>
      <c r="H133" s="49" t="s">
        <v>1235</v>
      </c>
      <c r="I133" s="49" t="s">
        <v>1236</v>
      </c>
      <c r="J133" s="49"/>
      <c r="K133" s="49" t="s">
        <v>110</v>
      </c>
      <c r="L133" s="49" t="s">
        <v>10</v>
      </c>
      <c r="M133" s="49" t="s">
        <v>111</v>
      </c>
      <c r="N133" s="49" t="s">
        <v>112</v>
      </c>
      <c r="O133" s="49" t="s">
        <v>1237</v>
      </c>
      <c r="P133" s="49"/>
      <c r="Q133" s="49"/>
      <c r="R133" s="49" t="s">
        <v>1232</v>
      </c>
      <c r="S133" s="49" t="s">
        <v>10</v>
      </c>
      <c r="T133" s="49" t="s">
        <v>1238</v>
      </c>
      <c r="U133" s="49" t="s">
        <v>115</v>
      </c>
      <c r="V133" s="49" t="s">
        <v>1239</v>
      </c>
      <c r="W133" s="49" t="s">
        <v>117</v>
      </c>
      <c r="X133" s="49" t="s">
        <v>1131</v>
      </c>
      <c r="Y133" s="49" t="s">
        <v>206</v>
      </c>
      <c r="Z133" s="49" t="s">
        <v>1240</v>
      </c>
      <c r="AA133" s="49" t="s">
        <v>1241</v>
      </c>
      <c r="AB133" s="49" t="s">
        <v>1242</v>
      </c>
      <c r="AC133" s="49" t="s">
        <v>1232</v>
      </c>
      <c r="AD133" s="49" t="n">
        <v>5489851</v>
      </c>
      <c r="AE133" s="49" t="s">
        <v>10</v>
      </c>
      <c r="AF133" s="49" t="s">
        <v>1243</v>
      </c>
      <c r="AG133" s="49" t="s">
        <v>10</v>
      </c>
      <c r="AH133" s="49" t="s">
        <v>1244</v>
      </c>
      <c r="AI133" s="49" t="s">
        <v>893</v>
      </c>
      <c r="AJ133" s="49" t="s">
        <v>894</v>
      </c>
      <c r="AK133" s="49" t="s">
        <v>124</v>
      </c>
      <c r="AL133" s="49" t="s">
        <v>125</v>
      </c>
      <c r="AM133" s="51" t="n">
        <v>6180</v>
      </c>
      <c r="AN133" s="49"/>
      <c r="AO133" s="49" t="s">
        <v>1234</v>
      </c>
      <c r="AP133" s="49" t="s">
        <v>127</v>
      </c>
      <c r="AQ133" s="49" t="s">
        <v>128</v>
      </c>
      <c r="AR133" s="49" t="s">
        <v>1062</v>
      </c>
      <c r="AS133" s="49" t="s">
        <v>1245</v>
      </c>
      <c r="AT133" s="49" t="s">
        <v>1246</v>
      </c>
      <c r="AU133" s="49" t="s">
        <v>421</v>
      </c>
      <c r="AV133" s="49"/>
      <c r="AW133" s="49" t="s">
        <v>1247</v>
      </c>
      <c r="AX133" s="49"/>
      <c r="AY133" s="49"/>
      <c r="AZ133" s="49"/>
      <c r="BA133" s="49"/>
      <c r="BB133" s="49" t="n">
        <v>51424199</v>
      </c>
      <c r="BC133" s="49" t="s">
        <v>134</v>
      </c>
      <c r="BD133" s="49" t="s">
        <v>655</v>
      </c>
      <c r="BE133" s="49" t="s">
        <v>894</v>
      </c>
      <c r="BF133" s="49" t="s">
        <v>125</v>
      </c>
      <c r="BG133" s="49"/>
      <c r="BH133" s="49" t="s">
        <v>226</v>
      </c>
      <c r="BI133" s="49" t="s">
        <v>140</v>
      </c>
      <c r="BJ133" s="49" t="s">
        <v>125</v>
      </c>
      <c r="BK133" s="49"/>
      <c r="BL133" s="49" t="s">
        <v>141</v>
      </c>
      <c r="BM133" s="49"/>
      <c r="BN133" s="49" t="s">
        <v>142</v>
      </c>
      <c r="BO133" s="49" t="s">
        <v>112</v>
      </c>
    </row>
    <row r="134" ht="16.8" customHeight="1">
      <c r="A134" s="43" t="s">
        <v>25</v>
      </c>
      <c r="B134" s="49" t="n">
        <v>124</v>
      </c>
      <c r="C134" s="49" t="s">
        <v>103</v>
      </c>
      <c r="D134" s="49" t="s">
        <v>104</v>
      </c>
      <c r="E134" s="49" t="s">
        <v>1248</v>
      </c>
      <c r="F134" s="49" t="s">
        <v>1249</v>
      </c>
      <c r="G134" s="49" t="s">
        <v>230</v>
      </c>
      <c r="H134" s="49" t="s">
        <v>1250</v>
      </c>
      <c r="I134" s="106" t="s">
        <v>1251</v>
      </c>
      <c r="J134" s="49" t="s">
        <v>406</v>
      </c>
      <c r="K134" s="49"/>
      <c r="L134" s="49" t="s">
        <v>431</v>
      </c>
      <c r="M134" s="49" t="s">
        <v>407</v>
      </c>
      <c r="N134" s="49" t="s">
        <v>408</v>
      </c>
      <c r="O134" s="49" t="s">
        <v>125</v>
      </c>
      <c r="P134" s="49" t="s">
        <v>431</v>
      </c>
      <c r="Q134" s="49" t="s">
        <v>404</v>
      </c>
      <c r="R134" s="49" t="s">
        <v>409</v>
      </c>
      <c r="S134" s="49" t="s">
        <v>14</v>
      </c>
      <c r="T134" s="49" t="s">
        <v>1252</v>
      </c>
      <c r="U134" s="49" t="s">
        <v>178</v>
      </c>
      <c r="V134" s="49" t="s">
        <v>1253</v>
      </c>
      <c r="W134" s="49" t="s">
        <v>117</v>
      </c>
      <c r="X134" s="49" t="s">
        <v>412</v>
      </c>
      <c r="Y134" s="49" t="s">
        <v>206</v>
      </c>
      <c r="Z134" s="49" t="s">
        <v>413</v>
      </c>
      <c r="AA134" s="49" t="s">
        <v>414</v>
      </c>
      <c r="AB134" s="49" t="s">
        <v>415</v>
      </c>
      <c r="AC134" s="49" t="s">
        <v>409</v>
      </c>
      <c r="AD134" s="49" t="n">
        <v>5487190</v>
      </c>
      <c r="AE134" s="49" t="s">
        <v>14</v>
      </c>
      <c r="AF134" s="49" t="s">
        <v>1254</v>
      </c>
      <c r="AG134" s="49" t="s">
        <v>14</v>
      </c>
      <c r="AH134" s="49" t="s">
        <v>1254</v>
      </c>
      <c r="AI134" s="49" t="s">
        <v>1255</v>
      </c>
      <c r="AJ134" s="49" t="s">
        <v>1256</v>
      </c>
      <c r="AK134" s="49" t="s">
        <v>124</v>
      </c>
      <c r="AL134" s="49" t="s">
        <v>125</v>
      </c>
      <c r="AM134" s="51" t="n">
        <v>4815</v>
      </c>
      <c r="AN134" s="49"/>
      <c r="AO134" s="49" t="s">
        <v>125</v>
      </c>
      <c r="AP134" s="49" t="s">
        <v>187</v>
      </c>
      <c r="AQ134" s="49" t="s">
        <v>128</v>
      </c>
      <c r="AR134" s="49" t="s">
        <v>971</v>
      </c>
      <c r="AS134" s="49" t="s">
        <v>420</v>
      </c>
      <c r="AT134" s="49" t="s">
        <v>1257</v>
      </c>
      <c r="AU134" s="49" t="s">
        <v>421</v>
      </c>
      <c r="AV134" s="49"/>
      <c r="AW134" s="49" t="s">
        <v>1258</v>
      </c>
      <c r="AX134" s="49"/>
      <c r="AY134" s="49"/>
      <c r="AZ134" s="49"/>
      <c r="BA134" s="49"/>
      <c r="BB134" s="49" t="n">
        <v>82087801</v>
      </c>
      <c r="BC134" s="49" t="s">
        <v>134</v>
      </c>
      <c r="BD134" s="49" t="s">
        <v>191</v>
      </c>
      <c r="BE134" s="49" t="s">
        <v>423</v>
      </c>
      <c r="BF134" s="49" t="s">
        <v>424</v>
      </c>
      <c r="BG134" s="49" t="s">
        <v>138</v>
      </c>
      <c r="BH134" s="49" t="s">
        <v>139</v>
      </c>
      <c r="BI134" s="49" t="s">
        <v>134</v>
      </c>
      <c r="BJ134" s="49" t="s">
        <v>125</v>
      </c>
      <c r="BK134" s="49"/>
      <c r="BL134" s="49" t="s">
        <v>141</v>
      </c>
      <c r="BM134" s="49"/>
      <c r="BN134" s="49" t="s">
        <v>142</v>
      </c>
      <c r="BO134" s="49" t="s">
        <v>408</v>
      </c>
    </row>
    <row r="135" ht="16.8" customHeight="1">
      <c r="A135" s="43" t="s">
        <v>25</v>
      </c>
      <c r="B135" s="49" t="n">
        <v>125</v>
      </c>
      <c r="C135" s="49" t="s">
        <v>103</v>
      </c>
      <c r="D135" s="49" t="s">
        <v>104</v>
      </c>
      <c r="E135" s="49" t="s">
        <v>1248</v>
      </c>
      <c r="F135" s="49" t="s">
        <v>1249</v>
      </c>
      <c r="G135" s="49" t="s">
        <v>230</v>
      </c>
      <c r="H135" s="49" t="s">
        <v>1250</v>
      </c>
      <c r="I135" s="107" t="s">
        <v>1251</v>
      </c>
      <c r="J135" s="49" t="s">
        <v>406</v>
      </c>
      <c r="K135" s="49"/>
      <c r="L135" s="49" t="s">
        <v>431</v>
      </c>
      <c r="M135" s="49" t="s">
        <v>407</v>
      </c>
      <c r="N135" s="49" t="s">
        <v>408</v>
      </c>
      <c r="O135" s="49" t="s">
        <v>125</v>
      </c>
      <c r="P135" s="49" t="s">
        <v>431</v>
      </c>
      <c r="Q135" s="49" t="s">
        <v>404</v>
      </c>
      <c r="R135" s="49" t="s">
        <v>409</v>
      </c>
      <c r="S135" s="49" t="s">
        <v>14</v>
      </c>
      <c r="T135" s="49" t="s">
        <v>1252</v>
      </c>
      <c r="U135" s="49" t="s">
        <v>178</v>
      </c>
      <c r="V135" s="49" t="s">
        <v>1253</v>
      </c>
      <c r="W135" s="49" t="s">
        <v>117</v>
      </c>
      <c r="X135" s="49" t="s">
        <v>412</v>
      </c>
      <c r="Y135" s="49" t="s">
        <v>206</v>
      </c>
      <c r="Z135" s="49" t="s">
        <v>413</v>
      </c>
      <c r="AA135" s="49" t="s">
        <v>414</v>
      </c>
      <c r="AB135" s="49" t="s">
        <v>415</v>
      </c>
      <c r="AC135" s="49" t="s">
        <v>409</v>
      </c>
      <c r="AD135" s="49" t="n">
        <v>5487190</v>
      </c>
      <c r="AE135" s="49" t="s">
        <v>14</v>
      </c>
      <c r="AF135" s="49" t="s">
        <v>1254</v>
      </c>
      <c r="AG135" s="49" t="s">
        <v>14</v>
      </c>
      <c r="AH135" s="49" t="s">
        <v>1254</v>
      </c>
      <c r="AI135" s="49" t="s">
        <v>1259</v>
      </c>
      <c r="AJ135" s="49" t="s">
        <v>1260</v>
      </c>
      <c r="AK135" s="49" t="s">
        <v>124</v>
      </c>
      <c r="AL135" s="49" t="s">
        <v>125</v>
      </c>
      <c r="AM135" s="51" t="n">
        <v>3355</v>
      </c>
      <c r="AN135" s="49"/>
      <c r="AO135" s="49" t="s">
        <v>125</v>
      </c>
      <c r="AP135" s="49" t="s">
        <v>187</v>
      </c>
      <c r="AQ135" s="49" t="s">
        <v>128</v>
      </c>
      <c r="AR135" s="49" t="s">
        <v>971</v>
      </c>
      <c r="AS135" s="49" t="s">
        <v>420</v>
      </c>
      <c r="AT135" s="49" t="s">
        <v>1261</v>
      </c>
      <c r="AU135" s="49" t="s">
        <v>421</v>
      </c>
      <c r="AV135" s="49"/>
      <c r="AW135" s="49" t="s">
        <v>1258</v>
      </c>
      <c r="AX135" s="49"/>
      <c r="AY135" s="49"/>
      <c r="AZ135" s="49"/>
      <c r="BA135" s="49"/>
      <c r="BB135" s="49" t="n">
        <v>82087801</v>
      </c>
      <c r="BC135" s="49" t="s">
        <v>134</v>
      </c>
      <c r="BD135" s="49" t="s">
        <v>191</v>
      </c>
      <c r="BE135" s="49" t="s">
        <v>423</v>
      </c>
      <c r="BF135" s="49" t="s">
        <v>424</v>
      </c>
      <c r="BG135" s="49" t="s">
        <v>138</v>
      </c>
      <c r="BH135" s="49" t="s">
        <v>139</v>
      </c>
      <c r="BI135" s="49" t="s">
        <v>134</v>
      </c>
      <c r="BJ135" s="49" t="s">
        <v>125</v>
      </c>
      <c r="BK135" s="49"/>
      <c r="BL135" s="49" t="s">
        <v>141</v>
      </c>
      <c r="BM135" s="49"/>
      <c r="BN135" s="49" t="s">
        <v>142</v>
      </c>
      <c r="BO135" s="49" t="s">
        <v>408</v>
      </c>
    </row>
    <row r="136" ht="16.8" customHeight="1">
      <c r="A136" s="43" t="s">
        <v>25</v>
      </c>
      <c r="B136" s="49" t="n">
        <v>126</v>
      </c>
      <c r="C136" s="49" t="s">
        <v>103</v>
      </c>
      <c r="D136" s="49" t="s">
        <v>104</v>
      </c>
      <c r="E136" s="49" t="s">
        <v>1248</v>
      </c>
      <c r="F136" s="49" t="s">
        <v>1249</v>
      </c>
      <c r="G136" s="49" t="s">
        <v>230</v>
      </c>
      <c r="H136" s="49" t="s">
        <v>1250</v>
      </c>
      <c r="I136" s="108" t="s">
        <v>1251</v>
      </c>
      <c r="J136" s="49" t="s">
        <v>406</v>
      </c>
      <c r="K136" s="49"/>
      <c r="L136" s="49" t="s">
        <v>431</v>
      </c>
      <c r="M136" s="49" t="s">
        <v>407</v>
      </c>
      <c r="N136" s="49" t="s">
        <v>408</v>
      </c>
      <c r="O136" s="49" t="s">
        <v>125</v>
      </c>
      <c r="P136" s="49" t="s">
        <v>431</v>
      </c>
      <c r="Q136" s="49" t="s">
        <v>404</v>
      </c>
      <c r="R136" s="49" t="s">
        <v>409</v>
      </c>
      <c r="S136" s="49" t="s">
        <v>14</v>
      </c>
      <c r="T136" s="49" t="s">
        <v>1252</v>
      </c>
      <c r="U136" s="49" t="s">
        <v>178</v>
      </c>
      <c r="V136" s="49" t="s">
        <v>1253</v>
      </c>
      <c r="W136" s="49" t="s">
        <v>117</v>
      </c>
      <c r="X136" s="49" t="s">
        <v>412</v>
      </c>
      <c r="Y136" s="49" t="s">
        <v>206</v>
      </c>
      <c r="Z136" s="49" t="s">
        <v>413</v>
      </c>
      <c r="AA136" s="49" t="s">
        <v>414</v>
      </c>
      <c r="AB136" s="49" t="s">
        <v>415</v>
      </c>
      <c r="AC136" s="49" t="s">
        <v>409</v>
      </c>
      <c r="AD136" s="49" t="n">
        <v>5487190</v>
      </c>
      <c r="AE136" s="49" t="s">
        <v>14</v>
      </c>
      <c r="AF136" s="49" t="s">
        <v>1254</v>
      </c>
      <c r="AG136" s="49" t="s">
        <v>14</v>
      </c>
      <c r="AH136" s="49" t="s">
        <v>1254</v>
      </c>
      <c r="AI136" s="49" t="s">
        <v>1262</v>
      </c>
      <c r="AJ136" s="49" t="s">
        <v>1263</v>
      </c>
      <c r="AK136" s="49" t="s">
        <v>124</v>
      </c>
      <c r="AL136" s="49" t="s">
        <v>125</v>
      </c>
      <c r="AM136" s="51" t="n">
        <v>7825</v>
      </c>
      <c r="AN136" s="49"/>
      <c r="AO136" s="49" t="s">
        <v>125</v>
      </c>
      <c r="AP136" s="49" t="s">
        <v>187</v>
      </c>
      <c r="AQ136" s="49" t="s">
        <v>128</v>
      </c>
      <c r="AR136" s="49" t="s">
        <v>971</v>
      </c>
      <c r="AS136" s="49" t="s">
        <v>420</v>
      </c>
      <c r="AT136" s="49" t="s">
        <v>1264</v>
      </c>
      <c r="AU136" s="49" t="s">
        <v>421</v>
      </c>
      <c r="AV136" s="49"/>
      <c r="AW136" s="49" t="s">
        <v>1258</v>
      </c>
      <c r="AX136" s="49"/>
      <c r="AY136" s="49"/>
      <c r="AZ136" s="49"/>
      <c r="BA136" s="49"/>
      <c r="BB136" s="49" t="n">
        <v>82087801</v>
      </c>
      <c r="BC136" s="49" t="s">
        <v>134</v>
      </c>
      <c r="BD136" s="49" t="s">
        <v>191</v>
      </c>
      <c r="BE136" s="49" t="s">
        <v>423</v>
      </c>
      <c r="BF136" s="49" t="s">
        <v>424</v>
      </c>
      <c r="BG136" s="49" t="s">
        <v>138</v>
      </c>
      <c r="BH136" s="49" t="s">
        <v>139</v>
      </c>
      <c r="BI136" s="49" t="s">
        <v>134</v>
      </c>
      <c r="BJ136" s="49" t="s">
        <v>125</v>
      </c>
      <c r="BK136" s="49"/>
      <c r="BL136" s="49" t="s">
        <v>141</v>
      </c>
      <c r="BM136" s="49"/>
      <c r="BN136" s="49" t="s">
        <v>142</v>
      </c>
      <c r="BO136" s="49" t="s">
        <v>408</v>
      </c>
    </row>
    <row r="137" ht="16.8" customHeight="1">
      <c r="A137" s="43" t="s">
        <v>25</v>
      </c>
      <c r="B137" s="49" t="n">
        <v>127</v>
      </c>
      <c r="C137" s="49" t="s">
        <v>103</v>
      </c>
      <c r="D137" s="49" t="s">
        <v>104</v>
      </c>
      <c r="E137" s="49" t="s">
        <v>1248</v>
      </c>
      <c r="F137" s="49" t="s">
        <v>1249</v>
      </c>
      <c r="G137" s="49" t="s">
        <v>230</v>
      </c>
      <c r="H137" s="49" t="s">
        <v>1250</v>
      </c>
      <c r="I137" s="109" t="s">
        <v>1251</v>
      </c>
      <c r="J137" s="49" t="s">
        <v>406</v>
      </c>
      <c r="K137" s="49"/>
      <c r="L137" s="49" t="s">
        <v>431</v>
      </c>
      <c r="M137" s="49" t="s">
        <v>407</v>
      </c>
      <c r="N137" s="49" t="s">
        <v>408</v>
      </c>
      <c r="O137" s="49" t="s">
        <v>125</v>
      </c>
      <c r="P137" s="49" t="s">
        <v>431</v>
      </c>
      <c r="Q137" s="49" t="s">
        <v>404</v>
      </c>
      <c r="R137" s="49" t="s">
        <v>409</v>
      </c>
      <c r="S137" s="49" t="s">
        <v>14</v>
      </c>
      <c r="T137" s="49" t="s">
        <v>1252</v>
      </c>
      <c r="U137" s="49" t="s">
        <v>178</v>
      </c>
      <c r="V137" s="49" t="s">
        <v>1253</v>
      </c>
      <c r="W137" s="49" t="s">
        <v>117</v>
      </c>
      <c r="X137" s="49" t="s">
        <v>412</v>
      </c>
      <c r="Y137" s="49" t="s">
        <v>206</v>
      </c>
      <c r="Z137" s="49" t="s">
        <v>413</v>
      </c>
      <c r="AA137" s="49" t="s">
        <v>414</v>
      </c>
      <c r="AB137" s="49" t="s">
        <v>415</v>
      </c>
      <c r="AC137" s="49" t="s">
        <v>409</v>
      </c>
      <c r="AD137" s="49" t="n">
        <v>5487190</v>
      </c>
      <c r="AE137" s="49" t="s">
        <v>14</v>
      </c>
      <c r="AF137" s="49" t="s">
        <v>1254</v>
      </c>
      <c r="AG137" s="49" t="s">
        <v>14</v>
      </c>
      <c r="AH137" s="49" t="s">
        <v>1254</v>
      </c>
      <c r="AI137" s="49" t="s">
        <v>1265</v>
      </c>
      <c r="AJ137" s="49" t="s">
        <v>1266</v>
      </c>
      <c r="AK137" s="49" t="s">
        <v>124</v>
      </c>
      <c r="AL137" s="49" t="s">
        <v>125</v>
      </c>
      <c r="AM137" s="51" t="n">
        <v>4945</v>
      </c>
      <c r="AN137" s="49"/>
      <c r="AO137" s="49" t="s">
        <v>125</v>
      </c>
      <c r="AP137" s="49" t="s">
        <v>187</v>
      </c>
      <c r="AQ137" s="49" t="s">
        <v>128</v>
      </c>
      <c r="AR137" s="49" t="s">
        <v>971</v>
      </c>
      <c r="AS137" s="49" t="s">
        <v>420</v>
      </c>
      <c r="AT137" s="49" t="s">
        <v>1267</v>
      </c>
      <c r="AU137" s="49" t="s">
        <v>421</v>
      </c>
      <c r="AV137" s="49"/>
      <c r="AW137" s="49" t="s">
        <v>1258</v>
      </c>
      <c r="AX137" s="49"/>
      <c r="AY137" s="49"/>
      <c r="AZ137" s="49"/>
      <c r="BA137" s="49"/>
      <c r="BB137" s="49" t="n">
        <v>82087801</v>
      </c>
      <c r="BC137" s="49" t="s">
        <v>134</v>
      </c>
      <c r="BD137" s="49" t="s">
        <v>191</v>
      </c>
      <c r="BE137" s="49" t="s">
        <v>423</v>
      </c>
      <c r="BF137" s="49" t="s">
        <v>424</v>
      </c>
      <c r="BG137" s="49" t="s">
        <v>138</v>
      </c>
      <c r="BH137" s="49" t="s">
        <v>139</v>
      </c>
      <c r="BI137" s="49" t="s">
        <v>134</v>
      </c>
      <c r="BJ137" s="49" t="s">
        <v>125</v>
      </c>
      <c r="BK137" s="49"/>
      <c r="BL137" s="49" t="s">
        <v>141</v>
      </c>
      <c r="BM137" s="49"/>
      <c r="BN137" s="49" t="s">
        <v>142</v>
      </c>
      <c r="BO137" s="49" t="s">
        <v>408</v>
      </c>
    </row>
    <row r="138" ht="16.8" customHeight="1">
      <c r="A138" s="43" t="s">
        <v>25</v>
      </c>
      <c r="B138" s="49" t="n">
        <v>128</v>
      </c>
      <c r="C138" s="49" t="s">
        <v>103</v>
      </c>
      <c r="D138" s="49" t="s">
        <v>104</v>
      </c>
      <c r="E138" s="49" t="s">
        <v>1248</v>
      </c>
      <c r="F138" s="49" t="s">
        <v>1249</v>
      </c>
      <c r="G138" s="49" t="s">
        <v>230</v>
      </c>
      <c r="H138" s="49" t="s">
        <v>1250</v>
      </c>
      <c r="I138" s="110" t="s">
        <v>1251</v>
      </c>
      <c r="J138" s="49" t="s">
        <v>406</v>
      </c>
      <c r="K138" s="49"/>
      <c r="L138" s="49" t="s">
        <v>431</v>
      </c>
      <c r="M138" s="49" t="s">
        <v>407</v>
      </c>
      <c r="N138" s="49" t="s">
        <v>408</v>
      </c>
      <c r="O138" s="49" t="s">
        <v>125</v>
      </c>
      <c r="P138" s="49" t="s">
        <v>431</v>
      </c>
      <c r="Q138" s="49" t="s">
        <v>404</v>
      </c>
      <c r="R138" s="49" t="s">
        <v>409</v>
      </c>
      <c r="S138" s="49" t="s">
        <v>14</v>
      </c>
      <c r="T138" s="49" t="s">
        <v>1252</v>
      </c>
      <c r="U138" s="49" t="s">
        <v>178</v>
      </c>
      <c r="V138" s="49" t="s">
        <v>1253</v>
      </c>
      <c r="W138" s="49" t="s">
        <v>117</v>
      </c>
      <c r="X138" s="49" t="s">
        <v>412</v>
      </c>
      <c r="Y138" s="49" t="s">
        <v>206</v>
      </c>
      <c r="Z138" s="49" t="s">
        <v>413</v>
      </c>
      <c r="AA138" s="49" t="s">
        <v>414</v>
      </c>
      <c r="AB138" s="49" t="s">
        <v>415</v>
      </c>
      <c r="AC138" s="49" t="s">
        <v>409</v>
      </c>
      <c r="AD138" s="49" t="n">
        <v>5487190</v>
      </c>
      <c r="AE138" s="49" t="s">
        <v>14</v>
      </c>
      <c r="AF138" s="49" t="s">
        <v>1254</v>
      </c>
      <c r="AG138" s="49" t="s">
        <v>14</v>
      </c>
      <c r="AH138" s="49" t="s">
        <v>1254</v>
      </c>
      <c r="AI138" s="49" t="s">
        <v>1268</v>
      </c>
      <c r="AJ138" s="49" t="s">
        <v>1269</v>
      </c>
      <c r="AK138" s="49" t="s">
        <v>124</v>
      </c>
      <c r="AL138" s="49" t="s">
        <v>125</v>
      </c>
      <c r="AM138" s="51" t="n">
        <v>10960</v>
      </c>
      <c r="AN138" s="49"/>
      <c r="AO138" s="49" t="s">
        <v>125</v>
      </c>
      <c r="AP138" s="49" t="s">
        <v>187</v>
      </c>
      <c r="AQ138" s="49" t="s">
        <v>128</v>
      </c>
      <c r="AR138" s="49" t="s">
        <v>971</v>
      </c>
      <c r="AS138" s="49" t="s">
        <v>420</v>
      </c>
      <c r="AT138" s="49" t="s">
        <v>1270</v>
      </c>
      <c r="AU138" s="49" t="s">
        <v>421</v>
      </c>
      <c r="AV138" s="49"/>
      <c r="AW138" s="49" t="s">
        <v>1258</v>
      </c>
      <c r="AX138" s="49"/>
      <c r="AY138" s="49"/>
      <c r="AZ138" s="49"/>
      <c r="BA138" s="49"/>
      <c r="BB138" s="49" t="n">
        <v>82087801</v>
      </c>
      <c r="BC138" s="49" t="s">
        <v>134</v>
      </c>
      <c r="BD138" s="49" t="s">
        <v>191</v>
      </c>
      <c r="BE138" s="49" t="s">
        <v>423</v>
      </c>
      <c r="BF138" s="49" t="s">
        <v>424</v>
      </c>
      <c r="BG138" s="49" t="s">
        <v>138</v>
      </c>
      <c r="BH138" s="49" t="s">
        <v>139</v>
      </c>
      <c r="BI138" s="49" t="s">
        <v>134</v>
      </c>
      <c r="BJ138" s="49" t="s">
        <v>125</v>
      </c>
      <c r="BK138" s="49"/>
      <c r="BL138" s="49" t="s">
        <v>141</v>
      </c>
      <c r="BM138" s="49"/>
      <c r="BN138" s="49" t="s">
        <v>142</v>
      </c>
      <c r="BO138" s="49" t="s">
        <v>408</v>
      </c>
    </row>
    <row r="139" ht="16.8" customHeight="1">
      <c r="A139" s="43" t="s">
        <v>25</v>
      </c>
      <c r="B139" s="49" t="n">
        <v>129</v>
      </c>
      <c r="C139" s="49" t="s">
        <v>103</v>
      </c>
      <c r="D139" s="49" t="s">
        <v>104</v>
      </c>
      <c r="E139" s="49" t="s">
        <v>1248</v>
      </c>
      <c r="F139" s="49" t="s">
        <v>1249</v>
      </c>
      <c r="G139" s="49" t="s">
        <v>230</v>
      </c>
      <c r="H139" s="49" t="s">
        <v>1250</v>
      </c>
      <c r="I139" s="111" t="s">
        <v>1251</v>
      </c>
      <c r="J139" s="49" t="s">
        <v>406</v>
      </c>
      <c r="K139" s="49"/>
      <c r="L139" s="49" t="s">
        <v>431</v>
      </c>
      <c r="M139" s="49" t="s">
        <v>407</v>
      </c>
      <c r="N139" s="49" t="s">
        <v>408</v>
      </c>
      <c r="O139" s="49" t="s">
        <v>125</v>
      </c>
      <c r="P139" s="49" t="s">
        <v>431</v>
      </c>
      <c r="Q139" s="49" t="s">
        <v>404</v>
      </c>
      <c r="R139" s="49" t="s">
        <v>409</v>
      </c>
      <c r="S139" s="49" t="s">
        <v>14</v>
      </c>
      <c r="T139" s="49" t="s">
        <v>1252</v>
      </c>
      <c r="U139" s="49" t="s">
        <v>178</v>
      </c>
      <c r="V139" s="49" t="s">
        <v>1253</v>
      </c>
      <c r="W139" s="49" t="s">
        <v>117</v>
      </c>
      <c r="X139" s="49" t="s">
        <v>412</v>
      </c>
      <c r="Y139" s="49" t="s">
        <v>206</v>
      </c>
      <c r="Z139" s="49" t="s">
        <v>413</v>
      </c>
      <c r="AA139" s="49" t="s">
        <v>414</v>
      </c>
      <c r="AB139" s="49" t="s">
        <v>415</v>
      </c>
      <c r="AC139" s="49" t="s">
        <v>409</v>
      </c>
      <c r="AD139" s="49" t="n">
        <v>5487190</v>
      </c>
      <c r="AE139" s="49" t="s">
        <v>14</v>
      </c>
      <c r="AF139" s="49" t="s">
        <v>1254</v>
      </c>
      <c r="AG139" s="49" t="s">
        <v>14</v>
      </c>
      <c r="AH139" s="49" t="s">
        <v>1254</v>
      </c>
      <c r="AI139" s="49" t="s">
        <v>1271</v>
      </c>
      <c r="AJ139" s="49" t="s">
        <v>545</v>
      </c>
      <c r="AK139" s="49" t="s">
        <v>124</v>
      </c>
      <c r="AL139" s="49" t="s">
        <v>125</v>
      </c>
      <c r="AM139" s="51" t="n">
        <v>10500</v>
      </c>
      <c r="AN139" s="49"/>
      <c r="AO139" s="49" t="s">
        <v>125</v>
      </c>
      <c r="AP139" s="49" t="s">
        <v>187</v>
      </c>
      <c r="AQ139" s="49" t="s">
        <v>128</v>
      </c>
      <c r="AR139" s="49" t="s">
        <v>971</v>
      </c>
      <c r="AS139" s="49" t="s">
        <v>420</v>
      </c>
      <c r="AT139" s="49"/>
      <c r="AU139" s="49" t="s">
        <v>421</v>
      </c>
      <c r="AV139" s="49"/>
      <c r="AW139" s="49" t="s">
        <v>1258</v>
      </c>
      <c r="AX139" s="49"/>
      <c r="AY139" s="49"/>
      <c r="AZ139" s="49"/>
      <c r="BA139" s="49"/>
      <c r="BB139" s="49" t="n">
        <v>82087801</v>
      </c>
      <c r="BC139" s="49" t="s">
        <v>134</v>
      </c>
      <c r="BD139" s="49" t="s">
        <v>191</v>
      </c>
      <c r="BE139" s="49" t="s">
        <v>423</v>
      </c>
      <c r="BF139" s="49" t="s">
        <v>424</v>
      </c>
      <c r="BG139" s="49" t="s">
        <v>138</v>
      </c>
      <c r="BH139" s="49" t="s">
        <v>139</v>
      </c>
      <c r="BI139" s="49" t="s">
        <v>134</v>
      </c>
      <c r="BJ139" s="49" t="s">
        <v>125</v>
      </c>
      <c r="BK139" s="49"/>
      <c r="BL139" s="49"/>
      <c r="BM139" s="49"/>
      <c r="BN139" s="49" t="s">
        <v>142</v>
      </c>
      <c r="BO139" s="49" t="s">
        <v>408</v>
      </c>
    </row>
    <row r="140" ht="16.8" customHeight="1">
      <c r="A140" s="43" t="s">
        <v>25</v>
      </c>
      <c r="B140" s="49" t="n">
        <v>130</v>
      </c>
      <c r="C140" s="49" t="s">
        <v>103</v>
      </c>
      <c r="D140" s="49" t="s">
        <v>104</v>
      </c>
      <c r="E140" s="49"/>
      <c r="F140" s="49" t="s">
        <v>203</v>
      </c>
      <c r="G140" s="49"/>
      <c r="H140" s="49" t="s">
        <v>204</v>
      </c>
      <c r="I140" s="112" t="s">
        <v>205</v>
      </c>
      <c r="J140" s="49"/>
      <c r="K140" s="49" t="s">
        <v>206</v>
      </c>
      <c r="L140" s="49" t="s">
        <v>10</v>
      </c>
      <c r="M140" s="49" t="s">
        <v>207</v>
      </c>
      <c r="N140" s="49" t="s">
        <v>208</v>
      </c>
      <c r="O140" s="49"/>
      <c r="P140" s="49"/>
      <c r="Q140" s="49"/>
      <c r="R140" s="49" t="s">
        <v>209</v>
      </c>
      <c r="S140" s="49" t="s">
        <v>210</v>
      </c>
      <c r="T140" s="49" t="s">
        <v>1272</v>
      </c>
      <c r="U140" s="49" t="s">
        <v>115</v>
      </c>
      <c r="V140" s="49" t="s">
        <v>1273</v>
      </c>
      <c r="W140" s="49" t="s">
        <v>117</v>
      </c>
      <c r="X140" s="49" t="s">
        <v>213</v>
      </c>
      <c r="Y140" s="49" t="s">
        <v>214</v>
      </c>
      <c r="Z140" s="49" t="s">
        <v>215</v>
      </c>
      <c r="AA140" s="49" t="s">
        <v>216</v>
      </c>
      <c r="AB140" s="49" t="s">
        <v>217</v>
      </c>
      <c r="AC140" s="49" t="s">
        <v>209</v>
      </c>
      <c r="AD140" s="49" t="n">
        <v>5417070</v>
      </c>
      <c r="AE140" s="49" t="s">
        <v>10</v>
      </c>
      <c r="AF140" s="49" t="s">
        <v>1274</v>
      </c>
      <c r="AG140" s="49" t="s">
        <v>210</v>
      </c>
      <c r="AH140" s="49" t="s">
        <v>1275</v>
      </c>
      <c r="AI140" s="49"/>
      <c r="AJ140" s="49"/>
      <c r="AK140" s="49" t="s">
        <v>124</v>
      </c>
      <c r="AL140" s="49" t="s">
        <v>125</v>
      </c>
      <c r="AM140" s="51" t="n">
        <v>47650</v>
      </c>
      <c r="AN140" s="49" t="s">
        <v>126</v>
      </c>
      <c r="AO140" s="49" t="s">
        <v>125</v>
      </c>
      <c r="AP140" s="49" t="s">
        <v>220</v>
      </c>
      <c r="AQ140" s="49" t="s">
        <v>128</v>
      </c>
      <c r="AR140" s="49"/>
      <c r="AS140" s="49" t="s">
        <v>222</v>
      </c>
      <c r="AT140" s="49"/>
      <c r="AU140" s="49"/>
      <c r="AV140" s="49"/>
      <c r="AW140" s="49" t="s">
        <v>1276</v>
      </c>
      <c r="AX140" s="49"/>
      <c r="AY140" s="49"/>
      <c r="AZ140" s="49"/>
      <c r="BA140" s="49"/>
      <c r="BB140" s="49" t="n">
        <v>62316553</v>
      </c>
      <c r="BC140" s="49" t="s">
        <v>134</v>
      </c>
      <c r="BD140" s="49" t="s">
        <v>191</v>
      </c>
      <c r="BE140" s="49" t="s">
        <v>224</v>
      </c>
      <c r="BF140" s="49" t="s">
        <v>225</v>
      </c>
      <c r="BG140" s="49"/>
      <c r="BH140" s="49" t="s">
        <v>226</v>
      </c>
      <c r="BI140" s="49" t="s">
        <v>134</v>
      </c>
      <c r="BJ140" s="49" t="s">
        <v>125</v>
      </c>
      <c r="BK140" s="49"/>
      <c r="BL140" s="49"/>
      <c r="BM140" s="49"/>
      <c r="BN140" s="49" t="s">
        <v>227</v>
      </c>
      <c r="BO140" s="49"/>
    </row>
    <row r="141" ht="16.8" customHeight="1">
      <c r="A141" s="43" t="s">
        <v>25</v>
      </c>
      <c r="B141" s="49" t="n">
        <v>131</v>
      </c>
      <c r="C141" s="49" t="s">
        <v>103</v>
      </c>
      <c r="D141" s="49" t="s">
        <v>104</v>
      </c>
      <c r="E141" s="49" t="s">
        <v>1277</v>
      </c>
      <c r="F141" s="49" t="s">
        <v>1278</v>
      </c>
      <c r="G141" s="49" t="s">
        <v>829</v>
      </c>
      <c r="H141" s="49" t="s">
        <v>1279</v>
      </c>
      <c r="I141" s="49" t="s">
        <v>1280</v>
      </c>
      <c r="J141" s="49" t="s">
        <v>125</v>
      </c>
      <c r="K141" s="49" t="s">
        <v>174</v>
      </c>
      <c r="L141" s="49" t="s">
        <v>10</v>
      </c>
      <c r="M141" s="49" t="s">
        <v>607</v>
      </c>
      <c r="N141" s="49" t="s">
        <v>832</v>
      </c>
      <c r="O141" s="49" t="s">
        <v>125</v>
      </c>
      <c r="P141" s="49"/>
      <c r="Q141" s="49"/>
      <c r="R141" s="49" t="s">
        <v>1281</v>
      </c>
      <c r="S141" s="49" t="s">
        <v>10</v>
      </c>
      <c r="T141" s="49" t="s">
        <v>1282</v>
      </c>
      <c r="U141" s="49" t="s">
        <v>178</v>
      </c>
      <c r="V141" s="49" t="s">
        <v>1283</v>
      </c>
      <c r="W141" s="49" t="s">
        <v>117</v>
      </c>
      <c r="X141" s="49" t="s">
        <v>213</v>
      </c>
      <c r="Y141" s="49" t="s">
        <v>214</v>
      </c>
      <c r="Z141" s="49" t="s">
        <v>1284</v>
      </c>
      <c r="AA141" s="49" t="s">
        <v>1285</v>
      </c>
      <c r="AB141" s="49" t="s">
        <v>1286</v>
      </c>
      <c r="AC141" s="49" t="s">
        <v>1281</v>
      </c>
      <c r="AD141" s="49" t="n">
        <v>5488723</v>
      </c>
      <c r="AE141" s="49" t="s">
        <v>10</v>
      </c>
      <c r="AF141" s="49" t="s">
        <v>1287</v>
      </c>
      <c r="AG141" s="49" t="s">
        <v>10</v>
      </c>
      <c r="AH141" s="49" t="s">
        <v>1287</v>
      </c>
      <c r="AI141" s="49" t="s">
        <v>1255</v>
      </c>
      <c r="AJ141" s="49" t="s">
        <v>1256</v>
      </c>
      <c r="AK141" s="49" t="s">
        <v>124</v>
      </c>
      <c r="AL141" s="49" t="s">
        <v>125</v>
      </c>
      <c r="AM141" s="51" t="n">
        <v>9780</v>
      </c>
      <c r="AN141" s="49"/>
      <c r="AO141" s="49" t="s">
        <v>125</v>
      </c>
      <c r="AP141" s="49" t="s">
        <v>187</v>
      </c>
      <c r="AQ141" s="49" t="s">
        <v>128</v>
      </c>
      <c r="AR141" s="49" t="s">
        <v>1091</v>
      </c>
      <c r="AS141" s="49" t="s">
        <v>1288</v>
      </c>
      <c r="AT141" s="49" t="s">
        <v>1289</v>
      </c>
      <c r="AU141" s="49" t="s">
        <v>462</v>
      </c>
      <c r="AV141" s="49"/>
      <c r="AW141" s="49" t="s">
        <v>1290</v>
      </c>
      <c r="AX141" s="49"/>
      <c r="AY141" s="49"/>
      <c r="AZ141" s="49"/>
      <c r="BA141" s="49"/>
      <c r="BB141" s="49" t="n">
        <v>81919906</v>
      </c>
      <c r="BC141" s="49" t="s">
        <v>134</v>
      </c>
      <c r="BD141" s="49" t="s">
        <v>191</v>
      </c>
      <c r="BE141" s="49" t="s">
        <v>224</v>
      </c>
      <c r="BF141" s="49" t="s">
        <v>402</v>
      </c>
      <c r="BG141" s="49" t="s">
        <v>138</v>
      </c>
      <c r="BH141" s="49" t="s">
        <v>194</v>
      </c>
      <c r="BI141" s="49" t="s">
        <v>140</v>
      </c>
      <c r="BJ141" s="49" t="s">
        <v>125</v>
      </c>
      <c r="BK141" s="49"/>
      <c r="BL141" s="49" t="s">
        <v>141</v>
      </c>
      <c r="BM141" s="49"/>
      <c r="BN141" s="49"/>
      <c r="BO141" s="49" t="s">
        <v>338</v>
      </c>
    </row>
    <row r="142" ht="16.8" customHeight="1">
      <c r="A142" s="43" t="s">
        <v>25</v>
      </c>
      <c r="B142" s="49" t="n">
        <v>132</v>
      </c>
      <c r="C142" s="49" t="s">
        <v>103</v>
      </c>
      <c r="D142" s="49" t="s">
        <v>104</v>
      </c>
      <c r="E142" s="49" t="s">
        <v>1277</v>
      </c>
      <c r="F142" s="49" t="s">
        <v>1278</v>
      </c>
      <c r="G142" s="49" t="s">
        <v>829</v>
      </c>
      <c r="H142" s="49" t="s">
        <v>1279</v>
      </c>
      <c r="I142" s="49" t="s">
        <v>1280</v>
      </c>
      <c r="J142" s="49" t="s">
        <v>125</v>
      </c>
      <c r="K142" s="49" t="s">
        <v>174</v>
      </c>
      <c r="L142" s="49" t="s">
        <v>10</v>
      </c>
      <c r="M142" s="49" t="s">
        <v>607</v>
      </c>
      <c r="N142" s="49" t="s">
        <v>832</v>
      </c>
      <c r="O142" s="49" t="s">
        <v>125</v>
      </c>
      <c r="P142" s="49"/>
      <c r="Q142" s="49"/>
      <c r="R142" s="49" t="s">
        <v>1281</v>
      </c>
      <c r="S142" s="49" t="s">
        <v>10</v>
      </c>
      <c r="T142" s="49" t="s">
        <v>1282</v>
      </c>
      <c r="U142" s="49" t="s">
        <v>178</v>
      </c>
      <c r="V142" s="49" t="s">
        <v>1283</v>
      </c>
      <c r="W142" s="49" t="s">
        <v>117</v>
      </c>
      <c r="X142" s="49" t="s">
        <v>213</v>
      </c>
      <c r="Y142" s="49" t="s">
        <v>214</v>
      </c>
      <c r="Z142" s="49" t="s">
        <v>1284</v>
      </c>
      <c r="AA142" s="49" t="s">
        <v>1285</v>
      </c>
      <c r="AB142" s="49" t="s">
        <v>1286</v>
      </c>
      <c r="AC142" s="49" t="s">
        <v>1281</v>
      </c>
      <c r="AD142" s="49" t="n">
        <v>5488723</v>
      </c>
      <c r="AE142" s="49" t="s">
        <v>10</v>
      </c>
      <c r="AF142" s="49" t="s">
        <v>1287</v>
      </c>
      <c r="AG142" s="49" t="s">
        <v>10</v>
      </c>
      <c r="AH142" s="49" t="s">
        <v>1287</v>
      </c>
      <c r="AI142" s="49" t="s">
        <v>1259</v>
      </c>
      <c r="AJ142" s="49" t="s">
        <v>1260</v>
      </c>
      <c r="AK142" s="49" t="s">
        <v>124</v>
      </c>
      <c r="AL142" s="49" t="s">
        <v>125</v>
      </c>
      <c r="AM142" s="51" t="n">
        <v>6910</v>
      </c>
      <c r="AN142" s="49"/>
      <c r="AO142" s="49" t="s">
        <v>125</v>
      </c>
      <c r="AP142" s="49" t="s">
        <v>187</v>
      </c>
      <c r="AQ142" s="49" t="s">
        <v>128</v>
      </c>
      <c r="AR142" s="49" t="s">
        <v>1091</v>
      </c>
      <c r="AS142" s="49" t="s">
        <v>1288</v>
      </c>
      <c r="AT142" s="49" t="s">
        <v>1291</v>
      </c>
      <c r="AU142" s="49" t="s">
        <v>462</v>
      </c>
      <c r="AV142" s="49"/>
      <c r="AW142" s="49" t="s">
        <v>1290</v>
      </c>
      <c r="AX142" s="49"/>
      <c r="AY142" s="49"/>
      <c r="AZ142" s="49"/>
      <c r="BA142" s="49"/>
      <c r="BB142" s="49" t="n">
        <v>81919906</v>
      </c>
      <c r="BC142" s="49" t="s">
        <v>134</v>
      </c>
      <c r="BD142" s="49" t="s">
        <v>191</v>
      </c>
      <c r="BE142" s="49" t="s">
        <v>224</v>
      </c>
      <c r="BF142" s="49" t="s">
        <v>402</v>
      </c>
      <c r="BG142" s="49" t="s">
        <v>138</v>
      </c>
      <c r="BH142" s="49" t="s">
        <v>194</v>
      </c>
      <c r="BI142" s="49" t="s">
        <v>140</v>
      </c>
      <c r="BJ142" s="49" t="s">
        <v>125</v>
      </c>
      <c r="BK142" s="49"/>
      <c r="BL142" s="49" t="s">
        <v>141</v>
      </c>
      <c r="BM142" s="49"/>
      <c r="BN142" s="49"/>
      <c r="BO142" s="49" t="s">
        <v>338</v>
      </c>
    </row>
    <row r="143" ht="16.8" customHeight="1">
      <c r="A143" s="43" t="s">
        <v>25</v>
      </c>
      <c r="B143" s="49" t="n">
        <v>133</v>
      </c>
      <c r="C143" s="49" t="s">
        <v>103</v>
      </c>
      <c r="D143" s="49" t="s">
        <v>104</v>
      </c>
      <c r="E143" s="49" t="s">
        <v>1277</v>
      </c>
      <c r="F143" s="49" t="s">
        <v>1278</v>
      </c>
      <c r="G143" s="49" t="s">
        <v>829</v>
      </c>
      <c r="H143" s="49" t="s">
        <v>1279</v>
      </c>
      <c r="I143" s="49" t="s">
        <v>1280</v>
      </c>
      <c r="J143" s="49" t="s">
        <v>125</v>
      </c>
      <c r="K143" s="49" t="s">
        <v>174</v>
      </c>
      <c r="L143" s="49" t="s">
        <v>10</v>
      </c>
      <c r="M143" s="49" t="s">
        <v>607</v>
      </c>
      <c r="N143" s="49" t="s">
        <v>832</v>
      </c>
      <c r="O143" s="49" t="s">
        <v>125</v>
      </c>
      <c r="P143" s="49"/>
      <c r="Q143" s="49"/>
      <c r="R143" s="49" t="s">
        <v>1281</v>
      </c>
      <c r="S143" s="49" t="s">
        <v>10</v>
      </c>
      <c r="T143" s="49" t="s">
        <v>1282</v>
      </c>
      <c r="U143" s="49" t="s">
        <v>178</v>
      </c>
      <c r="V143" s="49" t="s">
        <v>1283</v>
      </c>
      <c r="W143" s="49" t="s">
        <v>117</v>
      </c>
      <c r="X143" s="49" t="s">
        <v>213</v>
      </c>
      <c r="Y143" s="49" t="s">
        <v>214</v>
      </c>
      <c r="Z143" s="49" t="s">
        <v>1284</v>
      </c>
      <c r="AA143" s="49" t="s">
        <v>1285</v>
      </c>
      <c r="AB143" s="49" t="s">
        <v>1286</v>
      </c>
      <c r="AC143" s="49" t="s">
        <v>1281</v>
      </c>
      <c r="AD143" s="49" t="n">
        <v>5488723</v>
      </c>
      <c r="AE143" s="49" t="s">
        <v>10</v>
      </c>
      <c r="AF143" s="49" t="s">
        <v>1287</v>
      </c>
      <c r="AG143" s="49" t="s">
        <v>10</v>
      </c>
      <c r="AH143" s="49" t="s">
        <v>1287</v>
      </c>
      <c r="AI143" s="49" t="s">
        <v>1292</v>
      </c>
      <c r="AJ143" s="49" t="s">
        <v>1293</v>
      </c>
      <c r="AK143" s="49" t="s">
        <v>124</v>
      </c>
      <c r="AL143" s="49" t="s">
        <v>125</v>
      </c>
      <c r="AM143" s="51" t="n">
        <v>15450</v>
      </c>
      <c r="AN143" s="49"/>
      <c r="AO143" s="49" t="s">
        <v>125</v>
      </c>
      <c r="AP143" s="49" t="s">
        <v>187</v>
      </c>
      <c r="AQ143" s="49" t="s">
        <v>128</v>
      </c>
      <c r="AR143" s="49" t="s">
        <v>1091</v>
      </c>
      <c r="AS143" s="49" t="s">
        <v>1288</v>
      </c>
      <c r="AT143" s="49" t="s">
        <v>1294</v>
      </c>
      <c r="AU143" s="49" t="s">
        <v>462</v>
      </c>
      <c r="AV143" s="49"/>
      <c r="AW143" s="49" t="s">
        <v>1290</v>
      </c>
      <c r="AX143" s="49"/>
      <c r="AY143" s="49"/>
      <c r="AZ143" s="49"/>
      <c r="BA143" s="49"/>
      <c r="BB143" s="49" t="n">
        <v>81919906</v>
      </c>
      <c r="BC143" s="49" t="s">
        <v>134</v>
      </c>
      <c r="BD143" s="49" t="s">
        <v>191</v>
      </c>
      <c r="BE143" s="49" t="s">
        <v>224</v>
      </c>
      <c r="BF143" s="49" t="s">
        <v>402</v>
      </c>
      <c r="BG143" s="49" t="s">
        <v>138</v>
      </c>
      <c r="BH143" s="49" t="s">
        <v>194</v>
      </c>
      <c r="BI143" s="49" t="s">
        <v>140</v>
      </c>
      <c r="BJ143" s="49" t="s">
        <v>125</v>
      </c>
      <c r="BK143" s="49"/>
      <c r="BL143" s="49" t="s">
        <v>141</v>
      </c>
      <c r="BM143" s="49"/>
      <c r="BN143" s="49"/>
      <c r="BO143" s="49" t="s">
        <v>338</v>
      </c>
    </row>
    <row r="144" ht="16.8" customHeight="1">
      <c r="A144" s="43" t="s">
        <v>25</v>
      </c>
      <c r="B144" s="49" t="n">
        <v>134</v>
      </c>
      <c r="C144" s="49" t="s">
        <v>103</v>
      </c>
      <c r="D144" s="49" t="s">
        <v>104</v>
      </c>
      <c r="E144" s="49" t="s">
        <v>1277</v>
      </c>
      <c r="F144" s="49" t="s">
        <v>1278</v>
      </c>
      <c r="G144" s="49" t="s">
        <v>829</v>
      </c>
      <c r="H144" s="49" t="s">
        <v>1279</v>
      </c>
      <c r="I144" s="49" t="s">
        <v>1280</v>
      </c>
      <c r="J144" s="49" t="s">
        <v>125</v>
      </c>
      <c r="K144" s="49" t="s">
        <v>174</v>
      </c>
      <c r="L144" s="49" t="s">
        <v>10</v>
      </c>
      <c r="M144" s="49" t="s">
        <v>607</v>
      </c>
      <c r="N144" s="49" t="s">
        <v>832</v>
      </c>
      <c r="O144" s="49" t="s">
        <v>125</v>
      </c>
      <c r="P144" s="49"/>
      <c r="Q144" s="49"/>
      <c r="R144" s="49" t="s">
        <v>1281</v>
      </c>
      <c r="S144" s="49" t="s">
        <v>10</v>
      </c>
      <c r="T144" s="49" t="s">
        <v>1282</v>
      </c>
      <c r="U144" s="49" t="s">
        <v>178</v>
      </c>
      <c r="V144" s="49" t="s">
        <v>1283</v>
      </c>
      <c r="W144" s="49" t="s">
        <v>117</v>
      </c>
      <c r="X144" s="49" t="s">
        <v>213</v>
      </c>
      <c r="Y144" s="49" t="s">
        <v>214</v>
      </c>
      <c r="Z144" s="49" t="s">
        <v>1284</v>
      </c>
      <c r="AA144" s="49" t="s">
        <v>1285</v>
      </c>
      <c r="AB144" s="49" t="s">
        <v>1286</v>
      </c>
      <c r="AC144" s="49" t="s">
        <v>1281</v>
      </c>
      <c r="AD144" s="49" t="n">
        <v>5488723</v>
      </c>
      <c r="AE144" s="49" t="s">
        <v>10</v>
      </c>
      <c r="AF144" s="49" t="s">
        <v>1287</v>
      </c>
      <c r="AG144" s="49" t="s">
        <v>10</v>
      </c>
      <c r="AH144" s="49" t="s">
        <v>1287</v>
      </c>
      <c r="AI144" s="49" t="s">
        <v>1295</v>
      </c>
      <c r="AJ144" s="49" t="s">
        <v>1266</v>
      </c>
      <c r="AK144" s="49" t="s">
        <v>124</v>
      </c>
      <c r="AL144" s="49" t="s">
        <v>125</v>
      </c>
      <c r="AM144" s="51" t="n">
        <v>9740</v>
      </c>
      <c r="AN144" s="49"/>
      <c r="AO144" s="49" t="s">
        <v>125</v>
      </c>
      <c r="AP144" s="49" t="s">
        <v>187</v>
      </c>
      <c r="AQ144" s="49" t="s">
        <v>128</v>
      </c>
      <c r="AR144" s="49" t="s">
        <v>1091</v>
      </c>
      <c r="AS144" s="49" t="s">
        <v>1288</v>
      </c>
      <c r="AT144" s="49" t="s">
        <v>1296</v>
      </c>
      <c r="AU144" s="49" t="s">
        <v>462</v>
      </c>
      <c r="AV144" s="49"/>
      <c r="AW144" s="49" t="s">
        <v>1290</v>
      </c>
      <c r="AX144" s="49"/>
      <c r="AY144" s="49"/>
      <c r="AZ144" s="49"/>
      <c r="BA144" s="49"/>
      <c r="BB144" s="49" t="n">
        <v>81919906</v>
      </c>
      <c r="BC144" s="49" t="s">
        <v>134</v>
      </c>
      <c r="BD144" s="49" t="s">
        <v>191</v>
      </c>
      <c r="BE144" s="49" t="s">
        <v>224</v>
      </c>
      <c r="BF144" s="49" t="s">
        <v>402</v>
      </c>
      <c r="BG144" s="49" t="s">
        <v>138</v>
      </c>
      <c r="BH144" s="49" t="s">
        <v>194</v>
      </c>
      <c r="BI144" s="49" t="s">
        <v>140</v>
      </c>
      <c r="BJ144" s="49" t="s">
        <v>125</v>
      </c>
      <c r="BK144" s="49"/>
      <c r="BL144" s="49" t="s">
        <v>141</v>
      </c>
      <c r="BM144" s="49"/>
      <c r="BN144" s="49"/>
      <c r="BO144" s="49" t="s">
        <v>338</v>
      </c>
    </row>
    <row r="145" ht="16.8" customHeight="1">
      <c r="A145" s="43" t="s">
        <v>25</v>
      </c>
      <c r="B145" s="49" t="n">
        <v>135</v>
      </c>
      <c r="C145" s="49" t="s">
        <v>103</v>
      </c>
      <c r="D145" s="49" t="s">
        <v>104</v>
      </c>
      <c r="E145" s="49" t="s">
        <v>1277</v>
      </c>
      <c r="F145" s="49" t="s">
        <v>1278</v>
      </c>
      <c r="G145" s="49" t="s">
        <v>829</v>
      </c>
      <c r="H145" s="49" t="s">
        <v>1279</v>
      </c>
      <c r="I145" s="49" t="s">
        <v>1280</v>
      </c>
      <c r="J145" s="49" t="s">
        <v>125</v>
      </c>
      <c r="K145" s="49" t="s">
        <v>174</v>
      </c>
      <c r="L145" s="49" t="s">
        <v>10</v>
      </c>
      <c r="M145" s="49" t="s">
        <v>607</v>
      </c>
      <c r="N145" s="49" t="s">
        <v>832</v>
      </c>
      <c r="O145" s="49" t="s">
        <v>125</v>
      </c>
      <c r="P145" s="49"/>
      <c r="Q145" s="49"/>
      <c r="R145" s="49" t="s">
        <v>1281</v>
      </c>
      <c r="S145" s="49" t="s">
        <v>10</v>
      </c>
      <c r="T145" s="49" t="s">
        <v>1282</v>
      </c>
      <c r="U145" s="49" t="s">
        <v>178</v>
      </c>
      <c r="V145" s="49" t="s">
        <v>1283</v>
      </c>
      <c r="W145" s="49" t="s">
        <v>117</v>
      </c>
      <c r="X145" s="49" t="s">
        <v>213</v>
      </c>
      <c r="Y145" s="49" t="s">
        <v>214</v>
      </c>
      <c r="Z145" s="49" t="s">
        <v>1284</v>
      </c>
      <c r="AA145" s="49" t="s">
        <v>1285</v>
      </c>
      <c r="AB145" s="49" t="s">
        <v>1286</v>
      </c>
      <c r="AC145" s="49" t="s">
        <v>1281</v>
      </c>
      <c r="AD145" s="49" t="n">
        <v>5488723</v>
      </c>
      <c r="AE145" s="49" t="s">
        <v>10</v>
      </c>
      <c r="AF145" s="49" t="s">
        <v>1287</v>
      </c>
      <c r="AG145" s="49" t="s">
        <v>10</v>
      </c>
      <c r="AH145" s="49" t="s">
        <v>1287</v>
      </c>
      <c r="AI145" s="49" t="s">
        <v>1268</v>
      </c>
      <c r="AJ145" s="49" t="s">
        <v>1269</v>
      </c>
      <c r="AK145" s="49" t="s">
        <v>124</v>
      </c>
      <c r="AL145" s="49" t="s">
        <v>125</v>
      </c>
      <c r="AM145" s="51" t="n">
        <v>21920</v>
      </c>
      <c r="AN145" s="49"/>
      <c r="AO145" s="49" t="s">
        <v>125</v>
      </c>
      <c r="AP145" s="49" t="s">
        <v>187</v>
      </c>
      <c r="AQ145" s="49" t="s">
        <v>128</v>
      </c>
      <c r="AR145" s="49" t="s">
        <v>1091</v>
      </c>
      <c r="AS145" s="49" t="s">
        <v>1288</v>
      </c>
      <c r="AT145" s="49" t="s">
        <v>1297</v>
      </c>
      <c r="AU145" s="49" t="s">
        <v>462</v>
      </c>
      <c r="AV145" s="49"/>
      <c r="AW145" s="49" t="s">
        <v>1290</v>
      </c>
      <c r="AX145" s="49"/>
      <c r="AY145" s="49"/>
      <c r="AZ145" s="49"/>
      <c r="BA145" s="49"/>
      <c r="BB145" s="49" t="n">
        <v>81919906</v>
      </c>
      <c r="BC145" s="49" t="s">
        <v>134</v>
      </c>
      <c r="BD145" s="49" t="s">
        <v>191</v>
      </c>
      <c r="BE145" s="49" t="s">
        <v>224</v>
      </c>
      <c r="BF145" s="49" t="s">
        <v>402</v>
      </c>
      <c r="BG145" s="49" t="s">
        <v>138</v>
      </c>
      <c r="BH145" s="49" t="s">
        <v>194</v>
      </c>
      <c r="BI145" s="49" t="s">
        <v>140</v>
      </c>
      <c r="BJ145" s="49" t="s">
        <v>125</v>
      </c>
      <c r="BK145" s="49"/>
      <c r="BL145" s="49" t="s">
        <v>141</v>
      </c>
      <c r="BM145" s="49"/>
      <c r="BN145" s="49"/>
      <c r="BO145" s="49" t="s">
        <v>338</v>
      </c>
    </row>
    <row r="146" ht="16.8" customHeight="1">
      <c r="A146" s="43" t="s">
        <v>25</v>
      </c>
      <c r="B146" s="49" t="n">
        <v>136</v>
      </c>
      <c r="C146" s="49" t="s">
        <v>103</v>
      </c>
      <c r="D146" s="49" t="s">
        <v>104</v>
      </c>
      <c r="E146" s="49" t="s">
        <v>1298</v>
      </c>
      <c r="F146" s="49" t="s">
        <v>1299</v>
      </c>
      <c r="G146" s="49" t="s">
        <v>1234</v>
      </c>
      <c r="H146" s="49" t="s">
        <v>1300</v>
      </c>
      <c r="I146" s="49" t="s">
        <v>1301</v>
      </c>
      <c r="J146" s="49"/>
      <c r="K146" s="49" t="s">
        <v>110</v>
      </c>
      <c r="L146" s="49" t="s">
        <v>10</v>
      </c>
      <c r="M146" s="49" t="s">
        <v>111</v>
      </c>
      <c r="N146" s="49" t="s">
        <v>112</v>
      </c>
      <c r="O146" s="49" t="s">
        <v>1237</v>
      </c>
      <c r="P146" s="49"/>
      <c r="Q146" s="49"/>
      <c r="R146" s="49" t="s">
        <v>1298</v>
      </c>
      <c r="S146" s="49" t="s">
        <v>10</v>
      </c>
      <c r="T146" s="49" t="s">
        <v>1302</v>
      </c>
      <c r="U146" s="49" t="s">
        <v>115</v>
      </c>
      <c r="V146" s="49" t="s">
        <v>1303</v>
      </c>
      <c r="W146" s="49" t="s">
        <v>117</v>
      </c>
      <c r="X146" s="49" t="s">
        <v>1002</v>
      </c>
      <c r="Y146" s="49" t="s">
        <v>110</v>
      </c>
      <c r="Z146" s="49" t="s">
        <v>1304</v>
      </c>
      <c r="AA146" s="49" t="s">
        <v>1305</v>
      </c>
      <c r="AB146" s="49" t="s">
        <v>1306</v>
      </c>
      <c r="AC146" s="49" t="s">
        <v>1298</v>
      </c>
      <c r="AD146" s="49" t="n">
        <v>5487697</v>
      </c>
      <c r="AE146" s="49" t="s">
        <v>10</v>
      </c>
      <c r="AF146" s="49" t="s">
        <v>1307</v>
      </c>
      <c r="AG146" s="49" t="s">
        <v>10</v>
      </c>
      <c r="AH146" s="49" t="s">
        <v>1308</v>
      </c>
      <c r="AI146" s="49" t="s">
        <v>1309</v>
      </c>
      <c r="AJ146" s="49" t="s">
        <v>1310</v>
      </c>
      <c r="AK146" s="49" t="s">
        <v>124</v>
      </c>
      <c r="AL146" s="49" t="s">
        <v>125</v>
      </c>
      <c r="AM146" s="51" t="n">
        <v>19500</v>
      </c>
      <c r="AN146" s="49"/>
      <c r="AO146" s="49" t="s">
        <v>1234</v>
      </c>
      <c r="AP146" s="49" t="s">
        <v>127</v>
      </c>
      <c r="AQ146" s="49" t="s">
        <v>128</v>
      </c>
      <c r="AR146" s="49"/>
      <c r="AS146" s="49" t="s">
        <v>1311</v>
      </c>
      <c r="AT146" s="49"/>
      <c r="AU146" s="49" t="s">
        <v>462</v>
      </c>
      <c r="AV146" s="49"/>
      <c r="AW146" s="49" t="s">
        <v>1312</v>
      </c>
      <c r="AX146" s="49"/>
      <c r="AY146" s="49"/>
      <c r="AZ146" s="49"/>
      <c r="BA146" s="49"/>
      <c r="BB146" s="49" t="n">
        <v>61355189</v>
      </c>
      <c r="BC146" s="49" t="s">
        <v>134</v>
      </c>
      <c r="BD146" s="49"/>
      <c r="BE146" s="49" t="s">
        <v>125</v>
      </c>
      <c r="BF146" s="49" t="s">
        <v>125</v>
      </c>
      <c r="BG146" s="49"/>
      <c r="BH146" s="49" t="s">
        <v>194</v>
      </c>
      <c r="BI146" s="49" t="s">
        <v>140</v>
      </c>
      <c r="BJ146" s="49" t="s">
        <v>125</v>
      </c>
      <c r="BK146" s="49"/>
      <c r="BL146" s="49"/>
      <c r="BM146" s="49"/>
      <c r="BN146" s="49" t="s">
        <v>959</v>
      </c>
      <c r="BO146" s="49" t="s">
        <v>112</v>
      </c>
    </row>
    <row r="147" ht="16.8" customHeight="1">
      <c r="A147" s="43" t="s">
        <v>25</v>
      </c>
      <c r="B147" s="49" t="n">
        <v>137</v>
      </c>
      <c r="C147" s="49" t="s">
        <v>103</v>
      </c>
      <c r="D147" s="49" t="s">
        <v>104</v>
      </c>
      <c r="E147" s="49" t="s">
        <v>1313</v>
      </c>
      <c r="F147" s="49" t="s">
        <v>1314</v>
      </c>
      <c r="G147" s="49" t="s">
        <v>1315</v>
      </c>
      <c r="H147" s="49" t="s">
        <v>1316</v>
      </c>
      <c r="I147" s="49" t="s">
        <v>1317</v>
      </c>
      <c r="J147" s="49"/>
      <c r="K147" s="49" t="s">
        <v>206</v>
      </c>
      <c r="L147" s="49" t="s">
        <v>10</v>
      </c>
      <c r="M147" s="49" t="s">
        <v>111</v>
      </c>
      <c r="N147" s="49" t="s">
        <v>112</v>
      </c>
      <c r="O147" s="49" t="s">
        <v>1318</v>
      </c>
      <c r="P147" s="49"/>
      <c r="Q147" s="49"/>
      <c r="R147" s="49" t="s">
        <v>1313</v>
      </c>
      <c r="S147" s="49" t="s">
        <v>10</v>
      </c>
      <c r="T147" s="49" t="s">
        <v>1319</v>
      </c>
      <c r="U147" s="49" t="s">
        <v>115</v>
      </c>
      <c r="V147" s="49" t="s">
        <v>1320</v>
      </c>
      <c r="W147" s="49" t="s">
        <v>117</v>
      </c>
      <c r="X147" s="49" t="s">
        <v>312</v>
      </c>
      <c r="Y147" s="49" t="s">
        <v>206</v>
      </c>
      <c r="Z147" s="49" t="s">
        <v>1321</v>
      </c>
      <c r="AA147" s="49" t="s">
        <v>298</v>
      </c>
      <c r="AB147" s="49" t="s">
        <v>393</v>
      </c>
      <c r="AC147" s="49" t="s">
        <v>1313</v>
      </c>
      <c r="AD147" s="49" t="n">
        <v>5486526</v>
      </c>
      <c r="AE147" s="49" t="s">
        <v>10</v>
      </c>
      <c r="AF147" s="49" t="s">
        <v>1322</v>
      </c>
      <c r="AG147" s="49" t="s">
        <v>10</v>
      </c>
      <c r="AH147" s="49" t="s">
        <v>1323</v>
      </c>
      <c r="AI147" s="49" t="s">
        <v>1324</v>
      </c>
      <c r="AJ147" s="49" t="s">
        <v>1325</v>
      </c>
      <c r="AK147" s="49" t="s">
        <v>124</v>
      </c>
      <c r="AL147" s="49" t="s">
        <v>125</v>
      </c>
      <c r="AM147" s="51" t="n">
        <v>6000</v>
      </c>
      <c r="AN147" s="49"/>
      <c r="AO147" s="49" t="s">
        <v>1315</v>
      </c>
      <c r="AP147" s="49" t="s">
        <v>127</v>
      </c>
      <c r="AQ147" s="49" t="s">
        <v>128</v>
      </c>
      <c r="AR147" s="49"/>
      <c r="AS147" s="49" t="s">
        <v>1326</v>
      </c>
      <c r="AT147" s="49"/>
      <c r="AU147" s="49" t="s">
        <v>462</v>
      </c>
      <c r="AV147" s="49"/>
      <c r="AW147" s="49" t="s">
        <v>1327</v>
      </c>
      <c r="AX147" s="49"/>
      <c r="AY147" s="49"/>
      <c r="AZ147" s="49"/>
      <c r="BA147" s="49"/>
      <c r="BB147" s="49" t="n">
        <v>63745532</v>
      </c>
      <c r="BC147" s="49" t="s">
        <v>134</v>
      </c>
      <c r="BD147" s="49" t="s">
        <v>135</v>
      </c>
      <c r="BE147" s="49" t="s">
        <v>318</v>
      </c>
      <c r="BF147" s="49" t="s">
        <v>319</v>
      </c>
      <c r="BG147" s="49" t="s">
        <v>267</v>
      </c>
      <c r="BH147" s="49" t="s">
        <v>139</v>
      </c>
      <c r="BI147" s="49" t="s">
        <v>140</v>
      </c>
      <c r="BJ147" s="49" t="s">
        <v>125</v>
      </c>
      <c r="BK147" s="49"/>
      <c r="BL147" s="49"/>
      <c r="BM147" s="49"/>
      <c r="BN147" s="49" t="s">
        <v>142</v>
      </c>
      <c r="BO147" s="49" t="s">
        <v>112</v>
      </c>
    </row>
    <row r="148" ht="16.8" customHeight="1">
      <c r="A148" s="43" t="s">
        <v>25</v>
      </c>
      <c r="B148" s="49" t="n">
        <v>138</v>
      </c>
      <c r="C148" s="49" t="s">
        <v>103</v>
      </c>
      <c r="D148" s="49" t="s">
        <v>104</v>
      </c>
      <c r="E148" s="49" t="s">
        <v>1313</v>
      </c>
      <c r="F148" s="49" t="s">
        <v>1314</v>
      </c>
      <c r="G148" s="49" t="s">
        <v>1315</v>
      </c>
      <c r="H148" s="49" t="s">
        <v>1316</v>
      </c>
      <c r="I148" s="49" t="s">
        <v>1317</v>
      </c>
      <c r="J148" s="49"/>
      <c r="K148" s="49" t="s">
        <v>206</v>
      </c>
      <c r="L148" s="49" t="s">
        <v>10</v>
      </c>
      <c r="M148" s="49" t="s">
        <v>111</v>
      </c>
      <c r="N148" s="49" t="s">
        <v>112</v>
      </c>
      <c r="O148" s="49" t="s">
        <v>1318</v>
      </c>
      <c r="P148" s="49"/>
      <c r="Q148" s="49"/>
      <c r="R148" s="49" t="s">
        <v>1313</v>
      </c>
      <c r="S148" s="49" t="s">
        <v>10</v>
      </c>
      <c r="T148" s="49" t="s">
        <v>1319</v>
      </c>
      <c r="U148" s="49" t="s">
        <v>115</v>
      </c>
      <c r="V148" s="49" t="s">
        <v>1320</v>
      </c>
      <c r="W148" s="49" t="s">
        <v>117</v>
      </c>
      <c r="X148" s="49" t="s">
        <v>312</v>
      </c>
      <c r="Y148" s="49" t="s">
        <v>206</v>
      </c>
      <c r="Z148" s="49" t="s">
        <v>1321</v>
      </c>
      <c r="AA148" s="49" t="s">
        <v>298</v>
      </c>
      <c r="AB148" s="49" t="s">
        <v>393</v>
      </c>
      <c r="AC148" s="49" t="s">
        <v>1313</v>
      </c>
      <c r="AD148" s="49" t="n">
        <v>5486526</v>
      </c>
      <c r="AE148" s="49" t="s">
        <v>10</v>
      </c>
      <c r="AF148" s="49" t="s">
        <v>1322</v>
      </c>
      <c r="AG148" s="49" t="s">
        <v>10</v>
      </c>
      <c r="AH148" s="49" t="s">
        <v>1323</v>
      </c>
      <c r="AI148" s="49" t="s">
        <v>1328</v>
      </c>
      <c r="AJ148" s="49" t="s">
        <v>1325</v>
      </c>
      <c r="AK148" s="49" t="s">
        <v>124</v>
      </c>
      <c r="AL148" s="49" t="s">
        <v>125</v>
      </c>
      <c r="AM148" s="51" t="n">
        <v>6000</v>
      </c>
      <c r="AN148" s="49"/>
      <c r="AO148" s="49" t="s">
        <v>1315</v>
      </c>
      <c r="AP148" s="49" t="s">
        <v>127</v>
      </c>
      <c r="AQ148" s="49" t="s">
        <v>128</v>
      </c>
      <c r="AR148" s="49"/>
      <c r="AS148" s="49" t="s">
        <v>1326</v>
      </c>
      <c r="AT148" s="49"/>
      <c r="AU148" s="49" t="s">
        <v>462</v>
      </c>
      <c r="AV148" s="49"/>
      <c r="AW148" s="49" t="s">
        <v>1327</v>
      </c>
      <c r="AX148" s="49"/>
      <c r="AY148" s="49"/>
      <c r="AZ148" s="49"/>
      <c r="BA148" s="49"/>
      <c r="BB148" s="49" t="n">
        <v>63745532</v>
      </c>
      <c r="BC148" s="49" t="s">
        <v>134</v>
      </c>
      <c r="BD148" s="49" t="s">
        <v>135</v>
      </c>
      <c r="BE148" s="49" t="s">
        <v>318</v>
      </c>
      <c r="BF148" s="49" t="s">
        <v>319</v>
      </c>
      <c r="BG148" s="49" t="s">
        <v>267</v>
      </c>
      <c r="BH148" s="49" t="s">
        <v>139</v>
      </c>
      <c r="BI148" s="49" t="s">
        <v>140</v>
      </c>
      <c r="BJ148" s="49" t="s">
        <v>125</v>
      </c>
      <c r="BK148" s="49"/>
      <c r="BL148" s="49"/>
      <c r="BM148" s="49"/>
      <c r="BN148" s="49" t="s">
        <v>142</v>
      </c>
      <c r="BO148" s="49" t="s">
        <v>112</v>
      </c>
    </row>
    <row r="149" ht="16.8" customHeight="1">
      <c r="A149" s="43" t="s">
        <v>25</v>
      </c>
      <c r="B149" s="49" t="n">
        <v>139</v>
      </c>
      <c r="C149" s="49" t="s">
        <v>103</v>
      </c>
      <c r="D149" s="49" t="s">
        <v>104</v>
      </c>
      <c r="E149" s="49" t="s">
        <v>320</v>
      </c>
      <c r="F149" s="49" t="s">
        <v>1329</v>
      </c>
      <c r="G149" s="49" t="s">
        <v>1330</v>
      </c>
      <c r="H149" s="49" t="s">
        <v>1331</v>
      </c>
      <c r="I149" s="49" t="s">
        <v>1332</v>
      </c>
      <c r="J149" s="49"/>
      <c r="K149" s="49" t="s">
        <v>206</v>
      </c>
      <c r="L149" s="49" t="s">
        <v>14</v>
      </c>
      <c r="M149" s="49" t="s">
        <v>1036</v>
      </c>
      <c r="N149" s="49" t="s">
        <v>1333</v>
      </c>
      <c r="O149" s="49" t="s">
        <v>125</v>
      </c>
      <c r="P149" s="49"/>
      <c r="Q149" s="49"/>
      <c r="R149" s="49" t="s">
        <v>1334</v>
      </c>
      <c r="S149" s="49" t="s">
        <v>14</v>
      </c>
      <c r="T149" s="49" t="s">
        <v>1335</v>
      </c>
      <c r="U149" s="49" t="s">
        <v>178</v>
      </c>
      <c r="V149" s="49" t="s">
        <v>1336</v>
      </c>
      <c r="W149" s="49" t="s">
        <v>117</v>
      </c>
      <c r="X149" s="49" t="s">
        <v>647</v>
      </c>
      <c r="Y149" s="49" t="s">
        <v>174</v>
      </c>
      <c r="Z149" s="49" t="s">
        <v>1337</v>
      </c>
      <c r="AA149" s="49" t="s">
        <v>1338</v>
      </c>
      <c r="AB149" s="49" t="s">
        <v>513</v>
      </c>
      <c r="AC149" s="49" t="s">
        <v>1334</v>
      </c>
      <c r="AD149" s="49" t="n">
        <v>5485010</v>
      </c>
      <c r="AE149" s="49" t="s">
        <v>14</v>
      </c>
      <c r="AF149" s="49" t="s">
        <v>1339</v>
      </c>
      <c r="AG149" s="49" t="s">
        <v>14</v>
      </c>
      <c r="AH149" s="49" t="s">
        <v>1340</v>
      </c>
      <c r="AI149" s="49" t="s">
        <v>1341</v>
      </c>
      <c r="AJ149" s="49" t="s">
        <v>1342</v>
      </c>
      <c r="AK149" s="49" t="s">
        <v>124</v>
      </c>
      <c r="AL149" s="49" t="s">
        <v>125</v>
      </c>
      <c r="AM149" s="51" t="n">
        <v>15800</v>
      </c>
      <c r="AN149" s="49"/>
      <c r="AO149" s="49" t="s">
        <v>125</v>
      </c>
      <c r="AP149" s="49" t="s">
        <v>187</v>
      </c>
      <c r="AQ149" s="49" t="s">
        <v>128</v>
      </c>
      <c r="AR149" s="49" t="s">
        <v>1062</v>
      </c>
      <c r="AS149" s="49" t="s">
        <v>1343</v>
      </c>
      <c r="AT149" s="49" t="s">
        <v>1344</v>
      </c>
      <c r="AU149" s="49" t="s">
        <v>810</v>
      </c>
      <c r="AV149" s="49"/>
      <c r="AW149" s="49" t="s">
        <v>1345</v>
      </c>
      <c r="AX149" s="49"/>
      <c r="AY149" s="49"/>
      <c r="AZ149" s="49"/>
      <c r="BA149" s="49"/>
      <c r="BB149" s="49" t="n">
        <v>66603981</v>
      </c>
      <c r="BC149" s="49" t="s">
        <v>134</v>
      </c>
      <c r="BD149" s="49" t="s">
        <v>655</v>
      </c>
      <c r="BE149" s="49" t="s">
        <v>656</v>
      </c>
      <c r="BF149" s="49" t="s">
        <v>125</v>
      </c>
      <c r="BG149" s="49"/>
      <c r="BH149" s="49" t="s">
        <v>139</v>
      </c>
      <c r="BI149" s="49" t="s">
        <v>140</v>
      </c>
      <c r="BJ149" s="49" t="s">
        <v>125</v>
      </c>
      <c r="BK149" s="49"/>
      <c r="BL149" s="49" t="s">
        <v>141</v>
      </c>
      <c r="BM149" s="49"/>
      <c r="BN149" s="49" t="s">
        <v>142</v>
      </c>
      <c r="BO149" s="49" t="s">
        <v>196</v>
      </c>
    </row>
    <row r="150" ht="16.8" customHeight="1">
      <c r="A150" s="43" t="s">
        <v>25</v>
      </c>
      <c r="B150" s="49" t="n">
        <v>140</v>
      </c>
      <c r="C150" s="49" t="s">
        <v>103</v>
      </c>
      <c r="D150" s="49" t="s">
        <v>104</v>
      </c>
      <c r="E150" s="49" t="s">
        <v>1346</v>
      </c>
      <c r="F150" s="49" t="s">
        <v>1347</v>
      </c>
      <c r="G150" s="49" t="s">
        <v>1348</v>
      </c>
      <c r="H150" s="49" t="s">
        <v>1349</v>
      </c>
      <c r="I150" s="49" t="s">
        <v>1350</v>
      </c>
      <c r="J150" s="49"/>
      <c r="K150" s="49" t="s">
        <v>250</v>
      </c>
      <c r="L150" s="49" t="s">
        <v>10</v>
      </c>
      <c r="M150" s="49" t="s">
        <v>207</v>
      </c>
      <c r="N150" s="49" t="s">
        <v>773</v>
      </c>
      <c r="O150" s="49" t="s">
        <v>125</v>
      </c>
      <c r="P150" s="49"/>
      <c r="Q150" s="49"/>
      <c r="R150" s="49" t="s">
        <v>1351</v>
      </c>
      <c r="S150" s="49" t="s">
        <v>10</v>
      </c>
      <c r="T150" s="49" t="s">
        <v>1352</v>
      </c>
      <c r="U150" s="49" t="s">
        <v>178</v>
      </c>
      <c r="V150" s="49" t="s">
        <v>1353</v>
      </c>
      <c r="W150" s="49" t="s">
        <v>117</v>
      </c>
      <c r="X150" s="49" t="s">
        <v>1354</v>
      </c>
      <c r="Y150" s="49" t="s">
        <v>110</v>
      </c>
      <c r="Z150" s="49" t="s">
        <v>1355</v>
      </c>
      <c r="AA150" s="49" t="s">
        <v>1356</v>
      </c>
      <c r="AB150" s="49" t="s">
        <v>1357</v>
      </c>
      <c r="AC150" s="49" t="s">
        <v>1351</v>
      </c>
      <c r="AD150" s="49" t="n">
        <v>5484768</v>
      </c>
      <c r="AE150" s="49" t="s">
        <v>10</v>
      </c>
      <c r="AF150" s="49" t="s">
        <v>1358</v>
      </c>
      <c r="AG150" s="49" t="s">
        <v>10</v>
      </c>
      <c r="AH150" s="49" t="s">
        <v>1359</v>
      </c>
      <c r="AI150" s="49" t="s">
        <v>1360</v>
      </c>
      <c r="AJ150" s="49" t="s">
        <v>1361</v>
      </c>
      <c r="AK150" s="49" t="s">
        <v>124</v>
      </c>
      <c r="AL150" s="49" t="s">
        <v>125</v>
      </c>
      <c r="AM150" s="51" t="n">
        <v>5000</v>
      </c>
      <c r="AN150" s="49"/>
      <c r="AO150" s="49" t="s">
        <v>125</v>
      </c>
      <c r="AP150" s="49" t="s">
        <v>187</v>
      </c>
      <c r="AQ150" s="49" t="s">
        <v>128</v>
      </c>
      <c r="AR150" s="49"/>
      <c r="AS150" s="49" t="s">
        <v>1362</v>
      </c>
      <c r="AT150" s="49"/>
      <c r="AU150" s="49" t="s">
        <v>810</v>
      </c>
      <c r="AV150" s="49"/>
      <c r="AW150" s="49" t="s">
        <v>1363</v>
      </c>
      <c r="AX150" s="49"/>
      <c r="AY150" s="49"/>
      <c r="AZ150" s="49"/>
      <c r="BA150" s="49"/>
      <c r="BB150" s="49" t="n">
        <v>70538136</v>
      </c>
      <c r="BC150" s="49" t="s">
        <v>134</v>
      </c>
      <c r="BD150" s="49" t="s">
        <v>135</v>
      </c>
      <c r="BE150" s="49" t="s">
        <v>1364</v>
      </c>
      <c r="BF150" s="49" t="s">
        <v>137</v>
      </c>
      <c r="BG150" s="49"/>
      <c r="BH150" s="49" t="s">
        <v>194</v>
      </c>
      <c r="BI150" s="49" t="s">
        <v>140</v>
      </c>
      <c r="BJ150" s="49" t="s">
        <v>125</v>
      </c>
      <c r="BK150" s="49"/>
      <c r="BL150" s="49"/>
      <c r="BM150" s="49"/>
      <c r="BN150" s="49" t="s">
        <v>142</v>
      </c>
      <c r="BO150" s="49" t="s">
        <v>338</v>
      </c>
    </row>
    <row r="151" ht="16.8" customHeight="1">
      <c r="A151" s="43" t="s">
        <v>25</v>
      </c>
      <c r="B151" s="49" t="n">
        <v>141</v>
      </c>
      <c r="C151" s="49" t="s">
        <v>103</v>
      </c>
      <c r="D151" s="49" t="s">
        <v>104</v>
      </c>
      <c r="E151" s="49" t="s">
        <v>1346</v>
      </c>
      <c r="F151" s="49" t="s">
        <v>1347</v>
      </c>
      <c r="G151" s="49" t="s">
        <v>1348</v>
      </c>
      <c r="H151" s="49" t="s">
        <v>1349</v>
      </c>
      <c r="I151" s="49" t="s">
        <v>1350</v>
      </c>
      <c r="J151" s="49"/>
      <c r="K151" s="49" t="s">
        <v>250</v>
      </c>
      <c r="L151" s="49" t="s">
        <v>10</v>
      </c>
      <c r="M151" s="49" t="s">
        <v>207</v>
      </c>
      <c r="N151" s="49" t="s">
        <v>773</v>
      </c>
      <c r="O151" s="49" t="s">
        <v>125</v>
      </c>
      <c r="P151" s="49"/>
      <c r="Q151" s="49"/>
      <c r="R151" s="49" t="s">
        <v>1351</v>
      </c>
      <c r="S151" s="49" t="s">
        <v>10</v>
      </c>
      <c r="T151" s="49" t="s">
        <v>1352</v>
      </c>
      <c r="U151" s="49" t="s">
        <v>178</v>
      </c>
      <c r="V151" s="49" t="s">
        <v>1353</v>
      </c>
      <c r="W151" s="49" t="s">
        <v>117</v>
      </c>
      <c r="X151" s="49" t="s">
        <v>1354</v>
      </c>
      <c r="Y151" s="49" t="s">
        <v>110</v>
      </c>
      <c r="Z151" s="49" t="s">
        <v>1355</v>
      </c>
      <c r="AA151" s="49" t="s">
        <v>1356</v>
      </c>
      <c r="AB151" s="49" t="s">
        <v>1357</v>
      </c>
      <c r="AC151" s="49" t="s">
        <v>1351</v>
      </c>
      <c r="AD151" s="49" t="n">
        <v>5484768</v>
      </c>
      <c r="AE151" s="49" t="s">
        <v>10</v>
      </c>
      <c r="AF151" s="49" t="s">
        <v>1358</v>
      </c>
      <c r="AG151" s="49" t="s">
        <v>10</v>
      </c>
      <c r="AH151" s="49" t="s">
        <v>1359</v>
      </c>
      <c r="AI151" s="49" t="s">
        <v>1365</v>
      </c>
      <c r="AJ151" s="49" t="s">
        <v>1366</v>
      </c>
      <c r="AK151" s="49" t="s">
        <v>124</v>
      </c>
      <c r="AL151" s="49" t="s">
        <v>125</v>
      </c>
      <c r="AM151" s="51" t="n">
        <v>260000</v>
      </c>
      <c r="AN151" s="49"/>
      <c r="AO151" s="49" t="s">
        <v>125</v>
      </c>
      <c r="AP151" s="49" t="s">
        <v>187</v>
      </c>
      <c r="AQ151" s="49" t="s">
        <v>128</v>
      </c>
      <c r="AR151" s="49"/>
      <c r="AS151" s="49" t="s">
        <v>1362</v>
      </c>
      <c r="AT151" s="49" t="s">
        <v>1367</v>
      </c>
      <c r="AU151" s="49" t="s">
        <v>810</v>
      </c>
      <c r="AV151" s="49"/>
      <c r="AW151" s="49" t="s">
        <v>1363</v>
      </c>
      <c r="AX151" s="49"/>
      <c r="AY151" s="49"/>
      <c r="AZ151" s="49"/>
      <c r="BA151" s="49"/>
      <c r="BB151" s="49" t="n">
        <v>70538136</v>
      </c>
      <c r="BC151" s="49" t="s">
        <v>134</v>
      </c>
      <c r="BD151" s="49" t="s">
        <v>135</v>
      </c>
      <c r="BE151" s="49" t="s">
        <v>1364</v>
      </c>
      <c r="BF151" s="49" t="s">
        <v>137</v>
      </c>
      <c r="BG151" s="49"/>
      <c r="BH151" s="49" t="s">
        <v>194</v>
      </c>
      <c r="BI151" s="49" t="s">
        <v>140</v>
      </c>
      <c r="BJ151" s="49" t="s">
        <v>125</v>
      </c>
      <c r="BK151" s="49"/>
      <c r="BL151" s="49"/>
      <c r="BM151" s="49"/>
      <c r="BN151" s="49" t="s">
        <v>142</v>
      </c>
      <c r="BO151" s="49" t="s">
        <v>338</v>
      </c>
    </row>
    <row r="152" ht="16.8" customHeight="1">
      <c r="A152" s="43" t="s">
        <v>25</v>
      </c>
      <c r="B152" s="49" t="n">
        <v>142</v>
      </c>
      <c r="C152" s="49" t="s">
        <v>103</v>
      </c>
      <c r="D152" s="49" t="s">
        <v>104</v>
      </c>
      <c r="E152" s="49" t="s">
        <v>1346</v>
      </c>
      <c r="F152" s="49" t="s">
        <v>1347</v>
      </c>
      <c r="G152" s="49" t="s">
        <v>1348</v>
      </c>
      <c r="H152" s="49" t="s">
        <v>1349</v>
      </c>
      <c r="I152" s="49" t="s">
        <v>1350</v>
      </c>
      <c r="J152" s="49"/>
      <c r="K152" s="49" t="s">
        <v>250</v>
      </c>
      <c r="L152" s="49" t="s">
        <v>10</v>
      </c>
      <c r="M152" s="49" t="s">
        <v>207</v>
      </c>
      <c r="N152" s="49" t="s">
        <v>773</v>
      </c>
      <c r="O152" s="49" t="s">
        <v>125</v>
      </c>
      <c r="P152" s="49"/>
      <c r="Q152" s="49"/>
      <c r="R152" s="49" t="s">
        <v>1351</v>
      </c>
      <c r="S152" s="49" t="s">
        <v>10</v>
      </c>
      <c r="T152" s="49" t="s">
        <v>1352</v>
      </c>
      <c r="U152" s="49" t="s">
        <v>178</v>
      </c>
      <c r="V152" s="49" t="s">
        <v>1353</v>
      </c>
      <c r="W152" s="49" t="s">
        <v>117</v>
      </c>
      <c r="X152" s="49" t="s">
        <v>1354</v>
      </c>
      <c r="Y152" s="49" t="s">
        <v>110</v>
      </c>
      <c r="Z152" s="49" t="s">
        <v>1355</v>
      </c>
      <c r="AA152" s="49" t="s">
        <v>1356</v>
      </c>
      <c r="AB152" s="49" t="s">
        <v>1357</v>
      </c>
      <c r="AC152" s="49" t="s">
        <v>1351</v>
      </c>
      <c r="AD152" s="49" t="n">
        <v>5484768</v>
      </c>
      <c r="AE152" s="49" t="s">
        <v>10</v>
      </c>
      <c r="AF152" s="49" t="s">
        <v>1358</v>
      </c>
      <c r="AG152" s="49" t="s">
        <v>10</v>
      </c>
      <c r="AH152" s="49" t="s">
        <v>1359</v>
      </c>
      <c r="AI152" s="49" t="s">
        <v>1368</v>
      </c>
      <c r="AJ152" s="49" t="s">
        <v>1369</v>
      </c>
      <c r="AK152" s="49" t="s">
        <v>124</v>
      </c>
      <c r="AL152" s="49" t="s">
        <v>125</v>
      </c>
      <c r="AM152" s="51" t="n">
        <v>12000</v>
      </c>
      <c r="AN152" s="49"/>
      <c r="AO152" s="49" t="s">
        <v>125</v>
      </c>
      <c r="AP152" s="49" t="s">
        <v>187</v>
      </c>
      <c r="AQ152" s="49" t="s">
        <v>128</v>
      </c>
      <c r="AR152" s="49"/>
      <c r="AS152" s="49" t="s">
        <v>1362</v>
      </c>
      <c r="AT152" s="49" t="s">
        <v>1370</v>
      </c>
      <c r="AU152" s="49" t="s">
        <v>810</v>
      </c>
      <c r="AV152" s="49"/>
      <c r="AW152" s="49" t="s">
        <v>1363</v>
      </c>
      <c r="AX152" s="49"/>
      <c r="AY152" s="49"/>
      <c r="AZ152" s="49"/>
      <c r="BA152" s="49"/>
      <c r="BB152" s="49" t="n">
        <v>70538136</v>
      </c>
      <c r="BC152" s="49" t="s">
        <v>134</v>
      </c>
      <c r="BD152" s="49" t="s">
        <v>135</v>
      </c>
      <c r="BE152" s="49" t="s">
        <v>1364</v>
      </c>
      <c r="BF152" s="49" t="s">
        <v>137</v>
      </c>
      <c r="BG152" s="49"/>
      <c r="BH152" s="49" t="s">
        <v>194</v>
      </c>
      <c r="BI152" s="49" t="s">
        <v>140</v>
      </c>
      <c r="BJ152" s="49" t="s">
        <v>125</v>
      </c>
      <c r="BK152" s="49"/>
      <c r="BL152" s="49"/>
      <c r="BM152" s="49"/>
      <c r="BN152" s="49" t="s">
        <v>142</v>
      </c>
      <c r="BO152" s="49" t="s">
        <v>338</v>
      </c>
    </row>
    <row r="153" ht="16.8" customHeight="1">
      <c r="A153" s="43" t="s">
        <v>25</v>
      </c>
      <c r="B153" s="49" t="n">
        <v>143</v>
      </c>
      <c r="C153" s="49" t="s">
        <v>103</v>
      </c>
      <c r="D153" s="49" t="s">
        <v>104</v>
      </c>
      <c r="E153" s="49" t="s">
        <v>1371</v>
      </c>
      <c r="F153" s="49" t="s">
        <v>1372</v>
      </c>
      <c r="G153" s="49" t="s">
        <v>1373</v>
      </c>
      <c r="H153" s="49" t="s">
        <v>1374</v>
      </c>
      <c r="I153" s="113" t="s">
        <v>1375</v>
      </c>
      <c r="J153" s="49" t="s">
        <v>125</v>
      </c>
      <c r="K153" s="49" t="s">
        <v>250</v>
      </c>
      <c r="L153" s="49" t="s">
        <v>14</v>
      </c>
      <c r="M153" s="49" t="s">
        <v>432</v>
      </c>
      <c r="N153" s="49" t="s">
        <v>1376</v>
      </c>
      <c r="O153" s="49" t="s">
        <v>125</v>
      </c>
      <c r="P153" s="49"/>
      <c r="Q153" s="49"/>
      <c r="R153" s="49" t="s">
        <v>1377</v>
      </c>
      <c r="S153" s="49" t="s">
        <v>14</v>
      </c>
      <c r="T153" s="49" t="s">
        <v>1378</v>
      </c>
      <c r="U153" s="49" t="s">
        <v>178</v>
      </c>
      <c r="V153" s="49" t="s">
        <v>1379</v>
      </c>
      <c r="W153" s="49" t="s">
        <v>117</v>
      </c>
      <c r="X153" s="49" t="s">
        <v>748</v>
      </c>
      <c r="Y153" s="49" t="s">
        <v>174</v>
      </c>
      <c r="Z153" s="49" t="s">
        <v>1380</v>
      </c>
      <c r="AA153" s="49" t="s">
        <v>1381</v>
      </c>
      <c r="AB153" s="49" t="s">
        <v>1382</v>
      </c>
      <c r="AC153" s="49" t="s">
        <v>1377</v>
      </c>
      <c r="AD153" s="49" t="n">
        <v>5457443</v>
      </c>
      <c r="AE153" s="49" t="s">
        <v>14</v>
      </c>
      <c r="AF153" s="49" t="s">
        <v>1383</v>
      </c>
      <c r="AG153" s="49" t="s">
        <v>14</v>
      </c>
      <c r="AH153" s="49" t="s">
        <v>1087</v>
      </c>
      <c r="AI153" s="49" t="s">
        <v>874</v>
      </c>
      <c r="AJ153" s="49" t="s">
        <v>875</v>
      </c>
      <c r="AK153" s="49" t="s">
        <v>124</v>
      </c>
      <c r="AL153" s="49" t="s">
        <v>125</v>
      </c>
      <c r="AM153" s="51" t="n">
        <v>2720</v>
      </c>
      <c r="AN153" s="49"/>
      <c r="AO153" s="49" t="s">
        <v>125</v>
      </c>
      <c r="AP153" s="49" t="s">
        <v>187</v>
      </c>
      <c r="AQ153" s="49" t="s">
        <v>128</v>
      </c>
      <c r="AR153" s="49" t="s">
        <v>1062</v>
      </c>
      <c r="AS153" s="49" t="s">
        <v>1384</v>
      </c>
      <c r="AT153" s="49" t="s">
        <v>1385</v>
      </c>
      <c r="AU153" s="49" t="s">
        <v>810</v>
      </c>
      <c r="AV153" s="49"/>
      <c r="AW153" s="49" t="s">
        <v>1386</v>
      </c>
      <c r="AX153" s="49"/>
      <c r="AY153" s="49"/>
      <c r="AZ153" s="49"/>
      <c r="BA153" s="49"/>
      <c r="BB153" s="49" t="n">
        <v>71092352</v>
      </c>
      <c r="BC153" s="49" t="s">
        <v>134</v>
      </c>
      <c r="BD153" s="49" t="s">
        <v>191</v>
      </c>
      <c r="BE153" s="49" t="s">
        <v>1387</v>
      </c>
      <c r="BF153" s="49" t="s">
        <v>424</v>
      </c>
      <c r="BG153" s="49" t="s">
        <v>138</v>
      </c>
      <c r="BH153" s="49" t="s">
        <v>139</v>
      </c>
      <c r="BI153" s="49" t="s">
        <v>140</v>
      </c>
      <c r="BJ153" s="49" t="s">
        <v>125</v>
      </c>
      <c r="BK153" s="49"/>
      <c r="BL153" s="49" t="s">
        <v>141</v>
      </c>
      <c r="BM153" s="49"/>
      <c r="BN153" s="49" t="s">
        <v>227</v>
      </c>
      <c r="BO153" s="49" t="s">
        <v>196</v>
      </c>
    </row>
    <row r="154" ht="16.8" customHeight="1">
      <c r="A154" s="43" t="s">
        <v>25</v>
      </c>
      <c r="B154" s="49" t="n">
        <v>144</v>
      </c>
      <c r="C154" s="49" t="s">
        <v>103</v>
      </c>
      <c r="D154" s="49" t="s">
        <v>104</v>
      </c>
      <c r="E154" s="49" t="s">
        <v>1371</v>
      </c>
      <c r="F154" s="49" t="s">
        <v>1372</v>
      </c>
      <c r="G154" s="49" t="s">
        <v>1373</v>
      </c>
      <c r="H154" s="49" t="s">
        <v>1374</v>
      </c>
      <c r="I154" s="114" t="s">
        <v>1375</v>
      </c>
      <c r="J154" s="49" t="s">
        <v>125</v>
      </c>
      <c r="K154" s="49" t="s">
        <v>250</v>
      </c>
      <c r="L154" s="49" t="s">
        <v>14</v>
      </c>
      <c r="M154" s="49" t="s">
        <v>432</v>
      </c>
      <c r="N154" s="49" t="s">
        <v>1376</v>
      </c>
      <c r="O154" s="49" t="s">
        <v>125</v>
      </c>
      <c r="P154" s="49"/>
      <c r="Q154" s="49"/>
      <c r="R154" s="49" t="s">
        <v>1377</v>
      </c>
      <c r="S154" s="49" t="s">
        <v>14</v>
      </c>
      <c r="T154" s="49" t="s">
        <v>1378</v>
      </c>
      <c r="U154" s="49" t="s">
        <v>178</v>
      </c>
      <c r="V154" s="49" t="s">
        <v>1379</v>
      </c>
      <c r="W154" s="49" t="s">
        <v>117</v>
      </c>
      <c r="X154" s="49" t="s">
        <v>748</v>
      </c>
      <c r="Y154" s="49" t="s">
        <v>174</v>
      </c>
      <c r="Z154" s="49" t="s">
        <v>1380</v>
      </c>
      <c r="AA154" s="49" t="s">
        <v>1381</v>
      </c>
      <c r="AB154" s="49" t="s">
        <v>1382</v>
      </c>
      <c r="AC154" s="49" t="s">
        <v>1377</v>
      </c>
      <c r="AD154" s="49" t="n">
        <v>5457443</v>
      </c>
      <c r="AE154" s="49" t="s">
        <v>14</v>
      </c>
      <c r="AF154" s="49" t="s">
        <v>1383</v>
      </c>
      <c r="AG154" s="49" t="s">
        <v>14</v>
      </c>
      <c r="AH154" s="49" t="s">
        <v>1087</v>
      </c>
      <c r="AI154" s="49" t="s">
        <v>1388</v>
      </c>
      <c r="AJ154" s="49" t="s">
        <v>894</v>
      </c>
      <c r="AK154" s="49" t="s">
        <v>124</v>
      </c>
      <c r="AL154" s="49" t="s">
        <v>125</v>
      </c>
      <c r="AM154" s="51" t="n">
        <v>4535.5</v>
      </c>
      <c r="AN154" s="49"/>
      <c r="AO154" s="49" t="s">
        <v>125</v>
      </c>
      <c r="AP154" s="49" t="s">
        <v>187</v>
      </c>
      <c r="AQ154" s="49" t="s">
        <v>128</v>
      </c>
      <c r="AR154" s="49" t="s">
        <v>1062</v>
      </c>
      <c r="AS154" s="49" t="s">
        <v>1384</v>
      </c>
      <c r="AT154" s="49" t="s">
        <v>1389</v>
      </c>
      <c r="AU154" s="49" t="s">
        <v>810</v>
      </c>
      <c r="AV154" s="49"/>
      <c r="AW154" s="49" t="s">
        <v>1386</v>
      </c>
      <c r="AX154" s="49"/>
      <c r="AY154" s="49"/>
      <c r="AZ154" s="49"/>
      <c r="BA154" s="49"/>
      <c r="BB154" s="49" t="n">
        <v>71092352</v>
      </c>
      <c r="BC154" s="49" t="s">
        <v>134</v>
      </c>
      <c r="BD154" s="49" t="s">
        <v>191</v>
      </c>
      <c r="BE154" s="49" t="s">
        <v>1387</v>
      </c>
      <c r="BF154" s="49" t="s">
        <v>424</v>
      </c>
      <c r="BG154" s="49" t="s">
        <v>138</v>
      </c>
      <c r="BH154" s="49" t="s">
        <v>139</v>
      </c>
      <c r="BI154" s="49" t="s">
        <v>140</v>
      </c>
      <c r="BJ154" s="49" t="s">
        <v>125</v>
      </c>
      <c r="BK154" s="49"/>
      <c r="BL154" s="49" t="s">
        <v>141</v>
      </c>
      <c r="BM154" s="49"/>
      <c r="BN154" s="49" t="s">
        <v>227</v>
      </c>
      <c r="BO154" s="49" t="s">
        <v>196</v>
      </c>
    </row>
    <row r="155" ht="16.8" customHeight="1">
      <c r="A155" s="43" t="s">
        <v>25</v>
      </c>
      <c r="B155" s="49" t="n">
        <v>145</v>
      </c>
      <c r="C155" s="49" t="s">
        <v>103</v>
      </c>
      <c r="D155" s="49" t="s">
        <v>104</v>
      </c>
      <c r="E155" s="49" t="s">
        <v>1371</v>
      </c>
      <c r="F155" s="49" t="s">
        <v>1372</v>
      </c>
      <c r="G155" s="49" t="s">
        <v>1373</v>
      </c>
      <c r="H155" s="49" t="s">
        <v>1374</v>
      </c>
      <c r="I155" s="115" t="s">
        <v>1375</v>
      </c>
      <c r="J155" s="49" t="s">
        <v>125</v>
      </c>
      <c r="K155" s="49" t="s">
        <v>250</v>
      </c>
      <c r="L155" s="49" t="s">
        <v>14</v>
      </c>
      <c r="M155" s="49" t="s">
        <v>432</v>
      </c>
      <c r="N155" s="49" t="s">
        <v>1376</v>
      </c>
      <c r="O155" s="49" t="s">
        <v>125</v>
      </c>
      <c r="P155" s="49"/>
      <c r="Q155" s="49"/>
      <c r="R155" s="49" t="s">
        <v>1377</v>
      </c>
      <c r="S155" s="49" t="s">
        <v>14</v>
      </c>
      <c r="T155" s="49" t="s">
        <v>1378</v>
      </c>
      <c r="U155" s="49" t="s">
        <v>178</v>
      </c>
      <c r="V155" s="49" t="s">
        <v>1379</v>
      </c>
      <c r="W155" s="49" t="s">
        <v>117</v>
      </c>
      <c r="X155" s="49" t="s">
        <v>748</v>
      </c>
      <c r="Y155" s="49" t="s">
        <v>174</v>
      </c>
      <c r="Z155" s="49" t="s">
        <v>1380</v>
      </c>
      <c r="AA155" s="49" t="s">
        <v>1381</v>
      </c>
      <c r="AB155" s="49" t="s">
        <v>1382</v>
      </c>
      <c r="AC155" s="49" t="s">
        <v>1377</v>
      </c>
      <c r="AD155" s="49" t="n">
        <v>5457443</v>
      </c>
      <c r="AE155" s="49" t="s">
        <v>14</v>
      </c>
      <c r="AF155" s="49" t="s">
        <v>1383</v>
      </c>
      <c r="AG155" s="49" t="s">
        <v>14</v>
      </c>
      <c r="AH155" s="49" t="s">
        <v>1087</v>
      </c>
      <c r="AI155" s="49" t="s">
        <v>884</v>
      </c>
      <c r="AJ155" s="49" t="s">
        <v>885</v>
      </c>
      <c r="AK155" s="49" t="s">
        <v>124</v>
      </c>
      <c r="AL155" s="49" t="s">
        <v>125</v>
      </c>
      <c r="AM155" s="51" t="n">
        <v>7040</v>
      </c>
      <c r="AN155" s="49"/>
      <c r="AO155" s="49" t="s">
        <v>125</v>
      </c>
      <c r="AP155" s="49" t="s">
        <v>187</v>
      </c>
      <c r="AQ155" s="49" t="s">
        <v>128</v>
      </c>
      <c r="AR155" s="49" t="s">
        <v>1062</v>
      </c>
      <c r="AS155" s="49" t="s">
        <v>1384</v>
      </c>
      <c r="AT155" s="49" t="s">
        <v>1390</v>
      </c>
      <c r="AU155" s="49" t="s">
        <v>810</v>
      </c>
      <c r="AV155" s="49"/>
      <c r="AW155" s="49" t="s">
        <v>1386</v>
      </c>
      <c r="AX155" s="49"/>
      <c r="AY155" s="49"/>
      <c r="AZ155" s="49"/>
      <c r="BA155" s="49"/>
      <c r="BB155" s="49" t="n">
        <v>71092352</v>
      </c>
      <c r="BC155" s="49" t="s">
        <v>134</v>
      </c>
      <c r="BD155" s="49" t="s">
        <v>191</v>
      </c>
      <c r="BE155" s="49" t="s">
        <v>1387</v>
      </c>
      <c r="BF155" s="49" t="s">
        <v>424</v>
      </c>
      <c r="BG155" s="49" t="s">
        <v>138</v>
      </c>
      <c r="BH155" s="49" t="s">
        <v>139</v>
      </c>
      <c r="BI155" s="49" t="s">
        <v>140</v>
      </c>
      <c r="BJ155" s="49" t="s">
        <v>125</v>
      </c>
      <c r="BK155" s="49"/>
      <c r="BL155" s="49" t="s">
        <v>141</v>
      </c>
      <c r="BM155" s="49"/>
      <c r="BN155" s="49" t="s">
        <v>227</v>
      </c>
      <c r="BO155" s="49" t="s">
        <v>196</v>
      </c>
    </row>
    <row r="156" ht="16.8" customHeight="1">
      <c r="A156" s="43" t="s">
        <v>25</v>
      </c>
      <c r="B156" s="49" t="n">
        <v>146</v>
      </c>
      <c r="C156" s="49" t="s">
        <v>103</v>
      </c>
      <c r="D156" s="49" t="s">
        <v>104</v>
      </c>
      <c r="E156" s="49" t="s">
        <v>1371</v>
      </c>
      <c r="F156" s="49" t="s">
        <v>1372</v>
      </c>
      <c r="G156" s="49" t="s">
        <v>1373</v>
      </c>
      <c r="H156" s="49" t="s">
        <v>1374</v>
      </c>
      <c r="I156" s="116" t="s">
        <v>1375</v>
      </c>
      <c r="J156" s="49" t="s">
        <v>125</v>
      </c>
      <c r="K156" s="49" t="s">
        <v>250</v>
      </c>
      <c r="L156" s="49" t="s">
        <v>14</v>
      </c>
      <c r="M156" s="49" t="s">
        <v>432</v>
      </c>
      <c r="N156" s="49" t="s">
        <v>1376</v>
      </c>
      <c r="O156" s="49" t="s">
        <v>125</v>
      </c>
      <c r="P156" s="49"/>
      <c r="Q156" s="49"/>
      <c r="R156" s="49" t="s">
        <v>1377</v>
      </c>
      <c r="S156" s="49" t="s">
        <v>14</v>
      </c>
      <c r="T156" s="49" t="s">
        <v>1378</v>
      </c>
      <c r="U156" s="49" t="s">
        <v>178</v>
      </c>
      <c r="V156" s="49" t="s">
        <v>1379</v>
      </c>
      <c r="W156" s="49" t="s">
        <v>117</v>
      </c>
      <c r="X156" s="49" t="s">
        <v>748</v>
      </c>
      <c r="Y156" s="49" t="s">
        <v>174</v>
      </c>
      <c r="Z156" s="49" t="s">
        <v>1380</v>
      </c>
      <c r="AA156" s="49" t="s">
        <v>1381</v>
      </c>
      <c r="AB156" s="49" t="s">
        <v>1382</v>
      </c>
      <c r="AC156" s="49" t="s">
        <v>1377</v>
      </c>
      <c r="AD156" s="49" t="n">
        <v>5457443</v>
      </c>
      <c r="AE156" s="49" t="s">
        <v>14</v>
      </c>
      <c r="AF156" s="49" t="s">
        <v>1383</v>
      </c>
      <c r="AG156" s="49" t="s">
        <v>14</v>
      </c>
      <c r="AH156" s="49" t="s">
        <v>1087</v>
      </c>
      <c r="AI156" s="49" t="s">
        <v>881</v>
      </c>
      <c r="AJ156" s="49" t="s">
        <v>882</v>
      </c>
      <c r="AK156" s="49" t="s">
        <v>124</v>
      </c>
      <c r="AL156" s="49" t="s">
        <v>125</v>
      </c>
      <c r="AM156" s="51" t="n">
        <v>8248.9</v>
      </c>
      <c r="AN156" s="49"/>
      <c r="AO156" s="49" t="s">
        <v>125</v>
      </c>
      <c r="AP156" s="49" t="s">
        <v>187</v>
      </c>
      <c r="AQ156" s="49" t="s">
        <v>128</v>
      </c>
      <c r="AR156" s="49" t="s">
        <v>1062</v>
      </c>
      <c r="AS156" s="49" t="s">
        <v>1384</v>
      </c>
      <c r="AT156" s="49" t="s">
        <v>1391</v>
      </c>
      <c r="AU156" s="49" t="s">
        <v>810</v>
      </c>
      <c r="AV156" s="49"/>
      <c r="AW156" s="49" t="s">
        <v>1386</v>
      </c>
      <c r="AX156" s="49"/>
      <c r="AY156" s="49"/>
      <c r="AZ156" s="49"/>
      <c r="BA156" s="49"/>
      <c r="BB156" s="49" t="n">
        <v>71092352</v>
      </c>
      <c r="BC156" s="49" t="s">
        <v>134</v>
      </c>
      <c r="BD156" s="49" t="s">
        <v>191</v>
      </c>
      <c r="BE156" s="49" t="s">
        <v>1387</v>
      </c>
      <c r="BF156" s="49" t="s">
        <v>424</v>
      </c>
      <c r="BG156" s="49" t="s">
        <v>138</v>
      </c>
      <c r="BH156" s="49" t="s">
        <v>139</v>
      </c>
      <c r="BI156" s="49" t="s">
        <v>140</v>
      </c>
      <c r="BJ156" s="49" t="s">
        <v>125</v>
      </c>
      <c r="BK156" s="49"/>
      <c r="BL156" s="49" t="s">
        <v>141</v>
      </c>
      <c r="BM156" s="49"/>
      <c r="BN156" s="49" t="s">
        <v>227</v>
      </c>
      <c r="BO156" s="49" t="s">
        <v>196</v>
      </c>
    </row>
    <row r="157" ht="16.8" customHeight="1">
      <c r="A157" s="43" t="s">
        <v>25</v>
      </c>
      <c r="B157" s="49" t="n">
        <v>147</v>
      </c>
      <c r="C157" s="49" t="s">
        <v>103</v>
      </c>
      <c r="D157" s="49" t="s">
        <v>104</v>
      </c>
      <c r="E157" s="49" t="s">
        <v>1371</v>
      </c>
      <c r="F157" s="49" t="s">
        <v>1372</v>
      </c>
      <c r="G157" s="49" t="s">
        <v>1373</v>
      </c>
      <c r="H157" s="49" t="s">
        <v>1374</v>
      </c>
      <c r="I157" s="117" t="s">
        <v>1375</v>
      </c>
      <c r="J157" s="49" t="s">
        <v>125</v>
      </c>
      <c r="K157" s="49" t="s">
        <v>250</v>
      </c>
      <c r="L157" s="49" t="s">
        <v>14</v>
      </c>
      <c r="M157" s="49" t="s">
        <v>432</v>
      </c>
      <c r="N157" s="49" t="s">
        <v>1376</v>
      </c>
      <c r="O157" s="49" t="s">
        <v>125</v>
      </c>
      <c r="P157" s="49"/>
      <c r="Q157" s="49"/>
      <c r="R157" s="49" t="s">
        <v>1377</v>
      </c>
      <c r="S157" s="49" t="s">
        <v>14</v>
      </c>
      <c r="T157" s="49" t="s">
        <v>1378</v>
      </c>
      <c r="U157" s="49" t="s">
        <v>178</v>
      </c>
      <c r="V157" s="49" t="s">
        <v>1379</v>
      </c>
      <c r="W157" s="49" t="s">
        <v>117</v>
      </c>
      <c r="X157" s="49" t="s">
        <v>748</v>
      </c>
      <c r="Y157" s="49" t="s">
        <v>174</v>
      </c>
      <c r="Z157" s="49" t="s">
        <v>1380</v>
      </c>
      <c r="AA157" s="49" t="s">
        <v>1381</v>
      </c>
      <c r="AB157" s="49" t="s">
        <v>1382</v>
      </c>
      <c r="AC157" s="49" t="s">
        <v>1377</v>
      </c>
      <c r="AD157" s="49" t="n">
        <v>5457443</v>
      </c>
      <c r="AE157" s="49" t="s">
        <v>14</v>
      </c>
      <c r="AF157" s="49" t="s">
        <v>1383</v>
      </c>
      <c r="AG157" s="49" t="s">
        <v>14</v>
      </c>
      <c r="AH157" s="49" t="s">
        <v>1087</v>
      </c>
      <c r="AI157" s="49" t="s">
        <v>887</v>
      </c>
      <c r="AJ157" s="49" t="s">
        <v>888</v>
      </c>
      <c r="AK157" s="49" t="s">
        <v>124</v>
      </c>
      <c r="AL157" s="49" t="s">
        <v>125</v>
      </c>
      <c r="AM157" s="51" t="n">
        <v>10400.7</v>
      </c>
      <c r="AN157" s="49"/>
      <c r="AO157" s="49" t="s">
        <v>125</v>
      </c>
      <c r="AP157" s="49" t="s">
        <v>187</v>
      </c>
      <c r="AQ157" s="49" t="s">
        <v>128</v>
      </c>
      <c r="AR157" s="49" t="s">
        <v>1062</v>
      </c>
      <c r="AS157" s="49" t="s">
        <v>1384</v>
      </c>
      <c r="AT157" s="49" t="s">
        <v>1392</v>
      </c>
      <c r="AU157" s="49" t="s">
        <v>810</v>
      </c>
      <c r="AV157" s="49"/>
      <c r="AW157" s="49" t="s">
        <v>1386</v>
      </c>
      <c r="AX157" s="49"/>
      <c r="AY157" s="49"/>
      <c r="AZ157" s="49"/>
      <c r="BA157" s="49"/>
      <c r="BB157" s="49" t="n">
        <v>71092352</v>
      </c>
      <c r="BC157" s="49" t="s">
        <v>134</v>
      </c>
      <c r="BD157" s="49" t="s">
        <v>191</v>
      </c>
      <c r="BE157" s="49" t="s">
        <v>1387</v>
      </c>
      <c r="BF157" s="49" t="s">
        <v>424</v>
      </c>
      <c r="BG157" s="49" t="s">
        <v>138</v>
      </c>
      <c r="BH157" s="49" t="s">
        <v>139</v>
      </c>
      <c r="BI157" s="49" t="s">
        <v>140</v>
      </c>
      <c r="BJ157" s="49" t="s">
        <v>125</v>
      </c>
      <c r="BK157" s="49"/>
      <c r="BL157" s="49" t="s">
        <v>141</v>
      </c>
      <c r="BM157" s="49"/>
      <c r="BN157" s="49" t="s">
        <v>227</v>
      </c>
      <c r="BO157" s="49" t="s">
        <v>196</v>
      </c>
    </row>
    <row r="158" ht="16.8" customHeight="1">
      <c r="A158" s="43" t="s">
        <v>25</v>
      </c>
      <c r="B158" s="49" t="n">
        <v>148</v>
      </c>
      <c r="C158" s="49" t="s">
        <v>103</v>
      </c>
      <c r="D158" s="49" t="s">
        <v>104</v>
      </c>
      <c r="E158" s="49" t="s">
        <v>1371</v>
      </c>
      <c r="F158" s="49" t="s">
        <v>1372</v>
      </c>
      <c r="G158" s="49" t="s">
        <v>1373</v>
      </c>
      <c r="H158" s="49" t="s">
        <v>1374</v>
      </c>
      <c r="I158" s="118" t="s">
        <v>1375</v>
      </c>
      <c r="J158" s="49" t="s">
        <v>125</v>
      </c>
      <c r="K158" s="49" t="s">
        <v>250</v>
      </c>
      <c r="L158" s="49" t="s">
        <v>14</v>
      </c>
      <c r="M158" s="49" t="s">
        <v>432</v>
      </c>
      <c r="N158" s="49" t="s">
        <v>1376</v>
      </c>
      <c r="O158" s="49" t="s">
        <v>125</v>
      </c>
      <c r="P158" s="49"/>
      <c r="Q158" s="49"/>
      <c r="R158" s="49" t="s">
        <v>1377</v>
      </c>
      <c r="S158" s="49" t="s">
        <v>14</v>
      </c>
      <c r="T158" s="49" t="s">
        <v>1378</v>
      </c>
      <c r="U158" s="49" t="s">
        <v>178</v>
      </c>
      <c r="V158" s="49" t="s">
        <v>1379</v>
      </c>
      <c r="W158" s="49" t="s">
        <v>117</v>
      </c>
      <c r="X158" s="49" t="s">
        <v>748</v>
      </c>
      <c r="Y158" s="49" t="s">
        <v>174</v>
      </c>
      <c r="Z158" s="49" t="s">
        <v>1380</v>
      </c>
      <c r="AA158" s="49" t="s">
        <v>1381</v>
      </c>
      <c r="AB158" s="49" t="s">
        <v>1382</v>
      </c>
      <c r="AC158" s="49" t="s">
        <v>1377</v>
      </c>
      <c r="AD158" s="49" t="n">
        <v>5457443</v>
      </c>
      <c r="AE158" s="49" t="s">
        <v>14</v>
      </c>
      <c r="AF158" s="49" t="s">
        <v>1383</v>
      </c>
      <c r="AG158" s="49" t="s">
        <v>14</v>
      </c>
      <c r="AH158" s="49" t="s">
        <v>1087</v>
      </c>
      <c r="AI158" s="49" t="s">
        <v>890</v>
      </c>
      <c r="AJ158" s="49" t="s">
        <v>891</v>
      </c>
      <c r="AK158" s="49" t="s">
        <v>124</v>
      </c>
      <c r="AL158" s="49" t="s">
        <v>125</v>
      </c>
      <c r="AM158" s="51" t="n">
        <v>9154.9</v>
      </c>
      <c r="AN158" s="49"/>
      <c r="AO158" s="49" t="s">
        <v>125</v>
      </c>
      <c r="AP158" s="49" t="s">
        <v>187</v>
      </c>
      <c r="AQ158" s="49" t="s">
        <v>128</v>
      </c>
      <c r="AR158" s="49" t="s">
        <v>1062</v>
      </c>
      <c r="AS158" s="49" t="s">
        <v>1384</v>
      </c>
      <c r="AT158" s="49" t="s">
        <v>1393</v>
      </c>
      <c r="AU158" s="49" t="s">
        <v>810</v>
      </c>
      <c r="AV158" s="49"/>
      <c r="AW158" s="49" t="s">
        <v>1386</v>
      </c>
      <c r="AX158" s="49"/>
      <c r="AY158" s="49"/>
      <c r="AZ158" s="49"/>
      <c r="BA158" s="49"/>
      <c r="BB158" s="49" t="n">
        <v>71092352</v>
      </c>
      <c r="BC158" s="49" t="s">
        <v>134</v>
      </c>
      <c r="BD158" s="49" t="s">
        <v>191</v>
      </c>
      <c r="BE158" s="49" t="s">
        <v>1387</v>
      </c>
      <c r="BF158" s="49" t="s">
        <v>424</v>
      </c>
      <c r="BG158" s="49" t="s">
        <v>138</v>
      </c>
      <c r="BH158" s="49" t="s">
        <v>139</v>
      </c>
      <c r="BI158" s="49" t="s">
        <v>140</v>
      </c>
      <c r="BJ158" s="49" t="s">
        <v>125</v>
      </c>
      <c r="BK158" s="49"/>
      <c r="BL158" s="49" t="s">
        <v>141</v>
      </c>
      <c r="BM158" s="49"/>
      <c r="BN158" s="49" t="s">
        <v>227</v>
      </c>
      <c r="BO158" s="49" t="s">
        <v>196</v>
      </c>
    </row>
    <row r="159" ht="16.8" customHeight="1">
      <c r="A159" s="43" t="s">
        <v>25</v>
      </c>
      <c r="B159" s="49" t="n">
        <v>149</v>
      </c>
      <c r="C159" s="49" t="s">
        <v>103</v>
      </c>
      <c r="D159" s="49" t="s">
        <v>104</v>
      </c>
      <c r="E159" s="49" t="s">
        <v>1371</v>
      </c>
      <c r="F159" s="49" t="s">
        <v>1372</v>
      </c>
      <c r="G159" s="49" t="s">
        <v>1373</v>
      </c>
      <c r="H159" s="49" t="s">
        <v>1374</v>
      </c>
      <c r="I159" s="119" t="s">
        <v>1375</v>
      </c>
      <c r="J159" s="49" t="s">
        <v>125</v>
      </c>
      <c r="K159" s="49" t="s">
        <v>250</v>
      </c>
      <c r="L159" s="49" t="s">
        <v>14</v>
      </c>
      <c r="M159" s="49" t="s">
        <v>432</v>
      </c>
      <c r="N159" s="49" t="s">
        <v>1376</v>
      </c>
      <c r="O159" s="49" t="s">
        <v>125</v>
      </c>
      <c r="P159" s="49"/>
      <c r="Q159" s="49"/>
      <c r="R159" s="49" t="s">
        <v>1377</v>
      </c>
      <c r="S159" s="49" t="s">
        <v>14</v>
      </c>
      <c r="T159" s="49" t="s">
        <v>1378</v>
      </c>
      <c r="U159" s="49" t="s">
        <v>178</v>
      </c>
      <c r="V159" s="49" t="s">
        <v>1379</v>
      </c>
      <c r="W159" s="49" t="s">
        <v>117</v>
      </c>
      <c r="X159" s="49" t="s">
        <v>748</v>
      </c>
      <c r="Y159" s="49" t="s">
        <v>174</v>
      </c>
      <c r="Z159" s="49" t="s">
        <v>1380</v>
      </c>
      <c r="AA159" s="49" t="s">
        <v>1381</v>
      </c>
      <c r="AB159" s="49" t="s">
        <v>1382</v>
      </c>
      <c r="AC159" s="49" t="s">
        <v>1377</v>
      </c>
      <c r="AD159" s="49" t="n">
        <v>5457443</v>
      </c>
      <c r="AE159" s="49" t="s">
        <v>14</v>
      </c>
      <c r="AF159" s="49" t="s">
        <v>1383</v>
      </c>
      <c r="AG159" s="49" t="s">
        <v>14</v>
      </c>
      <c r="AH159" s="49" t="s">
        <v>1087</v>
      </c>
      <c r="AI159" s="49" t="s">
        <v>1394</v>
      </c>
      <c r="AJ159" s="49" t="s">
        <v>898</v>
      </c>
      <c r="AK159" s="49" t="s">
        <v>124</v>
      </c>
      <c r="AL159" s="49" t="s">
        <v>125</v>
      </c>
      <c r="AM159" s="51" t="n">
        <v>20000</v>
      </c>
      <c r="AN159" s="49"/>
      <c r="AO159" s="49" t="s">
        <v>125</v>
      </c>
      <c r="AP159" s="49" t="s">
        <v>187</v>
      </c>
      <c r="AQ159" s="49" t="s">
        <v>128</v>
      </c>
      <c r="AR159" s="49" t="s">
        <v>1062</v>
      </c>
      <c r="AS159" s="49" t="s">
        <v>1384</v>
      </c>
      <c r="AT159" s="49"/>
      <c r="AU159" s="49" t="s">
        <v>810</v>
      </c>
      <c r="AV159" s="49"/>
      <c r="AW159" s="49" t="s">
        <v>1386</v>
      </c>
      <c r="AX159" s="49"/>
      <c r="AY159" s="49"/>
      <c r="AZ159" s="49"/>
      <c r="BA159" s="49"/>
      <c r="BB159" s="49" t="n">
        <v>71092352</v>
      </c>
      <c r="BC159" s="49" t="s">
        <v>134</v>
      </c>
      <c r="BD159" s="49" t="s">
        <v>191</v>
      </c>
      <c r="BE159" s="49" t="s">
        <v>1387</v>
      </c>
      <c r="BF159" s="49" t="s">
        <v>424</v>
      </c>
      <c r="BG159" s="49" t="s">
        <v>138</v>
      </c>
      <c r="BH159" s="49" t="s">
        <v>139</v>
      </c>
      <c r="BI159" s="49" t="s">
        <v>140</v>
      </c>
      <c r="BJ159" s="49" t="s">
        <v>125</v>
      </c>
      <c r="BK159" s="49"/>
      <c r="BL159" s="49"/>
      <c r="BM159" s="49"/>
      <c r="BN159" s="49" t="s">
        <v>227</v>
      </c>
      <c r="BO159" s="49" t="s">
        <v>196</v>
      </c>
    </row>
    <row r="160" ht="16.8" customHeight="1">
      <c r="A160" s="43" t="s">
        <v>25</v>
      </c>
      <c r="B160" s="49" t="n">
        <v>150</v>
      </c>
      <c r="C160" s="49" t="s">
        <v>103</v>
      </c>
      <c r="D160" s="49" t="s">
        <v>104</v>
      </c>
      <c r="E160" s="49" t="s">
        <v>1395</v>
      </c>
      <c r="F160" s="49" t="s">
        <v>1396</v>
      </c>
      <c r="G160" s="49" t="s">
        <v>622</v>
      </c>
      <c r="H160" s="49" t="s">
        <v>1397</v>
      </c>
      <c r="I160" s="49" t="s">
        <v>624</v>
      </c>
      <c r="J160" s="49" t="s">
        <v>125</v>
      </c>
      <c r="K160" s="49" t="s">
        <v>174</v>
      </c>
      <c r="L160" s="49" t="s">
        <v>14</v>
      </c>
      <c r="M160" s="49" t="s">
        <v>111</v>
      </c>
      <c r="N160" s="49" t="s">
        <v>554</v>
      </c>
      <c r="O160" s="49" t="s">
        <v>1398</v>
      </c>
      <c r="P160" s="49"/>
      <c r="Q160" s="49"/>
      <c r="R160" s="49" t="s">
        <v>1395</v>
      </c>
      <c r="S160" s="49" t="s">
        <v>14</v>
      </c>
      <c r="T160" s="49" t="s">
        <v>1399</v>
      </c>
      <c r="U160" s="49" t="s">
        <v>178</v>
      </c>
      <c r="V160" s="49" t="s">
        <v>1400</v>
      </c>
      <c r="W160" s="49" t="s">
        <v>117</v>
      </c>
      <c r="X160" s="49" t="s">
        <v>412</v>
      </c>
      <c r="Y160" s="49" t="s">
        <v>214</v>
      </c>
      <c r="Z160" s="49" t="s">
        <v>1401</v>
      </c>
      <c r="AA160" s="49" t="s">
        <v>1402</v>
      </c>
      <c r="AB160" s="49" t="s">
        <v>1403</v>
      </c>
      <c r="AC160" s="49" t="s">
        <v>1395</v>
      </c>
      <c r="AD160" s="49" t="n">
        <v>5457440</v>
      </c>
      <c r="AE160" s="49" t="s">
        <v>14</v>
      </c>
      <c r="AF160" s="49" t="s">
        <v>1404</v>
      </c>
      <c r="AG160" s="49" t="s">
        <v>14</v>
      </c>
      <c r="AH160" s="49" t="s">
        <v>1405</v>
      </c>
      <c r="AI160" s="49" t="s">
        <v>1255</v>
      </c>
      <c r="AJ160" s="49" t="s">
        <v>1256</v>
      </c>
      <c r="AK160" s="49" t="s">
        <v>124</v>
      </c>
      <c r="AL160" s="49" t="s">
        <v>125</v>
      </c>
      <c r="AM160" s="51" t="n">
        <v>9780</v>
      </c>
      <c r="AN160" s="49"/>
      <c r="AO160" s="49" t="s">
        <v>1398</v>
      </c>
      <c r="AP160" s="49" t="s">
        <v>187</v>
      </c>
      <c r="AQ160" s="49" t="s">
        <v>128</v>
      </c>
      <c r="AR160" s="49" t="s">
        <v>1091</v>
      </c>
      <c r="AS160" s="49" t="s">
        <v>1406</v>
      </c>
      <c r="AT160" s="49" t="s">
        <v>1407</v>
      </c>
      <c r="AU160" s="49" t="s">
        <v>810</v>
      </c>
      <c r="AV160" s="49"/>
      <c r="AW160" s="49" t="s">
        <v>1408</v>
      </c>
      <c r="AX160" s="49"/>
      <c r="AY160" s="49"/>
      <c r="AZ160" s="49"/>
      <c r="BA160" s="49"/>
      <c r="BB160" s="49" t="n">
        <v>81878340</v>
      </c>
      <c r="BC160" s="49" t="s">
        <v>134</v>
      </c>
      <c r="BD160" s="49" t="s">
        <v>191</v>
      </c>
      <c r="BE160" s="49" t="s">
        <v>1409</v>
      </c>
      <c r="BF160" s="49" t="s">
        <v>797</v>
      </c>
      <c r="BG160" s="49" t="s">
        <v>138</v>
      </c>
      <c r="BH160" s="49" t="s">
        <v>139</v>
      </c>
      <c r="BI160" s="49" t="s">
        <v>140</v>
      </c>
      <c r="BJ160" s="49" t="s">
        <v>125</v>
      </c>
      <c r="BK160" s="49"/>
      <c r="BL160" s="49" t="s">
        <v>141</v>
      </c>
      <c r="BM160" s="49"/>
      <c r="BN160" s="49"/>
      <c r="BO160" s="49" t="s">
        <v>196</v>
      </c>
    </row>
    <row r="161" ht="16.8" customHeight="1">
      <c r="A161" s="43" t="s">
        <v>25</v>
      </c>
      <c r="B161" s="49" t="n">
        <v>151</v>
      </c>
      <c r="C161" s="49" t="s">
        <v>103</v>
      </c>
      <c r="D161" s="49" t="s">
        <v>104</v>
      </c>
      <c r="E161" s="49" t="s">
        <v>1395</v>
      </c>
      <c r="F161" s="49" t="s">
        <v>1396</v>
      </c>
      <c r="G161" s="49" t="s">
        <v>622</v>
      </c>
      <c r="H161" s="49" t="s">
        <v>1397</v>
      </c>
      <c r="I161" s="49" t="s">
        <v>624</v>
      </c>
      <c r="J161" s="49" t="s">
        <v>125</v>
      </c>
      <c r="K161" s="49" t="s">
        <v>174</v>
      </c>
      <c r="L161" s="49" t="s">
        <v>14</v>
      </c>
      <c r="M161" s="49" t="s">
        <v>111</v>
      </c>
      <c r="N161" s="49" t="s">
        <v>554</v>
      </c>
      <c r="O161" s="49" t="s">
        <v>1398</v>
      </c>
      <c r="P161" s="49"/>
      <c r="Q161" s="49"/>
      <c r="R161" s="49" t="s">
        <v>1395</v>
      </c>
      <c r="S161" s="49" t="s">
        <v>14</v>
      </c>
      <c r="T161" s="49" t="s">
        <v>1399</v>
      </c>
      <c r="U161" s="49" t="s">
        <v>178</v>
      </c>
      <c r="V161" s="49" t="s">
        <v>1400</v>
      </c>
      <c r="W161" s="49" t="s">
        <v>117</v>
      </c>
      <c r="X161" s="49" t="s">
        <v>412</v>
      </c>
      <c r="Y161" s="49" t="s">
        <v>214</v>
      </c>
      <c r="Z161" s="49" t="s">
        <v>1401</v>
      </c>
      <c r="AA161" s="49" t="s">
        <v>1402</v>
      </c>
      <c r="AB161" s="49" t="s">
        <v>1403</v>
      </c>
      <c r="AC161" s="49" t="s">
        <v>1395</v>
      </c>
      <c r="AD161" s="49" t="n">
        <v>5457440</v>
      </c>
      <c r="AE161" s="49" t="s">
        <v>14</v>
      </c>
      <c r="AF161" s="49" t="s">
        <v>1404</v>
      </c>
      <c r="AG161" s="49" t="s">
        <v>14</v>
      </c>
      <c r="AH161" s="49" t="s">
        <v>1405</v>
      </c>
      <c r="AI161" s="49" t="s">
        <v>1262</v>
      </c>
      <c r="AJ161" s="49" t="s">
        <v>1263</v>
      </c>
      <c r="AK161" s="49" t="s">
        <v>124</v>
      </c>
      <c r="AL161" s="49" t="s">
        <v>125</v>
      </c>
      <c r="AM161" s="51" t="n">
        <v>15450</v>
      </c>
      <c r="AN161" s="49"/>
      <c r="AO161" s="49" t="s">
        <v>1398</v>
      </c>
      <c r="AP161" s="49" t="s">
        <v>187</v>
      </c>
      <c r="AQ161" s="49" t="s">
        <v>128</v>
      </c>
      <c r="AR161" s="49" t="s">
        <v>1091</v>
      </c>
      <c r="AS161" s="49" t="s">
        <v>1406</v>
      </c>
      <c r="AT161" s="49" t="s">
        <v>1410</v>
      </c>
      <c r="AU161" s="49" t="s">
        <v>810</v>
      </c>
      <c r="AV161" s="49"/>
      <c r="AW161" s="49" t="s">
        <v>1408</v>
      </c>
      <c r="AX161" s="49"/>
      <c r="AY161" s="49"/>
      <c r="AZ161" s="49"/>
      <c r="BA161" s="49"/>
      <c r="BB161" s="49" t="n">
        <v>81878340</v>
      </c>
      <c r="BC161" s="49" t="s">
        <v>134</v>
      </c>
      <c r="BD161" s="49" t="s">
        <v>191</v>
      </c>
      <c r="BE161" s="49" t="s">
        <v>1409</v>
      </c>
      <c r="BF161" s="49" t="s">
        <v>797</v>
      </c>
      <c r="BG161" s="49" t="s">
        <v>138</v>
      </c>
      <c r="BH161" s="49" t="s">
        <v>139</v>
      </c>
      <c r="BI161" s="49" t="s">
        <v>140</v>
      </c>
      <c r="BJ161" s="49" t="s">
        <v>125</v>
      </c>
      <c r="BK161" s="49"/>
      <c r="BL161" s="49" t="s">
        <v>141</v>
      </c>
      <c r="BM161" s="49"/>
      <c r="BN161" s="49"/>
      <c r="BO161" s="49" t="s">
        <v>196</v>
      </c>
    </row>
    <row r="162" ht="16.8" customHeight="1">
      <c r="A162" s="43" t="s">
        <v>25</v>
      </c>
      <c r="B162" s="49" t="n">
        <v>152</v>
      </c>
      <c r="C162" s="49" t="s">
        <v>103</v>
      </c>
      <c r="D162" s="49" t="s">
        <v>104</v>
      </c>
      <c r="E162" s="49" t="s">
        <v>1395</v>
      </c>
      <c r="F162" s="49" t="s">
        <v>1396</v>
      </c>
      <c r="G162" s="49" t="s">
        <v>622</v>
      </c>
      <c r="H162" s="49" t="s">
        <v>1397</v>
      </c>
      <c r="I162" s="49" t="s">
        <v>624</v>
      </c>
      <c r="J162" s="49" t="s">
        <v>125</v>
      </c>
      <c r="K162" s="49" t="s">
        <v>174</v>
      </c>
      <c r="L162" s="49" t="s">
        <v>14</v>
      </c>
      <c r="M162" s="49" t="s">
        <v>111</v>
      </c>
      <c r="N162" s="49" t="s">
        <v>554</v>
      </c>
      <c r="O162" s="49" t="s">
        <v>1398</v>
      </c>
      <c r="P162" s="49"/>
      <c r="Q162" s="49"/>
      <c r="R162" s="49" t="s">
        <v>1395</v>
      </c>
      <c r="S162" s="49" t="s">
        <v>14</v>
      </c>
      <c r="T162" s="49" t="s">
        <v>1399</v>
      </c>
      <c r="U162" s="49" t="s">
        <v>178</v>
      </c>
      <c r="V162" s="49" t="s">
        <v>1400</v>
      </c>
      <c r="W162" s="49" t="s">
        <v>117</v>
      </c>
      <c r="X162" s="49" t="s">
        <v>412</v>
      </c>
      <c r="Y162" s="49" t="s">
        <v>214</v>
      </c>
      <c r="Z162" s="49" t="s">
        <v>1401</v>
      </c>
      <c r="AA162" s="49" t="s">
        <v>1402</v>
      </c>
      <c r="AB162" s="49" t="s">
        <v>1403</v>
      </c>
      <c r="AC162" s="49" t="s">
        <v>1395</v>
      </c>
      <c r="AD162" s="49" t="n">
        <v>5457440</v>
      </c>
      <c r="AE162" s="49" t="s">
        <v>14</v>
      </c>
      <c r="AF162" s="49" t="s">
        <v>1404</v>
      </c>
      <c r="AG162" s="49" t="s">
        <v>14</v>
      </c>
      <c r="AH162" s="49" t="s">
        <v>1405</v>
      </c>
      <c r="AI162" s="49" t="s">
        <v>1265</v>
      </c>
      <c r="AJ162" s="49" t="s">
        <v>1266</v>
      </c>
      <c r="AK162" s="49" t="s">
        <v>124</v>
      </c>
      <c r="AL162" s="49" t="s">
        <v>125</v>
      </c>
      <c r="AM162" s="51" t="n">
        <v>9740</v>
      </c>
      <c r="AN162" s="49"/>
      <c r="AO162" s="49" t="s">
        <v>1398</v>
      </c>
      <c r="AP162" s="49" t="s">
        <v>187</v>
      </c>
      <c r="AQ162" s="49" t="s">
        <v>128</v>
      </c>
      <c r="AR162" s="49" t="s">
        <v>1091</v>
      </c>
      <c r="AS162" s="49" t="s">
        <v>1406</v>
      </c>
      <c r="AT162" s="49" t="s">
        <v>1411</v>
      </c>
      <c r="AU162" s="49" t="s">
        <v>810</v>
      </c>
      <c r="AV162" s="49"/>
      <c r="AW162" s="49" t="s">
        <v>1408</v>
      </c>
      <c r="AX162" s="49"/>
      <c r="AY162" s="49"/>
      <c r="AZ162" s="49"/>
      <c r="BA162" s="49"/>
      <c r="BB162" s="49" t="n">
        <v>81878340</v>
      </c>
      <c r="BC162" s="49" t="s">
        <v>134</v>
      </c>
      <c r="BD162" s="49" t="s">
        <v>191</v>
      </c>
      <c r="BE162" s="49" t="s">
        <v>1409</v>
      </c>
      <c r="BF162" s="49" t="s">
        <v>797</v>
      </c>
      <c r="BG162" s="49" t="s">
        <v>138</v>
      </c>
      <c r="BH162" s="49" t="s">
        <v>139</v>
      </c>
      <c r="BI162" s="49" t="s">
        <v>140</v>
      </c>
      <c r="BJ162" s="49" t="s">
        <v>125</v>
      </c>
      <c r="BK162" s="49"/>
      <c r="BL162" s="49" t="s">
        <v>141</v>
      </c>
      <c r="BM162" s="49"/>
      <c r="BN162" s="49"/>
      <c r="BO162" s="49" t="s">
        <v>196</v>
      </c>
    </row>
    <row r="163" ht="16.8" customHeight="1">
      <c r="A163" s="43" t="s">
        <v>25</v>
      </c>
      <c r="B163" s="49" t="n">
        <v>153</v>
      </c>
      <c r="C163" s="49" t="s">
        <v>103</v>
      </c>
      <c r="D163" s="49" t="s">
        <v>104</v>
      </c>
      <c r="E163" s="49" t="s">
        <v>1395</v>
      </c>
      <c r="F163" s="49" t="s">
        <v>1396</v>
      </c>
      <c r="G163" s="49" t="s">
        <v>622</v>
      </c>
      <c r="H163" s="49" t="s">
        <v>1397</v>
      </c>
      <c r="I163" s="49" t="s">
        <v>624</v>
      </c>
      <c r="J163" s="49" t="s">
        <v>125</v>
      </c>
      <c r="K163" s="49" t="s">
        <v>174</v>
      </c>
      <c r="L163" s="49" t="s">
        <v>14</v>
      </c>
      <c r="M163" s="49" t="s">
        <v>111</v>
      </c>
      <c r="N163" s="49" t="s">
        <v>554</v>
      </c>
      <c r="O163" s="49" t="s">
        <v>1398</v>
      </c>
      <c r="P163" s="49"/>
      <c r="Q163" s="49"/>
      <c r="R163" s="49" t="s">
        <v>1395</v>
      </c>
      <c r="S163" s="49" t="s">
        <v>14</v>
      </c>
      <c r="T163" s="49" t="s">
        <v>1399</v>
      </c>
      <c r="U163" s="49" t="s">
        <v>178</v>
      </c>
      <c r="V163" s="49" t="s">
        <v>1400</v>
      </c>
      <c r="W163" s="49" t="s">
        <v>117</v>
      </c>
      <c r="X163" s="49" t="s">
        <v>412</v>
      </c>
      <c r="Y163" s="49" t="s">
        <v>214</v>
      </c>
      <c r="Z163" s="49" t="s">
        <v>1401</v>
      </c>
      <c r="AA163" s="49" t="s">
        <v>1402</v>
      </c>
      <c r="AB163" s="49" t="s">
        <v>1403</v>
      </c>
      <c r="AC163" s="49" t="s">
        <v>1395</v>
      </c>
      <c r="AD163" s="49" t="n">
        <v>5457440</v>
      </c>
      <c r="AE163" s="49" t="s">
        <v>14</v>
      </c>
      <c r="AF163" s="49" t="s">
        <v>1404</v>
      </c>
      <c r="AG163" s="49" t="s">
        <v>14</v>
      </c>
      <c r="AH163" s="49" t="s">
        <v>1405</v>
      </c>
      <c r="AI163" s="49" t="s">
        <v>1259</v>
      </c>
      <c r="AJ163" s="49" t="s">
        <v>1260</v>
      </c>
      <c r="AK163" s="49" t="s">
        <v>124</v>
      </c>
      <c r="AL163" s="49" t="s">
        <v>125</v>
      </c>
      <c r="AM163" s="51" t="n">
        <v>6910</v>
      </c>
      <c r="AN163" s="49"/>
      <c r="AO163" s="49" t="s">
        <v>1398</v>
      </c>
      <c r="AP163" s="49" t="s">
        <v>187</v>
      </c>
      <c r="AQ163" s="49" t="s">
        <v>128</v>
      </c>
      <c r="AR163" s="49" t="s">
        <v>1091</v>
      </c>
      <c r="AS163" s="49" t="s">
        <v>1406</v>
      </c>
      <c r="AT163" s="49" t="s">
        <v>1412</v>
      </c>
      <c r="AU163" s="49" t="s">
        <v>810</v>
      </c>
      <c r="AV163" s="49"/>
      <c r="AW163" s="49" t="s">
        <v>1408</v>
      </c>
      <c r="AX163" s="49"/>
      <c r="AY163" s="49"/>
      <c r="AZ163" s="49"/>
      <c r="BA163" s="49"/>
      <c r="BB163" s="49" t="n">
        <v>81878340</v>
      </c>
      <c r="BC163" s="49" t="s">
        <v>134</v>
      </c>
      <c r="BD163" s="49" t="s">
        <v>191</v>
      </c>
      <c r="BE163" s="49" t="s">
        <v>1409</v>
      </c>
      <c r="BF163" s="49" t="s">
        <v>797</v>
      </c>
      <c r="BG163" s="49" t="s">
        <v>138</v>
      </c>
      <c r="BH163" s="49" t="s">
        <v>139</v>
      </c>
      <c r="BI163" s="49" t="s">
        <v>140</v>
      </c>
      <c r="BJ163" s="49" t="s">
        <v>125</v>
      </c>
      <c r="BK163" s="49"/>
      <c r="BL163" s="49" t="s">
        <v>141</v>
      </c>
      <c r="BM163" s="49"/>
      <c r="BN163" s="49"/>
      <c r="BO163" s="49" t="s">
        <v>196</v>
      </c>
    </row>
    <row r="164" ht="16.8" customHeight="1">
      <c r="A164" s="43" t="s">
        <v>25</v>
      </c>
      <c r="B164" s="49" t="n">
        <v>154</v>
      </c>
      <c r="C164" s="49" t="s">
        <v>103</v>
      </c>
      <c r="D164" s="49" t="s">
        <v>104</v>
      </c>
      <c r="E164" s="49" t="s">
        <v>1395</v>
      </c>
      <c r="F164" s="49" t="s">
        <v>1396</v>
      </c>
      <c r="G164" s="49" t="s">
        <v>622</v>
      </c>
      <c r="H164" s="49" t="s">
        <v>1397</v>
      </c>
      <c r="I164" s="49" t="s">
        <v>624</v>
      </c>
      <c r="J164" s="49" t="s">
        <v>125</v>
      </c>
      <c r="K164" s="49" t="s">
        <v>174</v>
      </c>
      <c r="L164" s="49" t="s">
        <v>14</v>
      </c>
      <c r="M164" s="49" t="s">
        <v>111</v>
      </c>
      <c r="N164" s="49" t="s">
        <v>554</v>
      </c>
      <c r="O164" s="49" t="s">
        <v>1398</v>
      </c>
      <c r="P164" s="49"/>
      <c r="Q164" s="49"/>
      <c r="R164" s="49" t="s">
        <v>1395</v>
      </c>
      <c r="S164" s="49" t="s">
        <v>14</v>
      </c>
      <c r="T164" s="49" t="s">
        <v>1399</v>
      </c>
      <c r="U164" s="49" t="s">
        <v>178</v>
      </c>
      <c r="V164" s="49" t="s">
        <v>1400</v>
      </c>
      <c r="W164" s="49" t="s">
        <v>117</v>
      </c>
      <c r="X164" s="49" t="s">
        <v>412</v>
      </c>
      <c r="Y164" s="49" t="s">
        <v>214</v>
      </c>
      <c r="Z164" s="49" t="s">
        <v>1401</v>
      </c>
      <c r="AA164" s="49" t="s">
        <v>1402</v>
      </c>
      <c r="AB164" s="49" t="s">
        <v>1403</v>
      </c>
      <c r="AC164" s="49" t="s">
        <v>1395</v>
      </c>
      <c r="AD164" s="49" t="n">
        <v>5457440</v>
      </c>
      <c r="AE164" s="49" t="s">
        <v>14</v>
      </c>
      <c r="AF164" s="49" t="s">
        <v>1404</v>
      </c>
      <c r="AG164" s="49" t="s">
        <v>14</v>
      </c>
      <c r="AH164" s="49" t="s">
        <v>1405</v>
      </c>
      <c r="AI164" s="49" t="s">
        <v>1268</v>
      </c>
      <c r="AJ164" s="49" t="s">
        <v>1269</v>
      </c>
      <c r="AK164" s="49" t="s">
        <v>124</v>
      </c>
      <c r="AL164" s="49" t="s">
        <v>125</v>
      </c>
      <c r="AM164" s="51" t="n">
        <v>21920</v>
      </c>
      <c r="AN164" s="49"/>
      <c r="AO164" s="49" t="s">
        <v>1398</v>
      </c>
      <c r="AP164" s="49" t="s">
        <v>187</v>
      </c>
      <c r="AQ164" s="49" t="s">
        <v>128</v>
      </c>
      <c r="AR164" s="49" t="s">
        <v>1091</v>
      </c>
      <c r="AS164" s="49" t="s">
        <v>1406</v>
      </c>
      <c r="AT164" s="49" t="s">
        <v>1413</v>
      </c>
      <c r="AU164" s="49" t="s">
        <v>810</v>
      </c>
      <c r="AV164" s="49"/>
      <c r="AW164" s="49" t="s">
        <v>1408</v>
      </c>
      <c r="AX164" s="49"/>
      <c r="AY164" s="49"/>
      <c r="AZ164" s="49"/>
      <c r="BA164" s="49"/>
      <c r="BB164" s="49" t="n">
        <v>81878340</v>
      </c>
      <c r="BC164" s="49" t="s">
        <v>134</v>
      </c>
      <c r="BD164" s="49" t="s">
        <v>191</v>
      </c>
      <c r="BE164" s="49" t="s">
        <v>1409</v>
      </c>
      <c r="BF164" s="49" t="s">
        <v>797</v>
      </c>
      <c r="BG164" s="49" t="s">
        <v>138</v>
      </c>
      <c r="BH164" s="49" t="s">
        <v>139</v>
      </c>
      <c r="BI164" s="49" t="s">
        <v>140</v>
      </c>
      <c r="BJ164" s="49" t="s">
        <v>125</v>
      </c>
      <c r="BK164" s="49"/>
      <c r="BL164" s="49" t="s">
        <v>141</v>
      </c>
      <c r="BM164" s="49"/>
      <c r="BN164" s="49"/>
      <c r="BO164" s="49" t="s">
        <v>196</v>
      </c>
    </row>
    <row r="165" ht="16.8" customHeight="1">
      <c r="A165" s="43" t="s">
        <v>25</v>
      </c>
      <c r="B165" s="49" t="n">
        <v>155</v>
      </c>
      <c r="C165" s="49" t="s">
        <v>103</v>
      </c>
      <c r="D165" s="49" t="s">
        <v>104</v>
      </c>
      <c r="E165" s="49" t="s">
        <v>1395</v>
      </c>
      <c r="F165" s="49" t="s">
        <v>1396</v>
      </c>
      <c r="G165" s="49" t="s">
        <v>622</v>
      </c>
      <c r="H165" s="49" t="s">
        <v>1397</v>
      </c>
      <c r="I165" s="49" t="s">
        <v>624</v>
      </c>
      <c r="J165" s="49" t="s">
        <v>125</v>
      </c>
      <c r="K165" s="49" t="s">
        <v>174</v>
      </c>
      <c r="L165" s="49" t="s">
        <v>14</v>
      </c>
      <c r="M165" s="49" t="s">
        <v>111</v>
      </c>
      <c r="N165" s="49" t="s">
        <v>554</v>
      </c>
      <c r="O165" s="49" t="s">
        <v>1398</v>
      </c>
      <c r="P165" s="49"/>
      <c r="Q165" s="49"/>
      <c r="R165" s="49" t="s">
        <v>1395</v>
      </c>
      <c r="S165" s="49" t="s">
        <v>14</v>
      </c>
      <c r="T165" s="49" t="s">
        <v>1399</v>
      </c>
      <c r="U165" s="49" t="s">
        <v>178</v>
      </c>
      <c r="V165" s="49" t="s">
        <v>1400</v>
      </c>
      <c r="W165" s="49" t="s">
        <v>117</v>
      </c>
      <c r="X165" s="49" t="s">
        <v>412</v>
      </c>
      <c r="Y165" s="49" t="s">
        <v>214</v>
      </c>
      <c r="Z165" s="49" t="s">
        <v>1401</v>
      </c>
      <c r="AA165" s="49" t="s">
        <v>1402</v>
      </c>
      <c r="AB165" s="49" t="s">
        <v>1403</v>
      </c>
      <c r="AC165" s="49" t="s">
        <v>1395</v>
      </c>
      <c r="AD165" s="49" t="n">
        <v>5457440</v>
      </c>
      <c r="AE165" s="49" t="s">
        <v>14</v>
      </c>
      <c r="AF165" s="49" t="s">
        <v>1404</v>
      </c>
      <c r="AG165" s="49" t="s">
        <v>14</v>
      </c>
      <c r="AH165" s="49" t="s">
        <v>1405</v>
      </c>
      <c r="AI165" s="49" t="s">
        <v>1414</v>
      </c>
      <c r="AJ165" s="49" t="s">
        <v>545</v>
      </c>
      <c r="AK165" s="49" t="s">
        <v>124</v>
      </c>
      <c r="AL165" s="49" t="s">
        <v>125</v>
      </c>
      <c r="AM165" s="51" t="n">
        <v>21000</v>
      </c>
      <c r="AN165" s="49"/>
      <c r="AO165" s="49" t="s">
        <v>1398</v>
      </c>
      <c r="AP165" s="49" t="s">
        <v>187</v>
      </c>
      <c r="AQ165" s="49" t="s">
        <v>128</v>
      </c>
      <c r="AR165" s="49" t="s">
        <v>1091</v>
      </c>
      <c r="AS165" s="49" t="s">
        <v>1406</v>
      </c>
      <c r="AT165" s="49"/>
      <c r="AU165" s="49" t="s">
        <v>810</v>
      </c>
      <c r="AV165" s="49"/>
      <c r="AW165" s="49" t="s">
        <v>1408</v>
      </c>
      <c r="AX165" s="49"/>
      <c r="AY165" s="49"/>
      <c r="AZ165" s="49"/>
      <c r="BA165" s="49"/>
      <c r="BB165" s="49" t="n">
        <v>81878340</v>
      </c>
      <c r="BC165" s="49" t="s">
        <v>134</v>
      </c>
      <c r="BD165" s="49" t="s">
        <v>191</v>
      </c>
      <c r="BE165" s="49" t="s">
        <v>1409</v>
      </c>
      <c r="BF165" s="49" t="s">
        <v>797</v>
      </c>
      <c r="BG165" s="49" t="s">
        <v>138</v>
      </c>
      <c r="BH165" s="49" t="s">
        <v>139</v>
      </c>
      <c r="BI165" s="49" t="s">
        <v>140</v>
      </c>
      <c r="BJ165" s="49" t="s">
        <v>125</v>
      </c>
      <c r="BK165" s="49"/>
      <c r="BL165" s="49"/>
      <c r="BM165" s="49"/>
      <c r="BN165" s="49"/>
      <c r="BO165" s="49" t="s">
        <v>196</v>
      </c>
    </row>
    <row r="166" ht="16.8" customHeight="1">
      <c r="A166" s="43" t="s">
        <v>25</v>
      </c>
      <c r="B166" s="49" t="n">
        <v>156</v>
      </c>
      <c r="C166" s="49" t="s">
        <v>103</v>
      </c>
      <c r="D166" s="49" t="s">
        <v>104</v>
      </c>
      <c r="E166" s="49" t="s">
        <v>250</v>
      </c>
      <c r="F166" s="49" t="s">
        <v>1415</v>
      </c>
      <c r="G166" s="49" t="s">
        <v>1330</v>
      </c>
      <c r="H166" s="49" t="s">
        <v>1416</v>
      </c>
      <c r="I166" s="120" t="s">
        <v>1417</v>
      </c>
      <c r="J166" s="49" t="s">
        <v>1035</v>
      </c>
      <c r="K166" s="49" t="s">
        <v>250</v>
      </c>
      <c r="L166" s="49" t="s">
        <v>14</v>
      </c>
      <c r="M166" s="49" t="s">
        <v>1036</v>
      </c>
      <c r="N166" s="49" t="s">
        <v>1037</v>
      </c>
      <c r="O166" s="49" t="s">
        <v>125</v>
      </c>
      <c r="P166" s="49"/>
      <c r="Q166" s="49"/>
      <c r="R166" s="49" t="s">
        <v>1418</v>
      </c>
      <c r="S166" s="49" t="s">
        <v>14</v>
      </c>
      <c r="T166" s="49" t="s">
        <v>1419</v>
      </c>
      <c r="U166" s="49" t="s">
        <v>178</v>
      </c>
      <c r="V166" s="49" t="s">
        <v>1420</v>
      </c>
      <c r="W166" s="49" t="s">
        <v>117</v>
      </c>
      <c r="X166" s="49" t="s">
        <v>180</v>
      </c>
      <c r="Y166" s="49" t="s">
        <v>174</v>
      </c>
      <c r="Z166" s="49" t="s">
        <v>455</v>
      </c>
      <c r="AA166" s="49" t="s">
        <v>456</v>
      </c>
      <c r="AB166" s="49" t="s">
        <v>457</v>
      </c>
      <c r="AC166" s="49" t="s">
        <v>1418</v>
      </c>
      <c r="AD166" s="49" t="n">
        <v>5416011</v>
      </c>
      <c r="AE166" s="49" t="s">
        <v>14</v>
      </c>
      <c r="AF166" s="49" t="s">
        <v>1421</v>
      </c>
      <c r="AG166" s="49" t="s">
        <v>14</v>
      </c>
      <c r="AH166" s="49" t="s">
        <v>1422</v>
      </c>
      <c r="AI166" s="49" t="s">
        <v>1089</v>
      </c>
      <c r="AJ166" s="49" t="s">
        <v>1090</v>
      </c>
      <c r="AK166" s="49" t="s">
        <v>124</v>
      </c>
      <c r="AL166" s="49" t="s">
        <v>125</v>
      </c>
      <c r="AM166" s="51" t="n">
        <v>4335</v>
      </c>
      <c r="AN166" s="49"/>
      <c r="AO166" s="49" t="s">
        <v>125</v>
      </c>
      <c r="AP166" s="49" t="s">
        <v>187</v>
      </c>
      <c r="AQ166" s="49" t="s">
        <v>128</v>
      </c>
      <c r="AR166" s="49" t="s">
        <v>1062</v>
      </c>
      <c r="AS166" s="49" t="s">
        <v>1423</v>
      </c>
      <c r="AT166" s="49" t="s">
        <v>1424</v>
      </c>
      <c r="AU166" s="49" t="s">
        <v>810</v>
      </c>
      <c r="AV166" s="49"/>
      <c r="AW166" s="49" t="s">
        <v>1425</v>
      </c>
      <c r="AX166" s="49"/>
      <c r="AY166" s="49"/>
      <c r="AZ166" s="49"/>
      <c r="BA166" s="49"/>
      <c r="BB166" s="49" t="n">
        <v>61638095</v>
      </c>
      <c r="BC166" s="49" t="s">
        <v>134</v>
      </c>
      <c r="BD166" s="49" t="s">
        <v>191</v>
      </c>
      <c r="BE166" s="49" t="s">
        <v>192</v>
      </c>
      <c r="BF166" s="49" t="s">
        <v>402</v>
      </c>
      <c r="BG166" s="49" t="s">
        <v>138</v>
      </c>
      <c r="BH166" s="49" t="s">
        <v>139</v>
      </c>
      <c r="BI166" s="49" t="s">
        <v>140</v>
      </c>
      <c r="BJ166" s="49" t="s">
        <v>125</v>
      </c>
      <c r="BK166" s="49"/>
      <c r="BL166" s="49" t="s">
        <v>141</v>
      </c>
      <c r="BM166" s="49"/>
      <c r="BN166" s="49" t="s">
        <v>142</v>
      </c>
      <c r="BO166" s="49" t="s">
        <v>1426</v>
      </c>
    </row>
    <row r="167" ht="16.8" customHeight="1">
      <c r="A167" s="43" t="s">
        <v>25</v>
      </c>
      <c r="B167" s="49" t="n">
        <v>157</v>
      </c>
      <c r="C167" s="49" t="s">
        <v>103</v>
      </c>
      <c r="D167" s="49" t="s">
        <v>104</v>
      </c>
      <c r="E167" s="49" t="s">
        <v>250</v>
      </c>
      <c r="F167" s="49" t="s">
        <v>1415</v>
      </c>
      <c r="G167" s="49" t="s">
        <v>1330</v>
      </c>
      <c r="H167" s="49" t="s">
        <v>1416</v>
      </c>
      <c r="I167" s="121" t="s">
        <v>1417</v>
      </c>
      <c r="J167" s="49" t="s">
        <v>1035</v>
      </c>
      <c r="K167" s="49" t="s">
        <v>250</v>
      </c>
      <c r="L167" s="49" t="s">
        <v>14</v>
      </c>
      <c r="M167" s="49" t="s">
        <v>1036</v>
      </c>
      <c r="N167" s="49" t="s">
        <v>1037</v>
      </c>
      <c r="O167" s="49" t="s">
        <v>125</v>
      </c>
      <c r="P167" s="49"/>
      <c r="Q167" s="49"/>
      <c r="R167" s="49" t="s">
        <v>1418</v>
      </c>
      <c r="S167" s="49" t="s">
        <v>14</v>
      </c>
      <c r="T167" s="49" t="s">
        <v>1419</v>
      </c>
      <c r="U167" s="49" t="s">
        <v>178</v>
      </c>
      <c r="V167" s="49" t="s">
        <v>1420</v>
      </c>
      <c r="W167" s="49" t="s">
        <v>117</v>
      </c>
      <c r="X167" s="49" t="s">
        <v>180</v>
      </c>
      <c r="Y167" s="49" t="s">
        <v>174</v>
      </c>
      <c r="Z167" s="49" t="s">
        <v>455</v>
      </c>
      <c r="AA167" s="49" t="s">
        <v>456</v>
      </c>
      <c r="AB167" s="49" t="s">
        <v>457</v>
      </c>
      <c r="AC167" s="49" t="s">
        <v>1418</v>
      </c>
      <c r="AD167" s="49" t="n">
        <v>5416011</v>
      </c>
      <c r="AE167" s="49" t="s">
        <v>14</v>
      </c>
      <c r="AF167" s="49" t="s">
        <v>1421</v>
      </c>
      <c r="AG167" s="49" t="s">
        <v>14</v>
      </c>
      <c r="AH167" s="49" t="s">
        <v>1422</v>
      </c>
      <c r="AI167" s="49" t="s">
        <v>1099</v>
      </c>
      <c r="AJ167" s="49" t="s">
        <v>1100</v>
      </c>
      <c r="AK167" s="49" t="s">
        <v>124</v>
      </c>
      <c r="AL167" s="49" t="s">
        <v>125</v>
      </c>
      <c r="AM167" s="51" t="n">
        <v>1815</v>
      </c>
      <c r="AN167" s="49"/>
      <c r="AO167" s="49" t="s">
        <v>125</v>
      </c>
      <c r="AP167" s="49" t="s">
        <v>187</v>
      </c>
      <c r="AQ167" s="49" t="s">
        <v>128</v>
      </c>
      <c r="AR167" s="49" t="s">
        <v>1062</v>
      </c>
      <c r="AS167" s="49" t="s">
        <v>1423</v>
      </c>
      <c r="AT167" s="49" t="s">
        <v>1427</v>
      </c>
      <c r="AU167" s="49" t="s">
        <v>810</v>
      </c>
      <c r="AV167" s="49"/>
      <c r="AW167" s="49" t="s">
        <v>1425</v>
      </c>
      <c r="AX167" s="49"/>
      <c r="AY167" s="49"/>
      <c r="AZ167" s="49"/>
      <c r="BA167" s="49"/>
      <c r="BB167" s="49" t="n">
        <v>61638095</v>
      </c>
      <c r="BC167" s="49" t="s">
        <v>134</v>
      </c>
      <c r="BD167" s="49" t="s">
        <v>191</v>
      </c>
      <c r="BE167" s="49" t="s">
        <v>192</v>
      </c>
      <c r="BF167" s="49" t="s">
        <v>402</v>
      </c>
      <c r="BG167" s="49" t="s">
        <v>138</v>
      </c>
      <c r="BH167" s="49" t="s">
        <v>139</v>
      </c>
      <c r="BI167" s="49" t="s">
        <v>140</v>
      </c>
      <c r="BJ167" s="49" t="s">
        <v>125</v>
      </c>
      <c r="BK167" s="49"/>
      <c r="BL167" s="49" t="s">
        <v>141</v>
      </c>
      <c r="BM167" s="49"/>
      <c r="BN167" s="49" t="s">
        <v>142</v>
      </c>
      <c r="BO167" s="49" t="s">
        <v>1426</v>
      </c>
    </row>
    <row r="168" ht="16.8" customHeight="1">
      <c r="A168" s="43" t="s">
        <v>25</v>
      </c>
      <c r="B168" s="49" t="n">
        <v>158</v>
      </c>
      <c r="C168" s="49" t="s">
        <v>103</v>
      </c>
      <c r="D168" s="49" t="s">
        <v>104</v>
      </c>
      <c r="E168" s="49" t="s">
        <v>964</v>
      </c>
      <c r="F168" s="49" t="s">
        <v>1428</v>
      </c>
      <c r="G168" s="49" t="s">
        <v>505</v>
      </c>
      <c r="H168" s="49" t="s">
        <v>1429</v>
      </c>
      <c r="I168" s="49"/>
      <c r="J168" s="49"/>
      <c r="K168" s="49" t="s">
        <v>1430</v>
      </c>
      <c r="L168" s="49" t="s">
        <v>505</v>
      </c>
      <c r="M168" s="49" t="s">
        <v>255</v>
      </c>
      <c r="N168" s="49" t="s">
        <v>963</v>
      </c>
      <c r="O168" s="49" t="s">
        <v>125</v>
      </c>
      <c r="P168" s="49" t="s">
        <v>505</v>
      </c>
      <c r="Q168" s="49" t="s">
        <v>961</v>
      </c>
      <c r="R168" s="49" t="s">
        <v>964</v>
      </c>
      <c r="S168" s="49" t="s">
        <v>14</v>
      </c>
      <c r="T168" s="49" t="s">
        <v>1431</v>
      </c>
      <c r="U168" s="49" t="s">
        <v>178</v>
      </c>
      <c r="V168" s="49" t="s">
        <v>1432</v>
      </c>
      <c r="W168" s="49" t="s">
        <v>117</v>
      </c>
      <c r="X168" s="49" t="s">
        <v>647</v>
      </c>
      <c r="Y168" s="49" t="s">
        <v>110</v>
      </c>
      <c r="Z168" s="49" t="s">
        <v>967</v>
      </c>
      <c r="AA168" s="49" t="s">
        <v>968</v>
      </c>
      <c r="AB168" s="49" t="s">
        <v>968</v>
      </c>
      <c r="AC168" s="49" t="s">
        <v>964</v>
      </c>
      <c r="AD168" s="49" t="n">
        <v>5484040</v>
      </c>
      <c r="AE168" s="49" t="s">
        <v>14</v>
      </c>
      <c r="AF168" s="49" t="s">
        <v>1433</v>
      </c>
      <c r="AG168" s="49" t="s">
        <v>14</v>
      </c>
      <c r="AH168" s="49" t="s">
        <v>1433</v>
      </c>
      <c r="AI168" s="49" t="s">
        <v>1434</v>
      </c>
      <c r="AJ168" s="49" t="s">
        <v>1435</v>
      </c>
      <c r="AK168" s="49" t="s">
        <v>124</v>
      </c>
      <c r="AL168" s="49" t="s">
        <v>125</v>
      </c>
      <c r="AM168" s="51" t="n">
        <v>6180</v>
      </c>
      <c r="AN168" s="49"/>
      <c r="AO168" s="49" t="s">
        <v>125</v>
      </c>
      <c r="AP168" s="49" t="s">
        <v>187</v>
      </c>
      <c r="AQ168" s="49" t="s">
        <v>128</v>
      </c>
      <c r="AR168" s="49" t="s">
        <v>1062</v>
      </c>
      <c r="AS168" s="49" t="s">
        <v>972</v>
      </c>
      <c r="AT168" s="49" t="s">
        <v>1436</v>
      </c>
      <c r="AU168" s="49" t="s">
        <v>475</v>
      </c>
      <c r="AV168" s="49"/>
      <c r="AW168" s="49" t="s">
        <v>1437</v>
      </c>
      <c r="AX168" s="49"/>
      <c r="AY168" s="49"/>
      <c r="AZ168" s="49"/>
      <c r="BA168" s="49"/>
      <c r="BB168" s="49" t="n">
        <v>51138576</v>
      </c>
      <c r="BC168" s="49" t="s">
        <v>134</v>
      </c>
      <c r="BD168" s="49" t="s">
        <v>655</v>
      </c>
      <c r="BE168" s="49" t="s">
        <v>656</v>
      </c>
      <c r="BF168" s="49" t="s">
        <v>125</v>
      </c>
      <c r="BG168" s="49"/>
      <c r="BH168" s="49" t="s">
        <v>139</v>
      </c>
      <c r="BI168" s="49" t="s">
        <v>140</v>
      </c>
      <c r="BJ168" s="49" t="s">
        <v>125</v>
      </c>
      <c r="BK168" s="49"/>
      <c r="BL168" s="49" t="s">
        <v>141</v>
      </c>
      <c r="BM168" s="49"/>
      <c r="BN168" s="49" t="s">
        <v>142</v>
      </c>
      <c r="BO168" s="49"/>
    </row>
    <row r="169" ht="16.8" customHeight="1">
      <c r="A169" s="43" t="s">
        <v>25</v>
      </c>
      <c r="B169" s="49" t="n">
        <v>159</v>
      </c>
      <c r="C169" s="49" t="s">
        <v>103</v>
      </c>
      <c r="D169" s="49" t="s">
        <v>104</v>
      </c>
      <c r="E169" s="49" t="s">
        <v>1438</v>
      </c>
      <c r="F169" s="49" t="s">
        <v>1439</v>
      </c>
      <c r="G169" s="49" t="s">
        <v>1440</v>
      </c>
      <c r="H169" s="49" t="s">
        <v>1441</v>
      </c>
      <c r="I169" s="49" t="s">
        <v>1442</v>
      </c>
      <c r="J169" s="49"/>
      <c r="K169" s="49" t="s">
        <v>214</v>
      </c>
      <c r="L169" s="49" t="s">
        <v>14</v>
      </c>
      <c r="M169" s="49" t="s">
        <v>111</v>
      </c>
      <c r="N169" s="49" t="s">
        <v>112</v>
      </c>
      <c r="O169" s="49" t="s">
        <v>1443</v>
      </c>
      <c r="P169" s="49"/>
      <c r="Q169" s="49"/>
      <c r="R169" s="49" t="s">
        <v>1438</v>
      </c>
      <c r="S169" s="49" t="s">
        <v>14</v>
      </c>
      <c r="T169" s="49" t="s">
        <v>1444</v>
      </c>
      <c r="U169" s="49" t="s">
        <v>115</v>
      </c>
      <c r="V169" s="49" t="s">
        <v>1445</v>
      </c>
      <c r="W169" s="49" t="s">
        <v>117</v>
      </c>
      <c r="X169" s="49" t="s">
        <v>391</v>
      </c>
      <c r="Y169" s="49" t="s">
        <v>214</v>
      </c>
      <c r="Z169" s="49" t="s">
        <v>1446</v>
      </c>
      <c r="AA169" s="49" t="s">
        <v>1447</v>
      </c>
      <c r="AB169" s="49" t="s">
        <v>1448</v>
      </c>
      <c r="AC169" s="49" t="s">
        <v>1438</v>
      </c>
      <c r="AD169" s="49" t="n">
        <v>5483704</v>
      </c>
      <c r="AE169" s="49" t="s">
        <v>14</v>
      </c>
      <c r="AF169" s="49" t="s">
        <v>1449</v>
      </c>
      <c r="AG169" s="49" t="s">
        <v>14</v>
      </c>
      <c r="AH169" s="49" t="s">
        <v>1450</v>
      </c>
      <c r="AI169" s="49" t="s">
        <v>1451</v>
      </c>
      <c r="AJ169" s="49" t="s">
        <v>1452</v>
      </c>
      <c r="AK169" s="49" t="s">
        <v>124</v>
      </c>
      <c r="AL169" s="49" t="s">
        <v>125</v>
      </c>
      <c r="AM169" s="51" t="n">
        <v>39000</v>
      </c>
      <c r="AN169" s="49"/>
      <c r="AO169" s="49" t="s">
        <v>1440</v>
      </c>
      <c r="AP169" s="49" t="s">
        <v>127</v>
      </c>
      <c r="AQ169" s="49" t="s">
        <v>128</v>
      </c>
      <c r="AR169" s="49"/>
      <c r="AS169" s="49" t="s">
        <v>1453</v>
      </c>
      <c r="AT169" s="49"/>
      <c r="AU169" s="49" t="s">
        <v>475</v>
      </c>
      <c r="AV169" s="49"/>
      <c r="AW169" s="49" t="s">
        <v>1454</v>
      </c>
      <c r="AX169" s="49"/>
      <c r="AY169" s="49"/>
      <c r="AZ169" s="49"/>
      <c r="BA169" s="49"/>
      <c r="BB169" s="49" t="n">
        <v>64770845</v>
      </c>
      <c r="BC169" s="49" t="s">
        <v>134</v>
      </c>
      <c r="BD169" s="49" t="s">
        <v>191</v>
      </c>
      <c r="BE169" s="49" t="s">
        <v>401</v>
      </c>
      <c r="BF169" s="49" t="s">
        <v>402</v>
      </c>
      <c r="BG169" s="49" t="s">
        <v>138</v>
      </c>
      <c r="BH169" s="49" t="s">
        <v>139</v>
      </c>
      <c r="BI169" s="49" t="s">
        <v>140</v>
      </c>
      <c r="BJ169" s="49" t="s">
        <v>125</v>
      </c>
      <c r="BK169" s="49"/>
      <c r="BL169" s="49"/>
      <c r="BM169" s="49"/>
      <c r="BN169" s="49"/>
      <c r="BO169" s="49" t="s">
        <v>112</v>
      </c>
    </row>
    <row r="170" ht="16.8" customHeight="1">
      <c r="A170" s="43" t="s">
        <v>25</v>
      </c>
      <c r="B170" s="49" t="n">
        <v>160</v>
      </c>
      <c r="C170" s="49" t="s">
        <v>103</v>
      </c>
      <c r="D170" s="49" t="s">
        <v>104</v>
      </c>
      <c r="E170" s="49" t="s">
        <v>1455</v>
      </c>
      <c r="F170" s="49" t="s">
        <v>1456</v>
      </c>
      <c r="G170" s="49" t="s">
        <v>1348</v>
      </c>
      <c r="H170" s="49" t="s">
        <v>1457</v>
      </c>
      <c r="I170" s="49" t="s">
        <v>1458</v>
      </c>
      <c r="J170" s="49"/>
      <c r="K170" s="49" t="s">
        <v>250</v>
      </c>
      <c r="L170" s="49" t="s">
        <v>14</v>
      </c>
      <c r="M170" s="49" t="s">
        <v>207</v>
      </c>
      <c r="N170" s="49" t="s">
        <v>773</v>
      </c>
      <c r="O170" s="49" t="s">
        <v>125</v>
      </c>
      <c r="P170" s="49"/>
      <c r="Q170" s="49"/>
      <c r="R170" s="49" t="s">
        <v>1459</v>
      </c>
      <c r="S170" s="49" t="s">
        <v>14</v>
      </c>
      <c r="T170" s="49" t="s">
        <v>1460</v>
      </c>
      <c r="U170" s="49" t="s">
        <v>178</v>
      </c>
      <c r="V170" s="49" t="s">
        <v>1461</v>
      </c>
      <c r="W170" s="49" t="s">
        <v>117</v>
      </c>
      <c r="X170" s="49" t="s">
        <v>1462</v>
      </c>
      <c r="Y170" s="49" t="s">
        <v>214</v>
      </c>
      <c r="Z170" s="49" t="s">
        <v>1463</v>
      </c>
      <c r="AA170" s="49" t="s">
        <v>216</v>
      </c>
      <c r="AB170" s="49" t="s">
        <v>1464</v>
      </c>
      <c r="AC170" s="49" t="s">
        <v>1459</v>
      </c>
      <c r="AD170" s="49" t="n">
        <v>5456000</v>
      </c>
      <c r="AE170" s="49" t="s">
        <v>14</v>
      </c>
      <c r="AF170" s="49" t="s">
        <v>1465</v>
      </c>
      <c r="AG170" s="49" t="s">
        <v>14</v>
      </c>
      <c r="AH170" s="49" t="s">
        <v>1465</v>
      </c>
      <c r="AI170" s="49" t="s">
        <v>1292</v>
      </c>
      <c r="AJ170" s="49" t="s">
        <v>1293</v>
      </c>
      <c r="AK170" s="49" t="s">
        <v>124</v>
      </c>
      <c r="AL170" s="49" t="s">
        <v>125</v>
      </c>
      <c r="AM170" s="51" t="n">
        <v>15500</v>
      </c>
      <c r="AN170" s="49"/>
      <c r="AO170" s="49" t="s">
        <v>125</v>
      </c>
      <c r="AP170" s="49" t="s">
        <v>187</v>
      </c>
      <c r="AQ170" s="49" t="s">
        <v>128</v>
      </c>
      <c r="AR170" s="49" t="s">
        <v>681</v>
      </c>
      <c r="AS170" s="49" t="s">
        <v>1466</v>
      </c>
      <c r="AT170" s="49" t="s">
        <v>1467</v>
      </c>
      <c r="AU170" s="49" t="s">
        <v>475</v>
      </c>
      <c r="AV170" s="49"/>
      <c r="AW170" s="122" t="s">
        <v>1468</v>
      </c>
      <c r="AX170" s="49"/>
      <c r="AY170" s="49"/>
      <c r="AZ170" s="49"/>
      <c r="BA170" s="49"/>
      <c r="BB170" s="49" t="n">
        <v>81638293</v>
      </c>
      <c r="BC170" s="49" t="s">
        <v>134</v>
      </c>
      <c r="BD170" s="49" t="s">
        <v>191</v>
      </c>
      <c r="BE170" s="49" t="s">
        <v>224</v>
      </c>
      <c r="BF170" s="49" t="s">
        <v>402</v>
      </c>
      <c r="BG170" s="49" t="s">
        <v>138</v>
      </c>
      <c r="BH170" s="49" t="s">
        <v>194</v>
      </c>
      <c r="BI170" s="49" t="s">
        <v>140</v>
      </c>
      <c r="BJ170" s="49" t="s">
        <v>125</v>
      </c>
      <c r="BK170" s="49"/>
      <c r="BL170" s="49" t="s">
        <v>141</v>
      </c>
      <c r="BM170" s="49"/>
      <c r="BN170" s="49"/>
      <c r="BO170" s="49" t="s">
        <v>338</v>
      </c>
    </row>
    <row r="171" ht="16.8" customHeight="1">
      <c r="A171" s="43" t="s">
        <v>25</v>
      </c>
      <c r="B171" s="49" t="n">
        <v>161</v>
      </c>
      <c r="C171" s="49" t="s">
        <v>103</v>
      </c>
      <c r="D171" s="49" t="s">
        <v>104</v>
      </c>
      <c r="E171" s="49" t="s">
        <v>1455</v>
      </c>
      <c r="F171" s="49" t="s">
        <v>1456</v>
      </c>
      <c r="G171" s="49" t="s">
        <v>1348</v>
      </c>
      <c r="H171" s="49" t="s">
        <v>1457</v>
      </c>
      <c r="I171" s="49" t="s">
        <v>1458</v>
      </c>
      <c r="J171" s="49"/>
      <c r="K171" s="49" t="s">
        <v>250</v>
      </c>
      <c r="L171" s="49" t="s">
        <v>14</v>
      </c>
      <c r="M171" s="49" t="s">
        <v>207</v>
      </c>
      <c r="N171" s="49" t="s">
        <v>773</v>
      </c>
      <c r="O171" s="49" t="s">
        <v>125</v>
      </c>
      <c r="P171" s="49"/>
      <c r="Q171" s="49"/>
      <c r="R171" s="49" t="s">
        <v>1459</v>
      </c>
      <c r="S171" s="49" t="s">
        <v>14</v>
      </c>
      <c r="T171" s="49" t="s">
        <v>1460</v>
      </c>
      <c r="U171" s="49" t="s">
        <v>178</v>
      </c>
      <c r="V171" s="49" t="s">
        <v>1461</v>
      </c>
      <c r="W171" s="49" t="s">
        <v>117</v>
      </c>
      <c r="X171" s="49" t="s">
        <v>1462</v>
      </c>
      <c r="Y171" s="49" t="s">
        <v>214</v>
      </c>
      <c r="Z171" s="49" t="s">
        <v>1463</v>
      </c>
      <c r="AA171" s="49" t="s">
        <v>216</v>
      </c>
      <c r="AB171" s="49" t="s">
        <v>1464</v>
      </c>
      <c r="AC171" s="49" t="s">
        <v>1459</v>
      </c>
      <c r="AD171" s="49" t="n">
        <v>5456000</v>
      </c>
      <c r="AE171" s="49" t="s">
        <v>14</v>
      </c>
      <c r="AF171" s="49" t="s">
        <v>1465</v>
      </c>
      <c r="AG171" s="49" t="s">
        <v>14</v>
      </c>
      <c r="AH171" s="49" t="s">
        <v>1465</v>
      </c>
      <c r="AI171" s="49" t="s">
        <v>1259</v>
      </c>
      <c r="AJ171" s="49" t="s">
        <v>1260</v>
      </c>
      <c r="AK171" s="49" t="s">
        <v>124</v>
      </c>
      <c r="AL171" s="49" t="s">
        <v>125</v>
      </c>
      <c r="AM171" s="51" t="n">
        <v>6860</v>
      </c>
      <c r="AN171" s="49"/>
      <c r="AO171" s="49" t="s">
        <v>125</v>
      </c>
      <c r="AP171" s="49" t="s">
        <v>187</v>
      </c>
      <c r="AQ171" s="49" t="s">
        <v>128</v>
      </c>
      <c r="AR171" s="49" t="s">
        <v>681</v>
      </c>
      <c r="AS171" s="49" t="s">
        <v>1466</v>
      </c>
      <c r="AT171" s="49" t="s">
        <v>1469</v>
      </c>
      <c r="AU171" s="49" t="s">
        <v>475</v>
      </c>
      <c r="AV171" s="49"/>
      <c r="AW171" s="123" t="s">
        <v>1468</v>
      </c>
      <c r="AX171" s="49"/>
      <c r="AY171" s="49"/>
      <c r="AZ171" s="49"/>
      <c r="BA171" s="49"/>
      <c r="BB171" s="49" t="n">
        <v>81638293</v>
      </c>
      <c r="BC171" s="49" t="s">
        <v>134</v>
      </c>
      <c r="BD171" s="49" t="s">
        <v>191</v>
      </c>
      <c r="BE171" s="49" t="s">
        <v>224</v>
      </c>
      <c r="BF171" s="49" t="s">
        <v>402</v>
      </c>
      <c r="BG171" s="49" t="s">
        <v>138</v>
      </c>
      <c r="BH171" s="49" t="s">
        <v>194</v>
      </c>
      <c r="BI171" s="49" t="s">
        <v>140</v>
      </c>
      <c r="BJ171" s="49" t="s">
        <v>125</v>
      </c>
      <c r="BK171" s="49"/>
      <c r="BL171" s="49" t="s">
        <v>141</v>
      </c>
      <c r="BM171" s="49"/>
      <c r="BN171" s="49"/>
      <c r="BO171" s="49" t="s">
        <v>338</v>
      </c>
    </row>
    <row r="172" ht="16.8" customHeight="1">
      <c r="A172" s="43" t="s">
        <v>25</v>
      </c>
      <c r="B172" s="49" t="n">
        <v>162</v>
      </c>
      <c r="C172" s="49" t="s">
        <v>103</v>
      </c>
      <c r="D172" s="49" t="s">
        <v>104</v>
      </c>
      <c r="E172" s="49" t="s">
        <v>1455</v>
      </c>
      <c r="F172" s="49" t="s">
        <v>1456</v>
      </c>
      <c r="G172" s="49" t="s">
        <v>1348</v>
      </c>
      <c r="H172" s="49" t="s">
        <v>1457</v>
      </c>
      <c r="I172" s="49" t="s">
        <v>1458</v>
      </c>
      <c r="J172" s="49"/>
      <c r="K172" s="49" t="s">
        <v>250</v>
      </c>
      <c r="L172" s="49" t="s">
        <v>14</v>
      </c>
      <c r="M172" s="49" t="s">
        <v>207</v>
      </c>
      <c r="N172" s="49" t="s">
        <v>773</v>
      </c>
      <c r="O172" s="49" t="s">
        <v>125</v>
      </c>
      <c r="P172" s="49"/>
      <c r="Q172" s="49"/>
      <c r="R172" s="49" t="s">
        <v>1459</v>
      </c>
      <c r="S172" s="49" t="s">
        <v>14</v>
      </c>
      <c r="T172" s="49" t="s">
        <v>1460</v>
      </c>
      <c r="U172" s="49" t="s">
        <v>178</v>
      </c>
      <c r="V172" s="49" t="s">
        <v>1461</v>
      </c>
      <c r="W172" s="49" t="s">
        <v>117</v>
      </c>
      <c r="X172" s="49" t="s">
        <v>1462</v>
      </c>
      <c r="Y172" s="49" t="s">
        <v>214</v>
      </c>
      <c r="Z172" s="49" t="s">
        <v>1463</v>
      </c>
      <c r="AA172" s="49" t="s">
        <v>216</v>
      </c>
      <c r="AB172" s="49" t="s">
        <v>1464</v>
      </c>
      <c r="AC172" s="49" t="s">
        <v>1459</v>
      </c>
      <c r="AD172" s="49" t="n">
        <v>5456000</v>
      </c>
      <c r="AE172" s="49" t="s">
        <v>14</v>
      </c>
      <c r="AF172" s="49" t="s">
        <v>1465</v>
      </c>
      <c r="AG172" s="49" t="s">
        <v>14</v>
      </c>
      <c r="AH172" s="49" t="s">
        <v>1465</v>
      </c>
      <c r="AI172" s="49" t="s">
        <v>1295</v>
      </c>
      <c r="AJ172" s="49" t="s">
        <v>1266</v>
      </c>
      <c r="AK172" s="49" t="s">
        <v>124</v>
      </c>
      <c r="AL172" s="49" t="s">
        <v>125</v>
      </c>
      <c r="AM172" s="51" t="n">
        <v>9740</v>
      </c>
      <c r="AN172" s="49"/>
      <c r="AO172" s="49" t="s">
        <v>125</v>
      </c>
      <c r="AP172" s="49" t="s">
        <v>187</v>
      </c>
      <c r="AQ172" s="49" t="s">
        <v>128</v>
      </c>
      <c r="AR172" s="49" t="s">
        <v>681</v>
      </c>
      <c r="AS172" s="49" t="s">
        <v>1466</v>
      </c>
      <c r="AT172" s="49" t="s">
        <v>1470</v>
      </c>
      <c r="AU172" s="49" t="s">
        <v>475</v>
      </c>
      <c r="AV172" s="49"/>
      <c r="AW172" s="124" t="s">
        <v>1468</v>
      </c>
      <c r="AX172" s="49"/>
      <c r="AY172" s="49"/>
      <c r="AZ172" s="49"/>
      <c r="BA172" s="49"/>
      <c r="BB172" s="49" t="n">
        <v>81638293</v>
      </c>
      <c r="BC172" s="49" t="s">
        <v>134</v>
      </c>
      <c r="BD172" s="49" t="s">
        <v>191</v>
      </c>
      <c r="BE172" s="49" t="s">
        <v>224</v>
      </c>
      <c r="BF172" s="49" t="s">
        <v>402</v>
      </c>
      <c r="BG172" s="49" t="s">
        <v>138</v>
      </c>
      <c r="BH172" s="49" t="s">
        <v>194</v>
      </c>
      <c r="BI172" s="49" t="s">
        <v>140</v>
      </c>
      <c r="BJ172" s="49" t="s">
        <v>125</v>
      </c>
      <c r="BK172" s="49"/>
      <c r="BL172" s="49" t="s">
        <v>141</v>
      </c>
      <c r="BM172" s="49"/>
      <c r="BN172" s="49"/>
      <c r="BO172" s="49" t="s">
        <v>338</v>
      </c>
    </row>
    <row r="173" ht="16.8" customHeight="1">
      <c r="A173" s="43" t="s">
        <v>25</v>
      </c>
      <c r="B173" s="49" t="n">
        <v>163</v>
      </c>
      <c r="C173" s="49" t="s">
        <v>103</v>
      </c>
      <c r="D173" s="49" t="s">
        <v>104</v>
      </c>
      <c r="E173" s="49" t="s">
        <v>1455</v>
      </c>
      <c r="F173" s="49" t="s">
        <v>1456</v>
      </c>
      <c r="G173" s="49" t="s">
        <v>1348</v>
      </c>
      <c r="H173" s="49" t="s">
        <v>1457</v>
      </c>
      <c r="I173" s="49" t="s">
        <v>1458</v>
      </c>
      <c r="J173" s="49"/>
      <c r="K173" s="49" t="s">
        <v>250</v>
      </c>
      <c r="L173" s="49" t="s">
        <v>14</v>
      </c>
      <c r="M173" s="49" t="s">
        <v>207</v>
      </c>
      <c r="N173" s="49" t="s">
        <v>773</v>
      </c>
      <c r="O173" s="49" t="s">
        <v>125</v>
      </c>
      <c r="P173" s="49"/>
      <c r="Q173" s="49"/>
      <c r="R173" s="49" t="s">
        <v>1459</v>
      </c>
      <c r="S173" s="49" t="s">
        <v>14</v>
      </c>
      <c r="T173" s="49" t="s">
        <v>1460</v>
      </c>
      <c r="U173" s="49" t="s">
        <v>178</v>
      </c>
      <c r="V173" s="49" t="s">
        <v>1461</v>
      </c>
      <c r="W173" s="49" t="s">
        <v>117</v>
      </c>
      <c r="X173" s="49" t="s">
        <v>1462</v>
      </c>
      <c r="Y173" s="49" t="s">
        <v>214</v>
      </c>
      <c r="Z173" s="49" t="s">
        <v>1463</v>
      </c>
      <c r="AA173" s="49" t="s">
        <v>216</v>
      </c>
      <c r="AB173" s="49" t="s">
        <v>1464</v>
      </c>
      <c r="AC173" s="49" t="s">
        <v>1459</v>
      </c>
      <c r="AD173" s="49" t="n">
        <v>5456000</v>
      </c>
      <c r="AE173" s="49" t="s">
        <v>14</v>
      </c>
      <c r="AF173" s="49" t="s">
        <v>1465</v>
      </c>
      <c r="AG173" s="49" t="s">
        <v>14</v>
      </c>
      <c r="AH173" s="49" t="s">
        <v>1465</v>
      </c>
      <c r="AI173" s="49" t="s">
        <v>1268</v>
      </c>
      <c r="AJ173" s="49" t="s">
        <v>1269</v>
      </c>
      <c r="AK173" s="49" t="s">
        <v>124</v>
      </c>
      <c r="AL173" s="49" t="s">
        <v>125</v>
      </c>
      <c r="AM173" s="51" t="n">
        <v>21920</v>
      </c>
      <c r="AN173" s="49"/>
      <c r="AO173" s="49" t="s">
        <v>125</v>
      </c>
      <c r="AP173" s="49" t="s">
        <v>187</v>
      </c>
      <c r="AQ173" s="49" t="s">
        <v>128</v>
      </c>
      <c r="AR173" s="49" t="s">
        <v>681</v>
      </c>
      <c r="AS173" s="49" t="s">
        <v>1466</v>
      </c>
      <c r="AT173" s="49" t="s">
        <v>1471</v>
      </c>
      <c r="AU173" s="49" t="s">
        <v>475</v>
      </c>
      <c r="AV173" s="49"/>
      <c r="AW173" s="125" t="s">
        <v>1468</v>
      </c>
      <c r="AX173" s="49"/>
      <c r="AY173" s="49"/>
      <c r="AZ173" s="49"/>
      <c r="BA173" s="49"/>
      <c r="BB173" s="49" t="n">
        <v>81638293</v>
      </c>
      <c r="BC173" s="49" t="s">
        <v>134</v>
      </c>
      <c r="BD173" s="49" t="s">
        <v>191</v>
      </c>
      <c r="BE173" s="49" t="s">
        <v>224</v>
      </c>
      <c r="BF173" s="49" t="s">
        <v>402</v>
      </c>
      <c r="BG173" s="49" t="s">
        <v>138</v>
      </c>
      <c r="BH173" s="49" t="s">
        <v>194</v>
      </c>
      <c r="BI173" s="49" t="s">
        <v>140</v>
      </c>
      <c r="BJ173" s="49" t="s">
        <v>125</v>
      </c>
      <c r="BK173" s="49"/>
      <c r="BL173" s="49" t="s">
        <v>141</v>
      </c>
      <c r="BM173" s="49"/>
      <c r="BN173" s="49"/>
      <c r="BO173" s="49" t="s">
        <v>338</v>
      </c>
    </row>
    <row r="174" ht="16.8" customHeight="1">
      <c r="A174" s="43" t="s">
        <v>25</v>
      </c>
      <c r="B174" s="49" t="n">
        <v>164</v>
      </c>
      <c r="C174" s="49" t="s">
        <v>103</v>
      </c>
      <c r="D174" s="49" t="s">
        <v>104</v>
      </c>
      <c r="E174" s="49" t="s">
        <v>1455</v>
      </c>
      <c r="F174" s="49" t="s">
        <v>1456</v>
      </c>
      <c r="G174" s="49" t="s">
        <v>1348</v>
      </c>
      <c r="H174" s="49" t="s">
        <v>1457</v>
      </c>
      <c r="I174" s="49" t="s">
        <v>1458</v>
      </c>
      <c r="J174" s="49"/>
      <c r="K174" s="49" t="s">
        <v>250</v>
      </c>
      <c r="L174" s="49" t="s">
        <v>14</v>
      </c>
      <c r="M174" s="49" t="s">
        <v>207</v>
      </c>
      <c r="N174" s="49" t="s">
        <v>773</v>
      </c>
      <c r="O174" s="49" t="s">
        <v>125</v>
      </c>
      <c r="P174" s="49"/>
      <c r="Q174" s="49"/>
      <c r="R174" s="49" t="s">
        <v>1459</v>
      </c>
      <c r="S174" s="49" t="s">
        <v>14</v>
      </c>
      <c r="T174" s="49" t="s">
        <v>1460</v>
      </c>
      <c r="U174" s="49" t="s">
        <v>178</v>
      </c>
      <c r="V174" s="49" t="s">
        <v>1461</v>
      </c>
      <c r="W174" s="49" t="s">
        <v>117</v>
      </c>
      <c r="X174" s="49" t="s">
        <v>1462</v>
      </c>
      <c r="Y174" s="49" t="s">
        <v>214</v>
      </c>
      <c r="Z174" s="49" t="s">
        <v>1463</v>
      </c>
      <c r="AA174" s="49" t="s">
        <v>216</v>
      </c>
      <c r="AB174" s="49" t="s">
        <v>1464</v>
      </c>
      <c r="AC174" s="49" t="s">
        <v>1459</v>
      </c>
      <c r="AD174" s="49" t="n">
        <v>5456000</v>
      </c>
      <c r="AE174" s="49" t="s">
        <v>14</v>
      </c>
      <c r="AF174" s="49" t="s">
        <v>1465</v>
      </c>
      <c r="AG174" s="49" t="s">
        <v>14</v>
      </c>
      <c r="AH174" s="49" t="s">
        <v>1465</v>
      </c>
      <c r="AI174" s="49" t="s">
        <v>1255</v>
      </c>
      <c r="AJ174" s="49" t="s">
        <v>1256</v>
      </c>
      <c r="AK174" s="49" t="s">
        <v>124</v>
      </c>
      <c r="AL174" s="49" t="s">
        <v>125</v>
      </c>
      <c r="AM174" s="51" t="n">
        <v>9780</v>
      </c>
      <c r="AN174" s="49"/>
      <c r="AO174" s="49" t="s">
        <v>125</v>
      </c>
      <c r="AP174" s="49" t="s">
        <v>187</v>
      </c>
      <c r="AQ174" s="49" t="s">
        <v>128</v>
      </c>
      <c r="AR174" s="49" t="s">
        <v>681</v>
      </c>
      <c r="AS174" s="49" t="s">
        <v>1466</v>
      </c>
      <c r="AT174" s="49" t="s">
        <v>1472</v>
      </c>
      <c r="AU174" s="49" t="s">
        <v>475</v>
      </c>
      <c r="AV174" s="49"/>
      <c r="AW174" s="126" t="s">
        <v>1468</v>
      </c>
      <c r="AX174" s="49"/>
      <c r="AY174" s="49"/>
      <c r="AZ174" s="49"/>
      <c r="BA174" s="49"/>
      <c r="BB174" s="49" t="n">
        <v>81638293</v>
      </c>
      <c r="BC174" s="49" t="s">
        <v>134</v>
      </c>
      <c r="BD174" s="49" t="s">
        <v>191</v>
      </c>
      <c r="BE174" s="49" t="s">
        <v>224</v>
      </c>
      <c r="BF174" s="49" t="s">
        <v>402</v>
      </c>
      <c r="BG174" s="49" t="s">
        <v>138</v>
      </c>
      <c r="BH174" s="49" t="s">
        <v>194</v>
      </c>
      <c r="BI174" s="49" t="s">
        <v>140</v>
      </c>
      <c r="BJ174" s="49" t="s">
        <v>125</v>
      </c>
      <c r="BK174" s="49"/>
      <c r="BL174" s="49" t="s">
        <v>141</v>
      </c>
      <c r="BM174" s="49"/>
      <c r="BN174" s="49"/>
      <c r="BO174" s="49" t="s">
        <v>338</v>
      </c>
    </row>
    <row r="175" ht="16.8" customHeight="1">
      <c r="A175" s="43" t="s">
        <v>25</v>
      </c>
      <c r="B175" s="49" t="n">
        <v>165</v>
      </c>
      <c r="C175" s="49" t="s">
        <v>103</v>
      </c>
      <c r="D175" s="49" t="s">
        <v>104</v>
      </c>
      <c r="E175" s="49" t="s">
        <v>1473</v>
      </c>
      <c r="F175" s="49" t="s">
        <v>1474</v>
      </c>
      <c r="G175" s="49" t="s">
        <v>1475</v>
      </c>
      <c r="H175" s="49" t="s">
        <v>1476</v>
      </c>
      <c r="I175" s="49" t="s">
        <v>1477</v>
      </c>
      <c r="J175" s="49"/>
      <c r="K175" s="49" t="s">
        <v>174</v>
      </c>
      <c r="L175" s="49" t="s">
        <v>10</v>
      </c>
      <c r="M175" s="49" t="s">
        <v>111</v>
      </c>
      <c r="N175" s="49" t="s">
        <v>112</v>
      </c>
      <c r="O175" s="49" t="s">
        <v>1478</v>
      </c>
      <c r="P175" s="49"/>
      <c r="Q175" s="49"/>
      <c r="R175" s="49" t="s">
        <v>1473</v>
      </c>
      <c r="S175" s="49" t="s">
        <v>10</v>
      </c>
      <c r="T175" s="49" t="s">
        <v>1479</v>
      </c>
      <c r="U175" s="49" t="s">
        <v>115</v>
      </c>
      <c r="V175" s="49" t="s">
        <v>1480</v>
      </c>
      <c r="W175" s="49" t="s">
        <v>117</v>
      </c>
      <c r="X175" s="49" t="s">
        <v>391</v>
      </c>
      <c r="Y175" s="49" t="s">
        <v>174</v>
      </c>
      <c r="Z175" s="49" t="s">
        <v>1481</v>
      </c>
      <c r="AA175" s="49" t="s">
        <v>352</v>
      </c>
      <c r="AB175" s="49" t="s">
        <v>1482</v>
      </c>
      <c r="AC175" s="49" t="s">
        <v>1473</v>
      </c>
      <c r="AD175" s="49" t="n">
        <v>5455827</v>
      </c>
      <c r="AE175" s="49" t="s">
        <v>10</v>
      </c>
      <c r="AF175" s="49" t="s">
        <v>1483</v>
      </c>
      <c r="AG175" s="49" t="s">
        <v>10</v>
      </c>
      <c r="AH175" s="49" t="s">
        <v>1484</v>
      </c>
      <c r="AI175" s="49" t="s">
        <v>1485</v>
      </c>
      <c r="AJ175" s="49" t="s">
        <v>1486</v>
      </c>
      <c r="AK175" s="49" t="s">
        <v>124</v>
      </c>
      <c r="AL175" s="49" t="s">
        <v>125</v>
      </c>
      <c r="AM175" s="51" t="n">
        <v>21900</v>
      </c>
      <c r="AN175" s="49"/>
      <c r="AO175" s="49" t="s">
        <v>1475</v>
      </c>
      <c r="AP175" s="49" t="s">
        <v>127</v>
      </c>
      <c r="AQ175" s="49" t="s">
        <v>128</v>
      </c>
      <c r="AR175" s="49"/>
      <c r="AS175" s="49" t="s">
        <v>1487</v>
      </c>
      <c r="AT175" s="49"/>
      <c r="AU175" s="49" t="s">
        <v>475</v>
      </c>
      <c r="AV175" s="49"/>
      <c r="AW175" s="49" t="s">
        <v>1488</v>
      </c>
      <c r="AX175" s="49"/>
      <c r="AY175" s="49"/>
      <c r="AZ175" s="49"/>
      <c r="BA175" s="49"/>
      <c r="BB175" s="49" t="n">
        <v>68854313</v>
      </c>
      <c r="BC175" s="49" t="s">
        <v>134</v>
      </c>
      <c r="BD175" s="49" t="s">
        <v>191</v>
      </c>
      <c r="BE175" s="49" t="s">
        <v>401</v>
      </c>
      <c r="BF175" s="49" t="s">
        <v>225</v>
      </c>
      <c r="BG175" s="49" t="s">
        <v>138</v>
      </c>
      <c r="BH175" s="49" t="s">
        <v>226</v>
      </c>
      <c r="BI175" s="49" t="s">
        <v>140</v>
      </c>
      <c r="BJ175" s="49" t="s">
        <v>125</v>
      </c>
      <c r="BK175" s="49"/>
      <c r="BL175" s="49"/>
      <c r="BM175" s="49"/>
      <c r="BN175" s="49" t="s">
        <v>142</v>
      </c>
      <c r="BO175" s="49" t="s">
        <v>112</v>
      </c>
    </row>
    <row r="176" ht="16.8" customHeight="1">
      <c r="A176" s="43" t="s">
        <v>25</v>
      </c>
      <c r="B176" s="49" t="n">
        <v>166</v>
      </c>
      <c r="C176" s="49" t="s">
        <v>103</v>
      </c>
      <c r="D176" s="49" t="s">
        <v>104</v>
      </c>
      <c r="E176" s="49" t="s">
        <v>250</v>
      </c>
      <c r="F176" s="49" t="s">
        <v>1489</v>
      </c>
      <c r="G176" s="49" t="s">
        <v>252</v>
      </c>
      <c r="H176" s="49" t="s">
        <v>1490</v>
      </c>
      <c r="I176" s="49" t="s">
        <v>254</v>
      </c>
      <c r="J176" s="49" t="s">
        <v>125</v>
      </c>
      <c r="K176" s="49" t="s">
        <v>214</v>
      </c>
      <c r="L176" s="49" t="s">
        <v>14</v>
      </c>
      <c r="M176" s="49" t="s">
        <v>46</v>
      </c>
      <c r="N176" s="49" t="s">
        <v>1491</v>
      </c>
      <c r="O176" s="49" t="s">
        <v>125</v>
      </c>
      <c r="P176" s="49"/>
      <c r="Q176" s="49"/>
      <c r="R176" s="49" t="s">
        <v>1492</v>
      </c>
      <c r="S176" s="49" t="s">
        <v>1493</v>
      </c>
      <c r="T176" s="49" t="s">
        <v>1494</v>
      </c>
      <c r="U176" s="49" t="s">
        <v>178</v>
      </c>
      <c r="V176" s="49" t="s">
        <v>1495</v>
      </c>
      <c r="W176" s="49" t="s">
        <v>117</v>
      </c>
      <c r="X176" s="49" t="s">
        <v>412</v>
      </c>
      <c r="Y176" s="49" t="s">
        <v>214</v>
      </c>
      <c r="Z176" s="49" t="s">
        <v>1321</v>
      </c>
      <c r="AA176" s="49" t="s">
        <v>1496</v>
      </c>
      <c r="AB176" s="49" t="s">
        <v>1497</v>
      </c>
      <c r="AC176" s="49" t="s">
        <v>1492</v>
      </c>
      <c r="AD176" s="49" t="n">
        <v>5415526</v>
      </c>
      <c r="AE176" s="49" t="s">
        <v>14</v>
      </c>
      <c r="AF176" s="49" t="s">
        <v>1498</v>
      </c>
      <c r="AG176" s="49" t="s">
        <v>1493</v>
      </c>
      <c r="AH176" s="49" t="s">
        <v>1499</v>
      </c>
      <c r="AI176" s="49"/>
      <c r="AJ176" s="49"/>
      <c r="AK176" s="49" t="s">
        <v>124</v>
      </c>
      <c r="AL176" s="49" t="s">
        <v>125</v>
      </c>
      <c r="AM176" s="51" t="n">
        <v>51850</v>
      </c>
      <c r="AN176" s="49"/>
      <c r="AO176" s="49" t="s">
        <v>125</v>
      </c>
      <c r="AP176" s="49" t="s">
        <v>220</v>
      </c>
      <c r="AQ176" s="49" t="s">
        <v>128</v>
      </c>
      <c r="AR176" s="49"/>
      <c r="AS176" s="49" t="s">
        <v>1500</v>
      </c>
      <c r="AT176" s="49"/>
      <c r="AU176" s="49"/>
      <c r="AV176" s="49"/>
      <c r="AW176" s="49" t="s">
        <v>1501</v>
      </c>
      <c r="AX176" s="49"/>
      <c r="AY176" s="49"/>
      <c r="AZ176" s="49"/>
      <c r="BA176" s="49"/>
      <c r="BB176" s="49" t="n">
        <v>34659786</v>
      </c>
      <c r="BC176" s="49" t="s">
        <v>134</v>
      </c>
      <c r="BD176" s="49" t="s">
        <v>191</v>
      </c>
      <c r="BE176" s="49" t="s">
        <v>1502</v>
      </c>
      <c r="BF176" s="49" t="s">
        <v>1172</v>
      </c>
      <c r="BG176" s="49" t="s">
        <v>880</v>
      </c>
      <c r="BH176" s="49" t="s">
        <v>139</v>
      </c>
      <c r="BI176" s="49" t="s">
        <v>134</v>
      </c>
      <c r="BJ176" s="49" t="s">
        <v>125</v>
      </c>
      <c r="BK176" s="49"/>
      <c r="BL176" s="49"/>
      <c r="BM176" s="49"/>
      <c r="BN176" s="49"/>
      <c r="BO176" s="49" t="s">
        <v>196</v>
      </c>
    </row>
    <row r="177" ht="16.8" customHeight="1">
      <c r="A177" s="43" t="s">
        <v>25</v>
      </c>
      <c r="B177" s="49" t="n">
        <v>167</v>
      </c>
      <c r="C177" s="49" t="s">
        <v>103</v>
      </c>
      <c r="D177" s="49" t="s">
        <v>104</v>
      </c>
      <c r="E177" s="49" t="s">
        <v>1503</v>
      </c>
      <c r="F177" s="49" t="s">
        <v>1504</v>
      </c>
      <c r="G177" s="49" t="s">
        <v>1505</v>
      </c>
      <c r="H177" s="49" t="s">
        <v>1506</v>
      </c>
      <c r="I177" s="49" t="s">
        <v>1507</v>
      </c>
      <c r="J177" s="49"/>
      <c r="K177" s="49" t="s">
        <v>174</v>
      </c>
      <c r="L177" s="49" t="s">
        <v>210</v>
      </c>
      <c r="M177" s="49" t="s">
        <v>111</v>
      </c>
      <c r="N177" s="49" t="s">
        <v>112</v>
      </c>
      <c r="O177" s="49" t="s">
        <v>1508</v>
      </c>
      <c r="P177" s="49"/>
      <c r="Q177" s="49"/>
      <c r="R177" s="49" t="s">
        <v>1503</v>
      </c>
      <c r="S177" s="49" t="s">
        <v>210</v>
      </c>
      <c r="T177" s="49" t="s">
        <v>1509</v>
      </c>
      <c r="U177" s="49" t="s">
        <v>115</v>
      </c>
      <c r="V177" s="49" t="s">
        <v>1510</v>
      </c>
      <c r="W177" s="49" t="s">
        <v>117</v>
      </c>
      <c r="X177" s="49" t="s">
        <v>391</v>
      </c>
      <c r="Y177" s="49" t="s">
        <v>174</v>
      </c>
      <c r="Z177" s="49" t="s">
        <v>805</v>
      </c>
      <c r="AA177" s="49" t="s">
        <v>1133</v>
      </c>
      <c r="AB177" s="49" t="s">
        <v>353</v>
      </c>
      <c r="AC177" s="49" t="s">
        <v>1503</v>
      </c>
      <c r="AD177" s="49" t="n">
        <v>5415508</v>
      </c>
      <c r="AE177" s="49" t="s">
        <v>10</v>
      </c>
      <c r="AF177" s="49" t="s">
        <v>1511</v>
      </c>
      <c r="AG177" s="49" t="s">
        <v>210</v>
      </c>
      <c r="AH177" s="49" t="s">
        <v>1512</v>
      </c>
      <c r="AI177" s="49"/>
      <c r="AJ177" s="49"/>
      <c r="AK177" s="49" t="s">
        <v>124</v>
      </c>
      <c r="AL177" s="49" t="s">
        <v>125</v>
      </c>
      <c r="AM177" s="51" t="n">
        <v>38000</v>
      </c>
      <c r="AN177" s="49"/>
      <c r="AO177" s="49" t="s">
        <v>1505</v>
      </c>
      <c r="AP177" s="49" t="s">
        <v>220</v>
      </c>
      <c r="AQ177" s="49" t="s">
        <v>128</v>
      </c>
      <c r="AR177" s="49"/>
      <c r="AS177" s="49" t="s">
        <v>1513</v>
      </c>
      <c r="AT177" s="49"/>
      <c r="AU177" s="49"/>
      <c r="AV177" s="49"/>
      <c r="AW177" s="49" t="s">
        <v>1514</v>
      </c>
      <c r="AX177" s="49"/>
      <c r="AY177" s="49"/>
      <c r="AZ177" s="49"/>
      <c r="BA177" s="49"/>
      <c r="BB177" s="49" t="n">
        <v>66906123</v>
      </c>
      <c r="BC177" s="49" t="s">
        <v>134</v>
      </c>
      <c r="BD177" s="49" t="s">
        <v>191</v>
      </c>
      <c r="BE177" s="49" t="s">
        <v>401</v>
      </c>
      <c r="BF177" s="49" t="s">
        <v>225</v>
      </c>
      <c r="BG177" s="49" t="s">
        <v>138</v>
      </c>
      <c r="BH177" s="49" t="s">
        <v>139</v>
      </c>
      <c r="BI177" s="49" t="s">
        <v>134</v>
      </c>
      <c r="BJ177" s="49" t="s">
        <v>125</v>
      </c>
      <c r="BK177" s="49"/>
      <c r="BL177" s="49"/>
      <c r="BM177" s="49"/>
      <c r="BN177" s="49" t="s">
        <v>195</v>
      </c>
      <c r="BO177" s="49" t="s">
        <v>112</v>
      </c>
    </row>
    <row r="178" ht="16.8" customHeight="1">
      <c r="A178" s="43" t="s">
        <v>25</v>
      </c>
      <c r="B178" s="49" t="n">
        <v>168</v>
      </c>
      <c r="C178" s="49" t="s">
        <v>103</v>
      </c>
      <c r="D178" s="49" t="s">
        <v>104</v>
      </c>
      <c r="E178" s="49" t="s">
        <v>1515</v>
      </c>
      <c r="F178" s="49" t="s">
        <v>1516</v>
      </c>
      <c r="G178" s="49" t="s">
        <v>308</v>
      </c>
      <c r="H178" s="49" t="s">
        <v>1517</v>
      </c>
      <c r="I178" s="49" t="s">
        <v>1518</v>
      </c>
      <c r="J178" s="49"/>
      <c r="K178" s="49" t="s">
        <v>214</v>
      </c>
      <c r="L178" s="49" t="s">
        <v>14</v>
      </c>
      <c r="M178" s="49" t="s">
        <v>111</v>
      </c>
      <c r="N178" s="49" t="s">
        <v>112</v>
      </c>
      <c r="O178" s="49" t="s">
        <v>309</v>
      </c>
      <c r="P178" s="49"/>
      <c r="Q178" s="49"/>
      <c r="R178" s="49" t="s">
        <v>1515</v>
      </c>
      <c r="S178" s="49" t="s">
        <v>14</v>
      </c>
      <c r="T178" s="49" t="s">
        <v>1519</v>
      </c>
      <c r="U178" s="49" t="s">
        <v>115</v>
      </c>
      <c r="V178" s="49" t="s">
        <v>1520</v>
      </c>
      <c r="W178" s="49" t="s">
        <v>117</v>
      </c>
      <c r="X178" s="49" t="s">
        <v>391</v>
      </c>
      <c r="Y178" s="49" t="s">
        <v>214</v>
      </c>
      <c r="Z178" s="49" t="s">
        <v>1521</v>
      </c>
      <c r="AA178" s="49" t="s">
        <v>1522</v>
      </c>
      <c r="AB178" s="49" t="s">
        <v>225</v>
      </c>
      <c r="AC178" s="49" t="s">
        <v>1515</v>
      </c>
      <c r="AD178" s="49" t="n">
        <v>5483461</v>
      </c>
      <c r="AE178" s="49" t="s">
        <v>14</v>
      </c>
      <c r="AF178" s="49" t="s">
        <v>1523</v>
      </c>
      <c r="AG178" s="49" t="s">
        <v>14</v>
      </c>
      <c r="AH178" s="49" t="s">
        <v>1524</v>
      </c>
      <c r="AI178" s="49" t="s">
        <v>1525</v>
      </c>
      <c r="AJ178" s="49" t="s">
        <v>1526</v>
      </c>
      <c r="AK178" s="49" t="s">
        <v>124</v>
      </c>
      <c r="AL178" s="49" t="s">
        <v>125</v>
      </c>
      <c r="AM178" s="51" t="n">
        <v>69400</v>
      </c>
      <c r="AN178" s="49"/>
      <c r="AO178" s="49" t="s">
        <v>308</v>
      </c>
      <c r="AP178" s="49" t="s">
        <v>127</v>
      </c>
      <c r="AQ178" s="49" t="s">
        <v>128</v>
      </c>
      <c r="AR178" s="49"/>
      <c r="AS178" s="49" t="s">
        <v>1527</v>
      </c>
      <c r="AT178" s="49"/>
      <c r="AU178" s="49" t="s">
        <v>487</v>
      </c>
      <c r="AV178" s="49"/>
      <c r="AW178" s="49" t="s">
        <v>1528</v>
      </c>
      <c r="AX178" s="49"/>
      <c r="AY178" s="49"/>
      <c r="AZ178" s="49"/>
      <c r="BA178" s="49"/>
      <c r="BB178" s="49" t="n">
        <v>12366221</v>
      </c>
      <c r="BC178" s="49" t="s">
        <v>134</v>
      </c>
      <c r="BD178" s="49" t="s">
        <v>191</v>
      </c>
      <c r="BE178" s="49" t="s">
        <v>401</v>
      </c>
      <c r="BF178" s="49" t="s">
        <v>225</v>
      </c>
      <c r="BG178" s="49" t="s">
        <v>138</v>
      </c>
      <c r="BH178" s="49" t="s">
        <v>139</v>
      </c>
      <c r="BI178" s="49" t="s">
        <v>140</v>
      </c>
      <c r="BJ178" s="49" t="s">
        <v>125</v>
      </c>
      <c r="BK178" s="49"/>
      <c r="BL178" s="49"/>
      <c r="BM178" s="49"/>
      <c r="BN178" s="49"/>
      <c r="BO178" s="49" t="s">
        <v>112</v>
      </c>
    </row>
    <row r="179" ht="16.8" customHeight="1">
      <c r="A179" s="43" t="s">
        <v>25</v>
      </c>
      <c r="B179" s="49" t="n">
        <v>169</v>
      </c>
      <c r="C179" s="49" t="s">
        <v>103</v>
      </c>
      <c r="D179" s="49" t="s">
        <v>104</v>
      </c>
      <c r="E179" s="49" t="s">
        <v>1529</v>
      </c>
      <c r="F179" s="49" t="s">
        <v>1530</v>
      </c>
      <c r="G179" s="49" t="s">
        <v>1475</v>
      </c>
      <c r="H179" s="49" t="s">
        <v>1531</v>
      </c>
      <c r="I179" s="49" t="s">
        <v>1532</v>
      </c>
      <c r="J179" s="49"/>
      <c r="K179" s="49" t="s">
        <v>214</v>
      </c>
      <c r="L179" s="49" t="s">
        <v>10</v>
      </c>
      <c r="M179" s="49" t="s">
        <v>111</v>
      </c>
      <c r="N179" s="49" t="s">
        <v>112</v>
      </c>
      <c r="O179" s="49" t="s">
        <v>1478</v>
      </c>
      <c r="P179" s="49"/>
      <c r="Q179" s="49"/>
      <c r="R179" s="49" t="s">
        <v>1529</v>
      </c>
      <c r="S179" s="49" t="s">
        <v>10</v>
      </c>
      <c r="T179" s="49" t="s">
        <v>1533</v>
      </c>
      <c r="U179" s="49" t="s">
        <v>115</v>
      </c>
      <c r="V179" s="49" t="s">
        <v>1534</v>
      </c>
      <c r="W179" s="49" t="s">
        <v>117</v>
      </c>
      <c r="X179" s="49" t="s">
        <v>312</v>
      </c>
      <c r="Y179" s="49" t="s">
        <v>214</v>
      </c>
      <c r="Z179" s="49" t="s">
        <v>259</v>
      </c>
      <c r="AA179" s="49" t="s">
        <v>512</v>
      </c>
      <c r="AB179" s="49" t="s">
        <v>1535</v>
      </c>
      <c r="AC179" s="49" t="s">
        <v>1529</v>
      </c>
      <c r="AD179" s="49" t="n">
        <v>5415115</v>
      </c>
      <c r="AE179" s="49" t="s">
        <v>10</v>
      </c>
      <c r="AF179" s="49" t="s">
        <v>1536</v>
      </c>
      <c r="AG179" s="49" t="s">
        <v>10</v>
      </c>
      <c r="AH179" s="49" t="s">
        <v>1537</v>
      </c>
      <c r="AI179" s="49" t="s">
        <v>1538</v>
      </c>
      <c r="AJ179" s="49" t="s">
        <v>1539</v>
      </c>
      <c r="AK179" s="49" t="s">
        <v>124</v>
      </c>
      <c r="AL179" s="49" t="s">
        <v>125</v>
      </c>
      <c r="AM179" s="51" t="n">
        <v>6000</v>
      </c>
      <c r="AN179" s="49"/>
      <c r="AO179" s="49" t="s">
        <v>1475</v>
      </c>
      <c r="AP179" s="49" t="s">
        <v>127</v>
      </c>
      <c r="AQ179" s="49" t="s">
        <v>128</v>
      </c>
      <c r="AR179" s="49"/>
      <c r="AS179" s="49" t="s">
        <v>1540</v>
      </c>
      <c r="AT179" s="49"/>
      <c r="AU179" s="49" t="s">
        <v>487</v>
      </c>
      <c r="AV179" s="49"/>
      <c r="AW179" s="49" t="s">
        <v>1541</v>
      </c>
      <c r="AX179" s="49"/>
      <c r="AY179" s="49"/>
      <c r="AZ179" s="49"/>
      <c r="BA179" s="49"/>
      <c r="BB179" s="49" t="n">
        <v>33140368</v>
      </c>
      <c r="BC179" s="49" t="s">
        <v>134</v>
      </c>
      <c r="BD179" s="49" t="s">
        <v>191</v>
      </c>
      <c r="BE179" s="49" t="s">
        <v>318</v>
      </c>
      <c r="BF179" s="49" t="s">
        <v>319</v>
      </c>
      <c r="BG179" s="49" t="s">
        <v>138</v>
      </c>
      <c r="BH179" s="49" t="s">
        <v>194</v>
      </c>
      <c r="BI179" s="49" t="s">
        <v>140</v>
      </c>
      <c r="BJ179" s="49" t="s">
        <v>125</v>
      </c>
      <c r="BK179" s="49"/>
      <c r="BL179" s="49"/>
      <c r="BM179" s="49"/>
      <c r="BN179" s="49"/>
      <c r="BO179" s="49" t="s">
        <v>112</v>
      </c>
    </row>
    <row r="180" ht="16.8" customHeight="1">
      <c r="A180" s="43" t="s">
        <v>25</v>
      </c>
      <c r="B180" s="49" t="n">
        <v>170</v>
      </c>
      <c r="C180" s="49" t="s">
        <v>103</v>
      </c>
      <c r="D180" s="49" t="s">
        <v>104</v>
      </c>
      <c r="E180" s="49" t="s">
        <v>1529</v>
      </c>
      <c r="F180" s="49" t="s">
        <v>1530</v>
      </c>
      <c r="G180" s="49" t="s">
        <v>1475</v>
      </c>
      <c r="H180" s="49" t="s">
        <v>1531</v>
      </c>
      <c r="I180" s="49" t="s">
        <v>1532</v>
      </c>
      <c r="J180" s="49"/>
      <c r="K180" s="49" t="s">
        <v>214</v>
      </c>
      <c r="L180" s="49" t="s">
        <v>10</v>
      </c>
      <c r="M180" s="49" t="s">
        <v>111</v>
      </c>
      <c r="N180" s="49" t="s">
        <v>112</v>
      </c>
      <c r="O180" s="49" t="s">
        <v>1478</v>
      </c>
      <c r="P180" s="49"/>
      <c r="Q180" s="49"/>
      <c r="R180" s="49" t="s">
        <v>1529</v>
      </c>
      <c r="S180" s="49" t="s">
        <v>10</v>
      </c>
      <c r="T180" s="49" t="s">
        <v>1533</v>
      </c>
      <c r="U180" s="49" t="s">
        <v>115</v>
      </c>
      <c r="V180" s="49" t="s">
        <v>1534</v>
      </c>
      <c r="W180" s="49" t="s">
        <v>117</v>
      </c>
      <c r="X180" s="49" t="s">
        <v>312</v>
      </c>
      <c r="Y180" s="49" t="s">
        <v>214</v>
      </c>
      <c r="Z180" s="49" t="s">
        <v>259</v>
      </c>
      <c r="AA180" s="49" t="s">
        <v>512</v>
      </c>
      <c r="AB180" s="49" t="s">
        <v>1535</v>
      </c>
      <c r="AC180" s="49" t="s">
        <v>1529</v>
      </c>
      <c r="AD180" s="49" t="n">
        <v>5415115</v>
      </c>
      <c r="AE180" s="49" t="s">
        <v>10</v>
      </c>
      <c r="AF180" s="49" t="s">
        <v>1536</v>
      </c>
      <c r="AG180" s="49" t="s">
        <v>10</v>
      </c>
      <c r="AH180" s="49" t="s">
        <v>1537</v>
      </c>
      <c r="AI180" s="49" t="s">
        <v>1542</v>
      </c>
      <c r="AJ180" s="49" t="s">
        <v>1539</v>
      </c>
      <c r="AK180" s="49" t="s">
        <v>124</v>
      </c>
      <c r="AL180" s="49" t="s">
        <v>125</v>
      </c>
      <c r="AM180" s="51" t="n">
        <v>6000</v>
      </c>
      <c r="AN180" s="49"/>
      <c r="AO180" s="49" t="s">
        <v>1475</v>
      </c>
      <c r="AP180" s="49" t="s">
        <v>127</v>
      </c>
      <c r="AQ180" s="49" t="s">
        <v>128</v>
      </c>
      <c r="AR180" s="49"/>
      <c r="AS180" s="49" t="s">
        <v>1540</v>
      </c>
      <c r="AT180" s="49"/>
      <c r="AU180" s="49" t="s">
        <v>487</v>
      </c>
      <c r="AV180" s="49"/>
      <c r="AW180" s="49" t="s">
        <v>1541</v>
      </c>
      <c r="AX180" s="49"/>
      <c r="AY180" s="49"/>
      <c r="AZ180" s="49"/>
      <c r="BA180" s="49"/>
      <c r="BB180" s="49" t="n">
        <v>33140368</v>
      </c>
      <c r="BC180" s="49" t="s">
        <v>134</v>
      </c>
      <c r="BD180" s="49" t="s">
        <v>191</v>
      </c>
      <c r="BE180" s="49" t="s">
        <v>318</v>
      </c>
      <c r="BF180" s="49" t="s">
        <v>319</v>
      </c>
      <c r="BG180" s="49" t="s">
        <v>138</v>
      </c>
      <c r="BH180" s="49" t="s">
        <v>194</v>
      </c>
      <c r="BI180" s="49" t="s">
        <v>140</v>
      </c>
      <c r="BJ180" s="49" t="s">
        <v>125</v>
      </c>
      <c r="BK180" s="49"/>
      <c r="BL180" s="49"/>
      <c r="BM180" s="49"/>
      <c r="BN180" s="49"/>
      <c r="BO180" s="49" t="s">
        <v>112</v>
      </c>
    </row>
    <row r="181" ht="16.8" customHeight="1">
      <c r="A181" s="43" t="s">
        <v>25</v>
      </c>
      <c r="B181" s="49" t="n">
        <v>171</v>
      </c>
      <c r="C181" s="49" t="s">
        <v>103</v>
      </c>
      <c r="D181" s="49" t="s">
        <v>104</v>
      </c>
      <c r="E181" s="49" t="s">
        <v>1543</v>
      </c>
      <c r="F181" s="49" t="s">
        <v>1544</v>
      </c>
      <c r="G181" s="49" t="s">
        <v>171</v>
      </c>
      <c r="H181" s="49" t="s">
        <v>1545</v>
      </c>
      <c r="I181" s="49" t="s">
        <v>554</v>
      </c>
      <c r="J181" s="49" t="s">
        <v>125</v>
      </c>
      <c r="K181" s="49" t="s">
        <v>250</v>
      </c>
      <c r="L181" s="49" t="s">
        <v>10</v>
      </c>
      <c r="M181" s="49" t="s">
        <v>111</v>
      </c>
      <c r="N181" s="49" t="s">
        <v>554</v>
      </c>
      <c r="O181" s="49" t="s">
        <v>1220</v>
      </c>
      <c r="P181" s="49"/>
      <c r="Q181" s="49"/>
      <c r="R181" s="49" t="s">
        <v>1543</v>
      </c>
      <c r="S181" s="49" t="s">
        <v>10</v>
      </c>
      <c r="T181" s="49" t="s">
        <v>1546</v>
      </c>
      <c r="U181" s="49" t="s">
        <v>178</v>
      </c>
      <c r="V181" s="49" t="s">
        <v>1547</v>
      </c>
      <c r="W181" s="49" t="s">
        <v>117</v>
      </c>
      <c r="X181" s="49" t="s">
        <v>1131</v>
      </c>
      <c r="Y181" s="49" t="s">
        <v>996</v>
      </c>
      <c r="Z181" s="49" t="s">
        <v>259</v>
      </c>
      <c r="AA181" s="49" t="s">
        <v>749</v>
      </c>
      <c r="AB181" s="49" t="s">
        <v>1548</v>
      </c>
      <c r="AC181" s="49" t="s">
        <v>1543</v>
      </c>
      <c r="AD181" s="49" t="n">
        <v>5454703</v>
      </c>
      <c r="AE181" s="49" t="s">
        <v>10</v>
      </c>
      <c r="AF181" s="49" t="s">
        <v>1549</v>
      </c>
      <c r="AG181" s="49" t="s">
        <v>10</v>
      </c>
      <c r="AH181" s="49" t="s">
        <v>1549</v>
      </c>
      <c r="AI181" s="49" t="s">
        <v>1550</v>
      </c>
      <c r="AJ181" s="49" t="s">
        <v>1551</v>
      </c>
      <c r="AK181" s="49" t="s">
        <v>124</v>
      </c>
      <c r="AL181" s="49" t="s">
        <v>125</v>
      </c>
      <c r="AM181" s="51" t="n">
        <v>19500</v>
      </c>
      <c r="AN181" s="49"/>
      <c r="AO181" s="49" t="s">
        <v>1220</v>
      </c>
      <c r="AP181" s="49" t="s">
        <v>187</v>
      </c>
      <c r="AQ181" s="49" t="s">
        <v>128</v>
      </c>
      <c r="AR181" s="49" t="s">
        <v>1091</v>
      </c>
      <c r="AS181" s="49" t="s">
        <v>1552</v>
      </c>
      <c r="AT181" s="49" t="s">
        <v>1553</v>
      </c>
      <c r="AU181" s="49" t="s">
        <v>482</v>
      </c>
      <c r="AV181" s="49"/>
      <c r="AW181" s="49" t="s">
        <v>1554</v>
      </c>
      <c r="AX181" s="49"/>
      <c r="AY181" s="49"/>
      <c r="AZ181" s="49"/>
      <c r="BA181" s="49"/>
      <c r="BB181" s="49" t="n">
        <v>59757341</v>
      </c>
      <c r="BC181" s="49" t="s">
        <v>134</v>
      </c>
      <c r="BD181" s="49" t="s">
        <v>655</v>
      </c>
      <c r="BE181" s="49" t="s">
        <v>894</v>
      </c>
      <c r="BF181" s="49" t="s">
        <v>125</v>
      </c>
      <c r="BG181" s="49"/>
      <c r="BH181" s="49" t="s">
        <v>194</v>
      </c>
      <c r="BI181" s="49" t="s">
        <v>140</v>
      </c>
      <c r="BJ181" s="49" t="s">
        <v>125</v>
      </c>
      <c r="BK181" s="49"/>
      <c r="BL181" s="49" t="s">
        <v>141</v>
      </c>
      <c r="BM181" s="49"/>
      <c r="BN181" s="49"/>
      <c r="BO181" s="49" t="s">
        <v>196</v>
      </c>
    </row>
    <row r="182" ht="16.8" customHeight="1">
      <c r="A182" s="43" t="s">
        <v>25</v>
      </c>
      <c r="B182" s="49" t="n">
        <v>172</v>
      </c>
      <c r="C182" s="49" t="s">
        <v>103</v>
      </c>
      <c r="D182" s="49" t="s">
        <v>104</v>
      </c>
      <c r="E182" s="49" t="s">
        <v>1555</v>
      </c>
      <c r="F182" s="49" t="s">
        <v>1556</v>
      </c>
      <c r="G182" s="49" t="s">
        <v>1440</v>
      </c>
      <c r="H182" s="49" t="s">
        <v>1557</v>
      </c>
      <c r="I182" s="49" t="s">
        <v>1558</v>
      </c>
      <c r="J182" s="49"/>
      <c r="K182" s="49" t="s">
        <v>174</v>
      </c>
      <c r="L182" s="49" t="s">
        <v>14</v>
      </c>
      <c r="M182" s="49" t="s">
        <v>111</v>
      </c>
      <c r="N182" s="49" t="s">
        <v>112</v>
      </c>
      <c r="O182" s="49" t="s">
        <v>1443</v>
      </c>
      <c r="P182" s="49"/>
      <c r="Q182" s="49"/>
      <c r="R182" s="49" t="s">
        <v>1555</v>
      </c>
      <c r="S182" s="49" t="s">
        <v>14</v>
      </c>
      <c r="T182" s="49" t="s">
        <v>1559</v>
      </c>
      <c r="U182" s="49" t="s">
        <v>115</v>
      </c>
      <c r="V182" s="49" t="s">
        <v>1560</v>
      </c>
      <c r="W182" s="49" t="s">
        <v>117</v>
      </c>
      <c r="X182" s="49" t="s">
        <v>391</v>
      </c>
      <c r="Y182" s="49" t="s">
        <v>174</v>
      </c>
      <c r="Z182" s="49" t="s">
        <v>1561</v>
      </c>
      <c r="AA182" s="49" t="s">
        <v>1562</v>
      </c>
      <c r="AB182" s="49" t="s">
        <v>513</v>
      </c>
      <c r="AC182" s="49" t="s">
        <v>1555</v>
      </c>
      <c r="AD182" s="49" t="n">
        <v>5454279</v>
      </c>
      <c r="AE182" s="49" t="s">
        <v>14</v>
      </c>
      <c r="AF182" s="49" t="s">
        <v>1563</v>
      </c>
      <c r="AG182" s="49" t="s">
        <v>14</v>
      </c>
      <c r="AH182" s="49" t="s">
        <v>1564</v>
      </c>
      <c r="AI182" s="49" t="s">
        <v>1565</v>
      </c>
      <c r="AJ182" s="49" t="s">
        <v>826</v>
      </c>
      <c r="AK182" s="49" t="s">
        <v>124</v>
      </c>
      <c r="AL182" s="49" t="s">
        <v>125</v>
      </c>
      <c r="AM182" s="51" t="n">
        <v>48600</v>
      </c>
      <c r="AN182" s="49"/>
      <c r="AO182" s="49" t="s">
        <v>1440</v>
      </c>
      <c r="AP182" s="49" t="s">
        <v>127</v>
      </c>
      <c r="AQ182" s="49" t="s">
        <v>128</v>
      </c>
      <c r="AR182" s="49"/>
      <c r="AS182" s="49" t="s">
        <v>1566</v>
      </c>
      <c r="AT182" s="49"/>
      <c r="AU182" s="49" t="s">
        <v>482</v>
      </c>
      <c r="AV182" s="49"/>
      <c r="AW182" s="49" t="s">
        <v>1567</v>
      </c>
      <c r="AX182" s="49"/>
      <c r="AY182" s="49"/>
      <c r="AZ182" s="49"/>
      <c r="BA182" s="49"/>
      <c r="BB182" s="49" t="n">
        <v>66477823</v>
      </c>
      <c r="BC182" s="49" t="s">
        <v>134</v>
      </c>
      <c r="BD182" s="49" t="s">
        <v>191</v>
      </c>
      <c r="BE182" s="49" t="s">
        <v>401</v>
      </c>
      <c r="BF182" s="49" t="s">
        <v>402</v>
      </c>
      <c r="BG182" s="49" t="s">
        <v>138</v>
      </c>
      <c r="BH182" s="49" t="s">
        <v>139</v>
      </c>
      <c r="BI182" s="49" t="s">
        <v>140</v>
      </c>
      <c r="BJ182" s="49" t="s">
        <v>125</v>
      </c>
      <c r="BK182" s="49"/>
      <c r="BL182" s="49"/>
      <c r="BM182" s="49"/>
      <c r="BN182" s="49" t="s">
        <v>142</v>
      </c>
      <c r="BO182" s="49" t="s">
        <v>112</v>
      </c>
    </row>
    <row r="183" ht="16.8" customHeight="1">
      <c r="A183" s="43" t="s">
        <v>25</v>
      </c>
      <c r="B183" s="49" t="n">
        <v>173</v>
      </c>
      <c r="C183" s="49" t="s">
        <v>103</v>
      </c>
      <c r="D183" s="49" t="s">
        <v>104</v>
      </c>
      <c r="E183" s="49" t="s">
        <v>250</v>
      </c>
      <c r="F183" s="49" t="s">
        <v>1032</v>
      </c>
      <c r="G183" s="49" t="s">
        <v>1330</v>
      </c>
      <c r="H183" s="49" t="s">
        <v>1033</v>
      </c>
      <c r="I183" s="127" t="s">
        <v>1034</v>
      </c>
      <c r="J183" s="49" t="s">
        <v>1035</v>
      </c>
      <c r="K183" s="49"/>
      <c r="L183" s="49" t="s">
        <v>14</v>
      </c>
      <c r="M183" s="49" t="s">
        <v>1036</v>
      </c>
      <c r="N183" s="49" t="s">
        <v>1037</v>
      </c>
      <c r="O183" s="49" t="s">
        <v>125</v>
      </c>
      <c r="P183" s="49"/>
      <c r="Q183" s="49"/>
      <c r="R183" s="49" t="s">
        <v>1038</v>
      </c>
      <c r="S183" s="49" t="s">
        <v>14</v>
      </c>
      <c r="T183" s="49" t="s">
        <v>1568</v>
      </c>
      <c r="U183" s="49" t="s">
        <v>178</v>
      </c>
      <c r="V183" s="49" t="s">
        <v>1569</v>
      </c>
      <c r="W183" s="49" t="s">
        <v>117</v>
      </c>
      <c r="X183" s="49" t="s">
        <v>647</v>
      </c>
      <c r="Y183" s="49" t="s">
        <v>206</v>
      </c>
      <c r="Z183" s="49" t="s">
        <v>805</v>
      </c>
      <c r="AA183" s="49" t="s">
        <v>1041</v>
      </c>
      <c r="AB183" s="49" t="s">
        <v>1042</v>
      </c>
      <c r="AC183" s="49" t="s">
        <v>1038</v>
      </c>
      <c r="AD183" s="49" t="n">
        <v>5454168</v>
      </c>
      <c r="AE183" s="49" t="s">
        <v>14</v>
      </c>
      <c r="AF183" s="49" t="s">
        <v>1570</v>
      </c>
      <c r="AG183" s="49" t="s">
        <v>14</v>
      </c>
      <c r="AH183" s="49" t="s">
        <v>1570</v>
      </c>
      <c r="AI183" s="49" t="s">
        <v>1434</v>
      </c>
      <c r="AJ183" s="49" t="s">
        <v>1435</v>
      </c>
      <c r="AK183" s="49" t="s">
        <v>124</v>
      </c>
      <c r="AL183" s="49" t="s">
        <v>125</v>
      </c>
      <c r="AM183" s="51" t="n">
        <v>6180</v>
      </c>
      <c r="AN183" s="49"/>
      <c r="AO183" s="49" t="s">
        <v>125</v>
      </c>
      <c r="AP183" s="49" t="s">
        <v>187</v>
      </c>
      <c r="AQ183" s="49" t="s">
        <v>128</v>
      </c>
      <c r="AR183" s="49" t="s">
        <v>1091</v>
      </c>
      <c r="AS183" s="49" t="s">
        <v>1045</v>
      </c>
      <c r="AT183" s="49" t="s">
        <v>1571</v>
      </c>
      <c r="AU183" s="49" t="s">
        <v>482</v>
      </c>
      <c r="AV183" s="49"/>
      <c r="AW183" s="49" t="s">
        <v>1572</v>
      </c>
      <c r="AX183" s="49"/>
      <c r="AY183" s="49"/>
      <c r="AZ183" s="49"/>
      <c r="BA183" s="49"/>
      <c r="BB183" s="49" t="n">
        <v>67544620</v>
      </c>
      <c r="BC183" s="49" t="s">
        <v>134</v>
      </c>
      <c r="BD183" s="49" t="s">
        <v>655</v>
      </c>
      <c r="BE183" s="49" t="s">
        <v>656</v>
      </c>
      <c r="BF183" s="49" t="s">
        <v>125</v>
      </c>
      <c r="BG183" s="49"/>
      <c r="BH183" s="49" t="s">
        <v>139</v>
      </c>
      <c r="BI183" s="49" t="s">
        <v>140</v>
      </c>
      <c r="BJ183" s="49" t="s">
        <v>125</v>
      </c>
      <c r="BK183" s="49"/>
      <c r="BL183" s="49" t="s">
        <v>141</v>
      </c>
      <c r="BM183" s="49"/>
      <c r="BN183" s="49" t="s">
        <v>142</v>
      </c>
      <c r="BO183" s="49" t="s">
        <v>1426</v>
      </c>
    </row>
    <row r="184" ht="16.8" customHeight="1">
      <c r="A184" s="43" t="s">
        <v>25</v>
      </c>
      <c r="B184" s="49" t="n">
        <v>174</v>
      </c>
      <c r="C184" s="49" t="s">
        <v>103</v>
      </c>
      <c r="D184" s="49" t="s">
        <v>104</v>
      </c>
      <c r="E184" s="49" t="s">
        <v>1573</v>
      </c>
      <c r="F184" s="49" t="s">
        <v>1574</v>
      </c>
      <c r="G184" s="49" t="s">
        <v>980</v>
      </c>
      <c r="H184" s="49" t="s">
        <v>1575</v>
      </c>
      <c r="I184" s="49" t="s">
        <v>1576</v>
      </c>
      <c r="J184" s="49" t="s">
        <v>125</v>
      </c>
      <c r="K184" s="49" t="s">
        <v>214</v>
      </c>
      <c r="L184" s="49" t="s">
        <v>980</v>
      </c>
      <c r="M184" s="49" t="s">
        <v>507</v>
      </c>
      <c r="N184" s="49" t="s">
        <v>507</v>
      </c>
      <c r="O184" s="49" t="s">
        <v>125</v>
      </c>
      <c r="P184" s="49" t="s">
        <v>980</v>
      </c>
      <c r="Q184" s="49" t="s">
        <v>1577</v>
      </c>
      <c r="R184" s="49" t="s">
        <v>1573</v>
      </c>
      <c r="S184" s="49" t="s">
        <v>10</v>
      </c>
      <c r="T184" s="49" t="s">
        <v>1578</v>
      </c>
      <c r="U184" s="49" t="s">
        <v>115</v>
      </c>
      <c r="V184" s="49" t="s">
        <v>1579</v>
      </c>
      <c r="W184" s="49" t="s">
        <v>117</v>
      </c>
      <c r="X184" s="49" t="s">
        <v>391</v>
      </c>
      <c r="Y184" s="49" t="s">
        <v>214</v>
      </c>
      <c r="Z184" s="49" t="s">
        <v>1580</v>
      </c>
      <c r="AA184" s="49" t="s">
        <v>629</v>
      </c>
      <c r="AB184" s="49" t="s">
        <v>1581</v>
      </c>
      <c r="AC184" s="49" t="s">
        <v>1573</v>
      </c>
      <c r="AD184" s="49" t="n">
        <v>5453763</v>
      </c>
      <c r="AE184" s="49" t="s">
        <v>10</v>
      </c>
      <c r="AF184" s="49" t="s">
        <v>1582</v>
      </c>
      <c r="AG184" s="49" t="s">
        <v>10</v>
      </c>
      <c r="AH184" s="49" t="s">
        <v>1583</v>
      </c>
      <c r="AI184" s="49" t="s">
        <v>1584</v>
      </c>
      <c r="AJ184" s="49" t="s">
        <v>1585</v>
      </c>
      <c r="AK184" s="49" t="s">
        <v>124</v>
      </c>
      <c r="AL184" s="49" t="s">
        <v>125</v>
      </c>
      <c r="AM184" s="51" t="n">
        <v>23500</v>
      </c>
      <c r="AN184" s="49"/>
      <c r="AO184" s="49" t="s">
        <v>125</v>
      </c>
      <c r="AP184" s="49" t="s">
        <v>127</v>
      </c>
      <c r="AQ184" s="49" t="s">
        <v>128</v>
      </c>
      <c r="AR184" s="49"/>
      <c r="AS184" s="49" t="s">
        <v>1586</v>
      </c>
      <c r="AT184" s="49"/>
      <c r="AU184" s="49" t="s">
        <v>482</v>
      </c>
      <c r="AV184" s="49"/>
      <c r="AW184" s="49" t="s">
        <v>1587</v>
      </c>
      <c r="AX184" s="49"/>
      <c r="AY184" s="49"/>
      <c r="AZ184" s="49"/>
      <c r="BA184" s="49"/>
      <c r="BB184" s="49" t="n">
        <v>51397937</v>
      </c>
      <c r="BC184" s="49" t="s">
        <v>134</v>
      </c>
      <c r="BD184" s="49" t="s">
        <v>191</v>
      </c>
      <c r="BE184" s="49" t="s">
        <v>401</v>
      </c>
      <c r="BF184" s="49" t="s">
        <v>225</v>
      </c>
      <c r="BG184" s="49" t="s">
        <v>138</v>
      </c>
      <c r="BH184" s="49" t="s">
        <v>139</v>
      </c>
      <c r="BI184" s="49" t="s">
        <v>140</v>
      </c>
      <c r="BJ184" s="49" t="s">
        <v>125</v>
      </c>
      <c r="BK184" s="49"/>
      <c r="BL184" s="49"/>
      <c r="BM184" s="49"/>
      <c r="BN184" s="49"/>
      <c r="BO184" s="49"/>
    </row>
    <row r="185" ht="16.8" customHeight="1">
      <c r="A185" s="43" t="s">
        <v>25</v>
      </c>
      <c r="B185" s="49" t="n">
        <v>175</v>
      </c>
      <c r="C185" s="49" t="s">
        <v>103</v>
      </c>
      <c r="D185" s="49" t="s">
        <v>104</v>
      </c>
      <c r="E185" s="49" t="s">
        <v>1588</v>
      </c>
      <c r="F185" s="49" t="s">
        <v>1589</v>
      </c>
      <c r="G185" s="49" t="s">
        <v>1590</v>
      </c>
      <c r="H185" s="49" t="s">
        <v>1591</v>
      </c>
      <c r="I185" s="128" t="s">
        <v>1592</v>
      </c>
      <c r="J185" s="49" t="s">
        <v>125</v>
      </c>
      <c r="K185" s="49" t="s">
        <v>250</v>
      </c>
      <c r="L185" s="49" t="s">
        <v>10</v>
      </c>
      <c r="M185" s="49" t="s">
        <v>607</v>
      </c>
      <c r="N185" s="49" t="s">
        <v>608</v>
      </c>
      <c r="O185" s="49" t="s">
        <v>125</v>
      </c>
      <c r="P185" s="49"/>
      <c r="Q185" s="49"/>
      <c r="R185" s="49" t="s">
        <v>1593</v>
      </c>
      <c r="S185" s="49" t="s">
        <v>10</v>
      </c>
      <c r="T185" s="49" t="s">
        <v>1594</v>
      </c>
      <c r="U185" s="49" t="s">
        <v>178</v>
      </c>
      <c r="V185" s="49" t="s">
        <v>1595</v>
      </c>
      <c r="W185" s="49" t="s">
        <v>117</v>
      </c>
      <c r="X185" s="49" t="s">
        <v>180</v>
      </c>
      <c r="Y185" s="49" t="s">
        <v>214</v>
      </c>
      <c r="Z185" s="49" t="s">
        <v>1596</v>
      </c>
      <c r="AA185" s="49" t="s">
        <v>1597</v>
      </c>
      <c r="AB185" s="49" t="s">
        <v>1598</v>
      </c>
      <c r="AC185" s="49" t="s">
        <v>1593</v>
      </c>
      <c r="AD185" s="49" t="n">
        <v>5414905</v>
      </c>
      <c r="AE185" s="49" t="s">
        <v>10</v>
      </c>
      <c r="AF185" s="49" t="s">
        <v>1599</v>
      </c>
      <c r="AG185" s="49" t="s">
        <v>10</v>
      </c>
      <c r="AH185" s="49" t="s">
        <v>1600</v>
      </c>
      <c r="AI185" s="49" t="s">
        <v>912</v>
      </c>
      <c r="AJ185" s="49" t="s">
        <v>913</v>
      </c>
      <c r="AK185" s="49" t="s">
        <v>124</v>
      </c>
      <c r="AL185" s="49" t="s">
        <v>125</v>
      </c>
      <c r="AM185" s="51" t="n">
        <v>5445</v>
      </c>
      <c r="AN185" s="49"/>
      <c r="AO185" s="49" t="s">
        <v>125</v>
      </c>
      <c r="AP185" s="49" t="s">
        <v>187</v>
      </c>
      <c r="AQ185" s="49" t="s">
        <v>128</v>
      </c>
      <c r="AR185" s="49" t="s">
        <v>1062</v>
      </c>
      <c r="AS185" s="49" t="s">
        <v>1601</v>
      </c>
      <c r="AT185" s="49" t="s">
        <v>1602</v>
      </c>
      <c r="AU185" s="49" t="s">
        <v>482</v>
      </c>
      <c r="AV185" s="49"/>
      <c r="AW185" s="49" t="s">
        <v>1603</v>
      </c>
      <c r="AX185" s="49"/>
      <c r="AY185" s="49"/>
      <c r="AZ185" s="49"/>
      <c r="BA185" s="49"/>
      <c r="BB185" s="49" t="n">
        <v>81235995</v>
      </c>
      <c r="BC185" s="49" t="s">
        <v>134</v>
      </c>
      <c r="BD185" s="49" t="s">
        <v>191</v>
      </c>
      <c r="BE185" s="49" t="s">
        <v>192</v>
      </c>
      <c r="BF185" s="49" t="s">
        <v>402</v>
      </c>
      <c r="BG185" s="49"/>
      <c r="BH185" s="49" t="s">
        <v>226</v>
      </c>
      <c r="BI185" s="49" t="s">
        <v>140</v>
      </c>
      <c r="BJ185" s="49" t="s">
        <v>125</v>
      </c>
      <c r="BK185" s="49"/>
      <c r="BL185" s="49" t="s">
        <v>141</v>
      </c>
      <c r="BM185" s="49"/>
      <c r="BN185" s="49"/>
      <c r="BO185" s="49" t="s">
        <v>196</v>
      </c>
    </row>
    <row r="186" ht="16.8" customHeight="1">
      <c r="A186" s="43" t="s">
        <v>25</v>
      </c>
      <c r="B186" s="49" t="n">
        <v>176</v>
      </c>
      <c r="C186" s="49" t="s">
        <v>103</v>
      </c>
      <c r="D186" s="49" t="s">
        <v>104</v>
      </c>
      <c r="E186" s="49" t="s">
        <v>1588</v>
      </c>
      <c r="F186" s="49" t="s">
        <v>1589</v>
      </c>
      <c r="G186" s="49" t="s">
        <v>1590</v>
      </c>
      <c r="H186" s="49" t="s">
        <v>1591</v>
      </c>
      <c r="I186" s="129" t="s">
        <v>1592</v>
      </c>
      <c r="J186" s="49" t="s">
        <v>125</v>
      </c>
      <c r="K186" s="49" t="s">
        <v>250</v>
      </c>
      <c r="L186" s="49" t="s">
        <v>10</v>
      </c>
      <c r="M186" s="49" t="s">
        <v>607</v>
      </c>
      <c r="N186" s="49" t="s">
        <v>608</v>
      </c>
      <c r="O186" s="49" t="s">
        <v>125</v>
      </c>
      <c r="P186" s="49"/>
      <c r="Q186" s="49"/>
      <c r="R186" s="49" t="s">
        <v>1593</v>
      </c>
      <c r="S186" s="49" t="s">
        <v>10</v>
      </c>
      <c r="T186" s="49" t="s">
        <v>1594</v>
      </c>
      <c r="U186" s="49" t="s">
        <v>178</v>
      </c>
      <c r="V186" s="49" t="s">
        <v>1595</v>
      </c>
      <c r="W186" s="49" t="s">
        <v>117</v>
      </c>
      <c r="X186" s="49" t="s">
        <v>180</v>
      </c>
      <c r="Y186" s="49" t="s">
        <v>214</v>
      </c>
      <c r="Z186" s="49" t="s">
        <v>1596</v>
      </c>
      <c r="AA186" s="49" t="s">
        <v>1597</v>
      </c>
      <c r="AB186" s="49" t="s">
        <v>1598</v>
      </c>
      <c r="AC186" s="49" t="s">
        <v>1593</v>
      </c>
      <c r="AD186" s="49" t="n">
        <v>5414905</v>
      </c>
      <c r="AE186" s="49" t="s">
        <v>10</v>
      </c>
      <c r="AF186" s="49" t="s">
        <v>1599</v>
      </c>
      <c r="AG186" s="49" t="s">
        <v>10</v>
      </c>
      <c r="AH186" s="49" t="s">
        <v>1600</v>
      </c>
      <c r="AI186" s="49" t="s">
        <v>1604</v>
      </c>
      <c r="AJ186" s="49" t="s">
        <v>1605</v>
      </c>
      <c r="AK186" s="49" t="s">
        <v>124</v>
      </c>
      <c r="AL186" s="49" t="s">
        <v>125</v>
      </c>
      <c r="AM186" s="51" t="n">
        <v>6705.7</v>
      </c>
      <c r="AN186" s="49"/>
      <c r="AO186" s="49" t="s">
        <v>125</v>
      </c>
      <c r="AP186" s="49" t="s">
        <v>187</v>
      </c>
      <c r="AQ186" s="49" t="s">
        <v>128</v>
      </c>
      <c r="AR186" s="49" t="s">
        <v>1062</v>
      </c>
      <c r="AS186" s="49" t="s">
        <v>1601</v>
      </c>
      <c r="AT186" s="49" t="s">
        <v>1606</v>
      </c>
      <c r="AU186" s="49" t="s">
        <v>482</v>
      </c>
      <c r="AV186" s="49"/>
      <c r="AW186" s="49" t="s">
        <v>1603</v>
      </c>
      <c r="AX186" s="49"/>
      <c r="AY186" s="49"/>
      <c r="AZ186" s="49"/>
      <c r="BA186" s="49"/>
      <c r="BB186" s="49" t="n">
        <v>81235995</v>
      </c>
      <c r="BC186" s="49" t="s">
        <v>134</v>
      </c>
      <c r="BD186" s="49" t="s">
        <v>191</v>
      </c>
      <c r="BE186" s="49" t="s">
        <v>192</v>
      </c>
      <c r="BF186" s="49" t="s">
        <v>402</v>
      </c>
      <c r="BG186" s="49"/>
      <c r="BH186" s="49" t="s">
        <v>226</v>
      </c>
      <c r="BI186" s="49" t="s">
        <v>140</v>
      </c>
      <c r="BJ186" s="49" t="s">
        <v>125</v>
      </c>
      <c r="BK186" s="49"/>
      <c r="BL186" s="49" t="s">
        <v>141</v>
      </c>
      <c r="BM186" s="49"/>
      <c r="BN186" s="49"/>
      <c r="BO186" s="49" t="s">
        <v>196</v>
      </c>
    </row>
    <row r="187" ht="16.8" customHeight="1">
      <c r="A187" s="43" t="s">
        <v>25</v>
      </c>
      <c r="B187" s="49" t="n">
        <v>177</v>
      </c>
      <c r="C187" s="49" t="s">
        <v>103</v>
      </c>
      <c r="D187" s="49" t="s">
        <v>104</v>
      </c>
      <c r="E187" s="49" t="s">
        <v>1588</v>
      </c>
      <c r="F187" s="49" t="s">
        <v>1589</v>
      </c>
      <c r="G187" s="49" t="s">
        <v>1590</v>
      </c>
      <c r="H187" s="49" t="s">
        <v>1591</v>
      </c>
      <c r="I187" s="130" t="s">
        <v>1592</v>
      </c>
      <c r="J187" s="49" t="s">
        <v>125</v>
      </c>
      <c r="K187" s="49" t="s">
        <v>250</v>
      </c>
      <c r="L187" s="49" t="s">
        <v>10</v>
      </c>
      <c r="M187" s="49" t="s">
        <v>607</v>
      </c>
      <c r="N187" s="49" t="s">
        <v>608</v>
      </c>
      <c r="O187" s="49" t="s">
        <v>125</v>
      </c>
      <c r="P187" s="49"/>
      <c r="Q187" s="49"/>
      <c r="R187" s="49" t="s">
        <v>1593</v>
      </c>
      <c r="S187" s="49" t="s">
        <v>10</v>
      </c>
      <c r="T187" s="49" t="s">
        <v>1594</v>
      </c>
      <c r="U187" s="49" t="s">
        <v>178</v>
      </c>
      <c r="V187" s="49" t="s">
        <v>1595</v>
      </c>
      <c r="W187" s="49" t="s">
        <v>117</v>
      </c>
      <c r="X187" s="49" t="s">
        <v>180</v>
      </c>
      <c r="Y187" s="49" t="s">
        <v>214</v>
      </c>
      <c r="Z187" s="49" t="s">
        <v>1596</v>
      </c>
      <c r="AA187" s="49" t="s">
        <v>1597</v>
      </c>
      <c r="AB187" s="49" t="s">
        <v>1598</v>
      </c>
      <c r="AC187" s="49" t="s">
        <v>1593</v>
      </c>
      <c r="AD187" s="49" t="n">
        <v>5414905</v>
      </c>
      <c r="AE187" s="49" t="s">
        <v>10</v>
      </c>
      <c r="AF187" s="49" t="s">
        <v>1599</v>
      </c>
      <c r="AG187" s="49" t="s">
        <v>10</v>
      </c>
      <c r="AH187" s="49" t="s">
        <v>1600</v>
      </c>
      <c r="AI187" s="49" t="s">
        <v>919</v>
      </c>
      <c r="AJ187" s="49" t="s">
        <v>920</v>
      </c>
      <c r="AK187" s="49" t="s">
        <v>124</v>
      </c>
      <c r="AL187" s="49" t="s">
        <v>125</v>
      </c>
      <c r="AM187" s="51" t="n">
        <v>4455</v>
      </c>
      <c r="AN187" s="49"/>
      <c r="AO187" s="49" t="s">
        <v>125</v>
      </c>
      <c r="AP187" s="49" t="s">
        <v>187</v>
      </c>
      <c r="AQ187" s="49" t="s">
        <v>128</v>
      </c>
      <c r="AR187" s="49" t="s">
        <v>1062</v>
      </c>
      <c r="AS187" s="49" t="s">
        <v>1601</v>
      </c>
      <c r="AT187" s="49" t="s">
        <v>1607</v>
      </c>
      <c r="AU187" s="49" t="s">
        <v>482</v>
      </c>
      <c r="AV187" s="49"/>
      <c r="AW187" s="49" t="s">
        <v>1603</v>
      </c>
      <c r="AX187" s="49"/>
      <c r="AY187" s="49"/>
      <c r="AZ187" s="49"/>
      <c r="BA187" s="49"/>
      <c r="BB187" s="49" t="n">
        <v>81235995</v>
      </c>
      <c r="BC187" s="49" t="s">
        <v>134</v>
      </c>
      <c r="BD187" s="49" t="s">
        <v>191</v>
      </c>
      <c r="BE187" s="49" t="s">
        <v>192</v>
      </c>
      <c r="BF187" s="49" t="s">
        <v>402</v>
      </c>
      <c r="BG187" s="49"/>
      <c r="BH187" s="49" t="s">
        <v>226</v>
      </c>
      <c r="BI187" s="49" t="s">
        <v>140</v>
      </c>
      <c r="BJ187" s="49" t="s">
        <v>125</v>
      </c>
      <c r="BK187" s="49"/>
      <c r="BL187" s="49" t="s">
        <v>141</v>
      </c>
      <c r="BM187" s="49"/>
      <c r="BN187" s="49"/>
      <c r="BO187" s="49" t="s">
        <v>196</v>
      </c>
    </row>
    <row r="188" ht="16.8" customHeight="1">
      <c r="A188" s="43" t="s">
        <v>25</v>
      </c>
      <c r="B188" s="49" t="n">
        <v>178</v>
      </c>
      <c r="C188" s="49" t="s">
        <v>103</v>
      </c>
      <c r="D188" s="49" t="s">
        <v>104</v>
      </c>
      <c r="E188" s="49" t="s">
        <v>1588</v>
      </c>
      <c r="F188" s="49" t="s">
        <v>1589</v>
      </c>
      <c r="G188" s="49" t="s">
        <v>1590</v>
      </c>
      <c r="H188" s="49" t="s">
        <v>1591</v>
      </c>
      <c r="I188" s="131" t="s">
        <v>1592</v>
      </c>
      <c r="J188" s="49" t="s">
        <v>125</v>
      </c>
      <c r="K188" s="49" t="s">
        <v>250</v>
      </c>
      <c r="L188" s="49" t="s">
        <v>10</v>
      </c>
      <c r="M188" s="49" t="s">
        <v>607</v>
      </c>
      <c r="N188" s="49" t="s">
        <v>608</v>
      </c>
      <c r="O188" s="49" t="s">
        <v>125</v>
      </c>
      <c r="P188" s="49"/>
      <c r="Q188" s="49"/>
      <c r="R188" s="49" t="s">
        <v>1593</v>
      </c>
      <c r="S188" s="49" t="s">
        <v>10</v>
      </c>
      <c r="T188" s="49" t="s">
        <v>1594</v>
      </c>
      <c r="U188" s="49" t="s">
        <v>178</v>
      </c>
      <c r="V188" s="49" t="s">
        <v>1595</v>
      </c>
      <c r="W188" s="49" t="s">
        <v>117</v>
      </c>
      <c r="X188" s="49" t="s">
        <v>180</v>
      </c>
      <c r="Y188" s="49" t="s">
        <v>214</v>
      </c>
      <c r="Z188" s="49" t="s">
        <v>1596</v>
      </c>
      <c r="AA188" s="49" t="s">
        <v>1597</v>
      </c>
      <c r="AB188" s="49" t="s">
        <v>1598</v>
      </c>
      <c r="AC188" s="49" t="s">
        <v>1593</v>
      </c>
      <c r="AD188" s="49" t="n">
        <v>5414905</v>
      </c>
      <c r="AE188" s="49" t="s">
        <v>10</v>
      </c>
      <c r="AF188" s="49" t="s">
        <v>1599</v>
      </c>
      <c r="AG188" s="49" t="s">
        <v>10</v>
      </c>
      <c r="AH188" s="49" t="s">
        <v>1600</v>
      </c>
      <c r="AI188" s="49" t="s">
        <v>1608</v>
      </c>
      <c r="AJ188" s="49" t="s">
        <v>1609</v>
      </c>
      <c r="AK188" s="49" t="s">
        <v>124</v>
      </c>
      <c r="AL188" s="49" t="s">
        <v>125</v>
      </c>
      <c r="AM188" s="51" t="n">
        <v>2694.3</v>
      </c>
      <c r="AN188" s="49"/>
      <c r="AO188" s="49" t="s">
        <v>125</v>
      </c>
      <c r="AP188" s="49" t="s">
        <v>187</v>
      </c>
      <c r="AQ188" s="49" t="s">
        <v>128</v>
      </c>
      <c r="AR188" s="49" t="s">
        <v>1062</v>
      </c>
      <c r="AS188" s="49" t="s">
        <v>1601</v>
      </c>
      <c r="AT188" s="49" t="s">
        <v>1610</v>
      </c>
      <c r="AU188" s="49" t="s">
        <v>482</v>
      </c>
      <c r="AV188" s="49"/>
      <c r="AW188" s="49" t="s">
        <v>1603</v>
      </c>
      <c r="AX188" s="49"/>
      <c r="AY188" s="49"/>
      <c r="AZ188" s="49"/>
      <c r="BA188" s="49"/>
      <c r="BB188" s="49" t="n">
        <v>81235995</v>
      </c>
      <c r="BC188" s="49" t="s">
        <v>134</v>
      </c>
      <c r="BD188" s="49" t="s">
        <v>191</v>
      </c>
      <c r="BE188" s="49" t="s">
        <v>192</v>
      </c>
      <c r="BF188" s="49" t="s">
        <v>402</v>
      </c>
      <c r="BG188" s="49"/>
      <c r="BH188" s="49" t="s">
        <v>226</v>
      </c>
      <c r="BI188" s="49" t="s">
        <v>140</v>
      </c>
      <c r="BJ188" s="49" t="s">
        <v>125</v>
      </c>
      <c r="BK188" s="49"/>
      <c r="BL188" s="49" t="s">
        <v>141</v>
      </c>
      <c r="BM188" s="49"/>
      <c r="BN188" s="49"/>
      <c r="BO188" s="49" t="s">
        <v>196</v>
      </c>
    </row>
    <row r="189" ht="16.8" customHeight="1">
      <c r="A189" s="43" t="s">
        <v>25</v>
      </c>
      <c r="B189" s="49" t="n">
        <v>179</v>
      </c>
      <c r="C189" s="49" t="s">
        <v>103</v>
      </c>
      <c r="D189" s="49" t="s">
        <v>104</v>
      </c>
      <c r="E189" s="49" t="s">
        <v>1611</v>
      </c>
      <c r="F189" s="49" t="s">
        <v>1612</v>
      </c>
      <c r="G189" s="49" t="s">
        <v>1613</v>
      </c>
      <c r="H189" s="49" t="s">
        <v>1614</v>
      </c>
      <c r="I189" s="49" t="s">
        <v>1615</v>
      </c>
      <c r="J189" s="49"/>
      <c r="K189" s="49" t="s">
        <v>174</v>
      </c>
      <c r="L189" s="49" t="s">
        <v>14</v>
      </c>
      <c r="M189" s="49" t="s">
        <v>111</v>
      </c>
      <c r="N189" s="49" t="s">
        <v>112</v>
      </c>
      <c r="O189" s="49" t="s">
        <v>1616</v>
      </c>
      <c r="P189" s="49"/>
      <c r="Q189" s="49"/>
      <c r="R189" s="49" t="s">
        <v>1611</v>
      </c>
      <c r="S189" s="49" t="s">
        <v>14</v>
      </c>
      <c r="T189" s="49" t="s">
        <v>1617</v>
      </c>
      <c r="U189" s="49" t="s">
        <v>115</v>
      </c>
      <c r="V189" s="49" t="s">
        <v>1618</v>
      </c>
      <c r="W189" s="49" t="s">
        <v>117</v>
      </c>
      <c r="X189" s="49" t="s">
        <v>391</v>
      </c>
      <c r="Y189" s="49" t="s">
        <v>174</v>
      </c>
      <c r="Z189" s="49" t="s">
        <v>1619</v>
      </c>
      <c r="AA189" s="49" t="s">
        <v>1620</v>
      </c>
      <c r="AB189" s="49" t="s">
        <v>217</v>
      </c>
      <c r="AC189" s="49" t="s">
        <v>1611</v>
      </c>
      <c r="AD189" s="49" t="n">
        <v>5480962</v>
      </c>
      <c r="AE189" s="49" t="s">
        <v>14</v>
      </c>
      <c r="AF189" s="49" t="s">
        <v>1621</v>
      </c>
      <c r="AG189" s="49" t="s">
        <v>14</v>
      </c>
      <c r="AH189" s="49" t="s">
        <v>1622</v>
      </c>
      <c r="AI189" s="49" t="s">
        <v>1623</v>
      </c>
      <c r="AJ189" s="49" t="s">
        <v>397</v>
      </c>
      <c r="AK189" s="49" t="s">
        <v>124</v>
      </c>
      <c r="AL189" s="49" t="s">
        <v>125</v>
      </c>
      <c r="AM189" s="51" t="n">
        <v>12300</v>
      </c>
      <c r="AN189" s="49"/>
      <c r="AO189" s="49" t="s">
        <v>1613</v>
      </c>
      <c r="AP189" s="49" t="s">
        <v>127</v>
      </c>
      <c r="AQ189" s="49" t="s">
        <v>128</v>
      </c>
      <c r="AR189" s="49"/>
      <c r="AS189" s="49" t="s">
        <v>1624</v>
      </c>
      <c r="AT189" s="49"/>
      <c r="AU189" s="49" t="s">
        <v>547</v>
      </c>
      <c r="AV189" s="49"/>
      <c r="AW189" s="49" t="s">
        <v>1625</v>
      </c>
      <c r="AX189" s="49"/>
      <c r="AY189" s="49"/>
      <c r="AZ189" s="49"/>
      <c r="BA189" s="49"/>
      <c r="BB189" s="49" t="n">
        <v>68835796</v>
      </c>
      <c r="BC189" s="49" t="s">
        <v>134</v>
      </c>
      <c r="BD189" s="49" t="s">
        <v>191</v>
      </c>
      <c r="BE189" s="49" t="s">
        <v>401</v>
      </c>
      <c r="BF189" s="49" t="s">
        <v>193</v>
      </c>
      <c r="BG189" s="49" t="s">
        <v>138</v>
      </c>
      <c r="BH189" s="49" t="s">
        <v>226</v>
      </c>
      <c r="BI189" s="49" t="s">
        <v>140</v>
      </c>
      <c r="BJ189" s="49" t="s">
        <v>125</v>
      </c>
      <c r="BK189" s="49"/>
      <c r="BL189" s="49"/>
      <c r="BM189" s="49"/>
      <c r="BN189" s="49" t="s">
        <v>227</v>
      </c>
      <c r="BO189" s="49" t="s">
        <v>112</v>
      </c>
    </row>
    <row r="190" ht="16.8" customHeight="1">
      <c r="A190" s="43" t="s">
        <v>25</v>
      </c>
      <c r="B190" s="49" t="n">
        <v>180</v>
      </c>
      <c r="C190" s="49" t="s">
        <v>103</v>
      </c>
      <c r="D190" s="49" t="s">
        <v>104</v>
      </c>
      <c r="E190" s="49" t="s">
        <v>1626</v>
      </c>
      <c r="F190" s="49" t="s">
        <v>1627</v>
      </c>
      <c r="G190" s="49" t="s">
        <v>1157</v>
      </c>
      <c r="H190" s="49" t="s">
        <v>1628</v>
      </c>
      <c r="I190" s="132" t="s">
        <v>1629</v>
      </c>
      <c r="J190" s="49" t="s">
        <v>125</v>
      </c>
      <c r="K190" s="49" t="s">
        <v>1430</v>
      </c>
      <c r="L190" s="49" t="s">
        <v>10</v>
      </c>
      <c r="M190" s="49" t="s">
        <v>111</v>
      </c>
      <c r="N190" s="49" t="s">
        <v>554</v>
      </c>
      <c r="O190" s="49" t="s">
        <v>1630</v>
      </c>
      <c r="P190" s="49"/>
      <c r="Q190" s="49"/>
      <c r="R190" s="49" t="s">
        <v>1626</v>
      </c>
      <c r="S190" s="49" t="s">
        <v>10</v>
      </c>
      <c r="T190" s="49" t="s">
        <v>1631</v>
      </c>
      <c r="U190" s="49" t="s">
        <v>178</v>
      </c>
      <c r="V190" s="49" t="s">
        <v>1632</v>
      </c>
      <c r="W190" s="49" t="s">
        <v>117</v>
      </c>
      <c r="X190" s="49" t="s">
        <v>1002</v>
      </c>
      <c r="Y190" s="49" t="s">
        <v>996</v>
      </c>
      <c r="Z190" s="49" t="s">
        <v>1633</v>
      </c>
      <c r="AA190" s="49" t="s">
        <v>1634</v>
      </c>
      <c r="AB190" s="49" t="s">
        <v>1634</v>
      </c>
      <c r="AC190" s="49" t="s">
        <v>1626</v>
      </c>
      <c r="AD190" s="49" t="n">
        <v>5479484</v>
      </c>
      <c r="AE190" s="49" t="s">
        <v>10</v>
      </c>
      <c r="AF190" s="49" t="s">
        <v>1635</v>
      </c>
      <c r="AG190" s="49" t="s">
        <v>10</v>
      </c>
      <c r="AH190" s="49" t="s">
        <v>1636</v>
      </c>
      <c r="AI190" s="49" t="s">
        <v>1637</v>
      </c>
      <c r="AJ190" s="49" t="s">
        <v>976</v>
      </c>
      <c r="AK190" s="49" t="s">
        <v>124</v>
      </c>
      <c r="AL190" s="49" t="s">
        <v>125</v>
      </c>
      <c r="AM190" s="51" t="n">
        <v>5680</v>
      </c>
      <c r="AN190" s="49"/>
      <c r="AO190" s="49" t="s">
        <v>1630</v>
      </c>
      <c r="AP190" s="49" t="s">
        <v>187</v>
      </c>
      <c r="AQ190" s="49" t="s">
        <v>128</v>
      </c>
      <c r="AR190" s="49" t="s">
        <v>1062</v>
      </c>
      <c r="AS190" s="49" t="s">
        <v>1638</v>
      </c>
      <c r="AT190" s="49" t="s">
        <v>1639</v>
      </c>
      <c r="AU190" s="49" t="s">
        <v>565</v>
      </c>
      <c r="AV190" s="49"/>
      <c r="AW190" s="49" t="s">
        <v>1640</v>
      </c>
      <c r="AX190" s="49"/>
      <c r="AY190" s="49"/>
      <c r="AZ190" s="49"/>
      <c r="BA190" s="49"/>
      <c r="BB190" s="49" t="n">
        <v>81643807</v>
      </c>
      <c r="BC190" s="49" t="s">
        <v>134</v>
      </c>
      <c r="BD190" s="49"/>
      <c r="BE190" s="49" t="s">
        <v>125</v>
      </c>
      <c r="BF190" s="49" t="s">
        <v>125</v>
      </c>
      <c r="BG190" s="49"/>
      <c r="BH190" s="49" t="s">
        <v>139</v>
      </c>
      <c r="BI190" s="49" t="s">
        <v>140</v>
      </c>
      <c r="BJ190" s="49" t="s">
        <v>125</v>
      </c>
      <c r="BK190" s="49"/>
      <c r="BL190" s="49" t="s">
        <v>141</v>
      </c>
      <c r="BM190" s="49"/>
      <c r="BN190" s="49"/>
      <c r="BO190" s="49" t="s">
        <v>196</v>
      </c>
    </row>
    <row r="191" ht="16.8" customHeight="1">
      <c r="A191" s="43" t="s">
        <v>25</v>
      </c>
      <c r="B191" s="49" t="n">
        <v>181</v>
      </c>
      <c r="C191" s="49" t="s">
        <v>103</v>
      </c>
      <c r="D191" s="49" t="s">
        <v>104</v>
      </c>
      <c r="E191" s="49"/>
      <c r="F191" s="49" t="s">
        <v>1641</v>
      </c>
      <c r="G191" s="49"/>
      <c r="H191" s="49" t="s">
        <v>1642</v>
      </c>
      <c r="I191" s="133" t="s">
        <v>1643</v>
      </c>
      <c r="J191" s="49"/>
      <c r="K191" s="49" t="s">
        <v>110</v>
      </c>
      <c r="L191" s="49" t="s">
        <v>14</v>
      </c>
      <c r="M191" s="49" t="s">
        <v>1036</v>
      </c>
      <c r="N191" s="49" t="s">
        <v>1333</v>
      </c>
      <c r="O191" s="49"/>
      <c r="P191" s="49"/>
      <c r="Q191" s="49"/>
      <c r="R191" s="49" t="s">
        <v>1644</v>
      </c>
      <c r="S191" s="49" t="s">
        <v>14</v>
      </c>
      <c r="T191" s="49" t="s">
        <v>1645</v>
      </c>
      <c r="U191" s="49" t="s">
        <v>115</v>
      </c>
      <c r="V191" s="49" t="s">
        <v>1646</v>
      </c>
      <c r="W191" s="49" t="s">
        <v>117</v>
      </c>
      <c r="X191" s="49" t="s">
        <v>118</v>
      </c>
      <c r="Y191" s="49" t="s">
        <v>110</v>
      </c>
      <c r="Z191" s="49" t="s">
        <v>1647</v>
      </c>
      <c r="AA191" s="49" t="s">
        <v>1648</v>
      </c>
      <c r="AB191" s="49" t="s">
        <v>1649</v>
      </c>
      <c r="AC191" s="49" t="s">
        <v>1644</v>
      </c>
      <c r="AD191" s="49" t="n">
        <v>5479327</v>
      </c>
      <c r="AE191" s="49" t="s">
        <v>14</v>
      </c>
      <c r="AF191" s="49" t="s">
        <v>1650</v>
      </c>
      <c r="AG191" s="49" t="s">
        <v>14</v>
      </c>
      <c r="AH191" s="49" t="s">
        <v>1651</v>
      </c>
      <c r="AI191" s="49" t="s">
        <v>792</v>
      </c>
      <c r="AJ191" s="49" t="s">
        <v>159</v>
      </c>
      <c r="AK191" s="49" t="s">
        <v>124</v>
      </c>
      <c r="AL191" s="49" t="s">
        <v>125</v>
      </c>
      <c r="AM191" s="51" t="n">
        <v>2019.95</v>
      </c>
      <c r="AN191" s="49" t="s">
        <v>1652</v>
      </c>
      <c r="AO191" s="49" t="s">
        <v>125</v>
      </c>
      <c r="AP191" s="49" t="s">
        <v>127</v>
      </c>
      <c r="AQ191" s="49" t="s">
        <v>128</v>
      </c>
      <c r="AR191" s="49" t="s">
        <v>1062</v>
      </c>
      <c r="AS191" s="49" t="s">
        <v>1653</v>
      </c>
      <c r="AT191" s="49" t="s">
        <v>1654</v>
      </c>
      <c r="AU191" s="49" t="s">
        <v>565</v>
      </c>
      <c r="AV191" s="49"/>
      <c r="AW191" s="49" t="s">
        <v>1655</v>
      </c>
      <c r="AX191" s="49"/>
      <c r="AY191" s="49"/>
      <c r="AZ191" s="49"/>
      <c r="BA191" s="49"/>
      <c r="BB191" s="49" t="n">
        <v>60817292</v>
      </c>
      <c r="BC191" s="49" t="s">
        <v>134</v>
      </c>
      <c r="BD191" s="49" t="s">
        <v>135</v>
      </c>
      <c r="BE191" s="49" t="s">
        <v>1656</v>
      </c>
      <c r="BF191" s="49" t="s">
        <v>1657</v>
      </c>
      <c r="BG191" s="49" t="s">
        <v>138</v>
      </c>
      <c r="BH191" s="49" t="s">
        <v>226</v>
      </c>
      <c r="BI191" s="49" t="s">
        <v>140</v>
      </c>
      <c r="BJ191" s="49" t="s">
        <v>125</v>
      </c>
      <c r="BK191" s="49"/>
      <c r="BL191" s="49" t="s">
        <v>141</v>
      </c>
      <c r="BM191" s="49"/>
      <c r="BN191" s="49" t="s">
        <v>195</v>
      </c>
      <c r="BO191" s="49"/>
    </row>
    <row r="192" ht="16.8" customHeight="1">
      <c r="A192" s="43" t="s">
        <v>25</v>
      </c>
      <c r="B192" s="49" t="n">
        <v>182</v>
      </c>
      <c r="C192" s="49" t="s">
        <v>103</v>
      </c>
      <c r="D192" s="49" t="s">
        <v>104</v>
      </c>
      <c r="E192" s="49"/>
      <c r="F192" s="49" t="s">
        <v>1641</v>
      </c>
      <c r="G192" s="49"/>
      <c r="H192" s="49" t="s">
        <v>1642</v>
      </c>
      <c r="I192" s="134" t="s">
        <v>1643</v>
      </c>
      <c r="J192" s="49"/>
      <c r="K192" s="49" t="s">
        <v>110</v>
      </c>
      <c r="L192" s="49" t="s">
        <v>14</v>
      </c>
      <c r="M192" s="49" t="s">
        <v>1036</v>
      </c>
      <c r="N192" s="49" t="s">
        <v>1333</v>
      </c>
      <c r="O192" s="49"/>
      <c r="P192" s="49"/>
      <c r="Q192" s="49"/>
      <c r="R192" s="49" t="s">
        <v>1644</v>
      </c>
      <c r="S192" s="49" t="s">
        <v>14</v>
      </c>
      <c r="T192" s="49" t="s">
        <v>1645</v>
      </c>
      <c r="U192" s="49" t="s">
        <v>115</v>
      </c>
      <c r="V192" s="49" t="s">
        <v>1646</v>
      </c>
      <c r="W192" s="49" t="s">
        <v>117</v>
      </c>
      <c r="X192" s="49" t="s">
        <v>118</v>
      </c>
      <c r="Y192" s="49" t="s">
        <v>110</v>
      </c>
      <c r="Z192" s="49" t="s">
        <v>1647</v>
      </c>
      <c r="AA192" s="49" t="s">
        <v>1648</v>
      </c>
      <c r="AB192" s="49" t="s">
        <v>1649</v>
      </c>
      <c r="AC192" s="49" t="s">
        <v>1644</v>
      </c>
      <c r="AD192" s="49" t="n">
        <v>5479327</v>
      </c>
      <c r="AE192" s="49" t="s">
        <v>14</v>
      </c>
      <c r="AF192" s="49" t="s">
        <v>1650</v>
      </c>
      <c r="AG192" s="49" t="s">
        <v>14</v>
      </c>
      <c r="AH192" s="49" t="s">
        <v>1651</v>
      </c>
      <c r="AI192" s="49" t="s">
        <v>1658</v>
      </c>
      <c r="AJ192" s="49" t="s">
        <v>162</v>
      </c>
      <c r="AK192" s="49" t="s">
        <v>124</v>
      </c>
      <c r="AL192" s="49" t="s">
        <v>125</v>
      </c>
      <c r="AM192" s="51" t="n">
        <v>2943.85</v>
      </c>
      <c r="AN192" s="49" t="s">
        <v>1652</v>
      </c>
      <c r="AO192" s="49" t="s">
        <v>125</v>
      </c>
      <c r="AP192" s="49" t="s">
        <v>127</v>
      </c>
      <c r="AQ192" s="49" t="s">
        <v>128</v>
      </c>
      <c r="AR192" s="49" t="s">
        <v>1062</v>
      </c>
      <c r="AS192" s="49" t="s">
        <v>1653</v>
      </c>
      <c r="AT192" s="49" t="s">
        <v>1659</v>
      </c>
      <c r="AU192" s="49" t="s">
        <v>565</v>
      </c>
      <c r="AV192" s="49"/>
      <c r="AW192" s="49" t="s">
        <v>1655</v>
      </c>
      <c r="AX192" s="49"/>
      <c r="AY192" s="49"/>
      <c r="AZ192" s="49"/>
      <c r="BA192" s="49"/>
      <c r="BB192" s="49" t="n">
        <v>60817292</v>
      </c>
      <c r="BC192" s="49" t="s">
        <v>134</v>
      </c>
      <c r="BD192" s="49" t="s">
        <v>135</v>
      </c>
      <c r="BE192" s="49" t="s">
        <v>1656</v>
      </c>
      <c r="BF192" s="49" t="s">
        <v>1657</v>
      </c>
      <c r="BG192" s="49" t="s">
        <v>138</v>
      </c>
      <c r="BH192" s="49" t="s">
        <v>226</v>
      </c>
      <c r="BI192" s="49" t="s">
        <v>140</v>
      </c>
      <c r="BJ192" s="49" t="s">
        <v>125</v>
      </c>
      <c r="BK192" s="49"/>
      <c r="BL192" s="49" t="s">
        <v>141</v>
      </c>
      <c r="BM192" s="49"/>
      <c r="BN192" s="49" t="s">
        <v>195</v>
      </c>
      <c r="BO192" s="49"/>
    </row>
    <row r="193" ht="16.8" customHeight="1">
      <c r="A193" s="43" t="s">
        <v>25</v>
      </c>
      <c r="B193" s="49" t="n">
        <v>183</v>
      </c>
      <c r="C193" s="49" t="s">
        <v>103</v>
      </c>
      <c r="D193" s="49" t="s">
        <v>104</v>
      </c>
      <c r="E193" s="49"/>
      <c r="F193" s="49" t="s">
        <v>1641</v>
      </c>
      <c r="G193" s="49"/>
      <c r="H193" s="49" t="s">
        <v>1642</v>
      </c>
      <c r="I193" s="135" t="s">
        <v>1643</v>
      </c>
      <c r="J193" s="49"/>
      <c r="K193" s="49" t="s">
        <v>110</v>
      </c>
      <c r="L193" s="49" t="s">
        <v>14</v>
      </c>
      <c r="M193" s="49" t="s">
        <v>1036</v>
      </c>
      <c r="N193" s="49" t="s">
        <v>1333</v>
      </c>
      <c r="O193" s="49"/>
      <c r="P193" s="49"/>
      <c r="Q193" s="49"/>
      <c r="R193" s="49" t="s">
        <v>1644</v>
      </c>
      <c r="S193" s="49" t="s">
        <v>14</v>
      </c>
      <c r="T193" s="49" t="s">
        <v>1645</v>
      </c>
      <c r="U193" s="49" t="s">
        <v>115</v>
      </c>
      <c r="V193" s="49" t="s">
        <v>1646</v>
      </c>
      <c r="W193" s="49" t="s">
        <v>117</v>
      </c>
      <c r="X193" s="49" t="s">
        <v>118</v>
      </c>
      <c r="Y193" s="49" t="s">
        <v>110</v>
      </c>
      <c r="Z193" s="49" t="s">
        <v>1647</v>
      </c>
      <c r="AA193" s="49" t="s">
        <v>1648</v>
      </c>
      <c r="AB193" s="49" t="s">
        <v>1649</v>
      </c>
      <c r="AC193" s="49" t="s">
        <v>1644</v>
      </c>
      <c r="AD193" s="49" t="n">
        <v>5479327</v>
      </c>
      <c r="AE193" s="49" t="s">
        <v>14</v>
      </c>
      <c r="AF193" s="49" t="s">
        <v>1650</v>
      </c>
      <c r="AG193" s="49" t="s">
        <v>14</v>
      </c>
      <c r="AH193" s="49" t="s">
        <v>1651</v>
      </c>
      <c r="AI193" s="49" t="s">
        <v>1660</v>
      </c>
      <c r="AJ193" s="49" t="s">
        <v>147</v>
      </c>
      <c r="AK193" s="49" t="s">
        <v>124</v>
      </c>
      <c r="AL193" s="49" t="s">
        <v>125</v>
      </c>
      <c r="AM193" s="51" t="n">
        <v>2021.7</v>
      </c>
      <c r="AN193" s="49" t="s">
        <v>1652</v>
      </c>
      <c r="AO193" s="49" t="s">
        <v>125</v>
      </c>
      <c r="AP193" s="49" t="s">
        <v>127</v>
      </c>
      <c r="AQ193" s="49" t="s">
        <v>128</v>
      </c>
      <c r="AR193" s="49" t="s">
        <v>1062</v>
      </c>
      <c r="AS193" s="49" t="s">
        <v>1653</v>
      </c>
      <c r="AT193" s="49" t="s">
        <v>1661</v>
      </c>
      <c r="AU193" s="49" t="s">
        <v>565</v>
      </c>
      <c r="AV193" s="49"/>
      <c r="AW193" s="49" t="s">
        <v>1655</v>
      </c>
      <c r="AX193" s="49"/>
      <c r="AY193" s="49"/>
      <c r="AZ193" s="49"/>
      <c r="BA193" s="49"/>
      <c r="BB193" s="49" t="n">
        <v>60817292</v>
      </c>
      <c r="BC193" s="49" t="s">
        <v>134</v>
      </c>
      <c r="BD193" s="49" t="s">
        <v>135</v>
      </c>
      <c r="BE193" s="49" t="s">
        <v>1656</v>
      </c>
      <c r="BF193" s="49" t="s">
        <v>1657</v>
      </c>
      <c r="BG193" s="49" t="s">
        <v>138</v>
      </c>
      <c r="BH193" s="49" t="s">
        <v>226</v>
      </c>
      <c r="BI193" s="49" t="s">
        <v>140</v>
      </c>
      <c r="BJ193" s="49" t="s">
        <v>125</v>
      </c>
      <c r="BK193" s="49"/>
      <c r="BL193" s="49" t="s">
        <v>141</v>
      </c>
      <c r="BM193" s="49"/>
      <c r="BN193" s="49" t="s">
        <v>195</v>
      </c>
      <c r="BO193" s="49"/>
    </row>
    <row r="194" ht="16.8" customHeight="1">
      <c r="A194" s="43" t="s">
        <v>25</v>
      </c>
      <c r="B194" s="49" t="n">
        <v>184</v>
      </c>
      <c r="C194" s="49" t="s">
        <v>103</v>
      </c>
      <c r="D194" s="49" t="s">
        <v>104</v>
      </c>
      <c r="E194" s="49"/>
      <c r="F194" s="49" t="s">
        <v>1641</v>
      </c>
      <c r="G194" s="49"/>
      <c r="H194" s="49" t="s">
        <v>1642</v>
      </c>
      <c r="I194" s="136" t="s">
        <v>1643</v>
      </c>
      <c r="J194" s="49"/>
      <c r="K194" s="49" t="s">
        <v>110</v>
      </c>
      <c r="L194" s="49" t="s">
        <v>14</v>
      </c>
      <c r="M194" s="49" t="s">
        <v>1036</v>
      </c>
      <c r="N194" s="49" t="s">
        <v>1333</v>
      </c>
      <c r="O194" s="49"/>
      <c r="P194" s="49"/>
      <c r="Q194" s="49"/>
      <c r="R194" s="49" t="s">
        <v>1644</v>
      </c>
      <c r="S194" s="49" t="s">
        <v>14</v>
      </c>
      <c r="T194" s="49" t="s">
        <v>1645</v>
      </c>
      <c r="U194" s="49" t="s">
        <v>115</v>
      </c>
      <c r="V194" s="49" t="s">
        <v>1646</v>
      </c>
      <c r="W194" s="49" t="s">
        <v>117</v>
      </c>
      <c r="X194" s="49" t="s">
        <v>118</v>
      </c>
      <c r="Y194" s="49" t="s">
        <v>110</v>
      </c>
      <c r="Z194" s="49" t="s">
        <v>1647</v>
      </c>
      <c r="AA194" s="49" t="s">
        <v>1648</v>
      </c>
      <c r="AB194" s="49" t="s">
        <v>1649</v>
      </c>
      <c r="AC194" s="49" t="s">
        <v>1644</v>
      </c>
      <c r="AD194" s="49" t="n">
        <v>5479327</v>
      </c>
      <c r="AE194" s="49" t="s">
        <v>14</v>
      </c>
      <c r="AF194" s="49" t="s">
        <v>1650</v>
      </c>
      <c r="AG194" s="49" t="s">
        <v>14</v>
      </c>
      <c r="AH194" s="49" t="s">
        <v>1651</v>
      </c>
      <c r="AI194" s="49" t="s">
        <v>1662</v>
      </c>
      <c r="AJ194" s="49" t="s">
        <v>144</v>
      </c>
      <c r="AK194" s="49" t="s">
        <v>124</v>
      </c>
      <c r="AL194" s="49" t="s">
        <v>125</v>
      </c>
      <c r="AM194" s="51" t="n">
        <v>1702.45</v>
      </c>
      <c r="AN194" s="49" t="s">
        <v>1652</v>
      </c>
      <c r="AO194" s="49" t="s">
        <v>125</v>
      </c>
      <c r="AP194" s="49" t="s">
        <v>127</v>
      </c>
      <c r="AQ194" s="49" t="s">
        <v>128</v>
      </c>
      <c r="AR194" s="49" t="s">
        <v>1062</v>
      </c>
      <c r="AS194" s="49" t="s">
        <v>1653</v>
      </c>
      <c r="AT194" s="49" t="s">
        <v>1663</v>
      </c>
      <c r="AU194" s="49" t="s">
        <v>565</v>
      </c>
      <c r="AV194" s="49"/>
      <c r="AW194" s="49" t="s">
        <v>1655</v>
      </c>
      <c r="AX194" s="49"/>
      <c r="AY194" s="49"/>
      <c r="AZ194" s="49"/>
      <c r="BA194" s="49"/>
      <c r="BB194" s="49" t="n">
        <v>60817292</v>
      </c>
      <c r="BC194" s="49" t="s">
        <v>134</v>
      </c>
      <c r="BD194" s="49" t="s">
        <v>135</v>
      </c>
      <c r="BE194" s="49" t="s">
        <v>1656</v>
      </c>
      <c r="BF194" s="49" t="s">
        <v>1657</v>
      </c>
      <c r="BG194" s="49" t="s">
        <v>138</v>
      </c>
      <c r="BH194" s="49" t="s">
        <v>226</v>
      </c>
      <c r="BI194" s="49" t="s">
        <v>140</v>
      </c>
      <c r="BJ194" s="49" t="s">
        <v>125</v>
      </c>
      <c r="BK194" s="49"/>
      <c r="BL194" s="49" t="s">
        <v>141</v>
      </c>
      <c r="BM194" s="49"/>
      <c r="BN194" s="49" t="s">
        <v>195</v>
      </c>
      <c r="BO194" s="49"/>
    </row>
    <row r="195" ht="16.8" customHeight="1">
      <c r="A195" s="43" t="s">
        <v>25</v>
      </c>
      <c r="B195" s="49" t="n">
        <v>185</v>
      </c>
      <c r="C195" s="49" t="s">
        <v>103</v>
      </c>
      <c r="D195" s="49" t="s">
        <v>104</v>
      </c>
      <c r="E195" s="49"/>
      <c r="F195" s="49" t="s">
        <v>1641</v>
      </c>
      <c r="G195" s="49"/>
      <c r="H195" s="49" t="s">
        <v>1642</v>
      </c>
      <c r="I195" s="137" t="s">
        <v>1643</v>
      </c>
      <c r="J195" s="49"/>
      <c r="K195" s="49" t="s">
        <v>110</v>
      </c>
      <c r="L195" s="49" t="s">
        <v>14</v>
      </c>
      <c r="M195" s="49" t="s">
        <v>1036</v>
      </c>
      <c r="N195" s="49" t="s">
        <v>1333</v>
      </c>
      <c r="O195" s="49"/>
      <c r="P195" s="49"/>
      <c r="Q195" s="49"/>
      <c r="R195" s="49" t="s">
        <v>1644</v>
      </c>
      <c r="S195" s="49" t="s">
        <v>14</v>
      </c>
      <c r="T195" s="49" t="s">
        <v>1645</v>
      </c>
      <c r="U195" s="49" t="s">
        <v>115</v>
      </c>
      <c r="V195" s="49" t="s">
        <v>1646</v>
      </c>
      <c r="W195" s="49" t="s">
        <v>117</v>
      </c>
      <c r="X195" s="49" t="s">
        <v>118</v>
      </c>
      <c r="Y195" s="49" t="s">
        <v>110</v>
      </c>
      <c r="Z195" s="49" t="s">
        <v>1647</v>
      </c>
      <c r="AA195" s="49" t="s">
        <v>1648</v>
      </c>
      <c r="AB195" s="49" t="s">
        <v>1649</v>
      </c>
      <c r="AC195" s="49" t="s">
        <v>1644</v>
      </c>
      <c r="AD195" s="49" t="n">
        <v>5479327</v>
      </c>
      <c r="AE195" s="49" t="s">
        <v>14</v>
      </c>
      <c r="AF195" s="49" t="s">
        <v>1650</v>
      </c>
      <c r="AG195" s="49" t="s">
        <v>14</v>
      </c>
      <c r="AH195" s="49" t="s">
        <v>1651</v>
      </c>
      <c r="AI195" s="49" t="s">
        <v>1028</v>
      </c>
      <c r="AJ195" s="49" t="s">
        <v>153</v>
      </c>
      <c r="AK195" s="49" t="s">
        <v>124</v>
      </c>
      <c r="AL195" s="49" t="s">
        <v>125</v>
      </c>
      <c r="AM195" s="51" t="n">
        <v>2979.3</v>
      </c>
      <c r="AN195" s="49" t="s">
        <v>1652</v>
      </c>
      <c r="AO195" s="49" t="s">
        <v>125</v>
      </c>
      <c r="AP195" s="49" t="s">
        <v>127</v>
      </c>
      <c r="AQ195" s="49" t="s">
        <v>128</v>
      </c>
      <c r="AR195" s="49" t="s">
        <v>1062</v>
      </c>
      <c r="AS195" s="49" t="s">
        <v>1653</v>
      </c>
      <c r="AT195" s="49" t="s">
        <v>1664</v>
      </c>
      <c r="AU195" s="49" t="s">
        <v>565</v>
      </c>
      <c r="AV195" s="49"/>
      <c r="AW195" s="49" t="s">
        <v>1655</v>
      </c>
      <c r="AX195" s="49"/>
      <c r="AY195" s="49"/>
      <c r="AZ195" s="49"/>
      <c r="BA195" s="49"/>
      <c r="BB195" s="49" t="n">
        <v>60817292</v>
      </c>
      <c r="BC195" s="49" t="s">
        <v>134</v>
      </c>
      <c r="BD195" s="49" t="s">
        <v>135</v>
      </c>
      <c r="BE195" s="49" t="s">
        <v>1656</v>
      </c>
      <c r="BF195" s="49" t="s">
        <v>1657</v>
      </c>
      <c r="BG195" s="49" t="s">
        <v>138</v>
      </c>
      <c r="BH195" s="49" t="s">
        <v>226</v>
      </c>
      <c r="BI195" s="49" t="s">
        <v>140</v>
      </c>
      <c r="BJ195" s="49" t="s">
        <v>125</v>
      </c>
      <c r="BK195" s="49"/>
      <c r="BL195" s="49" t="s">
        <v>141</v>
      </c>
      <c r="BM195" s="49"/>
      <c r="BN195" s="49" t="s">
        <v>195</v>
      </c>
      <c r="BO195" s="49"/>
    </row>
    <row r="196" ht="16.8" customHeight="1">
      <c r="A196" s="43" t="s">
        <v>25</v>
      </c>
      <c r="B196" s="49" t="n">
        <v>186</v>
      </c>
      <c r="C196" s="49" t="s">
        <v>103</v>
      </c>
      <c r="D196" s="49" t="s">
        <v>104</v>
      </c>
      <c r="E196" s="49"/>
      <c r="F196" s="49" t="s">
        <v>1641</v>
      </c>
      <c r="G196" s="49"/>
      <c r="H196" s="49" t="s">
        <v>1642</v>
      </c>
      <c r="I196" s="138" t="s">
        <v>1643</v>
      </c>
      <c r="J196" s="49"/>
      <c r="K196" s="49" t="s">
        <v>110</v>
      </c>
      <c r="L196" s="49" t="s">
        <v>14</v>
      </c>
      <c r="M196" s="49" t="s">
        <v>1036</v>
      </c>
      <c r="N196" s="49" t="s">
        <v>1333</v>
      </c>
      <c r="O196" s="49"/>
      <c r="P196" s="49"/>
      <c r="Q196" s="49"/>
      <c r="R196" s="49" t="s">
        <v>1644</v>
      </c>
      <c r="S196" s="49" t="s">
        <v>14</v>
      </c>
      <c r="T196" s="49" t="s">
        <v>1645</v>
      </c>
      <c r="U196" s="49" t="s">
        <v>115</v>
      </c>
      <c r="V196" s="49" t="s">
        <v>1646</v>
      </c>
      <c r="W196" s="49" t="s">
        <v>117</v>
      </c>
      <c r="X196" s="49" t="s">
        <v>118</v>
      </c>
      <c r="Y196" s="49" t="s">
        <v>110</v>
      </c>
      <c r="Z196" s="49" t="s">
        <v>1647</v>
      </c>
      <c r="AA196" s="49" t="s">
        <v>1648</v>
      </c>
      <c r="AB196" s="49" t="s">
        <v>1649</v>
      </c>
      <c r="AC196" s="49" t="s">
        <v>1644</v>
      </c>
      <c r="AD196" s="49" t="n">
        <v>5479327</v>
      </c>
      <c r="AE196" s="49" t="s">
        <v>14</v>
      </c>
      <c r="AF196" s="49" t="s">
        <v>1650</v>
      </c>
      <c r="AG196" s="49" t="s">
        <v>14</v>
      </c>
      <c r="AH196" s="49" t="s">
        <v>1651</v>
      </c>
      <c r="AI196" s="49" t="s">
        <v>1030</v>
      </c>
      <c r="AJ196" s="49" t="s">
        <v>150</v>
      </c>
      <c r="AK196" s="49" t="s">
        <v>124</v>
      </c>
      <c r="AL196" s="49" t="s">
        <v>125</v>
      </c>
      <c r="AM196" s="51" t="n">
        <v>2482.75</v>
      </c>
      <c r="AN196" s="49" t="s">
        <v>1652</v>
      </c>
      <c r="AO196" s="49" t="s">
        <v>125</v>
      </c>
      <c r="AP196" s="49" t="s">
        <v>127</v>
      </c>
      <c r="AQ196" s="49" t="s">
        <v>128</v>
      </c>
      <c r="AR196" s="49" t="s">
        <v>1062</v>
      </c>
      <c r="AS196" s="49" t="s">
        <v>1653</v>
      </c>
      <c r="AT196" s="49" t="s">
        <v>1665</v>
      </c>
      <c r="AU196" s="49" t="s">
        <v>565</v>
      </c>
      <c r="AV196" s="49"/>
      <c r="AW196" s="49" t="s">
        <v>1655</v>
      </c>
      <c r="AX196" s="49"/>
      <c r="AY196" s="49"/>
      <c r="AZ196" s="49"/>
      <c r="BA196" s="49"/>
      <c r="BB196" s="49" t="n">
        <v>60817292</v>
      </c>
      <c r="BC196" s="49" t="s">
        <v>134</v>
      </c>
      <c r="BD196" s="49" t="s">
        <v>135</v>
      </c>
      <c r="BE196" s="49" t="s">
        <v>1656</v>
      </c>
      <c r="BF196" s="49" t="s">
        <v>1657</v>
      </c>
      <c r="BG196" s="49" t="s">
        <v>138</v>
      </c>
      <c r="BH196" s="49" t="s">
        <v>226</v>
      </c>
      <c r="BI196" s="49" t="s">
        <v>140</v>
      </c>
      <c r="BJ196" s="49" t="s">
        <v>125</v>
      </c>
      <c r="BK196" s="49"/>
      <c r="BL196" s="49" t="s">
        <v>141</v>
      </c>
      <c r="BM196" s="49"/>
      <c r="BN196" s="49" t="s">
        <v>195</v>
      </c>
      <c r="BO196" s="49"/>
    </row>
    <row r="197" ht="16.8" customHeight="1">
      <c r="A197" s="43" t="s">
        <v>25</v>
      </c>
      <c r="B197" s="49" t="n">
        <v>187</v>
      </c>
      <c r="C197" s="49" t="s">
        <v>103</v>
      </c>
      <c r="D197" s="49" t="s">
        <v>104</v>
      </c>
      <c r="E197" s="49"/>
      <c r="F197" s="49" t="s">
        <v>1641</v>
      </c>
      <c r="G197" s="49"/>
      <c r="H197" s="49" t="s">
        <v>1642</v>
      </c>
      <c r="I197" s="139" t="s">
        <v>1643</v>
      </c>
      <c r="J197" s="49"/>
      <c r="K197" s="49" t="s">
        <v>110</v>
      </c>
      <c r="L197" s="49" t="s">
        <v>14</v>
      </c>
      <c r="M197" s="49" t="s">
        <v>1036</v>
      </c>
      <c r="N197" s="49" t="s">
        <v>1333</v>
      </c>
      <c r="O197" s="49"/>
      <c r="P197" s="49"/>
      <c r="Q197" s="49"/>
      <c r="R197" s="49" t="s">
        <v>1644</v>
      </c>
      <c r="S197" s="49" t="s">
        <v>14</v>
      </c>
      <c r="T197" s="49" t="s">
        <v>1645</v>
      </c>
      <c r="U197" s="49" t="s">
        <v>115</v>
      </c>
      <c r="V197" s="49" t="s">
        <v>1646</v>
      </c>
      <c r="W197" s="49" t="s">
        <v>117</v>
      </c>
      <c r="X197" s="49" t="s">
        <v>118</v>
      </c>
      <c r="Y197" s="49" t="s">
        <v>110</v>
      </c>
      <c r="Z197" s="49" t="s">
        <v>1647</v>
      </c>
      <c r="AA197" s="49" t="s">
        <v>1648</v>
      </c>
      <c r="AB197" s="49" t="s">
        <v>1649</v>
      </c>
      <c r="AC197" s="49" t="s">
        <v>1644</v>
      </c>
      <c r="AD197" s="49" t="n">
        <v>5479327</v>
      </c>
      <c r="AE197" s="49" t="s">
        <v>14</v>
      </c>
      <c r="AF197" s="49" t="s">
        <v>1650</v>
      </c>
      <c r="AG197" s="49" t="s">
        <v>14</v>
      </c>
      <c r="AH197" s="49" t="s">
        <v>1651</v>
      </c>
      <c r="AI197" s="49" t="s">
        <v>1666</v>
      </c>
      <c r="AJ197" s="49" t="s">
        <v>1667</v>
      </c>
      <c r="AK197" s="49" t="s">
        <v>124</v>
      </c>
      <c r="AL197" s="49" t="s">
        <v>125</v>
      </c>
      <c r="AM197" s="51" t="n">
        <v>10500</v>
      </c>
      <c r="AN197" s="49" t="s">
        <v>1652</v>
      </c>
      <c r="AO197" s="49" t="s">
        <v>125</v>
      </c>
      <c r="AP197" s="49" t="s">
        <v>127</v>
      </c>
      <c r="AQ197" s="49" t="s">
        <v>128</v>
      </c>
      <c r="AR197" s="49" t="s">
        <v>1062</v>
      </c>
      <c r="AS197" s="49" t="s">
        <v>1653</v>
      </c>
      <c r="AT197" s="49"/>
      <c r="AU197" s="49" t="s">
        <v>565</v>
      </c>
      <c r="AV197" s="49"/>
      <c r="AW197" s="49" t="s">
        <v>1655</v>
      </c>
      <c r="AX197" s="49"/>
      <c r="AY197" s="49"/>
      <c r="AZ197" s="49"/>
      <c r="BA197" s="49"/>
      <c r="BB197" s="49" t="n">
        <v>60817292</v>
      </c>
      <c r="BC197" s="49" t="s">
        <v>134</v>
      </c>
      <c r="BD197" s="49" t="s">
        <v>135</v>
      </c>
      <c r="BE197" s="49" t="s">
        <v>1656</v>
      </c>
      <c r="BF197" s="49" t="s">
        <v>1657</v>
      </c>
      <c r="BG197" s="49" t="s">
        <v>138</v>
      </c>
      <c r="BH197" s="49" t="s">
        <v>226</v>
      </c>
      <c r="BI197" s="49" t="s">
        <v>140</v>
      </c>
      <c r="BJ197" s="49" t="s">
        <v>125</v>
      </c>
      <c r="BK197" s="49"/>
      <c r="BL197" s="49"/>
      <c r="BM197" s="49"/>
      <c r="BN197" s="49" t="s">
        <v>195</v>
      </c>
      <c r="BO197" s="49"/>
    </row>
    <row r="198" ht="16.8" customHeight="1">
      <c r="A198" s="43" t="s">
        <v>25</v>
      </c>
      <c r="B198" s="49" t="n">
        <v>188</v>
      </c>
      <c r="C198" s="49" t="s">
        <v>103</v>
      </c>
      <c r="D198" s="49" t="s">
        <v>104</v>
      </c>
      <c r="E198" s="49" t="s">
        <v>1668</v>
      </c>
      <c r="F198" s="49" t="s">
        <v>1669</v>
      </c>
      <c r="G198" s="49" t="s">
        <v>1475</v>
      </c>
      <c r="H198" s="49" t="s">
        <v>1670</v>
      </c>
      <c r="I198" s="49" t="s">
        <v>1671</v>
      </c>
      <c r="J198" s="49"/>
      <c r="K198" s="49" t="s">
        <v>214</v>
      </c>
      <c r="L198" s="49" t="s">
        <v>10</v>
      </c>
      <c r="M198" s="49" t="s">
        <v>111</v>
      </c>
      <c r="N198" s="49" t="s">
        <v>112</v>
      </c>
      <c r="O198" s="49" t="s">
        <v>1478</v>
      </c>
      <c r="P198" s="49"/>
      <c r="Q198" s="49"/>
      <c r="R198" s="49" t="s">
        <v>1668</v>
      </c>
      <c r="S198" s="49" t="s">
        <v>10</v>
      </c>
      <c r="T198" s="49" t="s">
        <v>1672</v>
      </c>
      <c r="U198" s="49" t="s">
        <v>115</v>
      </c>
      <c r="V198" s="49" t="s">
        <v>1673</v>
      </c>
      <c r="W198" s="49" t="s">
        <v>117</v>
      </c>
      <c r="X198" s="49" t="s">
        <v>391</v>
      </c>
      <c r="Y198" s="49" t="s">
        <v>214</v>
      </c>
      <c r="Z198" s="49" t="s">
        <v>259</v>
      </c>
      <c r="AA198" s="49" t="s">
        <v>1674</v>
      </c>
      <c r="AB198" s="49" t="s">
        <v>1675</v>
      </c>
      <c r="AC198" s="49" t="s">
        <v>1668</v>
      </c>
      <c r="AD198" s="49" t="n">
        <v>5479326</v>
      </c>
      <c r="AE198" s="49" t="s">
        <v>10</v>
      </c>
      <c r="AF198" s="49" t="s">
        <v>1676</v>
      </c>
      <c r="AG198" s="49" t="s">
        <v>10</v>
      </c>
      <c r="AH198" s="49" t="s">
        <v>1677</v>
      </c>
      <c r="AI198" s="49" t="s">
        <v>1678</v>
      </c>
      <c r="AJ198" s="49" t="s">
        <v>1585</v>
      </c>
      <c r="AK198" s="49" t="s">
        <v>124</v>
      </c>
      <c r="AL198" s="49" t="s">
        <v>125</v>
      </c>
      <c r="AM198" s="51" t="n">
        <v>26400</v>
      </c>
      <c r="AN198" s="49"/>
      <c r="AO198" s="49" t="s">
        <v>1475</v>
      </c>
      <c r="AP198" s="49" t="s">
        <v>127</v>
      </c>
      <c r="AQ198" s="49" t="s">
        <v>128</v>
      </c>
      <c r="AR198" s="49"/>
      <c r="AS198" s="49" t="s">
        <v>1679</v>
      </c>
      <c r="AT198" s="49"/>
      <c r="AU198" s="49" t="s">
        <v>565</v>
      </c>
      <c r="AV198" s="49"/>
      <c r="AW198" s="49" t="s">
        <v>1680</v>
      </c>
      <c r="AX198" s="49"/>
      <c r="AY198" s="49"/>
      <c r="AZ198" s="49"/>
      <c r="BA198" s="49"/>
      <c r="BB198" s="49" t="n">
        <v>45553044</v>
      </c>
      <c r="BC198" s="49" t="s">
        <v>134</v>
      </c>
      <c r="BD198" s="49" t="s">
        <v>191</v>
      </c>
      <c r="BE198" s="49" t="s">
        <v>401</v>
      </c>
      <c r="BF198" s="49" t="s">
        <v>402</v>
      </c>
      <c r="BG198" s="49"/>
      <c r="BH198" s="49" t="s">
        <v>194</v>
      </c>
      <c r="BI198" s="49" t="s">
        <v>140</v>
      </c>
      <c r="BJ198" s="49" t="s">
        <v>125</v>
      </c>
      <c r="BK198" s="49"/>
      <c r="BL198" s="49"/>
      <c r="BM198" s="49"/>
      <c r="BN198" s="49"/>
      <c r="BO198" s="49" t="s">
        <v>112</v>
      </c>
    </row>
    <row r="199" ht="16.8" customHeight="1">
      <c r="A199" s="43" t="s">
        <v>25</v>
      </c>
      <c r="B199" s="49" t="n">
        <v>189</v>
      </c>
      <c r="C199" s="49" t="s">
        <v>103</v>
      </c>
      <c r="D199" s="49" t="s">
        <v>104</v>
      </c>
      <c r="E199" s="49" t="s">
        <v>992</v>
      </c>
      <c r="F199" s="49" t="s">
        <v>1681</v>
      </c>
      <c r="G199" s="49" t="s">
        <v>252</v>
      </c>
      <c r="H199" s="49" t="s">
        <v>1682</v>
      </c>
      <c r="I199" s="49" t="s">
        <v>125</v>
      </c>
      <c r="J199" s="49" t="s">
        <v>125</v>
      </c>
      <c r="K199" s="49" t="s">
        <v>250</v>
      </c>
      <c r="L199" s="49" t="s">
        <v>10</v>
      </c>
      <c r="M199" s="49" t="s">
        <v>111</v>
      </c>
      <c r="N199" s="49" t="s">
        <v>175</v>
      </c>
      <c r="O199" s="49" t="s">
        <v>1683</v>
      </c>
      <c r="P199" s="49"/>
      <c r="Q199" s="49"/>
      <c r="R199" s="49" t="s">
        <v>1684</v>
      </c>
      <c r="S199" s="49" t="s">
        <v>10</v>
      </c>
      <c r="T199" s="49" t="s">
        <v>1685</v>
      </c>
      <c r="U199" s="49" t="s">
        <v>178</v>
      </c>
      <c r="V199" s="49" t="s">
        <v>1686</v>
      </c>
      <c r="W199" s="49" t="s">
        <v>117</v>
      </c>
      <c r="X199" s="49" t="s">
        <v>647</v>
      </c>
      <c r="Y199" s="49" t="s">
        <v>996</v>
      </c>
      <c r="Z199" s="49" t="s">
        <v>1687</v>
      </c>
      <c r="AA199" s="49" t="s">
        <v>1634</v>
      </c>
      <c r="AB199" s="49" t="s">
        <v>1634</v>
      </c>
      <c r="AC199" s="49" t="s">
        <v>1684</v>
      </c>
      <c r="AD199" s="49" t="n">
        <v>5479014</v>
      </c>
      <c r="AE199" s="49" t="s">
        <v>10</v>
      </c>
      <c r="AF199" s="49" t="s">
        <v>1688</v>
      </c>
      <c r="AG199" s="49" t="s">
        <v>10</v>
      </c>
      <c r="AH199" s="49" t="s">
        <v>1688</v>
      </c>
      <c r="AI199" s="49" t="s">
        <v>1689</v>
      </c>
      <c r="AJ199" s="49" t="s">
        <v>656</v>
      </c>
      <c r="AK199" s="49" t="s">
        <v>124</v>
      </c>
      <c r="AL199" s="49" t="s">
        <v>125</v>
      </c>
      <c r="AM199" s="51" t="n">
        <v>6180</v>
      </c>
      <c r="AN199" s="49"/>
      <c r="AO199" s="49" t="s">
        <v>1683</v>
      </c>
      <c r="AP199" s="49" t="s">
        <v>187</v>
      </c>
      <c r="AQ199" s="49" t="s">
        <v>128</v>
      </c>
      <c r="AR199" s="49" t="s">
        <v>681</v>
      </c>
      <c r="AS199" s="49" t="s">
        <v>1690</v>
      </c>
      <c r="AT199" s="49" t="s">
        <v>1691</v>
      </c>
      <c r="AU199" s="49" t="s">
        <v>1692</v>
      </c>
      <c r="AV199" s="49"/>
      <c r="AW199" s="49" t="s">
        <v>1693</v>
      </c>
      <c r="AX199" s="49"/>
      <c r="AY199" s="49"/>
      <c r="AZ199" s="49"/>
      <c r="BA199" s="49"/>
      <c r="BB199" s="49" t="n">
        <v>81607594</v>
      </c>
      <c r="BC199" s="49" t="s">
        <v>134</v>
      </c>
      <c r="BD199" s="49" t="s">
        <v>655</v>
      </c>
      <c r="BE199" s="49" t="s">
        <v>656</v>
      </c>
      <c r="BF199" s="49" t="s">
        <v>125</v>
      </c>
      <c r="BG199" s="49"/>
      <c r="BH199" s="49" t="s">
        <v>139</v>
      </c>
      <c r="BI199" s="49" t="s">
        <v>140</v>
      </c>
      <c r="BJ199" s="49" t="s">
        <v>125</v>
      </c>
      <c r="BK199" s="49"/>
      <c r="BL199" s="49" t="s">
        <v>141</v>
      </c>
      <c r="BM199" s="49"/>
      <c r="BN199" s="49"/>
      <c r="BO199" s="49" t="s">
        <v>196</v>
      </c>
    </row>
    <row r="200" ht="16.8" customHeight="1">
      <c r="A200" s="43" t="s">
        <v>25</v>
      </c>
      <c r="B200" s="49" t="n">
        <v>190</v>
      </c>
      <c r="C200" s="49" t="s">
        <v>103</v>
      </c>
      <c r="D200" s="49" t="s">
        <v>104</v>
      </c>
      <c r="E200" s="49" t="s">
        <v>250</v>
      </c>
      <c r="F200" s="49" t="s">
        <v>535</v>
      </c>
      <c r="G200" s="49" t="s">
        <v>1157</v>
      </c>
      <c r="H200" s="49" t="s">
        <v>536</v>
      </c>
      <c r="I200" s="49" t="s">
        <v>537</v>
      </c>
      <c r="J200" s="49" t="s">
        <v>125</v>
      </c>
      <c r="K200" s="49" t="s">
        <v>250</v>
      </c>
      <c r="L200" s="49" t="s">
        <v>14</v>
      </c>
      <c r="M200" s="49" t="s">
        <v>507</v>
      </c>
      <c r="N200" s="49" t="s">
        <v>507</v>
      </c>
      <c r="O200" s="49" t="s">
        <v>125</v>
      </c>
      <c r="P200" s="49"/>
      <c r="Q200" s="49"/>
      <c r="R200" s="49" t="s">
        <v>538</v>
      </c>
      <c r="S200" s="49" t="s">
        <v>14</v>
      </c>
      <c r="T200" s="49" t="s">
        <v>1694</v>
      </c>
      <c r="U200" s="49" t="s">
        <v>178</v>
      </c>
      <c r="V200" s="49" t="s">
        <v>1695</v>
      </c>
      <c r="W200" s="49" t="s">
        <v>117</v>
      </c>
      <c r="X200" s="49" t="s">
        <v>213</v>
      </c>
      <c r="Y200" s="49" t="s">
        <v>214</v>
      </c>
      <c r="Z200" s="49" t="s">
        <v>541</v>
      </c>
      <c r="AA200" s="49" t="s">
        <v>456</v>
      </c>
      <c r="AB200" s="49" t="s">
        <v>457</v>
      </c>
      <c r="AC200" s="49" t="s">
        <v>538</v>
      </c>
      <c r="AD200" s="49" t="n">
        <v>5478782</v>
      </c>
      <c r="AE200" s="49" t="s">
        <v>14</v>
      </c>
      <c r="AF200" s="49" t="s">
        <v>1696</v>
      </c>
      <c r="AG200" s="49" t="s">
        <v>14</v>
      </c>
      <c r="AH200" s="49" t="s">
        <v>1696</v>
      </c>
      <c r="AI200" s="49" t="s">
        <v>1292</v>
      </c>
      <c r="AJ200" s="49" t="s">
        <v>1293</v>
      </c>
      <c r="AK200" s="49" t="s">
        <v>124</v>
      </c>
      <c r="AL200" s="49" t="s">
        <v>125</v>
      </c>
      <c r="AM200" s="51" t="n">
        <v>7825</v>
      </c>
      <c r="AN200" s="49"/>
      <c r="AO200" s="49" t="s">
        <v>125</v>
      </c>
      <c r="AP200" s="49" t="s">
        <v>187</v>
      </c>
      <c r="AQ200" s="49" t="s">
        <v>128</v>
      </c>
      <c r="AR200" s="49" t="s">
        <v>681</v>
      </c>
      <c r="AS200" s="49" t="s">
        <v>546</v>
      </c>
      <c r="AT200" s="49" t="s">
        <v>1697</v>
      </c>
      <c r="AU200" s="49" t="s">
        <v>1692</v>
      </c>
      <c r="AV200" s="49"/>
      <c r="AW200" s="49" t="s">
        <v>1698</v>
      </c>
      <c r="AX200" s="49"/>
      <c r="AY200" s="49"/>
      <c r="AZ200" s="49"/>
      <c r="BA200" s="49"/>
      <c r="BB200" s="49" t="n">
        <v>67283110</v>
      </c>
      <c r="BC200" s="49" t="s">
        <v>134</v>
      </c>
      <c r="BD200" s="49" t="s">
        <v>191</v>
      </c>
      <c r="BE200" s="49" t="s">
        <v>224</v>
      </c>
      <c r="BF200" s="49" t="s">
        <v>402</v>
      </c>
      <c r="BG200" s="49" t="s">
        <v>138</v>
      </c>
      <c r="BH200" s="49" t="s">
        <v>139</v>
      </c>
      <c r="BI200" s="49" t="s">
        <v>134</v>
      </c>
      <c r="BJ200" s="49" t="s">
        <v>125</v>
      </c>
      <c r="BK200" s="49"/>
      <c r="BL200" s="49" t="s">
        <v>141</v>
      </c>
      <c r="BM200" s="49"/>
      <c r="BN200" s="49"/>
      <c r="BO200" s="49" t="s">
        <v>196</v>
      </c>
    </row>
    <row r="201" ht="16.8" customHeight="1">
      <c r="A201" s="43" t="s">
        <v>25</v>
      </c>
      <c r="B201" s="49" t="n">
        <v>191</v>
      </c>
      <c r="C201" s="49" t="s">
        <v>103</v>
      </c>
      <c r="D201" s="49" t="s">
        <v>104</v>
      </c>
      <c r="E201" s="49" t="s">
        <v>250</v>
      </c>
      <c r="F201" s="49" t="s">
        <v>535</v>
      </c>
      <c r="G201" s="49" t="s">
        <v>1157</v>
      </c>
      <c r="H201" s="49" t="s">
        <v>536</v>
      </c>
      <c r="I201" s="49" t="s">
        <v>537</v>
      </c>
      <c r="J201" s="49" t="s">
        <v>125</v>
      </c>
      <c r="K201" s="49" t="s">
        <v>250</v>
      </c>
      <c r="L201" s="49" t="s">
        <v>14</v>
      </c>
      <c r="M201" s="49" t="s">
        <v>507</v>
      </c>
      <c r="N201" s="49" t="s">
        <v>507</v>
      </c>
      <c r="O201" s="49" t="s">
        <v>125</v>
      </c>
      <c r="P201" s="49"/>
      <c r="Q201" s="49"/>
      <c r="R201" s="49" t="s">
        <v>538</v>
      </c>
      <c r="S201" s="49" t="s">
        <v>14</v>
      </c>
      <c r="T201" s="49" t="s">
        <v>1694</v>
      </c>
      <c r="U201" s="49" t="s">
        <v>178</v>
      </c>
      <c r="V201" s="49" t="s">
        <v>1695</v>
      </c>
      <c r="W201" s="49" t="s">
        <v>117</v>
      </c>
      <c r="X201" s="49" t="s">
        <v>213</v>
      </c>
      <c r="Y201" s="49" t="s">
        <v>214</v>
      </c>
      <c r="Z201" s="49" t="s">
        <v>541</v>
      </c>
      <c r="AA201" s="49" t="s">
        <v>456</v>
      </c>
      <c r="AB201" s="49" t="s">
        <v>457</v>
      </c>
      <c r="AC201" s="49" t="s">
        <v>538</v>
      </c>
      <c r="AD201" s="49" t="n">
        <v>5478782</v>
      </c>
      <c r="AE201" s="49" t="s">
        <v>14</v>
      </c>
      <c r="AF201" s="49" t="s">
        <v>1696</v>
      </c>
      <c r="AG201" s="49" t="s">
        <v>14</v>
      </c>
      <c r="AH201" s="49" t="s">
        <v>1696</v>
      </c>
      <c r="AI201" s="49" t="s">
        <v>1699</v>
      </c>
      <c r="AJ201" s="49" t="s">
        <v>1269</v>
      </c>
      <c r="AK201" s="49" t="s">
        <v>124</v>
      </c>
      <c r="AL201" s="49" t="s">
        <v>125</v>
      </c>
      <c r="AM201" s="51" t="n">
        <v>12240</v>
      </c>
      <c r="AN201" s="49"/>
      <c r="AO201" s="49" t="s">
        <v>125</v>
      </c>
      <c r="AP201" s="49" t="s">
        <v>187</v>
      </c>
      <c r="AQ201" s="49" t="s">
        <v>128</v>
      </c>
      <c r="AR201" s="49" t="s">
        <v>681</v>
      </c>
      <c r="AS201" s="49" t="s">
        <v>546</v>
      </c>
      <c r="AT201" s="49" t="s">
        <v>1700</v>
      </c>
      <c r="AU201" s="49" t="s">
        <v>1692</v>
      </c>
      <c r="AV201" s="49"/>
      <c r="AW201" s="49" t="s">
        <v>1698</v>
      </c>
      <c r="AX201" s="49"/>
      <c r="AY201" s="49"/>
      <c r="AZ201" s="49"/>
      <c r="BA201" s="49"/>
      <c r="BB201" s="49" t="n">
        <v>67283110</v>
      </c>
      <c r="BC201" s="49" t="s">
        <v>134</v>
      </c>
      <c r="BD201" s="49" t="s">
        <v>191</v>
      </c>
      <c r="BE201" s="49" t="s">
        <v>224</v>
      </c>
      <c r="BF201" s="49" t="s">
        <v>402</v>
      </c>
      <c r="BG201" s="49" t="s">
        <v>138</v>
      </c>
      <c r="BH201" s="49" t="s">
        <v>139</v>
      </c>
      <c r="BI201" s="49" t="s">
        <v>134</v>
      </c>
      <c r="BJ201" s="49" t="s">
        <v>125</v>
      </c>
      <c r="BK201" s="49"/>
      <c r="BL201" s="49" t="s">
        <v>141</v>
      </c>
      <c r="BM201" s="49"/>
      <c r="BN201" s="49"/>
      <c r="BO201" s="49" t="s">
        <v>196</v>
      </c>
    </row>
    <row r="202" ht="16.8" customHeight="1">
      <c r="A202" s="43" t="s">
        <v>25</v>
      </c>
      <c r="B202" s="49" t="n">
        <v>192</v>
      </c>
      <c r="C202" s="49" t="s">
        <v>103</v>
      </c>
      <c r="D202" s="49" t="s">
        <v>104</v>
      </c>
      <c r="E202" s="49" t="s">
        <v>250</v>
      </c>
      <c r="F202" s="49" t="s">
        <v>535</v>
      </c>
      <c r="G202" s="49" t="s">
        <v>1157</v>
      </c>
      <c r="H202" s="49" t="s">
        <v>536</v>
      </c>
      <c r="I202" s="49" t="s">
        <v>537</v>
      </c>
      <c r="J202" s="49" t="s">
        <v>125</v>
      </c>
      <c r="K202" s="49" t="s">
        <v>250</v>
      </c>
      <c r="L202" s="49" t="s">
        <v>14</v>
      </c>
      <c r="M202" s="49" t="s">
        <v>507</v>
      </c>
      <c r="N202" s="49" t="s">
        <v>507</v>
      </c>
      <c r="O202" s="49" t="s">
        <v>125</v>
      </c>
      <c r="P202" s="49"/>
      <c r="Q202" s="49"/>
      <c r="R202" s="49" t="s">
        <v>538</v>
      </c>
      <c r="S202" s="49" t="s">
        <v>14</v>
      </c>
      <c r="T202" s="49" t="s">
        <v>1694</v>
      </c>
      <c r="U202" s="49" t="s">
        <v>178</v>
      </c>
      <c r="V202" s="49" t="s">
        <v>1695</v>
      </c>
      <c r="W202" s="49" t="s">
        <v>117</v>
      </c>
      <c r="X202" s="49" t="s">
        <v>213</v>
      </c>
      <c r="Y202" s="49" t="s">
        <v>214</v>
      </c>
      <c r="Z202" s="49" t="s">
        <v>541</v>
      </c>
      <c r="AA202" s="49" t="s">
        <v>456</v>
      </c>
      <c r="AB202" s="49" t="s">
        <v>457</v>
      </c>
      <c r="AC202" s="49" t="s">
        <v>538</v>
      </c>
      <c r="AD202" s="49" t="n">
        <v>5478782</v>
      </c>
      <c r="AE202" s="49" t="s">
        <v>14</v>
      </c>
      <c r="AF202" s="49" t="s">
        <v>1696</v>
      </c>
      <c r="AG202" s="49" t="s">
        <v>14</v>
      </c>
      <c r="AH202" s="49" t="s">
        <v>1696</v>
      </c>
      <c r="AI202" s="49" t="s">
        <v>1701</v>
      </c>
      <c r="AJ202" s="49" t="s">
        <v>1260</v>
      </c>
      <c r="AK202" s="49" t="s">
        <v>124</v>
      </c>
      <c r="AL202" s="49" t="s">
        <v>125</v>
      </c>
      <c r="AM202" s="51" t="n">
        <v>3298.8</v>
      </c>
      <c r="AN202" s="49"/>
      <c r="AO202" s="49" t="s">
        <v>125</v>
      </c>
      <c r="AP202" s="49" t="s">
        <v>187</v>
      </c>
      <c r="AQ202" s="49" t="s">
        <v>128</v>
      </c>
      <c r="AR202" s="49" t="s">
        <v>681</v>
      </c>
      <c r="AS202" s="49" t="s">
        <v>546</v>
      </c>
      <c r="AT202" s="49" t="s">
        <v>1702</v>
      </c>
      <c r="AU202" s="49" t="s">
        <v>1692</v>
      </c>
      <c r="AV202" s="49"/>
      <c r="AW202" s="49" t="s">
        <v>1698</v>
      </c>
      <c r="AX202" s="49"/>
      <c r="AY202" s="49"/>
      <c r="AZ202" s="49"/>
      <c r="BA202" s="49"/>
      <c r="BB202" s="49" t="n">
        <v>67283110</v>
      </c>
      <c r="BC202" s="49" t="s">
        <v>134</v>
      </c>
      <c r="BD202" s="49" t="s">
        <v>191</v>
      </c>
      <c r="BE202" s="49" t="s">
        <v>224</v>
      </c>
      <c r="BF202" s="49" t="s">
        <v>402</v>
      </c>
      <c r="BG202" s="49" t="s">
        <v>138</v>
      </c>
      <c r="BH202" s="49" t="s">
        <v>139</v>
      </c>
      <c r="BI202" s="49" t="s">
        <v>134</v>
      </c>
      <c r="BJ202" s="49" t="s">
        <v>125</v>
      </c>
      <c r="BK202" s="49"/>
      <c r="BL202" s="49" t="s">
        <v>141</v>
      </c>
      <c r="BM202" s="49"/>
      <c r="BN202" s="49"/>
      <c r="BO202" s="49" t="s">
        <v>196</v>
      </c>
    </row>
    <row r="203" ht="16.8" customHeight="1">
      <c r="A203" s="43" t="s">
        <v>25</v>
      </c>
      <c r="B203" s="49" t="n">
        <v>193</v>
      </c>
      <c r="C203" s="49" t="s">
        <v>103</v>
      </c>
      <c r="D203" s="49" t="s">
        <v>104</v>
      </c>
      <c r="E203" s="49" t="s">
        <v>250</v>
      </c>
      <c r="F203" s="49" t="s">
        <v>535</v>
      </c>
      <c r="G203" s="49" t="s">
        <v>1157</v>
      </c>
      <c r="H203" s="49" t="s">
        <v>536</v>
      </c>
      <c r="I203" s="49" t="s">
        <v>537</v>
      </c>
      <c r="J203" s="49" t="s">
        <v>125</v>
      </c>
      <c r="K203" s="49" t="s">
        <v>250</v>
      </c>
      <c r="L203" s="49" t="s">
        <v>14</v>
      </c>
      <c r="M203" s="49" t="s">
        <v>507</v>
      </c>
      <c r="N203" s="49" t="s">
        <v>507</v>
      </c>
      <c r="O203" s="49" t="s">
        <v>125</v>
      </c>
      <c r="P203" s="49"/>
      <c r="Q203" s="49"/>
      <c r="R203" s="49" t="s">
        <v>538</v>
      </c>
      <c r="S203" s="49" t="s">
        <v>14</v>
      </c>
      <c r="T203" s="49" t="s">
        <v>1694</v>
      </c>
      <c r="U203" s="49" t="s">
        <v>178</v>
      </c>
      <c r="V203" s="49" t="s">
        <v>1695</v>
      </c>
      <c r="W203" s="49" t="s">
        <v>117</v>
      </c>
      <c r="X203" s="49" t="s">
        <v>213</v>
      </c>
      <c r="Y203" s="49" t="s">
        <v>214</v>
      </c>
      <c r="Z203" s="49" t="s">
        <v>541</v>
      </c>
      <c r="AA203" s="49" t="s">
        <v>456</v>
      </c>
      <c r="AB203" s="49" t="s">
        <v>457</v>
      </c>
      <c r="AC203" s="49" t="s">
        <v>538</v>
      </c>
      <c r="AD203" s="49" t="n">
        <v>5478782</v>
      </c>
      <c r="AE203" s="49" t="s">
        <v>14</v>
      </c>
      <c r="AF203" s="49" t="s">
        <v>1696</v>
      </c>
      <c r="AG203" s="49" t="s">
        <v>14</v>
      </c>
      <c r="AH203" s="49" t="s">
        <v>1696</v>
      </c>
      <c r="AI203" s="49" t="s">
        <v>1703</v>
      </c>
      <c r="AJ203" s="49" t="s">
        <v>1256</v>
      </c>
      <c r="AK203" s="49" t="s">
        <v>124</v>
      </c>
      <c r="AL203" s="49" t="s">
        <v>125</v>
      </c>
      <c r="AM203" s="51" t="n">
        <v>4703.7</v>
      </c>
      <c r="AN203" s="49"/>
      <c r="AO203" s="49" t="s">
        <v>125</v>
      </c>
      <c r="AP203" s="49" t="s">
        <v>187</v>
      </c>
      <c r="AQ203" s="49" t="s">
        <v>128</v>
      </c>
      <c r="AR203" s="49" t="s">
        <v>681</v>
      </c>
      <c r="AS203" s="49" t="s">
        <v>546</v>
      </c>
      <c r="AT203" s="49" t="s">
        <v>1704</v>
      </c>
      <c r="AU203" s="49" t="s">
        <v>1692</v>
      </c>
      <c r="AV203" s="49"/>
      <c r="AW203" s="49" t="s">
        <v>1698</v>
      </c>
      <c r="AX203" s="49"/>
      <c r="AY203" s="49"/>
      <c r="AZ203" s="49"/>
      <c r="BA203" s="49"/>
      <c r="BB203" s="49" t="n">
        <v>67283110</v>
      </c>
      <c r="BC203" s="49" t="s">
        <v>134</v>
      </c>
      <c r="BD203" s="49" t="s">
        <v>191</v>
      </c>
      <c r="BE203" s="49" t="s">
        <v>224</v>
      </c>
      <c r="BF203" s="49" t="s">
        <v>402</v>
      </c>
      <c r="BG203" s="49" t="s">
        <v>138</v>
      </c>
      <c r="BH203" s="49" t="s">
        <v>139</v>
      </c>
      <c r="BI203" s="49" t="s">
        <v>134</v>
      </c>
      <c r="BJ203" s="49" t="s">
        <v>125</v>
      </c>
      <c r="BK203" s="49"/>
      <c r="BL203" s="49" t="s">
        <v>141</v>
      </c>
      <c r="BM203" s="49"/>
      <c r="BN203" s="49"/>
      <c r="BO203" s="49" t="s">
        <v>196</v>
      </c>
    </row>
    <row r="204" ht="16.8" customHeight="1">
      <c r="A204" s="43" t="s">
        <v>25</v>
      </c>
      <c r="B204" s="49" t="n">
        <v>194</v>
      </c>
      <c r="C204" s="49" t="s">
        <v>103</v>
      </c>
      <c r="D204" s="49" t="s">
        <v>104</v>
      </c>
      <c r="E204" s="49" t="s">
        <v>250</v>
      </c>
      <c r="F204" s="49" t="s">
        <v>535</v>
      </c>
      <c r="G204" s="49" t="s">
        <v>1157</v>
      </c>
      <c r="H204" s="49" t="s">
        <v>536</v>
      </c>
      <c r="I204" s="49" t="s">
        <v>537</v>
      </c>
      <c r="J204" s="49" t="s">
        <v>125</v>
      </c>
      <c r="K204" s="49" t="s">
        <v>250</v>
      </c>
      <c r="L204" s="49" t="s">
        <v>14</v>
      </c>
      <c r="M204" s="49" t="s">
        <v>507</v>
      </c>
      <c r="N204" s="49" t="s">
        <v>507</v>
      </c>
      <c r="O204" s="49" t="s">
        <v>125</v>
      </c>
      <c r="P204" s="49"/>
      <c r="Q204" s="49"/>
      <c r="R204" s="49" t="s">
        <v>538</v>
      </c>
      <c r="S204" s="49" t="s">
        <v>14</v>
      </c>
      <c r="T204" s="49" t="s">
        <v>1694</v>
      </c>
      <c r="U204" s="49" t="s">
        <v>178</v>
      </c>
      <c r="V204" s="49" t="s">
        <v>1695</v>
      </c>
      <c r="W204" s="49" t="s">
        <v>117</v>
      </c>
      <c r="X204" s="49" t="s">
        <v>213</v>
      </c>
      <c r="Y204" s="49" t="s">
        <v>214</v>
      </c>
      <c r="Z204" s="49" t="s">
        <v>541</v>
      </c>
      <c r="AA204" s="49" t="s">
        <v>456</v>
      </c>
      <c r="AB204" s="49" t="s">
        <v>457</v>
      </c>
      <c r="AC204" s="49" t="s">
        <v>538</v>
      </c>
      <c r="AD204" s="49" t="n">
        <v>5478782</v>
      </c>
      <c r="AE204" s="49" t="s">
        <v>14</v>
      </c>
      <c r="AF204" s="49" t="s">
        <v>1696</v>
      </c>
      <c r="AG204" s="49" t="s">
        <v>14</v>
      </c>
      <c r="AH204" s="49" t="s">
        <v>1696</v>
      </c>
      <c r="AI204" s="49" t="s">
        <v>1295</v>
      </c>
      <c r="AJ204" s="49" t="s">
        <v>1266</v>
      </c>
      <c r="AK204" s="49" t="s">
        <v>124</v>
      </c>
      <c r="AL204" s="49" t="s">
        <v>125</v>
      </c>
      <c r="AM204" s="51" t="n">
        <v>4945</v>
      </c>
      <c r="AN204" s="49"/>
      <c r="AO204" s="49" t="s">
        <v>125</v>
      </c>
      <c r="AP204" s="49" t="s">
        <v>187</v>
      </c>
      <c r="AQ204" s="49" t="s">
        <v>128</v>
      </c>
      <c r="AR204" s="49" t="s">
        <v>681</v>
      </c>
      <c r="AS204" s="49" t="s">
        <v>546</v>
      </c>
      <c r="AT204" s="49" t="s">
        <v>1705</v>
      </c>
      <c r="AU204" s="49" t="s">
        <v>1692</v>
      </c>
      <c r="AV204" s="49"/>
      <c r="AW204" s="49" t="s">
        <v>1698</v>
      </c>
      <c r="AX204" s="49"/>
      <c r="AY204" s="49"/>
      <c r="AZ204" s="49"/>
      <c r="BA204" s="49"/>
      <c r="BB204" s="49" t="n">
        <v>67283110</v>
      </c>
      <c r="BC204" s="49" t="s">
        <v>134</v>
      </c>
      <c r="BD204" s="49" t="s">
        <v>191</v>
      </c>
      <c r="BE204" s="49" t="s">
        <v>224</v>
      </c>
      <c r="BF204" s="49" t="s">
        <v>402</v>
      </c>
      <c r="BG204" s="49" t="s">
        <v>138</v>
      </c>
      <c r="BH204" s="49" t="s">
        <v>139</v>
      </c>
      <c r="BI204" s="49" t="s">
        <v>134</v>
      </c>
      <c r="BJ204" s="49" t="s">
        <v>125</v>
      </c>
      <c r="BK204" s="49"/>
      <c r="BL204" s="49" t="s">
        <v>141</v>
      </c>
      <c r="BM204" s="49"/>
      <c r="BN204" s="49"/>
      <c r="BO204" s="49" t="s">
        <v>196</v>
      </c>
    </row>
    <row r="205" ht="16.8" customHeight="1">
      <c r="A205" s="43" t="s">
        <v>25</v>
      </c>
      <c r="B205" s="49" t="n">
        <v>195</v>
      </c>
      <c r="C205" s="49" t="s">
        <v>103</v>
      </c>
      <c r="D205" s="49" t="s">
        <v>104</v>
      </c>
      <c r="E205" s="49" t="s">
        <v>1706</v>
      </c>
      <c r="F205" s="49" t="s">
        <v>1707</v>
      </c>
      <c r="G205" s="49" t="s">
        <v>1708</v>
      </c>
      <c r="H205" s="49" t="s">
        <v>1709</v>
      </c>
      <c r="I205" s="49" t="s">
        <v>1710</v>
      </c>
      <c r="J205" s="49"/>
      <c r="K205" s="49" t="s">
        <v>174</v>
      </c>
      <c r="L205" s="49" t="s">
        <v>14</v>
      </c>
      <c r="M205" s="49" t="s">
        <v>111</v>
      </c>
      <c r="N205" s="49" t="s">
        <v>112</v>
      </c>
      <c r="O205" s="49" t="s">
        <v>1711</v>
      </c>
      <c r="P205" s="49"/>
      <c r="Q205" s="49"/>
      <c r="R205" s="49" t="s">
        <v>1706</v>
      </c>
      <c r="S205" s="49" t="s">
        <v>14</v>
      </c>
      <c r="T205" s="49" t="s">
        <v>1712</v>
      </c>
      <c r="U205" s="49" t="s">
        <v>115</v>
      </c>
      <c r="V205" s="49" t="s">
        <v>1713</v>
      </c>
      <c r="W205" s="49" t="s">
        <v>117</v>
      </c>
      <c r="X205" s="49" t="s">
        <v>180</v>
      </c>
      <c r="Y205" s="49" t="s">
        <v>174</v>
      </c>
      <c r="Z205" s="49" t="s">
        <v>181</v>
      </c>
      <c r="AA205" s="49" t="s">
        <v>1714</v>
      </c>
      <c r="AB205" s="49" t="s">
        <v>1675</v>
      </c>
      <c r="AC205" s="49" t="s">
        <v>1706</v>
      </c>
      <c r="AD205" s="49" t="n">
        <v>5449899</v>
      </c>
      <c r="AE205" s="49" t="s">
        <v>14</v>
      </c>
      <c r="AF205" s="49" t="s">
        <v>1713</v>
      </c>
      <c r="AG205" s="49" t="s">
        <v>14</v>
      </c>
      <c r="AH205" s="49" t="s">
        <v>1715</v>
      </c>
      <c r="AI205" s="49" t="s">
        <v>1716</v>
      </c>
      <c r="AJ205" s="49" t="s">
        <v>913</v>
      </c>
      <c r="AK205" s="49" t="s">
        <v>124</v>
      </c>
      <c r="AL205" s="49" t="s">
        <v>125</v>
      </c>
      <c r="AM205" s="51" t="n">
        <v>6540</v>
      </c>
      <c r="AN205" s="49" t="s">
        <v>126</v>
      </c>
      <c r="AO205" s="49" t="s">
        <v>1708</v>
      </c>
      <c r="AP205" s="49" t="s">
        <v>127</v>
      </c>
      <c r="AQ205" s="49" t="s">
        <v>128</v>
      </c>
      <c r="AR205" s="49" t="s">
        <v>280</v>
      </c>
      <c r="AS205" s="49" t="s">
        <v>1717</v>
      </c>
      <c r="AT205" s="49" t="s">
        <v>1718</v>
      </c>
      <c r="AU205" s="49" t="s">
        <v>1692</v>
      </c>
      <c r="AV205" s="49"/>
      <c r="AW205" s="49" t="s">
        <v>1719</v>
      </c>
      <c r="AX205" s="49"/>
      <c r="AY205" s="49"/>
      <c r="AZ205" s="49"/>
      <c r="BA205" s="49"/>
      <c r="BB205" s="49" t="n">
        <v>79753776</v>
      </c>
      <c r="BC205" s="49" t="s">
        <v>134</v>
      </c>
      <c r="BD205" s="49" t="s">
        <v>191</v>
      </c>
      <c r="BE205" s="49" t="s">
        <v>192</v>
      </c>
      <c r="BF205" s="49" t="s">
        <v>1720</v>
      </c>
      <c r="BG205" s="49" t="s">
        <v>138</v>
      </c>
      <c r="BH205" s="49" t="s">
        <v>194</v>
      </c>
      <c r="BI205" s="49" t="s">
        <v>140</v>
      </c>
      <c r="BJ205" s="49" t="s">
        <v>125</v>
      </c>
      <c r="BK205" s="49"/>
      <c r="BL205" s="49" t="s">
        <v>141</v>
      </c>
      <c r="BM205" s="49"/>
      <c r="BN205" s="49" t="s">
        <v>142</v>
      </c>
      <c r="BO205" s="49" t="s">
        <v>112</v>
      </c>
    </row>
    <row r="206" ht="16.8" customHeight="1">
      <c r="A206" s="43" t="s">
        <v>25</v>
      </c>
      <c r="B206" s="49" t="n">
        <v>196</v>
      </c>
      <c r="C206" s="49" t="s">
        <v>103</v>
      </c>
      <c r="D206" s="49" t="s">
        <v>104</v>
      </c>
      <c r="E206" s="49" t="s">
        <v>1706</v>
      </c>
      <c r="F206" s="49" t="s">
        <v>1707</v>
      </c>
      <c r="G206" s="49" t="s">
        <v>1708</v>
      </c>
      <c r="H206" s="49" t="s">
        <v>1709</v>
      </c>
      <c r="I206" s="49" t="s">
        <v>1710</v>
      </c>
      <c r="J206" s="49"/>
      <c r="K206" s="49" t="s">
        <v>174</v>
      </c>
      <c r="L206" s="49" t="s">
        <v>14</v>
      </c>
      <c r="M206" s="49" t="s">
        <v>111</v>
      </c>
      <c r="N206" s="49" t="s">
        <v>112</v>
      </c>
      <c r="O206" s="49" t="s">
        <v>1711</v>
      </c>
      <c r="P206" s="49"/>
      <c r="Q206" s="49"/>
      <c r="R206" s="49" t="s">
        <v>1706</v>
      </c>
      <c r="S206" s="49" t="s">
        <v>14</v>
      </c>
      <c r="T206" s="49" t="s">
        <v>1712</v>
      </c>
      <c r="U206" s="49" t="s">
        <v>115</v>
      </c>
      <c r="V206" s="49" t="s">
        <v>1713</v>
      </c>
      <c r="W206" s="49" t="s">
        <v>117</v>
      </c>
      <c r="X206" s="49" t="s">
        <v>180</v>
      </c>
      <c r="Y206" s="49" t="s">
        <v>174</v>
      </c>
      <c r="Z206" s="49" t="s">
        <v>181</v>
      </c>
      <c r="AA206" s="49" t="s">
        <v>1714</v>
      </c>
      <c r="AB206" s="49" t="s">
        <v>1675</v>
      </c>
      <c r="AC206" s="49" t="s">
        <v>1706</v>
      </c>
      <c r="AD206" s="49" t="n">
        <v>5449899</v>
      </c>
      <c r="AE206" s="49" t="s">
        <v>14</v>
      </c>
      <c r="AF206" s="49" t="s">
        <v>1713</v>
      </c>
      <c r="AG206" s="49" t="s">
        <v>14</v>
      </c>
      <c r="AH206" s="49" t="s">
        <v>1715</v>
      </c>
      <c r="AI206" s="49" t="s">
        <v>1721</v>
      </c>
      <c r="AJ206" s="49" t="s">
        <v>920</v>
      </c>
      <c r="AK206" s="49" t="s">
        <v>124</v>
      </c>
      <c r="AL206" s="49" t="s">
        <v>125</v>
      </c>
      <c r="AM206" s="51" t="n">
        <v>5760</v>
      </c>
      <c r="AN206" s="49" t="s">
        <v>126</v>
      </c>
      <c r="AO206" s="49" t="s">
        <v>1708</v>
      </c>
      <c r="AP206" s="49" t="s">
        <v>127</v>
      </c>
      <c r="AQ206" s="49" t="s">
        <v>128</v>
      </c>
      <c r="AR206" s="49" t="s">
        <v>280</v>
      </c>
      <c r="AS206" s="49" t="s">
        <v>1717</v>
      </c>
      <c r="AT206" s="49" t="s">
        <v>1722</v>
      </c>
      <c r="AU206" s="49" t="s">
        <v>1692</v>
      </c>
      <c r="AV206" s="49"/>
      <c r="AW206" s="49" t="s">
        <v>1719</v>
      </c>
      <c r="AX206" s="49"/>
      <c r="AY206" s="49"/>
      <c r="AZ206" s="49"/>
      <c r="BA206" s="49"/>
      <c r="BB206" s="49" t="n">
        <v>79753776</v>
      </c>
      <c r="BC206" s="49" t="s">
        <v>134</v>
      </c>
      <c r="BD206" s="49" t="s">
        <v>191</v>
      </c>
      <c r="BE206" s="49" t="s">
        <v>192</v>
      </c>
      <c r="BF206" s="49" t="s">
        <v>1720</v>
      </c>
      <c r="BG206" s="49" t="s">
        <v>138</v>
      </c>
      <c r="BH206" s="49" t="s">
        <v>194</v>
      </c>
      <c r="BI206" s="49" t="s">
        <v>140</v>
      </c>
      <c r="BJ206" s="49" t="s">
        <v>125</v>
      </c>
      <c r="BK206" s="49"/>
      <c r="BL206" s="49" t="s">
        <v>141</v>
      </c>
      <c r="BM206" s="49"/>
      <c r="BN206" s="49" t="s">
        <v>142</v>
      </c>
      <c r="BO206" s="49" t="s">
        <v>112</v>
      </c>
    </row>
    <row r="207" ht="16.8" customHeight="1">
      <c r="A207" s="43" t="s">
        <v>25</v>
      </c>
      <c r="B207" s="49" t="n">
        <v>197</v>
      </c>
      <c r="C207" s="49" t="s">
        <v>103</v>
      </c>
      <c r="D207" s="49" t="s">
        <v>104</v>
      </c>
      <c r="E207" s="49" t="s">
        <v>250</v>
      </c>
      <c r="F207" s="49" t="s">
        <v>1723</v>
      </c>
      <c r="G207" s="49" t="s">
        <v>252</v>
      </c>
      <c r="H207" s="49" t="s">
        <v>1724</v>
      </c>
      <c r="I207" s="140" t="s">
        <v>1725</v>
      </c>
      <c r="J207" s="49" t="s">
        <v>125</v>
      </c>
      <c r="K207" s="49" t="s">
        <v>250</v>
      </c>
      <c r="L207" s="49" t="s">
        <v>14</v>
      </c>
      <c r="M207" s="49" t="s">
        <v>432</v>
      </c>
      <c r="N207" s="49" t="s">
        <v>1726</v>
      </c>
      <c r="O207" s="49" t="s">
        <v>125</v>
      </c>
      <c r="P207" s="49"/>
      <c r="Q207" s="49"/>
      <c r="R207" s="49" t="s">
        <v>1727</v>
      </c>
      <c r="S207" s="49" t="s">
        <v>14</v>
      </c>
      <c r="T207" s="49" t="s">
        <v>1728</v>
      </c>
      <c r="U207" s="49" t="s">
        <v>178</v>
      </c>
      <c r="V207" s="49" t="s">
        <v>1729</v>
      </c>
      <c r="W207" s="49" t="s">
        <v>117</v>
      </c>
      <c r="X207" s="49" t="s">
        <v>391</v>
      </c>
      <c r="Y207" s="49" t="s">
        <v>214</v>
      </c>
      <c r="Z207" s="49" t="s">
        <v>1730</v>
      </c>
      <c r="AA207" s="49" t="s">
        <v>1731</v>
      </c>
      <c r="AB207" s="49" t="s">
        <v>1732</v>
      </c>
      <c r="AC207" s="49" t="s">
        <v>1727</v>
      </c>
      <c r="AD207" s="49" t="n">
        <v>5449534</v>
      </c>
      <c r="AE207" s="49" t="s">
        <v>14</v>
      </c>
      <c r="AF207" s="49" t="s">
        <v>1733</v>
      </c>
      <c r="AG207" s="49" t="s">
        <v>14</v>
      </c>
      <c r="AH207" s="49" t="s">
        <v>1734</v>
      </c>
      <c r="AI207" s="49" t="s">
        <v>1735</v>
      </c>
      <c r="AJ207" s="49" t="s">
        <v>1585</v>
      </c>
      <c r="AK207" s="49" t="s">
        <v>124</v>
      </c>
      <c r="AL207" s="49" t="s">
        <v>125</v>
      </c>
      <c r="AM207" s="51" t="n">
        <v>45500</v>
      </c>
      <c r="AN207" s="49"/>
      <c r="AO207" s="49" t="s">
        <v>125</v>
      </c>
      <c r="AP207" s="49" t="s">
        <v>187</v>
      </c>
      <c r="AQ207" s="49" t="s">
        <v>128</v>
      </c>
      <c r="AR207" s="49"/>
      <c r="AS207" s="49" t="s">
        <v>1736</v>
      </c>
      <c r="AT207" s="49"/>
      <c r="AU207" s="49" t="s">
        <v>1692</v>
      </c>
      <c r="AV207" s="49"/>
      <c r="AW207" s="49" t="s">
        <v>1737</v>
      </c>
      <c r="AX207" s="49"/>
      <c r="AY207" s="49"/>
      <c r="AZ207" s="49"/>
      <c r="BA207" s="49"/>
      <c r="BB207" s="49" t="n">
        <v>52775376</v>
      </c>
      <c r="BC207" s="49" t="s">
        <v>134</v>
      </c>
      <c r="BD207" s="49" t="s">
        <v>191</v>
      </c>
      <c r="BE207" s="49" t="s">
        <v>401</v>
      </c>
      <c r="BF207" s="49" t="s">
        <v>402</v>
      </c>
      <c r="BG207" s="49" t="s">
        <v>138</v>
      </c>
      <c r="BH207" s="49" t="s">
        <v>226</v>
      </c>
      <c r="BI207" s="49" t="s">
        <v>140</v>
      </c>
      <c r="BJ207" s="49" t="s">
        <v>125</v>
      </c>
      <c r="BK207" s="49"/>
      <c r="BL207" s="49"/>
      <c r="BM207" s="49"/>
      <c r="BN207" s="49"/>
      <c r="BO207" s="49" t="s">
        <v>196</v>
      </c>
    </row>
    <row r="208" ht="16.8" customHeight="1">
      <c r="A208" s="43" t="s">
        <v>25</v>
      </c>
      <c r="B208" s="49" t="n">
        <v>198</v>
      </c>
      <c r="C208" s="49" t="s">
        <v>103</v>
      </c>
      <c r="D208" s="49" t="s">
        <v>104</v>
      </c>
      <c r="E208" s="49" t="s">
        <v>1738</v>
      </c>
      <c r="F208" s="49" t="s">
        <v>1739</v>
      </c>
      <c r="G208" s="49" t="s">
        <v>1590</v>
      </c>
      <c r="H208" s="49" t="s">
        <v>1740</v>
      </c>
      <c r="I208" s="141" t="s">
        <v>1592</v>
      </c>
      <c r="J208" s="49" t="s">
        <v>125</v>
      </c>
      <c r="K208" s="49" t="s">
        <v>250</v>
      </c>
      <c r="L208" s="49" t="s">
        <v>14</v>
      </c>
      <c r="M208" s="49" t="s">
        <v>607</v>
      </c>
      <c r="N208" s="49" t="s">
        <v>608</v>
      </c>
      <c r="O208" s="49" t="s">
        <v>125</v>
      </c>
      <c r="P208" s="49"/>
      <c r="Q208" s="49"/>
      <c r="R208" s="49" t="s">
        <v>1741</v>
      </c>
      <c r="S208" s="49" t="s">
        <v>14</v>
      </c>
      <c r="T208" s="49" t="s">
        <v>1742</v>
      </c>
      <c r="U208" s="49" t="s">
        <v>178</v>
      </c>
      <c r="V208" s="49" t="s">
        <v>1743</v>
      </c>
      <c r="W208" s="49" t="s">
        <v>117</v>
      </c>
      <c r="X208" s="49" t="s">
        <v>213</v>
      </c>
      <c r="Y208" s="49" t="s">
        <v>174</v>
      </c>
      <c r="Z208" s="49" t="s">
        <v>1744</v>
      </c>
      <c r="AA208" s="49" t="s">
        <v>1745</v>
      </c>
      <c r="AB208" s="49" t="s">
        <v>1746</v>
      </c>
      <c r="AC208" s="49" t="s">
        <v>1741</v>
      </c>
      <c r="AD208" s="49" t="n">
        <v>5449468</v>
      </c>
      <c r="AE208" s="49" t="s">
        <v>14</v>
      </c>
      <c r="AF208" s="49" t="s">
        <v>1747</v>
      </c>
      <c r="AG208" s="49" t="s">
        <v>14</v>
      </c>
      <c r="AH208" s="49" t="s">
        <v>1748</v>
      </c>
      <c r="AI208" s="49" t="s">
        <v>1749</v>
      </c>
      <c r="AJ208" s="49" t="s">
        <v>1750</v>
      </c>
      <c r="AK208" s="49" t="s">
        <v>124</v>
      </c>
      <c r="AL208" s="49" t="s">
        <v>125</v>
      </c>
      <c r="AM208" s="51" t="n">
        <v>14360</v>
      </c>
      <c r="AN208" s="49"/>
      <c r="AO208" s="49" t="s">
        <v>125</v>
      </c>
      <c r="AP208" s="49" t="s">
        <v>187</v>
      </c>
      <c r="AQ208" s="49" t="s">
        <v>128</v>
      </c>
      <c r="AR208" s="49" t="s">
        <v>129</v>
      </c>
      <c r="AS208" s="49" t="s">
        <v>1751</v>
      </c>
      <c r="AT208" s="49" t="s">
        <v>1752</v>
      </c>
      <c r="AU208" s="49" t="s">
        <v>1692</v>
      </c>
      <c r="AV208" s="49"/>
      <c r="AW208" s="49" t="s">
        <v>1753</v>
      </c>
      <c r="AX208" s="49"/>
      <c r="AY208" s="49"/>
      <c r="AZ208" s="49"/>
      <c r="BA208" s="49"/>
      <c r="BB208" s="49" t="n">
        <v>81524119</v>
      </c>
      <c r="BC208" s="49" t="s">
        <v>134</v>
      </c>
      <c r="BD208" s="49" t="s">
        <v>191</v>
      </c>
      <c r="BE208" s="49" t="s">
        <v>1754</v>
      </c>
      <c r="BF208" s="49" t="s">
        <v>402</v>
      </c>
      <c r="BG208" s="49" t="s">
        <v>138</v>
      </c>
      <c r="BH208" s="49" t="s">
        <v>139</v>
      </c>
      <c r="BI208" s="49" t="s">
        <v>140</v>
      </c>
      <c r="BJ208" s="49" t="s">
        <v>125</v>
      </c>
      <c r="BK208" s="49"/>
      <c r="BL208" s="49" t="s">
        <v>141</v>
      </c>
      <c r="BM208" s="49"/>
      <c r="BN208" s="49" t="s">
        <v>142</v>
      </c>
      <c r="BO208" s="49" t="s">
        <v>196</v>
      </c>
    </row>
    <row r="209" ht="16.8" customHeight="1">
      <c r="A209" s="43" t="s">
        <v>25</v>
      </c>
      <c r="B209" s="49" t="n">
        <v>199</v>
      </c>
      <c r="C209" s="49" t="s">
        <v>103</v>
      </c>
      <c r="D209" s="49" t="s">
        <v>104</v>
      </c>
      <c r="E209" s="49" t="s">
        <v>1738</v>
      </c>
      <c r="F209" s="49" t="s">
        <v>1739</v>
      </c>
      <c r="G209" s="49" t="s">
        <v>1590</v>
      </c>
      <c r="H209" s="49" t="s">
        <v>1740</v>
      </c>
      <c r="I209" s="142" t="s">
        <v>1592</v>
      </c>
      <c r="J209" s="49" t="s">
        <v>125</v>
      </c>
      <c r="K209" s="49" t="s">
        <v>250</v>
      </c>
      <c r="L209" s="49" t="s">
        <v>14</v>
      </c>
      <c r="M209" s="49" t="s">
        <v>607</v>
      </c>
      <c r="N209" s="49" t="s">
        <v>608</v>
      </c>
      <c r="O209" s="49" t="s">
        <v>125</v>
      </c>
      <c r="P209" s="49"/>
      <c r="Q209" s="49"/>
      <c r="R209" s="49" t="s">
        <v>1741</v>
      </c>
      <c r="S209" s="49" t="s">
        <v>14</v>
      </c>
      <c r="T209" s="49" t="s">
        <v>1742</v>
      </c>
      <c r="U209" s="49" t="s">
        <v>178</v>
      </c>
      <c r="V209" s="49" t="s">
        <v>1743</v>
      </c>
      <c r="W209" s="49" t="s">
        <v>117</v>
      </c>
      <c r="X209" s="49" t="s">
        <v>213</v>
      </c>
      <c r="Y209" s="49" t="s">
        <v>174</v>
      </c>
      <c r="Z209" s="49" t="s">
        <v>1744</v>
      </c>
      <c r="AA209" s="49" t="s">
        <v>1745</v>
      </c>
      <c r="AB209" s="49" t="s">
        <v>1746</v>
      </c>
      <c r="AC209" s="49" t="s">
        <v>1741</v>
      </c>
      <c r="AD209" s="49" t="n">
        <v>5449468</v>
      </c>
      <c r="AE209" s="49" t="s">
        <v>14</v>
      </c>
      <c r="AF209" s="49" t="s">
        <v>1747</v>
      </c>
      <c r="AG209" s="49" t="s">
        <v>14</v>
      </c>
      <c r="AH209" s="49" t="s">
        <v>1748</v>
      </c>
      <c r="AI209" s="49" t="s">
        <v>1755</v>
      </c>
      <c r="AJ209" s="49" t="s">
        <v>1756</v>
      </c>
      <c r="AK209" s="49" t="s">
        <v>124</v>
      </c>
      <c r="AL209" s="49" t="s">
        <v>125</v>
      </c>
      <c r="AM209" s="51" t="n">
        <v>12500</v>
      </c>
      <c r="AN209" s="49"/>
      <c r="AO209" s="49" t="s">
        <v>125</v>
      </c>
      <c r="AP209" s="49" t="s">
        <v>187</v>
      </c>
      <c r="AQ209" s="49" t="s">
        <v>128</v>
      </c>
      <c r="AR209" s="49" t="s">
        <v>129</v>
      </c>
      <c r="AS209" s="49" t="s">
        <v>1751</v>
      </c>
      <c r="AT209" s="49" t="s">
        <v>1757</v>
      </c>
      <c r="AU209" s="49" t="s">
        <v>1692</v>
      </c>
      <c r="AV209" s="49"/>
      <c r="AW209" s="49" t="s">
        <v>1753</v>
      </c>
      <c r="AX209" s="49"/>
      <c r="AY209" s="49"/>
      <c r="AZ209" s="49"/>
      <c r="BA209" s="49"/>
      <c r="BB209" s="49" t="n">
        <v>81524119</v>
      </c>
      <c r="BC209" s="49" t="s">
        <v>134</v>
      </c>
      <c r="BD209" s="49" t="s">
        <v>191</v>
      </c>
      <c r="BE209" s="49" t="s">
        <v>1754</v>
      </c>
      <c r="BF209" s="49" t="s">
        <v>402</v>
      </c>
      <c r="BG209" s="49" t="s">
        <v>138</v>
      </c>
      <c r="BH209" s="49" t="s">
        <v>139</v>
      </c>
      <c r="BI209" s="49" t="s">
        <v>140</v>
      </c>
      <c r="BJ209" s="49" t="s">
        <v>125</v>
      </c>
      <c r="BK209" s="49"/>
      <c r="BL209" s="49" t="s">
        <v>141</v>
      </c>
      <c r="BM209" s="49"/>
      <c r="BN209" s="49" t="s">
        <v>142</v>
      </c>
      <c r="BO209" s="49" t="s">
        <v>196</v>
      </c>
    </row>
    <row r="210" ht="16.8" customHeight="1">
      <c r="A210" s="43" t="s">
        <v>25</v>
      </c>
      <c r="B210" s="49" t="n">
        <v>200</v>
      </c>
      <c r="C210" s="49" t="s">
        <v>103</v>
      </c>
      <c r="D210" s="49" t="s">
        <v>104</v>
      </c>
      <c r="E210" s="49" t="s">
        <v>1738</v>
      </c>
      <c r="F210" s="49" t="s">
        <v>1739</v>
      </c>
      <c r="G210" s="49" t="s">
        <v>1590</v>
      </c>
      <c r="H210" s="49" t="s">
        <v>1740</v>
      </c>
      <c r="I210" s="143" t="s">
        <v>1592</v>
      </c>
      <c r="J210" s="49" t="s">
        <v>125</v>
      </c>
      <c r="K210" s="49" t="s">
        <v>250</v>
      </c>
      <c r="L210" s="49" t="s">
        <v>14</v>
      </c>
      <c r="M210" s="49" t="s">
        <v>607</v>
      </c>
      <c r="N210" s="49" t="s">
        <v>608</v>
      </c>
      <c r="O210" s="49" t="s">
        <v>125</v>
      </c>
      <c r="P210" s="49"/>
      <c r="Q210" s="49"/>
      <c r="R210" s="49" t="s">
        <v>1741</v>
      </c>
      <c r="S210" s="49" t="s">
        <v>14</v>
      </c>
      <c r="T210" s="49" t="s">
        <v>1742</v>
      </c>
      <c r="U210" s="49" t="s">
        <v>178</v>
      </c>
      <c r="V210" s="49" t="s">
        <v>1743</v>
      </c>
      <c r="W210" s="49" t="s">
        <v>117</v>
      </c>
      <c r="X210" s="49" t="s">
        <v>213</v>
      </c>
      <c r="Y210" s="49" t="s">
        <v>174</v>
      </c>
      <c r="Z210" s="49" t="s">
        <v>1744</v>
      </c>
      <c r="AA210" s="49" t="s">
        <v>1745</v>
      </c>
      <c r="AB210" s="49" t="s">
        <v>1746</v>
      </c>
      <c r="AC210" s="49" t="s">
        <v>1741</v>
      </c>
      <c r="AD210" s="49" t="n">
        <v>5449468</v>
      </c>
      <c r="AE210" s="49" t="s">
        <v>14</v>
      </c>
      <c r="AF210" s="49" t="s">
        <v>1747</v>
      </c>
      <c r="AG210" s="49" t="s">
        <v>14</v>
      </c>
      <c r="AH210" s="49" t="s">
        <v>1748</v>
      </c>
      <c r="AI210" s="49" t="s">
        <v>1758</v>
      </c>
      <c r="AJ210" s="49" t="s">
        <v>1759</v>
      </c>
      <c r="AK210" s="49" t="s">
        <v>124</v>
      </c>
      <c r="AL210" s="49" t="s">
        <v>125</v>
      </c>
      <c r="AM210" s="51" t="n">
        <v>5440</v>
      </c>
      <c r="AN210" s="49"/>
      <c r="AO210" s="49" t="s">
        <v>125</v>
      </c>
      <c r="AP210" s="49" t="s">
        <v>187</v>
      </c>
      <c r="AQ210" s="49" t="s">
        <v>128</v>
      </c>
      <c r="AR210" s="49" t="s">
        <v>129</v>
      </c>
      <c r="AS210" s="49" t="s">
        <v>1751</v>
      </c>
      <c r="AT210" s="49" t="s">
        <v>1760</v>
      </c>
      <c r="AU210" s="49" t="s">
        <v>1692</v>
      </c>
      <c r="AV210" s="49"/>
      <c r="AW210" s="49" t="s">
        <v>1753</v>
      </c>
      <c r="AX210" s="49"/>
      <c r="AY210" s="49"/>
      <c r="AZ210" s="49"/>
      <c r="BA210" s="49"/>
      <c r="BB210" s="49" t="n">
        <v>81524119</v>
      </c>
      <c r="BC210" s="49" t="s">
        <v>134</v>
      </c>
      <c r="BD210" s="49" t="s">
        <v>191</v>
      </c>
      <c r="BE210" s="49" t="s">
        <v>1754</v>
      </c>
      <c r="BF210" s="49" t="s">
        <v>402</v>
      </c>
      <c r="BG210" s="49" t="s">
        <v>138</v>
      </c>
      <c r="BH210" s="49" t="s">
        <v>139</v>
      </c>
      <c r="BI210" s="49" t="s">
        <v>140</v>
      </c>
      <c r="BJ210" s="49" t="s">
        <v>125</v>
      </c>
      <c r="BK210" s="49"/>
      <c r="BL210" s="49" t="s">
        <v>141</v>
      </c>
      <c r="BM210" s="49"/>
      <c r="BN210" s="49" t="s">
        <v>142</v>
      </c>
      <c r="BO210" s="49" t="s">
        <v>196</v>
      </c>
    </row>
    <row r="211" ht="16.8" customHeight="1">
      <c r="A211" s="43" t="s">
        <v>25</v>
      </c>
      <c r="B211" s="49" t="n">
        <v>201</v>
      </c>
      <c r="C211" s="49" t="s">
        <v>103</v>
      </c>
      <c r="D211" s="49" t="s">
        <v>104</v>
      </c>
      <c r="E211" s="49" t="s">
        <v>1761</v>
      </c>
      <c r="F211" s="49" t="s">
        <v>1762</v>
      </c>
      <c r="G211" s="49" t="s">
        <v>341</v>
      </c>
      <c r="H211" s="49" t="s">
        <v>1763</v>
      </c>
      <c r="I211" s="144" t="s">
        <v>1764</v>
      </c>
      <c r="J211" s="49" t="s">
        <v>1765</v>
      </c>
      <c r="K211" s="49" t="s">
        <v>110</v>
      </c>
      <c r="L211" s="49" t="s">
        <v>505</v>
      </c>
      <c r="M211" s="49" t="s">
        <v>346</v>
      </c>
      <c r="N211" s="49" t="s">
        <v>1766</v>
      </c>
      <c r="O211" s="49" t="s">
        <v>125</v>
      </c>
      <c r="P211" s="49" t="s">
        <v>505</v>
      </c>
      <c r="Q211" s="49" t="s">
        <v>1767</v>
      </c>
      <c r="R211" s="49" t="s">
        <v>1768</v>
      </c>
      <c r="S211" s="49" t="s">
        <v>10</v>
      </c>
      <c r="T211" s="49" t="s">
        <v>1769</v>
      </c>
      <c r="U211" s="49" t="s">
        <v>178</v>
      </c>
      <c r="V211" s="49" t="s">
        <v>1770</v>
      </c>
      <c r="W211" s="49" t="s">
        <v>117</v>
      </c>
      <c r="X211" s="49" t="s">
        <v>118</v>
      </c>
      <c r="Y211" s="49" t="s">
        <v>206</v>
      </c>
      <c r="Z211" s="49" t="s">
        <v>392</v>
      </c>
      <c r="AA211" s="49" t="s">
        <v>1771</v>
      </c>
      <c r="AB211" s="49" t="s">
        <v>1772</v>
      </c>
      <c r="AC211" s="49" t="s">
        <v>1768</v>
      </c>
      <c r="AD211" s="49" t="n">
        <v>5414268</v>
      </c>
      <c r="AE211" s="49" t="s">
        <v>10</v>
      </c>
      <c r="AF211" s="49" t="s">
        <v>1773</v>
      </c>
      <c r="AG211" s="49" t="s">
        <v>10</v>
      </c>
      <c r="AH211" s="49" t="s">
        <v>1773</v>
      </c>
      <c r="AI211" s="49" t="s">
        <v>1774</v>
      </c>
      <c r="AJ211" s="49" t="s">
        <v>1775</v>
      </c>
      <c r="AK211" s="49" t="s">
        <v>124</v>
      </c>
      <c r="AL211" s="49" t="s">
        <v>125</v>
      </c>
      <c r="AM211" s="51" t="n">
        <v>5250</v>
      </c>
      <c r="AN211" s="49"/>
      <c r="AO211" s="49" t="s">
        <v>125</v>
      </c>
      <c r="AP211" s="49" t="s">
        <v>187</v>
      </c>
      <c r="AQ211" s="49" t="s">
        <v>128</v>
      </c>
      <c r="AR211" s="49" t="s">
        <v>1062</v>
      </c>
      <c r="AS211" s="49" t="s">
        <v>1776</v>
      </c>
      <c r="AT211" s="49" t="s">
        <v>1777</v>
      </c>
      <c r="AU211" s="49" t="s">
        <v>1692</v>
      </c>
      <c r="AV211" s="49"/>
      <c r="AW211" s="49" t="s">
        <v>1778</v>
      </c>
      <c r="AX211" s="49"/>
      <c r="AY211" s="49"/>
      <c r="AZ211" s="49"/>
      <c r="BA211" s="49"/>
      <c r="BB211" s="49" t="n">
        <v>81573506</v>
      </c>
      <c r="BC211" s="49" t="s">
        <v>134</v>
      </c>
      <c r="BD211" s="49" t="s">
        <v>135</v>
      </c>
      <c r="BE211" s="49" t="s">
        <v>136</v>
      </c>
      <c r="BF211" s="49" t="s">
        <v>137</v>
      </c>
      <c r="BG211" s="49"/>
      <c r="BH211" s="49" t="s">
        <v>194</v>
      </c>
      <c r="BI211" s="49" t="s">
        <v>140</v>
      </c>
      <c r="BJ211" s="49" t="s">
        <v>125</v>
      </c>
      <c r="BK211" s="49"/>
      <c r="BL211" s="49" t="s">
        <v>141</v>
      </c>
      <c r="BM211" s="49"/>
      <c r="BN211" s="49" t="s">
        <v>142</v>
      </c>
      <c r="BO211" s="49" t="s">
        <v>1779</v>
      </c>
    </row>
    <row r="212" ht="16.8" customHeight="1">
      <c r="A212" s="43" t="s">
        <v>25</v>
      </c>
      <c r="B212" s="49" t="n">
        <v>202</v>
      </c>
      <c r="C212" s="49" t="s">
        <v>103</v>
      </c>
      <c r="D212" s="49" t="s">
        <v>104</v>
      </c>
      <c r="E212" s="49" t="s">
        <v>1761</v>
      </c>
      <c r="F212" s="49" t="s">
        <v>1762</v>
      </c>
      <c r="G212" s="49" t="s">
        <v>341</v>
      </c>
      <c r="H212" s="49" t="s">
        <v>1763</v>
      </c>
      <c r="I212" s="145" t="s">
        <v>1764</v>
      </c>
      <c r="J212" s="49" t="s">
        <v>1765</v>
      </c>
      <c r="K212" s="49" t="s">
        <v>110</v>
      </c>
      <c r="L212" s="49" t="s">
        <v>505</v>
      </c>
      <c r="M212" s="49" t="s">
        <v>346</v>
      </c>
      <c r="N212" s="49" t="s">
        <v>1766</v>
      </c>
      <c r="O212" s="49" t="s">
        <v>125</v>
      </c>
      <c r="P212" s="49" t="s">
        <v>505</v>
      </c>
      <c r="Q212" s="49" t="s">
        <v>1767</v>
      </c>
      <c r="R212" s="49" t="s">
        <v>1768</v>
      </c>
      <c r="S212" s="49" t="s">
        <v>10</v>
      </c>
      <c r="T212" s="49" t="s">
        <v>1769</v>
      </c>
      <c r="U212" s="49" t="s">
        <v>178</v>
      </c>
      <c r="V212" s="49" t="s">
        <v>1770</v>
      </c>
      <c r="W212" s="49" t="s">
        <v>117</v>
      </c>
      <c r="X212" s="49" t="s">
        <v>118</v>
      </c>
      <c r="Y212" s="49" t="s">
        <v>206</v>
      </c>
      <c r="Z212" s="49" t="s">
        <v>392</v>
      </c>
      <c r="AA212" s="49" t="s">
        <v>1771</v>
      </c>
      <c r="AB212" s="49" t="s">
        <v>1772</v>
      </c>
      <c r="AC212" s="49" t="s">
        <v>1768</v>
      </c>
      <c r="AD212" s="49" t="n">
        <v>5414268</v>
      </c>
      <c r="AE212" s="49" t="s">
        <v>10</v>
      </c>
      <c r="AF212" s="49" t="s">
        <v>1773</v>
      </c>
      <c r="AG212" s="49" t="s">
        <v>10</v>
      </c>
      <c r="AH212" s="49" t="s">
        <v>1773</v>
      </c>
      <c r="AI212" s="49" t="s">
        <v>1780</v>
      </c>
      <c r="AJ212" s="49" t="s">
        <v>147</v>
      </c>
      <c r="AK212" s="49" t="s">
        <v>124</v>
      </c>
      <c r="AL212" s="49" t="s">
        <v>125</v>
      </c>
      <c r="AM212" s="51" t="n">
        <v>4275</v>
      </c>
      <c r="AN212" s="49"/>
      <c r="AO212" s="49" t="s">
        <v>125</v>
      </c>
      <c r="AP212" s="49" t="s">
        <v>187</v>
      </c>
      <c r="AQ212" s="49" t="s">
        <v>128</v>
      </c>
      <c r="AR212" s="49" t="s">
        <v>1062</v>
      </c>
      <c r="AS212" s="49" t="s">
        <v>1776</v>
      </c>
      <c r="AT212" s="49" t="s">
        <v>1781</v>
      </c>
      <c r="AU212" s="49" t="s">
        <v>1692</v>
      </c>
      <c r="AV212" s="49"/>
      <c r="AW212" s="49" t="s">
        <v>1778</v>
      </c>
      <c r="AX212" s="49"/>
      <c r="AY212" s="49"/>
      <c r="AZ212" s="49"/>
      <c r="BA212" s="49"/>
      <c r="BB212" s="49" t="n">
        <v>81573506</v>
      </c>
      <c r="BC212" s="49" t="s">
        <v>134</v>
      </c>
      <c r="BD212" s="49" t="s">
        <v>135</v>
      </c>
      <c r="BE212" s="49" t="s">
        <v>136</v>
      </c>
      <c r="BF212" s="49" t="s">
        <v>137</v>
      </c>
      <c r="BG212" s="49"/>
      <c r="BH212" s="49" t="s">
        <v>194</v>
      </c>
      <c r="BI212" s="49" t="s">
        <v>140</v>
      </c>
      <c r="BJ212" s="49" t="s">
        <v>125</v>
      </c>
      <c r="BK212" s="49"/>
      <c r="BL212" s="49" t="s">
        <v>141</v>
      </c>
      <c r="BM212" s="49"/>
      <c r="BN212" s="49" t="s">
        <v>142</v>
      </c>
      <c r="BO212" s="49" t="s">
        <v>1779</v>
      </c>
    </row>
    <row r="213" ht="16.8" customHeight="1">
      <c r="A213" s="43" t="s">
        <v>25</v>
      </c>
      <c r="B213" s="49" t="n">
        <v>203</v>
      </c>
      <c r="C213" s="49" t="s">
        <v>103</v>
      </c>
      <c r="D213" s="49" t="s">
        <v>104</v>
      </c>
      <c r="E213" s="49" t="s">
        <v>1761</v>
      </c>
      <c r="F213" s="49" t="s">
        <v>1762</v>
      </c>
      <c r="G213" s="49" t="s">
        <v>341</v>
      </c>
      <c r="H213" s="49" t="s">
        <v>1763</v>
      </c>
      <c r="I213" s="146" t="s">
        <v>1764</v>
      </c>
      <c r="J213" s="49" t="s">
        <v>1765</v>
      </c>
      <c r="K213" s="49" t="s">
        <v>110</v>
      </c>
      <c r="L213" s="49" t="s">
        <v>505</v>
      </c>
      <c r="M213" s="49" t="s">
        <v>346</v>
      </c>
      <c r="N213" s="49" t="s">
        <v>1766</v>
      </c>
      <c r="O213" s="49" t="s">
        <v>125</v>
      </c>
      <c r="P213" s="49" t="s">
        <v>505</v>
      </c>
      <c r="Q213" s="49" t="s">
        <v>1767</v>
      </c>
      <c r="R213" s="49" t="s">
        <v>1768</v>
      </c>
      <c r="S213" s="49" t="s">
        <v>10</v>
      </c>
      <c r="T213" s="49" t="s">
        <v>1769</v>
      </c>
      <c r="U213" s="49" t="s">
        <v>178</v>
      </c>
      <c r="V213" s="49" t="s">
        <v>1770</v>
      </c>
      <c r="W213" s="49" t="s">
        <v>117</v>
      </c>
      <c r="X213" s="49" t="s">
        <v>118</v>
      </c>
      <c r="Y213" s="49" t="s">
        <v>206</v>
      </c>
      <c r="Z213" s="49" t="s">
        <v>392</v>
      </c>
      <c r="AA213" s="49" t="s">
        <v>1771</v>
      </c>
      <c r="AB213" s="49" t="s">
        <v>1772</v>
      </c>
      <c r="AC213" s="49" t="s">
        <v>1768</v>
      </c>
      <c r="AD213" s="49" t="n">
        <v>5414268</v>
      </c>
      <c r="AE213" s="49" t="s">
        <v>10</v>
      </c>
      <c r="AF213" s="49" t="s">
        <v>1773</v>
      </c>
      <c r="AG213" s="49" t="s">
        <v>10</v>
      </c>
      <c r="AH213" s="49" t="s">
        <v>1773</v>
      </c>
      <c r="AI213" s="49" t="s">
        <v>1782</v>
      </c>
      <c r="AJ213" s="49" t="s">
        <v>144</v>
      </c>
      <c r="AK213" s="49" t="s">
        <v>124</v>
      </c>
      <c r="AL213" s="49" t="s">
        <v>125</v>
      </c>
      <c r="AM213" s="51" t="n">
        <v>3600</v>
      </c>
      <c r="AN213" s="49"/>
      <c r="AO213" s="49" t="s">
        <v>125</v>
      </c>
      <c r="AP213" s="49" t="s">
        <v>187</v>
      </c>
      <c r="AQ213" s="49" t="s">
        <v>128</v>
      </c>
      <c r="AR213" s="49" t="s">
        <v>1062</v>
      </c>
      <c r="AS213" s="49" t="s">
        <v>1776</v>
      </c>
      <c r="AT213" s="49" t="s">
        <v>1783</v>
      </c>
      <c r="AU213" s="49" t="s">
        <v>1692</v>
      </c>
      <c r="AV213" s="49"/>
      <c r="AW213" s="49" t="s">
        <v>1778</v>
      </c>
      <c r="AX213" s="49"/>
      <c r="AY213" s="49"/>
      <c r="AZ213" s="49"/>
      <c r="BA213" s="49"/>
      <c r="BB213" s="49" t="n">
        <v>81573506</v>
      </c>
      <c r="BC213" s="49" t="s">
        <v>134</v>
      </c>
      <c r="BD213" s="49" t="s">
        <v>135</v>
      </c>
      <c r="BE213" s="49" t="s">
        <v>136</v>
      </c>
      <c r="BF213" s="49" t="s">
        <v>137</v>
      </c>
      <c r="BG213" s="49"/>
      <c r="BH213" s="49" t="s">
        <v>194</v>
      </c>
      <c r="BI213" s="49" t="s">
        <v>140</v>
      </c>
      <c r="BJ213" s="49" t="s">
        <v>125</v>
      </c>
      <c r="BK213" s="49"/>
      <c r="BL213" s="49" t="s">
        <v>141</v>
      </c>
      <c r="BM213" s="49"/>
      <c r="BN213" s="49" t="s">
        <v>142</v>
      </c>
      <c r="BO213" s="49" t="s">
        <v>1779</v>
      </c>
    </row>
    <row r="214" ht="16.8" customHeight="1">
      <c r="A214" s="43" t="s">
        <v>25</v>
      </c>
      <c r="B214" s="49" t="n">
        <v>204</v>
      </c>
      <c r="C214" s="49" t="s">
        <v>103</v>
      </c>
      <c r="D214" s="49" t="s">
        <v>104</v>
      </c>
      <c r="E214" s="49" t="s">
        <v>1761</v>
      </c>
      <c r="F214" s="49" t="s">
        <v>1762</v>
      </c>
      <c r="G214" s="49" t="s">
        <v>341</v>
      </c>
      <c r="H214" s="49" t="s">
        <v>1763</v>
      </c>
      <c r="I214" s="147" t="s">
        <v>1764</v>
      </c>
      <c r="J214" s="49" t="s">
        <v>1765</v>
      </c>
      <c r="K214" s="49" t="s">
        <v>110</v>
      </c>
      <c r="L214" s="49" t="s">
        <v>505</v>
      </c>
      <c r="M214" s="49" t="s">
        <v>346</v>
      </c>
      <c r="N214" s="49" t="s">
        <v>1766</v>
      </c>
      <c r="O214" s="49" t="s">
        <v>125</v>
      </c>
      <c r="P214" s="49" t="s">
        <v>505</v>
      </c>
      <c r="Q214" s="49" t="s">
        <v>1767</v>
      </c>
      <c r="R214" s="49" t="s">
        <v>1768</v>
      </c>
      <c r="S214" s="49" t="s">
        <v>10</v>
      </c>
      <c r="T214" s="49" t="s">
        <v>1769</v>
      </c>
      <c r="U214" s="49" t="s">
        <v>178</v>
      </c>
      <c r="V214" s="49" t="s">
        <v>1770</v>
      </c>
      <c r="W214" s="49" t="s">
        <v>117</v>
      </c>
      <c r="X214" s="49" t="s">
        <v>118</v>
      </c>
      <c r="Y214" s="49" t="s">
        <v>206</v>
      </c>
      <c r="Z214" s="49" t="s">
        <v>392</v>
      </c>
      <c r="AA214" s="49" t="s">
        <v>1771</v>
      </c>
      <c r="AB214" s="49" t="s">
        <v>1772</v>
      </c>
      <c r="AC214" s="49" t="s">
        <v>1768</v>
      </c>
      <c r="AD214" s="49" t="n">
        <v>5414268</v>
      </c>
      <c r="AE214" s="49" t="s">
        <v>10</v>
      </c>
      <c r="AF214" s="49" t="s">
        <v>1773</v>
      </c>
      <c r="AG214" s="49" t="s">
        <v>10</v>
      </c>
      <c r="AH214" s="49" t="s">
        <v>1773</v>
      </c>
      <c r="AI214" s="49" t="s">
        <v>1784</v>
      </c>
      <c r="AJ214" s="49" t="s">
        <v>1785</v>
      </c>
      <c r="AK214" s="49" t="s">
        <v>124</v>
      </c>
      <c r="AL214" s="49" t="s">
        <v>125</v>
      </c>
      <c r="AM214" s="51" t="n">
        <v>6300</v>
      </c>
      <c r="AN214" s="49"/>
      <c r="AO214" s="49" t="s">
        <v>125</v>
      </c>
      <c r="AP214" s="49" t="s">
        <v>187</v>
      </c>
      <c r="AQ214" s="49" t="s">
        <v>128</v>
      </c>
      <c r="AR214" s="49" t="s">
        <v>1062</v>
      </c>
      <c r="AS214" s="49" t="s">
        <v>1776</v>
      </c>
      <c r="AT214" s="49" t="s">
        <v>1786</v>
      </c>
      <c r="AU214" s="49" t="s">
        <v>1692</v>
      </c>
      <c r="AV214" s="49"/>
      <c r="AW214" s="49" t="s">
        <v>1778</v>
      </c>
      <c r="AX214" s="49"/>
      <c r="AY214" s="49"/>
      <c r="AZ214" s="49"/>
      <c r="BA214" s="49"/>
      <c r="BB214" s="49" t="n">
        <v>81573506</v>
      </c>
      <c r="BC214" s="49" t="s">
        <v>134</v>
      </c>
      <c r="BD214" s="49" t="s">
        <v>135</v>
      </c>
      <c r="BE214" s="49" t="s">
        <v>136</v>
      </c>
      <c r="BF214" s="49" t="s">
        <v>137</v>
      </c>
      <c r="BG214" s="49"/>
      <c r="BH214" s="49" t="s">
        <v>194</v>
      </c>
      <c r="BI214" s="49" t="s">
        <v>140</v>
      </c>
      <c r="BJ214" s="49" t="s">
        <v>125</v>
      </c>
      <c r="BK214" s="49"/>
      <c r="BL214" s="49" t="s">
        <v>141</v>
      </c>
      <c r="BM214" s="49"/>
      <c r="BN214" s="49" t="s">
        <v>142</v>
      </c>
      <c r="BO214" s="49" t="s">
        <v>1779</v>
      </c>
    </row>
    <row r="215" ht="16.8" customHeight="1">
      <c r="A215" s="43" t="s">
        <v>25</v>
      </c>
      <c r="B215" s="49" t="n">
        <v>205</v>
      </c>
      <c r="C215" s="49" t="s">
        <v>103</v>
      </c>
      <c r="D215" s="49" t="s">
        <v>104</v>
      </c>
      <c r="E215" s="49" t="s">
        <v>1761</v>
      </c>
      <c r="F215" s="49" t="s">
        <v>1762</v>
      </c>
      <c r="G215" s="49" t="s">
        <v>341</v>
      </c>
      <c r="H215" s="49" t="s">
        <v>1763</v>
      </c>
      <c r="I215" s="148" t="s">
        <v>1764</v>
      </c>
      <c r="J215" s="49" t="s">
        <v>1765</v>
      </c>
      <c r="K215" s="49" t="s">
        <v>110</v>
      </c>
      <c r="L215" s="49" t="s">
        <v>505</v>
      </c>
      <c r="M215" s="49" t="s">
        <v>346</v>
      </c>
      <c r="N215" s="49" t="s">
        <v>1766</v>
      </c>
      <c r="O215" s="49" t="s">
        <v>125</v>
      </c>
      <c r="P215" s="49" t="s">
        <v>505</v>
      </c>
      <c r="Q215" s="49" t="s">
        <v>1767</v>
      </c>
      <c r="R215" s="49" t="s">
        <v>1768</v>
      </c>
      <c r="S215" s="49" t="s">
        <v>10</v>
      </c>
      <c r="T215" s="49" t="s">
        <v>1769</v>
      </c>
      <c r="U215" s="49" t="s">
        <v>178</v>
      </c>
      <c r="V215" s="49" t="s">
        <v>1770</v>
      </c>
      <c r="W215" s="49" t="s">
        <v>117</v>
      </c>
      <c r="X215" s="49" t="s">
        <v>118</v>
      </c>
      <c r="Y215" s="49" t="s">
        <v>206</v>
      </c>
      <c r="Z215" s="49" t="s">
        <v>392</v>
      </c>
      <c r="AA215" s="49" t="s">
        <v>1771</v>
      </c>
      <c r="AB215" s="49" t="s">
        <v>1772</v>
      </c>
      <c r="AC215" s="49" t="s">
        <v>1768</v>
      </c>
      <c r="AD215" s="49" t="n">
        <v>5414268</v>
      </c>
      <c r="AE215" s="49" t="s">
        <v>10</v>
      </c>
      <c r="AF215" s="49" t="s">
        <v>1773</v>
      </c>
      <c r="AG215" s="49" t="s">
        <v>10</v>
      </c>
      <c r="AH215" s="49" t="s">
        <v>1773</v>
      </c>
      <c r="AI215" s="49" t="s">
        <v>1787</v>
      </c>
      <c r="AJ215" s="49" t="s">
        <v>162</v>
      </c>
      <c r="AK215" s="49" t="s">
        <v>124</v>
      </c>
      <c r="AL215" s="49" t="s">
        <v>125</v>
      </c>
      <c r="AM215" s="51" t="n">
        <v>6225</v>
      </c>
      <c r="AN215" s="49"/>
      <c r="AO215" s="49" t="s">
        <v>125</v>
      </c>
      <c r="AP215" s="49" t="s">
        <v>187</v>
      </c>
      <c r="AQ215" s="49" t="s">
        <v>128</v>
      </c>
      <c r="AR215" s="49" t="s">
        <v>1062</v>
      </c>
      <c r="AS215" s="49" t="s">
        <v>1776</v>
      </c>
      <c r="AT215" s="49" t="s">
        <v>1788</v>
      </c>
      <c r="AU215" s="49" t="s">
        <v>1692</v>
      </c>
      <c r="AV215" s="49"/>
      <c r="AW215" s="49" t="s">
        <v>1778</v>
      </c>
      <c r="AX215" s="49"/>
      <c r="AY215" s="49"/>
      <c r="AZ215" s="49"/>
      <c r="BA215" s="49"/>
      <c r="BB215" s="49" t="n">
        <v>81573506</v>
      </c>
      <c r="BC215" s="49" t="s">
        <v>134</v>
      </c>
      <c r="BD215" s="49" t="s">
        <v>135</v>
      </c>
      <c r="BE215" s="49" t="s">
        <v>136</v>
      </c>
      <c r="BF215" s="49" t="s">
        <v>137</v>
      </c>
      <c r="BG215" s="49"/>
      <c r="BH215" s="49" t="s">
        <v>194</v>
      </c>
      <c r="BI215" s="49" t="s">
        <v>140</v>
      </c>
      <c r="BJ215" s="49" t="s">
        <v>125</v>
      </c>
      <c r="BK215" s="49"/>
      <c r="BL215" s="49" t="s">
        <v>141</v>
      </c>
      <c r="BM215" s="49"/>
      <c r="BN215" s="49" t="s">
        <v>142</v>
      </c>
      <c r="BO215" s="49" t="s">
        <v>1779</v>
      </c>
    </row>
    <row r="216" ht="16.8" customHeight="1">
      <c r="A216" s="43" t="s">
        <v>25</v>
      </c>
      <c r="B216" s="49" t="n">
        <v>206</v>
      </c>
      <c r="C216" s="49" t="s">
        <v>103</v>
      </c>
      <c r="D216" s="49" t="s">
        <v>104</v>
      </c>
      <c r="E216" s="49" t="s">
        <v>1761</v>
      </c>
      <c r="F216" s="49" t="s">
        <v>1762</v>
      </c>
      <c r="G216" s="49" t="s">
        <v>341</v>
      </c>
      <c r="H216" s="49" t="s">
        <v>1763</v>
      </c>
      <c r="I216" s="149" t="s">
        <v>1764</v>
      </c>
      <c r="J216" s="49" t="s">
        <v>1765</v>
      </c>
      <c r="K216" s="49" t="s">
        <v>110</v>
      </c>
      <c r="L216" s="49" t="s">
        <v>505</v>
      </c>
      <c r="M216" s="49" t="s">
        <v>346</v>
      </c>
      <c r="N216" s="49" t="s">
        <v>1766</v>
      </c>
      <c r="O216" s="49" t="s">
        <v>125</v>
      </c>
      <c r="P216" s="49" t="s">
        <v>505</v>
      </c>
      <c r="Q216" s="49" t="s">
        <v>1767</v>
      </c>
      <c r="R216" s="49" t="s">
        <v>1768</v>
      </c>
      <c r="S216" s="49" t="s">
        <v>10</v>
      </c>
      <c r="T216" s="49" t="s">
        <v>1769</v>
      </c>
      <c r="U216" s="49" t="s">
        <v>178</v>
      </c>
      <c r="V216" s="49" t="s">
        <v>1770</v>
      </c>
      <c r="W216" s="49" t="s">
        <v>117</v>
      </c>
      <c r="X216" s="49" t="s">
        <v>118</v>
      </c>
      <c r="Y216" s="49" t="s">
        <v>206</v>
      </c>
      <c r="Z216" s="49" t="s">
        <v>392</v>
      </c>
      <c r="AA216" s="49" t="s">
        <v>1771</v>
      </c>
      <c r="AB216" s="49" t="s">
        <v>1772</v>
      </c>
      <c r="AC216" s="49" t="s">
        <v>1768</v>
      </c>
      <c r="AD216" s="49" t="n">
        <v>5414268</v>
      </c>
      <c r="AE216" s="49" t="s">
        <v>10</v>
      </c>
      <c r="AF216" s="49" t="s">
        <v>1773</v>
      </c>
      <c r="AG216" s="49" t="s">
        <v>10</v>
      </c>
      <c r="AH216" s="49" t="s">
        <v>1773</v>
      </c>
      <c r="AI216" s="49" t="s">
        <v>155</v>
      </c>
      <c r="AJ216" s="49" t="s">
        <v>156</v>
      </c>
      <c r="AK216" s="49" t="s">
        <v>124</v>
      </c>
      <c r="AL216" s="49" t="s">
        <v>125</v>
      </c>
      <c r="AM216" s="51" t="n">
        <v>5400</v>
      </c>
      <c r="AN216" s="49"/>
      <c r="AO216" s="49" t="s">
        <v>125</v>
      </c>
      <c r="AP216" s="49" t="s">
        <v>187</v>
      </c>
      <c r="AQ216" s="49" t="s">
        <v>128</v>
      </c>
      <c r="AR216" s="49" t="s">
        <v>1062</v>
      </c>
      <c r="AS216" s="49" t="s">
        <v>1776</v>
      </c>
      <c r="AT216" s="49" t="s">
        <v>1789</v>
      </c>
      <c r="AU216" s="49" t="s">
        <v>1692</v>
      </c>
      <c r="AV216" s="49"/>
      <c r="AW216" s="49" t="s">
        <v>1778</v>
      </c>
      <c r="AX216" s="49"/>
      <c r="AY216" s="49"/>
      <c r="AZ216" s="49"/>
      <c r="BA216" s="49"/>
      <c r="BB216" s="49" t="n">
        <v>81573506</v>
      </c>
      <c r="BC216" s="49" t="s">
        <v>134</v>
      </c>
      <c r="BD216" s="49" t="s">
        <v>135</v>
      </c>
      <c r="BE216" s="49" t="s">
        <v>136</v>
      </c>
      <c r="BF216" s="49" t="s">
        <v>137</v>
      </c>
      <c r="BG216" s="49"/>
      <c r="BH216" s="49" t="s">
        <v>194</v>
      </c>
      <c r="BI216" s="49" t="s">
        <v>140</v>
      </c>
      <c r="BJ216" s="49" t="s">
        <v>125</v>
      </c>
      <c r="BK216" s="49"/>
      <c r="BL216" s="49" t="s">
        <v>141</v>
      </c>
      <c r="BM216" s="49"/>
      <c r="BN216" s="49" t="s">
        <v>142</v>
      </c>
      <c r="BO216" s="49" t="s">
        <v>1779</v>
      </c>
    </row>
    <row r="217" ht="16.8" customHeight="1">
      <c r="A217" s="43" t="s">
        <v>25</v>
      </c>
      <c r="B217" s="49" t="n">
        <v>207</v>
      </c>
      <c r="C217" s="49" t="s">
        <v>103</v>
      </c>
      <c r="D217" s="49" t="s">
        <v>104</v>
      </c>
      <c r="E217" s="49" t="s">
        <v>1761</v>
      </c>
      <c r="F217" s="49" t="s">
        <v>1762</v>
      </c>
      <c r="G217" s="49" t="s">
        <v>341</v>
      </c>
      <c r="H217" s="49" t="s">
        <v>1763</v>
      </c>
      <c r="I217" s="150" t="s">
        <v>1764</v>
      </c>
      <c r="J217" s="49" t="s">
        <v>1765</v>
      </c>
      <c r="K217" s="49" t="s">
        <v>110</v>
      </c>
      <c r="L217" s="49" t="s">
        <v>505</v>
      </c>
      <c r="M217" s="49" t="s">
        <v>346</v>
      </c>
      <c r="N217" s="49" t="s">
        <v>1766</v>
      </c>
      <c r="O217" s="49" t="s">
        <v>125</v>
      </c>
      <c r="P217" s="49" t="s">
        <v>505</v>
      </c>
      <c r="Q217" s="49" t="s">
        <v>1767</v>
      </c>
      <c r="R217" s="49" t="s">
        <v>1768</v>
      </c>
      <c r="S217" s="49" t="s">
        <v>10</v>
      </c>
      <c r="T217" s="49" t="s">
        <v>1769</v>
      </c>
      <c r="U217" s="49" t="s">
        <v>178</v>
      </c>
      <c r="V217" s="49" t="s">
        <v>1770</v>
      </c>
      <c r="W217" s="49" t="s">
        <v>117</v>
      </c>
      <c r="X217" s="49" t="s">
        <v>118</v>
      </c>
      <c r="Y217" s="49" t="s">
        <v>206</v>
      </c>
      <c r="Z217" s="49" t="s">
        <v>392</v>
      </c>
      <c r="AA217" s="49" t="s">
        <v>1771</v>
      </c>
      <c r="AB217" s="49" t="s">
        <v>1772</v>
      </c>
      <c r="AC217" s="49" t="s">
        <v>1768</v>
      </c>
      <c r="AD217" s="49" t="n">
        <v>5414268</v>
      </c>
      <c r="AE217" s="49" t="s">
        <v>10</v>
      </c>
      <c r="AF217" s="49" t="s">
        <v>1773</v>
      </c>
      <c r="AG217" s="49" t="s">
        <v>10</v>
      </c>
      <c r="AH217" s="49" t="s">
        <v>1773</v>
      </c>
      <c r="AI217" s="49" t="s">
        <v>164</v>
      </c>
      <c r="AJ217" s="49" t="s">
        <v>165</v>
      </c>
      <c r="AK217" s="49" t="s">
        <v>124</v>
      </c>
      <c r="AL217" s="49" t="s">
        <v>125</v>
      </c>
      <c r="AM217" s="51" t="n">
        <v>4350</v>
      </c>
      <c r="AN217" s="49"/>
      <c r="AO217" s="49" t="s">
        <v>125</v>
      </c>
      <c r="AP217" s="49" t="s">
        <v>187</v>
      </c>
      <c r="AQ217" s="49" t="s">
        <v>128</v>
      </c>
      <c r="AR217" s="49" t="s">
        <v>1062</v>
      </c>
      <c r="AS217" s="49" t="s">
        <v>1776</v>
      </c>
      <c r="AT217" s="49" t="s">
        <v>1790</v>
      </c>
      <c r="AU217" s="49" t="s">
        <v>1692</v>
      </c>
      <c r="AV217" s="49"/>
      <c r="AW217" s="49" t="s">
        <v>1778</v>
      </c>
      <c r="AX217" s="49"/>
      <c r="AY217" s="49"/>
      <c r="AZ217" s="49"/>
      <c r="BA217" s="49"/>
      <c r="BB217" s="49" t="n">
        <v>81573506</v>
      </c>
      <c r="BC217" s="49" t="s">
        <v>134</v>
      </c>
      <c r="BD217" s="49" t="s">
        <v>135</v>
      </c>
      <c r="BE217" s="49" t="s">
        <v>136</v>
      </c>
      <c r="BF217" s="49" t="s">
        <v>137</v>
      </c>
      <c r="BG217" s="49"/>
      <c r="BH217" s="49" t="s">
        <v>194</v>
      </c>
      <c r="BI217" s="49" t="s">
        <v>140</v>
      </c>
      <c r="BJ217" s="49" t="s">
        <v>125</v>
      </c>
      <c r="BK217" s="49"/>
      <c r="BL217" s="49" t="s">
        <v>141</v>
      </c>
      <c r="BM217" s="49"/>
      <c r="BN217" s="49" t="s">
        <v>142</v>
      </c>
      <c r="BO217" s="49" t="s">
        <v>1779</v>
      </c>
    </row>
    <row r="218" ht="16.8" customHeight="1">
      <c r="A218" s="43" t="s">
        <v>25</v>
      </c>
      <c r="B218" s="49" t="n">
        <v>208</v>
      </c>
      <c r="C218" s="49" t="s">
        <v>103</v>
      </c>
      <c r="D218" s="49" t="s">
        <v>104</v>
      </c>
      <c r="E218" s="49" t="s">
        <v>1761</v>
      </c>
      <c r="F218" s="49" t="s">
        <v>1762</v>
      </c>
      <c r="G218" s="49" t="s">
        <v>341</v>
      </c>
      <c r="H218" s="49" t="s">
        <v>1763</v>
      </c>
      <c r="I218" s="151" t="s">
        <v>1764</v>
      </c>
      <c r="J218" s="49" t="s">
        <v>1765</v>
      </c>
      <c r="K218" s="49" t="s">
        <v>110</v>
      </c>
      <c r="L218" s="49" t="s">
        <v>505</v>
      </c>
      <c r="M218" s="49" t="s">
        <v>346</v>
      </c>
      <c r="N218" s="49" t="s">
        <v>1766</v>
      </c>
      <c r="O218" s="49" t="s">
        <v>125</v>
      </c>
      <c r="P218" s="49" t="s">
        <v>505</v>
      </c>
      <c r="Q218" s="49" t="s">
        <v>1767</v>
      </c>
      <c r="R218" s="49" t="s">
        <v>1768</v>
      </c>
      <c r="S218" s="49" t="s">
        <v>10</v>
      </c>
      <c r="T218" s="49" t="s">
        <v>1769</v>
      </c>
      <c r="U218" s="49" t="s">
        <v>178</v>
      </c>
      <c r="V218" s="49" t="s">
        <v>1770</v>
      </c>
      <c r="W218" s="49" t="s">
        <v>117</v>
      </c>
      <c r="X218" s="49" t="s">
        <v>118</v>
      </c>
      <c r="Y218" s="49" t="s">
        <v>206</v>
      </c>
      <c r="Z218" s="49" t="s">
        <v>392</v>
      </c>
      <c r="AA218" s="49" t="s">
        <v>1771</v>
      </c>
      <c r="AB218" s="49" t="s">
        <v>1772</v>
      </c>
      <c r="AC218" s="49" t="s">
        <v>1768</v>
      </c>
      <c r="AD218" s="49" t="n">
        <v>5414268</v>
      </c>
      <c r="AE218" s="49" t="s">
        <v>10</v>
      </c>
      <c r="AF218" s="49" t="s">
        <v>1773</v>
      </c>
      <c r="AG218" s="49" t="s">
        <v>10</v>
      </c>
      <c r="AH218" s="49" t="s">
        <v>1773</v>
      </c>
      <c r="AI218" s="49" t="s">
        <v>158</v>
      </c>
      <c r="AJ218" s="49" t="s">
        <v>159</v>
      </c>
      <c r="AK218" s="49" t="s">
        <v>124</v>
      </c>
      <c r="AL218" s="49" t="s">
        <v>125</v>
      </c>
      <c r="AM218" s="51" t="n">
        <v>4800</v>
      </c>
      <c r="AN218" s="49"/>
      <c r="AO218" s="49" t="s">
        <v>125</v>
      </c>
      <c r="AP218" s="49" t="s">
        <v>187</v>
      </c>
      <c r="AQ218" s="49" t="s">
        <v>128</v>
      </c>
      <c r="AR218" s="49" t="s">
        <v>1062</v>
      </c>
      <c r="AS218" s="49" t="s">
        <v>1776</v>
      </c>
      <c r="AT218" s="49" t="s">
        <v>1791</v>
      </c>
      <c r="AU218" s="49" t="s">
        <v>1692</v>
      </c>
      <c r="AV218" s="49"/>
      <c r="AW218" s="49" t="s">
        <v>1778</v>
      </c>
      <c r="AX218" s="49"/>
      <c r="AY218" s="49"/>
      <c r="AZ218" s="49"/>
      <c r="BA218" s="49"/>
      <c r="BB218" s="49" t="n">
        <v>81573506</v>
      </c>
      <c r="BC218" s="49" t="s">
        <v>134</v>
      </c>
      <c r="BD218" s="49" t="s">
        <v>135</v>
      </c>
      <c r="BE218" s="49" t="s">
        <v>136</v>
      </c>
      <c r="BF218" s="49" t="s">
        <v>137</v>
      </c>
      <c r="BG218" s="49"/>
      <c r="BH218" s="49" t="s">
        <v>194</v>
      </c>
      <c r="BI218" s="49" t="s">
        <v>140</v>
      </c>
      <c r="BJ218" s="49" t="s">
        <v>125</v>
      </c>
      <c r="BK218" s="49"/>
      <c r="BL218" s="49" t="s">
        <v>141</v>
      </c>
      <c r="BM218" s="49"/>
      <c r="BN218" s="49" t="s">
        <v>142</v>
      </c>
      <c r="BO218" s="49" t="s">
        <v>1779</v>
      </c>
    </row>
    <row r="219" ht="16.8" customHeight="1">
      <c r="A219" s="43" t="s">
        <v>25</v>
      </c>
      <c r="B219" s="49" t="n">
        <v>209</v>
      </c>
      <c r="C219" s="49" t="s">
        <v>103</v>
      </c>
      <c r="D219" s="49" t="s">
        <v>104</v>
      </c>
      <c r="E219" s="49" t="s">
        <v>1761</v>
      </c>
      <c r="F219" s="49" t="s">
        <v>1762</v>
      </c>
      <c r="G219" s="49" t="s">
        <v>341</v>
      </c>
      <c r="H219" s="49" t="s">
        <v>1763</v>
      </c>
      <c r="I219" s="152" t="s">
        <v>1764</v>
      </c>
      <c r="J219" s="49" t="s">
        <v>1765</v>
      </c>
      <c r="K219" s="49" t="s">
        <v>110</v>
      </c>
      <c r="L219" s="49" t="s">
        <v>505</v>
      </c>
      <c r="M219" s="49" t="s">
        <v>346</v>
      </c>
      <c r="N219" s="49" t="s">
        <v>1766</v>
      </c>
      <c r="O219" s="49" t="s">
        <v>125</v>
      </c>
      <c r="P219" s="49" t="s">
        <v>505</v>
      </c>
      <c r="Q219" s="49" t="s">
        <v>1767</v>
      </c>
      <c r="R219" s="49" t="s">
        <v>1768</v>
      </c>
      <c r="S219" s="49" t="s">
        <v>10</v>
      </c>
      <c r="T219" s="49" t="s">
        <v>1769</v>
      </c>
      <c r="U219" s="49" t="s">
        <v>178</v>
      </c>
      <c r="V219" s="49" t="s">
        <v>1770</v>
      </c>
      <c r="W219" s="49" t="s">
        <v>117</v>
      </c>
      <c r="X219" s="49" t="s">
        <v>118</v>
      </c>
      <c r="Y219" s="49" t="s">
        <v>206</v>
      </c>
      <c r="Z219" s="49" t="s">
        <v>392</v>
      </c>
      <c r="AA219" s="49" t="s">
        <v>1771</v>
      </c>
      <c r="AB219" s="49" t="s">
        <v>1772</v>
      </c>
      <c r="AC219" s="49" t="s">
        <v>1768</v>
      </c>
      <c r="AD219" s="49" t="n">
        <v>5414268</v>
      </c>
      <c r="AE219" s="49" t="s">
        <v>10</v>
      </c>
      <c r="AF219" s="49" t="s">
        <v>1773</v>
      </c>
      <c r="AG219" s="49" t="s">
        <v>10</v>
      </c>
      <c r="AH219" s="49" t="s">
        <v>1773</v>
      </c>
      <c r="AI219" s="49" t="s">
        <v>122</v>
      </c>
      <c r="AJ219" s="49" t="s">
        <v>123</v>
      </c>
      <c r="AK219" s="49" t="s">
        <v>124</v>
      </c>
      <c r="AL219" s="49" t="s">
        <v>125</v>
      </c>
      <c r="AM219" s="51" t="n">
        <v>6100</v>
      </c>
      <c r="AN219" s="49"/>
      <c r="AO219" s="49" t="s">
        <v>125</v>
      </c>
      <c r="AP219" s="49" t="s">
        <v>187</v>
      </c>
      <c r="AQ219" s="49" t="s">
        <v>128</v>
      </c>
      <c r="AR219" s="49" t="s">
        <v>1062</v>
      </c>
      <c r="AS219" s="49" t="s">
        <v>1776</v>
      </c>
      <c r="AT219" s="49" t="s">
        <v>1792</v>
      </c>
      <c r="AU219" s="49" t="s">
        <v>1692</v>
      </c>
      <c r="AV219" s="49"/>
      <c r="AW219" s="49" t="s">
        <v>1778</v>
      </c>
      <c r="AX219" s="49"/>
      <c r="AY219" s="49"/>
      <c r="AZ219" s="49"/>
      <c r="BA219" s="49"/>
      <c r="BB219" s="49" t="n">
        <v>81573506</v>
      </c>
      <c r="BC219" s="49" t="s">
        <v>134</v>
      </c>
      <c r="BD219" s="49" t="s">
        <v>135</v>
      </c>
      <c r="BE219" s="49" t="s">
        <v>136</v>
      </c>
      <c r="BF219" s="49" t="s">
        <v>137</v>
      </c>
      <c r="BG219" s="49"/>
      <c r="BH219" s="49" t="s">
        <v>194</v>
      </c>
      <c r="BI219" s="49" t="s">
        <v>140</v>
      </c>
      <c r="BJ219" s="49" t="s">
        <v>125</v>
      </c>
      <c r="BK219" s="49"/>
      <c r="BL219" s="49" t="s">
        <v>141</v>
      </c>
      <c r="BM219" s="49"/>
      <c r="BN219" s="49" t="s">
        <v>142</v>
      </c>
      <c r="BO219" s="49" t="s">
        <v>1779</v>
      </c>
    </row>
    <row r="220" ht="16.8" customHeight="1">
      <c r="A220" s="43" t="s">
        <v>25</v>
      </c>
      <c r="B220" s="49" t="n">
        <v>210</v>
      </c>
      <c r="C220" s="49" t="s">
        <v>103</v>
      </c>
      <c r="D220" s="49" t="s">
        <v>104</v>
      </c>
      <c r="E220" s="49" t="s">
        <v>1761</v>
      </c>
      <c r="F220" s="49" t="s">
        <v>1762</v>
      </c>
      <c r="G220" s="49" t="s">
        <v>341</v>
      </c>
      <c r="H220" s="49" t="s">
        <v>1763</v>
      </c>
      <c r="I220" s="153" t="s">
        <v>1764</v>
      </c>
      <c r="J220" s="49" t="s">
        <v>1765</v>
      </c>
      <c r="K220" s="49" t="s">
        <v>110</v>
      </c>
      <c r="L220" s="49" t="s">
        <v>505</v>
      </c>
      <c r="M220" s="49" t="s">
        <v>346</v>
      </c>
      <c r="N220" s="49" t="s">
        <v>1766</v>
      </c>
      <c r="O220" s="49" t="s">
        <v>125</v>
      </c>
      <c r="P220" s="49" t="s">
        <v>505</v>
      </c>
      <c r="Q220" s="49" t="s">
        <v>1767</v>
      </c>
      <c r="R220" s="49" t="s">
        <v>1768</v>
      </c>
      <c r="S220" s="49" t="s">
        <v>10</v>
      </c>
      <c r="T220" s="49" t="s">
        <v>1769</v>
      </c>
      <c r="U220" s="49" t="s">
        <v>178</v>
      </c>
      <c r="V220" s="49" t="s">
        <v>1770</v>
      </c>
      <c r="W220" s="49" t="s">
        <v>117</v>
      </c>
      <c r="X220" s="49" t="s">
        <v>118</v>
      </c>
      <c r="Y220" s="49" t="s">
        <v>206</v>
      </c>
      <c r="Z220" s="49" t="s">
        <v>392</v>
      </c>
      <c r="AA220" s="49" t="s">
        <v>1771</v>
      </c>
      <c r="AB220" s="49" t="s">
        <v>1772</v>
      </c>
      <c r="AC220" s="49" t="s">
        <v>1768</v>
      </c>
      <c r="AD220" s="49" t="n">
        <v>5414268</v>
      </c>
      <c r="AE220" s="49" t="s">
        <v>10</v>
      </c>
      <c r="AF220" s="49" t="s">
        <v>1773</v>
      </c>
      <c r="AG220" s="49" t="s">
        <v>10</v>
      </c>
      <c r="AH220" s="49" t="s">
        <v>1773</v>
      </c>
      <c r="AI220" s="49" t="s">
        <v>1793</v>
      </c>
      <c r="AJ220" s="49" t="s">
        <v>168</v>
      </c>
      <c r="AK220" s="49" t="s">
        <v>124</v>
      </c>
      <c r="AL220" s="49" t="s">
        <v>125</v>
      </c>
      <c r="AM220" s="51" t="n">
        <v>9000</v>
      </c>
      <c r="AN220" s="49"/>
      <c r="AO220" s="49" t="s">
        <v>125</v>
      </c>
      <c r="AP220" s="49" t="s">
        <v>187</v>
      </c>
      <c r="AQ220" s="49" t="s">
        <v>128</v>
      </c>
      <c r="AR220" s="49" t="s">
        <v>1062</v>
      </c>
      <c r="AS220" s="49" t="s">
        <v>1776</v>
      </c>
      <c r="AT220" s="49"/>
      <c r="AU220" s="49" t="s">
        <v>1692</v>
      </c>
      <c r="AV220" s="49"/>
      <c r="AW220" s="49" t="s">
        <v>1778</v>
      </c>
      <c r="AX220" s="49"/>
      <c r="AY220" s="49"/>
      <c r="AZ220" s="49"/>
      <c r="BA220" s="49"/>
      <c r="BB220" s="49" t="n">
        <v>81573506</v>
      </c>
      <c r="BC220" s="49" t="s">
        <v>134</v>
      </c>
      <c r="BD220" s="49" t="s">
        <v>135</v>
      </c>
      <c r="BE220" s="49" t="s">
        <v>136</v>
      </c>
      <c r="BF220" s="49" t="s">
        <v>137</v>
      </c>
      <c r="BG220" s="49"/>
      <c r="BH220" s="49" t="s">
        <v>194</v>
      </c>
      <c r="BI220" s="49" t="s">
        <v>140</v>
      </c>
      <c r="BJ220" s="49" t="s">
        <v>125</v>
      </c>
      <c r="BK220" s="49"/>
      <c r="BL220" s="49"/>
      <c r="BM220" s="49"/>
      <c r="BN220" s="49" t="s">
        <v>142</v>
      </c>
      <c r="BO220" s="49" t="s">
        <v>1779</v>
      </c>
    </row>
    <row r="221" ht="16.8" customHeight="1">
      <c r="A221" s="43" t="s">
        <v>25</v>
      </c>
      <c r="B221" s="49" t="n">
        <v>211</v>
      </c>
      <c r="C221" s="49" t="s">
        <v>103</v>
      </c>
      <c r="D221" s="49" t="s">
        <v>104</v>
      </c>
      <c r="E221" s="49" t="s">
        <v>1794</v>
      </c>
      <c r="F221" s="49" t="s">
        <v>1795</v>
      </c>
      <c r="G221" s="49" t="s">
        <v>1796</v>
      </c>
      <c r="H221" s="49" t="s">
        <v>1797</v>
      </c>
      <c r="I221" s="49"/>
      <c r="J221" s="49"/>
      <c r="K221" s="49" t="s">
        <v>239</v>
      </c>
      <c r="L221" s="49" t="s">
        <v>1157</v>
      </c>
      <c r="M221" s="49" t="s">
        <v>1036</v>
      </c>
      <c r="N221" s="49" t="s">
        <v>1798</v>
      </c>
      <c r="O221" s="49" t="s">
        <v>125</v>
      </c>
      <c r="P221" s="49" t="s">
        <v>1157</v>
      </c>
      <c r="Q221" s="49" t="s">
        <v>1799</v>
      </c>
      <c r="R221" s="49" t="s">
        <v>1800</v>
      </c>
      <c r="S221" s="49" t="s">
        <v>10</v>
      </c>
      <c r="T221" s="49" t="s">
        <v>1801</v>
      </c>
      <c r="U221" s="49" t="s">
        <v>178</v>
      </c>
      <c r="V221" s="49" t="s">
        <v>1802</v>
      </c>
      <c r="W221" s="49" t="s">
        <v>117</v>
      </c>
      <c r="X221" s="49" t="s">
        <v>1131</v>
      </c>
      <c r="Y221" s="49" t="s">
        <v>1803</v>
      </c>
      <c r="Z221" s="49" t="s">
        <v>1804</v>
      </c>
      <c r="AA221" s="49" t="s">
        <v>1805</v>
      </c>
      <c r="AB221" s="49" t="s">
        <v>1806</v>
      </c>
      <c r="AC221" s="49" t="s">
        <v>1800</v>
      </c>
      <c r="AD221" s="49" t="n">
        <v>5477435</v>
      </c>
      <c r="AE221" s="49" t="s">
        <v>10</v>
      </c>
      <c r="AF221" s="49" t="s">
        <v>1807</v>
      </c>
      <c r="AG221" s="49" t="s">
        <v>10</v>
      </c>
      <c r="AH221" s="49" t="s">
        <v>1808</v>
      </c>
      <c r="AI221" s="49" t="s">
        <v>1809</v>
      </c>
      <c r="AJ221" s="49" t="s">
        <v>894</v>
      </c>
      <c r="AK221" s="49" t="s">
        <v>124</v>
      </c>
      <c r="AL221" s="49" t="s">
        <v>125</v>
      </c>
      <c r="AM221" s="51" t="n">
        <v>5680</v>
      </c>
      <c r="AN221" s="49"/>
      <c r="AO221" s="49" t="s">
        <v>125</v>
      </c>
      <c r="AP221" s="49" t="s">
        <v>187</v>
      </c>
      <c r="AQ221" s="49" t="s">
        <v>128</v>
      </c>
      <c r="AR221" s="49" t="s">
        <v>1062</v>
      </c>
      <c r="AS221" s="49" t="s">
        <v>1810</v>
      </c>
      <c r="AT221" s="49" t="s">
        <v>1811</v>
      </c>
      <c r="AU221" s="49" t="s">
        <v>1812</v>
      </c>
      <c r="AV221" s="49"/>
      <c r="AW221" s="49" t="s">
        <v>1813</v>
      </c>
      <c r="AX221" s="49"/>
      <c r="AY221" s="49"/>
      <c r="AZ221" s="49"/>
      <c r="BA221" s="49"/>
      <c r="BB221" s="49" t="n">
        <v>41642085</v>
      </c>
      <c r="BC221" s="49" t="s">
        <v>134</v>
      </c>
      <c r="BD221" s="49" t="s">
        <v>655</v>
      </c>
      <c r="BE221" s="49" t="s">
        <v>894</v>
      </c>
      <c r="BF221" s="49" t="s">
        <v>125</v>
      </c>
      <c r="BG221" s="49"/>
      <c r="BH221" s="49" t="s">
        <v>194</v>
      </c>
      <c r="BI221" s="49" t="s">
        <v>140</v>
      </c>
      <c r="BJ221" s="49" t="s">
        <v>125</v>
      </c>
      <c r="BK221" s="49"/>
      <c r="BL221" s="49" t="s">
        <v>141</v>
      </c>
      <c r="BM221" s="49"/>
      <c r="BN221" s="49"/>
      <c r="BO221" s="49"/>
    </row>
    <row r="222" ht="16.8" customHeight="1">
      <c r="A222" s="43" t="s">
        <v>25</v>
      </c>
      <c r="B222" s="49" t="n">
        <v>212</v>
      </c>
      <c r="C222" s="49" t="s">
        <v>103</v>
      </c>
      <c r="D222" s="49" t="s">
        <v>104</v>
      </c>
      <c r="E222" s="49" t="s">
        <v>1814</v>
      </c>
      <c r="F222" s="49" t="s">
        <v>1815</v>
      </c>
      <c r="G222" s="49" t="s">
        <v>230</v>
      </c>
      <c r="H222" s="49" t="s">
        <v>1816</v>
      </c>
      <c r="I222" s="154" t="s">
        <v>1817</v>
      </c>
      <c r="J222" s="49" t="s">
        <v>233</v>
      </c>
      <c r="K222" s="49"/>
      <c r="L222" s="49" t="s">
        <v>10</v>
      </c>
      <c r="M222" s="49" t="s">
        <v>207</v>
      </c>
      <c r="N222" s="49" t="s">
        <v>234</v>
      </c>
      <c r="O222" s="49" t="s">
        <v>125</v>
      </c>
      <c r="P222" s="49"/>
      <c r="Q222" s="49"/>
      <c r="R222" s="49" t="s">
        <v>1818</v>
      </c>
      <c r="S222" s="49" t="s">
        <v>10</v>
      </c>
      <c r="T222" s="49" t="s">
        <v>1819</v>
      </c>
      <c r="U222" s="49" t="s">
        <v>178</v>
      </c>
      <c r="V222" s="49" t="s">
        <v>1820</v>
      </c>
      <c r="W222" s="49" t="s">
        <v>117</v>
      </c>
      <c r="X222" s="49" t="s">
        <v>180</v>
      </c>
      <c r="Y222" s="49" t="s">
        <v>174</v>
      </c>
      <c r="Z222" s="49" t="s">
        <v>1821</v>
      </c>
      <c r="AA222" s="49" t="s">
        <v>1822</v>
      </c>
      <c r="AB222" s="49" t="s">
        <v>1823</v>
      </c>
      <c r="AC222" s="49" t="s">
        <v>1818</v>
      </c>
      <c r="AD222" s="49" t="n">
        <v>5477390</v>
      </c>
      <c r="AE222" s="49" t="s">
        <v>10</v>
      </c>
      <c r="AF222" s="49" t="s">
        <v>1824</v>
      </c>
      <c r="AG222" s="49" t="s">
        <v>10</v>
      </c>
      <c r="AH222" s="49" t="s">
        <v>1824</v>
      </c>
      <c r="AI222" s="49" t="s">
        <v>1089</v>
      </c>
      <c r="AJ222" s="49" t="s">
        <v>1090</v>
      </c>
      <c r="AK222" s="49" t="s">
        <v>124</v>
      </c>
      <c r="AL222" s="49" t="s">
        <v>125</v>
      </c>
      <c r="AM222" s="51" t="n">
        <v>6205.7</v>
      </c>
      <c r="AN222" s="49"/>
      <c r="AO222" s="49" t="s">
        <v>125</v>
      </c>
      <c r="AP222" s="49" t="s">
        <v>187</v>
      </c>
      <c r="AQ222" s="49" t="s">
        <v>128</v>
      </c>
      <c r="AR222" s="49" t="s">
        <v>971</v>
      </c>
      <c r="AS222" s="49" t="s">
        <v>1825</v>
      </c>
      <c r="AT222" s="49" t="s">
        <v>1826</v>
      </c>
      <c r="AU222" s="49" t="s">
        <v>1812</v>
      </c>
      <c r="AV222" s="49"/>
      <c r="AW222" s="49" t="s">
        <v>1827</v>
      </c>
      <c r="AX222" s="49"/>
      <c r="AY222" s="49"/>
      <c r="AZ222" s="49"/>
      <c r="BA222" s="49"/>
      <c r="BB222" s="49" t="n">
        <v>81544367</v>
      </c>
      <c r="BC222" s="49" t="s">
        <v>134</v>
      </c>
      <c r="BD222" s="49" t="s">
        <v>191</v>
      </c>
      <c r="BE222" s="49" t="s">
        <v>192</v>
      </c>
      <c r="BF222" s="49" t="s">
        <v>402</v>
      </c>
      <c r="BG222" s="49" t="s">
        <v>138</v>
      </c>
      <c r="BH222" s="49" t="s">
        <v>139</v>
      </c>
      <c r="BI222" s="49" t="s">
        <v>140</v>
      </c>
      <c r="BJ222" s="49" t="s">
        <v>125</v>
      </c>
      <c r="BK222" s="49"/>
      <c r="BL222" s="49" t="s">
        <v>141</v>
      </c>
      <c r="BM222" s="49"/>
      <c r="BN222" s="49" t="s">
        <v>142</v>
      </c>
      <c r="BO222" s="49" t="s">
        <v>208</v>
      </c>
    </row>
    <row r="223" ht="16.8" customHeight="1">
      <c r="A223" s="43" t="s">
        <v>25</v>
      </c>
      <c r="B223" s="49" t="n">
        <v>213</v>
      </c>
      <c r="C223" s="49" t="s">
        <v>103</v>
      </c>
      <c r="D223" s="49" t="s">
        <v>104</v>
      </c>
      <c r="E223" s="49" t="s">
        <v>1814</v>
      </c>
      <c r="F223" s="49" t="s">
        <v>1815</v>
      </c>
      <c r="G223" s="49" t="s">
        <v>230</v>
      </c>
      <c r="H223" s="49" t="s">
        <v>1816</v>
      </c>
      <c r="I223" s="155" t="s">
        <v>1817</v>
      </c>
      <c r="J223" s="49" t="s">
        <v>233</v>
      </c>
      <c r="K223" s="49"/>
      <c r="L223" s="49" t="s">
        <v>10</v>
      </c>
      <c r="M223" s="49" t="s">
        <v>207</v>
      </c>
      <c r="N223" s="49" t="s">
        <v>234</v>
      </c>
      <c r="O223" s="49" t="s">
        <v>125</v>
      </c>
      <c r="P223" s="49"/>
      <c r="Q223" s="49"/>
      <c r="R223" s="49" t="s">
        <v>1818</v>
      </c>
      <c r="S223" s="49" t="s">
        <v>10</v>
      </c>
      <c r="T223" s="49" t="s">
        <v>1819</v>
      </c>
      <c r="U223" s="49" t="s">
        <v>178</v>
      </c>
      <c r="V223" s="49" t="s">
        <v>1820</v>
      </c>
      <c r="W223" s="49" t="s">
        <v>117</v>
      </c>
      <c r="X223" s="49" t="s">
        <v>180</v>
      </c>
      <c r="Y223" s="49" t="s">
        <v>174</v>
      </c>
      <c r="Z223" s="49" t="s">
        <v>1821</v>
      </c>
      <c r="AA223" s="49" t="s">
        <v>1822</v>
      </c>
      <c r="AB223" s="49" t="s">
        <v>1823</v>
      </c>
      <c r="AC223" s="49" t="s">
        <v>1818</v>
      </c>
      <c r="AD223" s="49" t="n">
        <v>5477390</v>
      </c>
      <c r="AE223" s="49" t="s">
        <v>10</v>
      </c>
      <c r="AF223" s="49" t="s">
        <v>1824</v>
      </c>
      <c r="AG223" s="49" t="s">
        <v>10</v>
      </c>
      <c r="AH223" s="49" t="s">
        <v>1824</v>
      </c>
      <c r="AI223" s="49" t="s">
        <v>1099</v>
      </c>
      <c r="AJ223" s="49" t="s">
        <v>1100</v>
      </c>
      <c r="AK223" s="49" t="s">
        <v>124</v>
      </c>
      <c r="AL223" s="49" t="s">
        <v>125</v>
      </c>
      <c r="AM223" s="51" t="n">
        <v>3194.3</v>
      </c>
      <c r="AN223" s="49"/>
      <c r="AO223" s="49" t="s">
        <v>125</v>
      </c>
      <c r="AP223" s="49" t="s">
        <v>187</v>
      </c>
      <c r="AQ223" s="49" t="s">
        <v>128</v>
      </c>
      <c r="AR223" s="49" t="s">
        <v>971</v>
      </c>
      <c r="AS223" s="49" t="s">
        <v>1825</v>
      </c>
      <c r="AT223" s="49" t="s">
        <v>1828</v>
      </c>
      <c r="AU223" s="49" t="s">
        <v>1812</v>
      </c>
      <c r="AV223" s="49"/>
      <c r="AW223" s="49" t="s">
        <v>1827</v>
      </c>
      <c r="AX223" s="49"/>
      <c r="AY223" s="49"/>
      <c r="AZ223" s="49"/>
      <c r="BA223" s="49"/>
      <c r="BB223" s="49" t="n">
        <v>81544367</v>
      </c>
      <c r="BC223" s="49" t="s">
        <v>134</v>
      </c>
      <c r="BD223" s="49" t="s">
        <v>191</v>
      </c>
      <c r="BE223" s="49" t="s">
        <v>192</v>
      </c>
      <c r="BF223" s="49" t="s">
        <v>402</v>
      </c>
      <c r="BG223" s="49" t="s">
        <v>138</v>
      </c>
      <c r="BH223" s="49" t="s">
        <v>139</v>
      </c>
      <c r="BI223" s="49" t="s">
        <v>140</v>
      </c>
      <c r="BJ223" s="49" t="s">
        <v>125</v>
      </c>
      <c r="BK223" s="49"/>
      <c r="BL223" s="49" t="s">
        <v>141</v>
      </c>
      <c r="BM223" s="49"/>
      <c r="BN223" s="49" t="s">
        <v>142</v>
      </c>
      <c r="BO223" s="49" t="s">
        <v>208</v>
      </c>
    </row>
    <row r="224" ht="16.8" customHeight="1">
      <c r="A224" s="43" t="s">
        <v>25</v>
      </c>
      <c r="B224" s="49" t="n">
        <v>214</v>
      </c>
      <c r="C224" s="49" t="s">
        <v>103</v>
      </c>
      <c r="D224" s="49" t="s">
        <v>104</v>
      </c>
      <c r="E224" s="49" t="s">
        <v>1814</v>
      </c>
      <c r="F224" s="49" t="s">
        <v>1815</v>
      </c>
      <c r="G224" s="49" t="s">
        <v>230</v>
      </c>
      <c r="H224" s="49" t="s">
        <v>1816</v>
      </c>
      <c r="I224" s="156" t="s">
        <v>1817</v>
      </c>
      <c r="J224" s="49" t="s">
        <v>233</v>
      </c>
      <c r="K224" s="49"/>
      <c r="L224" s="49" t="s">
        <v>10</v>
      </c>
      <c r="M224" s="49" t="s">
        <v>207</v>
      </c>
      <c r="N224" s="49" t="s">
        <v>234</v>
      </c>
      <c r="O224" s="49" t="s">
        <v>125</v>
      </c>
      <c r="P224" s="49"/>
      <c r="Q224" s="49"/>
      <c r="R224" s="49" t="s">
        <v>1818</v>
      </c>
      <c r="S224" s="49" t="s">
        <v>10</v>
      </c>
      <c r="T224" s="49" t="s">
        <v>1819</v>
      </c>
      <c r="U224" s="49" t="s">
        <v>178</v>
      </c>
      <c r="V224" s="49" t="s">
        <v>1820</v>
      </c>
      <c r="W224" s="49" t="s">
        <v>117</v>
      </c>
      <c r="X224" s="49" t="s">
        <v>180</v>
      </c>
      <c r="Y224" s="49" t="s">
        <v>174</v>
      </c>
      <c r="Z224" s="49" t="s">
        <v>1821</v>
      </c>
      <c r="AA224" s="49" t="s">
        <v>1822</v>
      </c>
      <c r="AB224" s="49" t="s">
        <v>1823</v>
      </c>
      <c r="AC224" s="49" t="s">
        <v>1818</v>
      </c>
      <c r="AD224" s="49" t="n">
        <v>5477390</v>
      </c>
      <c r="AE224" s="49" t="s">
        <v>10</v>
      </c>
      <c r="AF224" s="49" t="s">
        <v>1824</v>
      </c>
      <c r="AG224" s="49" t="s">
        <v>10</v>
      </c>
      <c r="AH224" s="49" t="s">
        <v>1824</v>
      </c>
      <c r="AI224" s="49" t="s">
        <v>912</v>
      </c>
      <c r="AJ224" s="49" t="s">
        <v>913</v>
      </c>
      <c r="AK224" s="49" t="s">
        <v>124</v>
      </c>
      <c r="AL224" s="49" t="s">
        <v>125</v>
      </c>
      <c r="AM224" s="51" t="n">
        <v>5445</v>
      </c>
      <c r="AN224" s="49"/>
      <c r="AO224" s="49" t="s">
        <v>125</v>
      </c>
      <c r="AP224" s="49" t="s">
        <v>187</v>
      </c>
      <c r="AQ224" s="49" t="s">
        <v>128</v>
      </c>
      <c r="AR224" s="49" t="s">
        <v>971</v>
      </c>
      <c r="AS224" s="49" t="s">
        <v>1825</v>
      </c>
      <c r="AT224" s="49" t="s">
        <v>1829</v>
      </c>
      <c r="AU224" s="49" t="s">
        <v>1812</v>
      </c>
      <c r="AV224" s="49"/>
      <c r="AW224" s="49" t="s">
        <v>1827</v>
      </c>
      <c r="AX224" s="49"/>
      <c r="AY224" s="49"/>
      <c r="AZ224" s="49"/>
      <c r="BA224" s="49"/>
      <c r="BB224" s="49" t="n">
        <v>81544367</v>
      </c>
      <c r="BC224" s="49" t="s">
        <v>134</v>
      </c>
      <c r="BD224" s="49" t="s">
        <v>191</v>
      </c>
      <c r="BE224" s="49" t="s">
        <v>192</v>
      </c>
      <c r="BF224" s="49" t="s">
        <v>402</v>
      </c>
      <c r="BG224" s="49" t="s">
        <v>138</v>
      </c>
      <c r="BH224" s="49" t="s">
        <v>139</v>
      </c>
      <c r="BI224" s="49" t="s">
        <v>140</v>
      </c>
      <c r="BJ224" s="49" t="s">
        <v>125</v>
      </c>
      <c r="BK224" s="49"/>
      <c r="BL224" s="49" t="s">
        <v>141</v>
      </c>
      <c r="BM224" s="49"/>
      <c r="BN224" s="49" t="s">
        <v>142</v>
      </c>
      <c r="BO224" s="49" t="s">
        <v>208</v>
      </c>
    </row>
    <row r="225" ht="16.8" customHeight="1">
      <c r="A225" s="43" t="s">
        <v>25</v>
      </c>
      <c r="B225" s="49" t="n">
        <v>215</v>
      </c>
      <c r="C225" s="49" t="s">
        <v>103</v>
      </c>
      <c r="D225" s="49" t="s">
        <v>104</v>
      </c>
      <c r="E225" s="49" t="s">
        <v>1814</v>
      </c>
      <c r="F225" s="49" t="s">
        <v>1815</v>
      </c>
      <c r="G225" s="49" t="s">
        <v>230</v>
      </c>
      <c r="H225" s="49" t="s">
        <v>1816</v>
      </c>
      <c r="I225" s="157" t="s">
        <v>1817</v>
      </c>
      <c r="J225" s="49" t="s">
        <v>233</v>
      </c>
      <c r="K225" s="49"/>
      <c r="L225" s="49" t="s">
        <v>10</v>
      </c>
      <c r="M225" s="49" t="s">
        <v>207</v>
      </c>
      <c r="N225" s="49" t="s">
        <v>234</v>
      </c>
      <c r="O225" s="49" t="s">
        <v>125</v>
      </c>
      <c r="P225" s="49"/>
      <c r="Q225" s="49"/>
      <c r="R225" s="49" t="s">
        <v>1818</v>
      </c>
      <c r="S225" s="49" t="s">
        <v>10</v>
      </c>
      <c r="T225" s="49" t="s">
        <v>1819</v>
      </c>
      <c r="U225" s="49" t="s">
        <v>178</v>
      </c>
      <c r="V225" s="49" t="s">
        <v>1820</v>
      </c>
      <c r="W225" s="49" t="s">
        <v>117</v>
      </c>
      <c r="X225" s="49" t="s">
        <v>180</v>
      </c>
      <c r="Y225" s="49" t="s">
        <v>174</v>
      </c>
      <c r="Z225" s="49" t="s">
        <v>1821</v>
      </c>
      <c r="AA225" s="49" t="s">
        <v>1822</v>
      </c>
      <c r="AB225" s="49" t="s">
        <v>1823</v>
      </c>
      <c r="AC225" s="49" t="s">
        <v>1818</v>
      </c>
      <c r="AD225" s="49" t="n">
        <v>5477390</v>
      </c>
      <c r="AE225" s="49" t="s">
        <v>10</v>
      </c>
      <c r="AF225" s="49" t="s">
        <v>1824</v>
      </c>
      <c r="AG225" s="49" t="s">
        <v>10</v>
      </c>
      <c r="AH225" s="49" t="s">
        <v>1824</v>
      </c>
      <c r="AI225" s="49" t="s">
        <v>919</v>
      </c>
      <c r="AJ225" s="49" t="s">
        <v>920</v>
      </c>
      <c r="AK225" s="49" t="s">
        <v>124</v>
      </c>
      <c r="AL225" s="49" t="s">
        <v>125</v>
      </c>
      <c r="AM225" s="51" t="n">
        <v>4455</v>
      </c>
      <c r="AN225" s="49"/>
      <c r="AO225" s="49" t="s">
        <v>125</v>
      </c>
      <c r="AP225" s="49" t="s">
        <v>187</v>
      </c>
      <c r="AQ225" s="49" t="s">
        <v>128</v>
      </c>
      <c r="AR225" s="49" t="s">
        <v>971</v>
      </c>
      <c r="AS225" s="49" t="s">
        <v>1825</v>
      </c>
      <c r="AT225" s="49" t="s">
        <v>1830</v>
      </c>
      <c r="AU225" s="49" t="s">
        <v>1812</v>
      </c>
      <c r="AV225" s="49"/>
      <c r="AW225" s="49" t="s">
        <v>1827</v>
      </c>
      <c r="AX225" s="49"/>
      <c r="AY225" s="49"/>
      <c r="AZ225" s="49"/>
      <c r="BA225" s="49"/>
      <c r="BB225" s="49" t="n">
        <v>81544367</v>
      </c>
      <c r="BC225" s="49" t="s">
        <v>134</v>
      </c>
      <c r="BD225" s="49" t="s">
        <v>191</v>
      </c>
      <c r="BE225" s="49" t="s">
        <v>192</v>
      </c>
      <c r="BF225" s="49" t="s">
        <v>402</v>
      </c>
      <c r="BG225" s="49" t="s">
        <v>138</v>
      </c>
      <c r="BH225" s="49" t="s">
        <v>139</v>
      </c>
      <c r="BI225" s="49" t="s">
        <v>140</v>
      </c>
      <c r="BJ225" s="49" t="s">
        <v>125</v>
      </c>
      <c r="BK225" s="49"/>
      <c r="BL225" s="49" t="s">
        <v>141</v>
      </c>
      <c r="BM225" s="49"/>
      <c r="BN225" s="49" t="s">
        <v>142</v>
      </c>
      <c r="BO225" s="49" t="s">
        <v>208</v>
      </c>
    </row>
    <row r="226" ht="16.8" customHeight="1">
      <c r="A226" s="43" t="s">
        <v>25</v>
      </c>
      <c r="B226" s="49" t="n">
        <v>216</v>
      </c>
      <c r="C226" s="49" t="s">
        <v>103</v>
      </c>
      <c r="D226" s="49" t="s">
        <v>104</v>
      </c>
      <c r="E226" s="49" t="s">
        <v>1831</v>
      </c>
      <c r="F226" s="49" t="s">
        <v>1832</v>
      </c>
      <c r="G226" s="49" t="s">
        <v>1613</v>
      </c>
      <c r="H226" s="49" t="s">
        <v>1833</v>
      </c>
      <c r="I226" s="49" t="s">
        <v>1834</v>
      </c>
      <c r="J226" s="49"/>
      <c r="K226" s="49" t="s">
        <v>206</v>
      </c>
      <c r="L226" s="49" t="s">
        <v>1835</v>
      </c>
      <c r="M226" s="49" t="s">
        <v>111</v>
      </c>
      <c r="N226" s="49" t="s">
        <v>112</v>
      </c>
      <c r="O226" s="49" t="s">
        <v>1616</v>
      </c>
      <c r="P226" s="49"/>
      <c r="Q226" s="49"/>
      <c r="R226" s="49" t="s">
        <v>1831</v>
      </c>
      <c r="S226" s="49" t="s">
        <v>1835</v>
      </c>
      <c r="T226" s="49" t="s">
        <v>1836</v>
      </c>
      <c r="U226" s="49" t="s">
        <v>115</v>
      </c>
      <c r="V226" s="49" t="s">
        <v>1837</v>
      </c>
      <c r="W226" s="49" t="s">
        <v>117</v>
      </c>
      <c r="X226" s="49" t="s">
        <v>391</v>
      </c>
      <c r="Y226" s="49" t="s">
        <v>206</v>
      </c>
      <c r="Z226" s="49" t="s">
        <v>1838</v>
      </c>
      <c r="AA226" s="49" t="s">
        <v>1839</v>
      </c>
      <c r="AB226" s="49" t="s">
        <v>1840</v>
      </c>
      <c r="AC226" s="49" t="s">
        <v>1831</v>
      </c>
      <c r="AD226" s="49" t="n">
        <v>5477068</v>
      </c>
      <c r="AE226" s="49" t="s">
        <v>14</v>
      </c>
      <c r="AF226" s="49" t="s">
        <v>1841</v>
      </c>
      <c r="AG226" s="49" t="s">
        <v>1835</v>
      </c>
      <c r="AH226" s="49" t="s">
        <v>1842</v>
      </c>
      <c r="AI226" s="49"/>
      <c r="AJ226" s="49"/>
      <c r="AK226" s="49" t="s">
        <v>124</v>
      </c>
      <c r="AL226" s="49" t="s">
        <v>125</v>
      </c>
      <c r="AM226" s="51" t="n">
        <v>45900</v>
      </c>
      <c r="AN226" s="49"/>
      <c r="AO226" s="49" t="s">
        <v>1613</v>
      </c>
      <c r="AP226" s="49" t="s">
        <v>220</v>
      </c>
      <c r="AQ226" s="49" t="s">
        <v>128</v>
      </c>
      <c r="AR226" s="49"/>
      <c r="AS226" s="49" t="s">
        <v>1843</v>
      </c>
      <c r="AT226" s="49"/>
      <c r="AU226" s="49"/>
      <c r="AV226" s="49"/>
      <c r="AW226" s="49" t="s">
        <v>1844</v>
      </c>
      <c r="AX226" s="49"/>
      <c r="AY226" s="49"/>
      <c r="AZ226" s="49"/>
      <c r="BA226" s="49"/>
      <c r="BB226" s="49" t="n">
        <v>53338111</v>
      </c>
      <c r="BC226" s="49" t="s">
        <v>134</v>
      </c>
      <c r="BD226" s="49" t="s">
        <v>191</v>
      </c>
      <c r="BE226" s="49" t="s">
        <v>401</v>
      </c>
      <c r="BF226" s="49" t="s">
        <v>225</v>
      </c>
      <c r="BG226" s="49" t="s">
        <v>138</v>
      </c>
      <c r="BH226" s="49" t="s">
        <v>194</v>
      </c>
      <c r="BI226" s="49" t="s">
        <v>134</v>
      </c>
      <c r="BJ226" s="49" t="s">
        <v>125</v>
      </c>
      <c r="BK226" s="49"/>
      <c r="BL226" s="49"/>
      <c r="BM226" s="49"/>
      <c r="BN226" s="49" t="s">
        <v>142</v>
      </c>
      <c r="BO226" s="49" t="s">
        <v>112</v>
      </c>
    </row>
    <row r="227" ht="16.8" customHeight="1">
      <c r="A227" s="43" t="s">
        <v>25</v>
      </c>
      <c r="B227" s="49" t="n">
        <v>217</v>
      </c>
      <c r="C227" s="49" t="s">
        <v>103</v>
      </c>
      <c r="D227" s="49" t="s">
        <v>104</v>
      </c>
      <c r="E227" s="49" t="s">
        <v>1845</v>
      </c>
      <c r="F227" s="49" t="s">
        <v>1846</v>
      </c>
      <c r="G227" s="49" t="s">
        <v>1847</v>
      </c>
      <c r="H227" s="49" t="s">
        <v>1848</v>
      </c>
      <c r="I227" s="49" t="s">
        <v>1849</v>
      </c>
      <c r="J227" s="49"/>
      <c r="K227" s="49" t="s">
        <v>250</v>
      </c>
      <c r="L227" s="49" t="s">
        <v>14</v>
      </c>
      <c r="M227" s="49" t="s">
        <v>407</v>
      </c>
      <c r="N227" s="49" t="s">
        <v>1850</v>
      </c>
      <c r="O227" s="49" t="s">
        <v>125</v>
      </c>
      <c r="P227" s="49"/>
      <c r="Q227" s="49"/>
      <c r="R227" s="49" t="s">
        <v>1851</v>
      </c>
      <c r="S227" s="49" t="s">
        <v>14</v>
      </c>
      <c r="T227" s="49" t="s">
        <v>1852</v>
      </c>
      <c r="U227" s="49" t="s">
        <v>178</v>
      </c>
      <c r="V227" s="49" t="s">
        <v>1853</v>
      </c>
      <c r="W227" s="49" t="s">
        <v>117</v>
      </c>
      <c r="X227" s="49" t="s">
        <v>118</v>
      </c>
      <c r="Y227" s="49" t="s">
        <v>214</v>
      </c>
      <c r="Z227" s="49" t="s">
        <v>259</v>
      </c>
      <c r="AA227" s="49" t="s">
        <v>749</v>
      </c>
      <c r="AB227" s="49" t="s">
        <v>497</v>
      </c>
      <c r="AC227" s="49" t="s">
        <v>1851</v>
      </c>
      <c r="AD227" s="49" t="n">
        <v>5477021</v>
      </c>
      <c r="AE227" s="49" t="s">
        <v>14</v>
      </c>
      <c r="AF227" s="49" t="s">
        <v>1854</v>
      </c>
      <c r="AG227" s="49" t="s">
        <v>14</v>
      </c>
      <c r="AH227" s="49" t="s">
        <v>1855</v>
      </c>
      <c r="AI227" s="49" t="s">
        <v>1856</v>
      </c>
      <c r="AJ227" s="49" t="s">
        <v>1857</v>
      </c>
      <c r="AK227" s="49" t="s">
        <v>124</v>
      </c>
      <c r="AL227" s="49" t="s">
        <v>125</v>
      </c>
      <c r="AM227" s="51" t="n">
        <v>3700</v>
      </c>
      <c r="AN227" s="49"/>
      <c r="AO227" s="49" t="s">
        <v>125</v>
      </c>
      <c r="AP227" s="49" t="s">
        <v>187</v>
      </c>
      <c r="AQ227" s="49" t="s">
        <v>128</v>
      </c>
      <c r="AR227" s="49" t="s">
        <v>971</v>
      </c>
      <c r="AS227" s="49" t="s">
        <v>1858</v>
      </c>
      <c r="AT227" s="49" t="s">
        <v>1859</v>
      </c>
      <c r="AU227" s="49" t="s">
        <v>1812</v>
      </c>
      <c r="AV227" s="49"/>
      <c r="AW227" s="158" t="s">
        <v>1860</v>
      </c>
      <c r="AX227" s="49"/>
      <c r="AY227" s="49"/>
      <c r="AZ227" s="49"/>
      <c r="BA227" s="49"/>
      <c r="BB227" s="49" t="n">
        <v>81486494</v>
      </c>
      <c r="BC227" s="49" t="s">
        <v>134</v>
      </c>
      <c r="BD227" s="49" t="s">
        <v>191</v>
      </c>
      <c r="BE227" s="49" t="s">
        <v>136</v>
      </c>
      <c r="BF227" s="49" t="s">
        <v>137</v>
      </c>
      <c r="BG227" s="49" t="s">
        <v>138</v>
      </c>
      <c r="BH227" s="49" t="s">
        <v>194</v>
      </c>
      <c r="BI227" s="49" t="s">
        <v>140</v>
      </c>
      <c r="BJ227" s="49" t="s">
        <v>125</v>
      </c>
      <c r="BK227" s="49"/>
      <c r="BL227" s="49" t="s">
        <v>141</v>
      </c>
      <c r="BM227" s="49" t="n">
        <v>110528217</v>
      </c>
      <c r="BN227" s="49"/>
      <c r="BO227" s="49" t="s">
        <v>338</v>
      </c>
    </row>
    <row r="228" ht="16.8" customHeight="1">
      <c r="A228" s="43" t="s">
        <v>25</v>
      </c>
      <c r="B228" s="49" t="n">
        <v>218</v>
      </c>
      <c r="C228" s="49" t="s">
        <v>103</v>
      </c>
      <c r="D228" s="49" t="s">
        <v>104</v>
      </c>
      <c r="E228" s="49" t="s">
        <v>1845</v>
      </c>
      <c r="F228" s="49" t="s">
        <v>1846</v>
      </c>
      <c r="G228" s="49" t="s">
        <v>1847</v>
      </c>
      <c r="H228" s="49" t="s">
        <v>1848</v>
      </c>
      <c r="I228" s="49" t="s">
        <v>1849</v>
      </c>
      <c r="J228" s="49"/>
      <c r="K228" s="49" t="s">
        <v>250</v>
      </c>
      <c r="L228" s="49" t="s">
        <v>14</v>
      </c>
      <c r="M228" s="49" t="s">
        <v>407</v>
      </c>
      <c r="N228" s="49" t="s">
        <v>1850</v>
      </c>
      <c r="O228" s="49" t="s">
        <v>125</v>
      </c>
      <c r="P228" s="49"/>
      <c r="Q228" s="49"/>
      <c r="R228" s="49" t="s">
        <v>1851</v>
      </c>
      <c r="S228" s="49" t="s">
        <v>14</v>
      </c>
      <c r="T228" s="49" t="s">
        <v>1852</v>
      </c>
      <c r="U228" s="49" t="s">
        <v>178</v>
      </c>
      <c r="V228" s="49" t="s">
        <v>1853</v>
      </c>
      <c r="W228" s="49" t="s">
        <v>117</v>
      </c>
      <c r="X228" s="49" t="s">
        <v>118</v>
      </c>
      <c r="Y228" s="49" t="s">
        <v>214</v>
      </c>
      <c r="Z228" s="49" t="s">
        <v>259</v>
      </c>
      <c r="AA228" s="49" t="s">
        <v>749</v>
      </c>
      <c r="AB228" s="49" t="s">
        <v>497</v>
      </c>
      <c r="AC228" s="49" t="s">
        <v>1851</v>
      </c>
      <c r="AD228" s="49" t="n">
        <v>5477021</v>
      </c>
      <c r="AE228" s="49" t="s">
        <v>14</v>
      </c>
      <c r="AF228" s="49" t="s">
        <v>1854</v>
      </c>
      <c r="AG228" s="49" t="s">
        <v>14</v>
      </c>
      <c r="AH228" s="49" t="s">
        <v>1855</v>
      </c>
      <c r="AI228" s="49" t="s">
        <v>1861</v>
      </c>
      <c r="AJ228" s="49" t="s">
        <v>1862</v>
      </c>
      <c r="AK228" s="49" t="s">
        <v>124</v>
      </c>
      <c r="AL228" s="49" t="s">
        <v>125</v>
      </c>
      <c r="AM228" s="51" t="n">
        <v>5800</v>
      </c>
      <c r="AN228" s="49"/>
      <c r="AO228" s="49" t="s">
        <v>125</v>
      </c>
      <c r="AP228" s="49" t="s">
        <v>187</v>
      </c>
      <c r="AQ228" s="49" t="s">
        <v>128</v>
      </c>
      <c r="AR228" s="49" t="s">
        <v>971</v>
      </c>
      <c r="AS228" s="49" t="s">
        <v>1858</v>
      </c>
      <c r="AT228" s="49" t="s">
        <v>1863</v>
      </c>
      <c r="AU228" s="49" t="s">
        <v>1812</v>
      </c>
      <c r="AV228" s="49"/>
      <c r="AW228" s="159" t="s">
        <v>1860</v>
      </c>
      <c r="AX228" s="49"/>
      <c r="AY228" s="49"/>
      <c r="AZ228" s="49"/>
      <c r="BA228" s="49"/>
      <c r="BB228" s="49" t="n">
        <v>81486494</v>
      </c>
      <c r="BC228" s="49" t="s">
        <v>134</v>
      </c>
      <c r="BD228" s="49" t="s">
        <v>191</v>
      </c>
      <c r="BE228" s="49" t="s">
        <v>136</v>
      </c>
      <c r="BF228" s="49" t="s">
        <v>137</v>
      </c>
      <c r="BG228" s="49" t="s">
        <v>138</v>
      </c>
      <c r="BH228" s="49" t="s">
        <v>194</v>
      </c>
      <c r="BI228" s="49" t="s">
        <v>140</v>
      </c>
      <c r="BJ228" s="49" t="s">
        <v>125</v>
      </c>
      <c r="BK228" s="49"/>
      <c r="BL228" s="49" t="s">
        <v>141</v>
      </c>
      <c r="BM228" s="49" t="n">
        <v>110528217</v>
      </c>
      <c r="BN228" s="49"/>
      <c r="BO228" s="49" t="s">
        <v>338</v>
      </c>
    </row>
    <row r="229" ht="16.8" customHeight="1">
      <c r="A229" s="43" t="s">
        <v>25</v>
      </c>
      <c r="B229" s="49" t="n">
        <v>219</v>
      </c>
      <c r="C229" s="49" t="s">
        <v>103</v>
      </c>
      <c r="D229" s="49" t="s">
        <v>104</v>
      </c>
      <c r="E229" s="49" t="s">
        <v>1845</v>
      </c>
      <c r="F229" s="49" t="s">
        <v>1846</v>
      </c>
      <c r="G229" s="49" t="s">
        <v>1847</v>
      </c>
      <c r="H229" s="49" t="s">
        <v>1848</v>
      </c>
      <c r="I229" s="49" t="s">
        <v>1849</v>
      </c>
      <c r="J229" s="49"/>
      <c r="K229" s="49" t="s">
        <v>250</v>
      </c>
      <c r="L229" s="49" t="s">
        <v>14</v>
      </c>
      <c r="M229" s="49" t="s">
        <v>407</v>
      </c>
      <c r="N229" s="49" t="s">
        <v>1850</v>
      </c>
      <c r="O229" s="49" t="s">
        <v>125</v>
      </c>
      <c r="P229" s="49"/>
      <c r="Q229" s="49"/>
      <c r="R229" s="49" t="s">
        <v>1851</v>
      </c>
      <c r="S229" s="49" t="s">
        <v>14</v>
      </c>
      <c r="T229" s="49" t="s">
        <v>1852</v>
      </c>
      <c r="U229" s="49" t="s">
        <v>178</v>
      </c>
      <c r="V229" s="49" t="s">
        <v>1853</v>
      </c>
      <c r="W229" s="49" t="s">
        <v>117</v>
      </c>
      <c r="X229" s="49" t="s">
        <v>118</v>
      </c>
      <c r="Y229" s="49" t="s">
        <v>214</v>
      </c>
      <c r="Z229" s="49" t="s">
        <v>259</v>
      </c>
      <c r="AA229" s="49" t="s">
        <v>749</v>
      </c>
      <c r="AB229" s="49" t="s">
        <v>497</v>
      </c>
      <c r="AC229" s="49" t="s">
        <v>1851</v>
      </c>
      <c r="AD229" s="49" t="n">
        <v>5477021</v>
      </c>
      <c r="AE229" s="49" t="s">
        <v>14</v>
      </c>
      <c r="AF229" s="49" t="s">
        <v>1854</v>
      </c>
      <c r="AG229" s="49" t="s">
        <v>14</v>
      </c>
      <c r="AH229" s="49" t="s">
        <v>1855</v>
      </c>
      <c r="AI229" s="49" t="s">
        <v>1864</v>
      </c>
      <c r="AJ229" s="49" t="s">
        <v>1865</v>
      </c>
      <c r="AK229" s="49" t="s">
        <v>124</v>
      </c>
      <c r="AL229" s="49" t="s">
        <v>125</v>
      </c>
      <c r="AM229" s="51" t="n">
        <v>8800</v>
      </c>
      <c r="AN229" s="49"/>
      <c r="AO229" s="49" t="s">
        <v>125</v>
      </c>
      <c r="AP229" s="49" t="s">
        <v>187</v>
      </c>
      <c r="AQ229" s="49" t="s">
        <v>128</v>
      </c>
      <c r="AR229" s="49" t="s">
        <v>971</v>
      </c>
      <c r="AS229" s="49" t="s">
        <v>1858</v>
      </c>
      <c r="AT229" s="49" t="s">
        <v>1866</v>
      </c>
      <c r="AU229" s="49" t="s">
        <v>1812</v>
      </c>
      <c r="AV229" s="49"/>
      <c r="AW229" s="160" t="s">
        <v>1860</v>
      </c>
      <c r="AX229" s="49"/>
      <c r="AY229" s="49"/>
      <c r="AZ229" s="49"/>
      <c r="BA229" s="49"/>
      <c r="BB229" s="49" t="n">
        <v>81486494</v>
      </c>
      <c r="BC229" s="49" t="s">
        <v>134</v>
      </c>
      <c r="BD229" s="49" t="s">
        <v>191</v>
      </c>
      <c r="BE229" s="49" t="s">
        <v>136</v>
      </c>
      <c r="BF229" s="49" t="s">
        <v>137</v>
      </c>
      <c r="BG229" s="49" t="s">
        <v>138</v>
      </c>
      <c r="BH229" s="49" t="s">
        <v>194</v>
      </c>
      <c r="BI229" s="49" t="s">
        <v>140</v>
      </c>
      <c r="BJ229" s="49" t="s">
        <v>125</v>
      </c>
      <c r="BK229" s="49"/>
      <c r="BL229" s="49" t="s">
        <v>141</v>
      </c>
      <c r="BM229" s="49" t="n">
        <v>110528217</v>
      </c>
      <c r="BN229" s="49"/>
      <c r="BO229" s="49" t="s">
        <v>338</v>
      </c>
    </row>
    <row r="230" ht="16.8" customHeight="1">
      <c r="A230" s="43" t="s">
        <v>38</v>
      </c>
      <c r="B230" s="49" t="n">
        <v>220</v>
      </c>
      <c r="C230" s="49" t="s">
        <v>103</v>
      </c>
      <c r="D230" s="49" t="s">
        <v>104</v>
      </c>
      <c r="E230" s="49" t="s">
        <v>1845</v>
      </c>
      <c r="F230" s="49" t="s">
        <v>1846</v>
      </c>
      <c r="G230" s="49" t="s">
        <v>1847</v>
      </c>
      <c r="H230" s="49" t="s">
        <v>1848</v>
      </c>
      <c r="I230" s="49" t="s">
        <v>1849</v>
      </c>
      <c r="J230" s="49"/>
      <c r="K230" s="49" t="s">
        <v>250</v>
      </c>
      <c r="L230" s="49" t="s">
        <v>14</v>
      </c>
      <c r="M230" s="49" t="s">
        <v>407</v>
      </c>
      <c r="N230" s="49" t="s">
        <v>1850</v>
      </c>
      <c r="O230" s="49" t="s">
        <v>125</v>
      </c>
      <c r="P230" s="49"/>
      <c r="Q230" s="49"/>
      <c r="R230" s="49" t="s">
        <v>1851</v>
      </c>
      <c r="S230" s="49" t="s">
        <v>14</v>
      </c>
      <c r="T230" s="49" t="s">
        <v>1852</v>
      </c>
      <c r="U230" s="49" t="s">
        <v>178</v>
      </c>
      <c r="V230" s="49" t="s">
        <v>1853</v>
      </c>
      <c r="W230" s="49" t="s">
        <v>117</v>
      </c>
      <c r="X230" s="49" t="s">
        <v>118</v>
      </c>
      <c r="Y230" s="49" t="s">
        <v>214</v>
      </c>
      <c r="Z230" s="49" t="s">
        <v>259</v>
      </c>
      <c r="AA230" s="49" t="s">
        <v>749</v>
      </c>
      <c r="AB230" s="49" t="s">
        <v>497</v>
      </c>
      <c r="AC230" s="49" t="s">
        <v>1851</v>
      </c>
      <c r="AD230" s="49" t="n">
        <v>5477021</v>
      </c>
      <c r="AE230" s="49" t="s">
        <v>14</v>
      </c>
      <c r="AF230" s="49" t="s">
        <v>1854</v>
      </c>
      <c r="AG230" s="49" t="s">
        <v>14</v>
      </c>
      <c r="AH230" s="49" t="s">
        <v>1855</v>
      </c>
      <c r="AI230" s="49" t="s">
        <v>1867</v>
      </c>
      <c r="AJ230" s="50" t="s">
        <v>1868</v>
      </c>
      <c r="AK230" s="49" t="s">
        <v>124</v>
      </c>
      <c r="AL230" s="49" t="s">
        <v>125</v>
      </c>
      <c r="AM230" s="51" t="n">
        <v>3901.5</v>
      </c>
      <c r="AN230" s="49"/>
      <c r="AO230" s="49" t="s">
        <v>125</v>
      </c>
      <c r="AP230" s="49" t="s">
        <v>187</v>
      </c>
      <c r="AQ230" s="49" t="s">
        <v>128</v>
      </c>
      <c r="AR230" s="49" t="s">
        <v>971</v>
      </c>
      <c r="AS230" s="49" t="s">
        <v>1858</v>
      </c>
      <c r="AT230" s="49"/>
      <c r="AU230" s="49" t="s">
        <v>1812</v>
      </c>
      <c r="AV230" s="49"/>
      <c r="AW230" s="161" t="s">
        <v>1860</v>
      </c>
      <c r="AX230" s="49"/>
      <c r="AY230" s="49"/>
      <c r="AZ230" s="49"/>
      <c r="BA230" s="49" t="s">
        <v>248</v>
      </c>
      <c r="BB230" s="49" t="n">
        <v>81486494</v>
      </c>
      <c r="BC230" s="49" t="s">
        <v>140</v>
      </c>
      <c r="BD230" s="49" t="s">
        <v>191</v>
      </c>
      <c r="BE230" s="49" t="s">
        <v>136</v>
      </c>
      <c r="BF230" s="49" t="s">
        <v>137</v>
      </c>
      <c r="BG230" s="49" t="s">
        <v>138</v>
      </c>
      <c r="BH230" s="49" t="s">
        <v>194</v>
      </c>
      <c r="BI230" s="49" t="s">
        <v>140</v>
      </c>
      <c r="BJ230" s="49" t="s">
        <v>125</v>
      </c>
      <c r="BK230" s="49"/>
      <c r="BL230" s="49"/>
      <c r="BM230" s="49" t="n">
        <v>110528217</v>
      </c>
      <c r="BN230" s="49"/>
      <c r="BO230" s="49" t="s">
        <v>338</v>
      </c>
    </row>
    <row r="231" ht="16.8" customHeight="1">
      <c r="A231" s="43" t="s">
        <v>25</v>
      </c>
      <c r="B231" s="49" t="n">
        <v>221</v>
      </c>
      <c r="C231" s="49" t="s">
        <v>103</v>
      </c>
      <c r="D231" s="49" t="s">
        <v>104</v>
      </c>
      <c r="E231" s="49" t="s">
        <v>1845</v>
      </c>
      <c r="F231" s="49" t="s">
        <v>1846</v>
      </c>
      <c r="G231" s="49" t="s">
        <v>1847</v>
      </c>
      <c r="H231" s="49" t="s">
        <v>1848</v>
      </c>
      <c r="I231" s="49" t="s">
        <v>1849</v>
      </c>
      <c r="J231" s="49"/>
      <c r="K231" s="49" t="s">
        <v>250</v>
      </c>
      <c r="L231" s="49" t="s">
        <v>14</v>
      </c>
      <c r="M231" s="49" t="s">
        <v>407</v>
      </c>
      <c r="N231" s="49" t="s">
        <v>1850</v>
      </c>
      <c r="O231" s="49" t="s">
        <v>125</v>
      </c>
      <c r="P231" s="49"/>
      <c r="Q231" s="49"/>
      <c r="R231" s="49" t="s">
        <v>1851</v>
      </c>
      <c r="S231" s="49" t="s">
        <v>14</v>
      </c>
      <c r="T231" s="49" t="s">
        <v>1852</v>
      </c>
      <c r="U231" s="49" t="s">
        <v>178</v>
      </c>
      <c r="V231" s="49" t="s">
        <v>1853</v>
      </c>
      <c r="W231" s="49" t="s">
        <v>117</v>
      </c>
      <c r="X231" s="49" t="s">
        <v>118</v>
      </c>
      <c r="Y231" s="49" t="s">
        <v>214</v>
      </c>
      <c r="Z231" s="49" t="s">
        <v>259</v>
      </c>
      <c r="AA231" s="49" t="s">
        <v>749</v>
      </c>
      <c r="AB231" s="49" t="s">
        <v>497</v>
      </c>
      <c r="AC231" s="49" t="s">
        <v>1851</v>
      </c>
      <c r="AD231" s="49" t="n">
        <v>5477021</v>
      </c>
      <c r="AE231" s="49" t="s">
        <v>14</v>
      </c>
      <c r="AF231" s="49" t="s">
        <v>1854</v>
      </c>
      <c r="AG231" s="49" t="s">
        <v>14</v>
      </c>
      <c r="AH231" s="49" t="s">
        <v>1855</v>
      </c>
      <c r="AI231" s="49" t="s">
        <v>1869</v>
      </c>
      <c r="AJ231" s="49" t="s">
        <v>924</v>
      </c>
      <c r="AK231" s="49" t="s">
        <v>124</v>
      </c>
      <c r="AL231" s="49" t="s">
        <v>125</v>
      </c>
      <c r="AM231" s="51" t="n">
        <v>18800</v>
      </c>
      <c r="AN231" s="49"/>
      <c r="AO231" s="49" t="s">
        <v>125</v>
      </c>
      <c r="AP231" s="49" t="s">
        <v>187</v>
      </c>
      <c r="AQ231" s="49" t="s">
        <v>128</v>
      </c>
      <c r="AR231" s="49" t="s">
        <v>971</v>
      </c>
      <c r="AS231" s="49" t="s">
        <v>1858</v>
      </c>
      <c r="AT231" s="49"/>
      <c r="AU231" s="49" t="s">
        <v>1812</v>
      </c>
      <c r="AV231" s="49"/>
      <c r="AW231" s="162" t="s">
        <v>1860</v>
      </c>
      <c r="AX231" s="49"/>
      <c r="AY231" s="49"/>
      <c r="AZ231" s="49"/>
      <c r="BA231" s="49"/>
      <c r="BB231" s="49" t="n">
        <v>81486494</v>
      </c>
      <c r="BC231" s="49" t="s">
        <v>134</v>
      </c>
      <c r="BD231" s="49" t="s">
        <v>191</v>
      </c>
      <c r="BE231" s="49" t="s">
        <v>136</v>
      </c>
      <c r="BF231" s="49" t="s">
        <v>137</v>
      </c>
      <c r="BG231" s="49" t="s">
        <v>138</v>
      </c>
      <c r="BH231" s="49" t="s">
        <v>194</v>
      </c>
      <c r="BI231" s="49" t="s">
        <v>140</v>
      </c>
      <c r="BJ231" s="49" t="s">
        <v>125</v>
      </c>
      <c r="BK231" s="49"/>
      <c r="BL231" s="49"/>
      <c r="BM231" s="49" t="n">
        <v>110528217</v>
      </c>
      <c r="BN231" s="49"/>
      <c r="BO231" s="49" t="s">
        <v>338</v>
      </c>
    </row>
    <row r="232" ht="16.8" customHeight="1">
      <c r="A232" s="43" t="s">
        <v>25</v>
      </c>
      <c r="B232" s="49" t="n">
        <v>222</v>
      </c>
      <c r="C232" s="49" t="s">
        <v>103</v>
      </c>
      <c r="D232" s="49" t="s">
        <v>104</v>
      </c>
      <c r="E232" s="49"/>
      <c r="F232" s="49" t="s">
        <v>1870</v>
      </c>
      <c r="G232" s="49"/>
      <c r="H232" s="49" t="s">
        <v>1871</v>
      </c>
      <c r="I232" s="49" t="s">
        <v>1872</v>
      </c>
      <c r="J232" s="49" t="s">
        <v>125</v>
      </c>
      <c r="K232" s="49" t="s">
        <v>174</v>
      </c>
      <c r="L232" s="49" t="s">
        <v>10</v>
      </c>
      <c r="M232" s="49" t="s">
        <v>111</v>
      </c>
      <c r="N232" s="49" t="s">
        <v>175</v>
      </c>
      <c r="O232" s="49"/>
      <c r="P232" s="49"/>
      <c r="Q232" s="49"/>
      <c r="R232" s="49" t="s">
        <v>1873</v>
      </c>
      <c r="S232" s="49" t="s">
        <v>10</v>
      </c>
      <c r="T232" s="49" t="s">
        <v>1874</v>
      </c>
      <c r="U232" s="49" t="s">
        <v>115</v>
      </c>
      <c r="V232" s="49" t="s">
        <v>1875</v>
      </c>
      <c r="W232" s="49" t="s">
        <v>117</v>
      </c>
      <c r="X232" s="49" t="s">
        <v>118</v>
      </c>
      <c r="Y232" s="49" t="s">
        <v>214</v>
      </c>
      <c r="Z232" s="49" t="s">
        <v>1744</v>
      </c>
      <c r="AA232" s="49" t="s">
        <v>1876</v>
      </c>
      <c r="AB232" s="49" t="s">
        <v>1877</v>
      </c>
      <c r="AC232" s="49" t="s">
        <v>1873</v>
      </c>
      <c r="AD232" s="49" t="n">
        <v>5449050</v>
      </c>
      <c r="AE232" s="49" t="s">
        <v>10</v>
      </c>
      <c r="AF232" s="49" t="s">
        <v>1878</v>
      </c>
      <c r="AG232" s="49" t="s">
        <v>10</v>
      </c>
      <c r="AH232" s="49" t="s">
        <v>1878</v>
      </c>
      <c r="AI232" s="49" t="s">
        <v>1879</v>
      </c>
      <c r="AJ232" s="49" t="s">
        <v>1880</v>
      </c>
      <c r="AK232" s="49" t="s">
        <v>124</v>
      </c>
      <c r="AL232" s="49" t="s">
        <v>125</v>
      </c>
      <c r="AM232" s="51" t="n">
        <v>0</v>
      </c>
      <c r="AN232" s="49"/>
      <c r="AO232" s="49" t="s">
        <v>1881</v>
      </c>
      <c r="AP232" s="49" t="s">
        <v>127</v>
      </c>
      <c r="AQ232" s="49" t="s">
        <v>128</v>
      </c>
      <c r="AR232" s="49"/>
      <c r="AS232" s="49" t="s">
        <v>1882</v>
      </c>
      <c r="AT232" s="49"/>
      <c r="AU232" s="49" t="s">
        <v>1812</v>
      </c>
      <c r="AV232" s="49"/>
      <c r="AW232" s="49" t="s">
        <v>1883</v>
      </c>
      <c r="AX232" s="49"/>
      <c r="AY232" s="49"/>
      <c r="AZ232" s="49"/>
      <c r="BA232" s="49"/>
      <c r="BB232" s="49" t="n">
        <v>69634274</v>
      </c>
      <c r="BC232" s="49" t="s">
        <v>134</v>
      </c>
      <c r="BD232" s="49" t="s">
        <v>191</v>
      </c>
      <c r="BE232" s="49" t="s">
        <v>136</v>
      </c>
      <c r="BF232" s="49" t="s">
        <v>137</v>
      </c>
      <c r="BG232" s="49"/>
      <c r="BH232" s="49" t="s">
        <v>139</v>
      </c>
      <c r="BI232" s="49" t="s">
        <v>134</v>
      </c>
      <c r="BJ232" s="49" t="s">
        <v>125</v>
      </c>
      <c r="BK232" s="49"/>
      <c r="BL232" s="49"/>
      <c r="BM232" s="49"/>
      <c r="BN232" s="49" t="s">
        <v>142</v>
      </c>
      <c r="BO232" s="49"/>
    </row>
    <row r="233" ht="16.8" customHeight="1">
      <c r="A233" s="43" t="s">
        <v>25</v>
      </c>
      <c r="B233" s="49" t="n">
        <v>223</v>
      </c>
      <c r="C233" s="49" t="s">
        <v>103</v>
      </c>
      <c r="D233" s="49" t="s">
        <v>104</v>
      </c>
      <c r="E233" s="49" t="s">
        <v>1884</v>
      </c>
      <c r="F233" s="49" t="s">
        <v>1885</v>
      </c>
      <c r="G233" s="49" t="s">
        <v>1050</v>
      </c>
      <c r="H233" s="49" t="s">
        <v>1886</v>
      </c>
      <c r="I233" s="49" t="s">
        <v>1887</v>
      </c>
      <c r="J233" s="49" t="s">
        <v>125</v>
      </c>
      <c r="K233" s="49" t="s">
        <v>174</v>
      </c>
      <c r="L233" s="49" t="s">
        <v>14</v>
      </c>
      <c r="M233" s="49" t="s">
        <v>607</v>
      </c>
      <c r="N233" s="49" t="s">
        <v>608</v>
      </c>
      <c r="O233" s="49" t="s">
        <v>125</v>
      </c>
      <c r="P233" s="49"/>
      <c r="Q233" s="49"/>
      <c r="R233" s="49" t="s">
        <v>1611</v>
      </c>
      <c r="S233" s="49" t="s">
        <v>14</v>
      </c>
      <c r="T233" s="49" t="s">
        <v>1888</v>
      </c>
      <c r="U233" s="49" t="s">
        <v>178</v>
      </c>
      <c r="V233" s="49" t="s">
        <v>1889</v>
      </c>
      <c r="W233" s="49" t="s">
        <v>117</v>
      </c>
      <c r="X233" s="49" t="s">
        <v>391</v>
      </c>
      <c r="Y233" s="49" t="s">
        <v>174</v>
      </c>
      <c r="Z233" s="49" t="s">
        <v>1619</v>
      </c>
      <c r="AA233" s="49" t="s">
        <v>1620</v>
      </c>
      <c r="AB233" s="49" t="s">
        <v>217</v>
      </c>
      <c r="AC233" s="49" t="s">
        <v>1611</v>
      </c>
      <c r="AD233" s="49" t="n">
        <v>5448304</v>
      </c>
      <c r="AE233" s="49" t="s">
        <v>14</v>
      </c>
      <c r="AF233" s="49" t="s">
        <v>1890</v>
      </c>
      <c r="AG233" s="49" t="s">
        <v>14</v>
      </c>
      <c r="AH233" s="49" t="s">
        <v>1891</v>
      </c>
      <c r="AI233" s="49" t="s">
        <v>1892</v>
      </c>
      <c r="AJ233" s="49" t="s">
        <v>397</v>
      </c>
      <c r="AK233" s="49" t="s">
        <v>124</v>
      </c>
      <c r="AL233" s="49" t="s">
        <v>125</v>
      </c>
      <c r="AM233" s="51" t="n">
        <v>64600</v>
      </c>
      <c r="AN233" s="49"/>
      <c r="AO233" s="49" t="s">
        <v>125</v>
      </c>
      <c r="AP233" s="49" t="s">
        <v>187</v>
      </c>
      <c r="AQ233" s="49" t="s">
        <v>128</v>
      </c>
      <c r="AR233" s="49"/>
      <c r="AS233" s="49" t="s">
        <v>1624</v>
      </c>
      <c r="AT233" s="49"/>
      <c r="AU233" s="49" t="s">
        <v>1812</v>
      </c>
      <c r="AV233" s="49"/>
      <c r="AW233" s="49" t="s">
        <v>1893</v>
      </c>
      <c r="AX233" s="49"/>
      <c r="AY233" s="49"/>
      <c r="AZ233" s="49"/>
      <c r="BA233" s="49"/>
      <c r="BB233" s="49" t="n">
        <v>68835796</v>
      </c>
      <c r="BC233" s="49" t="s">
        <v>134</v>
      </c>
      <c r="BD233" s="49" t="s">
        <v>191</v>
      </c>
      <c r="BE233" s="49" t="s">
        <v>401</v>
      </c>
      <c r="BF233" s="49" t="s">
        <v>1720</v>
      </c>
      <c r="BG233" s="49" t="s">
        <v>138</v>
      </c>
      <c r="BH233" s="49" t="s">
        <v>226</v>
      </c>
      <c r="BI233" s="49" t="s">
        <v>140</v>
      </c>
      <c r="BJ233" s="49" t="s">
        <v>125</v>
      </c>
      <c r="BK233" s="49"/>
      <c r="BL233" s="49"/>
      <c r="BM233" s="49"/>
      <c r="BN233" s="49" t="s">
        <v>227</v>
      </c>
      <c r="BO233" s="49" t="s">
        <v>338</v>
      </c>
    </row>
    <row r="234" ht="16.8" customHeight="1">
      <c r="A234" s="43" t="s">
        <v>25</v>
      </c>
      <c r="B234" s="49" t="n">
        <v>224</v>
      </c>
      <c r="C234" s="49" t="s">
        <v>103</v>
      </c>
      <c r="D234" s="49" t="s">
        <v>104</v>
      </c>
      <c r="E234" s="49" t="s">
        <v>1894</v>
      </c>
      <c r="F234" s="49" t="s">
        <v>1895</v>
      </c>
      <c r="G234" s="49" t="s">
        <v>385</v>
      </c>
      <c r="H234" s="49" t="s">
        <v>1896</v>
      </c>
      <c r="I234" s="49" t="s">
        <v>1897</v>
      </c>
      <c r="J234" s="49"/>
      <c r="K234" s="49" t="s">
        <v>174</v>
      </c>
      <c r="L234" s="49" t="s">
        <v>14</v>
      </c>
      <c r="M234" s="49" t="s">
        <v>111</v>
      </c>
      <c r="N234" s="49" t="s">
        <v>112</v>
      </c>
      <c r="O234" s="49" t="s">
        <v>388</v>
      </c>
      <c r="P234" s="49"/>
      <c r="Q234" s="49"/>
      <c r="R234" s="49" t="s">
        <v>1894</v>
      </c>
      <c r="S234" s="49" t="s">
        <v>14</v>
      </c>
      <c r="T234" s="49" t="s">
        <v>1898</v>
      </c>
      <c r="U234" s="49" t="s">
        <v>115</v>
      </c>
      <c r="V234" s="49" t="s">
        <v>1899</v>
      </c>
      <c r="W234" s="49" t="s">
        <v>117</v>
      </c>
      <c r="X234" s="49" t="s">
        <v>391</v>
      </c>
      <c r="Y234" s="49" t="s">
        <v>174</v>
      </c>
      <c r="Z234" s="49" t="s">
        <v>1744</v>
      </c>
      <c r="AA234" s="49" t="s">
        <v>120</v>
      </c>
      <c r="AB234" s="49" t="s">
        <v>353</v>
      </c>
      <c r="AC234" s="49" t="s">
        <v>1894</v>
      </c>
      <c r="AD234" s="49" t="n">
        <v>5412664</v>
      </c>
      <c r="AE234" s="49" t="s">
        <v>14</v>
      </c>
      <c r="AF234" s="49" t="s">
        <v>1900</v>
      </c>
      <c r="AG234" s="49" t="s">
        <v>14</v>
      </c>
      <c r="AH234" s="49" t="s">
        <v>1901</v>
      </c>
      <c r="AI234" s="49" t="s">
        <v>1902</v>
      </c>
      <c r="AJ234" s="49" t="s">
        <v>397</v>
      </c>
      <c r="AK234" s="49" t="s">
        <v>124</v>
      </c>
      <c r="AL234" s="49" t="s">
        <v>125</v>
      </c>
      <c r="AM234" s="51" t="n">
        <v>50200</v>
      </c>
      <c r="AN234" s="49"/>
      <c r="AO234" s="49" t="s">
        <v>385</v>
      </c>
      <c r="AP234" s="49" t="s">
        <v>127</v>
      </c>
      <c r="AQ234" s="49" t="s">
        <v>128</v>
      </c>
      <c r="AR234" s="49"/>
      <c r="AS234" s="49" t="s">
        <v>1903</v>
      </c>
      <c r="AT234" s="49"/>
      <c r="AU234" s="49" t="s">
        <v>1812</v>
      </c>
      <c r="AV234" s="49"/>
      <c r="AW234" s="49" t="s">
        <v>1904</v>
      </c>
      <c r="AX234" s="49"/>
      <c r="AY234" s="49"/>
      <c r="AZ234" s="49"/>
      <c r="BA234" s="49"/>
      <c r="BB234" s="49" t="n">
        <v>59931709</v>
      </c>
      <c r="BC234" s="49" t="s">
        <v>134</v>
      </c>
      <c r="BD234" s="49" t="s">
        <v>191</v>
      </c>
      <c r="BE234" s="49" t="s">
        <v>401</v>
      </c>
      <c r="BF234" s="49" t="s">
        <v>193</v>
      </c>
      <c r="BG234" s="49" t="s">
        <v>138</v>
      </c>
      <c r="BH234" s="49" t="s">
        <v>139</v>
      </c>
      <c r="BI234" s="49" t="s">
        <v>140</v>
      </c>
      <c r="BJ234" s="49" t="s">
        <v>125</v>
      </c>
      <c r="BK234" s="49"/>
      <c r="BL234" s="49"/>
      <c r="BM234" s="49"/>
      <c r="BN234" s="49" t="s">
        <v>142</v>
      </c>
      <c r="BO234" s="49" t="s">
        <v>112</v>
      </c>
    </row>
    <row r="235" ht="16.8" customHeight="1">
      <c r="A235" s="43" t="s">
        <v>25</v>
      </c>
      <c r="B235" s="49" t="n">
        <v>225</v>
      </c>
      <c r="C235" s="49" t="s">
        <v>103</v>
      </c>
      <c r="D235" s="49" t="s">
        <v>104</v>
      </c>
      <c r="E235" s="49" t="s">
        <v>1905</v>
      </c>
      <c r="F235" s="49" t="s">
        <v>1906</v>
      </c>
      <c r="G235" s="49" t="s">
        <v>369</v>
      </c>
      <c r="H235" s="49" t="s">
        <v>1907</v>
      </c>
      <c r="I235" s="163" t="s">
        <v>1908</v>
      </c>
      <c r="J235" s="49" t="s">
        <v>929</v>
      </c>
      <c r="K235" s="49" t="s">
        <v>250</v>
      </c>
      <c r="L235" s="49" t="s">
        <v>930</v>
      </c>
      <c r="M235" s="49" t="s">
        <v>325</v>
      </c>
      <c r="N235" s="49" t="s">
        <v>931</v>
      </c>
      <c r="O235" s="49" t="s">
        <v>125</v>
      </c>
      <c r="P235" s="49" t="s">
        <v>930</v>
      </c>
      <c r="Q235" s="49" t="s">
        <v>1909</v>
      </c>
      <c r="R235" s="49" t="s">
        <v>1905</v>
      </c>
      <c r="S235" s="49" t="s">
        <v>14</v>
      </c>
      <c r="T235" s="49" t="s">
        <v>1910</v>
      </c>
      <c r="U235" s="49" t="s">
        <v>178</v>
      </c>
      <c r="V235" s="49" t="s">
        <v>1911</v>
      </c>
      <c r="W235" s="49" t="s">
        <v>117</v>
      </c>
      <c r="X235" s="49" t="s">
        <v>1912</v>
      </c>
      <c r="Y235" s="49" t="s">
        <v>110</v>
      </c>
      <c r="Z235" s="49" t="s">
        <v>805</v>
      </c>
      <c r="AA235" s="49" t="s">
        <v>438</v>
      </c>
      <c r="AB235" s="49" t="s">
        <v>1913</v>
      </c>
      <c r="AC235" s="49" t="s">
        <v>1905</v>
      </c>
      <c r="AD235" s="49" t="n">
        <v>5447453</v>
      </c>
      <c r="AE235" s="49" t="s">
        <v>14</v>
      </c>
      <c r="AF235" s="49" t="s">
        <v>1914</v>
      </c>
      <c r="AG235" s="49" t="s">
        <v>14</v>
      </c>
      <c r="AH235" s="49" t="s">
        <v>1914</v>
      </c>
      <c r="AI235" s="49" t="s">
        <v>1809</v>
      </c>
      <c r="AJ235" s="49" t="s">
        <v>894</v>
      </c>
      <c r="AK235" s="49" t="s">
        <v>124</v>
      </c>
      <c r="AL235" s="49" t="s">
        <v>125</v>
      </c>
      <c r="AM235" s="51" t="n">
        <v>4980</v>
      </c>
      <c r="AN235" s="49"/>
      <c r="AO235" s="49" t="s">
        <v>125</v>
      </c>
      <c r="AP235" s="49" t="s">
        <v>187</v>
      </c>
      <c r="AQ235" s="49" t="s">
        <v>128</v>
      </c>
      <c r="AR235" s="49" t="s">
        <v>1091</v>
      </c>
      <c r="AS235" s="49" t="s">
        <v>1915</v>
      </c>
      <c r="AT235" s="49" t="s">
        <v>1916</v>
      </c>
      <c r="AU235" s="49" t="s">
        <v>1917</v>
      </c>
      <c r="AV235" s="49"/>
      <c r="AW235" s="49" t="s">
        <v>1918</v>
      </c>
      <c r="AX235" s="49"/>
      <c r="AY235" s="49"/>
      <c r="AZ235" s="49"/>
      <c r="BA235" s="49"/>
      <c r="BB235" s="49" t="n">
        <v>81391745</v>
      </c>
      <c r="BC235" s="49" t="s">
        <v>134</v>
      </c>
      <c r="BD235" s="49" t="s">
        <v>655</v>
      </c>
      <c r="BE235" s="49" t="s">
        <v>1919</v>
      </c>
      <c r="BF235" s="49" t="s">
        <v>125</v>
      </c>
      <c r="BG235" s="49"/>
      <c r="BH235" s="49" t="s">
        <v>139</v>
      </c>
      <c r="BI235" s="49" t="s">
        <v>140</v>
      </c>
      <c r="BJ235" s="49" t="s">
        <v>125</v>
      </c>
      <c r="BK235" s="49"/>
      <c r="BL235" s="49" t="s">
        <v>141</v>
      </c>
      <c r="BM235" s="49"/>
      <c r="BN235" s="49" t="s">
        <v>142</v>
      </c>
      <c r="BO235" s="49" t="s">
        <v>944</v>
      </c>
    </row>
    <row r="236" ht="16.8" customHeight="1">
      <c r="A236" s="43" t="s">
        <v>25</v>
      </c>
      <c r="B236" s="49" t="n">
        <v>226</v>
      </c>
      <c r="C236" s="49" t="s">
        <v>103</v>
      </c>
      <c r="D236" s="49" t="s">
        <v>104</v>
      </c>
      <c r="E236" s="49"/>
      <c r="F236" s="49" t="s">
        <v>1920</v>
      </c>
      <c r="G236" s="49"/>
      <c r="H236" s="49" t="s">
        <v>1921</v>
      </c>
      <c r="I236" s="49" t="s">
        <v>1922</v>
      </c>
      <c r="J236" s="49" t="s">
        <v>125</v>
      </c>
      <c r="K236" s="49" t="s">
        <v>1923</v>
      </c>
      <c r="L236" s="49" t="s">
        <v>1924</v>
      </c>
      <c r="M236" s="49" t="s">
        <v>1925</v>
      </c>
      <c r="N236" s="49" t="s">
        <v>1926</v>
      </c>
      <c r="O236" s="49"/>
      <c r="P236" s="49"/>
      <c r="Q236" s="49"/>
      <c r="R236" s="49" t="s">
        <v>1927</v>
      </c>
      <c r="S236" s="49" t="s">
        <v>1924</v>
      </c>
      <c r="T236" s="49" t="s">
        <v>1928</v>
      </c>
      <c r="U236" s="49" t="s">
        <v>115</v>
      </c>
      <c r="V236" s="49" t="s">
        <v>1929</v>
      </c>
      <c r="W236" s="49" t="s">
        <v>117</v>
      </c>
      <c r="X236" s="49" t="s">
        <v>118</v>
      </c>
      <c r="Y236" s="49" t="s">
        <v>206</v>
      </c>
      <c r="Z236" s="49" t="s">
        <v>392</v>
      </c>
      <c r="AA236" s="49" t="s">
        <v>1771</v>
      </c>
      <c r="AB236" s="49" t="s">
        <v>1930</v>
      </c>
      <c r="AC236" s="49" t="s">
        <v>1927</v>
      </c>
      <c r="AD236" s="49" t="n">
        <v>5479374</v>
      </c>
      <c r="AE236" s="49" t="s">
        <v>14</v>
      </c>
      <c r="AF236" s="49" t="s">
        <v>1677</v>
      </c>
      <c r="AG236" s="49" t="s">
        <v>1924</v>
      </c>
      <c r="AH236" s="49" t="s">
        <v>1677</v>
      </c>
      <c r="AI236" s="49"/>
      <c r="AJ236" s="49"/>
      <c r="AK236" s="49" t="s">
        <v>124</v>
      </c>
      <c r="AL236" s="49" t="s">
        <v>125</v>
      </c>
      <c r="AM236" s="51" t="n">
        <v>2400</v>
      </c>
      <c r="AN236" s="49" t="s">
        <v>126</v>
      </c>
      <c r="AO236" s="49" t="s">
        <v>125</v>
      </c>
      <c r="AP236" s="49" t="s">
        <v>220</v>
      </c>
      <c r="AQ236" s="49" t="s">
        <v>128</v>
      </c>
      <c r="AR236" s="49"/>
      <c r="AS236" s="49" t="s">
        <v>1931</v>
      </c>
      <c r="AT236" s="49"/>
      <c r="AU236" s="49"/>
      <c r="AV236" s="49"/>
      <c r="AW236" s="49" t="s">
        <v>1932</v>
      </c>
      <c r="AX236" s="49"/>
      <c r="AY236" s="49"/>
      <c r="AZ236" s="49"/>
      <c r="BA236" s="49"/>
      <c r="BB236" s="49" t="n">
        <v>80376945</v>
      </c>
      <c r="BC236" s="49" t="s">
        <v>134</v>
      </c>
      <c r="BD236" s="49" t="s">
        <v>135</v>
      </c>
      <c r="BE236" s="49" t="s">
        <v>285</v>
      </c>
      <c r="BF236" s="49" t="s">
        <v>1172</v>
      </c>
      <c r="BG236" s="49"/>
      <c r="BH236" s="49" t="s">
        <v>194</v>
      </c>
      <c r="BI236" s="49" t="s">
        <v>134</v>
      </c>
      <c r="BJ236" s="49" t="s">
        <v>125</v>
      </c>
      <c r="BK236" s="49"/>
      <c r="BL236" s="49"/>
      <c r="BM236" s="49"/>
      <c r="BN236" s="49" t="s">
        <v>195</v>
      </c>
      <c r="BO236" s="49"/>
    </row>
    <row r="237" ht="16.8" customHeight="1">
      <c r="A237" s="43" t="s">
        <v>25</v>
      </c>
      <c r="B237" s="49" t="n">
        <v>227</v>
      </c>
      <c r="C237" s="49" t="s">
        <v>103</v>
      </c>
      <c r="D237" s="49" t="s">
        <v>104</v>
      </c>
      <c r="E237" s="49" t="s">
        <v>1933</v>
      </c>
      <c r="F237" s="49" t="s">
        <v>1934</v>
      </c>
      <c r="G237" s="49" t="s">
        <v>1050</v>
      </c>
      <c r="H237" s="49" t="s">
        <v>1935</v>
      </c>
      <c r="I237" s="164" t="s">
        <v>1936</v>
      </c>
      <c r="J237" s="49" t="s">
        <v>1053</v>
      </c>
      <c r="K237" s="49" t="s">
        <v>239</v>
      </c>
      <c r="L237" s="49" t="s">
        <v>14</v>
      </c>
      <c r="M237" s="49" t="s">
        <v>607</v>
      </c>
      <c r="N237" s="49" t="s">
        <v>608</v>
      </c>
      <c r="O237" s="49" t="s">
        <v>125</v>
      </c>
      <c r="P237" s="49"/>
      <c r="Q237" s="49"/>
      <c r="R237" s="49" t="s">
        <v>1937</v>
      </c>
      <c r="S237" s="49" t="s">
        <v>14</v>
      </c>
      <c r="T237" s="49" t="s">
        <v>1938</v>
      </c>
      <c r="U237" s="49" t="s">
        <v>178</v>
      </c>
      <c r="V237" s="49" t="s">
        <v>1939</v>
      </c>
      <c r="W237" s="49" t="s">
        <v>117</v>
      </c>
      <c r="X237" s="49" t="s">
        <v>1940</v>
      </c>
      <c r="Y237" s="49" t="s">
        <v>110</v>
      </c>
      <c r="Z237" s="49" t="s">
        <v>805</v>
      </c>
      <c r="AA237" s="49" t="s">
        <v>1041</v>
      </c>
      <c r="AB237" s="49" t="s">
        <v>121</v>
      </c>
      <c r="AC237" s="49" t="s">
        <v>1937</v>
      </c>
      <c r="AD237" s="49" t="n">
        <v>5474899</v>
      </c>
      <c r="AE237" s="49" t="s">
        <v>14</v>
      </c>
      <c r="AF237" s="49" t="s">
        <v>1941</v>
      </c>
      <c r="AG237" s="49" t="s">
        <v>14</v>
      </c>
      <c r="AH237" s="49" t="s">
        <v>1942</v>
      </c>
      <c r="AI237" s="49" t="s">
        <v>1943</v>
      </c>
      <c r="AJ237" s="49" t="s">
        <v>1310</v>
      </c>
      <c r="AK237" s="49" t="s">
        <v>124</v>
      </c>
      <c r="AL237" s="49" t="s">
        <v>125</v>
      </c>
      <c r="AM237" s="51" t="n">
        <v>17500</v>
      </c>
      <c r="AN237" s="49"/>
      <c r="AO237" s="49" t="s">
        <v>125</v>
      </c>
      <c r="AP237" s="49" t="s">
        <v>187</v>
      </c>
      <c r="AQ237" s="49" t="s">
        <v>128</v>
      </c>
      <c r="AR237" s="49"/>
      <c r="AS237" s="49" t="s">
        <v>1944</v>
      </c>
      <c r="AT237" s="49"/>
      <c r="AU237" s="49" t="s">
        <v>1945</v>
      </c>
      <c r="AV237" s="49"/>
      <c r="AW237" s="49" t="s">
        <v>1946</v>
      </c>
      <c r="AX237" s="49"/>
      <c r="AY237" s="49"/>
      <c r="AZ237" s="49"/>
      <c r="BA237" s="49"/>
      <c r="BB237" s="49" t="n">
        <v>81428523</v>
      </c>
      <c r="BC237" s="49" t="s">
        <v>134</v>
      </c>
      <c r="BD237" s="49" t="s">
        <v>655</v>
      </c>
      <c r="BE237" s="49" t="s">
        <v>1947</v>
      </c>
      <c r="BF237" s="49" t="s">
        <v>1948</v>
      </c>
      <c r="BG237" s="49"/>
      <c r="BH237" s="49" t="s">
        <v>139</v>
      </c>
      <c r="BI237" s="49" t="s">
        <v>140</v>
      </c>
      <c r="BJ237" s="49" t="s">
        <v>125</v>
      </c>
      <c r="BK237" s="49"/>
      <c r="BL237" s="49"/>
      <c r="BM237" s="49"/>
      <c r="BN237" s="49" t="s">
        <v>142</v>
      </c>
      <c r="BO237" s="49" t="s">
        <v>608</v>
      </c>
    </row>
    <row r="238" ht="16.8" customHeight="1">
      <c r="A238" s="43" t="s">
        <v>25</v>
      </c>
      <c r="B238" s="49" t="n">
        <v>228</v>
      </c>
      <c r="C238" s="49" t="s">
        <v>103</v>
      </c>
      <c r="D238" s="49" t="s">
        <v>104</v>
      </c>
      <c r="E238" s="49" t="s">
        <v>1949</v>
      </c>
      <c r="F238" s="49" t="s">
        <v>1950</v>
      </c>
      <c r="G238" s="49" t="s">
        <v>1951</v>
      </c>
      <c r="H238" s="49" t="s">
        <v>1952</v>
      </c>
      <c r="I238" s="49" t="s">
        <v>1953</v>
      </c>
      <c r="J238" s="49"/>
      <c r="K238" s="49" t="s">
        <v>174</v>
      </c>
      <c r="L238" s="49" t="s">
        <v>10</v>
      </c>
      <c r="M238" s="49" t="s">
        <v>111</v>
      </c>
      <c r="N238" s="49" t="s">
        <v>112</v>
      </c>
      <c r="O238" s="49" t="s">
        <v>1954</v>
      </c>
      <c r="P238" s="49"/>
      <c r="Q238" s="49"/>
      <c r="R238" s="49" t="s">
        <v>1949</v>
      </c>
      <c r="S238" s="49" t="s">
        <v>10</v>
      </c>
      <c r="T238" s="49" t="s">
        <v>1955</v>
      </c>
      <c r="U238" s="49" t="s">
        <v>115</v>
      </c>
      <c r="V238" s="49" t="s">
        <v>1956</v>
      </c>
      <c r="W238" s="49" t="s">
        <v>117</v>
      </c>
      <c r="X238" s="49" t="s">
        <v>312</v>
      </c>
      <c r="Y238" s="49" t="s">
        <v>174</v>
      </c>
      <c r="Z238" s="49" t="s">
        <v>259</v>
      </c>
      <c r="AA238" s="49" t="s">
        <v>1957</v>
      </c>
      <c r="AB238" s="49" t="s">
        <v>714</v>
      </c>
      <c r="AC238" s="49" t="s">
        <v>1949</v>
      </c>
      <c r="AD238" s="49" t="n">
        <v>5445893</v>
      </c>
      <c r="AE238" s="49" t="s">
        <v>10</v>
      </c>
      <c r="AF238" s="49" t="s">
        <v>1958</v>
      </c>
      <c r="AG238" s="49" t="s">
        <v>10</v>
      </c>
      <c r="AH238" s="49" t="s">
        <v>1959</v>
      </c>
      <c r="AI238" s="49" t="s">
        <v>1960</v>
      </c>
      <c r="AJ238" s="49" t="s">
        <v>1325</v>
      </c>
      <c r="AK238" s="49" t="s">
        <v>124</v>
      </c>
      <c r="AL238" s="49" t="s">
        <v>125</v>
      </c>
      <c r="AM238" s="51" t="n">
        <v>6000</v>
      </c>
      <c r="AN238" s="49"/>
      <c r="AO238" s="49" t="s">
        <v>1951</v>
      </c>
      <c r="AP238" s="49" t="s">
        <v>127</v>
      </c>
      <c r="AQ238" s="49" t="s">
        <v>128</v>
      </c>
      <c r="AR238" s="49"/>
      <c r="AS238" s="49" t="s">
        <v>1961</v>
      </c>
      <c r="AT238" s="49"/>
      <c r="AU238" s="49" t="s">
        <v>1945</v>
      </c>
      <c r="AV238" s="49"/>
      <c r="AW238" s="49" t="s">
        <v>1962</v>
      </c>
      <c r="AX238" s="49"/>
      <c r="AY238" s="49"/>
      <c r="AZ238" s="49"/>
      <c r="BA238" s="49"/>
      <c r="BB238" s="49" t="n">
        <v>34615040</v>
      </c>
      <c r="BC238" s="49" t="s">
        <v>134</v>
      </c>
      <c r="BD238" s="49" t="s">
        <v>191</v>
      </c>
      <c r="BE238" s="49" t="s">
        <v>318</v>
      </c>
      <c r="BF238" s="49" t="s">
        <v>319</v>
      </c>
      <c r="BG238" s="49" t="s">
        <v>138</v>
      </c>
      <c r="BH238" s="49" t="s">
        <v>194</v>
      </c>
      <c r="BI238" s="49" t="s">
        <v>140</v>
      </c>
      <c r="BJ238" s="49" t="s">
        <v>125</v>
      </c>
      <c r="BK238" s="49"/>
      <c r="BL238" s="49"/>
      <c r="BM238" s="49"/>
      <c r="BN238" s="49" t="s">
        <v>142</v>
      </c>
      <c r="BO238" s="49" t="s">
        <v>112</v>
      </c>
    </row>
    <row r="239" ht="16.8" customHeight="1">
      <c r="A239" s="43" t="s">
        <v>25</v>
      </c>
      <c r="B239" s="49" t="n">
        <v>229</v>
      </c>
      <c r="C239" s="49" t="s">
        <v>103</v>
      </c>
      <c r="D239" s="49" t="s">
        <v>104</v>
      </c>
      <c r="E239" s="49" t="s">
        <v>1963</v>
      </c>
      <c r="F239" s="49" t="s">
        <v>1964</v>
      </c>
      <c r="G239" s="49" t="s">
        <v>1373</v>
      </c>
      <c r="H239" s="49" t="s">
        <v>1965</v>
      </c>
      <c r="I239" s="49" t="s">
        <v>1966</v>
      </c>
      <c r="J239" s="49" t="s">
        <v>125</v>
      </c>
      <c r="K239" s="49" t="s">
        <v>110</v>
      </c>
      <c r="L239" s="49" t="s">
        <v>10</v>
      </c>
      <c r="M239" s="49" t="s">
        <v>507</v>
      </c>
      <c r="N239" s="49" t="s">
        <v>507</v>
      </c>
      <c r="O239" s="49" t="s">
        <v>125</v>
      </c>
      <c r="P239" s="49"/>
      <c r="Q239" s="49"/>
      <c r="R239" s="49" t="s">
        <v>1967</v>
      </c>
      <c r="S239" s="49" t="s">
        <v>10</v>
      </c>
      <c r="T239" s="49" t="s">
        <v>1968</v>
      </c>
      <c r="U239" s="49" t="s">
        <v>178</v>
      </c>
      <c r="V239" s="49" t="s">
        <v>1969</v>
      </c>
      <c r="W239" s="49" t="s">
        <v>117</v>
      </c>
      <c r="X239" s="49" t="s">
        <v>180</v>
      </c>
      <c r="Y239" s="49" t="s">
        <v>206</v>
      </c>
      <c r="Z239" s="49" t="s">
        <v>392</v>
      </c>
      <c r="AA239" s="49" t="s">
        <v>1771</v>
      </c>
      <c r="AB239" s="49" t="s">
        <v>393</v>
      </c>
      <c r="AC239" s="49" t="s">
        <v>1967</v>
      </c>
      <c r="AD239" s="49" t="n">
        <v>5474250</v>
      </c>
      <c r="AE239" s="49" t="s">
        <v>10</v>
      </c>
      <c r="AF239" s="49" t="s">
        <v>1970</v>
      </c>
      <c r="AG239" s="49" t="s">
        <v>10</v>
      </c>
      <c r="AH239" s="49" t="s">
        <v>1970</v>
      </c>
      <c r="AI239" s="49" t="s">
        <v>1787</v>
      </c>
      <c r="AJ239" s="49" t="s">
        <v>162</v>
      </c>
      <c r="AK239" s="49" t="s">
        <v>124</v>
      </c>
      <c r="AL239" s="49" t="s">
        <v>125</v>
      </c>
      <c r="AM239" s="51" t="n">
        <v>7890.8</v>
      </c>
      <c r="AN239" s="49"/>
      <c r="AO239" s="49" t="s">
        <v>125</v>
      </c>
      <c r="AP239" s="49" t="s">
        <v>187</v>
      </c>
      <c r="AQ239" s="49" t="s">
        <v>128</v>
      </c>
      <c r="AR239" s="49" t="s">
        <v>1062</v>
      </c>
      <c r="AS239" s="49" t="s">
        <v>1971</v>
      </c>
      <c r="AT239" s="49" t="s">
        <v>1972</v>
      </c>
      <c r="AU239" s="49" t="s">
        <v>583</v>
      </c>
      <c r="AV239" s="49"/>
      <c r="AW239" s="49" t="s">
        <v>1973</v>
      </c>
      <c r="AX239" s="49"/>
      <c r="AY239" s="49"/>
      <c r="AZ239" s="49"/>
      <c r="BA239" s="49"/>
      <c r="BB239" s="49" t="n">
        <v>81263872</v>
      </c>
      <c r="BC239" s="49" t="s">
        <v>134</v>
      </c>
      <c r="BD239" s="49" t="s">
        <v>135</v>
      </c>
      <c r="BE239" s="49" t="s">
        <v>285</v>
      </c>
      <c r="BF239" s="49" t="s">
        <v>1974</v>
      </c>
      <c r="BG239" s="49" t="s">
        <v>138</v>
      </c>
      <c r="BH239" s="49" t="s">
        <v>194</v>
      </c>
      <c r="BI239" s="49" t="s">
        <v>140</v>
      </c>
      <c r="BJ239" s="49" t="s">
        <v>125</v>
      </c>
      <c r="BK239" s="49"/>
      <c r="BL239" s="49" t="s">
        <v>141</v>
      </c>
      <c r="BM239" s="49"/>
      <c r="BN239" s="49" t="s">
        <v>195</v>
      </c>
      <c r="BO239" s="49" t="s">
        <v>196</v>
      </c>
    </row>
    <row r="240" ht="16.8" customHeight="1">
      <c r="A240" s="43" t="s">
        <v>25</v>
      </c>
      <c r="B240" s="49" t="n">
        <v>230</v>
      </c>
      <c r="C240" s="49" t="s">
        <v>103</v>
      </c>
      <c r="D240" s="49" t="s">
        <v>104</v>
      </c>
      <c r="E240" s="49" t="s">
        <v>1963</v>
      </c>
      <c r="F240" s="49" t="s">
        <v>1964</v>
      </c>
      <c r="G240" s="49" t="s">
        <v>1373</v>
      </c>
      <c r="H240" s="49" t="s">
        <v>1965</v>
      </c>
      <c r="I240" s="49" t="s">
        <v>1966</v>
      </c>
      <c r="J240" s="49" t="s">
        <v>125</v>
      </c>
      <c r="K240" s="49" t="s">
        <v>110</v>
      </c>
      <c r="L240" s="49" t="s">
        <v>10</v>
      </c>
      <c r="M240" s="49" t="s">
        <v>507</v>
      </c>
      <c r="N240" s="49" t="s">
        <v>507</v>
      </c>
      <c r="O240" s="49" t="s">
        <v>125</v>
      </c>
      <c r="P240" s="49"/>
      <c r="Q240" s="49"/>
      <c r="R240" s="49" t="s">
        <v>1967</v>
      </c>
      <c r="S240" s="49" t="s">
        <v>10</v>
      </c>
      <c r="T240" s="49" t="s">
        <v>1968</v>
      </c>
      <c r="U240" s="49" t="s">
        <v>178</v>
      </c>
      <c r="V240" s="49" t="s">
        <v>1969</v>
      </c>
      <c r="W240" s="49" t="s">
        <v>117</v>
      </c>
      <c r="X240" s="49" t="s">
        <v>180</v>
      </c>
      <c r="Y240" s="49" t="s">
        <v>206</v>
      </c>
      <c r="Z240" s="49" t="s">
        <v>392</v>
      </c>
      <c r="AA240" s="49" t="s">
        <v>1771</v>
      </c>
      <c r="AB240" s="49" t="s">
        <v>393</v>
      </c>
      <c r="AC240" s="49" t="s">
        <v>1967</v>
      </c>
      <c r="AD240" s="49" t="n">
        <v>5474250</v>
      </c>
      <c r="AE240" s="49" t="s">
        <v>10</v>
      </c>
      <c r="AF240" s="49" t="s">
        <v>1970</v>
      </c>
      <c r="AG240" s="49" t="s">
        <v>10</v>
      </c>
      <c r="AH240" s="49" t="s">
        <v>1970</v>
      </c>
      <c r="AI240" s="49" t="s">
        <v>164</v>
      </c>
      <c r="AJ240" s="49" t="s">
        <v>165</v>
      </c>
      <c r="AK240" s="49" t="s">
        <v>124</v>
      </c>
      <c r="AL240" s="49" t="s">
        <v>125</v>
      </c>
      <c r="AM240" s="51" t="n">
        <v>5514.3</v>
      </c>
      <c r="AN240" s="49"/>
      <c r="AO240" s="49" t="s">
        <v>125</v>
      </c>
      <c r="AP240" s="49" t="s">
        <v>187</v>
      </c>
      <c r="AQ240" s="49" t="s">
        <v>128</v>
      </c>
      <c r="AR240" s="49" t="s">
        <v>1062</v>
      </c>
      <c r="AS240" s="49" t="s">
        <v>1971</v>
      </c>
      <c r="AT240" s="49" t="s">
        <v>1975</v>
      </c>
      <c r="AU240" s="49" t="s">
        <v>583</v>
      </c>
      <c r="AV240" s="49"/>
      <c r="AW240" s="49" t="s">
        <v>1973</v>
      </c>
      <c r="AX240" s="49"/>
      <c r="AY240" s="49"/>
      <c r="AZ240" s="49"/>
      <c r="BA240" s="49"/>
      <c r="BB240" s="49" t="n">
        <v>81263872</v>
      </c>
      <c r="BC240" s="49" t="s">
        <v>134</v>
      </c>
      <c r="BD240" s="49" t="s">
        <v>135</v>
      </c>
      <c r="BE240" s="49" t="s">
        <v>285</v>
      </c>
      <c r="BF240" s="49" t="s">
        <v>1974</v>
      </c>
      <c r="BG240" s="49" t="s">
        <v>138</v>
      </c>
      <c r="BH240" s="49" t="s">
        <v>194</v>
      </c>
      <c r="BI240" s="49" t="s">
        <v>140</v>
      </c>
      <c r="BJ240" s="49" t="s">
        <v>125</v>
      </c>
      <c r="BK240" s="49"/>
      <c r="BL240" s="49" t="s">
        <v>141</v>
      </c>
      <c r="BM240" s="49"/>
      <c r="BN240" s="49" t="s">
        <v>195</v>
      </c>
      <c r="BO240" s="49" t="s">
        <v>196</v>
      </c>
    </row>
    <row r="241" ht="16.8" customHeight="1">
      <c r="A241" s="43" t="s">
        <v>25</v>
      </c>
      <c r="B241" s="49" t="n">
        <v>231</v>
      </c>
      <c r="C241" s="49" t="s">
        <v>103</v>
      </c>
      <c r="D241" s="49" t="s">
        <v>104</v>
      </c>
      <c r="E241" s="49" t="s">
        <v>1963</v>
      </c>
      <c r="F241" s="49" t="s">
        <v>1964</v>
      </c>
      <c r="G241" s="49" t="s">
        <v>1373</v>
      </c>
      <c r="H241" s="49" t="s">
        <v>1965</v>
      </c>
      <c r="I241" s="49" t="s">
        <v>1966</v>
      </c>
      <c r="J241" s="49" t="s">
        <v>125</v>
      </c>
      <c r="K241" s="49" t="s">
        <v>110</v>
      </c>
      <c r="L241" s="49" t="s">
        <v>10</v>
      </c>
      <c r="M241" s="49" t="s">
        <v>507</v>
      </c>
      <c r="N241" s="49" t="s">
        <v>507</v>
      </c>
      <c r="O241" s="49" t="s">
        <v>125</v>
      </c>
      <c r="P241" s="49"/>
      <c r="Q241" s="49"/>
      <c r="R241" s="49" t="s">
        <v>1967</v>
      </c>
      <c r="S241" s="49" t="s">
        <v>10</v>
      </c>
      <c r="T241" s="49" t="s">
        <v>1968</v>
      </c>
      <c r="U241" s="49" t="s">
        <v>178</v>
      </c>
      <c r="V241" s="49" t="s">
        <v>1969</v>
      </c>
      <c r="W241" s="49" t="s">
        <v>117</v>
      </c>
      <c r="X241" s="49" t="s">
        <v>180</v>
      </c>
      <c r="Y241" s="49" t="s">
        <v>206</v>
      </c>
      <c r="Z241" s="49" t="s">
        <v>392</v>
      </c>
      <c r="AA241" s="49" t="s">
        <v>1771</v>
      </c>
      <c r="AB241" s="49" t="s">
        <v>393</v>
      </c>
      <c r="AC241" s="49" t="s">
        <v>1967</v>
      </c>
      <c r="AD241" s="49" t="n">
        <v>5474250</v>
      </c>
      <c r="AE241" s="49" t="s">
        <v>10</v>
      </c>
      <c r="AF241" s="49" t="s">
        <v>1970</v>
      </c>
      <c r="AG241" s="49" t="s">
        <v>10</v>
      </c>
      <c r="AH241" s="49" t="s">
        <v>1970</v>
      </c>
      <c r="AI241" s="49" t="s">
        <v>155</v>
      </c>
      <c r="AJ241" s="49" t="s">
        <v>156</v>
      </c>
      <c r="AK241" s="49" t="s">
        <v>124</v>
      </c>
      <c r="AL241" s="49" t="s">
        <v>125</v>
      </c>
      <c r="AM241" s="51" t="n">
        <v>6845.4</v>
      </c>
      <c r="AN241" s="49"/>
      <c r="AO241" s="49" t="s">
        <v>125</v>
      </c>
      <c r="AP241" s="49" t="s">
        <v>187</v>
      </c>
      <c r="AQ241" s="49" t="s">
        <v>128</v>
      </c>
      <c r="AR241" s="49" t="s">
        <v>1062</v>
      </c>
      <c r="AS241" s="49" t="s">
        <v>1971</v>
      </c>
      <c r="AT241" s="49" t="s">
        <v>1976</v>
      </c>
      <c r="AU241" s="49" t="s">
        <v>583</v>
      </c>
      <c r="AV241" s="49"/>
      <c r="AW241" s="49" t="s">
        <v>1973</v>
      </c>
      <c r="AX241" s="49"/>
      <c r="AY241" s="49"/>
      <c r="AZ241" s="49"/>
      <c r="BA241" s="49"/>
      <c r="BB241" s="49" t="n">
        <v>81263872</v>
      </c>
      <c r="BC241" s="49" t="s">
        <v>134</v>
      </c>
      <c r="BD241" s="49" t="s">
        <v>135</v>
      </c>
      <c r="BE241" s="49" t="s">
        <v>285</v>
      </c>
      <c r="BF241" s="49" t="s">
        <v>1974</v>
      </c>
      <c r="BG241" s="49" t="s">
        <v>138</v>
      </c>
      <c r="BH241" s="49" t="s">
        <v>194</v>
      </c>
      <c r="BI241" s="49" t="s">
        <v>140</v>
      </c>
      <c r="BJ241" s="49" t="s">
        <v>125</v>
      </c>
      <c r="BK241" s="49"/>
      <c r="BL241" s="49" t="s">
        <v>141</v>
      </c>
      <c r="BM241" s="49"/>
      <c r="BN241" s="49" t="s">
        <v>195</v>
      </c>
      <c r="BO241" s="49" t="s">
        <v>196</v>
      </c>
    </row>
    <row r="242" ht="16.8" customHeight="1">
      <c r="A242" s="43" t="s">
        <v>25</v>
      </c>
      <c r="B242" s="49" t="n">
        <v>232</v>
      </c>
      <c r="C242" s="49" t="s">
        <v>103</v>
      </c>
      <c r="D242" s="49" t="s">
        <v>104</v>
      </c>
      <c r="E242" s="49" t="s">
        <v>1963</v>
      </c>
      <c r="F242" s="49" t="s">
        <v>1964</v>
      </c>
      <c r="G242" s="49" t="s">
        <v>1373</v>
      </c>
      <c r="H242" s="49" t="s">
        <v>1965</v>
      </c>
      <c r="I242" s="49" t="s">
        <v>1966</v>
      </c>
      <c r="J242" s="49" t="s">
        <v>125</v>
      </c>
      <c r="K242" s="49" t="s">
        <v>110</v>
      </c>
      <c r="L242" s="49" t="s">
        <v>10</v>
      </c>
      <c r="M242" s="49" t="s">
        <v>507</v>
      </c>
      <c r="N242" s="49" t="s">
        <v>507</v>
      </c>
      <c r="O242" s="49" t="s">
        <v>125</v>
      </c>
      <c r="P242" s="49"/>
      <c r="Q242" s="49"/>
      <c r="R242" s="49" t="s">
        <v>1967</v>
      </c>
      <c r="S242" s="49" t="s">
        <v>10</v>
      </c>
      <c r="T242" s="49" t="s">
        <v>1968</v>
      </c>
      <c r="U242" s="49" t="s">
        <v>178</v>
      </c>
      <c r="V242" s="49" t="s">
        <v>1969</v>
      </c>
      <c r="W242" s="49" t="s">
        <v>117</v>
      </c>
      <c r="X242" s="49" t="s">
        <v>180</v>
      </c>
      <c r="Y242" s="49" t="s">
        <v>206</v>
      </c>
      <c r="Z242" s="49" t="s">
        <v>392</v>
      </c>
      <c r="AA242" s="49" t="s">
        <v>1771</v>
      </c>
      <c r="AB242" s="49" t="s">
        <v>393</v>
      </c>
      <c r="AC242" s="49" t="s">
        <v>1967</v>
      </c>
      <c r="AD242" s="49" t="n">
        <v>5474250</v>
      </c>
      <c r="AE242" s="49" t="s">
        <v>10</v>
      </c>
      <c r="AF242" s="49" t="s">
        <v>1970</v>
      </c>
      <c r="AG242" s="49" t="s">
        <v>10</v>
      </c>
      <c r="AH242" s="49" t="s">
        <v>1970</v>
      </c>
      <c r="AI242" s="49" t="s">
        <v>122</v>
      </c>
      <c r="AJ242" s="49" t="s">
        <v>123</v>
      </c>
      <c r="AK242" s="49" t="s">
        <v>124</v>
      </c>
      <c r="AL242" s="49" t="s">
        <v>125</v>
      </c>
      <c r="AM242" s="51" t="n">
        <v>8366.6</v>
      </c>
      <c r="AN242" s="49"/>
      <c r="AO242" s="49" t="s">
        <v>125</v>
      </c>
      <c r="AP242" s="49" t="s">
        <v>187</v>
      </c>
      <c r="AQ242" s="49" t="s">
        <v>128</v>
      </c>
      <c r="AR242" s="49" t="s">
        <v>1062</v>
      </c>
      <c r="AS242" s="49" t="s">
        <v>1971</v>
      </c>
      <c r="AT242" s="49" t="s">
        <v>1977</v>
      </c>
      <c r="AU242" s="49" t="s">
        <v>583</v>
      </c>
      <c r="AV242" s="49"/>
      <c r="AW242" s="49" t="s">
        <v>1973</v>
      </c>
      <c r="AX242" s="49"/>
      <c r="AY242" s="49"/>
      <c r="AZ242" s="49"/>
      <c r="BA242" s="49"/>
      <c r="BB242" s="49" t="n">
        <v>81263872</v>
      </c>
      <c r="BC242" s="49" t="s">
        <v>134</v>
      </c>
      <c r="BD242" s="49" t="s">
        <v>135</v>
      </c>
      <c r="BE242" s="49" t="s">
        <v>285</v>
      </c>
      <c r="BF242" s="49" t="s">
        <v>1974</v>
      </c>
      <c r="BG242" s="49" t="s">
        <v>138</v>
      </c>
      <c r="BH242" s="49" t="s">
        <v>194</v>
      </c>
      <c r="BI242" s="49" t="s">
        <v>140</v>
      </c>
      <c r="BJ242" s="49" t="s">
        <v>125</v>
      </c>
      <c r="BK242" s="49"/>
      <c r="BL242" s="49" t="s">
        <v>141</v>
      </c>
      <c r="BM242" s="49"/>
      <c r="BN242" s="49" t="s">
        <v>195</v>
      </c>
      <c r="BO242" s="49" t="s">
        <v>196</v>
      </c>
    </row>
    <row r="243" ht="16.8" customHeight="1">
      <c r="A243" s="43" t="s">
        <v>25</v>
      </c>
      <c r="B243" s="49" t="n">
        <v>233</v>
      </c>
      <c r="C243" s="49" t="s">
        <v>103</v>
      </c>
      <c r="D243" s="49" t="s">
        <v>104</v>
      </c>
      <c r="E243" s="49" t="s">
        <v>1963</v>
      </c>
      <c r="F243" s="49" t="s">
        <v>1964</v>
      </c>
      <c r="G243" s="49" t="s">
        <v>1373</v>
      </c>
      <c r="H243" s="49" t="s">
        <v>1965</v>
      </c>
      <c r="I243" s="49" t="s">
        <v>1966</v>
      </c>
      <c r="J243" s="49" t="s">
        <v>125</v>
      </c>
      <c r="K243" s="49" t="s">
        <v>110</v>
      </c>
      <c r="L243" s="49" t="s">
        <v>10</v>
      </c>
      <c r="M243" s="49" t="s">
        <v>507</v>
      </c>
      <c r="N243" s="49" t="s">
        <v>507</v>
      </c>
      <c r="O243" s="49" t="s">
        <v>125</v>
      </c>
      <c r="P243" s="49"/>
      <c r="Q243" s="49"/>
      <c r="R243" s="49" t="s">
        <v>1967</v>
      </c>
      <c r="S243" s="49" t="s">
        <v>10</v>
      </c>
      <c r="T243" s="49" t="s">
        <v>1968</v>
      </c>
      <c r="U243" s="49" t="s">
        <v>178</v>
      </c>
      <c r="V243" s="49" t="s">
        <v>1969</v>
      </c>
      <c r="W243" s="49" t="s">
        <v>117</v>
      </c>
      <c r="X243" s="49" t="s">
        <v>180</v>
      </c>
      <c r="Y243" s="49" t="s">
        <v>206</v>
      </c>
      <c r="Z243" s="49" t="s">
        <v>392</v>
      </c>
      <c r="AA243" s="49" t="s">
        <v>1771</v>
      </c>
      <c r="AB243" s="49" t="s">
        <v>393</v>
      </c>
      <c r="AC243" s="49" t="s">
        <v>1967</v>
      </c>
      <c r="AD243" s="49" t="n">
        <v>5474250</v>
      </c>
      <c r="AE243" s="49" t="s">
        <v>10</v>
      </c>
      <c r="AF243" s="49" t="s">
        <v>1970</v>
      </c>
      <c r="AG243" s="49" t="s">
        <v>10</v>
      </c>
      <c r="AH243" s="49" t="s">
        <v>1970</v>
      </c>
      <c r="AI243" s="49" t="s">
        <v>1782</v>
      </c>
      <c r="AJ243" s="49" t="s">
        <v>144</v>
      </c>
      <c r="AK243" s="49" t="s">
        <v>124</v>
      </c>
      <c r="AL243" s="49" t="s">
        <v>125</v>
      </c>
      <c r="AM243" s="51" t="n">
        <v>4563.6</v>
      </c>
      <c r="AN243" s="49"/>
      <c r="AO243" s="49" t="s">
        <v>125</v>
      </c>
      <c r="AP243" s="49" t="s">
        <v>187</v>
      </c>
      <c r="AQ243" s="49" t="s">
        <v>128</v>
      </c>
      <c r="AR243" s="49" t="s">
        <v>1062</v>
      </c>
      <c r="AS243" s="49" t="s">
        <v>1971</v>
      </c>
      <c r="AT243" s="49" t="s">
        <v>1978</v>
      </c>
      <c r="AU243" s="49" t="s">
        <v>583</v>
      </c>
      <c r="AV243" s="49"/>
      <c r="AW243" s="49" t="s">
        <v>1973</v>
      </c>
      <c r="AX243" s="49"/>
      <c r="AY243" s="49"/>
      <c r="AZ243" s="49"/>
      <c r="BA243" s="49"/>
      <c r="BB243" s="49" t="n">
        <v>81263872</v>
      </c>
      <c r="BC243" s="49" t="s">
        <v>134</v>
      </c>
      <c r="BD243" s="49" t="s">
        <v>135</v>
      </c>
      <c r="BE243" s="49" t="s">
        <v>285</v>
      </c>
      <c r="BF243" s="49" t="s">
        <v>1974</v>
      </c>
      <c r="BG243" s="49" t="s">
        <v>138</v>
      </c>
      <c r="BH243" s="49" t="s">
        <v>194</v>
      </c>
      <c r="BI243" s="49" t="s">
        <v>140</v>
      </c>
      <c r="BJ243" s="49" t="s">
        <v>125</v>
      </c>
      <c r="BK243" s="49"/>
      <c r="BL243" s="49" t="s">
        <v>141</v>
      </c>
      <c r="BM243" s="49"/>
      <c r="BN243" s="49" t="s">
        <v>195</v>
      </c>
      <c r="BO243" s="49" t="s">
        <v>196</v>
      </c>
    </row>
    <row r="244" ht="16.8" customHeight="1">
      <c r="A244" s="43" t="s">
        <v>25</v>
      </c>
      <c r="B244" s="49" t="n">
        <v>234</v>
      </c>
      <c r="C244" s="49" t="s">
        <v>103</v>
      </c>
      <c r="D244" s="49" t="s">
        <v>104</v>
      </c>
      <c r="E244" s="49" t="s">
        <v>1963</v>
      </c>
      <c r="F244" s="49" t="s">
        <v>1964</v>
      </c>
      <c r="G244" s="49" t="s">
        <v>1373</v>
      </c>
      <c r="H244" s="49" t="s">
        <v>1965</v>
      </c>
      <c r="I244" s="49" t="s">
        <v>1966</v>
      </c>
      <c r="J244" s="49" t="s">
        <v>125</v>
      </c>
      <c r="K244" s="49" t="s">
        <v>110</v>
      </c>
      <c r="L244" s="49" t="s">
        <v>10</v>
      </c>
      <c r="M244" s="49" t="s">
        <v>507</v>
      </c>
      <c r="N244" s="49" t="s">
        <v>507</v>
      </c>
      <c r="O244" s="49" t="s">
        <v>125</v>
      </c>
      <c r="P244" s="49"/>
      <c r="Q244" s="49"/>
      <c r="R244" s="49" t="s">
        <v>1967</v>
      </c>
      <c r="S244" s="49" t="s">
        <v>10</v>
      </c>
      <c r="T244" s="49" t="s">
        <v>1968</v>
      </c>
      <c r="U244" s="49" t="s">
        <v>178</v>
      </c>
      <c r="V244" s="49" t="s">
        <v>1969</v>
      </c>
      <c r="W244" s="49" t="s">
        <v>117</v>
      </c>
      <c r="X244" s="49" t="s">
        <v>180</v>
      </c>
      <c r="Y244" s="49" t="s">
        <v>206</v>
      </c>
      <c r="Z244" s="49" t="s">
        <v>392</v>
      </c>
      <c r="AA244" s="49" t="s">
        <v>1771</v>
      </c>
      <c r="AB244" s="49" t="s">
        <v>393</v>
      </c>
      <c r="AC244" s="49" t="s">
        <v>1967</v>
      </c>
      <c r="AD244" s="49" t="n">
        <v>5474250</v>
      </c>
      <c r="AE244" s="49" t="s">
        <v>10</v>
      </c>
      <c r="AF244" s="49" t="s">
        <v>1970</v>
      </c>
      <c r="AG244" s="49" t="s">
        <v>10</v>
      </c>
      <c r="AH244" s="49" t="s">
        <v>1970</v>
      </c>
      <c r="AI244" s="49" t="s">
        <v>1780</v>
      </c>
      <c r="AJ244" s="49" t="s">
        <v>147</v>
      </c>
      <c r="AK244" s="49" t="s">
        <v>124</v>
      </c>
      <c r="AL244" s="49" t="s">
        <v>125</v>
      </c>
      <c r="AM244" s="51" t="n">
        <v>4919.3</v>
      </c>
      <c r="AN244" s="49"/>
      <c r="AO244" s="49" t="s">
        <v>125</v>
      </c>
      <c r="AP244" s="49" t="s">
        <v>187</v>
      </c>
      <c r="AQ244" s="49" t="s">
        <v>128</v>
      </c>
      <c r="AR244" s="49" t="s">
        <v>1062</v>
      </c>
      <c r="AS244" s="49" t="s">
        <v>1971</v>
      </c>
      <c r="AT244" s="49" t="s">
        <v>1979</v>
      </c>
      <c r="AU244" s="49" t="s">
        <v>583</v>
      </c>
      <c r="AV244" s="49"/>
      <c r="AW244" s="49" t="s">
        <v>1973</v>
      </c>
      <c r="AX244" s="49"/>
      <c r="AY244" s="49"/>
      <c r="AZ244" s="49"/>
      <c r="BA244" s="49"/>
      <c r="BB244" s="49" t="n">
        <v>81263872</v>
      </c>
      <c r="BC244" s="49" t="s">
        <v>134</v>
      </c>
      <c r="BD244" s="49" t="s">
        <v>135</v>
      </c>
      <c r="BE244" s="49" t="s">
        <v>285</v>
      </c>
      <c r="BF244" s="49" t="s">
        <v>1974</v>
      </c>
      <c r="BG244" s="49" t="s">
        <v>138</v>
      </c>
      <c r="BH244" s="49" t="s">
        <v>194</v>
      </c>
      <c r="BI244" s="49" t="s">
        <v>140</v>
      </c>
      <c r="BJ244" s="49" t="s">
        <v>125</v>
      </c>
      <c r="BK244" s="49"/>
      <c r="BL244" s="49" t="s">
        <v>141</v>
      </c>
      <c r="BM244" s="49"/>
      <c r="BN244" s="49" t="s">
        <v>195</v>
      </c>
      <c r="BO244" s="49" t="s">
        <v>196</v>
      </c>
    </row>
    <row r="245" ht="16.8" customHeight="1">
      <c r="A245" s="43" t="s">
        <v>25</v>
      </c>
      <c r="B245" s="49" t="n">
        <v>235</v>
      </c>
      <c r="C245" s="49" t="s">
        <v>103</v>
      </c>
      <c r="D245" s="49" t="s">
        <v>104</v>
      </c>
      <c r="E245" s="49" t="s">
        <v>1980</v>
      </c>
      <c r="F245" s="49" t="s">
        <v>1981</v>
      </c>
      <c r="G245" s="49" t="s">
        <v>980</v>
      </c>
      <c r="H245" s="49" t="s">
        <v>1982</v>
      </c>
      <c r="I245" s="49" t="s">
        <v>1983</v>
      </c>
      <c r="J245" s="49" t="s">
        <v>125</v>
      </c>
      <c r="K245" s="49" t="s">
        <v>239</v>
      </c>
      <c r="L245" s="49" t="s">
        <v>980</v>
      </c>
      <c r="M245" s="49" t="s">
        <v>591</v>
      </c>
      <c r="N245" s="49" t="s">
        <v>592</v>
      </c>
      <c r="O245" s="49" t="s">
        <v>125</v>
      </c>
      <c r="P245" s="49" t="s">
        <v>980</v>
      </c>
      <c r="Q245" s="49" t="s">
        <v>1984</v>
      </c>
      <c r="R245" s="49" t="s">
        <v>1985</v>
      </c>
      <c r="S245" s="49" t="s">
        <v>14</v>
      </c>
      <c r="T245" s="49" t="s">
        <v>1986</v>
      </c>
      <c r="U245" s="49" t="s">
        <v>178</v>
      </c>
      <c r="V245" s="49" t="s">
        <v>1987</v>
      </c>
      <c r="W245" s="49" t="s">
        <v>117</v>
      </c>
      <c r="X245" s="49" t="s">
        <v>391</v>
      </c>
      <c r="Y245" s="49" t="s">
        <v>239</v>
      </c>
      <c r="Z245" s="49" t="s">
        <v>1988</v>
      </c>
      <c r="AA245" s="49" t="s">
        <v>1989</v>
      </c>
      <c r="AB245" s="49" t="s">
        <v>1990</v>
      </c>
      <c r="AC245" s="49" t="s">
        <v>1985</v>
      </c>
      <c r="AD245" s="49" t="n">
        <v>5472970</v>
      </c>
      <c r="AE245" s="49" t="s">
        <v>14</v>
      </c>
      <c r="AF245" s="49" t="s">
        <v>1991</v>
      </c>
      <c r="AG245" s="49" t="s">
        <v>14</v>
      </c>
      <c r="AH245" s="49" t="s">
        <v>1992</v>
      </c>
      <c r="AI245" s="49" t="s">
        <v>1993</v>
      </c>
      <c r="AJ245" s="49" t="s">
        <v>397</v>
      </c>
      <c r="AK245" s="49" t="s">
        <v>124</v>
      </c>
      <c r="AL245" s="49" t="s">
        <v>125</v>
      </c>
      <c r="AM245" s="51" t="n">
        <v>17500</v>
      </c>
      <c r="AN245" s="49"/>
      <c r="AO245" s="49" t="s">
        <v>125</v>
      </c>
      <c r="AP245" s="49" t="s">
        <v>187</v>
      </c>
      <c r="AQ245" s="49" t="s">
        <v>128</v>
      </c>
      <c r="AR245" s="49"/>
      <c r="AS245" s="49" t="s">
        <v>1994</v>
      </c>
      <c r="AT245" s="49"/>
      <c r="AU245" s="49" t="s">
        <v>1995</v>
      </c>
      <c r="AV245" s="49"/>
      <c r="AW245" s="49" t="s">
        <v>1996</v>
      </c>
      <c r="AX245" s="49"/>
      <c r="AY245" s="49"/>
      <c r="AZ245" s="49"/>
      <c r="BA245" s="49"/>
      <c r="BB245" s="49" t="n">
        <v>71056417</v>
      </c>
      <c r="BC245" s="49" t="s">
        <v>134</v>
      </c>
      <c r="BD245" s="49" t="s">
        <v>191</v>
      </c>
      <c r="BE245" s="49" t="s">
        <v>401</v>
      </c>
      <c r="BF245" s="49" t="s">
        <v>464</v>
      </c>
      <c r="BG245" s="49" t="s">
        <v>619</v>
      </c>
      <c r="BH245" s="49" t="s">
        <v>226</v>
      </c>
      <c r="BI245" s="49" t="s">
        <v>140</v>
      </c>
      <c r="BJ245" s="49" t="s">
        <v>125</v>
      </c>
      <c r="BK245" s="49"/>
      <c r="BL245" s="49"/>
      <c r="BM245" s="49"/>
      <c r="BN245" s="49"/>
      <c r="BO245" s="49" t="s">
        <v>196</v>
      </c>
    </row>
    <row r="246" ht="16.8" customHeight="1">
      <c r="A246" s="43" t="s">
        <v>25</v>
      </c>
      <c r="B246" s="49" t="n">
        <v>236</v>
      </c>
      <c r="C246" s="49" t="s">
        <v>103</v>
      </c>
      <c r="D246" s="49" t="s">
        <v>104</v>
      </c>
      <c r="E246" s="49" t="s">
        <v>1997</v>
      </c>
      <c r="F246" s="49" t="s">
        <v>1998</v>
      </c>
      <c r="G246" s="49" t="s">
        <v>385</v>
      </c>
      <c r="H246" s="49" t="s">
        <v>1999</v>
      </c>
      <c r="I246" s="165" t="s">
        <v>2000</v>
      </c>
      <c r="J246" s="49"/>
      <c r="K246" s="49" t="s">
        <v>214</v>
      </c>
      <c r="L246" s="49" t="s">
        <v>14</v>
      </c>
      <c r="M246" s="49" t="s">
        <v>111</v>
      </c>
      <c r="N246" s="49" t="s">
        <v>112</v>
      </c>
      <c r="O246" s="49" t="s">
        <v>388</v>
      </c>
      <c r="P246" s="49"/>
      <c r="Q246" s="49"/>
      <c r="R246" s="49" t="s">
        <v>1997</v>
      </c>
      <c r="S246" s="49" t="s">
        <v>14</v>
      </c>
      <c r="T246" s="49" t="s">
        <v>2001</v>
      </c>
      <c r="U246" s="49" t="s">
        <v>115</v>
      </c>
      <c r="V246" s="49" t="s">
        <v>2002</v>
      </c>
      <c r="W246" s="49" t="s">
        <v>117</v>
      </c>
      <c r="X246" s="49" t="s">
        <v>391</v>
      </c>
      <c r="Y246" s="49" t="s">
        <v>214</v>
      </c>
      <c r="Z246" s="49" t="s">
        <v>2003</v>
      </c>
      <c r="AA246" s="49" t="s">
        <v>331</v>
      </c>
      <c r="AB246" s="49" t="s">
        <v>714</v>
      </c>
      <c r="AC246" s="49" t="s">
        <v>1997</v>
      </c>
      <c r="AD246" s="49" t="n">
        <v>5472343</v>
      </c>
      <c r="AE246" s="49" t="s">
        <v>14</v>
      </c>
      <c r="AF246" s="49" t="s">
        <v>2004</v>
      </c>
      <c r="AG246" s="49" t="s">
        <v>14</v>
      </c>
      <c r="AH246" s="49" t="s">
        <v>2005</v>
      </c>
      <c r="AI246" s="49" t="s">
        <v>2006</v>
      </c>
      <c r="AJ246" s="49" t="s">
        <v>397</v>
      </c>
      <c r="AK246" s="49" t="s">
        <v>124</v>
      </c>
      <c r="AL246" s="49" t="s">
        <v>125</v>
      </c>
      <c r="AM246" s="51" t="n">
        <v>23000</v>
      </c>
      <c r="AN246" s="49"/>
      <c r="AO246" s="49" t="s">
        <v>385</v>
      </c>
      <c r="AP246" s="49" t="s">
        <v>127</v>
      </c>
      <c r="AQ246" s="49" t="s">
        <v>128</v>
      </c>
      <c r="AR246" s="49"/>
      <c r="AS246" s="49" t="s">
        <v>2007</v>
      </c>
      <c r="AT246" s="49"/>
      <c r="AU246" s="49" t="s">
        <v>1995</v>
      </c>
      <c r="AV246" s="49"/>
      <c r="AW246" s="49" t="s">
        <v>2008</v>
      </c>
      <c r="AX246" s="49"/>
      <c r="AY246" s="49"/>
      <c r="AZ246" s="49"/>
      <c r="BA246" s="49"/>
      <c r="BB246" s="49" t="n">
        <v>45380621</v>
      </c>
      <c r="BC246" s="49" t="s">
        <v>134</v>
      </c>
      <c r="BD246" s="49" t="s">
        <v>191</v>
      </c>
      <c r="BE246" s="49" t="s">
        <v>401</v>
      </c>
      <c r="BF246" s="49" t="s">
        <v>402</v>
      </c>
      <c r="BG246" s="49" t="s">
        <v>138</v>
      </c>
      <c r="BH246" s="49" t="s">
        <v>139</v>
      </c>
      <c r="BI246" s="49" t="s">
        <v>140</v>
      </c>
      <c r="BJ246" s="49" t="s">
        <v>125</v>
      </c>
      <c r="BK246" s="49"/>
      <c r="BL246" s="49"/>
      <c r="BM246" s="49"/>
      <c r="BN246" s="49"/>
      <c r="BO246" s="49" t="s">
        <v>112</v>
      </c>
    </row>
    <row r="247" ht="16.8" customHeight="1">
      <c r="A247" s="43" t="s">
        <v>25</v>
      </c>
      <c r="B247" s="49" t="n">
        <v>237</v>
      </c>
      <c r="C247" s="49" t="s">
        <v>103</v>
      </c>
      <c r="D247" s="49" t="s">
        <v>104</v>
      </c>
      <c r="E247" s="49" t="s">
        <v>2009</v>
      </c>
      <c r="F247" s="49" t="s">
        <v>2010</v>
      </c>
      <c r="G247" s="49" t="s">
        <v>2011</v>
      </c>
      <c r="H247" s="49" t="s">
        <v>2012</v>
      </c>
      <c r="I247" s="49" t="s">
        <v>2013</v>
      </c>
      <c r="J247" s="49"/>
      <c r="K247" s="49" t="s">
        <v>110</v>
      </c>
      <c r="L247" s="49" t="s">
        <v>14</v>
      </c>
      <c r="M247" s="49" t="s">
        <v>111</v>
      </c>
      <c r="N247" s="49" t="s">
        <v>112</v>
      </c>
      <c r="O247" s="49" t="s">
        <v>2014</v>
      </c>
      <c r="P247" s="49"/>
      <c r="Q247" s="49"/>
      <c r="R247" s="49" t="s">
        <v>2009</v>
      </c>
      <c r="S247" s="49" t="s">
        <v>14</v>
      </c>
      <c r="T247" s="49" t="s">
        <v>2015</v>
      </c>
      <c r="U247" s="49" t="s">
        <v>115</v>
      </c>
      <c r="V247" s="49" t="s">
        <v>2016</v>
      </c>
      <c r="W247" s="49" t="s">
        <v>117</v>
      </c>
      <c r="X247" s="49" t="s">
        <v>1131</v>
      </c>
      <c r="Y247" s="49" t="s">
        <v>110</v>
      </c>
      <c r="Z247" s="49" t="s">
        <v>1561</v>
      </c>
      <c r="AA247" s="49" t="s">
        <v>1562</v>
      </c>
      <c r="AB247" s="49" t="s">
        <v>513</v>
      </c>
      <c r="AC247" s="49" t="s">
        <v>2009</v>
      </c>
      <c r="AD247" s="49" t="n">
        <v>5410899</v>
      </c>
      <c r="AE247" s="49" t="s">
        <v>14</v>
      </c>
      <c r="AF247" s="49" t="s">
        <v>2017</v>
      </c>
      <c r="AG247" s="49" t="s">
        <v>14</v>
      </c>
      <c r="AH247" s="49" t="s">
        <v>2018</v>
      </c>
      <c r="AI247" s="49" t="s">
        <v>1809</v>
      </c>
      <c r="AJ247" s="49" t="s">
        <v>894</v>
      </c>
      <c r="AK247" s="49" t="s">
        <v>124</v>
      </c>
      <c r="AL247" s="49" t="s">
        <v>125</v>
      </c>
      <c r="AM247" s="51" t="n">
        <v>5680</v>
      </c>
      <c r="AN247" s="49" t="s">
        <v>1652</v>
      </c>
      <c r="AO247" s="49" t="s">
        <v>2011</v>
      </c>
      <c r="AP247" s="49" t="s">
        <v>127</v>
      </c>
      <c r="AQ247" s="49" t="s">
        <v>128</v>
      </c>
      <c r="AR247" s="49" t="s">
        <v>1062</v>
      </c>
      <c r="AS247" s="49" t="s">
        <v>2019</v>
      </c>
      <c r="AT247" s="49" t="s">
        <v>2020</v>
      </c>
      <c r="AU247" s="49" t="s">
        <v>1995</v>
      </c>
      <c r="AV247" s="49"/>
      <c r="AW247" s="49" t="s">
        <v>2021</v>
      </c>
      <c r="AX247" s="49"/>
      <c r="AY247" s="49"/>
      <c r="AZ247" s="49"/>
      <c r="BA247" s="49"/>
      <c r="BB247" s="49" t="n">
        <v>60837614</v>
      </c>
      <c r="BC247" s="49" t="s">
        <v>134</v>
      </c>
      <c r="BD247" s="49" t="s">
        <v>655</v>
      </c>
      <c r="BE247" s="49" t="s">
        <v>894</v>
      </c>
      <c r="BF247" s="49" t="s">
        <v>125</v>
      </c>
      <c r="BG247" s="49"/>
      <c r="BH247" s="49" t="s">
        <v>139</v>
      </c>
      <c r="BI247" s="49" t="s">
        <v>140</v>
      </c>
      <c r="BJ247" s="49" t="s">
        <v>125</v>
      </c>
      <c r="BK247" s="49"/>
      <c r="BL247" s="49" t="s">
        <v>141</v>
      </c>
      <c r="BM247" s="49"/>
      <c r="BN247" s="49" t="s">
        <v>142</v>
      </c>
      <c r="BO247" s="49" t="s">
        <v>112</v>
      </c>
    </row>
    <row r="248" ht="16.8" customHeight="1">
      <c r="A248" s="43" t="s">
        <v>25</v>
      </c>
      <c r="B248" s="49" t="n">
        <v>238</v>
      </c>
      <c r="C248" s="49" t="s">
        <v>103</v>
      </c>
      <c r="D248" s="49" t="s">
        <v>104</v>
      </c>
      <c r="E248" s="49" t="s">
        <v>2022</v>
      </c>
      <c r="F248" s="49" t="s">
        <v>2023</v>
      </c>
      <c r="G248" s="49" t="s">
        <v>1050</v>
      </c>
      <c r="H248" s="49" t="s">
        <v>2024</v>
      </c>
      <c r="I248" s="166" t="s">
        <v>2025</v>
      </c>
      <c r="J248" s="49" t="s">
        <v>1053</v>
      </c>
      <c r="K248" s="49" t="s">
        <v>250</v>
      </c>
      <c r="L248" s="49" t="s">
        <v>14</v>
      </c>
      <c r="M248" s="49" t="s">
        <v>607</v>
      </c>
      <c r="N248" s="49" t="s">
        <v>608</v>
      </c>
      <c r="O248" s="49" t="s">
        <v>125</v>
      </c>
      <c r="P248" s="49"/>
      <c r="Q248" s="49"/>
      <c r="R248" s="49" t="s">
        <v>2026</v>
      </c>
      <c r="S248" s="49" t="s">
        <v>14</v>
      </c>
      <c r="T248" s="49" t="s">
        <v>2027</v>
      </c>
      <c r="U248" s="49" t="s">
        <v>178</v>
      </c>
      <c r="V248" s="49" t="s">
        <v>2028</v>
      </c>
      <c r="W248" s="49" t="s">
        <v>117</v>
      </c>
      <c r="X248" s="49" t="s">
        <v>1354</v>
      </c>
      <c r="Y248" s="49" t="s">
        <v>174</v>
      </c>
      <c r="Z248" s="49" t="s">
        <v>1744</v>
      </c>
      <c r="AA248" s="49" t="s">
        <v>2029</v>
      </c>
      <c r="AB248" s="49" t="s">
        <v>1598</v>
      </c>
      <c r="AC248" s="49" t="s">
        <v>2026</v>
      </c>
      <c r="AD248" s="49" t="n">
        <v>5471255</v>
      </c>
      <c r="AE248" s="49" t="s">
        <v>14</v>
      </c>
      <c r="AF248" s="49" t="s">
        <v>2030</v>
      </c>
      <c r="AG248" s="49" t="s">
        <v>14</v>
      </c>
      <c r="AH248" s="49" t="s">
        <v>2031</v>
      </c>
      <c r="AI248" s="49" t="s">
        <v>1365</v>
      </c>
      <c r="AJ248" s="49" t="s">
        <v>1366</v>
      </c>
      <c r="AK248" s="49" t="s">
        <v>124</v>
      </c>
      <c r="AL248" s="49" t="s">
        <v>125</v>
      </c>
      <c r="AM248" s="51" t="n">
        <v>259000</v>
      </c>
      <c r="AN248" s="49"/>
      <c r="AO248" s="49" t="s">
        <v>125</v>
      </c>
      <c r="AP248" s="49" t="s">
        <v>187</v>
      </c>
      <c r="AQ248" s="49" t="s">
        <v>128</v>
      </c>
      <c r="AR248" s="49"/>
      <c r="AS248" s="49" t="s">
        <v>2032</v>
      </c>
      <c r="AT248" s="49" t="s">
        <v>2033</v>
      </c>
      <c r="AU248" s="49" t="s">
        <v>601</v>
      </c>
      <c r="AV248" s="49"/>
      <c r="AW248" s="49" t="s">
        <v>2034</v>
      </c>
      <c r="AX248" s="49"/>
      <c r="AY248" s="49"/>
      <c r="AZ248" s="49"/>
      <c r="BA248" s="49"/>
      <c r="BB248" s="49" t="n">
        <v>81178062</v>
      </c>
      <c r="BC248" s="49" t="s">
        <v>134</v>
      </c>
      <c r="BD248" s="49" t="s">
        <v>191</v>
      </c>
      <c r="BE248" s="49" t="s">
        <v>2035</v>
      </c>
      <c r="BF248" s="49" t="s">
        <v>2036</v>
      </c>
      <c r="BG248" s="49" t="s">
        <v>138</v>
      </c>
      <c r="BH248" s="49" t="s">
        <v>139</v>
      </c>
      <c r="BI248" s="49" t="s">
        <v>140</v>
      </c>
      <c r="BJ248" s="49" t="s">
        <v>125</v>
      </c>
      <c r="BK248" s="49"/>
      <c r="BL248" s="49"/>
      <c r="BM248" s="49"/>
      <c r="BN248" s="49" t="s">
        <v>142</v>
      </c>
      <c r="BO248" s="49" t="s">
        <v>608</v>
      </c>
    </row>
    <row r="249" ht="16.8" customHeight="1">
      <c r="A249" s="43" t="s">
        <v>25</v>
      </c>
      <c r="B249" s="49" t="n">
        <v>239</v>
      </c>
      <c r="C249" s="49" t="s">
        <v>103</v>
      </c>
      <c r="D249" s="49" t="s">
        <v>104</v>
      </c>
      <c r="E249" s="49" t="s">
        <v>2022</v>
      </c>
      <c r="F249" s="49" t="s">
        <v>2023</v>
      </c>
      <c r="G249" s="49" t="s">
        <v>1050</v>
      </c>
      <c r="H249" s="49" t="s">
        <v>2024</v>
      </c>
      <c r="I249" s="167" t="s">
        <v>2025</v>
      </c>
      <c r="J249" s="49" t="s">
        <v>1053</v>
      </c>
      <c r="K249" s="49" t="s">
        <v>250</v>
      </c>
      <c r="L249" s="49" t="s">
        <v>14</v>
      </c>
      <c r="M249" s="49" t="s">
        <v>607</v>
      </c>
      <c r="N249" s="49" t="s">
        <v>608</v>
      </c>
      <c r="O249" s="49" t="s">
        <v>125</v>
      </c>
      <c r="P249" s="49"/>
      <c r="Q249" s="49"/>
      <c r="R249" s="49" t="s">
        <v>2026</v>
      </c>
      <c r="S249" s="49" t="s">
        <v>14</v>
      </c>
      <c r="T249" s="49" t="s">
        <v>2027</v>
      </c>
      <c r="U249" s="49" t="s">
        <v>178</v>
      </c>
      <c r="V249" s="49" t="s">
        <v>2028</v>
      </c>
      <c r="W249" s="49" t="s">
        <v>117</v>
      </c>
      <c r="X249" s="49" t="s">
        <v>1354</v>
      </c>
      <c r="Y249" s="49" t="s">
        <v>174</v>
      </c>
      <c r="Z249" s="49" t="s">
        <v>1744</v>
      </c>
      <c r="AA249" s="49" t="s">
        <v>2029</v>
      </c>
      <c r="AB249" s="49" t="s">
        <v>1598</v>
      </c>
      <c r="AC249" s="49" t="s">
        <v>2026</v>
      </c>
      <c r="AD249" s="49" t="n">
        <v>5471255</v>
      </c>
      <c r="AE249" s="49" t="s">
        <v>14</v>
      </c>
      <c r="AF249" s="49" t="s">
        <v>2030</v>
      </c>
      <c r="AG249" s="49" t="s">
        <v>14</v>
      </c>
      <c r="AH249" s="49" t="s">
        <v>2031</v>
      </c>
      <c r="AI249" s="49" t="s">
        <v>1368</v>
      </c>
      <c r="AJ249" s="49" t="s">
        <v>1369</v>
      </c>
      <c r="AK249" s="49" t="s">
        <v>124</v>
      </c>
      <c r="AL249" s="49" t="s">
        <v>125</v>
      </c>
      <c r="AM249" s="51" t="n">
        <v>12000</v>
      </c>
      <c r="AN249" s="49"/>
      <c r="AO249" s="49" t="s">
        <v>125</v>
      </c>
      <c r="AP249" s="49" t="s">
        <v>187</v>
      </c>
      <c r="AQ249" s="49" t="s">
        <v>128</v>
      </c>
      <c r="AR249" s="49"/>
      <c r="AS249" s="49" t="s">
        <v>2032</v>
      </c>
      <c r="AT249" s="49" t="s">
        <v>2037</v>
      </c>
      <c r="AU249" s="49" t="s">
        <v>601</v>
      </c>
      <c r="AV249" s="49"/>
      <c r="AW249" s="49" t="s">
        <v>2034</v>
      </c>
      <c r="AX249" s="49"/>
      <c r="AY249" s="49"/>
      <c r="AZ249" s="49"/>
      <c r="BA249" s="49"/>
      <c r="BB249" s="49" t="n">
        <v>81178062</v>
      </c>
      <c r="BC249" s="49" t="s">
        <v>134</v>
      </c>
      <c r="BD249" s="49" t="s">
        <v>191</v>
      </c>
      <c r="BE249" s="49" t="s">
        <v>2035</v>
      </c>
      <c r="BF249" s="49" t="s">
        <v>2036</v>
      </c>
      <c r="BG249" s="49" t="s">
        <v>138</v>
      </c>
      <c r="BH249" s="49" t="s">
        <v>139</v>
      </c>
      <c r="BI249" s="49" t="s">
        <v>140</v>
      </c>
      <c r="BJ249" s="49" t="s">
        <v>125</v>
      </c>
      <c r="BK249" s="49"/>
      <c r="BL249" s="49"/>
      <c r="BM249" s="49"/>
      <c r="BN249" s="49" t="s">
        <v>142</v>
      </c>
      <c r="BO249" s="49" t="s">
        <v>608</v>
      </c>
    </row>
    <row r="250" ht="16.8" customHeight="1">
      <c r="A250" s="43" t="s">
        <v>25</v>
      </c>
      <c r="B250" s="49" t="n">
        <v>240</v>
      </c>
      <c r="C250" s="49" t="s">
        <v>103</v>
      </c>
      <c r="D250" s="49" t="s">
        <v>104</v>
      </c>
      <c r="E250" s="49" t="s">
        <v>899</v>
      </c>
      <c r="F250" s="49" t="s">
        <v>2038</v>
      </c>
      <c r="G250" s="49" t="s">
        <v>1330</v>
      </c>
      <c r="H250" s="49" t="s">
        <v>2039</v>
      </c>
      <c r="I250" s="49" t="s">
        <v>2040</v>
      </c>
      <c r="J250" s="49" t="s">
        <v>125</v>
      </c>
      <c r="K250" s="49" t="s">
        <v>174</v>
      </c>
      <c r="L250" s="49" t="s">
        <v>14</v>
      </c>
      <c r="M250" s="49" t="s">
        <v>1036</v>
      </c>
      <c r="N250" s="49" t="s">
        <v>2041</v>
      </c>
      <c r="O250" s="49" t="s">
        <v>125</v>
      </c>
      <c r="P250" s="49"/>
      <c r="Q250" s="49"/>
      <c r="R250" s="49" t="s">
        <v>2042</v>
      </c>
      <c r="S250" s="49" t="s">
        <v>14</v>
      </c>
      <c r="T250" s="49" t="s">
        <v>2043</v>
      </c>
      <c r="U250" s="49" t="s">
        <v>178</v>
      </c>
      <c r="V250" s="49" t="s">
        <v>2044</v>
      </c>
      <c r="W250" s="49" t="s">
        <v>117</v>
      </c>
      <c r="X250" s="49" t="s">
        <v>118</v>
      </c>
      <c r="Y250" s="49" t="s">
        <v>174</v>
      </c>
      <c r="Z250" s="49" t="s">
        <v>274</v>
      </c>
      <c r="AA250" s="49" t="s">
        <v>496</v>
      </c>
      <c r="AB250" s="49" t="s">
        <v>2045</v>
      </c>
      <c r="AC250" s="49" t="s">
        <v>2042</v>
      </c>
      <c r="AD250" s="49" t="n">
        <v>5470759</v>
      </c>
      <c r="AE250" s="49" t="s">
        <v>14</v>
      </c>
      <c r="AF250" s="49" t="s">
        <v>2046</v>
      </c>
      <c r="AG250" s="49" t="s">
        <v>14</v>
      </c>
      <c r="AH250" s="49" t="s">
        <v>2046</v>
      </c>
      <c r="AI250" s="49" t="s">
        <v>2047</v>
      </c>
      <c r="AJ250" s="49" t="s">
        <v>480</v>
      </c>
      <c r="AK250" s="49" t="s">
        <v>124</v>
      </c>
      <c r="AL250" s="49" t="s">
        <v>125</v>
      </c>
      <c r="AM250" s="51" t="n">
        <v>2748.2</v>
      </c>
      <c r="AN250" s="49"/>
      <c r="AO250" s="49" t="s">
        <v>125</v>
      </c>
      <c r="AP250" s="49" t="s">
        <v>187</v>
      </c>
      <c r="AQ250" s="49" t="s">
        <v>128</v>
      </c>
      <c r="AR250" s="49" t="s">
        <v>681</v>
      </c>
      <c r="AS250" s="49" t="s">
        <v>2048</v>
      </c>
      <c r="AT250" s="49" t="s">
        <v>2049</v>
      </c>
      <c r="AU250" s="49" t="s">
        <v>601</v>
      </c>
      <c r="AV250" s="49"/>
      <c r="AW250" s="49" t="s">
        <v>2050</v>
      </c>
      <c r="AX250" s="49"/>
      <c r="AY250" s="49"/>
      <c r="AZ250" s="49"/>
      <c r="BA250" s="49"/>
      <c r="BB250" s="49" t="n">
        <v>81161881</v>
      </c>
      <c r="BC250" s="49" t="s">
        <v>134</v>
      </c>
      <c r="BD250" s="49" t="s">
        <v>191</v>
      </c>
      <c r="BE250" s="49" t="s">
        <v>136</v>
      </c>
      <c r="BF250" s="49" t="s">
        <v>1172</v>
      </c>
      <c r="BG250" s="49" t="s">
        <v>138</v>
      </c>
      <c r="BH250" s="49" t="s">
        <v>194</v>
      </c>
      <c r="BI250" s="49" t="s">
        <v>140</v>
      </c>
      <c r="BJ250" s="49" t="s">
        <v>125</v>
      </c>
      <c r="BK250" s="49"/>
      <c r="BL250" s="49" t="s">
        <v>141</v>
      </c>
      <c r="BM250" s="49"/>
      <c r="BN250" s="49" t="s">
        <v>195</v>
      </c>
      <c r="BO250" s="49" t="s">
        <v>338</v>
      </c>
    </row>
    <row r="251" ht="16.8" customHeight="1">
      <c r="A251" s="43" t="s">
        <v>25</v>
      </c>
      <c r="B251" s="49" t="n">
        <v>241</v>
      </c>
      <c r="C251" s="49" t="s">
        <v>103</v>
      </c>
      <c r="D251" s="49" t="s">
        <v>104</v>
      </c>
      <c r="E251" s="49" t="s">
        <v>899</v>
      </c>
      <c r="F251" s="49" t="s">
        <v>2038</v>
      </c>
      <c r="G251" s="49" t="s">
        <v>1330</v>
      </c>
      <c r="H251" s="49" t="s">
        <v>2039</v>
      </c>
      <c r="I251" s="49" t="s">
        <v>2040</v>
      </c>
      <c r="J251" s="49" t="s">
        <v>125</v>
      </c>
      <c r="K251" s="49" t="s">
        <v>174</v>
      </c>
      <c r="L251" s="49" t="s">
        <v>14</v>
      </c>
      <c r="M251" s="49" t="s">
        <v>1036</v>
      </c>
      <c r="N251" s="49" t="s">
        <v>2041</v>
      </c>
      <c r="O251" s="49" t="s">
        <v>125</v>
      </c>
      <c r="P251" s="49"/>
      <c r="Q251" s="49"/>
      <c r="R251" s="49" t="s">
        <v>2042</v>
      </c>
      <c r="S251" s="49" t="s">
        <v>14</v>
      </c>
      <c r="T251" s="49" t="s">
        <v>2043</v>
      </c>
      <c r="U251" s="49" t="s">
        <v>178</v>
      </c>
      <c r="V251" s="49" t="s">
        <v>2044</v>
      </c>
      <c r="W251" s="49" t="s">
        <v>117</v>
      </c>
      <c r="X251" s="49" t="s">
        <v>118</v>
      </c>
      <c r="Y251" s="49" t="s">
        <v>174</v>
      </c>
      <c r="Z251" s="49" t="s">
        <v>274</v>
      </c>
      <c r="AA251" s="49" t="s">
        <v>496</v>
      </c>
      <c r="AB251" s="49" t="s">
        <v>2045</v>
      </c>
      <c r="AC251" s="49" t="s">
        <v>2042</v>
      </c>
      <c r="AD251" s="49" t="n">
        <v>5470759</v>
      </c>
      <c r="AE251" s="49" t="s">
        <v>14</v>
      </c>
      <c r="AF251" s="49" t="s">
        <v>2046</v>
      </c>
      <c r="AG251" s="49" t="s">
        <v>14</v>
      </c>
      <c r="AH251" s="49" t="s">
        <v>2046</v>
      </c>
      <c r="AI251" s="49" t="s">
        <v>2051</v>
      </c>
      <c r="AJ251" s="49" t="s">
        <v>2052</v>
      </c>
      <c r="AK251" s="49" t="s">
        <v>124</v>
      </c>
      <c r="AL251" s="49" t="s">
        <v>125</v>
      </c>
      <c r="AM251" s="51" t="n">
        <v>6740.1</v>
      </c>
      <c r="AN251" s="49"/>
      <c r="AO251" s="49" t="s">
        <v>125</v>
      </c>
      <c r="AP251" s="49" t="s">
        <v>187</v>
      </c>
      <c r="AQ251" s="49" t="s">
        <v>128</v>
      </c>
      <c r="AR251" s="49" t="s">
        <v>681</v>
      </c>
      <c r="AS251" s="49" t="s">
        <v>2048</v>
      </c>
      <c r="AT251" s="49" t="s">
        <v>2053</v>
      </c>
      <c r="AU251" s="49" t="s">
        <v>601</v>
      </c>
      <c r="AV251" s="49"/>
      <c r="AW251" s="49" t="s">
        <v>2050</v>
      </c>
      <c r="AX251" s="49"/>
      <c r="AY251" s="49"/>
      <c r="AZ251" s="49"/>
      <c r="BA251" s="49"/>
      <c r="BB251" s="49" t="n">
        <v>81161881</v>
      </c>
      <c r="BC251" s="49" t="s">
        <v>134</v>
      </c>
      <c r="BD251" s="49" t="s">
        <v>191</v>
      </c>
      <c r="BE251" s="49" t="s">
        <v>136</v>
      </c>
      <c r="BF251" s="49" t="s">
        <v>1172</v>
      </c>
      <c r="BG251" s="49" t="s">
        <v>138</v>
      </c>
      <c r="BH251" s="49" t="s">
        <v>194</v>
      </c>
      <c r="BI251" s="49" t="s">
        <v>140</v>
      </c>
      <c r="BJ251" s="49" t="s">
        <v>125</v>
      </c>
      <c r="BK251" s="49"/>
      <c r="BL251" s="49" t="s">
        <v>141</v>
      </c>
      <c r="BM251" s="49"/>
      <c r="BN251" s="49" t="s">
        <v>195</v>
      </c>
      <c r="BO251" s="49" t="s">
        <v>338</v>
      </c>
    </row>
    <row r="252" ht="16.8" customHeight="1">
      <c r="A252" s="43" t="s">
        <v>25</v>
      </c>
      <c r="B252" s="49" t="n">
        <v>242</v>
      </c>
      <c r="C252" s="49" t="s">
        <v>103</v>
      </c>
      <c r="D252" s="49" t="s">
        <v>104</v>
      </c>
      <c r="E252" s="49" t="s">
        <v>899</v>
      </c>
      <c r="F252" s="49" t="s">
        <v>2038</v>
      </c>
      <c r="G252" s="49" t="s">
        <v>1330</v>
      </c>
      <c r="H252" s="49" t="s">
        <v>2039</v>
      </c>
      <c r="I252" s="49" t="s">
        <v>2040</v>
      </c>
      <c r="J252" s="49" t="s">
        <v>125</v>
      </c>
      <c r="K252" s="49" t="s">
        <v>174</v>
      </c>
      <c r="L252" s="49" t="s">
        <v>14</v>
      </c>
      <c r="M252" s="49" t="s">
        <v>1036</v>
      </c>
      <c r="N252" s="49" t="s">
        <v>2041</v>
      </c>
      <c r="O252" s="49" t="s">
        <v>125</v>
      </c>
      <c r="P252" s="49"/>
      <c r="Q252" s="49"/>
      <c r="R252" s="49" t="s">
        <v>2042</v>
      </c>
      <c r="S252" s="49" t="s">
        <v>14</v>
      </c>
      <c r="T252" s="49" t="s">
        <v>2043</v>
      </c>
      <c r="U252" s="49" t="s">
        <v>178</v>
      </c>
      <c r="V252" s="49" t="s">
        <v>2044</v>
      </c>
      <c r="W252" s="49" t="s">
        <v>117</v>
      </c>
      <c r="X252" s="49" t="s">
        <v>118</v>
      </c>
      <c r="Y252" s="49" t="s">
        <v>174</v>
      </c>
      <c r="Z252" s="49" t="s">
        <v>274</v>
      </c>
      <c r="AA252" s="49" t="s">
        <v>496</v>
      </c>
      <c r="AB252" s="49" t="s">
        <v>2045</v>
      </c>
      <c r="AC252" s="49" t="s">
        <v>2042</v>
      </c>
      <c r="AD252" s="49" t="n">
        <v>5470759</v>
      </c>
      <c r="AE252" s="49" t="s">
        <v>14</v>
      </c>
      <c r="AF252" s="49" t="s">
        <v>2046</v>
      </c>
      <c r="AG252" s="49" t="s">
        <v>14</v>
      </c>
      <c r="AH252" s="49" t="s">
        <v>2046</v>
      </c>
      <c r="AI252" s="49" t="s">
        <v>2054</v>
      </c>
      <c r="AJ252" s="49" t="s">
        <v>485</v>
      </c>
      <c r="AK252" s="49" t="s">
        <v>124</v>
      </c>
      <c r="AL252" s="49" t="s">
        <v>125</v>
      </c>
      <c r="AM252" s="51" t="n">
        <v>6821.3</v>
      </c>
      <c r="AN252" s="49"/>
      <c r="AO252" s="49" t="s">
        <v>125</v>
      </c>
      <c r="AP252" s="49" t="s">
        <v>187</v>
      </c>
      <c r="AQ252" s="49" t="s">
        <v>128</v>
      </c>
      <c r="AR252" s="49" t="s">
        <v>681</v>
      </c>
      <c r="AS252" s="49" t="s">
        <v>2048</v>
      </c>
      <c r="AT252" s="49" t="s">
        <v>2055</v>
      </c>
      <c r="AU252" s="49" t="s">
        <v>601</v>
      </c>
      <c r="AV252" s="49"/>
      <c r="AW252" s="49" t="s">
        <v>2050</v>
      </c>
      <c r="AX252" s="49"/>
      <c r="AY252" s="49"/>
      <c r="AZ252" s="49"/>
      <c r="BA252" s="49"/>
      <c r="BB252" s="49" t="n">
        <v>81161881</v>
      </c>
      <c r="BC252" s="49" t="s">
        <v>134</v>
      </c>
      <c r="BD252" s="49" t="s">
        <v>191</v>
      </c>
      <c r="BE252" s="49" t="s">
        <v>136</v>
      </c>
      <c r="BF252" s="49" t="s">
        <v>1172</v>
      </c>
      <c r="BG252" s="49" t="s">
        <v>138</v>
      </c>
      <c r="BH252" s="49" t="s">
        <v>194</v>
      </c>
      <c r="BI252" s="49" t="s">
        <v>140</v>
      </c>
      <c r="BJ252" s="49" t="s">
        <v>125</v>
      </c>
      <c r="BK252" s="49"/>
      <c r="BL252" s="49" t="s">
        <v>141</v>
      </c>
      <c r="BM252" s="49"/>
      <c r="BN252" s="49" t="s">
        <v>195</v>
      </c>
      <c r="BO252" s="49" t="s">
        <v>338</v>
      </c>
    </row>
    <row r="253" ht="16.8" customHeight="1">
      <c r="A253" s="43" t="s">
        <v>25</v>
      </c>
      <c r="B253" s="49" t="n">
        <v>243</v>
      </c>
      <c r="C253" s="49" t="s">
        <v>103</v>
      </c>
      <c r="D253" s="49" t="s">
        <v>104</v>
      </c>
      <c r="E253" s="49" t="s">
        <v>899</v>
      </c>
      <c r="F253" s="49" t="s">
        <v>2038</v>
      </c>
      <c r="G253" s="49" t="s">
        <v>1330</v>
      </c>
      <c r="H253" s="49" t="s">
        <v>2039</v>
      </c>
      <c r="I253" s="49" t="s">
        <v>2040</v>
      </c>
      <c r="J253" s="49" t="s">
        <v>125</v>
      </c>
      <c r="K253" s="49" t="s">
        <v>174</v>
      </c>
      <c r="L253" s="49" t="s">
        <v>14</v>
      </c>
      <c r="M253" s="49" t="s">
        <v>1036</v>
      </c>
      <c r="N253" s="49" t="s">
        <v>2041</v>
      </c>
      <c r="O253" s="49" t="s">
        <v>125</v>
      </c>
      <c r="P253" s="49"/>
      <c r="Q253" s="49"/>
      <c r="R253" s="49" t="s">
        <v>2042</v>
      </c>
      <c r="S253" s="49" t="s">
        <v>14</v>
      </c>
      <c r="T253" s="49" t="s">
        <v>2043</v>
      </c>
      <c r="U253" s="49" t="s">
        <v>178</v>
      </c>
      <c r="V253" s="49" t="s">
        <v>2044</v>
      </c>
      <c r="W253" s="49" t="s">
        <v>117</v>
      </c>
      <c r="X253" s="49" t="s">
        <v>118</v>
      </c>
      <c r="Y253" s="49" t="s">
        <v>174</v>
      </c>
      <c r="Z253" s="49" t="s">
        <v>274</v>
      </c>
      <c r="AA253" s="49" t="s">
        <v>496</v>
      </c>
      <c r="AB253" s="49" t="s">
        <v>2045</v>
      </c>
      <c r="AC253" s="49" t="s">
        <v>2042</v>
      </c>
      <c r="AD253" s="49" t="n">
        <v>5470759</v>
      </c>
      <c r="AE253" s="49" t="s">
        <v>14</v>
      </c>
      <c r="AF253" s="49" t="s">
        <v>2046</v>
      </c>
      <c r="AG253" s="49" t="s">
        <v>14</v>
      </c>
      <c r="AH253" s="49" t="s">
        <v>2046</v>
      </c>
      <c r="AI253" s="49" t="s">
        <v>1856</v>
      </c>
      <c r="AJ253" s="49" t="s">
        <v>1857</v>
      </c>
      <c r="AK253" s="49" t="s">
        <v>124</v>
      </c>
      <c r="AL253" s="49" t="s">
        <v>125</v>
      </c>
      <c r="AM253" s="51" t="n">
        <v>3410.6</v>
      </c>
      <c r="AN253" s="49"/>
      <c r="AO253" s="49" t="s">
        <v>125</v>
      </c>
      <c r="AP253" s="49" t="s">
        <v>187</v>
      </c>
      <c r="AQ253" s="49" t="s">
        <v>128</v>
      </c>
      <c r="AR253" s="49" t="s">
        <v>681</v>
      </c>
      <c r="AS253" s="49" t="s">
        <v>2048</v>
      </c>
      <c r="AT253" s="49" t="s">
        <v>2056</v>
      </c>
      <c r="AU253" s="49" t="s">
        <v>601</v>
      </c>
      <c r="AV253" s="49"/>
      <c r="AW253" s="49" t="s">
        <v>2050</v>
      </c>
      <c r="AX253" s="49"/>
      <c r="AY253" s="49"/>
      <c r="AZ253" s="49"/>
      <c r="BA253" s="49"/>
      <c r="BB253" s="49" t="n">
        <v>81161881</v>
      </c>
      <c r="BC253" s="49" t="s">
        <v>134</v>
      </c>
      <c r="BD253" s="49" t="s">
        <v>191</v>
      </c>
      <c r="BE253" s="49" t="s">
        <v>136</v>
      </c>
      <c r="BF253" s="49" t="s">
        <v>1172</v>
      </c>
      <c r="BG253" s="49" t="s">
        <v>138</v>
      </c>
      <c r="BH253" s="49" t="s">
        <v>194</v>
      </c>
      <c r="BI253" s="49" t="s">
        <v>140</v>
      </c>
      <c r="BJ253" s="49" t="s">
        <v>125</v>
      </c>
      <c r="BK253" s="49"/>
      <c r="BL253" s="49" t="s">
        <v>141</v>
      </c>
      <c r="BM253" s="49"/>
      <c r="BN253" s="49" t="s">
        <v>195</v>
      </c>
      <c r="BO253" s="49" t="s">
        <v>338</v>
      </c>
    </row>
    <row r="254" ht="16.8" customHeight="1">
      <c r="A254" s="43" t="s">
        <v>25</v>
      </c>
      <c r="B254" s="49" t="n">
        <v>244</v>
      </c>
      <c r="C254" s="49" t="s">
        <v>103</v>
      </c>
      <c r="D254" s="49" t="s">
        <v>104</v>
      </c>
      <c r="E254" s="49" t="s">
        <v>899</v>
      </c>
      <c r="F254" s="49" t="s">
        <v>2038</v>
      </c>
      <c r="G254" s="49" t="s">
        <v>1330</v>
      </c>
      <c r="H254" s="49" t="s">
        <v>2039</v>
      </c>
      <c r="I254" s="49" t="s">
        <v>2040</v>
      </c>
      <c r="J254" s="49" t="s">
        <v>125</v>
      </c>
      <c r="K254" s="49" t="s">
        <v>174</v>
      </c>
      <c r="L254" s="49" t="s">
        <v>14</v>
      </c>
      <c r="M254" s="49" t="s">
        <v>1036</v>
      </c>
      <c r="N254" s="49" t="s">
        <v>2041</v>
      </c>
      <c r="O254" s="49" t="s">
        <v>125</v>
      </c>
      <c r="P254" s="49"/>
      <c r="Q254" s="49"/>
      <c r="R254" s="49" t="s">
        <v>2042</v>
      </c>
      <c r="S254" s="49" t="s">
        <v>14</v>
      </c>
      <c r="T254" s="49" t="s">
        <v>2043</v>
      </c>
      <c r="U254" s="49" t="s">
        <v>178</v>
      </c>
      <c r="V254" s="49" t="s">
        <v>2044</v>
      </c>
      <c r="W254" s="49" t="s">
        <v>117</v>
      </c>
      <c r="X254" s="49" t="s">
        <v>118</v>
      </c>
      <c r="Y254" s="49" t="s">
        <v>174</v>
      </c>
      <c r="Z254" s="49" t="s">
        <v>274</v>
      </c>
      <c r="AA254" s="49" t="s">
        <v>496</v>
      </c>
      <c r="AB254" s="49" t="s">
        <v>2045</v>
      </c>
      <c r="AC254" s="49" t="s">
        <v>2042</v>
      </c>
      <c r="AD254" s="49" t="n">
        <v>5470759</v>
      </c>
      <c r="AE254" s="49" t="s">
        <v>14</v>
      </c>
      <c r="AF254" s="49" t="s">
        <v>2046</v>
      </c>
      <c r="AG254" s="49" t="s">
        <v>14</v>
      </c>
      <c r="AH254" s="49" t="s">
        <v>2046</v>
      </c>
      <c r="AI254" s="49" t="s">
        <v>2057</v>
      </c>
      <c r="AJ254" s="49" t="s">
        <v>2058</v>
      </c>
      <c r="AK254" s="49" t="s">
        <v>124</v>
      </c>
      <c r="AL254" s="49" t="s">
        <v>125</v>
      </c>
      <c r="AM254" s="51" t="n">
        <v>3897.9</v>
      </c>
      <c r="AN254" s="49"/>
      <c r="AO254" s="49" t="s">
        <v>125</v>
      </c>
      <c r="AP254" s="49" t="s">
        <v>187</v>
      </c>
      <c r="AQ254" s="49" t="s">
        <v>128</v>
      </c>
      <c r="AR254" s="49" t="s">
        <v>681</v>
      </c>
      <c r="AS254" s="49" t="s">
        <v>2048</v>
      </c>
      <c r="AT254" s="49" t="s">
        <v>2059</v>
      </c>
      <c r="AU254" s="49" t="s">
        <v>601</v>
      </c>
      <c r="AV254" s="49"/>
      <c r="AW254" s="49" t="s">
        <v>2050</v>
      </c>
      <c r="AX254" s="49"/>
      <c r="AY254" s="49"/>
      <c r="AZ254" s="49"/>
      <c r="BA254" s="49"/>
      <c r="BB254" s="49" t="n">
        <v>81161881</v>
      </c>
      <c r="BC254" s="49" t="s">
        <v>134</v>
      </c>
      <c r="BD254" s="49" t="s">
        <v>191</v>
      </c>
      <c r="BE254" s="49" t="s">
        <v>136</v>
      </c>
      <c r="BF254" s="49" t="s">
        <v>1172</v>
      </c>
      <c r="BG254" s="49" t="s">
        <v>138</v>
      </c>
      <c r="BH254" s="49" t="s">
        <v>194</v>
      </c>
      <c r="BI254" s="49" t="s">
        <v>140</v>
      </c>
      <c r="BJ254" s="49" t="s">
        <v>125</v>
      </c>
      <c r="BK254" s="49"/>
      <c r="BL254" s="49" t="s">
        <v>141</v>
      </c>
      <c r="BM254" s="49"/>
      <c r="BN254" s="49" t="s">
        <v>195</v>
      </c>
      <c r="BO254" s="49" t="s">
        <v>338</v>
      </c>
    </row>
    <row r="255" ht="16.8" customHeight="1">
      <c r="A255" s="43" t="s">
        <v>25</v>
      </c>
      <c r="B255" s="49" t="n">
        <v>245</v>
      </c>
      <c r="C255" s="49" t="s">
        <v>103</v>
      </c>
      <c r="D255" s="49" t="s">
        <v>104</v>
      </c>
      <c r="E255" s="49" t="s">
        <v>899</v>
      </c>
      <c r="F255" s="49" t="s">
        <v>2038</v>
      </c>
      <c r="G255" s="49" t="s">
        <v>1330</v>
      </c>
      <c r="H255" s="49" t="s">
        <v>2039</v>
      </c>
      <c r="I255" s="49" t="s">
        <v>2040</v>
      </c>
      <c r="J255" s="49" t="s">
        <v>125</v>
      </c>
      <c r="K255" s="49" t="s">
        <v>174</v>
      </c>
      <c r="L255" s="49" t="s">
        <v>14</v>
      </c>
      <c r="M255" s="49" t="s">
        <v>1036</v>
      </c>
      <c r="N255" s="49" t="s">
        <v>2041</v>
      </c>
      <c r="O255" s="49" t="s">
        <v>125</v>
      </c>
      <c r="P255" s="49"/>
      <c r="Q255" s="49"/>
      <c r="R255" s="49" t="s">
        <v>2042</v>
      </c>
      <c r="S255" s="49" t="s">
        <v>14</v>
      </c>
      <c r="T255" s="49" t="s">
        <v>2043</v>
      </c>
      <c r="U255" s="49" t="s">
        <v>178</v>
      </c>
      <c r="V255" s="49" t="s">
        <v>2044</v>
      </c>
      <c r="W255" s="49" t="s">
        <v>117</v>
      </c>
      <c r="X255" s="49" t="s">
        <v>118</v>
      </c>
      <c r="Y255" s="49" t="s">
        <v>174</v>
      </c>
      <c r="Z255" s="49" t="s">
        <v>274</v>
      </c>
      <c r="AA255" s="49" t="s">
        <v>496</v>
      </c>
      <c r="AB255" s="49" t="s">
        <v>2045</v>
      </c>
      <c r="AC255" s="49" t="s">
        <v>2042</v>
      </c>
      <c r="AD255" s="49" t="n">
        <v>5470759</v>
      </c>
      <c r="AE255" s="49" t="s">
        <v>14</v>
      </c>
      <c r="AF255" s="49" t="s">
        <v>2046</v>
      </c>
      <c r="AG255" s="49" t="s">
        <v>14</v>
      </c>
      <c r="AH255" s="49" t="s">
        <v>2046</v>
      </c>
      <c r="AI255" s="49" t="s">
        <v>2060</v>
      </c>
      <c r="AJ255" s="49" t="s">
        <v>2061</v>
      </c>
      <c r="AK255" s="49" t="s">
        <v>124</v>
      </c>
      <c r="AL255" s="49" t="s">
        <v>125</v>
      </c>
      <c r="AM255" s="51" t="n">
        <v>4628.7</v>
      </c>
      <c r="AN255" s="49"/>
      <c r="AO255" s="49" t="s">
        <v>125</v>
      </c>
      <c r="AP255" s="49" t="s">
        <v>187</v>
      </c>
      <c r="AQ255" s="49" t="s">
        <v>128</v>
      </c>
      <c r="AR255" s="49" t="s">
        <v>681</v>
      </c>
      <c r="AS255" s="49" t="s">
        <v>2048</v>
      </c>
      <c r="AT255" s="49" t="s">
        <v>2062</v>
      </c>
      <c r="AU255" s="49" t="s">
        <v>601</v>
      </c>
      <c r="AV255" s="49"/>
      <c r="AW255" s="49" t="s">
        <v>2050</v>
      </c>
      <c r="AX255" s="49"/>
      <c r="AY255" s="49"/>
      <c r="AZ255" s="49"/>
      <c r="BA255" s="49"/>
      <c r="BB255" s="49" t="n">
        <v>81161881</v>
      </c>
      <c r="BC255" s="49" t="s">
        <v>134</v>
      </c>
      <c r="BD255" s="49" t="s">
        <v>191</v>
      </c>
      <c r="BE255" s="49" t="s">
        <v>136</v>
      </c>
      <c r="BF255" s="49" t="s">
        <v>1172</v>
      </c>
      <c r="BG255" s="49" t="s">
        <v>138</v>
      </c>
      <c r="BH255" s="49" t="s">
        <v>194</v>
      </c>
      <c r="BI255" s="49" t="s">
        <v>140</v>
      </c>
      <c r="BJ255" s="49" t="s">
        <v>125</v>
      </c>
      <c r="BK255" s="49"/>
      <c r="BL255" s="49" t="s">
        <v>141</v>
      </c>
      <c r="BM255" s="49"/>
      <c r="BN255" s="49" t="s">
        <v>195</v>
      </c>
      <c r="BO255" s="49" t="s">
        <v>338</v>
      </c>
    </row>
    <row r="256" ht="16.8" customHeight="1">
      <c r="A256" s="43" t="s">
        <v>25</v>
      </c>
      <c r="B256" s="49" t="n">
        <v>246</v>
      </c>
      <c r="C256" s="49" t="s">
        <v>103</v>
      </c>
      <c r="D256" s="49" t="s">
        <v>104</v>
      </c>
      <c r="E256" s="49" t="s">
        <v>899</v>
      </c>
      <c r="F256" s="49" t="s">
        <v>2038</v>
      </c>
      <c r="G256" s="49" t="s">
        <v>1330</v>
      </c>
      <c r="H256" s="49" t="s">
        <v>2039</v>
      </c>
      <c r="I256" s="49" t="s">
        <v>2040</v>
      </c>
      <c r="J256" s="49" t="s">
        <v>125</v>
      </c>
      <c r="K256" s="49" t="s">
        <v>174</v>
      </c>
      <c r="L256" s="49" t="s">
        <v>14</v>
      </c>
      <c r="M256" s="49" t="s">
        <v>1036</v>
      </c>
      <c r="N256" s="49" t="s">
        <v>2041</v>
      </c>
      <c r="O256" s="49" t="s">
        <v>125</v>
      </c>
      <c r="P256" s="49"/>
      <c r="Q256" s="49"/>
      <c r="R256" s="49" t="s">
        <v>2042</v>
      </c>
      <c r="S256" s="49" t="s">
        <v>14</v>
      </c>
      <c r="T256" s="49" t="s">
        <v>2043</v>
      </c>
      <c r="U256" s="49" t="s">
        <v>178</v>
      </c>
      <c r="V256" s="49" t="s">
        <v>2044</v>
      </c>
      <c r="W256" s="49" t="s">
        <v>117</v>
      </c>
      <c r="X256" s="49" t="s">
        <v>118</v>
      </c>
      <c r="Y256" s="49" t="s">
        <v>174</v>
      </c>
      <c r="Z256" s="49" t="s">
        <v>274</v>
      </c>
      <c r="AA256" s="49" t="s">
        <v>496</v>
      </c>
      <c r="AB256" s="49" t="s">
        <v>2045</v>
      </c>
      <c r="AC256" s="49" t="s">
        <v>2042</v>
      </c>
      <c r="AD256" s="49" t="n">
        <v>5470759</v>
      </c>
      <c r="AE256" s="49" t="s">
        <v>14</v>
      </c>
      <c r="AF256" s="49" t="s">
        <v>2046</v>
      </c>
      <c r="AG256" s="49" t="s">
        <v>14</v>
      </c>
      <c r="AH256" s="49" t="s">
        <v>2046</v>
      </c>
      <c r="AI256" s="49" t="s">
        <v>1864</v>
      </c>
      <c r="AJ256" s="49" t="s">
        <v>1865</v>
      </c>
      <c r="AK256" s="49" t="s">
        <v>124</v>
      </c>
      <c r="AL256" s="49" t="s">
        <v>125</v>
      </c>
      <c r="AM256" s="51" t="n">
        <v>7146.1</v>
      </c>
      <c r="AN256" s="49"/>
      <c r="AO256" s="49" t="s">
        <v>125</v>
      </c>
      <c r="AP256" s="49" t="s">
        <v>187</v>
      </c>
      <c r="AQ256" s="49" t="s">
        <v>128</v>
      </c>
      <c r="AR256" s="49" t="s">
        <v>681</v>
      </c>
      <c r="AS256" s="49" t="s">
        <v>2048</v>
      </c>
      <c r="AT256" s="49" t="s">
        <v>2063</v>
      </c>
      <c r="AU256" s="49" t="s">
        <v>601</v>
      </c>
      <c r="AV256" s="49"/>
      <c r="AW256" s="49" t="s">
        <v>2050</v>
      </c>
      <c r="AX256" s="49"/>
      <c r="AY256" s="49"/>
      <c r="AZ256" s="49"/>
      <c r="BA256" s="49"/>
      <c r="BB256" s="49" t="n">
        <v>81161881</v>
      </c>
      <c r="BC256" s="49" t="s">
        <v>134</v>
      </c>
      <c r="BD256" s="49" t="s">
        <v>191</v>
      </c>
      <c r="BE256" s="49" t="s">
        <v>136</v>
      </c>
      <c r="BF256" s="49" t="s">
        <v>1172</v>
      </c>
      <c r="BG256" s="49" t="s">
        <v>138</v>
      </c>
      <c r="BH256" s="49" t="s">
        <v>194</v>
      </c>
      <c r="BI256" s="49" t="s">
        <v>140</v>
      </c>
      <c r="BJ256" s="49" t="s">
        <v>125</v>
      </c>
      <c r="BK256" s="49"/>
      <c r="BL256" s="49" t="s">
        <v>141</v>
      </c>
      <c r="BM256" s="49"/>
      <c r="BN256" s="49" t="s">
        <v>195</v>
      </c>
      <c r="BO256" s="49" t="s">
        <v>338</v>
      </c>
    </row>
    <row r="257" ht="16.8" customHeight="1">
      <c r="A257" s="43" t="s">
        <v>25</v>
      </c>
      <c r="B257" s="49" t="n">
        <v>247</v>
      </c>
      <c r="C257" s="49" t="s">
        <v>103</v>
      </c>
      <c r="D257" s="49" t="s">
        <v>104</v>
      </c>
      <c r="E257" s="49" t="s">
        <v>899</v>
      </c>
      <c r="F257" s="49" t="s">
        <v>2038</v>
      </c>
      <c r="G257" s="49" t="s">
        <v>1330</v>
      </c>
      <c r="H257" s="49" t="s">
        <v>2039</v>
      </c>
      <c r="I257" s="49" t="s">
        <v>2040</v>
      </c>
      <c r="J257" s="49" t="s">
        <v>125</v>
      </c>
      <c r="K257" s="49" t="s">
        <v>174</v>
      </c>
      <c r="L257" s="49" t="s">
        <v>14</v>
      </c>
      <c r="M257" s="49" t="s">
        <v>1036</v>
      </c>
      <c r="N257" s="49" t="s">
        <v>2041</v>
      </c>
      <c r="O257" s="49" t="s">
        <v>125</v>
      </c>
      <c r="P257" s="49"/>
      <c r="Q257" s="49"/>
      <c r="R257" s="49" t="s">
        <v>2042</v>
      </c>
      <c r="S257" s="49" t="s">
        <v>14</v>
      </c>
      <c r="T257" s="49" t="s">
        <v>2043</v>
      </c>
      <c r="U257" s="49" t="s">
        <v>178</v>
      </c>
      <c r="V257" s="49" t="s">
        <v>2044</v>
      </c>
      <c r="W257" s="49" t="s">
        <v>117</v>
      </c>
      <c r="X257" s="49" t="s">
        <v>118</v>
      </c>
      <c r="Y257" s="49" t="s">
        <v>174</v>
      </c>
      <c r="Z257" s="49" t="s">
        <v>274</v>
      </c>
      <c r="AA257" s="49" t="s">
        <v>496</v>
      </c>
      <c r="AB257" s="49" t="s">
        <v>2045</v>
      </c>
      <c r="AC257" s="49" t="s">
        <v>2042</v>
      </c>
      <c r="AD257" s="49" t="n">
        <v>5470759</v>
      </c>
      <c r="AE257" s="49" t="s">
        <v>14</v>
      </c>
      <c r="AF257" s="49" t="s">
        <v>2046</v>
      </c>
      <c r="AG257" s="49" t="s">
        <v>14</v>
      </c>
      <c r="AH257" s="49" t="s">
        <v>2046</v>
      </c>
      <c r="AI257" s="49" t="s">
        <v>1861</v>
      </c>
      <c r="AJ257" s="49" t="s">
        <v>1862</v>
      </c>
      <c r="AK257" s="49" t="s">
        <v>124</v>
      </c>
      <c r="AL257" s="49" t="s">
        <v>125</v>
      </c>
      <c r="AM257" s="51" t="n">
        <v>4709.9</v>
      </c>
      <c r="AN257" s="49"/>
      <c r="AO257" s="49" t="s">
        <v>125</v>
      </c>
      <c r="AP257" s="49" t="s">
        <v>187</v>
      </c>
      <c r="AQ257" s="49" t="s">
        <v>128</v>
      </c>
      <c r="AR257" s="49" t="s">
        <v>681</v>
      </c>
      <c r="AS257" s="49" t="s">
        <v>2048</v>
      </c>
      <c r="AT257" s="49" t="s">
        <v>2064</v>
      </c>
      <c r="AU257" s="49" t="s">
        <v>601</v>
      </c>
      <c r="AV257" s="49"/>
      <c r="AW257" s="49" t="s">
        <v>2050</v>
      </c>
      <c r="AX257" s="49"/>
      <c r="AY257" s="49"/>
      <c r="AZ257" s="49"/>
      <c r="BA257" s="49"/>
      <c r="BB257" s="49" t="n">
        <v>81161881</v>
      </c>
      <c r="BC257" s="49" t="s">
        <v>134</v>
      </c>
      <c r="BD257" s="49" t="s">
        <v>191</v>
      </c>
      <c r="BE257" s="49" t="s">
        <v>136</v>
      </c>
      <c r="BF257" s="49" t="s">
        <v>1172</v>
      </c>
      <c r="BG257" s="49" t="s">
        <v>138</v>
      </c>
      <c r="BH257" s="49" t="s">
        <v>194</v>
      </c>
      <c r="BI257" s="49" t="s">
        <v>140</v>
      </c>
      <c r="BJ257" s="49" t="s">
        <v>125</v>
      </c>
      <c r="BK257" s="49"/>
      <c r="BL257" s="49" t="s">
        <v>141</v>
      </c>
      <c r="BM257" s="49"/>
      <c r="BN257" s="49" t="s">
        <v>195</v>
      </c>
      <c r="BO257" s="49" t="s">
        <v>338</v>
      </c>
    </row>
    <row r="258" ht="16.8" customHeight="1">
      <c r="A258" s="43" t="s">
        <v>25</v>
      </c>
      <c r="B258" s="49" t="n">
        <v>248</v>
      </c>
      <c r="C258" s="49" t="s">
        <v>103</v>
      </c>
      <c r="D258" s="49" t="s">
        <v>104</v>
      </c>
      <c r="E258" s="49" t="s">
        <v>899</v>
      </c>
      <c r="F258" s="49" t="s">
        <v>2038</v>
      </c>
      <c r="G258" s="49" t="s">
        <v>1330</v>
      </c>
      <c r="H258" s="49" t="s">
        <v>2039</v>
      </c>
      <c r="I258" s="49" t="s">
        <v>2040</v>
      </c>
      <c r="J258" s="49" t="s">
        <v>125</v>
      </c>
      <c r="K258" s="49" t="s">
        <v>174</v>
      </c>
      <c r="L258" s="49" t="s">
        <v>14</v>
      </c>
      <c r="M258" s="49" t="s">
        <v>1036</v>
      </c>
      <c r="N258" s="49" t="s">
        <v>2041</v>
      </c>
      <c r="O258" s="49" t="s">
        <v>125</v>
      </c>
      <c r="P258" s="49"/>
      <c r="Q258" s="49"/>
      <c r="R258" s="49" t="s">
        <v>2042</v>
      </c>
      <c r="S258" s="49" t="s">
        <v>14</v>
      </c>
      <c r="T258" s="49" t="s">
        <v>2043</v>
      </c>
      <c r="U258" s="49" t="s">
        <v>178</v>
      </c>
      <c r="V258" s="49" t="s">
        <v>2044</v>
      </c>
      <c r="W258" s="49" t="s">
        <v>117</v>
      </c>
      <c r="X258" s="49" t="s">
        <v>118</v>
      </c>
      <c r="Y258" s="49" t="s">
        <v>174</v>
      </c>
      <c r="Z258" s="49" t="s">
        <v>274</v>
      </c>
      <c r="AA258" s="49" t="s">
        <v>496</v>
      </c>
      <c r="AB258" s="49" t="s">
        <v>2045</v>
      </c>
      <c r="AC258" s="49" t="s">
        <v>2042</v>
      </c>
      <c r="AD258" s="49" t="n">
        <v>5470759</v>
      </c>
      <c r="AE258" s="49" t="s">
        <v>14</v>
      </c>
      <c r="AF258" s="49" t="s">
        <v>2046</v>
      </c>
      <c r="AG258" s="49" t="s">
        <v>14</v>
      </c>
      <c r="AH258" s="49" t="s">
        <v>2046</v>
      </c>
      <c r="AI258" s="49" t="s">
        <v>2065</v>
      </c>
      <c r="AJ258" s="49" t="s">
        <v>2066</v>
      </c>
      <c r="AK258" s="49" t="s">
        <v>124</v>
      </c>
      <c r="AL258" s="49" t="s">
        <v>125</v>
      </c>
      <c r="AM258" s="51" t="n">
        <v>5197.2</v>
      </c>
      <c r="AN258" s="49"/>
      <c r="AO258" s="49" t="s">
        <v>125</v>
      </c>
      <c r="AP258" s="49" t="s">
        <v>187</v>
      </c>
      <c r="AQ258" s="49" t="s">
        <v>128</v>
      </c>
      <c r="AR258" s="49" t="s">
        <v>681</v>
      </c>
      <c r="AS258" s="49" t="s">
        <v>2048</v>
      </c>
      <c r="AT258" s="49" t="s">
        <v>2067</v>
      </c>
      <c r="AU258" s="49" t="s">
        <v>601</v>
      </c>
      <c r="AV258" s="49"/>
      <c r="AW258" s="49" t="s">
        <v>2050</v>
      </c>
      <c r="AX258" s="49"/>
      <c r="AY258" s="49"/>
      <c r="AZ258" s="49"/>
      <c r="BA258" s="49"/>
      <c r="BB258" s="49" t="n">
        <v>81161881</v>
      </c>
      <c r="BC258" s="49" t="s">
        <v>134</v>
      </c>
      <c r="BD258" s="49" t="s">
        <v>191</v>
      </c>
      <c r="BE258" s="49" t="s">
        <v>136</v>
      </c>
      <c r="BF258" s="49" t="s">
        <v>1172</v>
      </c>
      <c r="BG258" s="49" t="s">
        <v>138</v>
      </c>
      <c r="BH258" s="49" t="s">
        <v>194</v>
      </c>
      <c r="BI258" s="49" t="s">
        <v>140</v>
      </c>
      <c r="BJ258" s="49" t="s">
        <v>125</v>
      </c>
      <c r="BK258" s="49"/>
      <c r="BL258" s="49" t="s">
        <v>141</v>
      </c>
      <c r="BM258" s="49"/>
      <c r="BN258" s="49" t="s">
        <v>195</v>
      </c>
      <c r="BO258" s="49" t="s">
        <v>338</v>
      </c>
    </row>
    <row r="259" ht="16.8" customHeight="1">
      <c r="A259" s="43" t="s">
        <v>25</v>
      </c>
      <c r="B259" s="49" t="n">
        <v>249</v>
      </c>
      <c r="C259" s="49" t="s">
        <v>103</v>
      </c>
      <c r="D259" s="49" t="s">
        <v>104</v>
      </c>
      <c r="E259" s="49" t="s">
        <v>899</v>
      </c>
      <c r="F259" s="49" t="s">
        <v>2038</v>
      </c>
      <c r="G259" s="49" t="s">
        <v>1330</v>
      </c>
      <c r="H259" s="49" t="s">
        <v>2039</v>
      </c>
      <c r="I259" s="49" t="s">
        <v>2040</v>
      </c>
      <c r="J259" s="49" t="s">
        <v>125</v>
      </c>
      <c r="K259" s="49" t="s">
        <v>174</v>
      </c>
      <c r="L259" s="49" t="s">
        <v>14</v>
      </c>
      <c r="M259" s="49" t="s">
        <v>1036</v>
      </c>
      <c r="N259" s="49" t="s">
        <v>2041</v>
      </c>
      <c r="O259" s="49" t="s">
        <v>125</v>
      </c>
      <c r="P259" s="49"/>
      <c r="Q259" s="49"/>
      <c r="R259" s="49" t="s">
        <v>2042</v>
      </c>
      <c r="S259" s="49" t="s">
        <v>14</v>
      </c>
      <c r="T259" s="49" t="s">
        <v>2043</v>
      </c>
      <c r="U259" s="49" t="s">
        <v>178</v>
      </c>
      <c r="V259" s="49" t="s">
        <v>2044</v>
      </c>
      <c r="W259" s="49" t="s">
        <v>117</v>
      </c>
      <c r="X259" s="49" t="s">
        <v>118</v>
      </c>
      <c r="Y259" s="49" t="s">
        <v>174</v>
      </c>
      <c r="Z259" s="49" t="s">
        <v>274</v>
      </c>
      <c r="AA259" s="49" t="s">
        <v>496</v>
      </c>
      <c r="AB259" s="49" t="s">
        <v>2045</v>
      </c>
      <c r="AC259" s="49" t="s">
        <v>2042</v>
      </c>
      <c r="AD259" s="49" t="n">
        <v>5470759</v>
      </c>
      <c r="AE259" s="49" t="s">
        <v>14</v>
      </c>
      <c r="AF259" s="49" t="s">
        <v>2046</v>
      </c>
      <c r="AG259" s="49" t="s">
        <v>14</v>
      </c>
      <c r="AH259" s="49" t="s">
        <v>2046</v>
      </c>
      <c r="AI259" s="49" t="s">
        <v>2068</v>
      </c>
      <c r="AJ259" s="49" t="s">
        <v>924</v>
      </c>
      <c r="AK259" s="49" t="s">
        <v>124</v>
      </c>
      <c r="AL259" s="49" t="s">
        <v>125</v>
      </c>
      <c r="AM259" s="51" t="n">
        <v>10500</v>
      </c>
      <c r="AN259" s="49"/>
      <c r="AO259" s="49" t="s">
        <v>125</v>
      </c>
      <c r="AP259" s="49" t="s">
        <v>187</v>
      </c>
      <c r="AQ259" s="49" t="s">
        <v>128</v>
      </c>
      <c r="AR259" s="49" t="s">
        <v>681</v>
      </c>
      <c r="AS259" s="49" t="s">
        <v>2048</v>
      </c>
      <c r="AT259" s="49"/>
      <c r="AU259" s="49" t="s">
        <v>601</v>
      </c>
      <c r="AV259" s="49"/>
      <c r="AW259" s="49" t="s">
        <v>2050</v>
      </c>
      <c r="AX259" s="49"/>
      <c r="AY259" s="49"/>
      <c r="AZ259" s="49"/>
      <c r="BA259" s="49"/>
      <c r="BB259" s="49" t="n">
        <v>81161881</v>
      </c>
      <c r="BC259" s="49" t="s">
        <v>134</v>
      </c>
      <c r="BD259" s="49" t="s">
        <v>191</v>
      </c>
      <c r="BE259" s="49" t="s">
        <v>136</v>
      </c>
      <c r="BF259" s="49" t="s">
        <v>1172</v>
      </c>
      <c r="BG259" s="49" t="s">
        <v>138</v>
      </c>
      <c r="BH259" s="49" t="s">
        <v>194</v>
      </c>
      <c r="BI259" s="49" t="s">
        <v>140</v>
      </c>
      <c r="BJ259" s="49" t="s">
        <v>125</v>
      </c>
      <c r="BK259" s="49"/>
      <c r="BL259" s="49"/>
      <c r="BM259" s="49"/>
      <c r="BN259" s="49" t="s">
        <v>195</v>
      </c>
      <c r="BO259" s="49" t="s">
        <v>338</v>
      </c>
    </row>
    <row r="260" ht="16.8" customHeight="1">
      <c r="A260" s="43" t="s">
        <v>25</v>
      </c>
      <c r="B260" s="49" t="n">
        <v>250</v>
      </c>
      <c r="C260" s="49" t="s">
        <v>103</v>
      </c>
      <c r="D260" s="49" t="s">
        <v>104</v>
      </c>
      <c r="E260" s="49" t="s">
        <v>2069</v>
      </c>
      <c r="F260" s="49" t="s">
        <v>2070</v>
      </c>
      <c r="G260" s="49" t="s">
        <v>2071</v>
      </c>
      <c r="H260" s="49" t="s">
        <v>2072</v>
      </c>
      <c r="I260" s="49" t="s">
        <v>2073</v>
      </c>
      <c r="J260" s="49"/>
      <c r="K260" s="49" t="s">
        <v>174</v>
      </c>
      <c r="L260" s="49" t="s">
        <v>14</v>
      </c>
      <c r="M260" s="49" t="s">
        <v>111</v>
      </c>
      <c r="N260" s="49" t="s">
        <v>112</v>
      </c>
      <c r="O260" s="49" t="s">
        <v>2074</v>
      </c>
      <c r="P260" s="49"/>
      <c r="Q260" s="49"/>
      <c r="R260" s="49" t="s">
        <v>2069</v>
      </c>
      <c r="S260" s="49" t="s">
        <v>14</v>
      </c>
      <c r="T260" s="49" t="s">
        <v>2075</v>
      </c>
      <c r="U260" s="49" t="s">
        <v>115</v>
      </c>
      <c r="V260" s="49" t="s">
        <v>2076</v>
      </c>
      <c r="W260" s="49" t="s">
        <v>117</v>
      </c>
      <c r="X260" s="49" t="s">
        <v>412</v>
      </c>
      <c r="Y260" s="49" t="s">
        <v>174</v>
      </c>
      <c r="Z260" s="49" t="s">
        <v>2077</v>
      </c>
      <c r="AA260" s="49" t="s">
        <v>2078</v>
      </c>
      <c r="AB260" s="49" t="s">
        <v>2079</v>
      </c>
      <c r="AC260" s="49" t="s">
        <v>2069</v>
      </c>
      <c r="AD260" s="49" t="n">
        <v>5442872</v>
      </c>
      <c r="AE260" s="49" t="s">
        <v>14</v>
      </c>
      <c r="AF260" s="49" t="s">
        <v>2080</v>
      </c>
      <c r="AG260" s="49" t="s">
        <v>14</v>
      </c>
      <c r="AH260" s="49" t="s">
        <v>2080</v>
      </c>
      <c r="AI260" s="49" t="s">
        <v>1262</v>
      </c>
      <c r="AJ260" s="49" t="s">
        <v>1263</v>
      </c>
      <c r="AK260" s="49" t="s">
        <v>124</v>
      </c>
      <c r="AL260" s="49" t="s">
        <v>125</v>
      </c>
      <c r="AM260" s="51" t="n">
        <v>14050</v>
      </c>
      <c r="AN260" s="49" t="s">
        <v>126</v>
      </c>
      <c r="AO260" s="49" t="s">
        <v>2071</v>
      </c>
      <c r="AP260" s="49" t="s">
        <v>127</v>
      </c>
      <c r="AQ260" s="49" t="s">
        <v>128</v>
      </c>
      <c r="AR260" s="49" t="s">
        <v>280</v>
      </c>
      <c r="AS260" s="49" t="s">
        <v>2081</v>
      </c>
      <c r="AT260" s="49" t="s">
        <v>2082</v>
      </c>
      <c r="AU260" s="49" t="s">
        <v>601</v>
      </c>
      <c r="AV260" s="49"/>
      <c r="AW260" s="49" t="s">
        <v>2083</v>
      </c>
      <c r="AX260" s="49"/>
      <c r="AY260" s="49"/>
      <c r="AZ260" s="49"/>
      <c r="BA260" s="49"/>
      <c r="BB260" s="49" t="n">
        <v>61991830</v>
      </c>
      <c r="BC260" s="49" t="s">
        <v>134</v>
      </c>
      <c r="BD260" s="49" t="s">
        <v>191</v>
      </c>
      <c r="BE260" s="49" t="s">
        <v>224</v>
      </c>
      <c r="BF260" s="49" t="s">
        <v>424</v>
      </c>
      <c r="BG260" s="49" t="s">
        <v>138</v>
      </c>
      <c r="BH260" s="49" t="s">
        <v>139</v>
      </c>
      <c r="BI260" s="49" t="s">
        <v>140</v>
      </c>
      <c r="BJ260" s="49" t="s">
        <v>125</v>
      </c>
      <c r="BK260" s="49"/>
      <c r="BL260" s="49" t="s">
        <v>141</v>
      </c>
      <c r="BM260" s="49"/>
      <c r="BN260" s="49" t="s">
        <v>227</v>
      </c>
      <c r="BO260" s="49" t="s">
        <v>112</v>
      </c>
    </row>
    <row r="261" ht="16.8" customHeight="1">
      <c r="A261" s="43" t="s">
        <v>25</v>
      </c>
      <c r="B261" s="49" t="n">
        <v>251</v>
      </c>
      <c r="C261" s="49" t="s">
        <v>103</v>
      </c>
      <c r="D261" s="49" t="s">
        <v>104</v>
      </c>
      <c r="E261" s="49" t="s">
        <v>2069</v>
      </c>
      <c r="F261" s="49" t="s">
        <v>2070</v>
      </c>
      <c r="G261" s="49" t="s">
        <v>2071</v>
      </c>
      <c r="H261" s="49" t="s">
        <v>2072</v>
      </c>
      <c r="I261" s="49" t="s">
        <v>2073</v>
      </c>
      <c r="J261" s="49"/>
      <c r="K261" s="49" t="s">
        <v>174</v>
      </c>
      <c r="L261" s="49" t="s">
        <v>14</v>
      </c>
      <c r="M261" s="49" t="s">
        <v>111</v>
      </c>
      <c r="N261" s="49" t="s">
        <v>112</v>
      </c>
      <c r="O261" s="49" t="s">
        <v>2074</v>
      </c>
      <c r="P261" s="49"/>
      <c r="Q261" s="49"/>
      <c r="R261" s="49" t="s">
        <v>2069</v>
      </c>
      <c r="S261" s="49" t="s">
        <v>14</v>
      </c>
      <c r="T261" s="49" t="s">
        <v>2075</v>
      </c>
      <c r="U261" s="49" t="s">
        <v>115</v>
      </c>
      <c r="V261" s="49" t="s">
        <v>2076</v>
      </c>
      <c r="W261" s="49" t="s">
        <v>117</v>
      </c>
      <c r="X261" s="49" t="s">
        <v>412</v>
      </c>
      <c r="Y261" s="49" t="s">
        <v>174</v>
      </c>
      <c r="Z261" s="49" t="s">
        <v>2077</v>
      </c>
      <c r="AA261" s="49" t="s">
        <v>2078</v>
      </c>
      <c r="AB261" s="49" t="s">
        <v>2079</v>
      </c>
      <c r="AC261" s="49" t="s">
        <v>2069</v>
      </c>
      <c r="AD261" s="49" t="n">
        <v>5442872</v>
      </c>
      <c r="AE261" s="49" t="s">
        <v>14</v>
      </c>
      <c r="AF261" s="49" t="s">
        <v>2080</v>
      </c>
      <c r="AG261" s="49" t="s">
        <v>14</v>
      </c>
      <c r="AH261" s="49" t="s">
        <v>2080</v>
      </c>
      <c r="AI261" s="49" t="s">
        <v>1265</v>
      </c>
      <c r="AJ261" s="49" t="s">
        <v>1266</v>
      </c>
      <c r="AK261" s="49" t="s">
        <v>124</v>
      </c>
      <c r="AL261" s="49" t="s">
        <v>125</v>
      </c>
      <c r="AM261" s="51" t="n">
        <v>8800</v>
      </c>
      <c r="AN261" s="49" t="s">
        <v>126</v>
      </c>
      <c r="AO261" s="49" t="s">
        <v>2071</v>
      </c>
      <c r="AP261" s="49" t="s">
        <v>127</v>
      </c>
      <c r="AQ261" s="49" t="s">
        <v>128</v>
      </c>
      <c r="AR261" s="49" t="s">
        <v>280</v>
      </c>
      <c r="AS261" s="49" t="s">
        <v>2081</v>
      </c>
      <c r="AT261" s="49" t="s">
        <v>2084</v>
      </c>
      <c r="AU261" s="49" t="s">
        <v>601</v>
      </c>
      <c r="AV261" s="49"/>
      <c r="AW261" s="49" t="s">
        <v>2083</v>
      </c>
      <c r="AX261" s="49"/>
      <c r="AY261" s="49"/>
      <c r="AZ261" s="49"/>
      <c r="BA261" s="49"/>
      <c r="BB261" s="49" t="n">
        <v>61991830</v>
      </c>
      <c r="BC261" s="49" t="s">
        <v>134</v>
      </c>
      <c r="BD261" s="49" t="s">
        <v>191</v>
      </c>
      <c r="BE261" s="49" t="s">
        <v>224</v>
      </c>
      <c r="BF261" s="49" t="s">
        <v>424</v>
      </c>
      <c r="BG261" s="49" t="s">
        <v>138</v>
      </c>
      <c r="BH261" s="49" t="s">
        <v>139</v>
      </c>
      <c r="BI261" s="49" t="s">
        <v>140</v>
      </c>
      <c r="BJ261" s="49" t="s">
        <v>125</v>
      </c>
      <c r="BK261" s="49"/>
      <c r="BL261" s="49" t="s">
        <v>141</v>
      </c>
      <c r="BM261" s="49"/>
      <c r="BN261" s="49" t="s">
        <v>227</v>
      </c>
      <c r="BO261" s="49" t="s">
        <v>112</v>
      </c>
    </row>
    <row r="262" ht="16.8" customHeight="1">
      <c r="A262" s="43" t="s">
        <v>25</v>
      </c>
      <c r="B262" s="49" t="n">
        <v>252</v>
      </c>
      <c r="C262" s="49" t="s">
        <v>103</v>
      </c>
      <c r="D262" s="49" t="s">
        <v>104</v>
      </c>
      <c r="E262" s="49" t="s">
        <v>2069</v>
      </c>
      <c r="F262" s="49" t="s">
        <v>2070</v>
      </c>
      <c r="G262" s="49" t="s">
        <v>2071</v>
      </c>
      <c r="H262" s="49" t="s">
        <v>2072</v>
      </c>
      <c r="I262" s="49" t="s">
        <v>2073</v>
      </c>
      <c r="J262" s="49"/>
      <c r="K262" s="49" t="s">
        <v>174</v>
      </c>
      <c r="L262" s="49" t="s">
        <v>14</v>
      </c>
      <c r="M262" s="49" t="s">
        <v>111</v>
      </c>
      <c r="N262" s="49" t="s">
        <v>112</v>
      </c>
      <c r="O262" s="49" t="s">
        <v>2074</v>
      </c>
      <c r="P262" s="49"/>
      <c r="Q262" s="49"/>
      <c r="R262" s="49" t="s">
        <v>2069</v>
      </c>
      <c r="S262" s="49" t="s">
        <v>14</v>
      </c>
      <c r="T262" s="49" t="s">
        <v>2075</v>
      </c>
      <c r="U262" s="49" t="s">
        <v>115</v>
      </c>
      <c r="V262" s="49" t="s">
        <v>2076</v>
      </c>
      <c r="W262" s="49" t="s">
        <v>117</v>
      </c>
      <c r="X262" s="49" t="s">
        <v>412</v>
      </c>
      <c r="Y262" s="49" t="s">
        <v>174</v>
      </c>
      <c r="Z262" s="49" t="s">
        <v>2077</v>
      </c>
      <c r="AA262" s="49" t="s">
        <v>2078</v>
      </c>
      <c r="AB262" s="49" t="s">
        <v>2079</v>
      </c>
      <c r="AC262" s="49" t="s">
        <v>2069</v>
      </c>
      <c r="AD262" s="49" t="n">
        <v>5442872</v>
      </c>
      <c r="AE262" s="49" t="s">
        <v>14</v>
      </c>
      <c r="AF262" s="49" t="s">
        <v>2080</v>
      </c>
      <c r="AG262" s="49" t="s">
        <v>14</v>
      </c>
      <c r="AH262" s="49" t="s">
        <v>2080</v>
      </c>
      <c r="AI262" s="49" t="s">
        <v>1703</v>
      </c>
      <c r="AJ262" s="49" t="s">
        <v>1256</v>
      </c>
      <c r="AK262" s="49" t="s">
        <v>124</v>
      </c>
      <c r="AL262" s="49" t="s">
        <v>125</v>
      </c>
      <c r="AM262" s="51" t="n">
        <v>8940</v>
      </c>
      <c r="AN262" s="49" t="s">
        <v>126</v>
      </c>
      <c r="AO262" s="49" t="s">
        <v>2071</v>
      </c>
      <c r="AP262" s="49" t="s">
        <v>127</v>
      </c>
      <c r="AQ262" s="49" t="s">
        <v>128</v>
      </c>
      <c r="AR262" s="49" t="s">
        <v>280</v>
      </c>
      <c r="AS262" s="49" t="s">
        <v>2081</v>
      </c>
      <c r="AT262" s="49" t="s">
        <v>2085</v>
      </c>
      <c r="AU262" s="49" t="s">
        <v>601</v>
      </c>
      <c r="AV262" s="49"/>
      <c r="AW262" s="49" t="s">
        <v>2083</v>
      </c>
      <c r="AX262" s="49"/>
      <c r="AY262" s="49"/>
      <c r="AZ262" s="49"/>
      <c r="BA262" s="49"/>
      <c r="BB262" s="49" t="n">
        <v>61991830</v>
      </c>
      <c r="BC262" s="49" t="s">
        <v>134</v>
      </c>
      <c r="BD262" s="49" t="s">
        <v>191</v>
      </c>
      <c r="BE262" s="49" t="s">
        <v>224</v>
      </c>
      <c r="BF262" s="49" t="s">
        <v>424</v>
      </c>
      <c r="BG262" s="49" t="s">
        <v>138</v>
      </c>
      <c r="BH262" s="49" t="s">
        <v>139</v>
      </c>
      <c r="BI262" s="49" t="s">
        <v>140</v>
      </c>
      <c r="BJ262" s="49" t="s">
        <v>125</v>
      </c>
      <c r="BK262" s="49"/>
      <c r="BL262" s="49" t="s">
        <v>141</v>
      </c>
      <c r="BM262" s="49"/>
      <c r="BN262" s="49" t="s">
        <v>227</v>
      </c>
      <c r="BO262" s="49" t="s">
        <v>112</v>
      </c>
    </row>
    <row r="263" ht="16.8" customHeight="1">
      <c r="A263" s="43" t="s">
        <v>25</v>
      </c>
      <c r="B263" s="49" t="n">
        <v>253</v>
      </c>
      <c r="C263" s="49" t="s">
        <v>103</v>
      </c>
      <c r="D263" s="49" t="s">
        <v>104</v>
      </c>
      <c r="E263" s="49" t="s">
        <v>2069</v>
      </c>
      <c r="F263" s="49" t="s">
        <v>2070</v>
      </c>
      <c r="G263" s="49" t="s">
        <v>2071</v>
      </c>
      <c r="H263" s="49" t="s">
        <v>2072</v>
      </c>
      <c r="I263" s="49" t="s">
        <v>2073</v>
      </c>
      <c r="J263" s="49"/>
      <c r="K263" s="49" t="s">
        <v>174</v>
      </c>
      <c r="L263" s="49" t="s">
        <v>14</v>
      </c>
      <c r="M263" s="49" t="s">
        <v>111</v>
      </c>
      <c r="N263" s="49" t="s">
        <v>112</v>
      </c>
      <c r="O263" s="49" t="s">
        <v>2074</v>
      </c>
      <c r="P263" s="49"/>
      <c r="Q263" s="49"/>
      <c r="R263" s="49" t="s">
        <v>2069</v>
      </c>
      <c r="S263" s="49" t="s">
        <v>14</v>
      </c>
      <c r="T263" s="49" t="s">
        <v>2075</v>
      </c>
      <c r="U263" s="49" t="s">
        <v>115</v>
      </c>
      <c r="V263" s="49" t="s">
        <v>2076</v>
      </c>
      <c r="W263" s="49" t="s">
        <v>117</v>
      </c>
      <c r="X263" s="49" t="s">
        <v>412</v>
      </c>
      <c r="Y263" s="49" t="s">
        <v>174</v>
      </c>
      <c r="Z263" s="49" t="s">
        <v>2077</v>
      </c>
      <c r="AA263" s="49" t="s">
        <v>2078</v>
      </c>
      <c r="AB263" s="49" t="s">
        <v>2079</v>
      </c>
      <c r="AC263" s="49" t="s">
        <v>2069</v>
      </c>
      <c r="AD263" s="49" t="n">
        <v>5442872</v>
      </c>
      <c r="AE263" s="49" t="s">
        <v>14</v>
      </c>
      <c r="AF263" s="49" t="s">
        <v>2080</v>
      </c>
      <c r="AG263" s="49" t="s">
        <v>14</v>
      </c>
      <c r="AH263" s="49" t="s">
        <v>2080</v>
      </c>
      <c r="AI263" s="49" t="s">
        <v>1701</v>
      </c>
      <c r="AJ263" s="49" t="s">
        <v>1260</v>
      </c>
      <c r="AK263" s="49" t="s">
        <v>124</v>
      </c>
      <c r="AL263" s="49" t="s">
        <v>125</v>
      </c>
      <c r="AM263" s="51" t="n">
        <v>6310</v>
      </c>
      <c r="AN263" s="49" t="s">
        <v>126</v>
      </c>
      <c r="AO263" s="49" t="s">
        <v>2071</v>
      </c>
      <c r="AP263" s="49" t="s">
        <v>127</v>
      </c>
      <c r="AQ263" s="49" t="s">
        <v>128</v>
      </c>
      <c r="AR263" s="49" t="s">
        <v>280</v>
      </c>
      <c r="AS263" s="49" t="s">
        <v>2081</v>
      </c>
      <c r="AT263" s="49" t="s">
        <v>2086</v>
      </c>
      <c r="AU263" s="49" t="s">
        <v>601</v>
      </c>
      <c r="AV263" s="49"/>
      <c r="AW263" s="49" t="s">
        <v>2083</v>
      </c>
      <c r="AX263" s="49"/>
      <c r="AY263" s="49"/>
      <c r="AZ263" s="49"/>
      <c r="BA263" s="49"/>
      <c r="BB263" s="49" t="n">
        <v>61991830</v>
      </c>
      <c r="BC263" s="49" t="s">
        <v>134</v>
      </c>
      <c r="BD263" s="49" t="s">
        <v>191</v>
      </c>
      <c r="BE263" s="49" t="s">
        <v>224</v>
      </c>
      <c r="BF263" s="49" t="s">
        <v>424</v>
      </c>
      <c r="BG263" s="49" t="s">
        <v>138</v>
      </c>
      <c r="BH263" s="49" t="s">
        <v>139</v>
      </c>
      <c r="BI263" s="49" t="s">
        <v>140</v>
      </c>
      <c r="BJ263" s="49" t="s">
        <v>125</v>
      </c>
      <c r="BK263" s="49"/>
      <c r="BL263" s="49" t="s">
        <v>141</v>
      </c>
      <c r="BM263" s="49"/>
      <c r="BN263" s="49" t="s">
        <v>227</v>
      </c>
      <c r="BO263" s="49" t="s">
        <v>112</v>
      </c>
    </row>
    <row r="264" ht="16.8" customHeight="1">
      <c r="A264" s="43" t="s">
        <v>25</v>
      </c>
      <c r="B264" s="49" t="n">
        <v>254</v>
      </c>
      <c r="C264" s="49" t="s">
        <v>103</v>
      </c>
      <c r="D264" s="49" t="s">
        <v>104</v>
      </c>
      <c r="E264" s="49" t="s">
        <v>2069</v>
      </c>
      <c r="F264" s="49" t="s">
        <v>2070</v>
      </c>
      <c r="G264" s="49" t="s">
        <v>2071</v>
      </c>
      <c r="H264" s="49" t="s">
        <v>2072</v>
      </c>
      <c r="I264" s="49" t="s">
        <v>2073</v>
      </c>
      <c r="J264" s="49"/>
      <c r="K264" s="49" t="s">
        <v>174</v>
      </c>
      <c r="L264" s="49" t="s">
        <v>14</v>
      </c>
      <c r="M264" s="49" t="s">
        <v>111</v>
      </c>
      <c r="N264" s="49" t="s">
        <v>112</v>
      </c>
      <c r="O264" s="49" t="s">
        <v>2074</v>
      </c>
      <c r="P264" s="49"/>
      <c r="Q264" s="49"/>
      <c r="R264" s="49" t="s">
        <v>2069</v>
      </c>
      <c r="S264" s="49" t="s">
        <v>14</v>
      </c>
      <c r="T264" s="49" t="s">
        <v>2075</v>
      </c>
      <c r="U264" s="49" t="s">
        <v>115</v>
      </c>
      <c r="V264" s="49" t="s">
        <v>2076</v>
      </c>
      <c r="W264" s="49" t="s">
        <v>117</v>
      </c>
      <c r="X264" s="49" t="s">
        <v>412</v>
      </c>
      <c r="Y264" s="49" t="s">
        <v>174</v>
      </c>
      <c r="Z264" s="49" t="s">
        <v>2077</v>
      </c>
      <c r="AA264" s="49" t="s">
        <v>2078</v>
      </c>
      <c r="AB264" s="49" t="s">
        <v>2079</v>
      </c>
      <c r="AC264" s="49" t="s">
        <v>2069</v>
      </c>
      <c r="AD264" s="49" t="n">
        <v>5442872</v>
      </c>
      <c r="AE264" s="49" t="s">
        <v>14</v>
      </c>
      <c r="AF264" s="49" t="s">
        <v>2080</v>
      </c>
      <c r="AG264" s="49" t="s">
        <v>14</v>
      </c>
      <c r="AH264" s="49" t="s">
        <v>2080</v>
      </c>
      <c r="AI264" s="49" t="s">
        <v>1699</v>
      </c>
      <c r="AJ264" s="49" t="s">
        <v>1269</v>
      </c>
      <c r="AK264" s="49" t="s">
        <v>124</v>
      </c>
      <c r="AL264" s="49" t="s">
        <v>125</v>
      </c>
      <c r="AM264" s="51" t="n">
        <v>24800</v>
      </c>
      <c r="AN264" s="49" t="s">
        <v>126</v>
      </c>
      <c r="AO264" s="49" t="s">
        <v>2071</v>
      </c>
      <c r="AP264" s="49" t="s">
        <v>127</v>
      </c>
      <c r="AQ264" s="49" t="s">
        <v>128</v>
      </c>
      <c r="AR264" s="49" t="s">
        <v>280</v>
      </c>
      <c r="AS264" s="49" t="s">
        <v>2081</v>
      </c>
      <c r="AT264" s="49" t="s">
        <v>2087</v>
      </c>
      <c r="AU264" s="49" t="s">
        <v>601</v>
      </c>
      <c r="AV264" s="49"/>
      <c r="AW264" s="49" t="s">
        <v>2083</v>
      </c>
      <c r="AX264" s="49"/>
      <c r="AY264" s="49"/>
      <c r="AZ264" s="49"/>
      <c r="BA264" s="49"/>
      <c r="BB264" s="49" t="n">
        <v>61991830</v>
      </c>
      <c r="BC264" s="49" t="s">
        <v>134</v>
      </c>
      <c r="BD264" s="49" t="s">
        <v>191</v>
      </c>
      <c r="BE264" s="49" t="s">
        <v>224</v>
      </c>
      <c r="BF264" s="49" t="s">
        <v>424</v>
      </c>
      <c r="BG264" s="49" t="s">
        <v>138</v>
      </c>
      <c r="BH264" s="49" t="s">
        <v>139</v>
      </c>
      <c r="BI264" s="49" t="s">
        <v>140</v>
      </c>
      <c r="BJ264" s="49" t="s">
        <v>125</v>
      </c>
      <c r="BK264" s="49"/>
      <c r="BL264" s="49" t="s">
        <v>141</v>
      </c>
      <c r="BM264" s="49"/>
      <c r="BN264" s="49" t="s">
        <v>227</v>
      </c>
      <c r="BO264" s="49" t="s">
        <v>112</v>
      </c>
    </row>
    <row r="265" ht="16.8" customHeight="1">
      <c r="A265" s="43" t="s">
        <v>25</v>
      </c>
      <c r="B265" s="49" t="n">
        <v>255</v>
      </c>
      <c r="C265" s="49" t="s">
        <v>103</v>
      </c>
      <c r="D265" s="49" t="s">
        <v>104</v>
      </c>
      <c r="E265" s="49" t="s">
        <v>2088</v>
      </c>
      <c r="F265" s="49" t="s">
        <v>2089</v>
      </c>
      <c r="G265" s="49" t="s">
        <v>622</v>
      </c>
      <c r="H265" s="49" t="s">
        <v>2090</v>
      </c>
      <c r="I265" s="49" t="s">
        <v>624</v>
      </c>
      <c r="J265" s="49" t="s">
        <v>125</v>
      </c>
      <c r="K265" s="49" t="s">
        <v>110</v>
      </c>
      <c r="L265" s="49" t="s">
        <v>14</v>
      </c>
      <c r="M265" s="49" t="s">
        <v>111</v>
      </c>
      <c r="N265" s="49" t="s">
        <v>554</v>
      </c>
      <c r="O265" s="49" t="s">
        <v>2091</v>
      </c>
      <c r="P265" s="49"/>
      <c r="Q265" s="49"/>
      <c r="R265" s="49" t="s">
        <v>2092</v>
      </c>
      <c r="S265" s="49" t="s">
        <v>14</v>
      </c>
      <c r="T265" s="49" t="s">
        <v>2093</v>
      </c>
      <c r="U265" s="49" t="s">
        <v>178</v>
      </c>
      <c r="V265" s="49" t="s">
        <v>2094</v>
      </c>
      <c r="W265" s="49" t="s">
        <v>117</v>
      </c>
      <c r="X265" s="49" t="s">
        <v>1131</v>
      </c>
      <c r="Y265" s="49" t="s">
        <v>110</v>
      </c>
      <c r="Z265" s="49" t="s">
        <v>455</v>
      </c>
      <c r="AA265" s="49" t="s">
        <v>2095</v>
      </c>
      <c r="AB265" s="49" t="s">
        <v>2096</v>
      </c>
      <c r="AC265" s="49" t="s">
        <v>2092</v>
      </c>
      <c r="AD265" s="49" t="n">
        <v>5442111</v>
      </c>
      <c r="AE265" s="49" t="s">
        <v>14</v>
      </c>
      <c r="AF265" s="49" t="s">
        <v>2097</v>
      </c>
      <c r="AG265" s="49" t="s">
        <v>14</v>
      </c>
      <c r="AH265" s="49" t="s">
        <v>2098</v>
      </c>
      <c r="AI265" s="49" t="s">
        <v>2099</v>
      </c>
      <c r="AJ265" s="49" t="s">
        <v>2100</v>
      </c>
      <c r="AK265" s="49" t="s">
        <v>124</v>
      </c>
      <c r="AL265" s="49" t="s">
        <v>125</v>
      </c>
      <c r="AM265" s="51" t="n">
        <v>15800</v>
      </c>
      <c r="AN265" s="49"/>
      <c r="AO265" s="49" t="s">
        <v>2091</v>
      </c>
      <c r="AP265" s="49" t="s">
        <v>187</v>
      </c>
      <c r="AQ265" s="49" t="s">
        <v>128</v>
      </c>
      <c r="AR265" s="49" t="s">
        <v>1062</v>
      </c>
      <c r="AS265" s="49" t="s">
        <v>2101</v>
      </c>
      <c r="AT265" s="49" t="s">
        <v>2102</v>
      </c>
      <c r="AU265" s="49" t="s">
        <v>601</v>
      </c>
      <c r="AV265" s="49"/>
      <c r="AW265" s="49" t="s">
        <v>2103</v>
      </c>
      <c r="AX265" s="49"/>
      <c r="AY265" s="49"/>
      <c r="AZ265" s="49"/>
      <c r="BA265" s="49"/>
      <c r="BB265" s="49" t="n">
        <v>68685986</v>
      </c>
      <c r="BC265" s="49" t="s">
        <v>134</v>
      </c>
      <c r="BD265" s="49" t="s">
        <v>655</v>
      </c>
      <c r="BE265" s="49" t="s">
        <v>894</v>
      </c>
      <c r="BF265" s="49" t="s">
        <v>125</v>
      </c>
      <c r="BG265" s="49"/>
      <c r="BH265" s="49" t="s">
        <v>139</v>
      </c>
      <c r="BI265" s="49" t="s">
        <v>140</v>
      </c>
      <c r="BJ265" s="49" t="s">
        <v>125</v>
      </c>
      <c r="BK265" s="49"/>
      <c r="BL265" s="49" t="s">
        <v>141</v>
      </c>
      <c r="BM265" s="49"/>
      <c r="BN265" s="49" t="s">
        <v>142</v>
      </c>
      <c r="BO265" s="49" t="s">
        <v>196</v>
      </c>
    </row>
    <row r="266" ht="16.8" customHeight="1">
      <c r="A266" s="43" t="s">
        <v>25</v>
      </c>
      <c r="B266" s="49" t="n">
        <v>256</v>
      </c>
      <c r="C266" s="49" t="s">
        <v>103</v>
      </c>
      <c r="D266" s="49" t="s">
        <v>104</v>
      </c>
      <c r="E266" s="49" t="s">
        <v>2104</v>
      </c>
      <c r="F266" s="49" t="s">
        <v>2105</v>
      </c>
      <c r="G266" s="49" t="s">
        <v>1590</v>
      </c>
      <c r="H266" s="49" t="s">
        <v>2106</v>
      </c>
      <c r="I266" s="168" t="s">
        <v>2107</v>
      </c>
      <c r="J266" s="49" t="s">
        <v>125</v>
      </c>
      <c r="K266" s="49" t="s">
        <v>250</v>
      </c>
      <c r="L266" s="49" t="s">
        <v>10</v>
      </c>
      <c r="M266" s="49" t="s">
        <v>607</v>
      </c>
      <c r="N266" s="49" t="s">
        <v>608</v>
      </c>
      <c r="O266" s="49" t="s">
        <v>125</v>
      </c>
      <c r="P266" s="49"/>
      <c r="Q266" s="49"/>
      <c r="R266" s="49" t="s">
        <v>2108</v>
      </c>
      <c r="S266" s="49" t="s">
        <v>10</v>
      </c>
      <c r="T266" s="49" t="s">
        <v>2109</v>
      </c>
      <c r="U266" s="49" t="s">
        <v>178</v>
      </c>
      <c r="V266" s="49" t="s">
        <v>2110</v>
      </c>
      <c r="W266" s="49" t="s">
        <v>117</v>
      </c>
      <c r="X266" s="49" t="s">
        <v>412</v>
      </c>
      <c r="Y266" s="49" t="s">
        <v>174</v>
      </c>
      <c r="Z266" s="49" t="s">
        <v>2111</v>
      </c>
      <c r="AA266" s="49" t="s">
        <v>1114</v>
      </c>
      <c r="AB266" s="49" t="s">
        <v>2112</v>
      </c>
      <c r="AC266" s="49" t="s">
        <v>2108</v>
      </c>
      <c r="AD266" s="49" t="n">
        <v>5410190</v>
      </c>
      <c r="AE266" s="49" t="s">
        <v>10</v>
      </c>
      <c r="AF266" s="49" t="s">
        <v>2113</v>
      </c>
      <c r="AG266" s="49" t="s">
        <v>10</v>
      </c>
      <c r="AH266" s="49" t="s">
        <v>2114</v>
      </c>
      <c r="AI266" s="49" t="s">
        <v>1265</v>
      </c>
      <c r="AJ266" s="49" t="s">
        <v>1266</v>
      </c>
      <c r="AK266" s="49" t="s">
        <v>124</v>
      </c>
      <c r="AL266" s="49" t="s">
        <v>125</v>
      </c>
      <c r="AM266" s="51" t="n">
        <v>4685.65</v>
      </c>
      <c r="AN266" s="49"/>
      <c r="AO266" s="49" t="s">
        <v>125</v>
      </c>
      <c r="AP266" s="49" t="s">
        <v>187</v>
      </c>
      <c r="AQ266" s="49" t="s">
        <v>128</v>
      </c>
      <c r="AR266" s="49" t="s">
        <v>129</v>
      </c>
      <c r="AS266" s="49" t="s">
        <v>2115</v>
      </c>
      <c r="AT266" s="49" t="s">
        <v>2116</v>
      </c>
      <c r="AU266" s="49" t="s">
        <v>601</v>
      </c>
      <c r="AV266" s="49"/>
      <c r="AW266" s="49" t="s">
        <v>2117</v>
      </c>
      <c r="AX266" s="49"/>
      <c r="AY266" s="49"/>
      <c r="AZ266" s="49"/>
      <c r="BA266" s="49"/>
      <c r="BB266" s="49" t="n">
        <v>80649557</v>
      </c>
      <c r="BC266" s="49" t="s">
        <v>134</v>
      </c>
      <c r="BD266" s="49" t="s">
        <v>191</v>
      </c>
      <c r="BE266" s="49" t="s">
        <v>423</v>
      </c>
      <c r="BF266" s="49" t="s">
        <v>424</v>
      </c>
      <c r="BG266" s="49" t="s">
        <v>138</v>
      </c>
      <c r="BH266" s="49" t="s">
        <v>139</v>
      </c>
      <c r="BI266" s="49" t="s">
        <v>140</v>
      </c>
      <c r="BJ266" s="49" t="s">
        <v>125</v>
      </c>
      <c r="BK266" s="49"/>
      <c r="BL266" s="49" t="s">
        <v>141</v>
      </c>
      <c r="BM266" s="49"/>
      <c r="BN266" s="49"/>
      <c r="BO266" s="49" t="s">
        <v>196</v>
      </c>
    </row>
    <row r="267" ht="16.8" customHeight="1">
      <c r="A267" s="43" t="s">
        <v>25</v>
      </c>
      <c r="B267" s="49" t="n">
        <v>257</v>
      </c>
      <c r="C267" s="49" t="s">
        <v>103</v>
      </c>
      <c r="D267" s="49" t="s">
        <v>104</v>
      </c>
      <c r="E267" s="49" t="s">
        <v>2104</v>
      </c>
      <c r="F267" s="49" t="s">
        <v>2105</v>
      </c>
      <c r="G267" s="49" t="s">
        <v>1590</v>
      </c>
      <c r="H267" s="49" t="s">
        <v>2106</v>
      </c>
      <c r="I267" s="169" t="s">
        <v>2107</v>
      </c>
      <c r="J267" s="49" t="s">
        <v>125</v>
      </c>
      <c r="K267" s="49" t="s">
        <v>250</v>
      </c>
      <c r="L267" s="49" t="s">
        <v>10</v>
      </c>
      <c r="M267" s="49" t="s">
        <v>607</v>
      </c>
      <c r="N267" s="49" t="s">
        <v>608</v>
      </c>
      <c r="O267" s="49" t="s">
        <v>125</v>
      </c>
      <c r="P267" s="49"/>
      <c r="Q267" s="49"/>
      <c r="R267" s="49" t="s">
        <v>2108</v>
      </c>
      <c r="S267" s="49" t="s">
        <v>10</v>
      </c>
      <c r="T267" s="49" t="s">
        <v>2109</v>
      </c>
      <c r="U267" s="49" t="s">
        <v>178</v>
      </c>
      <c r="V267" s="49" t="s">
        <v>2110</v>
      </c>
      <c r="W267" s="49" t="s">
        <v>117</v>
      </c>
      <c r="X267" s="49" t="s">
        <v>412</v>
      </c>
      <c r="Y267" s="49" t="s">
        <v>174</v>
      </c>
      <c r="Z267" s="49" t="s">
        <v>2111</v>
      </c>
      <c r="AA267" s="49" t="s">
        <v>1114</v>
      </c>
      <c r="AB267" s="49" t="s">
        <v>2112</v>
      </c>
      <c r="AC267" s="49" t="s">
        <v>2108</v>
      </c>
      <c r="AD267" s="49" t="n">
        <v>5410190</v>
      </c>
      <c r="AE267" s="49" t="s">
        <v>10</v>
      </c>
      <c r="AF267" s="49" t="s">
        <v>2113</v>
      </c>
      <c r="AG267" s="49" t="s">
        <v>10</v>
      </c>
      <c r="AH267" s="49" t="s">
        <v>2114</v>
      </c>
      <c r="AI267" s="49" t="s">
        <v>1262</v>
      </c>
      <c r="AJ267" s="49" t="s">
        <v>1263</v>
      </c>
      <c r="AK267" s="49" t="s">
        <v>124</v>
      </c>
      <c r="AL267" s="49" t="s">
        <v>125</v>
      </c>
      <c r="AM267" s="51" t="n">
        <v>7560.3</v>
      </c>
      <c r="AN267" s="49"/>
      <c r="AO267" s="49" t="s">
        <v>125</v>
      </c>
      <c r="AP267" s="49" t="s">
        <v>187</v>
      </c>
      <c r="AQ267" s="49" t="s">
        <v>128</v>
      </c>
      <c r="AR267" s="49" t="s">
        <v>129</v>
      </c>
      <c r="AS267" s="49" t="s">
        <v>2115</v>
      </c>
      <c r="AT267" s="49" t="s">
        <v>2118</v>
      </c>
      <c r="AU267" s="49" t="s">
        <v>601</v>
      </c>
      <c r="AV267" s="49"/>
      <c r="AW267" s="49" t="s">
        <v>2117</v>
      </c>
      <c r="AX267" s="49"/>
      <c r="AY267" s="49"/>
      <c r="AZ267" s="49"/>
      <c r="BA267" s="49"/>
      <c r="BB267" s="49" t="n">
        <v>80649557</v>
      </c>
      <c r="BC267" s="49" t="s">
        <v>134</v>
      </c>
      <c r="BD267" s="49" t="s">
        <v>191</v>
      </c>
      <c r="BE267" s="49" t="s">
        <v>423</v>
      </c>
      <c r="BF267" s="49" t="s">
        <v>424</v>
      </c>
      <c r="BG267" s="49" t="s">
        <v>138</v>
      </c>
      <c r="BH267" s="49" t="s">
        <v>139</v>
      </c>
      <c r="BI267" s="49" t="s">
        <v>140</v>
      </c>
      <c r="BJ267" s="49" t="s">
        <v>125</v>
      </c>
      <c r="BK267" s="49"/>
      <c r="BL267" s="49" t="s">
        <v>141</v>
      </c>
      <c r="BM267" s="49"/>
      <c r="BN267" s="49"/>
      <c r="BO267" s="49" t="s">
        <v>196</v>
      </c>
    </row>
    <row r="268" ht="16.8" customHeight="1">
      <c r="A268" s="43" t="s">
        <v>25</v>
      </c>
      <c r="B268" s="49" t="n">
        <v>258</v>
      </c>
      <c r="C268" s="49" t="s">
        <v>103</v>
      </c>
      <c r="D268" s="49" t="s">
        <v>104</v>
      </c>
      <c r="E268" s="49" t="s">
        <v>2104</v>
      </c>
      <c r="F268" s="49" t="s">
        <v>2105</v>
      </c>
      <c r="G268" s="49" t="s">
        <v>1590</v>
      </c>
      <c r="H268" s="49" t="s">
        <v>2106</v>
      </c>
      <c r="I268" s="170" t="s">
        <v>2107</v>
      </c>
      <c r="J268" s="49" t="s">
        <v>125</v>
      </c>
      <c r="K268" s="49" t="s">
        <v>250</v>
      </c>
      <c r="L268" s="49" t="s">
        <v>10</v>
      </c>
      <c r="M268" s="49" t="s">
        <v>607</v>
      </c>
      <c r="N268" s="49" t="s">
        <v>608</v>
      </c>
      <c r="O268" s="49" t="s">
        <v>125</v>
      </c>
      <c r="P268" s="49"/>
      <c r="Q268" s="49"/>
      <c r="R268" s="49" t="s">
        <v>2108</v>
      </c>
      <c r="S268" s="49" t="s">
        <v>10</v>
      </c>
      <c r="T268" s="49" t="s">
        <v>2109</v>
      </c>
      <c r="U268" s="49" t="s">
        <v>178</v>
      </c>
      <c r="V268" s="49" t="s">
        <v>2110</v>
      </c>
      <c r="W268" s="49" t="s">
        <v>117</v>
      </c>
      <c r="X268" s="49" t="s">
        <v>412</v>
      </c>
      <c r="Y268" s="49" t="s">
        <v>174</v>
      </c>
      <c r="Z268" s="49" t="s">
        <v>2111</v>
      </c>
      <c r="AA268" s="49" t="s">
        <v>1114</v>
      </c>
      <c r="AB268" s="49" t="s">
        <v>2112</v>
      </c>
      <c r="AC268" s="49" t="s">
        <v>2108</v>
      </c>
      <c r="AD268" s="49" t="n">
        <v>5410190</v>
      </c>
      <c r="AE268" s="49" t="s">
        <v>10</v>
      </c>
      <c r="AF268" s="49" t="s">
        <v>2113</v>
      </c>
      <c r="AG268" s="49" t="s">
        <v>10</v>
      </c>
      <c r="AH268" s="49" t="s">
        <v>2114</v>
      </c>
      <c r="AI268" s="49" t="s">
        <v>1699</v>
      </c>
      <c r="AJ268" s="49" t="s">
        <v>1269</v>
      </c>
      <c r="AK268" s="49" t="s">
        <v>124</v>
      </c>
      <c r="AL268" s="49" t="s">
        <v>125</v>
      </c>
      <c r="AM268" s="51" t="n">
        <v>12400</v>
      </c>
      <c r="AN268" s="49"/>
      <c r="AO268" s="49" t="s">
        <v>125</v>
      </c>
      <c r="AP268" s="49" t="s">
        <v>187</v>
      </c>
      <c r="AQ268" s="49" t="s">
        <v>128</v>
      </c>
      <c r="AR268" s="49" t="s">
        <v>129</v>
      </c>
      <c r="AS268" s="49" t="s">
        <v>2115</v>
      </c>
      <c r="AT268" s="49" t="s">
        <v>2119</v>
      </c>
      <c r="AU268" s="49" t="s">
        <v>601</v>
      </c>
      <c r="AV268" s="49"/>
      <c r="AW268" s="49" t="s">
        <v>2117</v>
      </c>
      <c r="AX268" s="49"/>
      <c r="AY268" s="49"/>
      <c r="AZ268" s="49"/>
      <c r="BA268" s="49"/>
      <c r="BB268" s="49" t="n">
        <v>80649557</v>
      </c>
      <c r="BC268" s="49" t="s">
        <v>134</v>
      </c>
      <c r="BD268" s="49" t="s">
        <v>191</v>
      </c>
      <c r="BE268" s="49" t="s">
        <v>423</v>
      </c>
      <c r="BF268" s="49" t="s">
        <v>424</v>
      </c>
      <c r="BG268" s="49" t="s">
        <v>138</v>
      </c>
      <c r="BH268" s="49" t="s">
        <v>139</v>
      </c>
      <c r="BI268" s="49" t="s">
        <v>140</v>
      </c>
      <c r="BJ268" s="49" t="s">
        <v>125</v>
      </c>
      <c r="BK268" s="49"/>
      <c r="BL268" s="49" t="s">
        <v>141</v>
      </c>
      <c r="BM268" s="49"/>
      <c r="BN268" s="49"/>
      <c r="BO268" s="49" t="s">
        <v>196</v>
      </c>
    </row>
    <row r="269" ht="16.8" customHeight="1">
      <c r="A269" s="43" t="s">
        <v>25</v>
      </c>
      <c r="B269" s="49" t="n">
        <v>259</v>
      </c>
      <c r="C269" s="49" t="s">
        <v>103</v>
      </c>
      <c r="D269" s="49" t="s">
        <v>104</v>
      </c>
      <c r="E269" s="49" t="s">
        <v>2104</v>
      </c>
      <c r="F269" s="49" t="s">
        <v>2105</v>
      </c>
      <c r="G269" s="49" t="s">
        <v>1590</v>
      </c>
      <c r="H269" s="49" t="s">
        <v>2106</v>
      </c>
      <c r="I269" s="171" t="s">
        <v>2107</v>
      </c>
      <c r="J269" s="49" t="s">
        <v>125</v>
      </c>
      <c r="K269" s="49" t="s">
        <v>250</v>
      </c>
      <c r="L269" s="49" t="s">
        <v>10</v>
      </c>
      <c r="M269" s="49" t="s">
        <v>607</v>
      </c>
      <c r="N269" s="49" t="s">
        <v>608</v>
      </c>
      <c r="O269" s="49" t="s">
        <v>125</v>
      </c>
      <c r="P269" s="49"/>
      <c r="Q269" s="49"/>
      <c r="R269" s="49" t="s">
        <v>2108</v>
      </c>
      <c r="S269" s="49" t="s">
        <v>10</v>
      </c>
      <c r="T269" s="49" t="s">
        <v>2109</v>
      </c>
      <c r="U269" s="49" t="s">
        <v>178</v>
      </c>
      <c r="V269" s="49" t="s">
        <v>2110</v>
      </c>
      <c r="W269" s="49" t="s">
        <v>117</v>
      </c>
      <c r="X269" s="49" t="s">
        <v>412</v>
      </c>
      <c r="Y269" s="49" t="s">
        <v>174</v>
      </c>
      <c r="Z269" s="49" t="s">
        <v>2111</v>
      </c>
      <c r="AA269" s="49" t="s">
        <v>1114</v>
      </c>
      <c r="AB269" s="49" t="s">
        <v>2112</v>
      </c>
      <c r="AC269" s="49" t="s">
        <v>2108</v>
      </c>
      <c r="AD269" s="49" t="n">
        <v>5410190</v>
      </c>
      <c r="AE269" s="49" t="s">
        <v>10</v>
      </c>
      <c r="AF269" s="49" t="s">
        <v>2113</v>
      </c>
      <c r="AG269" s="49" t="s">
        <v>10</v>
      </c>
      <c r="AH269" s="49" t="s">
        <v>2114</v>
      </c>
      <c r="AI269" s="49" t="s">
        <v>1701</v>
      </c>
      <c r="AJ269" s="49" t="s">
        <v>1260</v>
      </c>
      <c r="AK269" s="49" t="s">
        <v>124</v>
      </c>
      <c r="AL269" s="49" t="s">
        <v>125</v>
      </c>
      <c r="AM269" s="51" t="n">
        <v>3248.4</v>
      </c>
      <c r="AN269" s="49"/>
      <c r="AO269" s="49" t="s">
        <v>125</v>
      </c>
      <c r="AP269" s="49" t="s">
        <v>187</v>
      </c>
      <c r="AQ269" s="49" t="s">
        <v>128</v>
      </c>
      <c r="AR269" s="49" t="s">
        <v>129</v>
      </c>
      <c r="AS269" s="49" t="s">
        <v>2115</v>
      </c>
      <c r="AT269" s="49" t="s">
        <v>2120</v>
      </c>
      <c r="AU269" s="49" t="s">
        <v>601</v>
      </c>
      <c r="AV269" s="49"/>
      <c r="AW269" s="49" t="s">
        <v>2117</v>
      </c>
      <c r="AX269" s="49"/>
      <c r="AY269" s="49"/>
      <c r="AZ269" s="49"/>
      <c r="BA269" s="49"/>
      <c r="BB269" s="49" t="n">
        <v>80649557</v>
      </c>
      <c r="BC269" s="49" t="s">
        <v>134</v>
      </c>
      <c r="BD269" s="49" t="s">
        <v>191</v>
      </c>
      <c r="BE269" s="49" t="s">
        <v>423</v>
      </c>
      <c r="BF269" s="49" t="s">
        <v>424</v>
      </c>
      <c r="BG269" s="49" t="s">
        <v>138</v>
      </c>
      <c r="BH269" s="49" t="s">
        <v>139</v>
      </c>
      <c r="BI269" s="49" t="s">
        <v>140</v>
      </c>
      <c r="BJ269" s="49" t="s">
        <v>125</v>
      </c>
      <c r="BK269" s="49"/>
      <c r="BL269" s="49" t="s">
        <v>141</v>
      </c>
      <c r="BM269" s="49"/>
      <c r="BN269" s="49"/>
      <c r="BO269" s="49" t="s">
        <v>196</v>
      </c>
    </row>
    <row r="270" ht="16.8" customHeight="1">
      <c r="A270" s="43" t="s">
        <v>25</v>
      </c>
      <c r="B270" s="49" t="n">
        <v>260</v>
      </c>
      <c r="C270" s="49" t="s">
        <v>103</v>
      </c>
      <c r="D270" s="49" t="s">
        <v>104</v>
      </c>
      <c r="E270" s="49" t="s">
        <v>2104</v>
      </c>
      <c r="F270" s="49" t="s">
        <v>2105</v>
      </c>
      <c r="G270" s="49" t="s">
        <v>1590</v>
      </c>
      <c r="H270" s="49" t="s">
        <v>2106</v>
      </c>
      <c r="I270" s="172" t="s">
        <v>2107</v>
      </c>
      <c r="J270" s="49" t="s">
        <v>125</v>
      </c>
      <c r="K270" s="49" t="s">
        <v>250</v>
      </c>
      <c r="L270" s="49" t="s">
        <v>10</v>
      </c>
      <c r="M270" s="49" t="s">
        <v>607</v>
      </c>
      <c r="N270" s="49" t="s">
        <v>608</v>
      </c>
      <c r="O270" s="49" t="s">
        <v>125</v>
      </c>
      <c r="P270" s="49"/>
      <c r="Q270" s="49"/>
      <c r="R270" s="49" t="s">
        <v>2108</v>
      </c>
      <c r="S270" s="49" t="s">
        <v>10</v>
      </c>
      <c r="T270" s="49" t="s">
        <v>2109</v>
      </c>
      <c r="U270" s="49" t="s">
        <v>178</v>
      </c>
      <c r="V270" s="49" t="s">
        <v>2110</v>
      </c>
      <c r="W270" s="49" t="s">
        <v>117</v>
      </c>
      <c r="X270" s="49" t="s">
        <v>412</v>
      </c>
      <c r="Y270" s="49" t="s">
        <v>174</v>
      </c>
      <c r="Z270" s="49" t="s">
        <v>2111</v>
      </c>
      <c r="AA270" s="49" t="s">
        <v>1114</v>
      </c>
      <c r="AB270" s="49" t="s">
        <v>2112</v>
      </c>
      <c r="AC270" s="49" t="s">
        <v>2108</v>
      </c>
      <c r="AD270" s="49" t="n">
        <v>5410190</v>
      </c>
      <c r="AE270" s="49" t="s">
        <v>10</v>
      </c>
      <c r="AF270" s="49" t="s">
        <v>2113</v>
      </c>
      <c r="AG270" s="49" t="s">
        <v>10</v>
      </c>
      <c r="AH270" s="49" t="s">
        <v>2114</v>
      </c>
      <c r="AI270" s="49" t="s">
        <v>1703</v>
      </c>
      <c r="AJ270" s="49" t="s">
        <v>1256</v>
      </c>
      <c r="AK270" s="49" t="s">
        <v>124</v>
      </c>
      <c r="AL270" s="49" t="s">
        <v>125</v>
      </c>
      <c r="AM270" s="51" t="n">
        <v>4705.65</v>
      </c>
      <c r="AN270" s="49"/>
      <c r="AO270" s="49" t="s">
        <v>125</v>
      </c>
      <c r="AP270" s="49" t="s">
        <v>187</v>
      </c>
      <c r="AQ270" s="49" t="s">
        <v>128</v>
      </c>
      <c r="AR270" s="49" t="s">
        <v>129</v>
      </c>
      <c r="AS270" s="49" t="s">
        <v>2115</v>
      </c>
      <c r="AT270" s="49" t="s">
        <v>2121</v>
      </c>
      <c r="AU270" s="49" t="s">
        <v>601</v>
      </c>
      <c r="AV270" s="49"/>
      <c r="AW270" s="49" t="s">
        <v>2117</v>
      </c>
      <c r="AX270" s="49"/>
      <c r="AY270" s="49"/>
      <c r="AZ270" s="49"/>
      <c r="BA270" s="49"/>
      <c r="BB270" s="49" t="n">
        <v>80649557</v>
      </c>
      <c r="BC270" s="49" t="s">
        <v>134</v>
      </c>
      <c r="BD270" s="49" t="s">
        <v>191</v>
      </c>
      <c r="BE270" s="49" t="s">
        <v>423</v>
      </c>
      <c r="BF270" s="49" t="s">
        <v>424</v>
      </c>
      <c r="BG270" s="49" t="s">
        <v>138</v>
      </c>
      <c r="BH270" s="49" t="s">
        <v>139</v>
      </c>
      <c r="BI270" s="49" t="s">
        <v>140</v>
      </c>
      <c r="BJ270" s="49" t="s">
        <v>125</v>
      </c>
      <c r="BK270" s="49"/>
      <c r="BL270" s="49" t="s">
        <v>141</v>
      </c>
      <c r="BM270" s="49"/>
      <c r="BN270" s="49"/>
      <c r="BO270" s="49" t="s">
        <v>196</v>
      </c>
    </row>
    <row r="271" ht="16.8" customHeight="1">
      <c r="A271" s="43" t="s">
        <v>25</v>
      </c>
      <c r="B271" s="49" t="n">
        <v>261</v>
      </c>
      <c r="C271" s="49" t="s">
        <v>103</v>
      </c>
      <c r="D271" s="49" t="s">
        <v>104</v>
      </c>
      <c r="E271" s="49" t="s">
        <v>2104</v>
      </c>
      <c r="F271" s="49" t="s">
        <v>2105</v>
      </c>
      <c r="G271" s="49" t="s">
        <v>1590</v>
      </c>
      <c r="H271" s="49" t="s">
        <v>2106</v>
      </c>
      <c r="I271" s="173" t="s">
        <v>2107</v>
      </c>
      <c r="J271" s="49" t="s">
        <v>125</v>
      </c>
      <c r="K271" s="49" t="s">
        <v>250</v>
      </c>
      <c r="L271" s="49" t="s">
        <v>10</v>
      </c>
      <c r="M271" s="49" t="s">
        <v>607</v>
      </c>
      <c r="N271" s="49" t="s">
        <v>608</v>
      </c>
      <c r="O271" s="49" t="s">
        <v>125</v>
      </c>
      <c r="P271" s="49"/>
      <c r="Q271" s="49"/>
      <c r="R271" s="49" t="s">
        <v>2108</v>
      </c>
      <c r="S271" s="49" t="s">
        <v>10</v>
      </c>
      <c r="T271" s="49" t="s">
        <v>2109</v>
      </c>
      <c r="U271" s="49" t="s">
        <v>178</v>
      </c>
      <c r="V271" s="49" t="s">
        <v>2110</v>
      </c>
      <c r="W271" s="49" t="s">
        <v>117</v>
      </c>
      <c r="X271" s="49" t="s">
        <v>412</v>
      </c>
      <c r="Y271" s="49" t="s">
        <v>174</v>
      </c>
      <c r="Z271" s="49" t="s">
        <v>2111</v>
      </c>
      <c r="AA271" s="49" t="s">
        <v>1114</v>
      </c>
      <c r="AB271" s="49" t="s">
        <v>2112</v>
      </c>
      <c r="AC271" s="49" t="s">
        <v>2108</v>
      </c>
      <c r="AD271" s="49" t="n">
        <v>5410190</v>
      </c>
      <c r="AE271" s="49" t="s">
        <v>10</v>
      </c>
      <c r="AF271" s="49" t="s">
        <v>2113</v>
      </c>
      <c r="AG271" s="49" t="s">
        <v>10</v>
      </c>
      <c r="AH271" s="49" t="s">
        <v>2114</v>
      </c>
      <c r="AI271" s="49" t="s">
        <v>2122</v>
      </c>
      <c r="AJ271" s="49" t="s">
        <v>419</v>
      </c>
      <c r="AK271" s="49" t="s">
        <v>124</v>
      </c>
      <c r="AL271" s="49" t="s">
        <v>125</v>
      </c>
      <c r="AM271" s="51" t="n">
        <v>1500</v>
      </c>
      <c r="AN271" s="49"/>
      <c r="AO271" s="49" t="s">
        <v>125</v>
      </c>
      <c r="AP271" s="49" t="s">
        <v>187</v>
      </c>
      <c r="AQ271" s="49" t="s">
        <v>128</v>
      </c>
      <c r="AR271" s="49" t="s">
        <v>129</v>
      </c>
      <c r="AS271" s="49" t="s">
        <v>2115</v>
      </c>
      <c r="AT271" s="49"/>
      <c r="AU271" s="49" t="s">
        <v>601</v>
      </c>
      <c r="AV271" s="49"/>
      <c r="AW271" s="49" t="s">
        <v>2117</v>
      </c>
      <c r="AX271" s="49"/>
      <c r="AY271" s="49"/>
      <c r="AZ271" s="49"/>
      <c r="BA271" s="49"/>
      <c r="BB271" s="49" t="n">
        <v>80649557</v>
      </c>
      <c r="BC271" s="49" t="s">
        <v>134</v>
      </c>
      <c r="BD271" s="49" t="s">
        <v>191</v>
      </c>
      <c r="BE271" s="49" t="s">
        <v>423</v>
      </c>
      <c r="BF271" s="49" t="s">
        <v>424</v>
      </c>
      <c r="BG271" s="49" t="s">
        <v>138</v>
      </c>
      <c r="BH271" s="49" t="s">
        <v>139</v>
      </c>
      <c r="BI271" s="49" t="s">
        <v>140</v>
      </c>
      <c r="BJ271" s="49" t="s">
        <v>125</v>
      </c>
      <c r="BK271" s="49"/>
      <c r="BL271" s="49"/>
      <c r="BM271" s="49"/>
      <c r="BN271" s="49"/>
      <c r="BO271" s="49" t="s">
        <v>196</v>
      </c>
    </row>
    <row r="272" ht="16.8" customHeight="1">
      <c r="A272" s="43" t="s">
        <v>25</v>
      </c>
      <c r="B272" s="49" t="n">
        <v>262</v>
      </c>
      <c r="C272" s="49" t="s">
        <v>103</v>
      </c>
      <c r="D272" s="49" t="s">
        <v>104</v>
      </c>
      <c r="E272" s="49" t="s">
        <v>2104</v>
      </c>
      <c r="F272" s="49" t="s">
        <v>2105</v>
      </c>
      <c r="G272" s="49" t="s">
        <v>1590</v>
      </c>
      <c r="H272" s="49" t="s">
        <v>2106</v>
      </c>
      <c r="I272" s="174" t="s">
        <v>2107</v>
      </c>
      <c r="J272" s="49" t="s">
        <v>125</v>
      </c>
      <c r="K272" s="49" t="s">
        <v>250</v>
      </c>
      <c r="L272" s="49" t="s">
        <v>10</v>
      </c>
      <c r="M272" s="49" t="s">
        <v>607</v>
      </c>
      <c r="N272" s="49" t="s">
        <v>608</v>
      </c>
      <c r="O272" s="49" t="s">
        <v>125</v>
      </c>
      <c r="P272" s="49"/>
      <c r="Q272" s="49"/>
      <c r="R272" s="49" t="s">
        <v>2108</v>
      </c>
      <c r="S272" s="49" t="s">
        <v>10</v>
      </c>
      <c r="T272" s="49" t="s">
        <v>2109</v>
      </c>
      <c r="U272" s="49" t="s">
        <v>178</v>
      </c>
      <c r="V272" s="49" t="s">
        <v>2110</v>
      </c>
      <c r="W272" s="49" t="s">
        <v>117</v>
      </c>
      <c r="X272" s="49" t="s">
        <v>412</v>
      </c>
      <c r="Y272" s="49" t="s">
        <v>174</v>
      </c>
      <c r="Z272" s="49" t="s">
        <v>2111</v>
      </c>
      <c r="AA272" s="49" t="s">
        <v>1114</v>
      </c>
      <c r="AB272" s="49" t="s">
        <v>2112</v>
      </c>
      <c r="AC272" s="49" t="s">
        <v>2108</v>
      </c>
      <c r="AD272" s="49" t="n">
        <v>5410190</v>
      </c>
      <c r="AE272" s="49" t="s">
        <v>10</v>
      </c>
      <c r="AF272" s="49" t="s">
        <v>2113</v>
      </c>
      <c r="AG272" s="49" t="s">
        <v>10</v>
      </c>
      <c r="AH272" s="49" t="s">
        <v>2114</v>
      </c>
      <c r="AI272" s="49" t="s">
        <v>2123</v>
      </c>
      <c r="AJ272" s="49" t="s">
        <v>545</v>
      </c>
      <c r="AK272" s="49" t="s">
        <v>124</v>
      </c>
      <c r="AL272" s="49" t="s">
        <v>125</v>
      </c>
      <c r="AM272" s="51" t="n">
        <v>10500</v>
      </c>
      <c r="AN272" s="49"/>
      <c r="AO272" s="49" t="s">
        <v>125</v>
      </c>
      <c r="AP272" s="49" t="s">
        <v>187</v>
      </c>
      <c r="AQ272" s="49" t="s">
        <v>128</v>
      </c>
      <c r="AR272" s="49" t="s">
        <v>129</v>
      </c>
      <c r="AS272" s="49" t="s">
        <v>2115</v>
      </c>
      <c r="AT272" s="49"/>
      <c r="AU272" s="49" t="s">
        <v>601</v>
      </c>
      <c r="AV272" s="49"/>
      <c r="AW272" s="49" t="s">
        <v>2117</v>
      </c>
      <c r="AX272" s="49"/>
      <c r="AY272" s="49"/>
      <c r="AZ272" s="49"/>
      <c r="BA272" s="49"/>
      <c r="BB272" s="49" t="n">
        <v>80649557</v>
      </c>
      <c r="BC272" s="49" t="s">
        <v>134</v>
      </c>
      <c r="BD272" s="49" t="s">
        <v>191</v>
      </c>
      <c r="BE272" s="49" t="s">
        <v>423</v>
      </c>
      <c r="BF272" s="49" t="s">
        <v>424</v>
      </c>
      <c r="BG272" s="49" t="s">
        <v>138</v>
      </c>
      <c r="BH272" s="49" t="s">
        <v>139</v>
      </c>
      <c r="BI272" s="49" t="s">
        <v>140</v>
      </c>
      <c r="BJ272" s="49" t="s">
        <v>125</v>
      </c>
      <c r="BK272" s="49"/>
      <c r="BL272" s="49"/>
      <c r="BM272" s="49"/>
      <c r="BN272" s="49"/>
      <c r="BO272" s="49" t="s">
        <v>196</v>
      </c>
    </row>
    <row r="273" ht="16.8" customHeight="1">
      <c r="A273" s="43" t="s">
        <v>25</v>
      </c>
      <c r="B273" s="49" t="n">
        <v>263</v>
      </c>
      <c r="C273" s="49" t="s">
        <v>103</v>
      </c>
      <c r="D273" s="49" t="s">
        <v>104</v>
      </c>
      <c r="E273" s="49" t="s">
        <v>2124</v>
      </c>
      <c r="F273" s="49" t="s">
        <v>1920</v>
      </c>
      <c r="G273" s="49" t="s">
        <v>2125</v>
      </c>
      <c r="H273" s="49" t="s">
        <v>1921</v>
      </c>
      <c r="I273" s="49" t="s">
        <v>1922</v>
      </c>
      <c r="J273" s="49" t="s">
        <v>125</v>
      </c>
      <c r="K273" s="49" t="s">
        <v>1923</v>
      </c>
      <c r="L273" s="49" t="s">
        <v>1924</v>
      </c>
      <c r="M273" s="49" t="s">
        <v>1925</v>
      </c>
      <c r="N273" s="49" t="s">
        <v>1926</v>
      </c>
      <c r="O273" s="49" t="s">
        <v>125</v>
      </c>
      <c r="P273" s="49"/>
      <c r="Q273" s="49"/>
      <c r="R273" s="49" t="s">
        <v>1927</v>
      </c>
      <c r="S273" s="49" t="s">
        <v>1924</v>
      </c>
      <c r="T273" s="49" t="s">
        <v>2126</v>
      </c>
      <c r="U273" s="49" t="s">
        <v>178</v>
      </c>
      <c r="V273" s="49" t="s">
        <v>2127</v>
      </c>
      <c r="W273" s="49" t="s">
        <v>117</v>
      </c>
      <c r="X273" s="49" t="s">
        <v>118</v>
      </c>
      <c r="Y273" s="49" t="s">
        <v>110</v>
      </c>
      <c r="Z273" s="49" t="s">
        <v>392</v>
      </c>
      <c r="AA273" s="49" t="s">
        <v>1771</v>
      </c>
      <c r="AB273" s="49" t="s">
        <v>1930</v>
      </c>
      <c r="AC273" s="49" t="s">
        <v>1927</v>
      </c>
      <c r="AD273" s="49" t="n">
        <v>5469964</v>
      </c>
      <c r="AE273" s="49" t="s">
        <v>14</v>
      </c>
      <c r="AF273" s="49" t="s">
        <v>2128</v>
      </c>
      <c r="AG273" s="49" t="s">
        <v>1924</v>
      </c>
      <c r="AH273" s="49" t="s">
        <v>2129</v>
      </c>
      <c r="AI273" s="49"/>
      <c r="AJ273" s="49"/>
      <c r="AK273" s="49" t="s">
        <v>124</v>
      </c>
      <c r="AL273" s="49" t="s">
        <v>125</v>
      </c>
      <c r="AM273" s="51" t="n">
        <v>27650</v>
      </c>
      <c r="AN273" s="49"/>
      <c r="AO273" s="49" t="s">
        <v>125</v>
      </c>
      <c r="AP273" s="49" t="s">
        <v>220</v>
      </c>
      <c r="AQ273" s="49" t="s">
        <v>128</v>
      </c>
      <c r="AR273" s="49"/>
      <c r="AS273" s="49" t="s">
        <v>1931</v>
      </c>
      <c r="AT273" s="49"/>
      <c r="AU273" s="49"/>
      <c r="AV273" s="49"/>
      <c r="AW273" s="49" t="s">
        <v>2130</v>
      </c>
      <c r="AX273" s="49"/>
      <c r="AY273" s="49"/>
      <c r="AZ273" s="49"/>
      <c r="BA273" s="49"/>
      <c r="BB273" s="49" t="n">
        <v>80376945</v>
      </c>
      <c r="BC273" s="49" t="s">
        <v>134</v>
      </c>
      <c r="BD273" s="49" t="s">
        <v>135</v>
      </c>
      <c r="BE273" s="49" t="s">
        <v>285</v>
      </c>
      <c r="BF273" s="49" t="s">
        <v>1172</v>
      </c>
      <c r="BG273" s="49" t="s">
        <v>267</v>
      </c>
      <c r="BH273" s="49" t="s">
        <v>194</v>
      </c>
      <c r="BI273" s="49" t="s">
        <v>134</v>
      </c>
      <c r="BJ273" s="49" t="s">
        <v>125</v>
      </c>
      <c r="BK273" s="49"/>
      <c r="BL273" s="49"/>
      <c r="BM273" s="49"/>
      <c r="BN273" s="49" t="s">
        <v>195</v>
      </c>
      <c r="BO273" s="49" t="s">
        <v>196</v>
      </c>
    </row>
    <row r="274" ht="16.8" customHeight="1">
      <c r="A274" s="43" t="s">
        <v>25</v>
      </c>
      <c r="B274" s="49" t="n">
        <v>264</v>
      </c>
      <c r="C274" s="49" t="s">
        <v>103</v>
      </c>
      <c r="D274" s="49" t="s">
        <v>104</v>
      </c>
      <c r="E274" s="49" t="s">
        <v>992</v>
      </c>
      <c r="F274" s="49" t="s">
        <v>2131</v>
      </c>
      <c r="G274" s="49" t="s">
        <v>1373</v>
      </c>
      <c r="H274" s="49" t="s">
        <v>2132</v>
      </c>
      <c r="I274" s="49" t="s">
        <v>125</v>
      </c>
      <c r="J274" s="49" t="s">
        <v>125</v>
      </c>
      <c r="K274" s="49" t="s">
        <v>1430</v>
      </c>
      <c r="L274" s="49" t="s">
        <v>10</v>
      </c>
      <c r="M274" s="49" t="s">
        <v>111</v>
      </c>
      <c r="N274" s="49" t="s">
        <v>554</v>
      </c>
      <c r="O274" s="49" t="s">
        <v>1630</v>
      </c>
      <c r="P274" s="49"/>
      <c r="Q274" s="49"/>
      <c r="R274" s="49" t="s">
        <v>2133</v>
      </c>
      <c r="S274" s="49" t="s">
        <v>10</v>
      </c>
      <c r="T274" s="49" t="s">
        <v>2134</v>
      </c>
      <c r="U274" s="49" t="s">
        <v>178</v>
      </c>
      <c r="V274" s="49" t="s">
        <v>2135</v>
      </c>
      <c r="W274" s="49" t="s">
        <v>117</v>
      </c>
      <c r="X274" s="49" t="s">
        <v>1002</v>
      </c>
      <c r="Y274" s="49" t="s">
        <v>1430</v>
      </c>
      <c r="Z274" s="49" t="s">
        <v>455</v>
      </c>
      <c r="AA274" s="49" t="s">
        <v>1634</v>
      </c>
      <c r="AB274" s="49" t="s">
        <v>1634</v>
      </c>
      <c r="AC274" s="49" t="s">
        <v>2133</v>
      </c>
      <c r="AD274" s="49" t="n">
        <v>5469594</v>
      </c>
      <c r="AE274" s="49" t="s">
        <v>10</v>
      </c>
      <c r="AF274" s="49" t="s">
        <v>2136</v>
      </c>
      <c r="AG274" s="49" t="s">
        <v>10</v>
      </c>
      <c r="AH274" s="49" t="s">
        <v>2136</v>
      </c>
      <c r="AI274" s="49" t="s">
        <v>2137</v>
      </c>
      <c r="AJ274" s="49" t="s">
        <v>2138</v>
      </c>
      <c r="AK274" s="49" t="s">
        <v>124</v>
      </c>
      <c r="AL274" s="49" t="s">
        <v>125</v>
      </c>
      <c r="AM274" s="51" t="n">
        <v>3880</v>
      </c>
      <c r="AN274" s="49"/>
      <c r="AO274" s="49" t="s">
        <v>1630</v>
      </c>
      <c r="AP274" s="49" t="s">
        <v>187</v>
      </c>
      <c r="AQ274" s="49" t="s">
        <v>128</v>
      </c>
      <c r="AR274" s="49" t="s">
        <v>1091</v>
      </c>
      <c r="AS274" s="49" t="s">
        <v>2139</v>
      </c>
      <c r="AT274" s="49" t="s">
        <v>2140</v>
      </c>
      <c r="AU274" s="49" t="s">
        <v>2141</v>
      </c>
      <c r="AV274" s="49"/>
      <c r="AW274" s="49" t="s">
        <v>2142</v>
      </c>
      <c r="AX274" s="49"/>
      <c r="AY274" s="49"/>
      <c r="AZ274" s="49"/>
      <c r="BA274" s="49"/>
      <c r="BB274" s="49" t="n">
        <v>74065871</v>
      </c>
      <c r="BC274" s="49" t="s">
        <v>134</v>
      </c>
      <c r="BD274" s="49"/>
      <c r="BE274" s="49" t="s">
        <v>125</v>
      </c>
      <c r="BF274" s="49" t="s">
        <v>125</v>
      </c>
      <c r="BG274" s="49"/>
      <c r="BH274" s="49" t="s">
        <v>194</v>
      </c>
      <c r="BI274" s="49" t="s">
        <v>140</v>
      </c>
      <c r="BJ274" s="49" t="s">
        <v>125</v>
      </c>
      <c r="BK274" s="49"/>
      <c r="BL274" s="49" t="s">
        <v>141</v>
      </c>
      <c r="BM274" s="49"/>
      <c r="BN274" s="49" t="s">
        <v>142</v>
      </c>
      <c r="BO274" s="49" t="s">
        <v>196</v>
      </c>
    </row>
    <row r="275" ht="16.8" customHeight="1">
      <c r="A275" s="43" t="s">
        <v>25</v>
      </c>
      <c r="B275" s="49" t="n">
        <v>265</v>
      </c>
      <c r="C275" s="49" t="s">
        <v>103</v>
      </c>
      <c r="D275" s="49" t="s">
        <v>104</v>
      </c>
      <c r="E275" s="49" t="s">
        <v>320</v>
      </c>
      <c r="F275" s="49" t="s">
        <v>2143</v>
      </c>
      <c r="G275" s="49" t="s">
        <v>252</v>
      </c>
      <c r="H275" s="49" t="s">
        <v>2144</v>
      </c>
      <c r="I275" s="175" t="s">
        <v>2145</v>
      </c>
      <c r="J275" s="49" t="s">
        <v>125</v>
      </c>
      <c r="K275" s="49" t="s">
        <v>250</v>
      </c>
      <c r="L275" s="49" t="s">
        <v>2146</v>
      </c>
      <c r="M275" s="49" t="s">
        <v>111</v>
      </c>
      <c r="N275" s="49" t="s">
        <v>2147</v>
      </c>
      <c r="O275" s="49" t="s">
        <v>2148</v>
      </c>
      <c r="P275" s="49"/>
      <c r="Q275" s="49"/>
      <c r="R275" s="49" t="s">
        <v>2149</v>
      </c>
      <c r="S275" s="49" t="s">
        <v>2146</v>
      </c>
      <c r="T275" s="49" t="s">
        <v>2150</v>
      </c>
      <c r="U275" s="49" t="s">
        <v>178</v>
      </c>
      <c r="V275" s="49" t="s">
        <v>2151</v>
      </c>
      <c r="W275" s="49" t="s">
        <v>117</v>
      </c>
      <c r="X275" s="49" t="s">
        <v>213</v>
      </c>
      <c r="Y275" s="49" t="s">
        <v>206</v>
      </c>
      <c r="Z275" s="49" t="s">
        <v>2152</v>
      </c>
      <c r="AA275" s="49" t="s">
        <v>2153</v>
      </c>
      <c r="AB275" s="49" t="s">
        <v>2154</v>
      </c>
      <c r="AC275" s="49" t="s">
        <v>2149</v>
      </c>
      <c r="AD275" s="49" t="n">
        <v>5469536</v>
      </c>
      <c r="AE275" s="49" t="s">
        <v>14</v>
      </c>
      <c r="AF275" s="49" t="s">
        <v>2155</v>
      </c>
      <c r="AG275" s="49" t="s">
        <v>2146</v>
      </c>
      <c r="AH275" s="49" t="s">
        <v>2156</v>
      </c>
      <c r="AI275" s="49"/>
      <c r="AJ275" s="49"/>
      <c r="AK275" s="49" t="s">
        <v>124</v>
      </c>
      <c r="AL275" s="49" t="s">
        <v>125</v>
      </c>
      <c r="AM275" s="51" t="n">
        <v>15750</v>
      </c>
      <c r="AN275" s="49"/>
      <c r="AO275" s="49" t="s">
        <v>2148</v>
      </c>
      <c r="AP275" s="49" t="s">
        <v>220</v>
      </c>
      <c r="AQ275" s="49" t="s">
        <v>128</v>
      </c>
      <c r="AR275" s="49"/>
      <c r="AS275" s="49" t="s">
        <v>2157</v>
      </c>
      <c r="AT275" s="49"/>
      <c r="AU275" s="49"/>
      <c r="AV275" s="49"/>
      <c r="AW275" s="49" t="s">
        <v>2158</v>
      </c>
      <c r="AX275" s="49"/>
      <c r="AY275" s="49"/>
      <c r="AZ275" s="49"/>
      <c r="BA275" s="49"/>
      <c r="BB275" s="49" t="n">
        <v>70828555</v>
      </c>
      <c r="BC275" s="49" t="s">
        <v>134</v>
      </c>
      <c r="BD275" s="49" t="s">
        <v>191</v>
      </c>
      <c r="BE275" s="49" t="s">
        <v>1067</v>
      </c>
      <c r="BF275" s="49" t="s">
        <v>402</v>
      </c>
      <c r="BG275" s="49"/>
      <c r="BH275" s="49" t="s">
        <v>139</v>
      </c>
      <c r="BI275" s="49" t="s">
        <v>134</v>
      </c>
      <c r="BJ275" s="49" t="s">
        <v>125</v>
      </c>
      <c r="BK275" s="49"/>
      <c r="BL275" s="49"/>
      <c r="BM275" s="49"/>
      <c r="BN275" s="49" t="s">
        <v>959</v>
      </c>
      <c r="BO275" s="49" t="s">
        <v>196</v>
      </c>
    </row>
    <row r="276" ht="16.8" customHeight="1">
      <c r="A276" s="43" t="s">
        <v>25</v>
      </c>
      <c r="B276" s="49" t="n">
        <v>266</v>
      </c>
      <c r="C276" s="49" t="s">
        <v>103</v>
      </c>
      <c r="D276" s="49" t="s">
        <v>104</v>
      </c>
      <c r="E276" s="49" t="s">
        <v>2159</v>
      </c>
      <c r="F276" s="49" t="s">
        <v>2160</v>
      </c>
      <c r="G276" s="49" t="s">
        <v>230</v>
      </c>
      <c r="H276" s="49" t="s">
        <v>2161</v>
      </c>
      <c r="I276" s="176" t="s">
        <v>2162</v>
      </c>
      <c r="J276" s="49" t="s">
        <v>233</v>
      </c>
      <c r="K276" s="49"/>
      <c r="L276" s="49" t="s">
        <v>10</v>
      </c>
      <c r="M276" s="49" t="s">
        <v>207</v>
      </c>
      <c r="N276" s="49" t="s">
        <v>234</v>
      </c>
      <c r="O276" s="49" t="s">
        <v>125</v>
      </c>
      <c r="P276" s="49"/>
      <c r="Q276" s="49"/>
      <c r="R276" s="49" t="s">
        <v>2163</v>
      </c>
      <c r="S276" s="49" t="s">
        <v>10</v>
      </c>
      <c r="T276" s="49" t="s">
        <v>2164</v>
      </c>
      <c r="U276" s="49" t="s">
        <v>178</v>
      </c>
      <c r="V276" s="49" t="s">
        <v>2165</v>
      </c>
      <c r="W276" s="49" t="s">
        <v>117</v>
      </c>
      <c r="X276" s="49" t="s">
        <v>180</v>
      </c>
      <c r="Y276" s="49" t="s">
        <v>206</v>
      </c>
      <c r="Z276" s="49" t="s">
        <v>392</v>
      </c>
      <c r="AA276" s="49" t="s">
        <v>1133</v>
      </c>
      <c r="AB276" s="49" t="s">
        <v>353</v>
      </c>
      <c r="AC276" s="49" t="s">
        <v>2163</v>
      </c>
      <c r="AD276" s="49" t="n">
        <v>5469306</v>
      </c>
      <c r="AE276" s="49" t="s">
        <v>10</v>
      </c>
      <c r="AF276" s="49" t="s">
        <v>2166</v>
      </c>
      <c r="AG276" s="49" t="s">
        <v>10</v>
      </c>
      <c r="AH276" s="49" t="s">
        <v>2166</v>
      </c>
      <c r="AI276" s="49" t="s">
        <v>1774</v>
      </c>
      <c r="AJ276" s="49" t="s">
        <v>1775</v>
      </c>
      <c r="AK276" s="49" t="s">
        <v>124</v>
      </c>
      <c r="AL276" s="49" t="s">
        <v>125</v>
      </c>
      <c r="AM276" s="51" t="n">
        <v>7000</v>
      </c>
      <c r="AN276" s="49"/>
      <c r="AO276" s="49" t="s">
        <v>125</v>
      </c>
      <c r="AP276" s="49" t="s">
        <v>187</v>
      </c>
      <c r="AQ276" s="49" t="s">
        <v>128</v>
      </c>
      <c r="AR276" s="49" t="s">
        <v>1062</v>
      </c>
      <c r="AS276" s="49" t="s">
        <v>2167</v>
      </c>
      <c r="AT276" s="49" t="s">
        <v>2168</v>
      </c>
      <c r="AU276" s="49" t="s">
        <v>2141</v>
      </c>
      <c r="AV276" s="49"/>
      <c r="AW276" s="49" t="s">
        <v>2169</v>
      </c>
      <c r="AX276" s="49"/>
      <c r="AY276" s="49"/>
      <c r="AZ276" s="49"/>
      <c r="BA276" s="49"/>
      <c r="BB276" s="49" t="n">
        <v>81162494</v>
      </c>
      <c r="BC276" s="49" t="s">
        <v>134</v>
      </c>
      <c r="BD276" s="49" t="s">
        <v>135</v>
      </c>
      <c r="BE276" s="49" t="s">
        <v>285</v>
      </c>
      <c r="BF276" s="49" t="s">
        <v>225</v>
      </c>
      <c r="BG276" s="49" t="s">
        <v>267</v>
      </c>
      <c r="BH276" s="49" t="s">
        <v>194</v>
      </c>
      <c r="BI276" s="49" t="s">
        <v>140</v>
      </c>
      <c r="BJ276" s="49" t="s">
        <v>125</v>
      </c>
      <c r="BK276" s="49"/>
      <c r="BL276" s="49" t="s">
        <v>141</v>
      </c>
      <c r="BM276" s="49"/>
      <c r="BN276" s="49" t="s">
        <v>142</v>
      </c>
      <c r="BO276" s="49" t="s">
        <v>208</v>
      </c>
    </row>
    <row r="277" ht="16.8" customHeight="1">
      <c r="A277" s="43" t="s">
        <v>25</v>
      </c>
      <c r="B277" s="49" t="n">
        <v>267</v>
      </c>
      <c r="C277" s="49" t="s">
        <v>103</v>
      </c>
      <c r="D277" s="49" t="s">
        <v>104</v>
      </c>
      <c r="E277" s="49" t="s">
        <v>2159</v>
      </c>
      <c r="F277" s="49" t="s">
        <v>2160</v>
      </c>
      <c r="G277" s="49" t="s">
        <v>230</v>
      </c>
      <c r="H277" s="49" t="s">
        <v>2161</v>
      </c>
      <c r="I277" s="177" t="s">
        <v>2162</v>
      </c>
      <c r="J277" s="49" t="s">
        <v>233</v>
      </c>
      <c r="K277" s="49"/>
      <c r="L277" s="49" t="s">
        <v>10</v>
      </c>
      <c r="M277" s="49" t="s">
        <v>207</v>
      </c>
      <c r="N277" s="49" t="s">
        <v>234</v>
      </c>
      <c r="O277" s="49" t="s">
        <v>125</v>
      </c>
      <c r="P277" s="49"/>
      <c r="Q277" s="49"/>
      <c r="R277" s="49" t="s">
        <v>2163</v>
      </c>
      <c r="S277" s="49" t="s">
        <v>10</v>
      </c>
      <c r="T277" s="49" t="s">
        <v>2164</v>
      </c>
      <c r="U277" s="49" t="s">
        <v>178</v>
      </c>
      <c r="V277" s="49" t="s">
        <v>2165</v>
      </c>
      <c r="W277" s="49" t="s">
        <v>117</v>
      </c>
      <c r="X277" s="49" t="s">
        <v>180</v>
      </c>
      <c r="Y277" s="49" t="s">
        <v>206</v>
      </c>
      <c r="Z277" s="49" t="s">
        <v>392</v>
      </c>
      <c r="AA277" s="49" t="s">
        <v>1133</v>
      </c>
      <c r="AB277" s="49" t="s">
        <v>353</v>
      </c>
      <c r="AC277" s="49" t="s">
        <v>2163</v>
      </c>
      <c r="AD277" s="49" t="n">
        <v>5469306</v>
      </c>
      <c r="AE277" s="49" t="s">
        <v>10</v>
      </c>
      <c r="AF277" s="49" t="s">
        <v>2166</v>
      </c>
      <c r="AG277" s="49" t="s">
        <v>10</v>
      </c>
      <c r="AH277" s="49" t="s">
        <v>2166</v>
      </c>
      <c r="AI277" s="49" t="s">
        <v>1784</v>
      </c>
      <c r="AJ277" s="49" t="s">
        <v>1785</v>
      </c>
      <c r="AK277" s="49" t="s">
        <v>124</v>
      </c>
      <c r="AL277" s="49" t="s">
        <v>125</v>
      </c>
      <c r="AM277" s="51" t="n">
        <v>8400</v>
      </c>
      <c r="AN277" s="49"/>
      <c r="AO277" s="49" t="s">
        <v>125</v>
      </c>
      <c r="AP277" s="49" t="s">
        <v>187</v>
      </c>
      <c r="AQ277" s="49" t="s">
        <v>128</v>
      </c>
      <c r="AR277" s="49" t="s">
        <v>1062</v>
      </c>
      <c r="AS277" s="49" t="s">
        <v>2167</v>
      </c>
      <c r="AT277" s="49" t="s">
        <v>2170</v>
      </c>
      <c r="AU277" s="49" t="s">
        <v>2141</v>
      </c>
      <c r="AV277" s="49"/>
      <c r="AW277" s="49" t="s">
        <v>2169</v>
      </c>
      <c r="AX277" s="49"/>
      <c r="AY277" s="49"/>
      <c r="AZ277" s="49"/>
      <c r="BA277" s="49"/>
      <c r="BB277" s="49" t="n">
        <v>81162494</v>
      </c>
      <c r="BC277" s="49" t="s">
        <v>134</v>
      </c>
      <c r="BD277" s="49" t="s">
        <v>135</v>
      </c>
      <c r="BE277" s="49" t="s">
        <v>285</v>
      </c>
      <c r="BF277" s="49" t="s">
        <v>225</v>
      </c>
      <c r="BG277" s="49" t="s">
        <v>267</v>
      </c>
      <c r="BH277" s="49" t="s">
        <v>194</v>
      </c>
      <c r="BI277" s="49" t="s">
        <v>140</v>
      </c>
      <c r="BJ277" s="49" t="s">
        <v>125</v>
      </c>
      <c r="BK277" s="49"/>
      <c r="BL277" s="49" t="s">
        <v>141</v>
      </c>
      <c r="BM277" s="49"/>
      <c r="BN277" s="49" t="s">
        <v>142</v>
      </c>
      <c r="BO277" s="49" t="s">
        <v>208</v>
      </c>
    </row>
    <row r="278" ht="16.8" customHeight="1">
      <c r="A278" s="43" t="s">
        <v>25</v>
      </c>
      <c r="B278" s="49" t="n">
        <v>268</v>
      </c>
      <c r="C278" s="49" t="s">
        <v>103</v>
      </c>
      <c r="D278" s="49" t="s">
        <v>104</v>
      </c>
      <c r="E278" s="49" t="s">
        <v>2159</v>
      </c>
      <c r="F278" s="49" t="s">
        <v>2160</v>
      </c>
      <c r="G278" s="49" t="s">
        <v>230</v>
      </c>
      <c r="H278" s="49" t="s">
        <v>2161</v>
      </c>
      <c r="I278" s="178" t="s">
        <v>2162</v>
      </c>
      <c r="J278" s="49" t="s">
        <v>233</v>
      </c>
      <c r="K278" s="49"/>
      <c r="L278" s="49" t="s">
        <v>10</v>
      </c>
      <c r="M278" s="49" t="s">
        <v>207</v>
      </c>
      <c r="N278" s="49" t="s">
        <v>234</v>
      </c>
      <c r="O278" s="49" t="s">
        <v>125</v>
      </c>
      <c r="P278" s="49"/>
      <c r="Q278" s="49"/>
      <c r="R278" s="49" t="s">
        <v>2163</v>
      </c>
      <c r="S278" s="49" t="s">
        <v>10</v>
      </c>
      <c r="T278" s="49" t="s">
        <v>2164</v>
      </c>
      <c r="U278" s="49" t="s">
        <v>178</v>
      </c>
      <c r="V278" s="49" t="s">
        <v>2165</v>
      </c>
      <c r="W278" s="49" t="s">
        <v>117</v>
      </c>
      <c r="X278" s="49" t="s">
        <v>180</v>
      </c>
      <c r="Y278" s="49" t="s">
        <v>206</v>
      </c>
      <c r="Z278" s="49" t="s">
        <v>392</v>
      </c>
      <c r="AA278" s="49" t="s">
        <v>1133</v>
      </c>
      <c r="AB278" s="49" t="s">
        <v>353</v>
      </c>
      <c r="AC278" s="49" t="s">
        <v>2163</v>
      </c>
      <c r="AD278" s="49" t="n">
        <v>5469306</v>
      </c>
      <c r="AE278" s="49" t="s">
        <v>10</v>
      </c>
      <c r="AF278" s="49" t="s">
        <v>2166</v>
      </c>
      <c r="AG278" s="49" t="s">
        <v>10</v>
      </c>
      <c r="AH278" s="49" t="s">
        <v>2166</v>
      </c>
      <c r="AI278" s="49" t="s">
        <v>2171</v>
      </c>
      <c r="AJ278" s="49" t="s">
        <v>159</v>
      </c>
      <c r="AK278" s="49" t="s">
        <v>124</v>
      </c>
      <c r="AL278" s="49" t="s">
        <v>125</v>
      </c>
      <c r="AM278" s="51" t="n">
        <v>5900</v>
      </c>
      <c r="AN278" s="49"/>
      <c r="AO278" s="49" t="s">
        <v>125</v>
      </c>
      <c r="AP278" s="49" t="s">
        <v>187</v>
      </c>
      <c r="AQ278" s="49" t="s">
        <v>128</v>
      </c>
      <c r="AR278" s="49" t="s">
        <v>1062</v>
      </c>
      <c r="AS278" s="49" t="s">
        <v>2167</v>
      </c>
      <c r="AT278" s="49" t="s">
        <v>2172</v>
      </c>
      <c r="AU278" s="49" t="s">
        <v>2141</v>
      </c>
      <c r="AV278" s="49"/>
      <c r="AW278" s="49" t="s">
        <v>2169</v>
      </c>
      <c r="AX278" s="49"/>
      <c r="AY278" s="49"/>
      <c r="AZ278" s="49"/>
      <c r="BA278" s="49"/>
      <c r="BB278" s="49" t="n">
        <v>81162494</v>
      </c>
      <c r="BC278" s="49" t="s">
        <v>134</v>
      </c>
      <c r="BD278" s="49" t="s">
        <v>135</v>
      </c>
      <c r="BE278" s="49" t="s">
        <v>285</v>
      </c>
      <c r="BF278" s="49" t="s">
        <v>225</v>
      </c>
      <c r="BG278" s="49" t="s">
        <v>267</v>
      </c>
      <c r="BH278" s="49" t="s">
        <v>194</v>
      </c>
      <c r="BI278" s="49" t="s">
        <v>140</v>
      </c>
      <c r="BJ278" s="49" t="s">
        <v>125</v>
      </c>
      <c r="BK278" s="49"/>
      <c r="BL278" s="49" t="s">
        <v>141</v>
      </c>
      <c r="BM278" s="49"/>
      <c r="BN278" s="49" t="s">
        <v>142</v>
      </c>
      <c r="BO278" s="49" t="s">
        <v>208</v>
      </c>
    </row>
    <row r="279" ht="16.8" customHeight="1">
      <c r="A279" s="43" t="s">
        <v>25</v>
      </c>
      <c r="B279" s="49" t="n">
        <v>269</v>
      </c>
      <c r="C279" s="49" t="s">
        <v>103</v>
      </c>
      <c r="D279" s="49" t="s">
        <v>104</v>
      </c>
      <c r="E279" s="49" t="s">
        <v>2173</v>
      </c>
      <c r="F279" s="49" t="s">
        <v>2174</v>
      </c>
      <c r="G279" s="49" t="s">
        <v>230</v>
      </c>
      <c r="H279" s="49" t="s">
        <v>2175</v>
      </c>
      <c r="I279" s="179" t="s">
        <v>2176</v>
      </c>
      <c r="J279" s="49" t="s">
        <v>2177</v>
      </c>
      <c r="K279" s="49"/>
      <c r="L279" s="49" t="s">
        <v>14</v>
      </c>
      <c r="M279" s="49" t="s">
        <v>207</v>
      </c>
      <c r="N279" s="49" t="s">
        <v>2178</v>
      </c>
      <c r="O279" s="49" t="s">
        <v>125</v>
      </c>
      <c r="P279" s="49"/>
      <c r="Q279" s="49"/>
      <c r="R279" s="49" t="s">
        <v>2179</v>
      </c>
      <c r="S279" s="49" t="s">
        <v>14</v>
      </c>
      <c r="T279" s="49" t="s">
        <v>2180</v>
      </c>
      <c r="U279" s="49" t="s">
        <v>178</v>
      </c>
      <c r="V279" s="49" t="s">
        <v>2181</v>
      </c>
      <c r="W279" s="49" t="s">
        <v>117</v>
      </c>
      <c r="X279" s="49" t="s">
        <v>118</v>
      </c>
      <c r="Y279" s="49" t="s">
        <v>174</v>
      </c>
      <c r="Z279" s="49" t="s">
        <v>455</v>
      </c>
      <c r="AA279" s="49" t="s">
        <v>2182</v>
      </c>
      <c r="AB279" s="49" t="s">
        <v>2183</v>
      </c>
      <c r="AC279" s="49" t="s">
        <v>2179</v>
      </c>
      <c r="AD279" s="49" t="n">
        <v>5441189</v>
      </c>
      <c r="AE279" s="49" t="s">
        <v>14</v>
      </c>
      <c r="AF279" s="49" t="s">
        <v>2184</v>
      </c>
      <c r="AG279" s="49" t="s">
        <v>14</v>
      </c>
      <c r="AH279" s="49" t="s">
        <v>2184</v>
      </c>
      <c r="AI279" s="49" t="s">
        <v>2185</v>
      </c>
      <c r="AJ279" s="49" t="s">
        <v>288</v>
      </c>
      <c r="AK279" s="49" t="s">
        <v>124</v>
      </c>
      <c r="AL279" s="49" t="s">
        <v>125</v>
      </c>
      <c r="AM279" s="51" t="n">
        <v>6821.3</v>
      </c>
      <c r="AN279" s="49"/>
      <c r="AO279" s="49" t="s">
        <v>125</v>
      </c>
      <c r="AP279" s="49" t="s">
        <v>187</v>
      </c>
      <c r="AQ279" s="49" t="s">
        <v>128</v>
      </c>
      <c r="AR279" s="49" t="s">
        <v>664</v>
      </c>
      <c r="AS279" s="49" t="s">
        <v>2186</v>
      </c>
      <c r="AT279" s="49" t="s">
        <v>2187</v>
      </c>
      <c r="AU279" s="49" t="s">
        <v>2141</v>
      </c>
      <c r="AV279" s="49"/>
      <c r="AW279" s="49" t="s">
        <v>2188</v>
      </c>
      <c r="AX279" s="49"/>
      <c r="AY279" s="49"/>
      <c r="AZ279" s="49"/>
      <c r="BA279" s="49"/>
      <c r="BB279" s="49" t="n">
        <v>74578028</v>
      </c>
      <c r="BC279" s="49" t="s">
        <v>134</v>
      </c>
      <c r="BD279" s="49" t="s">
        <v>191</v>
      </c>
      <c r="BE279" s="49" t="s">
        <v>2189</v>
      </c>
      <c r="BF279" s="49" t="s">
        <v>137</v>
      </c>
      <c r="BG279" s="49" t="s">
        <v>138</v>
      </c>
      <c r="BH279" s="49" t="s">
        <v>139</v>
      </c>
      <c r="BI279" s="49" t="s">
        <v>140</v>
      </c>
      <c r="BJ279" s="49" t="s">
        <v>125</v>
      </c>
      <c r="BK279" s="49"/>
      <c r="BL279" s="49" t="s">
        <v>141</v>
      </c>
      <c r="BM279" s="49"/>
      <c r="BN279" s="49" t="s">
        <v>142</v>
      </c>
      <c r="BO279" s="49" t="s">
        <v>2190</v>
      </c>
    </row>
    <row r="280" ht="16.8" customHeight="1">
      <c r="A280" s="43" t="s">
        <v>25</v>
      </c>
      <c r="B280" s="49" t="n">
        <v>270</v>
      </c>
      <c r="C280" s="49" t="s">
        <v>103</v>
      </c>
      <c r="D280" s="49" t="s">
        <v>104</v>
      </c>
      <c r="E280" s="49" t="s">
        <v>2173</v>
      </c>
      <c r="F280" s="49" t="s">
        <v>2174</v>
      </c>
      <c r="G280" s="49" t="s">
        <v>230</v>
      </c>
      <c r="H280" s="49" t="s">
        <v>2175</v>
      </c>
      <c r="I280" s="180" t="s">
        <v>2176</v>
      </c>
      <c r="J280" s="49" t="s">
        <v>2177</v>
      </c>
      <c r="K280" s="49"/>
      <c r="L280" s="49" t="s">
        <v>14</v>
      </c>
      <c r="M280" s="49" t="s">
        <v>207</v>
      </c>
      <c r="N280" s="49" t="s">
        <v>2178</v>
      </c>
      <c r="O280" s="49" t="s">
        <v>125</v>
      </c>
      <c r="P280" s="49"/>
      <c r="Q280" s="49"/>
      <c r="R280" s="49" t="s">
        <v>2179</v>
      </c>
      <c r="S280" s="49" t="s">
        <v>14</v>
      </c>
      <c r="T280" s="49" t="s">
        <v>2180</v>
      </c>
      <c r="U280" s="49" t="s">
        <v>178</v>
      </c>
      <c r="V280" s="49" t="s">
        <v>2181</v>
      </c>
      <c r="W280" s="49" t="s">
        <v>117</v>
      </c>
      <c r="X280" s="49" t="s">
        <v>118</v>
      </c>
      <c r="Y280" s="49" t="s">
        <v>174</v>
      </c>
      <c r="Z280" s="49" t="s">
        <v>455</v>
      </c>
      <c r="AA280" s="49" t="s">
        <v>2182</v>
      </c>
      <c r="AB280" s="49" t="s">
        <v>2183</v>
      </c>
      <c r="AC280" s="49" t="s">
        <v>2179</v>
      </c>
      <c r="AD280" s="49" t="n">
        <v>5441189</v>
      </c>
      <c r="AE280" s="49" t="s">
        <v>14</v>
      </c>
      <c r="AF280" s="49" t="s">
        <v>2184</v>
      </c>
      <c r="AG280" s="49" t="s">
        <v>14</v>
      </c>
      <c r="AH280" s="49" t="s">
        <v>2184</v>
      </c>
      <c r="AI280" s="49" t="s">
        <v>2057</v>
      </c>
      <c r="AJ280" s="49" t="s">
        <v>2058</v>
      </c>
      <c r="AK280" s="49" t="s">
        <v>124</v>
      </c>
      <c r="AL280" s="49" t="s">
        <v>125</v>
      </c>
      <c r="AM280" s="51" t="n">
        <v>3897.9</v>
      </c>
      <c r="AN280" s="49"/>
      <c r="AO280" s="49" t="s">
        <v>125</v>
      </c>
      <c r="AP280" s="49" t="s">
        <v>187</v>
      </c>
      <c r="AQ280" s="49" t="s">
        <v>128</v>
      </c>
      <c r="AR280" s="49" t="s">
        <v>664</v>
      </c>
      <c r="AS280" s="49" t="s">
        <v>2186</v>
      </c>
      <c r="AT280" s="49" t="s">
        <v>2191</v>
      </c>
      <c r="AU280" s="49" t="s">
        <v>2141</v>
      </c>
      <c r="AV280" s="49"/>
      <c r="AW280" s="49" t="s">
        <v>2188</v>
      </c>
      <c r="AX280" s="49"/>
      <c r="AY280" s="49"/>
      <c r="AZ280" s="49"/>
      <c r="BA280" s="49"/>
      <c r="BB280" s="49" t="n">
        <v>74578028</v>
      </c>
      <c r="BC280" s="49" t="s">
        <v>134</v>
      </c>
      <c r="BD280" s="49" t="s">
        <v>191</v>
      </c>
      <c r="BE280" s="49" t="s">
        <v>2189</v>
      </c>
      <c r="BF280" s="49" t="s">
        <v>137</v>
      </c>
      <c r="BG280" s="49" t="s">
        <v>138</v>
      </c>
      <c r="BH280" s="49" t="s">
        <v>139</v>
      </c>
      <c r="BI280" s="49" t="s">
        <v>140</v>
      </c>
      <c r="BJ280" s="49" t="s">
        <v>125</v>
      </c>
      <c r="BK280" s="49"/>
      <c r="BL280" s="49" t="s">
        <v>141</v>
      </c>
      <c r="BM280" s="49"/>
      <c r="BN280" s="49" t="s">
        <v>142</v>
      </c>
      <c r="BO280" s="49" t="s">
        <v>2190</v>
      </c>
    </row>
    <row r="281" ht="16.8" customHeight="1">
      <c r="A281" s="43" t="s">
        <v>25</v>
      </c>
      <c r="B281" s="49" t="n">
        <v>271</v>
      </c>
      <c r="C281" s="49" t="s">
        <v>103</v>
      </c>
      <c r="D281" s="49" t="s">
        <v>104</v>
      </c>
      <c r="E281" s="49" t="s">
        <v>2173</v>
      </c>
      <c r="F281" s="49" t="s">
        <v>2174</v>
      </c>
      <c r="G281" s="49" t="s">
        <v>230</v>
      </c>
      <c r="H281" s="49" t="s">
        <v>2175</v>
      </c>
      <c r="I281" s="181" t="s">
        <v>2176</v>
      </c>
      <c r="J281" s="49" t="s">
        <v>2177</v>
      </c>
      <c r="K281" s="49"/>
      <c r="L281" s="49" t="s">
        <v>14</v>
      </c>
      <c r="M281" s="49" t="s">
        <v>207</v>
      </c>
      <c r="N281" s="49" t="s">
        <v>2178</v>
      </c>
      <c r="O281" s="49" t="s">
        <v>125</v>
      </c>
      <c r="P281" s="49"/>
      <c r="Q281" s="49"/>
      <c r="R281" s="49" t="s">
        <v>2179</v>
      </c>
      <c r="S281" s="49" t="s">
        <v>14</v>
      </c>
      <c r="T281" s="49" t="s">
        <v>2180</v>
      </c>
      <c r="U281" s="49" t="s">
        <v>178</v>
      </c>
      <c r="V281" s="49" t="s">
        <v>2181</v>
      </c>
      <c r="W281" s="49" t="s">
        <v>117</v>
      </c>
      <c r="X281" s="49" t="s">
        <v>118</v>
      </c>
      <c r="Y281" s="49" t="s">
        <v>174</v>
      </c>
      <c r="Z281" s="49" t="s">
        <v>455</v>
      </c>
      <c r="AA281" s="49" t="s">
        <v>2182</v>
      </c>
      <c r="AB281" s="49" t="s">
        <v>2183</v>
      </c>
      <c r="AC281" s="49" t="s">
        <v>2179</v>
      </c>
      <c r="AD281" s="49" t="n">
        <v>5441189</v>
      </c>
      <c r="AE281" s="49" t="s">
        <v>14</v>
      </c>
      <c r="AF281" s="49" t="s">
        <v>2184</v>
      </c>
      <c r="AG281" s="49" t="s">
        <v>14</v>
      </c>
      <c r="AH281" s="49" t="s">
        <v>2184</v>
      </c>
      <c r="AI281" s="49" t="s">
        <v>1856</v>
      </c>
      <c r="AJ281" s="49" t="s">
        <v>1857</v>
      </c>
      <c r="AK281" s="49" t="s">
        <v>124</v>
      </c>
      <c r="AL281" s="49" t="s">
        <v>125</v>
      </c>
      <c r="AM281" s="51" t="n">
        <v>3410.6</v>
      </c>
      <c r="AN281" s="49"/>
      <c r="AO281" s="49" t="s">
        <v>125</v>
      </c>
      <c r="AP281" s="49" t="s">
        <v>187</v>
      </c>
      <c r="AQ281" s="49" t="s">
        <v>128</v>
      </c>
      <c r="AR281" s="49" t="s">
        <v>664</v>
      </c>
      <c r="AS281" s="49" t="s">
        <v>2186</v>
      </c>
      <c r="AT281" s="49" t="s">
        <v>2192</v>
      </c>
      <c r="AU281" s="49" t="s">
        <v>2141</v>
      </c>
      <c r="AV281" s="49"/>
      <c r="AW281" s="49" t="s">
        <v>2188</v>
      </c>
      <c r="AX281" s="49"/>
      <c r="AY281" s="49"/>
      <c r="AZ281" s="49"/>
      <c r="BA281" s="49"/>
      <c r="BB281" s="49" t="n">
        <v>74578028</v>
      </c>
      <c r="BC281" s="49" t="s">
        <v>134</v>
      </c>
      <c r="BD281" s="49" t="s">
        <v>191</v>
      </c>
      <c r="BE281" s="49" t="s">
        <v>2189</v>
      </c>
      <c r="BF281" s="49" t="s">
        <v>137</v>
      </c>
      <c r="BG281" s="49" t="s">
        <v>138</v>
      </c>
      <c r="BH281" s="49" t="s">
        <v>139</v>
      </c>
      <c r="BI281" s="49" t="s">
        <v>140</v>
      </c>
      <c r="BJ281" s="49" t="s">
        <v>125</v>
      </c>
      <c r="BK281" s="49"/>
      <c r="BL281" s="49" t="s">
        <v>141</v>
      </c>
      <c r="BM281" s="49"/>
      <c r="BN281" s="49" t="s">
        <v>142</v>
      </c>
      <c r="BO281" s="49" t="s">
        <v>2190</v>
      </c>
    </row>
    <row r="282" ht="16.8" customHeight="1">
      <c r="A282" s="43" t="s">
        <v>25</v>
      </c>
      <c r="B282" s="49" t="n">
        <v>272</v>
      </c>
      <c r="C282" s="49" t="s">
        <v>103</v>
      </c>
      <c r="D282" s="49" t="s">
        <v>104</v>
      </c>
      <c r="E282" s="49" t="s">
        <v>2173</v>
      </c>
      <c r="F282" s="49" t="s">
        <v>2174</v>
      </c>
      <c r="G282" s="49" t="s">
        <v>230</v>
      </c>
      <c r="H282" s="49" t="s">
        <v>2175</v>
      </c>
      <c r="I282" s="182" t="s">
        <v>2176</v>
      </c>
      <c r="J282" s="49" t="s">
        <v>2177</v>
      </c>
      <c r="K282" s="49"/>
      <c r="L282" s="49" t="s">
        <v>14</v>
      </c>
      <c r="M282" s="49" t="s">
        <v>207</v>
      </c>
      <c r="N282" s="49" t="s">
        <v>2178</v>
      </c>
      <c r="O282" s="49" t="s">
        <v>125</v>
      </c>
      <c r="P282" s="49"/>
      <c r="Q282" s="49"/>
      <c r="R282" s="49" t="s">
        <v>2179</v>
      </c>
      <c r="S282" s="49" t="s">
        <v>14</v>
      </c>
      <c r="T282" s="49" t="s">
        <v>2180</v>
      </c>
      <c r="U282" s="49" t="s">
        <v>178</v>
      </c>
      <c r="V282" s="49" t="s">
        <v>2181</v>
      </c>
      <c r="W282" s="49" t="s">
        <v>117</v>
      </c>
      <c r="X282" s="49" t="s">
        <v>118</v>
      </c>
      <c r="Y282" s="49" t="s">
        <v>174</v>
      </c>
      <c r="Z282" s="49" t="s">
        <v>455</v>
      </c>
      <c r="AA282" s="49" t="s">
        <v>2182</v>
      </c>
      <c r="AB282" s="49" t="s">
        <v>2183</v>
      </c>
      <c r="AC282" s="49" t="s">
        <v>2179</v>
      </c>
      <c r="AD282" s="49" t="n">
        <v>5441189</v>
      </c>
      <c r="AE282" s="49" t="s">
        <v>14</v>
      </c>
      <c r="AF282" s="49" t="s">
        <v>2184</v>
      </c>
      <c r="AG282" s="49" t="s">
        <v>14</v>
      </c>
      <c r="AH282" s="49" t="s">
        <v>2184</v>
      </c>
      <c r="AI282" s="49" t="s">
        <v>2051</v>
      </c>
      <c r="AJ282" s="49" t="s">
        <v>2052</v>
      </c>
      <c r="AK282" s="49" t="s">
        <v>124</v>
      </c>
      <c r="AL282" s="49" t="s">
        <v>125</v>
      </c>
      <c r="AM282" s="51" t="n">
        <v>6740.1</v>
      </c>
      <c r="AN282" s="49"/>
      <c r="AO282" s="49" t="s">
        <v>125</v>
      </c>
      <c r="AP282" s="49" t="s">
        <v>187</v>
      </c>
      <c r="AQ282" s="49" t="s">
        <v>128</v>
      </c>
      <c r="AR282" s="49" t="s">
        <v>664</v>
      </c>
      <c r="AS282" s="49" t="s">
        <v>2186</v>
      </c>
      <c r="AT282" s="49" t="s">
        <v>2193</v>
      </c>
      <c r="AU282" s="49" t="s">
        <v>2141</v>
      </c>
      <c r="AV282" s="49"/>
      <c r="AW282" s="49" t="s">
        <v>2188</v>
      </c>
      <c r="AX282" s="49"/>
      <c r="AY282" s="49"/>
      <c r="AZ282" s="49"/>
      <c r="BA282" s="49"/>
      <c r="BB282" s="49" t="n">
        <v>74578028</v>
      </c>
      <c r="BC282" s="49" t="s">
        <v>134</v>
      </c>
      <c r="BD282" s="49" t="s">
        <v>191</v>
      </c>
      <c r="BE282" s="49" t="s">
        <v>2189</v>
      </c>
      <c r="BF282" s="49" t="s">
        <v>137</v>
      </c>
      <c r="BG282" s="49" t="s">
        <v>138</v>
      </c>
      <c r="BH282" s="49" t="s">
        <v>139</v>
      </c>
      <c r="BI282" s="49" t="s">
        <v>140</v>
      </c>
      <c r="BJ282" s="49" t="s">
        <v>125</v>
      </c>
      <c r="BK282" s="49"/>
      <c r="BL282" s="49" t="s">
        <v>141</v>
      </c>
      <c r="BM282" s="49"/>
      <c r="BN282" s="49" t="s">
        <v>142</v>
      </c>
      <c r="BO282" s="49" t="s">
        <v>2190</v>
      </c>
    </row>
    <row r="283" ht="16.8" customHeight="1">
      <c r="A283" s="43" t="s">
        <v>25</v>
      </c>
      <c r="B283" s="49" t="n">
        <v>273</v>
      </c>
      <c r="C283" s="49" t="s">
        <v>103</v>
      </c>
      <c r="D283" s="49" t="s">
        <v>104</v>
      </c>
      <c r="E283" s="49" t="s">
        <v>2173</v>
      </c>
      <c r="F283" s="49" t="s">
        <v>2174</v>
      </c>
      <c r="G283" s="49" t="s">
        <v>230</v>
      </c>
      <c r="H283" s="49" t="s">
        <v>2175</v>
      </c>
      <c r="I283" s="183" t="s">
        <v>2176</v>
      </c>
      <c r="J283" s="49" t="s">
        <v>2177</v>
      </c>
      <c r="K283" s="49"/>
      <c r="L283" s="49" t="s">
        <v>14</v>
      </c>
      <c r="M283" s="49" t="s">
        <v>207</v>
      </c>
      <c r="N283" s="49" t="s">
        <v>2178</v>
      </c>
      <c r="O283" s="49" t="s">
        <v>125</v>
      </c>
      <c r="P283" s="49"/>
      <c r="Q283" s="49"/>
      <c r="R283" s="49" t="s">
        <v>2179</v>
      </c>
      <c r="S283" s="49" t="s">
        <v>14</v>
      </c>
      <c r="T283" s="49" t="s">
        <v>2180</v>
      </c>
      <c r="U283" s="49" t="s">
        <v>178</v>
      </c>
      <c r="V283" s="49" t="s">
        <v>2181</v>
      </c>
      <c r="W283" s="49" t="s">
        <v>117</v>
      </c>
      <c r="X283" s="49" t="s">
        <v>118</v>
      </c>
      <c r="Y283" s="49" t="s">
        <v>174</v>
      </c>
      <c r="Z283" s="49" t="s">
        <v>455</v>
      </c>
      <c r="AA283" s="49" t="s">
        <v>2182</v>
      </c>
      <c r="AB283" s="49" t="s">
        <v>2183</v>
      </c>
      <c r="AC283" s="49" t="s">
        <v>2179</v>
      </c>
      <c r="AD283" s="49" t="n">
        <v>5441189</v>
      </c>
      <c r="AE283" s="49" t="s">
        <v>14</v>
      </c>
      <c r="AF283" s="49" t="s">
        <v>2184</v>
      </c>
      <c r="AG283" s="49" t="s">
        <v>14</v>
      </c>
      <c r="AH283" s="49" t="s">
        <v>2184</v>
      </c>
      <c r="AI283" s="49" t="s">
        <v>1861</v>
      </c>
      <c r="AJ283" s="49" t="s">
        <v>1862</v>
      </c>
      <c r="AK283" s="49" t="s">
        <v>124</v>
      </c>
      <c r="AL283" s="49" t="s">
        <v>125</v>
      </c>
      <c r="AM283" s="51" t="n">
        <v>4709.9</v>
      </c>
      <c r="AN283" s="49"/>
      <c r="AO283" s="49" t="s">
        <v>125</v>
      </c>
      <c r="AP283" s="49" t="s">
        <v>187</v>
      </c>
      <c r="AQ283" s="49" t="s">
        <v>128</v>
      </c>
      <c r="AR283" s="49" t="s">
        <v>664</v>
      </c>
      <c r="AS283" s="49" t="s">
        <v>2186</v>
      </c>
      <c r="AT283" s="49" t="s">
        <v>2194</v>
      </c>
      <c r="AU283" s="49" t="s">
        <v>2141</v>
      </c>
      <c r="AV283" s="49"/>
      <c r="AW283" s="49" t="s">
        <v>2188</v>
      </c>
      <c r="AX283" s="49"/>
      <c r="AY283" s="49"/>
      <c r="AZ283" s="49"/>
      <c r="BA283" s="49"/>
      <c r="BB283" s="49" t="n">
        <v>74578028</v>
      </c>
      <c r="BC283" s="49" t="s">
        <v>134</v>
      </c>
      <c r="BD283" s="49" t="s">
        <v>191</v>
      </c>
      <c r="BE283" s="49" t="s">
        <v>2189</v>
      </c>
      <c r="BF283" s="49" t="s">
        <v>137</v>
      </c>
      <c r="BG283" s="49" t="s">
        <v>138</v>
      </c>
      <c r="BH283" s="49" t="s">
        <v>139</v>
      </c>
      <c r="BI283" s="49" t="s">
        <v>140</v>
      </c>
      <c r="BJ283" s="49" t="s">
        <v>125</v>
      </c>
      <c r="BK283" s="49"/>
      <c r="BL283" s="49" t="s">
        <v>141</v>
      </c>
      <c r="BM283" s="49"/>
      <c r="BN283" s="49" t="s">
        <v>142</v>
      </c>
      <c r="BO283" s="49" t="s">
        <v>2190</v>
      </c>
    </row>
    <row r="284" ht="16.8" customHeight="1">
      <c r="A284" s="43" t="s">
        <v>25</v>
      </c>
      <c r="B284" s="49" t="n">
        <v>274</v>
      </c>
      <c r="C284" s="49" t="s">
        <v>103</v>
      </c>
      <c r="D284" s="49" t="s">
        <v>104</v>
      </c>
      <c r="E284" s="49" t="s">
        <v>2173</v>
      </c>
      <c r="F284" s="49" t="s">
        <v>2174</v>
      </c>
      <c r="G284" s="49" t="s">
        <v>230</v>
      </c>
      <c r="H284" s="49" t="s">
        <v>2175</v>
      </c>
      <c r="I284" s="184" t="s">
        <v>2176</v>
      </c>
      <c r="J284" s="49" t="s">
        <v>2177</v>
      </c>
      <c r="K284" s="49"/>
      <c r="L284" s="49" t="s">
        <v>14</v>
      </c>
      <c r="M284" s="49" t="s">
        <v>207</v>
      </c>
      <c r="N284" s="49" t="s">
        <v>2178</v>
      </c>
      <c r="O284" s="49" t="s">
        <v>125</v>
      </c>
      <c r="P284" s="49"/>
      <c r="Q284" s="49"/>
      <c r="R284" s="49" t="s">
        <v>2179</v>
      </c>
      <c r="S284" s="49" t="s">
        <v>14</v>
      </c>
      <c r="T284" s="49" t="s">
        <v>2180</v>
      </c>
      <c r="U284" s="49" t="s">
        <v>178</v>
      </c>
      <c r="V284" s="49" t="s">
        <v>2181</v>
      </c>
      <c r="W284" s="49" t="s">
        <v>117</v>
      </c>
      <c r="X284" s="49" t="s">
        <v>118</v>
      </c>
      <c r="Y284" s="49" t="s">
        <v>174</v>
      </c>
      <c r="Z284" s="49" t="s">
        <v>455</v>
      </c>
      <c r="AA284" s="49" t="s">
        <v>2182</v>
      </c>
      <c r="AB284" s="49" t="s">
        <v>2183</v>
      </c>
      <c r="AC284" s="49" t="s">
        <v>2179</v>
      </c>
      <c r="AD284" s="49" t="n">
        <v>5441189</v>
      </c>
      <c r="AE284" s="49" t="s">
        <v>14</v>
      </c>
      <c r="AF284" s="49" t="s">
        <v>2184</v>
      </c>
      <c r="AG284" s="49" t="s">
        <v>14</v>
      </c>
      <c r="AH284" s="49" t="s">
        <v>2184</v>
      </c>
      <c r="AI284" s="49" t="s">
        <v>1864</v>
      </c>
      <c r="AJ284" s="49" t="s">
        <v>1865</v>
      </c>
      <c r="AK284" s="49" t="s">
        <v>124</v>
      </c>
      <c r="AL284" s="49" t="s">
        <v>125</v>
      </c>
      <c r="AM284" s="51" t="n">
        <v>7146.1</v>
      </c>
      <c r="AN284" s="49"/>
      <c r="AO284" s="49" t="s">
        <v>125</v>
      </c>
      <c r="AP284" s="49" t="s">
        <v>187</v>
      </c>
      <c r="AQ284" s="49" t="s">
        <v>128</v>
      </c>
      <c r="AR284" s="49" t="s">
        <v>664</v>
      </c>
      <c r="AS284" s="49" t="s">
        <v>2186</v>
      </c>
      <c r="AT284" s="49" t="s">
        <v>2195</v>
      </c>
      <c r="AU284" s="49" t="s">
        <v>2141</v>
      </c>
      <c r="AV284" s="49"/>
      <c r="AW284" s="49" t="s">
        <v>2188</v>
      </c>
      <c r="AX284" s="49"/>
      <c r="AY284" s="49"/>
      <c r="AZ284" s="49"/>
      <c r="BA284" s="49"/>
      <c r="BB284" s="49" t="n">
        <v>74578028</v>
      </c>
      <c r="BC284" s="49" t="s">
        <v>134</v>
      </c>
      <c r="BD284" s="49" t="s">
        <v>191</v>
      </c>
      <c r="BE284" s="49" t="s">
        <v>2189</v>
      </c>
      <c r="BF284" s="49" t="s">
        <v>137</v>
      </c>
      <c r="BG284" s="49" t="s">
        <v>138</v>
      </c>
      <c r="BH284" s="49" t="s">
        <v>139</v>
      </c>
      <c r="BI284" s="49" t="s">
        <v>140</v>
      </c>
      <c r="BJ284" s="49" t="s">
        <v>125</v>
      </c>
      <c r="BK284" s="49"/>
      <c r="BL284" s="49" t="s">
        <v>141</v>
      </c>
      <c r="BM284" s="49"/>
      <c r="BN284" s="49" t="s">
        <v>142</v>
      </c>
      <c r="BO284" s="49" t="s">
        <v>2190</v>
      </c>
    </row>
    <row r="285" ht="16.8" customHeight="1">
      <c r="A285" s="43" t="s">
        <v>25</v>
      </c>
      <c r="B285" s="49" t="n">
        <v>275</v>
      </c>
      <c r="C285" s="49" t="s">
        <v>103</v>
      </c>
      <c r="D285" s="49" t="s">
        <v>104</v>
      </c>
      <c r="E285" s="49" t="s">
        <v>2173</v>
      </c>
      <c r="F285" s="49" t="s">
        <v>2174</v>
      </c>
      <c r="G285" s="49" t="s">
        <v>230</v>
      </c>
      <c r="H285" s="49" t="s">
        <v>2175</v>
      </c>
      <c r="I285" s="185" t="s">
        <v>2176</v>
      </c>
      <c r="J285" s="49" t="s">
        <v>2177</v>
      </c>
      <c r="K285" s="49"/>
      <c r="L285" s="49" t="s">
        <v>14</v>
      </c>
      <c r="M285" s="49" t="s">
        <v>207</v>
      </c>
      <c r="N285" s="49" t="s">
        <v>2178</v>
      </c>
      <c r="O285" s="49" t="s">
        <v>125</v>
      </c>
      <c r="P285" s="49"/>
      <c r="Q285" s="49"/>
      <c r="R285" s="49" t="s">
        <v>2179</v>
      </c>
      <c r="S285" s="49" t="s">
        <v>14</v>
      </c>
      <c r="T285" s="49" t="s">
        <v>2180</v>
      </c>
      <c r="U285" s="49" t="s">
        <v>178</v>
      </c>
      <c r="V285" s="49" t="s">
        <v>2181</v>
      </c>
      <c r="W285" s="49" t="s">
        <v>117</v>
      </c>
      <c r="X285" s="49" t="s">
        <v>118</v>
      </c>
      <c r="Y285" s="49" t="s">
        <v>174</v>
      </c>
      <c r="Z285" s="49" t="s">
        <v>455</v>
      </c>
      <c r="AA285" s="49" t="s">
        <v>2182</v>
      </c>
      <c r="AB285" s="49" t="s">
        <v>2183</v>
      </c>
      <c r="AC285" s="49" t="s">
        <v>2179</v>
      </c>
      <c r="AD285" s="49" t="n">
        <v>5441189</v>
      </c>
      <c r="AE285" s="49" t="s">
        <v>14</v>
      </c>
      <c r="AF285" s="49" t="s">
        <v>2184</v>
      </c>
      <c r="AG285" s="49" t="s">
        <v>14</v>
      </c>
      <c r="AH285" s="49" t="s">
        <v>2184</v>
      </c>
      <c r="AI285" s="49" t="s">
        <v>2196</v>
      </c>
      <c r="AJ285" s="49" t="s">
        <v>279</v>
      </c>
      <c r="AK285" s="49" t="s">
        <v>124</v>
      </c>
      <c r="AL285" s="49" t="s">
        <v>125</v>
      </c>
      <c r="AM285" s="51" t="n">
        <v>3248.2</v>
      </c>
      <c r="AN285" s="49"/>
      <c r="AO285" s="49" t="s">
        <v>125</v>
      </c>
      <c r="AP285" s="49" t="s">
        <v>187</v>
      </c>
      <c r="AQ285" s="49" t="s">
        <v>128</v>
      </c>
      <c r="AR285" s="49" t="s">
        <v>664</v>
      </c>
      <c r="AS285" s="49" t="s">
        <v>2186</v>
      </c>
      <c r="AT285" s="49" t="s">
        <v>2197</v>
      </c>
      <c r="AU285" s="49" t="s">
        <v>2141</v>
      </c>
      <c r="AV285" s="49"/>
      <c r="AW285" s="49" t="s">
        <v>2188</v>
      </c>
      <c r="AX285" s="49"/>
      <c r="AY285" s="49"/>
      <c r="AZ285" s="49"/>
      <c r="BA285" s="49"/>
      <c r="BB285" s="49" t="n">
        <v>74578028</v>
      </c>
      <c r="BC285" s="49" t="s">
        <v>134</v>
      </c>
      <c r="BD285" s="49" t="s">
        <v>191</v>
      </c>
      <c r="BE285" s="49" t="s">
        <v>2189</v>
      </c>
      <c r="BF285" s="49" t="s">
        <v>137</v>
      </c>
      <c r="BG285" s="49" t="s">
        <v>138</v>
      </c>
      <c r="BH285" s="49" t="s">
        <v>139</v>
      </c>
      <c r="BI285" s="49" t="s">
        <v>140</v>
      </c>
      <c r="BJ285" s="49" t="s">
        <v>125</v>
      </c>
      <c r="BK285" s="49"/>
      <c r="BL285" s="49" t="s">
        <v>141</v>
      </c>
      <c r="BM285" s="49"/>
      <c r="BN285" s="49" t="s">
        <v>142</v>
      </c>
      <c r="BO285" s="49" t="s">
        <v>2190</v>
      </c>
    </row>
    <row r="286" ht="16.8" customHeight="1">
      <c r="A286" s="43" t="s">
        <v>25</v>
      </c>
      <c r="B286" s="49" t="n">
        <v>276</v>
      </c>
      <c r="C286" s="49" t="s">
        <v>103</v>
      </c>
      <c r="D286" s="49" t="s">
        <v>104</v>
      </c>
      <c r="E286" s="49" t="s">
        <v>2173</v>
      </c>
      <c r="F286" s="49" t="s">
        <v>2174</v>
      </c>
      <c r="G286" s="49" t="s">
        <v>230</v>
      </c>
      <c r="H286" s="49" t="s">
        <v>2175</v>
      </c>
      <c r="I286" s="186" t="s">
        <v>2176</v>
      </c>
      <c r="J286" s="49" t="s">
        <v>2177</v>
      </c>
      <c r="K286" s="49"/>
      <c r="L286" s="49" t="s">
        <v>14</v>
      </c>
      <c r="M286" s="49" t="s">
        <v>207</v>
      </c>
      <c r="N286" s="49" t="s">
        <v>2178</v>
      </c>
      <c r="O286" s="49" t="s">
        <v>125</v>
      </c>
      <c r="P286" s="49"/>
      <c r="Q286" s="49"/>
      <c r="R286" s="49" t="s">
        <v>2179</v>
      </c>
      <c r="S286" s="49" t="s">
        <v>14</v>
      </c>
      <c r="T286" s="49" t="s">
        <v>2180</v>
      </c>
      <c r="U286" s="49" t="s">
        <v>178</v>
      </c>
      <c r="V286" s="49" t="s">
        <v>2181</v>
      </c>
      <c r="W286" s="49" t="s">
        <v>117</v>
      </c>
      <c r="X286" s="49" t="s">
        <v>118</v>
      </c>
      <c r="Y286" s="49" t="s">
        <v>174</v>
      </c>
      <c r="Z286" s="49" t="s">
        <v>455</v>
      </c>
      <c r="AA286" s="49" t="s">
        <v>2182</v>
      </c>
      <c r="AB286" s="49" t="s">
        <v>2183</v>
      </c>
      <c r="AC286" s="49" t="s">
        <v>2179</v>
      </c>
      <c r="AD286" s="49" t="n">
        <v>5441189</v>
      </c>
      <c r="AE286" s="49" t="s">
        <v>14</v>
      </c>
      <c r="AF286" s="49" t="s">
        <v>2184</v>
      </c>
      <c r="AG286" s="49" t="s">
        <v>14</v>
      </c>
      <c r="AH286" s="49" t="s">
        <v>2184</v>
      </c>
      <c r="AI286" s="49" t="s">
        <v>2065</v>
      </c>
      <c r="AJ286" s="49" t="s">
        <v>2066</v>
      </c>
      <c r="AK286" s="49" t="s">
        <v>124</v>
      </c>
      <c r="AL286" s="49" t="s">
        <v>125</v>
      </c>
      <c r="AM286" s="51" t="n">
        <v>4697.2</v>
      </c>
      <c r="AN286" s="49"/>
      <c r="AO286" s="49" t="s">
        <v>125</v>
      </c>
      <c r="AP286" s="49" t="s">
        <v>187</v>
      </c>
      <c r="AQ286" s="49" t="s">
        <v>128</v>
      </c>
      <c r="AR286" s="49" t="s">
        <v>664</v>
      </c>
      <c r="AS286" s="49" t="s">
        <v>2186</v>
      </c>
      <c r="AT286" s="49" t="s">
        <v>2198</v>
      </c>
      <c r="AU286" s="49" t="s">
        <v>2141</v>
      </c>
      <c r="AV286" s="49"/>
      <c r="AW286" s="49" t="s">
        <v>2188</v>
      </c>
      <c r="AX286" s="49"/>
      <c r="AY286" s="49"/>
      <c r="AZ286" s="49"/>
      <c r="BA286" s="49"/>
      <c r="BB286" s="49" t="n">
        <v>74578028</v>
      </c>
      <c r="BC286" s="49" t="s">
        <v>134</v>
      </c>
      <c r="BD286" s="49" t="s">
        <v>191</v>
      </c>
      <c r="BE286" s="49" t="s">
        <v>2189</v>
      </c>
      <c r="BF286" s="49" t="s">
        <v>137</v>
      </c>
      <c r="BG286" s="49" t="s">
        <v>138</v>
      </c>
      <c r="BH286" s="49" t="s">
        <v>139</v>
      </c>
      <c r="BI286" s="49" t="s">
        <v>140</v>
      </c>
      <c r="BJ286" s="49" t="s">
        <v>125</v>
      </c>
      <c r="BK286" s="49"/>
      <c r="BL286" s="49" t="s">
        <v>141</v>
      </c>
      <c r="BM286" s="49"/>
      <c r="BN286" s="49" t="s">
        <v>142</v>
      </c>
      <c r="BO286" s="49" t="s">
        <v>2190</v>
      </c>
    </row>
    <row r="287" ht="16.8" customHeight="1">
      <c r="A287" s="43" t="s">
        <v>25</v>
      </c>
      <c r="B287" s="49" t="n">
        <v>277</v>
      </c>
      <c r="C287" s="49" t="s">
        <v>103</v>
      </c>
      <c r="D287" s="49" t="s">
        <v>104</v>
      </c>
      <c r="E287" s="49" t="s">
        <v>2173</v>
      </c>
      <c r="F287" s="49" t="s">
        <v>2174</v>
      </c>
      <c r="G287" s="49" t="s">
        <v>230</v>
      </c>
      <c r="H287" s="49" t="s">
        <v>2175</v>
      </c>
      <c r="I287" s="187" t="s">
        <v>2176</v>
      </c>
      <c r="J287" s="49" t="s">
        <v>2177</v>
      </c>
      <c r="K287" s="49"/>
      <c r="L287" s="49" t="s">
        <v>14</v>
      </c>
      <c r="M287" s="49" t="s">
        <v>207</v>
      </c>
      <c r="N287" s="49" t="s">
        <v>2178</v>
      </c>
      <c r="O287" s="49" t="s">
        <v>125</v>
      </c>
      <c r="P287" s="49"/>
      <c r="Q287" s="49"/>
      <c r="R287" s="49" t="s">
        <v>2179</v>
      </c>
      <c r="S287" s="49" t="s">
        <v>14</v>
      </c>
      <c r="T287" s="49" t="s">
        <v>2180</v>
      </c>
      <c r="U287" s="49" t="s">
        <v>178</v>
      </c>
      <c r="V287" s="49" t="s">
        <v>2181</v>
      </c>
      <c r="W287" s="49" t="s">
        <v>117</v>
      </c>
      <c r="X287" s="49" t="s">
        <v>118</v>
      </c>
      <c r="Y287" s="49" t="s">
        <v>174</v>
      </c>
      <c r="Z287" s="49" t="s">
        <v>455</v>
      </c>
      <c r="AA287" s="49" t="s">
        <v>2182</v>
      </c>
      <c r="AB287" s="49" t="s">
        <v>2183</v>
      </c>
      <c r="AC287" s="49" t="s">
        <v>2179</v>
      </c>
      <c r="AD287" s="49" t="n">
        <v>5441189</v>
      </c>
      <c r="AE287" s="49" t="s">
        <v>14</v>
      </c>
      <c r="AF287" s="49" t="s">
        <v>2184</v>
      </c>
      <c r="AG287" s="49" t="s">
        <v>14</v>
      </c>
      <c r="AH287" s="49" t="s">
        <v>2184</v>
      </c>
      <c r="AI287" s="49" t="s">
        <v>2060</v>
      </c>
      <c r="AJ287" s="49" t="s">
        <v>2061</v>
      </c>
      <c r="AK287" s="49" t="s">
        <v>124</v>
      </c>
      <c r="AL287" s="49" t="s">
        <v>125</v>
      </c>
      <c r="AM287" s="51" t="n">
        <v>4628.7</v>
      </c>
      <c r="AN287" s="49"/>
      <c r="AO287" s="49" t="s">
        <v>125</v>
      </c>
      <c r="AP287" s="49" t="s">
        <v>187</v>
      </c>
      <c r="AQ287" s="49" t="s">
        <v>128</v>
      </c>
      <c r="AR287" s="49" t="s">
        <v>664</v>
      </c>
      <c r="AS287" s="49" t="s">
        <v>2186</v>
      </c>
      <c r="AT287" s="49" t="s">
        <v>2199</v>
      </c>
      <c r="AU287" s="49" t="s">
        <v>2141</v>
      </c>
      <c r="AV287" s="49"/>
      <c r="AW287" s="49" t="s">
        <v>2188</v>
      </c>
      <c r="AX287" s="49"/>
      <c r="AY287" s="49"/>
      <c r="AZ287" s="49"/>
      <c r="BA287" s="49"/>
      <c r="BB287" s="49" t="n">
        <v>74578028</v>
      </c>
      <c r="BC287" s="49" t="s">
        <v>134</v>
      </c>
      <c r="BD287" s="49" t="s">
        <v>191</v>
      </c>
      <c r="BE287" s="49" t="s">
        <v>2189</v>
      </c>
      <c r="BF287" s="49" t="s">
        <v>137</v>
      </c>
      <c r="BG287" s="49" t="s">
        <v>138</v>
      </c>
      <c r="BH287" s="49" t="s">
        <v>139</v>
      </c>
      <c r="BI287" s="49" t="s">
        <v>140</v>
      </c>
      <c r="BJ287" s="49" t="s">
        <v>125</v>
      </c>
      <c r="BK287" s="49"/>
      <c r="BL287" s="49" t="s">
        <v>141</v>
      </c>
      <c r="BM287" s="49"/>
      <c r="BN287" s="49" t="s">
        <v>142</v>
      </c>
      <c r="BO287" s="49" t="s">
        <v>2190</v>
      </c>
    </row>
    <row r="288" ht="16.8" customHeight="1">
      <c r="A288" s="43" t="s">
        <v>25</v>
      </c>
      <c r="B288" s="49" t="n">
        <v>278</v>
      </c>
      <c r="C288" s="49" t="s">
        <v>103</v>
      </c>
      <c r="D288" s="49" t="s">
        <v>104</v>
      </c>
      <c r="E288" s="49" t="s">
        <v>2173</v>
      </c>
      <c r="F288" s="49" t="s">
        <v>2174</v>
      </c>
      <c r="G288" s="49" t="s">
        <v>230</v>
      </c>
      <c r="H288" s="49" t="s">
        <v>2175</v>
      </c>
      <c r="I288" s="188" t="s">
        <v>2176</v>
      </c>
      <c r="J288" s="49" t="s">
        <v>2177</v>
      </c>
      <c r="K288" s="49"/>
      <c r="L288" s="49" t="s">
        <v>14</v>
      </c>
      <c r="M288" s="49" t="s">
        <v>207</v>
      </c>
      <c r="N288" s="49" t="s">
        <v>2178</v>
      </c>
      <c r="O288" s="49" t="s">
        <v>125</v>
      </c>
      <c r="P288" s="49"/>
      <c r="Q288" s="49"/>
      <c r="R288" s="49" t="s">
        <v>2179</v>
      </c>
      <c r="S288" s="49" t="s">
        <v>14</v>
      </c>
      <c r="T288" s="49" t="s">
        <v>2180</v>
      </c>
      <c r="U288" s="49" t="s">
        <v>178</v>
      </c>
      <c r="V288" s="49" t="s">
        <v>2181</v>
      </c>
      <c r="W288" s="49" t="s">
        <v>117</v>
      </c>
      <c r="X288" s="49" t="s">
        <v>118</v>
      </c>
      <c r="Y288" s="49" t="s">
        <v>174</v>
      </c>
      <c r="Z288" s="49" t="s">
        <v>455</v>
      </c>
      <c r="AA288" s="49" t="s">
        <v>2182</v>
      </c>
      <c r="AB288" s="49" t="s">
        <v>2183</v>
      </c>
      <c r="AC288" s="49" t="s">
        <v>2179</v>
      </c>
      <c r="AD288" s="49" t="n">
        <v>5441189</v>
      </c>
      <c r="AE288" s="49" t="s">
        <v>14</v>
      </c>
      <c r="AF288" s="49" t="s">
        <v>2184</v>
      </c>
      <c r="AG288" s="49" t="s">
        <v>14</v>
      </c>
      <c r="AH288" s="49" t="s">
        <v>2184</v>
      </c>
      <c r="AI288" s="49" t="s">
        <v>2200</v>
      </c>
      <c r="AJ288" s="49" t="s">
        <v>924</v>
      </c>
      <c r="AK288" s="49" t="s">
        <v>124</v>
      </c>
      <c r="AL288" s="49" t="s">
        <v>125</v>
      </c>
      <c r="AM288" s="51" t="n">
        <v>10500</v>
      </c>
      <c r="AN288" s="49"/>
      <c r="AO288" s="49" t="s">
        <v>125</v>
      </c>
      <c r="AP288" s="49" t="s">
        <v>187</v>
      </c>
      <c r="AQ288" s="49" t="s">
        <v>128</v>
      </c>
      <c r="AR288" s="49" t="s">
        <v>664</v>
      </c>
      <c r="AS288" s="49" t="s">
        <v>2186</v>
      </c>
      <c r="AT288" s="49"/>
      <c r="AU288" s="49" t="s">
        <v>2141</v>
      </c>
      <c r="AV288" s="49"/>
      <c r="AW288" s="49" t="s">
        <v>2188</v>
      </c>
      <c r="AX288" s="49"/>
      <c r="AY288" s="49"/>
      <c r="AZ288" s="49"/>
      <c r="BA288" s="49"/>
      <c r="BB288" s="49" t="n">
        <v>74578028</v>
      </c>
      <c r="BC288" s="49" t="s">
        <v>134</v>
      </c>
      <c r="BD288" s="49" t="s">
        <v>191</v>
      </c>
      <c r="BE288" s="49" t="s">
        <v>2189</v>
      </c>
      <c r="BF288" s="49" t="s">
        <v>137</v>
      </c>
      <c r="BG288" s="49" t="s">
        <v>138</v>
      </c>
      <c r="BH288" s="49" t="s">
        <v>139</v>
      </c>
      <c r="BI288" s="49" t="s">
        <v>140</v>
      </c>
      <c r="BJ288" s="49" t="s">
        <v>125</v>
      </c>
      <c r="BK288" s="49"/>
      <c r="BL288" s="49"/>
      <c r="BM288" s="49"/>
      <c r="BN288" s="49" t="s">
        <v>142</v>
      </c>
      <c r="BO288" s="49" t="s">
        <v>2190</v>
      </c>
    </row>
    <row r="289" ht="16.8" customHeight="1">
      <c r="A289" s="43" t="s">
        <v>25</v>
      </c>
      <c r="B289" s="49" t="n">
        <v>279</v>
      </c>
      <c r="C289" s="49" t="s">
        <v>103</v>
      </c>
      <c r="D289" s="49" t="s">
        <v>104</v>
      </c>
      <c r="E289" s="49" t="s">
        <v>2201</v>
      </c>
      <c r="F289" s="49" t="s">
        <v>2202</v>
      </c>
      <c r="G289" s="49" t="s">
        <v>2203</v>
      </c>
      <c r="H289" s="49" t="s">
        <v>2204</v>
      </c>
      <c r="I289" s="49" t="s">
        <v>2205</v>
      </c>
      <c r="J289" s="49"/>
      <c r="K289" s="49" t="s">
        <v>174</v>
      </c>
      <c r="L289" s="49" t="s">
        <v>14</v>
      </c>
      <c r="M289" s="49" t="s">
        <v>111</v>
      </c>
      <c r="N289" s="49" t="s">
        <v>112</v>
      </c>
      <c r="O289" s="49" t="s">
        <v>2206</v>
      </c>
      <c r="P289" s="49"/>
      <c r="Q289" s="49"/>
      <c r="R289" s="49" t="s">
        <v>2201</v>
      </c>
      <c r="S289" s="49" t="s">
        <v>14</v>
      </c>
      <c r="T289" s="49" t="s">
        <v>2207</v>
      </c>
      <c r="U289" s="49" t="s">
        <v>115</v>
      </c>
      <c r="V289" s="49" t="s">
        <v>2208</v>
      </c>
      <c r="W289" s="49" t="s">
        <v>117</v>
      </c>
      <c r="X289" s="49" t="s">
        <v>118</v>
      </c>
      <c r="Y289" s="49" t="s">
        <v>174</v>
      </c>
      <c r="Z289" s="49" t="s">
        <v>2209</v>
      </c>
      <c r="AA289" s="49" t="s">
        <v>2210</v>
      </c>
      <c r="AB289" s="49" t="s">
        <v>393</v>
      </c>
      <c r="AC289" s="49" t="s">
        <v>2201</v>
      </c>
      <c r="AD289" s="49" t="n">
        <v>5468828</v>
      </c>
      <c r="AE289" s="49" t="s">
        <v>14</v>
      </c>
      <c r="AF289" s="49" t="s">
        <v>2211</v>
      </c>
      <c r="AG289" s="49" t="s">
        <v>14</v>
      </c>
      <c r="AH289" s="49" t="s">
        <v>2211</v>
      </c>
      <c r="AI289" s="49" t="s">
        <v>1089</v>
      </c>
      <c r="AJ289" s="49" t="s">
        <v>1090</v>
      </c>
      <c r="AK289" s="49" t="s">
        <v>124</v>
      </c>
      <c r="AL289" s="49" t="s">
        <v>125</v>
      </c>
      <c r="AM289" s="51" t="n">
        <v>4660.6</v>
      </c>
      <c r="AN289" s="49"/>
      <c r="AO289" s="49" t="s">
        <v>2212</v>
      </c>
      <c r="AP289" s="49" t="s">
        <v>127</v>
      </c>
      <c r="AQ289" s="49" t="s">
        <v>128</v>
      </c>
      <c r="AR289" s="49" t="s">
        <v>1062</v>
      </c>
      <c r="AS289" s="49" t="s">
        <v>2213</v>
      </c>
      <c r="AT289" s="49" t="s">
        <v>2214</v>
      </c>
      <c r="AU289" s="49" t="s">
        <v>848</v>
      </c>
      <c r="AV289" s="49"/>
      <c r="AW289" s="49" t="s">
        <v>2215</v>
      </c>
      <c r="AX289" s="49"/>
      <c r="AY289" s="49"/>
      <c r="AZ289" s="49"/>
      <c r="BA289" s="49"/>
      <c r="BB289" s="49" t="n">
        <v>51835744</v>
      </c>
      <c r="BC289" s="49" t="s">
        <v>134</v>
      </c>
      <c r="BD289" s="49" t="s">
        <v>191</v>
      </c>
      <c r="BE289" s="49" t="s">
        <v>192</v>
      </c>
      <c r="BF289" s="49" t="s">
        <v>137</v>
      </c>
      <c r="BG289" s="49" t="s">
        <v>138</v>
      </c>
      <c r="BH289" s="49" t="s">
        <v>139</v>
      </c>
      <c r="BI289" s="49" t="s">
        <v>140</v>
      </c>
      <c r="BJ289" s="49" t="s">
        <v>125</v>
      </c>
      <c r="BK289" s="49"/>
      <c r="BL289" s="49" t="s">
        <v>141</v>
      </c>
      <c r="BM289" s="49"/>
      <c r="BN289" s="49"/>
      <c r="BO289" s="49" t="s">
        <v>112</v>
      </c>
    </row>
    <row r="290" ht="16.8" customHeight="1">
      <c r="A290" s="43" t="s">
        <v>25</v>
      </c>
      <c r="B290" s="49" t="n">
        <v>280</v>
      </c>
      <c r="C290" s="49" t="s">
        <v>103</v>
      </c>
      <c r="D290" s="49" t="s">
        <v>104</v>
      </c>
      <c r="E290" s="49" t="s">
        <v>2201</v>
      </c>
      <c r="F290" s="49" t="s">
        <v>2202</v>
      </c>
      <c r="G290" s="49" t="s">
        <v>2203</v>
      </c>
      <c r="H290" s="49" t="s">
        <v>2204</v>
      </c>
      <c r="I290" s="49" t="s">
        <v>2205</v>
      </c>
      <c r="J290" s="49"/>
      <c r="K290" s="49" t="s">
        <v>174</v>
      </c>
      <c r="L290" s="49" t="s">
        <v>14</v>
      </c>
      <c r="M290" s="49" t="s">
        <v>111</v>
      </c>
      <c r="N290" s="49" t="s">
        <v>112</v>
      </c>
      <c r="O290" s="49" t="s">
        <v>2206</v>
      </c>
      <c r="P290" s="49"/>
      <c r="Q290" s="49"/>
      <c r="R290" s="49" t="s">
        <v>2201</v>
      </c>
      <c r="S290" s="49" t="s">
        <v>14</v>
      </c>
      <c r="T290" s="49" t="s">
        <v>2207</v>
      </c>
      <c r="U290" s="49" t="s">
        <v>115</v>
      </c>
      <c r="V290" s="49" t="s">
        <v>2208</v>
      </c>
      <c r="W290" s="49" t="s">
        <v>117</v>
      </c>
      <c r="X290" s="49" t="s">
        <v>118</v>
      </c>
      <c r="Y290" s="49" t="s">
        <v>174</v>
      </c>
      <c r="Z290" s="49" t="s">
        <v>2209</v>
      </c>
      <c r="AA290" s="49" t="s">
        <v>2210</v>
      </c>
      <c r="AB290" s="49" t="s">
        <v>393</v>
      </c>
      <c r="AC290" s="49" t="s">
        <v>2201</v>
      </c>
      <c r="AD290" s="49" t="n">
        <v>5468828</v>
      </c>
      <c r="AE290" s="49" t="s">
        <v>14</v>
      </c>
      <c r="AF290" s="49" t="s">
        <v>2211</v>
      </c>
      <c r="AG290" s="49" t="s">
        <v>14</v>
      </c>
      <c r="AH290" s="49" t="s">
        <v>2211</v>
      </c>
      <c r="AI290" s="49" t="s">
        <v>1102</v>
      </c>
      <c r="AJ290" s="49" t="s">
        <v>1103</v>
      </c>
      <c r="AK290" s="49" t="s">
        <v>124</v>
      </c>
      <c r="AL290" s="49" t="s">
        <v>125</v>
      </c>
      <c r="AM290" s="51" t="n">
        <v>6629.8</v>
      </c>
      <c r="AN290" s="49"/>
      <c r="AO290" s="49" t="s">
        <v>2212</v>
      </c>
      <c r="AP290" s="49" t="s">
        <v>127</v>
      </c>
      <c r="AQ290" s="49" t="s">
        <v>128</v>
      </c>
      <c r="AR290" s="49" t="s">
        <v>1062</v>
      </c>
      <c r="AS290" s="49" t="s">
        <v>2213</v>
      </c>
      <c r="AT290" s="49" t="s">
        <v>2216</v>
      </c>
      <c r="AU290" s="49" t="s">
        <v>848</v>
      </c>
      <c r="AV290" s="49"/>
      <c r="AW290" s="49" t="s">
        <v>2215</v>
      </c>
      <c r="AX290" s="49"/>
      <c r="AY290" s="49"/>
      <c r="AZ290" s="49"/>
      <c r="BA290" s="49"/>
      <c r="BB290" s="49" t="n">
        <v>51835744</v>
      </c>
      <c r="BC290" s="49" t="s">
        <v>134</v>
      </c>
      <c r="BD290" s="49" t="s">
        <v>191</v>
      </c>
      <c r="BE290" s="49" t="s">
        <v>192</v>
      </c>
      <c r="BF290" s="49" t="s">
        <v>137</v>
      </c>
      <c r="BG290" s="49" t="s">
        <v>138</v>
      </c>
      <c r="BH290" s="49" t="s">
        <v>139</v>
      </c>
      <c r="BI290" s="49" t="s">
        <v>140</v>
      </c>
      <c r="BJ290" s="49" t="s">
        <v>125</v>
      </c>
      <c r="BK290" s="49"/>
      <c r="BL290" s="49" t="s">
        <v>141</v>
      </c>
      <c r="BM290" s="49"/>
      <c r="BN290" s="49"/>
      <c r="BO290" s="49" t="s">
        <v>112</v>
      </c>
    </row>
    <row r="291" ht="16.8" customHeight="1">
      <c r="A291" s="43" t="s">
        <v>25</v>
      </c>
      <c r="B291" s="49" t="n">
        <v>281</v>
      </c>
      <c r="C291" s="49" t="s">
        <v>103</v>
      </c>
      <c r="D291" s="49" t="s">
        <v>104</v>
      </c>
      <c r="E291" s="49" t="s">
        <v>2201</v>
      </c>
      <c r="F291" s="49" t="s">
        <v>2202</v>
      </c>
      <c r="G291" s="49" t="s">
        <v>2203</v>
      </c>
      <c r="H291" s="49" t="s">
        <v>2204</v>
      </c>
      <c r="I291" s="49" t="s">
        <v>2205</v>
      </c>
      <c r="J291" s="49"/>
      <c r="K291" s="49" t="s">
        <v>174</v>
      </c>
      <c r="L291" s="49" t="s">
        <v>14</v>
      </c>
      <c r="M291" s="49" t="s">
        <v>111</v>
      </c>
      <c r="N291" s="49" t="s">
        <v>112</v>
      </c>
      <c r="O291" s="49" t="s">
        <v>2206</v>
      </c>
      <c r="P291" s="49"/>
      <c r="Q291" s="49"/>
      <c r="R291" s="49" t="s">
        <v>2201</v>
      </c>
      <c r="S291" s="49" t="s">
        <v>14</v>
      </c>
      <c r="T291" s="49" t="s">
        <v>2207</v>
      </c>
      <c r="U291" s="49" t="s">
        <v>115</v>
      </c>
      <c r="V291" s="49" t="s">
        <v>2208</v>
      </c>
      <c r="W291" s="49" t="s">
        <v>117</v>
      </c>
      <c r="X291" s="49" t="s">
        <v>118</v>
      </c>
      <c r="Y291" s="49" t="s">
        <v>174</v>
      </c>
      <c r="Z291" s="49" t="s">
        <v>2209</v>
      </c>
      <c r="AA291" s="49" t="s">
        <v>2210</v>
      </c>
      <c r="AB291" s="49" t="s">
        <v>393</v>
      </c>
      <c r="AC291" s="49" t="s">
        <v>2201</v>
      </c>
      <c r="AD291" s="49" t="n">
        <v>5468828</v>
      </c>
      <c r="AE291" s="49" t="s">
        <v>14</v>
      </c>
      <c r="AF291" s="49" t="s">
        <v>2211</v>
      </c>
      <c r="AG291" s="49" t="s">
        <v>14</v>
      </c>
      <c r="AH291" s="49" t="s">
        <v>2211</v>
      </c>
      <c r="AI291" s="49" t="s">
        <v>919</v>
      </c>
      <c r="AJ291" s="49" t="s">
        <v>920</v>
      </c>
      <c r="AK291" s="49" t="s">
        <v>124</v>
      </c>
      <c r="AL291" s="49" t="s">
        <v>125</v>
      </c>
      <c r="AM291" s="51" t="n">
        <v>4425</v>
      </c>
      <c r="AN291" s="49"/>
      <c r="AO291" s="49" t="s">
        <v>2212</v>
      </c>
      <c r="AP291" s="49" t="s">
        <v>127</v>
      </c>
      <c r="AQ291" s="49" t="s">
        <v>128</v>
      </c>
      <c r="AR291" s="49" t="s">
        <v>1062</v>
      </c>
      <c r="AS291" s="49" t="s">
        <v>2213</v>
      </c>
      <c r="AT291" s="49" t="s">
        <v>2217</v>
      </c>
      <c r="AU291" s="49" t="s">
        <v>848</v>
      </c>
      <c r="AV291" s="49"/>
      <c r="AW291" s="49" t="s">
        <v>2215</v>
      </c>
      <c r="AX291" s="49"/>
      <c r="AY291" s="49"/>
      <c r="AZ291" s="49"/>
      <c r="BA291" s="49"/>
      <c r="BB291" s="49" t="n">
        <v>51835744</v>
      </c>
      <c r="BC291" s="49" t="s">
        <v>134</v>
      </c>
      <c r="BD291" s="49" t="s">
        <v>191</v>
      </c>
      <c r="BE291" s="49" t="s">
        <v>192</v>
      </c>
      <c r="BF291" s="49" t="s">
        <v>137</v>
      </c>
      <c r="BG291" s="49" t="s">
        <v>138</v>
      </c>
      <c r="BH291" s="49" t="s">
        <v>139</v>
      </c>
      <c r="BI291" s="49" t="s">
        <v>140</v>
      </c>
      <c r="BJ291" s="49" t="s">
        <v>125</v>
      </c>
      <c r="BK291" s="49"/>
      <c r="BL291" s="49" t="s">
        <v>141</v>
      </c>
      <c r="BM291" s="49"/>
      <c r="BN291" s="49"/>
      <c r="BO291" s="49" t="s">
        <v>112</v>
      </c>
    </row>
    <row r="292" ht="16.8" customHeight="1">
      <c r="A292" s="43" t="s">
        <v>25</v>
      </c>
      <c r="B292" s="49" t="n">
        <v>282</v>
      </c>
      <c r="C292" s="49" t="s">
        <v>103</v>
      </c>
      <c r="D292" s="49" t="s">
        <v>104</v>
      </c>
      <c r="E292" s="49" t="s">
        <v>2201</v>
      </c>
      <c r="F292" s="49" t="s">
        <v>2202</v>
      </c>
      <c r="G292" s="49" t="s">
        <v>2203</v>
      </c>
      <c r="H292" s="49" t="s">
        <v>2204</v>
      </c>
      <c r="I292" s="49" t="s">
        <v>2205</v>
      </c>
      <c r="J292" s="49"/>
      <c r="K292" s="49" t="s">
        <v>174</v>
      </c>
      <c r="L292" s="49" t="s">
        <v>14</v>
      </c>
      <c r="M292" s="49" t="s">
        <v>111</v>
      </c>
      <c r="N292" s="49" t="s">
        <v>112</v>
      </c>
      <c r="O292" s="49" t="s">
        <v>2206</v>
      </c>
      <c r="P292" s="49"/>
      <c r="Q292" s="49"/>
      <c r="R292" s="49" t="s">
        <v>2201</v>
      </c>
      <c r="S292" s="49" t="s">
        <v>14</v>
      </c>
      <c r="T292" s="49" t="s">
        <v>2207</v>
      </c>
      <c r="U292" s="49" t="s">
        <v>115</v>
      </c>
      <c r="V292" s="49" t="s">
        <v>2208</v>
      </c>
      <c r="W292" s="49" t="s">
        <v>117</v>
      </c>
      <c r="X292" s="49" t="s">
        <v>118</v>
      </c>
      <c r="Y292" s="49" t="s">
        <v>174</v>
      </c>
      <c r="Z292" s="49" t="s">
        <v>2209</v>
      </c>
      <c r="AA292" s="49" t="s">
        <v>2210</v>
      </c>
      <c r="AB292" s="49" t="s">
        <v>393</v>
      </c>
      <c r="AC292" s="49" t="s">
        <v>2201</v>
      </c>
      <c r="AD292" s="49" t="n">
        <v>5468828</v>
      </c>
      <c r="AE292" s="49" t="s">
        <v>14</v>
      </c>
      <c r="AF292" s="49" t="s">
        <v>2211</v>
      </c>
      <c r="AG292" s="49" t="s">
        <v>14</v>
      </c>
      <c r="AH292" s="49" t="s">
        <v>2211</v>
      </c>
      <c r="AI292" s="49" t="s">
        <v>1099</v>
      </c>
      <c r="AJ292" s="49" t="s">
        <v>1100</v>
      </c>
      <c r="AK292" s="49" t="s">
        <v>124</v>
      </c>
      <c r="AL292" s="49" t="s">
        <v>125</v>
      </c>
      <c r="AM292" s="51" t="n">
        <v>3172.8</v>
      </c>
      <c r="AN292" s="49"/>
      <c r="AO292" s="49" t="s">
        <v>2212</v>
      </c>
      <c r="AP292" s="49" t="s">
        <v>127</v>
      </c>
      <c r="AQ292" s="49" t="s">
        <v>128</v>
      </c>
      <c r="AR292" s="49" t="s">
        <v>1062</v>
      </c>
      <c r="AS292" s="49" t="s">
        <v>2213</v>
      </c>
      <c r="AT292" s="49" t="s">
        <v>2218</v>
      </c>
      <c r="AU292" s="49" t="s">
        <v>848</v>
      </c>
      <c r="AV292" s="49"/>
      <c r="AW292" s="49" t="s">
        <v>2215</v>
      </c>
      <c r="AX292" s="49"/>
      <c r="AY292" s="49"/>
      <c r="AZ292" s="49"/>
      <c r="BA292" s="49"/>
      <c r="BB292" s="49" t="n">
        <v>51835744</v>
      </c>
      <c r="BC292" s="49" t="s">
        <v>134</v>
      </c>
      <c r="BD292" s="49" t="s">
        <v>191</v>
      </c>
      <c r="BE292" s="49" t="s">
        <v>192</v>
      </c>
      <c r="BF292" s="49" t="s">
        <v>137</v>
      </c>
      <c r="BG292" s="49" t="s">
        <v>138</v>
      </c>
      <c r="BH292" s="49" t="s">
        <v>139</v>
      </c>
      <c r="BI292" s="49" t="s">
        <v>140</v>
      </c>
      <c r="BJ292" s="49" t="s">
        <v>125</v>
      </c>
      <c r="BK292" s="49"/>
      <c r="BL292" s="49" t="s">
        <v>141</v>
      </c>
      <c r="BM292" s="49"/>
      <c r="BN292" s="49"/>
      <c r="BO292" s="49" t="s">
        <v>112</v>
      </c>
    </row>
    <row r="293" ht="16.8" customHeight="1">
      <c r="A293" s="43" t="s">
        <v>25</v>
      </c>
      <c r="B293" s="49" t="n">
        <v>283</v>
      </c>
      <c r="C293" s="49" t="s">
        <v>103</v>
      </c>
      <c r="D293" s="49" t="s">
        <v>104</v>
      </c>
      <c r="E293" s="49" t="s">
        <v>2201</v>
      </c>
      <c r="F293" s="49" t="s">
        <v>2202</v>
      </c>
      <c r="G293" s="49" t="s">
        <v>2203</v>
      </c>
      <c r="H293" s="49" t="s">
        <v>2204</v>
      </c>
      <c r="I293" s="49" t="s">
        <v>2205</v>
      </c>
      <c r="J293" s="49"/>
      <c r="K293" s="49" t="s">
        <v>174</v>
      </c>
      <c r="L293" s="49" t="s">
        <v>14</v>
      </c>
      <c r="M293" s="49" t="s">
        <v>111</v>
      </c>
      <c r="N293" s="49" t="s">
        <v>112</v>
      </c>
      <c r="O293" s="49" t="s">
        <v>2206</v>
      </c>
      <c r="P293" s="49"/>
      <c r="Q293" s="49"/>
      <c r="R293" s="49" t="s">
        <v>2201</v>
      </c>
      <c r="S293" s="49" t="s">
        <v>14</v>
      </c>
      <c r="T293" s="49" t="s">
        <v>2207</v>
      </c>
      <c r="U293" s="49" t="s">
        <v>115</v>
      </c>
      <c r="V293" s="49" t="s">
        <v>2208</v>
      </c>
      <c r="W293" s="49" t="s">
        <v>117</v>
      </c>
      <c r="X293" s="49" t="s">
        <v>118</v>
      </c>
      <c r="Y293" s="49" t="s">
        <v>174</v>
      </c>
      <c r="Z293" s="49" t="s">
        <v>2209</v>
      </c>
      <c r="AA293" s="49" t="s">
        <v>2210</v>
      </c>
      <c r="AB293" s="49" t="s">
        <v>393</v>
      </c>
      <c r="AC293" s="49" t="s">
        <v>2201</v>
      </c>
      <c r="AD293" s="49" t="n">
        <v>5468828</v>
      </c>
      <c r="AE293" s="49" t="s">
        <v>14</v>
      </c>
      <c r="AF293" s="49" t="s">
        <v>2211</v>
      </c>
      <c r="AG293" s="49" t="s">
        <v>14</v>
      </c>
      <c r="AH293" s="49" t="s">
        <v>2211</v>
      </c>
      <c r="AI293" s="49" t="s">
        <v>912</v>
      </c>
      <c r="AJ293" s="49" t="s">
        <v>913</v>
      </c>
      <c r="AK293" s="49" t="s">
        <v>124</v>
      </c>
      <c r="AL293" s="49" t="s">
        <v>125</v>
      </c>
      <c r="AM293" s="51" t="n">
        <v>5408.3</v>
      </c>
      <c r="AN293" s="49"/>
      <c r="AO293" s="49" t="s">
        <v>2212</v>
      </c>
      <c r="AP293" s="49" t="s">
        <v>127</v>
      </c>
      <c r="AQ293" s="49" t="s">
        <v>128</v>
      </c>
      <c r="AR293" s="49" t="s">
        <v>1062</v>
      </c>
      <c r="AS293" s="49" t="s">
        <v>2213</v>
      </c>
      <c r="AT293" s="49" t="s">
        <v>2219</v>
      </c>
      <c r="AU293" s="49" t="s">
        <v>848</v>
      </c>
      <c r="AV293" s="49"/>
      <c r="AW293" s="49" t="s">
        <v>2215</v>
      </c>
      <c r="AX293" s="49"/>
      <c r="AY293" s="49"/>
      <c r="AZ293" s="49"/>
      <c r="BA293" s="49"/>
      <c r="BB293" s="49" t="n">
        <v>51835744</v>
      </c>
      <c r="BC293" s="49" t="s">
        <v>134</v>
      </c>
      <c r="BD293" s="49" t="s">
        <v>191</v>
      </c>
      <c r="BE293" s="49" t="s">
        <v>192</v>
      </c>
      <c r="BF293" s="49" t="s">
        <v>137</v>
      </c>
      <c r="BG293" s="49" t="s">
        <v>138</v>
      </c>
      <c r="BH293" s="49" t="s">
        <v>139</v>
      </c>
      <c r="BI293" s="49" t="s">
        <v>140</v>
      </c>
      <c r="BJ293" s="49" t="s">
        <v>125</v>
      </c>
      <c r="BK293" s="49"/>
      <c r="BL293" s="49" t="s">
        <v>141</v>
      </c>
      <c r="BM293" s="49"/>
      <c r="BN293" s="49"/>
      <c r="BO293" s="49" t="s">
        <v>112</v>
      </c>
    </row>
    <row r="294" ht="16.8" customHeight="1">
      <c r="A294" s="43" t="s">
        <v>25</v>
      </c>
      <c r="B294" s="49" t="n">
        <v>284</v>
      </c>
      <c r="C294" s="49" t="s">
        <v>103</v>
      </c>
      <c r="D294" s="49" t="s">
        <v>104</v>
      </c>
      <c r="E294" s="49" t="s">
        <v>2201</v>
      </c>
      <c r="F294" s="49" t="s">
        <v>2202</v>
      </c>
      <c r="G294" s="49" t="s">
        <v>2203</v>
      </c>
      <c r="H294" s="49" t="s">
        <v>2204</v>
      </c>
      <c r="I294" s="49" t="s">
        <v>2205</v>
      </c>
      <c r="J294" s="49"/>
      <c r="K294" s="49" t="s">
        <v>174</v>
      </c>
      <c r="L294" s="49" t="s">
        <v>14</v>
      </c>
      <c r="M294" s="49" t="s">
        <v>111</v>
      </c>
      <c r="N294" s="49" t="s">
        <v>112</v>
      </c>
      <c r="O294" s="49" t="s">
        <v>2206</v>
      </c>
      <c r="P294" s="49"/>
      <c r="Q294" s="49"/>
      <c r="R294" s="49" t="s">
        <v>2201</v>
      </c>
      <c r="S294" s="49" t="s">
        <v>14</v>
      </c>
      <c r="T294" s="49" t="s">
        <v>2207</v>
      </c>
      <c r="U294" s="49" t="s">
        <v>115</v>
      </c>
      <c r="V294" s="49" t="s">
        <v>2208</v>
      </c>
      <c r="W294" s="49" t="s">
        <v>117</v>
      </c>
      <c r="X294" s="49" t="s">
        <v>118</v>
      </c>
      <c r="Y294" s="49" t="s">
        <v>174</v>
      </c>
      <c r="Z294" s="49" t="s">
        <v>2209</v>
      </c>
      <c r="AA294" s="49" t="s">
        <v>2210</v>
      </c>
      <c r="AB294" s="49" t="s">
        <v>393</v>
      </c>
      <c r="AC294" s="49" t="s">
        <v>2201</v>
      </c>
      <c r="AD294" s="49" t="n">
        <v>5468828</v>
      </c>
      <c r="AE294" s="49" t="s">
        <v>14</v>
      </c>
      <c r="AF294" s="49" t="s">
        <v>2211</v>
      </c>
      <c r="AG294" s="49" t="s">
        <v>14</v>
      </c>
      <c r="AH294" s="49" t="s">
        <v>2211</v>
      </c>
      <c r="AI294" s="49" t="s">
        <v>1095</v>
      </c>
      <c r="AJ294" s="49" t="s">
        <v>1096</v>
      </c>
      <c r="AK294" s="49" t="s">
        <v>124</v>
      </c>
      <c r="AL294" s="49" t="s">
        <v>125</v>
      </c>
      <c r="AM294" s="51" t="n">
        <v>3203.5</v>
      </c>
      <c r="AN294" s="49"/>
      <c r="AO294" s="49" t="s">
        <v>2212</v>
      </c>
      <c r="AP294" s="49" t="s">
        <v>127</v>
      </c>
      <c r="AQ294" s="49" t="s">
        <v>128</v>
      </c>
      <c r="AR294" s="49" t="s">
        <v>1062</v>
      </c>
      <c r="AS294" s="49" t="s">
        <v>2213</v>
      </c>
      <c r="AT294" s="49" t="s">
        <v>2220</v>
      </c>
      <c r="AU294" s="49" t="s">
        <v>848</v>
      </c>
      <c r="AV294" s="49"/>
      <c r="AW294" s="49" t="s">
        <v>2215</v>
      </c>
      <c r="AX294" s="49"/>
      <c r="AY294" s="49"/>
      <c r="AZ294" s="49"/>
      <c r="BA294" s="49"/>
      <c r="BB294" s="49" t="n">
        <v>51835744</v>
      </c>
      <c r="BC294" s="49" t="s">
        <v>134</v>
      </c>
      <c r="BD294" s="49" t="s">
        <v>191</v>
      </c>
      <c r="BE294" s="49" t="s">
        <v>192</v>
      </c>
      <c r="BF294" s="49" t="s">
        <v>137</v>
      </c>
      <c r="BG294" s="49" t="s">
        <v>138</v>
      </c>
      <c r="BH294" s="49" t="s">
        <v>139</v>
      </c>
      <c r="BI294" s="49" t="s">
        <v>140</v>
      </c>
      <c r="BJ294" s="49" t="s">
        <v>125</v>
      </c>
      <c r="BK294" s="49"/>
      <c r="BL294" s="49" t="s">
        <v>141</v>
      </c>
      <c r="BM294" s="49"/>
      <c r="BN294" s="49"/>
      <c r="BO294" s="49" t="s">
        <v>112</v>
      </c>
    </row>
    <row r="295" ht="16.8" customHeight="1">
      <c r="A295" s="43" t="s">
        <v>25</v>
      </c>
      <c r="B295" s="49" t="n">
        <v>285</v>
      </c>
      <c r="C295" s="49" t="s">
        <v>103</v>
      </c>
      <c r="D295" s="49" t="s">
        <v>104</v>
      </c>
      <c r="E295" s="49" t="s">
        <v>2201</v>
      </c>
      <c r="F295" s="49" t="s">
        <v>2202</v>
      </c>
      <c r="G295" s="49" t="s">
        <v>2203</v>
      </c>
      <c r="H295" s="49" t="s">
        <v>2204</v>
      </c>
      <c r="I295" s="49" t="s">
        <v>2205</v>
      </c>
      <c r="J295" s="49"/>
      <c r="K295" s="49" t="s">
        <v>174</v>
      </c>
      <c r="L295" s="49" t="s">
        <v>14</v>
      </c>
      <c r="M295" s="49" t="s">
        <v>111</v>
      </c>
      <c r="N295" s="49" t="s">
        <v>112</v>
      </c>
      <c r="O295" s="49" t="s">
        <v>2206</v>
      </c>
      <c r="P295" s="49"/>
      <c r="Q295" s="49"/>
      <c r="R295" s="49" t="s">
        <v>2201</v>
      </c>
      <c r="S295" s="49" t="s">
        <v>14</v>
      </c>
      <c r="T295" s="49" t="s">
        <v>2207</v>
      </c>
      <c r="U295" s="49" t="s">
        <v>115</v>
      </c>
      <c r="V295" s="49" t="s">
        <v>2208</v>
      </c>
      <c r="W295" s="49" t="s">
        <v>117</v>
      </c>
      <c r="X295" s="49" t="s">
        <v>118</v>
      </c>
      <c r="Y295" s="49" t="s">
        <v>174</v>
      </c>
      <c r="Z295" s="49" t="s">
        <v>2209</v>
      </c>
      <c r="AA295" s="49" t="s">
        <v>2210</v>
      </c>
      <c r="AB295" s="49" t="s">
        <v>393</v>
      </c>
      <c r="AC295" s="49" t="s">
        <v>2201</v>
      </c>
      <c r="AD295" s="49" t="n">
        <v>5468828</v>
      </c>
      <c r="AE295" s="49" t="s">
        <v>14</v>
      </c>
      <c r="AF295" s="49" t="s">
        <v>2211</v>
      </c>
      <c r="AG295" s="49" t="s">
        <v>14</v>
      </c>
      <c r="AH295" s="49" t="s">
        <v>2211</v>
      </c>
      <c r="AI295" s="49" t="s">
        <v>2221</v>
      </c>
      <c r="AJ295" s="49" t="s">
        <v>924</v>
      </c>
      <c r="AK295" s="49" t="s">
        <v>124</v>
      </c>
      <c r="AL295" s="49" t="s">
        <v>125</v>
      </c>
      <c r="AM295" s="51" t="n">
        <v>11800</v>
      </c>
      <c r="AN295" s="49"/>
      <c r="AO295" s="49" t="s">
        <v>2212</v>
      </c>
      <c r="AP295" s="49" t="s">
        <v>127</v>
      </c>
      <c r="AQ295" s="49" t="s">
        <v>128</v>
      </c>
      <c r="AR295" s="49" t="s">
        <v>1062</v>
      </c>
      <c r="AS295" s="49" t="s">
        <v>2213</v>
      </c>
      <c r="AT295" s="49"/>
      <c r="AU295" s="49" t="s">
        <v>848</v>
      </c>
      <c r="AV295" s="49"/>
      <c r="AW295" s="49" t="s">
        <v>2215</v>
      </c>
      <c r="AX295" s="49"/>
      <c r="AY295" s="49"/>
      <c r="AZ295" s="49"/>
      <c r="BA295" s="49"/>
      <c r="BB295" s="49" t="n">
        <v>51835744</v>
      </c>
      <c r="BC295" s="49" t="s">
        <v>134</v>
      </c>
      <c r="BD295" s="49" t="s">
        <v>191</v>
      </c>
      <c r="BE295" s="49" t="s">
        <v>192</v>
      </c>
      <c r="BF295" s="49" t="s">
        <v>137</v>
      </c>
      <c r="BG295" s="49" t="s">
        <v>138</v>
      </c>
      <c r="BH295" s="49" t="s">
        <v>139</v>
      </c>
      <c r="BI295" s="49" t="s">
        <v>140</v>
      </c>
      <c r="BJ295" s="49" t="s">
        <v>125</v>
      </c>
      <c r="BK295" s="49"/>
      <c r="BL295" s="49"/>
      <c r="BM295" s="49"/>
      <c r="BN295" s="49"/>
      <c r="BO295" s="49" t="s">
        <v>112</v>
      </c>
    </row>
    <row r="296" ht="16.8" customHeight="1">
      <c r="A296" s="43" t="s">
        <v>25</v>
      </c>
      <c r="B296" s="49" t="n">
        <v>286</v>
      </c>
      <c r="C296" s="49" t="s">
        <v>103</v>
      </c>
      <c r="D296" s="49" t="s">
        <v>104</v>
      </c>
      <c r="E296" s="49" t="s">
        <v>2222</v>
      </c>
      <c r="F296" s="49" t="s">
        <v>2223</v>
      </c>
      <c r="G296" s="49" t="s">
        <v>1348</v>
      </c>
      <c r="H296" s="49" t="s">
        <v>2224</v>
      </c>
      <c r="I296" s="49" t="s">
        <v>2225</v>
      </c>
      <c r="J296" s="49"/>
      <c r="K296" s="49" t="s">
        <v>250</v>
      </c>
      <c r="L296" s="49" t="s">
        <v>10</v>
      </c>
      <c r="M296" s="49" t="s">
        <v>207</v>
      </c>
      <c r="N296" s="49" t="s">
        <v>773</v>
      </c>
      <c r="O296" s="49" t="s">
        <v>125</v>
      </c>
      <c r="P296" s="49"/>
      <c r="Q296" s="49"/>
      <c r="R296" s="49" t="s">
        <v>2226</v>
      </c>
      <c r="S296" s="49" t="s">
        <v>10</v>
      </c>
      <c r="T296" s="49" t="s">
        <v>2227</v>
      </c>
      <c r="U296" s="49" t="s">
        <v>178</v>
      </c>
      <c r="V296" s="49" t="s">
        <v>2228</v>
      </c>
      <c r="W296" s="49" t="s">
        <v>117</v>
      </c>
      <c r="X296" s="49" t="s">
        <v>391</v>
      </c>
      <c r="Y296" s="49" t="s">
        <v>206</v>
      </c>
      <c r="Z296" s="49" t="s">
        <v>119</v>
      </c>
      <c r="AA296" s="49" t="s">
        <v>438</v>
      </c>
      <c r="AB296" s="49" t="s">
        <v>1913</v>
      </c>
      <c r="AC296" s="49" t="s">
        <v>2226</v>
      </c>
      <c r="AD296" s="49" t="n">
        <v>5468590</v>
      </c>
      <c r="AE296" s="49" t="s">
        <v>10</v>
      </c>
      <c r="AF296" s="49" t="s">
        <v>2229</v>
      </c>
      <c r="AG296" s="49" t="s">
        <v>10</v>
      </c>
      <c r="AH296" s="49" t="s">
        <v>2230</v>
      </c>
      <c r="AI296" s="49" t="s">
        <v>2231</v>
      </c>
      <c r="AJ296" s="49" t="s">
        <v>2232</v>
      </c>
      <c r="AK296" s="49" t="s">
        <v>124</v>
      </c>
      <c r="AL296" s="49" t="s">
        <v>125</v>
      </c>
      <c r="AM296" s="51" t="n">
        <v>125000</v>
      </c>
      <c r="AN296" s="49"/>
      <c r="AO296" s="49" t="s">
        <v>125</v>
      </c>
      <c r="AP296" s="49" t="s">
        <v>187</v>
      </c>
      <c r="AQ296" s="49" t="s">
        <v>128</v>
      </c>
      <c r="AR296" s="49"/>
      <c r="AS296" s="49" t="s">
        <v>2233</v>
      </c>
      <c r="AT296" s="49" t="s">
        <v>2234</v>
      </c>
      <c r="AU296" s="49" t="s">
        <v>848</v>
      </c>
      <c r="AV296" s="49"/>
      <c r="AW296" s="49" t="s">
        <v>2235</v>
      </c>
      <c r="AX296" s="49"/>
      <c r="AY296" s="49"/>
      <c r="AZ296" s="49"/>
      <c r="BA296" s="49"/>
      <c r="BB296" s="49" t="n">
        <v>80721492</v>
      </c>
      <c r="BC296" s="49" t="s">
        <v>134</v>
      </c>
      <c r="BD296" s="49" t="s">
        <v>191</v>
      </c>
      <c r="BE296" s="49" t="s">
        <v>401</v>
      </c>
      <c r="BF296" s="49" t="s">
        <v>464</v>
      </c>
      <c r="BG296" s="49" t="s">
        <v>138</v>
      </c>
      <c r="BH296" s="49" t="s">
        <v>139</v>
      </c>
      <c r="BI296" s="49" t="s">
        <v>140</v>
      </c>
      <c r="BJ296" s="49" t="s">
        <v>125</v>
      </c>
      <c r="BK296" s="49"/>
      <c r="BL296" s="49"/>
      <c r="BM296" s="49"/>
      <c r="BN296" s="49" t="s">
        <v>142</v>
      </c>
      <c r="BO296" s="49" t="s">
        <v>338</v>
      </c>
    </row>
    <row r="297" ht="16.8" customHeight="1">
      <c r="A297" s="43" t="s">
        <v>25</v>
      </c>
      <c r="B297" s="49" t="n">
        <v>287</v>
      </c>
      <c r="C297" s="49" t="s">
        <v>103</v>
      </c>
      <c r="D297" s="49" t="s">
        <v>104</v>
      </c>
      <c r="E297" s="49" t="s">
        <v>992</v>
      </c>
      <c r="F297" s="49" t="s">
        <v>2236</v>
      </c>
      <c r="G297" s="49" t="s">
        <v>171</v>
      </c>
      <c r="H297" s="49" t="s">
        <v>2237</v>
      </c>
      <c r="I297" s="49" t="s">
        <v>2238</v>
      </c>
      <c r="J297" s="49" t="s">
        <v>125</v>
      </c>
      <c r="K297" s="49" t="s">
        <v>250</v>
      </c>
      <c r="L297" s="49" t="s">
        <v>10</v>
      </c>
      <c r="M297" s="49" t="s">
        <v>111</v>
      </c>
      <c r="N297" s="49" t="s">
        <v>554</v>
      </c>
      <c r="O297" s="49" t="s">
        <v>2239</v>
      </c>
      <c r="P297" s="49"/>
      <c r="Q297" s="49"/>
      <c r="R297" s="49" t="s">
        <v>2240</v>
      </c>
      <c r="S297" s="49" t="s">
        <v>10</v>
      </c>
      <c r="T297" s="49" t="s">
        <v>2241</v>
      </c>
      <c r="U297" s="49" t="s">
        <v>178</v>
      </c>
      <c r="V297" s="49" t="s">
        <v>2242</v>
      </c>
      <c r="W297" s="49" t="s">
        <v>117</v>
      </c>
      <c r="X297" s="49" t="s">
        <v>1002</v>
      </c>
      <c r="Y297" s="49" t="s">
        <v>996</v>
      </c>
      <c r="Z297" s="49" t="s">
        <v>2243</v>
      </c>
      <c r="AA297" s="49" t="s">
        <v>1634</v>
      </c>
      <c r="AB297" s="49" t="s">
        <v>1634</v>
      </c>
      <c r="AC297" s="49" t="s">
        <v>2240</v>
      </c>
      <c r="AD297" s="49" t="n">
        <v>5468276</v>
      </c>
      <c r="AE297" s="49" t="s">
        <v>10</v>
      </c>
      <c r="AF297" s="49" t="s">
        <v>2244</v>
      </c>
      <c r="AG297" s="49" t="s">
        <v>10</v>
      </c>
      <c r="AH297" s="49" t="s">
        <v>2245</v>
      </c>
      <c r="AI297" s="49" t="s">
        <v>1007</v>
      </c>
      <c r="AJ297" s="49" t="s">
        <v>1008</v>
      </c>
      <c r="AK297" s="49" t="s">
        <v>124</v>
      </c>
      <c r="AL297" s="49" t="s">
        <v>125</v>
      </c>
      <c r="AM297" s="51" t="n">
        <v>5680</v>
      </c>
      <c r="AN297" s="49"/>
      <c r="AO297" s="49" t="s">
        <v>2239</v>
      </c>
      <c r="AP297" s="49" t="s">
        <v>187</v>
      </c>
      <c r="AQ297" s="49" t="s">
        <v>128</v>
      </c>
      <c r="AR297" s="49" t="s">
        <v>681</v>
      </c>
      <c r="AS297" s="49" t="s">
        <v>2246</v>
      </c>
      <c r="AT297" s="49" t="s">
        <v>2247</v>
      </c>
      <c r="AU297" s="49" t="s">
        <v>848</v>
      </c>
      <c r="AV297" s="49"/>
      <c r="AW297" s="49" t="s">
        <v>2248</v>
      </c>
      <c r="AX297" s="49"/>
      <c r="AY297" s="49"/>
      <c r="AZ297" s="49"/>
      <c r="BA297" s="49"/>
      <c r="BB297" s="49" t="n">
        <v>43991372</v>
      </c>
      <c r="BC297" s="49" t="s">
        <v>134</v>
      </c>
      <c r="BD297" s="49"/>
      <c r="BE297" s="49" t="s">
        <v>125</v>
      </c>
      <c r="BF297" s="49" t="s">
        <v>125</v>
      </c>
      <c r="BG297" s="49"/>
      <c r="BH297" s="49" t="s">
        <v>918</v>
      </c>
      <c r="BI297" s="49" t="s">
        <v>140</v>
      </c>
      <c r="BJ297" s="49" t="s">
        <v>125</v>
      </c>
      <c r="BK297" s="49"/>
      <c r="BL297" s="49" t="s">
        <v>141</v>
      </c>
      <c r="BM297" s="49"/>
      <c r="BN297" s="49" t="s">
        <v>142</v>
      </c>
      <c r="BO297" s="49" t="s">
        <v>196</v>
      </c>
    </row>
    <row r="298" ht="16.8" customHeight="1">
      <c r="A298" s="43" t="s">
        <v>25</v>
      </c>
      <c r="B298" s="49" t="n">
        <v>288</v>
      </c>
      <c r="C298" s="49" t="s">
        <v>103</v>
      </c>
      <c r="D298" s="49" t="s">
        <v>104</v>
      </c>
      <c r="E298" s="49" t="s">
        <v>2249</v>
      </c>
      <c r="F298" s="49" t="s">
        <v>2250</v>
      </c>
      <c r="G298" s="49" t="s">
        <v>1050</v>
      </c>
      <c r="H298" s="49" t="s">
        <v>2251</v>
      </c>
      <c r="I298" s="189" t="s">
        <v>2252</v>
      </c>
      <c r="J298" s="49" t="s">
        <v>1053</v>
      </c>
      <c r="K298" s="49" t="s">
        <v>174</v>
      </c>
      <c r="L298" s="49" t="s">
        <v>10</v>
      </c>
      <c r="M298" s="49" t="s">
        <v>607</v>
      </c>
      <c r="N298" s="49" t="s">
        <v>608</v>
      </c>
      <c r="O298" s="49" t="s">
        <v>125</v>
      </c>
      <c r="P298" s="49"/>
      <c r="Q298" s="49"/>
      <c r="R298" s="49" t="s">
        <v>2253</v>
      </c>
      <c r="S298" s="49" t="s">
        <v>10</v>
      </c>
      <c r="T298" s="49" t="s">
        <v>2254</v>
      </c>
      <c r="U298" s="49" t="s">
        <v>178</v>
      </c>
      <c r="V298" s="49" t="s">
        <v>2255</v>
      </c>
      <c r="W298" s="49" t="s">
        <v>117</v>
      </c>
      <c r="X298" s="49" t="s">
        <v>180</v>
      </c>
      <c r="Y298" s="49" t="s">
        <v>174</v>
      </c>
      <c r="Z298" s="49" t="s">
        <v>2256</v>
      </c>
      <c r="AA298" s="49" t="s">
        <v>2257</v>
      </c>
      <c r="AB298" s="49" t="s">
        <v>2258</v>
      </c>
      <c r="AC298" s="49" t="s">
        <v>2253</v>
      </c>
      <c r="AD298" s="49" t="n">
        <v>5468070</v>
      </c>
      <c r="AE298" s="49" t="s">
        <v>10</v>
      </c>
      <c r="AF298" s="49" t="s">
        <v>2259</v>
      </c>
      <c r="AG298" s="49" t="s">
        <v>10</v>
      </c>
      <c r="AH298" s="49" t="s">
        <v>2259</v>
      </c>
      <c r="AI298" s="49" t="s">
        <v>2260</v>
      </c>
      <c r="AJ298" s="49" t="s">
        <v>2261</v>
      </c>
      <c r="AK298" s="49" t="s">
        <v>124</v>
      </c>
      <c r="AL298" s="49" t="s">
        <v>125</v>
      </c>
      <c r="AM298" s="51" t="n">
        <v>1500</v>
      </c>
      <c r="AN298" s="49"/>
      <c r="AO298" s="49" t="s">
        <v>125</v>
      </c>
      <c r="AP298" s="49" t="s">
        <v>187</v>
      </c>
      <c r="AQ298" s="49" t="s">
        <v>128</v>
      </c>
      <c r="AR298" s="49" t="s">
        <v>1062</v>
      </c>
      <c r="AS298" s="49" t="s">
        <v>2262</v>
      </c>
      <c r="AT298" s="49" t="s">
        <v>2263</v>
      </c>
      <c r="AU298" s="49" t="s">
        <v>848</v>
      </c>
      <c r="AV298" s="49"/>
      <c r="AW298" s="49" t="s">
        <v>2264</v>
      </c>
      <c r="AX298" s="49"/>
      <c r="AY298" s="49"/>
      <c r="AZ298" s="49"/>
      <c r="BA298" s="49"/>
      <c r="BB298" s="49" t="n">
        <v>81005349</v>
      </c>
      <c r="BC298" s="49" t="s">
        <v>134</v>
      </c>
      <c r="BD298" s="49" t="s">
        <v>191</v>
      </c>
      <c r="BE298" s="49" t="s">
        <v>2265</v>
      </c>
      <c r="BF298" s="49" t="s">
        <v>1720</v>
      </c>
      <c r="BG298" s="49"/>
      <c r="BH298" s="49" t="s">
        <v>139</v>
      </c>
      <c r="BI298" s="49" t="s">
        <v>140</v>
      </c>
      <c r="BJ298" s="49" t="s">
        <v>125</v>
      </c>
      <c r="BK298" s="49"/>
      <c r="BL298" s="49" t="s">
        <v>141</v>
      </c>
      <c r="BM298" s="49"/>
      <c r="BN298" s="49" t="s">
        <v>142</v>
      </c>
      <c r="BO298" s="49" t="s">
        <v>608</v>
      </c>
    </row>
    <row r="299" ht="16.8" customHeight="1">
      <c r="A299" s="43" t="s">
        <v>25</v>
      </c>
      <c r="B299" s="49" t="n">
        <v>289</v>
      </c>
      <c r="C299" s="49" t="s">
        <v>103</v>
      </c>
      <c r="D299" s="49" t="s">
        <v>104</v>
      </c>
      <c r="E299" s="49" t="s">
        <v>2249</v>
      </c>
      <c r="F299" s="49" t="s">
        <v>2250</v>
      </c>
      <c r="G299" s="49" t="s">
        <v>1050</v>
      </c>
      <c r="H299" s="49" t="s">
        <v>2251</v>
      </c>
      <c r="I299" s="190" t="s">
        <v>2252</v>
      </c>
      <c r="J299" s="49" t="s">
        <v>1053</v>
      </c>
      <c r="K299" s="49" t="s">
        <v>174</v>
      </c>
      <c r="L299" s="49" t="s">
        <v>10</v>
      </c>
      <c r="M299" s="49" t="s">
        <v>607</v>
      </c>
      <c r="N299" s="49" t="s">
        <v>608</v>
      </c>
      <c r="O299" s="49" t="s">
        <v>125</v>
      </c>
      <c r="P299" s="49"/>
      <c r="Q299" s="49"/>
      <c r="R299" s="49" t="s">
        <v>2253</v>
      </c>
      <c r="S299" s="49" t="s">
        <v>10</v>
      </c>
      <c r="T299" s="49" t="s">
        <v>2254</v>
      </c>
      <c r="U299" s="49" t="s">
        <v>178</v>
      </c>
      <c r="V299" s="49" t="s">
        <v>2255</v>
      </c>
      <c r="W299" s="49" t="s">
        <v>117</v>
      </c>
      <c r="X299" s="49" t="s">
        <v>180</v>
      </c>
      <c r="Y299" s="49" t="s">
        <v>174</v>
      </c>
      <c r="Z299" s="49" t="s">
        <v>2256</v>
      </c>
      <c r="AA299" s="49" t="s">
        <v>2257</v>
      </c>
      <c r="AB299" s="49" t="s">
        <v>2258</v>
      </c>
      <c r="AC299" s="49" t="s">
        <v>2253</v>
      </c>
      <c r="AD299" s="49" t="n">
        <v>5468070</v>
      </c>
      <c r="AE299" s="49" t="s">
        <v>10</v>
      </c>
      <c r="AF299" s="49" t="s">
        <v>2259</v>
      </c>
      <c r="AG299" s="49" t="s">
        <v>10</v>
      </c>
      <c r="AH299" s="49" t="s">
        <v>2259</v>
      </c>
      <c r="AI299" s="49" t="s">
        <v>2266</v>
      </c>
      <c r="AJ299" s="49" t="s">
        <v>2267</v>
      </c>
      <c r="AK299" s="49" t="s">
        <v>124</v>
      </c>
      <c r="AL299" s="49" t="s">
        <v>125</v>
      </c>
      <c r="AM299" s="51" t="n">
        <v>13800</v>
      </c>
      <c r="AN299" s="49"/>
      <c r="AO299" s="49" t="s">
        <v>125</v>
      </c>
      <c r="AP299" s="49" t="s">
        <v>187</v>
      </c>
      <c r="AQ299" s="49" t="s">
        <v>128</v>
      </c>
      <c r="AR299" s="49" t="s">
        <v>1062</v>
      </c>
      <c r="AS299" s="49" t="s">
        <v>2262</v>
      </c>
      <c r="AT299" s="49" t="s">
        <v>2268</v>
      </c>
      <c r="AU299" s="49" t="s">
        <v>848</v>
      </c>
      <c r="AV299" s="49"/>
      <c r="AW299" s="49" t="s">
        <v>2264</v>
      </c>
      <c r="AX299" s="49"/>
      <c r="AY299" s="49"/>
      <c r="AZ299" s="49"/>
      <c r="BA299" s="49"/>
      <c r="BB299" s="49" t="n">
        <v>81005349</v>
      </c>
      <c r="BC299" s="49" t="s">
        <v>134</v>
      </c>
      <c r="BD299" s="49" t="s">
        <v>191</v>
      </c>
      <c r="BE299" s="49" t="s">
        <v>2265</v>
      </c>
      <c r="BF299" s="49" t="s">
        <v>1720</v>
      </c>
      <c r="BG299" s="49"/>
      <c r="BH299" s="49" t="s">
        <v>139</v>
      </c>
      <c r="BI299" s="49" t="s">
        <v>140</v>
      </c>
      <c r="BJ299" s="49" t="s">
        <v>125</v>
      </c>
      <c r="BK299" s="49"/>
      <c r="BL299" s="49" t="s">
        <v>141</v>
      </c>
      <c r="BM299" s="49"/>
      <c r="BN299" s="49" t="s">
        <v>142</v>
      </c>
      <c r="BO299" s="49" t="s">
        <v>608</v>
      </c>
    </row>
    <row r="300" ht="16.8" customHeight="1">
      <c r="A300" s="43" t="s">
        <v>25</v>
      </c>
      <c r="B300" s="49" t="n">
        <v>290</v>
      </c>
      <c r="C300" s="49" t="s">
        <v>103</v>
      </c>
      <c r="D300" s="49" t="s">
        <v>104</v>
      </c>
      <c r="E300" s="49"/>
      <c r="F300" s="49" t="s">
        <v>2269</v>
      </c>
      <c r="G300" s="49"/>
      <c r="H300" s="49" t="s">
        <v>2270</v>
      </c>
      <c r="I300" s="49" t="s">
        <v>2271</v>
      </c>
      <c r="J300" s="49"/>
      <c r="K300" s="49" t="s">
        <v>206</v>
      </c>
      <c r="L300" s="49" t="s">
        <v>10</v>
      </c>
      <c r="M300" s="49" t="s">
        <v>111</v>
      </c>
      <c r="N300" s="49" t="s">
        <v>112</v>
      </c>
      <c r="O300" s="49"/>
      <c r="P300" s="49"/>
      <c r="Q300" s="49"/>
      <c r="R300" s="49" t="s">
        <v>2272</v>
      </c>
      <c r="S300" s="49" t="s">
        <v>10</v>
      </c>
      <c r="T300" s="49" t="s">
        <v>2273</v>
      </c>
      <c r="U300" s="49" t="s">
        <v>115</v>
      </c>
      <c r="V300" s="49" t="s">
        <v>2274</v>
      </c>
      <c r="W300" s="49" t="s">
        <v>117</v>
      </c>
      <c r="X300" s="49" t="s">
        <v>213</v>
      </c>
      <c r="Y300" s="49" t="s">
        <v>174</v>
      </c>
      <c r="Z300" s="49" t="s">
        <v>2275</v>
      </c>
      <c r="AA300" s="49" t="s">
        <v>2276</v>
      </c>
      <c r="AB300" s="49" t="s">
        <v>2277</v>
      </c>
      <c r="AC300" s="49" t="s">
        <v>2272</v>
      </c>
      <c r="AD300" s="49" t="n">
        <v>5440354</v>
      </c>
      <c r="AE300" s="49" t="s">
        <v>10</v>
      </c>
      <c r="AF300" s="49" t="s">
        <v>2274</v>
      </c>
      <c r="AG300" s="49" t="s">
        <v>10</v>
      </c>
      <c r="AH300" s="49" t="s">
        <v>2278</v>
      </c>
      <c r="AI300" s="49" t="s">
        <v>2279</v>
      </c>
      <c r="AJ300" s="49" t="s">
        <v>1756</v>
      </c>
      <c r="AK300" s="49" t="s">
        <v>124</v>
      </c>
      <c r="AL300" s="49" t="s">
        <v>125</v>
      </c>
      <c r="AM300" s="51" t="n">
        <v>0.1</v>
      </c>
      <c r="AN300" s="49" t="s">
        <v>126</v>
      </c>
      <c r="AO300" s="49" t="s">
        <v>125</v>
      </c>
      <c r="AP300" s="49" t="s">
        <v>127</v>
      </c>
      <c r="AQ300" s="49" t="s">
        <v>128</v>
      </c>
      <c r="AR300" s="49" t="s">
        <v>971</v>
      </c>
      <c r="AS300" s="49" t="s">
        <v>2280</v>
      </c>
      <c r="AT300" s="49" t="s">
        <v>2281</v>
      </c>
      <c r="AU300" s="49" t="s">
        <v>848</v>
      </c>
      <c r="AV300" s="49"/>
      <c r="AW300" s="49" t="s">
        <v>2282</v>
      </c>
      <c r="AX300" s="49"/>
      <c r="AY300" s="49"/>
      <c r="AZ300" s="49"/>
      <c r="BA300" s="49"/>
      <c r="BB300" s="49" t="n">
        <v>38346789</v>
      </c>
      <c r="BC300" s="49" t="s">
        <v>134</v>
      </c>
      <c r="BD300" s="49" t="s">
        <v>191</v>
      </c>
      <c r="BE300" s="49" t="s">
        <v>1754</v>
      </c>
      <c r="BF300" s="49" t="s">
        <v>402</v>
      </c>
      <c r="BG300" s="49"/>
      <c r="BH300" s="49" t="s">
        <v>139</v>
      </c>
      <c r="BI300" s="49" t="s">
        <v>140</v>
      </c>
      <c r="BJ300" s="49" t="s">
        <v>125</v>
      </c>
      <c r="BK300" s="49"/>
      <c r="BL300" s="49" t="s">
        <v>2283</v>
      </c>
      <c r="BM300" s="49"/>
      <c r="BN300" s="49" t="s">
        <v>227</v>
      </c>
      <c r="BO300" s="49"/>
    </row>
    <row r="301" ht="16.8" customHeight="1">
      <c r="A301" s="43" t="s">
        <v>25</v>
      </c>
      <c r="B301" s="49" t="n">
        <v>291</v>
      </c>
      <c r="C301" s="49" t="s">
        <v>103</v>
      </c>
      <c r="D301" s="49" t="s">
        <v>104</v>
      </c>
      <c r="E301" s="49"/>
      <c r="F301" s="49" t="s">
        <v>2269</v>
      </c>
      <c r="G301" s="49"/>
      <c r="H301" s="49" t="s">
        <v>2270</v>
      </c>
      <c r="I301" s="49" t="s">
        <v>2271</v>
      </c>
      <c r="J301" s="49"/>
      <c r="K301" s="49" t="s">
        <v>206</v>
      </c>
      <c r="L301" s="49" t="s">
        <v>10</v>
      </c>
      <c r="M301" s="49" t="s">
        <v>111</v>
      </c>
      <c r="N301" s="49" t="s">
        <v>112</v>
      </c>
      <c r="O301" s="49"/>
      <c r="P301" s="49"/>
      <c r="Q301" s="49"/>
      <c r="R301" s="49" t="s">
        <v>2272</v>
      </c>
      <c r="S301" s="49" t="s">
        <v>10</v>
      </c>
      <c r="T301" s="49" t="s">
        <v>2273</v>
      </c>
      <c r="U301" s="49" t="s">
        <v>115</v>
      </c>
      <c r="V301" s="49" t="s">
        <v>2274</v>
      </c>
      <c r="W301" s="49" t="s">
        <v>117</v>
      </c>
      <c r="X301" s="49" t="s">
        <v>213</v>
      </c>
      <c r="Y301" s="49" t="s">
        <v>174</v>
      </c>
      <c r="Z301" s="49" t="s">
        <v>2275</v>
      </c>
      <c r="AA301" s="49" t="s">
        <v>2276</v>
      </c>
      <c r="AB301" s="49" t="s">
        <v>2277</v>
      </c>
      <c r="AC301" s="49" t="s">
        <v>2272</v>
      </c>
      <c r="AD301" s="49" t="n">
        <v>5440354</v>
      </c>
      <c r="AE301" s="49" t="s">
        <v>10</v>
      </c>
      <c r="AF301" s="49" t="s">
        <v>2274</v>
      </c>
      <c r="AG301" s="49" t="s">
        <v>10</v>
      </c>
      <c r="AH301" s="49" t="s">
        <v>2278</v>
      </c>
      <c r="AI301" s="49" t="s">
        <v>2284</v>
      </c>
      <c r="AJ301" s="49" t="s">
        <v>545</v>
      </c>
      <c r="AK301" s="49" t="s">
        <v>124</v>
      </c>
      <c r="AL301" s="49" t="s">
        <v>125</v>
      </c>
      <c r="AM301" s="51" t="n">
        <v>20800</v>
      </c>
      <c r="AN301" s="49" t="s">
        <v>126</v>
      </c>
      <c r="AO301" s="49" t="s">
        <v>125</v>
      </c>
      <c r="AP301" s="49" t="s">
        <v>127</v>
      </c>
      <c r="AQ301" s="49" t="s">
        <v>128</v>
      </c>
      <c r="AR301" s="49" t="s">
        <v>971</v>
      </c>
      <c r="AS301" s="49" t="s">
        <v>2280</v>
      </c>
      <c r="AT301" s="49"/>
      <c r="AU301" s="49" t="s">
        <v>848</v>
      </c>
      <c r="AV301" s="49"/>
      <c r="AW301" s="49" t="s">
        <v>2282</v>
      </c>
      <c r="AX301" s="49"/>
      <c r="AY301" s="49"/>
      <c r="AZ301" s="49"/>
      <c r="BA301" s="49"/>
      <c r="BB301" s="49" t="n">
        <v>38346789</v>
      </c>
      <c r="BC301" s="49" t="s">
        <v>134</v>
      </c>
      <c r="BD301" s="49" t="s">
        <v>191</v>
      </c>
      <c r="BE301" s="49" t="s">
        <v>1754</v>
      </c>
      <c r="BF301" s="49" t="s">
        <v>402</v>
      </c>
      <c r="BG301" s="49"/>
      <c r="BH301" s="49" t="s">
        <v>139</v>
      </c>
      <c r="BI301" s="49" t="s">
        <v>140</v>
      </c>
      <c r="BJ301" s="49" t="s">
        <v>125</v>
      </c>
      <c r="BK301" s="49"/>
      <c r="BL301" s="49"/>
      <c r="BM301" s="49"/>
      <c r="BN301" s="49" t="s">
        <v>227</v>
      </c>
      <c r="BO301" s="49"/>
    </row>
    <row r="302" ht="16.8" customHeight="1">
      <c r="A302" s="43" t="s">
        <v>25</v>
      </c>
      <c r="B302" s="49" t="n">
        <v>292</v>
      </c>
      <c r="C302" s="49" t="s">
        <v>103</v>
      </c>
      <c r="D302" s="49" t="s">
        <v>104</v>
      </c>
      <c r="E302" s="49" t="s">
        <v>899</v>
      </c>
      <c r="F302" s="49" t="s">
        <v>2285</v>
      </c>
      <c r="G302" s="49" t="s">
        <v>1330</v>
      </c>
      <c r="H302" s="49" t="s">
        <v>2286</v>
      </c>
      <c r="I302" s="49" t="s">
        <v>2287</v>
      </c>
      <c r="J302" s="49" t="s">
        <v>125</v>
      </c>
      <c r="K302" s="49" t="s">
        <v>206</v>
      </c>
      <c r="L302" s="49" t="s">
        <v>10</v>
      </c>
      <c r="M302" s="49" t="s">
        <v>1036</v>
      </c>
      <c r="N302" s="49" t="s">
        <v>1333</v>
      </c>
      <c r="O302" s="49" t="s">
        <v>125</v>
      </c>
      <c r="P302" s="49"/>
      <c r="Q302" s="49"/>
      <c r="R302" s="49" t="s">
        <v>2288</v>
      </c>
      <c r="S302" s="49" t="s">
        <v>10</v>
      </c>
      <c r="T302" s="49" t="s">
        <v>2289</v>
      </c>
      <c r="U302" s="49" t="s">
        <v>178</v>
      </c>
      <c r="V302" s="49" t="s">
        <v>2290</v>
      </c>
      <c r="W302" s="49" t="s">
        <v>117</v>
      </c>
      <c r="X302" s="49" t="s">
        <v>312</v>
      </c>
      <c r="Y302" s="49" t="s">
        <v>206</v>
      </c>
      <c r="Z302" s="49" t="s">
        <v>2291</v>
      </c>
      <c r="AA302" s="49" t="s">
        <v>1003</v>
      </c>
      <c r="AB302" s="49" t="s">
        <v>2292</v>
      </c>
      <c r="AC302" s="49" t="s">
        <v>2288</v>
      </c>
      <c r="AD302" s="49" t="n">
        <v>5439130</v>
      </c>
      <c r="AE302" s="49" t="s">
        <v>10</v>
      </c>
      <c r="AF302" s="49" t="s">
        <v>2293</v>
      </c>
      <c r="AG302" s="49" t="s">
        <v>10</v>
      </c>
      <c r="AH302" s="49" t="s">
        <v>2294</v>
      </c>
      <c r="AI302" s="49" t="s">
        <v>2295</v>
      </c>
      <c r="AJ302" s="49" t="s">
        <v>2296</v>
      </c>
      <c r="AK302" s="49" t="s">
        <v>124</v>
      </c>
      <c r="AL302" s="49" t="s">
        <v>125</v>
      </c>
      <c r="AM302" s="51" t="n">
        <v>3000</v>
      </c>
      <c r="AN302" s="49"/>
      <c r="AO302" s="49" t="s">
        <v>125</v>
      </c>
      <c r="AP302" s="49" t="s">
        <v>187</v>
      </c>
      <c r="AQ302" s="49" t="s">
        <v>128</v>
      </c>
      <c r="AR302" s="49"/>
      <c r="AS302" s="49" t="s">
        <v>2297</v>
      </c>
      <c r="AT302" s="49"/>
      <c r="AU302" s="49" t="s">
        <v>848</v>
      </c>
      <c r="AV302" s="49"/>
      <c r="AW302" s="49" t="s">
        <v>2298</v>
      </c>
      <c r="AX302" s="49"/>
      <c r="AY302" s="49"/>
      <c r="AZ302" s="49"/>
      <c r="BA302" s="49"/>
      <c r="BB302" s="49" t="n">
        <v>53152452</v>
      </c>
      <c r="BC302" s="49" t="s">
        <v>134</v>
      </c>
      <c r="BD302" s="49" t="s">
        <v>191</v>
      </c>
      <c r="BE302" s="49" t="s">
        <v>318</v>
      </c>
      <c r="BF302" s="49" t="s">
        <v>319</v>
      </c>
      <c r="BG302" s="49" t="s">
        <v>138</v>
      </c>
      <c r="BH302" s="49" t="s">
        <v>226</v>
      </c>
      <c r="BI302" s="49" t="s">
        <v>140</v>
      </c>
      <c r="BJ302" s="49" t="s">
        <v>125</v>
      </c>
      <c r="BK302" s="49"/>
      <c r="BL302" s="49"/>
      <c r="BM302" s="49"/>
      <c r="BN302" s="49" t="s">
        <v>142</v>
      </c>
      <c r="BO302" s="49" t="s">
        <v>338</v>
      </c>
    </row>
    <row r="303" ht="16.8" customHeight="1">
      <c r="A303" s="43" t="s">
        <v>25</v>
      </c>
      <c r="B303" s="49" t="n">
        <v>293</v>
      </c>
      <c r="C303" s="49" t="s">
        <v>103</v>
      </c>
      <c r="D303" s="49" t="s">
        <v>104</v>
      </c>
      <c r="E303" s="49" t="s">
        <v>899</v>
      </c>
      <c r="F303" s="49" t="s">
        <v>2285</v>
      </c>
      <c r="G303" s="49" t="s">
        <v>1330</v>
      </c>
      <c r="H303" s="49" t="s">
        <v>2286</v>
      </c>
      <c r="I303" s="49" t="s">
        <v>2287</v>
      </c>
      <c r="J303" s="49" t="s">
        <v>125</v>
      </c>
      <c r="K303" s="49" t="s">
        <v>206</v>
      </c>
      <c r="L303" s="49" t="s">
        <v>10</v>
      </c>
      <c r="M303" s="49" t="s">
        <v>1036</v>
      </c>
      <c r="N303" s="49" t="s">
        <v>1333</v>
      </c>
      <c r="O303" s="49" t="s">
        <v>125</v>
      </c>
      <c r="P303" s="49"/>
      <c r="Q303" s="49"/>
      <c r="R303" s="49" t="s">
        <v>2288</v>
      </c>
      <c r="S303" s="49" t="s">
        <v>10</v>
      </c>
      <c r="T303" s="49" t="s">
        <v>2289</v>
      </c>
      <c r="U303" s="49" t="s">
        <v>178</v>
      </c>
      <c r="V303" s="49" t="s">
        <v>2290</v>
      </c>
      <c r="W303" s="49" t="s">
        <v>117</v>
      </c>
      <c r="X303" s="49" t="s">
        <v>312</v>
      </c>
      <c r="Y303" s="49" t="s">
        <v>206</v>
      </c>
      <c r="Z303" s="49" t="s">
        <v>2291</v>
      </c>
      <c r="AA303" s="49" t="s">
        <v>1003</v>
      </c>
      <c r="AB303" s="49" t="s">
        <v>2292</v>
      </c>
      <c r="AC303" s="49" t="s">
        <v>2288</v>
      </c>
      <c r="AD303" s="49" t="n">
        <v>5439130</v>
      </c>
      <c r="AE303" s="49" t="s">
        <v>10</v>
      </c>
      <c r="AF303" s="49" t="s">
        <v>2293</v>
      </c>
      <c r="AG303" s="49" t="s">
        <v>10</v>
      </c>
      <c r="AH303" s="49" t="s">
        <v>2294</v>
      </c>
      <c r="AI303" s="49" t="s">
        <v>2299</v>
      </c>
      <c r="AJ303" s="49" t="s">
        <v>2300</v>
      </c>
      <c r="AK303" s="49" t="s">
        <v>124</v>
      </c>
      <c r="AL303" s="49" t="s">
        <v>125</v>
      </c>
      <c r="AM303" s="51" t="n">
        <v>18300</v>
      </c>
      <c r="AN303" s="49"/>
      <c r="AO303" s="49" t="s">
        <v>125</v>
      </c>
      <c r="AP303" s="49" t="s">
        <v>187</v>
      </c>
      <c r="AQ303" s="49" t="s">
        <v>128</v>
      </c>
      <c r="AR303" s="49"/>
      <c r="AS303" s="49" t="s">
        <v>2297</v>
      </c>
      <c r="AT303" s="49"/>
      <c r="AU303" s="49" t="s">
        <v>848</v>
      </c>
      <c r="AV303" s="49"/>
      <c r="AW303" s="49" t="s">
        <v>2298</v>
      </c>
      <c r="AX303" s="49"/>
      <c r="AY303" s="49"/>
      <c r="AZ303" s="49"/>
      <c r="BA303" s="49"/>
      <c r="BB303" s="49" t="n">
        <v>53152452</v>
      </c>
      <c r="BC303" s="49" t="s">
        <v>134</v>
      </c>
      <c r="BD303" s="49" t="s">
        <v>191</v>
      </c>
      <c r="BE303" s="49" t="s">
        <v>318</v>
      </c>
      <c r="BF303" s="49" t="s">
        <v>319</v>
      </c>
      <c r="BG303" s="49" t="s">
        <v>138</v>
      </c>
      <c r="BH303" s="49" t="s">
        <v>226</v>
      </c>
      <c r="BI303" s="49" t="s">
        <v>140</v>
      </c>
      <c r="BJ303" s="49" t="s">
        <v>125</v>
      </c>
      <c r="BK303" s="49"/>
      <c r="BL303" s="49"/>
      <c r="BM303" s="49"/>
      <c r="BN303" s="49" t="s">
        <v>142</v>
      </c>
      <c r="BO303" s="49" t="s">
        <v>338</v>
      </c>
    </row>
    <row r="304" ht="16.8" customHeight="1">
      <c r="A304" s="43" t="s">
        <v>25</v>
      </c>
      <c r="B304" s="49" t="n">
        <v>294</v>
      </c>
      <c r="C304" s="49" t="s">
        <v>103</v>
      </c>
      <c r="D304" s="49" t="s">
        <v>104</v>
      </c>
      <c r="E304" s="49" t="s">
        <v>2301</v>
      </c>
      <c r="F304" s="49" t="s">
        <v>2302</v>
      </c>
      <c r="G304" s="49" t="s">
        <v>1157</v>
      </c>
      <c r="H304" s="49" t="s">
        <v>2303</v>
      </c>
      <c r="I304" s="191" t="s">
        <v>2304</v>
      </c>
      <c r="J304" s="49" t="s">
        <v>125</v>
      </c>
      <c r="K304" s="49" t="s">
        <v>110</v>
      </c>
      <c r="L304" s="49" t="s">
        <v>14</v>
      </c>
      <c r="M304" s="49" t="s">
        <v>111</v>
      </c>
      <c r="N304" s="49" t="s">
        <v>554</v>
      </c>
      <c r="O304" s="49" t="s">
        <v>2305</v>
      </c>
      <c r="P304" s="49"/>
      <c r="Q304" s="49"/>
      <c r="R304" s="49" t="s">
        <v>2301</v>
      </c>
      <c r="S304" s="49" t="s">
        <v>14</v>
      </c>
      <c r="T304" s="49" t="s">
        <v>2306</v>
      </c>
      <c r="U304" s="49" t="s">
        <v>178</v>
      </c>
      <c r="V304" s="49" t="s">
        <v>2307</v>
      </c>
      <c r="W304" s="49" t="s">
        <v>117</v>
      </c>
      <c r="X304" s="49" t="s">
        <v>391</v>
      </c>
      <c r="Y304" s="49" t="s">
        <v>110</v>
      </c>
      <c r="Z304" s="49" t="s">
        <v>2243</v>
      </c>
      <c r="AA304" s="49" t="s">
        <v>216</v>
      </c>
      <c r="AB304" s="49" t="s">
        <v>217</v>
      </c>
      <c r="AC304" s="49" t="s">
        <v>2301</v>
      </c>
      <c r="AD304" s="49" t="n">
        <v>5408986</v>
      </c>
      <c r="AE304" s="49" t="s">
        <v>14</v>
      </c>
      <c r="AF304" s="49" t="s">
        <v>2308</v>
      </c>
      <c r="AG304" s="49" t="s">
        <v>14</v>
      </c>
      <c r="AH304" s="49" t="s">
        <v>2309</v>
      </c>
      <c r="AI304" s="49" t="s">
        <v>2310</v>
      </c>
      <c r="AJ304" s="49" t="s">
        <v>2311</v>
      </c>
      <c r="AK304" s="49" t="s">
        <v>124</v>
      </c>
      <c r="AL304" s="49" t="s">
        <v>125</v>
      </c>
      <c r="AM304" s="51" t="n">
        <v>1800</v>
      </c>
      <c r="AN304" s="49"/>
      <c r="AO304" s="49" t="s">
        <v>2305</v>
      </c>
      <c r="AP304" s="49" t="s">
        <v>187</v>
      </c>
      <c r="AQ304" s="49" t="s">
        <v>128</v>
      </c>
      <c r="AR304" s="49"/>
      <c r="AS304" s="49" t="s">
        <v>2312</v>
      </c>
      <c r="AT304" s="49"/>
      <c r="AU304" s="49" t="s">
        <v>848</v>
      </c>
      <c r="AV304" s="49"/>
      <c r="AW304" s="49" t="s">
        <v>2313</v>
      </c>
      <c r="AX304" s="49"/>
      <c r="AY304" s="49"/>
      <c r="AZ304" s="49"/>
      <c r="BA304" s="49"/>
      <c r="BB304" s="49" t="n">
        <v>81014598</v>
      </c>
      <c r="BC304" s="49" t="s">
        <v>134</v>
      </c>
      <c r="BD304" s="49" t="s">
        <v>191</v>
      </c>
      <c r="BE304" s="49" t="s">
        <v>401</v>
      </c>
      <c r="BF304" s="49" t="s">
        <v>225</v>
      </c>
      <c r="BG304" s="49" t="s">
        <v>138</v>
      </c>
      <c r="BH304" s="49" t="s">
        <v>918</v>
      </c>
      <c r="BI304" s="49" t="s">
        <v>140</v>
      </c>
      <c r="BJ304" s="49" t="s">
        <v>125</v>
      </c>
      <c r="BK304" s="49"/>
      <c r="BL304" s="49"/>
      <c r="BM304" s="49"/>
      <c r="BN304" s="49" t="s">
        <v>959</v>
      </c>
      <c r="BO304" s="49" t="s">
        <v>196</v>
      </c>
    </row>
    <row r="305" ht="16.8" customHeight="1">
      <c r="A305" s="43" t="s">
        <v>25</v>
      </c>
      <c r="B305" s="49" t="n">
        <v>295</v>
      </c>
      <c r="C305" s="49" t="s">
        <v>103</v>
      </c>
      <c r="D305" s="49" t="s">
        <v>104</v>
      </c>
      <c r="E305" s="49" t="s">
        <v>383</v>
      </c>
      <c r="F305" s="49" t="s">
        <v>2314</v>
      </c>
      <c r="G305" s="49" t="s">
        <v>385</v>
      </c>
      <c r="H305" s="49" t="s">
        <v>2315</v>
      </c>
      <c r="I305" s="49" t="s">
        <v>2316</v>
      </c>
      <c r="J305" s="49"/>
      <c r="K305" s="49" t="s">
        <v>174</v>
      </c>
      <c r="L305" s="49" t="s">
        <v>14</v>
      </c>
      <c r="M305" s="49" t="s">
        <v>111</v>
      </c>
      <c r="N305" s="49" t="s">
        <v>112</v>
      </c>
      <c r="O305" s="49" t="s">
        <v>388</v>
      </c>
      <c r="P305" s="49"/>
      <c r="Q305" s="49"/>
      <c r="R305" s="49" t="s">
        <v>383</v>
      </c>
      <c r="S305" s="49" t="s">
        <v>14</v>
      </c>
      <c r="T305" s="49" t="s">
        <v>2317</v>
      </c>
      <c r="U305" s="49" t="s">
        <v>115</v>
      </c>
      <c r="V305" s="49" t="s">
        <v>2318</v>
      </c>
      <c r="W305" s="49" t="s">
        <v>117</v>
      </c>
      <c r="X305" s="49" t="s">
        <v>2319</v>
      </c>
      <c r="Y305" s="49" t="s">
        <v>214</v>
      </c>
      <c r="Z305" s="49" t="s">
        <v>392</v>
      </c>
      <c r="AA305" s="49" t="s">
        <v>298</v>
      </c>
      <c r="AB305" s="49" t="s">
        <v>393</v>
      </c>
      <c r="AC305" s="49" t="s">
        <v>383</v>
      </c>
      <c r="AD305" s="49" t="n">
        <v>5466927</v>
      </c>
      <c r="AE305" s="49" t="s">
        <v>14</v>
      </c>
      <c r="AF305" s="49" t="s">
        <v>2320</v>
      </c>
      <c r="AG305" s="49" t="s">
        <v>14</v>
      </c>
      <c r="AH305" s="49" t="s">
        <v>2321</v>
      </c>
      <c r="AI305" s="49" t="s">
        <v>2322</v>
      </c>
      <c r="AJ305" s="49" t="s">
        <v>2323</v>
      </c>
      <c r="AK305" s="49" t="s">
        <v>124</v>
      </c>
      <c r="AL305" s="49" t="s">
        <v>125</v>
      </c>
      <c r="AM305" s="51" t="n">
        <v>0</v>
      </c>
      <c r="AN305" s="49"/>
      <c r="AO305" s="49" t="s">
        <v>385</v>
      </c>
      <c r="AP305" s="49" t="s">
        <v>127</v>
      </c>
      <c r="AQ305" s="49" t="s">
        <v>128</v>
      </c>
      <c r="AR305" s="49" t="s">
        <v>1091</v>
      </c>
      <c r="AS305" s="49" t="s">
        <v>398</v>
      </c>
      <c r="AT305" s="49" t="s">
        <v>2324</v>
      </c>
      <c r="AU305" s="49" t="s">
        <v>2325</v>
      </c>
      <c r="AV305" s="49"/>
      <c r="AW305" s="49" t="s">
        <v>2326</v>
      </c>
      <c r="AX305" s="49"/>
      <c r="AY305" s="49"/>
      <c r="AZ305" s="49"/>
      <c r="BA305" s="49"/>
      <c r="BB305" s="49" t="n">
        <v>33569231</v>
      </c>
      <c r="BC305" s="49" t="s">
        <v>134</v>
      </c>
      <c r="BD305" s="49" t="s">
        <v>191</v>
      </c>
      <c r="BE305" s="49" t="s">
        <v>2265</v>
      </c>
      <c r="BF305" s="49" t="s">
        <v>2327</v>
      </c>
      <c r="BG305" s="49"/>
      <c r="BH305" s="49" t="s">
        <v>194</v>
      </c>
      <c r="BI305" s="49" t="s">
        <v>140</v>
      </c>
      <c r="BJ305" s="49" t="s">
        <v>125</v>
      </c>
      <c r="BK305" s="49"/>
      <c r="BL305" s="49" t="s">
        <v>141</v>
      </c>
      <c r="BM305" s="49"/>
      <c r="BN305" s="49"/>
      <c r="BO305" s="49" t="s">
        <v>112</v>
      </c>
    </row>
    <row r="306" ht="16.8" customHeight="1">
      <c r="A306" s="43" t="s">
        <v>25</v>
      </c>
      <c r="B306" s="49" t="n">
        <v>296</v>
      </c>
      <c r="C306" s="49" t="s">
        <v>103</v>
      </c>
      <c r="D306" s="49" t="s">
        <v>104</v>
      </c>
      <c r="E306" s="49" t="s">
        <v>383</v>
      </c>
      <c r="F306" s="49" t="s">
        <v>2314</v>
      </c>
      <c r="G306" s="49" t="s">
        <v>385</v>
      </c>
      <c r="H306" s="49" t="s">
        <v>2315</v>
      </c>
      <c r="I306" s="49" t="s">
        <v>2316</v>
      </c>
      <c r="J306" s="49"/>
      <c r="K306" s="49" t="s">
        <v>174</v>
      </c>
      <c r="L306" s="49" t="s">
        <v>14</v>
      </c>
      <c r="M306" s="49" t="s">
        <v>111</v>
      </c>
      <c r="N306" s="49" t="s">
        <v>112</v>
      </c>
      <c r="O306" s="49" t="s">
        <v>388</v>
      </c>
      <c r="P306" s="49"/>
      <c r="Q306" s="49"/>
      <c r="R306" s="49" t="s">
        <v>383</v>
      </c>
      <c r="S306" s="49" t="s">
        <v>14</v>
      </c>
      <c r="T306" s="49" t="s">
        <v>2317</v>
      </c>
      <c r="U306" s="49" t="s">
        <v>115</v>
      </c>
      <c r="V306" s="49" t="s">
        <v>2318</v>
      </c>
      <c r="W306" s="49" t="s">
        <v>117</v>
      </c>
      <c r="X306" s="49" t="s">
        <v>2319</v>
      </c>
      <c r="Y306" s="49" t="s">
        <v>214</v>
      </c>
      <c r="Z306" s="49" t="s">
        <v>392</v>
      </c>
      <c r="AA306" s="49" t="s">
        <v>298</v>
      </c>
      <c r="AB306" s="49" t="s">
        <v>393</v>
      </c>
      <c r="AC306" s="49" t="s">
        <v>383</v>
      </c>
      <c r="AD306" s="49" t="n">
        <v>5466927</v>
      </c>
      <c r="AE306" s="49" t="s">
        <v>14</v>
      </c>
      <c r="AF306" s="49" t="s">
        <v>2320</v>
      </c>
      <c r="AG306" s="49" t="s">
        <v>14</v>
      </c>
      <c r="AH306" s="49" t="s">
        <v>2321</v>
      </c>
      <c r="AI306" s="49" t="s">
        <v>2328</v>
      </c>
      <c r="AJ306" s="49" t="s">
        <v>2329</v>
      </c>
      <c r="AK306" s="49" t="s">
        <v>124</v>
      </c>
      <c r="AL306" s="49" t="s">
        <v>125</v>
      </c>
      <c r="AM306" s="51" t="n">
        <v>13800</v>
      </c>
      <c r="AN306" s="49"/>
      <c r="AO306" s="49" t="s">
        <v>385</v>
      </c>
      <c r="AP306" s="49" t="s">
        <v>127</v>
      </c>
      <c r="AQ306" s="49" t="s">
        <v>128</v>
      </c>
      <c r="AR306" s="49" t="s">
        <v>1091</v>
      </c>
      <c r="AS306" s="49" t="s">
        <v>398</v>
      </c>
      <c r="AT306" s="49" t="s">
        <v>2330</v>
      </c>
      <c r="AU306" s="49" t="s">
        <v>2325</v>
      </c>
      <c r="AV306" s="49"/>
      <c r="AW306" s="49" t="s">
        <v>2326</v>
      </c>
      <c r="AX306" s="49"/>
      <c r="AY306" s="49"/>
      <c r="AZ306" s="49"/>
      <c r="BA306" s="49"/>
      <c r="BB306" s="49" t="n">
        <v>33569231</v>
      </c>
      <c r="BC306" s="49" t="s">
        <v>134</v>
      </c>
      <c r="BD306" s="49" t="s">
        <v>191</v>
      </c>
      <c r="BE306" s="49" t="s">
        <v>2265</v>
      </c>
      <c r="BF306" s="49" t="s">
        <v>2327</v>
      </c>
      <c r="BG306" s="49"/>
      <c r="BH306" s="49" t="s">
        <v>194</v>
      </c>
      <c r="BI306" s="49" t="s">
        <v>140</v>
      </c>
      <c r="BJ306" s="49" t="s">
        <v>125</v>
      </c>
      <c r="BK306" s="49"/>
      <c r="BL306" s="49" t="s">
        <v>141</v>
      </c>
      <c r="BM306" s="49"/>
      <c r="BN306" s="49"/>
      <c r="BO306" s="49" t="s">
        <v>112</v>
      </c>
    </row>
    <row r="307" ht="16.8" customHeight="1">
      <c r="A307" s="43" t="s">
        <v>25</v>
      </c>
      <c r="B307" s="49" t="n">
        <v>297</v>
      </c>
      <c r="C307" s="49" t="s">
        <v>103</v>
      </c>
      <c r="D307" s="49" t="s">
        <v>104</v>
      </c>
      <c r="E307" s="49" t="s">
        <v>383</v>
      </c>
      <c r="F307" s="49" t="s">
        <v>2314</v>
      </c>
      <c r="G307" s="49" t="s">
        <v>385</v>
      </c>
      <c r="H307" s="49" t="s">
        <v>2315</v>
      </c>
      <c r="I307" s="49" t="s">
        <v>2316</v>
      </c>
      <c r="J307" s="49"/>
      <c r="K307" s="49" t="s">
        <v>174</v>
      </c>
      <c r="L307" s="49" t="s">
        <v>14</v>
      </c>
      <c r="M307" s="49" t="s">
        <v>111</v>
      </c>
      <c r="N307" s="49" t="s">
        <v>112</v>
      </c>
      <c r="O307" s="49" t="s">
        <v>388</v>
      </c>
      <c r="P307" s="49"/>
      <c r="Q307" s="49"/>
      <c r="R307" s="49" t="s">
        <v>383</v>
      </c>
      <c r="S307" s="49" t="s">
        <v>14</v>
      </c>
      <c r="T307" s="49" t="s">
        <v>2317</v>
      </c>
      <c r="U307" s="49" t="s">
        <v>115</v>
      </c>
      <c r="V307" s="49" t="s">
        <v>2318</v>
      </c>
      <c r="W307" s="49" t="s">
        <v>117</v>
      </c>
      <c r="X307" s="49" t="s">
        <v>2319</v>
      </c>
      <c r="Y307" s="49" t="s">
        <v>214</v>
      </c>
      <c r="Z307" s="49" t="s">
        <v>392</v>
      </c>
      <c r="AA307" s="49" t="s">
        <v>298</v>
      </c>
      <c r="AB307" s="49" t="s">
        <v>393</v>
      </c>
      <c r="AC307" s="49" t="s">
        <v>383</v>
      </c>
      <c r="AD307" s="49" t="n">
        <v>5466927</v>
      </c>
      <c r="AE307" s="49" t="s">
        <v>14</v>
      </c>
      <c r="AF307" s="49" t="s">
        <v>2320</v>
      </c>
      <c r="AG307" s="49" t="s">
        <v>14</v>
      </c>
      <c r="AH307" s="49" t="s">
        <v>2321</v>
      </c>
      <c r="AI307" s="49" t="s">
        <v>2331</v>
      </c>
      <c r="AJ307" s="49" t="s">
        <v>2332</v>
      </c>
      <c r="AK307" s="49" t="s">
        <v>124</v>
      </c>
      <c r="AL307" s="49" t="s">
        <v>125</v>
      </c>
      <c r="AM307" s="51" t="n">
        <v>2000</v>
      </c>
      <c r="AN307" s="49"/>
      <c r="AO307" s="49" t="s">
        <v>385</v>
      </c>
      <c r="AP307" s="49" t="s">
        <v>127</v>
      </c>
      <c r="AQ307" s="49" t="s">
        <v>128</v>
      </c>
      <c r="AR307" s="49" t="s">
        <v>1091</v>
      </c>
      <c r="AS307" s="49" t="s">
        <v>398</v>
      </c>
      <c r="AT307" s="49" t="s">
        <v>2333</v>
      </c>
      <c r="AU307" s="49" t="s">
        <v>2325</v>
      </c>
      <c r="AV307" s="49"/>
      <c r="AW307" s="49" t="s">
        <v>2326</v>
      </c>
      <c r="AX307" s="49"/>
      <c r="AY307" s="49"/>
      <c r="AZ307" s="49"/>
      <c r="BA307" s="49"/>
      <c r="BB307" s="49" t="n">
        <v>33569231</v>
      </c>
      <c r="BC307" s="49" t="s">
        <v>134</v>
      </c>
      <c r="BD307" s="49" t="s">
        <v>191</v>
      </c>
      <c r="BE307" s="49" t="s">
        <v>2265</v>
      </c>
      <c r="BF307" s="49" t="s">
        <v>2327</v>
      </c>
      <c r="BG307" s="49"/>
      <c r="BH307" s="49" t="s">
        <v>194</v>
      </c>
      <c r="BI307" s="49" t="s">
        <v>140</v>
      </c>
      <c r="BJ307" s="49" t="s">
        <v>125</v>
      </c>
      <c r="BK307" s="49"/>
      <c r="BL307" s="49" t="s">
        <v>141</v>
      </c>
      <c r="BM307" s="49"/>
      <c r="BN307" s="49"/>
      <c r="BO307" s="49" t="s">
        <v>112</v>
      </c>
    </row>
    <row r="308" ht="16.8" customHeight="1">
      <c r="A308" s="43" t="s">
        <v>25</v>
      </c>
      <c r="B308" s="49" t="n">
        <v>298</v>
      </c>
      <c r="C308" s="49" t="s">
        <v>103</v>
      </c>
      <c r="D308" s="49" t="s">
        <v>104</v>
      </c>
      <c r="E308" s="49" t="s">
        <v>383</v>
      </c>
      <c r="F308" s="49" t="s">
        <v>2314</v>
      </c>
      <c r="G308" s="49" t="s">
        <v>385</v>
      </c>
      <c r="H308" s="49" t="s">
        <v>2315</v>
      </c>
      <c r="I308" s="49" t="s">
        <v>2316</v>
      </c>
      <c r="J308" s="49"/>
      <c r="K308" s="49" t="s">
        <v>174</v>
      </c>
      <c r="L308" s="49" t="s">
        <v>14</v>
      </c>
      <c r="M308" s="49" t="s">
        <v>111</v>
      </c>
      <c r="N308" s="49" t="s">
        <v>112</v>
      </c>
      <c r="O308" s="49" t="s">
        <v>388</v>
      </c>
      <c r="P308" s="49"/>
      <c r="Q308" s="49"/>
      <c r="R308" s="49" t="s">
        <v>383</v>
      </c>
      <c r="S308" s="49" t="s">
        <v>14</v>
      </c>
      <c r="T308" s="49" t="s">
        <v>2317</v>
      </c>
      <c r="U308" s="49" t="s">
        <v>115</v>
      </c>
      <c r="V308" s="49" t="s">
        <v>2318</v>
      </c>
      <c r="W308" s="49" t="s">
        <v>117</v>
      </c>
      <c r="X308" s="49" t="s">
        <v>2319</v>
      </c>
      <c r="Y308" s="49" t="s">
        <v>214</v>
      </c>
      <c r="Z308" s="49" t="s">
        <v>392</v>
      </c>
      <c r="AA308" s="49" t="s">
        <v>298</v>
      </c>
      <c r="AB308" s="49" t="s">
        <v>393</v>
      </c>
      <c r="AC308" s="49" t="s">
        <v>383</v>
      </c>
      <c r="AD308" s="49" t="n">
        <v>5466927</v>
      </c>
      <c r="AE308" s="49" t="s">
        <v>14</v>
      </c>
      <c r="AF308" s="49" t="s">
        <v>2320</v>
      </c>
      <c r="AG308" s="49" t="s">
        <v>14</v>
      </c>
      <c r="AH308" s="49" t="s">
        <v>2321</v>
      </c>
      <c r="AI308" s="49" t="s">
        <v>2334</v>
      </c>
      <c r="AJ308" s="49" t="s">
        <v>2335</v>
      </c>
      <c r="AK308" s="49" t="s">
        <v>124</v>
      </c>
      <c r="AL308" s="49" t="s">
        <v>125</v>
      </c>
      <c r="AM308" s="51" t="n">
        <v>13800</v>
      </c>
      <c r="AN308" s="49"/>
      <c r="AO308" s="49" t="s">
        <v>385</v>
      </c>
      <c r="AP308" s="49" t="s">
        <v>127</v>
      </c>
      <c r="AQ308" s="49" t="s">
        <v>128</v>
      </c>
      <c r="AR308" s="49" t="s">
        <v>1091</v>
      </c>
      <c r="AS308" s="49" t="s">
        <v>398</v>
      </c>
      <c r="AT308" s="49" t="s">
        <v>2336</v>
      </c>
      <c r="AU308" s="49" t="s">
        <v>2325</v>
      </c>
      <c r="AV308" s="49"/>
      <c r="AW308" s="49" t="s">
        <v>2326</v>
      </c>
      <c r="AX308" s="49"/>
      <c r="AY308" s="49"/>
      <c r="AZ308" s="49"/>
      <c r="BA308" s="49"/>
      <c r="BB308" s="49" t="n">
        <v>33569231</v>
      </c>
      <c r="BC308" s="49" t="s">
        <v>134</v>
      </c>
      <c r="BD308" s="49" t="s">
        <v>191</v>
      </c>
      <c r="BE308" s="49" t="s">
        <v>2265</v>
      </c>
      <c r="BF308" s="49" t="s">
        <v>2327</v>
      </c>
      <c r="BG308" s="49"/>
      <c r="BH308" s="49" t="s">
        <v>194</v>
      </c>
      <c r="BI308" s="49" t="s">
        <v>140</v>
      </c>
      <c r="BJ308" s="49" t="s">
        <v>125</v>
      </c>
      <c r="BK308" s="49"/>
      <c r="BL308" s="49" t="s">
        <v>141</v>
      </c>
      <c r="BM308" s="49"/>
      <c r="BN308" s="49"/>
      <c r="BO308" s="49" t="s">
        <v>112</v>
      </c>
    </row>
    <row r="309" ht="16.8" customHeight="1">
      <c r="A309" s="43" t="s">
        <v>25</v>
      </c>
      <c r="B309" s="49" t="n">
        <v>299</v>
      </c>
      <c r="C309" s="49" t="s">
        <v>103</v>
      </c>
      <c r="D309" s="49" t="s">
        <v>104</v>
      </c>
      <c r="E309" s="49" t="s">
        <v>320</v>
      </c>
      <c r="F309" s="49" t="s">
        <v>2337</v>
      </c>
      <c r="G309" s="49" t="s">
        <v>1330</v>
      </c>
      <c r="H309" s="49" t="s">
        <v>2338</v>
      </c>
      <c r="I309" s="192" t="s">
        <v>2339</v>
      </c>
      <c r="J309" s="49"/>
      <c r="K309" s="49" t="s">
        <v>250</v>
      </c>
      <c r="L309" s="49" t="s">
        <v>14</v>
      </c>
      <c r="M309" s="49" t="s">
        <v>1036</v>
      </c>
      <c r="N309" s="49" t="s">
        <v>2041</v>
      </c>
      <c r="O309" s="49"/>
      <c r="P309" s="49"/>
      <c r="Q309" s="49"/>
      <c r="R309" s="49" t="s">
        <v>2340</v>
      </c>
      <c r="S309" s="49" t="s">
        <v>14</v>
      </c>
      <c r="T309" s="49" t="s">
        <v>2341</v>
      </c>
      <c r="U309" s="49" t="s">
        <v>178</v>
      </c>
      <c r="V309" s="49" t="s">
        <v>2342</v>
      </c>
      <c r="W309" s="49" t="s">
        <v>117</v>
      </c>
      <c r="X309" s="49" t="s">
        <v>391</v>
      </c>
      <c r="Y309" s="49" t="s">
        <v>206</v>
      </c>
      <c r="Z309" s="49" t="s">
        <v>1481</v>
      </c>
      <c r="AA309" s="49" t="s">
        <v>613</v>
      </c>
      <c r="AB309" s="49" t="s">
        <v>614</v>
      </c>
      <c r="AC309" s="49" t="s">
        <v>2340</v>
      </c>
      <c r="AD309" s="49" t="n">
        <v>5466613</v>
      </c>
      <c r="AE309" s="49" t="s">
        <v>14</v>
      </c>
      <c r="AF309" s="49" t="s">
        <v>2343</v>
      </c>
      <c r="AG309" s="49" t="s">
        <v>14</v>
      </c>
      <c r="AH309" s="49" t="s">
        <v>2344</v>
      </c>
      <c r="AI309" s="49" t="s">
        <v>2345</v>
      </c>
      <c r="AJ309" s="49" t="s">
        <v>397</v>
      </c>
      <c r="AK309" s="49" t="s">
        <v>124</v>
      </c>
      <c r="AL309" s="49" t="s">
        <v>125</v>
      </c>
      <c r="AM309" s="51" t="n">
        <v>64600</v>
      </c>
      <c r="AN309" s="49"/>
      <c r="AO309" s="49" t="s">
        <v>125</v>
      </c>
      <c r="AP309" s="49" t="s">
        <v>187</v>
      </c>
      <c r="AQ309" s="49" t="s">
        <v>128</v>
      </c>
      <c r="AR309" s="49"/>
      <c r="AS309" s="49" t="s">
        <v>2346</v>
      </c>
      <c r="AT309" s="49"/>
      <c r="AU309" s="49" t="s">
        <v>2325</v>
      </c>
      <c r="AV309" s="49"/>
      <c r="AW309" s="49" t="s">
        <v>2347</v>
      </c>
      <c r="AX309" s="49"/>
      <c r="AY309" s="49"/>
      <c r="AZ309" s="49"/>
      <c r="BA309" s="49"/>
      <c r="BB309" s="49" t="n">
        <v>77366526</v>
      </c>
      <c r="BC309" s="49" t="s">
        <v>134</v>
      </c>
      <c r="BD309" s="49" t="s">
        <v>191</v>
      </c>
      <c r="BE309" s="49" t="s">
        <v>401</v>
      </c>
      <c r="BF309" s="49" t="s">
        <v>193</v>
      </c>
      <c r="BG309" s="49" t="s">
        <v>267</v>
      </c>
      <c r="BH309" s="49" t="s">
        <v>226</v>
      </c>
      <c r="BI309" s="49" t="s">
        <v>140</v>
      </c>
      <c r="BJ309" s="49" t="s">
        <v>125</v>
      </c>
      <c r="BK309" s="49"/>
      <c r="BL309" s="49"/>
      <c r="BM309" s="49"/>
      <c r="BN309" s="49" t="s">
        <v>142</v>
      </c>
      <c r="BO309" s="49" t="s">
        <v>196</v>
      </c>
    </row>
    <row r="310" ht="16.8" customHeight="1">
      <c r="A310" s="43" t="s">
        <v>25</v>
      </c>
      <c r="B310" s="49" t="n">
        <v>300</v>
      </c>
      <c r="C310" s="49" t="s">
        <v>103</v>
      </c>
      <c r="D310" s="49" t="s">
        <v>104</v>
      </c>
      <c r="E310" s="49" t="s">
        <v>250</v>
      </c>
      <c r="F310" s="49" t="s">
        <v>2348</v>
      </c>
      <c r="G310" s="49" t="s">
        <v>252</v>
      </c>
      <c r="H310" s="49" t="s">
        <v>2349</v>
      </c>
      <c r="I310" s="49" t="s">
        <v>254</v>
      </c>
      <c r="J310" s="49" t="s">
        <v>125</v>
      </c>
      <c r="K310" s="49" t="s">
        <v>1430</v>
      </c>
      <c r="L310" s="49" t="s">
        <v>14</v>
      </c>
      <c r="M310" s="49" t="s">
        <v>255</v>
      </c>
      <c r="N310" s="49" t="s">
        <v>255</v>
      </c>
      <c r="O310" s="49" t="s">
        <v>125</v>
      </c>
      <c r="P310" s="49"/>
      <c r="Q310" s="49"/>
      <c r="R310" s="49" t="s">
        <v>2350</v>
      </c>
      <c r="S310" s="49" t="s">
        <v>14</v>
      </c>
      <c r="T310" s="49" t="s">
        <v>2351</v>
      </c>
      <c r="U310" s="49" t="s">
        <v>115</v>
      </c>
      <c r="V310" s="49" t="s">
        <v>2352</v>
      </c>
      <c r="W310" s="49" t="s">
        <v>117</v>
      </c>
      <c r="X310" s="49" t="s">
        <v>647</v>
      </c>
      <c r="Y310" s="49" t="s">
        <v>1430</v>
      </c>
      <c r="Z310" s="49" t="s">
        <v>259</v>
      </c>
      <c r="AA310" s="49" t="s">
        <v>749</v>
      </c>
      <c r="AB310" s="49" t="s">
        <v>2353</v>
      </c>
      <c r="AC310" s="49" t="s">
        <v>2350</v>
      </c>
      <c r="AD310" s="49" t="n">
        <v>5438879</v>
      </c>
      <c r="AE310" s="49" t="s">
        <v>14</v>
      </c>
      <c r="AF310" s="49" t="s">
        <v>2354</v>
      </c>
      <c r="AG310" s="49" t="s">
        <v>14</v>
      </c>
      <c r="AH310" s="49" t="s">
        <v>2355</v>
      </c>
      <c r="AI310" s="49" t="s">
        <v>1341</v>
      </c>
      <c r="AJ310" s="49" t="s">
        <v>1342</v>
      </c>
      <c r="AK310" s="49" t="s">
        <v>124</v>
      </c>
      <c r="AL310" s="49" t="s">
        <v>125</v>
      </c>
      <c r="AM310" s="51" t="n">
        <v>15800</v>
      </c>
      <c r="AN310" s="49" t="s">
        <v>126</v>
      </c>
      <c r="AO310" s="49" t="s">
        <v>125</v>
      </c>
      <c r="AP310" s="49" t="s">
        <v>127</v>
      </c>
      <c r="AQ310" s="49" t="s">
        <v>128</v>
      </c>
      <c r="AR310" s="49" t="s">
        <v>1062</v>
      </c>
      <c r="AS310" s="49" t="s">
        <v>2356</v>
      </c>
      <c r="AT310" s="49" t="s">
        <v>2357</v>
      </c>
      <c r="AU310" s="49" t="s">
        <v>2325</v>
      </c>
      <c r="AV310" s="49"/>
      <c r="AW310" s="49" t="s">
        <v>2358</v>
      </c>
      <c r="AX310" s="49"/>
      <c r="AY310" s="49"/>
      <c r="AZ310" s="49"/>
      <c r="BA310" s="49"/>
      <c r="BB310" s="49" t="n">
        <v>44783600</v>
      </c>
      <c r="BC310" s="49" t="s">
        <v>134</v>
      </c>
      <c r="BD310" s="49" t="s">
        <v>655</v>
      </c>
      <c r="BE310" s="49" t="s">
        <v>656</v>
      </c>
      <c r="BF310" s="49" t="s">
        <v>125</v>
      </c>
      <c r="BG310" s="49"/>
      <c r="BH310" s="49" t="s">
        <v>194</v>
      </c>
      <c r="BI310" s="49" t="s">
        <v>140</v>
      </c>
      <c r="BJ310" s="49" t="s">
        <v>125</v>
      </c>
      <c r="BK310" s="49"/>
      <c r="BL310" s="49" t="s">
        <v>141</v>
      </c>
      <c r="BM310" s="49"/>
      <c r="BN310" s="49" t="s">
        <v>142</v>
      </c>
      <c r="BO310" s="49" t="s">
        <v>196</v>
      </c>
    </row>
    <row r="311" ht="16.8" customHeight="1">
      <c r="A311" s="43" t="s">
        <v>25</v>
      </c>
      <c r="B311" s="49" t="n">
        <v>301</v>
      </c>
      <c r="C311" s="49" t="s">
        <v>103</v>
      </c>
      <c r="D311" s="49" t="s">
        <v>104</v>
      </c>
      <c r="E311" s="49" t="s">
        <v>2359</v>
      </c>
      <c r="F311" s="49" t="s">
        <v>2360</v>
      </c>
      <c r="G311" s="49" t="s">
        <v>385</v>
      </c>
      <c r="H311" s="49" t="s">
        <v>2361</v>
      </c>
      <c r="I311" s="49" t="s">
        <v>2362</v>
      </c>
      <c r="J311" s="49"/>
      <c r="K311" s="49" t="s">
        <v>174</v>
      </c>
      <c r="L311" s="49" t="s">
        <v>10</v>
      </c>
      <c r="M311" s="49" t="s">
        <v>111</v>
      </c>
      <c r="N311" s="49" t="s">
        <v>112</v>
      </c>
      <c r="O311" s="49" t="s">
        <v>388</v>
      </c>
      <c r="P311" s="49"/>
      <c r="Q311" s="49"/>
      <c r="R311" s="49" t="s">
        <v>2359</v>
      </c>
      <c r="S311" s="49" t="s">
        <v>10</v>
      </c>
      <c r="T311" s="49" t="s">
        <v>2363</v>
      </c>
      <c r="U311" s="49" t="s">
        <v>115</v>
      </c>
      <c r="V311" s="49" t="s">
        <v>2364</v>
      </c>
      <c r="W311" s="49" t="s">
        <v>117</v>
      </c>
      <c r="X311" s="49" t="s">
        <v>118</v>
      </c>
      <c r="Y311" s="49" t="s">
        <v>214</v>
      </c>
      <c r="Z311" s="49" t="s">
        <v>455</v>
      </c>
      <c r="AA311" s="49" t="s">
        <v>2365</v>
      </c>
      <c r="AB311" s="49" t="s">
        <v>2366</v>
      </c>
      <c r="AC311" s="49" t="s">
        <v>2359</v>
      </c>
      <c r="AD311" s="49" t="n">
        <v>5438356</v>
      </c>
      <c r="AE311" s="49" t="s">
        <v>10</v>
      </c>
      <c r="AF311" s="49" t="s">
        <v>2367</v>
      </c>
      <c r="AG311" s="49" t="s">
        <v>10</v>
      </c>
      <c r="AH311" s="49" t="s">
        <v>2367</v>
      </c>
      <c r="AI311" s="49" t="s">
        <v>1604</v>
      </c>
      <c r="AJ311" s="49" t="s">
        <v>1605</v>
      </c>
      <c r="AK311" s="49" t="s">
        <v>124</v>
      </c>
      <c r="AL311" s="49" t="s">
        <v>125</v>
      </c>
      <c r="AM311" s="51" t="n">
        <v>6660.6</v>
      </c>
      <c r="AN311" s="49" t="s">
        <v>1652</v>
      </c>
      <c r="AO311" s="49" t="s">
        <v>385</v>
      </c>
      <c r="AP311" s="49" t="s">
        <v>127</v>
      </c>
      <c r="AQ311" s="49" t="s">
        <v>128</v>
      </c>
      <c r="AR311" s="49" t="s">
        <v>280</v>
      </c>
      <c r="AS311" s="49" t="s">
        <v>2368</v>
      </c>
      <c r="AT311" s="49" t="s">
        <v>2369</v>
      </c>
      <c r="AU311" s="49" t="s">
        <v>2325</v>
      </c>
      <c r="AV311" s="49"/>
      <c r="AW311" s="49" t="s">
        <v>2370</v>
      </c>
      <c r="AX311" s="49"/>
      <c r="AY311" s="49"/>
      <c r="AZ311" s="49"/>
      <c r="BA311" s="49"/>
      <c r="BB311" s="49" t="n">
        <v>62313690</v>
      </c>
      <c r="BC311" s="49" t="s">
        <v>134</v>
      </c>
      <c r="BD311" s="49" t="s">
        <v>191</v>
      </c>
      <c r="BE311" s="49" t="s">
        <v>2371</v>
      </c>
      <c r="BF311" s="49" t="s">
        <v>137</v>
      </c>
      <c r="BG311" s="49"/>
      <c r="BH311" s="49" t="s">
        <v>139</v>
      </c>
      <c r="BI311" s="49" t="s">
        <v>140</v>
      </c>
      <c r="BJ311" s="49" t="s">
        <v>125</v>
      </c>
      <c r="BK311" s="49"/>
      <c r="BL311" s="49" t="s">
        <v>141</v>
      </c>
      <c r="BM311" s="49"/>
      <c r="BN311" s="49"/>
      <c r="BO311" s="49" t="s">
        <v>112</v>
      </c>
    </row>
    <row r="312" ht="16.8" customHeight="1">
      <c r="A312" s="43" t="s">
        <v>25</v>
      </c>
      <c r="B312" s="49" t="n">
        <v>302</v>
      </c>
      <c r="C312" s="49" t="s">
        <v>103</v>
      </c>
      <c r="D312" s="49" t="s">
        <v>104</v>
      </c>
      <c r="E312" s="49" t="s">
        <v>2359</v>
      </c>
      <c r="F312" s="49" t="s">
        <v>2360</v>
      </c>
      <c r="G312" s="49" t="s">
        <v>385</v>
      </c>
      <c r="H312" s="49" t="s">
        <v>2361</v>
      </c>
      <c r="I312" s="49" t="s">
        <v>2362</v>
      </c>
      <c r="J312" s="49"/>
      <c r="K312" s="49" t="s">
        <v>174</v>
      </c>
      <c r="L312" s="49" t="s">
        <v>10</v>
      </c>
      <c r="M312" s="49" t="s">
        <v>111</v>
      </c>
      <c r="N312" s="49" t="s">
        <v>112</v>
      </c>
      <c r="O312" s="49" t="s">
        <v>388</v>
      </c>
      <c r="P312" s="49"/>
      <c r="Q312" s="49"/>
      <c r="R312" s="49" t="s">
        <v>2359</v>
      </c>
      <c r="S312" s="49" t="s">
        <v>10</v>
      </c>
      <c r="T312" s="49" t="s">
        <v>2363</v>
      </c>
      <c r="U312" s="49" t="s">
        <v>115</v>
      </c>
      <c r="V312" s="49" t="s">
        <v>2364</v>
      </c>
      <c r="W312" s="49" t="s">
        <v>117</v>
      </c>
      <c r="X312" s="49" t="s">
        <v>118</v>
      </c>
      <c r="Y312" s="49" t="s">
        <v>214</v>
      </c>
      <c r="Z312" s="49" t="s">
        <v>455</v>
      </c>
      <c r="AA312" s="49" t="s">
        <v>2365</v>
      </c>
      <c r="AB312" s="49" t="s">
        <v>2366</v>
      </c>
      <c r="AC312" s="49" t="s">
        <v>2359</v>
      </c>
      <c r="AD312" s="49" t="n">
        <v>5438356</v>
      </c>
      <c r="AE312" s="49" t="s">
        <v>10</v>
      </c>
      <c r="AF312" s="49" t="s">
        <v>2367</v>
      </c>
      <c r="AG312" s="49" t="s">
        <v>10</v>
      </c>
      <c r="AH312" s="49" t="s">
        <v>2367</v>
      </c>
      <c r="AI312" s="49" t="s">
        <v>1095</v>
      </c>
      <c r="AJ312" s="49" t="s">
        <v>1096</v>
      </c>
      <c r="AK312" s="49" t="s">
        <v>124</v>
      </c>
      <c r="AL312" s="49" t="s">
        <v>125</v>
      </c>
      <c r="AM312" s="51" t="n">
        <v>3203.5</v>
      </c>
      <c r="AN312" s="49" t="s">
        <v>1652</v>
      </c>
      <c r="AO312" s="49" t="s">
        <v>385</v>
      </c>
      <c r="AP312" s="49" t="s">
        <v>127</v>
      </c>
      <c r="AQ312" s="49" t="s">
        <v>128</v>
      </c>
      <c r="AR312" s="49" t="s">
        <v>280</v>
      </c>
      <c r="AS312" s="49" t="s">
        <v>2368</v>
      </c>
      <c r="AT312" s="49" t="s">
        <v>2372</v>
      </c>
      <c r="AU312" s="49" t="s">
        <v>2325</v>
      </c>
      <c r="AV312" s="49"/>
      <c r="AW312" s="49" t="s">
        <v>2370</v>
      </c>
      <c r="AX312" s="49"/>
      <c r="AY312" s="49"/>
      <c r="AZ312" s="49"/>
      <c r="BA312" s="49"/>
      <c r="BB312" s="49" t="n">
        <v>62313690</v>
      </c>
      <c r="BC312" s="49" t="s">
        <v>134</v>
      </c>
      <c r="BD312" s="49" t="s">
        <v>191</v>
      </c>
      <c r="BE312" s="49" t="s">
        <v>2371</v>
      </c>
      <c r="BF312" s="49" t="s">
        <v>137</v>
      </c>
      <c r="BG312" s="49"/>
      <c r="BH312" s="49" t="s">
        <v>139</v>
      </c>
      <c r="BI312" s="49" t="s">
        <v>140</v>
      </c>
      <c r="BJ312" s="49" t="s">
        <v>125</v>
      </c>
      <c r="BK312" s="49"/>
      <c r="BL312" s="49" t="s">
        <v>141</v>
      </c>
      <c r="BM312" s="49"/>
      <c r="BN312" s="49"/>
      <c r="BO312" s="49" t="s">
        <v>112</v>
      </c>
    </row>
    <row r="313" ht="16.8" customHeight="1">
      <c r="A313" s="43" t="s">
        <v>25</v>
      </c>
      <c r="B313" s="49" t="n">
        <v>303</v>
      </c>
      <c r="C313" s="49" t="s">
        <v>103</v>
      </c>
      <c r="D313" s="49" t="s">
        <v>104</v>
      </c>
      <c r="E313" s="49" t="s">
        <v>2359</v>
      </c>
      <c r="F313" s="49" t="s">
        <v>2360</v>
      </c>
      <c r="G313" s="49" t="s">
        <v>385</v>
      </c>
      <c r="H313" s="49" t="s">
        <v>2361</v>
      </c>
      <c r="I313" s="49" t="s">
        <v>2362</v>
      </c>
      <c r="J313" s="49"/>
      <c r="K313" s="49" t="s">
        <v>174</v>
      </c>
      <c r="L313" s="49" t="s">
        <v>10</v>
      </c>
      <c r="M313" s="49" t="s">
        <v>111</v>
      </c>
      <c r="N313" s="49" t="s">
        <v>112</v>
      </c>
      <c r="O313" s="49" t="s">
        <v>388</v>
      </c>
      <c r="P313" s="49"/>
      <c r="Q313" s="49"/>
      <c r="R313" s="49" t="s">
        <v>2359</v>
      </c>
      <c r="S313" s="49" t="s">
        <v>10</v>
      </c>
      <c r="T313" s="49" t="s">
        <v>2363</v>
      </c>
      <c r="U313" s="49" t="s">
        <v>115</v>
      </c>
      <c r="V313" s="49" t="s">
        <v>2364</v>
      </c>
      <c r="W313" s="49" t="s">
        <v>117</v>
      </c>
      <c r="X313" s="49" t="s">
        <v>118</v>
      </c>
      <c r="Y313" s="49" t="s">
        <v>214</v>
      </c>
      <c r="Z313" s="49" t="s">
        <v>455</v>
      </c>
      <c r="AA313" s="49" t="s">
        <v>2365</v>
      </c>
      <c r="AB313" s="49" t="s">
        <v>2366</v>
      </c>
      <c r="AC313" s="49" t="s">
        <v>2359</v>
      </c>
      <c r="AD313" s="49" t="n">
        <v>5438356</v>
      </c>
      <c r="AE313" s="49" t="s">
        <v>10</v>
      </c>
      <c r="AF313" s="49" t="s">
        <v>2367</v>
      </c>
      <c r="AG313" s="49" t="s">
        <v>10</v>
      </c>
      <c r="AH313" s="49" t="s">
        <v>2367</v>
      </c>
      <c r="AI313" s="49" t="s">
        <v>912</v>
      </c>
      <c r="AJ313" s="49" t="s">
        <v>913</v>
      </c>
      <c r="AK313" s="49" t="s">
        <v>124</v>
      </c>
      <c r="AL313" s="49" t="s">
        <v>125</v>
      </c>
      <c r="AM313" s="51" t="n">
        <v>3408.3</v>
      </c>
      <c r="AN313" s="49" t="s">
        <v>1652</v>
      </c>
      <c r="AO313" s="49" t="s">
        <v>385</v>
      </c>
      <c r="AP313" s="49" t="s">
        <v>127</v>
      </c>
      <c r="AQ313" s="49" t="s">
        <v>128</v>
      </c>
      <c r="AR313" s="49" t="s">
        <v>280</v>
      </c>
      <c r="AS313" s="49" t="s">
        <v>2368</v>
      </c>
      <c r="AT313" s="49" t="s">
        <v>2373</v>
      </c>
      <c r="AU313" s="49" t="s">
        <v>2325</v>
      </c>
      <c r="AV313" s="49"/>
      <c r="AW313" s="49" t="s">
        <v>2370</v>
      </c>
      <c r="AX313" s="49"/>
      <c r="AY313" s="49"/>
      <c r="AZ313" s="49"/>
      <c r="BA313" s="49"/>
      <c r="BB313" s="49" t="n">
        <v>62313690</v>
      </c>
      <c r="BC313" s="49" t="s">
        <v>134</v>
      </c>
      <c r="BD313" s="49" t="s">
        <v>191</v>
      </c>
      <c r="BE313" s="49" t="s">
        <v>2371</v>
      </c>
      <c r="BF313" s="49" t="s">
        <v>137</v>
      </c>
      <c r="BG313" s="49"/>
      <c r="BH313" s="49" t="s">
        <v>139</v>
      </c>
      <c r="BI313" s="49" t="s">
        <v>140</v>
      </c>
      <c r="BJ313" s="49" t="s">
        <v>125</v>
      </c>
      <c r="BK313" s="49"/>
      <c r="BL313" s="49" t="s">
        <v>141</v>
      </c>
      <c r="BM313" s="49"/>
      <c r="BN313" s="49"/>
      <c r="BO313" s="49" t="s">
        <v>112</v>
      </c>
    </row>
    <row r="314" ht="16.8" customHeight="1">
      <c r="A314" s="43" t="s">
        <v>25</v>
      </c>
      <c r="B314" s="49" t="n">
        <v>304</v>
      </c>
      <c r="C314" s="49" t="s">
        <v>103</v>
      </c>
      <c r="D314" s="49" t="s">
        <v>104</v>
      </c>
      <c r="E314" s="49" t="s">
        <v>2359</v>
      </c>
      <c r="F314" s="49" t="s">
        <v>2360</v>
      </c>
      <c r="G314" s="49" t="s">
        <v>385</v>
      </c>
      <c r="H314" s="49" t="s">
        <v>2361</v>
      </c>
      <c r="I314" s="49" t="s">
        <v>2362</v>
      </c>
      <c r="J314" s="49"/>
      <c r="K314" s="49" t="s">
        <v>174</v>
      </c>
      <c r="L314" s="49" t="s">
        <v>10</v>
      </c>
      <c r="M314" s="49" t="s">
        <v>111</v>
      </c>
      <c r="N314" s="49" t="s">
        <v>112</v>
      </c>
      <c r="O314" s="49" t="s">
        <v>388</v>
      </c>
      <c r="P314" s="49"/>
      <c r="Q314" s="49"/>
      <c r="R314" s="49" t="s">
        <v>2359</v>
      </c>
      <c r="S314" s="49" t="s">
        <v>10</v>
      </c>
      <c r="T314" s="49" t="s">
        <v>2363</v>
      </c>
      <c r="U314" s="49" t="s">
        <v>115</v>
      </c>
      <c r="V314" s="49" t="s">
        <v>2364</v>
      </c>
      <c r="W314" s="49" t="s">
        <v>117</v>
      </c>
      <c r="X314" s="49" t="s">
        <v>118</v>
      </c>
      <c r="Y314" s="49" t="s">
        <v>214</v>
      </c>
      <c r="Z314" s="49" t="s">
        <v>455</v>
      </c>
      <c r="AA314" s="49" t="s">
        <v>2365</v>
      </c>
      <c r="AB314" s="49" t="s">
        <v>2366</v>
      </c>
      <c r="AC314" s="49" t="s">
        <v>2359</v>
      </c>
      <c r="AD314" s="49" t="n">
        <v>5438356</v>
      </c>
      <c r="AE314" s="49" t="s">
        <v>10</v>
      </c>
      <c r="AF314" s="49" t="s">
        <v>2367</v>
      </c>
      <c r="AG314" s="49" t="s">
        <v>10</v>
      </c>
      <c r="AH314" s="49" t="s">
        <v>2367</v>
      </c>
      <c r="AI314" s="49" t="s">
        <v>919</v>
      </c>
      <c r="AJ314" s="49" t="s">
        <v>920</v>
      </c>
      <c r="AK314" s="49" t="s">
        <v>124</v>
      </c>
      <c r="AL314" s="49" t="s">
        <v>125</v>
      </c>
      <c r="AM314" s="51" t="n">
        <v>4425</v>
      </c>
      <c r="AN314" s="49" t="s">
        <v>1652</v>
      </c>
      <c r="AO314" s="49" t="s">
        <v>385</v>
      </c>
      <c r="AP314" s="49" t="s">
        <v>127</v>
      </c>
      <c r="AQ314" s="49" t="s">
        <v>128</v>
      </c>
      <c r="AR314" s="49" t="s">
        <v>280</v>
      </c>
      <c r="AS314" s="49" t="s">
        <v>2368</v>
      </c>
      <c r="AT314" s="49" t="s">
        <v>2374</v>
      </c>
      <c r="AU314" s="49" t="s">
        <v>2325</v>
      </c>
      <c r="AV314" s="49"/>
      <c r="AW314" s="49" t="s">
        <v>2370</v>
      </c>
      <c r="AX314" s="49"/>
      <c r="AY314" s="49"/>
      <c r="AZ314" s="49"/>
      <c r="BA314" s="49"/>
      <c r="BB314" s="49" t="n">
        <v>62313690</v>
      </c>
      <c r="BC314" s="49" t="s">
        <v>134</v>
      </c>
      <c r="BD314" s="49" t="s">
        <v>191</v>
      </c>
      <c r="BE314" s="49" t="s">
        <v>2371</v>
      </c>
      <c r="BF314" s="49" t="s">
        <v>137</v>
      </c>
      <c r="BG314" s="49"/>
      <c r="BH314" s="49" t="s">
        <v>139</v>
      </c>
      <c r="BI314" s="49" t="s">
        <v>140</v>
      </c>
      <c r="BJ314" s="49" t="s">
        <v>125</v>
      </c>
      <c r="BK314" s="49"/>
      <c r="BL314" s="49" t="s">
        <v>141</v>
      </c>
      <c r="BM314" s="49"/>
      <c r="BN314" s="49"/>
      <c r="BO314" s="49" t="s">
        <v>112</v>
      </c>
    </row>
    <row r="315" ht="16.8" customHeight="1">
      <c r="A315" s="43" t="s">
        <v>25</v>
      </c>
      <c r="B315" s="49" t="n">
        <v>305</v>
      </c>
      <c r="C315" s="49" t="s">
        <v>103</v>
      </c>
      <c r="D315" s="49" t="s">
        <v>104</v>
      </c>
      <c r="E315" s="49" t="s">
        <v>2359</v>
      </c>
      <c r="F315" s="49" t="s">
        <v>2360</v>
      </c>
      <c r="G315" s="49" t="s">
        <v>385</v>
      </c>
      <c r="H315" s="49" t="s">
        <v>2361</v>
      </c>
      <c r="I315" s="49" t="s">
        <v>2362</v>
      </c>
      <c r="J315" s="49"/>
      <c r="K315" s="49" t="s">
        <v>174</v>
      </c>
      <c r="L315" s="49" t="s">
        <v>10</v>
      </c>
      <c r="M315" s="49" t="s">
        <v>111</v>
      </c>
      <c r="N315" s="49" t="s">
        <v>112</v>
      </c>
      <c r="O315" s="49" t="s">
        <v>388</v>
      </c>
      <c r="P315" s="49"/>
      <c r="Q315" s="49"/>
      <c r="R315" s="49" t="s">
        <v>2359</v>
      </c>
      <c r="S315" s="49" t="s">
        <v>10</v>
      </c>
      <c r="T315" s="49" t="s">
        <v>2363</v>
      </c>
      <c r="U315" s="49" t="s">
        <v>115</v>
      </c>
      <c r="V315" s="49" t="s">
        <v>2364</v>
      </c>
      <c r="W315" s="49" t="s">
        <v>117</v>
      </c>
      <c r="X315" s="49" t="s">
        <v>118</v>
      </c>
      <c r="Y315" s="49" t="s">
        <v>214</v>
      </c>
      <c r="Z315" s="49" t="s">
        <v>455</v>
      </c>
      <c r="AA315" s="49" t="s">
        <v>2365</v>
      </c>
      <c r="AB315" s="49" t="s">
        <v>2366</v>
      </c>
      <c r="AC315" s="49" t="s">
        <v>2359</v>
      </c>
      <c r="AD315" s="49" t="n">
        <v>5438356</v>
      </c>
      <c r="AE315" s="49" t="s">
        <v>10</v>
      </c>
      <c r="AF315" s="49" t="s">
        <v>2367</v>
      </c>
      <c r="AG315" s="49" t="s">
        <v>10</v>
      </c>
      <c r="AH315" s="49" t="s">
        <v>2367</v>
      </c>
      <c r="AI315" s="49" t="s">
        <v>1102</v>
      </c>
      <c r="AJ315" s="49" t="s">
        <v>1103</v>
      </c>
      <c r="AK315" s="49" t="s">
        <v>124</v>
      </c>
      <c r="AL315" s="49" t="s">
        <v>125</v>
      </c>
      <c r="AM315" s="51" t="n">
        <v>6629.8</v>
      </c>
      <c r="AN315" s="49" t="s">
        <v>1652</v>
      </c>
      <c r="AO315" s="49" t="s">
        <v>385</v>
      </c>
      <c r="AP315" s="49" t="s">
        <v>127</v>
      </c>
      <c r="AQ315" s="49" t="s">
        <v>128</v>
      </c>
      <c r="AR315" s="49" t="s">
        <v>280</v>
      </c>
      <c r="AS315" s="49" t="s">
        <v>2368</v>
      </c>
      <c r="AT315" s="49" t="s">
        <v>2375</v>
      </c>
      <c r="AU315" s="49" t="s">
        <v>2325</v>
      </c>
      <c r="AV315" s="49"/>
      <c r="AW315" s="49" t="s">
        <v>2370</v>
      </c>
      <c r="AX315" s="49"/>
      <c r="AY315" s="49"/>
      <c r="AZ315" s="49"/>
      <c r="BA315" s="49"/>
      <c r="BB315" s="49" t="n">
        <v>62313690</v>
      </c>
      <c r="BC315" s="49" t="s">
        <v>134</v>
      </c>
      <c r="BD315" s="49" t="s">
        <v>191</v>
      </c>
      <c r="BE315" s="49" t="s">
        <v>2371</v>
      </c>
      <c r="BF315" s="49" t="s">
        <v>137</v>
      </c>
      <c r="BG315" s="49"/>
      <c r="BH315" s="49" t="s">
        <v>139</v>
      </c>
      <c r="BI315" s="49" t="s">
        <v>140</v>
      </c>
      <c r="BJ315" s="49" t="s">
        <v>125</v>
      </c>
      <c r="BK315" s="49"/>
      <c r="BL315" s="49" t="s">
        <v>141</v>
      </c>
      <c r="BM315" s="49"/>
      <c r="BN315" s="49"/>
      <c r="BO315" s="49" t="s">
        <v>112</v>
      </c>
    </row>
    <row r="316" ht="16.8" customHeight="1">
      <c r="A316" s="43" t="s">
        <v>25</v>
      </c>
      <c r="B316" s="49" t="n">
        <v>306</v>
      </c>
      <c r="C316" s="49" t="s">
        <v>103</v>
      </c>
      <c r="D316" s="49" t="s">
        <v>104</v>
      </c>
      <c r="E316" s="49" t="s">
        <v>2359</v>
      </c>
      <c r="F316" s="49" t="s">
        <v>2360</v>
      </c>
      <c r="G316" s="49" t="s">
        <v>385</v>
      </c>
      <c r="H316" s="49" t="s">
        <v>2361</v>
      </c>
      <c r="I316" s="49" t="s">
        <v>2362</v>
      </c>
      <c r="J316" s="49"/>
      <c r="K316" s="49" t="s">
        <v>174</v>
      </c>
      <c r="L316" s="49" t="s">
        <v>10</v>
      </c>
      <c r="M316" s="49" t="s">
        <v>111</v>
      </c>
      <c r="N316" s="49" t="s">
        <v>112</v>
      </c>
      <c r="O316" s="49" t="s">
        <v>388</v>
      </c>
      <c r="P316" s="49"/>
      <c r="Q316" s="49"/>
      <c r="R316" s="49" t="s">
        <v>2359</v>
      </c>
      <c r="S316" s="49" t="s">
        <v>10</v>
      </c>
      <c r="T316" s="49" t="s">
        <v>2363</v>
      </c>
      <c r="U316" s="49" t="s">
        <v>115</v>
      </c>
      <c r="V316" s="49" t="s">
        <v>2364</v>
      </c>
      <c r="W316" s="49" t="s">
        <v>117</v>
      </c>
      <c r="X316" s="49" t="s">
        <v>118</v>
      </c>
      <c r="Y316" s="49" t="s">
        <v>214</v>
      </c>
      <c r="Z316" s="49" t="s">
        <v>455</v>
      </c>
      <c r="AA316" s="49" t="s">
        <v>2365</v>
      </c>
      <c r="AB316" s="49" t="s">
        <v>2366</v>
      </c>
      <c r="AC316" s="49" t="s">
        <v>2359</v>
      </c>
      <c r="AD316" s="49" t="n">
        <v>5438356</v>
      </c>
      <c r="AE316" s="49" t="s">
        <v>10</v>
      </c>
      <c r="AF316" s="49" t="s">
        <v>2367</v>
      </c>
      <c r="AG316" s="49" t="s">
        <v>10</v>
      </c>
      <c r="AH316" s="49" t="s">
        <v>2367</v>
      </c>
      <c r="AI316" s="49" t="s">
        <v>1608</v>
      </c>
      <c r="AJ316" s="49" t="s">
        <v>1609</v>
      </c>
      <c r="AK316" s="49" t="s">
        <v>124</v>
      </c>
      <c r="AL316" s="49" t="s">
        <v>125</v>
      </c>
      <c r="AM316" s="51" t="n">
        <v>3172.8</v>
      </c>
      <c r="AN316" s="49" t="s">
        <v>1652</v>
      </c>
      <c r="AO316" s="49" t="s">
        <v>385</v>
      </c>
      <c r="AP316" s="49" t="s">
        <v>127</v>
      </c>
      <c r="AQ316" s="49" t="s">
        <v>128</v>
      </c>
      <c r="AR316" s="49" t="s">
        <v>280</v>
      </c>
      <c r="AS316" s="49" t="s">
        <v>2368</v>
      </c>
      <c r="AT316" s="49" t="s">
        <v>2376</v>
      </c>
      <c r="AU316" s="49" t="s">
        <v>2325</v>
      </c>
      <c r="AV316" s="49"/>
      <c r="AW316" s="49" t="s">
        <v>2370</v>
      </c>
      <c r="AX316" s="49"/>
      <c r="AY316" s="49"/>
      <c r="AZ316" s="49"/>
      <c r="BA316" s="49"/>
      <c r="BB316" s="49" t="n">
        <v>62313690</v>
      </c>
      <c r="BC316" s="49" t="s">
        <v>134</v>
      </c>
      <c r="BD316" s="49" t="s">
        <v>191</v>
      </c>
      <c r="BE316" s="49" t="s">
        <v>2371</v>
      </c>
      <c r="BF316" s="49" t="s">
        <v>137</v>
      </c>
      <c r="BG316" s="49"/>
      <c r="BH316" s="49" t="s">
        <v>139</v>
      </c>
      <c r="BI316" s="49" t="s">
        <v>140</v>
      </c>
      <c r="BJ316" s="49" t="s">
        <v>125</v>
      </c>
      <c r="BK316" s="49"/>
      <c r="BL316" s="49" t="s">
        <v>141</v>
      </c>
      <c r="BM316" s="49"/>
      <c r="BN316" s="49"/>
      <c r="BO316" s="49" t="s">
        <v>112</v>
      </c>
    </row>
    <row r="317" ht="16.8" customHeight="1">
      <c r="A317" s="43" t="s">
        <v>25</v>
      </c>
      <c r="B317" s="49" t="n">
        <v>307</v>
      </c>
      <c r="C317" s="49" t="s">
        <v>103</v>
      </c>
      <c r="D317" s="49" t="s">
        <v>104</v>
      </c>
      <c r="E317" s="49" t="s">
        <v>2359</v>
      </c>
      <c r="F317" s="49" t="s">
        <v>2360</v>
      </c>
      <c r="G317" s="49" t="s">
        <v>385</v>
      </c>
      <c r="H317" s="49" t="s">
        <v>2361</v>
      </c>
      <c r="I317" s="49" t="s">
        <v>2362</v>
      </c>
      <c r="J317" s="49"/>
      <c r="K317" s="49" t="s">
        <v>174</v>
      </c>
      <c r="L317" s="49" t="s">
        <v>10</v>
      </c>
      <c r="M317" s="49" t="s">
        <v>111</v>
      </c>
      <c r="N317" s="49" t="s">
        <v>112</v>
      </c>
      <c r="O317" s="49" t="s">
        <v>388</v>
      </c>
      <c r="P317" s="49"/>
      <c r="Q317" s="49"/>
      <c r="R317" s="49" t="s">
        <v>2359</v>
      </c>
      <c r="S317" s="49" t="s">
        <v>10</v>
      </c>
      <c r="T317" s="49" t="s">
        <v>2363</v>
      </c>
      <c r="U317" s="49" t="s">
        <v>115</v>
      </c>
      <c r="V317" s="49" t="s">
        <v>2364</v>
      </c>
      <c r="W317" s="49" t="s">
        <v>117</v>
      </c>
      <c r="X317" s="49" t="s">
        <v>118</v>
      </c>
      <c r="Y317" s="49" t="s">
        <v>214</v>
      </c>
      <c r="Z317" s="49" t="s">
        <v>455</v>
      </c>
      <c r="AA317" s="49" t="s">
        <v>2365</v>
      </c>
      <c r="AB317" s="49" t="s">
        <v>2366</v>
      </c>
      <c r="AC317" s="49" t="s">
        <v>2359</v>
      </c>
      <c r="AD317" s="49" t="n">
        <v>5438356</v>
      </c>
      <c r="AE317" s="49" t="s">
        <v>10</v>
      </c>
      <c r="AF317" s="49" t="s">
        <v>2367</v>
      </c>
      <c r="AG317" s="49" t="s">
        <v>10</v>
      </c>
      <c r="AH317" s="49" t="s">
        <v>2367</v>
      </c>
      <c r="AI317" s="49" t="s">
        <v>2377</v>
      </c>
      <c r="AJ317" s="49" t="s">
        <v>924</v>
      </c>
      <c r="AK317" s="49" t="s">
        <v>124</v>
      </c>
      <c r="AL317" s="49" t="s">
        <v>125</v>
      </c>
      <c r="AM317" s="51" t="n">
        <v>11800</v>
      </c>
      <c r="AN317" s="49" t="s">
        <v>1652</v>
      </c>
      <c r="AO317" s="49" t="s">
        <v>385</v>
      </c>
      <c r="AP317" s="49" t="s">
        <v>127</v>
      </c>
      <c r="AQ317" s="49" t="s">
        <v>128</v>
      </c>
      <c r="AR317" s="49" t="s">
        <v>280</v>
      </c>
      <c r="AS317" s="49" t="s">
        <v>2368</v>
      </c>
      <c r="AT317" s="49"/>
      <c r="AU317" s="49" t="s">
        <v>2325</v>
      </c>
      <c r="AV317" s="49"/>
      <c r="AW317" s="49" t="s">
        <v>2370</v>
      </c>
      <c r="AX317" s="49"/>
      <c r="AY317" s="49"/>
      <c r="AZ317" s="49"/>
      <c r="BA317" s="49"/>
      <c r="BB317" s="49" t="n">
        <v>62313690</v>
      </c>
      <c r="BC317" s="49" t="s">
        <v>134</v>
      </c>
      <c r="BD317" s="49" t="s">
        <v>191</v>
      </c>
      <c r="BE317" s="49" t="s">
        <v>2371</v>
      </c>
      <c r="BF317" s="49" t="s">
        <v>137</v>
      </c>
      <c r="BG317" s="49"/>
      <c r="BH317" s="49" t="s">
        <v>139</v>
      </c>
      <c r="BI317" s="49" t="s">
        <v>140</v>
      </c>
      <c r="BJ317" s="49" t="s">
        <v>125</v>
      </c>
      <c r="BK317" s="49"/>
      <c r="BL317" s="49"/>
      <c r="BM317" s="49"/>
      <c r="BN317" s="49"/>
      <c r="BO317" s="49" t="s">
        <v>112</v>
      </c>
    </row>
    <row r="318" ht="16.8" customHeight="1">
      <c r="A318" s="43" t="s">
        <v>25</v>
      </c>
      <c r="B318" s="49" t="n">
        <v>308</v>
      </c>
      <c r="C318" s="49" t="s">
        <v>103</v>
      </c>
      <c r="D318" s="49" t="s">
        <v>104</v>
      </c>
      <c r="E318" s="49" t="s">
        <v>2378</v>
      </c>
      <c r="F318" s="49" t="s">
        <v>2379</v>
      </c>
      <c r="G318" s="49" t="s">
        <v>2378</v>
      </c>
      <c r="H318" s="49" t="s">
        <v>2380</v>
      </c>
      <c r="I318" s="193" t="s">
        <v>2381</v>
      </c>
      <c r="J318" s="49" t="s">
        <v>2382</v>
      </c>
      <c r="K318" s="49" t="s">
        <v>110</v>
      </c>
      <c r="L318" s="49" t="s">
        <v>10</v>
      </c>
      <c r="M318" s="49" t="s">
        <v>2383</v>
      </c>
      <c r="N318" s="49" t="s">
        <v>2384</v>
      </c>
      <c r="O318" s="49" t="s">
        <v>125</v>
      </c>
      <c r="P318" s="49"/>
      <c r="Q318" s="49"/>
      <c r="R318" s="49" t="s">
        <v>2378</v>
      </c>
      <c r="S318" s="49" t="s">
        <v>10</v>
      </c>
      <c r="T318" s="49" t="s">
        <v>2385</v>
      </c>
      <c r="U318" s="49" t="s">
        <v>178</v>
      </c>
      <c r="V318" s="49" t="s">
        <v>2386</v>
      </c>
      <c r="W318" s="49" t="s">
        <v>117</v>
      </c>
      <c r="X318" s="49" t="s">
        <v>647</v>
      </c>
      <c r="Y318" s="49" t="s">
        <v>110</v>
      </c>
      <c r="Z318" s="49" t="s">
        <v>2387</v>
      </c>
      <c r="AA318" s="49" t="s">
        <v>2388</v>
      </c>
      <c r="AB318" s="49" t="s">
        <v>2389</v>
      </c>
      <c r="AC318" s="49" t="s">
        <v>2378</v>
      </c>
      <c r="AD318" s="49" t="n">
        <v>5408783</v>
      </c>
      <c r="AE318" s="49" t="s">
        <v>10</v>
      </c>
      <c r="AF318" s="49" t="s">
        <v>2390</v>
      </c>
      <c r="AG318" s="49" t="s">
        <v>10</v>
      </c>
      <c r="AH318" s="49" t="s">
        <v>2391</v>
      </c>
      <c r="AI318" s="49" t="s">
        <v>1341</v>
      </c>
      <c r="AJ318" s="49" t="s">
        <v>1342</v>
      </c>
      <c r="AK318" s="49" t="s">
        <v>124</v>
      </c>
      <c r="AL318" s="49" t="s">
        <v>125</v>
      </c>
      <c r="AM318" s="51" t="n">
        <v>16300</v>
      </c>
      <c r="AN318" s="49"/>
      <c r="AO318" s="49" t="s">
        <v>125</v>
      </c>
      <c r="AP318" s="49" t="s">
        <v>187</v>
      </c>
      <c r="AQ318" s="49" t="s">
        <v>128</v>
      </c>
      <c r="AR318" s="49" t="s">
        <v>1062</v>
      </c>
      <c r="AS318" s="49" t="s">
        <v>2392</v>
      </c>
      <c r="AT318" s="49" t="s">
        <v>2393</v>
      </c>
      <c r="AU318" s="49" t="s">
        <v>2325</v>
      </c>
      <c r="AV318" s="49"/>
      <c r="AW318" s="194" t="s">
        <v>2394</v>
      </c>
      <c r="AX318" s="49"/>
      <c r="AY318" s="49"/>
      <c r="AZ318" s="49"/>
      <c r="BA318" s="49"/>
      <c r="BB318" s="49" t="n">
        <v>68375965</v>
      </c>
      <c r="BC318" s="49" t="s">
        <v>134</v>
      </c>
      <c r="BD318" s="49" t="s">
        <v>655</v>
      </c>
      <c r="BE318" s="49" t="s">
        <v>656</v>
      </c>
      <c r="BF318" s="49" t="s">
        <v>125</v>
      </c>
      <c r="BG318" s="49"/>
      <c r="BH318" s="49" t="s">
        <v>139</v>
      </c>
      <c r="BI318" s="49" t="s">
        <v>140</v>
      </c>
      <c r="BJ318" s="49" t="s">
        <v>125</v>
      </c>
      <c r="BK318" s="49"/>
      <c r="BL318" s="49" t="s">
        <v>141</v>
      </c>
      <c r="BM318" s="49"/>
      <c r="BN318" s="49" t="s">
        <v>142</v>
      </c>
      <c r="BO318" s="49" t="s">
        <v>2395</v>
      </c>
    </row>
    <row r="319" ht="16.8" customHeight="1">
      <c r="A319" s="43" t="s">
        <v>25</v>
      </c>
      <c r="B319" s="49" t="n">
        <v>309</v>
      </c>
      <c r="C319" s="49" t="s">
        <v>103</v>
      </c>
      <c r="D319" s="49" t="s">
        <v>104</v>
      </c>
      <c r="E319" s="49"/>
      <c r="F319" s="49" t="s">
        <v>2396</v>
      </c>
      <c r="G319" s="49"/>
      <c r="H319" s="49" t="s">
        <v>2397</v>
      </c>
      <c r="I319" s="49" t="s">
        <v>2398</v>
      </c>
      <c r="J319" s="49"/>
      <c r="K319" s="49" t="s">
        <v>206</v>
      </c>
      <c r="L319" s="49" t="s">
        <v>14</v>
      </c>
      <c r="M319" s="49" t="s">
        <v>607</v>
      </c>
      <c r="N319" s="49" t="s">
        <v>832</v>
      </c>
      <c r="O319" s="49"/>
      <c r="P319" s="49"/>
      <c r="Q319" s="49"/>
      <c r="R319" s="49" t="s">
        <v>2399</v>
      </c>
      <c r="S319" s="49" t="s">
        <v>14</v>
      </c>
      <c r="T319" s="49" t="s">
        <v>2400</v>
      </c>
      <c r="U319" s="49" t="s">
        <v>115</v>
      </c>
      <c r="V319" s="49" t="s">
        <v>2401</v>
      </c>
      <c r="W319" s="49" t="s">
        <v>117</v>
      </c>
      <c r="X319" s="49" t="s">
        <v>180</v>
      </c>
      <c r="Y319" s="49" t="s">
        <v>174</v>
      </c>
      <c r="Z319" s="49" t="s">
        <v>413</v>
      </c>
      <c r="AA319" s="49" t="s">
        <v>2402</v>
      </c>
      <c r="AB319" s="49" t="s">
        <v>1581</v>
      </c>
      <c r="AC319" s="49" t="s">
        <v>2399</v>
      </c>
      <c r="AD319" s="49" t="n">
        <v>5407803</v>
      </c>
      <c r="AE319" s="49" t="s">
        <v>14</v>
      </c>
      <c r="AF319" s="49" t="s">
        <v>2403</v>
      </c>
      <c r="AG319" s="49" t="s">
        <v>14</v>
      </c>
      <c r="AH319" s="49" t="s">
        <v>2403</v>
      </c>
      <c r="AI319" s="49" t="s">
        <v>2060</v>
      </c>
      <c r="AJ319" s="49" t="s">
        <v>2061</v>
      </c>
      <c r="AK319" s="49" t="s">
        <v>124</v>
      </c>
      <c r="AL319" s="49" t="s">
        <v>125</v>
      </c>
      <c r="AM319" s="51" t="n">
        <v>4366</v>
      </c>
      <c r="AN319" s="49" t="s">
        <v>126</v>
      </c>
      <c r="AO319" s="49" t="s">
        <v>125</v>
      </c>
      <c r="AP319" s="49" t="s">
        <v>127</v>
      </c>
      <c r="AQ319" s="49" t="s">
        <v>128</v>
      </c>
      <c r="AR319" s="49" t="s">
        <v>1091</v>
      </c>
      <c r="AS319" s="49" t="s">
        <v>2404</v>
      </c>
      <c r="AT319" s="49" t="s">
        <v>2405</v>
      </c>
      <c r="AU319" s="49" t="s">
        <v>635</v>
      </c>
      <c r="AV319" s="49"/>
      <c r="AW319" s="49" t="s">
        <v>2406</v>
      </c>
      <c r="AX319" s="49"/>
      <c r="AY319" s="49"/>
      <c r="AZ319" s="49"/>
      <c r="BA319" s="49"/>
      <c r="BB319" s="49" t="n">
        <v>79609154</v>
      </c>
      <c r="BC319" s="49" t="s">
        <v>134</v>
      </c>
      <c r="BD319" s="49" t="s">
        <v>191</v>
      </c>
      <c r="BE319" s="49" t="s">
        <v>285</v>
      </c>
      <c r="BF319" s="49" t="s">
        <v>1720</v>
      </c>
      <c r="BG319" s="49"/>
      <c r="BH319" s="49" t="s">
        <v>139</v>
      </c>
      <c r="BI319" s="49" t="s">
        <v>140</v>
      </c>
      <c r="BJ319" s="49" t="s">
        <v>125</v>
      </c>
      <c r="BK319" s="49"/>
      <c r="BL319" s="49" t="s">
        <v>2283</v>
      </c>
      <c r="BM319" s="49"/>
      <c r="BN319" s="49" t="s">
        <v>142</v>
      </c>
      <c r="BO319" s="49"/>
    </row>
    <row r="320" ht="16.8" customHeight="1">
      <c r="A320" s="43" t="s">
        <v>25</v>
      </c>
      <c r="B320" s="49" t="n">
        <v>310</v>
      </c>
      <c r="C320" s="49" t="s">
        <v>103</v>
      </c>
      <c r="D320" s="49" t="s">
        <v>104</v>
      </c>
      <c r="E320" s="49"/>
      <c r="F320" s="49" t="s">
        <v>2396</v>
      </c>
      <c r="G320" s="49"/>
      <c r="H320" s="49" t="s">
        <v>2397</v>
      </c>
      <c r="I320" s="49" t="s">
        <v>2398</v>
      </c>
      <c r="J320" s="49"/>
      <c r="K320" s="49" t="s">
        <v>206</v>
      </c>
      <c r="L320" s="49" t="s">
        <v>14</v>
      </c>
      <c r="M320" s="49" t="s">
        <v>607</v>
      </c>
      <c r="N320" s="49" t="s">
        <v>832</v>
      </c>
      <c r="O320" s="49"/>
      <c r="P320" s="49"/>
      <c r="Q320" s="49"/>
      <c r="R320" s="49" t="s">
        <v>2399</v>
      </c>
      <c r="S320" s="49" t="s">
        <v>14</v>
      </c>
      <c r="T320" s="49" t="s">
        <v>2400</v>
      </c>
      <c r="U320" s="49" t="s">
        <v>115</v>
      </c>
      <c r="V320" s="49" t="s">
        <v>2401</v>
      </c>
      <c r="W320" s="49" t="s">
        <v>117</v>
      </c>
      <c r="X320" s="49" t="s">
        <v>180</v>
      </c>
      <c r="Y320" s="49" t="s">
        <v>174</v>
      </c>
      <c r="Z320" s="49" t="s">
        <v>413</v>
      </c>
      <c r="AA320" s="49" t="s">
        <v>2402</v>
      </c>
      <c r="AB320" s="49" t="s">
        <v>1581</v>
      </c>
      <c r="AC320" s="49" t="s">
        <v>2399</v>
      </c>
      <c r="AD320" s="49" t="n">
        <v>5407803</v>
      </c>
      <c r="AE320" s="49" t="s">
        <v>14</v>
      </c>
      <c r="AF320" s="49" t="s">
        <v>2403</v>
      </c>
      <c r="AG320" s="49" t="s">
        <v>14</v>
      </c>
      <c r="AH320" s="49" t="s">
        <v>2403</v>
      </c>
      <c r="AI320" s="49" t="s">
        <v>2057</v>
      </c>
      <c r="AJ320" s="49" t="s">
        <v>2058</v>
      </c>
      <c r="AK320" s="49" t="s">
        <v>124</v>
      </c>
      <c r="AL320" s="49" t="s">
        <v>125</v>
      </c>
      <c r="AM320" s="51" t="n">
        <v>3676.6</v>
      </c>
      <c r="AN320" s="49" t="s">
        <v>126</v>
      </c>
      <c r="AO320" s="49" t="s">
        <v>125</v>
      </c>
      <c r="AP320" s="49" t="s">
        <v>127</v>
      </c>
      <c r="AQ320" s="49" t="s">
        <v>128</v>
      </c>
      <c r="AR320" s="49" t="s">
        <v>1091</v>
      </c>
      <c r="AS320" s="49" t="s">
        <v>2404</v>
      </c>
      <c r="AT320" s="49" t="s">
        <v>2407</v>
      </c>
      <c r="AU320" s="49" t="s">
        <v>635</v>
      </c>
      <c r="AV320" s="49"/>
      <c r="AW320" s="49" t="s">
        <v>2406</v>
      </c>
      <c r="AX320" s="49"/>
      <c r="AY320" s="49"/>
      <c r="AZ320" s="49"/>
      <c r="BA320" s="49"/>
      <c r="BB320" s="49" t="n">
        <v>79609154</v>
      </c>
      <c r="BC320" s="49" t="s">
        <v>134</v>
      </c>
      <c r="BD320" s="49" t="s">
        <v>191</v>
      </c>
      <c r="BE320" s="49" t="s">
        <v>285</v>
      </c>
      <c r="BF320" s="49" t="s">
        <v>1720</v>
      </c>
      <c r="BG320" s="49"/>
      <c r="BH320" s="49" t="s">
        <v>139</v>
      </c>
      <c r="BI320" s="49" t="s">
        <v>140</v>
      </c>
      <c r="BJ320" s="49" t="s">
        <v>125</v>
      </c>
      <c r="BK320" s="49"/>
      <c r="BL320" s="49" t="s">
        <v>2283</v>
      </c>
      <c r="BM320" s="49"/>
      <c r="BN320" s="49" t="s">
        <v>142</v>
      </c>
      <c r="BO320" s="49"/>
    </row>
    <row r="321" ht="16.8" customHeight="1">
      <c r="A321" s="43" t="s">
        <v>25</v>
      </c>
      <c r="B321" s="49" t="n">
        <v>311</v>
      </c>
      <c r="C321" s="49" t="s">
        <v>103</v>
      </c>
      <c r="D321" s="49" t="s">
        <v>104</v>
      </c>
      <c r="E321" s="49"/>
      <c r="F321" s="49" t="s">
        <v>2396</v>
      </c>
      <c r="G321" s="49"/>
      <c r="H321" s="49" t="s">
        <v>2397</v>
      </c>
      <c r="I321" s="49" t="s">
        <v>2398</v>
      </c>
      <c r="J321" s="49"/>
      <c r="K321" s="49" t="s">
        <v>206</v>
      </c>
      <c r="L321" s="49" t="s">
        <v>14</v>
      </c>
      <c r="M321" s="49" t="s">
        <v>607</v>
      </c>
      <c r="N321" s="49" t="s">
        <v>832</v>
      </c>
      <c r="O321" s="49"/>
      <c r="P321" s="49"/>
      <c r="Q321" s="49"/>
      <c r="R321" s="49" t="s">
        <v>2399</v>
      </c>
      <c r="S321" s="49" t="s">
        <v>14</v>
      </c>
      <c r="T321" s="49" t="s">
        <v>2400</v>
      </c>
      <c r="U321" s="49" t="s">
        <v>115</v>
      </c>
      <c r="V321" s="49" t="s">
        <v>2401</v>
      </c>
      <c r="W321" s="49" t="s">
        <v>117</v>
      </c>
      <c r="X321" s="49" t="s">
        <v>180</v>
      </c>
      <c r="Y321" s="49" t="s">
        <v>174</v>
      </c>
      <c r="Z321" s="49" t="s">
        <v>413</v>
      </c>
      <c r="AA321" s="49" t="s">
        <v>2402</v>
      </c>
      <c r="AB321" s="49" t="s">
        <v>1581</v>
      </c>
      <c r="AC321" s="49" t="s">
        <v>2399</v>
      </c>
      <c r="AD321" s="49" t="n">
        <v>5407803</v>
      </c>
      <c r="AE321" s="49" t="s">
        <v>14</v>
      </c>
      <c r="AF321" s="49" t="s">
        <v>2403</v>
      </c>
      <c r="AG321" s="49" t="s">
        <v>14</v>
      </c>
      <c r="AH321" s="49" t="s">
        <v>2403</v>
      </c>
      <c r="AI321" s="49" t="s">
        <v>2051</v>
      </c>
      <c r="AJ321" s="49" t="s">
        <v>2052</v>
      </c>
      <c r="AK321" s="49" t="s">
        <v>124</v>
      </c>
      <c r="AL321" s="49" t="s">
        <v>125</v>
      </c>
      <c r="AM321" s="51" t="n">
        <v>6357.5</v>
      </c>
      <c r="AN321" s="49" t="s">
        <v>126</v>
      </c>
      <c r="AO321" s="49" t="s">
        <v>125</v>
      </c>
      <c r="AP321" s="49" t="s">
        <v>127</v>
      </c>
      <c r="AQ321" s="49" t="s">
        <v>128</v>
      </c>
      <c r="AR321" s="49" t="s">
        <v>1091</v>
      </c>
      <c r="AS321" s="49" t="s">
        <v>2404</v>
      </c>
      <c r="AT321" s="49" t="s">
        <v>2408</v>
      </c>
      <c r="AU321" s="49" t="s">
        <v>635</v>
      </c>
      <c r="AV321" s="49"/>
      <c r="AW321" s="49" t="s">
        <v>2406</v>
      </c>
      <c r="AX321" s="49"/>
      <c r="AY321" s="49"/>
      <c r="AZ321" s="49"/>
      <c r="BA321" s="49"/>
      <c r="BB321" s="49" t="n">
        <v>79609154</v>
      </c>
      <c r="BC321" s="49" t="s">
        <v>134</v>
      </c>
      <c r="BD321" s="49" t="s">
        <v>191</v>
      </c>
      <c r="BE321" s="49" t="s">
        <v>285</v>
      </c>
      <c r="BF321" s="49" t="s">
        <v>1720</v>
      </c>
      <c r="BG321" s="49"/>
      <c r="BH321" s="49" t="s">
        <v>139</v>
      </c>
      <c r="BI321" s="49" t="s">
        <v>140</v>
      </c>
      <c r="BJ321" s="49" t="s">
        <v>125</v>
      </c>
      <c r="BK321" s="49"/>
      <c r="BL321" s="49" t="s">
        <v>2283</v>
      </c>
      <c r="BM321" s="49"/>
      <c r="BN321" s="49" t="s">
        <v>142</v>
      </c>
      <c r="BO321" s="49"/>
    </row>
    <row r="322" ht="16.8" customHeight="1">
      <c r="A322" s="43" t="s">
        <v>25</v>
      </c>
      <c r="B322" s="49" t="n">
        <v>312</v>
      </c>
      <c r="C322" s="49" t="s">
        <v>103</v>
      </c>
      <c r="D322" s="49" t="s">
        <v>104</v>
      </c>
      <c r="E322" s="49" t="s">
        <v>899</v>
      </c>
      <c r="F322" s="49" t="s">
        <v>2409</v>
      </c>
      <c r="G322" s="49" t="s">
        <v>1330</v>
      </c>
      <c r="H322" s="49" t="s">
        <v>2410</v>
      </c>
      <c r="I322" s="49" t="s">
        <v>2411</v>
      </c>
      <c r="J322" s="49" t="s">
        <v>125</v>
      </c>
      <c r="K322" s="49" t="s">
        <v>206</v>
      </c>
      <c r="L322" s="49" t="s">
        <v>509</v>
      </c>
      <c r="M322" s="49" t="s">
        <v>1036</v>
      </c>
      <c r="N322" s="49" t="s">
        <v>1333</v>
      </c>
      <c r="O322" s="49" t="s">
        <v>125</v>
      </c>
      <c r="P322" s="49"/>
      <c r="Q322" s="49"/>
      <c r="R322" s="49" t="s">
        <v>2412</v>
      </c>
      <c r="S322" s="49" t="s">
        <v>509</v>
      </c>
      <c r="T322" s="49" t="s">
        <v>2413</v>
      </c>
      <c r="U322" s="49" t="s">
        <v>178</v>
      </c>
      <c r="V322" s="49" t="s">
        <v>2414</v>
      </c>
      <c r="W322" s="49" t="s">
        <v>2415</v>
      </c>
      <c r="X322" s="49" t="s">
        <v>180</v>
      </c>
      <c r="Y322" s="49" t="s">
        <v>206</v>
      </c>
      <c r="Z322" s="49" t="s">
        <v>2416</v>
      </c>
      <c r="AA322" s="49" t="s">
        <v>2417</v>
      </c>
      <c r="AB322" s="49" t="s">
        <v>1806</v>
      </c>
      <c r="AC322" s="49" t="s">
        <v>2412</v>
      </c>
      <c r="AD322" s="49" t="n">
        <v>5464806</v>
      </c>
      <c r="AE322" s="49" t="s">
        <v>14</v>
      </c>
      <c r="AF322" s="49" t="s">
        <v>2418</v>
      </c>
      <c r="AG322" s="49" t="s">
        <v>509</v>
      </c>
      <c r="AH322" s="49" t="s">
        <v>2419</v>
      </c>
      <c r="AI322" s="49"/>
      <c r="AJ322" s="49"/>
      <c r="AK322" s="49" t="s">
        <v>124</v>
      </c>
      <c r="AL322" s="49" t="s">
        <v>125</v>
      </c>
      <c r="AM322" s="51" t="n">
        <v>14150</v>
      </c>
      <c r="AN322" s="49"/>
      <c r="AO322" s="49" t="s">
        <v>125</v>
      </c>
      <c r="AP322" s="49" t="s">
        <v>220</v>
      </c>
      <c r="AQ322" s="49" t="s">
        <v>128</v>
      </c>
      <c r="AR322" s="49"/>
      <c r="AS322" s="49" t="s">
        <v>2420</v>
      </c>
      <c r="AT322" s="49"/>
      <c r="AU322" s="49"/>
      <c r="AV322" s="49"/>
      <c r="AW322" s="49" t="s">
        <v>2421</v>
      </c>
      <c r="AX322" s="49"/>
      <c r="AY322" s="49"/>
      <c r="AZ322" s="49"/>
      <c r="BA322" s="49"/>
      <c r="BB322" s="49" t="n">
        <v>80825573</v>
      </c>
      <c r="BC322" s="49" t="s">
        <v>134</v>
      </c>
      <c r="BD322" s="49" t="s">
        <v>135</v>
      </c>
      <c r="BE322" s="49" t="s">
        <v>2422</v>
      </c>
      <c r="BF322" s="49" t="s">
        <v>402</v>
      </c>
      <c r="BG322" s="49" t="s">
        <v>138</v>
      </c>
      <c r="BH322" s="49" t="s">
        <v>2423</v>
      </c>
      <c r="BI322" s="49" t="s">
        <v>134</v>
      </c>
      <c r="BJ322" s="49" t="s">
        <v>2424</v>
      </c>
      <c r="BK322" s="49"/>
      <c r="BL322" s="49"/>
      <c r="BM322" s="49"/>
      <c r="BN322" s="49" t="s">
        <v>142</v>
      </c>
      <c r="BO322" s="49" t="s">
        <v>338</v>
      </c>
    </row>
    <row r="323" ht="16.8" customHeight="1">
      <c r="A323" s="43" t="s">
        <v>25</v>
      </c>
      <c r="B323" s="49" t="n">
        <v>313</v>
      </c>
      <c r="C323" s="49" t="s">
        <v>103</v>
      </c>
      <c r="D323" s="49" t="s">
        <v>104</v>
      </c>
      <c r="E323" s="49" t="s">
        <v>2425</v>
      </c>
      <c r="F323" s="49" t="s">
        <v>2426</v>
      </c>
      <c r="G323" s="49" t="s">
        <v>385</v>
      </c>
      <c r="H323" s="49" t="s">
        <v>2427</v>
      </c>
      <c r="I323" s="49" t="s">
        <v>2428</v>
      </c>
      <c r="J323" s="49"/>
      <c r="K323" s="49" t="s">
        <v>214</v>
      </c>
      <c r="L323" s="49" t="s">
        <v>10</v>
      </c>
      <c r="M323" s="49" t="s">
        <v>111</v>
      </c>
      <c r="N323" s="49" t="s">
        <v>112</v>
      </c>
      <c r="O323" s="49" t="s">
        <v>388</v>
      </c>
      <c r="P323" s="49"/>
      <c r="Q323" s="49"/>
      <c r="R323" s="49" t="s">
        <v>2425</v>
      </c>
      <c r="S323" s="49" t="s">
        <v>10</v>
      </c>
      <c r="T323" s="49" t="s">
        <v>2429</v>
      </c>
      <c r="U323" s="49" t="s">
        <v>115</v>
      </c>
      <c r="V323" s="49" t="s">
        <v>2430</v>
      </c>
      <c r="W323" s="49" t="s">
        <v>117</v>
      </c>
      <c r="X323" s="49" t="s">
        <v>180</v>
      </c>
      <c r="Y323" s="49" t="s">
        <v>214</v>
      </c>
      <c r="Z323" s="49" t="s">
        <v>2431</v>
      </c>
      <c r="AA323" s="49" t="s">
        <v>2432</v>
      </c>
      <c r="AB323" s="49" t="s">
        <v>2433</v>
      </c>
      <c r="AC323" s="49" t="s">
        <v>2425</v>
      </c>
      <c r="AD323" s="49" t="n">
        <v>5436392</v>
      </c>
      <c r="AE323" s="49" t="s">
        <v>10</v>
      </c>
      <c r="AF323" s="49" t="s">
        <v>2434</v>
      </c>
      <c r="AG323" s="49" t="s">
        <v>10</v>
      </c>
      <c r="AH323" s="49" t="s">
        <v>2434</v>
      </c>
      <c r="AI323" s="49" t="s">
        <v>2435</v>
      </c>
      <c r="AJ323" s="49" t="s">
        <v>2267</v>
      </c>
      <c r="AK323" s="49" t="s">
        <v>124</v>
      </c>
      <c r="AL323" s="49" t="s">
        <v>125</v>
      </c>
      <c r="AM323" s="51" t="n">
        <v>13800</v>
      </c>
      <c r="AN323" s="49"/>
      <c r="AO323" s="49" t="s">
        <v>385</v>
      </c>
      <c r="AP323" s="49" t="s">
        <v>127</v>
      </c>
      <c r="AQ323" s="49" t="s">
        <v>128</v>
      </c>
      <c r="AR323" s="49" t="s">
        <v>280</v>
      </c>
      <c r="AS323" s="49" t="s">
        <v>2436</v>
      </c>
      <c r="AT323" s="49" t="s">
        <v>2437</v>
      </c>
      <c r="AU323" s="49" t="s">
        <v>666</v>
      </c>
      <c r="AV323" s="49"/>
      <c r="AW323" s="49" t="s">
        <v>2438</v>
      </c>
      <c r="AX323" s="49"/>
      <c r="AY323" s="49"/>
      <c r="AZ323" s="49"/>
      <c r="BA323" s="49"/>
      <c r="BB323" s="49" t="n">
        <v>52518415</v>
      </c>
      <c r="BC323" s="49" t="s">
        <v>134</v>
      </c>
      <c r="BD323" s="49" t="s">
        <v>191</v>
      </c>
      <c r="BE323" s="49" t="s">
        <v>2265</v>
      </c>
      <c r="BF323" s="49" t="s">
        <v>1720</v>
      </c>
      <c r="BG323" s="49"/>
      <c r="BH323" s="49" t="s">
        <v>194</v>
      </c>
      <c r="BI323" s="49" t="s">
        <v>140</v>
      </c>
      <c r="BJ323" s="49" t="s">
        <v>125</v>
      </c>
      <c r="BK323" s="49"/>
      <c r="BL323" s="49" t="s">
        <v>141</v>
      </c>
      <c r="BM323" s="49"/>
      <c r="BN323" s="49"/>
      <c r="BO323" s="49" t="s">
        <v>112</v>
      </c>
    </row>
    <row r="324" ht="16.8" customHeight="1">
      <c r="A324" s="43" t="s">
        <v>25</v>
      </c>
      <c r="B324" s="49" t="n">
        <v>314</v>
      </c>
      <c r="C324" s="49" t="s">
        <v>103</v>
      </c>
      <c r="D324" s="49" t="s">
        <v>104</v>
      </c>
      <c r="E324" s="49" t="s">
        <v>2425</v>
      </c>
      <c r="F324" s="49" t="s">
        <v>2426</v>
      </c>
      <c r="G324" s="49" t="s">
        <v>385</v>
      </c>
      <c r="H324" s="49" t="s">
        <v>2427</v>
      </c>
      <c r="I324" s="49" t="s">
        <v>2428</v>
      </c>
      <c r="J324" s="49"/>
      <c r="K324" s="49" t="s">
        <v>214</v>
      </c>
      <c r="L324" s="49" t="s">
        <v>10</v>
      </c>
      <c r="M324" s="49" t="s">
        <v>111</v>
      </c>
      <c r="N324" s="49" t="s">
        <v>112</v>
      </c>
      <c r="O324" s="49" t="s">
        <v>388</v>
      </c>
      <c r="P324" s="49"/>
      <c r="Q324" s="49"/>
      <c r="R324" s="49" t="s">
        <v>2425</v>
      </c>
      <c r="S324" s="49" t="s">
        <v>10</v>
      </c>
      <c r="T324" s="49" t="s">
        <v>2429</v>
      </c>
      <c r="U324" s="49" t="s">
        <v>115</v>
      </c>
      <c r="V324" s="49" t="s">
        <v>2430</v>
      </c>
      <c r="W324" s="49" t="s">
        <v>117</v>
      </c>
      <c r="X324" s="49" t="s">
        <v>180</v>
      </c>
      <c r="Y324" s="49" t="s">
        <v>214</v>
      </c>
      <c r="Z324" s="49" t="s">
        <v>2431</v>
      </c>
      <c r="AA324" s="49" t="s">
        <v>2432</v>
      </c>
      <c r="AB324" s="49" t="s">
        <v>2433</v>
      </c>
      <c r="AC324" s="49" t="s">
        <v>2425</v>
      </c>
      <c r="AD324" s="49" t="n">
        <v>5436392</v>
      </c>
      <c r="AE324" s="49" t="s">
        <v>10</v>
      </c>
      <c r="AF324" s="49" t="s">
        <v>2434</v>
      </c>
      <c r="AG324" s="49" t="s">
        <v>10</v>
      </c>
      <c r="AH324" s="49" t="s">
        <v>2434</v>
      </c>
      <c r="AI324" s="49" t="s">
        <v>2260</v>
      </c>
      <c r="AJ324" s="49" t="s">
        <v>2261</v>
      </c>
      <c r="AK324" s="49" t="s">
        <v>124</v>
      </c>
      <c r="AL324" s="49" t="s">
        <v>125</v>
      </c>
      <c r="AM324" s="51" t="n">
        <v>0</v>
      </c>
      <c r="AN324" s="49"/>
      <c r="AO324" s="49" t="s">
        <v>385</v>
      </c>
      <c r="AP324" s="49" t="s">
        <v>127</v>
      </c>
      <c r="AQ324" s="49" t="s">
        <v>128</v>
      </c>
      <c r="AR324" s="49" t="s">
        <v>280</v>
      </c>
      <c r="AS324" s="49" t="s">
        <v>2436</v>
      </c>
      <c r="AT324" s="49" t="s">
        <v>2439</v>
      </c>
      <c r="AU324" s="49" t="s">
        <v>666</v>
      </c>
      <c r="AV324" s="49"/>
      <c r="AW324" s="49" t="s">
        <v>2438</v>
      </c>
      <c r="AX324" s="49"/>
      <c r="AY324" s="49"/>
      <c r="AZ324" s="49"/>
      <c r="BA324" s="49"/>
      <c r="BB324" s="49" t="n">
        <v>52518415</v>
      </c>
      <c r="BC324" s="49" t="s">
        <v>134</v>
      </c>
      <c r="BD324" s="49" t="s">
        <v>191</v>
      </c>
      <c r="BE324" s="49" t="s">
        <v>2265</v>
      </c>
      <c r="BF324" s="49" t="s">
        <v>1720</v>
      </c>
      <c r="BG324" s="49"/>
      <c r="BH324" s="49" t="s">
        <v>194</v>
      </c>
      <c r="BI324" s="49" t="s">
        <v>140</v>
      </c>
      <c r="BJ324" s="49" t="s">
        <v>125</v>
      </c>
      <c r="BK324" s="49"/>
      <c r="BL324" s="49" t="s">
        <v>141</v>
      </c>
      <c r="BM324" s="49"/>
      <c r="BN324" s="49"/>
      <c r="BO324" s="49" t="s">
        <v>112</v>
      </c>
    </row>
    <row r="325" ht="16.8" customHeight="1">
      <c r="A325" s="43" t="s">
        <v>25</v>
      </c>
      <c r="B325" s="49" t="n">
        <v>315</v>
      </c>
      <c r="C325" s="49" t="s">
        <v>103</v>
      </c>
      <c r="D325" s="49" t="s">
        <v>104</v>
      </c>
      <c r="E325" s="49" t="s">
        <v>2440</v>
      </c>
      <c r="F325" s="49" t="s">
        <v>2441</v>
      </c>
      <c r="G325" s="49" t="s">
        <v>1475</v>
      </c>
      <c r="H325" s="49" t="s">
        <v>2442</v>
      </c>
      <c r="I325" s="49" t="s">
        <v>2443</v>
      </c>
      <c r="J325" s="49"/>
      <c r="K325" s="49" t="s">
        <v>174</v>
      </c>
      <c r="L325" s="49" t="s">
        <v>10</v>
      </c>
      <c r="M325" s="49" t="s">
        <v>111</v>
      </c>
      <c r="N325" s="49" t="s">
        <v>112</v>
      </c>
      <c r="O325" s="49" t="s">
        <v>1478</v>
      </c>
      <c r="P325" s="49"/>
      <c r="Q325" s="49"/>
      <c r="R325" s="49" t="s">
        <v>2440</v>
      </c>
      <c r="S325" s="49" t="s">
        <v>10</v>
      </c>
      <c r="T325" s="49" t="s">
        <v>2444</v>
      </c>
      <c r="U325" s="49" t="s">
        <v>115</v>
      </c>
      <c r="V325" s="49" t="s">
        <v>2445</v>
      </c>
      <c r="W325" s="49" t="s">
        <v>117</v>
      </c>
      <c r="X325" s="49" t="s">
        <v>391</v>
      </c>
      <c r="Y325" s="49" t="s">
        <v>174</v>
      </c>
      <c r="Z325" s="49" t="s">
        <v>1321</v>
      </c>
      <c r="AA325" s="49" t="s">
        <v>1133</v>
      </c>
      <c r="AB325" s="49" t="s">
        <v>353</v>
      </c>
      <c r="AC325" s="49" t="s">
        <v>2440</v>
      </c>
      <c r="AD325" s="49" t="n">
        <v>5434423</v>
      </c>
      <c r="AE325" s="49" t="s">
        <v>10</v>
      </c>
      <c r="AF325" s="49" t="s">
        <v>2446</v>
      </c>
      <c r="AG325" s="49" t="s">
        <v>10</v>
      </c>
      <c r="AH325" s="49" t="s">
        <v>2447</v>
      </c>
      <c r="AI325" s="49" t="s">
        <v>2448</v>
      </c>
      <c r="AJ325" s="49" t="s">
        <v>1585</v>
      </c>
      <c r="AK325" s="49" t="s">
        <v>124</v>
      </c>
      <c r="AL325" s="49" t="s">
        <v>125</v>
      </c>
      <c r="AM325" s="51" t="n">
        <v>13200</v>
      </c>
      <c r="AN325" s="49"/>
      <c r="AO325" s="49" t="s">
        <v>1475</v>
      </c>
      <c r="AP325" s="49" t="s">
        <v>127</v>
      </c>
      <c r="AQ325" s="49" t="s">
        <v>128</v>
      </c>
      <c r="AR325" s="49"/>
      <c r="AS325" s="49" t="s">
        <v>2449</v>
      </c>
      <c r="AT325" s="49"/>
      <c r="AU325" s="49" t="s">
        <v>684</v>
      </c>
      <c r="AV325" s="49"/>
      <c r="AW325" s="49" t="s">
        <v>2450</v>
      </c>
      <c r="AX325" s="49"/>
      <c r="AY325" s="49"/>
      <c r="AZ325" s="49"/>
      <c r="BA325" s="49"/>
      <c r="BB325" s="49" t="n">
        <v>49013179</v>
      </c>
      <c r="BC325" s="49" t="s">
        <v>134</v>
      </c>
      <c r="BD325" s="49" t="s">
        <v>191</v>
      </c>
      <c r="BE325" s="49" t="s">
        <v>401</v>
      </c>
      <c r="BF325" s="49" t="s">
        <v>1154</v>
      </c>
      <c r="BG325" s="49" t="s">
        <v>138</v>
      </c>
      <c r="BH325" s="49" t="s">
        <v>139</v>
      </c>
      <c r="BI325" s="49" t="s">
        <v>140</v>
      </c>
      <c r="BJ325" s="49" t="s">
        <v>125</v>
      </c>
      <c r="BK325" s="49"/>
      <c r="BL325" s="49"/>
      <c r="BM325" s="49"/>
      <c r="BN325" s="49" t="s">
        <v>142</v>
      </c>
      <c r="BO325" s="49" t="s">
        <v>112</v>
      </c>
    </row>
    <row r="326" ht="16.8" customHeight="1">
      <c r="A326" s="43" t="s">
        <v>25</v>
      </c>
      <c r="B326" s="49" t="n">
        <v>316</v>
      </c>
      <c r="C326" s="49" t="s">
        <v>103</v>
      </c>
      <c r="D326" s="49" t="s">
        <v>104</v>
      </c>
      <c r="E326" s="49" t="s">
        <v>2451</v>
      </c>
      <c r="F326" s="49" t="s">
        <v>2452</v>
      </c>
      <c r="G326" s="49" t="s">
        <v>980</v>
      </c>
      <c r="H326" s="49" t="s">
        <v>2453</v>
      </c>
      <c r="I326" s="49" t="s">
        <v>2454</v>
      </c>
      <c r="J326" s="49" t="s">
        <v>125</v>
      </c>
      <c r="K326" s="49" t="s">
        <v>239</v>
      </c>
      <c r="L326" s="49" t="s">
        <v>639</v>
      </c>
      <c r="M326" s="49" t="s">
        <v>111</v>
      </c>
      <c r="N326" s="49" t="s">
        <v>554</v>
      </c>
      <c r="O326" s="49" t="s">
        <v>2455</v>
      </c>
      <c r="P326" s="49" t="s">
        <v>639</v>
      </c>
      <c r="Q326" s="49" t="s">
        <v>2456</v>
      </c>
      <c r="R326" s="49" t="s">
        <v>2457</v>
      </c>
      <c r="S326" s="49" t="s">
        <v>14</v>
      </c>
      <c r="T326" s="49" t="s">
        <v>2458</v>
      </c>
      <c r="U326" s="49" t="s">
        <v>178</v>
      </c>
      <c r="V326" s="49" t="s">
        <v>2459</v>
      </c>
      <c r="W326" s="49" t="s">
        <v>117</v>
      </c>
      <c r="X326" s="49" t="s">
        <v>647</v>
      </c>
      <c r="Y326" s="49" t="s">
        <v>239</v>
      </c>
      <c r="Z326" s="49" t="s">
        <v>2460</v>
      </c>
      <c r="AA326" s="49" t="s">
        <v>2461</v>
      </c>
      <c r="AB326" s="49" t="s">
        <v>497</v>
      </c>
      <c r="AC326" s="49" t="s">
        <v>2457</v>
      </c>
      <c r="AD326" s="49" t="n">
        <v>5407050</v>
      </c>
      <c r="AE326" s="49" t="s">
        <v>14</v>
      </c>
      <c r="AF326" s="49" t="s">
        <v>2462</v>
      </c>
      <c r="AG326" s="49" t="s">
        <v>14</v>
      </c>
      <c r="AH326" s="49" t="s">
        <v>2462</v>
      </c>
      <c r="AI326" s="49" t="s">
        <v>1689</v>
      </c>
      <c r="AJ326" s="49" t="s">
        <v>656</v>
      </c>
      <c r="AK326" s="49" t="s">
        <v>124</v>
      </c>
      <c r="AL326" s="49" t="s">
        <v>125</v>
      </c>
      <c r="AM326" s="51" t="n">
        <v>5480</v>
      </c>
      <c r="AN326" s="49"/>
      <c r="AO326" s="49" t="s">
        <v>2455</v>
      </c>
      <c r="AP326" s="49" t="s">
        <v>187</v>
      </c>
      <c r="AQ326" s="49" t="s">
        <v>128</v>
      </c>
      <c r="AR326" s="49" t="s">
        <v>1062</v>
      </c>
      <c r="AS326" s="49" t="s">
        <v>2463</v>
      </c>
      <c r="AT326" s="49" t="s">
        <v>2464</v>
      </c>
      <c r="AU326" s="49" t="s">
        <v>684</v>
      </c>
      <c r="AV326" s="49"/>
      <c r="AW326" s="49" t="s">
        <v>2465</v>
      </c>
      <c r="AX326" s="49"/>
      <c r="AY326" s="49"/>
      <c r="AZ326" s="49"/>
      <c r="BA326" s="49"/>
      <c r="BB326" s="49" t="n">
        <v>69486551</v>
      </c>
      <c r="BC326" s="49" t="s">
        <v>134</v>
      </c>
      <c r="BD326" s="49" t="s">
        <v>655</v>
      </c>
      <c r="BE326" s="49" t="s">
        <v>656</v>
      </c>
      <c r="BF326" s="49" t="s">
        <v>125</v>
      </c>
      <c r="BG326" s="49"/>
      <c r="BH326" s="49" t="s">
        <v>534</v>
      </c>
      <c r="BI326" s="49" t="s">
        <v>140</v>
      </c>
      <c r="BJ326" s="49" t="s">
        <v>125</v>
      </c>
      <c r="BK326" s="49"/>
      <c r="BL326" s="49" t="s">
        <v>141</v>
      </c>
      <c r="BM326" s="49"/>
      <c r="BN326" s="49"/>
      <c r="BO326" s="49"/>
    </row>
  </sheetData>
  <autoFilter ref="A10:BP326"/>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1640625" defaultRowHeight="16.8" customHeight="1"/>
  <cols>
    <col min="6" max="6" width="31.8310546875" customWidth="1" style="24"/>
    <col min="7" max="29" width="9.1640625" hidden="1" customWidth="1" style="24"/>
    <col min="30" max="30" width="10.8310546875" hidden="1" customWidth="1" style="24"/>
    <col min="31" max="36" width="9.1640625" hidden="1" customWidth="1" style="24"/>
    <col min="37" max="37" width="9.1640625" style="24"/>
    <col min="38" max="38" width="19.3330078125" customWidth="1" style="24"/>
    <col min="39" max="39" width="21.6650390625" customWidth="1" style="25"/>
    <col min="40" max="40" width="13.998046875" customWidth="1" style="24"/>
    <col min="41" max="41" width="12" hidden="1" customWidth="1" style="24"/>
    <col min="42" max="42" width="16.998046875" style="26"/>
    <col min="43" max="43" width="15.9990234375" customWidth="1" style="27"/>
    <col min="48" max="48" width="14.666015625" style="47"/>
    <col min="50" max="50" width="15.498046875" style="47"/>
    <col min="51" max="51" width="14.666015625" customWidth="1" style="47"/>
  </cols>
  <sheetData>
    <row r="1" ht="16.8" customHeight="1">
      <c r="A1" s="28" t="s">
        <v>2466</v>
      </c>
      <c r="B1" s="28" t="s">
        <v>2467</v>
      </c>
      <c r="C1" s="28" t="s">
        <v>2468</v>
      </c>
      <c r="D1" s="28" t="s">
        <v>2469</v>
      </c>
      <c r="E1" s="28" t="s">
        <v>2470</v>
      </c>
      <c r="F1" s="29" t="s">
        <v>23</v>
      </c>
      <c r="G1" s="29" t="s">
        <v>2471</v>
      </c>
      <c r="H1" s="29" t="s">
        <v>2472</v>
      </c>
      <c r="I1" s="29" t="s">
        <v>2473</v>
      </c>
      <c r="J1" s="29" t="s">
        <v>2474</v>
      </c>
      <c r="K1" s="29" t="s">
        <v>2475</v>
      </c>
      <c r="L1" s="29" t="s">
        <v>2476</v>
      </c>
      <c r="M1" s="29" t="s">
        <v>2477</v>
      </c>
      <c r="N1" s="29" t="s">
        <v>2478</v>
      </c>
      <c r="O1" s="29" t="s">
        <v>2479</v>
      </c>
      <c r="P1" s="29" t="s">
        <v>2480</v>
      </c>
      <c r="Q1" s="29" t="s">
        <v>2481</v>
      </c>
      <c r="R1" s="29" t="s">
        <v>2482</v>
      </c>
      <c r="S1" s="29" t="s">
        <v>2483</v>
      </c>
      <c r="T1" s="29" t="s">
        <v>2484</v>
      </c>
      <c r="U1" s="29" t="s">
        <v>2485</v>
      </c>
      <c r="V1" s="29" t="s">
        <v>2486</v>
      </c>
      <c r="W1" s="29" t="s">
        <v>2487</v>
      </c>
      <c r="X1" s="29" t="s">
        <v>2488</v>
      </c>
      <c r="Y1" s="29" t="s">
        <v>2489</v>
      </c>
      <c r="Z1" s="29" t="s">
        <v>2490</v>
      </c>
      <c r="AA1" s="29" t="s">
        <v>2491</v>
      </c>
      <c r="AB1" s="29" t="s">
        <v>2492</v>
      </c>
      <c r="AC1" s="29" t="s">
        <v>2493</v>
      </c>
      <c r="AD1" s="29" t="s">
        <v>2494</v>
      </c>
      <c r="AE1" s="29" t="s">
        <v>2495</v>
      </c>
      <c r="AF1" s="29" t="s">
        <v>2496</v>
      </c>
      <c r="AG1" s="29" t="s">
        <v>40</v>
      </c>
      <c r="AH1" s="29" t="s">
        <v>2497</v>
      </c>
      <c r="AI1" s="29" t="s">
        <v>2498</v>
      </c>
      <c r="AJ1" s="29" t="s">
        <v>63</v>
      </c>
      <c r="AK1" s="29" t="s">
        <v>2499</v>
      </c>
      <c r="AL1" s="29" t="s">
        <v>2500</v>
      </c>
      <c r="AM1" s="31" t="s">
        <v>2501</v>
      </c>
      <c r="AN1" s="29" t="s">
        <v>2502</v>
      </c>
      <c r="AO1" s="29" t="s">
        <v>86</v>
      </c>
      <c r="AP1" s="37" t="s">
        <v>2503</v>
      </c>
      <c r="AQ1" s="38" t="s">
        <v>2504</v>
      </c>
      <c r="AR1" s="28" t="s">
        <v>2505</v>
      </c>
      <c r="AS1" s="28" t="s">
        <v>2506</v>
      </c>
      <c r="AT1" s="28" t="s">
        <v>2507</v>
      </c>
      <c r="AU1" s="28" t="s">
        <v>2508</v>
      </c>
      <c r="AV1" s="28" t="s">
        <v>2509</v>
      </c>
      <c r="AW1" s="28" t="s">
        <v>2509</v>
      </c>
    </row>
    <row r="2" ht="16.8" customHeight="1">
      <c r="A2" s="28" t="s">
        <v>2510</v>
      </c>
      <c r="B2" s="28" t="s">
        <v>2511</v>
      </c>
      <c r="C2" s="28"/>
      <c r="D2" s="28" t="s">
        <v>2212</v>
      </c>
      <c r="E2" s="28"/>
      <c r="F2" s="29" t="s">
        <v>14</v>
      </c>
      <c r="G2" s="29"/>
      <c r="H2" s="29" t="s">
        <v>1037</v>
      </c>
      <c r="I2" s="29" t="s">
        <v>2512</v>
      </c>
      <c r="J2" s="29"/>
      <c r="K2" s="29"/>
      <c r="L2" s="29"/>
      <c r="M2" s="29"/>
      <c r="N2" s="29"/>
      <c r="O2" s="29"/>
      <c r="P2" s="29"/>
      <c r="Q2" s="29"/>
      <c r="R2" s="29"/>
      <c r="S2" s="29"/>
      <c r="T2" s="29"/>
      <c r="U2" s="29"/>
      <c r="V2" s="29"/>
      <c r="W2" s="29"/>
      <c r="X2" s="29"/>
      <c r="Y2" s="29"/>
      <c r="Z2" s="29"/>
      <c r="AA2" s="29"/>
      <c r="AB2" s="29"/>
      <c r="AC2" s="29"/>
      <c r="AD2" s="30" t="n">
        <v>9940.4</v>
      </c>
      <c r="AE2" s="29" t="s">
        <v>2513</v>
      </c>
      <c r="AF2" s="29" t="s">
        <v>666</v>
      </c>
      <c r="AG2" s="29"/>
      <c r="AH2" s="29"/>
      <c r="AI2" s="29"/>
      <c r="AJ2" s="29"/>
      <c r="AK2" s="29" t="s">
        <v>2212</v>
      </c>
      <c r="AL2" s="29"/>
      <c r="AM2" s="31" t="s">
        <v>271</v>
      </c>
      <c r="AN2" s="29" t="s">
        <v>281</v>
      </c>
      <c r="AO2" s="29"/>
      <c r="AP2" s="37" t="n">
        <v>9940.4</v>
      </c>
      <c r="AQ2" s="38" t="s">
        <v>2510</v>
      </c>
      <c r="AR2" s="28" t="s">
        <v>2514</v>
      </c>
      <c r="AS2" s="28"/>
      <c r="AT2" s="28"/>
      <c r="AU2" s="28" t="s">
        <v>2515</v>
      </c>
      <c r="AV2" s="28"/>
      <c r="AW2" s="28"/>
    </row>
    <row r="3" ht="16.8" customHeight="1">
      <c r="A3" s="28" t="s">
        <v>2516</v>
      </c>
      <c r="B3" s="28" t="s">
        <v>2511</v>
      </c>
      <c r="C3" s="28"/>
      <c r="D3" s="28" t="s">
        <v>107</v>
      </c>
      <c r="E3" s="28"/>
      <c r="F3" s="29" t="s">
        <v>14</v>
      </c>
      <c r="G3" s="29"/>
      <c r="H3" s="29" t="s">
        <v>1037</v>
      </c>
      <c r="I3" s="29" t="s">
        <v>2517</v>
      </c>
      <c r="J3" s="29"/>
      <c r="K3" s="29"/>
      <c r="L3" s="29"/>
      <c r="M3" s="29"/>
      <c r="N3" s="29"/>
      <c r="O3" s="29"/>
      <c r="P3" s="29"/>
      <c r="Q3" s="29"/>
      <c r="R3" s="29"/>
      <c r="S3" s="29"/>
      <c r="T3" s="29"/>
      <c r="U3" s="29"/>
      <c r="V3" s="29"/>
      <c r="W3" s="29"/>
      <c r="X3" s="29"/>
      <c r="Y3" s="29"/>
      <c r="Z3" s="29"/>
      <c r="AA3" s="29"/>
      <c r="AB3" s="29"/>
      <c r="AC3" s="29"/>
      <c r="AD3" s="30" t="n">
        <v>6911.7</v>
      </c>
      <c r="AE3" s="29" t="s">
        <v>2518</v>
      </c>
      <c r="AF3" s="29" t="s">
        <v>283</v>
      </c>
      <c r="AG3" s="29"/>
      <c r="AH3" s="29"/>
      <c r="AI3" s="29"/>
      <c r="AJ3" s="29"/>
      <c r="AK3" s="29" t="s">
        <v>107</v>
      </c>
      <c r="AL3" s="29"/>
      <c r="AM3" s="31" t="s">
        <v>271</v>
      </c>
      <c r="AN3" s="29" t="s">
        <v>281</v>
      </c>
      <c r="AO3" s="29"/>
      <c r="AP3" s="37" t="n">
        <v>6911.7</v>
      </c>
      <c r="AQ3" s="38" t="s">
        <v>2516</v>
      </c>
      <c r="AR3" s="28" t="s">
        <v>2514</v>
      </c>
      <c r="AS3" s="28"/>
      <c r="AT3" s="28"/>
      <c r="AU3" s="28" t="s">
        <v>2515</v>
      </c>
      <c r="AV3" s="28"/>
      <c r="AW3" s="28"/>
    </row>
    <row r="4" ht="16.8" customHeight="1">
      <c r="A4" s="28" t="s">
        <v>2510</v>
      </c>
      <c r="B4" s="28" t="s">
        <v>2519</v>
      </c>
      <c r="C4" s="28" t="s">
        <v>2520</v>
      </c>
      <c r="D4" s="28" t="s">
        <v>2521</v>
      </c>
      <c r="E4" s="28"/>
      <c r="F4" s="29" t="s">
        <v>14</v>
      </c>
      <c r="G4" s="29"/>
      <c r="H4" s="29" t="s">
        <v>112</v>
      </c>
      <c r="I4" s="29" t="s">
        <v>2512</v>
      </c>
      <c r="J4" s="29"/>
      <c r="K4" s="29" t="s">
        <v>2522</v>
      </c>
      <c r="L4" s="29"/>
      <c r="M4" s="29" t="s">
        <v>2523</v>
      </c>
      <c r="N4" s="29"/>
      <c r="O4" s="29"/>
      <c r="P4" s="29"/>
      <c r="Q4" s="29"/>
      <c r="R4" s="29"/>
      <c r="S4" s="29"/>
      <c r="T4" s="29"/>
      <c r="U4" s="29"/>
      <c r="V4" s="29"/>
      <c r="W4" s="29"/>
      <c r="X4" s="29"/>
      <c r="Y4" s="29"/>
      <c r="Z4" s="29" t="s">
        <v>2524</v>
      </c>
      <c r="AA4" s="29"/>
      <c r="AB4" s="29" t="s">
        <v>2525</v>
      </c>
      <c r="AC4" s="29"/>
      <c r="AD4" s="29"/>
      <c r="AE4" s="29"/>
      <c r="AF4" s="29" t="s">
        <v>2325</v>
      </c>
      <c r="AG4" s="29"/>
      <c r="AH4" s="29"/>
      <c r="AI4" s="29"/>
      <c r="AJ4" s="29"/>
      <c r="AK4" s="29" t="s">
        <v>2521</v>
      </c>
      <c r="AL4" s="29" t="s">
        <v>2526</v>
      </c>
      <c r="AM4" s="31" t="s">
        <v>271</v>
      </c>
      <c r="AN4" s="29" t="s">
        <v>281</v>
      </c>
      <c r="AO4" s="30" t="n">
        <v>2550</v>
      </c>
      <c r="AP4" s="37" t="n">
        <v>2550</v>
      </c>
      <c r="AQ4" s="38" t="s">
        <v>2527</v>
      </c>
      <c r="AR4" s="195" t="s">
        <v>2528</v>
      </c>
      <c r="AS4" s="28"/>
      <c r="AT4" s="28"/>
      <c r="AU4" s="28" t="s">
        <v>2515</v>
      </c>
      <c r="AV4" s="28"/>
      <c r="AW4" s="28"/>
    </row>
    <row r="5" ht="16.8" customHeight="1">
      <c r="A5" s="28" t="s">
        <v>2510</v>
      </c>
      <c r="B5" s="28" t="s">
        <v>2519</v>
      </c>
      <c r="C5" s="28" t="s">
        <v>2529</v>
      </c>
      <c r="D5" s="28" t="s">
        <v>2530</v>
      </c>
      <c r="E5" s="28"/>
      <c r="F5" s="29" t="s">
        <v>14</v>
      </c>
      <c r="G5" s="29"/>
      <c r="H5" s="29" t="s">
        <v>234</v>
      </c>
      <c r="I5" s="29" t="s">
        <v>2531</v>
      </c>
      <c r="J5" s="29"/>
      <c r="K5" s="29" t="s">
        <v>2532</v>
      </c>
      <c r="L5" s="29" t="s">
        <v>2533</v>
      </c>
      <c r="M5" s="29"/>
      <c r="N5" s="29"/>
      <c r="O5" s="29"/>
      <c r="P5" s="29" t="s">
        <v>2534</v>
      </c>
      <c r="Q5" s="29"/>
      <c r="R5" s="29"/>
      <c r="S5" s="29"/>
      <c r="T5" s="29"/>
      <c r="U5" s="29"/>
      <c r="V5" s="29"/>
      <c r="W5" s="29"/>
      <c r="X5" s="29"/>
      <c r="Y5" s="29"/>
      <c r="Z5" s="29"/>
      <c r="AA5" s="29"/>
      <c r="AB5" s="29" t="s">
        <v>2535</v>
      </c>
      <c r="AC5" s="29"/>
      <c r="AD5" s="29"/>
      <c r="AE5" s="29"/>
      <c r="AF5" s="29" t="s">
        <v>666</v>
      </c>
      <c r="AG5" s="29"/>
      <c r="AH5" s="29"/>
      <c r="AI5" s="29"/>
      <c r="AJ5" s="29"/>
      <c r="AK5" s="29" t="s">
        <v>2530</v>
      </c>
      <c r="AL5" s="29" t="s">
        <v>2526</v>
      </c>
      <c r="AM5" s="31" t="s">
        <v>2536</v>
      </c>
      <c r="AN5" s="29" t="s">
        <v>2537</v>
      </c>
      <c r="AO5" s="30" t="n">
        <v>44620</v>
      </c>
      <c r="AP5" s="37" t="n">
        <v>44620</v>
      </c>
      <c r="AQ5" s="38" t="s">
        <v>2538</v>
      </c>
      <c r="AR5" s="196" t="s">
        <v>2539</v>
      </c>
      <c r="AS5" s="28"/>
      <c r="AT5" s="28"/>
      <c r="AU5" s="28" t="s">
        <v>2515</v>
      </c>
      <c r="AV5" s="28"/>
      <c r="AW5" s="28"/>
    </row>
    <row r="6" ht="16.8" customHeight="1">
      <c r="A6" s="28" t="s">
        <v>2510</v>
      </c>
      <c r="B6" s="28" t="s">
        <v>2519</v>
      </c>
      <c r="C6" s="28" t="s">
        <v>2540</v>
      </c>
      <c r="D6" s="28" t="s">
        <v>2530</v>
      </c>
      <c r="E6" s="28"/>
      <c r="F6" s="29" t="s">
        <v>14</v>
      </c>
      <c r="G6" s="29"/>
      <c r="H6" s="29" t="s">
        <v>234</v>
      </c>
      <c r="I6" s="29" t="s">
        <v>2531</v>
      </c>
      <c r="J6" s="29"/>
      <c r="K6" s="29" t="s">
        <v>2532</v>
      </c>
      <c r="L6" s="29" t="s">
        <v>2533</v>
      </c>
      <c r="M6" s="29"/>
      <c r="N6" s="29"/>
      <c r="O6" s="29"/>
      <c r="P6" s="29" t="s">
        <v>2534</v>
      </c>
      <c r="Q6" s="29"/>
      <c r="R6" s="29"/>
      <c r="S6" s="29"/>
      <c r="T6" s="29"/>
      <c r="U6" s="29"/>
      <c r="V6" s="29"/>
      <c r="W6" s="29"/>
      <c r="X6" s="29"/>
      <c r="Y6" s="29"/>
      <c r="Z6" s="29"/>
      <c r="AA6" s="29"/>
      <c r="AB6" s="29" t="s">
        <v>2535</v>
      </c>
      <c r="AC6" s="29"/>
      <c r="AD6" s="29"/>
      <c r="AE6" s="29"/>
      <c r="AF6" s="29" t="s">
        <v>666</v>
      </c>
      <c r="AG6" s="29"/>
      <c r="AH6" s="29"/>
      <c r="AI6" s="29"/>
      <c r="AJ6" s="29"/>
      <c r="AK6" s="29" t="s">
        <v>2530</v>
      </c>
      <c r="AL6" s="29" t="s">
        <v>2526</v>
      </c>
      <c r="AM6" s="31" t="s">
        <v>2536</v>
      </c>
      <c r="AN6" s="29" t="s">
        <v>2537</v>
      </c>
      <c r="AO6" s="30" t="n">
        <v>380</v>
      </c>
      <c r="AP6" s="37" t="n">
        <v>380</v>
      </c>
      <c r="AQ6" s="38" t="s">
        <v>2538</v>
      </c>
      <c r="AR6" s="197" t="s">
        <v>2539</v>
      </c>
      <c r="AS6" s="28"/>
      <c r="AT6" s="28"/>
      <c r="AU6" s="28" t="s">
        <v>2515</v>
      </c>
      <c r="AV6" s="28"/>
      <c r="AW6" s="28"/>
    </row>
    <row r="7" ht="16.8" customHeight="1">
      <c r="A7" s="28" t="s">
        <v>2541</v>
      </c>
      <c r="B7" s="28" t="s">
        <v>2511</v>
      </c>
      <c r="C7" s="28"/>
      <c r="D7" s="28" t="s">
        <v>2542</v>
      </c>
      <c r="E7" s="28"/>
      <c r="F7" s="29" t="s">
        <v>14</v>
      </c>
      <c r="G7" s="29"/>
      <c r="H7" s="29" t="s">
        <v>208</v>
      </c>
      <c r="I7" s="29" t="s">
        <v>2517</v>
      </c>
      <c r="J7" s="29"/>
      <c r="K7" s="29"/>
      <c r="L7" s="29"/>
      <c r="M7" s="29"/>
      <c r="N7" s="29"/>
      <c r="O7" s="29"/>
      <c r="P7" s="29"/>
      <c r="Q7" s="29"/>
      <c r="R7" s="29"/>
      <c r="S7" s="29"/>
      <c r="T7" s="29"/>
      <c r="U7" s="29"/>
      <c r="V7" s="29"/>
      <c r="W7" s="29"/>
      <c r="X7" s="29"/>
      <c r="Y7" s="29"/>
      <c r="Z7" s="29"/>
      <c r="AA7" s="29"/>
      <c r="AB7" s="29"/>
      <c r="AC7" s="29"/>
      <c r="AD7" s="30" t="n">
        <v>9959.6</v>
      </c>
      <c r="AE7" s="29" t="s">
        <v>2543</v>
      </c>
      <c r="AF7" s="29" t="s">
        <v>2141</v>
      </c>
      <c r="AG7" s="29"/>
      <c r="AH7" s="29"/>
      <c r="AI7" s="29"/>
      <c r="AJ7" s="29"/>
      <c r="AK7" s="29" t="s">
        <v>2542</v>
      </c>
      <c r="AL7" s="29"/>
      <c r="AM7" s="31" t="s">
        <v>2544</v>
      </c>
      <c r="AN7" s="198" t="s">
        <v>2545</v>
      </c>
      <c r="AO7" s="29"/>
      <c r="AP7" s="37" t="n">
        <v>9959.6</v>
      </c>
      <c r="AQ7" s="38" t="s">
        <v>2541</v>
      </c>
      <c r="AR7" s="28" t="s">
        <v>2514</v>
      </c>
      <c r="AS7" s="28"/>
      <c r="AT7" s="28"/>
      <c r="AU7" s="28" t="s">
        <v>2515</v>
      </c>
      <c r="AV7" s="28"/>
      <c r="AW7" s="28"/>
    </row>
    <row r="8" ht="16.8" customHeight="1">
      <c r="A8" s="28" t="s">
        <v>2541</v>
      </c>
      <c r="B8" s="28" t="s">
        <v>2519</v>
      </c>
      <c r="C8" s="28" t="s">
        <v>2546</v>
      </c>
      <c r="D8" s="28" t="s">
        <v>2547</v>
      </c>
      <c r="E8" s="28"/>
      <c r="F8" s="29" t="s">
        <v>14</v>
      </c>
      <c r="G8" s="29"/>
      <c r="H8" s="29" t="s">
        <v>608</v>
      </c>
      <c r="I8" s="29" t="s">
        <v>2531</v>
      </c>
      <c r="J8" s="29" t="s">
        <v>2548</v>
      </c>
      <c r="K8" s="29" t="s">
        <v>2522</v>
      </c>
      <c r="L8" s="29"/>
      <c r="M8" s="29" t="s">
        <v>2549</v>
      </c>
      <c r="N8" s="29"/>
      <c r="O8" s="29"/>
      <c r="P8" s="29"/>
      <c r="Q8" s="29"/>
      <c r="R8" s="29"/>
      <c r="S8" s="29"/>
      <c r="T8" s="29"/>
      <c r="U8" s="29"/>
      <c r="V8" s="29"/>
      <c r="W8" s="29"/>
      <c r="X8" s="29" t="s">
        <v>2550</v>
      </c>
      <c r="Y8" s="29"/>
      <c r="Z8" s="29"/>
      <c r="AA8" s="29"/>
      <c r="AB8" s="29" t="s">
        <v>2551</v>
      </c>
      <c r="AC8" s="29" t="s">
        <v>2552</v>
      </c>
      <c r="AD8" s="29"/>
      <c r="AE8" s="29"/>
      <c r="AF8" s="29" t="s">
        <v>2141</v>
      </c>
      <c r="AG8" s="29"/>
      <c r="AH8" s="29"/>
      <c r="AI8" s="29"/>
      <c r="AJ8" s="29"/>
      <c r="AK8" s="29" t="s">
        <v>2547</v>
      </c>
      <c r="AL8" s="29" t="s">
        <v>2553</v>
      </c>
      <c r="AM8" s="31" t="s">
        <v>2069</v>
      </c>
      <c r="AN8" s="29" t="s">
        <v>2081</v>
      </c>
      <c r="AO8" s="30" t="n">
        <v>4960</v>
      </c>
      <c r="AP8" s="37" t="n">
        <v>4960</v>
      </c>
      <c r="AQ8" s="38" t="s">
        <v>2554</v>
      </c>
      <c r="AR8" s="28" t="s">
        <v>2555</v>
      </c>
      <c r="AS8" s="28"/>
      <c r="AT8" s="28"/>
      <c r="AU8" s="28" t="s">
        <v>2515</v>
      </c>
      <c r="AV8" s="28"/>
      <c r="AW8" s="28"/>
    </row>
    <row r="9" ht="16.8" customHeight="1">
      <c r="A9" s="28" t="s">
        <v>2541</v>
      </c>
      <c r="B9" s="28" t="s">
        <v>2519</v>
      </c>
      <c r="C9" s="28" t="s">
        <v>2556</v>
      </c>
      <c r="D9" s="28" t="s">
        <v>2547</v>
      </c>
      <c r="E9" s="28"/>
      <c r="F9" s="29" t="s">
        <v>14</v>
      </c>
      <c r="G9" s="29"/>
      <c r="H9" s="29" t="s">
        <v>608</v>
      </c>
      <c r="I9" s="29" t="s">
        <v>2531</v>
      </c>
      <c r="J9" s="29" t="s">
        <v>2548</v>
      </c>
      <c r="K9" s="29" t="s">
        <v>2522</v>
      </c>
      <c r="L9" s="29"/>
      <c r="M9" s="29" t="s">
        <v>2549</v>
      </c>
      <c r="N9" s="29"/>
      <c r="O9" s="29"/>
      <c r="P9" s="29"/>
      <c r="Q9" s="29"/>
      <c r="R9" s="29"/>
      <c r="S9" s="29"/>
      <c r="T9" s="29"/>
      <c r="U9" s="29"/>
      <c r="V9" s="29"/>
      <c r="W9" s="29"/>
      <c r="X9" s="29" t="s">
        <v>2550</v>
      </c>
      <c r="Y9" s="29"/>
      <c r="Z9" s="29"/>
      <c r="AA9" s="29"/>
      <c r="AB9" s="29" t="s">
        <v>2551</v>
      </c>
      <c r="AC9" s="29" t="s">
        <v>2552</v>
      </c>
      <c r="AD9" s="29"/>
      <c r="AE9" s="29"/>
      <c r="AF9" s="29" t="s">
        <v>2141</v>
      </c>
      <c r="AG9" s="29"/>
      <c r="AH9" s="29"/>
      <c r="AI9" s="29"/>
      <c r="AJ9" s="29"/>
      <c r="AK9" s="29" t="s">
        <v>2547</v>
      </c>
      <c r="AL9" s="29" t="s">
        <v>2553</v>
      </c>
      <c r="AM9" s="31" t="s">
        <v>2069</v>
      </c>
      <c r="AN9" s="29" t="s">
        <v>2081</v>
      </c>
      <c r="AO9" s="30" t="n">
        <v>11879</v>
      </c>
      <c r="AP9" s="37" t="n">
        <v>11879</v>
      </c>
      <c r="AQ9" s="38" t="s">
        <v>2554</v>
      </c>
      <c r="AR9" s="28" t="s">
        <v>2555</v>
      </c>
      <c r="AS9" s="28"/>
      <c r="AT9" s="28"/>
      <c r="AU9" s="28" t="s">
        <v>2515</v>
      </c>
      <c r="AV9" s="28"/>
      <c r="AW9" s="28"/>
    </row>
    <row r="10" ht="16.8" customHeight="1">
      <c r="A10" s="28" t="s">
        <v>2541</v>
      </c>
      <c r="B10" s="28" t="s">
        <v>2519</v>
      </c>
      <c r="C10" s="28" t="s">
        <v>2557</v>
      </c>
      <c r="D10" s="28" t="s">
        <v>2547</v>
      </c>
      <c r="E10" s="28"/>
      <c r="F10" s="29" t="s">
        <v>14</v>
      </c>
      <c r="G10" s="29"/>
      <c r="H10" s="29" t="s">
        <v>608</v>
      </c>
      <c r="I10" s="29" t="s">
        <v>2531</v>
      </c>
      <c r="J10" s="29" t="s">
        <v>2548</v>
      </c>
      <c r="K10" s="29" t="s">
        <v>2522</v>
      </c>
      <c r="L10" s="29"/>
      <c r="M10" s="29" t="s">
        <v>2549</v>
      </c>
      <c r="N10" s="29"/>
      <c r="O10" s="29"/>
      <c r="P10" s="29"/>
      <c r="Q10" s="29"/>
      <c r="R10" s="29"/>
      <c r="S10" s="29"/>
      <c r="T10" s="29"/>
      <c r="U10" s="29"/>
      <c r="V10" s="29"/>
      <c r="W10" s="29"/>
      <c r="X10" s="29" t="s">
        <v>2550</v>
      </c>
      <c r="Y10" s="29"/>
      <c r="Z10" s="29"/>
      <c r="AA10" s="29"/>
      <c r="AB10" s="29" t="s">
        <v>2551</v>
      </c>
      <c r="AC10" s="29" t="s">
        <v>2552</v>
      </c>
      <c r="AD10" s="29"/>
      <c r="AE10" s="29"/>
      <c r="AF10" s="29" t="s">
        <v>2141</v>
      </c>
      <c r="AG10" s="29"/>
      <c r="AH10" s="29"/>
      <c r="AI10" s="29"/>
      <c r="AJ10" s="29"/>
      <c r="AK10" s="29" t="s">
        <v>2547</v>
      </c>
      <c r="AL10" s="29" t="s">
        <v>2553</v>
      </c>
      <c r="AM10" s="31" t="s">
        <v>2069</v>
      </c>
      <c r="AN10" s="29" t="s">
        <v>2081</v>
      </c>
      <c r="AO10" s="30" t="n">
        <v>5863</v>
      </c>
      <c r="AP10" s="37" t="n">
        <v>5863</v>
      </c>
      <c r="AQ10" s="38" t="s">
        <v>2554</v>
      </c>
      <c r="AR10" s="28" t="s">
        <v>2555</v>
      </c>
      <c r="AS10" s="28"/>
      <c r="AT10" s="28"/>
      <c r="AU10" s="28" t="s">
        <v>2515</v>
      </c>
      <c r="AV10" s="28"/>
      <c r="AW10" s="28"/>
    </row>
    <row r="11" ht="16.8" customHeight="1">
      <c r="A11" s="28" t="s">
        <v>2541</v>
      </c>
      <c r="B11" s="28" t="s">
        <v>2519</v>
      </c>
      <c r="C11" s="28" t="s">
        <v>2558</v>
      </c>
      <c r="D11" s="28" t="s">
        <v>1951</v>
      </c>
      <c r="E11" s="28"/>
      <c r="F11" s="29" t="s">
        <v>14</v>
      </c>
      <c r="G11" s="29"/>
      <c r="H11" s="29" t="s">
        <v>112</v>
      </c>
      <c r="I11" s="29" t="s">
        <v>2512</v>
      </c>
      <c r="J11" s="29" t="s">
        <v>2559</v>
      </c>
      <c r="K11" s="29" t="s">
        <v>2532</v>
      </c>
      <c r="L11" s="29" t="s">
        <v>2560</v>
      </c>
      <c r="M11" s="29"/>
      <c r="N11" s="29"/>
      <c r="O11" s="29"/>
      <c r="P11" s="29"/>
      <c r="Q11" s="29" t="s">
        <v>2550</v>
      </c>
      <c r="R11" s="29"/>
      <c r="S11" s="29"/>
      <c r="T11" s="29"/>
      <c r="U11" s="29"/>
      <c r="V11" s="29"/>
      <c r="W11" s="29"/>
      <c r="X11" s="29"/>
      <c r="Y11" s="29"/>
      <c r="Z11" s="29"/>
      <c r="AA11" s="29"/>
      <c r="AB11" s="29" t="s">
        <v>2561</v>
      </c>
      <c r="AC11" s="29" t="s">
        <v>2562</v>
      </c>
      <c r="AD11" s="29"/>
      <c r="AE11" s="29"/>
      <c r="AF11" s="29" t="s">
        <v>2141</v>
      </c>
      <c r="AG11" s="29"/>
      <c r="AH11" s="29"/>
      <c r="AI11" s="29"/>
      <c r="AJ11" s="29"/>
      <c r="AK11" s="29" t="s">
        <v>1951</v>
      </c>
      <c r="AL11" s="29" t="s">
        <v>2553</v>
      </c>
      <c r="AM11" s="31" t="s">
        <v>2563</v>
      </c>
      <c r="AN11" s="29" t="s">
        <v>2564</v>
      </c>
      <c r="AO11" s="30" t="n">
        <v>10000</v>
      </c>
      <c r="AP11" s="37" t="n">
        <v>5863</v>
      </c>
      <c r="AQ11" s="38" t="s">
        <v>2565</v>
      </c>
      <c r="AR11" s="28" t="s">
        <v>2566</v>
      </c>
      <c r="AS11" s="28"/>
      <c r="AT11" s="28"/>
      <c r="AU11" s="28" t="s">
        <v>2515</v>
      </c>
      <c r="AV11" s="28"/>
      <c r="AW11" s="28"/>
      <c r="AX11" s="47" t="s">
        <v>2567</v>
      </c>
      <c r="AY11" s="40" t="n">
        <v>10000</v>
      </c>
    </row>
    <row r="12" ht="16.8" customHeight="1">
      <c r="A12" s="28" t="s">
        <v>2568</v>
      </c>
      <c r="B12" s="28" t="s">
        <v>2519</v>
      </c>
      <c r="C12" s="28" t="s">
        <v>2569</v>
      </c>
      <c r="D12" s="28" t="s">
        <v>2570</v>
      </c>
      <c r="E12" s="28"/>
      <c r="F12" s="29" t="s">
        <v>14</v>
      </c>
      <c r="G12" s="29"/>
      <c r="H12" s="29" t="s">
        <v>1798</v>
      </c>
      <c r="I12" s="29" t="s">
        <v>2571</v>
      </c>
      <c r="J12" s="29"/>
      <c r="K12" s="29" t="s">
        <v>2522</v>
      </c>
      <c r="L12" s="29"/>
      <c r="M12" s="29" t="s">
        <v>2523</v>
      </c>
      <c r="N12" s="29"/>
      <c r="O12" s="29"/>
      <c r="P12" s="29"/>
      <c r="Q12" s="29"/>
      <c r="R12" s="29"/>
      <c r="S12" s="29"/>
      <c r="T12" s="29"/>
      <c r="U12" s="29"/>
      <c r="V12" s="29"/>
      <c r="W12" s="29"/>
      <c r="X12" s="29"/>
      <c r="Y12" s="29"/>
      <c r="Z12" s="29" t="s">
        <v>2524</v>
      </c>
      <c r="AA12" s="29"/>
      <c r="AB12" s="29" t="s">
        <v>2572</v>
      </c>
      <c r="AC12" s="29"/>
      <c r="AD12" s="29"/>
      <c r="AE12" s="29"/>
      <c r="AF12" s="29" t="s">
        <v>547</v>
      </c>
      <c r="AG12" s="29" t="s">
        <v>392</v>
      </c>
      <c r="AH12" s="29" t="s">
        <v>578</v>
      </c>
      <c r="AI12" s="29" t="s">
        <v>2573</v>
      </c>
      <c r="AJ12" s="29" t="s">
        <v>579</v>
      </c>
      <c r="AK12" s="29" t="s">
        <v>2570</v>
      </c>
      <c r="AL12" s="29" t="s">
        <v>2526</v>
      </c>
      <c r="AM12" s="31" t="s">
        <v>2574</v>
      </c>
      <c r="AN12" s="29" t="s">
        <v>2575</v>
      </c>
      <c r="AO12" s="30" t="n">
        <v>16900</v>
      </c>
      <c r="AP12" s="37" t="n">
        <f>AY12/2</f>
        <v>8450</v>
      </c>
      <c r="AQ12" s="38" t="s">
        <v>2576</v>
      </c>
      <c r="AR12" s="199" t="s">
        <v>2577</v>
      </c>
      <c r="AS12" s="28"/>
      <c r="AT12" s="28"/>
      <c r="AU12" s="28" t="s">
        <v>2515</v>
      </c>
      <c r="AW12" s="28"/>
      <c r="AX12" s="47" t="s">
        <v>2578</v>
      </c>
      <c r="AY12" s="40" t="n">
        <v>16900</v>
      </c>
    </row>
    <row r="13" ht="16.8" customHeight="1">
      <c r="A13" s="28" t="s">
        <v>2568</v>
      </c>
      <c r="B13" s="28" t="s">
        <v>2519</v>
      </c>
      <c r="C13" s="28" t="s">
        <v>2579</v>
      </c>
      <c r="D13" s="28" t="s">
        <v>2570</v>
      </c>
      <c r="E13" s="28"/>
      <c r="F13" s="29" t="s">
        <v>14</v>
      </c>
      <c r="G13" s="29"/>
      <c r="H13" s="29" t="s">
        <v>1798</v>
      </c>
      <c r="I13" s="29" t="s">
        <v>2571</v>
      </c>
      <c r="J13" s="29"/>
      <c r="K13" s="29" t="s">
        <v>2522</v>
      </c>
      <c r="L13" s="29"/>
      <c r="M13" s="29" t="s">
        <v>2523</v>
      </c>
      <c r="N13" s="29"/>
      <c r="O13" s="29"/>
      <c r="P13" s="29"/>
      <c r="Q13" s="29"/>
      <c r="R13" s="29"/>
      <c r="S13" s="29"/>
      <c r="T13" s="29"/>
      <c r="U13" s="29"/>
      <c r="V13" s="29"/>
      <c r="W13" s="29"/>
      <c r="X13" s="29"/>
      <c r="Y13" s="29"/>
      <c r="Z13" s="29" t="s">
        <v>2524</v>
      </c>
      <c r="AA13" s="29"/>
      <c r="AB13" s="29" t="s">
        <v>2572</v>
      </c>
      <c r="AC13" s="29"/>
      <c r="AD13" s="29"/>
      <c r="AE13" s="29"/>
      <c r="AF13" s="29" t="s">
        <v>547</v>
      </c>
      <c r="AG13" s="29" t="s">
        <v>392</v>
      </c>
      <c r="AH13" s="29" t="s">
        <v>578</v>
      </c>
      <c r="AI13" s="29" t="s">
        <v>2573</v>
      </c>
      <c r="AJ13" s="29" t="s">
        <v>579</v>
      </c>
      <c r="AK13" s="29" t="s">
        <v>2570</v>
      </c>
      <c r="AL13" s="29" t="s">
        <v>2526</v>
      </c>
      <c r="AM13" s="31" t="s">
        <v>2574</v>
      </c>
      <c r="AN13" s="29" t="s">
        <v>2575</v>
      </c>
      <c r="AO13" s="30" t="n">
        <v>4816.2</v>
      </c>
      <c r="AP13" s="37" t="n">
        <f>AY13/2</f>
        <v>2408.1</v>
      </c>
      <c r="AQ13" s="38" t="s">
        <v>2576</v>
      </c>
      <c r="AR13" s="200" t="s">
        <v>2577</v>
      </c>
      <c r="AS13" s="28"/>
      <c r="AT13" s="28"/>
      <c r="AU13" s="28" t="s">
        <v>2515</v>
      </c>
      <c r="AW13" s="28"/>
      <c r="AX13" s="47" t="s">
        <v>2578</v>
      </c>
      <c r="AY13" s="40" t="n">
        <v>4816.2</v>
      </c>
    </row>
    <row r="14" ht="16.8" customHeight="1">
      <c r="A14" s="28" t="s">
        <v>2568</v>
      </c>
      <c r="B14" s="28" t="s">
        <v>2519</v>
      </c>
      <c r="C14" s="28" t="s">
        <v>2580</v>
      </c>
      <c r="D14" s="28" t="s">
        <v>2570</v>
      </c>
      <c r="E14" s="28"/>
      <c r="F14" s="29" t="s">
        <v>14</v>
      </c>
      <c r="G14" s="29"/>
      <c r="H14" s="29" t="s">
        <v>1798</v>
      </c>
      <c r="I14" s="29" t="s">
        <v>2571</v>
      </c>
      <c r="J14" s="29"/>
      <c r="K14" s="29" t="s">
        <v>2522</v>
      </c>
      <c r="L14" s="29"/>
      <c r="M14" s="29" t="s">
        <v>2523</v>
      </c>
      <c r="N14" s="29"/>
      <c r="O14" s="29"/>
      <c r="P14" s="29"/>
      <c r="Q14" s="29"/>
      <c r="R14" s="29"/>
      <c r="S14" s="29"/>
      <c r="T14" s="29"/>
      <c r="U14" s="29"/>
      <c r="V14" s="29"/>
      <c r="W14" s="29"/>
      <c r="X14" s="29"/>
      <c r="Y14" s="29"/>
      <c r="Z14" s="29" t="s">
        <v>2524</v>
      </c>
      <c r="AA14" s="29"/>
      <c r="AB14" s="29" t="s">
        <v>2572</v>
      </c>
      <c r="AC14" s="29"/>
      <c r="AD14" s="29"/>
      <c r="AE14" s="29"/>
      <c r="AF14" s="29" t="s">
        <v>547</v>
      </c>
      <c r="AG14" s="29" t="s">
        <v>392</v>
      </c>
      <c r="AH14" s="29" t="s">
        <v>578</v>
      </c>
      <c r="AI14" s="29" t="s">
        <v>2573</v>
      </c>
      <c r="AJ14" s="29" t="s">
        <v>579</v>
      </c>
      <c r="AK14" s="29" t="s">
        <v>2570</v>
      </c>
      <c r="AL14" s="29" t="s">
        <v>2526</v>
      </c>
      <c r="AM14" s="31" t="s">
        <v>2574</v>
      </c>
      <c r="AN14" s="29" t="s">
        <v>2575</v>
      </c>
      <c r="AO14" s="30" t="n">
        <v>14855.3</v>
      </c>
      <c r="AP14" s="37" t="n">
        <f>AY14/2</f>
        <v>7427.65</v>
      </c>
      <c r="AQ14" s="38" t="s">
        <v>2576</v>
      </c>
      <c r="AR14" s="201" t="s">
        <v>2577</v>
      </c>
      <c r="AS14" s="28"/>
      <c r="AT14" s="28"/>
      <c r="AU14" s="28" t="s">
        <v>2515</v>
      </c>
      <c r="AW14" s="28"/>
      <c r="AX14" s="47" t="s">
        <v>2578</v>
      </c>
      <c r="AY14" s="40" t="n">
        <v>14855.3</v>
      </c>
    </row>
    <row r="15" ht="16.8" customHeight="1">
      <c r="A15" s="28" t="s">
        <v>2568</v>
      </c>
      <c r="B15" s="28" t="s">
        <v>2519</v>
      </c>
      <c r="C15" s="28" t="s">
        <v>2581</v>
      </c>
      <c r="D15" s="28" t="s">
        <v>2570</v>
      </c>
      <c r="E15" s="28"/>
      <c r="F15" s="29" t="s">
        <v>14</v>
      </c>
      <c r="G15" s="29"/>
      <c r="H15" s="29" t="s">
        <v>1798</v>
      </c>
      <c r="I15" s="29" t="s">
        <v>2571</v>
      </c>
      <c r="J15" s="29"/>
      <c r="K15" s="29" t="s">
        <v>2522</v>
      </c>
      <c r="L15" s="29"/>
      <c r="M15" s="29" t="s">
        <v>2523</v>
      </c>
      <c r="N15" s="29"/>
      <c r="O15" s="29"/>
      <c r="P15" s="29"/>
      <c r="Q15" s="29"/>
      <c r="R15" s="29"/>
      <c r="S15" s="29"/>
      <c r="T15" s="29"/>
      <c r="U15" s="29"/>
      <c r="V15" s="29"/>
      <c r="W15" s="29"/>
      <c r="X15" s="29"/>
      <c r="Y15" s="29"/>
      <c r="Z15" s="29" t="s">
        <v>2524</v>
      </c>
      <c r="AA15" s="29"/>
      <c r="AB15" s="29" t="s">
        <v>2572</v>
      </c>
      <c r="AC15" s="29"/>
      <c r="AD15" s="29"/>
      <c r="AE15" s="29"/>
      <c r="AF15" s="29" t="s">
        <v>547</v>
      </c>
      <c r="AG15" s="29" t="s">
        <v>392</v>
      </c>
      <c r="AH15" s="29" t="s">
        <v>578</v>
      </c>
      <c r="AI15" s="29" t="s">
        <v>2573</v>
      </c>
      <c r="AJ15" s="29" t="s">
        <v>579</v>
      </c>
      <c r="AK15" s="29" t="s">
        <v>2570</v>
      </c>
      <c r="AL15" s="29" t="s">
        <v>2526</v>
      </c>
      <c r="AM15" s="31" t="s">
        <v>2574</v>
      </c>
      <c r="AN15" s="29" t="s">
        <v>2575</v>
      </c>
      <c r="AO15" s="30" t="n">
        <v>5561.8</v>
      </c>
      <c r="AP15" s="37" t="n">
        <f>AY15/2</f>
        <v>2780.9</v>
      </c>
      <c r="AQ15" s="38" t="s">
        <v>2576</v>
      </c>
      <c r="AR15" s="202" t="s">
        <v>2577</v>
      </c>
      <c r="AS15" s="28"/>
      <c r="AT15" s="28"/>
      <c r="AU15" s="28" t="s">
        <v>2515</v>
      </c>
      <c r="AW15" s="28"/>
      <c r="AX15" s="47" t="s">
        <v>2578</v>
      </c>
      <c r="AY15" s="40" t="n">
        <v>5561.8</v>
      </c>
    </row>
    <row r="16" ht="16.8" customHeight="1">
      <c r="A16" s="28" t="s">
        <v>2568</v>
      </c>
      <c r="B16" s="28" t="s">
        <v>2519</v>
      </c>
      <c r="C16" s="28" t="s">
        <v>2582</v>
      </c>
      <c r="D16" s="28" t="s">
        <v>2570</v>
      </c>
      <c r="E16" s="28"/>
      <c r="F16" s="29" t="s">
        <v>14</v>
      </c>
      <c r="G16" s="29"/>
      <c r="H16" s="29" t="s">
        <v>1798</v>
      </c>
      <c r="I16" s="29" t="s">
        <v>2571</v>
      </c>
      <c r="J16" s="29"/>
      <c r="K16" s="29" t="s">
        <v>2522</v>
      </c>
      <c r="L16" s="29"/>
      <c r="M16" s="29" t="s">
        <v>2523</v>
      </c>
      <c r="N16" s="29"/>
      <c r="O16" s="29"/>
      <c r="P16" s="29"/>
      <c r="Q16" s="29"/>
      <c r="R16" s="29"/>
      <c r="S16" s="29"/>
      <c r="T16" s="29"/>
      <c r="U16" s="29"/>
      <c r="V16" s="29"/>
      <c r="W16" s="29"/>
      <c r="X16" s="29"/>
      <c r="Y16" s="29"/>
      <c r="Z16" s="29" t="s">
        <v>2524</v>
      </c>
      <c r="AA16" s="29"/>
      <c r="AB16" s="29" t="s">
        <v>2572</v>
      </c>
      <c r="AC16" s="29"/>
      <c r="AD16" s="29"/>
      <c r="AE16" s="29"/>
      <c r="AF16" s="29" t="s">
        <v>547</v>
      </c>
      <c r="AG16" s="29" t="s">
        <v>392</v>
      </c>
      <c r="AH16" s="29" t="s">
        <v>578</v>
      </c>
      <c r="AI16" s="29" t="s">
        <v>2573</v>
      </c>
      <c r="AJ16" s="29" t="s">
        <v>579</v>
      </c>
      <c r="AK16" s="29" t="s">
        <v>2570</v>
      </c>
      <c r="AL16" s="29" t="s">
        <v>2526</v>
      </c>
      <c r="AM16" s="31" t="s">
        <v>2574</v>
      </c>
      <c r="AN16" s="29" t="s">
        <v>2575</v>
      </c>
      <c r="AO16" s="30" t="n">
        <v>9703.8</v>
      </c>
      <c r="AP16" s="37" t="n">
        <f>AY16/2</f>
        <v>4851.9</v>
      </c>
      <c r="AQ16" s="38" t="s">
        <v>2576</v>
      </c>
      <c r="AR16" s="203" t="s">
        <v>2577</v>
      </c>
      <c r="AS16" s="28"/>
      <c r="AT16" s="28"/>
      <c r="AU16" s="28" t="s">
        <v>2515</v>
      </c>
      <c r="AW16" s="28"/>
      <c r="AX16" s="47" t="s">
        <v>2578</v>
      </c>
      <c r="AY16" s="40" t="n">
        <v>9703.8</v>
      </c>
    </row>
    <row r="17" ht="16.8" customHeight="1">
      <c r="A17" s="28" t="s">
        <v>2568</v>
      </c>
      <c r="B17" s="28" t="s">
        <v>2519</v>
      </c>
      <c r="C17" s="28" t="s">
        <v>2583</v>
      </c>
      <c r="D17" s="28" t="s">
        <v>2570</v>
      </c>
      <c r="E17" s="28"/>
      <c r="F17" s="29" t="s">
        <v>14</v>
      </c>
      <c r="G17" s="29"/>
      <c r="H17" s="29" t="s">
        <v>1798</v>
      </c>
      <c r="I17" s="29" t="s">
        <v>2571</v>
      </c>
      <c r="J17" s="29"/>
      <c r="K17" s="29" t="s">
        <v>2532</v>
      </c>
      <c r="L17" s="29" t="s">
        <v>2584</v>
      </c>
      <c r="M17" s="29"/>
      <c r="N17" s="29"/>
      <c r="O17" s="29" t="s">
        <v>2524</v>
      </c>
      <c r="P17" s="29"/>
      <c r="Q17" s="29"/>
      <c r="R17" s="29"/>
      <c r="S17" s="29"/>
      <c r="T17" s="29"/>
      <c r="U17" s="29"/>
      <c r="V17" s="29"/>
      <c r="W17" s="29"/>
      <c r="X17" s="29"/>
      <c r="Y17" s="29"/>
      <c r="Z17" s="29"/>
      <c r="AA17" s="29"/>
      <c r="AB17" s="29" t="s">
        <v>2572</v>
      </c>
      <c r="AC17" s="29"/>
      <c r="AD17" s="29"/>
      <c r="AE17" s="29"/>
      <c r="AF17" s="29" t="s">
        <v>547</v>
      </c>
      <c r="AG17" s="29" t="s">
        <v>392</v>
      </c>
      <c r="AH17" s="29" t="s">
        <v>578</v>
      </c>
      <c r="AI17" s="29" t="s">
        <v>2573</v>
      </c>
      <c r="AJ17" s="29" t="s">
        <v>579</v>
      </c>
      <c r="AK17" s="29" t="s">
        <v>2570</v>
      </c>
      <c r="AL17" s="29" t="s">
        <v>2526</v>
      </c>
      <c r="AM17" s="31" t="s">
        <v>2574</v>
      </c>
      <c r="AN17" s="29" t="s">
        <v>2575</v>
      </c>
      <c r="AO17" s="30" t="n">
        <v>5265</v>
      </c>
      <c r="AP17" s="37" t="n">
        <f>AY17/2</f>
        <v>2632.5</v>
      </c>
      <c r="AQ17" s="38" t="s">
        <v>2585</v>
      </c>
      <c r="AR17" s="204" t="s">
        <v>2577</v>
      </c>
      <c r="AS17" s="28"/>
      <c r="AT17" s="28"/>
      <c r="AU17" s="28" t="s">
        <v>2515</v>
      </c>
      <c r="AW17" s="28"/>
      <c r="AX17" s="47" t="s">
        <v>2578</v>
      </c>
      <c r="AY17" s="40" t="n">
        <v>5265</v>
      </c>
    </row>
    <row r="18" ht="16.8" customHeight="1">
      <c r="A18" s="28" t="s">
        <v>2568</v>
      </c>
      <c r="B18" s="28" t="s">
        <v>2519</v>
      </c>
      <c r="C18" s="28" t="s">
        <v>2586</v>
      </c>
      <c r="D18" s="28" t="s">
        <v>2570</v>
      </c>
      <c r="E18" s="28"/>
      <c r="F18" s="29" t="s">
        <v>14</v>
      </c>
      <c r="G18" s="29"/>
      <c r="H18" s="29" t="s">
        <v>1798</v>
      </c>
      <c r="I18" s="29" t="s">
        <v>2571</v>
      </c>
      <c r="J18" s="29"/>
      <c r="K18" s="29" t="s">
        <v>2522</v>
      </c>
      <c r="L18" s="29"/>
      <c r="M18" s="29" t="s">
        <v>2523</v>
      </c>
      <c r="N18" s="29"/>
      <c r="O18" s="29"/>
      <c r="P18" s="29"/>
      <c r="Q18" s="29"/>
      <c r="R18" s="29"/>
      <c r="S18" s="29"/>
      <c r="T18" s="29"/>
      <c r="U18" s="29"/>
      <c r="V18" s="29"/>
      <c r="W18" s="29"/>
      <c r="X18" s="29"/>
      <c r="Y18" s="29"/>
      <c r="Z18" s="29" t="s">
        <v>2524</v>
      </c>
      <c r="AA18" s="29"/>
      <c r="AB18" s="29" t="s">
        <v>2572</v>
      </c>
      <c r="AC18" s="29"/>
      <c r="AD18" s="29"/>
      <c r="AE18" s="29"/>
      <c r="AF18" s="29" t="s">
        <v>547</v>
      </c>
      <c r="AG18" s="29" t="s">
        <v>392</v>
      </c>
      <c r="AH18" s="29" t="s">
        <v>578</v>
      </c>
      <c r="AI18" s="29" t="s">
        <v>2573</v>
      </c>
      <c r="AJ18" s="29" t="s">
        <v>579</v>
      </c>
      <c r="AK18" s="29" t="s">
        <v>2570</v>
      </c>
      <c r="AL18" s="29" t="s">
        <v>2526</v>
      </c>
      <c r="AM18" s="31" t="s">
        <v>2574</v>
      </c>
      <c r="AN18" s="29" t="s">
        <v>2575</v>
      </c>
      <c r="AO18" s="30" t="n">
        <v>24800</v>
      </c>
      <c r="AP18" s="37" t="n">
        <f>AY18/2</f>
        <v>12400</v>
      </c>
      <c r="AQ18" s="38" t="s">
        <v>2576</v>
      </c>
      <c r="AR18" s="205" t="s">
        <v>2577</v>
      </c>
      <c r="AS18" s="28"/>
      <c r="AT18" s="28"/>
      <c r="AU18" s="28" t="s">
        <v>2515</v>
      </c>
      <c r="AV18" s="28"/>
      <c r="AW18" s="28"/>
      <c r="AX18" s="47" t="s">
        <v>2578</v>
      </c>
      <c r="AY18" s="40" t="n">
        <v>24800</v>
      </c>
    </row>
    <row r="19" ht="16.8" customHeight="1">
      <c r="A19" s="28" t="s">
        <v>2587</v>
      </c>
      <c r="B19" s="28" t="s">
        <v>2519</v>
      </c>
      <c r="C19" s="28" t="s">
        <v>2588</v>
      </c>
      <c r="D19" s="28" t="s">
        <v>2589</v>
      </c>
      <c r="E19" s="28"/>
      <c r="F19" s="29" t="s">
        <v>14</v>
      </c>
      <c r="G19" s="29"/>
      <c r="H19" s="29" t="s">
        <v>2178</v>
      </c>
      <c r="I19" s="29" t="s">
        <v>2590</v>
      </c>
      <c r="J19" s="29"/>
      <c r="K19" s="29" t="s">
        <v>2522</v>
      </c>
      <c r="L19" s="29"/>
      <c r="M19" s="29" t="s">
        <v>2523</v>
      </c>
      <c r="N19" s="29"/>
      <c r="O19" s="29"/>
      <c r="P19" s="29"/>
      <c r="Q19" s="29"/>
      <c r="R19" s="29"/>
      <c r="S19" s="29"/>
      <c r="T19" s="29"/>
      <c r="U19" s="29"/>
      <c r="V19" s="29"/>
      <c r="W19" s="29"/>
      <c r="X19" s="29"/>
      <c r="Y19" s="29"/>
      <c r="Z19" s="29" t="s">
        <v>2591</v>
      </c>
      <c r="AA19" s="29"/>
      <c r="AB19" s="29" t="s">
        <v>2592</v>
      </c>
      <c r="AC19" s="29"/>
      <c r="AD19" s="29"/>
      <c r="AE19" s="29"/>
      <c r="AF19" s="29" t="s">
        <v>565</v>
      </c>
      <c r="AG19" s="29" t="s">
        <v>1147</v>
      </c>
      <c r="AH19" s="29" t="s">
        <v>2593</v>
      </c>
      <c r="AI19" s="29" t="s">
        <v>174</v>
      </c>
      <c r="AJ19" s="29" t="s">
        <v>2594</v>
      </c>
      <c r="AK19" s="29" t="s">
        <v>2589</v>
      </c>
      <c r="AL19" s="29" t="s">
        <v>2526</v>
      </c>
      <c r="AM19" s="31" t="s">
        <v>2595</v>
      </c>
      <c r="AN19" s="29" t="s">
        <v>2596</v>
      </c>
      <c r="AO19" s="30" t="n">
        <v>19200</v>
      </c>
      <c r="AP19" s="37" t="n">
        <v>19200</v>
      </c>
      <c r="AQ19" s="38" t="s">
        <v>2585</v>
      </c>
      <c r="AR19" s="28" t="s">
        <v>2597</v>
      </c>
      <c r="AS19" s="28"/>
      <c r="AT19" s="28"/>
      <c r="AU19" s="28" t="s">
        <v>2515</v>
      </c>
      <c r="AV19" s="28"/>
      <c r="AW19" s="28"/>
    </row>
    <row r="20" ht="16.8" customHeight="1">
      <c r="A20" s="28" t="s">
        <v>2598</v>
      </c>
      <c r="B20" s="28" t="s">
        <v>2519</v>
      </c>
      <c r="C20" s="28" t="s">
        <v>2599</v>
      </c>
      <c r="D20" s="28" t="s">
        <v>1505</v>
      </c>
      <c r="E20" s="28"/>
      <c r="F20" s="29" t="s">
        <v>14</v>
      </c>
      <c r="G20" s="29"/>
      <c r="H20" s="29" t="s">
        <v>112</v>
      </c>
      <c r="I20" s="29" t="s">
        <v>2517</v>
      </c>
      <c r="J20" s="29" t="s">
        <v>2559</v>
      </c>
      <c r="K20" s="29" t="s">
        <v>2532</v>
      </c>
      <c r="L20" s="29" t="s">
        <v>2560</v>
      </c>
      <c r="M20" s="29"/>
      <c r="N20" s="29"/>
      <c r="O20" s="29"/>
      <c r="P20" s="29"/>
      <c r="Q20" s="29" t="s">
        <v>2550</v>
      </c>
      <c r="R20" s="29"/>
      <c r="S20" s="29"/>
      <c r="T20" s="29"/>
      <c r="U20" s="29"/>
      <c r="V20" s="29"/>
      <c r="W20" s="29"/>
      <c r="X20" s="29"/>
      <c r="Y20" s="29"/>
      <c r="Z20" s="29"/>
      <c r="AA20" s="29"/>
      <c r="AB20" s="29" t="s">
        <v>2600</v>
      </c>
      <c r="AC20" s="29" t="s">
        <v>2601</v>
      </c>
      <c r="AD20" s="29"/>
      <c r="AE20" s="29"/>
      <c r="AF20" s="29" t="s">
        <v>475</v>
      </c>
      <c r="AG20" s="29" t="s">
        <v>392</v>
      </c>
      <c r="AH20" s="29" t="s">
        <v>1133</v>
      </c>
      <c r="AI20" s="29" t="s">
        <v>2602</v>
      </c>
      <c r="AJ20" s="29" t="s">
        <v>299</v>
      </c>
      <c r="AK20" s="29" t="s">
        <v>1505</v>
      </c>
      <c r="AL20" s="29" t="s">
        <v>2553</v>
      </c>
      <c r="AM20" s="31" t="s">
        <v>383</v>
      </c>
      <c r="AN20" s="29" t="s">
        <v>398</v>
      </c>
      <c r="AO20" s="30" t="n">
        <v>2000</v>
      </c>
      <c r="AP20" s="37" t="n">
        <v>2000</v>
      </c>
      <c r="AQ20" s="38" t="s">
        <v>2603</v>
      </c>
      <c r="AR20" s="28" t="s">
        <v>2604</v>
      </c>
      <c r="AS20" s="28"/>
      <c r="AT20" s="28"/>
      <c r="AU20" s="28" t="s">
        <v>2515</v>
      </c>
      <c r="AV20" s="28"/>
      <c r="AW20" s="28"/>
    </row>
    <row r="21" ht="16.8" customHeight="1">
      <c r="A21" s="28" t="s">
        <v>2598</v>
      </c>
      <c r="B21" s="28" t="s">
        <v>2519</v>
      </c>
      <c r="C21" s="28" t="s">
        <v>2605</v>
      </c>
      <c r="D21" s="28" t="s">
        <v>1505</v>
      </c>
      <c r="E21" s="28"/>
      <c r="F21" s="29" t="s">
        <v>14</v>
      </c>
      <c r="G21" s="29"/>
      <c r="H21" s="29" t="s">
        <v>112</v>
      </c>
      <c r="I21" s="29" t="s">
        <v>2517</v>
      </c>
      <c r="J21" s="29" t="s">
        <v>2559</v>
      </c>
      <c r="K21" s="29" t="s">
        <v>2532</v>
      </c>
      <c r="L21" s="29" t="s">
        <v>2560</v>
      </c>
      <c r="M21" s="29"/>
      <c r="N21" s="29"/>
      <c r="O21" s="29"/>
      <c r="P21" s="29"/>
      <c r="Q21" s="29" t="s">
        <v>2550</v>
      </c>
      <c r="R21" s="29"/>
      <c r="S21" s="29"/>
      <c r="T21" s="29"/>
      <c r="U21" s="29"/>
      <c r="V21" s="29"/>
      <c r="W21" s="29"/>
      <c r="X21" s="29"/>
      <c r="Y21" s="29"/>
      <c r="Z21" s="29"/>
      <c r="AA21" s="29"/>
      <c r="AB21" s="29" t="s">
        <v>2606</v>
      </c>
      <c r="AC21" s="29" t="s">
        <v>2601</v>
      </c>
      <c r="AD21" s="29"/>
      <c r="AE21" s="29"/>
      <c r="AF21" s="29" t="s">
        <v>475</v>
      </c>
      <c r="AG21" s="29" t="s">
        <v>392</v>
      </c>
      <c r="AH21" s="29" t="s">
        <v>1133</v>
      </c>
      <c r="AI21" s="29" t="s">
        <v>2602</v>
      </c>
      <c r="AJ21" s="29" t="s">
        <v>299</v>
      </c>
      <c r="AK21" s="29" t="s">
        <v>1505</v>
      </c>
      <c r="AL21" s="29" t="s">
        <v>2553</v>
      </c>
      <c r="AM21" s="31" t="s">
        <v>383</v>
      </c>
      <c r="AN21" s="29" t="s">
        <v>398</v>
      </c>
      <c r="AO21" s="30" t="n">
        <v>13800</v>
      </c>
      <c r="AP21" s="37" t="n">
        <v>13800</v>
      </c>
      <c r="AQ21" s="38" t="s">
        <v>2607</v>
      </c>
      <c r="AR21" s="28" t="s">
        <v>2608</v>
      </c>
      <c r="AS21" s="28"/>
      <c r="AT21" s="28"/>
      <c r="AU21" s="28" t="s">
        <v>2515</v>
      </c>
      <c r="AV21" s="28"/>
      <c r="AW21" s="28"/>
    </row>
    <row r="22" ht="16.8" customHeight="1">
      <c r="A22" s="28" t="s">
        <v>2603</v>
      </c>
      <c r="B22" s="28" t="s">
        <v>2511</v>
      </c>
      <c r="C22" s="28"/>
      <c r="D22" s="28" t="s">
        <v>2542</v>
      </c>
      <c r="E22" s="28"/>
      <c r="F22" s="29" t="s">
        <v>14</v>
      </c>
      <c r="G22" s="29"/>
      <c r="H22" s="29" t="s">
        <v>801</v>
      </c>
      <c r="I22" s="29" t="s">
        <v>2517</v>
      </c>
      <c r="J22" s="29"/>
      <c r="K22" s="29"/>
      <c r="L22" s="29"/>
      <c r="M22" s="29"/>
      <c r="N22" s="29"/>
      <c r="O22" s="29"/>
      <c r="P22" s="29"/>
      <c r="Q22" s="29"/>
      <c r="R22" s="29"/>
      <c r="S22" s="29"/>
      <c r="T22" s="29"/>
      <c r="U22" s="29"/>
      <c r="V22" s="29"/>
      <c r="W22" s="29"/>
      <c r="X22" s="29"/>
      <c r="Y22" s="29"/>
      <c r="Z22" s="29"/>
      <c r="AA22" s="29"/>
      <c r="AB22" s="29"/>
      <c r="AC22" s="29"/>
      <c r="AD22" s="30" t="n">
        <v>3915</v>
      </c>
      <c r="AE22" s="29" t="s">
        <v>2609</v>
      </c>
      <c r="AF22" s="29" t="s">
        <v>810</v>
      </c>
      <c r="AG22" s="29"/>
      <c r="AH22" s="29"/>
      <c r="AI22" s="29"/>
      <c r="AJ22" s="29"/>
      <c r="AK22" s="29" t="s">
        <v>2542</v>
      </c>
      <c r="AL22" s="29"/>
      <c r="AM22" s="31" t="s">
        <v>802</v>
      </c>
      <c r="AN22" s="29" t="s">
        <v>808</v>
      </c>
      <c r="AO22" s="29"/>
      <c r="AP22" s="37" t="n">
        <v>3915</v>
      </c>
      <c r="AQ22" s="38" t="s">
        <v>2603</v>
      </c>
      <c r="AR22" s="28" t="s">
        <v>2514</v>
      </c>
      <c r="AS22" s="28"/>
      <c r="AT22" s="28"/>
      <c r="AU22" s="28" t="s">
        <v>2515</v>
      </c>
      <c r="AV22" s="28"/>
      <c r="AW22" s="28"/>
    </row>
    <row r="23" ht="16.8" customHeight="1">
      <c r="A23" s="28" t="s">
        <v>2610</v>
      </c>
      <c r="B23" s="28" t="s">
        <v>2519</v>
      </c>
      <c r="C23" s="28" t="s">
        <v>2611</v>
      </c>
      <c r="D23" s="28" t="s">
        <v>2612</v>
      </c>
      <c r="E23" s="28"/>
      <c r="F23" s="29" t="s">
        <v>14</v>
      </c>
      <c r="G23" s="29"/>
      <c r="H23" s="29" t="s">
        <v>492</v>
      </c>
      <c r="I23" s="29" t="s">
        <v>2517</v>
      </c>
      <c r="J23" s="29"/>
      <c r="K23" s="29" t="s">
        <v>2522</v>
      </c>
      <c r="L23" s="29"/>
      <c r="M23" s="29" t="s">
        <v>2523</v>
      </c>
      <c r="N23" s="29"/>
      <c r="O23" s="29"/>
      <c r="P23" s="29"/>
      <c r="Q23" s="29"/>
      <c r="R23" s="29"/>
      <c r="S23" s="29"/>
      <c r="T23" s="29"/>
      <c r="U23" s="29"/>
      <c r="V23" s="29"/>
      <c r="W23" s="29"/>
      <c r="X23" s="29"/>
      <c r="Y23" s="29"/>
      <c r="Z23" s="29" t="s">
        <v>2591</v>
      </c>
      <c r="AA23" s="29"/>
      <c r="AB23" s="29" t="s">
        <v>2613</v>
      </c>
      <c r="AC23" s="29"/>
      <c r="AD23" s="29"/>
      <c r="AE23" s="29"/>
      <c r="AF23" s="29" t="s">
        <v>421</v>
      </c>
      <c r="AG23" s="29" t="s">
        <v>274</v>
      </c>
      <c r="AH23" s="29" t="s">
        <v>2614</v>
      </c>
      <c r="AI23" s="29" t="s">
        <v>2615</v>
      </c>
      <c r="AJ23" s="29" t="s">
        <v>497</v>
      </c>
      <c r="AK23" s="29" t="s">
        <v>2612</v>
      </c>
      <c r="AL23" s="29" t="s">
        <v>2526</v>
      </c>
      <c r="AM23" s="31" t="s">
        <v>493</v>
      </c>
      <c r="AN23" s="29" t="s">
        <v>2616</v>
      </c>
      <c r="AO23" s="30" t="n">
        <v>18247.1</v>
      </c>
      <c r="AP23" s="37" t="n">
        <v>18247.1</v>
      </c>
      <c r="AQ23" s="38" t="s">
        <v>2617</v>
      </c>
      <c r="AR23" s="206" t="s">
        <v>2618</v>
      </c>
      <c r="AS23" s="28"/>
      <c r="AT23" s="28"/>
      <c r="AU23" s="28" t="s">
        <v>2515</v>
      </c>
      <c r="AV23" s="28"/>
      <c r="AW23" s="28"/>
    </row>
    <row r="24" ht="16.8" customHeight="1">
      <c r="A24" s="28" t="s">
        <v>2619</v>
      </c>
      <c r="B24" s="28" t="s">
        <v>2511</v>
      </c>
      <c r="C24" s="28"/>
      <c r="D24" s="28" t="s">
        <v>2620</v>
      </c>
      <c r="E24" s="28"/>
      <c r="F24" s="29" t="s">
        <v>14</v>
      </c>
      <c r="G24" s="29"/>
      <c r="H24" s="29" t="s">
        <v>773</v>
      </c>
      <c r="I24" s="29" t="s">
        <v>2517</v>
      </c>
      <c r="J24" s="29"/>
      <c r="K24" s="29"/>
      <c r="L24" s="29"/>
      <c r="M24" s="29"/>
      <c r="N24" s="29"/>
      <c r="O24" s="29"/>
      <c r="P24" s="29"/>
      <c r="Q24" s="29"/>
      <c r="R24" s="29"/>
      <c r="S24" s="29"/>
      <c r="T24" s="29"/>
      <c r="U24" s="29"/>
      <c r="V24" s="29"/>
      <c r="W24" s="29"/>
      <c r="X24" s="29"/>
      <c r="Y24" s="29"/>
      <c r="Z24" s="29"/>
      <c r="AA24" s="29"/>
      <c r="AB24" s="29"/>
      <c r="AC24" s="29"/>
      <c r="AD24" s="30" t="n">
        <v>3891.1</v>
      </c>
      <c r="AE24" s="207" t="s">
        <v>2621</v>
      </c>
      <c r="AF24" s="29" t="s">
        <v>399</v>
      </c>
      <c r="AG24" s="29"/>
      <c r="AH24" s="29"/>
      <c r="AI24" s="29"/>
      <c r="AJ24" s="29"/>
      <c r="AK24" s="29" t="s">
        <v>2620</v>
      </c>
      <c r="AL24" s="29"/>
      <c r="AM24" s="31" t="s">
        <v>787</v>
      </c>
      <c r="AN24" s="29" t="s">
        <v>793</v>
      </c>
      <c r="AO24" s="29"/>
      <c r="AP24" s="37" t="n">
        <v>3891.1</v>
      </c>
      <c r="AQ24" s="38" t="s">
        <v>2619</v>
      </c>
      <c r="AR24" s="28" t="s">
        <v>2514</v>
      </c>
      <c r="AS24" s="28"/>
      <c r="AT24" s="28"/>
      <c r="AU24" s="28" t="s">
        <v>2515</v>
      </c>
      <c r="AV24" s="28"/>
      <c r="AW24" s="28"/>
    </row>
    <row r="25" ht="16.8" customHeight="1">
      <c r="A25" s="28" t="s">
        <v>2622</v>
      </c>
      <c r="B25" s="28" t="s">
        <v>2511</v>
      </c>
      <c r="C25" s="28"/>
      <c r="D25" s="28" t="s">
        <v>2623</v>
      </c>
      <c r="E25" s="28"/>
      <c r="F25" s="29" t="s">
        <v>14</v>
      </c>
      <c r="G25" s="29"/>
      <c r="H25" s="29" t="s">
        <v>963</v>
      </c>
      <c r="I25" s="29" t="s">
        <v>2624</v>
      </c>
      <c r="J25" s="29"/>
      <c r="K25" s="29"/>
      <c r="L25" s="29"/>
      <c r="M25" s="29"/>
      <c r="N25" s="29"/>
      <c r="O25" s="29"/>
      <c r="P25" s="29"/>
      <c r="Q25" s="29"/>
      <c r="R25" s="29"/>
      <c r="S25" s="29"/>
      <c r="T25" s="29"/>
      <c r="U25" s="29"/>
      <c r="V25" s="29"/>
      <c r="W25" s="29"/>
      <c r="X25" s="29"/>
      <c r="Y25" s="29"/>
      <c r="Z25" s="29"/>
      <c r="AA25" s="29"/>
      <c r="AB25" s="29"/>
      <c r="AC25" s="29"/>
      <c r="AD25" s="30" t="n">
        <v>6180</v>
      </c>
      <c r="AE25" s="29" t="s">
        <v>2625</v>
      </c>
      <c r="AF25" s="29" t="s">
        <v>1065</v>
      </c>
      <c r="AG25" s="29"/>
      <c r="AH25" s="29"/>
      <c r="AI25" s="29"/>
      <c r="AJ25" s="29"/>
      <c r="AK25" s="29" t="s">
        <v>2623</v>
      </c>
      <c r="AL25" s="29"/>
      <c r="AM25" s="31" t="s">
        <v>964</v>
      </c>
      <c r="AN25" s="29" t="s">
        <v>972</v>
      </c>
      <c r="AO25" s="29"/>
      <c r="AP25" s="37" t="n">
        <v>6180</v>
      </c>
      <c r="AQ25" s="38" t="s">
        <v>2626</v>
      </c>
      <c r="AR25" s="28" t="s">
        <v>2514</v>
      </c>
      <c r="AS25" s="28"/>
      <c r="AT25" s="28"/>
      <c r="AU25" s="28" t="s">
        <v>2515</v>
      </c>
      <c r="AV25" s="28"/>
      <c r="AW25" s="28"/>
    </row>
    <row r="26" ht="16.8" customHeight="1">
      <c r="A26" s="28" t="s">
        <v>2627</v>
      </c>
      <c r="B26" s="28" t="s">
        <v>2511</v>
      </c>
      <c r="C26" s="28"/>
      <c r="D26" s="28" t="s">
        <v>2623</v>
      </c>
      <c r="E26" s="28"/>
      <c r="F26" s="29" t="s">
        <v>14</v>
      </c>
      <c r="G26" s="29" t="s">
        <v>2515</v>
      </c>
      <c r="H26" s="29" t="s">
        <v>963</v>
      </c>
      <c r="I26" s="29" t="s">
        <v>2624</v>
      </c>
      <c r="J26" s="29"/>
      <c r="K26" s="29"/>
      <c r="L26" s="29"/>
      <c r="M26" s="29"/>
      <c r="N26" s="29"/>
      <c r="O26" s="29"/>
      <c r="P26" s="29"/>
      <c r="Q26" s="29"/>
      <c r="R26" s="29"/>
      <c r="S26" s="29"/>
      <c r="T26" s="29"/>
      <c r="U26" s="29"/>
      <c r="V26" s="29"/>
      <c r="W26" s="29"/>
      <c r="X26" s="29"/>
      <c r="Y26" s="29"/>
      <c r="Z26" s="29"/>
      <c r="AA26" s="29"/>
      <c r="AB26" s="29"/>
      <c r="AC26" s="29"/>
      <c r="AD26" s="30" t="n">
        <v>5180</v>
      </c>
      <c r="AE26" s="29" t="s">
        <v>2628</v>
      </c>
      <c r="AF26" s="29" t="s">
        <v>380</v>
      </c>
      <c r="AG26" s="29"/>
      <c r="AH26" s="29"/>
      <c r="AI26" s="29"/>
      <c r="AJ26" s="29"/>
      <c r="AK26" s="29" t="s">
        <v>2629</v>
      </c>
      <c r="AL26" s="29"/>
      <c r="AM26" s="31" t="s">
        <v>964</v>
      </c>
      <c r="AN26" s="29" t="s">
        <v>972</v>
      </c>
      <c r="AO26" s="29"/>
      <c r="AP26" s="37" t="n">
        <v>5180</v>
      </c>
      <c r="AQ26" s="38" t="s">
        <v>2626</v>
      </c>
      <c r="AR26" s="28" t="s">
        <v>2514</v>
      </c>
      <c r="AS26" s="28"/>
      <c r="AT26" s="28"/>
      <c r="AU26" s="28" t="s">
        <v>2515</v>
      </c>
      <c r="AV26" s="28"/>
      <c r="AW26" s="28"/>
    </row>
    <row r="27" ht="16.8" customHeight="1">
      <c r="A27" s="28" t="s">
        <v>2619</v>
      </c>
      <c r="B27" s="28" t="s">
        <v>2519</v>
      </c>
      <c r="C27" s="28" t="s">
        <v>2630</v>
      </c>
      <c r="D27" s="28" t="s">
        <v>2631</v>
      </c>
      <c r="E27" s="28"/>
      <c r="F27" s="29" t="s">
        <v>14</v>
      </c>
      <c r="G27" s="29"/>
      <c r="H27" s="29" t="s">
        <v>1333</v>
      </c>
      <c r="I27" s="29" t="s">
        <v>2624</v>
      </c>
      <c r="J27" s="29"/>
      <c r="K27" s="29" t="s">
        <v>2532</v>
      </c>
      <c r="L27" s="29" t="s">
        <v>2584</v>
      </c>
      <c r="M27" s="29"/>
      <c r="N27" s="29"/>
      <c r="O27" s="29" t="s">
        <v>2632</v>
      </c>
      <c r="P27" s="29"/>
      <c r="Q27" s="29"/>
      <c r="R27" s="29"/>
      <c r="S27" s="29"/>
      <c r="T27" s="29"/>
      <c r="U27" s="29"/>
      <c r="V27" s="29"/>
      <c r="W27" s="29"/>
      <c r="X27" s="29"/>
      <c r="Y27" s="29"/>
      <c r="Z27" s="29"/>
      <c r="AA27" s="29"/>
      <c r="AB27" s="29" t="s">
        <v>2633</v>
      </c>
      <c r="AC27" s="29"/>
      <c r="AD27" s="29"/>
      <c r="AE27" s="29"/>
      <c r="AF27" s="29" t="s">
        <v>399</v>
      </c>
      <c r="AG27" s="29" t="s">
        <v>1337</v>
      </c>
      <c r="AH27" s="29" t="s">
        <v>1338</v>
      </c>
      <c r="AI27" s="29" t="s">
        <v>174</v>
      </c>
      <c r="AJ27" s="29" t="s">
        <v>2634</v>
      </c>
      <c r="AK27" s="29" t="s">
        <v>2631</v>
      </c>
      <c r="AL27" s="29" t="s">
        <v>2526</v>
      </c>
      <c r="AM27" s="31" t="s">
        <v>1334</v>
      </c>
      <c r="AN27" s="29" t="s">
        <v>1343</v>
      </c>
      <c r="AO27" s="30" t="n">
        <v>15800</v>
      </c>
      <c r="AP27" s="37" t="n">
        <v>15800</v>
      </c>
      <c r="AQ27" s="38" t="s">
        <v>2635</v>
      </c>
      <c r="AR27" s="28" t="s">
        <v>2636</v>
      </c>
      <c r="AS27" s="28"/>
      <c r="AT27" s="28"/>
      <c r="AU27" s="28" t="s">
        <v>2515</v>
      </c>
      <c r="AV27" s="28"/>
      <c r="AW27" s="28"/>
    </row>
    <row r="28" ht="16.8" customHeight="1">
      <c r="A28" s="28" t="s">
        <v>2637</v>
      </c>
      <c r="B28" s="28" t="s">
        <v>2519</v>
      </c>
      <c r="C28" s="28" t="s">
        <v>2638</v>
      </c>
      <c r="D28" s="28" t="s">
        <v>2639</v>
      </c>
      <c r="E28" s="28"/>
      <c r="F28" s="29" t="s">
        <v>14</v>
      </c>
      <c r="G28" s="29"/>
      <c r="H28" s="29" t="s">
        <v>112</v>
      </c>
      <c r="I28" s="29" t="s">
        <v>2640</v>
      </c>
      <c r="J28" s="29"/>
      <c r="K28" s="29" t="s">
        <v>2522</v>
      </c>
      <c r="L28" s="29"/>
      <c r="M28" s="29" t="s">
        <v>2523</v>
      </c>
      <c r="N28" s="29"/>
      <c r="O28" s="29"/>
      <c r="P28" s="29"/>
      <c r="Q28" s="29"/>
      <c r="R28" s="29"/>
      <c r="S28" s="29"/>
      <c r="T28" s="29"/>
      <c r="U28" s="29"/>
      <c r="V28" s="29"/>
      <c r="W28" s="29"/>
      <c r="X28" s="29"/>
      <c r="Y28" s="29"/>
      <c r="Z28" s="29" t="s">
        <v>2524</v>
      </c>
      <c r="AA28" s="29"/>
      <c r="AB28" s="29" t="s">
        <v>2641</v>
      </c>
      <c r="AC28" s="29"/>
      <c r="AD28" s="29"/>
      <c r="AE28" s="29"/>
      <c r="AF28" s="29" t="s">
        <v>941</v>
      </c>
      <c r="AG28" s="29" t="s">
        <v>1821</v>
      </c>
      <c r="AH28" s="29" t="s">
        <v>331</v>
      </c>
      <c r="AI28" s="29" t="s">
        <v>206</v>
      </c>
      <c r="AJ28" s="29" t="s">
        <v>376</v>
      </c>
      <c r="AK28" s="29" t="s">
        <v>2639</v>
      </c>
      <c r="AL28" s="29" t="s">
        <v>2526</v>
      </c>
      <c r="AM28" s="31" t="s">
        <v>2642</v>
      </c>
      <c r="AN28" s="29" t="s">
        <v>2643</v>
      </c>
      <c r="AO28" s="30" t="n">
        <v>33500</v>
      </c>
      <c r="AP28" s="37" t="n">
        <v>33500</v>
      </c>
      <c r="AQ28" s="38" t="s">
        <v>2635</v>
      </c>
      <c r="AR28" s="28" t="s">
        <v>2636</v>
      </c>
      <c r="AS28" s="28"/>
      <c r="AT28" s="28"/>
      <c r="AU28" s="28" t="s">
        <v>2515</v>
      </c>
      <c r="AV28" s="28"/>
      <c r="AW28" s="28"/>
    </row>
    <row r="29" ht="16.8" customHeight="1">
      <c r="A29" s="28" t="s">
        <v>2587</v>
      </c>
      <c r="B29" s="28" t="s">
        <v>2511</v>
      </c>
      <c r="C29" s="28"/>
      <c r="D29" s="28" t="s">
        <v>2644</v>
      </c>
      <c r="E29" s="28"/>
      <c r="F29" s="29" t="s">
        <v>14</v>
      </c>
      <c r="G29" s="29"/>
      <c r="H29" s="29" t="s">
        <v>1926</v>
      </c>
      <c r="I29" s="29" t="s">
        <v>2517</v>
      </c>
      <c r="J29" s="29"/>
      <c r="K29" s="29"/>
      <c r="L29" s="29"/>
      <c r="M29" s="29"/>
      <c r="N29" s="29"/>
      <c r="O29" s="29"/>
      <c r="P29" s="29"/>
      <c r="Q29" s="29"/>
      <c r="R29" s="29"/>
      <c r="S29" s="29"/>
      <c r="T29" s="29"/>
      <c r="U29" s="29"/>
      <c r="V29" s="29"/>
      <c r="W29" s="29"/>
      <c r="X29" s="29"/>
      <c r="Y29" s="29"/>
      <c r="Z29" s="29"/>
      <c r="AA29" s="29"/>
      <c r="AB29" s="29"/>
      <c r="AC29" s="29"/>
      <c r="AD29" s="30" t="n">
        <v>4800</v>
      </c>
      <c r="AE29" s="29" t="s">
        <v>2645</v>
      </c>
      <c r="AF29" s="29" t="s">
        <v>1945</v>
      </c>
      <c r="AG29" s="29"/>
      <c r="AH29" s="29"/>
      <c r="AI29" s="29"/>
      <c r="AJ29" s="29"/>
      <c r="AK29" s="29" t="s">
        <v>2644</v>
      </c>
      <c r="AL29" s="29"/>
      <c r="AM29" s="31" t="s">
        <v>1927</v>
      </c>
      <c r="AN29" s="29" t="s">
        <v>1931</v>
      </c>
      <c r="AO29" s="29"/>
      <c r="AP29" s="37" t="n">
        <v>4800</v>
      </c>
      <c r="AQ29" s="38" t="s">
        <v>2587</v>
      </c>
      <c r="AR29" s="28" t="s">
        <v>2514</v>
      </c>
      <c r="AS29" s="28"/>
      <c r="AT29" s="28"/>
      <c r="AU29" s="28" t="s">
        <v>2515</v>
      </c>
      <c r="AV29" s="28"/>
      <c r="AW29" s="28"/>
    </row>
    <row r="30" ht="16.8" customHeight="1">
      <c r="A30" s="28" t="s">
        <v>2541</v>
      </c>
      <c r="B30" s="28" t="s">
        <v>2519</v>
      </c>
      <c r="C30" s="28" t="s">
        <v>2646</v>
      </c>
      <c r="D30" s="28" t="s">
        <v>2647</v>
      </c>
      <c r="E30" s="28"/>
      <c r="F30" s="29" t="s">
        <v>14</v>
      </c>
      <c r="G30" s="29"/>
      <c r="H30" s="29" t="s">
        <v>1333</v>
      </c>
      <c r="I30" s="29" t="s">
        <v>2512</v>
      </c>
      <c r="J30" s="29"/>
      <c r="K30" s="29" t="s">
        <v>2532</v>
      </c>
      <c r="L30" s="29" t="s">
        <v>2584</v>
      </c>
      <c r="M30" s="29"/>
      <c r="N30" s="29"/>
      <c r="O30" s="29" t="s">
        <v>2648</v>
      </c>
      <c r="P30" s="29"/>
      <c r="Q30" s="29"/>
      <c r="R30" s="29"/>
      <c r="S30" s="29"/>
      <c r="T30" s="29"/>
      <c r="U30" s="29"/>
      <c r="V30" s="29"/>
      <c r="W30" s="29"/>
      <c r="X30" s="29"/>
      <c r="Y30" s="29"/>
      <c r="Z30" s="29"/>
      <c r="AA30" s="29"/>
      <c r="AB30" s="29" t="s">
        <v>2649</v>
      </c>
      <c r="AC30" s="29"/>
      <c r="AD30" s="29"/>
      <c r="AE30" s="29"/>
      <c r="AF30" s="29" t="s">
        <v>2141</v>
      </c>
      <c r="AG30" s="29"/>
      <c r="AH30" s="29"/>
      <c r="AI30" s="29"/>
      <c r="AJ30" s="29"/>
      <c r="AK30" s="29" t="s">
        <v>2647</v>
      </c>
      <c r="AL30" s="29" t="s">
        <v>2526</v>
      </c>
      <c r="AM30" s="31" t="s">
        <v>2650</v>
      </c>
      <c r="AN30" s="29" t="s">
        <v>2651</v>
      </c>
      <c r="AO30" s="30" t="n">
        <v>21000</v>
      </c>
      <c r="AP30" s="37" t="n">
        <f>AY30/2</f>
        <v>10500</v>
      </c>
      <c r="AQ30" s="38" t="s">
        <v>2568</v>
      </c>
      <c r="AR30" s="28" t="s">
        <v>2597</v>
      </c>
      <c r="AS30" s="28"/>
      <c r="AT30" s="28"/>
      <c r="AU30" s="28" t="s">
        <v>2515</v>
      </c>
      <c r="AV30" s="28"/>
      <c r="AW30" s="28"/>
      <c r="AX30" s="44" t="s">
        <v>2652</v>
      </c>
      <c r="AY30" s="40" t="n">
        <v>21000</v>
      </c>
    </row>
    <row r="31" ht="16.8" customHeight="1">
      <c r="A31" s="28" t="s">
        <v>2653</v>
      </c>
      <c r="B31" s="28" t="s">
        <v>2511</v>
      </c>
      <c r="C31" s="28"/>
      <c r="D31" s="28" t="s">
        <v>2530</v>
      </c>
      <c r="E31" s="28"/>
      <c r="F31" s="29" t="s">
        <v>14</v>
      </c>
      <c r="G31" s="29"/>
      <c r="H31" s="29" t="s">
        <v>554</v>
      </c>
      <c r="I31" s="29" t="s">
        <v>2531</v>
      </c>
      <c r="J31" s="29"/>
      <c r="K31" s="29"/>
      <c r="L31" s="29"/>
      <c r="M31" s="29"/>
      <c r="N31" s="29"/>
      <c r="O31" s="29"/>
      <c r="P31" s="29"/>
      <c r="Q31" s="29"/>
      <c r="R31" s="29"/>
      <c r="S31" s="29"/>
      <c r="T31" s="29"/>
      <c r="U31" s="29"/>
      <c r="V31" s="29"/>
      <c r="W31" s="29"/>
      <c r="X31" s="29"/>
      <c r="Y31" s="29"/>
      <c r="Z31" s="29"/>
      <c r="AA31" s="29"/>
      <c r="AB31" s="29"/>
      <c r="AC31" s="29"/>
      <c r="AD31" s="30" t="n">
        <v>0</v>
      </c>
      <c r="AE31" s="208" t="s">
        <v>2654</v>
      </c>
      <c r="AF31" s="29" t="s">
        <v>684</v>
      </c>
      <c r="AG31" s="29"/>
      <c r="AH31" s="29"/>
      <c r="AI31" s="29"/>
      <c r="AJ31" s="29"/>
      <c r="AK31" s="29" t="s">
        <v>2530</v>
      </c>
      <c r="AL31" s="32" t="s">
        <v>2655</v>
      </c>
      <c r="AM31" s="32" t="s">
        <v>759</v>
      </c>
      <c r="AN31" s="32" t="s">
        <v>765</v>
      </c>
      <c r="AO31" s="32" t="n">
        <v>18999.4</v>
      </c>
      <c r="AP31" s="32" t="n">
        <v>38498.8</v>
      </c>
      <c r="AQ31" s="38" t="s">
        <v>2653</v>
      </c>
      <c r="AR31" s="28" t="s">
        <v>2514</v>
      </c>
      <c r="AS31" s="28"/>
      <c r="AT31" s="28"/>
      <c r="AU31" s="28" t="s">
        <v>2515</v>
      </c>
      <c r="AV31" s="28"/>
      <c r="AW31" s="28"/>
    </row>
    <row r="32" ht="16.8" customHeight="1">
      <c r="A32" s="28"/>
      <c r="B32" s="28"/>
      <c r="C32" s="28"/>
      <c r="D32" s="28"/>
      <c r="E32" s="28"/>
      <c r="F32" s="29" t="s">
        <v>14</v>
      </c>
      <c r="G32" s="29"/>
      <c r="H32" s="29"/>
      <c r="I32" s="29"/>
      <c r="J32" s="29"/>
      <c r="K32" s="29"/>
      <c r="L32" s="29"/>
      <c r="M32" s="29"/>
      <c r="N32" s="29"/>
      <c r="O32" s="29"/>
      <c r="P32" s="29"/>
      <c r="Q32" s="29"/>
      <c r="R32" s="29"/>
      <c r="S32" s="29"/>
      <c r="T32" s="29"/>
      <c r="U32" s="29"/>
      <c r="V32" s="29"/>
      <c r="W32" s="29"/>
      <c r="X32" s="29"/>
      <c r="Y32" s="29"/>
      <c r="Z32" s="29"/>
      <c r="AA32" s="29"/>
      <c r="AB32" s="29"/>
      <c r="AC32" s="29"/>
      <c r="AD32" s="29"/>
      <c r="AE32" s="29"/>
      <c r="AF32" s="29"/>
      <c r="AG32" s="29"/>
      <c r="AH32" s="29"/>
      <c r="AI32" s="29"/>
      <c r="AJ32" s="29"/>
      <c r="AK32" s="29" t="s">
        <v>2530</v>
      </c>
      <c r="AL32" s="32" t="s">
        <v>2655</v>
      </c>
      <c r="AM32" s="32" t="s">
        <v>710</v>
      </c>
      <c r="AN32" s="32"/>
      <c r="AO32" s="32"/>
      <c r="AP32" s="32" t="n">
        <v>18969.1</v>
      </c>
      <c r="AQ32" s="38"/>
      <c r="AR32" s="28"/>
      <c r="AS32" s="28"/>
      <c r="AT32" s="28"/>
      <c r="AU32" s="28"/>
      <c r="AV32" s="28"/>
      <c r="AW32" s="28"/>
      <c r="AX32" s="45"/>
      <c r="AY32" s="46"/>
    </row>
    <row r="33" ht="16.8" customHeight="1">
      <c r="A33" s="28"/>
      <c r="B33" s="28"/>
      <c r="C33" s="28"/>
      <c r="D33" s="28"/>
      <c r="E33" s="28"/>
      <c r="F33" s="29" t="s">
        <v>14</v>
      </c>
      <c r="G33" s="29"/>
      <c r="H33" s="29"/>
      <c r="I33" s="29"/>
      <c r="J33" s="29"/>
      <c r="K33" s="29"/>
      <c r="L33" s="29"/>
      <c r="M33" s="29"/>
      <c r="N33" s="29"/>
      <c r="O33" s="29"/>
      <c r="P33" s="29"/>
      <c r="Q33" s="29"/>
      <c r="R33" s="29"/>
      <c r="S33" s="29"/>
      <c r="T33" s="29"/>
      <c r="U33" s="29"/>
      <c r="V33" s="29"/>
      <c r="W33" s="29"/>
      <c r="X33" s="29"/>
      <c r="Y33" s="29"/>
      <c r="Z33" s="29"/>
      <c r="AA33" s="29"/>
      <c r="AB33" s="29"/>
      <c r="AC33" s="29"/>
      <c r="AD33" s="29"/>
      <c r="AE33" s="29"/>
      <c r="AF33" s="29"/>
      <c r="AG33" s="29"/>
      <c r="AH33" s="29"/>
      <c r="AI33" s="29"/>
      <c r="AJ33" s="29"/>
      <c r="AK33" s="29" t="s">
        <v>2530</v>
      </c>
      <c r="AL33" s="32" t="s">
        <v>2655</v>
      </c>
      <c r="AM33" s="32" t="s">
        <v>692</v>
      </c>
      <c r="AN33" s="32"/>
      <c r="AO33" s="32"/>
      <c r="AP33" s="32" t="n">
        <v>18628.7</v>
      </c>
      <c r="AQ33" s="38"/>
      <c r="AR33" s="28"/>
      <c r="AS33" s="28"/>
      <c r="AT33" s="28"/>
      <c r="AU33" s="28"/>
      <c r="AV33" s="28"/>
      <c r="AW33" s="28"/>
      <c r="AX33" s="45"/>
      <c r="AY33" s="46"/>
    </row>
    <row r="34" ht="16.8" customHeight="1">
      <c r="A34" s="28"/>
      <c r="B34" s="28"/>
      <c r="C34" s="28"/>
      <c r="D34" s="28"/>
      <c r="E34" s="28"/>
      <c r="F34" s="29" t="s">
        <v>14</v>
      </c>
      <c r="G34" s="29"/>
      <c r="H34" s="29"/>
      <c r="I34" s="29"/>
      <c r="J34" s="29"/>
      <c r="K34" s="29"/>
      <c r="L34" s="29"/>
      <c r="M34" s="29"/>
      <c r="N34" s="29"/>
      <c r="O34" s="29"/>
      <c r="P34" s="29"/>
      <c r="Q34" s="29"/>
      <c r="R34" s="29"/>
      <c r="S34" s="29"/>
      <c r="T34" s="29"/>
      <c r="U34" s="29"/>
      <c r="V34" s="29"/>
      <c r="W34" s="29"/>
      <c r="X34" s="29"/>
      <c r="Y34" s="29"/>
      <c r="Z34" s="29"/>
      <c r="AA34" s="29"/>
      <c r="AB34" s="29"/>
      <c r="AC34" s="29"/>
      <c r="AD34" s="29"/>
      <c r="AE34" s="29"/>
      <c r="AF34" s="29"/>
      <c r="AG34" s="29"/>
      <c r="AH34" s="29"/>
      <c r="AI34" s="29"/>
      <c r="AJ34" s="29"/>
      <c r="AK34" s="29" t="s">
        <v>2530</v>
      </c>
      <c r="AL34" s="32" t="s">
        <v>2655</v>
      </c>
      <c r="AM34" s="32" t="s">
        <v>730</v>
      </c>
      <c r="AN34" s="32"/>
      <c r="AO34" s="32"/>
      <c r="AP34" s="32" t="n">
        <v>14237.7</v>
      </c>
      <c r="AQ34" s="38"/>
      <c r="AR34" s="28"/>
      <c r="AS34" s="28"/>
      <c r="AT34" s="28"/>
      <c r="AU34" s="28"/>
      <c r="AV34" s="28"/>
      <c r="AW34" s="28"/>
      <c r="AX34" s="45"/>
      <c r="AY34" s="46"/>
    </row>
    <row r="35" ht="16.8" customHeight="1">
      <c r="A35" s="28"/>
      <c r="B35" s="28"/>
      <c r="C35" s="28"/>
      <c r="D35" s="28"/>
      <c r="E35" s="28"/>
      <c r="F35" s="29" t="s">
        <v>14</v>
      </c>
      <c r="G35" s="29"/>
      <c r="H35" s="29"/>
      <c r="I35" s="29"/>
      <c r="J35" s="29"/>
      <c r="K35" s="29"/>
      <c r="L35" s="29"/>
      <c r="M35" s="29"/>
      <c r="N35" s="29"/>
      <c r="O35" s="29"/>
      <c r="P35" s="29"/>
      <c r="Q35" s="29"/>
      <c r="R35" s="29"/>
      <c r="S35" s="29"/>
      <c r="T35" s="29"/>
      <c r="U35" s="29"/>
      <c r="V35" s="29"/>
      <c r="W35" s="29"/>
      <c r="X35" s="29"/>
      <c r="Y35" s="29"/>
      <c r="Z35" s="29"/>
      <c r="AA35" s="29"/>
      <c r="AB35" s="29"/>
      <c r="AC35" s="29"/>
      <c r="AD35" s="29"/>
      <c r="AE35" s="29"/>
      <c r="AF35" s="29"/>
      <c r="AG35" s="29"/>
      <c r="AH35" s="29"/>
      <c r="AI35" s="29"/>
      <c r="AJ35" s="29"/>
      <c r="AK35" s="29" t="s">
        <v>2530</v>
      </c>
      <c r="AL35" s="32" t="s">
        <v>2655</v>
      </c>
      <c r="AM35" s="32" t="s">
        <v>746</v>
      </c>
      <c r="AN35" s="32"/>
      <c r="AO35" s="32"/>
      <c r="AP35" s="32" t="n">
        <v>14237.8</v>
      </c>
      <c r="AQ35" s="38"/>
      <c r="AR35" s="28"/>
      <c r="AS35" s="28"/>
      <c r="AT35" s="28"/>
      <c r="AU35" s="28"/>
      <c r="AV35" s="28"/>
      <c r="AW35" s="28"/>
      <c r="AX35" s="45"/>
      <c r="AY35" s="46"/>
    </row>
    <row r="36" ht="16.8" customHeight="1">
      <c r="A36" s="28"/>
      <c r="B36" s="28"/>
      <c r="C36" s="28"/>
      <c r="D36" s="28"/>
      <c r="E36" s="28"/>
      <c r="F36" s="29" t="s">
        <v>14</v>
      </c>
      <c r="G36" s="29"/>
      <c r="H36" s="29"/>
      <c r="I36" s="29"/>
      <c r="J36" s="29"/>
      <c r="K36" s="29"/>
      <c r="L36" s="29"/>
      <c r="M36" s="29"/>
      <c r="N36" s="29"/>
      <c r="O36" s="29"/>
      <c r="P36" s="29"/>
      <c r="Q36" s="29"/>
      <c r="R36" s="29"/>
      <c r="S36" s="29"/>
      <c r="T36" s="29"/>
      <c r="U36" s="29"/>
      <c r="V36" s="29"/>
      <c r="W36" s="29"/>
      <c r="X36" s="29"/>
      <c r="Y36" s="29"/>
      <c r="Z36" s="29"/>
      <c r="AA36" s="29"/>
      <c r="AB36" s="29"/>
      <c r="AC36" s="29"/>
      <c r="AD36" s="29"/>
      <c r="AE36" s="29"/>
      <c r="AF36" s="29"/>
      <c r="AG36" s="29"/>
      <c r="AH36" s="29"/>
      <c r="AI36" s="29"/>
      <c r="AJ36" s="29"/>
      <c r="AK36" s="29"/>
      <c r="AL36" s="33" t="s">
        <v>29</v>
      </c>
      <c r="AM36" s="33" t="s">
        <v>2656</v>
      </c>
      <c r="AN36" s="29"/>
      <c r="AO36" s="30"/>
      <c r="AP36" s="37" t="n">
        <v>80</v>
      </c>
      <c r="AQ36" s="39" t="n">
        <v>45854.6874074074</v>
      </c>
      <c r="AR36" s="28"/>
      <c r="AS36" s="28"/>
      <c r="AT36" s="28"/>
      <c r="AU36" s="28"/>
      <c r="AV36" s="28"/>
      <c r="AW36" s="28"/>
      <c r="AX36" s="45"/>
      <c r="AY36" s="46"/>
    </row>
    <row r="37" s="47" customFormat="1" ht="16.8" customHeight="1">
      <c r="A37" s="28"/>
      <c r="B37" s="28"/>
      <c r="C37" s="28"/>
      <c r="D37" s="28"/>
      <c r="E37" s="28"/>
      <c r="F37" s="29" t="s">
        <v>14</v>
      </c>
      <c r="G37" s="29"/>
      <c r="H37" s="29"/>
      <c r="I37" s="29"/>
      <c r="J37" s="29"/>
      <c r="K37" s="29"/>
      <c r="L37" s="29"/>
      <c r="M37" s="29"/>
      <c r="N37" s="29"/>
      <c r="O37" s="29"/>
      <c r="P37" s="29"/>
      <c r="Q37" s="29"/>
      <c r="R37" s="29"/>
      <c r="S37" s="29"/>
      <c r="T37" s="29"/>
      <c r="U37" s="29"/>
      <c r="V37" s="29"/>
      <c r="W37" s="29"/>
      <c r="X37" s="29"/>
      <c r="Y37" s="29"/>
      <c r="Z37" s="29"/>
      <c r="AA37" s="29"/>
      <c r="AB37" s="29"/>
      <c r="AC37" s="29"/>
      <c r="AD37" s="29"/>
      <c r="AE37" s="29"/>
      <c r="AF37" s="29"/>
      <c r="AG37" s="29"/>
      <c r="AH37" s="29"/>
      <c r="AI37" s="29"/>
      <c r="AJ37" s="29"/>
      <c r="AK37" s="29"/>
      <c r="AL37" s="33" t="s">
        <v>29</v>
      </c>
      <c r="AM37" s="33" t="s">
        <v>2657</v>
      </c>
      <c r="AN37" s="29"/>
      <c r="AO37" s="30"/>
      <c r="AP37" s="37" t="n">
        <v>70</v>
      </c>
      <c r="AQ37" s="39" t="n">
        <v>45850.768912037</v>
      </c>
      <c r="AR37" s="28"/>
      <c r="AS37" s="28"/>
      <c r="AT37" s="28"/>
      <c r="AU37" s="28"/>
      <c r="AV37" s="43"/>
      <c r="AW37" s="28"/>
      <c r="AX37" s="45"/>
      <c r="AY37" s="46"/>
    </row>
    <row r="38" s="47" customFormat="1" ht="16.8" customHeight="1">
      <c r="A38" s="28"/>
      <c r="B38" s="28"/>
      <c r="C38" s="28"/>
      <c r="D38" s="28"/>
      <c r="E38" s="28"/>
      <c r="F38" s="29" t="s">
        <v>14</v>
      </c>
      <c r="G38" s="29"/>
      <c r="H38" s="29"/>
      <c r="I38" s="29"/>
      <c r="J38" s="29"/>
      <c r="K38" s="29"/>
      <c r="L38" s="29"/>
      <c r="M38" s="29"/>
      <c r="N38" s="29"/>
      <c r="O38" s="29"/>
      <c r="P38" s="29"/>
      <c r="Q38" s="29"/>
      <c r="R38" s="29"/>
      <c r="S38" s="29"/>
      <c r="T38" s="29"/>
      <c r="U38" s="29"/>
      <c r="V38" s="29"/>
      <c r="W38" s="29"/>
      <c r="X38" s="29"/>
      <c r="Y38" s="29"/>
      <c r="Z38" s="29"/>
      <c r="AA38" s="29"/>
      <c r="AB38" s="29"/>
      <c r="AC38" s="29"/>
      <c r="AD38" s="29"/>
      <c r="AE38" s="29"/>
      <c r="AF38" s="29"/>
      <c r="AG38" s="29"/>
      <c r="AH38" s="29"/>
      <c r="AI38" s="29"/>
      <c r="AJ38" s="29"/>
      <c r="AK38" s="29"/>
      <c r="AL38" s="33" t="s">
        <v>29</v>
      </c>
      <c r="AM38" s="33" t="s">
        <v>2658</v>
      </c>
      <c r="AN38" s="29"/>
      <c r="AO38" s="30"/>
      <c r="AP38" s="37" t="n">
        <v>100</v>
      </c>
      <c r="AQ38" s="39" t="n">
        <v>45841.5519675926</v>
      </c>
      <c r="AR38" s="28"/>
      <c r="AS38" s="28"/>
      <c r="AT38" s="28"/>
      <c r="AU38" s="28"/>
      <c r="AV38" s="43"/>
      <c r="AW38" s="28"/>
      <c r="AX38" s="45"/>
      <c r="AY38" s="46"/>
    </row>
    <row r="39" s="47" customFormat="1" ht="16.8" customHeight="1">
      <c r="A39" s="28"/>
      <c r="B39" s="28"/>
      <c r="C39" s="28"/>
      <c r="D39" s="28"/>
      <c r="E39" s="28"/>
      <c r="F39" s="29"/>
      <c r="G39" s="29"/>
      <c r="H39" s="29"/>
      <c r="I39" s="29"/>
      <c r="J39" s="29"/>
      <c r="K39" s="29"/>
      <c r="L39" s="29"/>
      <c r="M39" s="29"/>
      <c r="N39" s="29"/>
      <c r="O39" s="29"/>
      <c r="P39" s="29"/>
      <c r="Q39" s="29"/>
      <c r="R39" s="29"/>
      <c r="S39" s="29"/>
      <c r="T39" s="29"/>
      <c r="U39" s="29"/>
      <c r="V39" s="29"/>
      <c r="W39" s="29"/>
      <c r="X39" s="29"/>
      <c r="Y39" s="29"/>
      <c r="Z39" s="29"/>
      <c r="AA39" s="29"/>
      <c r="AB39" s="29"/>
      <c r="AC39" s="29"/>
      <c r="AD39" s="29"/>
      <c r="AE39" s="29"/>
      <c r="AF39" s="29"/>
      <c r="AG39" s="29"/>
      <c r="AH39" s="29"/>
      <c r="AI39" s="29"/>
      <c r="AJ39" s="29"/>
      <c r="AK39" s="29"/>
      <c r="AL39" s="29"/>
      <c r="AM39" s="34"/>
      <c r="AN39" s="35" t="s">
        <v>2659</v>
      </c>
      <c r="AO39" s="40"/>
      <c r="AP39" s="41" t="n">
        <f>SUM(AP2:AP38)</f>
        <v>385713.05</v>
      </c>
      <c r="AQ39" s="38"/>
      <c r="AR39" s="28"/>
      <c r="AS39" s="28"/>
      <c r="AT39" s="28"/>
      <c r="AU39" s="28"/>
      <c r="AV39" s="43"/>
      <c r="AW39" s="28"/>
      <c r="AX39" s="45"/>
      <c r="AY39" s="46"/>
    </row>
    <row r="40" s="47" customFormat="1" ht="16.8" customHeight="1">
      <c r="A40" s="28" t="s">
        <v>2568</v>
      </c>
      <c r="B40" s="28" t="s">
        <v>2519</v>
      </c>
      <c r="C40" s="28" t="s">
        <v>2569</v>
      </c>
      <c r="D40" s="28" t="s">
        <v>2570</v>
      </c>
      <c r="E40" s="28"/>
      <c r="F40" s="29" t="s">
        <v>10</v>
      </c>
      <c r="G40" s="29"/>
      <c r="H40" s="29" t="s">
        <v>1798</v>
      </c>
      <c r="I40" s="29" t="s">
        <v>2571</v>
      </c>
      <c r="J40" s="29"/>
      <c r="K40" s="29" t="s">
        <v>2522</v>
      </c>
      <c r="L40" s="29"/>
      <c r="M40" s="29" t="s">
        <v>2523</v>
      </c>
      <c r="N40" s="29"/>
      <c r="O40" s="29"/>
      <c r="P40" s="29"/>
      <c r="Q40" s="29"/>
      <c r="R40" s="29"/>
      <c r="S40" s="29"/>
      <c r="T40" s="29"/>
      <c r="U40" s="29"/>
      <c r="V40" s="29"/>
      <c r="W40" s="29"/>
      <c r="X40" s="29"/>
      <c r="Y40" s="29"/>
      <c r="Z40" s="29" t="s">
        <v>2524</v>
      </c>
      <c r="AA40" s="29"/>
      <c r="AB40" s="29" t="s">
        <v>2572</v>
      </c>
      <c r="AC40" s="29"/>
      <c r="AD40" s="29"/>
      <c r="AE40" s="29"/>
      <c r="AF40" s="29" t="s">
        <v>547</v>
      </c>
      <c r="AG40" s="29" t="s">
        <v>392</v>
      </c>
      <c r="AH40" s="29" t="s">
        <v>578</v>
      </c>
      <c r="AI40" s="29" t="s">
        <v>2573</v>
      </c>
      <c r="AJ40" s="29" t="s">
        <v>579</v>
      </c>
      <c r="AK40" s="29" t="s">
        <v>2570</v>
      </c>
      <c r="AL40" s="29" t="s">
        <v>2526</v>
      </c>
      <c r="AM40" s="31" t="s">
        <v>2574</v>
      </c>
      <c r="AN40" s="29" t="s">
        <v>2575</v>
      </c>
      <c r="AO40" s="30" t="n">
        <v>16900</v>
      </c>
      <c r="AP40" s="37" t="n">
        <f>AY40/2</f>
        <v>8450</v>
      </c>
      <c r="AQ40" s="38" t="s">
        <v>2576</v>
      </c>
      <c r="AR40" s="209" t="s">
        <v>2577</v>
      </c>
      <c r="AS40" s="28"/>
      <c r="AT40" s="28"/>
      <c r="AU40" s="28" t="s">
        <v>2515</v>
      </c>
      <c r="AV40" s="47"/>
      <c r="AW40" s="28"/>
      <c r="AX40" s="47" t="s">
        <v>2578</v>
      </c>
      <c r="AY40" s="40" t="n">
        <v>16900</v>
      </c>
    </row>
    <row r="41" s="47" customFormat="1" ht="16.8" customHeight="1">
      <c r="A41" s="28" t="s">
        <v>2568</v>
      </c>
      <c r="B41" s="28" t="s">
        <v>2519</v>
      </c>
      <c r="C41" s="28" t="s">
        <v>2579</v>
      </c>
      <c r="D41" s="28" t="s">
        <v>2570</v>
      </c>
      <c r="E41" s="28"/>
      <c r="F41" s="29" t="s">
        <v>10</v>
      </c>
      <c r="G41" s="29"/>
      <c r="H41" s="29" t="s">
        <v>1798</v>
      </c>
      <c r="I41" s="29" t="s">
        <v>2571</v>
      </c>
      <c r="J41" s="29"/>
      <c r="K41" s="29" t="s">
        <v>2522</v>
      </c>
      <c r="L41" s="29"/>
      <c r="M41" s="29" t="s">
        <v>2523</v>
      </c>
      <c r="N41" s="29"/>
      <c r="O41" s="29"/>
      <c r="P41" s="29"/>
      <c r="Q41" s="29"/>
      <c r="R41" s="29"/>
      <c r="S41" s="29"/>
      <c r="T41" s="29"/>
      <c r="U41" s="29"/>
      <c r="V41" s="29"/>
      <c r="W41" s="29"/>
      <c r="X41" s="29"/>
      <c r="Y41" s="29"/>
      <c r="Z41" s="29" t="s">
        <v>2524</v>
      </c>
      <c r="AA41" s="29"/>
      <c r="AB41" s="29" t="s">
        <v>2572</v>
      </c>
      <c r="AC41" s="29"/>
      <c r="AD41" s="29"/>
      <c r="AE41" s="29"/>
      <c r="AF41" s="29" t="s">
        <v>547</v>
      </c>
      <c r="AG41" s="29" t="s">
        <v>392</v>
      </c>
      <c r="AH41" s="29" t="s">
        <v>578</v>
      </c>
      <c r="AI41" s="29" t="s">
        <v>2573</v>
      </c>
      <c r="AJ41" s="29" t="s">
        <v>579</v>
      </c>
      <c r="AK41" s="29" t="s">
        <v>2570</v>
      </c>
      <c r="AL41" s="29" t="s">
        <v>2526</v>
      </c>
      <c r="AM41" s="31" t="s">
        <v>2574</v>
      </c>
      <c r="AN41" s="29" t="s">
        <v>2575</v>
      </c>
      <c r="AO41" s="30" t="n">
        <v>4816.2</v>
      </c>
      <c r="AP41" s="37" t="n">
        <f>AY41/2</f>
        <v>2408.1</v>
      </c>
      <c r="AQ41" s="38" t="s">
        <v>2576</v>
      </c>
      <c r="AR41" s="210" t="s">
        <v>2577</v>
      </c>
      <c r="AS41" s="28"/>
      <c r="AT41" s="28"/>
      <c r="AU41" s="28" t="s">
        <v>2515</v>
      </c>
      <c r="AV41" s="47"/>
      <c r="AW41" s="28"/>
      <c r="AX41" s="47" t="s">
        <v>2578</v>
      </c>
      <c r="AY41" s="40" t="n">
        <v>4816.2</v>
      </c>
    </row>
    <row r="42" s="47" customFormat="1" ht="16.8" customHeight="1">
      <c r="A42" s="28" t="s">
        <v>2568</v>
      </c>
      <c r="B42" s="28" t="s">
        <v>2519</v>
      </c>
      <c r="C42" s="28" t="s">
        <v>2580</v>
      </c>
      <c r="D42" s="28" t="s">
        <v>2570</v>
      </c>
      <c r="E42" s="28"/>
      <c r="F42" s="29" t="s">
        <v>10</v>
      </c>
      <c r="G42" s="29"/>
      <c r="H42" s="29" t="s">
        <v>1798</v>
      </c>
      <c r="I42" s="29" t="s">
        <v>2571</v>
      </c>
      <c r="J42" s="29"/>
      <c r="K42" s="29" t="s">
        <v>2522</v>
      </c>
      <c r="L42" s="29"/>
      <c r="M42" s="29" t="s">
        <v>2523</v>
      </c>
      <c r="N42" s="29"/>
      <c r="O42" s="29"/>
      <c r="P42" s="29"/>
      <c r="Q42" s="29"/>
      <c r="R42" s="29"/>
      <c r="S42" s="29"/>
      <c r="T42" s="29"/>
      <c r="U42" s="29"/>
      <c r="V42" s="29"/>
      <c r="W42" s="29"/>
      <c r="X42" s="29"/>
      <c r="Y42" s="29"/>
      <c r="Z42" s="29" t="s">
        <v>2524</v>
      </c>
      <c r="AA42" s="29"/>
      <c r="AB42" s="29" t="s">
        <v>2572</v>
      </c>
      <c r="AC42" s="29"/>
      <c r="AD42" s="29"/>
      <c r="AE42" s="29"/>
      <c r="AF42" s="29" t="s">
        <v>547</v>
      </c>
      <c r="AG42" s="29" t="s">
        <v>392</v>
      </c>
      <c r="AH42" s="29" t="s">
        <v>578</v>
      </c>
      <c r="AI42" s="29" t="s">
        <v>2573</v>
      </c>
      <c r="AJ42" s="29" t="s">
        <v>579</v>
      </c>
      <c r="AK42" s="29" t="s">
        <v>2570</v>
      </c>
      <c r="AL42" s="29" t="s">
        <v>2526</v>
      </c>
      <c r="AM42" s="31" t="s">
        <v>2574</v>
      </c>
      <c r="AN42" s="29" t="s">
        <v>2575</v>
      </c>
      <c r="AO42" s="30" t="n">
        <v>14855.3</v>
      </c>
      <c r="AP42" s="37" t="n">
        <f>AY42/2</f>
        <v>7427.65</v>
      </c>
      <c r="AQ42" s="38" t="s">
        <v>2576</v>
      </c>
      <c r="AR42" s="211" t="s">
        <v>2577</v>
      </c>
      <c r="AS42" s="28"/>
      <c r="AT42" s="28"/>
      <c r="AU42" s="28" t="s">
        <v>2515</v>
      </c>
      <c r="AV42" s="47"/>
      <c r="AW42" s="28"/>
      <c r="AX42" s="47" t="s">
        <v>2578</v>
      </c>
      <c r="AY42" s="40" t="n">
        <v>14855.3</v>
      </c>
    </row>
    <row r="43" s="47" customFormat="1" ht="16.8" customHeight="1">
      <c r="A43" s="28" t="s">
        <v>2568</v>
      </c>
      <c r="B43" s="28" t="s">
        <v>2519</v>
      </c>
      <c r="C43" s="28" t="s">
        <v>2581</v>
      </c>
      <c r="D43" s="28" t="s">
        <v>2570</v>
      </c>
      <c r="E43" s="28"/>
      <c r="F43" s="29" t="s">
        <v>10</v>
      </c>
      <c r="G43" s="29"/>
      <c r="H43" s="29" t="s">
        <v>1798</v>
      </c>
      <c r="I43" s="29" t="s">
        <v>2571</v>
      </c>
      <c r="J43" s="29"/>
      <c r="K43" s="29" t="s">
        <v>2522</v>
      </c>
      <c r="L43" s="29"/>
      <c r="M43" s="29" t="s">
        <v>2523</v>
      </c>
      <c r="N43" s="29"/>
      <c r="O43" s="29"/>
      <c r="P43" s="29"/>
      <c r="Q43" s="29"/>
      <c r="R43" s="29"/>
      <c r="S43" s="29"/>
      <c r="T43" s="29"/>
      <c r="U43" s="29"/>
      <c r="V43" s="29"/>
      <c r="W43" s="29"/>
      <c r="X43" s="29"/>
      <c r="Y43" s="29"/>
      <c r="Z43" s="29" t="s">
        <v>2524</v>
      </c>
      <c r="AA43" s="29"/>
      <c r="AB43" s="29" t="s">
        <v>2572</v>
      </c>
      <c r="AC43" s="29"/>
      <c r="AD43" s="29"/>
      <c r="AE43" s="29"/>
      <c r="AF43" s="29" t="s">
        <v>547</v>
      </c>
      <c r="AG43" s="29" t="s">
        <v>392</v>
      </c>
      <c r="AH43" s="29" t="s">
        <v>578</v>
      </c>
      <c r="AI43" s="29" t="s">
        <v>2573</v>
      </c>
      <c r="AJ43" s="29" t="s">
        <v>579</v>
      </c>
      <c r="AK43" s="29" t="s">
        <v>2570</v>
      </c>
      <c r="AL43" s="29" t="s">
        <v>2526</v>
      </c>
      <c r="AM43" s="31" t="s">
        <v>2574</v>
      </c>
      <c r="AN43" s="29" t="s">
        <v>2575</v>
      </c>
      <c r="AO43" s="30" t="n">
        <v>5561.8</v>
      </c>
      <c r="AP43" s="37" t="n">
        <f>AY43/2</f>
        <v>2780.9</v>
      </c>
      <c r="AQ43" s="38" t="s">
        <v>2576</v>
      </c>
      <c r="AR43" s="212" t="s">
        <v>2577</v>
      </c>
      <c r="AS43" s="28"/>
      <c r="AT43" s="28"/>
      <c r="AU43" s="28" t="s">
        <v>2515</v>
      </c>
      <c r="AV43" s="47"/>
      <c r="AW43" s="28"/>
      <c r="AX43" s="47" t="s">
        <v>2578</v>
      </c>
      <c r="AY43" s="40" t="n">
        <v>5561.8</v>
      </c>
    </row>
    <row r="44" s="47" customFormat="1" ht="16.8" customHeight="1">
      <c r="A44" s="28" t="s">
        <v>2568</v>
      </c>
      <c r="B44" s="28" t="s">
        <v>2519</v>
      </c>
      <c r="C44" s="28" t="s">
        <v>2582</v>
      </c>
      <c r="D44" s="28" t="s">
        <v>2570</v>
      </c>
      <c r="E44" s="28"/>
      <c r="F44" s="29" t="s">
        <v>10</v>
      </c>
      <c r="G44" s="29"/>
      <c r="H44" s="29" t="s">
        <v>1798</v>
      </c>
      <c r="I44" s="29" t="s">
        <v>2571</v>
      </c>
      <c r="J44" s="29"/>
      <c r="K44" s="29" t="s">
        <v>2522</v>
      </c>
      <c r="L44" s="29"/>
      <c r="M44" s="29" t="s">
        <v>2523</v>
      </c>
      <c r="N44" s="29"/>
      <c r="O44" s="29"/>
      <c r="P44" s="29"/>
      <c r="Q44" s="29"/>
      <c r="R44" s="29"/>
      <c r="S44" s="29"/>
      <c r="T44" s="29"/>
      <c r="U44" s="29"/>
      <c r="V44" s="29"/>
      <c r="W44" s="29"/>
      <c r="X44" s="29"/>
      <c r="Y44" s="29"/>
      <c r="Z44" s="29" t="s">
        <v>2524</v>
      </c>
      <c r="AA44" s="29"/>
      <c r="AB44" s="29" t="s">
        <v>2572</v>
      </c>
      <c r="AC44" s="29"/>
      <c r="AD44" s="29"/>
      <c r="AE44" s="29"/>
      <c r="AF44" s="29" t="s">
        <v>547</v>
      </c>
      <c r="AG44" s="29" t="s">
        <v>392</v>
      </c>
      <c r="AH44" s="29" t="s">
        <v>578</v>
      </c>
      <c r="AI44" s="29" t="s">
        <v>2573</v>
      </c>
      <c r="AJ44" s="29" t="s">
        <v>579</v>
      </c>
      <c r="AK44" s="29" t="s">
        <v>2570</v>
      </c>
      <c r="AL44" s="29" t="s">
        <v>2526</v>
      </c>
      <c r="AM44" s="31" t="s">
        <v>2574</v>
      </c>
      <c r="AN44" s="29" t="s">
        <v>2575</v>
      </c>
      <c r="AO44" s="30" t="n">
        <v>9703.8</v>
      </c>
      <c r="AP44" s="37" t="n">
        <f>AY44/2</f>
        <v>4851.9</v>
      </c>
      <c r="AQ44" s="38" t="s">
        <v>2576</v>
      </c>
      <c r="AR44" s="213" t="s">
        <v>2577</v>
      </c>
      <c r="AS44" s="28"/>
      <c r="AT44" s="28"/>
      <c r="AU44" s="28" t="s">
        <v>2515</v>
      </c>
      <c r="AV44" s="47"/>
      <c r="AW44" s="28"/>
      <c r="AX44" s="47" t="s">
        <v>2578</v>
      </c>
      <c r="AY44" s="40" t="n">
        <v>9703.8</v>
      </c>
    </row>
    <row r="45" s="47" customFormat="1" ht="16.8" customHeight="1">
      <c r="A45" s="28" t="s">
        <v>2568</v>
      </c>
      <c r="B45" s="28" t="s">
        <v>2519</v>
      </c>
      <c r="C45" s="28" t="s">
        <v>2583</v>
      </c>
      <c r="D45" s="28" t="s">
        <v>2570</v>
      </c>
      <c r="E45" s="28"/>
      <c r="F45" s="29" t="s">
        <v>10</v>
      </c>
      <c r="G45" s="29"/>
      <c r="H45" s="29" t="s">
        <v>1798</v>
      </c>
      <c r="I45" s="29" t="s">
        <v>2571</v>
      </c>
      <c r="J45" s="29"/>
      <c r="K45" s="29" t="s">
        <v>2532</v>
      </c>
      <c r="L45" s="29" t="s">
        <v>2584</v>
      </c>
      <c r="M45" s="29"/>
      <c r="N45" s="29"/>
      <c r="O45" s="29" t="s">
        <v>2524</v>
      </c>
      <c r="P45" s="29"/>
      <c r="Q45" s="29"/>
      <c r="R45" s="29"/>
      <c r="S45" s="29"/>
      <c r="T45" s="29"/>
      <c r="U45" s="29"/>
      <c r="V45" s="29"/>
      <c r="W45" s="29"/>
      <c r="X45" s="29"/>
      <c r="Y45" s="29"/>
      <c r="Z45" s="29"/>
      <c r="AA45" s="29"/>
      <c r="AB45" s="29" t="s">
        <v>2572</v>
      </c>
      <c r="AC45" s="29"/>
      <c r="AD45" s="29"/>
      <c r="AE45" s="29"/>
      <c r="AF45" s="29" t="s">
        <v>547</v>
      </c>
      <c r="AG45" s="29" t="s">
        <v>392</v>
      </c>
      <c r="AH45" s="29" t="s">
        <v>578</v>
      </c>
      <c r="AI45" s="29" t="s">
        <v>2573</v>
      </c>
      <c r="AJ45" s="29" t="s">
        <v>579</v>
      </c>
      <c r="AK45" s="29" t="s">
        <v>2570</v>
      </c>
      <c r="AL45" s="29" t="s">
        <v>2526</v>
      </c>
      <c r="AM45" s="31" t="s">
        <v>2574</v>
      </c>
      <c r="AN45" s="29" t="s">
        <v>2575</v>
      </c>
      <c r="AO45" s="30" t="n">
        <v>5265</v>
      </c>
      <c r="AP45" s="37" t="n">
        <f>AY45/2</f>
        <v>2632.5</v>
      </c>
      <c r="AQ45" s="38" t="s">
        <v>2585</v>
      </c>
      <c r="AR45" s="214" t="s">
        <v>2577</v>
      </c>
      <c r="AS45" s="28"/>
      <c r="AT45" s="28"/>
      <c r="AU45" s="28" t="s">
        <v>2515</v>
      </c>
      <c r="AV45" s="47"/>
      <c r="AW45" s="28"/>
      <c r="AX45" s="47" t="s">
        <v>2578</v>
      </c>
      <c r="AY45" s="40" t="n">
        <v>5265</v>
      </c>
    </row>
    <row r="46" ht="16.8" customHeight="1">
      <c r="A46" s="28" t="s">
        <v>2568</v>
      </c>
      <c r="B46" s="28" t="s">
        <v>2519</v>
      </c>
      <c r="C46" s="28" t="s">
        <v>2586</v>
      </c>
      <c r="D46" s="28" t="s">
        <v>2570</v>
      </c>
      <c r="E46" s="28"/>
      <c r="F46" s="29" t="s">
        <v>10</v>
      </c>
      <c r="G46" s="29"/>
      <c r="H46" s="29" t="s">
        <v>1798</v>
      </c>
      <c r="I46" s="29" t="s">
        <v>2571</v>
      </c>
      <c r="J46" s="29"/>
      <c r="K46" s="29" t="s">
        <v>2522</v>
      </c>
      <c r="L46" s="29"/>
      <c r="M46" s="29" t="s">
        <v>2523</v>
      </c>
      <c r="N46" s="29"/>
      <c r="O46" s="29"/>
      <c r="P46" s="29"/>
      <c r="Q46" s="29"/>
      <c r="R46" s="29"/>
      <c r="S46" s="29"/>
      <c r="T46" s="29"/>
      <c r="U46" s="29"/>
      <c r="V46" s="29"/>
      <c r="W46" s="29"/>
      <c r="X46" s="29"/>
      <c r="Y46" s="29"/>
      <c r="Z46" s="29" t="s">
        <v>2524</v>
      </c>
      <c r="AA46" s="29"/>
      <c r="AB46" s="29" t="s">
        <v>2572</v>
      </c>
      <c r="AC46" s="29"/>
      <c r="AD46" s="29"/>
      <c r="AE46" s="29"/>
      <c r="AF46" s="29" t="s">
        <v>547</v>
      </c>
      <c r="AG46" s="29" t="s">
        <v>392</v>
      </c>
      <c r="AH46" s="29" t="s">
        <v>578</v>
      </c>
      <c r="AI46" s="29" t="s">
        <v>2573</v>
      </c>
      <c r="AJ46" s="29" t="s">
        <v>579</v>
      </c>
      <c r="AK46" s="29" t="s">
        <v>2570</v>
      </c>
      <c r="AL46" s="29" t="s">
        <v>2526</v>
      </c>
      <c r="AM46" s="31" t="s">
        <v>2574</v>
      </c>
      <c r="AN46" s="29" t="s">
        <v>2575</v>
      </c>
      <c r="AO46" s="30" t="n">
        <v>24800</v>
      </c>
      <c r="AP46" s="37" t="n">
        <f>AY46/2</f>
        <v>12400</v>
      </c>
      <c r="AQ46" s="38" t="s">
        <v>2576</v>
      </c>
      <c r="AR46" s="215" t="s">
        <v>2577</v>
      </c>
      <c r="AS46" s="28"/>
      <c r="AT46" s="28"/>
      <c r="AU46" s="28" t="s">
        <v>2515</v>
      </c>
      <c r="AV46" s="28"/>
      <c r="AW46" s="28"/>
      <c r="AX46" s="47" t="s">
        <v>2578</v>
      </c>
      <c r="AY46" s="40" t="n">
        <v>24800</v>
      </c>
    </row>
    <row r="47" ht="16.8" customHeight="1">
      <c r="A47" s="28" t="s">
        <v>2538</v>
      </c>
      <c r="B47" s="28" t="s">
        <v>2519</v>
      </c>
      <c r="C47" s="28" t="s">
        <v>2660</v>
      </c>
      <c r="D47" s="28" t="s">
        <v>2530</v>
      </c>
      <c r="E47" s="28"/>
      <c r="F47" s="29" t="s">
        <v>10</v>
      </c>
      <c r="G47" s="29"/>
      <c r="H47" s="29" t="s">
        <v>2147</v>
      </c>
      <c r="I47" s="29" t="s">
        <v>2531</v>
      </c>
      <c r="J47" s="29"/>
      <c r="K47" s="29" t="s">
        <v>2532</v>
      </c>
      <c r="L47" s="29" t="s">
        <v>2584</v>
      </c>
      <c r="M47" s="29"/>
      <c r="N47" s="29"/>
      <c r="O47" s="29" t="s">
        <v>2632</v>
      </c>
      <c r="P47" s="29"/>
      <c r="Q47" s="29"/>
      <c r="R47" s="29"/>
      <c r="S47" s="29"/>
      <c r="T47" s="29"/>
      <c r="U47" s="29"/>
      <c r="V47" s="29"/>
      <c r="W47" s="29"/>
      <c r="X47" s="29"/>
      <c r="Y47" s="29"/>
      <c r="Z47" s="29"/>
      <c r="AA47" s="29"/>
      <c r="AB47" s="216" t="s">
        <v>2661</v>
      </c>
      <c r="AC47" s="29"/>
      <c r="AD47" s="29"/>
      <c r="AE47" s="29"/>
      <c r="AF47" s="29" t="s">
        <v>635</v>
      </c>
      <c r="AG47" s="29"/>
      <c r="AH47" s="29"/>
      <c r="AI47" s="29"/>
      <c r="AJ47" s="29"/>
      <c r="AK47" s="29" t="s">
        <v>2530</v>
      </c>
      <c r="AL47" s="29" t="s">
        <v>2526</v>
      </c>
      <c r="AM47" s="31" t="s">
        <v>2662</v>
      </c>
      <c r="AN47" s="29" t="s">
        <v>2663</v>
      </c>
      <c r="AO47" s="30" t="n">
        <v>53500</v>
      </c>
      <c r="AP47" s="37" t="n">
        <v>53500</v>
      </c>
      <c r="AQ47" s="38" t="s">
        <v>2664</v>
      </c>
      <c r="AR47" s="28" t="s">
        <v>2665</v>
      </c>
      <c r="AS47" s="28"/>
      <c r="AT47" s="28"/>
      <c r="AU47" s="28" t="s">
        <v>2515</v>
      </c>
      <c r="AV47" s="28"/>
      <c r="AW47" s="28"/>
    </row>
    <row r="48" ht="16.8" customHeight="1">
      <c r="A48" s="28" t="s">
        <v>2666</v>
      </c>
      <c r="B48" s="28" t="s">
        <v>2519</v>
      </c>
      <c r="C48" s="28" t="s">
        <v>2667</v>
      </c>
      <c r="D48" s="28" t="s">
        <v>1505</v>
      </c>
      <c r="E48" s="28"/>
      <c r="F48" s="29" t="s">
        <v>10</v>
      </c>
      <c r="G48" s="29"/>
      <c r="H48" s="29" t="s">
        <v>963</v>
      </c>
      <c r="I48" s="29" t="s">
        <v>2517</v>
      </c>
      <c r="J48" s="29"/>
      <c r="K48" s="29" t="s">
        <v>2532</v>
      </c>
      <c r="L48" s="29" t="s">
        <v>2533</v>
      </c>
      <c r="M48" s="29"/>
      <c r="N48" s="29"/>
      <c r="O48" s="29"/>
      <c r="P48" s="29" t="s">
        <v>2668</v>
      </c>
      <c r="Q48" s="29"/>
      <c r="R48" s="29"/>
      <c r="S48" s="29"/>
      <c r="T48" s="29"/>
      <c r="U48" s="29"/>
      <c r="V48" s="29"/>
      <c r="W48" s="29"/>
      <c r="X48" s="29"/>
      <c r="Y48" s="29"/>
      <c r="Z48" s="29"/>
      <c r="AA48" s="29"/>
      <c r="AB48" s="29" t="s">
        <v>2669</v>
      </c>
      <c r="AC48" s="29"/>
      <c r="AD48" s="29"/>
      <c r="AE48" s="29"/>
      <c r="AF48" s="29" t="s">
        <v>1995</v>
      </c>
      <c r="AG48" s="29"/>
      <c r="AH48" s="29"/>
      <c r="AI48" s="29"/>
      <c r="AJ48" s="29"/>
      <c r="AK48" s="29" t="s">
        <v>1505</v>
      </c>
      <c r="AL48" s="29" t="s">
        <v>2526</v>
      </c>
      <c r="AM48" s="31" t="s">
        <v>2670</v>
      </c>
      <c r="AN48" s="29" t="s">
        <v>2671</v>
      </c>
      <c r="AO48" s="30" t="n">
        <v>8412</v>
      </c>
      <c r="AP48" s="37" t="n">
        <v>8412</v>
      </c>
      <c r="AQ48" s="38" t="s">
        <v>2568</v>
      </c>
      <c r="AR48" s="28" t="s">
        <v>2672</v>
      </c>
      <c r="AS48" s="28"/>
      <c r="AT48" s="28"/>
      <c r="AU48" s="28" t="s">
        <v>2515</v>
      </c>
      <c r="AV48" s="28"/>
      <c r="AW48" s="28"/>
    </row>
    <row r="49" ht="16.8" customHeight="1">
      <c r="A49" s="28" t="s">
        <v>2576</v>
      </c>
      <c r="B49" s="28" t="s">
        <v>2511</v>
      </c>
      <c r="C49" s="28"/>
      <c r="D49" s="28" t="s">
        <v>2644</v>
      </c>
      <c r="E49" s="28"/>
      <c r="F49" s="29" t="s">
        <v>10</v>
      </c>
      <c r="G49" s="29"/>
      <c r="H49" s="29" t="s">
        <v>293</v>
      </c>
      <c r="I49" s="29" t="s">
        <v>2517</v>
      </c>
      <c r="J49" s="29"/>
      <c r="K49" s="29"/>
      <c r="L49" s="29"/>
      <c r="M49" s="29"/>
      <c r="N49" s="29"/>
      <c r="O49" s="29"/>
      <c r="P49" s="29"/>
      <c r="Q49" s="29"/>
      <c r="R49" s="29"/>
      <c r="S49" s="29"/>
      <c r="T49" s="29"/>
      <c r="U49" s="29"/>
      <c r="V49" s="29"/>
      <c r="W49" s="29"/>
      <c r="X49" s="29"/>
      <c r="Y49" s="29"/>
      <c r="Z49" s="29"/>
      <c r="AA49" s="29"/>
      <c r="AB49" s="29"/>
      <c r="AC49" s="29"/>
      <c r="AD49" s="30" t="n">
        <v>8261</v>
      </c>
      <c r="AE49" s="29" t="s">
        <v>2673</v>
      </c>
      <c r="AF49" s="29" t="s">
        <v>482</v>
      </c>
      <c r="AG49" s="29"/>
      <c r="AH49" s="29"/>
      <c r="AI49" s="29"/>
      <c r="AJ49" s="29"/>
      <c r="AK49" s="29" t="s">
        <v>2644</v>
      </c>
      <c r="AL49" s="29"/>
      <c r="AM49" s="31" t="s">
        <v>294</v>
      </c>
      <c r="AN49" s="29" t="s">
        <v>303</v>
      </c>
      <c r="AO49" s="29"/>
      <c r="AP49" s="37" t="n">
        <v>8261</v>
      </c>
      <c r="AQ49" s="38" t="s">
        <v>2585</v>
      </c>
      <c r="AR49" s="28" t="s">
        <v>2514</v>
      </c>
      <c r="AS49" s="28"/>
      <c r="AT49" s="28"/>
      <c r="AU49" s="28" t="s">
        <v>2515</v>
      </c>
      <c r="AV49" s="28"/>
      <c r="AW49" s="28"/>
    </row>
    <row r="50" ht="16.8" customHeight="1">
      <c r="A50" s="28" t="s">
        <v>2516</v>
      </c>
      <c r="B50" s="28" t="s">
        <v>2511</v>
      </c>
      <c r="C50" s="28"/>
      <c r="D50" s="28" t="s">
        <v>2644</v>
      </c>
      <c r="E50" s="28"/>
      <c r="F50" s="29" t="s">
        <v>10</v>
      </c>
      <c r="G50" s="29"/>
      <c r="H50" s="29" t="s">
        <v>293</v>
      </c>
      <c r="I50" s="29" t="s">
        <v>2517</v>
      </c>
      <c r="J50" s="29"/>
      <c r="K50" s="29"/>
      <c r="L50" s="29"/>
      <c r="M50" s="29"/>
      <c r="N50" s="29"/>
      <c r="O50" s="29"/>
      <c r="P50" s="29"/>
      <c r="Q50" s="29"/>
      <c r="R50" s="29"/>
      <c r="S50" s="29"/>
      <c r="T50" s="29"/>
      <c r="U50" s="29"/>
      <c r="V50" s="29"/>
      <c r="W50" s="29"/>
      <c r="X50" s="29"/>
      <c r="Y50" s="29"/>
      <c r="Z50" s="29"/>
      <c r="AA50" s="29"/>
      <c r="AB50" s="29"/>
      <c r="AC50" s="29"/>
      <c r="AD50" s="30" t="n">
        <v>6990.1</v>
      </c>
      <c r="AE50" s="29" t="s">
        <v>2674</v>
      </c>
      <c r="AF50" s="29" t="s">
        <v>283</v>
      </c>
      <c r="AG50" s="29"/>
      <c r="AH50" s="29"/>
      <c r="AI50" s="29"/>
      <c r="AJ50" s="29"/>
      <c r="AK50" s="29" t="s">
        <v>2644</v>
      </c>
      <c r="AL50" s="29"/>
      <c r="AM50" s="31" t="s">
        <v>294</v>
      </c>
      <c r="AN50" s="29" t="s">
        <v>303</v>
      </c>
      <c r="AO50" s="29"/>
      <c r="AP50" s="37" t="n">
        <v>6990.1</v>
      </c>
      <c r="AQ50" s="38" t="s">
        <v>2516</v>
      </c>
      <c r="AR50" s="28" t="s">
        <v>2514</v>
      </c>
      <c r="AS50" s="28"/>
      <c r="AT50" s="28"/>
      <c r="AU50" s="28" t="s">
        <v>2515</v>
      </c>
      <c r="AV50" s="28"/>
      <c r="AW50" s="28"/>
    </row>
    <row r="51" ht="16.8" customHeight="1">
      <c r="A51" s="28" t="s">
        <v>2598</v>
      </c>
      <c r="B51" s="28" t="s">
        <v>2519</v>
      </c>
      <c r="C51" s="28" t="s">
        <v>2675</v>
      </c>
      <c r="D51" s="28" t="s">
        <v>2676</v>
      </c>
      <c r="E51" s="28"/>
      <c r="F51" s="29" t="s">
        <v>10</v>
      </c>
      <c r="G51" s="29"/>
      <c r="H51" s="29" t="s">
        <v>554</v>
      </c>
      <c r="I51" s="29" t="s">
        <v>2677</v>
      </c>
      <c r="J51" s="29"/>
      <c r="K51" s="29" t="s">
        <v>2522</v>
      </c>
      <c r="L51" s="29"/>
      <c r="M51" s="29" t="s">
        <v>2523</v>
      </c>
      <c r="N51" s="29"/>
      <c r="O51" s="29"/>
      <c r="P51" s="29"/>
      <c r="Q51" s="29"/>
      <c r="R51" s="29"/>
      <c r="S51" s="29"/>
      <c r="T51" s="29"/>
      <c r="U51" s="29"/>
      <c r="V51" s="29"/>
      <c r="W51" s="29"/>
      <c r="X51" s="29"/>
      <c r="Y51" s="29"/>
      <c r="Z51" s="29" t="s">
        <v>2524</v>
      </c>
      <c r="AA51" s="29"/>
      <c r="AB51" s="29" t="s">
        <v>2678</v>
      </c>
      <c r="AC51" s="29"/>
      <c r="AD51" s="29"/>
      <c r="AE51" s="29"/>
      <c r="AF51" s="29" t="s">
        <v>475</v>
      </c>
      <c r="AG51" s="29" t="s">
        <v>2243</v>
      </c>
      <c r="AH51" s="29" t="s">
        <v>2679</v>
      </c>
      <c r="AI51" s="29" t="s">
        <v>239</v>
      </c>
      <c r="AJ51" s="29" t="s">
        <v>376</v>
      </c>
      <c r="AK51" s="29" t="s">
        <v>2676</v>
      </c>
      <c r="AL51" s="29" t="s">
        <v>2526</v>
      </c>
      <c r="AM51" s="31" t="s">
        <v>2680</v>
      </c>
      <c r="AN51" s="29" t="s">
        <v>2681</v>
      </c>
      <c r="AO51" s="30" t="n">
        <v>3000</v>
      </c>
      <c r="AP51" s="37" t="n">
        <v>3000</v>
      </c>
      <c r="AQ51" s="38" t="s">
        <v>2603</v>
      </c>
      <c r="AR51" s="28" t="s">
        <v>2682</v>
      </c>
      <c r="AS51" s="28"/>
      <c r="AT51" s="28"/>
      <c r="AU51" s="28" t="s">
        <v>2515</v>
      </c>
      <c r="AV51" s="28"/>
      <c r="AW51" s="28"/>
    </row>
    <row r="52" ht="16.8" customHeight="1">
      <c r="A52" s="28" t="s">
        <v>2610</v>
      </c>
      <c r="B52" s="28" t="s">
        <v>2519</v>
      </c>
      <c r="C52" s="28" t="s">
        <v>2683</v>
      </c>
      <c r="D52" s="28" t="s">
        <v>2684</v>
      </c>
      <c r="E52" s="28"/>
      <c r="F52" s="29" t="s">
        <v>10</v>
      </c>
      <c r="G52" s="29"/>
      <c r="H52" s="29" t="s">
        <v>2685</v>
      </c>
      <c r="I52" s="29" t="s">
        <v>2686</v>
      </c>
      <c r="J52" s="29"/>
      <c r="K52" s="29" t="s">
        <v>2532</v>
      </c>
      <c r="L52" s="29" t="s">
        <v>2584</v>
      </c>
      <c r="M52" s="29"/>
      <c r="N52" s="29"/>
      <c r="O52" s="29" t="s">
        <v>2591</v>
      </c>
      <c r="P52" s="29"/>
      <c r="Q52" s="29"/>
      <c r="R52" s="29"/>
      <c r="S52" s="29"/>
      <c r="T52" s="29"/>
      <c r="U52" s="29"/>
      <c r="V52" s="29"/>
      <c r="W52" s="29"/>
      <c r="X52" s="29"/>
      <c r="Y52" s="29"/>
      <c r="Z52" s="29"/>
      <c r="AA52" s="29"/>
      <c r="AB52" s="29" t="s">
        <v>2687</v>
      </c>
      <c r="AC52" s="29"/>
      <c r="AD52" s="29"/>
      <c r="AE52" s="29"/>
      <c r="AF52" s="29" t="s">
        <v>421</v>
      </c>
      <c r="AG52" s="29" t="s">
        <v>239</v>
      </c>
      <c r="AH52" s="29" t="s">
        <v>239</v>
      </c>
      <c r="AI52" s="29" t="s">
        <v>239</v>
      </c>
      <c r="AJ52" s="29" t="s">
        <v>239</v>
      </c>
      <c r="AK52" s="29" t="s">
        <v>2684</v>
      </c>
      <c r="AL52" s="29" t="s">
        <v>2526</v>
      </c>
      <c r="AM52" s="31" t="s">
        <v>2688</v>
      </c>
      <c r="AN52" s="29" t="s">
        <v>2689</v>
      </c>
      <c r="AO52" s="30" t="n">
        <v>10500</v>
      </c>
      <c r="AP52" s="37" t="n">
        <v>10500</v>
      </c>
      <c r="AQ52" s="38" t="s">
        <v>2690</v>
      </c>
      <c r="AR52" s="28" t="s">
        <v>2672</v>
      </c>
      <c r="AS52" s="28"/>
      <c r="AT52" s="28"/>
      <c r="AU52" s="28" t="s">
        <v>2515</v>
      </c>
      <c r="AV52" s="28"/>
      <c r="AW52" s="28"/>
    </row>
    <row r="53" ht="16.8" customHeight="1">
      <c r="A53" s="28" t="s">
        <v>2585</v>
      </c>
      <c r="B53" s="28" t="s">
        <v>2519</v>
      </c>
      <c r="C53" s="28" t="s">
        <v>2691</v>
      </c>
      <c r="D53" s="28" t="s">
        <v>2692</v>
      </c>
      <c r="E53" s="28"/>
      <c r="F53" s="29" t="s">
        <v>2693</v>
      </c>
      <c r="G53" s="29"/>
      <c r="H53" s="29" t="s">
        <v>208</v>
      </c>
      <c r="I53" s="29" t="s">
        <v>2571</v>
      </c>
      <c r="J53" s="29" t="s">
        <v>2548</v>
      </c>
      <c r="K53" s="29" t="s">
        <v>2532</v>
      </c>
      <c r="L53" s="29" t="s">
        <v>2584</v>
      </c>
      <c r="M53" s="29"/>
      <c r="N53" s="29"/>
      <c r="O53" s="29" t="s">
        <v>2632</v>
      </c>
      <c r="P53" s="29"/>
      <c r="Q53" s="29"/>
      <c r="R53" s="29"/>
      <c r="S53" s="29"/>
      <c r="T53" s="29"/>
      <c r="U53" s="29"/>
      <c r="V53" s="29"/>
      <c r="W53" s="29"/>
      <c r="X53" s="29"/>
      <c r="Y53" s="29"/>
      <c r="Z53" s="29"/>
      <c r="AA53" s="29"/>
      <c r="AB53" s="217" t="s">
        <v>2694</v>
      </c>
      <c r="AC53" s="29" t="s">
        <v>2695</v>
      </c>
      <c r="AD53" s="29"/>
      <c r="AE53" s="29"/>
      <c r="AF53" s="29" t="s">
        <v>487</v>
      </c>
      <c r="AG53" s="29" t="s">
        <v>215</v>
      </c>
      <c r="AH53" s="29" t="s">
        <v>215</v>
      </c>
      <c r="AI53" s="29" t="s">
        <v>2573</v>
      </c>
      <c r="AJ53" s="29" t="s">
        <v>217</v>
      </c>
      <c r="AK53" s="29" t="s">
        <v>2692</v>
      </c>
      <c r="AL53" s="29" t="s">
        <v>2553</v>
      </c>
      <c r="AM53" s="31" t="s">
        <v>209</v>
      </c>
      <c r="AN53" s="29" t="s">
        <v>222</v>
      </c>
      <c r="AO53" s="30" t="n">
        <v>6703</v>
      </c>
      <c r="AP53" s="37" t="n">
        <f>AX53/2</f>
        <v>3351.5</v>
      </c>
      <c r="AQ53" s="38" t="s">
        <v>2585</v>
      </c>
      <c r="AR53" s="28" t="s">
        <v>2696</v>
      </c>
      <c r="AS53" s="28"/>
      <c r="AT53" s="28"/>
      <c r="AU53" s="28" t="s">
        <v>2515</v>
      </c>
      <c r="AV53" s="28"/>
      <c r="AW53" s="28"/>
      <c r="AX53" s="37" t="n">
        <v>6703</v>
      </c>
    </row>
    <row r="54" ht="16.8" customHeight="1">
      <c r="A54" s="28" t="s">
        <v>2585</v>
      </c>
      <c r="B54" s="28" t="s">
        <v>2519</v>
      </c>
      <c r="C54" s="28" t="s">
        <v>2697</v>
      </c>
      <c r="D54" s="28" t="s">
        <v>2692</v>
      </c>
      <c r="E54" s="28"/>
      <c r="F54" s="29" t="s">
        <v>2693</v>
      </c>
      <c r="G54" s="29"/>
      <c r="H54" s="29" t="s">
        <v>208</v>
      </c>
      <c r="I54" s="29" t="s">
        <v>2571</v>
      </c>
      <c r="J54" s="29" t="s">
        <v>2548</v>
      </c>
      <c r="K54" s="29" t="s">
        <v>2532</v>
      </c>
      <c r="L54" s="29" t="s">
        <v>2584</v>
      </c>
      <c r="M54" s="29"/>
      <c r="N54" s="29"/>
      <c r="O54" s="29" t="s">
        <v>2632</v>
      </c>
      <c r="P54" s="29"/>
      <c r="Q54" s="29"/>
      <c r="R54" s="29"/>
      <c r="S54" s="29"/>
      <c r="T54" s="29"/>
      <c r="U54" s="29"/>
      <c r="V54" s="29"/>
      <c r="W54" s="29"/>
      <c r="X54" s="29"/>
      <c r="Y54" s="29"/>
      <c r="Z54" s="29"/>
      <c r="AA54" s="29"/>
      <c r="AB54" s="218" t="s">
        <v>2694</v>
      </c>
      <c r="AC54" s="29" t="s">
        <v>2698</v>
      </c>
      <c r="AD54" s="29"/>
      <c r="AE54" s="29"/>
      <c r="AF54" s="29" t="s">
        <v>487</v>
      </c>
      <c r="AG54" s="29" t="s">
        <v>215</v>
      </c>
      <c r="AH54" s="29" t="s">
        <v>216</v>
      </c>
      <c r="AI54" s="29" t="s">
        <v>2573</v>
      </c>
      <c r="AJ54" s="29" t="s">
        <v>217</v>
      </c>
      <c r="AK54" s="29" t="s">
        <v>2692</v>
      </c>
      <c r="AL54" s="29" t="s">
        <v>2553</v>
      </c>
      <c r="AM54" s="31" t="s">
        <v>209</v>
      </c>
      <c r="AN54" s="29" t="s">
        <v>222</v>
      </c>
      <c r="AO54" s="30" t="n">
        <v>8493</v>
      </c>
      <c r="AP54" s="37" t="n">
        <f>AX54/2</f>
        <v>4246.5</v>
      </c>
      <c r="AQ54" s="38" t="s">
        <v>2585</v>
      </c>
      <c r="AR54" s="28" t="s">
        <v>2696</v>
      </c>
      <c r="AS54" s="28"/>
      <c r="AT54" s="28"/>
      <c r="AU54" s="28" t="s">
        <v>2515</v>
      </c>
      <c r="AV54" s="28"/>
      <c r="AW54" s="28"/>
      <c r="AX54" s="37" t="n">
        <v>8493</v>
      </c>
    </row>
    <row r="55" ht="16.8" customHeight="1">
      <c r="A55" s="28" t="s">
        <v>2585</v>
      </c>
      <c r="B55" s="28" t="s">
        <v>2519</v>
      </c>
      <c r="C55" s="28" t="s">
        <v>2699</v>
      </c>
      <c r="D55" s="28" t="s">
        <v>2692</v>
      </c>
      <c r="E55" s="28"/>
      <c r="F55" s="29" t="s">
        <v>2693</v>
      </c>
      <c r="G55" s="29"/>
      <c r="H55" s="29" t="s">
        <v>208</v>
      </c>
      <c r="I55" s="29" t="s">
        <v>2571</v>
      </c>
      <c r="J55" s="29" t="s">
        <v>2548</v>
      </c>
      <c r="K55" s="29" t="s">
        <v>2532</v>
      </c>
      <c r="L55" s="29" t="s">
        <v>2584</v>
      </c>
      <c r="M55" s="29"/>
      <c r="N55" s="29"/>
      <c r="O55" s="29" t="s">
        <v>2632</v>
      </c>
      <c r="P55" s="29"/>
      <c r="Q55" s="29"/>
      <c r="R55" s="29"/>
      <c r="S55" s="29"/>
      <c r="T55" s="29"/>
      <c r="U55" s="29"/>
      <c r="V55" s="29"/>
      <c r="W55" s="29"/>
      <c r="X55" s="29"/>
      <c r="Y55" s="29"/>
      <c r="Z55" s="29"/>
      <c r="AA55" s="29"/>
      <c r="AB55" s="219" t="s">
        <v>2694</v>
      </c>
      <c r="AC55" s="29" t="s">
        <v>2700</v>
      </c>
      <c r="AD55" s="29"/>
      <c r="AE55" s="29"/>
      <c r="AF55" s="29" t="s">
        <v>487</v>
      </c>
      <c r="AG55" s="29" t="s">
        <v>215</v>
      </c>
      <c r="AH55" s="29" t="s">
        <v>216</v>
      </c>
      <c r="AI55" s="29" t="s">
        <v>2573</v>
      </c>
      <c r="AJ55" s="29" t="s">
        <v>217</v>
      </c>
      <c r="AK55" s="29" t="s">
        <v>2692</v>
      </c>
      <c r="AL55" s="29" t="s">
        <v>2553</v>
      </c>
      <c r="AM55" s="31" t="s">
        <v>209</v>
      </c>
      <c r="AN55" s="29" t="s">
        <v>222</v>
      </c>
      <c r="AO55" s="30" t="n">
        <v>15503</v>
      </c>
      <c r="AP55" s="37" t="n">
        <f>AX55/2</f>
        <v>7751.5</v>
      </c>
      <c r="AQ55" s="38" t="s">
        <v>2585</v>
      </c>
      <c r="AR55" s="28" t="s">
        <v>2696</v>
      </c>
      <c r="AS55" s="28"/>
      <c r="AT55" s="28"/>
      <c r="AU55" s="28" t="s">
        <v>2515</v>
      </c>
      <c r="AV55" s="28"/>
      <c r="AW55" s="28"/>
      <c r="AX55" s="37" t="n">
        <v>15503</v>
      </c>
    </row>
    <row r="56" ht="16.8" customHeight="1">
      <c r="A56" s="28" t="s">
        <v>2585</v>
      </c>
      <c r="B56" s="28" t="s">
        <v>2519</v>
      </c>
      <c r="C56" s="28" t="s">
        <v>2701</v>
      </c>
      <c r="D56" s="28" t="s">
        <v>2692</v>
      </c>
      <c r="E56" s="28"/>
      <c r="F56" s="29" t="s">
        <v>2693</v>
      </c>
      <c r="G56" s="29"/>
      <c r="H56" s="29" t="s">
        <v>208</v>
      </c>
      <c r="I56" s="29" t="s">
        <v>2571</v>
      </c>
      <c r="J56" s="29" t="s">
        <v>2548</v>
      </c>
      <c r="K56" s="29" t="s">
        <v>2532</v>
      </c>
      <c r="L56" s="29" t="s">
        <v>2584</v>
      </c>
      <c r="M56" s="29"/>
      <c r="N56" s="29"/>
      <c r="O56" s="29" t="s">
        <v>2632</v>
      </c>
      <c r="P56" s="29"/>
      <c r="Q56" s="29"/>
      <c r="R56" s="29"/>
      <c r="S56" s="29"/>
      <c r="T56" s="29"/>
      <c r="U56" s="29"/>
      <c r="V56" s="29"/>
      <c r="W56" s="29"/>
      <c r="X56" s="29"/>
      <c r="Y56" s="29"/>
      <c r="Z56" s="29"/>
      <c r="AA56" s="29"/>
      <c r="AB56" s="220" t="s">
        <v>2694</v>
      </c>
      <c r="AC56" s="29" t="s">
        <v>2702</v>
      </c>
      <c r="AD56" s="29"/>
      <c r="AE56" s="29"/>
      <c r="AF56" s="29" t="s">
        <v>487</v>
      </c>
      <c r="AG56" s="29" t="s">
        <v>215</v>
      </c>
      <c r="AH56" s="29" t="s">
        <v>216</v>
      </c>
      <c r="AI56" s="29" t="s">
        <v>2573</v>
      </c>
      <c r="AJ56" s="29" t="s">
        <v>217</v>
      </c>
      <c r="AK56" s="29" t="s">
        <v>2692</v>
      </c>
      <c r="AL56" s="29" t="s">
        <v>2553</v>
      </c>
      <c r="AM56" s="31" t="s">
        <v>209</v>
      </c>
      <c r="AN56" s="29" t="s">
        <v>222</v>
      </c>
      <c r="AO56" s="30" t="n">
        <v>5613</v>
      </c>
      <c r="AP56" s="37" t="n">
        <f>AX56/2</f>
        <v>2806.5</v>
      </c>
      <c r="AQ56" s="38" t="s">
        <v>2585</v>
      </c>
      <c r="AR56" s="28" t="s">
        <v>2696</v>
      </c>
      <c r="AS56" s="28"/>
      <c r="AT56" s="28"/>
      <c r="AU56" s="28" t="s">
        <v>2515</v>
      </c>
      <c r="AV56" s="28"/>
      <c r="AW56" s="28"/>
      <c r="AX56" s="37" t="n">
        <v>5613</v>
      </c>
    </row>
    <row r="57" ht="16.8" customHeight="1">
      <c r="A57" s="28" t="s">
        <v>2585</v>
      </c>
      <c r="B57" s="28" t="s">
        <v>2519</v>
      </c>
      <c r="C57" s="28" t="s">
        <v>2703</v>
      </c>
      <c r="D57" s="28" t="s">
        <v>2692</v>
      </c>
      <c r="E57" s="28"/>
      <c r="F57" s="29" t="s">
        <v>2693</v>
      </c>
      <c r="G57" s="29"/>
      <c r="H57" s="29" t="s">
        <v>208</v>
      </c>
      <c r="I57" s="29" t="s">
        <v>2571</v>
      </c>
      <c r="J57" s="29" t="s">
        <v>2548</v>
      </c>
      <c r="K57" s="29" t="s">
        <v>2532</v>
      </c>
      <c r="L57" s="29" t="s">
        <v>2584</v>
      </c>
      <c r="M57" s="29"/>
      <c r="N57" s="29"/>
      <c r="O57" s="29" t="s">
        <v>2632</v>
      </c>
      <c r="P57" s="29"/>
      <c r="Q57" s="29"/>
      <c r="R57" s="29"/>
      <c r="S57" s="29"/>
      <c r="T57" s="29"/>
      <c r="U57" s="29"/>
      <c r="V57" s="29"/>
      <c r="W57" s="29"/>
      <c r="X57" s="29"/>
      <c r="Y57" s="29"/>
      <c r="Z57" s="29"/>
      <c r="AA57" s="29"/>
      <c r="AB57" s="221" t="s">
        <v>2694</v>
      </c>
      <c r="AC57" s="29" t="s">
        <v>2704</v>
      </c>
      <c r="AD57" s="29"/>
      <c r="AE57" s="29"/>
      <c r="AF57" s="29" t="s">
        <v>487</v>
      </c>
      <c r="AG57" s="29" t="s">
        <v>215</v>
      </c>
      <c r="AH57" s="29" t="s">
        <v>216</v>
      </c>
      <c r="AI57" s="29" t="s">
        <v>2573</v>
      </c>
      <c r="AJ57" s="29" t="s">
        <v>217</v>
      </c>
      <c r="AK57" s="29" t="s">
        <v>2692</v>
      </c>
      <c r="AL57" s="29" t="s">
        <v>2553</v>
      </c>
      <c r="AM57" s="31" t="s">
        <v>209</v>
      </c>
      <c r="AN57" s="29" t="s">
        <v>222</v>
      </c>
      <c r="AO57" s="30" t="n">
        <v>8533</v>
      </c>
      <c r="AP57" s="37" t="n">
        <f>AX57/2</f>
        <v>4266.5</v>
      </c>
      <c r="AQ57" s="38" t="s">
        <v>2585</v>
      </c>
      <c r="AR57" s="28" t="s">
        <v>2696</v>
      </c>
      <c r="AS57" s="28"/>
      <c r="AT57" s="28"/>
      <c r="AU57" s="28" t="s">
        <v>2515</v>
      </c>
      <c r="AV57" s="28"/>
      <c r="AW57" s="28"/>
      <c r="AX57" s="37" t="n">
        <v>8533</v>
      </c>
    </row>
    <row r="58" ht="16.8" customHeight="1">
      <c r="A58" s="28" t="s">
        <v>2585</v>
      </c>
      <c r="B58" s="28" t="s">
        <v>2519</v>
      </c>
      <c r="C58" s="28" t="s">
        <v>2705</v>
      </c>
      <c r="D58" s="28" t="s">
        <v>2692</v>
      </c>
      <c r="E58" s="28"/>
      <c r="F58" s="29" t="s">
        <v>2693</v>
      </c>
      <c r="G58" s="29"/>
      <c r="H58" s="29" t="s">
        <v>208</v>
      </c>
      <c r="I58" s="29" t="s">
        <v>2571</v>
      </c>
      <c r="J58" s="29" t="s">
        <v>2548</v>
      </c>
      <c r="K58" s="29" t="s">
        <v>2532</v>
      </c>
      <c r="L58" s="29" t="s">
        <v>2584</v>
      </c>
      <c r="M58" s="29"/>
      <c r="N58" s="29"/>
      <c r="O58" s="29" t="s">
        <v>2632</v>
      </c>
      <c r="P58" s="29"/>
      <c r="Q58" s="29"/>
      <c r="R58" s="29"/>
      <c r="S58" s="29"/>
      <c r="T58" s="29"/>
      <c r="U58" s="29"/>
      <c r="V58" s="29"/>
      <c r="W58" s="29"/>
      <c r="X58" s="29"/>
      <c r="Y58" s="29"/>
      <c r="Z58" s="29"/>
      <c r="AA58" s="29"/>
      <c r="AB58" s="222" t="s">
        <v>2694</v>
      </c>
      <c r="AC58" s="29" t="s">
        <v>2706</v>
      </c>
      <c r="AD58" s="29"/>
      <c r="AE58" s="29"/>
      <c r="AF58" s="29" t="s">
        <v>487</v>
      </c>
      <c r="AG58" s="29" t="s">
        <v>215</v>
      </c>
      <c r="AH58" s="29" t="s">
        <v>216</v>
      </c>
      <c r="AI58" s="29" t="s">
        <v>2573</v>
      </c>
      <c r="AJ58" s="29" t="s">
        <v>217</v>
      </c>
      <c r="AK58" s="29" t="s">
        <v>2692</v>
      </c>
      <c r="AL58" s="29" t="s">
        <v>2553</v>
      </c>
      <c r="AM58" s="31" t="s">
        <v>209</v>
      </c>
      <c r="AN58" s="29" t="s">
        <v>222</v>
      </c>
      <c r="AO58" s="30" t="n">
        <v>24800</v>
      </c>
      <c r="AP58" s="37" t="n">
        <f>AX58/2</f>
        <v>12400</v>
      </c>
      <c r="AQ58" s="38" t="s">
        <v>2585</v>
      </c>
      <c r="AR58" s="28" t="s">
        <v>2696</v>
      </c>
      <c r="AS58" s="28"/>
      <c r="AT58" s="28"/>
      <c r="AU58" s="28" t="s">
        <v>2515</v>
      </c>
      <c r="AV58" s="28"/>
      <c r="AW58" s="28"/>
      <c r="AX58" s="37" t="n">
        <v>24800</v>
      </c>
    </row>
    <row r="59" ht="16.8" customHeight="1">
      <c r="A59" s="28" t="s">
        <v>2585</v>
      </c>
      <c r="B59" s="28" t="s">
        <v>2519</v>
      </c>
      <c r="C59" s="28" t="s">
        <v>2707</v>
      </c>
      <c r="D59" s="28" t="s">
        <v>2692</v>
      </c>
      <c r="E59" s="28"/>
      <c r="F59" s="29" t="s">
        <v>2693</v>
      </c>
      <c r="G59" s="29"/>
      <c r="H59" s="29" t="s">
        <v>208</v>
      </c>
      <c r="I59" s="29" t="s">
        <v>2571</v>
      </c>
      <c r="J59" s="29" t="s">
        <v>2548</v>
      </c>
      <c r="K59" s="29" t="s">
        <v>2532</v>
      </c>
      <c r="L59" s="29" t="s">
        <v>2584</v>
      </c>
      <c r="M59" s="29"/>
      <c r="N59" s="29"/>
      <c r="O59" s="29" t="s">
        <v>2632</v>
      </c>
      <c r="P59" s="29"/>
      <c r="Q59" s="29"/>
      <c r="R59" s="29"/>
      <c r="S59" s="29"/>
      <c r="T59" s="29"/>
      <c r="U59" s="29"/>
      <c r="V59" s="29"/>
      <c r="W59" s="29"/>
      <c r="X59" s="29"/>
      <c r="Y59" s="29"/>
      <c r="Z59" s="29"/>
      <c r="AA59" s="29"/>
      <c r="AB59" s="223" t="s">
        <v>2694</v>
      </c>
      <c r="AC59" s="29" t="s">
        <v>2708</v>
      </c>
      <c r="AD59" s="29"/>
      <c r="AE59" s="29"/>
      <c r="AF59" s="29" t="s">
        <v>487</v>
      </c>
      <c r="AG59" s="29" t="s">
        <v>215</v>
      </c>
      <c r="AH59" s="29" t="s">
        <v>216</v>
      </c>
      <c r="AI59" s="29" t="s">
        <v>2573</v>
      </c>
      <c r="AJ59" s="29" t="s">
        <v>217</v>
      </c>
      <c r="AK59" s="29" t="s">
        <v>2692</v>
      </c>
      <c r="AL59" s="29" t="s">
        <v>2553</v>
      </c>
      <c r="AM59" s="31" t="s">
        <v>209</v>
      </c>
      <c r="AN59" s="29" t="s">
        <v>222</v>
      </c>
      <c r="AO59" s="30" t="n">
        <v>14253</v>
      </c>
      <c r="AP59" s="37" t="n">
        <f>AX59/2</f>
        <v>7126.5</v>
      </c>
      <c r="AQ59" s="38" t="s">
        <v>2585</v>
      </c>
      <c r="AR59" s="28" t="s">
        <v>2696</v>
      </c>
      <c r="AS59" s="28"/>
      <c r="AT59" s="28"/>
      <c r="AU59" s="28" t="s">
        <v>2515</v>
      </c>
      <c r="AV59" s="28"/>
      <c r="AW59" s="28"/>
      <c r="AX59" s="37" t="n">
        <v>14253</v>
      </c>
    </row>
    <row r="60" ht="16.8" customHeight="1">
      <c r="A60" s="28" t="s">
        <v>2610</v>
      </c>
      <c r="B60" s="28" t="s">
        <v>2519</v>
      </c>
      <c r="C60" s="28" t="s">
        <v>2709</v>
      </c>
      <c r="D60" s="28" t="s">
        <v>2710</v>
      </c>
      <c r="E60" s="28"/>
      <c r="F60" s="29" t="s">
        <v>2693</v>
      </c>
      <c r="G60" s="29"/>
      <c r="H60" s="29" t="s">
        <v>208</v>
      </c>
      <c r="I60" s="29" t="s">
        <v>2711</v>
      </c>
      <c r="J60" s="29"/>
      <c r="K60" s="29" t="s">
        <v>2532</v>
      </c>
      <c r="L60" s="29" t="s">
        <v>2560</v>
      </c>
      <c r="M60" s="29"/>
      <c r="N60" s="29"/>
      <c r="O60" s="29"/>
      <c r="P60" s="29"/>
      <c r="Q60" s="29" t="s">
        <v>2550</v>
      </c>
      <c r="R60" s="29"/>
      <c r="S60" s="29"/>
      <c r="T60" s="29"/>
      <c r="U60" s="29"/>
      <c r="V60" s="29"/>
      <c r="W60" s="29"/>
      <c r="X60" s="29"/>
      <c r="Y60" s="29"/>
      <c r="Z60" s="29"/>
      <c r="AA60" s="29"/>
      <c r="AB60" s="29" t="s">
        <v>2712</v>
      </c>
      <c r="AC60" s="29"/>
      <c r="AD60" s="29"/>
      <c r="AE60" s="29"/>
      <c r="AF60" s="29" t="s">
        <v>421</v>
      </c>
      <c r="AG60" s="29" t="s">
        <v>215</v>
      </c>
      <c r="AH60" s="29" t="s">
        <v>216</v>
      </c>
      <c r="AI60" s="29" t="s">
        <v>2713</v>
      </c>
      <c r="AJ60" s="29" t="s">
        <v>217</v>
      </c>
      <c r="AK60" s="29" t="s">
        <v>2710</v>
      </c>
      <c r="AL60" s="29" t="s">
        <v>2526</v>
      </c>
      <c r="AM60" s="31" t="s">
        <v>209</v>
      </c>
      <c r="AN60" s="29" t="s">
        <v>222</v>
      </c>
      <c r="AO60" s="30" t="n">
        <v>17402</v>
      </c>
      <c r="AP60" s="37" t="n">
        <f>AX60/2</f>
        <v>8701</v>
      </c>
      <c r="AQ60" s="38" t="s">
        <v>2610</v>
      </c>
      <c r="AR60" s="28" t="s">
        <v>2714</v>
      </c>
      <c r="AS60" s="28"/>
      <c r="AT60" s="28"/>
      <c r="AU60" s="28" t="s">
        <v>2515</v>
      </c>
      <c r="AV60" s="28"/>
      <c r="AW60" s="28"/>
      <c r="AX60" s="37" t="n">
        <v>17402</v>
      </c>
    </row>
    <row r="61" ht="16.8" customHeight="1">
      <c r="AL61" s="32" t="s">
        <v>2655</v>
      </c>
      <c r="AM61" s="32" t="s">
        <v>673</v>
      </c>
      <c r="AN61" s="36"/>
      <c r="AO61" s="36"/>
      <c r="AP61" s="42" t="n">
        <v>14237.7</v>
      </c>
    </row>
    <row r="62" ht="16.8" customHeight="1">
      <c r="AL62" s="33" t="s">
        <v>29</v>
      </c>
      <c r="AM62" s="31" t="s">
        <v>2715</v>
      </c>
      <c r="AN62" s="29"/>
      <c r="AO62" s="30"/>
      <c r="AP62" s="37" t="n">
        <v>7306.63</v>
      </c>
      <c r="AQ62" s="39" t="n">
        <v>45846</v>
      </c>
    </row>
    <row r="63" ht="16.8" customHeight="1">
      <c r="AL63" s="33" t="s">
        <v>29</v>
      </c>
      <c r="AM63" s="31" t="s">
        <v>2716</v>
      </c>
      <c r="AN63" s="29"/>
      <c r="AO63" s="30"/>
      <c r="AP63" s="37" t="n">
        <v>100</v>
      </c>
      <c r="AQ63" s="39" t="n">
        <v>45845</v>
      </c>
    </row>
    <row r="64" ht="16.8" customHeight="1">
      <c r="AN64" s="35" t="s">
        <v>2717</v>
      </c>
      <c r="AO64" s="40"/>
      <c r="AP64" s="41" t="n">
        <f>SUM(AP40:AP63)</f>
        <v>203908.48</v>
      </c>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1640625" defaultRowHeight="16.8" customHeight="1"/>
  <cols>
    <col min="6" max="7" width="14.8330078125" customWidth="1" style="47"/>
    <col min="8" max="8" width="16.8310546875" customWidth="1" style="47"/>
    <col min="9" max="20" width="14.8330078125" customWidth="1" style="47"/>
  </cols>
  <sheetData>
    <row r="1" ht="16.8" customHeight="1"/>
    <row r="2" ht="16.8" customHeight="1">
      <c r="C2" s="15" t="s">
        <v>2718</v>
      </c>
      <c r="D2" s="15"/>
      <c r="E2" s="15"/>
      <c r="F2" s="15"/>
      <c r="G2" s="15"/>
      <c r="H2" s="15"/>
      <c r="I2" s="15"/>
      <c r="J2" s="15"/>
      <c r="K2" s="15"/>
      <c r="L2" s="15"/>
      <c r="M2" s="15"/>
      <c r="N2" s="15"/>
      <c r="O2" s="15"/>
      <c r="P2" s="15"/>
      <c r="Q2" s="15"/>
      <c r="R2" s="15"/>
      <c r="S2" s="15"/>
      <c r="T2" s="15"/>
    </row>
    <row r="3" ht="31" customHeight="1">
      <c r="C3" s="16" t="s">
        <v>4</v>
      </c>
      <c r="D3" s="17" t="s">
        <v>2719</v>
      </c>
      <c r="E3" s="16" t="s">
        <v>2720</v>
      </c>
      <c r="F3" s="16" t="s">
        <v>2721</v>
      </c>
      <c r="G3" s="16" t="s">
        <v>2722</v>
      </c>
      <c r="H3" s="16" t="s">
        <v>2723</v>
      </c>
      <c r="I3" s="16" t="s">
        <v>2724</v>
      </c>
      <c r="J3" s="16" t="s">
        <v>2725</v>
      </c>
      <c r="K3" s="16" t="s">
        <v>2726</v>
      </c>
      <c r="L3" s="16" t="s">
        <v>2727</v>
      </c>
      <c r="M3" s="16" t="s">
        <v>2728</v>
      </c>
      <c r="N3" s="16" t="s">
        <v>2729</v>
      </c>
      <c r="O3" s="16" t="s">
        <v>2730</v>
      </c>
      <c r="P3" s="16" t="s">
        <v>2731</v>
      </c>
      <c r="Q3" s="16" t="s">
        <v>2732</v>
      </c>
      <c r="R3" s="16" t="s">
        <v>2733</v>
      </c>
      <c r="S3" s="16" t="s">
        <v>2734</v>
      </c>
      <c r="T3" s="16" t="s">
        <v>2735</v>
      </c>
    </row>
    <row r="4" ht="16.8" customHeight="1">
      <c r="C4" s="18" t="n">
        <v>238256</v>
      </c>
      <c r="D4" s="19" t="s">
        <v>10</v>
      </c>
      <c r="E4" s="18"/>
      <c r="F4" s="20" t="s">
        <v>2736</v>
      </c>
      <c r="G4" s="20" t="n">
        <v>5</v>
      </c>
      <c r="H4" s="21" t="n">
        <v>50</v>
      </c>
      <c r="I4" s="22" t="n">
        <v>1</v>
      </c>
      <c r="J4" s="22" t="n">
        <v>2</v>
      </c>
      <c r="K4" s="22" t="n">
        <v>30</v>
      </c>
      <c r="L4" s="23" t="n">
        <v>0.3</v>
      </c>
      <c r="M4" s="23" t="n">
        <v>0.27</v>
      </c>
      <c r="N4" s="23" t="n">
        <v>0.1</v>
      </c>
      <c r="O4" s="23" t="n">
        <f>3/60</f>
        <v>0.05</v>
      </c>
      <c r="P4" s="21" t="n">
        <v>12</v>
      </c>
      <c r="Q4" s="20" t="n">
        <f>H4+K4+P4</f>
        <v>92</v>
      </c>
      <c r="R4" s="23" t="n">
        <v>1</v>
      </c>
      <c r="S4" s="20" t="n">
        <v>1000</v>
      </c>
      <c r="T4" s="20" t="n">
        <v>920</v>
      </c>
    </row>
    <row r="5" ht="16.8" customHeight="1">
      <c r="C5" s="18" t="n">
        <v>341422</v>
      </c>
      <c r="D5" s="19" t="s">
        <v>14</v>
      </c>
      <c r="E5" s="18"/>
      <c r="F5" s="20" t="s">
        <v>2736</v>
      </c>
      <c r="G5" s="20" t="n">
        <v>14</v>
      </c>
      <c r="H5" s="21" t="s">
        <v>2737</v>
      </c>
      <c r="I5" s="22" t="n">
        <v>1</v>
      </c>
      <c r="J5" s="22" t="n">
        <v>5</v>
      </c>
      <c r="K5" s="22" t="n">
        <v>30</v>
      </c>
      <c r="L5" s="23" t="n">
        <v>0.3</v>
      </c>
      <c r="M5" s="23" t="n">
        <v>0.42</v>
      </c>
      <c r="N5" s="23" t="n">
        <v>0.1</v>
      </c>
      <c r="O5" s="23" t="n">
        <f>8/51</f>
        <v>0.156862745098039</v>
      </c>
      <c r="P5" s="21" t="n">
        <v>20</v>
      </c>
      <c r="Q5" s="20" t="n">
        <v>100</v>
      </c>
      <c r="R5" s="23" t="n">
        <v>0.7</v>
      </c>
      <c r="S5" s="20" t="n">
        <v>0</v>
      </c>
      <c r="T5" s="20" t="n">
        <v>0</v>
      </c>
      <c r="U5" s="47" t="s">
        <v>2738</v>
      </c>
    </row>
  </sheetData>
  <mergeCells count="1">
    <mergeCell ref="C2:T2"/>
  </mergeCells>
  <phoneticPr fontId="1"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1640625" defaultRowHeight="16.8" customHeight="1"/>
  <cols>
    <col min="4" max="4" width="12.498046875" customWidth="1" style="47"/>
    <col min="5" max="5" width="16.8310546875" customWidth="1" style="47"/>
    <col min="6" max="6" width="9.6650390625" customWidth="1" style="47"/>
    <col min="7" max="7" width="8.8330078125" customWidth="1" style="47"/>
    <col min="8" max="8" width="31.6640625" customWidth="1" style="47"/>
    <col min="9" max="9" width="20.4990234375" customWidth="1" style="47"/>
    <col min="10" max="10" width="24" customWidth="1" style="47"/>
    <col min="11" max="11" width="30" customWidth="1" style="47"/>
    <col min="12" max="12" width="31.998046875" customWidth="1" style="47"/>
    <col min="13" max="13" width="8.8330078125" customWidth="1" style="47"/>
    <col min="14" max="14" width="10.8310546875" customWidth="1" style="47"/>
    <col min="15" max="15" width="8.8330078125" customWidth="1" style="47"/>
  </cols>
  <sheetData>
    <row r="3" ht="16.8" customHeight="1">
      <c r="B3" s="14" t="s">
        <v>1</v>
      </c>
      <c r="C3" s="14" t="s">
        <v>3</v>
      </c>
      <c r="D3" s="14" t="s">
        <v>6</v>
      </c>
      <c r="E3" s="14" t="s">
        <v>4</v>
      </c>
      <c r="F3" s="14" t="s">
        <v>5</v>
      </c>
      <c r="G3" s="14" t="s">
        <v>2739</v>
      </c>
      <c r="H3" s="12" t="s">
        <v>2740</v>
      </c>
      <c r="I3" s="12"/>
      <c r="J3" s="12"/>
      <c r="K3" s="12"/>
      <c r="L3" s="12"/>
    </row>
    <row r="4" ht="16.8" customHeight="1">
      <c r="B4" s="5"/>
      <c r="C4" s="5"/>
      <c r="D4" s="5"/>
      <c r="E4" s="5"/>
      <c r="F4" s="5"/>
      <c r="G4" s="5"/>
      <c r="H4" s="13" t="s">
        <v>2741</v>
      </c>
      <c r="I4" s="14" t="s">
        <v>2742</v>
      </c>
      <c r="J4" s="14" t="s">
        <v>2743</v>
      </c>
      <c r="K4" s="14" t="s">
        <v>2744</v>
      </c>
      <c r="L4" s="14" t="s">
        <v>2745</v>
      </c>
    </row>
    <row r="5" ht="16.8" customHeight="1">
      <c r="B5" s="6" t="n">
        <v>1</v>
      </c>
      <c r="C5" s="6" t="n">
        <v>202508</v>
      </c>
      <c r="D5" s="7" t="s">
        <v>2746</v>
      </c>
      <c r="E5" s="6" t="n">
        <v>238256</v>
      </c>
      <c r="F5" s="6" t="s">
        <v>10</v>
      </c>
      <c r="G5" s="7" t="s">
        <v>2747</v>
      </c>
      <c r="H5" s="6" t="s">
        <v>2748</v>
      </c>
      <c r="I5" s="6" t="s">
        <v>2749</v>
      </c>
      <c r="J5" s="6" t="s">
        <v>2750</v>
      </c>
      <c r="K5" s="6" t="n">
        <v>2</v>
      </c>
      <c r="L5" s="6" t="s">
        <v>2751</v>
      </c>
    </row>
    <row r="6" ht="16.8" customHeight="1">
      <c r="B6" s="8" t="n">
        <v>2</v>
      </c>
      <c r="C6" s="6" t="n">
        <v>202508</v>
      </c>
      <c r="D6" s="9"/>
      <c r="E6" s="8" t="n">
        <v>341422</v>
      </c>
      <c r="F6" s="8" t="s">
        <v>14</v>
      </c>
      <c r="G6" s="9"/>
      <c r="H6" s="6" t="s">
        <v>2748</v>
      </c>
      <c r="I6" s="6" t="s">
        <v>2749</v>
      </c>
      <c r="J6" s="6" t="s">
        <v>2750</v>
      </c>
      <c r="K6" s="8" t="n">
        <v>2</v>
      </c>
      <c r="L6" s="6" t="s">
        <v>2751</v>
      </c>
    </row>
    <row r="7" ht="16.8" customHeight="1">
      <c r="B7" s="10" t="n">
        <v>3</v>
      </c>
      <c r="C7" s="6" t="n">
        <v>202508</v>
      </c>
      <c r="D7" s="11"/>
      <c r="E7" s="8" t="n">
        <v>404905</v>
      </c>
      <c r="F7" s="10" t="s">
        <v>19</v>
      </c>
      <c r="G7" s="11"/>
      <c r="H7" s="10" t="s">
        <v>2752</v>
      </c>
      <c r="I7" s="10" t="s">
        <v>2753</v>
      </c>
      <c r="J7" s="10"/>
      <c r="K7" s="10"/>
      <c r="L7" s="6" t="s">
        <v>2751</v>
      </c>
    </row>
  </sheetData>
  <mergeCells count="9">
    <mergeCell ref="D5:D7"/>
    <mergeCell ref="E3:E4"/>
    <mergeCell ref="F3:F4"/>
    <mergeCell ref="G3:G4"/>
    <mergeCell ref="C3:C4"/>
    <mergeCell ref="D3:D4"/>
    <mergeCell ref="G5:G7"/>
    <mergeCell ref="B3:B4"/>
    <mergeCell ref="H3:L3"/>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DingTalk</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DingTalk</cp:lastModifiedBy>
  <dcterms:created xsi:type="dcterms:W3CDTF">2006-09-16T00:00:00Z</dcterms:created>
  <dcterms:modified xsi:type="dcterms:W3CDTF">2025-08-05T21:22:56Z</dcterms:modified>
</cp:coreProperties>
</file>