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4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8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</fills>
  <borders count="1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3">
    <xf numFmtId="0" fontId="3" fillId="0" borderId="11"/>
    <xf numFmtId="0" fontId="3" fillId="0" borderId="11"/>
    <xf numFmtId="9" fontId="3" fillId="0" borderId="11"/>
  </cellStyleXfs>
  <cellXfs count="7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0" fontId="7" fillId="0" borderId="11" applyAlignment="1" pivotButton="0" quotePrefix="0" xfId="0">
      <alignment horizontal="center" vertical="center" wrapText="1"/>
    </xf>
    <xf numFmtId="164" fontId="2" fillId="0" borderId="12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 wrapText="1"/>
    </xf>
    <xf numFmtId="4" fontId="2" fillId="0" borderId="12" applyAlignment="1" pivotButton="0" quotePrefix="0" xfId="0">
      <alignment horizontal="center" vertical="center" wrapText="1"/>
    </xf>
    <xf numFmtId="10" fontId="2" fillId="0" borderId="12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4" borderId="8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8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0" fillId="4" borderId="12" pivotButton="0" quotePrefix="0" xfId="0"/>
    <xf numFmtId="0" fontId="1" fillId="3" borderId="12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0" fillId="5" borderId="12" pivotButton="0" quotePrefix="0" xfId="0"/>
    <xf numFmtId="0" fontId="1" fillId="7" borderId="8" applyAlignment="1" pivotButton="0" quotePrefix="0" xfId="0">
      <alignment horizontal="center" vertical="center" wrapText="1"/>
    </xf>
    <xf numFmtId="165" fontId="2" fillId="0" borderId="17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 wrapText="1"/>
    </xf>
    <xf numFmtId="4" fontId="2" fillId="0" borderId="17" applyAlignment="1" pivotButton="0" quotePrefix="0" xfId="0">
      <alignment horizontal="center" vertical="center" wrapText="1"/>
    </xf>
    <xf numFmtId="10" fontId="2" fillId="0" borderId="17" applyAlignment="1" pivotButton="0" quotePrefix="0" xfId="0">
      <alignment horizontal="center" vertical="center" wrapText="1"/>
    </xf>
    <xf numFmtId="10" fontId="2" fillId="0" borderId="17" applyAlignment="1" pivotButton="0" quotePrefix="0" xfId="2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165" fontId="2" fillId="0" borderId="17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9" t="n"/>
      <c r="X1" s="68" t="inlineStr">
        <is>
          <t>月度绩效</t>
        </is>
      </c>
      <c r="Y1" s="58" t="n"/>
      <c r="Z1" s="58" t="n"/>
      <c r="AA1" s="59" t="n"/>
    </row>
    <row r="2" ht="24.7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9" t="n"/>
      <c r="X1" s="68" t="inlineStr">
        <is>
          <t>月度绩效</t>
        </is>
      </c>
      <c r="Y1" s="58" t="n"/>
      <c r="Z1" s="58" t="n"/>
      <c r="AA1" s="59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5" ySplit="2" topLeftCell="I3" activePane="bottomRight" state="frozen"/>
      <selection pane="topRight" activeCell="A1" sqref="A1"/>
      <selection pane="bottomLeft" activeCell="A1" sqref="A1"/>
      <selection pane="bottomRight" activeCell="A1" sqref="A1:A2"/>
    </sheetView>
  </sheetViews>
  <sheetFormatPr baseColWidth="8" defaultRowHeight="14.25"/>
  <cols>
    <col width="12" customWidth="1" min="1" max="2"/>
    <col width="10" customWidth="1" min="3" max="3"/>
    <col width="16" customWidth="1" min="4" max="5"/>
    <col width="12" customWidth="1" min="6" max="8"/>
    <col width="16" customWidth="1" min="9" max="9"/>
    <col width="14" customWidth="1" min="10" max="11"/>
    <col width="12" customWidth="1" min="12" max="12"/>
    <col width="16" customWidth="1" min="13" max="13"/>
    <col width="14" customWidth="1" min="14" max="15"/>
    <col width="11" customWidth="1" min="16" max="17"/>
    <col width="13" customWidth="1" min="18" max="18"/>
    <col width="11" customWidth="1" min="19" max="21"/>
    <col width="10" customWidth="1" min="22" max="22"/>
    <col width="12" customWidth="1" min="23" max="23"/>
    <col width="10" customWidth="1" min="24" max="25"/>
    <col width="12" customWidth="1" min="26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9" t="n"/>
      <c r="P1" s="68" t="inlineStr">
        <is>
          <t>月度绩效</t>
        </is>
      </c>
      <c r="Q1" s="58" t="n"/>
      <c r="R1" s="58" t="n"/>
      <c r="S1" s="59" t="n"/>
      <c r="T1" s="51" t="n"/>
      <c r="U1" s="51" t="n"/>
      <c r="V1" s="51" t="n"/>
      <c r="W1" s="51" t="n"/>
      <c r="X1" s="52" t="n"/>
      <c r="Y1" s="51" t="n"/>
      <c r="Z1" s="51" t="n"/>
      <c r="AA1" s="51" t="n"/>
      <c r="AB1" s="51" t="n"/>
      <c r="AC1" s="51" t="n"/>
      <c r="AD1" s="51" t="n"/>
      <c r="AE1" s="51" t="n"/>
      <c r="AF1" s="51" t="n"/>
      <c r="AG1" s="51" t="n"/>
      <c r="AH1" s="51" t="n"/>
      <c r="AI1" s="51" t="n"/>
      <c r="AJ1" s="51" t="n"/>
      <c r="AK1" s="51" t="n"/>
      <c r="AL1" s="51" t="n"/>
      <c r="AM1" s="51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4" t="inlineStr">
        <is>
          <t>资源处理时效数据</t>
        </is>
      </c>
      <c r="J2" s="64" t="inlineStr">
        <is>
          <t>资源处理时效得分</t>
        </is>
      </c>
      <c r="K2" s="64" t="inlineStr">
        <is>
          <t>老带新完成人头</t>
        </is>
      </c>
      <c r="L2" s="64" t="inlineStr">
        <is>
          <t>老带新得分</t>
        </is>
      </c>
      <c r="M2" s="64" t="inlineStr">
        <is>
          <t>新增签约完成情况</t>
        </is>
      </c>
      <c r="N2" s="64" t="inlineStr">
        <is>
          <t>新增签约完成率</t>
        </is>
      </c>
      <c r="O2" s="64" t="inlineStr">
        <is>
          <t>新增签约得分</t>
        </is>
      </c>
      <c r="P2" s="68" t="inlineStr">
        <is>
          <t>合计得分</t>
        </is>
      </c>
      <c r="Q2" s="68" t="inlineStr">
        <is>
          <t>发放比例</t>
        </is>
      </c>
      <c r="R2" s="68" t="inlineStr">
        <is>
          <t>月度绩效标准</t>
        </is>
      </c>
      <c r="S2" s="68" t="inlineStr">
        <is>
          <t>月绩效应发</t>
        </is>
      </c>
      <c r="T2" s="52" t="n"/>
      <c r="U2" s="52" t="n"/>
      <c r="V2" s="52" t="n"/>
      <c r="W2" s="52" t="n"/>
      <c r="X2" s="52" t="n"/>
      <c r="Y2" s="52" t="n"/>
      <c r="Z2" s="52" t="n"/>
      <c r="AA2" s="52" t="n"/>
      <c r="AB2" s="51" t="n"/>
      <c r="AC2" s="51" t="n"/>
      <c r="AD2" s="51" t="n"/>
      <c r="AE2" s="51" t="n"/>
      <c r="AF2" s="51" t="n"/>
      <c r="AG2" s="51" t="n"/>
      <c r="AH2" s="51" t="n"/>
      <c r="AI2" s="51" t="n"/>
      <c r="AJ2" s="51" t="n"/>
      <c r="AK2" s="51" t="n"/>
      <c r="AL2" s="51" t="n"/>
      <c r="AM2" s="51" t="n"/>
    </row>
    <row r="3" ht="15" customHeight="1">
      <c r="A3" s="53" t="n">
        <v>45962</v>
      </c>
      <c r="B3" s="54" t="inlineStr">
        <is>
          <t>刘晓娟</t>
        </is>
      </c>
      <c r="C3" s="54" t="inlineStr">
        <is>
          <t>四六级</t>
        </is>
      </c>
      <c r="D3" s="54" t="inlineStr">
        <is>
          <t>四六级项目部</t>
        </is>
      </c>
      <c r="E3" s="54" t="inlineStr">
        <is>
          <t>B级学习顾问</t>
        </is>
      </c>
      <c r="F3" s="55">
        <f>G3+H3</f>
        <v/>
      </c>
      <c r="G3" s="55" t="n">
        <v>2000</v>
      </c>
      <c r="H3" s="55" t="n">
        <v>14556.105</v>
      </c>
      <c r="I3" s="55" t="n">
        <v>12.89</v>
      </c>
      <c r="J3" s="55" t="n">
        <v>10</v>
      </c>
      <c r="K3" s="55" t="n">
        <v>5</v>
      </c>
      <c r="L3" s="55" t="n">
        <v>30</v>
      </c>
      <c r="M3" s="56" t="n">
        <v>0.3</v>
      </c>
      <c r="N3" s="56" t="n">
        <v>1.071428571428571</v>
      </c>
      <c r="O3" s="55" t="n">
        <v>60</v>
      </c>
      <c r="P3" s="55" t="n">
        <v>100</v>
      </c>
      <c r="Q3" s="56" t="n">
        <v>1</v>
      </c>
      <c r="R3" s="55" t="n">
        <v>2000</v>
      </c>
      <c r="S3" s="55" t="n">
        <v>2000</v>
      </c>
      <c r="T3" s="51" t="n"/>
      <c r="U3" s="51" t="n"/>
      <c r="V3" s="51" t="n"/>
      <c r="W3" s="51" t="n"/>
      <c r="X3" s="51" t="n"/>
      <c r="Y3" s="51" t="n"/>
      <c r="Z3" s="51" t="n"/>
      <c r="AA3" s="51" t="n"/>
      <c r="AB3" s="51" t="n"/>
      <c r="AC3" s="51" t="n"/>
      <c r="AD3" s="51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</row>
    <row r="4" ht="15" customHeight="1">
      <c r="A4" s="53" t="n">
        <v>45962</v>
      </c>
      <c r="B4" s="54" t="inlineStr">
        <is>
          <t>房国超</t>
        </is>
      </c>
      <c r="C4" s="54" t="inlineStr">
        <is>
          <t>四六级</t>
        </is>
      </c>
      <c r="D4" s="54" t="inlineStr">
        <is>
          <t>四六级项目部</t>
        </is>
      </c>
      <c r="E4" s="54" t="inlineStr">
        <is>
          <t>B级学习顾问</t>
        </is>
      </c>
      <c r="F4" s="55">
        <f>G4+H4</f>
        <v/>
      </c>
      <c r="G4" s="55" t="n">
        <v>1400</v>
      </c>
      <c r="H4" s="55" t="n">
        <v>4170.9927</v>
      </c>
      <c r="I4" s="55" t="n">
        <v>4.5</v>
      </c>
      <c r="J4" s="55" t="n">
        <v>10</v>
      </c>
      <c r="K4" s="55" t="n">
        <v>3</v>
      </c>
      <c r="L4" s="55" t="n">
        <v>18</v>
      </c>
      <c r="M4" s="56" t="n">
        <v>0.194</v>
      </c>
      <c r="N4" s="56" t="n">
        <v>0.6928571428571428</v>
      </c>
      <c r="O4" s="55" t="n">
        <v>41.57142857142857</v>
      </c>
      <c r="P4" s="55" t="n">
        <v>69.57142857142857</v>
      </c>
      <c r="Q4" s="56" t="n">
        <v>0.7</v>
      </c>
      <c r="R4" s="55" t="n">
        <v>2000</v>
      </c>
      <c r="S4" s="55" t="n">
        <v>1400</v>
      </c>
      <c r="T4" s="51" t="n"/>
      <c r="U4" s="51" t="n"/>
      <c r="V4" s="51" t="n"/>
      <c r="W4" s="51" t="n"/>
      <c r="X4" s="51" t="n"/>
      <c r="Y4" s="51" t="n"/>
      <c r="Z4" s="51" t="n"/>
      <c r="AA4" s="51" t="n"/>
      <c r="AB4" s="51" t="n"/>
      <c r="AC4" s="51" t="n"/>
      <c r="AD4" s="51" t="n"/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</row>
    <row r="5" ht="15" customHeight="1">
      <c r="A5" s="53" t="n">
        <v>45962</v>
      </c>
      <c r="B5" s="54" t="inlineStr">
        <is>
          <t>宋增辉</t>
        </is>
      </c>
      <c r="C5" s="54" t="inlineStr">
        <is>
          <t>四六级</t>
        </is>
      </c>
      <c r="D5" s="54" t="inlineStr">
        <is>
          <t>四六级项目部</t>
        </is>
      </c>
      <c r="E5" s="54" t="inlineStr">
        <is>
          <t>B级学习顾问</t>
        </is>
      </c>
      <c r="F5" s="55">
        <f>G5+H5</f>
        <v/>
      </c>
      <c r="G5" s="55" t="n">
        <v>0</v>
      </c>
      <c r="H5" s="55" t="n">
        <v>0</v>
      </c>
      <c r="I5" s="55" t="n">
        <v>25.83</v>
      </c>
      <c r="J5" s="55" t="n">
        <v>10</v>
      </c>
      <c r="K5" s="55" t="n">
        <v>0</v>
      </c>
      <c r="L5" s="55" t="n">
        <v>0</v>
      </c>
      <c r="M5" s="56" t="n">
        <v>0.11</v>
      </c>
      <c r="N5" s="56" t="n">
        <v>0.3928571428571428</v>
      </c>
      <c r="O5" s="55" t="n">
        <v>23.57142857142857</v>
      </c>
      <c r="P5" s="55" t="n">
        <v>33.57142857142857</v>
      </c>
      <c r="Q5" s="56" t="n">
        <v>0</v>
      </c>
      <c r="R5" s="55" t="n">
        <v>2000</v>
      </c>
      <c r="S5" s="55" t="n">
        <v>0</v>
      </c>
      <c r="T5" s="51" t="n"/>
      <c r="U5" s="51" t="n"/>
      <c r="V5" s="51" t="n"/>
      <c r="W5" s="51" t="n"/>
      <c r="X5" s="51" t="n"/>
      <c r="Y5" s="51" t="n"/>
      <c r="Z5" s="51" t="n"/>
      <c r="AA5" s="51" t="n"/>
      <c r="AB5" s="51" t="n"/>
      <c r="AC5" s="51" t="n"/>
      <c r="AD5" s="51" t="n"/>
      <c r="AE5" s="51" t="n"/>
      <c r="AF5" s="51" t="n"/>
      <c r="AG5" s="51" t="n"/>
      <c r="AH5" s="51" t="n"/>
      <c r="AI5" s="51" t="n"/>
      <c r="AJ5" s="51" t="n"/>
      <c r="AK5" s="51" t="n"/>
      <c r="AL5" s="51" t="n"/>
      <c r="AM5" s="51" t="n"/>
    </row>
    <row r="6" ht="15" customHeight="1">
      <c r="A6" s="53" t="n">
        <v>45962</v>
      </c>
      <c r="B6" s="54" t="inlineStr">
        <is>
          <t>田一禾</t>
        </is>
      </c>
      <c r="C6" s="54" t="inlineStr">
        <is>
          <t>四六级</t>
        </is>
      </c>
      <c r="D6" s="54" t="inlineStr">
        <is>
          <t>四六级项目部</t>
        </is>
      </c>
      <c r="E6" s="54" t="inlineStr">
        <is>
          <t>B级学习顾问</t>
        </is>
      </c>
      <c r="F6" s="55">
        <f>G6+H6</f>
        <v/>
      </c>
      <c r="G6" s="55" t="n">
        <v>1440</v>
      </c>
      <c r="H6" s="55" t="n">
        <v>8662</v>
      </c>
      <c r="I6" s="55" t="n">
        <v>30.36</v>
      </c>
      <c r="J6" s="55" t="n">
        <v>10</v>
      </c>
      <c r="K6" s="55" t="n">
        <v>0</v>
      </c>
      <c r="L6" s="55" t="n">
        <v>0</v>
      </c>
      <c r="M6" s="56" t="n">
        <v>0.3</v>
      </c>
      <c r="N6" s="56" t="n">
        <v>1.071428571428571</v>
      </c>
      <c r="O6" s="55" t="n">
        <v>60</v>
      </c>
      <c r="P6" s="55" t="n">
        <v>70</v>
      </c>
      <c r="Q6" s="56" t="n">
        <v>0.7</v>
      </c>
      <c r="R6" s="55" t="n">
        <v>2000</v>
      </c>
      <c r="S6" s="55" t="n">
        <v>1400</v>
      </c>
      <c r="T6" s="51" t="n"/>
      <c r="U6" s="51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</row>
    <row r="7" ht="15" customHeight="1">
      <c r="A7" s="53" t="n">
        <v>45962</v>
      </c>
      <c r="B7" s="54" t="inlineStr">
        <is>
          <t>黄智超</t>
        </is>
      </c>
      <c r="C7" s="54" t="inlineStr">
        <is>
          <t>四六级</t>
        </is>
      </c>
      <c r="D7" s="54" t="inlineStr">
        <is>
          <t>四六级项目部</t>
        </is>
      </c>
      <c r="E7" s="54" t="inlineStr">
        <is>
          <t>B级学习顾问</t>
        </is>
      </c>
      <c r="F7" s="55">
        <f>G7+H7</f>
        <v/>
      </c>
      <c r="G7" s="55" t="n">
        <v>1520</v>
      </c>
      <c r="H7" s="55" t="n">
        <v>15076</v>
      </c>
      <c r="I7" s="55" t="n">
        <v>5.15</v>
      </c>
      <c r="J7" s="55" t="n">
        <v>10</v>
      </c>
      <c r="K7" s="55" t="n">
        <v>3</v>
      </c>
      <c r="L7" s="55" t="n">
        <v>18</v>
      </c>
      <c r="M7" s="56" t="n">
        <v>0.22</v>
      </c>
      <c r="N7" s="56" t="n">
        <v>0.7857142857142857</v>
      </c>
      <c r="O7" s="55" t="n">
        <v>48</v>
      </c>
      <c r="P7" s="55" t="n">
        <v>76</v>
      </c>
      <c r="Q7" s="56" t="n">
        <v>0.76</v>
      </c>
      <c r="R7" s="55" t="n">
        <v>2000</v>
      </c>
      <c r="S7" s="55" t="n">
        <v>1520</v>
      </c>
      <c r="T7" s="51" t="n"/>
      <c r="U7" s="51" t="n"/>
      <c r="V7" s="51" t="n"/>
      <c r="W7" s="51" t="n"/>
      <c r="X7" s="51" t="n"/>
      <c r="Y7" s="51" t="n"/>
      <c r="Z7" s="51" t="n"/>
      <c r="AA7" s="51" t="n"/>
      <c r="AB7" s="51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</row>
    <row r="8" ht="30" customHeight="1">
      <c r="A8" s="53" t="n">
        <v>45962</v>
      </c>
      <c r="B8" s="54" t="inlineStr">
        <is>
          <t>徐一城</t>
        </is>
      </c>
      <c r="C8" s="54" t="inlineStr">
        <is>
          <t>四六级</t>
        </is>
      </c>
      <c r="D8" s="54" t="inlineStr">
        <is>
          <t>四六级项目部</t>
        </is>
      </c>
      <c r="E8" s="54" t="inlineStr">
        <is>
          <t>B级学习顾问</t>
        </is>
      </c>
      <c r="F8" s="55">
        <f>G8+H8</f>
        <v/>
      </c>
      <c r="G8" s="55" t="n">
        <v>1480</v>
      </c>
      <c r="H8" s="55" t="n">
        <v>0</v>
      </c>
      <c r="I8" s="55" t="inlineStr">
        <is>
          <t>新人第三个月保护期打满</t>
        </is>
      </c>
      <c r="J8" s="55" t="n">
        <v>10</v>
      </c>
      <c r="K8" s="55" t="n">
        <v>1</v>
      </c>
      <c r="L8" s="55" t="n">
        <v>6</v>
      </c>
      <c r="M8" s="56" t="n">
        <v>0.27</v>
      </c>
      <c r="N8" s="56" t="n">
        <v>0.9642857142857143</v>
      </c>
      <c r="O8" s="55" t="n">
        <v>58</v>
      </c>
      <c r="P8" s="55" t="n">
        <v>74</v>
      </c>
      <c r="Q8" s="56" t="n">
        <v>0.74</v>
      </c>
      <c r="R8" s="55" t="n">
        <v>2000</v>
      </c>
      <c r="S8" s="55" t="n">
        <v>1480</v>
      </c>
      <c r="T8" s="51" t="n"/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</row>
    <row r="9">
      <c r="A9" s="51" t="n"/>
      <c r="B9" s="51" t="n"/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</row>
    <row r="10">
      <c r="A10" s="51" t="n"/>
      <c r="B10" s="51" t="n"/>
      <c r="C10" s="51" t="n"/>
      <c r="D10" s="51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</row>
    <row r="11">
      <c r="A11" s="51" t="n"/>
      <c r="B11" s="51" t="n"/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</row>
    <row r="12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</row>
    <row r="15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</row>
    <row r="16">
      <c r="A16" s="51" t="n"/>
      <c r="B16" s="51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</row>
    <row r="17">
      <c r="A17" s="51" t="n"/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  <c r="AA19" s="51" t="n"/>
      <c r="AB19" s="51" t="n"/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1" t="n"/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  <c r="AA29" s="51" t="n"/>
      <c r="AB29" s="51" t="n"/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  <c r="AA31" s="51" t="n"/>
      <c r="AB31" s="51" t="n"/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  <c r="AA33" s="51" t="n"/>
      <c r="AB33" s="51" t="n"/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</row>
    <row r="142">
      <c r="A142" s="51" t="n"/>
      <c r="B142" s="51" t="n"/>
      <c r="C142" s="51" t="n"/>
      <c r="D142" s="51" t="n"/>
      <c r="E142" s="51" t="n"/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</row>
    <row r="143">
      <c r="A143" s="51" t="n"/>
      <c r="B143" s="51" t="n"/>
      <c r="C143" s="51" t="n"/>
      <c r="D143" s="51" t="n"/>
      <c r="E143" s="51" t="n"/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</row>
    <row r="144">
      <c r="A144" s="51" t="n"/>
      <c r="B144" s="51" t="n"/>
      <c r="C144" s="51" t="n"/>
      <c r="D144" s="51" t="n"/>
      <c r="E144" s="51" t="n"/>
      <c r="F144" s="51" t="n"/>
      <c r="G144" s="51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  <c r="AA144" s="51" t="n"/>
      <c r="AB144" s="51" t="n"/>
      <c r="AC144" s="51" t="n"/>
      <c r="AD144" s="51" t="n"/>
      <c r="AE144" s="51" t="n"/>
      <c r="AF144" s="51" t="n"/>
      <c r="AG144" s="51" t="n"/>
      <c r="AH144" s="51" t="n"/>
      <c r="AI144" s="51" t="n"/>
      <c r="AJ144" s="51" t="n"/>
      <c r="AK144" s="51" t="n"/>
      <c r="AL144" s="51" t="n"/>
      <c r="AM144" s="51" t="n"/>
    </row>
    <row r="145">
      <c r="A145" s="51" t="n"/>
      <c r="B145" s="51" t="n"/>
      <c r="C145" s="51" t="n"/>
      <c r="D145" s="51" t="n"/>
      <c r="E145" s="51" t="n"/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  <c r="Z145" s="51" t="n"/>
      <c r="AA145" s="51" t="n"/>
      <c r="AB145" s="51" t="n"/>
      <c r="AC145" s="51" t="n"/>
      <c r="AD145" s="51" t="n"/>
      <c r="AE145" s="51" t="n"/>
      <c r="AF145" s="51" t="n"/>
      <c r="AG145" s="51" t="n"/>
      <c r="AH145" s="51" t="n"/>
      <c r="AI145" s="51" t="n"/>
      <c r="AJ145" s="51" t="n"/>
      <c r="AK145" s="51" t="n"/>
      <c r="AL145" s="51" t="n"/>
      <c r="AM145" s="51" t="n"/>
    </row>
    <row r="146">
      <c r="A146" s="51" t="n"/>
      <c r="B146" s="51" t="n"/>
      <c r="C146" s="51" t="n"/>
      <c r="D146" s="51" t="n"/>
      <c r="E146" s="51" t="n"/>
      <c r="F146" s="51" t="n"/>
      <c r="G146" s="51" t="n"/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  <c r="Z146" s="51" t="n"/>
      <c r="AA146" s="51" t="n"/>
      <c r="AB146" s="51" t="n"/>
      <c r="AC146" s="51" t="n"/>
      <c r="AD146" s="51" t="n"/>
      <c r="AE146" s="51" t="n"/>
      <c r="AF146" s="51" t="n"/>
      <c r="AG146" s="51" t="n"/>
      <c r="AH146" s="51" t="n"/>
      <c r="AI146" s="51" t="n"/>
      <c r="AJ146" s="51" t="n"/>
      <c r="AK146" s="51" t="n"/>
      <c r="AL146" s="51" t="n"/>
      <c r="AM146" s="51" t="n"/>
    </row>
    <row r="147">
      <c r="A147" s="51" t="n"/>
      <c r="B147" s="51" t="n"/>
      <c r="C147" s="51" t="n"/>
      <c r="D147" s="51" t="n"/>
      <c r="E147" s="51" t="n"/>
      <c r="F147" s="51" t="n"/>
      <c r="G147" s="51" t="n"/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  <c r="Z147" s="51" t="n"/>
      <c r="AA147" s="51" t="n"/>
      <c r="AB147" s="51" t="n"/>
      <c r="AC147" s="51" t="n"/>
      <c r="AD147" s="51" t="n"/>
      <c r="AE147" s="51" t="n"/>
      <c r="AF147" s="51" t="n"/>
      <c r="AG147" s="51" t="n"/>
      <c r="AH147" s="51" t="n"/>
      <c r="AI147" s="51" t="n"/>
      <c r="AJ147" s="51" t="n"/>
      <c r="AK147" s="51" t="n"/>
      <c r="AL147" s="51" t="n"/>
      <c r="AM147" s="51" t="n"/>
    </row>
    <row r="148">
      <c r="A148" s="51" t="n"/>
      <c r="B148" s="51" t="n"/>
      <c r="C148" s="51" t="n"/>
      <c r="D148" s="51" t="n"/>
      <c r="E148" s="51" t="n"/>
      <c r="F148" s="51" t="n"/>
      <c r="G148" s="51" t="n"/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  <c r="Z148" s="51" t="n"/>
      <c r="AA148" s="51" t="n"/>
      <c r="AB148" s="51" t="n"/>
      <c r="AC148" s="51" t="n"/>
      <c r="AD148" s="51" t="n"/>
      <c r="AE148" s="51" t="n"/>
      <c r="AF148" s="51" t="n"/>
      <c r="AG148" s="51" t="n"/>
      <c r="AH148" s="51" t="n"/>
      <c r="AI148" s="51" t="n"/>
      <c r="AJ148" s="51" t="n"/>
      <c r="AK148" s="51" t="n"/>
      <c r="AL148" s="51" t="n"/>
      <c r="AM148" s="51" t="n"/>
    </row>
    <row r="149">
      <c r="A149" s="51" t="n"/>
      <c r="B149" s="51" t="n"/>
      <c r="C149" s="51" t="n"/>
      <c r="D149" s="51" t="n"/>
      <c r="E149" s="51" t="n"/>
      <c r="F149" s="51" t="n"/>
      <c r="G149" s="51" t="n"/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  <c r="Z149" s="51" t="n"/>
      <c r="AA149" s="51" t="n"/>
      <c r="AB149" s="51" t="n"/>
      <c r="AC149" s="51" t="n"/>
      <c r="AD149" s="51" t="n"/>
      <c r="AE149" s="51" t="n"/>
      <c r="AF149" s="51" t="n"/>
      <c r="AG149" s="51" t="n"/>
      <c r="AH149" s="51" t="n"/>
      <c r="AI149" s="51" t="n"/>
      <c r="AJ149" s="51" t="n"/>
      <c r="AK149" s="51" t="n"/>
      <c r="AL149" s="51" t="n"/>
      <c r="AM149" s="51" t="n"/>
    </row>
    <row r="150">
      <c r="A150" s="51" t="n"/>
      <c r="B150" s="51" t="n"/>
      <c r="C150" s="51" t="n"/>
      <c r="D150" s="51" t="n"/>
      <c r="E150" s="51" t="n"/>
      <c r="F150" s="51" t="n"/>
      <c r="G150" s="51" t="n"/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  <c r="Z150" s="51" t="n"/>
      <c r="AA150" s="51" t="n"/>
      <c r="AB150" s="51" t="n"/>
      <c r="AC150" s="51" t="n"/>
      <c r="AD150" s="51" t="n"/>
      <c r="AE150" s="51" t="n"/>
      <c r="AF150" s="51" t="n"/>
      <c r="AG150" s="51" t="n"/>
      <c r="AH150" s="51" t="n"/>
      <c r="AI150" s="51" t="n"/>
      <c r="AJ150" s="51" t="n"/>
      <c r="AK150" s="51" t="n"/>
      <c r="AL150" s="51" t="n"/>
      <c r="AM150" s="51" t="n"/>
    </row>
  </sheetData>
  <mergeCells count="10">
    <mergeCell ref="I1:O1"/>
    <mergeCell ref="C1:C2"/>
    <mergeCell ref="B1:B2"/>
    <mergeCell ref="G1:G2"/>
    <mergeCell ref="F1:F2"/>
    <mergeCell ref="E1:E2"/>
    <mergeCell ref="H1:H2"/>
    <mergeCell ref="D1:D2"/>
    <mergeCell ref="P1:S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基本提成</t>
        </is>
      </c>
      <c r="I1" s="64" t="inlineStr">
        <is>
          <t>基本提成</t>
        </is>
      </c>
      <c r="J1" s="58" t="n"/>
      <c r="K1" s="58" t="n"/>
      <c r="L1" s="58" t="n"/>
      <c r="M1" s="58" t="n"/>
      <c r="N1" s="58" t="n"/>
      <c r="O1" s="58" t="n"/>
      <c r="P1" s="59" t="n"/>
      <c r="Q1" s="64" t="inlineStr">
        <is>
          <t>转介绍提成</t>
        </is>
      </c>
      <c r="R1" s="58" t="n"/>
      <c r="S1" s="58" t="n"/>
      <c r="T1" s="59" t="n"/>
      <c r="U1" s="68" t="inlineStr">
        <is>
          <t>月度绩效</t>
        </is>
      </c>
      <c r="V1" s="58" t="n"/>
      <c r="W1" s="58" t="n"/>
      <c r="X1" s="59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0" t="inlineStr">
        <is>
          <t>地面现金目标</t>
        </is>
      </c>
      <c r="J2" s="60" t="inlineStr">
        <is>
          <t>地面净现金</t>
        </is>
      </c>
      <c r="K2" s="60" t="inlineStr">
        <is>
          <t>在线现金目标</t>
        </is>
      </c>
      <c r="L2" s="60" t="inlineStr">
        <is>
          <t>在线净现金</t>
        </is>
      </c>
      <c r="M2" s="60" t="inlineStr">
        <is>
          <t>总现金完成-退费后</t>
        </is>
      </c>
      <c r="N2" s="60" t="inlineStr">
        <is>
          <t>现金完成率</t>
        </is>
      </c>
      <c r="O2" s="60" t="inlineStr">
        <is>
          <t>提点系数</t>
        </is>
      </c>
      <c r="P2" s="60" t="inlineStr">
        <is>
          <t>基本提成</t>
        </is>
      </c>
      <c r="Q2" s="60" t="inlineStr">
        <is>
          <t>转介绍目标</t>
        </is>
      </c>
      <c r="R2" s="60" t="inlineStr">
        <is>
          <t>转介绍业绩</t>
        </is>
      </c>
      <c r="S2" s="60" t="inlineStr">
        <is>
          <t>提点</t>
        </is>
      </c>
      <c r="T2" s="60" t="inlineStr">
        <is>
          <t>转介绍提成</t>
        </is>
      </c>
      <c r="U2" s="57" t="inlineStr">
        <is>
          <t>总得分</t>
        </is>
      </c>
      <c r="V2" s="57" t="inlineStr">
        <is>
          <t>绩效基数</t>
        </is>
      </c>
      <c r="W2" s="57" t="inlineStr">
        <is>
          <t>发放比例</t>
        </is>
      </c>
      <c r="X2" s="57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43" t="n"/>
      <c r="B6" s="38" t="n"/>
      <c r="C6" s="38" t="n"/>
      <c r="D6" s="38" t="n"/>
      <c r="E6" s="38" t="n"/>
      <c r="F6" s="44" t="n"/>
      <c r="G6" s="44" t="n"/>
      <c r="H6" s="44" t="n"/>
      <c r="I6" s="44" t="n"/>
      <c r="J6" s="44" t="n"/>
      <c r="K6" s="44" t="n"/>
      <c r="L6" s="44" t="n"/>
      <c r="M6" s="44" t="n"/>
      <c r="N6" s="45" t="n"/>
      <c r="O6" s="45" t="n"/>
      <c r="P6" s="48" t="n"/>
      <c r="Q6" s="44" t="n"/>
      <c r="R6" s="44" t="n"/>
      <c r="S6" s="48" t="n"/>
      <c r="T6" s="48" t="n"/>
      <c r="U6" s="44" t="n"/>
      <c r="V6" s="44" t="n"/>
      <c r="W6" s="45" t="n"/>
      <c r="X6" s="44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43" t="n"/>
      <c r="B7" s="38" t="n"/>
      <c r="C7" s="38" t="n"/>
      <c r="D7" s="38" t="n"/>
      <c r="E7" s="38" t="n"/>
      <c r="F7" s="44" t="n"/>
      <c r="G7" s="44" t="n"/>
      <c r="H7" s="44" t="n"/>
      <c r="I7" s="44" t="n"/>
      <c r="J7" s="44" t="n"/>
      <c r="K7" s="44" t="n"/>
      <c r="L7" s="44" t="n"/>
      <c r="M7" s="44" t="n"/>
      <c r="N7" s="45" t="n"/>
      <c r="O7" s="45" t="n"/>
      <c r="P7" s="48" t="n"/>
      <c r="Q7" s="44" t="n"/>
      <c r="R7" s="44" t="n"/>
      <c r="S7" s="48" t="n"/>
      <c r="T7" s="48" t="n"/>
      <c r="U7" s="44" t="n"/>
      <c r="V7" s="44" t="n"/>
      <c r="W7" s="45" t="n"/>
      <c r="X7" s="44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D1:D2"/>
    <mergeCell ref="B1:B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tabSelected="1" zoomScale="84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W2" sqref="W1:X1048576"/>
    </sheetView>
  </sheetViews>
  <sheetFormatPr baseColWidth="8" defaultRowHeight="14.25"/>
  <cols>
    <col width="12" customWidth="1" min="1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8" t="n"/>
      <c r="P1" s="59" t="n"/>
      <c r="Q1" s="21" t="n"/>
      <c r="R1" s="14" t="n"/>
      <c r="S1" s="68" t="inlineStr">
        <is>
          <t>月度绩效</t>
        </is>
      </c>
      <c r="T1" s="58" t="n"/>
      <c r="U1" s="58" t="n"/>
      <c r="V1" s="58" t="n"/>
      <c r="W1" s="58" t="n"/>
      <c r="X1" s="59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>
      <c r="A6" s="77" t="n">
        <v>46113</v>
      </c>
      <c r="B6" s="72" t="inlineStr">
        <is>
          <t>杨明</t>
        </is>
      </c>
      <c r="C6" s="72" t="inlineStr">
        <is>
          <t>在职研</t>
        </is>
      </c>
      <c r="D6" s="72" t="inlineStr">
        <is>
          <t>在职研项目部</t>
        </is>
      </c>
      <c r="E6" s="72" t="inlineStr">
        <is>
          <t>B级学习顾问</t>
        </is>
      </c>
      <c r="F6" s="73">
        <f>G6+H6</f>
        <v/>
      </c>
      <c r="G6" s="73" t="n">
        <v>2000</v>
      </c>
      <c r="H6" s="73">
        <f>R6</f>
        <v/>
      </c>
      <c r="I6" s="73" t="n">
        <v>211000</v>
      </c>
      <c r="J6" s="73" t="n">
        <v>421680</v>
      </c>
      <c r="K6" s="73" t="n">
        <v>167916.1</v>
      </c>
      <c r="L6" s="73" t="n">
        <v>253763.9</v>
      </c>
      <c r="M6" s="74" t="n">
        <v>1.20267251184834</v>
      </c>
      <c r="N6" s="73" t="n">
        <v>4117.5</v>
      </c>
      <c r="O6" s="73" t="n">
        <v>0</v>
      </c>
      <c r="P6" s="73" t="n">
        <v>4117.5</v>
      </c>
      <c r="Q6" s="75" t="n">
        <v>0.06</v>
      </c>
      <c r="R6" s="73" t="n">
        <v>15267.009</v>
      </c>
      <c r="S6" s="73" t="n">
        <v>100</v>
      </c>
      <c r="T6" s="74" t="n">
        <v>1</v>
      </c>
      <c r="U6" s="73" t="n">
        <v>2000</v>
      </c>
      <c r="V6" s="73" t="n">
        <v>2000</v>
      </c>
      <c r="W6" s="72" t="n"/>
      <c r="X6" s="72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>
      <c r="A7" s="77" t="n">
        <v>46113</v>
      </c>
      <c r="B7" s="72" t="inlineStr">
        <is>
          <t>刘津玲</t>
        </is>
      </c>
      <c r="C7" s="72" t="inlineStr">
        <is>
          <t>在职研</t>
        </is>
      </c>
      <c r="D7" s="72" t="inlineStr">
        <is>
          <t>在职研项目部</t>
        </is>
      </c>
      <c r="E7" s="72" t="inlineStr">
        <is>
          <t>A级学习顾问</t>
        </is>
      </c>
      <c r="F7" s="73">
        <f>G7+H7</f>
        <v/>
      </c>
      <c r="G7" s="73" t="n">
        <v>3000</v>
      </c>
      <c r="H7" s="73">
        <f>R7</f>
        <v/>
      </c>
      <c r="I7" s="73" t="n">
        <v>211000</v>
      </c>
      <c r="J7" s="73" t="n">
        <v>558372.3</v>
      </c>
      <c r="K7" s="73" t="n">
        <v>132642</v>
      </c>
      <c r="L7" s="73" t="n">
        <v>425730.3</v>
      </c>
      <c r="M7" s="74" t="n">
        <v>2.01767914691943</v>
      </c>
      <c r="N7" s="73" t="n">
        <v>32205</v>
      </c>
      <c r="O7" s="73" t="n">
        <v>8459.719999999999</v>
      </c>
      <c r="P7" s="73" t="n">
        <v>23745.28</v>
      </c>
      <c r="Q7" s="75" t="n">
        <v>0.065</v>
      </c>
      <c r="R7" s="73" t="n">
        <v>27909.9223</v>
      </c>
      <c r="S7" s="73" t="n">
        <v>100</v>
      </c>
      <c r="T7" s="74" t="n">
        <v>1</v>
      </c>
      <c r="U7" s="73" t="n">
        <v>3000</v>
      </c>
      <c r="V7" s="73" t="n">
        <v>3000</v>
      </c>
      <c r="W7" s="72" t="n"/>
      <c r="X7" s="72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>
      <c r="A8" s="77" t="n">
        <v>46113</v>
      </c>
      <c r="B8" s="72" t="inlineStr">
        <is>
          <t>王沛贤</t>
        </is>
      </c>
      <c r="C8" s="72" t="inlineStr">
        <is>
          <t>在职研</t>
        </is>
      </c>
      <c r="D8" s="72" t="inlineStr">
        <is>
          <t>在职研项目部</t>
        </is>
      </c>
      <c r="E8" s="72" t="inlineStr">
        <is>
          <t>B级学习顾问</t>
        </is>
      </c>
      <c r="F8" s="73">
        <f>G8+H8</f>
        <v/>
      </c>
      <c r="G8" s="73" t="n">
        <v>1600</v>
      </c>
      <c r="H8" s="73">
        <f>R8</f>
        <v/>
      </c>
      <c r="I8" s="73" t="n">
        <v>150000</v>
      </c>
      <c r="J8" s="73" t="n">
        <v>204180</v>
      </c>
      <c r="K8" s="73" t="n">
        <v>0</v>
      </c>
      <c r="L8" s="73" t="n">
        <v>204180</v>
      </c>
      <c r="M8" s="74" t="n">
        <v>1.3612</v>
      </c>
      <c r="N8" s="73" t="n">
        <v>15350.7</v>
      </c>
      <c r="O8" s="73" t="n">
        <v>0</v>
      </c>
      <c r="P8" s="73" t="n">
        <v>15350.7</v>
      </c>
      <c r="Q8" s="75" t="n">
        <v>0.06</v>
      </c>
      <c r="R8" s="73" t="n">
        <v>12404.307</v>
      </c>
      <c r="S8" s="73" t="n">
        <v>80</v>
      </c>
      <c r="T8" s="74" t="n">
        <v>0.8</v>
      </c>
      <c r="U8" s="73" t="n">
        <v>2000</v>
      </c>
      <c r="V8" s="73" t="n">
        <v>1600</v>
      </c>
      <c r="W8" s="72" t="n"/>
      <c r="X8" s="72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>
      <c r="A9" s="77" t="n">
        <v>46143</v>
      </c>
      <c r="B9" s="72" t="inlineStr">
        <is>
          <t>杨明</t>
        </is>
      </c>
      <c r="C9" s="72" t="inlineStr">
        <is>
          <t>在职研</t>
        </is>
      </c>
      <c r="D9" s="72" t="inlineStr">
        <is>
          <t>在职研项目部</t>
        </is>
      </c>
      <c r="E9" s="72" t="inlineStr">
        <is>
          <t>B级学习顾问</t>
        </is>
      </c>
      <c r="F9" s="73">
        <f>G9+H9</f>
        <v/>
      </c>
      <c r="G9" s="73" t="n">
        <v>2000</v>
      </c>
      <c r="H9" s="73">
        <f>R9</f>
        <v/>
      </c>
      <c r="I9" s="73" t="n">
        <v>230000</v>
      </c>
      <c r="J9" s="73" t="n">
        <v>283350</v>
      </c>
      <c r="K9" s="73" t="n">
        <v>0</v>
      </c>
      <c r="L9" s="73" t="n">
        <v>283350</v>
      </c>
      <c r="M9" s="74" t="n">
        <v>1.23195652173913</v>
      </c>
      <c r="N9" s="73" t="n">
        <v>31801.7</v>
      </c>
      <c r="O9" s="73" t="n">
        <v>20885</v>
      </c>
      <c r="P9" s="73" t="n">
        <v>10916.7</v>
      </c>
      <c r="Q9" s="75" t="n">
        <v>0.06</v>
      </c>
      <c r="R9" s="73" t="n">
        <v>17110.167</v>
      </c>
      <c r="S9" s="73" t="n">
        <v>100</v>
      </c>
      <c r="T9" s="74" t="n">
        <v>1</v>
      </c>
      <c r="U9" s="73" t="n">
        <v>2000</v>
      </c>
      <c r="V9" s="73" t="n">
        <v>2000</v>
      </c>
      <c r="W9" s="72" t="n"/>
      <c r="X9" s="72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>
      <c r="A10" s="77" t="n">
        <v>46143</v>
      </c>
      <c r="B10" s="72" t="inlineStr">
        <is>
          <t>刘津玲</t>
        </is>
      </c>
      <c r="C10" s="72" t="inlineStr">
        <is>
          <t>在职研</t>
        </is>
      </c>
      <c r="D10" s="72" t="inlineStr">
        <is>
          <t>在职研项目部</t>
        </is>
      </c>
      <c r="E10" s="72" t="inlineStr">
        <is>
          <t>A级学习顾问</t>
        </is>
      </c>
      <c r="F10" s="73">
        <f>G10+H10</f>
        <v/>
      </c>
      <c r="G10" s="73" t="n">
        <v>3000</v>
      </c>
      <c r="H10" s="73">
        <f>R10</f>
        <v/>
      </c>
      <c r="I10" s="73" t="n">
        <v>230000</v>
      </c>
      <c r="J10" s="73" t="n">
        <v>366530</v>
      </c>
      <c r="K10" s="73" t="n">
        <v>0</v>
      </c>
      <c r="L10" s="73" t="n">
        <v>366530</v>
      </c>
      <c r="M10" s="74" t="n">
        <v>1.59360869565217</v>
      </c>
      <c r="N10" s="73" t="n">
        <v>42700.1</v>
      </c>
      <c r="O10" s="73" t="n">
        <v>37291.3</v>
      </c>
      <c r="P10" s="73" t="n">
        <v>5408.8</v>
      </c>
      <c r="Q10" s="75" t="n">
        <v>0.065</v>
      </c>
      <c r="R10" s="73" t="n">
        <v>23878.538</v>
      </c>
      <c r="S10" s="73" t="n">
        <v>92.2504310344828</v>
      </c>
      <c r="T10" s="74" t="n">
        <v>1</v>
      </c>
      <c r="U10" s="73" t="n">
        <v>3000</v>
      </c>
      <c r="V10" s="73" t="n">
        <v>3000</v>
      </c>
      <c r="W10" s="72" t="n"/>
      <c r="X10" s="72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>
      <c r="A11" s="77" t="n">
        <v>46143</v>
      </c>
      <c r="B11" s="72" t="inlineStr">
        <is>
          <t>王沛贤</t>
        </is>
      </c>
      <c r="C11" s="72" t="inlineStr">
        <is>
          <t>在职研</t>
        </is>
      </c>
      <c r="D11" s="72" t="inlineStr">
        <is>
          <t>在职研项目部</t>
        </is>
      </c>
      <c r="E11" s="72" t="inlineStr">
        <is>
          <t>B级学习顾问</t>
        </is>
      </c>
      <c r="F11" s="73">
        <f>G11+H11</f>
        <v/>
      </c>
      <c r="G11" s="73" t="n">
        <v>0</v>
      </c>
      <c r="H11" s="73">
        <f>R11</f>
        <v/>
      </c>
      <c r="I11" s="73" t="n">
        <v>230000</v>
      </c>
      <c r="J11" s="73" t="n">
        <v>36400</v>
      </c>
      <c r="K11" s="73" t="n">
        <v>0</v>
      </c>
      <c r="L11" s="73" t="n">
        <v>36400</v>
      </c>
      <c r="M11" s="74" t="n">
        <v>0.158260869565217</v>
      </c>
      <c r="N11" s="73" t="n">
        <v>10509</v>
      </c>
      <c r="O11" s="73" t="n">
        <v>0</v>
      </c>
      <c r="P11" s="73" t="n">
        <v>10509</v>
      </c>
      <c r="Q11" s="75" t="n">
        <v>0</v>
      </c>
      <c r="R11" s="73" t="n">
        <v>105.09</v>
      </c>
      <c r="S11" s="73" t="n">
        <v>38.575</v>
      </c>
      <c r="T11" s="74" t="n">
        <v>0</v>
      </c>
      <c r="U11" s="73" t="n">
        <v>2000</v>
      </c>
      <c r="V11" s="73" t="n">
        <v>0</v>
      </c>
      <c r="W11" s="72" t="n"/>
      <c r="X11" s="72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>
      <c r="A12" s="77" t="n">
        <v>46023</v>
      </c>
      <c r="B12" s="72" t="inlineStr">
        <is>
          <t>杨明</t>
        </is>
      </c>
      <c r="C12" s="72" t="inlineStr">
        <is>
          <t>在职研</t>
        </is>
      </c>
      <c r="D12" s="72" t="inlineStr">
        <is>
          <t>在职研项目部</t>
        </is>
      </c>
      <c r="E12" s="72" t="inlineStr">
        <is>
          <t>B级学习顾问</t>
        </is>
      </c>
      <c r="F12" s="73">
        <f>G12+H12</f>
        <v/>
      </c>
      <c r="G12" s="73" t="n">
        <v>2000</v>
      </c>
      <c r="H12" s="73">
        <f>R12</f>
        <v/>
      </c>
      <c r="I12" s="73" t="n">
        <v>250000</v>
      </c>
      <c r="J12" s="73" t="n">
        <v>179279.8</v>
      </c>
      <c r="K12" s="73" t="n">
        <v>40529.8</v>
      </c>
      <c r="L12" s="73" t="n">
        <v>138750</v>
      </c>
      <c r="M12" s="74" t="n">
        <v>0.824718</v>
      </c>
      <c r="N12" s="73" t="n">
        <v>70215.5</v>
      </c>
      <c r="O12" s="73" t="n">
        <v>2786</v>
      </c>
      <c r="P12" s="73" t="n">
        <v>67429.5</v>
      </c>
      <c r="Q12" s="75" t="n">
        <v>0.035</v>
      </c>
      <c r="R12" s="73" t="n">
        <v>7216.2825</v>
      </c>
      <c r="S12" s="73" t="n">
        <v>98</v>
      </c>
      <c r="T12" s="74" t="n">
        <v>1</v>
      </c>
      <c r="U12" s="73" t="n">
        <v>2000</v>
      </c>
      <c r="V12" s="73" t="n">
        <v>2000</v>
      </c>
      <c r="W12" s="72" t="n"/>
      <c r="X12" s="72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>
      <c r="A13" s="77" t="n">
        <v>46023</v>
      </c>
      <c r="B13" s="72" t="inlineStr">
        <is>
          <t>刘津玲</t>
        </is>
      </c>
      <c r="C13" s="72" t="inlineStr">
        <is>
          <t>在职研</t>
        </is>
      </c>
      <c r="D13" s="72" t="inlineStr">
        <is>
          <t>在职研项目部</t>
        </is>
      </c>
      <c r="E13" s="72" t="inlineStr">
        <is>
          <t>A级学习顾问</t>
        </is>
      </c>
      <c r="F13" s="73">
        <f>G13+H13</f>
        <v/>
      </c>
      <c r="G13" s="73" t="n">
        <v>3000</v>
      </c>
      <c r="H13" s="73">
        <f>R13</f>
        <v/>
      </c>
      <c r="I13" s="73" t="n">
        <v>250000</v>
      </c>
      <c r="J13" s="73" t="n">
        <v>187350</v>
      </c>
      <c r="K13" s="73" t="n">
        <v>30100</v>
      </c>
      <c r="L13" s="73" t="n">
        <v>157250</v>
      </c>
      <c r="M13" s="74" t="n">
        <v>1.05466312</v>
      </c>
      <c r="N13" s="73" t="n">
        <v>125915.78</v>
      </c>
      <c r="O13" s="73" t="n">
        <v>19500</v>
      </c>
      <c r="P13" s="73" t="n">
        <v>106415.78</v>
      </c>
      <c r="Q13" s="75" t="n">
        <v>0.05</v>
      </c>
      <c r="R13" s="73" t="n">
        <v>13183.289</v>
      </c>
      <c r="S13" s="73" t="n">
        <v>100</v>
      </c>
      <c r="T13" s="74" t="n">
        <v>1</v>
      </c>
      <c r="U13" s="73" t="n">
        <v>3000</v>
      </c>
      <c r="V13" s="73" t="n">
        <v>3000</v>
      </c>
      <c r="W13" s="72" t="n"/>
      <c r="X13" s="72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>
      <c r="A14" s="77" t="n">
        <v>46023</v>
      </c>
      <c r="B14" s="72" t="inlineStr">
        <is>
          <t>王沛贤</t>
        </is>
      </c>
      <c r="C14" s="72" t="inlineStr">
        <is>
          <t>在职研</t>
        </is>
      </c>
      <c r="D14" s="72" t="inlineStr">
        <is>
          <t>在职研项目部</t>
        </is>
      </c>
      <c r="E14" s="72" t="inlineStr">
        <is>
          <t>B级学习顾问</t>
        </is>
      </c>
      <c r="F14" s="73">
        <f>G14+H14</f>
        <v/>
      </c>
      <c r="G14" s="73" t="n">
        <v>4000</v>
      </c>
      <c r="H14" s="73">
        <f>R14</f>
        <v/>
      </c>
      <c r="I14" s="73" t="n">
        <v>50000</v>
      </c>
      <c r="J14" s="73" t="n">
        <v>28800</v>
      </c>
      <c r="K14" s="73" t="n">
        <v>0</v>
      </c>
      <c r="L14" s="73" t="n">
        <v>28800</v>
      </c>
      <c r="M14" s="74" t="n">
        <v>0.576</v>
      </c>
      <c r="N14" s="73" t="n">
        <v>0</v>
      </c>
      <c r="O14" s="73" t="n">
        <v>0</v>
      </c>
      <c r="P14" s="73" t="n">
        <v>0</v>
      </c>
      <c r="Q14" s="75" t="n">
        <v>0</v>
      </c>
      <c r="R14" s="73" t="n">
        <v>0</v>
      </c>
      <c r="S14" s="73" t="inlineStr">
        <is>
          <t>——</t>
        </is>
      </c>
      <c r="T14" s="74" t="n">
        <v>1</v>
      </c>
      <c r="U14" s="73" t="n">
        <v>4000</v>
      </c>
      <c r="V14" s="73" t="n">
        <v>4000</v>
      </c>
      <c r="W14" s="72" t="n"/>
      <c r="X14" s="72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>
      <c r="A15" s="77" t="n">
        <v>45992</v>
      </c>
      <c r="B15" s="72" t="inlineStr">
        <is>
          <t>杨明</t>
        </is>
      </c>
      <c r="C15" s="72" t="inlineStr">
        <is>
          <t>在职研</t>
        </is>
      </c>
      <c r="D15" s="72" t="inlineStr">
        <is>
          <t>在职研项目部</t>
        </is>
      </c>
      <c r="E15" s="72" t="inlineStr">
        <is>
          <t>B级学习顾问</t>
        </is>
      </c>
      <c r="F15" s="73">
        <f>G15+H15</f>
        <v/>
      </c>
      <c r="G15" s="73" t="n">
        <v>1420</v>
      </c>
      <c r="H15" s="73">
        <f>R15</f>
        <v/>
      </c>
      <c r="I15" s="73" t="n">
        <v>190000</v>
      </c>
      <c r="J15" s="73" t="n">
        <v>188700</v>
      </c>
      <c r="K15" s="73" t="n">
        <v>61647.6</v>
      </c>
      <c r="L15" s="73" t="n">
        <v>127052.4</v>
      </c>
      <c r="M15" s="74" t="n">
        <v>0.874867894736842</v>
      </c>
      <c r="N15" s="73" t="n">
        <v>45390</v>
      </c>
      <c r="O15" s="73" t="n">
        <v>6217.5</v>
      </c>
      <c r="P15" s="73" t="n">
        <v>39172.5</v>
      </c>
      <c r="Q15" s="75" t="n">
        <v>0.035</v>
      </c>
      <c r="R15" s="73" t="n">
        <v>5817.8715</v>
      </c>
      <c r="S15" s="73" t="n">
        <v>71</v>
      </c>
      <c r="T15" s="74" t="n">
        <v>0.71</v>
      </c>
      <c r="U15" s="73" t="n">
        <v>2000</v>
      </c>
      <c r="V15" s="73" t="n">
        <v>1420</v>
      </c>
      <c r="W15" s="72" t="n"/>
      <c r="X15" s="72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>
      <c r="A16" s="77" t="n">
        <v>45992</v>
      </c>
      <c r="B16" s="72" t="inlineStr">
        <is>
          <t>刘津玲</t>
        </is>
      </c>
      <c r="C16" s="72" t="inlineStr">
        <is>
          <t>在职研</t>
        </is>
      </c>
      <c r="D16" s="72" t="inlineStr">
        <is>
          <t>在职研项目部</t>
        </is>
      </c>
      <c r="E16" s="72" t="inlineStr">
        <is>
          <t>A级学习顾问</t>
        </is>
      </c>
      <c r="F16" s="73">
        <f>G16+H16</f>
        <v/>
      </c>
      <c r="G16" s="73" t="n">
        <v>3000</v>
      </c>
      <c r="H16" s="73">
        <f>R16</f>
        <v/>
      </c>
      <c r="I16" s="73" t="n">
        <v>190000</v>
      </c>
      <c r="J16" s="73" t="n">
        <v>201800</v>
      </c>
      <c r="K16" s="73" t="n">
        <v>91039.3</v>
      </c>
      <c r="L16" s="73" t="n">
        <v>110760.7</v>
      </c>
      <c r="M16" s="74" t="n">
        <v>0.844101052631579</v>
      </c>
      <c r="N16" s="73" t="n">
        <v>49618.5</v>
      </c>
      <c r="O16" s="73" t="n">
        <v>0</v>
      </c>
      <c r="P16" s="73" t="n">
        <v>49618.5</v>
      </c>
      <c r="Q16" s="75" t="n">
        <v>0.035</v>
      </c>
      <c r="R16" s="73" t="n">
        <v>5613.272</v>
      </c>
      <c r="S16" s="73" t="n">
        <v>100</v>
      </c>
      <c r="T16" s="74" t="n">
        <v>1</v>
      </c>
      <c r="U16" s="73" t="n">
        <v>3000</v>
      </c>
      <c r="V16" s="73" t="n">
        <v>3000</v>
      </c>
      <c r="W16" s="72" t="n"/>
      <c r="X16" s="72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>
      <c r="A17" s="77" t="n">
        <v>45992</v>
      </c>
      <c r="B17" s="72" t="inlineStr">
        <is>
          <t>王沛贤</t>
        </is>
      </c>
      <c r="C17" s="72" t="inlineStr">
        <is>
          <t>在职研</t>
        </is>
      </c>
      <c r="D17" s="72" t="inlineStr">
        <is>
          <t>在职研项目部</t>
        </is>
      </c>
      <c r="E17" s="72" t="inlineStr">
        <is>
          <t>B级学习顾问</t>
        </is>
      </c>
      <c r="F17" s="73">
        <f>G17+H17</f>
        <v/>
      </c>
      <c r="G17" s="73" t="n">
        <v>4000</v>
      </c>
      <c r="H17" s="73">
        <f>R17</f>
        <v/>
      </c>
      <c r="I17" s="73" t="n">
        <v>20000</v>
      </c>
      <c r="J17" s="73" t="n">
        <v>0</v>
      </c>
      <c r="K17" s="73" t="n">
        <v>0</v>
      </c>
      <c r="L17" s="73" t="n">
        <v>0</v>
      </c>
      <c r="M17" s="74" t="n">
        <v>0.1393</v>
      </c>
      <c r="N17" s="73" t="n">
        <v>2786</v>
      </c>
      <c r="O17" s="73" t="n">
        <v>0</v>
      </c>
      <c r="P17" s="73" t="n">
        <v>2786</v>
      </c>
      <c r="Q17" s="75" t="n">
        <v>0</v>
      </c>
      <c r="R17" s="73" t="n">
        <v>0</v>
      </c>
      <c r="S17" s="73" t="inlineStr">
        <is>
          <t>——</t>
        </is>
      </c>
      <c r="T17" s="74" t="n">
        <v>1</v>
      </c>
      <c r="U17" s="73" t="n">
        <v>4000</v>
      </c>
      <c r="V17" s="73" t="n">
        <v>4000</v>
      </c>
      <c r="W17" s="72" t="n"/>
      <c r="X17" s="72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>
      <c r="A18" s="77" t="n">
        <v>45809</v>
      </c>
      <c r="B18" s="72" t="inlineStr">
        <is>
          <t>杨明</t>
        </is>
      </c>
      <c r="C18" s="72" t="inlineStr">
        <is>
          <t>在职研</t>
        </is>
      </c>
      <c r="D18" s="72" t="inlineStr">
        <is>
          <t>在职研项目部</t>
        </is>
      </c>
      <c r="E18" s="72" t="inlineStr">
        <is>
          <t>B级学习顾问</t>
        </is>
      </c>
      <c r="F18" s="73">
        <f>G18+H18</f>
        <v/>
      </c>
      <c r="G18" s="73" t="n">
        <v>2000</v>
      </c>
      <c r="H18" s="73">
        <f>R18</f>
        <v/>
      </c>
      <c r="I18" s="73" t="n">
        <v>240000</v>
      </c>
      <c r="J18" s="73" t="n">
        <v>272780</v>
      </c>
      <c r="K18" s="73" t="n">
        <v>62431.4</v>
      </c>
      <c r="L18" s="73" t="n">
        <v>210348.6</v>
      </c>
      <c r="M18" s="74" t="n">
        <v>1.20403583333333</v>
      </c>
      <c r="N18" s="73" t="n">
        <v>90005</v>
      </c>
      <c r="O18" s="73" t="n">
        <v>11385</v>
      </c>
      <c r="P18" s="73" t="n">
        <v>78620</v>
      </c>
      <c r="Q18" s="75" t="n">
        <v>0.06</v>
      </c>
      <c r="R18" s="73" t="n">
        <v>17338.116</v>
      </c>
      <c r="S18" s="73" t="n">
        <v>100</v>
      </c>
      <c r="T18" s="74" t="n">
        <v>1</v>
      </c>
      <c r="U18" s="73" t="n">
        <v>2000</v>
      </c>
      <c r="V18" s="73" t="n">
        <v>2000</v>
      </c>
      <c r="W18" s="72" t="n"/>
      <c r="X18" s="72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>
      <c r="A19" s="77" t="n">
        <v>45809</v>
      </c>
      <c r="B19" s="72" t="inlineStr">
        <is>
          <t>刘津玲</t>
        </is>
      </c>
      <c r="C19" s="72" t="inlineStr">
        <is>
          <t>在职研</t>
        </is>
      </c>
      <c r="D19" s="72" t="inlineStr">
        <is>
          <t>在职研项目部</t>
        </is>
      </c>
      <c r="E19" s="72" t="inlineStr">
        <is>
          <t>A级学习顾问</t>
        </is>
      </c>
      <c r="F19" s="73">
        <f>G19+H19</f>
        <v/>
      </c>
      <c r="G19" s="73" t="n">
        <v>3000</v>
      </c>
      <c r="H19" s="73">
        <f>R19</f>
        <v/>
      </c>
      <c r="I19" s="73" t="n">
        <v>240000</v>
      </c>
      <c r="J19" s="73" t="n">
        <v>223500</v>
      </c>
      <c r="K19" s="73" t="n">
        <v>56320.6</v>
      </c>
      <c r="L19" s="73" t="n">
        <v>167179.4</v>
      </c>
      <c r="M19" s="74" t="n">
        <v>1.25185979166667</v>
      </c>
      <c r="N19" s="73" t="n">
        <v>144521.95</v>
      </c>
      <c r="O19" s="73" t="n">
        <v>11255</v>
      </c>
      <c r="P19" s="73" t="n">
        <v>133266.95</v>
      </c>
      <c r="Q19" s="75" t="n">
        <v>0.06</v>
      </c>
      <c r="R19" s="73" t="n">
        <v>18026.781</v>
      </c>
      <c r="S19" s="73" t="n">
        <v>100</v>
      </c>
      <c r="T19" s="74" t="n">
        <v>1</v>
      </c>
      <c r="U19" s="73" t="n">
        <v>3000</v>
      </c>
      <c r="V19" s="73" t="n">
        <v>3000</v>
      </c>
      <c r="W19" s="72" t="n"/>
      <c r="X19" s="72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>
      <c r="A20" s="77" t="n">
        <v>45809</v>
      </c>
      <c r="B20" s="72" t="inlineStr">
        <is>
          <t>何达尔罕</t>
        </is>
      </c>
      <c r="C20" s="72" t="inlineStr">
        <is>
          <t>在职研</t>
        </is>
      </c>
      <c r="D20" s="72" t="inlineStr">
        <is>
          <t>在职研项目部</t>
        </is>
      </c>
      <c r="E20" s="72" t="inlineStr">
        <is>
          <t>B级学习顾问</t>
        </is>
      </c>
      <c r="F20" s="73">
        <f>G20+H20</f>
        <v/>
      </c>
      <c r="G20" s="73" t="n">
        <v>2000</v>
      </c>
      <c r="H20" s="73">
        <f>R20</f>
        <v/>
      </c>
      <c r="I20" s="73" t="n">
        <v>60000</v>
      </c>
      <c r="J20" s="73" t="n">
        <v>8900</v>
      </c>
      <c r="K20" s="73" t="n">
        <v>0</v>
      </c>
      <c r="L20" s="73" t="n">
        <v>8900</v>
      </c>
      <c r="M20" s="74" t="n">
        <v>0</v>
      </c>
      <c r="N20" s="73" t="n">
        <v>0</v>
      </c>
      <c r="O20" s="73" t="n">
        <v>0</v>
      </c>
      <c r="P20" s="73" t="n">
        <v>0</v>
      </c>
      <c r="Q20" s="75" t="n">
        <v>0</v>
      </c>
      <c r="R20" s="73" t="n">
        <v>0</v>
      </c>
      <c r="S20" s="73" t="n">
        <v>100</v>
      </c>
      <c r="T20" s="74" t="n">
        <v>1</v>
      </c>
      <c r="U20" s="73" t="n">
        <v>2000</v>
      </c>
      <c r="V20" s="73" t="n">
        <v>2000</v>
      </c>
      <c r="W20" s="72" t="n"/>
      <c r="X20" s="72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>
      <c r="A21" s="77" t="n">
        <v>45839</v>
      </c>
      <c r="B21" s="72" t="inlineStr">
        <is>
          <t>杨明</t>
        </is>
      </c>
      <c r="C21" s="72" t="inlineStr">
        <is>
          <t>在职研</t>
        </is>
      </c>
      <c r="D21" s="72" t="inlineStr">
        <is>
          <t>在职研项目部</t>
        </is>
      </c>
      <c r="E21" s="72" t="inlineStr">
        <is>
          <t>B级学习顾问</t>
        </is>
      </c>
      <c r="F21" s="73">
        <f>G21+H21</f>
        <v/>
      </c>
      <c r="G21" s="73" t="n">
        <v>2000</v>
      </c>
      <c r="H21" s="73">
        <f>R21</f>
        <v/>
      </c>
      <c r="I21" s="73" t="n">
        <v>300000</v>
      </c>
      <c r="J21" s="73" t="n">
        <v>280430</v>
      </c>
      <c r="K21" s="73" t="n">
        <v>35526.4</v>
      </c>
      <c r="L21" s="73" t="n">
        <v>244903.6</v>
      </c>
      <c r="M21" s="74" t="n">
        <v>1.032607</v>
      </c>
      <c r="N21" s="73" t="n">
        <v>71261</v>
      </c>
      <c r="O21" s="73" t="n">
        <v>6382.5</v>
      </c>
      <c r="P21" s="73" t="n">
        <v>64878.5</v>
      </c>
      <c r="Q21" s="75" t="n">
        <v>0.05</v>
      </c>
      <c r="R21" s="73" t="n">
        <v>15489.105</v>
      </c>
      <c r="S21" s="73" t="n">
        <v>100</v>
      </c>
      <c r="T21" s="74" t="n">
        <v>1</v>
      </c>
      <c r="U21" s="73" t="n">
        <v>2000</v>
      </c>
      <c r="V21" s="73" t="n">
        <v>2000</v>
      </c>
      <c r="W21" s="72" t="n"/>
      <c r="X21" s="72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>
      <c r="A22" s="77" t="n">
        <v>45839</v>
      </c>
      <c r="B22" s="72" t="inlineStr">
        <is>
          <t>刘津玲</t>
        </is>
      </c>
      <c r="C22" s="72" t="inlineStr">
        <is>
          <t>在职研</t>
        </is>
      </c>
      <c r="D22" s="72" t="inlineStr">
        <is>
          <t>在职研项目部</t>
        </is>
      </c>
      <c r="E22" s="72" t="inlineStr">
        <is>
          <t>A级学习顾问</t>
        </is>
      </c>
      <c r="F22" s="73">
        <f>G22+H22</f>
        <v/>
      </c>
      <c r="G22" s="73" t="n">
        <v>3000</v>
      </c>
      <c r="H22" s="73">
        <f>R22</f>
        <v/>
      </c>
      <c r="I22" s="73" t="n">
        <v>300000</v>
      </c>
      <c r="J22" s="73" t="n">
        <v>280035.6</v>
      </c>
      <c r="K22" s="73" t="n">
        <v>87104.2</v>
      </c>
      <c r="L22" s="73" t="n">
        <v>192931.4</v>
      </c>
      <c r="M22" s="74" t="n">
        <v>1.04899643333333</v>
      </c>
      <c r="N22" s="73" t="n">
        <v>139325.8</v>
      </c>
      <c r="O22" s="73" t="n">
        <v>17558.27</v>
      </c>
      <c r="P22" s="73" t="n">
        <v>121767.53</v>
      </c>
      <c r="Q22" s="75" t="n">
        <v>0.05</v>
      </c>
      <c r="R22" s="73" t="n">
        <v>15734.9465</v>
      </c>
      <c r="S22" s="73" t="n">
        <v>100</v>
      </c>
      <c r="T22" s="74" t="n">
        <v>1</v>
      </c>
      <c r="U22" s="73" t="n">
        <v>3000</v>
      </c>
      <c r="V22" s="73" t="n">
        <v>3000</v>
      </c>
      <c r="W22" s="72" t="n"/>
      <c r="X22" s="72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>
      <c r="A23" s="77" t="n">
        <v>45839</v>
      </c>
      <c r="B23" s="72" t="inlineStr">
        <is>
          <t>何达尔罕</t>
        </is>
      </c>
      <c r="C23" s="72" t="inlineStr">
        <is>
          <t>在职研</t>
        </is>
      </c>
      <c r="D23" s="72" t="inlineStr">
        <is>
          <t>在职研项目部</t>
        </is>
      </c>
      <c r="E23" s="72" t="inlineStr">
        <is>
          <t>B级学习顾问</t>
        </is>
      </c>
      <c r="F23" s="73">
        <f>G23+H23</f>
        <v/>
      </c>
      <c r="G23" s="73" t="n">
        <v>2000</v>
      </c>
      <c r="H23" s="73">
        <f>R23</f>
        <v/>
      </c>
      <c r="I23" s="73" t="n">
        <v>100000</v>
      </c>
      <c r="J23" s="73" t="n">
        <v>9650</v>
      </c>
      <c r="K23" s="73" t="n">
        <v>0</v>
      </c>
      <c r="L23" s="73" t="n">
        <v>9650</v>
      </c>
      <c r="M23" s="74" t="n">
        <v>0.21035</v>
      </c>
      <c r="N23" s="73" t="n">
        <v>11385</v>
      </c>
      <c r="O23" s="73" t="n">
        <v>0</v>
      </c>
      <c r="P23" s="73" t="n">
        <v>11385</v>
      </c>
      <c r="Q23" s="75" t="n">
        <v>0</v>
      </c>
      <c r="R23" s="73" t="n">
        <v>0</v>
      </c>
      <c r="S23" s="73" t="n">
        <v>100</v>
      </c>
      <c r="T23" s="74" t="n">
        <v>1</v>
      </c>
      <c r="U23" s="73" t="n">
        <v>2000</v>
      </c>
      <c r="V23" s="73" t="n">
        <v>2000</v>
      </c>
      <c r="W23" s="72" t="n"/>
      <c r="X23" s="72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>
      <c r="A24" s="77" t="n">
        <v>45870</v>
      </c>
      <c r="B24" s="72" t="inlineStr">
        <is>
          <t>杨明</t>
        </is>
      </c>
      <c r="C24" s="72" t="inlineStr">
        <is>
          <t>在职研</t>
        </is>
      </c>
      <c r="D24" s="72" t="inlineStr">
        <is>
          <t>在职研项目部</t>
        </is>
      </c>
      <c r="E24" s="72" t="inlineStr">
        <is>
          <t>B级学习顾问</t>
        </is>
      </c>
      <c r="F24" s="73">
        <f>G24+H24</f>
        <v/>
      </c>
      <c r="G24" s="73" t="n">
        <v>1573.47670250896</v>
      </c>
      <c r="H24" s="73">
        <f>R24</f>
        <v/>
      </c>
      <c r="I24" s="73" t="n">
        <v>210000</v>
      </c>
      <c r="J24" s="73" t="n">
        <v>395298.6</v>
      </c>
      <c r="K24" s="73" t="n">
        <v>5085.75</v>
      </c>
      <c r="L24" s="73" t="n">
        <v>390212.85</v>
      </c>
      <c r="M24" s="74" t="n">
        <v>1.933835</v>
      </c>
      <c r="N24" s="73" t="n">
        <v>15892.5</v>
      </c>
      <c r="O24" s="73" t="n">
        <v>0</v>
      </c>
      <c r="P24" s="73" t="n">
        <v>15892.5</v>
      </c>
      <c r="Q24" s="75" t="n">
        <v>0.065</v>
      </c>
      <c r="R24" s="73" t="n">
        <v>26396.84775</v>
      </c>
      <c r="S24" s="73" t="n">
        <v>78.67383512544799</v>
      </c>
      <c r="T24" s="74" t="n">
        <v>0.78673835125448</v>
      </c>
      <c r="U24" s="73" t="n">
        <v>2000</v>
      </c>
      <c r="V24" s="73" t="n">
        <v>1573.47670250896</v>
      </c>
      <c r="W24" s="72" t="n"/>
      <c r="X24" s="72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>
      <c r="A25" s="77" t="n">
        <v>45870</v>
      </c>
      <c r="B25" s="72" t="inlineStr">
        <is>
          <t>刘津玲</t>
        </is>
      </c>
      <c r="C25" s="72" t="inlineStr">
        <is>
          <t>在职研</t>
        </is>
      </c>
      <c r="D25" s="72" t="inlineStr">
        <is>
          <t>在职研项目部</t>
        </is>
      </c>
      <c r="E25" s="72" t="inlineStr">
        <is>
          <t>A级学习顾问</t>
        </is>
      </c>
      <c r="F25" s="73">
        <f>G25+H25</f>
        <v/>
      </c>
      <c r="G25" s="73" t="n">
        <v>3000</v>
      </c>
      <c r="H25" s="73">
        <f>R25</f>
        <v/>
      </c>
      <c r="I25" s="73" t="n">
        <v>210000</v>
      </c>
      <c r="J25" s="73" t="n">
        <v>389024.9</v>
      </c>
      <c r="K25" s="73" t="n">
        <v>54315</v>
      </c>
      <c r="L25" s="73" t="n">
        <v>334709.9</v>
      </c>
      <c r="M25" s="74" t="n">
        <v>1.95828285714286</v>
      </c>
      <c r="N25" s="73" t="n">
        <v>76529.5</v>
      </c>
      <c r="O25" s="73" t="n">
        <v>0</v>
      </c>
      <c r="P25" s="73" t="n">
        <v>76529.5</v>
      </c>
      <c r="Q25" s="75" t="n">
        <v>0.065</v>
      </c>
      <c r="R25" s="73" t="n">
        <v>26730.561</v>
      </c>
      <c r="S25" s="73" t="n">
        <v>100</v>
      </c>
      <c r="T25" s="74" t="n">
        <v>1</v>
      </c>
      <c r="U25" s="73" t="n">
        <v>3000</v>
      </c>
      <c r="V25" s="73" t="n">
        <v>3000</v>
      </c>
      <c r="W25" s="72" t="n"/>
      <c r="X25" s="72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>
      <c r="A26" s="77" t="n">
        <v>45870</v>
      </c>
      <c r="B26" s="72" t="inlineStr">
        <is>
          <t>周信宇</t>
        </is>
      </c>
      <c r="C26" s="72" t="inlineStr">
        <is>
          <t>在职研</t>
        </is>
      </c>
      <c r="D26" s="72" t="inlineStr">
        <is>
          <t>在职研项目部</t>
        </is>
      </c>
      <c r="E26" s="72" t="inlineStr">
        <is>
          <t>B级学习顾问</t>
        </is>
      </c>
      <c r="F26" s="73">
        <f>G26+H26</f>
        <v/>
      </c>
      <c r="G26" s="73" t="n">
        <v>900</v>
      </c>
      <c r="H26" s="73" t="n">
        <v>0</v>
      </c>
      <c r="I26" s="73" t="inlineStr">
        <is>
          <t>——</t>
        </is>
      </c>
      <c r="J26" s="73" t="inlineStr">
        <is>
          <t>——</t>
        </is>
      </c>
      <c r="K26" s="73" t="inlineStr">
        <is>
          <t>——</t>
        </is>
      </c>
      <c r="L26" s="73" t="inlineStr">
        <is>
          <t>——</t>
        </is>
      </c>
      <c r="M26" s="74" t="inlineStr">
        <is>
          <t>——</t>
        </is>
      </c>
      <c r="N26" s="73" t="inlineStr">
        <is>
          <t>——</t>
        </is>
      </c>
      <c r="O26" s="73" t="inlineStr">
        <is>
          <t>——</t>
        </is>
      </c>
      <c r="P26" s="73" t="inlineStr">
        <is>
          <t>——</t>
        </is>
      </c>
      <c r="Q26" s="75" t="inlineStr">
        <is>
          <t>——</t>
        </is>
      </c>
      <c r="R26" s="73" t="inlineStr">
        <is>
          <t>——</t>
        </is>
      </c>
      <c r="S26" s="73" t="inlineStr">
        <is>
          <t>——</t>
        </is>
      </c>
      <c r="T26" s="74" t="n">
        <v>0.225</v>
      </c>
      <c r="U26" s="73" t="n">
        <v>4000</v>
      </c>
      <c r="V26" s="73" t="n">
        <v>900</v>
      </c>
      <c r="W26" s="72" t="n"/>
      <c r="X26" s="72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>
      <c r="A27" s="77" t="n">
        <v>45901</v>
      </c>
      <c r="B27" s="72" t="inlineStr">
        <is>
          <t>杨明</t>
        </is>
      </c>
      <c r="C27" s="72" t="inlineStr">
        <is>
          <t>在职研</t>
        </is>
      </c>
      <c r="D27" s="72" t="inlineStr">
        <is>
          <t>在职研项目部</t>
        </is>
      </c>
      <c r="E27" s="72" t="inlineStr">
        <is>
          <t>B级学习顾问</t>
        </is>
      </c>
      <c r="F27" s="73">
        <f>G27+H27</f>
        <v/>
      </c>
      <c r="G27" s="73" t="n">
        <v>1700</v>
      </c>
      <c r="H27" s="73">
        <f>R27</f>
        <v/>
      </c>
      <c r="I27" s="73" t="n">
        <v>260000</v>
      </c>
      <c r="J27" s="73" t="n">
        <v>284935</v>
      </c>
      <c r="K27" s="73" t="n">
        <v>36110</v>
      </c>
      <c r="L27" s="73" t="n">
        <v>248825</v>
      </c>
      <c r="M27" s="74" t="n">
        <v>1.00051923076923</v>
      </c>
      <c r="N27" s="73" t="n">
        <v>11310</v>
      </c>
      <c r="O27" s="73" t="n">
        <v>0</v>
      </c>
      <c r="P27" s="73" t="n">
        <v>11310</v>
      </c>
      <c r="Q27" s="75" t="n">
        <v>0.05</v>
      </c>
      <c r="R27" s="73" t="n">
        <v>13006.75</v>
      </c>
      <c r="S27" s="73" t="n">
        <v>85</v>
      </c>
      <c r="T27" s="74" t="n">
        <v>0.85</v>
      </c>
      <c r="U27" s="73" t="n">
        <v>2000</v>
      </c>
      <c r="V27" s="73" t="n">
        <v>1700</v>
      </c>
      <c r="W27" s="72" t="n"/>
      <c r="X27" s="72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>
      <c r="A28" s="77" t="n">
        <v>45901</v>
      </c>
      <c r="B28" s="72" t="inlineStr">
        <is>
          <t>刘津玲</t>
        </is>
      </c>
      <c r="C28" s="72" t="inlineStr">
        <is>
          <t>在职研</t>
        </is>
      </c>
      <c r="D28" s="72" t="inlineStr">
        <is>
          <t>在职研项目部</t>
        </is>
      </c>
      <c r="E28" s="72" t="inlineStr">
        <is>
          <t>A级学习顾问</t>
        </is>
      </c>
      <c r="F28" s="73">
        <f>G28+H28</f>
        <v/>
      </c>
      <c r="G28" s="73" t="n">
        <v>2550</v>
      </c>
      <c r="H28" s="73">
        <f>R28</f>
        <v/>
      </c>
      <c r="I28" s="73" t="n">
        <v>260000</v>
      </c>
      <c r="J28" s="73" t="n">
        <v>324735</v>
      </c>
      <c r="K28" s="73" t="n">
        <v>16680</v>
      </c>
      <c r="L28" s="73" t="n">
        <v>308055</v>
      </c>
      <c r="M28" s="74" t="n">
        <v>1.30785076923077</v>
      </c>
      <c r="N28" s="73" t="n">
        <v>40051</v>
      </c>
      <c r="O28" s="73" t="n">
        <v>8064.8</v>
      </c>
      <c r="P28" s="73" t="n">
        <v>31986.2</v>
      </c>
      <c r="Q28" s="75" t="n">
        <v>0.06</v>
      </c>
      <c r="R28" s="73" t="n">
        <v>20402.472</v>
      </c>
      <c r="S28" s="73" t="n">
        <v>85</v>
      </c>
      <c r="T28" s="74" t="n">
        <v>0.85</v>
      </c>
      <c r="U28" s="73" t="n">
        <v>3000</v>
      </c>
      <c r="V28" s="73" t="n">
        <v>2550</v>
      </c>
      <c r="W28" s="72" t="n"/>
      <c r="X28" s="72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>
      <c r="A29" s="77" t="n">
        <v>45901</v>
      </c>
      <c r="B29" s="72" t="inlineStr">
        <is>
          <t>周信宇</t>
        </is>
      </c>
      <c r="C29" s="72" t="inlineStr">
        <is>
          <t>在职研</t>
        </is>
      </c>
      <c r="D29" s="72" t="inlineStr">
        <is>
          <t>在职研项目部</t>
        </is>
      </c>
      <c r="E29" s="72" t="inlineStr">
        <is>
          <t>B级学习顾问</t>
        </is>
      </c>
      <c r="F29" s="73">
        <f>G29+H29</f>
        <v/>
      </c>
      <c r="G29" s="73" t="n">
        <v>4000</v>
      </c>
      <c r="H29" s="73">
        <f>R29</f>
        <v/>
      </c>
      <c r="I29" s="73" t="n">
        <v>30000</v>
      </c>
      <c r="J29" s="73" t="n">
        <v>8800</v>
      </c>
      <c r="K29" s="73" t="n">
        <v>0</v>
      </c>
      <c r="L29" s="73" t="n">
        <v>8800</v>
      </c>
      <c r="M29" s="74" t="n">
        <v>0.293333333333333</v>
      </c>
      <c r="N29" s="73" t="n">
        <v>0</v>
      </c>
      <c r="O29" s="73" t="n">
        <v>0</v>
      </c>
      <c r="P29" s="73" t="n">
        <v>0</v>
      </c>
      <c r="Q29" s="75" t="n">
        <v>0</v>
      </c>
      <c r="R29" s="73" t="n">
        <v>0</v>
      </c>
      <c r="S29" s="73" t="inlineStr">
        <is>
          <t>——</t>
        </is>
      </c>
      <c r="T29" s="74" t="n">
        <v>1</v>
      </c>
      <c r="U29" s="73" t="n">
        <v>4000</v>
      </c>
      <c r="V29" s="73" t="n">
        <v>4000</v>
      </c>
      <c r="W29" s="72" t="n"/>
      <c r="X29" s="72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>
      <c r="A30" s="77" t="n">
        <v>45931</v>
      </c>
      <c r="B30" s="72" t="inlineStr">
        <is>
          <t>杨明</t>
        </is>
      </c>
      <c r="C30" s="72" t="inlineStr">
        <is>
          <t>在职研</t>
        </is>
      </c>
      <c r="D30" s="72" t="inlineStr">
        <is>
          <t>在职研项目部</t>
        </is>
      </c>
      <c r="E30" s="72" t="inlineStr">
        <is>
          <t>B级学习顾问</t>
        </is>
      </c>
      <c r="F30" s="73">
        <f>G30+H30</f>
        <v/>
      </c>
      <c r="G30" s="73" t="n">
        <v>1580</v>
      </c>
      <c r="H30" s="73">
        <f>R30</f>
        <v/>
      </c>
      <c r="I30" s="73" t="n">
        <v>260000</v>
      </c>
      <c r="J30" s="73" t="n">
        <v>286650</v>
      </c>
      <c r="K30" s="73" t="n">
        <v>48062.5</v>
      </c>
      <c r="L30" s="73" t="n">
        <v>238587.5</v>
      </c>
      <c r="M30" s="74" t="n">
        <v>1.02529807692308</v>
      </c>
      <c r="N30" s="73" t="n">
        <v>27990</v>
      </c>
      <c r="O30" s="73" t="n">
        <v>0</v>
      </c>
      <c r="P30" s="73" t="n">
        <v>27990</v>
      </c>
      <c r="Q30" s="75" t="n">
        <v>0.05</v>
      </c>
      <c r="R30" s="73" t="n">
        <v>13328.875</v>
      </c>
      <c r="S30" s="73" t="n">
        <v>79</v>
      </c>
      <c r="T30" s="74" t="n">
        <v>0.79</v>
      </c>
      <c r="U30" s="73" t="n">
        <v>2000</v>
      </c>
      <c r="V30" s="73" t="n">
        <v>1580</v>
      </c>
      <c r="W30" s="72" t="n"/>
      <c r="X30" s="72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>
      <c r="A31" s="77" t="n">
        <v>45931</v>
      </c>
      <c r="B31" s="72" t="inlineStr">
        <is>
          <t>刘津玲</t>
        </is>
      </c>
      <c r="C31" s="72" t="inlineStr">
        <is>
          <t>在职研</t>
        </is>
      </c>
      <c r="D31" s="72" t="inlineStr">
        <is>
          <t>在职研项目部</t>
        </is>
      </c>
      <c r="E31" s="72" t="inlineStr">
        <is>
          <t>A级学习顾问</t>
        </is>
      </c>
      <c r="F31" s="73">
        <f>G31+H31</f>
        <v/>
      </c>
      <c r="G31" s="73" t="n">
        <v>3000</v>
      </c>
      <c r="H31" s="73">
        <f>R31</f>
        <v/>
      </c>
      <c r="I31" s="73" t="n">
        <v>260000</v>
      </c>
      <c r="J31" s="73" t="n">
        <v>247544</v>
      </c>
      <c r="K31" s="73" t="n">
        <v>39700</v>
      </c>
      <c r="L31" s="73" t="n">
        <v>207844</v>
      </c>
      <c r="M31" s="74" t="n">
        <v>0.918692307692308</v>
      </c>
      <c r="N31" s="73" t="n">
        <v>31016</v>
      </c>
      <c r="O31" s="73" t="n">
        <v>0</v>
      </c>
      <c r="P31" s="73" t="n">
        <v>31016</v>
      </c>
      <c r="Q31" s="75" t="n">
        <v>0.035</v>
      </c>
      <c r="R31" s="73" t="n">
        <v>8360.1</v>
      </c>
      <c r="S31" s="73" t="n">
        <v>97</v>
      </c>
      <c r="T31" s="74" t="n">
        <v>1</v>
      </c>
      <c r="U31" s="73" t="n">
        <v>3000</v>
      </c>
      <c r="V31" s="73" t="n">
        <v>3000</v>
      </c>
      <c r="W31" s="72" t="n"/>
      <c r="X31" s="72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>
      <c r="A32" s="77" t="n">
        <v>45931</v>
      </c>
      <c r="B32" s="72" t="inlineStr">
        <is>
          <t>周信宇</t>
        </is>
      </c>
      <c r="C32" s="72" t="inlineStr">
        <is>
          <t>在职研</t>
        </is>
      </c>
      <c r="D32" s="72" t="inlineStr">
        <is>
          <t>在职研项目部</t>
        </is>
      </c>
      <c r="E32" s="72" t="inlineStr">
        <is>
          <t>B级学习顾问</t>
        </is>
      </c>
      <c r="F32" s="73">
        <f>G32+H32</f>
        <v/>
      </c>
      <c r="G32" s="73" t="n">
        <v>4000</v>
      </c>
      <c r="H32" s="73">
        <f>R32</f>
        <v/>
      </c>
      <c r="I32" s="73" t="n">
        <v>40000</v>
      </c>
      <c r="J32" s="73" t="n">
        <v>32190</v>
      </c>
      <c r="K32" s="73" t="n">
        <v>8800</v>
      </c>
      <c r="L32" s="73" t="n">
        <v>23390</v>
      </c>
      <c r="M32" s="74" t="n">
        <v>0.58475</v>
      </c>
      <c r="N32" s="73" t="n">
        <v>0</v>
      </c>
      <c r="O32" s="73" t="n">
        <v>0</v>
      </c>
      <c r="P32" s="73" t="n">
        <v>0</v>
      </c>
      <c r="Q32" s="75" t="n">
        <v>0.01</v>
      </c>
      <c r="R32" s="73" t="n">
        <v>233.9</v>
      </c>
      <c r="S32" s="73" t="inlineStr">
        <is>
          <t>——</t>
        </is>
      </c>
      <c r="T32" s="74" t="n">
        <v>1</v>
      </c>
      <c r="U32" s="73" t="n">
        <v>4000</v>
      </c>
      <c r="V32" s="73" t="n">
        <v>4000</v>
      </c>
      <c r="W32" s="72" t="n"/>
      <c r="X32" s="72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>
      <c r="A33" s="77" t="n">
        <v>45931</v>
      </c>
      <c r="B33" s="72" t="inlineStr">
        <is>
          <t>王沛贤</t>
        </is>
      </c>
      <c r="C33" s="72" t="inlineStr">
        <is>
          <t>在职研</t>
        </is>
      </c>
      <c r="D33" s="72" t="inlineStr">
        <is>
          <t>在职研项目部</t>
        </is>
      </c>
      <c r="E33" s="72" t="inlineStr">
        <is>
          <t>B级学习顾问</t>
        </is>
      </c>
      <c r="F33" s="73">
        <f>G33+H33</f>
        <v/>
      </c>
      <c r="G33" s="73" t="n">
        <v>1160</v>
      </c>
      <c r="H33" s="73" t="n">
        <v>0</v>
      </c>
      <c r="I33" s="73" t="inlineStr">
        <is>
          <t>——</t>
        </is>
      </c>
      <c r="J33" s="73" t="inlineStr">
        <is>
          <t>——</t>
        </is>
      </c>
      <c r="K33" s="73" t="inlineStr">
        <is>
          <t>——</t>
        </is>
      </c>
      <c r="L33" s="73" t="inlineStr">
        <is>
          <t>——</t>
        </is>
      </c>
      <c r="M33" s="74" t="inlineStr">
        <is>
          <t>——</t>
        </is>
      </c>
      <c r="N33" s="73" t="inlineStr">
        <is>
          <t>——</t>
        </is>
      </c>
      <c r="O33" s="73" t="inlineStr">
        <is>
          <t>——</t>
        </is>
      </c>
      <c r="P33" s="73" t="inlineStr">
        <is>
          <t>——</t>
        </is>
      </c>
      <c r="Q33" s="75" t="inlineStr">
        <is>
          <t>——</t>
        </is>
      </c>
      <c r="R33" s="73" t="inlineStr">
        <is>
          <t>——</t>
        </is>
      </c>
      <c r="S33" s="73" t="inlineStr">
        <is>
          <t>——</t>
        </is>
      </c>
      <c r="T33" s="74" t="n">
        <v>0.29</v>
      </c>
      <c r="U33" s="73" t="n">
        <v>4000</v>
      </c>
      <c r="V33" s="73" t="n">
        <v>1160</v>
      </c>
      <c r="W33" s="72" t="n"/>
      <c r="X33" s="72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>
      <c r="A34" s="77" t="n">
        <v>45962</v>
      </c>
      <c r="B34" s="72" t="inlineStr">
        <is>
          <t>杨明</t>
        </is>
      </c>
      <c r="C34" s="72" t="inlineStr">
        <is>
          <t>在职研</t>
        </is>
      </c>
      <c r="D34" s="72" t="inlineStr">
        <is>
          <t>在职研项目部</t>
        </is>
      </c>
      <c r="E34" s="72" t="inlineStr">
        <is>
          <t>B级学习顾问</t>
        </is>
      </c>
      <c r="F34" s="73">
        <f>G34+H34</f>
        <v/>
      </c>
      <c r="G34" s="73" t="n">
        <v>2000</v>
      </c>
      <c r="H34" s="73">
        <f>R34</f>
        <v/>
      </c>
      <c r="I34" s="73" t="n">
        <v>300000</v>
      </c>
      <c r="J34" s="73" t="n">
        <v>157100</v>
      </c>
      <c r="K34" s="73" t="n">
        <v>55570</v>
      </c>
      <c r="L34" s="73" t="n">
        <v>101530</v>
      </c>
      <c r="M34" s="74" t="n">
        <v>0.530519</v>
      </c>
      <c r="N34" s="73" t="n">
        <v>57625.7</v>
      </c>
      <c r="O34" s="73" t="n">
        <v>0</v>
      </c>
      <c r="P34" s="73" t="n">
        <v>57625.7</v>
      </c>
      <c r="Q34" s="75" t="n">
        <v>0.02</v>
      </c>
      <c r="R34" s="73" t="n">
        <v>3183.114</v>
      </c>
      <c r="S34" s="73" t="n">
        <v>100</v>
      </c>
      <c r="T34" s="74" t="n">
        <v>1</v>
      </c>
      <c r="U34" s="73" t="n">
        <v>2000</v>
      </c>
      <c r="V34" s="73" t="n">
        <v>2000</v>
      </c>
      <c r="W34" s="72" t="n"/>
      <c r="X34" s="72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>
      <c r="A35" s="77" t="n">
        <v>45962</v>
      </c>
      <c r="B35" s="72" t="inlineStr">
        <is>
          <t>刘津玲</t>
        </is>
      </c>
      <c r="C35" s="72" t="inlineStr">
        <is>
          <t>在职研</t>
        </is>
      </c>
      <c r="D35" s="72" t="inlineStr">
        <is>
          <t>在职研项目部</t>
        </is>
      </c>
      <c r="E35" s="72" t="inlineStr">
        <is>
          <t>A级学习顾问</t>
        </is>
      </c>
      <c r="F35" s="73">
        <f>G35+H35</f>
        <v/>
      </c>
      <c r="G35" s="73" t="n">
        <v>3000</v>
      </c>
      <c r="H35" s="73">
        <f>R35</f>
        <v/>
      </c>
      <c r="I35" s="73" t="n">
        <v>300000</v>
      </c>
      <c r="J35" s="73" t="n">
        <v>246900</v>
      </c>
      <c r="K35" s="73" t="n">
        <v>15517</v>
      </c>
      <c r="L35" s="73" t="n">
        <v>231383</v>
      </c>
      <c r="M35" s="74" t="n">
        <v>1.111013</v>
      </c>
      <c r="N35" s="73" t="n">
        <v>113751.9</v>
      </c>
      <c r="O35" s="73" t="n">
        <v>11831</v>
      </c>
      <c r="P35" s="73" t="n">
        <v>101920.9</v>
      </c>
      <c r="Q35" s="75" t="n">
        <v>0.05</v>
      </c>
      <c r="R35" s="73" t="n">
        <v>16665.195</v>
      </c>
      <c r="S35" s="73" t="n">
        <v>94</v>
      </c>
      <c r="T35" s="74" t="n">
        <v>1</v>
      </c>
      <c r="U35" s="73" t="n">
        <v>3000</v>
      </c>
      <c r="V35" s="73" t="n">
        <v>3000</v>
      </c>
      <c r="W35" s="72" t="n"/>
      <c r="X35" s="72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>
      <c r="A36" s="77" t="n">
        <v>45962</v>
      </c>
      <c r="B36" s="72" t="inlineStr">
        <is>
          <t>周信宇</t>
        </is>
      </c>
      <c r="C36" s="72" t="inlineStr">
        <is>
          <t>在职研</t>
        </is>
      </c>
      <c r="D36" s="72" t="inlineStr">
        <is>
          <t>在职研项目部</t>
        </is>
      </c>
      <c r="E36" s="72" t="inlineStr">
        <is>
          <t>B级学习顾问</t>
        </is>
      </c>
      <c r="F36" s="73">
        <f>G36+H36</f>
        <v/>
      </c>
      <c r="G36" s="73" t="n">
        <v>3332</v>
      </c>
      <c r="H36" s="73">
        <f>R36</f>
        <v/>
      </c>
      <c r="I36" s="73" t="n">
        <v>50000</v>
      </c>
      <c r="J36" s="73" t="n">
        <v>0</v>
      </c>
      <c r="K36" s="73" t="n">
        <v>0</v>
      </c>
      <c r="L36" s="73" t="n">
        <v>0</v>
      </c>
      <c r="M36" s="74" t="n">
        <v>-0.3648</v>
      </c>
      <c r="N36" s="73" t="n">
        <v>0</v>
      </c>
      <c r="O36" s="73" t="n">
        <v>18240</v>
      </c>
      <c r="P36" s="73" t="n">
        <v>-18240</v>
      </c>
      <c r="Q36" s="75" t="n">
        <v>0</v>
      </c>
      <c r="R36" s="73" t="n">
        <v>0</v>
      </c>
      <c r="S36" s="73" t="inlineStr">
        <is>
          <t>——</t>
        </is>
      </c>
      <c r="T36" s="74" t="n">
        <v>0.833</v>
      </c>
      <c r="U36" s="73" t="n">
        <v>4000</v>
      </c>
      <c r="V36" s="73" t="n">
        <v>3332</v>
      </c>
      <c r="W36" s="72" t="n"/>
      <c r="X36" s="72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>
      <c r="A37" s="77" t="n">
        <v>45962</v>
      </c>
      <c r="B37" s="72" t="inlineStr">
        <is>
          <t>王沛贤</t>
        </is>
      </c>
      <c r="C37" s="72" t="inlineStr">
        <is>
          <t>在职研</t>
        </is>
      </c>
      <c r="D37" s="72" t="inlineStr">
        <is>
          <t>在职研项目部</t>
        </is>
      </c>
      <c r="E37" s="72" t="inlineStr">
        <is>
          <t>B级学习顾问</t>
        </is>
      </c>
      <c r="F37" s="73">
        <f>G37+H37</f>
        <v/>
      </c>
      <c r="G37" s="73" t="n">
        <v>4000</v>
      </c>
      <c r="H37" s="73" t="n">
        <v>0</v>
      </c>
      <c r="I37" s="73" t="inlineStr">
        <is>
          <t>——</t>
        </is>
      </c>
      <c r="J37" s="73" t="inlineStr">
        <is>
          <t>——</t>
        </is>
      </c>
      <c r="K37" s="73" t="inlineStr">
        <is>
          <t>——</t>
        </is>
      </c>
      <c r="L37" s="73" t="inlineStr">
        <is>
          <t>——</t>
        </is>
      </c>
      <c r="M37" s="74" t="inlineStr">
        <is>
          <t>——</t>
        </is>
      </c>
      <c r="N37" s="73" t="inlineStr">
        <is>
          <t>——</t>
        </is>
      </c>
      <c r="O37" s="73" t="inlineStr">
        <is>
          <t>——</t>
        </is>
      </c>
      <c r="P37" s="73" t="inlineStr">
        <is>
          <t>——</t>
        </is>
      </c>
      <c r="Q37" s="75" t="inlineStr">
        <is>
          <t>——</t>
        </is>
      </c>
      <c r="R37" s="73" t="inlineStr">
        <is>
          <t>——</t>
        </is>
      </c>
      <c r="S37" s="73" t="inlineStr">
        <is>
          <t>——</t>
        </is>
      </c>
      <c r="T37" s="74" t="n">
        <v>1</v>
      </c>
      <c r="U37" s="73" t="n">
        <v>4000</v>
      </c>
      <c r="V37" s="73" t="n">
        <v>4000</v>
      </c>
      <c r="W37" s="72" t="n"/>
      <c r="X37" s="72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新签提成</t>
        </is>
      </c>
      <c r="H1" s="66" t="inlineStr">
        <is>
          <t>续费提成</t>
        </is>
      </c>
      <c r="I1" s="66" t="inlineStr">
        <is>
          <t>月度绩效</t>
        </is>
      </c>
      <c r="J1" s="64" t="inlineStr">
        <is>
          <t>新签提成</t>
        </is>
      </c>
      <c r="K1" s="58" t="n"/>
      <c r="L1" s="58" t="n"/>
      <c r="M1" s="58" t="n"/>
      <c r="N1" s="58" t="n"/>
      <c r="O1" s="58" t="n"/>
      <c r="P1" s="59" t="n"/>
      <c r="Q1" s="76" t="inlineStr">
        <is>
          <t>续费提成</t>
        </is>
      </c>
      <c r="R1" s="58" t="n"/>
      <c r="S1" s="58" t="n"/>
      <c r="T1" s="58" t="n"/>
      <c r="U1" s="58" t="n"/>
      <c r="V1" s="59" t="n"/>
      <c r="W1" s="68" t="inlineStr">
        <is>
          <t>月度绩效</t>
        </is>
      </c>
      <c r="X1" s="59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2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2026-07-02T03:09:27Z</dcterms:modified>
  <cp:lastModifiedBy>依琳 李</cp:lastModifiedBy>
</cp:coreProperties>
</file>