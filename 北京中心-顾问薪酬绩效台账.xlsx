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4" autoFilterDateGrouping="1"/>
  </bookViews>
  <sheets>
    <sheet xmlns:r="http://schemas.openxmlformats.org/officeDocument/2006/relationships" name="集训营" sheetId="1" state="visible" r:id="rId1"/>
    <sheet xmlns:r="http://schemas.openxmlformats.org/officeDocument/2006/relationships" name="走读" sheetId="2" state="visible" r:id="rId2"/>
    <sheet xmlns:r="http://schemas.openxmlformats.org/officeDocument/2006/relationships" name="四六级" sheetId="3" state="visible" r:id="rId3"/>
    <sheet xmlns:r="http://schemas.openxmlformats.org/officeDocument/2006/relationships" name="个性化" sheetId="4" state="visible" r:id="rId4"/>
    <sheet xmlns:r="http://schemas.openxmlformats.org/officeDocument/2006/relationships" name="在职研" sheetId="5" state="visible" r:id="rId5"/>
    <sheet xmlns:r="http://schemas.openxmlformats.org/officeDocument/2006/relationships" name="英学" sheetId="6" state="visible" r:id="rId6"/>
  </sheets>
  <externalReferences>
    <externalReference xmlns:r="http://schemas.openxmlformats.org/officeDocument/2006/relationships" r:id="rId7"/>
    <externalReference xmlns:r="http://schemas.openxmlformats.org/officeDocument/2006/relationships" r:id="rId8"/>
  </externalReferences>
  <definedNames>
    <definedName name="_xlnm._FilterDatabase" localSheetId="0" hidden="1">'集训营'!$A$2:$AA$145</definedName>
    <definedName name="_xlnm._FilterDatabase" localSheetId="1" hidden="1">'走读'!$A$2:$AA$134</definedName>
    <definedName name="_xlnm._FilterDatabase" localSheetId="3" hidden="1">'个性化'!$I$1:$P$5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8">
    <font>
      <name val="Calibri"/>
      <family val="2"/>
      <color theme="1"/>
      <sz val="11"/>
      <scheme val="minor"/>
    </font>
    <font>
      <name val="等线"/>
      <b val="1"/>
      <color rgb="FFFFFFFF"/>
      <sz val="12"/>
    </font>
    <font>
      <name val="等线"/>
      <sz val="12"/>
    </font>
    <font>
      <name val="Calibri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sz val="11"/>
    </font>
    <font>
      <name val="Calibri"/>
      <family val="2"/>
      <sz val="11"/>
    </font>
    <font>
      <name val="Calibri"/>
      <family val="2"/>
      <sz val="11"/>
    </font>
  </fonts>
  <fills count="8">
    <fill>
      <patternFill/>
    </fill>
    <fill>
      <patternFill patternType="gray125"/>
    </fill>
    <fill>
      <patternFill patternType="solid">
        <fgColor rgb="FF008C7A"/>
        <bgColor rgb="FF008C7A"/>
      </patternFill>
    </fill>
    <fill>
      <patternFill patternType="solid">
        <fgColor rgb="FF9CC2E5"/>
        <bgColor rgb="FF9CC2E5"/>
      </patternFill>
    </fill>
    <fill>
      <patternFill patternType="solid">
        <fgColor rgb="FF385623"/>
        <bgColor rgb="FF385623"/>
      </patternFill>
    </fill>
    <fill>
      <patternFill patternType="solid">
        <fgColor rgb="FF1E4E79"/>
        <bgColor rgb="FF1E4E79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rgb="FF385623"/>
      </patternFill>
    </fill>
  </fills>
  <borders count="1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3">
    <xf numFmtId="0" fontId="3" fillId="0" borderId="11"/>
    <xf numFmtId="0" fontId="3" fillId="0" borderId="11"/>
    <xf numFmtId="9" fontId="3" fillId="0" borderId="11"/>
  </cellStyleXfs>
  <cellXfs count="78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" fontId="2" fillId="0" borderId="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center" vertical="center" wrapText="1"/>
    </xf>
    <xf numFmtId="10" fontId="2" fillId="0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164" fontId="2" fillId="6" borderId="0" applyAlignment="1" pivotButton="0" quotePrefix="0" xfId="0">
      <alignment horizontal="center" vertical="center" wrapText="1"/>
    </xf>
    <xf numFmtId="4" fontId="2" fillId="6" borderId="0" applyAlignment="1" pivotButton="0" quotePrefix="0" xfId="0">
      <alignment horizontal="center" vertical="center" wrapText="1"/>
    </xf>
    <xf numFmtId="10" fontId="2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1" fillId="4" borderId="4" applyAlignment="1" pivotButton="0" quotePrefix="0" xfId="0">
      <alignment horizontal="center" vertical="center" wrapText="1"/>
    </xf>
    <xf numFmtId="0" fontId="0" fillId="4" borderId="4" pivotButton="0" quotePrefix="0" xfId="0"/>
    <xf numFmtId="0" fontId="1" fillId="5" borderId="4" applyAlignment="1" pivotButton="0" quotePrefix="0" xfId="0">
      <alignment horizontal="center" vertical="center" wrapText="1"/>
    </xf>
    <xf numFmtId="0" fontId="4" fillId="0" borderId="3" pivotButton="0" quotePrefix="0" xfId="0"/>
    <xf numFmtId="0" fontId="4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4" fontId="2" fillId="0" borderId="4" applyAlignment="1" pivotButton="0" quotePrefix="0" xfId="0">
      <alignment horizontal="center" vertical="center" wrapText="1"/>
    </xf>
    <xf numFmtId="10" fontId="2" fillId="0" borderId="4" applyAlignment="1" pivotButton="0" quotePrefix="0" xfId="0">
      <alignment horizontal="center" vertical="center" wrapText="1"/>
    </xf>
    <xf numFmtId="9" fontId="0" fillId="4" borderId="4" pivotButton="0" quotePrefix="0" xfId="2"/>
    <xf numFmtId="9" fontId="1" fillId="4" borderId="4" applyAlignment="1" pivotButton="0" quotePrefix="0" xfId="2">
      <alignment horizontal="center" vertical="center" wrapText="1"/>
    </xf>
    <xf numFmtId="9" fontId="2" fillId="0" borderId="4" applyAlignment="1" pivotButton="0" quotePrefix="0" xfId="2">
      <alignment horizontal="center" vertical="center" wrapText="1"/>
    </xf>
    <xf numFmtId="9" fontId="4" fillId="0" borderId="3" pivotButton="0" quotePrefix="0" xfId="2"/>
    <xf numFmtId="9" fontId="0" fillId="0" borderId="0" pivotButton="0" quotePrefix="0" xfId="2"/>
    <xf numFmtId="0" fontId="1" fillId="4" borderId="6" applyAlignment="1" pivotButton="0" quotePrefix="0" xfId="0">
      <alignment horizontal="center" vertical="center" wrapText="1"/>
    </xf>
    <xf numFmtId="0" fontId="1" fillId="5" borderId="6" applyAlignment="1" pivotButton="0" quotePrefix="0" xfId="0">
      <alignment horizontal="center" vertical="center" wrapText="1"/>
    </xf>
    <xf numFmtId="0" fontId="5" fillId="0" borderId="5" pivotButton="0" quotePrefix="0" xfId="0"/>
    <xf numFmtId="0" fontId="5" fillId="0" borderId="5" applyAlignment="1" pivotButton="0" quotePrefix="0" xfId="0">
      <alignment horizontal="center" vertical="center" wrapText="1"/>
    </xf>
    <xf numFmtId="164" fontId="2" fillId="0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4" fontId="2" fillId="0" borderId="6" applyAlignment="1" pivotButton="0" quotePrefix="0" xfId="0">
      <alignment horizontal="center" vertical="center" wrapText="1"/>
    </xf>
    <xf numFmtId="10" fontId="2" fillId="0" borderId="6" applyAlignment="1" pivotButton="0" quotePrefix="0" xfId="0">
      <alignment horizontal="center" vertical="center" wrapText="1"/>
    </xf>
    <xf numFmtId="0" fontId="1" fillId="7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1" fillId="5" borderId="8" applyAlignment="1" pivotButton="0" quotePrefix="0" xfId="0">
      <alignment horizontal="center" vertical="center" wrapText="1"/>
    </xf>
    <xf numFmtId="0" fontId="6" fillId="0" borderId="7" pivotButton="0" quotePrefix="0" xfId="0"/>
    <xf numFmtId="0" fontId="6" fillId="0" borderId="7" applyAlignment="1" pivotButton="0" quotePrefix="0" xfId="0">
      <alignment horizontal="center" vertical="center" wrapText="1"/>
    </xf>
    <xf numFmtId="164" fontId="2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4" fontId="2" fillId="0" borderId="8" applyAlignment="1" pivotButton="0" quotePrefix="0" xfId="0">
      <alignment horizontal="center" vertical="center" wrapText="1"/>
    </xf>
    <xf numFmtId="10" fontId="2" fillId="0" borderId="8" applyAlignment="1" pivotButton="0" quotePrefix="0" xfId="0">
      <alignment horizontal="center" vertical="center" wrapText="1"/>
    </xf>
    <xf numFmtId="164" fontId="6" fillId="0" borderId="7" applyAlignment="1" pivotButton="0" quotePrefix="0" xfId="0">
      <alignment horizontal="center" vertical="center" wrapText="1"/>
    </xf>
    <xf numFmtId="4" fontId="6" fillId="0" borderId="7" applyAlignment="1" pivotButton="0" quotePrefix="0" xfId="0">
      <alignment horizontal="center" vertical="center" wrapText="1"/>
    </xf>
    <xf numFmtId="10" fontId="6" fillId="0" borderId="7" applyAlignment="1" pivotButton="0" quotePrefix="0" xfId="0">
      <alignment horizontal="center" vertical="center" wrapText="1"/>
    </xf>
    <xf numFmtId="0" fontId="0" fillId="0" borderId="7" pivotButton="0" quotePrefix="0" xfId="0"/>
    <xf numFmtId="2" fontId="2" fillId="0" borderId="8" applyAlignment="1" pivotButton="0" quotePrefix="0" xfId="0">
      <alignment horizontal="center" vertical="center" wrapText="1"/>
    </xf>
    <xf numFmtId="2" fontId="6" fillId="0" borderId="7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1" fillId="5" borderId="12" applyAlignment="1" pivotButton="0" quotePrefix="0" xfId="0">
      <alignment horizontal="center" vertical="center" wrapText="1"/>
    </xf>
    <xf numFmtId="0" fontId="7" fillId="0" borderId="11" pivotButton="0" quotePrefix="0" xfId="0"/>
    <xf numFmtId="0" fontId="7" fillId="0" borderId="11" applyAlignment="1" pivotButton="0" quotePrefix="0" xfId="0">
      <alignment horizontal="center" vertical="center" wrapText="1"/>
    </xf>
    <xf numFmtId="164" fontId="2" fillId="0" borderId="12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4" fontId="2" fillId="0" borderId="12" applyAlignment="1" pivotButton="0" quotePrefix="0" xfId="0">
      <alignment horizontal="center" vertical="center" wrapText="1"/>
    </xf>
    <xf numFmtId="10" fontId="2" fillId="0" borderId="12" applyAlignment="1" pivotButton="0" quotePrefix="0" xfId="0">
      <alignment horizontal="center" vertical="center" wrapText="1"/>
    </xf>
    <xf numFmtId="0" fontId="1" fillId="5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1" fillId="4" borderId="8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3" borderId="8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0" fillId="4" borderId="12" pivotButton="0" quotePrefix="0" xfId="0"/>
    <xf numFmtId="0" fontId="1" fillId="3" borderId="12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1" fillId="5" borderId="12" applyAlignment="1" pivotButton="0" quotePrefix="0" xfId="0">
      <alignment horizontal="center" vertical="center" wrapText="1"/>
    </xf>
    <xf numFmtId="0" fontId="0" fillId="5" borderId="12" pivotButton="0" quotePrefix="0" xfId="0"/>
    <xf numFmtId="0" fontId="1" fillId="7" borderId="8" applyAlignment="1" pivotButton="0" quotePrefix="0" xfId="0">
      <alignment horizontal="center" vertical="center" wrapText="1"/>
    </xf>
    <xf numFmtId="165" fontId="2" fillId="0" borderId="17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4" fontId="2" fillId="0" borderId="17" applyAlignment="1" pivotButton="0" quotePrefix="0" xfId="0">
      <alignment horizontal="center" vertical="center" wrapText="1"/>
    </xf>
    <xf numFmtId="10" fontId="2" fillId="0" borderId="17" applyAlignment="1" pivotButton="0" quotePrefix="0" xfId="0">
      <alignment horizontal="center" vertical="center" wrapText="1"/>
    </xf>
    <xf numFmtId="10" fontId="2" fillId="0" borderId="17" applyAlignment="1" pivotButton="0" quotePrefix="0" xfId="2">
      <alignment horizontal="center" vertical="center" wrapText="1"/>
    </xf>
    <xf numFmtId="0" fontId="1" fillId="7" borderId="12" applyAlignment="1" pivotButton="0" quotePrefix="0" xfId="0">
      <alignment horizontal="center" vertical="center" wrapText="1"/>
    </xf>
    <xf numFmtId="165" fontId="2" fillId="0" borderId="17" applyAlignment="1" pivotButton="0" quotePrefix="0" xfId="0">
      <alignment horizontal="center" vertical="center" wrapText="1"/>
    </xf>
  </cellXfs>
  <cellStyles count="3">
    <cellStyle name="Normal" xfId="0" builtinId="0"/>
    <cellStyle name="常规 2" xfId="1"/>
    <cellStyle name="Percent" xfId="2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externalLink" Target="/xl/externalLinks/externalLink1.xml" Id="rId7"/><Relationship Type="http://schemas.openxmlformats.org/officeDocument/2006/relationships/externalLink" Target="/xl/externalLinks/externalLink2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顾问业绩奖金及绩效"/>
      <sheetName val="业绩奖金"/>
      <sheetName val="顾问签约明细"/>
      <sheetName val="顾问绩效"/>
      <sheetName val="pk奖金"/>
      <sheetName val="退费数据"/>
      <sheetName val="8月老带新"/>
      <sheetName val="个性化pk"/>
      <sheetName val="四六级pk"/>
    </sheetNames>
    <sheetDataSet>
      <sheetData sheetId="0">
        <row r="18">
          <cell r="B18" t="str">
            <v>苏乾楠</v>
          </cell>
          <cell r="AM18">
            <v>0.04</v>
          </cell>
          <cell r="AN18">
            <v>29750.511999999999</v>
          </cell>
        </row>
        <row r="19">
          <cell r="B19" t="str">
            <v>高龙明</v>
          </cell>
          <cell r="AM19">
            <v>0.05</v>
          </cell>
          <cell r="AN19">
            <v>42390.597500000003</v>
          </cell>
        </row>
        <row r="20">
          <cell r="B20" t="str">
            <v>陈露</v>
          </cell>
          <cell r="AM20">
            <v>8.0000000000000002E-3</v>
          </cell>
          <cell r="AN20">
            <v>3060.7719999999999</v>
          </cell>
        </row>
        <row r="21">
          <cell r="B21" t="str">
            <v>小组合计</v>
          </cell>
        </row>
        <row r="22">
          <cell r="B22" t="str">
            <v>钱雪冰</v>
          </cell>
          <cell r="AM22">
            <v>0.05</v>
          </cell>
          <cell r="AN22">
            <v>40625.595000000001</v>
          </cell>
        </row>
        <row r="23">
          <cell r="B23" t="str">
            <v>张乐</v>
          </cell>
          <cell r="AM23">
            <v>0</v>
          </cell>
          <cell r="AN23">
            <v>0</v>
          </cell>
        </row>
        <row r="24">
          <cell r="B24" t="str">
            <v>刘创</v>
          </cell>
          <cell r="AM24">
            <v>0.05</v>
          </cell>
          <cell r="AN24">
            <v>44624.745000000003</v>
          </cell>
        </row>
        <row r="25">
          <cell r="B25" t="str">
            <v>王钦</v>
          </cell>
          <cell r="AM25">
            <v>0.03</v>
          </cell>
          <cell r="AN25">
            <v>13066.089</v>
          </cell>
        </row>
        <row r="26">
          <cell r="B26" t="str">
            <v>小组合计</v>
          </cell>
        </row>
        <row r="27">
          <cell r="B27" t="str">
            <v>张俊旺</v>
          </cell>
          <cell r="AM27">
            <v>0.04</v>
          </cell>
          <cell r="AN27">
            <v>28862.133999999998</v>
          </cell>
        </row>
        <row r="28">
          <cell r="B28" t="str">
            <v>杨晓超</v>
          </cell>
          <cell r="AM28">
            <v>0.05</v>
          </cell>
          <cell r="AN28">
            <v>40689.678500000002</v>
          </cell>
        </row>
      </sheetData>
      <sheetData sheetId="1"/>
      <sheetData sheetId="2"/>
      <sheetData sheetId="3"/>
      <sheetData sheetId="4"/>
      <sheetData sheetId="5"/>
      <sheetData sheetId="6">
        <row r="15">
          <cell r="B15" t="str">
            <v>苏乾楠</v>
          </cell>
          <cell r="N15">
            <v>35000</v>
          </cell>
          <cell r="O15">
            <v>87176.8</v>
          </cell>
        </row>
        <row r="16">
          <cell r="B16" t="str">
            <v>杨晓超</v>
          </cell>
          <cell r="N16">
            <v>35000</v>
          </cell>
          <cell r="O16">
            <v>96909.8</v>
          </cell>
        </row>
        <row r="17">
          <cell r="B17" t="str">
            <v>钱雪冰</v>
          </cell>
          <cell r="N17">
            <v>35000</v>
          </cell>
          <cell r="O17">
            <v>18388.8</v>
          </cell>
        </row>
        <row r="18">
          <cell r="B18" t="str">
            <v>张乐</v>
          </cell>
          <cell r="N18">
            <v>35000</v>
          </cell>
          <cell r="O18">
            <v>135400</v>
          </cell>
        </row>
        <row r="19">
          <cell r="B19" t="str">
            <v>陈露</v>
          </cell>
          <cell r="N19">
            <v>35000</v>
          </cell>
          <cell r="O19">
            <v>0</v>
          </cell>
        </row>
        <row r="20">
          <cell r="B20" t="str">
            <v>刘创</v>
          </cell>
          <cell r="N20">
            <v>35000</v>
          </cell>
          <cell r="O20">
            <v>80301.899999999994</v>
          </cell>
        </row>
        <row r="21">
          <cell r="B21" t="str">
            <v>高龙明</v>
          </cell>
          <cell r="N21">
            <v>35000</v>
          </cell>
          <cell r="O21">
            <v>100803</v>
          </cell>
        </row>
        <row r="22">
          <cell r="B22" t="str">
            <v>张俊旺</v>
          </cell>
          <cell r="N22">
            <v>35000</v>
          </cell>
          <cell r="O22">
            <v>0</v>
          </cell>
        </row>
        <row r="23">
          <cell r="B23" t="str">
            <v>王钦</v>
          </cell>
          <cell r="N23">
            <v>18000</v>
          </cell>
          <cell r="O23">
            <v>6130</v>
          </cell>
        </row>
      </sheetData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顾问业绩奖金及绩效"/>
      <sheetName val="业绩奖金"/>
      <sheetName val="顾问签约明细"/>
      <sheetName val="顾问绩效"/>
      <sheetName val="pk奖金"/>
      <sheetName val="退费数据"/>
      <sheetName val="2+3月老带新"/>
      <sheetName val="组长月度绩效"/>
      <sheetName val="组长季度绩效"/>
      <sheetName val="Sheet1"/>
    </sheetNames>
    <sheetDataSet>
      <sheetData sheetId="0"/>
      <sheetData sheetId="1"/>
      <sheetData sheetId="2"/>
      <sheetData sheetId="3">
        <row r="3">
          <cell r="B3" t="str">
            <v>苏乾楠</v>
          </cell>
          <cell r="T3">
            <v>100</v>
          </cell>
          <cell r="U3">
            <v>1</v>
          </cell>
          <cell r="V3">
            <v>4000</v>
          </cell>
          <cell r="W3">
            <v>4000</v>
          </cell>
        </row>
        <row r="4">
          <cell r="B4" t="str">
            <v>杨晓超</v>
          </cell>
          <cell r="T4">
            <v>100</v>
          </cell>
          <cell r="U4">
            <v>1</v>
          </cell>
          <cell r="V4">
            <v>4000</v>
          </cell>
          <cell r="W4">
            <v>4000</v>
          </cell>
        </row>
        <row r="5">
          <cell r="B5" t="str">
            <v>张俊旺</v>
          </cell>
          <cell r="T5">
            <v>81.794871794871796</v>
          </cell>
          <cell r="U5">
            <v>0.81794871794871804</v>
          </cell>
          <cell r="V5">
            <v>2000</v>
          </cell>
          <cell r="W5">
            <v>1635.8974358974399</v>
          </cell>
        </row>
        <row r="6">
          <cell r="B6" t="str">
            <v>张乐</v>
          </cell>
          <cell r="T6">
            <v>96.955208333333303</v>
          </cell>
          <cell r="U6">
            <v>1</v>
          </cell>
          <cell r="V6">
            <v>4000</v>
          </cell>
          <cell r="W6">
            <v>4000</v>
          </cell>
        </row>
        <row r="7">
          <cell r="B7" t="str">
            <v>徐铁</v>
          </cell>
          <cell r="T7">
            <v>100</v>
          </cell>
          <cell r="U7">
            <v>1</v>
          </cell>
          <cell r="V7">
            <v>4000</v>
          </cell>
          <cell r="W7">
            <v>4000</v>
          </cell>
        </row>
        <row r="8">
          <cell r="B8" t="str">
            <v>刘创</v>
          </cell>
          <cell r="T8">
            <v>50</v>
          </cell>
          <cell r="U8">
            <v>0</v>
          </cell>
          <cell r="V8">
            <v>4000</v>
          </cell>
          <cell r="W8">
            <v>0</v>
          </cell>
        </row>
        <row r="9">
          <cell r="B9" t="str">
            <v>高龙明</v>
          </cell>
          <cell r="T9">
            <v>85.853333333333296</v>
          </cell>
          <cell r="U9">
            <v>0.92</v>
          </cell>
          <cell r="V9">
            <v>2000</v>
          </cell>
          <cell r="W9">
            <v>1840</v>
          </cell>
        </row>
        <row r="10">
          <cell r="B10" t="str">
            <v>王钦</v>
          </cell>
          <cell r="T10">
            <v>89.047916666666694</v>
          </cell>
          <cell r="U10">
            <v>0.98</v>
          </cell>
          <cell r="V10">
            <v>4000</v>
          </cell>
          <cell r="W10">
            <v>3920</v>
          </cell>
        </row>
        <row r="11">
          <cell r="B11" t="str">
            <v>鲁子寒</v>
          </cell>
          <cell r="T11">
            <v>66.866666666666703</v>
          </cell>
          <cell r="U11">
            <v>0</v>
          </cell>
          <cell r="V11">
            <v>4000</v>
          </cell>
          <cell r="W11">
            <v>0</v>
          </cell>
        </row>
        <row r="12">
          <cell r="B12" t="str">
            <v>张恒磊</v>
          </cell>
          <cell r="T12">
            <v>100</v>
          </cell>
          <cell r="U12">
            <v>1</v>
          </cell>
          <cell r="V12">
            <v>4000</v>
          </cell>
          <cell r="W12">
            <v>4000</v>
          </cell>
        </row>
        <row r="13">
          <cell r="B13" t="str">
            <v>王鹤琛</v>
          </cell>
          <cell r="T13">
            <v>100</v>
          </cell>
          <cell r="U13">
            <v>1</v>
          </cell>
          <cell r="V13">
            <v>4000</v>
          </cell>
          <cell r="W13">
            <v>4000</v>
          </cell>
        </row>
      </sheetData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5"/>
  <sheetViews>
    <sheetView zoomScale="147" workbookViewId="0">
      <pane xSplit="5" ySplit="2" topLeftCell="Q133" activePane="bottomRight" state="frozen"/>
      <selection pane="topRight" activeCell="A1" sqref="A1"/>
      <selection pane="bottomLeft" activeCell="A1" sqref="A1"/>
      <selection pane="bottomRight" activeCell="C135" sqref="C135"/>
    </sheetView>
  </sheetViews>
  <sheetFormatPr baseColWidth="8" defaultRowHeight="14.25"/>
  <cols>
    <col width="20.53125" customWidth="1" min="1" max="1"/>
    <col width="14" customWidth="1" min="2" max="2"/>
    <col width="11" customWidth="1" min="3" max="3"/>
    <col width="24" customWidth="1" min="4" max="4"/>
    <col width="22" customWidth="1" min="5" max="5"/>
    <col width="12" customWidth="1" min="6" max="8"/>
    <col width="13" customWidth="1" min="9" max="12"/>
    <col width="17.1328125" customWidth="1" min="13" max="13"/>
    <col width="13" customWidth="1" min="14" max="14"/>
    <col width="15" customWidth="1" min="15" max="15"/>
    <col width="13" customWidth="1" min="16" max="20"/>
    <col width="15.796875" customWidth="1" min="21" max="21"/>
    <col width="10.1328125" customWidth="1" min="22" max="22"/>
    <col width="12" customWidth="1" min="23" max="23"/>
    <col width="10" customWidth="1" min="24" max="25"/>
    <col width="15.19921875" customWidth="1" min="26" max="26"/>
    <col width="12" customWidth="1" min="27" max="27"/>
  </cols>
  <sheetData>
    <row r="1" ht="27" customHeight="1">
      <c r="A1" s="67" t="inlineStr">
        <is>
          <t>年月（自然月）</t>
        </is>
      </c>
      <c r="B1" s="67" t="inlineStr">
        <is>
          <t>顾问姓名</t>
        </is>
      </c>
      <c r="C1" s="67" t="inlineStr">
        <is>
          <t>二级部门</t>
        </is>
      </c>
      <c r="D1" s="67" t="inlineStr">
        <is>
          <t>三级部门</t>
        </is>
      </c>
      <c r="E1" s="67" t="inlineStr">
        <is>
          <t>岗位</t>
        </is>
      </c>
      <c r="F1" s="66" t="inlineStr">
        <is>
          <t>奖金</t>
        </is>
      </c>
      <c r="G1" s="66" t="inlineStr">
        <is>
          <t>实发绩效</t>
        </is>
      </c>
      <c r="H1" s="66" t="inlineStr">
        <is>
          <t>实发提成</t>
        </is>
      </c>
      <c r="I1" s="64" t="inlineStr">
        <is>
          <t>月度业绩</t>
        </is>
      </c>
      <c r="J1" s="58" t="n"/>
      <c r="K1" s="58" t="n"/>
      <c r="L1" s="58" t="n"/>
      <c r="M1" s="58" t="n"/>
      <c r="N1" s="58" t="n"/>
      <c r="O1" s="58" t="n"/>
      <c r="P1" s="58" t="n"/>
      <c r="Q1" s="58" t="n"/>
      <c r="R1" s="58" t="n"/>
      <c r="S1" s="58" t="n"/>
      <c r="T1" s="58" t="n"/>
      <c r="U1" s="58" t="n"/>
      <c r="V1" s="58" t="n"/>
      <c r="W1" s="59" t="n"/>
      <c r="X1" s="68" t="inlineStr">
        <is>
          <t>月度绩效</t>
        </is>
      </c>
      <c r="Y1" s="58" t="n"/>
      <c r="Z1" s="58" t="n"/>
      <c r="AA1" s="59" t="n"/>
    </row>
    <row r="2" ht="24.75" customHeight="1">
      <c r="A2" s="62" t="n"/>
      <c r="B2" s="62" t="n"/>
      <c r="C2" s="62" t="n"/>
      <c r="D2" s="62" t="n"/>
      <c r="E2" s="62" t="n"/>
      <c r="F2" s="62" t="n"/>
      <c r="G2" s="62" t="n"/>
      <c r="H2" s="62" t="n"/>
      <c r="I2" s="1" t="inlineStr">
        <is>
          <t>目标</t>
        </is>
      </c>
      <c r="J2" s="1" t="inlineStr">
        <is>
          <t>线下目标</t>
        </is>
      </c>
      <c r="K2" s="1" t="inlineStr">
        <is>
          <t>线下进账</t>
        </is>
      </c>
      <c r="L2" s="1" t="inlineStr">
        <is>
          <t>线下退费表</t>
        </is>
      </c>
      <c r="M2" s="1" t="inlineStr">
        <is>
          <t>线下主动调整</t>
        </is>
      </c>
      <c r="N2" s="1" t="inlineStr">
        <is>
          <t>线下净业绩</t>
        </is>
      </c>
      <c r="O2" s="1" t="inlineStr">
        <is>
          <t>线下完成率</t>
        </is>
      </c>
      <c r="P2" s="1" t="inlineStr">
        <is>
          <t>网课进账</t>
        </is>
      </c>
      <c r="Q2" s="1" t="inlineStr">
        <is>
          <t>网课退费</t>
        </is>
      </c>
      <c r="R2" s="1" t="inlineStr">
        <is>
          <t>网课净业绩</t>
        </is>
      </c>
      <c r="S2" s="1" t="inlineStr">
        <is>
          <t>转介绍目标</t>
        </is>
      </c>
      <c r="T2" s="1" t="inlineStr">
        <is>
          <t>转介绍业绩</t>
        </is>
      </c>
      <c r="U2" s="1" t="inlineStr">
        <is>
          <t>转介绍完成率</t>
        </is>
      </c>
      <c r="V2" s="1" t="inlineStr">
        <is>
          <t>提点</t>
        </is>
      </c>
      <c r="W2" s="1" t="inlineStr">
        <is>
          <t>提成</t>
        </is>
      </c>
      <c r="X2" s="2" t="inlineStr">
        <is>
          <t>合计得分</t>
        </is>
      </c>
      <c r="Y2" s="2" t="inlineStr">
        <is>
          <t>发放比例</t>
        </is>
      </c>
      <c r="Z2" s="2" t="inlineStr">
        <is>
          <t>月度绩效标准</t>
        </is>
      </c>
      <c r="AA2" s="2" t="inlineStr">
        <is>
          <t>月绩效应发</t>
        </is>
      </c>
    </row>
    <row r="3" hidden="1" ht="15" customHeight="1">
      <c r="A3" s="3" t="n">
        <v>45809</v>
      </c>
      <c r="B3" s="4" t="inlineStr">
        <is>
          <t>苏乾楠</t>
        </is>
      </c>
      <c r="C3" s="4" t="inlineStr">
        <is>
          <t>集训营</t>
        </is>
      </c>
      <c r="D3" s="4" t="inlineStr">
        <is>
          <t>考研项目部</t>
        </is>
      </c>
      <c r="E3" s="4" t="inlineStr">
        <is>
          <t>B级学习顾问</t>
        </is>
      </c>
      <c r="F3" s="5">
        <f>G3+H3</f>
        <v/>
      </c>
      <c r="G3" s="5">
        <f>AA3</f>
        <v/>
      </c>
      <c r="H3" s="5">
        <f>W3</f>
        <v/>
      </c>
      <c r="I3" s="5" t="n">
        <v>1276000</v>
      </c>
      <c r="J3" s="4" t="n"/>
      <c r="K3" s="4" t="n">
        <v>1330516.6</v>
      </c>
      <c r="L3" s="4" t="n">
        <v>-256375.1</v>
      </c>
      <c r="M3" s="4" t="n">
        <v>-252202.2</v>
      </c>
      <c r="N3" s="5" t="n">
        <v>1078314.4</v>
      </c>
      <c r="O3" s="7" t="n"/>
      <c r="P3" s="5" t="n">
        <v>21361.51</v>
      </c>
      <c r="Q3" s="5" t="n">
        <v>0</v>
      </c>
      <c r="R3" s="5" t="n">
        <v>21361.51</v>
      </c>
      <c r="S3" s="5" t="n">
        <v>150000</v>
      </c>
      <c r="T3" s="5" t="n">
        <v>63450</v>
      </c>
      <c r="U3" s="7" t="n">
        <v>0.423</v>
      </c>
      <c r="V3" s="7" t="n">
        <v>0.018</v>
      </c>
      <c r="W3" s="5" t="n">
        <v>19794.16638</v>
      </c>
      <c r="X3" s="5" t="n">
        <v>83</v>
      </c>
      <c r="Y3" s="7" t="n">
        <v>0.83</v>
      </c>
      <c r="Z3" s="5" t="n">
        <v>2000</v>
      </c>
      <c r="AA3" s="5" t="n">
        <v>1660</v>
      </c>
    </row>
    <row r="4" hidden="1" ht="15" customHeight="1">
      <c r="A4" s="3" t="n">
        <v>45809</v>
      </c>
      <c r="B4" s="4" t="inlineStr">
        <is>
          <t>陈伟钰</t>
        </is>
      </c>
      <c r="C4" s="4" t="inlineStr">
        <is>
          <t>集训营</t>
        </is>
      </c>
      <c r="D4" s="4" t="inlineStr">
        <is>
          <t>考研项目部</t>
        </is>
      </c>
      <c r="E4" s="4" t="inlineStr">
        <is>
          <t>B级学习顾问</t>
        </is>
      </c>
      <c r="F4" s="5">
        <f>G4+H4</f>
        <v/>
      </c>
      <c r="G4" s="5" t="n">
        <v>0</v>
      </c>
      <c r="H4" s="5" t="n">
        <v>6771.5612</v>
      </c>
      <c r="I4" s="5" t="n">
        <v>1276000</v>
      </c>
      <c r="J4" s="4" t="n"/>
      <c r="K4" s="5" t="n">
        <v>946489.8</v>
      </c>
      <c r="L4" s="5" t="n">
        <v>-130620.05</v>
      </c>
      <c r="M4" s="5" t="n">
        <v>28600</v>
      </c>
      <c r="N4" s="5" t="n">
        <v>844469.75</v>
      </c>
      <c r="O4" s="4" t="n"/>
      <c r="P4" s="5" t="n">
        <v>1975.4</v>
      </c>
      <c r="Q4" s="5" t="n">
        <v>0</v>
      </c>
      <c r="R4" s="5" t="n">
        <v>1975.4</v>
      </c>
      <c r="S4" s="5" t="n">
        <v>150000</v>
      </c>
      <c r="T4" s="5" t="n">
        <v>28300</v>
      </c>
      <c r="U4" s="7" t="n">
        <v>0.188666666666667</v>
      </c>
      <c r="V4" s="7" t="n">
        <v>0.008</v>
      </c>
      <c r="W4" s="5" t="n">
        <v>6771.5612</v>
      </c>
      <c r="X4" s="5" t="n">
        <v>47</v>
      </c>
      <c r="Y4" s="7" t="n">
        <v>0</v>
      </c>
      <c r="Z4" s="5" t="n">
        <v>2000</v>
      </c>
      <c r="AA4" s="5" t="n">
        <v>0</v>
      </c>
    </row>
    <row r="5" hidden="1" ht="15" customHeight="1">
      <c r="A5" s="3" t="n">
        <v>45809</v>
      </c>
      <c r="B5" s="4" t="inlineStr">
        <is>
          <t>杨晓超</t>
        </is>
      </c>
      <c r="C5" s="4" t="inlineStr">
        <is>
          <t>集训营</t>
        </is>
      </c>
      <c r="D5" s="4" t="inlineStr">
        <is>
          <t>考研项目部</t>
        </is>
      </c>
      <c r="E5" s="4" t="inlineStr">
        <is>
          <t>B级学习顾问</t>
        </is>
      </c>
      <c r="F5" s="5">
        <f>G5+H5</f>
        <v/>
      </c>
      <c r="G5" s="5" t="n">
        <v>2000</v>
      </c>
      <c r="H5" s="5" t="n">
        <v>35659.008</v>
      </c>
      <c r="I5" s="5" t="n">
        <v>1160000</v>
      </c>
      <c r="J5" s="4" t="n"/>
      <c r="K5" s="5" t="n">
        <v>1505395.15</v>
      </c>
      <c r="L5" s="5" t="n">
        <v>-370737.55</v>
      </c>
      <c r="M5" s="5" t="n">
        <v>0</v>
      </c>
      <c r="N5" s="5" t="n">
        <v>1134657.6</v>
      </c>
      <c r="O5" s="4" t="n"/>
      <c r="P5" s="5" t="n">
        <v>57510.5</v>
      </c>
      <c r="Q5" s="5" t="n">
        <v>-3534.5</v>
      </c>
      <c r="R5" s="5" t="n">
        <v>53976</v>
      </c>
      <c r="S5" s="5" t="n">
        <v>150000</v>
      </c>
      <c r="T5" s="5" t="n">
        <v>228120</v>
      </c>
      <c r="U5" s="7" t="n">
        <v>1.5208</v>
      </c>
      <c r="V5" s="7" t="n">
        <v>0.03</v>
      </c>
      <c r="W5" s="5" t="n">
        <v>35659.008</v>
      </c>
      <c r="X5" s="5" t="n">
        <v>107</v>
      </c>
      <c r="Y5" s="7" t="n">
        <v>1</v>
      </c>
      <c r="Z5" s="5" t="n">
        <v>2000</v>
      </c>
      <c r="AA5" s="5" t="n">
        <v>2000</v>
      </c>
    </row>
    <row r="6" hidden="1" ht="15" customHeight="1">
      <c r="A6" s="3" t="n">
        <v>45809</v>
      </c>
      <c r="B6" s="4" t="inlineStr">
        <is>
          <t>钱雪冰</t>
        </is>
      </c>
      <c r="C6" s="4" t="inlineStr">
        <is>
          <t>集训营</t>
        </is>
      </c>
      <c r="D6" s="4" t="inlineStr">
        <is>
          <t>考研项目部</t>
        </is>
      </c>
      <c r="E6" s="4" t="inlineStr">
        <is>
          <t>B级学习顾问</t>
        </is>
      </c>
      <c r="F6" s="5">
        <f>G6+H6</f>
        <v/>
      </c>
      <c r="G6" s="5" t="n">
        <v>1600</v>
      </c>
      <c r="H6" s="5" t="n">
        <v>56704.008</v>
      </c>
      <c r="I6" s="5" t="n">
        <v>1160000</v>
      </c>
      <c r="J6" s="4" t="n"/>
      <c r="K6" s="5" t="n">
        <v>1742439.8</v>
      </c>
      <c r="L6" s="5" t="n">
        <v>-353710.9</v>
      </c>
      <c r="M6" s="5" t="n">
        <v>4880</v>
      </c>
      <c r="N6" s="5" t="n">
        <v>1393608.9</v>
      </c>
      <c r="O6" s="4" t="n"/>
      <c r="P6" s="5" t="n">
        <v>25966.7</v>
      </c>
      <c r="Q6" s="5" t="n">
        <v>-1975.4</v>
      </c>
      <c r="R6" s="5" t="n">
        <v>23991.3</v>
      </c>
      <c r="S6" s="5" t="n">
        <v>150000</v>
      </c>
      <c r="T6" s="5" t="n">
        <v>77480</v>
      </c>
      <c r="U6" s="7" t="n">
        <v>0.516533333333333</v>
      </c>
      <c r="V6" s="7" t="n">
        <v>0.04</v>
      </c>
      <c r="W6" s="5" t="n">
        <v>56704.008</v>
      </c>
      <c r="X6" s="5" t="n">
        <v>80</v>
      </c>
      <c r="Y6" s="7" t="n">
        <v>0.8</v>
      </c>
      <c r="Z6" s="5" t="n">
        <v>2000</v>
      </c>
      <c r="AA6" s="5" t="n">
        <v>1600</v>
      </c>
    </row>
    <row r="7" hidden="1" ht="15" customHeight="1">
      <c r="A7" s="3" t="n">
        <v>45809</v>
      </c>
      <c r="B7" s="4" t="inlineStr">
        <is>
          <t>张乐</t>
        </is>
      </c>
      <c r="C7" s="4" t="inlineStr">
        <is>
          <t>集训营</t>
        </is>
      </c>
      <c r="D7" s="4" t="inlineStr">
        <is>
          <t>考研项目部</t>
        </is>
      </c>
      <c r="E7" s="4" t="inlineStr">
        <is>
          <t>B级学习顾问</t>
        </is>
      </c>
      <c r="F7" s="5">
        <f>G7+H7</f>
        <v/>
      </c>
      <c r="G7" s="5" t="n">
        <v>0</v>
      </c>
      <c r="H7" s="5" t="n">
        <v>4970.7504</v>
      </c>
      <c r="I7" s="5" t="n">
        <v>1276000</v>
      </c>
      <c r="J7" s="4" t="n"/>
      <c r="K7" s="5" t="n">
        <v>1027042.35</v>
      </c>
      <c r="L7" s="5" t="n">
        <v>-405698.55</v>
      </c>
      <c r="M7" s="5" t="n">
        <v>0</v>
      </c>
      <c r="N7" s="5" t="n">
        <v>621343.8</v>
      </c>
      <c r="O7" s="4" t="n"/>
      <c r="P7" s="5" t="n">
        <v>0</v>
      </c>
      <c r="Q7" s="5" t="n">
        <v>0</v>
      </c>
      <c r="R7" s="5" t="n">
        <v>0</v>
      </c>
      <c r="S7" s="5" t="n">
        <v>150000</v>
      </c>
      <c r="T7" s="5" t="n">
        <v>45618.5</v>
      </c>
      <c r="U7" s="7" t="n">
        <v>0.304123333333333</v>
      </c>
      <c r="V7" s="7" t="n">
        <v>0.008</v>
      </c>
      <c r="W7" s="5" t="n">
        <v>4970.7504</v>
      </c>
      <c r="X7" s="5" t="n">
        <v>45</v>
      </c>
      <c r="Y7" s="7" t="n">
        <v>0</v>
      </c>
      <c r="Z7" s="5" t="n">
        <v>2000</v>
      </c>
      <c r="AA7" s="5" t="n">
        <v>0</v>
      </c>
    </row>
    <row r="8" hidden="1" ht="15" customHeight="1">
      <c r="A8" s="3" t="n">
        <v>45809</v>
      </c>
      <c r="B8" s="4" t="inlineStr">
        <is>
          <t>陈露</t>
        </is>
      </c>
      <c r="C8" s="4" t="inlineStr">
        <is>
          <t>集训营</t>
        </is>
      </c>
      <c r="D8" s="4" t="inlineStr">
        <is>
          <t>考研项目部</t>
        </is>
      </c>
      <c r="E8" s="4" t="inlineStr">
        <is>
          <t>B级学习顾问</t>
        </is>
      </c>
      <c r="F8" s="5">
        <f>G8+H8</f>
        <v/>
      </c>
      <c r="G8" s="5" t="n">
        <v>0</v>
      </c>
      <c r="H8" s="5" t="n">
        <v>0</v>
      </c>
      <c r="I8" s="5" t="n">
        <v>1276000</v>
      </c>
      <c r="J8" s="4" t="n"/>
      <c r="K8" s="5" t="n">
        <v>649070</v>
      </c>
      <c r="L8" s="5" t="n">
        <v>-176315.5</v>
      </c>
      <c r="M8" s="5" t="n">
        <v>66134</v>
      </c>
      <c r="N8" s="5" t="n">
        <v>538888.5</v>
      </c>
      <c r="O8" s="4" t="n"/>
      <c r="P8" s="5" t="n">
        <v>13827.9</v>
      </c>
      <c r="Q8" s="5" t="n">
        <v>0</v>
      </c>
      <c r="R8" s="5" t="n">
        <v>13827.9</v>
      </c>
      <c r="S8" s="5" t="n">
        <v>150000</v>
      </c>
      <c r="T8" s="5" t="n">
        <v>0</v>
      </c>
      <c r="U8" s="7" t="n">
        <v>0</v>
      </c>
      <c r="V8" s="7" t="n">
        <v>0</v>
      </c>
      <c r="W8" s="5" t="n">
        <v>0</v>
      </c>
      <c r="X8" s="5" t="n">
        <v>0</v>
      </c>
      <c r="Y8" s="7" t="n">
        <v>0</v>
      </c>
      <c r="Z8" s="5" t="n">
        <v>2000</v>
      </c>
      <c r="AA8" s="5" t="n">
        <v>0</v>
      </c>
    </row>
    <row r="9" hidden="1" ht="15" customHeight="1">
      <c r="A9" s="3" t="n">
        <v>45809</v>
      </c>
      <c r="B9" s="4" t="inlineStr">
        <is>
          <t>刘创</t>
        </is>
      </c>
      <c r="C9" s="4" t="inlineStr">
        <is>
          <t>集训营</t>
        </is>
      </c>
      <c r="D9" s="4" t="inlineStr">
        <is>
          <t>考研项目部</t>
        </is>
      </c>
      <c r="E9" s="4" t="inlineStr">
        <is>
          <t>B级学习顾问</t>
        </is>
      </c>
      <c r="F9" s="5">
        <f>G9+H9</f>
        <v/>
      </c>
      <c r="G9" s="5" t="n">
        <v>0</v>
      </c>
      <c r="H9" s="5" t="n">
        <v>89263.095</v>
      </c>
      <c r="I9" s="5" t="n">
        <v>1160000</v>
      </c>
      <c r="J9" s="4" t="n"/>
      <c r="K9" s="5" t="n">
        <v>2178352</v>
      </c>
      <c r="L9" s="5" t="n">
        <v>-374422.5</v>
      </c>
      <c r="M9" s="5" t="n">
        <v>-43100</v>
      </c>
      <c r="N9" s="5" t="n">
        <v>1760829.5</v>
      </c>
      <c r="O9" s="4" t="n"/>
      <c r="P9" s="5" t="n">
        <v>24432.4</v>
      </c>
      <c r="Q9" s="5" t="n">
        <v>0</v>
      </c>
      <c r="R9" s="5" t="n">
        <v>24432.4</v>
      </c>
      <c r="S9" s="5" t="n">
        <v>150000</v>
      </c>
      <c r="T9" s="5" t="n">
        <v>81769.3</v>
      </c>
      <c r="U9" s="7" t="n">
        <v>0.545128666666667</v>
      </c>
      <c r="V9" s="7" t="n">
        <v>0.05</v>
      </c>
      <c r="W9" s="5" t="n">
        <v>89263.095</v>
      </c>
      <c r="X9" s="5" t="n">
        <v>68</v>
      </c>
      <c r="Y9" s="7" t="n">
        <v>0</v>
      </c>
      <c r="Z9" s="5" t="n">
        <v>2000</v>
      </c>
      <c r="AA9" s="5" t="n">
        <v>0</v>
      </c>
    </row>
    <row r="10" hidden="1" ht="15" customHeight="1">
      <c r="A10" s="3" t="n">
        <v>45809</v>
      </c>
      <c r="B10" s="4" t="inlineStr">
        <is>
          <t>高龙明</t>
        </is>
      </c>
      <c r="C10" s="4" t="inlineStr">
        <is>
          <t>集训营</t>
        </is>
      </c>
      <c r="D10" s="4" t="inlineStr">
        <is>
          <t>考研项目部</t>
        </is>
      </c>
      <c r="E10" s="4" t="inlineStr">
        <is>
          <t>A级学习顾问</t>
        </is>
      </c>
      <c r="F10" s="5">
        <f>G10+H10</f>
        <v/>
      </c>
      <c r="G10" s="5" t="n">
        <v>1000</v>
      </c>
      <c r="H10" s="5" t="n">
        <v>36266.0835</v>
      </c>
      <c r="I10" s="5" t="n">
        <v>1160000</v>
      </c>
      <c r="J10" s="4" t="n"/>
      <c r="K10" s="5" t="n">
        <v>1832731</v>
      </c>
      <c r="L10" s="5" t="n">
        <v>-711320.45</v>
      </c>
      <c r="M10" s="5" t="n">
        <v>21500</v>
      </c>
      <c r="N10" s="5" t="n">
        <v>1142910.55</v>
      </c>
      <c r="O10" s="4" t="n"/>
      <c r="P10" s="5" t="n">
        <v>66237.89999999999</v>
      </c>
      <c r="Q10" s="5" t="n">
        <v>-279</v>
      </c>
      <c r="R10" s="5" t="n">
        <v>65958.89999999999</v>
      </c>
      <c r="S10" s="5" t="n">
        <v>150000</v>
      </c>
      <c r="T10" s="5" t="n">
        <v>337186.8</v>
      </c>
      <c r="U10" s="7" t="n">
        <v>2.247912</v>
      </c>
      <c r="V10" s="7" t="n">
        <v>0.03</v>
      </c>
      <c r="W10" s="5" t="n">
        <v>36266.0835</v>
      </c>
      <c r="X10" s="5" t="n">
        <v>115</v>
      </c>
      <c r="Y10" s="7" t="n">
        <v>1</v>
      </c>
      <c r="Z10" s="5" t="n">
        <v>1000</v>
      </c>
      <c r="AA10" s="5" t="n">
        <v>1000</v>
      </c>
    </row>
    <row r="11" hidden="1" ht="15" customHeight="1">
      <c r="A11" s="3" t="n">
        <v>45809</v>
      </c>
      <c r="B11" s="4" t="inlineStr">
        <is>
          <t>张俊旺</t>
        </is>
      </c>
      <c r="C11" s="4" t="inlineStr">
        <is>
          <t>集训营</t>
        </is>
      </c>
      <c r="D11" s="4" t="inlineStr">
        <is>
          <t>考研项目部</t>
        </is>
      </c>
      <c r="E11" s="4" t="inlineStr">
        <is>
          <t>A级学习顾问</t>
        </is>
      </c>
      <c r="F11" s="5">
        <f>G11+H11</f>
        <v/>
      </c>
      <c r="G11" s="5" t="n">
        <v>0</v>
      </c>
      <c r="H11" s="5" t="n">
        <v>16832.23596</v>
      </c>
      <c r="I11" s="5" t="n">
        <v>1160000</v>
      </c>
      <c r="J11" s="4" t="n"/>
      <c r="K11" s="5" t="n">
        <v>928247.4</v>
      </c>
      <c r="L11" s="5" t="n">
        <v>-70362.39999999999</v>
      </c>
      <c r="M11" s="5" t="n">
        <v>0</v>
      </c>
      <c r="N11" s="5" t="n">
        <v>857885</v>
      </c>
      <c r="O11" s="4" t="n"/>
      <c r="P11" s="5" t="n">
        <v>91700.60000000001</v>
      </c>
      <c r="Q11" s="5" t="n">
        <v>-14461.38</v>
      </c>
      <c r="R11" s="5" t="n">
        <v>77239.22</v>
      </c>
      <c r="S11" s="5" t="n">
        <v>80000</v>
      </c>
      <c r="T11" s="5" t="n">
        <v>5980</v>
      </c>
      <c r="U11" s="7" t="n">
        <v>0.07475</v>
      </c>
      <c r="V11" s="7" t="n">
        <v>0.018</v>
      </c>
      <c r="W11" s="5" t="n">
        <v>16832.23596</v>
      </c>
      <c r="X11" s="5" t="n">
        <v>60</v>
      </c>
      <c r="Y11" s="7" t="n">
        <v>0</v>
      </c>
      <c r="Z11" s="5" t="n">
        <v>1000</v>
      </c>
      <c r="AA11" s="5" t="n">
        <v>0</v>
      </c>
    </row>
    <row r="12" hidden="1" ht="15" customHeight="1">
      <c r="A12" s="3" t="n">
        <v>45809</v>
      </c>
      <c r="B12" s="4" t="inlineStr">
        <is>
          <t>王钦</t>
        </is>
      </c>
      <c r="C12" s="4" t="inlineStr">
        <is>
          <t>集训营</t>
        </is>
      </c>
      <c r="D12" s="4" t="inlineStr">
        <is>
          <t>考研项目部</t>
        </is>
      </c>
      <c r="E12" s="4" t="inlineStr">
        <is>
          <t>B级学习顾问</t>
        </is>
      </c>
      <c r="F12" s="5">
        <f>G12+H12</f>
        <v/>
      </c>
      <c r="G12" s="5" t="n">
        <v>2000</v>
      </c>
      <c r="H12" s="5" t="n">
        <v>11514</v>
      </c>
      <c r="I12" s="5" t="n">
        <v>60000</v>
      </c>
      <c r="J12" s="4" t="n"/>
      <c r="K12" s="5" t="n">
        <v>230280</v>
      </c>
      <c r="L12" s="5" t="n">
        <v>0</v>
      </c>
      <c r="M12" s="5" t="n">
        <v>0</v>
      </c>
      <c r="N12" s="5" t="n">
        <v>230280</v>
      </c>
      <c r="O12" s="4" t="n"/>
      <c r="P12" s="5" t="n">
        <v>0</v>
      </c>
      <c r="Q12" s="5" t="n">
        <v>0</v>
      </c>
      <c r="R12" s="5" t="n">
        <v>0</v>
      </c>
      <c r="S12" s="6" t="n">
        <v>0</v>
      </c>
      <c r="T12" s="5" t="n">
        <v>35300</v>
      </c>
      <c r="U12" s="7" t="n"/>
      <c r="V12" s="7" t="n">
        <v>0.05</v>
      </c>
      <c r="W12" s="5" t="n">
        <v>11514</v>
      </c>
      <c r="X12" s="5" t="n">
        <v>100</v>
      </c>
      <c r="Y12" s="7" t="n">
        <v>1</v>
      </c>
      <c r="Z12" s="5" t="n">
        <v>2000</v>
      </c>
      <c r="AA12" s="5" t="n">
        <v>2000</v>
      </c>
    </row>
    <row r="13" hidden="1" ht="15" customHeight="1">
      <c r="A13" s="3" t="n">
        <v>45809</v>
      </c>
      <c r="B13" s="4" t="inlineStr">
        <is>
          <t>王泽森</t>
        </is>
      </c>
      <c r="C13" s="4" t="inlineStr">
        <is>
          <t>集训营</t>
        </is>
      </c>
      <c r="D13" s="4" t="inlineStr">
        <is>
          <t>考研项目部</t>
        </is>
      </c>
      <c r="E13" s="4" t="inlineStr">
        <is>
          <t>B级学习顾问</t>
        </is>
      </c>
      <c r="F13" s="5">
        <f>G13+H13</f>
        <v/>
      </c>
      <c r="G13" s="5" t="n">
        <v>923.076923076923</v>
      </c>
      <c r="H13" s="5" t="n">
        <v>0</v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6" t="n">
        <v>0</v>
      </c>
      <c r="T13" s="6" t="n">
        <v>0</v>
      </c>
      <c r="U13" s="7" t="n">
        <v>0</v>
      </c>
      <c r="V13" s="4" t="n"/>
      <c r="W13" s="4" t="n"/>
      <c r="X13" s="5" t="n">
        <v>0</v>
      </c>
      <c r="Y13" s="7" t="n">
        <v>0</v>
      </c>
      <c r="Z13" s="5" t="n">
        <v>2000</v>
      </c>
      <c r="AA13" s="5" t="n">
        <v>923.076923076923</v>
      </c>
    </row>
    <row r="14" hidden="1" ht="15" customHeight="1">
      <c r="A14" s="3" t="n">
        <v>45839</v>
      </c>
      <c r="B14" s="4" t="inlineStr">
        <is>
          <t>苏乾楠</t>
        </is>
      </c>
      <c r="C14" s="4" t="inlineStr">
        <is>
          <t>集训营</t>
        </is>
      </c>
      <c r="D14" s="4" t="inlineStr">
        <is>
          <t>考研项目部</t>
        </is>
      </c>
      <c r="E14" s="4" t="inlineStr">
        <is>
          <t>B级学习顾问</t>
        </is>
      </c>
      <c r="F14" s="5">
        <f>G14+H14</f>
        <v/>
      </c>
      <c r="G14" s="5">
        <f>AA14</f>
        <v/>
      </c>
      <c r="H14" s="5">
        <f>W14</f>
        <v/>
      </c>
      <c r="I14" s="5" t="n">
        <v>1120000</v>
      </c>
      <c r="J14" s="4" t="n"/>
      <c r="K14" s="5" t="n">
        <v>644772</v>
      </c>
      <c r="L14" s="5" t="n">
        <v>-481046</v>
      </c>
      <c r="M14" s="5" t="n">
        <v>-502148</v>
      </c>
      <c r="N14" s="5" t="n">
        <v>142624</v>
      </c>
      <c r="P14" s="5" t="n">
        <v>24115</v>
      </c>
      <c r="Q14" s="5" t="n">
        <v>0</v>
      </c>
      <c r="R14" s="5" t="n">
        <v>24115</v>
      </c>
      <c r="S14" s="5" t="n">
        <v>150000</v>
      </c>
      <c r="T14" s="5" t="n">
        <v>72230</v>
      </c>
      <c r="U14" s="7" t="n">
        <v>0.48</v>
      </c>
      <c r="V14" s="7" t="n">
        <v>0</v>
      </c>
      <c r="W14" s="5" t="n">
        <v>0</v>
      </c>
      <c r="X14" s="5" t="n">
        <v>87</v>
      </c>
      <c r="Y14" s="7" t="n">
        <v>0.87</v>
      </c>
      <c r="Z14" s="5" t="n">
        <v>2000</v>
      </c>
      <c r="AA14" s="5" t="n">
        <v>1740</v>
      </c>
    </row>
    <row r="15" hidden="1" ht="15" customHeight="1">
      <c r="A15" s="3" t="n">
        <v>45839</v>
      </c>
      <c r="B15" s="4" t="inlineStr">
        <is>
          <t>张乐</t>
        </is>
      </c>
      <c r="C15" s="4" t="inlineStr">
        <is>
          <t>集训营</t>
        </is>
      </c>
      <c r="D15" s="4" t="inlineStr">
        <is>
          <t>考研项目部</t>
        </is>
      </c>
      <c r="E15" s="4" t="inlineStr">
        <is>
          <t>B级学习顾问</t>
        </is>
      </c>
      <c r="F15" s="5">
        <f>G15+H15</f>
        <v/>
      </c>
      <c r="G15" s="5" t="n">
        <v>1460</v>
      </c>
      <c r="H15" s="5" t="n">
        <v>37057.98</v>
      </c>
      <c r="I15" s="5" t="n">
        <v>1232000</v>
      </c>
      <c r="J15" s="4" t="n"/>
      <c r="K15" s="5" t="n">
        <v>1571381</v>
      </c>
      <c r="L15" s="5" t="n">
        <v>-338710</v>
      </c>
      <c r="M15" s="5" t="n">
        <v>5265</v>
      </c>
      <c r="N15" s="5" t="n">
        <v>1237937</v>
      </c>
      <c r="O15" s="4" t="n"/>
      <c r="P15" s="5" t="n">
        <v>1097</v>
      </c>
      <c r="Q15" s="5" t="n">
        <v>-3767</v>
      </c>
      <c r="R15" s="5" t="n">
        <v>-2671</v>
      </c>
      <c r="S15" s="6" t="n">
        <v>4</v>
      </c>
      <c r="T15" s="6" t="n">
        <v>2</v>
      </c>
      <c r="U15" s="7" t="n">
        <v>0.5</v>
      </c>
      <c r="V15" s="7" t="n">
        <v>0.03</v>
      </c>
      <c r="W15" s="5" t="n">
        <v>0.03</v>
      </c>
      <c r="X15" s="5" t="n">
        <v>73</v>
      </c>
      <c r="Y15" s="7" t="n">
        <v>0.73</v>
      </c>
      <c r="Z15" s="5" t="n">
        <v>2000</v>
      </c>
      <c r="AA15" s="5" t="n">
        <v>1460</v>
      </c>
    </row>
    <row r="16" hidden="1" ht="15" customHeight="1">
      <c r="A16" s="3" t="n">
        <v>45839</v>
      </c>
      <c r="B16" s="4" t="inlineStr">
        <is>
          <t>张俊旺</t>
        </is>
      </c>
      <c r="C16" s="4" t="inlineStr">
        <is>
          <t>集训营</t>
        </is>
      </c>
      <c r="D16" s="4" t="inlineStr">
        <is>
          <t>考研项目部</t>
        </is>
      </c>
      <c r="E16" s="4" t="inlineStr">
        <is>
          <t>A级学习顾问</t>
        </is>
      </c>
      <c r="F16" s="5">
        <f>G16+H16</f>
        <v/>
      </c>
      <c r="G16" s="5" t="n">
        <v>1000</v>
      </c>
      <c r="H16" s="5" t="n">
        <v>0</v>
      </c>
      <c r="I16" s="5" t="n">
        <v>1120000</v>
      </c>
      <c r="J16" s="4" t="n"/>
      <c r="K16" s="5" t="n">
        <v>417500</v>
      </c>
      <c r="L16" s="5" t="n">
        <v>-137518</v>
      </c>
      <c r="M16" s="5" t="n">
        <v>0</v>
      </c>
      <c r="N16" s="5" t="n">
        <v>279982</v>
      </c>
      <c r="O16" s="4" t="n"/>
      <c r="P16" s="5" t="n">
        <v>49497</v>
      </c>
      <c r="Q16" s="5" t="n">
        <v>-23863</v>
      </c>
      <c r="R16" s="5" t="n">
        <v>25635</v>
      </c>
      <c r="S16" s="6" t="n">
        <v>2</v>
      </c>
      <c r="T16" s="6" t="n">
        <v>1</v>
      </c>
      <c r="U16" s="7" t="n">
        <v>0.5</v>
      </c>
      <c r="V16" s="7" t="n">
        <v>0</v>
      </c>
      <c r="W16" s="5" t="n">
        <v>0</v>
      </c>
      <c r="X16" s="5" t="n">
        <v>61</v>
      </c>
      <c r="Y16" s="7" t="n">
        <v>1</v>
      </c>
      <c r="Z16" s="5" t="n">
        <v>1000</v>
      </c>
      <c r="AA16" s="5" t="n">
        <v>1000</v>
      </c>
    </row>
    <row r="17" hidden="1" ht="15" customHeight="1">
      <c r="A17" s="3" t="n">
        <v>45839</v>
      </c>
      <c r="B17" s="4" t="inlineStr">
        <is>
          <t>杨晓超</t>
        </is>
      </c>
      <c r="C17" s="4" t="inlineStr">
        <is>
          <t>集训营</t>
        </is>
      </c>
      <c r="D17" s="4" t="inlineStr">
        <is>
          <t>考研项目部</t>
        </is>
      </c>
      <c r="E17" s="4" t="inlineStr">
        <is>
          <t>B级学习顾问</t>
        </is>
      </c>
      <c r="F17" s="5">
        <f>G17+H17</f>
        <v/>
      </c>
      <c r="G17" s="5" t="n">
        <v>1780</v>
      </c>
      <c r="H17" s="5" t="n">
        <v>54267.32</v>
      </c>
      <c r="I17" s="5" t="n">
        <v>1120000</v>
      </c>
      <c r="J17" s="4" t="n"/>
      <c r="K17" s="5" t="n">
        <v>1696550</v>
      </c>
      <c r="L17" s="5" t="n">
        <v>-403918</v>
      </c>
      <c r="M17" s="5" t="n">
        <v>9750</v>
      </c>
      <c r="N17" s="5" t="n">
        <v>1302382</v>
      </c>
      <c r="O17" s="4" t="n"/>
      <c r="P17" s="5" t="n">
        <v>82071</v>
      </c>
      <c r="Q17" s="5" t="n">
        <v>-27770</v>
      </c>
      <c r="R17" s="5" t="n">
        <v>54302</v>
      </c>
      <c r="S17" s="6" t="n">
        <v>4</v>
      </c>
      <c r="T17" s="6" t="n">
        <v>2</v>
      </c>
      <c r="U17" s="7" t="n">
        <v>0.5</v>
      </c>
      <c r="V17" s="7" t="n">
        <v>0.04</v>
      </c>
      <c r="W17" s="5" t="n">
        <v>0.04</v>
      </c>
      <c r="X17" s="5" t="n">
        <v>89</v>
      </c>
      <c r="Y17" s="7" t="n">
        <v>0.89</v>
      </c>
      <c r="Z17" s="5" t="n">
        <v>2000</v>
      </c>
      <c r="AA17" s="5" t="n">
        <v>1780</v>
      </c>
    </row>
    <row r="18" hidden="1" ht="15" customHeight="1">
      <c r="A18" s="3" t="n">
        <v>45839</v>
      </c>
      <c r="B18" s="4" t="inlineStr">
        <is>
          <t>王志远</t>
        </is>
      </c>
      <c r="C18" s="4" t="inlineStr">
        <is>
          <t>集训营</t>
        </is>
      </c>
      <c r="D18" s="4" t="inlineStr">
        <is>
          <t>考研项目部</t>
        </is>
      </c>
      <c r="E18" s="4" t="inlineStr">
        <is>
          <t>B级学习顾问</t>
        </is>
      </c>
      <c r="F18" s="5">
        <f>G18+H18</f>
        <v/>
      </c>
      <c r="G18" s="5" t="n">
        <v>363.636363636364</v>
      </c>
      <c r="H18" s="5" t="n">
        <v>0</v>
      </c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6" t="n">
        <v>0</v>
      </c>
      <c r="T18" s="6" t="n">
        <v>0</v>
      </c>
      <c r="U18" s="7" t="n">
        <v>0</v>
      </c>
      <c r="V18" s="4" t="n"/>
      <c r="W18" s="4" t="n"/>
      <c r="X18" s="5" t="n">
        <v>0</v>
      </c>
      <c r="Y18" s="7" t="n">
        <v>1</v>
      </c>
      <c r="Z18" s="5" t="n">
        <v>2000</v>
      </c>
      <c r="AA18" s="5" t="n">
        <v>363.636363636364</v>
      </c>
    </row>
    <row r="19" hidden="1" ht="15" customHeight="1">
      <c r="A19" s="3" t="n">
        <v>45839</v>
      </c>
      <c r="B19" s="4" t="inlineStr">
        <is>
          <t>王泽森</t>
        </is>
      </c>
      <c r="C19" s="4" t="inlineStr">
        <is>
          <t>集训营</t>
        </is>
      </c>
      <c r="D19" s="4" t="inlineStr">
        <is>
          <t>考研项目部</t>
        </is>
      </c>
      <c r="E19" s="4" t="inlineStr">
        <is>
          <t>B级学习顾问</t>
        </is>
      </c>
      <c r="F19" s="5">
        <f>G19+H19</f>
        <v/>
      </c>
      <c r="G19" s="5" t="n">
        <v>2000</v>
      </c>
      <c r="H19" s="5" t="n">
        <v>0</v>
      </c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6" t="n">
        <v>0</v>
      </c>
      <c r="T19" s="6" t="n">
        <v>0</v>
      </c>
      <c r="U19" s="7" t="n">
        <v>0</v>
      </c>
      <c r="V19" s="4" t="n"/>
      <c r="W19" s="4" t="n"/>
      <c r="X19" s="5" t="n">
        <v>0</v>
      </c>
      <c r="Y19" s="7" t="n">
        <v>1</v>
      </c>
      <c r="Z19" s="5" t="n">
        <v>2000</v>
      </c>
      <c r="AA19" s="5" t="n">
        <v>2000</v>
      </c>
    </row>
    <row r="20" hidden="1" ht="15" customHeight="1">
      <c r="A20" s="3" t="n">
        <v>45839</v>
      </c>
      <c r="B20" s="4" t="inlineStr">
        <is>
          <t>王钦</t>
        </is>
      </c>
      <c r="C20" s="4" t="inlineStr">
        <is>
          <t>集训营</t>
        </is>
      </c>
      <c r="D20" s="4" t="inlineStr">
        <is>
          <t>考研项目部</t>
        </is>
      </c>
      <c r="E20" s="4" t="inlineStr">
        <is>
          <t>B级学习顾问</t>
        </is>
      </c>
      <c r="F20" s="5">
        <f>G20+H20</f>
        <v/>
      </c>
      <c r="G20" s="5" t="n">
        <v>2000</v>
      </c>
      <c r="H20" s="5" t="n">
        <v>18024.84</v>
      </c>
      <c r="I20" s="5" t="n">
        <v>560000</v>
      </c>
      <c r="J20" s="4" t="n"/>
      <c r="K20" s="5" t="n">
        <v>578904</v>
      </c>
      <c r="L20" s="5" t="n">
        <v>-31680</v>
      </c>
      <c r="M20" s="5" t="n">
        <v>26000</v>
      </c>
      <c r="N20" s="5" t="n">
        <v>573224</v>
      </c>
      <c r="O20" s="4" t="n"/>
      <c r="P20" s="5" t="n">
        <v>27605</v>
      </c>
      <c r="Q20" s="5" t="n">
        <v>0</v>
      </c>
      <c r="R20" s="5" t="n">
        <v>27605</v>
      </c>
      <c r="S20" s="6" t="n">
        <v>1</v>
      </c>
      <c r="T20" s="6" t="n">
        <v>0</v>
      </c>
      <c r="U20" s="7" t="n">
        <v>0</v>
      </c>
      <c r="V20" s="7" t="n">
        <v>0.03</v>
      </c>
      <c r="W20" s="5" t="n">
        <v>0.03</v>
      </c>
      <c r="X20" s="5" t="n">
        <v>100</v>
      </c>
      <c r="Y20" s="7" t="n">
        <v>1</v>
      </c>
      <c r="Z20" s="5" t="n">
        <v>2000</v>
      </c>
      <c r="AA20" s="5" t="n">
        <v>2000</v>
      </c>
    </row>
    <row r="21" hidden="1" ht="15" customHeight="1">
      <c r="A21" s="3" t="n">
        <v>45839</v>
      </c>
      <c r="B21" s="4" t="inlineStr">
        <is>
          <t>钱雪冰</t>
        </is>
      </c>
      <c r="C21" s="4" t="inlineStr">
        <is>
          <t>集训营</t>
        </is>
      </c>
      <c r="D21" s="4" t="inlineStr">
        <is>
          <t>考研项目部</t>
        </is>
      </c>
      <c r="E21" s="4" t="inlineStr">
        <is>
          <t>A级学习顾问</t>
        </is>
      </c>
      <c r="F21" s="5">
        <f>G21+H21</f>
        <v/>
      </c>
      <c r="G21" s="5" t="n">
        <v>1000</v>
      </c>
      <c r="H21" s="5" t="n">
        <v>111109.35</v>
      </c>
      <c r="I21" s="5" t="n">
        <v>1120000</v>
      </c>
      <c r="J21" s="4" t="n"/>
      <c r="K21" s="5" t="n">
        <v>2645146</v>
      </c>
      <c r="L21" s="5" t="n">
        <v>-500735</v>
      </c>
      <c r="M21" s="5" t="n">
        <v>11300</v>
      </c>
      <c r="N21" s="5" t="n">
        <v>2155711</v>
      </c>
      <c r="O21" s="4" t="n"/>
      <c r="P21" s="5" t="n">
        <v>66476</v>
      </c>
      <c r="Q21" s="5" t="n">
        <v>0</v>
      </c>
      <c r="R21" s="5" t="n">
        <v>66476</v>
      </c>
      <c r="S21" s="6" t="n">
        <v>4</v>
      </c>
      <c r="T21" s="6" t="n">
        <v>9</v>
      </c>
      <c r="U21" s="7" t="n">
        <v>2.25</v>
      </c>
      <c r="V21" s="7" t="n">
        <v>0.05</v>
      </c>
      <c r="W21" s="5" t="n">
        <v>0.05</v>
      </c>
      <c r="X21" s="5" t="n">
        <v>127</v>
      </c>
      <c r="Y21" s="7" t="n">
        <v>1</v>
      </c>
      <c r="Z21" s="5" t="n">
        <v>1000</v>
      </c>
      <c r="AA21" s="5" t="n">
        <v>1000</v>
      </c>
    </row>
    <row r="22" hidden="1" ht="15" customHeight="1">
      <c r="A22" s="3" t="n">
        <v>45839</v>
      </c>
      <c r="B22" s="4" t="inlineStr">
        <is>
          <t>刘创</t>
        </is>
      </c>
      <c r="C22" s="4" t="inlineStr">
        <is>
          <t>集训营</t>
        </is>
      </c>
      <c r="D22" s="4" t="inlineStr">
        <is>
          <t>考研项目部</t>
        </is>
      </c>
      <c r="E22" s="4" t="inlineStr">
        <is>
          <t>B级学习顾问</t>
        </is>
      </c>
      <c r="F22" s="5">
        <f>G22+H22</f>
        <v/>
      </c>
      <c r="G22" s="5" t="n">
        <v>0</v>
      </c>
      <c r="H22" s="5" t="n">
        <v>0</v>
      </c>
      <c r="I22" s="5" t="n">
        <v>1120000</v>
      </c>
      <c r="J22" s="4" t="n"/>
      <c r="K22" s="5" t="n">
        <v>344367</v>
      </c>
      <c r="L22" s="5" t="n">
        <v>-341191</v>
      </c>
      <c r="M22" s="5" t="n">
        <v>0</v>
      </c>
      <c r="N22" s="5" t="n">
        <v>3175</v>
      </c>
      <c r="O22" s="4" t="n"/>
      <c r="P22" s="5" t="n">
        <v>0</v>
      </c>
      <c r="Q22" s="5" t="n">
        <v>0</v>
      </c>
      <c r="R22" s="5" t="n">
        <v>0</v>
      </c>
      <c r="S22" s="6" t="n">
        <v>4</v>
      </c>
      <c r="T22" s="6" t="n">
        <v>1</v>
      </c>
      <c r="U22" s="7" t="n">
        <v>0.25</v>
      </c>
      <c r="V22" s="7" t="n">
        <v>0</v>
      </c>
      <c r="W22" s="5" t="n">
        <v>0</v>
      </c>
      <c r="X22" s="5" t="n">
        <v>35</v>
      </c>
      <c r="Y22" s="7" t="n">
        <v>0</v>
      </c>
      <c r="Z22" s="5" t="n">
        <v>2000</v>
      </c>
      <c r="AA22" s="5" t="n">
        <v>0</v>
      </c>
    </row>
    <row r="23" hidden="1" ht="15" customHeight="1">
      <c r="A23" s="3" t="n">
        <v>45839</v>
      </c>
      <c r="B23" s="4" t="inlineStr">
        <is>
          <t>高龙明</t>
        </is>
      </c>
      <c r="C23" s="4" t="inlineStr">
        <is>
          <t>集训营</t>
        </is>
      </c>
      <c r="D23" s="4" t="inlineStr">
        <is>
          <t>考研项目部</t>
        </is>
      </c>
      <c r="E23" s="4" t="inlineStr">
        <is>
          <t>A级学习顾问</t>
        </is>
      </c>
      <c r="F23" s="5">
        <f>G23+H23</f>
        <v/>
      </c>
      <c r="G23" s="5" t="n">
        <v>0</v>
      </c>
      <c r="H23" s="5" t="n">
        <v>35357.1</v>
      </c>
      <c r="I23" s="5" t="n">
        <v>1120000</v>
      </c>
      <c r="J23" s="4" t="n"/>
      <c r="K23" s="5" t="n">
        <v>1777684</v>
      </c>
      <c r="L23" s="5" t="n">
        <v>-634404</v>
      </c>
      <c r="M23" s="5" t="n">
        <v>0</v>
      </c>
      <c r="N23" s="5" t="n">
        <v>1143279</v>
      </c>
      <c r="O23" s="4" t="n"/>
      <c r="P23" s="5" t="n">
        <v>35291</v>
      </c>
      <c r="Q23" s="5" t="n">
        <v>0</v>
      </c>
      <c r="R23" s="5" t="n">
        <v>35291</v>
      </c>
      <c r="S23" s="6" t="n">
        <v>4</v>
      </c>
      <c r="T23" s="6" t="n">
        <v>3</v>
      </c>
      <c r="U23" s="7" t="n">
        <v>0.75</v>
      </c>
      <c r="V23" s="7" t="n">
        <v>0.03</v>
      </c>
      <c r="W23" s="5" t="n">
        <v>0.03</v>
      </c>
      <c r="X23" s="5" t="n">
        <v>69</v>
      </c>
      <c r="Y23" s="7" t="n">
        <v>0</v>
      </c>
      <c r="Z23" s="5" t="n">
        <v>1000</v>
      </c>
      <c r="AA23" s="5" t="n">
        <v>0</v>
      </c>
    </row>
    <row r="24" hidden="1" ht="15" customHeight="1">
      <c r="A24" s="3" t="n">
        <v>45839</v>
      </c>
      <c r="B24" s="4" t="inlineStr">
        <is>
          <t>陈伟钰</t>
        </is>
      </c>
      <c r="C24" s="4" t="inlineStr">
        <is>
          <t>集训营</t>
        </is>
      </c>
      <c r="D24" s="4" t="inlineStr">
        <is>
          <t>考研项目部</t>
        </is>
      </c>
      <c r="E24" s="4" t="inlineStr">
        <is>
          <t>B级学习顾问</t>
        </is>
      </c>
      <c r="F24" s="5">
        <f>G24+H24</f>
        <v/>
      </c>
      <c r="G24" s="5" t="n">
        <v>2000</v>
      </c>
      <c r="H24" s="5" t="n">
        <v>5903.048</v>
      </c>
      <c r="I24" s="5" t="n">
        <v>1232000</v>
      </c>
      <c r="J24" s="4" t="n"/>
      <c r="K24" s="5" t="n">
        <v>994027</v>
      </c>
      <c r="L24" s="5" t="n">
        <v>-329229</v>
      </c>
      <c r="M24" s="5" t="n">
        <v>73084</v>
      </c>
      <c r="N24" s="5" t="n">
        <v>737881</v>
      </c>
      <c r="O24" s="4" t="n"/>
      <c r="P24" s="5" t="n">
        <v>0</v>
      </c>
      <c r="Q24" s="5" t="n">
        <v>0</v>
      </c>
      <c r="R24" s="5" t="n">
        <v>0</v>
      </c>
      <c r="S24" s="6" t="n">
        <v>4</v>
      </c>
      <c r="T24" s="6" t="n">
        <v>3</v>
      </c>
      <c r="U24" s="7" t="n">
        <v>0.75</v>
      </c>
      <c r="V24" s="7" t="n">
        <v>0.008</v>
      </c>
      <c r="W24" s="5" t="n">
        <v>0.008</v>
      </c>
      <c r="X24" s="5" t="n">
        <v>105</v>
      </c>
      <c r="Y24" s="7" t="n">
        <v>1</v>
      </c>
      <c r="Z24" s="5" t="n">
        <v>2000</v>
      </c>
      <c r="AA24" s="5" t="n">
        <v>2000</v>
      </c>
    </row>
    <row r="25" hidden="1" ht="15" customHeight="1">
      <c r="A25" s="3" t="n">
        <v>45839</v>
      </c>
      <c r="B25" s="4" t="inlineStr">
        <is>
          <t>陈露</t>
        </is>
      </c>
      <c r="C25" s="4" t="inlineStr">
        <is>
          <t>集训营</t>
        </is>
      </c>
      <c r="D25" s="4" t="inlineStr">
        <is>
          <t>考研项目部</t>
        </is>
      </c>
      <c r="E25" s="4" t="inlineStr">
        <is>
          <t>B级学习顾问</t>
        </is>
      </c>
      <c r="F25" s="5">
        <f>G25+H25</f>
        <v/>
      </c>
      <c r="G25" s="5" t="n">
        <v>0</v>
      </c>
      <c r="H25" s="5" t="n">
        <v>5941.416</v>
      </c>
      <c r="I25" s="5" t="n">
        <v>1232000</v>
      </c>
      <c r="J25" s="4" t="n"/>
      <c r="K25" s="5" t="n">
        <v>825613</v>
      </c>
      <c r="L25" s="5" t="n">
        <v>-162506</v>
      </c>
      <c r="M25" s="5" t="n">
        <v>0</v>
      </c>
      <c r="N25" s="5" t="n">
        <v>663107</v>
      </c>
      <c r="O25" s="4" t="n"/>
      <c r="P25" s="5" t="n">
        <v>79570</v>
      </c>
      <c r="Q25" s="5" t="n">
        <v>0</v>
      </c>
      <c r="R25" s="5" t="n">
        <v>79570</v>
      </c>
      <c r="S25" s="6" t="n">
        <v>4</v>
      </c>
      <c r="T25" s="6" t="n">
        <v>1</v>
      </c>
      <c r="U25" s="7" t="n">
        <v>0.25</v>
      </c>
      <c r="V25" s="7" t="n">
        <v>0.008</v>
      </c>
      <c r="W25" s="5" t="n">
        <v>0.008</v>
      </c>
      <c r="X25" s="5" t="n">
        <v>42</v>
      </c>
      <c r="Y25" s="7" t="n">
        <v>0</v>
      </c>
      <c r="Z25" s="5" t="n">
        <v>2000</v>
      </c>
      <c r="AA25" s="5" t="n">
        <v>0</v>
      </c>
    </row>
    <row r="26" hidden="1" ht="15" customFormat="1" customHeight="1" s="12">
      <c r="A26" s="9" t="n">
        <v>45870</v>
      </c>
      <c r="B26" s="8" t="inlineStr">
        <is>
          <t>苏乾楠</t>
        </is>
      </c>
      <c r="C26" s="8" t="inlineStr">
        <is>
          <t>集训营</t>
        </is>
      </c>
      <c r="D26" s="8" t="inlineStr">
        <is>
          <t>考研项目部</t>
        </is>
      </c>
      <c r="E26" s="8" t="inlineStr">
        <is>
          <t>B级学习顾问</t>
        </is>
      </c>
      <c r="F26" s="10">
        <f>G26+H26</f>
        <v/>
      </c>
      <c r="G26" s="10">
        <f>AA26</f>
        <v/>
      </c>
      <c r="H26" s="10">
        <f>W26</f>
        <v/>
      </c>
      <c r="I26" s="10" t="n">
        <v>594000</v>
      </c>
      <c r="J26" s="8" t="n"/>
      <c r="K26" s="10" t="n">
        <v>997762.2</v>
      </c>
      <c r="L26" s="10" t="n">
        <v>-253999.4</v>
      </c>
      <c r="N26" s="10">
        <f>K26+L26+M26</f>
        <v/>
      </c>
      <c r="P26" s="10" t="n">
        <v>0</v>
      </c>
      <c r="Q26" s="10" t="n">
        <v>0</v>
      </c>
      <c r="R26" s="10" t="n">
        <v>0</v>
      </c>
      <c r="S26" s="10" t="n">
        <v>35000</v>
      </c>
      <c r="T26" s="10" t="n">
        <v>87176.8</v>
      </c>
      <c r="U26" s="11">
        <f>T26/S26</f>
        <v/>
      </c>
      <c r="V26" s="11" t="n">
        <v>0.04</v>
      </c>
      <c r="W26" s="10" t="n">
        <v>29750.512</v>
      </c>
      <c r="X26" s="10" t="n">
        <v>115</v>
      </c>
      <c r="Y26" s="11" t="n">
        <v>1</v>
      </c>
      <c r="Z26" s="10" t="n">
        <v>2000</v>
      </c>
      <c r="AA26" s="10" t="n">
        <v>2000</v>
      </c>
    </row>
    <row r="27" hidden="1" ht="15" customHeight="1">
      <c r="A27" s="3" t="n">
        <v>45870</v>
      </c>
      <c r="B27" s="4" t="inlineStr">
        <is>
          <t>张乐</t>
        </is>
      </c>
      <c r="C27" s="4" t="inlineStr">
        <is>
          <t>集训营</t>
        </is>
      </c>
      <c r="D27" s="4" t="inlineStr">
        <is>
          <t>考研项目部</t>
        </is>
      </c>
      <c r="E27" s="4" t="inlineStr">
        <is>
          <t>B级学习顾问</t>
        </is>
      </c>
      <c r="F27" s="5">
        <f>G27+H27</f>
        <v/>
      </c>
      <c r="G27" s="10">
        <f>AA27</f>
        <v/>
      </c>
      <c r="H27" s="10">
        <f>W27</f>
        <v/>
      </c>
      <c r="I27" s="5" t="n">
        <v>540000</v>
      </c>
      <c r="J27" s="4" t="n"/>
      <c r="K27" s="5" t="n">
        <v>508000</v>
      </c>
      <c r="L27" s="5" t="n">
        <v>-421159.3</v>
      </c>
      <c r="M27" s="5" t="n">
        <v>-495201</v>
      </c>
      <c r="N27" s="5" t="n">
        <v>0</v>
      </c>
      <c r="O27" s="4" t="n"/>
      <c r="P27" s="5" t="n">
        <v>-88775.8</v>
      </c>
      <c r="Q27" s="5" t="n">
        <v>-0.174755511811024</v>
      </c>
      <c r="R27" s="5" t="n">
        <v>135400</v>
      </c>
      <c r="S27" s="10">
        <f>_xlfn.XLOOKUP(B27,'[1]8月老带新'!$B$15:$B$23,'[1]8月老带新'!$N$15:$N$23,0,0)</f>
        <v/>
      </c>
      <c r="T27" s="10">
        <f>_xlfn.XLOOKUP(B27,'[1]8月老带新'!$B$15:$B$23,'[1]8月老带新'!$O$15:$O$23,0,0)</f>
        <v/>
      </c>
      <c r="U27" s="11">
        <f>T27/S27</f>
        <v/>
      </c>
      <c r="V27" s="7">
        <f>_xlfn.XLOOKUP(B27,[1]顾问业绩奖金及绩效!$B$18:$B$28,[1]顾问业绩奖金及绩效!$AM$18:$AM$28,0,0)</f>
        <v/>
      </c>
      <c r="W27" s="5">
        <f>_xlfn.XLOOKUP(B27,[1]顾问业绩奖金及绩效!$B$18:$B$28,[1]顾问业绩奖金及绩效!$AN$18:$AN$28,0,0)</f>
        <v/>
      </c>
      <c r="X27" s="5" t="n">
        <v>100</v>
      </c>
      <c r="Y27" s="7" t="n">
        <v>1</v>
      </c>
      <c r="Z27" s="5" t="n">
        <v>2000</v>
      </c>
      <c r="AA27" s="5" t="n">
        <v>2000</v>
      </c>
    </row>
    <row r="28" hidden="1" ht="15" customHeight="1">
      <c r="A28" s="3" t="n">
        <v>45870</v>
      </c>
      <c r="B28" s="4" t="inlineStr">
        <is>
          <t>张俊旺</t>
        </is>
      </c>
      <c r="C28" s="4" t="inlineStr">
        <is>
          <t>集训营</t>
        </is>
      </c>
      <c r="D28" s="4" t="inlineStr">
        <is>
          <t>考研项目部</t>
        </is>
      </c>
      <c r="E28" s="4" t="inlineStr">
        <is>
          <t>A级学习顾问</t>
        </is>
      </c>
      <c r="F28" s="5">
        <f>G28+H28</f>
        <v/>
      </c>
      <c r="G28" s="10">
        <f>AA28</f>
        <v/>
      </c>
      <c r="H28" s="10">
        <f>W28</f>
        <v/>
      </c>
      <c r="I28" s="5" t="n">
        <v>594000</v>
      </c>
      <c r="J28" s="4" t="n"/>
      <c r="K28" s="5" t="n">
        <v>562000</v>
      </c>
      <c r="L28" s="5" t="n">
        <v>-195333.1</v>
      </c>
      <c r="M28" s="5" t="n">
        <v>-189520.1</v>
      </c>
      <c r="N28" s="5" t="n">
        <v>0</v>
      </c>
      <c r="O28" s="4" t="n"/>
      <c r="P28" s="5" t="n">
        <v>718728.35</v>
      </c>
      <c r="Q28" s="5" t="n">
        <v>1.27887606761566</v>
      </c>
      <c r="R28" s="5" t="n">
        <v>0</v>
      </c>
      <c r="S28" s="10">
        <f>_xlfn.XLOOKUP(B28,'[1]8月老带新'!$B$15:$B$23,'[1]8月老带新'!$N$15:$N$23,0,0)</f>
        <v/>
      </c>
      <c r="T28" s="10">
        <f>_xlfn.XLOOKUP(B28,'[1]8月老带新'!$B$15:$B$23,'[1]8月老带新'!$O$15:$O$23,0,0)</f>
        <v/>
      </c>
      <c r="U28" s="11">
        <f>T28/S28</f>
        <v/>
      </c>
      <c r="V28" s="7">
        <f>_xlfn.XLOOKUP(B28,[1]顾问业绩奖金及绩效!$B$18:$B$28,[1]顾问业绩奖金及绩效!$AM$18:$AM$28,0,0)</f>
        <v/>
      </c>
      <c r="W28" s="5">
        <f>_xlfn.XLOOKUP(B28,[1]顾问业绩奖金及绩效!$B$18:$B$28,[1]顾问业绩奖金及绩效!$AN$18:$AN$28,0,0)</f>
        <v/>
      </c>
      <c r="X28" s="5" t="n">
        <v>40</v>
      </c>
      <c r="Y28" s="7" t="n">
        <v>0</v>
      </c>
      <c r="Z28" s="5" t="n">
        <v>1000</v>
      </c>
      <c r="AA28" s="5" t="n">
        <v>0</v>
      </c>
    </row>
    <row r="29" hidden="1" ht="15" customHeight="1">
      <c r="A29" s="3" t="n">
        <v>45870</v>
      </c>
      <c r="B29" s="4" t="inlineStr">
        <is>
          <t>杨晓超</t>
        </is>
      </c>
      <c r="C29" s="4" t="inlineStr">
        <is>
          <t>集训营</t>
        </is>
      </c>
      <c r="D29" s="4" t="inlineStr">
        <is>
          <t>考研项目部</t>
        </is>
      </c>
      <c r="E29" s="4" t="inlineStr">
        <is>
          <t>B级学习顾问</t>
        </is>
      </c>
      <c r="F29" s="5">
        <f>G29+H29</f>
        <v/>
      </c>
      <c r="G29" s="10">
        <f>AA29</f>
        <v/>
      </c>
      <c r="H29" s="10">
        <f>W29</f>
        <v/>
      </c>
      <c r="I29" s="5" t="n">
        <v>540000</v>
      </c>
      <c r="J29" s="4" t="n"/>
      <c r="K29" s="5" t="n">
        <v>508000</v>
      </c>
      <c r="L29" s="5" t="n">
        <v>-628247.2</v>
      </c>
      <c r="M29" s="5" t="n">
        <v>-604346.25</v>
      </c>
      <c r="N29" s="5" t="n">
        <v>54300</v>
      </c>
      <c r="O29" s="4" t="n"/>
      <c r="P29" s="5" t="n">
        <v>789744.5699999999</v>
      </c>
      <c r="Q29" s="5" t="n">
        <v>1.55461529527559</v>
      </c>
      <c r="R29" s="5" t="n">
        <v>96909.8</v>
      </c>
      <c r="S29" s="10">
        <f>_xlfn.XLOOKUP(B29,'[1]8月老带新'!$B$15:$B$23,'[1]8月老带新'!$N$15:$N$23,0,0)</f>
        <v/>
      </c>
      <c r="T29" s="10">
        <f>_xlfn.XLOOKUP(B29,'[1]8月老带新'!$B$15:$B$23,'[1]8月老带新'!$O$15:$O$23,0,0)</f>
        <v/>
      </c>
      <c r="U29" s="11">
        <f>T29/S29</f>
        <v/>
      </c>
      <c r="V29" s="7">
        <f>_xlfn.XLOOKUP(B29,[1]顾问业绩奖金及绩效!$B$18:$B$28,[1]顾问业绩奖金及绩效!$AM$18:$AM$28,0,0)</f>
        <v/>
      </c>
      <c r="W29" s="5">
        <f>_xlfn.XLOOKUP(B29,[1]顾问业绩奖金及绩效!$B$18:$B$28,[1]顾问业绩奖金及绩效!$AN$18:$AN$28,0,0)</f>
        <v/>
      </c>
      <c r="X29" s="5" t="n">
        <v>120</v>
      </c>
      <c r="Y29" s="7" t="n">
        <v>1</v>
      </c>
      <c r="Z29" s="5" t="n">
        <v>2000</v>
      </c>
      <c r="AA29" s="5" t="n">
        <v>2000</v>
      </c>
    </row>
    <row r="30" hidden="1" ht="15" customHeight="1">
      <c r="A30" s="3" t="n">
        <v>45870</v>
      </c>
      <c r="B30" s="4" t="inlineStr">
        <is>
          <t>王志远</t>
        </is>
      </c>
      <c r="C30" s="4" t="inlineStr">
        <is>
          <t>集训营</t>
        </is>
      </c>
      <c r="D30" s="4" t="inlineStr">
        <is>
          <t>考研项目部</t>
        </is>
      </c>
      <c r="E30" s="4" t="inlineStr">
        <is>
          <t>B级学习顾问</t>
        </is>
      </c>
      <c r="F30" s="5">
        <f>G30+H30</f>
        <v/>
      </c>
      <c r="G30" s="10">
        <f>AA30</f>
        <v/>
      </c>
      <c r="H30" s="10">
        <f>W30</f>
        <v/>
      </c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10">
        <f>_xlfn.XLOOKUP(B30,'[1]8月老带新'!$B$15:$B$23,'[1]8月老带新'!$N$15:$N$23,0,0)</f>
        <v/>
      </c>
      <c r="T30" s="10">
        <f>_xlfn.XLOOKUP(B30,'[1]8月老带新'!$B$15:$B$23,'[1]8月老带新'!$O$15:$O$23,0,0)</f>
        <v/>
      </c>
      <c r="U30" s="11" t="n"/>
      <c r="V30" s="7">
        <f>_xlfn.XLOOKUP(B30,[1]顾问业绩奖金及绩效!$B$18:$B$28,[1]顾问业绩奖金及绩效!$AM$18:$AM$28,0,0)</f>
        <v/>
      </c>
      <c r="W30" s="5">
        <f>_xlfn.XLOOKUP(B30,[1]顾问业绩奖金及绩效!$B$18:$B$28,[1]顾问业绩奖金及绩效!$AN$18:$AN$28,0,0)</f>
        <v/>
      </c>
      <c r="X30" s="5" t="n">
        <v>0</v>
      </c>
      <c r="Y30" s="7" t="n">
        <v>1</v>
      </c>
      <c r="Z30" s="5" t="n">
        <v>2000</v>
      </c>
      <c r="AA30" s="5" t="n">
        <v>2000</v>
      </c>
    </row>
    <row r="31" hidden="1" ht="15" customHeight="1">
      <c r="A31" s="3" t="n">
        <v>45870</v>
      </c>
      <c r="B31" s="4" t="inlineStr">
        <is>
          <t>王钦</t>
        </is>
      </c>
      <c r="C31" s="4" t="inlineStr">
        <is>
          <t>集训营</t>
        </is>
      </c>
      <c r="D31" s="4" t="inlineStr">
        <is>
          <t>考研项目部</t>
        </is>
      </c>
      <c r="E31" s="4" t="inlineStr">
        <is>
          <t>B级学习顾问</t>
        </is>
      </c>
      <c r="F31" s="5">
        <f>G31+H31</f>
        <v/>
      </c>
      <c r="G31" s="10">
        <f>AA31</f>
        <v/>
      </c>
      <c r="H31" s="10">
        <f>W31</f>
        <v/>
      </c>
      <c r="I31" s="5" t="n">
        <v>432000</v>
      </c>
      <c r="J31" s="4" t="n"/>
      <c r="K31" s="5" t="n">
        <v>400000</v>
      </c>
      <c r="L31" s="5" t="n">
        <v>-145975.2</v>
      </c>
      <c r="M31" s="5" t="n">
        <v>-169464.8</v>
      </c>
      <c r="N31" s="5" t="n">
        <v>0</v>
      </c>
      <c r="O31" s="4" t="n"/>
      <c r="P31" s="5" t="n">
        <v>365307.4</v>
      </c>
      <c r="Q31" s="5" t="n">
        <v>0.9132685</v>
      </c>
      <c r="R31" s="5" t="n">
        <v>6130</v>
      </c>
      <c r="S31" s="10">
        <f>_xlfn.XLOOKUP(B31,'[1]8月老带新'!$B$15:$B$23,'[1]8月老带新'!$N$15:$N$23,0,0)</f>
        <v/>
      </c>
      <c r="T31" s="10">
        <f>_xlfn.XLOOKUP(B31,'[1]8月老带新'!$B$15:$B$23,'[1]8月老带新'!$O$15:$O$23,0,0)</f>
        <v/>
      </c>
      <c r="U31" s="11">
        <f>T31/S31</f>
        <v/>
      </c>
      <c r="V31" s="7">
        <f>_xlfn.XLOOKUP(B31,[1]顾问业绩奖金及绩效!$B$18:$B$28,[1]顾问业绩奖金及绩效!$AM$18:$AM$28,0,0)</f>
        <v/>
      </c>
      <c r="W31" s="5">
        <f>_xlfn.XLOOKUP(B31,[1]顾问业绩奖金及绩效!$B$18:$B$28,[1]顾问业绩奖金及绩效!$AN$18:$AN$28,0,0)</f>
        <v/>
      </c>
      <c r="X31" s="5" t="n">
        <v>100</v>
      </c>
      <c r="Y31" s="7" t="n">
        <v>1</v>
      </c>
      <c r="Z31" s="5" t="n">
        <v>2000</v>
      </c>
      <c r="AA31" s="5" t="n">
        <v>2000</v>
      </c>
    </row>
    <row r="32" hidden="1" ht="15" customHeight="1">
      <c r="A32" s="3" t="n">
        <v>45870</v>
      </c>
      <c r="B32" s="4" t="inlineStr">
        <is>
          <t>钱雪冰</t>
        </is>
      </c>
      <c r="C32" s="4" t="inlineStr">
        <is>
          <t>集训营</t>
        </is>
      </c>
      <c r="D32" s="4" t="inlineStr">
        <is>
          <t>考研项目部</t>
        </is>
      </c>
      <c r="E32" s="4" t="inlineStr">
        <is>
          <t>B级学习顾问</t>
        </is>
      </c>
      <c r="F32" s="5">
        <f>G32+H32</f>
        <v/>
      </c>
      <c r="G32" s="10">
        <f>AA32</f>
        <v/>
      </c>
      <c r="H32" s="10">
        <f>W32</f>
        <v/>
      </c>
      <c r="I32" s="5" t="n">
        <v>540000</v>
      </c>
      <c r="J32" s="4" t="n"/>
      <c r="K32" s="5" t="n">
        <v>508000</v>
      </c>
      <c r="L32" s="5" t="n">
        <v>-512931.85</v>
      </c>
      <c r="M32" s="5" t="n">
        <v>-473267.05</v>
      </c>
      <c r="N32" s="5" t="n">
        <v>0</v>
      </c>
      <c r="O32" s="4" t="n"/>
      <c r="P32" s="5" t="n">
        <v>760336.85</v>
      </c>
      <c r="Q32" s="5" t="n">
        <v>1.49672608267717</v>
      </c>
      <c r="R32" s="5" t="n">
        <v>18388.8</v>
      </c>
      <c r="S32" s="10">
        <f>_xlfn.XLOOKUP(B32,'[1]8月老带新'!$B$15:$B$23,'[1]8月老带新'!$N$15:$N$23,0,0)</f>
        <v/>
      </c>
      <c r="T32" s="10">
        <f>_xlfn.XLOOKUP(B32,'[1]8月老带新'!$B$15:$B$23,'[1]8月老带新'!$O$15:$O$23,0,0)</f>
        <v/>
      </c>
      <c r="U32" s="11">
        <f>T32/S32</f>
        <v/>
      </c>
      <c r="V32" s="7">
        <f>_xlfn.XLOOKUP(B32,[1]顾问业绩奖金及绩效!$B$18:$B$28,[1]顾问业绩奖金及绩效!$AM$18:$AM$28,0,0)</f>
        <v/>
      </c>
      <c r="W32" s="5">
        <f>_xlfn.XLOOKUP(B32,[1]顾问业绩奖金及绩效!$B$18:$B$28,[1]顾问业绩奖金及绩效!$AN$18:$AN$28,0,0)</f>
        <v/>
      </c>
      <c r="X32" s="5" t="n">
        <v>95</v>
      </c>
      <c r="Y32" s="7" t="n">
        <v>1</v>
      </c>
      <c r="Z32" s="5" t="n">
        <v>1000</v>
      </c>
      <c r="AA32" s="5" t="n">
        <v>1000</v>
      </c>
    </row>
    <row r="33" hidden="1" ht="15" customHeight="1">
      <c r="A33" s="3" t="n">
        <v>45870</v>
      </c>
      <c r="B33" s="4" t="inlineStr">
        <is>
          <t>刘创</t>
        </is>
      </c>
      <c r="C33" s="4" t="inlineStr">
        <is>
          <t>集训营</t>
        </is>
      </c>
      <c r="D33" s="4" t="inlineStr">
        <is>
          <t>考研项目部</t>
        </is>
      </c>
      <c r="E33" s="4" t="inlineStr">
        <is>
          <t>B级学习顾问</t>
        </is>
      </c>
      <c r="F33" s="5">
        <f>G33+H33</f>
        <v/>
      </c>
      <c r="G33" s="10">
        <f>AA33</f>
        <v/>
      </c>
      <c r="H33" s="10">
        <f>W33</f>
        <v/>
      </c>
      <c r="I33" s="5" t="n">
        <v>594000</v>
      </c>
      <c r="J33" s="4" t="n"/>
      <c r="K33" s="5" t="n">
        <v>562000</v>
      </c>
      <c r="L33" s="5" t="n">
        <v>-474810.65</v>
      </c>
      <c r="M33" s="5" t="n">
        <v>-440995.75</v>
      </c>
      <c r="N33" s="5" t="n">
        <v>0</v>
      </c>
      <c r="O33" s="4" t="n"/>
      <c r="P33" s="5" t="n">
        <v>852644.9</v>
      </c>
      <c r="Q33" s="5" t="n">
        <v>1.51716174377224</v>
      </c>
      <c r="R33" s="5" t="n">
        <v>80301.89999999999</v>
      </c>
      <c r="S33" s="10">
        <f>_xlfn.XLOOKUP(B33,'[1]8月老带新'!$B$15:$B$23,'[1]8月老带新'!$N$15:$N$23,0,0)</f>
        <v/>
      </c>
      <c r="T33" s="10">
        <f>_xlfn.XLOOKUP(B33,'[1]8月老带新'!$B$15:$B$23,'[1]8月老带新'!$O$15:$O$23,0,0)</f>
        <v/>
      </c>
      <c r="U33" s="11">
        <f>T33/S33</f>
        <v/>
      </c>
      <c r="V33" s="7">
        <f>_xlfn.XLOOKUP(B33,[1]顾问业绩奖金及绩效!$B$18:$B$28,[1]顾问业绩奖金及绩效!$AM$18:$AM$28,0,0)</f>
        <v/>
      </c>
      <c r="W33" s="5">
        <f>_xlfn.XLOOKUP(B33,[1]顾问业绩奖金及绩效!$B$18:$B$28,[1]顾问业绩奖金及绩效!$AN$18:$AN$28,0,0)</f>
        <v/>
      </c>
      <c r="X33" s="5" t="n">
        <v>100</v>
      </c>
      <c r="Y33" s="7" t="n">
        <v>1</v>
      </c>
      <c r="Z33" s="5" t="n">
        <v>2000</v>
      </c>
      <c r="AA33" s="5" t="n">
        <v>2000</v>
      </c>
    </row>
    <row r="34" hidden="1" ht="15" customHeight="1">
      <c r="A34" s="3" t="n">
        <v>45870</v>
      </c>
      <c r="B34" s="4" t="inlineStr">
        <is>
          <t>高龙明</t>
        </is>
      </c>
      <c r="C34" s="4" t="inlineStr">
        <is>
          <t>集训营</t>
        </is>
      </c>
      <c r="D34" s="4" t="inlineStr">
        <is>
          <t>考研项目部</t>
        </is>
      </c>
      <c r="E34" s="4" t="inlineStr">
        <is>
          <t>A级学习顾问</t>
        </is>
      </c>
      <c r="F34" s="5">
        <f>G34+H34</f>
        <v/>
      </c>
      <c r="G34" s="10">
        <f>AA34</f>
        <v/>
      </c>
      <c r="H34" s="10">
        <f>W34</f>
        <v/>
      </c>
      <c r="I34" s="5" t="n">
        <v>540000</v>
      </c>
      <c r="J34" s="4" t="n"/>
      <c r="K34" s="5" t="n">
        <v>508000</v>
      </c>
      <c r="L34" s="5" t="n">
        <v>-661390.05</v>
      </c>
      <c r="M34" s="5" t="n">
        <v>-707562.15</v>
      </c>
      <c r="N34" s="5" t="n">
        <v>14625.5</v>
      </c>
      <c r="O34" s="4" t="n"/>
      <c r="P34" s="5" t="n">
        <v>843016.55</v>
      </c>
      <c r="Q34" s="5" t="n">
        <v>1.6594813976378</v>
      </c>
      <c r="R34" s="5" t="n">
        <v>100803</v>
      </c>
      <c r="S34" s="10">
        <f>_xlfn.XLOOKUP(B34,'[1]8月老带新'!$B$15:$B$23,'[1]8月老带新'!$N$15:$N$23,0,0)</f>
        <v/>
      </c>
      <c r="T34" s="10">
        <f>_xlfn.XLOOKUP(B34,'[1]8月老带新'!$B$15:$B$23,'[1]8月老带新'!$O$15:$O$23,0,0)</f>
        <v/>
      </c>
      <c r="U34" s="11">
        <f>T34/S34</f>
        <v/>
      </c>
      <c r="V34" s="7">
        <f>_xlfn.XLOOKUP(B34,[1]顾问业绩奖金及绩效!$B$18:$B$28,[1]顾问业绩奖金及绩效!$AM$18:$AM$28,0,0)</f>
        <v/>
      </c>
      <c r="W34" s="5">
        <f>_xlfn.XLOOKUP(B34,[1]顾问业绩奖金及绩效!$B$18:$B$28,[1]顾问业绩奖金及绩效!$AN$18:$AN$28,0,0)</f>
        <v/>
      </c>
      <c r="X34" s="5" t="n">
        <v>105</v>
      </c>
      <c r="Y34" s="7" t="n">
        <v>1</v>
      </c>
      <c r="Z34" s="5" t="n">
        <v>1000</v>
      </c>
      <c r="AA34" s="5" t="n">
        <v>1000</v>
      </c>
    </row>
    <row r="35" hidden="1" ht="15" customHeight="1">
      <c r="A35" s="3" t="n">
        <v>45870</v>
      </c>
      <c r="B35" s="4" t="inlineStr">
        <is>
          <t>陈伟钰</t>
        </is>
      </c>
      <c r="C35" s="4" t="inlineStr">
        <is>
          <t>集训营</t>
        </is>
      </c>
      <c r="D35" s="4" t="inlineStr">
        <is>
          <t>考研项目部</t>
        </is>
      </c>
      <c r="E35" s="4" t="inlineStr">
        <is>
          <t>B级学习顾问</t>
        </is>
      </c>
      <c r="F35" s="5">
        <f>G35+H35</f>
        <v/>
      </c>
      <c r="G35" s="10">
        <f>AA35</f>
        <v/>
      </c>
      <c r="H35" s="10">
        <f>W35</f>
        <v/>
      </c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10">
        <f>_xlfn.XLOOKUP(B35,'[1]8月老带新'!$B$15:$B$23,'[1]8月老带新'!$N$15:$N$23,0,0)</f>
        <v/>
      </c>
      <c r="T35" s="10">
        <f>_xlfn.XLOOKUP(B35,'[1]8月老带新'!$B$15:$B$23,'[1]8月老带新'!$O$15:$O$23,0,0)</f>
        <v/>
      </c>
      <c r="U35" s="4" t="n"/>
      <c r="V35" s="7">
        <f>_xlfn.XLOOKUP(B35,[1]顾问业绩奖金及绩效!$B$18:$B$28,[1]顾问业绩奖金及绩效!$AM$18:$AM$28,0,0)</f>
        <v/>
      </c>
      <c r="W35" s="5">
        <f>_xlfn.XLOOKUP(B35,[1]顾问业绩奖金及绩效!$B$18:$B$28,[1]顾问业绩奖金及绩效!$AN$18:$AN$28,0,0)</f>
        <v/>
      </c>
      <c r="X35" s="4" t="n"/>
      <c r="Y35" s="4" t="n"/>
      <c r="Z35" s="4" t="n"/>
      <c r="AA35" s="4" t="n"/>
    </row>
    <row r="36" hidden="1" ht="15" customHeight="1">
      <c r="A36" s="3" t="n">
        <v>45870</v>
      </c>
      <c r="B36" s="4" t="inlineStr">
        <is>
          <t>陈露</t>
        </is>
      </c>
      <c r="C36" s="4" t="inlineStr">
        <is>
          <t>集训营</t>
        </is>
      </c>
      <c r="D36" s="4" t="inlineStr">
        <is>
          <t>考研项目部</t>
        </is>
      </c>
      <c r="E36" s="4" t="inlineStr">
        <is>
          <t>B级学习顾问</t>
        </is>
      </c>
      <c r="F36" s="5">
        <f>G36+H36</f>
        <v/>
      </c>
      <c r="G36" s="10">
        <f>AA36</f>
        <v/>
      </c>
      <c r="H36" s="10">
        <f>W36</f>
        <v/>
      </c>
      <c r="I36" s="5" t="n">
        <v>594000</v>
      </c>
      <c r="J36" s="4" t="n"/>
      <c r="K36" s="5" t="n">
        <v>562000</v>
      </c>
      <c r="L36" s="5" t="n">
        <v>-251159.55</v>
      </c>
      <c r="M36" s="5" t="n">
        <v>-277508.8</v>
      </c>
      <c r="N36" s="5" t="n">
        <v>36125.6</v>
      </c>
      <c r="O36" s="4" t="n"/>
      <c r="P36" s="5" t="n">
        <v>336072</v>
      </c>
      <c r="Q36" s="5" t="n">
        <v>0.597992882562277</v>
      </c>
      <c r="R36" s="5" t="n">
        <v>0</v>
      </c>
      <c r="S36" s="10">
        <f>_xlfn.XLOOKUP(B36,'[1]8月老带新'!$B$15:$B$23,'[1]8月老带新'!$N$15:$N$23,0,0)</f>
        <v/>
      </c>
      <c r="T36" s="10">
        <f>_xlfn.XLOOKUP(B36,'[1]8月老带新'!$B$15:$B$23,'[1]8月老带新'!$O$15:$O$23,0,0)</f>
        <v/>
      </c>
      <c r="U36" s="7" t="n">
        <v>0</v>
      </c>
      <c r="V36" s="7">
        <f>_xlfn.XLOOKUP(B36,[1]顾问业绩奖金及绩效!$B$18:$B$28,[1]顾问业绩奖金及绩效!$AM$18:$AM$28,0,0)</f>
        <v/>
      </c>
      <c r="W36" s="5">
        <f>_xlfn.XLOOKUP(B36,[1]顾问业绩奖金及绩效!$B$18:$B$28,[1]顾问业绩奖金及绩效!$AN$18:$AN$28,0,0)</f>
        <v/>
      </c>
      <c r="X36" s="5" t="n">
        <v>40</v>
      </c>
      <c r="Y36" s="7" t="n">
        <v>0</v>
      </c>
      <c r="Z36" s="5" t="n">
        <v>2000</v>
      </c>
      <c r="AA36" s="5" t="n">
        <v>0</v>
      </c>
    </row>
    <row r="37" hidden="1" ht="15" customHeight="1">
      <c r="A37" s="3" t="n">
        <v>45901</v>
      </c>
      <c r="B37" s="4" t="inlineStr">
        <is>
          <t>苏乾楠</t>
        </is>
      </c>
      <c r="C37" s="4" t="inlineStr">
        <is>
          <t>集训营</t>
        </is>
      </c>
      <c r="D37" s="4" t="inlineStr">
        <is>
          <t>考研项目部</t>
        </is>
      </c>
      <c r="E37" s="4" t="inlineStr">
        <is>
          <t>B级学习顾问</t>
        </is>
      </c>
      <c r="F37" s="5">
        <f>G37+H37</f>
        <v/>
      </c>
      <c r="G37" s="5">
        <f>AA37</f>
        <v/>
      </c>
      <c r="H37" s="5">
        <f>W37</f>
        <v/>
      </c>
      <c r="I37" s="5" t="n">
        <v>700000</v>
      </c>
      <c r="J37" s="4" t="n">
        <v>680000</v>
      </c>
      <c r="K37" s="4" t="n">
        <v>902001.15</v>
      </c>
      <c r="L37" s="4" t="n">
        <v>-80250</v>
      </c>
      <c r="M37" s="4" t="n"/>
      <c r="N37" s="4">
        <f>K37+L37+M37</f>
        <v/>
      </c>
      <c r="O37" s="7">
        <f>N37/J37</f>
        <v/>
      </c>
      <c r="P37" s="5" t="n">
        <v>22448.6</v>
      </c>
      <c r="Q37" s="5" t="n">
        <v>-1332.44</v>
      </c>
      <c r="R37" s="5" t="n">
        <v>21116.16</v>
      </c>
      <c r="S37" s="5" t="n">
        <v>35000</v>
      </c>
      <c r="T37" s="5" t="n">
        <v>202262.8</v>
      </c>
      <c r="U37" s="7" t="n">
        <v>5.77893714285714</v>
      </c>
      <c r="V37" s="7" t="n">
        <v>0.04</v>
      </c>
      <c r="W37" s="5" t="n">
        <v>33714.6924</v>
      </c>
      <c r="X37" s="5" t="n">
        <v>100</v>
      </c>
      <c r="Y37" s="7" t="n">
        <v>1</v>
      </c>
      <c r="Z37" s="5" t="n">
        <v>2000</v>
      </c>
      <c r="AA37" s="5" t="n">
        <v>2000</v>
      </c>
    </row>
    <row r="38" hidden="1" ht="15" customHeight="1">
      <c r="A38" s="3" t="n">
        <v>45901</v>
      </c>
      <c r="B38" s="4" t="inlineStr">
        <is>
          <t>张乐</t>
        </is>
      </c>
      <c r="C38" s="4" t="inlineStr">
        <is>
          <t>集训营</t>
        </is>
      </c>
      <c r="D38" s="4" t="inlineStr">
        <is>
          <t>考研项目部</t>
        </is>
      </c>
      <c r="E38" s="4" t="inlineStr">
        <is>
          <t>B级学习顾问</t>
        </is>
      </c>
      <c r="F38" s="5">
        <f>G38+H38</f>
        <v/>
      </c>
      <c r="G38" s="5" t="n">
        <v>2000</v>
      </c>
      <c r="H38" s="5" t="n">
        <v>12144.645</v>
      </c>
      <c r="I38" s="5" t="n">
        <v>831124</v>
      </c>
      <c r="J38" s="5" t="n">
        <v>811124</v>
      </c>
      <c r="K38" s="5" t="n">
        <v>833431.95</v>
      </c>
      <c r="L38" s="5" t="n">
        <v>-168876.95</v>
      </c>
      <c r="M38" s="5" t="n">
        <v>0</v>
      </c>
      <c r="N38" s="5" t="n">
        <v>664555</v>
      </c>
      <c r="O38" s="7" t="n">
        <v>0.819301364526262</v>
      </c>
      <c r="P38" s="5" t="n">
        <v>10147.5</v>
      </c>
      <c r="Q38" s="5" t="n">
        <v>0</v>
      </c>
      <c r="R38" s="5" t="n">
        <v>10147.5</v>
      </c>
      <c r="S38" s="5" t="n">
        <v>35000</v>
      </c>
      <c r="T38" s="5" t="n">
        <v>90600</v>
      </c>
      <c r="U38" s="7" t="n">
        <v>2.58857142857143</v>
      </c>
      <c r="V38" s="7" t="n">
        <v>0.018</v>
      </c>
      <c r="W38" s="5" t="n">
        <v>12144.645</v>
      </c>
      <c r="X38" s="5" t="n">
        <v>96</v>
      </c>
      <c r="Y38" s="7" t="n">
        <v>1</v>
      </c>
      <c r="Z38" s="5" t="n">
        <v>2000</v>
      </c>
      <c r="AA38" s="5" t="n">
        <v>2000</v>
      </c>
    </row>
    <row r="39" hidden="1" ht="15" customHeight="1">
      <c r="A39" s="3" t="n">
        <v>45901</v>
      </c>
      <c r="B39" s="4" t="inlineStr">
        <is>
          <t>张俊旺</t>
        </is>
      </c>
      <c r="C39" s="4" t="inlineStr">
        <is>
          <t>集训营</t>
        </is>
      </c>
      <c r="D39" s="4" t="inlineStr">
        <is>
          <t>考研项目部</t>
        </is>
      </c>
      <c r="E39" s="4" t="inlineStr">
        <is>
          <t>集训营顾问组长</t>
        </is>
      </c>
      <c r="F39" s="5">
        <f>G39+H39</f>
        <v/>
      </c>
      <c r="G39" s="5" t="n">
        <v>4000</v>
      </c>
      <c r="H39" s="5" t="n">
        <v>0</v>
      </c>
      <c r="I39" s="5" t="n">
        <v>350000</v>
      </c>
      <c r="J39" s="5" t="n">
        <v>340000</v>
      </c>
      <c r="K39" s="5" t="n">
        <v>195800</v>
      </c>
      <c r="L39" s="5" t="n">
        <v>-84312.60000000001</v>
      </c>
      <c r="M39" s="5" t="n">
        <v>0</v>
      </c>
      <c r="N39" s="5" t="n">
        <v>111487.4</v>
      </c>
      <c r="O39" s="7" t="n">
        <v>0.327904117647059</v>
      </c>
      <c r="P39" s="5" t="n">
        <v>0</v>
      </c>
      <c r="Q39" s="5" t="n">
        <v>0</v>
      </c>
      <c r="R39" s="5" t="n">
        <v>0</v>
      </c>
      <c r="S39" s="5" t="n">
        <v>70000</v>
      </c>
      <c r="T39" s="5" t="n">
        <v>97299</v>
      </c>
      <c r="U39" s="7" t="n">
        <v>1.39</v>
      </c>
      <c r="V39" s="7" t="n">
        <v>0</v>
      </c>
      <c r="W39" s="5" t="n">
        <v>0</v>
      </c>
      <c r="X39" s="5" t="n">
        <v>100</v>
      </c>
      <c r="Y39" s="7" t="n">
        <v>1</v>
      </c>
      <c r="Z39" s="5" t="n">
        <v>4000</v>
      </c>
      <c r="AA39" s="5" t="n">
        <v>4000</v>
      </c>
    </row>
    <row r="40" hidden="1" ht="15" customHeight="1">
      <c r="A40" s="3" t="n">
        <v>45901</v>
      </c>
      <c r="B40" s="4" t="inlineStr">
        <is>
          <t>杨晓超</t>
        </is>
      </c>
      <c r="C40" s="4" t="inlineStr">
        <is>
          <t>集训营</t>
        </is>
      </c>
      <c r="D40" s="4" t="inlineStr">
        <is>
          <t>考研项目部</t>
        </is>
      </c>
      <c r="E40" s="4" t="inlineStr">
        <is>
          <t>B级学习顾问</t>
        </is>
      </c>
      <c r="F40" s="5">
        <f>G40+H40</f>
        <v/>
      </c>
      <c r="G40" s="5" t="n">
        <v>1600</v>
      </c>
      <c r="H40" s="5" t="n">
        <v>24143.832</v>
      </c>
      <c r="I40" s="5" t="n">
        <v>700000</v>
      </c>
      <c r="J40" s="5" t="n">
        <v>680000</v>
      </c>
      <c r="K40" s="5" t="n">
        <v>999784.5</v>
      </c>
      <c r="L40" s="5" t="n">
        <v>-213079.8</v>
      </c>
      <c r="M40" s="5" t="n">
        <v>0</v>
      </c>
      <c r="N40" s="5" t="n">
        <v>786704.7</v>
      </c>
      <c r="O40" s="7" t="n">
        <v>1.15691867647059</v>
      </c>
      <c r="P40" s="5" t="n">
        <v>18159.7</v>
      </c>
      <c r="Q40" s="5" t="n">
        <v>-70</v>
      </c>
      <c r="R40" s="5" t="n">
        <v>18089.7</v>
      </c>
      <c r="S40" s="5" t="n">
        <v>35000</v>
      </c>
      <c r="T40" s="5" t="n">
        <v>97298.5</v>
      </c>
      <c r="U40" s="7" t="n">
        <v>2.77995714285714</v>
      </c>
      <c r="V40" s="7" t="n">
        <v>0.03</v>
      </c>
      <c r="W40" s="5" t="n">
        <v>24143.832</v>
      </c>
      <c r="X40" s="5" t="n">
        <v>80</v>
      </c>
      <c r="Y40" s="7" t="n">
        <v>0.8</v>
      </c>
      <c r="Z40" s="5" t="n">
        <v>2000</v>
      </c>
      <c r="AA40" s="5" t="n">
        <v>1600</v>
      </c>
    </row>
    <row r="41" hidden="1" ht="15" customHeight="1">
      <c r="A41" s="3" t="n">
        <v>45901</v>
      </c>
      <c r="B41" s="4" t="inlineStr">
        <is>
          <t>王志远</t>
        </is>
      </c>
      <c r="C41" s="4" t="inlineStr">
        <is>
          <t>集训营</t>
        </is>
      </c>
      <c r="D41" s="4" t="inlineStr">
        <is>
          <t>考研项目部</t>
        </is>
      </c>
      <c r="E41" s="4" t="inlineStr">
        <is>
          <t>B级学习顾问</t>
        </is>
      </c>
      <c r="F41" s="5">
        <f>G41+H41</f>
        <v/>
      </c>
      <c r="G41" s="5" t="n">
        <v>2000</v>
      </c>
      <c r="H41" s="5" t="n">
        <v>1305.595</v>
      </c>
      <c r="I41" s="5" t="n">
        <v>0</v>
      </c>
      <c r="J41" s="5" t="n">
        <v>0</v>
      </c>
      <c r="K41" s="5" t="n">
        <v>120500</v>
      </c>
      <c r="L41" s="5" t="n">
        <v>0</v>
      </c>
      <c r="M41" s="5" t="n">
        <v>0</v>
      </c>
      <c r="N41" s="5" t="n">
        <v>120500</v>
      </c>
      <c r="O41" s="7" t="n">
        <v>0</v>
      </c>
      <c r="P41" s="5" t="n">
        <v>10059.5</v>
      </c>
      <c r="Q41" s="5" t="n">
        <v>0</v>
      </c>
      <c r="R41" s="5" t="n">
        <v>10059.5</v>
      </c>
      <c r="S41" s="5" t="n">
        <v>0</v>
      </c>
      <c r="T41" s="5" t="n">
        <v>0</v>
      </c>
      <c r="U41" s="7" t="n">
        <v>0</v>
      </c>
      <c r="V41" s="7" t="n">
        <v>0.01</v>
      </c>
      <c r="W41" s="5" t="n">
        <v>1305.595</v>
      </c>
      <c r="X41" s="5" t="n">
        <v>0</v>
      </c>
      <c r="Y41" s="7" t="n">
        <v>1</v>
      </c>
      <c r="Z41" s="5" t="n">
        <v>2000</v>
      </c>
      <c r="AA41" s="5" t="n">
        <v>2000</v>
      </c>
    </row>
    <row r="42" hidden="1" ht="15" customHeight="1">
      <c r="A42" s="3" t="n">
        <v>45901</v>
      </c>
      <c r="B42" s="4" t="inlineStr">
        <is>
          <t>王钦</t>
        </is>
      </c>
      <c r="C42" s="4" t="inlineStr">
        <is>
          <t>集训营</t>
        </is>
      </c>
      <c r="D42" s="4" t="inlineStr">
        <is>
          <t>考研项目部</t>
        </is>
      </c>
      <c r="E42" s="4" t="inlineStr">
        <is>
          <t>B级学习顾问</t>
        </is>
      </c>
      <c r="F42" s="5">
        <f>G42+H42</f>
        <v/>
      </c>
      <c r="G42" s="5" t="n">
        <v>2000</v>
      </c>
      <c r="H42" s="5" t="n">
        <v>11158.7706</v>
      </c>
      <c r="I42" s="5" t="n">
        <v>700000</v>
      </c>
      <c r="J42" s="5" t="n">
        <v>680000</v>
      </c>
      <c r="K42" s="5" t="n">
        <v>609665</v>
      </c>
      <c r="L42" s="5" t="n">
        <v>-32406.7</v>
      </c>
      <c r="M42" s="5" t="n">
        <v>0</v>
      </c>
      <c r="N42" s="5" t="n">
        <v>577258.3</v>
      </c>
      <c r="O42" s="7" t="n">
        <v>0.848909264705882</v>
      </c>
      <c r="P42" s="5" t="n">
        <v>49626.4</v>
      </c>
      <c r="Q42" s="5" t="n">
        <v>-6953</v>
      </c>
      <c r="R42" s="5" t="n">
        <v>42673.4</v>
      </c>
      <c r="S42" s="5" t="n">
        <v>18000</v>
      </c>
      <c r="T42" s="5" t="n">
        <v>98950</v>
      </c>
      <c r="U42" s="7" t="n">
        <v>5.49722222222222</v>
      </c>
      <c r="V42" s="7" t="n">
        <v>0.018</v>
      </c>
      <c r="W42" s="5" t="n">
        <v>11158.7706</v>
      </c>
      <c r="X42" s="5" t="n">
        <v>70</v>
      </c>
      <c r="Y42" s="7" t="n">
        <v>1</v>
      </c>
      <c r="Z42" s="5" t="n">
        <v>2000</v>
      </c>
      <c r="AA42" s="5" t="n">
        <v>2000</v>
      </c>
    </row>
    <row r="43" hidden="1" ht="24" customHeight="1">
      <c r="A43" s="3" t="n">
        <v>45901</v>
      </c>
      <c r="B43" s="4" t="inlineStr">
        <is>
          <t>钱雪冰</t>
        </is>
      </c>
      <c r="C43" s="4" t="inlineStr">
        <is>
          <t>集训营</t>
        </is>
      </c>
      <c r="D43" s="4" t="inlineStr">
        <is>
          <t>考研项目部</t>
        </is>
      </c>
      <c r="E43" s="4" t="inlineStr">
        <is>
          <t>集训营顾问组长</t>
        </is>
      </c>
      <c r="F43" s="5">
        <f>G43+H43</f>
        <v/>
      </c>
      <c r="G43" s="5" t="n">
        <v>3786</v>
      </c>
      <c r="H43" s="5" t="n">
        <v>11918.6514</v>
      </c>
      <c r="I43" s="5" t="n">
        <v>350000</v>
      </c>
      <c r="J43" s="5" t="n">
        <v>340000</v>
      </c>
      <c r="K43" s="5" t="n">
        <v>485909.05</v>
      </c>
      <c r="L43" s="5" t="n">
        <v>-126796.6</v>
      </c>
      <c r="M43" s="5" t="n">
        <v>0</v>
      </c>
      <c r="N43" s="5" t="n">
        <v>359112.45</v>
      </c>
      <c r="O43" s="7" t="n">
        <v>1.05621308823529</v>
      </c>
      <c r="P43" s="5" t="n">
        <v>49687</v>
      </c>
      <c r="Q43" s="5" t="n">
        <v>-11511.07</v>
      </c>
      <c r="R43" s="5" t="n">
        <v>38175.93</v>
      </c>
      <c r="S43" s="5" t="n">
        <v>123000</v>
      </c>
      <c r="T43" s="5" t="n">
        <v>347833</v>
      </c>
      <c r="U43" s="7" t="n">
        <v>2.83</v>
      </c>
      <c r="V43" s="7" t="n">
        <v>0.03</v>
      </c>
      <c r="W43" s="5" t="n">
        <v>11918.6514</v>
      </c>
      <c r="X43" s="5" t="n">
        <v>95</v>
      </c>
      <c r="Y43" s="7" t="n">
        <v>0.95</v>
      </c>
      <c r="Z43" s="5" t="n">
        <v>4000</v>
      </c>
      <c r="AA43" s="5" t="n">
        <v>3786</v>
      </c>
    </row>
    <row r="44" hidden="1" ht="21" customHeight="1">
      <c r="A44" s="3" t="n">
        <v>45901</v>
      </c>
      <c r="B44" s="4" t="inlineStr">
        <is>
          <t>刘创</t>
        </is>
      </c>
      <c r="C44" s="4" t="inlineStr">
        <is>
          <t>集训营</t>
        </is>
      </c>
      <c r="D44" s="4" t="inlineStr">
        <is>
          <t>考研项目部</t>
        </is>
      </c>
      <c r="E44" s="4" t="inlineStr">
        <is>
          <t>B级学习顾问</t>
        </is>
      </c>
      <c r="F44" s="5">
        <f>G44+H44</f>
        <v/>
      </c>
      <c r="G44" s="5" t="n">
        <v>2000</v>
      </c>
      <c r="H44" s="5" t="n">
        <v>21507.9984</v>
      </c>
      <c r="I44" s="5" t="n">
        <v>700000</v>
      </c>
      <c r="J44" s="5" t="n">
        <v>680000</v>
      </c>
      <c r="K44" s="5" t="n">
        <v>803565.4</v>
      </c>
      <c r="L44" s="5" t="n">
        <v>-161501.7</v>
      </c>
      <c r="M44" s="5" t="n">
        <v>0</v>
      </c>
      <c r="N44" s="5" t="n">
        <v>642063.7</v>
      </c>
      <c r="O44" s="7" t="n">
        <v>0.9442113235294119</v>
      </c>
      <c r="P44" s="5" t="n">
        <v>88361</v>
      </c>
      <c r="Q44" s="5" t="n">
        <v>-13491.42</v>
      </c>
      <c r="R44" s="5" t="n">
        <v>74869.58</v>
      </c>
      <c r="S44" s="5" t="n">
        <v>35000</v>
      </c>
      <c r="T44" s="5" t="n">
        <v>91203.39999999999</v>
      </c>
      <c r="U44" s="7" t="n">
        <v>2.60581142857143</v>
      </c>
      <c r="V44" s="7" t="n">
        <v>0.03</v>
      </c>
      <c r="W44" s="5" t="n">
        <v>21507.9984</v>
      </c>
      <c r="X44" s="5" t="n">
        <v>90</v>
      </c>
      <c r="Y44" s="7" t="n">
        <v>1</v>
      </c>
      <c r="Z44" s="5" t="n">
        <v>2000</v>
      </c>
      <c r="AA44" s="5" t="n">
        <v>2000</v>
      </c>
    </row>
    <row r="45" hidden="1" ht="18" customHeight="1">
      <c r="A45" s="3" t="n">
        <v>45901</v>
      </c>
      <c r="B45" s="4" t="inlineStr">
        <is>
          <t>高龙明</t>
        </is>
      </c>
      <c r="C45" s="4" t="inlineStr">
        <is>
          <t>集训营</t>
        </is>
      </c>
      <c r="D45" s="4" t="inlineStr">
        <is>
          <t>考研项目部</t>
        </is>
      </c>
      <c r="E45" s="4" t="inlineStr">
        <is>
          <t>A级学习顾问</t>
        </is>
      </c>
      <c r="F45" s="5">
        <f>G45+H45</f>
        <v/>
      </c>
      <c r="G45" s="5" t="n">
        <v>0</v>
      </c>
      <c r="H45" s="5" t="n">
        <v>34303.68</v>
      </c>
      <c r="I45" s="5" t="n">
        <v>700000</v>
      </c>
      <c r="J45" s="5" t="n">
        <v>680000</v>
      </c>
      <c r="K45" s="5" t="n">
        <v>1102850</v>
      </c>
      <c r="L45" s="5" t="n">
        <v>-268243.4</v>
      </c>
      <c r="M45" s="5" t="n">
        <v>0</v>
      </c>
      <c r="N45" s="5" t="n">
        <v>834606.6</v>
      </c>
      <c r="O45" s="7" t="n">
        <v>1.22736264705882</v>
      </c>
      <c r="P45" s="5" t="n">
        <v>22985.4</v>
      </c>
      <c r="Q45" s="5" t="n">
        <v>0</v>
      </c>
      <c r="R45" s="5" t="n">
        <v>22985.4</v>
      </c>
      <c r="S45" s="5" t="n">
        <v>35000</v>
      </c>
      <c r="T45" s="5" t="n">
        <v>7050</v>
      </c>
      <c r="U45" s="7" t="n">
        <v>0.201428571428571</v>
      </c>
      <c r="V45" s="7" t="n">
        <v>0.04</v>
      </c>
      <c r="W45" s="5" t="n">
        <v>34303.68</v>
      </c>
      <c r="X45" s="5" t="n">
        <v>50</v>
      </c>
      <c r="Y45" s="7" t="n">
        <v>0</v>
      </c>
      <c r="Z45" s="5" t="n">
        <v>1000</v>
      </c>
      <c r="AA45" s="5" t="n">
        <v>0</v>
      </c>
    </row>
    <row r="46" hidden="1" ht="18.75" customHeight="1">
      <c r="A46" s="3" t="n">
        <v>45901</v>
      </c>
      <c r="B46" s="4" t="inlineStr">
        <is>
          <t>陈露</t>
        </is>
      </c>
      <c r="C46" s="4" t="inlineStr">
        <is>
          <t>集训营</t>
        </is>
      </c>
      <c r="D46" s="4" t="inlineStr">
        <is>
          <t>考研项目部</t>
        </is>
      </c>
      <c r="E46" s="4" t="inlineStr">
        <is>
          <t>B级学习顾问</t>
        </is>
      </c>
      <c r="F46" s="5">
        <f>G46+H46</f>
        <v/>
      </c>
      <c r="G46" s="5" t="n">
        <v>2000</v>
      </c>
      <c r="H46" s="5" t="n">
        <v>3305.174</v>
      </c>
      <c r="I46" s="5" t="n">
        <v>768000</v>
      </c>
      <c r="J46" s="5" t="n">
        <v>748000</v>
      </c>
      <c r="K46" s="5" t="n">
        <v>599450.8</v>
      </c>
      <c r="L46" s="5" t="n">
        <v>-206099</v>
      </c>
      <c r="M46" s="5" t="n">
        <v>0</v>
      </c>
      <c r="N46" s="5" t="n">
        <v>393351.8</v>
      </c>
      <c r="O46" s="7" t="n">
        <v>0.5258713903743319</v>
      </c>
      <c r="P46" s="5" t="n">
        <v>35778.2</v>
      </c>
      <c r="Q46" s="5" t="n">
        <v>-15983.25</v>
      </c>
      <c r="R46" s="5" t="n">
        <v>19794.95</v>
      </c>
      <c r="S46" s="5" t="n">
        <v>35000</v>
      </c>
      <c r="T46" s="5" t="n">
        <v>27900</v>
      </c>
      <c r="U46" s="7" t="n">
        <v>0.797142857142857</v>
      </c>
      <c r="V46" s="7" t="n">
        <v>0.008</v>
      </c>
      <c r="W46" s="5" t="n">
        <v>3305.174</v>
      </c>
      <c r="X46" s="5" t="n">
        <v>89.8571428571429</v>
      </c>
      <c r="Y46" s="7" t="n">
        <v>1</v>
      </c>
      <c r="Z46" s="5" t="n">
        <v>2000</v>
      </c>
      <c r="AA46" s="5" t="n">
        <v>2000</v>
      </c>
    </row>
    <row r="47" hidden="1" ht="35.35" customHeight="1">
      <c r="A47" s="3" t="n">
        <v>45901</v>
      </c>
      <c r="B47" s="4" t="inlineStr">
        <is>
          <t>鲁子寒</t>
        </is>
      </c>
      <c r="C47" s="4" t="inlineStr">
        <is>
          <t>集训营</t>
        </is>
      </c>
      <c r="D47" s="4" t="inlineStr">
        <is>
          <t>考研项目部</t>
        </is>
      </c>
      <c r="E47" s="4" t="inlineStr">
        <is>
          <t>B级学习顾问</t>
        </is>
      </c>
      <c r="F47" s="5">
        <f>G47+H47</f>
        <v/>
      </c>
      <c r="G47" s="5" t="n">
        <v>2000</v>
      </c>
      <c r="H47" s="5" t="n">
        <v>0</v>
      </c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6" t="n"/>
      <c r="T47" s="6" t="n"/>
      <c r="U47" s="7" t="n"/>
      <c r="V47" s="4" t="n"/>
      <c r="W47" s="4" t="n"/>
      <c r="X47" s="5" t="n">
        <v>0</v>
      </c>
      <c r="Y47" s="7" t="n">
        <v>1</v>
      </c>
      <c r="Z47" s="5" t="n">
        <v>2000</v>
      </c>
      <c r="AA47" s="5" t="n">
        <v>2000</v>
      </c>
    </row>
    <row r="48" hidden="1" ht="15" customHeight="1">
      <c r="A48" s="3" t="n">
        <v>45931</v>
      </c>
      <c r="B48" s="4" t="inlineStr">
        <is>
          <t>苏乾楠</t>
        </is>
      </c>
      <c r="C48" s="4" t="inlineStr">
        <is>
          <t>集训营</t>
        </is>
      </c>
      <c r="D48" s="4" t="inlineStr">
        <is>
          <t>考研项目部</t>
        </is>
      </c>
      <c r="E48" s="4" t="inlineStr">
        <is>
          <t>B级学习顾问</t>
        </is>
      </c>
      <c r="F48" s="5">
        <f>G48+H48</f>
        <v/>
      </c>
      <c r="G48" s="5">
        <f>AA48</f>
        <v/>
      </c>
      <c r="H48" s="5">
        <f>W48</f>
        <v/>
      </c>
      <c r="I48" s="5" t="n">
        <v>321000</v>
      </c>
      <c r="J48" s="5" t="n">
        <v>316000</v>
      </c>
      <c r="K48" s="4" t="n">
        <v>391366.9</v>
      </c>
      <c r="L48" s="6" t="n">
        <v>-113060.3</v>
      </c>
      <c r="M48" s="4" t="n"/>
      <c r="N48" s="5" t="n">
        <v>278306.6</v>
      </c>
      <c r="O48" s="7">
        <f>N48/J48</f>
        <v/>
      </c>
      <c r="P48" s="5" t="n">
        <v>2641.8</v>
      </c>
      <c r="Q48" s="5" t="n">
        <v>0</v>
      </c>
      <c r="R48" s="5" t="n">
        <v>2641.8</v>
      </c>
      <c r="S48" s="5" t="n">
        <v>35000</v>
      </c>
      <c r="T48" s="5" t="n">
        <v>36080</v>
      </c>
      <c r="U48" s="7" t="n">
        <v>1.03085714285714</v>
      </c>
      <c r="V48" s="7" t="n">
        <v>0.018</v>
      </c>
      <c r="W48" s="5" t="n">
        <v>5057.0712</v>
      </c>
      <c r="X48" s="5" t="n">
        <v>90</v>
      </c>
      <c r="Y48" s="7" t="n">
        <v>1</v>
      </c>
      <c r="Z48" s="5" t="n">
        <v>2000</v>
      </c>
      <c r="AA48" s="5" t="n">
        <v>2000</v>
      </c>
    </row>
    <row r="49" hidden="1" ht="15" customHeight="1">
      <c r="A49" s="3" t="n">
        <v>45931</v>
      </c>
      <c r="B49" s="4" t="inlineStr">
        <is>
          <t>张俊旺</t>
        </is>
      </c>
      <c r="C49" s="4" t="inlineStr">
        <is>
          <t>集训营</t>
        </is>
      </c>
      <c r="D49" s="4" t="inlineStr">
        <is>
          <t>考研项目部</t>
        </is>
      </c>
      <c r="E49" s="4" t="inlineStr">
        <is>
          <t>集训营顾问组长</t>
        </is>
      </c>
      <c r="F49" s="5">
        <f>G49+H49</f>
        <v/>
      </c>
      <c r="G49" s="5" t="n">
        <v>3700</v>
      </c>
      <c r="H49" s="5" t="n">
        <v>6484.467</v>
      </c>
      <c r="I49" s="5" t="n">
        <v>165600</v>
      </c>
      <c r="J49" s="5" t="n">
        <v>160600</v>
      </c>
      <c r="K49" s="5" t="n">
        <v>231964.1</v>
      </c>
      <c r="L49" s="5" t="n">
        <v>-8072.2</v>
      </c>
      <c r="M49" s="5" t="n">
        <v>0</v>
      </c>
      <c r="N49" s="5" t="n">
        <v>204751.2</v>
      </c>
      <c r="O49" s="7" t="n">
        <v>1.27491407222914</v>
      </c>
      <c r="P49" s="5" t="n">
        <v>20187.7</v>
      </c>
      <c r="Q49" s="5" t="n">
        <v>-8790</v>
      </c>
      <c r="R49" s="5" t="n">
        <v>11397.7</v>
      </c>
      <c r="S49" s="5" t="n">
        <v>53000</v>
      </c>
      <c r="T49" s="5" t="n">
        <v>33450</v>
      </c>
      <c r="U49" s="7" t="n">
        <v>0.63</v>
      </c>
      <c r="V49" s="7" t="n">
        <v>0.03</v>
      </c>
      <c r="W49" s="5" t="n">
        <v>6484.467</v>
      </c>
      <c r="X49" s="5" t="n">
        <v>92.5</v>
      </c>
      <c r="Y49" s="7" t="n">
        <v>0.925</v>
      </c>
      <c r="Z49" s="5" t="n">
        <v>4000</v>
      </c>
      <c r="AA49" s="5" t="n">
        <v>3700</v>
      </c>
    </row>
    <row r="50" hidden="1" ht="15" customHeight="1">
      <c r="A50" s="3" t="n">
        <v>45931</v>
      </c>
      <c r="B50" s="4" t="inlineStr">
        <is>
          <t>杨晓超</t>
        </is>
      </c>
      <c r="C50" s="4" t="inlineStr">
        <is>
          <t>集训营</t>
        </is>
      </c>
      <c r="D50" s="4" t="inlineStr">
        <is>
          <t>考研项目部</t>
        </is>
      </c>
      <c r="E50" s="4" t="inlineStr">
        <is>
          <t>B级学习顾问</t>
        </is>
      </c>
      <c r="F50" s="5">
        <f>G50+H50</f>
        <v/>
      </c>
      <c r="G50" s="5" t="n">
        <v>1520</v>
      </c>
      <c r="H50" s="5" t="n">
        <v>24575.17</v>
      </c>
      <c r="I50" s="5" t="n">
        <v>321000</v>
      </c>
      <c r="J50" s="5" t="n">
        <v>316000</v>
      </c>
      <c r="K50" s="5" t="n">
        <v>563045.4</v>
      </c>
      <c r="L50" s="5" t="n">
        <v>-116289.4</v>
      </c>
      <c r="M50" s="5" t="n">
        <v>5679.7</v>
      </c>
      <c r="N50" s="5" t="n">
        <v>445310.7</v>
      </c>
      <c r="O50" s="7" t="n">
        <v>1.40921107594937</v>
      </c>
      <c r="P50" s="5" t="n">
        <v>47092.7</v>
      </c>
      <c r="Q50" s="5" t="n">
        <v>-900</v>
      </c>
      <c r="R50" s="5" t="n">
        <v>46192.7</v>
      </c>
      <c r="S50" s="5" t="n">
        <v>35000</v>
      </c>
      <c r="T50" s="5" t="n">
        <v>33450</v>
      </c>
      <c r="U50" s="7" t="n">
        <v>0.955714285714286</v>
      </c>
      <c r="V50" s="7" t="n">
        <v>0.05</v>
      </c>
      <c r="W50" s="5" t="n">
        <v>24575.17</v>
      </c>
      <c r="X50" s="5" t="n">
        <v>77.78571428571431</v>
      </c>
      <c r="Y50" s="7" t="n">
        <v>0.76</v>
      </c>
      <c r="Z50" s="5" t="n">
        <v>2000</v>
      </c>
      <c r="AA50" s="5" t="n">
        <v>1520</v>
      </c>
    </row>
    <row r="51" hidden="1" ht="15" customHeight="1">
      <c r="A51" s="3" t="n">
        <v>45931</v>
      </c>
      <c r="B51" s="4" t="inlineStr">
        <is>
          <t>王志远</t>
        </is>
      </c>
      <c r="C51" s="4" t="inlineStr">
        <is>
          <t>集训营</t>
        </is>
      </c>
      <c r="D51" s="4" t="inlineStr">
        <is>
          <t>考研项目部</t>
        </is>
      </c>
      <c r="E51" s="4" t="inlineStr">
        <is>
          <t>B级学习顾问</t>
        </is>
      </c>
      <c r="F51" s="5">
        <f>G51+H51</f>
        <v/>
      </c>
      <c r="G51" s="5" t="n">
        <v>2000</v>
      </c>
      <c r="H51" s="5" t="n">
        <v>485.9832</v>
      </c>
      <c r="I51" s="5" t="n">
        <v>81200</v>
      </c>
      <c r="J51" s="5" t="n">
        <v>76200</v>
      </c>
      <c r="K51" s="5" t="n">
        <v>24546.6</v>
      </c>
      <c r="L51" s="5" t="n">
        <v>-6100</v>
      </c>
      <c r="M51" s="5" t="n">
        <v>0</v>
      </c>
      <c r="N51" s="5" t="n">
        <v>24546.6</v>
      </c>
      <c r="O51" s="7" t="n">
        <v>0.322133858267717</v>
      </c>
      <c r="P51" s="5" t="n">
        <v>36201.3</v>
      </c>
      <c r="Q51" s="5" t="n">
        <v>0</v>
      </c>
      <c r="R51" s="5" t="n">
        <v>36201.3</v>
      </c>
      <c r="S51" s="5" t="n">
        <v>35000</v>
      </c>
      <c r="T51" s="5" t="n">
        <v>0</v>
      </c>
      <c r="U51" s="7" t="n">
        <v>0</v>
      </c>
      <c r="V51" s="7" t="n">
        <v>0.008</v>
      </c>
      <c r="W51" s="5" t="n">
        <v>485.9832</v>
      </c>
      <c r="X51" s="5" t="n">
        <v>100</v>
      </c>
      <c r="Y51" s="7" t="n">
        <v>1</v>
      </c>
      <c r="Z51" s="5" t="n">
        <v>2000</v>
      </c>
      <c r="AA51" s="5" t="n">
        <v>2000</v>
      </c>
    </row>
    <row r="52" hidden="1" ht="15" customHeight="1">
      <c r="A52" s="3" t="n">
        <v>45931</v>
      </c>
      <c r="B52" s="4" t="inlineStr">
        <is>
          <t>王钦</t>
        </is>
      </c>
      <c r="C52" s="4" t="inlineStr">
        <is>
          <t>集训营</t>
        </is>
      </c>
      <c r="D52" s="4" t="inlineStr">
        <is>
          <t>考研项目部</t>
        </is>
      </c>
      <c r="E52" s="4" t="inlineStr">
        <is>
          <t>B级学习顾问</t>
        </is>
      </c>
      <c r="F52" s="5">
        <f>G52+H52</f>
        <v/>
      </c>
      <c r="G52" s="5" t="n">
        <v>1520</v>
      </c>
      <c r="H52" s="5" t="n">
        <v>22273.978</v>
      </c>
      <c r="I52" s="5" t="n">
        <v>278000</v>
      </c>
      <c r="J52" s="5" t="n">
        <v>273000</v>
      </c>
      <c r="K52" s="5" t="n">
        <v>460355.4</v>
      </c>
      <c r="L52" s="5" t="n">
        <v>-94260</v>
      </c>
      <c r="M52" s="5" t="n">
        <v>0</v>
      </c>
      <c r="N52" s="5" t="n">
        <v>366095.4</v>
      </c>
      <c r="O52" s="7" t="n">
        <v>1.34100879120879</v>
      </c>
      <c r="P52" s="5" t="n">
        <v>84729.39999999999</v>
      </c>
      <c r="Q52" s="5" t="n">
        <v>-5345.24</v>
      </c>
      <c r="R52" s="5" t="n">
        <v>79384.16</v>
      </c>
      <c r="S52" s="5" t="n">
        <v>35000</v>
      </c>
      <c r="T52" s="5" t="n">
        <v>34000</v>
      </c>
      <c r="U52" s="7" t="n">
        <v>0.971428571428571</v>
      </c>
      <c r="V52" s="7" t="n">
        <v>0.05</v>
      </c>
      <c r="W52" s="5" t="n">
        <v>22273.978</v>
      </c>
      <c r="X52" s="5" t="n">
        <v>78</v>
      </c>
      <c r="Y52" s="7" t="n">
        <v>0.76</v>
      </c>
      <c r="Z52" s="5" t="n">
        <v>2000</v>
      </c>
      <c r="AA52" s="5" t="n">
        <v>1520</v>
      </c>
    </row>
    <row r="53" hidden="1" ht="15" customHeight="1">
      <c r="A53" s="3" t="n">
        <v>45931</v>
      </c>
      <c r="B53" s="4" t="inlineStr">
        <is>
          <t>钱雪冰</t>
        </is>
      </c>
      <c r="C53" s="4" t="inlineStr">
        <is>
          <t>集训营</t>
        </is>
      </c>
      <c r="D53" s="4" t="inlineStr">
        <is>
          <t>考研项目部</t>
        </is>
      </c>
      <c r="E53" s="4" t="inlineStr">
        <is>
          <t>集训营顾问组长</t>
        </is>
      </c>
      <c r="F53" s="5">
        <f>G53+H53</f>
        <v/>
      </c>
      <c r="G53" s="5" t="n">
        <v>4000</v>
      </c>
      <c r="H53" s="5" t="n">
        <v>14483.049</v>
      </c>
      <c r="I53" s="5" t="n">
        <v>194000</v>
      </c>
      <c r="J53" s="5" t="n">
        <v>189000</v>
      </c>
      <c r="K53" s="5" t="n">
        <v>584634.6</v>
      </c>
      <c r="L53" s="5" t="n">
        <v>-130296.2</v>
      </c>
      <c r="M53" s="5" t="n">
        <v>0</v>
      </c>
      <c r="N53" s="5" t="n">
        <v>474518.1</v>
      </c>
      <c r="O53" s="7" t="n">
        <v>2.51067777777778</v>
      </c>
      <c r="P53" s="5" t="n">
        <v>8250.200000000001</v>
      </c>
      <c r="Q53" s="5" t="n">
        <v>0</v>
      </c>
      <c r="R53" s="5" t="n">
        <v>8250.200000000001</v>
      </c>
      <c r="S53" s="5" t="n">
        <v>140000</v>
      </c>
      <c r="T53" s="5" t="n">
        <v>215878</v>
      </c>
      <c r="U53" s="7" t="n">
        <v>1.54</v>
      </c>
      <c r="V53" s="7" t="n">
        <v>0.03</v>
      </c>
      <c r="W53" s="5" t="n">
        <v>14483.049</v>
      </c>
      <c r="X53" s="5" t="n">
        <v>100</v>
      </c>
      <c r="Y53" s="7" t="n">
        <v>1</v>
      </c>
      <c r="Z53" s="5" t="n">
        <v>4000</v>
      </c>
      <c r="AA53" s="5" t="n">
        <v>4000</v>
      </c>
    </row>
    <row r="54" hidden="1" ht="15" customHeight="1">
      <c r="A54" s="3" t="n">
        <v>45931</v>
      </c>
      <c r="B54" s="4" t="inlineStr">
        <is>
          <t>刘创</t>
        </is>
      </c>
      <c r="C54" s="4" t="inlineStr">
        <is>
          <t>集训营</t>
        </is>
      </c>
      <c r="D54" s="4" t="inlineStr">
        <is>
          <t>考研项目部</t>
        </is>
      </c>
      <c r="E54" s="4" t="inlineStr">
        <is>
          <t>B级学习顾问</t>
        </is>
      </c>
      <c r="F54" s="5">
        <f>G54+H54</f>
        <v/>
      </c>
      <c r="G54" s="5" t="n">
        <v>2000</v>
      </c>
      <c r="H54" s="5" t="n">
        <v>25874.543</v>
      </c>
      <c r="I54" s="5" t="n">
        <v>321000</v>
      </c>
      <c r="J54" s="5" t="n">
        <v>316000</v>
      </c>
      <c r="K54" s="5" t="n">
        <v>649985.8</v>
      </c>
      <c r="L54" s="5" t="n">
        <v>-164765.1</v>
      </c>
      <c r="M54" s="5" t="n">
        <v>0</v>
      </c>
      <c r="N54" s="5" t="n">
        <v>486361.4</v>
      </c>
      <c r="O54" s="7" t="n">
        <v>1.53911835443038</v>
      </c>
      <c r="P54" s="5" t="n">
        <v>34130.1</v>
      </c>
      <c r="Q54" s="5" t="n">
        <v>-3000.64</v>
      </c>
      <c r="R54" s="5" t="n">
        <v>31129.46</v>
      </c>
      <c r="S54" s="5" t="n">
        <v>35000</v>
      </c>
      <c r="T54" s="5" t="n">
        <v>52980</v>
      </c>
      <c r="U54" s="7" t="n">
        <v>1.51371428571429</v>
      </c>
      <c r="V54" s="7" t="n">
        <v>0.05</v>
      </c>
      <c r="W54" s="5" t="n">
        <v>25874.543</v>
      </c>
      <c r="X54" s="5" t="n">
        <v>90</v>
      </c>
      <c r="Y54" s="7" t="n">
        <v>1</v>
      </c>
      <c r="Z54" s="5" t="n">
        <v>2000</v>
      </c>
      <c r="AA54" s="5" t="n">
        <v>2000</v>
      </c>
    </row>
    <row r="55" hidden="1" ht="15" customHeight="1">
      <c r="A55" s="3" t="n">
        <v>45931</v>
      </c>
      <c r="B55" s="4" t="inlineStr">
        <is>
          <t>高龙明</t>
        </is>
      </c>
      <c r="C55" s="4" t="inlineStr">
        <is>
          <t>集训营</t>
        </is>
      </c>
      <c r="D55" s="4" t="inlineStr">
        <is>
          <t>考研项目部</t>
        </is>
      </c>
      <c r="E55" s="4" t="inlineStr">
        <is>
          <t>A级学习顾问</t>
        </is>
      </c>
      <c r="F55" s="5">
        <f>G55+H55</f>
        <v/>
      </c>
      <c r="G55" s="5" t="n">
        <v>1000</v>
      </c>
      <c r="H55" s="5" t="n">
        <v>33388.9615</v>
      </c>
      <c r="I55" s="5" t="n">
        <v>321000</v>
      </c>
      <c r="J55" s="5" t="n">
        <v>316000</v>
      </c>
      <c r="K55" s="5" t="n">
        <v>717889.75</v>
      </c>
      <c r="L55" s="5" t="n">
        <v>-60071.75</v>
      </c>
      <c r="M55" s="5" t="n">
        <v>0</v>
      </c>
      <c r="N55" s="5" t="n">
        <v>659634.25</v>
      </c>
      <c r="O55" s="7" t="n">
        <v>2.08745015822785</v>
      </c>
      <c r="P55" s="5" t="n">
        <v>17306.4</v>
      </c>
      <c r="Q55" s="5" t="n">
        <v>-9161.42</v>
      </c>
      <c r="R55" s="5" t="n">
        <v>8144.98</v>
      </c>
      <c r="S55" s="5" t="n">
        <v>35000</v>
      </c>
      <c r="T55" s="5" t="n">
        <v>55980</v>
      </c>
      <c r="U55" s="7" t="n">
        <v>1.59942857142857</v>
      </c>
      <c r="V55" s="7" t="n">
        <v>0.05</v>
      </c>
      <c r="W55" s="5" t="n">
        <v>33388.9615</v>
      </c>
      <c r="X55" s="5" t="n">
        <v>100</v>
      </c>
      <c r="Y55" s="7" t="n">
        <v>1</v>
      </c>
      <c r="Z55" s="5" t="n">
        <v>1000</v>
      </c>
      <c r="AA55" s="5" t="n">
        <v>1000</v>
      </c>
    </row>
    <row r="56" hidden="1" ht="15" customHeight="1">
      <c r="A56" s="3" t="n">
        <v>45931</v>
      </c>
      <c r="B56" s="4" t="inlineStr">
        <is>
          <t>陈露</t>
        </is>
      </c>
      <c r="C56" s="4" t="inlineStr">
        <is>
          <t>集训营</t>
        </is>
      </c>
      <c r="D56" s="4" t="inlineStr">
        <is>
          <t>考研项目部</t>
        </is>
      </c>
      <c r="E56" s="4" t="inlineStr">
        <is>
          <t>B级学习顾问</t>
        </is>
      </c>
      <c r="F56" s="5">
        <f>G56+H56</f>
        <v/>
      </c>
      <c r="G56" s="5" t="n">
        <v>0</v>
      </c>
      <c r="H56" s="5" t="n">
        <v>17298.934</v>
      </c>
      <c r="I56" s="5" t="n">
        <v>352600</v>
      </c>
      <c r="J56" s="5" t="n">
        <v>347600</v>
      </c>
      <c r="K56" s="5" t="n">
        <v>452539.5</v>
      </c>
      <c r="L56" s="5" t="n">
        <v>-96884.10000000001</v>
      </c>
      <c r="M56" s="5" t="n">
        <v>0</v>
      </c>
      <c r="N56" s="5" t="n">
        <v>399904.9</v>
      </c>
      <c r="O56" s="7" t="n">
        <v>1.15047439585731</v>
      </c>
      <c r="P56" s="5" t="n">
        <v>32668.45</v>
      </c>
      <c r="Q56" s="5" t="n">
        <v>-100</v>
      </c>
      <c r="R56" s="5" t="n">
        <v>32568.45</v>
      </c>
      <c r="S56" s="5" t="n">
        <v>35000</v>
      </c>
      <c r="T56" s="5" t="n">
        <v>0</v>
      </c>
      <c r="U56" s="7" t="n">
        <v>0</v>
      </c>
      <c r="V56" s="7" t="n">
        <v>0.04</v>
      </c>
      <c r="W56" s="5" t="n">
        <v>17298.934</v>
      </c>
      <c r="X56" s="5" t="n">
        <v>40</v>
      </c>
      <c r="Y56" s="7" t="n">
        <v>0</v>
      </c>
      <c r="Z56" s="5" t="n">
        <v>2000</v>
      </c>
      <c r="AA56" s="5" t="n">
        <v>0</v>
      </c>
    </row>
    <row r="57" hidden="1" ht="15" customHeight="1">
      <c r="A57" s="3" t="n">
        <v>45931</v>
      </c>
      <c r="B57" s="4" t="inlineStr">
        <is>
          <t>张乐</t>
        </is>
      </c>
      <c r="C57" s="4" t="inlineStr">
        <is>
          <t>集训营</t>
        </is>
      </c>
      <c r="D57" s="4" t="inlineStr">
        <is>
          <t>考研项目部</t>
        </is>
      </c>
      <c r="E57" s="4" t="inlineStr">
        <is>
          <t>B级学习顾问</t>
        </is>
      </c>
      <c r="F57" s="5">
        <f>G57+H57</f>
        <v/>
      </c>
      <c r="G57" s="5">
        <f>AA57</f>
        <v/>
      </c>
      <c r="H57" s="5">
        <f>W57</f>
        <v/>
      </c>
      <c r="I57" s="5" t="n">
        <v>321000</v>
      </c>
      <c r="J57" s="5" t="n">
        <v>316000</v>
      </c>
      <c r="K57" s="5" t="n">
        <v>473797.4</v>
      </c>
      <c r="L57" s="5" t="n">
        <v>-62338.1</v>
      </c>
      <c r="M57" s="5" t="n">
        <v>0</v>
      </c>
      <c r="N57" s="5">
        <f>M57+L57+K57</f>
        <v/>
      </c>
      <c r="O57" s="7">
        <f>N57/J57</f>
        <v/>
      </c>
      <c r="P57" s="5" t="n">
        <v>6136.55</v>
      </c>
      <c r="Q57" s="5" t="n">
        <v>0</v>
      </c>
      <c r="R57" s="5" t="n">
        <v>6136.55</v>
      </c>
      <c r="S57" s="5" t="n">
        <v>35000</v>
      </c>
      <c r="T57" s="5" t="n">
        <v>60800</v>
      </c>
      <c r="U57" s="7" t="n">
        <v>1.73714285714286</v>
      </c>
      <c r="V57" s="7" t="n">
        <v>0.04</v>
      </c>
      <c r="W57" s="5" t="n">
        <v>16703.834</v>
      </c>
      <c r="X57" s="5" t="n">
        <v>100</v>
      </c>
      <c r="Y57" s="7" t="n">
        <v>1</v>
      </c>
      <c r="Z57" s="5" t="n">
        <v>2000</v>
      </c>
      <c r="AA57" s="5" t="n">
        <v>2000</v>
      </c>
    </row>
    <row r="58" hidden="1" ht="15" customHeight="1">
      <c r="A58" s="3" t="n">
        <v>45931</v>
      </c>
      <c r="B58" s="4" t="inlineStr">
        <is>
          <t>鲁子寒</t>
        </is>
      </c>
      <c r="C58" s="4" t="inlineStr">
        <is>
          <t>集训营</t>
        </is>
      </c>
      <c r="D58" s="4" t="inlineStr">
        <is>
          <t>考研项目部</t>
        </is>
      </c>
      <c r="E58" s="4" t="inlineStr">
        <is>
          <t>B级学习顾问</t>
        </is>
      </c>
      <c r="F58" s="5">
        <f>G58+H58</f>
        <v/>
      </c>
      <c r="G58" s="5" t="n">
        <v>2000</v>
      </c>
      <c r="H58" s="5" t="n">
        <v>0</v>
      </c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5" t="n">
        <v>100</v>
      </c>
      <c r="Y58" s="7" t="n">
        <v>1</v>
      </c>
      <c r="Z58" s="5" t="n">
        <v>2000</v>
      </c>
      <c r="AA58" s="5" t="n">
        <v>2000</v>
      </c>
    </row>
    <row r="59" hidden="1" ht="15" customHeight="1">
      <c r="A59" s="3" t="n">
        <v>45962</v>
      </c>
      <c r="B59" s="4" t="inlineStr">
        <is>
          <t>苏乾楠</t>
        </is>
      </c>
      <c r="C59" s="4" t="inlineStr">
        <is>
          <t>集训营</t>
        </is>
      </c>
      <c r="D59" s="4" t="inlineStr">
        <is>
          <t>考研项目部</t>
        </is>
      </c>
      <c r="E59" s="4" t="inlineStr">
        <is>
          <t>B级学习顾问</t>
        </is>
      </c>
      <c r="F59" s="5">
        <f>G59+H59</f>
        <v/>
      </c>
      <c r="G59" s="5">
        <f>AA59</f>
        <v/>
      </c>
      <c r="H59" s="5">
        <f>W59</f>
        <v/>
      </c>
      <c r="I59" s="5" t="n">
        <v>415000</v>
      </c>
      <c r="J59" s="5" t="n">
        <v>409000</v>
      </c>
      <c r="K59" s="5" t="n">
        <v>503131.3</v>
      </c>
      <c r="L59" s="5" t="n">
        <v>-47363.7</v>
      </c>
      <c r="M59" s="4" t="n"/>
      <c r="N59" s="5" t="n">
        <v>455767.6</v>
      </c>
      <c r="O59" s="7" t="n">
        <v>1.11434621026895</v>
      </c>
      <c r="P59" s="5" t="n">
        <v>16713.1</v>
      </c>
      <c r="Q59" s="5" t="n">
        <v>-200</v>
      </c>
      <c r="R59" s="5" t="n">
        <v>16513.1</v>
      </c>
      <c r="S59" s="5" t="n">
        <v>50000</v>
      </c>
      <c r="T59" s="5" t="n">
        <v>20001.3</v>
      </c>
      <c r="U59" s="7" t="n">
        <v>0.400026</v>
      </c>
      <c r="V59" s="7" t="n">
        <v>0.03</v>
      </c>
      <c r="W59" s="5" t="n">
        <v>14168.421</v>
      </c>
      <c r="X59" s="5" t="n">
        <v>40</v>
      </c>
      <c r="Y59" s="7" t="n">
        <v>0</v>
      </c>
      <c r="Z59" s="5" t="n">
        <v>2000</v>
      </c>
      <c r="AA59" s="5" t="n">
        <v>0</v>
      </c>
    </row>
    <row r="60" hidden="1" ht="15" customHeight="1">
      <c r="A60" s="3" t="n">
        <v>45962</v>
      </c>
      <c r="B60" s="4" t="inlineStr">
        <is>
          <t>张乐</t>
        </is>
      </c>
      <c r="C60" s="4" t="inlineStr">
        <is>
          <t>集训营</t>
        </is>
      </c>
      <c r="D60" s="4" t="inlineStr">
        <is>
          <t>考研项目部</t>
        </is>
      </c>
      <c r="E60" s="4" t="inlineStr">
        <is>
          <t>B级学习顾问</t>
        </is>
      </c>
      <c r="F60" s="5">
        <f>G60+H60</f>
        <v/>
      </c>
      <c r="G60" s="5" t="n">
        <v>0</v>
      </c>
      <c r="H60" s="5" t="n">
        <v>0</v>
      </c>
      <c r="I60" s="5" t="n">
        <v>415000</v>
      </c>
      <c r="J60" s="5" t="n">
        <v>409000</v>
      </c>
      <c r="K60" s="5" t="n">
        <v>126940</v>
      </c>
      <c r="L60" s="5" t="n">
        <v>-169800</v>
      </c>
      <c r="M60" s="5" t="n">
        <v>0</v>
      </c>
      <c r="N60" s="5" t="n">
        <v>-42860</v>
      </c>
      <c r="O60" s="7" t="n">
        <v>-0.10479217603912</v>
      </c>
      <c r="P60" s="5" t="n">
        <v>3809.7</v>
      </c>
      <c r="Q60" s="5" t="n">
        <v>0</v>
      </c>
      <c r="R60" s="5" t="n">
        <v>3809.7</v>
      </c>
      <c r="S60" s="5" t="n">
        <v>50000</v>
      </c>
      <c r="T60" s="5" t="n">
        <v>9000</v>
      </c>
      <c r="U60" s="7" t="n">
        <v>0.18</v>
      </c>
      <c r="V60" s="7" t="n">
        <v>0</v>
      </c>
      <c r="W60" s="5" t="n">
        <v>0</v>
      </c>
      <c r="X60" s="5" t="n">
        <v>20</v>
      </c>
      <c r="Y60" s="7" t="n">
        <v>0</v>
      </c>
      <c r="Z60" s="5" t="n">
        <v>2000</v>
      </c>
      <c r="AA60" s="5" t="n">
        <v>0</v>
      </c>
    </row>
    <row r="61" hidden="1" ht="15" customHeight="1">
      <c r="A61" s="3" t="n">
        <v>45962</v>
      </c>
      <c r="B61" s="4" t="inlineStr">
        <is>
          <t>张俊旺</t>
        </is>
      </c>
      <c r="C61" s="4" t="inlineStr">
        <is>
          <t>集训营</t>
        </is>
      </c>
      <c r="D61" s="4" t="inlineStr">
        <is>
          <t>考研项目部</t>
        </is>
      </c>
      <c r="E61" s="4" t="inlineStr">
        <is>
          <t>集训营顾问组长</t>
        </is>
      </c>
      <c r="F61" s="5">
        <f>G61+H61</f>
        <v/>
      </c>
      <c r="G61" s="5" t="n">
        <v>3615.23839169909</v>
      </c>
      <c r="H61" s="5" t="n">
        <v>0</v>
      </c>
      <c r="I61" s="5" t="n">
        <v>178000</v>
      </c>
      <c r="J61" s="5" t="n">
        <v>175000</v>
      </c>
      <c r="K61" s="5" t="n">
        <v>81160</v>
      </c>
      <c r="L61" s="5" t="n">
        <v>-19515.9</v>
      </c>
      <c r="M61" s="5" t="n">
        <v>0</v>
      </c>
      <c r="N61" s="5" t="n">
        <v>61644.1</v>
      </c>
      <c r="O61" s="7" t="n">
        <v>0.352252</v>
      </c>
      <c r="P61" s="5" t="n">
        <v>0</v>
      </c>
      <c r="Q61" s="5" t="n">
        <v>0</v>
      </c>
      <c r="R61" s="5" t="n">
        <v>0</v>
      </c>
      <c r="S61" s="5" t="n">
        <v>25000</v>
      </c>
      <c r="T61" s="5" t="n">
        <v>35600</v>
      </c>
      <c r="U61" s="7" t="n">
        <v>1.424</v>
      </c>
      <c r="V61" s="7" t="n">
        <v>0</v>
      </c>
      <c r="W61" s="5" t="n">
        <v>0</v>
      </c>
      <c r="X61" s="5" t="n">
        <v>85.1904798962386</v>
      </c>
      <c r="Y61" s="7" t="n">
        <v>0.903809597924772</v>
      </c>
      <c r="Z61" s="5" t="n">
        <v>4000</v>
      </c>
      <c r="AA61" s="5" t="n">
        <v>3615.23839169909</v>
      </c>
    </row>
    <row r="62" hidden="1" ht="15" customHeight="1">
      <c r="A62" s="3" t="n">
        <v>45962</v>
      </c>
      <c r="B62" s="4" t="inlineStr">
        <is>
          <t>杨晓超</t>
        </is>
      </c>
      <c r="C62" s="4" t="inlineStr">
        <is>
          <t>集训营</t>
        </is>
      </c>
      <c r="D62" s="4" t="inlineStr">
        <is>
          <t>考研项目部</t>
        </is>
      </c>
      <c r="E62" s="4" t="inlineStr">
        <is>
          <t>B级学习顾问</t>
        </is>
      </c>
      <c r="F62" s="5">
        <f>G62+H62</f>
        <v/>
      </c>
      <c r="G62" s="5" t="n">
        <v>0</v>
      </c>
      <c r="H62" s="5" t="n">
        <v>12768.099</v>
      </c>
      <c r="I62" s="5" t="n">
        <v>415000</v>
      </c>
      <c r="J62" s="5" t="n">
        <v>409000</v>
      </c>
      <c r="K62" s="5" t="n">
        <v>521885.8</v>
      </c>
      <c r="L62" s="5" t="n">
        <v>-96282.5</v>
      </c>
      <c r="M62" s="5" t="n">
        <v>0</v>
      </c>
      <c r="N62" s="5" t="n">
        <v>425603.3</v>
      </c>
      <c r="O62" s="7" t="n">
        <v>1.04059486552567</v>
      </c>
      <c r="P62" s="5" t="n">
        <v>0</v>
      </c>
      <c r="Q62" s="5" t="n">
        <v>0</v>
      </c>
      <c r="R62" s="5" t="n">
        <v>0</v>
      </c>
      <c r="S62" s="5" t="n">
        <v>50000</v>
      </c>
      <c r="T62" s="5" t="n">
        <v>28300</v>
      </c>
      <c r="U62" s="7" t="n">
        <v>0.5659999999999999</v>
      </c>
      <c r="V62" s="7" t="n">
        <v>0.03</v>
      </c>
      <c r="W62" s="5" t="n">
        <v>12768.099</v>
      </c>
      <c r="X62" s="5" t="n">
        <v>45</v>
      </c>
      <c r="Y62" s="7" t="n">
        <v>0</v>
      </c>
      <c r="Z62" s="5" t="n">
        <v>2000</v>
      </c>
      <c r="AA62" s="5" t="n">
        <v>0</v>
      </c>
    </row>
    <row r="63" hidden="1" ht="15" customHeight="1">
      <c r="A63" s="3" t="n">
        <v>45962</v>
      </c>
      <c r="B63" s="4" t="inlineStr">
        <is>
          <t>王志远</t>
        </is>
      </c>
      <c r="C63" s="4" t="inlineStr">
        <is>
          <t>集训营</t>
        </is>
      </c>
      <c r="D63" s="4" t="inlineStr">
        <is>
          <t>考研项目部</t>
        </is>
      </c>
      <c r="E63" s="4" t="inlineStr">
        <is>
          <t>B级学习顾问</t>
        </is>
      </c>
      <c r="F63" s="5">
        <f>G63+H63</f>
        <v/>
      </c>
      <c r="G63" s="5" t="n">
        <v>2000</v>
      </c>
      <c r="H63" s="5" t="n">
        <v>1081.0272</v>
      </c>
      <c r="I63" s="5" t="n">
        <v>178000</v>
      </c>
      <c r="J63" s="5" t="n">
        <v>175000</v>
      </c>
      <c r="K63" s="5" t="n">
        <v>110850</v>
      </c>
      <c r="L63" s="5" t="n">
        <v>0</v>
      </c>
      <c r="M63" s="5" t="n">
        <v>0</v>
      </c>
      <c r="N63" s="5" t="n">
        <v>110850</v>
      </c>
      <c r="O63" s="7" t="n">
        <v>0.633428571428571</v>
      </c>
      <c r="P63" s="5" t="n">
        <v>24378.4</v>
      </c>
      <c r="Q63" s="5" t="n">
        <v>-100</v>
      </c>
      <c r="R63" s="5" t="n">
        <v>24278.4</v>
      </c>
      <c r="S63" s="5" t="n">
        <v>0</v>
      </c>
      <c r="T63" s="5" t="n">
        <v>25000</v>
      </c>
      <c r="U63" s="7" t="n">
        <v>0</v>
      </c>
      <c r="V63" s="7" t="n">
        <v>0.008</v>
      </c>
      <c r="W63" s="5" t="n">
        <v>1081.0272</v>
      </c>
      <c r="X63" s="5" t="n">
        <v>100</v>
      </c>
      <c r="Y63" s="7" t="n">
        <v>1</v>
      </c>
      <c r="Z63" s="5" t="n">
        <v>2000</v>
      </c>
      <c r="AA63" s="5" t="n">
        <v>2000</v>
      </c>
    </row>
    <row r="64" hidden="1" ht="15" customHeight="1">
      <c r="A64" s="3" t="n">
        <v>45962</v>
      </c>
      <c r="B64" s="4" t="inlineStr">
        <is>
          <t>王钦</t>
        </is>
      </c>
      <c r="C64" s="4" t="inlineStr">
        <is>
          <t>集训营</t>
        </is>
      </c>
      <c r="D64" s="4" t="inlineStr">
        <is>
          <t>考研项目部</t>
        </is>
      </c>
      <c r="E64" s="4" t="inlineStr">
        <is>
          <t>B级学习顾问</t>
        </is>
      </c>
      <c r="F64" s="5">
        <f>G64+H64</f>
        <v/>
      </c>
      <c r="G64" s="5" t="n">
        <v>2000</v>
      </c>
      <c r="H64" s="5" t="n">
        <v>2157.8128</v>
      </c>
      <c r="I64" s="5" t="n">
        <v>356000</v>
      </c>
      <c r="J64" s="5" t="n">
        <v>350000</v>
      </c>
      <c r="K64" s="5" t="n">
        <v>288100</v>
      </c>
      <c r="L64" s="5" t="n">
        <v>-43373.4</v>
      </c>
      <c r="M64" s="5" t="n">
        <v>12500</v>
      </c>
      <c r="N64" s="5" t="n">
        <v>269726.6</v>
      </c>
      <c r="O64" s="7" t="n">
        <v>0.770647428571429</v>
      </c>
      <c r="P64" s="5" t="n">
        <v>0</v>
      </c>
      <c r="Q64" s="5" t="n">
        <v>0</v>
      </c>
      <c r="R64" s="5" t="n">
        <v>0</v>
      </c>
      <c r="S64" s="5" t="n">
        <v>25000</v>
      </c>
      <c r="T64" s="5" t="n">
        <v>27800</v>
      </c>
      <c r="U64" s="7" t="n">
        <v>1.112</v>
      </c>
      <c r="V64" s="7" t="n">
        <v>0.008</v>
      </c>
      <c r="W64" s="5" t="n">
        <v>2157.8128</v>
      </c>
      <c r="X64" s="5" t="n">
        <v>92</v>
      </c>
      <c r="Y64" s="7" t="n">
        <v>1</v>
      </c>
      <c r="Z64" s="5" t="n">
        <v>2000</v>
      </c>
      <c r="AA64" s="5" t="n">
        <v>2000</v>
      </c>
    </row>
    <row r="65" hidden="1" ht="15" customHeight="1">
      <c r="A65" s="3" t="n">
        <v>45962</v>
      </c>
      <c r="B65" s="4" t="inlineStr">
        <is>
          <t>钱雪冰</t>
        </is>
      </c>
      <c r="C65" s="4" t="inlineStr">
        <is>
          <t>集训营</t>
        </is>
      </c>
      <c r="D65" s="4" t="inlineStr">
        <is>
          <t>考研项目部</t>
        </is>
      </c>
      <c r="E65" s="4" t="inlineStr">
        <is>
          <t>集训营顾问组长</t>
        </is>
      </c>
      <c r="F65" s="5">
        <f>G65+H65</f>
        <v/>
      </c>
      <c r="G65" s="5" t="n">
        <v>0</v>
      </c>
      <c r="H65" s="5" t="n">
        <v>1480.4392</v>
      </c>
      <c r="I65" s="5" t="n">
        <v>237000</v>
      </c>
      <c r="J65" s="5" t="n">
        <v>234000</v>
      </c>
      <c r="K65" s="5" t="n">
        <v>332611.8</v>
      </c>
      <c r="L65" s="5" t="n">
        <v>-143100</v>
      </c>
      <c r="M65" s="5" t="n">
        <v>0</v>
      </c>
      <c r="N65" s="5" t="n">
        <v>189511.8</v>
      </c>
      <c r="O65" s="7" t="n">
        <v>0.809879487179487</v>
      </c>
      <c r="P65" s="5" t="n">
        <v>4042.1</v>
      </c>
      <c r="Q65" s="5" t="n">
        <v>-8499</v>
      </c>
      <c r="R65" s="5" t="n">
        <v>-4456.9</v>
      </c>
      <c r="S65" s="5" t="n">
        <v>50000</v>
      </c>
      <c r="T65" s="5" t="n">
        <v>75950</v>
      </c>
      <c r="U65" s="7" t="n">
        <v>1.519</v>
      </c>
      <c r="V65" s="7" t="n">
        <v>0.008</v>
      </c>
      <c r="W65" s="5" t="n">
        <v>1480.4392</v>
      </c>
      <c r="X65" s="5" t="n">
        <v>57.1763457484188</v>
      </c>
      <c r="Y65" s="7" t="n">
        <v>0</v>
      </c>
      <c r="Z65" s="5" t="n">
        <v>4000</v>
      </c>
      <c r="AA65" s="5" t="n">
        <v>0</v>
      </c>
    </row>
    <row r="66" hidden="1" ht="15" customHeight="1">
      <c r="A66" s="3" t="n">
        <v>45962</v>
      </c>
      <c r="B66" s="4" t="inlineStr">
        <is>
          <t>刘创</t>
        </is>
      </c>
      <c r="C66" s="4" t="inlineStr">
        <is>
          <t>集训营</t>
        </is>
      </c>
      <c r="D66" s="4" t="inlineStr">
        <is>
          <t>考研项目部</t>
        </is>
      </c>
      <c r="E66" s="4" t="inlineStr">
        <is>
          <t>B级学习顾问</t>
        </is>
      </c>
      <c r="F66" s="5">
        <f>G66+H66</f>
        <v/>
      </c>
      <c r="G66" s="5" t="n">
        <v>0</v>
      </c>
      <c r="H66" s="5" t="n">
        <v>12969.357</v>
      </c>
      <c r="I66" s="5" t="n">
        <v>415000</v>
      </c>
      <c r="J66" s="5" t="n">
        <v>409000</v>
      </c>
      <c r="K66" s="5" t="n">
        <v>510294</v>
      </c>
      <c r="L66" s="5" t="n">
        <v>-96291.89999999999</v>
      </c>
      <c r="M66" s="5" t="n">
        <v>0</v>
      </c>
      <c r="N66" s="5" t="n">
        <v>414002.1</v>
      </c>
      <c r="O66" s="7" t="n">
        <v>1.01223007334963</v>
      </c>
      <c r="P66" s="5" t="n">
        <v>18309.8</v>
      </c>
      <c r="Q66" s="5" t="n">
        <v>0</v>
      </c>
      <c r="R66" s="5" t="n">
        <v>18309.8</v>
      </c>
      <c r="S66" s="5" t="n">
        <v>50000</v>
      </c>
      <c r="T66" s="5" t="n">
        <v>1327</v>
      </c>
      <c r="U66" s="7" t="n">
        <v>0.02654</v>
      </c>
      <c r="V66" s="7" t="n">
        <v>0.03</v>
      </c>
      <c r="W66" s="5" t="n">
        <v>12969.357</v>
      </c>
      <c r="X66" s="5" t="n">
        <v>40</v>
      </c>
      <c r="Y66" s="7" t="n">
        <v>0</v>
      </c>
      <c r="Z66" s="5" t="n">
        <v>2000</v>
      </c>
      <c r="AA66" s="5" t="n">
        <v>0</v>
      </c>
    </row>
    <row r="67" hidden="1" ht="15" customHeight="1">
      <c r="A67" s="3" t="n">
        <v>45962</v>
      </c>
      <c r="B67" s="4" t="inlineStr">
        <is>
          <t>高龙明</t>
        </is>
      </c>
      <c r="C67" s="4" t="inlineStr">
        <is>
          <t>集训营</t>
        </is>
      </c>
      <c r="D67" s="4" t="inlineStr">
        <is>
          <t>考研项目部</t>
        </is>
      </c>
      <c r="E67" s="4" t="inlineStr">
        <is>
          <t>A级学习顾问</t>
        </is>
      </c>
      <c r="F67" s="5">
        <f>G67+H67</f>
        <v/>
      </c>
      <c r="G67" s="5" t="n">
        <v>1000</v>
      </c>
      <c r="H67" s="5" t="n">
        <v>12903.354</v>
      </c>
      <c r="I67" s="5" t="n">
        <v>415000</v>
      </c>
      <c r="J67" s="5" t="n">
        <v>409000</v>
      </c>
      <c r="K67" s="5" t="n">
        <v>583160</v>
      </c>
      <c r="L67" s="5" t="n">
        <v>-199124.4</v>
      </c>
      <c r="M67" s="5" t="n">
        <v>0</v>
      </c>
      <c r="N67" s="5" t="n">
        <v>384035.6</v>
      </c>
      <c r="O67" s="7" t="n">
        <v>0.938962347188264</v>
      </c>
      <c r="P67" s="5" t="n">
        <v>46076.2</v>
      </c>
      <c r="Q67" s="5" t="n">
        <v>0</v>
      </c>
      <c r="R67" s="5" t="n">
        <v>46076.2</v>
      </c>
      <c r="S67" s="5" t="n">
        <v>50000</v>
      </c>
      <c r="T67" s="5" t="n">
        <v>54800</v>
      </c>
      <c r="U67" s="7" t="n">
        <v>1.096</v>
      </c>
      <c r="V67" s="7" t="n">
        <v>0.03</v>
      </c>
      <c r="W67" s="5" t="n">
        <v>12903.354</v>
      </c>
      <c r="X67" s="5" t="n">
        <v>90</v>
      </c>
      <c r="Y67" s="7" t="n">
        <v>1</v>
      </c>
      <c r="Z67" s="5" t="n">
        <v>1000</v>
      </c>
      <c r="AA67" s="5" t="n">
        <v>1000</v>
      </c>
    </row>
    <row r="68" hidden="1" ht="15" customHeight="1">
      <c r="A68" s="3" t="n">
        <v>45962</v>
      </c>
      <c r="B68" s="4" t="inlineStr">
        <is>
          <t>陈露</t>
        </is>
      </c>
      <c r="C68" s="4" t="inlineStr">
        <is>
          <t>集训营</t>
        </is>
      </c>
      <c r="D68" s="4" t="inlineStr">
        <is>
          <t>考研项目部</t>
        </is>
      </c>
      <c r="E68" s="4" t="inlineStr">
        <is>
          <t>B级学习顾问</t>
        </is>
      </c>
      <c r="F68" s="5">
        <f>G68+H68</f>
        <v/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7" t="n">
        <v>0</v>
      </c>
      <c r="P68" s="5" t="n">
        <v>0</v>
      </c>
      <c r="Q68" s="5" t="n">
        <v>0</v>
      </c>
      <c r="R68" s="5" t="n">
        <v>0</v>
      </c>
      <c r="S68" s="5" t="n">
        <v>50000</v>
      </c>
      <c r="T68" s="5" t="n">
        <v>0</v>
      </c>
      <c r="U68" s="7" t="n">
        <v>0</v>
      </c>
      <c r="V68" s="7" t="n">
        <v>0</v>
      </c>
      <c r="W68" s="5" t="n">
        <v>0</v>
      </c>
      <c r="X68" s="5" t="n">
        <v>0</v>
      </c>
      <c r="Y68" s="7" t="n">
        <v>0</v>
      </c>
      <c r="Z68" s="5" t="n">
        <v>2000</v>
      </c>
      <c r="AA68" s="5" t="n">
        <v>0</v>
      </c>
    </row>
    <row r="69" hidden="1" ht="15" customHeight="1">
      <c r="A69" s="3" t="n">
        <v>45962</v>
      </c>
      <c r="B69" s="4" t="inlineStr">
        <is>
          <t>鲁子寒</t>
        </is>
      </c>
      <c r="C69" s="4" t="inlineStr">
        <is>
          <t>集训营</t>
        </is>
      </c>
      <c r="D69" s="4" t="inlineStr">
        <is>
          <t>考研项目部</t>
        </is>
      </c>
      <c r="E69" s="4" t="inlineStr">
        <is>
          <t>B级学习顾问</t>
        </is>
      </c>
      <c r="F69" s="5">
        <f>G69+H69</f>
        <v/>
      </c>
      <c r="G69" s="5" t="n">
        <v>2000</v>
      </c>
      <c r="H69" s="5" t="n">
        <v>377</v>
      </c>
      <c r="I69" s="5" t="n">
        <v>1</v>
      </c>
      <c r="J69" s="5" t="n">
        <v>0</v>
      </c>
      <c r="K69" s="5" t="n">
        <v>25000</v>
      </c>
      <c r="L69" s="5" t="n">
        <v>0</v>
      </c>
      <c r="M69" s="5" t="n">
        <v>0</v>
      </c>
      <c r="N69" s="5" t="n">
        <v>25000</v>
      </c>
      <c r="O69" s="7" t="n">
        <v>0</v>
      </c>
      <c r="P69" s="5" t="n">
        <v>12800</v>
      </c>
      <c r="Q69" s="5" t="n">
        <v>-100</v>
      </c>
      <c r="R69" s="5" t="n">
        <v>12700</v>
      </c>
      <c r="S69" s="4" t="n"/>
      <c r="T69" s="4" t="n"/>
      <c r="U69" s="4" t="n"/>
      <c r="V69" s="7" t="n">
        <v>0.01</v>
      </c>
      <c r="W69" s="5" t="n">
        <v>377</v>
      </c>
      <c r="X69" s="5" t="n">
        <v>100</v>
      </c>
      <c r="Y69" s="7" t="n">
        <v>1</v>
      </c>
      <c r="Z69" s="5" t="n">
        <v>2000</v>
      </c>
      <c r="AA69" s="5" t="n">
        <v>2000</v>
      </c>
    </row>
    <row r="70" hidden="1" ht="15" customHeight="1">
      <c r="A70" s="3" t="n">
        <v>45992</v>
      </c>
      <c r="B70" s="4" t="inlineStr">
        <is>
          <t>苏乾楠</t>
        </is>
      </c>
      <c r="C70" s="4" t="inlineStr">
        <is>
          <t>集训营</t>
        </is>
      </c>
      <c r="D70" s="4" t="inlineStr">
        <is>
          <t>考研项目部</t>
        </is>
      </c>
      <c r="E70" s="4" t="inlineStr">
        <is>
          <t>B级学习顾问</t>
        </is>
      </c>
      <c r="F70" s="5">
        <f>G70+H70</f>
        <v/>
      </c>
      <c r="G70" s="5">
        <f>AA70</f>
        <v/>
      </c>
      <c r="H70" s="5">
        <f>W70</f>
        <v/>
      </c>
      <c r="I70" s="5" t="n">
        <v>391000</v>
      </c>
      <c r="J70" s="5" t="n">
        <v>386000</v>
      </c>
      <c r="K70" s="5" t="n">
        <v>506231.6</v>
      </c>
      <c r="L70" s="5" t="n">
        <v>-51024.45</v>
      </c>
      <c r="M70" s="4" t="n"/>
      <c r="N70" s="5">
        <f>M70+L70+K70</f>
        <v/>
      </c>
      <c r="O70" s="7">
        <f>N70/J70</f>
        <v/>
      </c>
      <c r="P70" s="5" t="n">
        <v>24861.6</v>
      </c>
      <c r="Q70" s="5" t="n">
        <v>-2465.86</v>
      </c>
      <c r="R70" s="5">
        <f>P70+Q70</f>
        <v/>
      </c>
      <c r="S70" s="5" t="n">
        <v>50000</v>
      </c>
      <c r="T70" s="5" t="n">
        <v>101700</v>
      </c>
      <c r="U70" s="7" t="n">
        <v>2.034</v>
      </c>
      <c r="V70" s="7" t="n">
        <v>0.04</v>
      </c>
      <c r="W70" s="5" t="n">
        <v>19104.1156</v>
      </c>
      <c r="X70" s="5" t="n">
        <v>90</v>
      </c>
      <c r="Y70" s="7" t="n">
        <v>1</v>
      </c>
      <c r="Z70" s="5" t="n">
        <v>2000</v>
      </c>
      <c r="AA70" s="5" t="n">
        <v>2000</v>
      </c>
    </row>
    <row r="71" hidden="1" ht="15" customHeight="1">
      <c r="A71" s="3" t="n">
        <v>45992</v>
      </c>
      <c r="B71" s="4" t="inlineStr">
        <is>
          <t>张乐</t>
        </is>
      </c>
      <c r="C71" s="4" t="inlineStr">
        <is>
          <t>集训营</t>
        </is>
      </c>
      <c r="D71" s="4" t="inlineStr">
        <is>
          <t>考研项目部</t>
        </is>
      </c>
      <c r="E71" s="4" t="inlineStr">
        <is>
          <t>B级学习顾问</t>
        </is>
      </c>
      <c r="F71" s="5">
        <f>G71+H71</f>
        <v/>
      </c>
      <c r="G71" s="5" t="n">
        <v>1984</v>
      </c>
      <c r="H71" s="5" t="n">
        <v>26231.0024</v>
      </c>
      <c r="I71" s="5" t="n">
        <v>425400</v>
      </c>
      <c r="J71" s="5" t="n">
        <v>420400</v>
      </c>
      <c r="K71" s="5" t="n">
        <v>687780</v>
      </c>
      <c r="L71" s="5" t="n">
        <v>-80160</v>
      </c>
      <c r="M71" s="5" t="n">
        <v>0</v>
      </c>
      <c r="N71" s="5" t="n">
        <v>607620</v>
      </c>
      <c r="O71" s="7" t="n">
        <v>1.445337773549</v>
      </c>
      <c r="P71" s="5" t="n">
        <v>51816.1</v>
      </c>
      <c r="Q71" s="5" t="n">
        <v>-3661.04</v>
      </c>
      <c r="R71" s="5" t="n">
        <v>48155.06</v>
      </c>
      <c r="S71" s="5" t="n">
        <v>50000</v>
      </c>
      <c r="T71" s="5" t="n">
        <v>49609.7</v>
      </c>
      <c r="U71" s="7" t="n">
        <v>0.992194</v>
      </c>
      <c r="V71" s="7" t="n">
        <v>0.04</v>
      </c>
      <c r="W71" s="5" t="n">
        <v>26231.0024</v>
      </c>
      <c r="X71" s="5" t="n">
        <v>89.6097</v>
      </c>
      <c r="Y71" s="7" t="n">
        <v>0.992</v>
      </c>
      <c r="Z71" s="5" t="n">
        <v>2000</v>
      </c>
      <c r="AA71" s="5" t="n">
        <v>1984</v>
      </c>
    </row>
    <row r="72" hidden="1" ht="15" customHeight="1">
      <c r="A72" s="3" t="n">
        <v>45992</v>
      </c>
      <c r="B72" s="4" t="inlineStr">
        <is>
          <t>张俊旺</t>
        </is>
      </c>
      <c r="C72" s="4" t="inlineStr">
        <is>
          <t>集训营</t>
        </is>
      </c>
      <c r="D72" s="4" t="inlineStr">
        <is>
          <t>考研项目部</t>
        </is>
      </c>
      <c r="E72" s="4" t="inlineStr">
        <is>
          <t>销售组长</t>
        </is>
      </c>
      <c r="F72" s="5">
        <f>G72+H72</f>
        <v/>
      </c>
      <c r="G72" s="5" t="n">
        <v>0</v>
      </c>
      <c r="H72" s="5" t="n">
        <v>9064.871999999999</v>
      </c>
      <c r="I72" s="5" t="n">
        <v>300200</v>
      </c>
      <c r="J72" s="5" t="n">
        <v>296200</v>
      </c>
      <c r="K72" s="5" t="n">
        <v>304193.5</v>
      </c>
      <c r="L72" s="5" t="n">
        <v>-29275.7</v>
      </c>
      <c r="M72" s="5" t="n">
        <v>0</v>
      </c>
      <c r="N72" s="5" t="n">
        <v>274917.8</v>
      </c>
      <c r="O72" s="7" t="n">
        <v>0.928149223497637</v>
      </c>
      <c r="P72" s="5" t="n">
        <v>27344.6</v>
      </c>
      <c r="Q72" s="5" t="n">
        <v>-100</v>
      </c>
      <c r="R72" s="5" t="n">
        <v>27244.6</v>
      </c>
      <c r="S72" s="5" t="n">
        <v>25000</v>
      </c>
      <c r="T72" s="5" t="n">
        <v>0</v>
      </c>
      <c r="U72" s="7" t="n">
        <v>0</v>
      </c>
      <c r="V72" s="7" t="n">
        <v>0.03</v>
      </c>
      <c r="W72" s="5" t="n">
        <v>9064.871999999999</v>
      </c>
      <c r="X72" s="5" t="n">
        <v>20</v>
      </c>
      <c r="Y72" s="7" t="n">
        <v>0</v>
      </c>
      <c r="Z72" s="5" t="n">
        <v>1000</v>
      </c>
      <c r="AA72" s="5" t="n">
        <v>0</v>
      </c>
    </row>
    <row r="73" hidden="1" ht="15" customHeight="1">
      <c r="A73" s="3" t="n">
        <v>45992</v>
      </c>
      <c r="B73" s="4" t="inlineStr">
        <is>
          <t>杨晓超</t>
        </is>
      </c>
      <c r="C73" s="4" t="inlineStr">
        <is>
          <t>集训营</t>
        </is>
      </c>
      <c r="D73" s="4" t="inlineStr">
        <is>
          <t>考研项目部</t>
        </is>
      </c>
      <c r="E73" s="4" t="inlineStr">
        <is>
          <t>B级学习顾问</t>
        </is>
      </c>
      <c r="F73" s="5">
        <f>G73+H73</f>
        <v/>
      </c>
      <c r="G73" s="5" t="n">
        <v>2000</v>
      </c>
      <c r="H73" s="5" t="n">
        <v>30357.5555</v>
      </c>
      <c r="I73" s="5" t="n">
        <v>391000</v>
      </c>
      <c r="J73" s="5" t="n">
        <v>386000</v>
      </c>
      <c r="K73" s="5" t="n">
        <v>683901</v>
      </c>
      <c r="L73" s="5" t="n">
        <v>-104840.2</v>
      </c>
      <c r="M73" s="5" t="n">
        <v>0</v>
      </c>
      <c r="N73" s="5" t="n">
        <v>579060.8</v>
      </c>
      <c r="O73" s="7" t="n">
        <v>1.50015751295337</v>
      </c>
      <c r="P73" s="5" t="n">
        <v>50195.7</v>
      </c>
      <c r="Q73" s="5" t="n">
        <v>-22105.39</v>
      </c>
      <c r="R73" s="5" t="n">
        <v>28090.31</v>
      </c>
      <c r="S73" s="5" t="n">
        <v>50000</v>
      </c>
      <c r="T73" s="5" t="n">
        <v>92327.2</v>
      </c>
      <c r="U73" s="7" t="n">
        <v>1.846544</v>
      </c>
      <c r="V73" s="7" t="n">
        <v>0.05</v>
      </c>
      <c r="W73" s="5" t="n">
        <v>30357.5555</v>
      </c>
      <c r="X73" s="5" t="n">
        <v>90</v>
      </c>
      <c r="Y73" s="7" t="n">
        <v>1</v>
      </c>
      <c r="Z73" s="5" t="n">
        <v>2000</v>
      </c>
      <c r="AA73" s="5" t="n">
        <v>2000</v>
      </c>
    </row>
    <row r="74" hidden="1" ht="15" customHeight="1">
      <c r="A74" s="3" t="n">
        <v>45992</v>
      </c>
      <c r="B74" s="4" t="inlineStr">
        <is>
          <t>王志远</t>
        </is>
      </c>
      <c r="C74" s="4" t="inlineStr">
        <is>
          <t>集训营</t>
        </is>
      </c>
      <c r="D74" s="4" t="inlineStr">
        <is>
          <t>考研项目部</t>
        </is>
      </c>
      <c r="E74" s="4" t="inlineStr">
        <is>
          <t>B级学习顾问</t>
        </is>
      </c>
      <c r="F74" s="5">
        <f>G74+H74</f>
        <v/>
      </c>
      <c r="G74" s="5" t="n">
        <v>2000</v>
      </c>
      <c r="H74" s="5" t="n">
        <v>1585.208</v>
      </c>
      <c r="I74" s="5" t="n">
        <v>279200</v>
      </c>
      <c r="J74" s="5" t="n">
        <v>275200</v>
      </c>
      <c r="K74" s="5" t="n">
        <v>238500</v>
      </c>
      <c r="L74" s="5" t="n">
        <v>-64720</v>
      </c>
      <c r="M74" s="5" t="n">
        <v>0</v>
      </c>
      <c r="N74" s="5" t="n">
        <v>173780</v>
      </c>
      <c r="O74" s="7" t="n">
        <v>0.631468023255814</v>
      </c>
      <c r="P74" s="5" t="n">
        <v>24471</v>
      </c>
      <c r="Q74" s="5" t="n">
        <v>-100</v>
      </c>
      <c r="R74" s="5" t="n">
        <v>24371</v>
      </c>
      <c r="S74" s="5" t="n">
        <v>0</v>
      </c>
      <c r="T74" s="5" t="n">
        <v>62800</v>
      </c>
      <c r="U74" s="7" t="n">
        <v>1</v>
      </c>
      <c r="V74" s="7" t="n">
        <v>0.008</v>
      </c>
      <c r="W74" s="5" t="n">
        <v>1585.208</v>
      </c>
      <c r="X74" s="5" t="n">
        <v>70</v>
      </c>
      <c r="Y74" s="7" t="n">
        <v>1</v>
      </c>
      <c r="Z74" s="5" t="n">
        <v>2000</v>
      </c>
      <c r="AA74" s="5" t="n">
        <v>2000</v>
      </c>
    </row>
    <row r="75" hidden="1" ht="15" customHeight="1">
      <c r="A75" s="3" t="n">
        <v>45992</v>
      </c>
      <c r="B75" s="4" t="inlineStr">
        <is>
          <t>王钦</t>
        </is>
      </c>
      <c r="C75" s="4" t="inlineStr">
        <is>
          <t>集训营</t>
        </is>
      </c>
      <c r="D75" s="4" t="inlineStr">
        <is>
          <t>考研项目部</t>
        </is>
      </c>
      <c r="E75" s="4" t="inlineStr">
        <is>
          <t>B级学习顾问</t>
        </is>
      </c>
      <c r="F75" s="5">
        <f>G75+H75</f>
        <v/>
      </c>
      <c r="G75" s="5" t="n">
        <v>0</v>
      </c>
      <c r="H75" s="5" t="n">
        <v>11611.797</v>
      </c>
      <c r="I75" s="5" t="n">
        <v>370000</v>
      </c>
      <c r="J75" s="5" t="n">
        <v>365000</v>
      </c>
      <c r="K75" s="5" t="n">
        <v>367182</v>
      </c>
      <c r="L75" s="5" t="n">
        <v>-58300</v>
      </c>
      <c r="M75" s="5" t="n">
        <v>0</v>
      </c>
      <c r="N75" s="5" t="n">
        <v>308882</v>
      </c>
      <c r="O75" s="7" t="n">
        <v>0.846252054794521</v>
      </c>
      <c r="P75" s="5" t="n">
        <v>105727.9</v>
      </c>
      <c r="Q75" s="5" t="n">
        <v>-27550</v>
      </c>
      <c r="R75" s="5" t="n">
        <v>78177.89999999999</v>
      </c>
      <c r="S75" s="5" t="n">
        <v>25000</v>
      </c>
      <c r="T75" s="5" t="n">
        <v>0</v>
      </c>
      <c r="U75" s="7" t="n">
        <v>0</v>
      </c>
      <c r="V75" s="7" t="n">
        <v>0.03</v>
      </c>
      <c r="W75" s="5" t="n">
        <v>11611.797</v>
      </c>
      <c r="X75" s="5" t="n">
        <v>16</v>
      </c>
      <c r="Y75" s="7" t="n">
        <v>0</v>
      </c>
      <c r="Z75" s="5" t="n">
        <v>2000</v>
      </c>
      <c r="AA75" s="5" t="n">
        <v>0</v>
      </c>
    </row>
    <row r="76" hidden="1" ht="15" customHeight="1">
      <c r="A76" s="3" t="n">
        <v>45992</v>
      </c>
      <c r="B76" s="4" t="inlineStr">
        <is>
          <t>钱雪冰</t>
        </is>
      </c>
      <c r="C76" s="4" t="inlineStr">
        <is>
          <t>集训营</t>
        </is>
      </c>
      <c r="D76" s="4" t="inlineStr">
        <is>
          <t>考研项目部</t>
        </is>
      </c>
      <c r="E76" s="4" t="inlineStr">
        <is>
          <t>集训营顾问组长</t>
        </is>
      </c>
      <c r="F76" s="5">
        <f>G76+H76</f>
        <v/>
      </c>
      <c r="G76" s="5" t="n">
        <v>4000</v>
      </c>
      <c r="H76" s="5" t="n">
        <v>10477.668</v>
      </c>
      <c r="I76" s="5" t="n">
        <v>219000</v>
      </c>
      <c r="J76" s="5" t="n">
        <v>214000</v>
      </c>
      <c r="K76" s="5" t="n">
        <v>305060</v>
      </c>
      <c r="L76" s="5" t="n">
        <v>-20040</v>
      </c>
      <c r="M76" s="5" t="n">
        <v>0</v>
      </c>
      <c r="N76" s="5" t="n">
        <v>285020</v>
      </c>
      <c r="O76" s="7" t="n">
        <v>1.3318691588785</v>
      </c>
      <c r="P76" s="5" t="n">
        <v>74886.8</v>
      </c>
      <c r="Q76" s="5" t="n">
        <v>-10651.2</v>
      </c>
      <c r="R76" s="5" t="n">
        <v>64235.6</v>
      </c>
      <c r="S76" s="5" t="n">
        <v>50000</v>
      </c>
      <c r="T76" s="5" t="n">
        <v>89483.2</v>
      </c>
      <c r="U76" s="7" t="n">
        <v>1.789664</v>
      </c>
      <c r="V76" s="7" t="n">
        <v>0.03</v>
      </c>
      <c r="W76" s="5" t="n">
        <v>10477.668</v>
      </c>
      <c r="X76" s="5" t="n">
        <v>100</v>
      </c>
      <c r="Y76" s="7" t="n">
        <v>1</v>
      </c>
      <c r="Z76" s="5" t="n">
        <v>4000</v>
      </c>
      <c r="AA76" s="5" t="n">
        <v>4000</v>
      </c>
    </row>
    <row r="77" hidden="1" ht="15" customHeight="1">
      <c r="A77" s="3" t="n">
        <v>45992</v>
      </c>
      <c r="B77" s="4" t="inlineStr">
        <is>
          <t>刘创</t>
        </is>
      </c>
      <c r="C77" s="4" t="inlineStr">
        <is>
          <t>集训营</t>
        </is>
      </c>
      <c r="D77" s="4" t="inlineStr">
        <is>
          <t>考研项目部</t>
        </is>
      </c>
      <c r="E77" s="4" t="inlineStr">
        <is>
          <t>B级学习顾问</t>
        </is>
      </c>
      <c r="F77" s="5">
        <f>G77+H77</f>
        <v/>
      </c>
      <c r="G77" s="5" t="n">
        <v>0</v>
      </c>
      <c r="H77" s="5" t="n">
        <v>5599.881</v>
      </c>
      <c r="I77" s="5" t="n">
        <v>391000</v>
      </c>
      <c r="J77" s="5" t="n">
        <v>386000</v>
      </c>
      <c r="K77" s="5" t="n">
        <v>280933.8</v>
      </c>
      <c r="L77" s="5" t="n">
        <v>-52693.8</v>
      </c>
      <c r="M77" s="5" t="n">
        <v>0</v>
      </c>
      <c r="N77" s="5" t="n">
        <v>228240</v>
      </c>
      <c r="O77" s="7" t="n">
        <v>0.591295336787565</v>
      </c>
      <c r="P77" s="5" t="n">
        <v>82864.5</v>
      </c>
      <c r="Q77" s="5" t="n">
        <v>0</v>
      </c>
      <c r="R77" s="5" t="n">
        <v>82864.5</v>
      </c>
      <c r="S77" s="5" t="n">
        <v>50000</v>
      </c>
      <c r="T77" s="5" t="n">
        <v>11796.9</v>
      </c>
      <c r="U77" s="7" t="n">
        <v>0.235938</v>
      </c>
      <c r="V77" s="7" t="n">
        <v>0.018</v>
      </c>
      <c r="W77" s="5" t="n">
        <v>5599.881</v>
      </c>
      <c r="X77" s="5" t="n">
        <v>12</v>
      </c>
      <c r="Y77" s="7" t="n">
        <v>0</v>
      </c>
      <c r="Z77" s="5" t="n">
        <v>2000</v>
      </c>
      <c r="AA77" s="5" t="n">
        <v>0</v>
      </c>
    </row>
    <row r="78" hidden="1" ht="15" customHeight="1">
      <c r="A78" s="3" t="n">
        <v>45992</v>
      </c>
      <c r="B78" s="4" t="inlineStr">
        <is>
          <t>高龙明</t>
        </is>
      </c>
      <c r="C78" s="4" t="inlineStr">
        <is>
          <t>集训营</t>
        </is>
      </c>
      <c r="D78" s="4" t="inlineStr">
        <is>
          <t>考研项目部</t>
        </is>
      </c>
      <c r="E78" s="4" t="inlineStr">
        <is>
          <t>A级学习顾问</t>
        </is>
      </c>
      <c r="F78" s="5">
        <f>G78+H78</f>
        <v/>
      </c>
      <c r="G78" s="5" t="n">
        <v>0</v>
      </c>
      <c r="H78" s="5" t="n">
        <v>30602.074</v>
      </c>
      <c r="I78" s="5" t="n">
        <v>391000</v>
      </c>
      <c r="J78" s="5" t="n">
        <v>386000</v>
      </c>
      <c r="K78" s="5" t="n">
        <v>842028</v>
      </c>
      <c r="L78" s="5" t="n">
        <v>-301003.9</v>
      </c>
      <c r="M78" s="5" t="n">
        <v>18000</v>
      </c>
      <c r="N78" s="5" t="n">
        <v>559024.1</v>
      </c>
      <c r="O78" s="7" t="n">
        <v>1.44824896373057</v>
      </c>
      <c r="P78" s="5" t="n">
        <v>57797.9</v>
      </c>
      <c r="Q78" s="5" t="n">
        <v>-4780.52</v>
      </c>
      <c r="R78" s="5" t="n">
        <v>53017.38</v>
      </c>
      <c r="S78" s="5" t="n">
        <v>50000</v>
      </c>
      <c r="T78" s="5" t="n">
        <v>1800</v>
      </c>
      <c r="U78" s="7" t="n">
        <v>0.036</v>
      </c>
      <c r="V78" s="7" t="n">
        <v>0.05</v>
      </c>
      <c r="W78" s="5" t="n">
        <v>30602.074</v>
      </c>
      <c r="X78" s="5" t="n">
        <v>40</v>
      </c>
      <c r="Y78" s="7" t="n">
        <v>0</v>
      </c>
      <c r="Z78" s="5" t="n">
        <v>1000</v>
      </c>
      <c r="AA78" s="5" t="n">
        <v>0</v>
      </c>
    </row>
    <row r="79" hidden="1" ht="15" customHeight="1">
      <c r="A79" s="3" t="n">
        <v>45992</v>
      </c>
      <c r="B79" s="4" t="inlineStr">
        <is>
          <t>陈露</t>
        </is>
      </c>
      <c r="C79" s="4" t="inlineStr">
        <is>
          <t>集训营</t>
        </is>
      </c>
      <c r="D79" s="4" t="inlineStr">
        <is>
          <t>考研项目部</t>
        </is>
      </c>
      <c r="E79" s="4" t="inlineStr">
        <is>
          <t>B级学习顾问</t>
        </is>
      </c>
      <c r="F79" s="5">
        <f>G79+H79</f>
        <v/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7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7" t="n">
        <v>0</v>
      </c>
      <c r="V79" s="7" t="n">
        <v>0</v>
      </c>
      <c r="W79" s="5" t="n">
        <v>0</v>
      </c>
      <c r="X79" s="5" t="n">
        <v>0</v>
      </c>
      <c r="Y79" s="7" t="n">
        <v>0</v>
      </c>
      <c r="Z79" s="5" t="n">
        <v>2000</v>
      </c>
      <c r="AA79" s="5" t="n">
        <v>0</v>
      </c>
    </row>
    <row r="80" hidden="1" ht="15" customHeight="1">
      <c r="A80" s="3" t="n">
        <v>45992</v>
      </c>
      <c r="B80" s="4" t="inlineStr">
        <is>
          <t>鲁子寒</t>
        </is>
      </c>
      <c r="C80" s="4" t="inlineStr">
        <is>
          <t>集训营</t>
        </is>
      </c>
      <c r="D80" s="4" t="inlineStr">
        <is>
          <t>考研项目部</t>
        </is>
      </c>
      <c r="E80" s="4" t="inlineStr">
        <is>
          <t>B级学习顾问</t>
        </is>
      </c>
      <c r="F80" s="5">
        <f>G80+H80</f>
        <v/>
      </c>
      <c r="G80" s="5" t="n">
        <v>2000</v>
      </c>
      <c r="H80" s="5" t="n">
        <v>0</v>
      </c>
      <c r="I80" s="5" t="n">
        <v>104700</v>
      </c>
      <c r="J80" s="5" t="n">
        <v>103200</v>
      </c>
      <c r="K80" s="5" t="n">
        <v>50931</v>
      </c>
      <c r="L80" s="5" t="n">
        <v>-8800</v>
      </c>
      <c r="M80" s="5" t="n">
        <v>0</v>
      </c>
      <c r="N80" s="5" t="n">
        <v>42131</v>
      </c>
      <c r="O80" s="7" t="n">
        <v>0.408246124031008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7" t="n">
        <v>0</v>
      </c>
      <c r="V80" s="7" t="n">
        <v>0</v>
      </c>
      <c r="W80" s="5" t="n">
        <v>0</v>
      </c>
      <c r="X80" s="5" t="n">
        <v>50</v>
      </c>
      <c r="Y80" s="7" t="n">
        <v>1</v>
      </c>
      <c r="Z80" s="5" t="n">
        <v>2000</v>
      </c>
      <c r="AA80" s="5" t="n">
        <v>2000</v>
      </c>
    </row>
    <row r="81" hidden="1" ht="15" customHeight="1">
      <c r="A81" s="3" t="n">
        <v>46023</v>
      </c>
      <c r="B81" s="4" t="inlineStr">
        <is>
          <t>苏乾楠</t>
        </is>
      </c>
      <c r="C81" s="4" t="inlineStr">
        <is>
          <t>集训营</t>
        </is>
      </c>
      <c r="D81" s="4" t="inlineStr">
        <is>
          <t>考研项目部</t>
        </is>
      </c>
      <c r="E81" s="4" t="inlineStr">
        <is>
          <t>B级学习顾问</t>
        </is>
      </c>
      <c r="F81" s="5">
        <f>G81+H81</f>
        <v/>
      </c>
      <c r="G81" s="5">
        <f>AA81</f>
        <v/>
      </c>
      <c r="H81" s="5">
        <f>W81</f>
        <v/>
      </c>
      <c r="I81" s="5" t="n">
        <v>408000</v>
      </c>
      <c r="J81" s="5" t="n">
        <v>400000</v>
      </c>
      <c r="K81" s="5" t="n">
        <v>1020407.9</v>
      </c>
      <c r="L81" s="5" t="n">
        <v>-364007.4</v>
      </c>
      <c r="M81" s="5" t="n">
        <v>23760</v>
      </c>
      <c r="N81" s="5">
        <f>M81+L81+K81</f>
        <v/>
      </c>
      <c r="O81" s="7">
        <f>N81/J81</f>
        <v/>
      </c>
      <c r="P81" s="5" t="n">
        <v>29666.4</v>
      </c>
      <c r="Q81" s="5" t="n">
        <v>-100</v>
      </c>
      <c r="R81" s="5">
        <f>P81+Q81</f>
        <v/>
      </c>
      <c r="S81" s="5" t="n">
        <v>40000</v>
      </c>
      <c r="T81" s="5" t="n">
        <v>121699.2</v>
      </c>
      <c r="U81" s="7" t="n">
        <v>3.04248</v>
      </c>
      <c r="V81" s="7" t="n">
        <v>0.05</v>
      </c>
      <c r="W81" s="5" t="n">
        <v>35486.345</v>
      </c>
      <c r="X81" s="5" t="n">
        <v>100</v>
      </c>
      <c r="Y81" s="7" t="n">
        <v>1</v>
      </c>
      <c r="Z81" s="5" t="n">
        <v>2000</v>
      </c>
      <c r="AA81" s="5" t="n">
        <v>2000</v>
      </c>
    </row>
    <row r="82" hidden="1" ht="15" customHeight="1">
      <c r="A82" s="3" t="n">
        <v>46023</v>
      </c>
      <c r="B82" s="4" t="inlineStr">
        <is>
          <t>张乐</t>
        </is>
      </c>
      <c r="C82" s="4" t="inlineStr">
        <is>
          <t>集训营</t>
        </is>
      </c>
      <c r="D82" s="4" t="inlineStr">
        <is>
          <t>考研项目部</t>
        </is>
      </c>
      <c r="E82" s="4" t="inlineStr">
        <is>
          <t>B级学习顾问</t>
        </is>
      </c>
      <c r="F82" s="5">
        <f>G82+H82</f>
        <v/>
      </c>
      <c r="G82" s="5">
        <f>AA82</f>
        <v/>
      </c>
      <c r="H82" s="5">
        <f>W82</f>
        <v/>
      </c>
      <c r="I82" s="5" t="n">
        <v>408000</v>
      </c>
      <c r="J82" s="5" t="n">
        <v>400000</v>
      </c>
      <c r="K82" s="5" t="n">
        <v>800273.4</v>
      </c>
      <c r="L82" s="5" t="n">
        <v>-194364.65</v>
      </c>
      <c r="M82" s="5" t="n">
        <v>8800</v>
      </c>
      <c r="N82" s="5" t="n">
        <v>614708.75</v>
      </c>
      <c r="O82" s="7" t="n">
        <v>1.536771875</v>
      </c>
      <c r="P82" s="5" t="n">
        <v>17690.1</v>
      </c>
      <c r="Q82" s="5" t="n">
        <v>-3809.7</v>
      </c>
      <c r="R82" s="5" t="n">
        <v>13880.4</v>
      </c>
      <c r="S82" s="5" t="n">
        <v>40000</v>
      </c>
      <c r="T82" s="5" t="n">
        <v>61878.3</v>
      </c>
      <c r="U82" s="7" t="n">
        <v>1.5469575</v>
      </c>
      <c r="V82" s="7" t="n">
        <v>0.05</v>
      </c>
      <c r="W82" s="5" t="n">
        <v>31429.4575</v>
      </c>
      <c r="X82" s="5" t="n">
        <v>100</v>
      </c>
      <c r="Y82" s="7" t="n">
        <v>1</v>
      </c>
      <c r="Z82" s="5" t="n">
        <v>2000</v>
      </c>
      <c r="AA82" s="5" t="n">
        <v>2000</v>
      </c>
    </row>
    <row r="83" hidden="1" ht="15" customHeight="1">
      <c r="A83" s="3" t="n">
        <v>46023</v>
      </c>
      <c r="B83" s="4" t="inlineStr">
        <is>
          <t>张俊旺</t>
        </is>
      </c>
      <c r="C83" s="4" t="inlineStr">
        <is>
          <t>集训营</t>
        </is>
      </c>
      <c r="D83" s="4" t="inlineStr">
        <is>
          <t>考研项目部</t>
        </is>
      </c>
      <c r="E83" s="4" t="inlineStr">
        <is>
          <t>B级学习顾问</t>
        </is>
      </c>
      <c r="F83" s="5">
        <f>G83+H83</f>
        <v/>
      </c>
      <c r="G83" s="5">
        <f>AA83</f>
        <v/>
      </c>
      <c r="H83" s="5">
        <f>W83</f>
        <v/>
      </c>
      <c r="I83" s="5" t="n">
        <v>368000</v>
      </c>
      <c r="J83" s="5" t="n">
        <v>360000</v>
      </c>
      <c r="K83" s="5" t="n">
        <v>451010</v>
      </c>
      <c r="L83" s="5" t="n">
        <v>-20106</v>
      </c>
      <c r="M83" s="5" t="n">
        <v>0</v>
      </c>
      <c r="N83" s="5" t="n">
        <v>430904</v>
      </c>
      <c r="O83" s="7" t="n">
        <v>1.19695555555556</v>
      </c>
      <c r="P83" s="5" t="n">
        <v>20324.7</v>
      </c>
      <c r="Q83" s="5" t="n">
        <v>0</v>
      </c>
      <c r="R83" s="5" t="n">
        <v>20324.7</v>
      </c>
      <c r="S83" s="5" t="n">
        <v>40000</v>
      </c>
      <c r="T83" s="5" t="n">
        <v>6180</v>
      </c>
      <c r="U83" s="7" t="n">
        <v>0.1545</v>
      </c>
      <c r="V83" s="7" t="n">
        <v>0.04</v>
      </c>
      <c r="W83" s="5" t="n">
        <v>18049.148</v>
      </c>
      <c r="X83" s="5" t="n">
        <v>10</v>
      </c>
      <c r="Y83" s="7" t="n">
        <v>0</v>
      </c>
      <c r="Z83" s="5" t="n">
        <v>1000</v>
      </c>
      <c r="AA83" s="5" t="n">
        <v>0</v>
      </c>
    </row>
    <row r="84" hidden="1" ht="15" customHeight="1">
      <c r="A84" s="3" t="n">
        <v>46023</v>
      </c>
      <c r="B84" s="4" t="inlineStr">
        <is>
          <t>张恒磊</t>
        </is>
      </c>
      <c r="C84" s="4" t="inlineStr">
        <is>
          <t>集训营</t>
        </is>
      </c>
      <c r="D84" s="4" t="inlineStr">
        <is>
          <t>考研项目部</t>
        </is>
      </c>
      <c r="E84" s="4" t="inlineStr">
        <is>
          <t>B级学习顾问</t>
        </is>
      </c>
      <c r="F84" s="5">
        <f>G84+H84</f>
        <v/>
      </c>
      <c r="G84" s="5">
        <f>AA84</f>
        <v/>
      </c>
      <c r="H84" s="5">
        <f>W84</f>
        <v/>
      </c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7" t="n">
        <v>0</v>
      </c>
      <c r="W84" s="5" t="n">
        <v>0</v>
      </c>
      <c r="X84" s="5" t="n">
        <v>0</v>
      </c>
      <c r="Y84" s="7" t="n">
        <v>0</v>
      </c>
      <c r="Z84" s="5" t="n">
        <v>0</v>
      </c>
      <c r="AA84" s="5" t="n">
        <v>1332</v>
      </c>
    </row>
    <row r="85" hidden="1" ht="15" customHeight="1">
      <c r="A85" s="3" t="n">
        <v>46023</v>
      </c>
      <c r="B85" s="4" t="inlineStr">
        <is>
          <t>杨晓超</t>
        </is>
      </c>
      <c r="C85" s="4" t="inlineStr">
        <is>
          <t>集训营</t>
        </is>
      </c>
      <c r="D85" s="4" t="inlineStr">
        <is>
          <t>考研项目部</t>
        </is>
      </c>
      <c r="E85" s="4" t="inlineStr">
        <is>
          <t>B级学习顾问</t>
        </is>
      </c>
      <c r="F85" s="5">
        <f>G85+H85</f>
        <v/>
      </c>
      <c r="G85" s="5">
        <f>AA85</f>
        <v/>
      </c>
      <c r="H85" s="5">
        <f>W85</f>
        <v/>
      </c>
      <c r="I85" s="5" t="n">
        <v>408000</v>
      </c>
      <c r="J85" s="5" t="n">
        <v>400000</v>
      </c>
      <c r="K85" s="5" t="n">
        <v>1232339.2</v>
      </c>
      <c r="L85" s="5" t="n">
        <v>-461830.95</v>
      </c>
      <c r="M85" s="5" t="n">
        <v>0</v>
      </c>
      <c r="N85" s="5" t="n">
        <v>770508.25</v>
      </c>
      <c r="O85" s="7" t="n">
        <v>1.926270625</v>
      </c>
      <c r="P85" s="5" t="n">
        <v>19416.6</v>
      </c>
      <c r="Q85" s="5" t="n">
        <v>-300</v>
      </c>
      <c r="R85" s="5" t="n">
        <v>19116.6</v>
      </c>
      <c r="S85" s="5" t="n">
        <v>40000</v>
      </c>
      <c r="T85" s="5" t="n">
        <v>126773</v>
      </c>
      <c r="U85" s="7" t="n">
        <v>3.169325</v>
      </c>
      <c r="V85" s="7" t="n">
        <v>0.05</v>
      </c>
      <c r="W85" s="5" t="n">
        <v>39481.2425</v>
      </c>
      <c r="X85" s="5" t="n">
        <v>100</v>
      </c>
      <c r="Y85" s="7" t="n">
        <v>1</v>
      </c>
      <c r="Z85" s="5" t="n">
        <v>2000</v>
      </c>
      <c r="AA85" s="5" t="n">
        <v>2000</v>
      </c>
    </row>
    <row r="86" hidden="1" ht="15" customHeight="1">
      <c r="A86" s="3" t="n">
        <v>46023</v>
      </c>
      <c r="B86" s="4" t="inlineStr">
        <is>
          <t>徐铁</t>
        </is>
      </c>
      <c r="C86" s="4" t="inlineStr">
        <is>
          <t>集训营</t>
        </is>
      </c>
      <c r="D86" s="4" t="inlineStr">
        <is>
          <t>考研项目部</t>
        </is>
      </c>
      <c r="E86" s="4" t="inlineStr">
        <is>
          <t>B级学习顾问</t>
        </is>
      </c>
      <c r="F86" s="5">
        <f>G86+H86</f>
        <v/>
      </c>
      <c r="G86" s="5">
        <f>AA86</f>
        <v/>
      </c>
      <c r="H86" s="5">
        <f>W86</f>
        <v/>
      </c>
      <c r="I86" s="5" t="n">
        <v>408000</v>
      </c>
      <c r="J86" s="5" t="n">
        <v>400000</v>
      </c>
      <c r="K86" s="5" t="n">
        <v>934406</v>
      </c>
      <c r="L86" s="5" t="n">
        <v>-101700</v>
      </c>
      <c r="M86" s="5" t="n">
        <v>0</v>
      </c>
      <c r="N86" s="5" t="n">
        <v>832706</v>
      </c>
      <c r="O86" s="7" t="n">
        <v>2.081765</v>
      </c>
      <c r="P86" s="5" t="n">
        <v>73887.14999999999</v>
      </c>
      <c r="Q86" s="5" t="n">
        <v>0</v>
      </c>
      <c r="R86" s="5" t="n">
        <v>73887.14999999999</v>
      </c>
      <c r="S86" s="5" t="n">
        <v>40000</v>
      </c>
      <c r="T86" s="5" t="n">
        <v>141260</v>
      </c>
      <c r="U86" s="7" t="n">
        <v>3.5315</v>
      </c>
      <c r="V86" s="7" t="n">
        <v>0.05</v>
      </c>
      <c r="W86" s="5" t="n">
        <v>45329.6575</v>
      </c>
      <c r="X86" s="5" t="n">
        <v>66</v>
      </c>
      <c r="Y86" s="7" t="n">
        <v>0</v>
      </c>
      <c r="Z86" s="5" t="n">
        <v>2000</v>
      </c>
      <c r="AA86" s="5" t="n">
        <v>0</v>
      </c>
    </row>
    <row r="87" hidden="1" ht="15" customHeight="1">
      <c r="A87" s="3" t="n">
        <v>46023</v>
      </c>
      <c r="B87" s="4" t="inlineStr">
        <is>
          <t>王志远</t>
        </is>
      </c>
      <c r="C87" s="4" t="inlineStr">
        <is>
          <t>集训营</t>
        </is>
      </c>
      <c r="D87" s="4" t="inlineStr">
        <is>
          <t>考研项目部</t>
        </is>
      </c>
      <c r="E87" s="4" t="inlineStr">
        <is>
          <t>B级学习顾问</t>
        </is>
      </c>
      <c r="F87" s="5">
        <f>G87+H87</f>
        <v/>
      </c>
      <c r="G87" s="5">
        <f>AA87</f>
        <v/>
      </c>
      <c r="H87" s="5">
        <f>W87</f>
        <v/>
      </c>
      <c r="I87" s="5" t="n">
        <v>328000</v>
      </c>
      <c r="J87" s="5" t="n">
        <v>320000</v>
      </c>
      <c r="K87" s="5" t="n">
        <v>108600</v>
      </c>
      <c r="L87" s="5" t="n">
        <v>0</v>
      </c>
      <c r="M87" s="5" t="n">
        <v>0</v>
      </c>
      <c r="N87" s="5" t="n">
        <v>108600</v>
      </c>
      <c r="O87" s="7" t="n">
        <v>0.339375</v>
      </c>
      <c r="P87" s="5" t="n">
        <v>39324.2</v>
      </c>
      <c r="Q87" s="5" t="n">
        <v>-190</v>
      </c>
      <c r="R87" s="5" t="n">
        <v>39134.2</v>
      </c>
      <c r="S87" s="5" t="n">
        <v>20000</v>
      </c>
      <c r="T87" s="5" t="n">
        <v>0</v>
      </c>
      <c r="U87" s="7" t="n">
        <v>0</v>
      </c>
      <c r="V87" s="7" t="n">
        <v>0</v>
      </c>
      <c r="W87" s="5" t="n">
        <v>0</v>
      </c>
      <c r="X87" s="5" t="n">
        <v>60</v>
      </c>
      <c r="Y87" s="7" t="n">
        <v>0</v>
      </c>
      <c r="Z87" s="5" t="n">
        <v>2000</v>
      </c>
      <c r="AA87" s="5" t="n">
        <v>0</v>
      </c>
    </row>
    <row r="88" hidden="1" ht="15" customHeight="1">
      <c r="A88" s="3" t="n">
        <v>46023</v>
      </c>
      <c r="B88" s="4" t="inlineStr">
        <is>
          <t>王钦</t>
        </is>
      </c>
      <c r="C88" s="4" t="inlineStr">
        <is>
          <t>集训营</t>
        </is>
      </c>
      <c r="D88" s="4" t="inlineStr">
        <is>
          <t>考研项目部</t>
        </is>
      </c>
      <c r="E88" s="4" t="inlineStr">
        <is>
          <t>B级学习顾问</t>
        </is>
      </c>
      <c r="F88" s="5">
        <f>G88+H88</f>
        <v/>
      </c>
      <c r="G88" s="5">
        <f>AA88</f>
        <v/>
      </c>
      <c r="H88" s="5">
        <f>W88</f>
        <v/>
      </c>
      <c r="I88" s="5" t="n">
        <v>352000</v>
      </c>
      <c r="J88" s="5" t="n">
        <v>344000</v>
      </c>
      <c r="K88" s="5" t="n">
        <v>612170</v>
      </c>
      <c r="L88" s="5" t="n">
        <v>-40292</v>
      </c>
      <c r="M88" s="5" t="n">
        <v>0</v>
      </c>
      <c r="N88" s="5" t="n">
        <v>571878</v>
      </c>
      <c r="O88" s="7" t="n">
        <v>1.66243604651163</v>
      </c>
      <c r="P88" s="5" t="n">
        <v>53033.29</v>
      </c>
      <c r="Q88" s="5" t="n">
        <v>-12190</v>
      </c>
      <c r="R88" s="5" t="n">
        <v>40843.29</v>
      </c>
      <c r="S88" s="5" t="n">
        <v>20000</v>
      </c>
      <c r="T88" s="5" t="n">
        <v>68412.60000000001</v>
      </c>
      <c r="U88" s="7" t="n">
        <v>3.42063</v>
      </c>
      <c r="V88" s="7" t="n">
        <v>0.05</v>
      </c>
      <c r="W88" s="5" t="n">
        <v>30636.0645</v>
      </c>
      <c r="X88" s="5" t="n">
        <v>91</v>
      </c>
      <c r="Y88" s="7" t="n">
        <v>1</v>
      </c>
      <c r="Z88" s="5" t="n">
        <v>2000</v>
      </c>
      <c r="AA88" s="5" t="n">
        <v>2000</v>
      </c>
    </row>
    <row r="89" hidden="1" ht="15" customHeight="1">
      <c r="A89" s="3" t="n">
        <v>46023</v>
      </c>
      <c r="B89" s="4" t="inlineStr">
        <is>
          <t>王鹤琛</t>
        </is>
      </c>
      <c r="C89" s="4" t="inlineStr">
        <is>
          <t>集训营</t>
        </is>
      </c>
      <c r="D89" s="4" t="inlineStr">
        <is>
          <t>考研项目部</t>
        </is>
      </c>
      <c r="E89" s="4" t="inlineStr">
        <is>
          <t>B级学习顾问</t>
        </is>
      </c>
      <c r="F89" s="5">
        <f>G89+H89</f>
        <v/>
      </c>
      <c r="G89" s="5">
        <f>AA89</f>
        <v/>
      </c>
      <c r="H89" s="5">
        <f>W89</f>
        <v/>
      </c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7" t="n">
        <v>0</v>
      </c>
      <c r="W89" s="5" t="n">
        <v>0</v>
      </c>
      <c r="X89" s="5" t="n">
        <v>0</v>
      </c>
      <c r="Y89" s="7" t="n">
        <v>0</v>
      </c>
      <c r="Z89" s="5" t="n">
        <v>0</v>
      </c>
      <c r="AA89" s="5" t="n">
        <v>222</v>
      </c>
    </row>
    <row r="90" hidden="1" ht="15" customHeight="1">
      <c r="A90" s="3" t="n">
        <v>46023</v>
      </c>
      <c r="B90" s="4" t="inlineStr">
        <is>
          <t>钱雪冰</t>
        </is>
      </c>
      <c r="C90" s="4" t="inlineStr">
        <is>
          <t>集训营</t>
        </is>
      </c>
      <c r="D90" s="4" t="inlineStr">
        <is>
          <t>考研项目部</t>
        </is>
      </c>
      <c r="E90" s="4" t="inlineStr">
        <is>
          <t>集训营顾问组长</t>
        </is>
      </c>
      <c r="F90" s="5">
        <f>G90+H90</f>
        <v/>
      </c>
      <c r="G90" s="5">
        <f>AA90</f>
        <v/>
      </c>
      <c r="H90" s="5">
        <f>W90</f>
        <v/>
      </c>
      <c r="I90" s="5" t="n">
        <v>244000</v>
      </c>
      <c r="J90" s="5" t="n">
        <v>240000</v>
      </c>
      <c r="K90" s="5" t="n">
        <v>532689.15</v>
      </c>
      <c r="L90" s="5" t="n">
        <v>-228976.3</v>
      </c>
      <c r="M90" s="5" t="n">
        <v>0</v>
      </c>
      <c r="N90" s="5" t="n">
        <v>303712.85</v>
      </c>
      <c r="O90" s="7" t="n">
        <v>1.26547020833333</v>
      </c>
      <c r="P90" s="5" t="n">
        <v>57026.25</v>
      </c>
      <c r="Q90" s="5" t="n">
        <v>-3595.02</v>
      </c>
      <c r="R90" s="5" t="n">
        <v>53431.23</v>
      </c>
      <c r="S90" s="5" t="n">
        <v>40000</v>
      </c>
      <c r="T90" s="5" t="n">
        <v>200235</v>
      </c>
      <c r="U90" s="7" t="n">
        <v>5.005875</v>
      </c>
      <c r="V90" s="7" t="n">
        <v>0.03</v>
      </c>
      <c r="W90" s="5" t="n">
        <v>10714.3224</v>
      </c>
      <c r="X90" s="5" t="n">
        <v>100</v>
      </c>
      <c r="Y90" s="7" t="n">
        <v>1</v>
      </c>
      <c r="Z90" s="5" t="n">
        <v>4000</v>
      </c>
      <c r="AA90" s="5" t="n">
        <v>4000</v>
      </c>
    </row>
    <row r="91" hidden="1" ht="15" customHeight="1">
      <c r="A91" s="3" t="n">
        <v>46023</v>
      </c>
      <c r="B91" s="4" t="inlineStr">
        <is>
          <t>鲁子寒</t>
        </is>
      </c>
      <c r="C91" s="4" t="inlineStr">
        <is>
          <t>集训营</t>
        </is>
      </c>
      <c r="D91" s="4" t="inlineStr">
        <is>
          <t>考研项目部</t>
        </is>
      </c>
      <c r="E91" s="4" t="inlineStr">
        <is>
          <t>B级学习顾问</t>
        </is>
      </c>
      <c r="F91" s="5">
        <f>G91+H91</f>
        <v/>
      </c>
      <c r="G91" s="5">
        <f>AA91</f>
        <v/>
      </c>
      <c r="H91" s="5">
        <f>W91</f>
        <v/>
      </c>
      <c r="I91" s="5" t="n">
        <v>164000</v>
      </c>
      <c r="J91" s="5" t="n">
        <v>160000</v>
      </c>
      <c r="K91" s="5" t="n">
        <v>339080</v>
      </c>
      <c r="L91" s="5" t="n">
        <v>0</v>
      </c>
      <c r="M91" s="5" t="n">
        <v>8240.75</v>
      </c>
      <c r="N91" s="5" t="n">
        <v>347320.75</v>
      </c>
      <c r="O91" s="7" t="n">
        <v>2.1707546875</v>
      </c>
      <c r="P91" s="5" t="n">
        <v>28621.3</v>
      </c>
      <c r="Q91" s="5" t="n">
        <v>-10589.02</v>
      </c>
      <c r="R91" s="5" t="n">
        <v>18032.28</v>
      </c>
      <c r="S91" s="5" t="n">
        <v>1</v>
      </c>
      <c r="T91" s="5" t="n">
        <v>0</v>
      </c>
      <c r="U91" s="7" t="n">
        <v>0</v>
      </c>
      <c r="V91" s="7" t="n">
        <v>0.02</v>
      </c>
      <c r="W91" s="5" t="n">
        <v>7307.0606</v>
      </c>
      <c r="X91" s="5" t="n">
        <v>10</v>
      </c>
      <c r="Y91" s="7" t="n">
        <v>1</v>
      </c>
      <c r="Z91" s="5" t="n">
        <v>2000</v>
      </c>
      <c r="AA91" s="5" t="n">
        <v>2000</v>
      </c>
    </row>
    <row r="92" hidden="1" ht="15" customHeight="1">
      <c r="A92" s="3" t="n">
        <v>46023</v>
      </c>
      <c r="B92" s="4" t="inlineStr">
        <is>
          <t>刘创</t>
        </is>
      </c>
      <c r="C92" s="4" t="inlineStr">
        <is>
          <t>集训营</t>
        </is>
      </c>
      <c r="D92" s="4" t="inlineStr">
        <is>
          <t>考研项目部</t>
        </is>
      </c>
      <c r="E92" s="4" t="inlineStr">
        <is>
          <t>B级学习顾问</t>
        </is>
      </c>
      <c r="F92" s="5">
        <f>G92+H92</f>
        <v/>
      </c>
      <c r="G92" s="5">
        <f>AA92</f>
        <v/>
      </c>
      <c r="H92" s="5">
        <f>W92</f>
        <v/>
      </c>
      <c r="I92" s="5" t="n">
        <v>408000</v>
      </c>
      <c r="J92" s="5" t="n">
        <v>400000</v>
      </c>
      <c r="K92" s="5" t="n">
        <v>817791.6</v>
      </c>
      <c r="L92" s="5" t="n">
        <v>-235471.6</v>
      </c>
      <c r="M92" s="5" t="n">
        <v>22500</v>
      </c>
      <c r="N92" s="5" t="n">
        <v>604820</v>
      </c>
      <c r="O92" s="7" t="n">
        <v>1.51205</v>
      </c>
      <c r="P92" s="5" t="n">
        <v>21236.1</v>
      </c>
      <c r="Q92" s="5" t="n">
        <v>-3790</v>
      </c>
      <c r="R92" s="5" t="n">
        <v>17446.1</v>
      </c>
      <c r="S92" s="5" t="n">
        <v>40000</v>
      </c>
      <c r="T92" s="5" t="n">
        <v>20139.6</v>
      </c>
      <c r="U92" s="7" t="n">
        <v>0.50349</v>
      </c>
      <c r="V92" s="7" t="n">
        <v>0.05</v>
      </c>
      <c r="W92" s="5" t="n">
        <v>31113.305</v>
      </c>
      <c r="X92" s="5" t="n">
        <v>26</v>
      </c>
      <c r="Y92" s="7" t="n">
        <v>0</v>
      </c>
      <c r="Z92" s="5" t="n">
        <v>2000</v>
      </c>
      <c r="AA92" s="5" t="n">
        <v>0</v>
      </c>
    </row>
    <row r="93" hidden="1" ht="15" customHeight="1">
      <c r="A93" s="3" t="n">
        <v>46023</v>
      </c>
      <c r="B93" s="4" t="inlineStr">
        <is>
          <t>高龙明</t>
        </is>
      </c>
      <c r="C93" s="4" t="inlineStr">
        <is>
          <t>集训营</t>
        </is>
      </c>
      <c r="D93" s="4" t="inlineStr">
        <is>
          <t>考研项目部</t>
        </is>
      </c>
      <c r="E93" s="4" t="inlineStr">
        <is>
          <t>A级学习顾问</t>
        </is>
      </c>
      <c r="F93" s="5">
        <f>G93+H93</f>
        <v/>
      </c>
      <c r="G93" s="5">
        <f>AA93</f>
        <v/>
      </c>
      <c r="H93" s="5">
        <f>W93</f>
        <v/>
      </c>
      <c r="I93" s="5" t="n">
        <v>408000</v>
      </c>
      <c r="J93" s="5" t="n">
        <v>400000</v>
      </c>
      <c r="K93" s="5" t="n">
        <v>854401.2</v>
      </c>
      <c r="L93" s="5" t="n">
        <v>-214711.1</v>
      </c>
      <c r="M93" s="5" t="n">
        <v>0</v>
      </c>
      <c r="N93" s="5" t="n">
        <v>639690.1</v>
      </c>
      <c r="O93" s="7" t="n">
        <v>1.59922525</v>
      </c>
      <c r="P93" s="5" t="n">
        <v>53491.5</v>
      </c>
      <c r="Q93" s="5" t="n">
        <v>-9708.91</v>
      </c>
      <c r="R93" s="5" t="n">
        <v>43782.59</v>
      </c>
      <c r="S93" s="5" t="n">
        <v>40000</v>
      </c>
      <c r="T93" s="5" t="n">
        <v>34062.7</v>
      </c>
      <c r="U93" s="7" t="n">
        <v>0.8515675</v>
      </c>
      <c r="V93" s="7" t="n">
        <v>0.05</v>
      </c>
      <c r="W93" s="5" t="n">
        <v>34173.6345</v>
      </c>
      <c r="X93" s="5" t="n">
        <v>90.57837499999999</v>
      </c>
      <c r="Y93" s="7" t="n">
        <v>1</v>
      </c>
      <c r="Z93" s="5" t="n">
        <v>1000</v>
      </c>
      <c r="AA93" s="5" t="n">
        <v>1000</v>
      </c>
    </row>
    <row r="94" hidden="1" ht="15" customHeight="1">
      <c r="A94" s="3" t="n">
        <v>46023</v>
      </c>
      <c r="B94" s="4" t="inlineStr">
        <is>
          <t>陈露</t>
        </is>
      </c>
      <c r="C94" s="4" t="inlineStr">
        <is>
          <t>集训营</t>
        </is>
      </c>
      <c r="D94" s="4" t="inlineStr">
        <is>
          <t>考研项目部</t>
        </is>
      </c>
      <c r="E94" s="4" t="inlineStr">
        <is>
          <t>B级学习顾问</t>
        </is>
      </c>
      <c r="F94" s="5">
        <f>G94+H94</f>
        <v/>
      </c>
      <c r="G94" s="5">
        <f>AA94</f>
        <v/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-125559.9</v>
      </c>
      <c r="M94" s="5" t="n">
        <v>0</v>
      </c>
      <c r="N94" s="5" t="n">
        <v>-125559.9</v>
      </c>
      <c r="O94" s="7" t="n">
        <v>0</v>
      </c>
      <c r="P94" s="5" t="n">
        <v>0</v>
      </c>
      <c r="Q94" s="5" t="n">
        <v>-6899.97</v>
      </c>
      <c r="R94" s="5" t="n">
        <v>-6899.97</v>
      </c>
      <c r="S94" s="5" t="n">
        <v>0</v>
      </c>
      <c r="T94" s="5" t="n">
        <v>0</v>
      </c>
      <c r="U94" s="7" t="n">
        <v>0</v>
      </c>
      <c r="V94" s="7" t="n">
        <v>0</v>
      </c>
      <c r="W94" s="5" t="n">
        <v>0</v>
      </c>
      <c r="X94" s="5" t="n">
        <v>0</v>
      </c>
      <c r="Y94" s="7" t="n">
        <v>0</v>
      </c>
      <c r="Z94" s="5" t="n">
        <v>2000</v>
      </c>
      <c r="AA94" s="5" t="n">
        <v>0</v>
      </c>
    </row>
    <row r="95" hidden="1" ht="15" customHeight="1">
      <c r="A95" s="3" t="n">
        <v>46054</v>
      </c>
      <c r="B95" s="4" t="inlineStr">
        <is>
          <t>张乐</t>
        </is>
      </c>
      <c r="C95" s="4" t="inlineStr">
        <is>
          <t>集训营</t>
        </is>
      </c>
      <c r="D95" s="4" t="inlineStr">
        <is>
          <t>考研项目部</t>
        </is>
      </c>
      <c r="E95" s="4" t="inlineStr">
        <is>
          <t>B级学习顾问</t>
        </is>
      </c>
      <c r="F95" s="5">
        <f>G95+H95</f>
        <v/>
      </c>
      <c r="G95" s="5" t="n">
        <v>2000</v>
      </c>
      <c r="H95" s="5" t="n">
        <v>2969.7732</v>
      </c>
      <c r="I95" s="5" t="n">
        <v>603000</v>
      </c>
      <c r="J95" s="5" t="n">
        <v>603000</v>
      </c>
      <c r="K95" s="5" t="n">
        <v>695635.05</v>
      </c>
      <c r="L95" s="5" t="n">
        <v>-324413.4</v>
      </c>
      <c r="M95" s="5" t="n">
        <v>0</v>
      </c>
      <c r="N95" s="5" t="n">
        <v>371221.65</v>
      </c>
      <c r="O95" s="7" t="n">
        <v>0.615624626865672</v>
      </c>
      <c r="P95" s="5" t="n">
        <v>0</v>
      </c>
      <c r="Q95" s="5" t="n">
        <v>0</v>
      </c>
      <c r="R95" s="5" t="n">
        <v>0</v>
      </c>
      <c r="S95" s="5" t="n">
        <v>90000</v>
      </c>
      <c r="T95" s="5" t="n">
        <v>129300</v>
      </c>
      <c r="U95" s="7" t="n">
        <v>1.43666666666667</v>
      </c>
      <c r="V95" s="7" t="n">
        <v>2969.7732</v>
      </c>
      <c r="W95" s="5" t="n">
        <v>231778.35</v>
      </c>
      <c r="X95" s="5" t="n">
        <v>100</v>
      </c>
      <c r="Y95" s="7" t="n">
        <v>1</v>
      </c>
      <c r="Z95" s="5" t="n">
        <v>2000</v>
      </c>
      <c r="AA95" s="5" t="n">
        <v>2000</v>
      </c>
    </row>
    <row r="96" hidden="1" ht="15" customHeight="1">
      <c r="A96" s="3" t="n">
        <v>46054</v>
      </c>
      <c r="B96" s="4" t="inlineStr">
        <is>
          <t>张俊旺</t>
        </is>
      </c>
      <c r="C96" s="4" t="inlineStr">
        <is>
          <t>集训营</t>
        </is>
      </c>
      <c r="D96" s="4" t="inlineStr">
        <is>
          <t>考研项目部</t>
        </is>
      </c>
      <c r="E96" s="4" t="inlineStr">
        <is>
          <t>B级学习顾问</t>
        </is>
      </c>
      <c r="F96" s="5">
        <f>G96+H96</f>
        <v/>
      </c>
      <c r="G96" s="5" t="n">
        <v>1000</v>
      </c>
      <c r="H96" s="5" t="n">
        <v>296.942</v>
      </c>
      <c r="I96" s="5" t="n">
        <v>573000</v>
      </c>
      <c r="J96" s="5" t="n">
        <v>573000</v>
      </c>
      <c r="K96" s="5" t="n">
        <v>172011.3</v>
      </c>
      <c r="L96" s="5" t="n">
        <v>-112104.1</v>
      </c>
      <c r="M96" s="5" t="n">
        <v>0</v>
      </c>
      <c r="N96" s="5" t="n">
        <v>59907.2</v>
      </c>
      <c r="O96" s="7" t="n">
        <v>0.104550087260035</v>
      </c>
      <c r="P96" s="5" t="n">
        <v>30094.2</v>
      </c>
      <c r="Q96" s="5" t="n">
        <v>-400</v>
      </c>
      <c r="R96" s="5" t="n">
        <v>29694.2</v>
      </c>
      <c r="S96" s="5" t="n">
        <v>45000</v>
      </c>
      <c r="T96" s="5" t="n">
        <v>0</v>
      </c>
      <c r="U96" s="7" t="n">
        <v>0</v>
      </c>
      <c r="V96" s="7" t="n">
        <v>296.942</v>
      </c>
      <c r="W96" s="5" t="n">
        <v>513092.8</v>
      </c>
      <c r="X96" s="5" t="n">
        <v>100</v>
      </c>
      <c r="Y96" s="7" t="n">
        <v>1</v>
      </c>
      <c r="Z96" s="5" t="n">
        <v>1000</v>
      </c>
      <c r="AA96" s="5" t="n">
        <v>1000</v>
      </c>
    </row>
    <row r="97" hidden="1" ht="15" customHeight="1">
      <c r="A97" s="3" t="n">
        <v>46054</v>
      </c>
      <c r="B97" s="4" t="inlineStr">
        <is>
          <t>张恒磊</t>
        </is>
      </c>
      <c r="C97" s="4" t="inlineStr">
        <is>
          <t>集训营</t>
        </is>
      </c>
      <c r="D97" s="4" t="inlineStr">
        <is>
          <t>考研项目部</t>
        </is>
      </c>
      <c r="E97" s="4" t="inlineStr">
        <is>
          <t>B级学习顾问</t>
        </is>
      </c>
      <c r="F97" s="5">
        <f>G97+H97</f>
        <v/>
      </c>
      <c r="G97" s="5" t="n">
        <v>2000</v>
      </c>
      <c r="H97" s="5" t="n">
        <v>0</v>
      </c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5" t="n">
        <v>0</v>
      </c>
      <c r="Y97" s="7" t="n">
        <v>0</v>
      </c>
      <c r="Z97" s="5" t="n">
        <v>0</v>
      </c>
      <c r="AA97" s="5" t="n">
        <v>2000</v>
      </c>
    </row>
    <row r="98" hidden="1" ht="15" customHeight="1">
      <c r="A98" s="3" t="n">
        <v>46054</v>
      </c>
      <c r="B98" s="4" t="inlineStr">
        <is>
          <t>杨晓超</t>
        </is>
      </c>
      <c r="C98" s="4" t="inlineStr">
        <is>
          <t>集训营</t>
        </is>
      </c>
      <c r="D98" s="4" t="inlineStr">
        <is>
          <t>考研项目部</t>
        </is>
      </c>
      <c r="E98" s="4" t="inlineStr">
        <is>
          <t>B级学习顾问</t>
        </is>
      </c>
      <c r="F98" s="5">
        <f>G98+H98</f>
        <v/>
      </c>
      <c r="G98" s="5" t="n">
        <v>2000</v>
      </c>
      <c r="H98" s="5" t="n">
        <v>1202.2364</v>
      </c>
      <c r="I98" s="5" t="n">
        <v>603000</v>
      </c>
      <c r="J98" s="5" t="n">
        <v>603000</v>
      </c>
      <c r="K98" s="5" t="n">
        <v>398857.5</v>
      </c>
      <c r="L98" s="5" t="n">
        <v>-285888.2</v>
      </c>
      <c r="M98" s="5" t="n">
        <v>0</v>
      </c>
      <c r="N98" s="5" t="n">
        <v>112969.3</v>
      </c>
      <c r="O98" s="7" t="n">
        <v>0.18734543946932</v>
      </c>
      <c r="P98" s="5" t="n">
        <v>29848.2</v>
      </c>
      <c r="Q98" s="5" t="n">
        <v>0</v>
      </c>
      <c r="R98" s="5" t="n">
        <v>29848.2</v>
      </c>
      <c r="S98" s="5" t="n">
        <v>90000</v>
      </c>
      <c r="T98" s="5" t="n">
        <v>0</v>
      </c>
      <c r="U98" s="7" t="n">
        <v>0</v>
      </c>
      <c r="V98" s="7" t="n">
        <v>1202.2364</v>
      </c>
      <c r="W98" s="5" t="n">
        <v>490030.7</v>
      </c>
      <c r="X98" s="5" t="n">
        <v>100</v>
      </c>
      <c r="Y98" s="7" t="n">
        <v>1</v>
      </c>
      <c r="Z98" s="5" t="n">
        <v>2000</v>
      </c>
      <c r="AA98" s="5" t="n">
        <v>2000</v>
      </c>
    </row>
    <row r="99" hidden="1" ht="15" customHeight="1">
      <c r="A99" s="3" t="n">
        <v>46054</v>
      </c>
      <c r="B99" s="4" t="inlineStr">
        <is>
          <t>徐铁</t>
        </is>
      </c>
      <c r="C99" s="4" t="inlineStr">
        <is>
          <t>集训营</t>
        </is>
      </c>
      <c r="D99" s="4" t="inlineStr">
        <is>
          <t>考研项目部</t>
        </is>
      </c>
      <c r="E99" s="4" t="inlineStr">
        <is>
          <t>B级学习顾问</t>
        </is>
      </c>
      <c r="F99" s="5">
        <f>G99+H99</f>
        <v/>
      </c>
      <c r="G99" s="5" t="n">
        <v>2000</v>
      </c>
      <c r="H99" s="5" t="n">
        <v>30.957</v>
      </c>
      <c r="I99" s="5" t="n">
        <v>603000</v>
      </c>
      <c r="J99" s="5" t="n">
        <v>603000</v>
      </c>
      <c r="K99" s="5" t="n">
        <v>219851</v>
      </c>
      <c r="L99" s="5" t="n">
        <v>-95541.8</v>
      </c>
      <c r="M99" s="5" t="n">
        <v>0</v>
      </c>
      <c r="N99" s="5" t="n">
        <v>124309.2</v>
      </c>
      <c r="O99" s="7" t="n">
        <v>0.206151243781095</v>
      </c>
      <c r="P99" s="5" t="n">
        <v>3095.7</v>
      </c>
      <c r="Q99" s="5" t="n">
        <v>0</v>
      </c>
      <c r="R99" s="5" t="n">
        <v>3095.7</v>
      </c>
      <c r="S99" s="5" t="n">
        <v>90000</v>
      </c>
      <c r="T99" s="5" t="n">
        <v>0</v>
      </c>
      <c r="U99" s="7" t="n">
        <v>0</v>
      </c>
      <c r="V99" s="7" t="n">
        <v>30.957</v>
      </c>
      <c r="W99" s="5" t="n">
        <v>478690.8</v>
      </c>
      <c r="X99" s="5" t="n">
        <v>100</v>
      </c>
      <c r="Y99" s="7" t="n">
        <v>1</v>
      </c>
      <c r="Z99" s="5" t="n">
        <v>2000</v>
      </c>
      <c r="AA99" s="5" t="n">
        <v>2000</v>
      </c>
    </row>
    <row r="100" hidden="1" ht="15" customHeight="1">
      <c r="A100" s="3" t="n">
        <v>46054</v>
      </c>
      <c r="B100" s="4" t="inlineStr">
        <is>
          <t>王钦</t>
        </is>
      </c>
      <c r="C100" s="4" t="inlineStr">
        <is>
          <t>集训营</t>
        </is>
      </c>
      <c r="D100" s="4" t="inlineStr">
        <is>
          <t>考研项目部</t>
        </is>
      </c>
      <c r="E100" s="4" t="inlineStr">
        <is>
          <t>B级学习顾问</t>
        </is>
      </c>
      <c r="F100" s="5">
        <f>G100+H100</f>
        <v/>
      </c>
      <c r="G100" s="5" t="n">
        <v>2000</v>
      </c>
      <c r="H100" s="5" t="n">
        <v>90.922</v>
      </c>
      <c r="I100" s="5" t="n">
        <v>573000</v>
      </c>
      <c r="J100" s="5" t="n">
        <v>573000</v>
      </c>
      <c r="K100" s="5" t="n">
        <v>141851.8</v>
      </c>
      <c r="L100" s="5" t="n">
        <v>-39883.8</v>
      </c>
      <c r="M100" s="5" t="n">
        <v>0</v>
      </c>
      <c r="N100" s="5" t="n">
        <v>101968</v>
      </c>
      <c r="O100" s="7" t="n">
        <v>0.17795462478185</v>
      </c>
      <c r="P100" s="5" t="n">
        <v>14775.2</v>
      </c>
      <c r="Q100" s="5" t="n">
        <v>-5683</v>
      </c>
      <c r="R100" s="5" t="n">
        <v>9092.200000000001</v>
      </c>
      <c r="S100" s="5" t="n">
        <v>45000</v>
      </c>
      <c r="T100" s="5" t="n">
        <v>0</v>
      </c>
      <c r="U100" s="7" t="n">
        <v>0</v>
      </c>
      <c r="V100" s="7" t="n">
        <v>90.922</v>
      </c>
      <c r="W100" s="5" t="n">
        <v>471032</v>
      </c>
      <c r="X100" s="5" t="n">
        <v>100</v>
      </c>
      <c r="Y100" s="7" t="n">
        <v>1</v>
      </c>
      <c r="Z100" s="5" t="n">
        <v>2000</v>
      </c>
      <c r="AA100" s="5" t="n">
        <v>2000</v>
      </c>
    </row>
    <row r="101" hidden="1" ht="15" customHeight="1">
      <c r="A101" s="3" t="n">
        <v>46054</v>
      </c>
      <c r="B101" s="4" t="inlineStr">
        <is>
          <t>王鹤琛</t>
        </is>
      </c>
      <c r="C101" s="4" t="inlineStr">
        <is>
          <t>集训营</t>
        </is>
      </c>
      <c r="D101" s="4" t="inlineStr">
        <is>
          <t>考研项目部</t>
        </is>
      </c>
      <c r="E101" s="4" t="inlineStr">
        <is>
          <t>B级学习顾问</t>
        </is>
      </c>
      <c r="F101" s="5">
        <f>G101+H101</f>
        <v/>
      </c>
      <c r="G101" s="5" t="n">
        <v>2000</v>
      </c>
      <c r="H101" s="5" t="n">
        <v>0</v>
      </c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5" t="n">
        <v>0</v>
      </c>
      <c r="Y101" s="7" t="n">
        <v>0</v>
      </c>
      <c r="Z101" s="5" t="n">
        <v>0</v>
      </c>
      <c r="AA101" s="5" t="n">
        <v>2000</v>
      </c>
    </row>
    <row r="102" hidden="1" ht="15" customHeight="1">
      <c r="A102" s="3" t="n">
        <v>46054</v>
      </c>
      <c r="B102" s="4" t="inlineStr">
        <is>
          <t>钱雪冰</t>
        </is>
      </c>
      <c r="C102" s="4" t="inlineStr">
        <is>
          <t>集训营</t>
        </is>
      </c>
      <c r="D102" s="4" t="inlineStr">
        <is>
          <t>考研项目部</t>
        </is>
      </c>
      <c r="E102" s="4" t="inlineStr">
        <is>
          <t>集训营顾问组长</t>
        </is>
      </c>
      <c r="F102" s="5">
        <f>G102+H102</f>
        <v/>
      </c>
      <c r="G102" s="5" t="n">
        <v>4000</v>
      </c>
      <c r="H102" s="5" t="n">
        <v>2359.6128</v>
      </c>
      <c r="I102" s="5" t="n">
        <v>512400</v>
      </c>
      <c r="J102" s="5" t="n">
        <v>512400</v>
      </c>
      <c r="K102" s="5" t="n">
        <v>421427.1</v>
      </c>
      <c r="L102" s="5" t="n">
        <v>-192866</v>
      </c>
      <c r="M102" s="5" t="n">
        <v>0</v>
      </c>
      <c r="N102" s="5" t="n">
        <v>228561.1</v>
      </c>
      <c r="O102" s="7" t="n">
        <v>0.446059914129586</v>
      </c>
      <c r="P102" s="5" t="n">
        <v>53112.4</v>
      </c>
      <c r="Q102" s="5" t="n">
        <v>0</v>
      </c>
      <c r="R102" s="5" t="n">
        <v>53112.4</v>
      </c>
      <c r="S102" s="5" t="n">
        <v>90000</v>
      </c>
      <c r="T102" s="5" t="n">
        <v>0</v>
      </c>
      <c r="U102" s="7" t="n">
        <v>0</v>
      </c>
      <c r="V102" s="7" t="n">
        <v>2359.6128</v>
      </c>
      <c r="W102" s="5" t="n">
        <v>283838.9</v>
      </c>
      <c r="X102" s="5" t="n">
        <v>100</v>
      </c>
      <c r="Y102" s="7" t="n">
        <v>1</v>
      </c>
      <c r="Z102" s="5" t="n">
        <v>4000</v>
      </c>
      <c r="AA102" s="5" t="n">
        <v>4000</v>
      </c>
    </row>
    <row r="103" hidden="1" ht="15" customHeight="1">
      <c r="A103" s="3" t="n">
        <v>46054</v>
      </c>
      <c r="B103" s="4" t="inlineStr">
        <is>
          <t>鲁子寒</t>
        </is>
      </c>
      <c r="C103" s="4" t="inlineStr">
        <is>
          <t>集训营</t>
        </is>
      </c>
      <c r="D103" s="4" t="inlineStr">
        <is>
          <t>考研项目部</t>
        </is>
      </c>
      <c r="E103" s="4" t="inlineStr">
        <is>
          <t>B级学习顾问</t>
        </is>
      </c>
      <c r="F103" s="5">
        <f>G103+H103</f>
        <v/>
      </c>
      <c r="G103" s="5" t="n">
        <v>2000</v>
      </c>
      <c r="H103" s="5" t="n">
        <v>10.965</v>
      </c>
      <c r="I103" s="5" t="n">
        <v>362400</v>
      </c>
      <c r="J103" s="5" t="n">
        <v>362400</v>
      </c>
      <c r="K103" s="5" t="n">
        <v>68796</v>
      </c>
      <c r="L103" s="5" t="n">
        <v>0</v>
      </c>
      <c r="M103" s="5" t="n">
        <v>0</v>
      </c>
      <c r="N103" s="5" t="n">
        <v>68796</v>
      </c>
      <c r="O103" s="7" t="n">
        <v>0.189834437086093</v>
      </c>
      <c r="P103" s="5" t="n">
        <v>1096.5</v>
      </c>
      <c r="Q103" s="5" t="n">
        <v>0</v>
      </c>
      <c r="R103" s="5" t="n">
        <v>1096.5</v>
      </c>
      <c r="S103" s="5" t="n">
        <v>1</v>
      </c>
      <c r="T103" s="5" t="n">
        <v>0</v>
      </c>
      <c r="U103" s="7" t="n">
        <v>0</v>
      </c>
      <c r="V103" s="7" t="n">
        <v>10.965</v>
      </c>
      <c r="W103" s="5" t="n">
        <v>293604</v>
      </c>
      <c r="X103" s="5" t="n">
        <v>100</v>
      </c>
      <c r="Y103" s="7" t="n">
        <v>1</v>
      </c>
      <c r="Z103" s="5" t="n">
        <v>2000</v>
      </c>
      <c r="AA103" s="5" t="n">
        <v>2000</v>
      </c>
    </row>
    <row r="104" hidden="1" ht="15" customHeight="1">
      <c r="A104" s="3" t="n">
        <v>46054</v>
      </c>
      <c r="B104" s="4" t="inlineStr">
        <is>
          <t>刘创</t>
        </is>
      </c>
      <c r="C104" s="4" t="inlineStr">
        <is>
          <t>集训营</t>
        </is>
      </c>
      <c r="D104" s="4" t="inlineStr">
        <is>
          <t>考研项目部</t>
        </is>
      </c>
      <c r="E104" s="4" t="inlineStr">
        <is>
          <t>B级学习顾问</t>
        </is>
      </c>
      <c r="F104" s="5">
        <f>G104+H104</f>
        <v/>
      </c>
      <c r="G104" s="5" t="n">
        <v>2000</v>
      </c>
      <c r="H104" s="5" t="n">
        <v>143.892</v>
      </c>
      <c r="I104" s="5" t="n">
        <v>603000</v>
      </c>
      <c r="J104" s="5" t="n">
        <v>603000</v>
      </c>
      <c r="K104" s="5" t="n">
        <v>177769.2</v>
      </c>
      <c r="L104" s="5" t="n">
        <v>-98967.2</v>
      </c>
      <c r="M104" s="5" t="n">
        <v>0</v>
      </c>
      <c r="N104" s="5" t="n">
        <v>78802</v>
      </c>
      <c r="O104" s="7" t="n">
        <v>0.130683250414594</v>
      </c>
      <c r="P104" s="5" t="n">
        <v>14389.2</v>
      </c>
      <c r="Q104" s="5" t="n">
        <v>0</v>
      </c>
      <c r="R104" s="5" t="n">
        <v>14389.2</v>
      </c>
      <c r="S104" s="5" t="n">
        <v>90000</v>
      </c>
      <c r="T104" s="5" t="n">
        <v>0</v>
      </c>
      <c r="U104" s="7" t="n">
        <v>0</v>
      </c>
      <c r="V104" s="7" t="n">
        <v>143.892</v>
      </c>
      <c r="W104" s="5" t="n">
        <v>524198</v>
      </c>
      <c r="X104" s="5" t="n">
        <v>100</v>
      </c>
      <c r="Y104" s="7" t="n">
        <v>1</v>
      </c>
      <c r="Z104" s="5" t="n">
        <v>2000</v>
      </c>
      <c r="AA104" s="5" t="n">
        <v>2000</v>
      </c>
    </row>
    <row r="105" hidden="1" ht="15" customHeight="1">
      <c r="A105" s="3" t="n">
        <v>46054</v>
      </c>
      <c r="B105" s="4" t="inlineStr">
        <is>
          <t>高龙明</t>
        </is>
      </c>
      <c r="C105" s="4" t="inlineStr">
        <is>
          <t>集训营</t>
        </is>
      </c>
      <c r="D105" s="4" t="inlineStr">
        <is>
          <t>考研项目部</t>
        </is>
      </c>
      <c r="E105" s="4" t="inlineStr">
        <is>
          <t>A级学习顾问</t>
        </is>
      </c>
      <c r="F105" s="5">
        <f>G105+H105</f>
        <v/>
      </c>
      <c r="G105" s="5" t="n">
        <v>1000</v>
      </c>
      <c r="H105" s="5" t="n">
        <v>168.073</v>
      </c>
      <c r="I105" s="5" t="n">
        <v>603000</v>
      </c>
      <c r="J105" s="5" t="n">
        <v>603000</v>
      </c>
      <c r="K105" s="5" t="n">
        <v>303835.6</v>
      </c>
      <c r="L105" s="5" t="n">
        <v>-164373.6</v>
      </c>
      <c r="M105" s="5" t="n">
        <v>0</v>
      </c>
      <c r="N105" s="5" t="n">
        <v>139462</v>
      </c>
      <c r="O105" s="7" t="n">
        <v>0.231280265339967</v>
      </c>
      <c r="P105" s="5" t="n">
        <v>35605.7</v>
      </c>
      <c r="Q105" s="5" t="n">
        <v>-18798.4</v>
      </c>
      <c r="R105" s="5" t="n">
        <v>16807.3</v>
      </c>
      <c r="S105" s="5" t="n">
        <v>90000</v>
      </c>
      <c r="T105" s="5" t="n">
        <v>0</v>
      </c>
      <c r="U105" s="7" t="n">
        <v>0</v>
      </c>
      <c r="V105" s="7" t="n">
        <v>168.073</v>
      </c>
      <c r="W105" s="5" t="n">
        <v>463538</v>
      </c>
      <c r="X105" s="5" t="n">
        <v>100</v>
      </c>
      <c r="Y105" s="7" t="n">
        <v>1</v>
      </c>
      <c r="Z105" s="5" t="n">
        <v>1000</v>
      </c>
      <c r="AA105" s="5" t="n">
        <v>1000</v>
      </c>
    </row>
    <row r="106" hidden="1" ht="15" customHeight="1">
      <c r="A106" s="3" t="n">
        <v>46054</v>
      </c>
      <c r="B106" s="4" t="inlineStr">
        <is>
          <t>陈露</t>
        </is>
      </c>
      <c r="C106" s="4" t="inlineStr">
        <is>
          <t>集训营</t>
        </is>
      </c>
      <c r="D106" s="4" t="inlineStr">
        <is>
          <t>考研项目部</t>
        </is>
      </c>
      <c r="E106" s="4" t="inlineStr">
        <is>
          <t>B级学习顾问</t>
        </is>
      </c>
      <c r="F106" s="5">
        <f>G106+H106</f>
        <v/>
      </c>
      <c r="G106" s="5" t="n">
        <v>0</v>
      </c>
      <c r="H106" s="5" t="n">
        <v>0</v>
      </c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5" t="n">
        <v>90000</v>
      </c>
      <c r="T106" s="5" t="n">
        <v>0</v>
      </c>
      <c r="U106" s="7" t="n">
        <v>0</v>
      </c>
      <c r="V106" s="4" t="n"/>
      <c r="W106" s="4" t="n"/>
      <c r="X106" s="4" t="n"/>
      <c r="Y106" s="4" t="n"/>
      <c r="Z106" s="4" t="n"/>
      <c r="AA106" s="4" t="n"/>
    </row>
    <row r="107" hidden="1" ht="15" customHeight="1">
      <c r="A107" s="3" t="n">
        <v>46054</v>
      </c>
      <c r="B107" s="4" t="inlineStr">
        <is>
          <t>王志远</t>
        </is>
      </c>
      <c r="C107" s="4" t="inlineStr">
        <is>
          <t>集训营</t>
        </is>
      </c>
      <c r="D107" s="4" t="inlineStr">
        <is>
          <t>考研项目部</t>
        </is>
      </c>
      <c r="E107" s="4" t="inlineStr">
        <is>
          <t>B级学习顾问</t>
        </is>
      </c>
      <c r="F107" s="5">
        <f>G107+H107</f>
        <v/>
      </c>
      <c r="G107" s="5" t="n">
        <v>0</v>
      </c>
      <c r="H107" s="5" t="n">
        <v>0</v>
      </c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5" t="n">
        <v>100</v>
      </c>
      <c r="Y107" s="7" t="n">
        <v>0</v>
      </c>
      <c r="Z107" s="5" t="n">
        <v>0</v>
      </c>
      <c r="AA107" s="5" t="n">
        <v>0</v>
      </c>
    </row>
    <row r="108" hidden="1" ht="15" customHeight="1">
      <c r="A108" s="3" t="n">
        <v>46082</v>
      </c>
      <c r="B108" s="4" t="inlineStr">
        <is>
          <t>苏乾楠</t>
        </is>
      </c>
      <c r="C108" s="4" t="inlineStr">
        <is>
          <t>集训营</t>
        </is>
      </c>
      <c r="D108" s="4" t="inlineStr">
        <is>
          <t>考研项目部</t>
        </is>
      </c>
      <c r="E108" s="4" t="inlineStr">
        <is>
          <t>B级学习顾问</t>
        </is>
      </c>
      <c r="F108" s="5">
        <f>G108+H108</f>
        <v/>
      </c>
      <c r="G108" s="5">
        <f>AA108</f>
        <v/>
      </c>
      <c r="H108" s="5" t="n">
        <v>52306.093</v>
      </c>
      <c r="I108" s="5" t="n">
        <v>1714770</v>
      </c>
      <c r="J108" s="4" t="n"/>
      <c r="K108" s="4" t="n">
        <v>2089053.8</v>
      </c>
      <c r="L108" s="4" t="n">
        <v>-347945</v>
      </c>
      <c r="M108" s="4" t="n"/>
      <c r="N108" s="4" t="n">
        <v>1741108.8</v>
      </c>
      <c r="O108" s="7" t="n">
        <v>1.01535996081107</v>
      </c>
      <c r="P108" s="5" t="n">
        <v>25978.9</v>
      </c>
      <c r="Q108" s="5" t="n">
        <v>-18696</v>
      </c>
      <c r="R108" s="5" t="n">
        <v>7282.9</v>
      </c>
      <c r="S108" s="5" t="n">
        <v>150000</v>
      </c>
      <c r="T108" s="5" t="n">
        <v>323250</v>
      </c>
      <c r="U108" s="7" t="n">
        <v>2.155</v>
      </c>
      <c r="V108" s="7" t="n">
        <v>0.03</v>
      </c>
      <c r="W108" s="5" t="n">
        <v>52306.093</v>
      </c>
      <c r="X108" s="5">
        <f>_xlfn.XLOOKUP($B108,[2]顾问绩效!$B$3:$B$13,[2]顾问绩效!$T$3:$T$13,0,0)</f>
        <v/>
      </c>
      <c r="Y108" s="7">
        <f>_xlfn.XLOOKUP($B108,[2]顾问绩效!$B$3:$B$13,[2]顾问绩效!$U$3:$U$13,0,0)</f>
        <v/>
      </c>
      <c r="Z108" s="5">
        <f>_xlfn.XLOOKUP($B108,[2]顾问绩效!$B$3:$B$13,[2]顾问绩效!$V$3:$V$13,0,0)</f>
        <v/>
      </c>
      <c r="AA108" s="5">
        <f>_xlfn.XLOOKUP($B108,[2]顾问绩效!$B$3:$B$13,[2]顾问绩效!$W$3:$W$13,0,0)</f>
        <v/>
      </c>
    </row>
    <row r="109" hidden="1" ht="15" customHeight="1">
      <c r="A109" s="3" t="n">
        <v>46082</v>
      </c>
      <c r="B109" s="4" t="inlineStr">
        <is>
          <t>高龙明</t>
        </is>
      </c>
      <c r="C109" s="4" t="inlineStr">
        <is>
          <t>集训营</t>
        </is>
      </c>
      <c r="D109" s="4" t="inlineStr">
        <is>
          <t>考研项目部</t>
        </is>
      </c>
      <c r="E109" s="4" t="inlineStr">
        <is>
          <t>A级学习顾问</t>
        </is>
      </c>
      <c r="F109" s="5">
        <f>G109+H109</f>
        <v/>
      </c>
      <c r="G109" s="5">
        <f>AA109</f>
        <v/>
      </c>
      <c r="H109" s="5" t="n">
        <v>84623.6888</v>
      </c>
      <c r="I109" s="5" t="n">
        <v>1714770</v>
      </c>
      <c r="K109" s="4" t="n">
        <v>2752553.9</v>
      </c>
      <c r="L109" s="4" t="n">
        <v>-645104.8</v>
      </c>
      <c r="N109" s="4" t="n">
        <v>2107449.1</v>
      </c>
      <c r="O109" s="7" t="n">
        <v>1.22899811636546</v>
      </c>
      <c r="P109" s="5" t="n">
        <v>96697.7</v>
      </c>
      <c r="Q109" s="5" t="n">
        <v>-64125.22</v>
      </c>
      <c r="R109" s="5" t="n">
        <v>32572.48</v>
      </c>
      <c r="S109" s="5" t="n">
        <v>150000</v>
      </c>
      <c r="T109" s="5" t="n">
        <v>172096</v>
      </c>
      <c r="U109" s="7" t="n">
        <v>1.14730666666667</v>
      </c>
      <c r="V109" s="7" t="n">
        <v>0.04</v>
      </c>
      <c r="W109" s="5" t="n">
        <v>84623.6888</v>
      </c>
      <c r="X109" s="5">
        <f>_xlfn.XLOOKUP(B109,[2]顾问绩效!$B$3:$B$13,[2]顾问绩效!$T$3:$T$13,0,0)</f>
        <v/>
      </c>
      <c r="Y109" s="7">
        <f>_xlfn.XLOOKUP($B109,[2]顾问绩效!$B$3:$B$13,[2]顾问绩效!$U$3:$U$13,0,0)</f>
        <v/>
      </c>
      <c r="Z109" s="5">
        <f>_xlfn.XLOOKUP($B109,[2]顾问绩效!$B$3:$B$13,[2]顾问绩效!$V$3:$V$13,0,0)</f>
        <v/>
      </c>
      <c r="AA109" s="5">
        <f>_xlfn.XLOOKUP($B109,[2]顾问绩效!$B$3:$B$13,[2]顾问绩效!$W$3:$W$13,0,0)</f>
        <v/>
      </c>
    </row>
    <row r="110" hidden="1" ht="15" customHeight="1">
      <c r="A110" s="3" t="n">
        <v>46082</v>
      </c>
      <c r="B110" s="4" t="inlineStr">
        <is>
          <t>张俊旺</t>
        </is>
      </c>
      <c r="C110" s="4" t="inlineStr">
        <is>
          <t>集训营</t>
        </is>
      </c>
      <c r="D110" s="4" t="inlineStr">
        <is>
          <t>考研项目部</t>
        </is>
      </c>
      <c r="E110" s="4" t="inlineStr">
        <is>
          <t>B级学习顾问</t>
        </is>
      </c>
      <c r="F110" s="5">
        <f>G110+H110</f>
        <v/>
      </c>
      <c r="G110" s="5">
        <f>AA110</f>
        <v/>
      </c>
      <c r="H110" s="5" t="n">
        <v>9671.4184</v>
      </c>
      <c r="I110" s="5" t="n">
        <v>1643778</v>
      </c>
      <c r="K110" s="4" t="n">
        <v>1293131.3</v>
      </c>
      <c r="L110" s="4" t="n">
        <v>-117904.1</v>
      </c>
      <c r="N110" s="4" t="n">
        <v>1175227.2</v>
      </c>
      <c r="O110" s="7" t="n">
        <v>0.714954939170618</v>
      </c>
      <c r="P110" s="5" t="n">
        <v>36805.8</v>
      </c>
      <c r="Q110" s="5" t="n">
        <v>-9845.719999999999</v>
      </c>
      <c r="R110" s="5" t="n">
        <v>26960.08</v>
      </c>
      <c r="S110" s="5" t="n">
        <v>150000</v>
      </c>
      <c r="T110" s="5" t="n">
        <v>155200</v>
      </c>
      <c r="U110" s="7" t="n">
        <v>1.03466666666667</v>
      </c>
      <c r="V110" s="7" t="n">
        <v>0.008</v>
      </c>
      <c r="W110" s="5" t="n">
        <v>9671.4184</v>
      </c>
      <c r="X110" s="5">
        <f>_xlfn.XLOOKUP(B110,[2]顾问绩效!$B$3:$B$13,[2]顾问绩效!$T$3:$T$13,0,0)</f>
        <v/>
      </c>
      <c r="Y110" s="7">
        <f>_xlfn.XLOOKUP($B110,[2]顾问绩效!$B$3:$B$13,[2]顾问绩效!$U$3:$U$13,0,0)</f>
        <v/>
      </c>
      <c r="Z110" s="5">
        <f>_xlfn.XLOOKUP($B110,[2]顾问绩效!$B$3:$B$13,[2]顾问绩效!$V$3:$V$13,0,0)</f>
        <v/>
      </c>
      <c r="AA110" s="5">
        <f>_xlfn.XLOOKUP($B110,[2]顾问绩效!$B$3:$B$13,[2]顾问绩效!$W$3:$W$13,0,0)</f>
        <v/>
      </c>
    </row>
    <row r="111" hidden="1" ht="15" customHeight="1">
      <c r="A111" s="3" t="n">
        <v>46082</v>
      </c>
      <c r="B111" s="4" t="inlineStr">
        <is>
          <t>杨晓超</t>
        </is>
      </c>
      <c r="C111" s="4" t="inlineStr">
        <is>
          <t>集训营</t>
        </is>
      </c>
      <c r="D111" s="4" t="inlineStr">
        <is>
          <t>考研项目部</t>
        </is>
      </c>
      <c r="E111" s="4" t="inlineStr">
        <is>
          <t>B级学习顾问</t>
        </is>
      </c>
      <c r="F111" s="5">
        <f>G111+H111</f>
        <v/>
      </c>
      <c r="G111" s="5">
        <f>AA111</f>
        <v/>
      </c>
      <c r="H111" s="5" t="n">
        <v>135074.4515</v>
      </c>
      <c r="I111" s="5" t="n">
        <v>1714770</v>
      </c>
      <c r="K111" s="4" t="n">
        <v>3214383.6</v>
      </c>
      <c r="L111" s="4" t="n">
        <v>-517556.1</v>
      </c>
      <c r="N111" s="4" t="n">
        <v>2696827.5</v>
      </c>
      <c r="O111" s="7" t="n">
        <v>1.57270508581326</v>
      </c>
      <c r="P111" s="5" t="n">
        <v>78745.35000000001</v>
      </c>
      <c r="Q111" s="5" t="n">
        <v>-55437.7</v>
      </c>
      <c r="R111" s="5" t="n">
        <v>23307.65</v>
      </c>
      <c r="S111" s="5" t="n">
        <v>150000</v>
      </c>
      <c r="T111" s="5" t="n">
        <v>832663.6</v>
      </c>
      <c r="U111" s="7" t="n">
        <v>5.55109066666667</v>
      </c>
      <c r="V111" s="7" t="n">
        <v>0.05</v>
      </c>
      <c r="W111" s="5" t="n">
        <v>135074.4515</v>
      </c>
      <c r="X111" s="5">
        <f>_xlfn.XLOOKUP(B111,[2]顾问绩效!$B$3:$B$13,[2]顾问绩效!$T$3:$T$13,0,0)</f>
        <v/>
      </c>
      <c r="Y111" s="7">
        <f>_xlfn.XLOOKUP($B111,[2]顾问绩效!$B$3:$B$13,[2]顾问绩效!$U$3:$U$13,0,0)</f>
        <v/>
      </c>
      <c r="Z111" s="5">
        <f>_xlfn.XLOOKUP($B111,[2]顾问绩效!$B$3:$B$13,[2]顾问绩效!$V$3:$V$13,0,0)</f>
        <v/>
      </c>
      <c r="AA111" s="5">
        <f>_xlfn.XLOOKUP($B111,[2]顾问绩效!$B$3:$B$13,[2]顾问绩效!$W$3:$W$13,0,0)</f>
        <v/>
      </c>
    </row>
    <row r="112" hidden="1" ht="15" customHeight="1">
      <c r="A112" s="3" t="n">
        <v>46082</v>
      </c>
      <c r="B112" s="4" t="inlineStr">
        <is>
          <t>鲁子寒</t>
        </is>
      </c>
      <c r="C112" s="4" t="inlineStr">
        <is>
          <t>集训营</t>
        </is>
      </c>
      <c r="D112" s="4" t="inlineStr">
        <is>
          <t>考研项目部</t>
        </is>
      </c>
      <c r="E112" s="4" t="inlineStr">
        <is>
          <t>B级学习顾问</t>
        </is>
      </c>
      <c r="F112" s="5">
        <f>G112+H112</f>
        <v/>
      </c>
      <c r="G112" s="5">
        <f>AA112</f>
        <v/>
      </c>
      <c r="H112" s="5" t="n">
        <v>7091.551</v>
      </c>
      <c r="I112" s="5" t="n">
        <v>1393218</v>
      </c>
      <c r="K112" s="4" t="n">
        <v>1012623.8</v>
      </c>
      <c r="L112" s="4" t="n">
        <v>-145727.8</v>
      </c>
      <c r="N112" s="4" t="n">
        <v>866896</v>
      </c>
      <c r="O112" s="7" t="n">
        <v>0.622225667483481</v>
      </c>
      <c r="P112" s="5" t="n">
        <v>15708.3</v>
      </c>
      <c r="Q112" s="5" t="n">
        <v>-70</v>
      </c>
      <c r="R112" s="5" t="n">
        <v>15638.3</v>
      </c>
      <c r="S112" s="5" t="n">
        <v>75000</v>
      </c>
      <c r="T112" s="5" t="n">
        <v>55300</v>
      </c>
      <c r="U112" s="7" t="n">
        <v>0.737333333333333</v>
      </c>
      <c r="V112" s="7" t="n">
        <v>0.008</v>
      </c>
      <c r="W112" s="5" t="n">
        <v>7091.551</v>
      </c>
      <c r="X112" s="5">
        <f>_xlfn.XLOOKUP(B112,[2]顾问绩效!$B$3:$B$13,[2]顾问绩效!$T$3:$T$13,0,0)</f>
        <v/>
      </c>
      <c r="Y112" s="7">
        <f>_xlfn.XLOOKUP($B112,[2]顾问绩效!$B$3:$B$13,[2]顾问绩效!$U$3:$U$13,0,0)</f>
        <v/>
      </c>
      <c r="Z112" s="5">
        <f>_xlfn.XLOOKUP($B112,[2]顾问绩效!$B$3:$B$13,[2]顾问绩效!$V$3:$V$13,0,0)</f>
        <v/>
      </c>
      <c r="AA112" s="5">
        <f>_xlfn.XLOOKUP($B112,[2]顾问绩效!$B$3:$B$13,[2]顾问绩效!$W$3:$W$13,0,0)</f>
        <v/>
      </c>
    </row>
    <row r="113" hidden="1" ht="15" customHeight="1">
      <c r="A113" s="3" t="n">
        <v>46082</v>
      </c>
      <c r="B113" s="4" t="inlineStr">
        <is>
          <t>徐铁</t>
        </is>
      </c>
      <c r="C113" s="4" t="inlineStr">
        <is>
          <t>集训营</t>
        </is>
      </c>
      <c r="D113" s="4" t="inlineStr">
        <is>
          <t>考研项目部</t>
        </is>
      </c>
      <c r="E113" s="4" t="inlineStr">
        <is>
          <t>B级学习顾问</t>
        </is>
      </c>
      <c r="F113" s="5">
        <f>G113+H113</f>
        <v/>
      </c>
      <c r="G113" s="5">
        <f>AA113</f>
        <v/>
      </c>
      <c r="H113" s="5" t="n">
        <v>131265.8818</v>
      </c>
      <c r="I113" s="5" t="n">
        <v>1714770</v>
      </c>
      <c r="K113" s="4" t="n">
        <v>2982266.55</v>
      </c>
      <c r="L113" s="4" t="n">
        <v>-355585.05</v>
      </c>
      <c r="N113" s="4" t="n">
        <v>2626681.5</v>
      </c>
      <c r="O113" s="7" t="n">
        <v>1.53179814202488</v>
      </c>
      <c r="P113" s="5" t="n">
        <v>92792.89999999999</v>
      </c>
      <c r="Q113" s="5" t="n">
        <v>-99612.22</v>
      </c>
      <c r="R113" s="5" t="n">
        <v>-6819.32000000001</v>
      </c>
      <c r="S113" s="5" t="n">
        <v>150000</v>
      </c>
      <c r="T113" s="5" t="n">
        <v>524360</v>
      </c>
      <c r="U113" s="7" t="n">
        <v>3.49573333333333</v>
      </c>
      <c r="V113" s="7" t="n">
        <v>0.05</v>
      </c>
      <c r="W113" s="5" t="n">
        <v>131265.8818</v>
      </c>
      <c r="X113" s="5">
        <f>_xlfn.XLOOKUP(B113,[2]顾问绩效!$B$3:$B$13,[2]顾问绩效!$T$3:$T$13,0,0)</f>
        <v/>
      </c>
      <c r="Y113" s="7">
        <f>_xlfn.XLOOKUP($B113,[2]顾问绩效!$B$3:$B$13,[2]顾问绩效!$U$3:$U$13,0,0)</f>
        <v/>
      </c>
      <c r="Z113" s="5">
        <f>_xlfn.XLOOKUP($B113,[2]顾问绩效!$B$3:$B$13,[2]顾问绩效!$V$3:$V$13,0,0)</f>
        <v/>
      </c>
      <c r="AA113" s="5">
        <f>_xlfn.XLOOKUP($B113,[2]顾问绩效!$B$3:$B$13,[2]顾问绩效!$W$3:$W$13,0,0)</f>
        <v/>
      </c>
    </row>
    <row r="114" hidden="1" ht="15" customHeight="1">
      <c r="A114" s="3" t="n">
        <v>46082</v>
      </c>
      <c r="B114" s="4" t="inlineStr">
        <is>
          <t>王鹤琛</t>
        </is>
      </c>
      <c r="C114" s="4" t="inlineStr">
        <is>
          <t>集训营</t>
        </is>
      </c>
      <c r="D114" s="4" t="inlineStr">
        <is>
          <t>考研项目部</t>
        </is>
      </c>
      <c r="E114" s="4" t="inlineStr">
        <is>
          <t>B级学习顾问</t>
        </is>
      </c>
      <c r="F114" s="5">
        <f>G114+H114</f>
        <v/>
      </c>
      <c r="G114" s="5">
        <f>AA114</f>
        <v/>
      </c>
      <c r="H114" s="5" t="n">
        <v>33706.51</v>
      </c>
      <c r="I114" s="5" t="n">
        <v>357000</v>
      </c>
      <c r="K114" s="4" t="n">
        <v>838130</v>
      </c>
      <c r="L114" s="4" t="n">
        <v>-164000</v>
      </c>
      <c r="N114" s="4" t="n">
        <v>674130</v>
      </c>
      <c r="O114" s="7" t="n">
        <v>1.88831932773109</v>
      </c>
      <c r="P114" s="5" t="n">
        <v>0</v>
      </c>
      <c r="Q114" s="5" t="n">
        <v>0</v>
      </c>
      <c r="R114" s="5" t="n">
        <v>1</v>
      </c>
      <c r="S114" s="5" t="n">
        <v>1</v>
      </c>
      <c r="T114" s="5" t="n">
        <v>53300</v>
      </c>
      <c r="U114" s="7" t="n">
        <v>53300</v>
      </c>
      <c r="V114" s="7" t="n">
        <v>0.05</v>
      </c>
      <c r="W114" s="5" t="n">
        <v>33706.51</v>
      </c>
      <c r="X114" s="5">
        <f>_xlfn.XLOOKUP(B114,[2]顾问绩效!$B$3:$B$13,[2]顾问绩效!$T$3:$T$13,0,0)</f>
        <v/>
      </c>
      <c r="Y114" s="7">
        <f>_xlfn.XLOOKUP($B114,[2]顾问绩效!$B$3:$B$13,[2]顾问绩效!$U$3:$U$13,0,0)</f>
        <v/>
      </c>
      <c r="Z114" s="5">
        <f>_xlfn.XLOOKUP($B114,[2]顾问绩效!$B$3:$B$13,[2]顾问绩效!$V$3:$V$13,0,0)</f>
        <v/>
      </c>
      <c r="AA114" s="5">
        <f>_xlfn.XLOOKUP($B114,[2]顾问绩效!$B$3:$B$13,[2]顾问绩效!$W$3:$W$13,0,0)</f>
        <v/>
      </c>
    </row>
    <row r="115" hidden="1" ht="15" customHeight="1">
      <c r="A115" s="3" t="n">
        <v>46082</v>
      </c>
      <c r="B115" s="4" t="inlineStr">
        <is>
          <t>钱雪冰</t>
        </is>
      </c>
      <c r="C115" s="4" t="inlineStr">
        <is>
          <t>集训营</t>
        </is>
      </c>
      <c r="D115" s="4" t="inlineStr">
        <is>
          <t>考研项目部</t>
        </is>
      </c>
      <c r="E115" s="4" t="inlineStr">
        <is>
          <t>集训营顾问组长</t>
        </is>
      </c>
      <c r="F115" s="5">
        <f>G115+H115</f>
        <v/>
      </c>
      <c r="G115" s="5">
        <f>AA115</f>
        <v/>
      </c>
      <c r="H115" s="5" t="n">
        <v>51235.756</v>
      </c>
      <c r="I115" s="5" t="n">
        <v>1636000</v>
      </c>
      <c r="K115" s="4" t="n">
        <v>2093387.4</v>
      </c>
      <c r="L115" s="4" t="n">
        <v>-408563</v>
      </c>
      <c r="N115" s="4" t="n">
        <v>1684824.4</v>
      </c>
      <c r="O115" s="7" t="n">
        <v>1.02984376528117</v>
      </c>
      <c r="P115" s="5" t="n">
        <v>106494.4</v>
      </c>
      <c r="Q115" s="5" t="n">
        <v>-37392</v>
      </c>
      <c r="R115" s="5" t="n">
        <v>69102.39999999999</v>
      </c>
      <c r="S115" s="5" t="n">
        <v>150000</v>
      </c>
      <c r="T115" s="5" t="n">
        <v>77090</v>
      </c>
      <c r="U115" s="7" t="n">
        <v>0.513933333333333</v>
      </c>
      <c r="V115" s="7" t="n">
        <v>0.03</v>
      </c>
      <c r="W115" s="5" t="n">
        <v>51235.756</v>
      </c>
      <c r="X115" s="5" t="n">
        <v>81</v>
      </c>
      <c r="Y115" s="7" t="n">
        <v>0.82</v>
      </c>
      <c r="Z115" s="5" t="n">
        <v>8000</v>
      </c>
      <c r="AA115" s="5" t="n">
        <v>6560</v>
      </c>
    </row>
    <row r="116" hidden="1" ht="15" customHeight="1">
      <c r="A116" s="3" t="n">
        <v>46082</v>
      </c>
      <c r="B116" s="4" t="inlineStr">
        <is>
          <t>张乐</t>
        </is>
      </c>
      <c r="C116" s="4" t="inlineStr">
        <is>
          <t>集训营</t>
        </is>
      </c>
      <c r="D116" s="4" t="inlineStr">
        <is>
          <t>考研项目部</t>
        </is>
      </c>
      <c r="E116" s="4" t="inlineStr">
        <is>
          <t>B级学习顾问</t>
        </is>
      </c>
      <c r="F116" s="5">
        <f>G116+H116</f>
        <v/>
      </c>
      <c r="G116" s="5">
        <f>AA116</f>
        <v/>
      </c>
      <c r="H116" s="5" t="n">
        <v>85040.952</v>
      </c>
      <c r="I116" s="5" t="n">
        <v>1714770</v>
      </c>
      <c r="K116" s="4" t="n">
        <v>2669903.45</v>
      </c>
      <c r="L116" s="4" t="n">
        <v>-543929.4</v>
      </c>
      <c r="N116" s="4" t="n">
        <v>2125974.05</v>
      </c>
      <c r="O116" s="7" t="n">
        <v>1.23980128530357</v>
      </c>
      <c r="P116" s="5" t="n">
        <v>199</v>
      </c>
      <c r="Q116" s="5" t="n">
        <v>0</v>
      </c>
      <c r="R116" s="5" t="n">
        <v>199</v>
      </c>
      <c r="S116" s="5" t="n">
        <v>150000</v>
      </c>
      <c r="T116" s="5" t="n">
        <v>225384.8</v>
      </c>
      <c r="U116" s="7" t="n">
        <v>1.50256533333333</v>
      </c>
      <c r="V116" s="7" t="n">
        <v>0.04</v>
      </c>
      <c r="W116" s="5" t="n">
        <v>85040.952</v>
      </c>
      <c r="X116" s="5">
        <f>_xlfn.XLOOKUP(B116,[2]顾问绩效!$B$3:$B$13,[2]顾问绩效!$T$3:$T$13,0,0)</f>
        <v/>
      </c>
      <c r="Y116" s="7">
        <f>_xlfn.XLOOKUP($B116,[2]顾问绩效!$B$3:$B$13,[2]顾问绩效!$U$3:$U$13,0,0)</f>
        <v/>
      </c>
      <c r="Z116" s="5">
        <f>_xlfn.XLOOKUP($B116,[2]顾问绩效!$B$3:$B$13,[2]顾问绩效!$V$3:$V$13,0,0)</f>
        <v/>
      </c>
      <c r="AA116" s="5">
        <f>_xlfn.XLOOKUP($B116,[2]顾问绩效!$B$3:$B$13,[2]顾问绩效!$W$3:$W$13,0,0)</f>
        <v/>
      </c>
    </row>
    <row r="117" hidden="1" ht="15" customHeight="1">
      <c r="A117" s="3" t="n">
        <v>46082</v>
      </c>
      <c r="B117" s="4" t="inlineStr">
        <is>
          <t>刘创</t>
        </is>
      </c>
      <c r="C117" s="4" t="inlineStr">
        <is>
          <t>集训营</t>
        </is>
      </c>
      <c r="D117" s="4" t="inlineStr">
        <is>
          <t>考研项目部</t>
        </is>
      </c>
      <c r="E117" s="4" t="inlineStr">
        <is>
          <t>B级学习顾问</t>
        </is>
      </c>
      <c r="F117" s="5">
        <f>G117+H117</f>
        <v/>
      </c>
      <c r="G117" s="5">
        <f>AA117</f>
        <v/>
      </c>
      <c r="H117" s="5" t="n">
        <v>52395.597</v>
      </c>
      <c r="I117" s="5" t="n">
        <v>1714770</v>
      </c>
      <c r="K117" s="4" t="n">
        <v>2000283.8</v>
      </c>
      <c r="L117" s="4" t="n">
        <v>-268976.1</v>
      </c>
      <c r="N117" s="4" t="n">
        <v>1731307.7</v>
      </c>
      <c r="O117" s="7" t="n">
        <v>1.00964426716119</v>
      </c>
      <c r="P117" s="5" t="n">
        <v>63916.6</v>
      </c>
      <c r="Q117" s="5" t="n">
        <v>-18280</v>
      </c>
      <c r="R117" s="5" t="n">
        <v>45636.6</v>
      </c>
      <c r="S117" s="5" t="n">
        <v>150000</v>
      </c>
      <c r="T117" s="5" t="n">
        <v>83100</v>
      </c>
      <c r="U117" s="7" t="n">
        <v>0.554</v>
      </c>
      <c r="V117" s="7" t="n">
        <v>0.03</v>
      </c>
      <c r="W117" s="5" t="n">
        <v>52395.597</v>
      </c>
      <c r="X117" s="5">
        <f>_xlfn.XLOOKUP(B117,[2]顾问绩效!$B$3:$B$13,[2]顾问绩效!$T$3:$T$13,0,0)</f>
        <v/>
      </c>
      <c r="Y117" s="7">
        <f>_xlfn.XLOOKUP($B117,[2]顾问绩效!$B$3:$B$13,[2]顾问绩效!$U$3:$U$13,0,0)</f>
        <v/>
      </c>
      <c r="Z117" s="5">
        <f>_xlfn.XLOOKUP($B117,[2]顾问绩效!$B$3:$B$13,[2]顾问绩效!$V$3:$V$13,0,0)</f>
        <v/>
      </c>
      <c r="AA117" s="5">
        <f>_xlfn.XLOOKUP($B117,[2]顾问绩效!$B$3:$B$13,[2]顾问绩效!$W$3:$W$13,0,0)</f>
        <v/>
      </c>
    </row>
    <row r="118" hidden="1" ht="15" customHeight="1">
      <c r="A118" s="3" t="n">
        <v>46082</v>
      </c>
      <c r="B118" s="4" t="inlineStr">
        <is>
          <t>王钦</t>
        </is>
      </c>
      <c r="C118" s="4" t="inlineStr">
        <is>
          <t>集训营</t>
        </is>
      </c>
      <c r="D118" s="4" t="inlineStr">
        <is>
          <t>考研项目部</t>
        </is>
      </c>
      <c r="E118" s="4" t="inlineStr">
        <is>
          <t>B级学习顾问</t>
        </is>
      </c>
      <c r="F118" s="5">
        <f>G118+H118</f>
        <v/>
      </c>
      <c r="G118" s="5">
        <f>AA118</f>
        <v/>
      </c>
      <c r="H118" s="5" t="n">
        <v>8845.4517</v>
      </c>
      <c r="I118" s="5" t="n">
        <v>1643778</v>
      </c>
      <c r="K118" s="4" t="n">
        <v>1244621.8</v>
      </c>
      <c r="L118" s="4" t="n">
        <v>-188539.9</v>
      </c>
      <c r="N118" s="4" t="n">
        <v>1056081.9</v>
      </c>
      <c r="O118" s="7" t="n">
        <v>0.642472341155557</v>
      </c>
      <c r="P118" s="5" t="n">
        <v>61487.6</v>
      </c>
      <c r="Q118" s="5" t="n">
        <v>-21807.95</v>
      </c>
      <c r="R118" s="5" t="n">
        <v>39679.65</v>
      </c>
      <c r="S118" s="5" t="n">
        <v>75000</v>
      </c>
      <c r="T118" s="5" t="n">
        <v>103314.8</v>
      </c>
      <c r="U118" s="7" t="n">
        <v>1.37753066666667</v>
      </c>
      <c r="V118" s="7" t="n">
        <v>0.008</v>
      </c>
      <c r="W118" s="5" t="n">
        <v>8845.4517</v>
      </c>
      <c r="X118" s="5">
        <f>_xlfn.XLOOKUP(B118,[2]顾问绩效!$B$3:$B$13,[2]顾问绩效!$T$3:$T$13,0,0)</f>
        <v/>
      </c>
      <c r="Y118" s="7">
        <f>_xlfn.XLOOKUP($B118,[2]顾问绩效!$B$3:$B$13,[2]顾问绩效!$U$3:$U$13,0,0)</f>
        <v/>
      </c>
      <c r="Z118" s="5">
        <f>_xlfn.XLOOKUP($B118,[2]顾问绩效!$B$3:$B$13,[2]顾问绩效!$V$3:$V$13,0,0)</f>
        <v/>
      </c>
      <c r="AA118" s="5">
        <f>_xlfn.XLOOKUP($B118,[2]顾问绩效!$B$3:$B$13,[2]顾问绩效!$W$3:$W$13,0,0)</f>
        <v/>
      </c>
    </row>
    <row r="119" hidden="1" ht="15" customHeight="1">
      <c r="A119" s="3" t="n">
        <v>46082</v>
      </c>
      <c r="B119" s="4" t="inlineStr">
        <is>
          <t>张恒磊</t>
        </is>
      </c>
      <c r="C119" s="4" t="inlineStr">
        <is>
          <t>集训营</t>
        </is>
      </c>
      <c r="D119" s="4" t="inlineStr">
        <is>
          <t>考研项目部</t>
        </is>
      </c>
      <c r="E119" s="4" t="inlineStr">
        <is>
          <t>B级学习顾问</t>
        </is>
      </c>
      <c r="F119" s="5">
        <f>G119+H119</f>
        <v/>
      </c>
      <c r="G119" s="5">
        <f>AA119</f>
        <v/>
      </c>
      <c r="H119" s="5" t="n">
        <v>38748.2335</v>
      </c>
      <c r="I119" s="5" t="n">
        <v>357000</v>
      </c>
      <c r="K119" s="4" t="n">
        <v>764850</v>
      </c>
      <c r="L119" s="4" t="n">
        <v>-4008.4</v>
      </c>
      <c r="N119" s="4" t="n">
        <v>760841.6</v>
      </c>
      <c r="O119" s="7" t="n">
        <v>2.13120896358543</v>
      </c>
      <c r="P119" s="5" t="n">
        <v>83233.95</v>
      </c>
      <c r="Q119" s="5" t="n">
        <v>-12619.6</v>
      </c>
      <c r="R119" s="5" t="n">
        <v>70615.35000000001</v>
      </c>
      <c r="S119" s="5" t="n">
        <v>1</v>
      </c>
      <c r="T119" s="5" t="n">
        <v>0</v>
      </c>
      <c r="U119" s="7" t="n">
        <v>0</v>
      </c>
      <c r="V119" s="7" t="n">
        <v>0.05</v>
      </c>
      <c r="W119" s="5" t="n">
        <v>38748.2335</v>
      </c>
      <c r="X119" s="5">
        <f>_xlfn.XLOOKUP(B119,[2]顾问绩效!$B$3:$B$13,[2]顾问绩效!$T$3:$T$13,0,0)</f>
        <v/>
      </c>
      <c r="Y119" s="7">
        <f>_xlfn.XLOOKUP($B119,[2]顾问绩效!$B$3:$B$13,[2]顾问绩效!$U$3:$U$13,0,0)</f>
        <v/>
      </c>
      <c r="Z119" s="5">
        <f>_xlfn.XLOOKUP($B119,[2]顾问绩效!$B$3:$B$13,[2]顾问绩效!$V$3:$V$13,0,0)</f>
        <v/>
      </c>
      <c r="AA119" s="5">
        <f>_xlfn.XLOOKUP($B119,[2]顾问绩效!$B$3:$B$13,[2]顾问绩效!$W$3:$W$13,0,0)</f>
        <v/>
      </c>
    </row>
    <row r="120" hidden="1" ht="15" customHeight="1">
      <c r="A120" s="3" t="n">
        <v>46113</v>
      </c>
      <c r="B120" s="4" t="inlineStr">
        <is>
          <t>苏乾楠</t>
        </is>
      </c>
      <c r="C120" s="4" t="inlineStr">
        <is>
          <t>集训营</t>
        </is>
      </c>
      <c r="D120" s="4" t="inlineStr">
        <is>
          <t>考研项目部</t>
        </is>
      </c>
      <c r="E120" s="4" t="inlineStr">
        <is>
          <t>B级学习顾问</t>
        </is>
      </c>
      <c r="F120" s="5">
        <f>G120+H120</f>
        <v/>
      </c>
      <c r="G120" s="5" t="n">
        <v>0</v>
      </c>
      <c r="H120" s="5">
        <f>W120</f>
        <v/>
      </c>
      <c r="I120" s="5" t="n">
        <v>700000</v>
      </c>
      <c r="J120" s="5" t="n"/>
      <c r="K120" s="5" t="n">
        <v>256642.1</v>
      </c>
      <c r="L120" s="5" t="n">
        <v>-102537.7</v>
      </c>
      <c r="M120" s="5" t="n"/>
      <c r="N120" s="5">
        <f>M120+L120+K120</f>
        <v/>
      </c>
      <c r="O120" s="7" t="n"/>
      <c r="P120" s="5" t="n">
        <v>9349.200000000001</v>
      </c>
      <c r="Q120" s="5">
        <f>IFERROR(VLOOKUP(#REF!,AE:AI,2,0),)</f>
        <v/>
      </c>
      <c r="R120" s="5">
        <f>P120+Q120</f>
        <v/>
      </c>
      <c r="S120" s="5" t="n">
        <v>120000</v>
      </c>
      <c r="T120" s="5" t="n">
        <v>46700</v>
      </c>
      <c r="U120" s="7">
        <f>T120/S120</f>
        <v/>
      </c>
      <c r="V120" s="7" t="n">
        <v>0</v>
      </c>
      <c r="W120" s="5" t="n">
        <v>93.492</v>
      </c>
      <c r="X120" s="5" t="n">
        <v>40</v>
      </c>
      <c r="Y120" s="7" t="n">
        <v>0</v>
      </c>
      <c r="Z120" s="5" t="n">
        <v>2000</v>
      </c>
      <c r="AA120" s="5" t="n">
        <v>0</v>
      </c>
    </row>
    <row r="121" hidden="1" ht="15" customHeight="1">
      <c r="A121" s="3" t="n">
        <v>46113</v>
      </c>
      <c r="B121" s="4" t="inlineStr">
        <is>
          <t>张乐</t>
        </is>
      </c>
      <c r="C121" s="4" t="inlineStr">
        <is>
          <t>集训营</t>
        </is>
      </c>
      <c r="D121" s="4" t="inlineStr">
        <is>
          <t>考研项目部</t>
        </is>
      </c>
      <c r="E121" s="4" t="inlineStr">
        <is>
          <t>B级学习顾问</t>
        </is>
      </c>
      <c r="F121" s="5">
        <f>G121+H121</f>
        <v/>
      </c>
      <c r="G121" s="5" t="n">
        <v>0</v>
      </c>
      <c r="H121" s="5" t="n">
        <v>4139.462</v>
      </c>
      <c r="I121" s="5" t="n">
        <v>700000</v>
      </c>
      <c r="J121" s="5" t="n"/>
      <c r="K121" s="5" t="n">
        <v>595630</v>
      </c>
      <c r="L121" s="5" t="n">
        <v>-78197.25</v>
      </c>
      <c r="M121" s="5" t="n"/>
      <c r="N121" s="5" t="n">
        <v>517432.75</v>
      </c>
      <c r="O121" s="7" t="n"/>
      <c r="P121" s="5" t="n">
        <v>0</v>
      </c>
      <c r="Q121" s="5" t="n">
        <v>0</v>
      </c>
      <c r="R121" s="5" t="n">
        <v>0</v>
      </c>
      <c r="S121" s="5" t="n">
        <v>120000</v>
      </c>
      <c r="T121" s="5" t="n">
        <v>36180</v>
      </c>
      <c r="U121" s="7" t="n">
        <v>0.3015</v>
      </c>
      <c r="V121" s="7" t="n">
        <v>0.008</v>
      </c>
      <c r="W121" s="5" t="n">
        <v>4139.462</v>
      </c>
      <c r="X121" s="5" t="n">
        <v>12</v>
      </c>
      <c r="Y121" s="7" t="n">
        <v>0</v>
      </c>
      <c r="Z121" s="5" t="n">
        <v>2000</v>
      </c>
      <c r="AA121" s="5" t="n">
        <v>0</v>
      </c>
    </row>
    <row r="122" hidden="1" ht="15" customHeight="1">
      <c r="A122" s="3" t="n">
        <v>46113</v>
      </c>
      <c r="B122" s="4" t="inlineStr">
        <is>
          <t>张俊旺</t>
        </is>
      </c>
      <c r="C122" s="4" t="inlineStr">
        <is>
          <t>集训营</t>
        </is>
      </c>
      <c r="D122" s="4" t="inlineStr">
        <is>
          <t>考研项目部</t>
        </is>
      </c>
      <c r="E122" s="4" t="inlineStr">
        <is>
          <t>B级学习顾问</t>
        </is>
      </c>
      <c r="F122" s="5">
        <f>G122+H122</f>
        <v/>
      </c>
      <c r="G122" s="5" t="n">
        <v>0</v>
      </c>
      <c r="H122" s="5" t="n">
        <v>161.186</v>
      </c>
      <c r="I122" s="5" t="n">
        <v>700000</v>
      </c>
      <c r="J122" s="5" t="n"/>
      <c r="K122" s="5" t="n">
        <v>256506</v>
      </c>
      <c r="L122" s="5" t="n">
        <v>-82556.60000000001</v>
      </c>
      <c r="M122" s="5" t="n"/>
      <c r="N122" s="5" t="n">
        <v>173949.4</v>
      </c>
      <c r="O122" s="7" t="n"/>
      <c r="P122" s="5" t="n">
        <v>16418.6</v>
      </c>
      <c r="Q122" s="5" t="n">
        <v>-300</v>
      </c>
      <c r="R122" s="5" t="n">
        <v>16118.6</v>
      </c>
      <c r="S122" s="5" t="n">
        <v>120000</v>
      </c>
      <c r="T122" s="5" t="n">
        <v>6180</v>
      </c>
      <c r="U122" s="7" t="n">
        <v>0.0515</v>
      </c>
      <c r="V122" s="7" t="n">
        <v>0</v>
      </c>
      <c r="W122" s="5" t="n">
        <v>161.186</v>
      </c>
      <c r="X122" s="5" t="n">
        <v>4</v>
      </c>
      <c r="Y122" s="7" t="n">
        <v>0</v>
      </c>
      <c r="Z122" s="5" t="n">
        <v>1000</v>
      </c>
      <c r="AA122" s="5" t="n">
        <v>0</v>
      </c>
    </row>
    <row r="123" hidden="1" ht="15" customHeight="1">
      <c r="A123" s="3" t="n">
        <v>46113</v>
      </c>
      <c r="B123" s="4" t="inlineStr">
        <is>
          <t>张恒磊</t>
        </is>
      </c>
      <c r="C123" s="4" t="inlineStr">
        <is>
          <t>集训营</t>
        </is>
      </c>
      <c r="D123" s="4" t="inlineStr">
        <is>
          <t>考研项目部</t>
        </is>
      </c>
      <c r="E123" s="4" t="inlineStr">
        <is>
          <t>B级学习顾问</t>
        </is>
      </c>
      <c r="F123" s="5">
        <f>G123+H123</f>
        <v/>
      </c>
      <c r="G123" s="5" t="n">
        <v>2000</v>
      </c>
      <c r="H123" s="5" t="n">
        <v>28182.676</v>
      </c>
      <c r="I123" s="5" t="n">
        <v>290000</v>
      </c>
      <c r="J123" s="5" t="n"/>
      <c r="K123" s="5" t="n">
        <v>625488.4</v>
      </c>
      <c r="L123" s="5" t="n">
        <v>-62900</v>
      </c>
      <c r="M123" s="5" t="n"/>
      <c r="N123" s="5" t="n">
        <v>562588.4</v>
      </c>
      <c r="O123" s="7" t="n"/>
      <c r="P123" s="5" t="n">
        <v>5325.6</v>
      </c>
      <c r="Q123" s="5" t="n">
        <v>0</v>
      </c>
      <c r="R123" s="5" t="n">
        <v>5325.6</v>
      </c>
      <c r="S123" s="5" t="n">
        <v>36000</v>
      </c>
      <c r="T123" s="5" t="n">
        <v>49780</v>
      </c>
      <c r="U123" s="7" t="n">
        <v>1.38277777777778</v>
      </c>
      <c r="V123" s="7" t="n">
        <v>0.05</v>
      </c>
      <c r="W123" s="5" t="n">
        <v>28182.676</v>
      </c>
      <c r="X123" s="5" t="n">
        <v>70</v>
      </c>
      <c r="Y123" s="7" t="n">
        <v>1</v>
      </c>
      <c r="Z123" s="5" t="n">
        <v>2000</v>
      </c>
      <c r="AA123" s="5" t="n">
        <v>2000</v>
      </c>
    </row>
    <row r="124" hidden="1" ht="15" customHeight="1">
      <c r="A124" s="3" t="n">
        <v>46113</v>
      </c>
      <c r="B124" s="4" t="inlineStr">
        <is>
          <t>杨晓超</t>
        </is>
      </c>
      <c r="C124" s="4" t="inlineStr">
        <is>
          <t>集训营</t>
        </is>
      </c>
      <c r="D124" s="4" t="inlineStr">
        <is>
          <t>考研项目部</t>
        </is>
      </c>
      <c r="E124" s="4" t="inlineStr">
        <is>
          <t>B级学习顾问</t>
        </is>
      </c>
      <c r="F124" s="5">
        <f>G124+H124</f>
        <v/>
      </c>
      <c r="G124" s="5" t="n">
        <v>0</v>
      </c>
      <c r="H124" s="5" t="n">
        <v>37519.729</v>
      </c>
      <c r="I124" s="5" t="n">
        <v>700000</v>
      </c>
      <c r="J124" s="5" t="n"/>
      <c r="K124" s="5" t="n">
        <v>1166271.05</v>
      </c>
      <c r="L124" s="5" t="n">
        <v>-229077.4</v>
      </c>
      <c r="M124" s="5" t="n"/>
      <c r="N124" s="5" t="n">
        <v>937193.65</v>
      </c>
      <c r="O124" s="7" t="n"/>
      <c r="P124" s="5" t="n">
        <v>3198.3</v>
      </c>
      <c r="Q124" s="5" t="n">
        <v>0</v>
      </c>
      <c r="R124" s="5" t="n">
        <v>3198.3</v>
      </c>
      <c r="S124" s="5" t="n">
        <v>120000</v>
      </c>
      <c r="T124" s="5" t="n">
        <v>0</v>
      </c>
      <c r="U124" s="7" t="n">
        <v>0</v>
      </c>
      <c r="V124" s="7" t="n">
        <v>0.04</v>
      </c>
      <c r="W124" s="5" t="n">
        <v>37519.729</v>
      </c>
      <c r="X124" s="5" t="n">
        <v>50</v>
      </c>
      <c r="Y124" s="7" t="n">
        <v>0</v>
      </c>
      <c r="Z124" s="5" t="n">
        <v>2000</v>
      </c>
      <c r="AA124" s="5" t="n">
        <v>0</v>
      </c>
    </row>
    <row r="125" hidden="1" ht="15" customHeight="1">
      <c r="A125" s="3" t="n">
        <v>46113</v>
      </c>
      <c r="B125" s="4" t="inlineStr">
        <is>
          <t>徐铁</t>
        </is>
      </c>
      <c r="C125" s="4" t="inlineStr">
        <is>
          <t>集训营</t>
        </is>
      </c>
      <c r="D125" s="4" t="inlineStr">
        <is>
          <t>考研项目部</t>
        </is>
      </c>
      <c r="E125" s="4" t="inlineStr">
        <is>
          <t>B级学习顾问</t>
        </is>
      </c>
      <c r="F125" s="5">
        <f>G125+H125</f>
        <v/>
      </c>
      <c r="G125" s="5" t="n">
        <v>1200</v>
      </c>
      <c r="H125" s="5" t="n">
        <v>35781.284</v>
      </c>
      <c r="I125" s="5" t="n">
        <v>700000</v>
      </c>
      <c r="J125" s="5" t="n"/>
      <c r="K125" s="5" t="n">
        <v>1051226.9</v>
      </c>
      <c r="L125" s="5" t="n">
        <v>-156694.8</v>
      </c>
      <c r="M125" s="5" t="n"/>
      <c r="N125" s="5" t="n">
        <v>894532.1</v>
      </c>
      <c r="O125" s="7" t="n"/>
      <c r="P125" s="5" t="n">
        <v>0</v>
      </c>
      <c r="Q125" s="5" t="n">
        <v>0</v>
      </c>
      <c r="R125" s="5" t="n">
        <v>0</v>
      </c>
      <c r="S125" s="5" t="n">
        <v>120000</v>
      </c>
      <c r="T125" s="5" t="n">
        <v>331976.9</v>
      </c>
      <c r="U125" s="7" t="n">
        <v>2.76647416666667</v>
      </c>
      <c r="V125" s="7" t="n">
        <v>0.04</v>
      </c>
      <c r="W125" s="5" t="n">
        <v>35781.284</v>
      </c>
      <c r="X125" s="5" t="n">
        <v>70</v>
      </c>
      <c r="Y125" s="7" t="n">
        <v>0.6</v>
      </c>
      <c r="Z125" s="5" t="n">
        <v>2000</v>
      </c>
      <c r="AA125" s="5" t="n">
        <v>1200</v>
      </c>
    </row>
    <row r="126" hidden="1" ht="15" customHeight="1">
      <c r="A126" s="3" t="n">
        <v>46113</v>
      </c>
      <c r="B126" s="4" t="inlineStr">
        <is>
          <t>王钦</t>
        </is>
      </c>
      <c r="C126" s="4" t="inlineStr">
        <is>
          <t>集训营</t>
        </is>
      </c>
      <c r="D126" s="4" t="inlineStr">
        <is>
          <t>考研项目部</t>
        </is>
      </c>
      <c r="E126" s="4" t="inlineStr">
        <is>
          <t>B级学习顾问</t>
        </is>
      </c>
      <c r="F126" s="5">
        <f>G126+H126</f>
        <v/>
      </c>
      <c r="G126" s="5" t="n">
        <v>0</v>
      </c>
      <c r="H126" s="5" t="n">
        <v>53010.7565</v>
      </c>
      <c r="I126" s="5" t="n">
        <v>698000</v>
      </c>
      <c r="J126" s="5" t="n"/>
      <c r="K126" s="5" t="n">
        <v>1139457.15</v>
      </c>
      <c r="L126" s="5" t="n">
        <v>-79907.3</v>
      </c>
      <c r="M126" s="5" t="n"/>
      <c r="N126" s="5" t="n">
        <v>1059549.85</v>
      </c>
      <c r="O126" s="7" t="n"/>
      <c r="P126" s="5" t="n">
        <v>3326.4</v>
      </c>
      <c r="Q126" s="5" t="n">
        <v>0</v>
      </c>
      <c r="R126" s="5" t="n">
        <v>3326.4</v>
      </c>
      <c r="S126" s="5" t="n">
        <v>60000</v>
      </c>
      <c r="T126" s="5" t="n">
        <v>0</v>
      </c>
      <c r="U126" s="7" t="n">
        <v>0</v>
      </c>
      <c r="V126" s="7" t="n">
        <v>0.05</v>
      </c>
      <c r="W126" s="5" t="n">
        <v>53010.7565</v>
      </c>
      <c r="X126" s="5" t="n">
        <v>20</v>
      </c>
      <c r="Y126" s="7" t="n">
        <v>0</v>
      </c>
      <c r="Z126" s="5" t="n">
        <v>2000</v>
      </c>
      <c r="AA126" s="5" t="n">
        <v>0</v>
      </c>
    </row>
    <row r="127" hidden="1" ht="15" customHeight="1">
      <c r="A127" s="3" t="n">
        <v>46113</v>
      </c>
      <c r="B127" s="4" t="inlineStr">
        <is>
          <t>王鹤琛</t>
        </is>
      </c>
      <c r="C127" s="4" t="inlineStr">
        <is>
          <t>集训营</t>
        </is>
      </c>
      <c r="D127" s="4" t="inlineStr">
        <is>
          <t>考研项目部</t>
        </is>
      </c>
      <c r="E127" s="4" t="inlineStr">
        <is>
          <t>B级学习顾问</t>
        </is>
      </c>
      <c r="F127" s="5">
        <f>G127+H127</f>
        <v/>
      </c>
      <c r="G127" s="5" t="n">
        <v>2000</v>
      </c>
      <c r="H127" s="5" t="n">
        <v>22756.022</v>
      </c>
      <c r="I127" s="5" t="n">
        <v>290000</v>
      </c>
      <c r="J127" s="5" t="n"/>
      <c r="K127" s="5" t="n">
        <v>573918.2</v>
      </c>
      <c r="L127" s="5" t="n">
        <v>-120592</v>
      </c>
      <c r="M127" s="5" t="n"/>
      <c r="N127" s="5" t="n">
        <v>453326.2</v>
      </c>
      <c r="O127" s="7" t="n"/>
      <c r="P127" s="5" t="n">
        <v>8971.200000000001</v>
      </c>
      <c r="Q127" s="5" t="n">
        <v>0</v>
      </c>
      <c r="R127" s="5" t="n">
        <v>8971.200000000001</v>
      </c>
      <c r="S127" s="5" t="n">
        <v>36000</v>
      </c>
      <c r="T127" s="5" t="n">
        <v>18100</v>
      </c>
      <c r="U127" s="7" t="n">
        <v>0.502777777777778</v>
      </c>
      <c r="V127" s="7" t="n">
        <v>0.05</v>
      </c>
      <c r="W127" s="5" t="n">
        <v>22756.022</v>
      </c>
      <c r="X127" s="5" t="n">
        <v>0</v>
      </c>
      <c r="Y127" s="7" t="n">
        <v>1</v>
      </c>
      <c r="Z127" s="5" t="n">
        <v>2000</v>
      </c>
      <c r="AA127" s="5" t="n">
        <v>2000</v>
      </c>
    </row>
    <row r="128" hidden="1" ht="15" customHeight="1">
      <c r="A128" s="3" t="n">
        <v>46113</v>
      </c>
      <c r="B128" s="4" t="inlineStr">
        <is>
          <t>钱雪冰</t>
        </is>
      </c>
      <c r="C128" s="4" t="inlineStr">
        <is>
          <t>集训营</t>
        </is>
      </c>
      <c r="D128" s="4" t="inlineStr">
        <is>
          <t>考研项目部</t>
        </is>
      </c>
      <c r="E128" s="4" t="inlineStr">
        <is>
          <t>集训营顾问组长</t>
        </is>
      </c>
      <c r="F128" s="5">
        <f>G128+H128</f>
        <v/>
      </c>
      <c r="G128" s="5" t="n">
        <v>4000</v>
      </c>
      <c r="H128" s="5" t="n">
        <v>13619.316</v>
      </c>
      <c r="I128" s="5" t="n">
        <v>410000</v>
      </c>
      <c r="J128" s="5" t="n"/>
      <c r="K128" s="5" t="n">
        <v>676786.5</v>
      </c>
      <c r="L128" s="5" t="n">
        <v>-222809.3</v>
      </c>
      <c r="M128" s="5" t="n"/>
      <c r="N128" s="5" t="n">
        <v>453977.2</v>
      </c>
      <c r="O128" s="7" t="n"/>
      <c r="P128" s="5" t="n">
        <v>2631.1</v>
      </c>
      <c r="Q128" s="5" t="n">
        <v>-2871.86</v>
      </c>
      <c r="R128" s="5" t="n">
        <v>-240.76</v>
      </c>
      <c r="S128" s="5" t="n">
        <v>120000</v>
      </c>
      <c r="T128" s="5" t="n">
        <v>130726.5</v>
      </c>
      <c r="U128" s="7" t="n">
        <v>1.0893875</v>
      </c>
      <c r="V128" s="7" t="n">
        <v>0.03</v>
      </c>
      <c r="W128" s="5" t="n">
        <v>13619.316</v>
      </c>
      <c r="X128" s="5" t="n">
        <v>100</v>
      </c>
      <c r="Y128" s="7" t="n">
        <v>1</v>
      </c>
      <c r="Z128" s="5" t="n">
        <v>4000</v>
      </c>
      <c r="AA128" s="5" t="n">
        <v>4000</v>
      </c>
    </row>
    <row r="129" hidden="1" ht="15" customHeight="1">
      <c r="A129" s="3" t="n">
        <v>46113</v>
      </c>
      <c r="B129" s="4" t="inlineStr">
        <is>
          <t>鲁子寒</t>
        </is>
      </c>
      <c r="C129" s="4" t="inlineStr">
        <is>
          <t>集训营</t>
        </is>
      </c>
      <c r="D129" s="4" t="inlineStr">
        <is>
          <t>考研项目部</t>
        </is>
      </c>
      <c r="E129" s="4" t="inlineStr">
        <is>
          <t>B级学习顾问</t>
        </is>
      </c>
      <c r="F129" s="5">
        <f>G129+H129</f>
        <v/>
      </c>
      <c r="G129" s="5" t="n">
        <v>1200</v>
      </c>
      <c r="H129" s="5" t="n">
        <v>256.0356</v>
      </c>
      <c r="I129" s="5" t="n">
        <v>674000</v>
      </c>
      <c r="J129" s="5" t="n"/>
      <c r="K129" s="5" t="n">
        <v>435092.7</v>
      </c>
      <c r="L129" s="5" t="n">
        <v>-95627.3</v>
      </c>
      <c r="M129" s="5" t="n"/>
      <c r="N129" s="5" t="n">
        <v>339465.4</v>
      </c>
      <c r="O129" s="7" t="n"/>
      <c r="P129" s="5" t="n">
        <v>29757</v>
      </c>
      <c r="Q129" s="5" t="n">
        <v>-4153.44</v>
      </c>
      <c r="R129" s="5" t="n">
        <v>25603.56</v>
      </c>
      <c r="S129" s="5" t="n">
        <v>60000</v>
      </c>
      <c r="T129" s="5" t="n">
        <v>57800</v>
      </c>
      <c r="U129" s="7" t="n">
        <v>0.963333333333333</v>
      </c>
      <c r="V129" s="7" t="n">
        <v>0</v>
      </c>
      <c r="W129" s="5" t="n">
        <v>256.0356</v>
      </c>
      <c r="X129" s="5" t="n">
        <v>70.1666666666667</v>
      </c>
      <c r="Y129" s="7" t="n">
        <v>0.6</v>
      </c>
      <c r="Z129" s="5" t="n">
        <v>2000</v>
      </c>
      <c r="AA129" s="5" t="n">
        <v>1200</v>
      </c>
    </row>
    <row r="130" hidden="1" ht="15" customHeight="1">
      <c r="A130" s="3" t="n">
        <v>46113</v>
      </c>
      <c r="B130" s="4" t="inlineStr">
        <is>
          <t>刘创</t>
        </is>
      </c>
      <c r="C130" s="4" t="inlineStr">
        <is>
          <t>集训营</t>
        </is>
      </c>
      <c r="D130" s="4" t="inlineStr">
        <is>
          <t>考研项目部</t>
        </is>
      </c>
      <c r="E130" s="4" t="inlineStr">
        <is>
          <t>B级学习顾问</t>
        </is>
      </c>
      <c r="F130" s="5">
        <f>G130+H130</f>
        <v/>
      </c>
      <c r="G130" s="5" t="n">
        <v>0</v>
      </c>
      <c r="H130" s="5" t="n">
        <v>57001.79</v>
      </c>
      <c r="I130" s="5" t="n">
        <v>700000</v>
      </c>
      <c r="J130" s="5" t="n"/>
      <c r="K130" s="5" t="n">
        <v>1209811.4</v>
      </c>
      <c r="L130" s="5" t="n">
        <v>-69775.60000000001</v>
      </c>
      <c r="M130" s="5" t="n"/>
      <c r="N130" s="5" t="n">
        <v>1140035.8</v>
      </c>
      <c r="O130" s="7" t="n"/>
      <c r="P130" s="5" t="n">
        <v>5023.2</v>
      </c>
      <c r="Q130" s="5" t="n">
        <v>-24228.9</v>
      </c>
      <c r="R130" s="5" t="n">
        <v>-19205.7</v>
      </c>
      <c r="S130" s="5" t="n">
        <v>120000</v>
      </c>
      <c r="T130" s="5" t="n">
        <v>0</v>
      </c>
      <c r="U130" s="7" t="n">
        <v>0</v>
      </c>
      <c r="V130" s="7" t="n">
        <v>0.05</v>
      </c>
      <c r="W130" s="5" t="n">
        <v>57001.79</v>
      </c>
      <c r="X130" s="5" t="n">
        <v>20</v>
      </c>
      <c r="Y130" s="7" t="n">
        <v>0</v>
      </c>
      <c r="Z130" s="5" t="n">
        <v>2000</v>
      </c>
      <c r="AA130" s="5" t="n">
        <v>0</v>
      </c>
    </row>
    <row r="131" hidden="1" ht="15" customHeight="1">
      <c r="A131" s="3" t="n">
        <v>46113</v>
      </c>
      <c r="B131" s="4" t="inlineStr">
        <is>
          <t>高龙明</t>
        </is>
      </c>
      <c r="C131" s="4" t="inlineStr">
        <is>
          <t>集训营</t>
        </is>
      </c>
      <c r="D131" s="4" t="inlineStr">
        <is>
          <t>考研项目部</t>
        </is>
      </c>
      <c r="E131" s="4" t="inlineStr">
        <is>
          <t>A级学习顾问</t>
        </is>
      </c>
      <c r="F131" s="5">
        <f>G131+H131</f>
        <v/>
      </c>
      <c r="G131" s="5" t="n">
        <v>0</v>
      </c>
      <c r="H131" s="5" t="n">
        <v>34094.64</v>
      </c>
      <c r="I131" s="5" t="n">
        <v>700000</v>
      </c>
      <c r="J131" s="5" t="n"/>
      <c r="K131" s="5" t="n">
        <v>1025008.3</v>
      </c>
      <c r="L131" s="5" t="n">
        <v>-175720.9</v>
      </c>
      <c r="M131" s="5" t="n"/>
      <c r="N131" s="5" t="n">
        <v>849287.4</v>
      </c>
      <c r="O131" s="7" t="n"/>
      <c r="P131" s="5" t="n">
        <v>12314.4</v>
      </c>
      <c r="Q131" s="5" t="n">
        <v>0</v>
      </c>
      <c r="R131" s="5" t="n">
        <v>12314.4</v>
      </c>
      <c r="S131" s="5" t="n">
        <v>120000</v>
      </c>
      <c r="T131" s="5" t="n">
        <v>0</v>
      </c>
      <c r="U131" s="7" t="n">
        <v>0</v>
      </c>
      <c r="V131" s="7" t="n">
        <v>0.04</v>
      </c>
      <c r="W131" s="5" t="n">
        <v>34094.64</v>
      </c>
      <c r="X131" s="5" t="n">
        <v>20</v>
      </c>
      <c r="Y131" s="7" t="n">
        <v>0</v>
      </c>
      <c r="Z131" s="5" t="n">
        <v>1000</v>
      </c>
      <c r="AA131" s="5" t="n">
        <v>0</v>
      </c>
    </row>
    <row r="132" hidden="1" ht="15" customHeight="1">
      <c r="A132" s="3" t="n">
        <v>46113</v>
      </c>
      <c r="B132" s="4" t="inlineStr">
        <is>
          <t>陈露</t>
        </is>
      </c>
      <c r="C132" s="4" t="inlineStr">
        <is>
          <t>集训营</t>
        </is>
      </c>
      <c r="D132" s="4" t="inlineStr">
        <is>
          <t>考研项目部</t>
        </is>
      </c>
      <c r="E132" s="4" t="inlineStr">
        <is>
          <t>B级学习顾问</t>
        </is>
      </c>
      <c r="F132" s="5">
        <f>G132+H132</f>
        <v/>
      </c>
      <c r="G132" s="5" t="n">
        <v>0</v>
      </c>
      <c r="H132" s="5" t="n">
        <v>0</v>
      </c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5" t="n">
        <v>0</v>
      </c>
      <c r="T132" s="5" t="n">
        <v>0</v>
      </c>
      <c r="U132" s="7" t="n">
        <v>0</v>
      </c>
      <c r="V132" s="4" t="n"/>
      <c r="W132" s="4" t="n"/>
      <c r="X132" s="4" t="n"/>
      <c r="Y132" s="4" t="n"/>
      <c r="Z132" s="4" t="n"/>
      <c r="AA132" s="4" t="n"/>
    </row>
    <row r="133" ht="15" customHeight="1">
      <c r="A133" s="3" t="n">
        <v>46143</v>
      </c>
      <c r="B133" s="4" t="inlineStr">
        <is>
          <t>苏乾楠</t>
        </is>
      </c>
      <c r="C133" s="4" t="inlineStr">
        <is>
          <t>集训营</t>
        </is>
      </c>
      <c r="D133" s="4" t="inlineStr">
        <is>
          <t>考研项目部</t>
        </is>
      </c>
      <c r="E133" s="4" t="inlineStr">
        <is>
          <t>B级学习顾问</t>
        </is>
      </c>
      <c r="F133" s="5">
        <f>G133+H133</f>
        <v/>
      </c>
      <c r="G133" s="5" t="n">
        <v>0</v>
      </c>
      <c r="H133" s="5">
        <f>W133</f>
        <v/>
      </c>
      <c r="I133" s="5" t="n">
        <v>808000</v>
      </c>
      <c r="J133" s="5" t="n"/>
      <c r="K133" s="5" t="n">
        <v>846519.6</v>
      </c>
      <c r="L133" s="5" t="n">
        <v>-22215.9</v>
      </c>
      <c r="M133" s="5" t="n"/>
      <c r="N133" s="5">
        <f>M133+L133+K133</f>
        <v/>
      </c>
      <c r="O133" s="7" t="n"/>
      <c r="P133" s="5" t="n">
        <v>1219.7</v>
      </c>
      <c r="Q133" s="5" t="n">
        <v>0</v>
      </c>
      <c r="R133" s="5">
        <f>P133+Q133</f>
        <v/>
      </c>
      <c r="S133" s="5" t="n">
        <v>92000</v>
      </c>
      <c r="T133" s="5" t="n">
        <v>91800</v>
      </c>
      <c r="U133" s="7">
        <f>T133/S133</f>
        <v/>
      </c>
      <c r="V133" s="7" t="n">
        <v>0.03</v>
      </c>
      <c r="W133" s="5" t="n">
        <v>24741.308</v>
      </c>
      <c r="X133" s="5" t="n">
        <v>99.89130434782609</v>
      </c>
      <c r="Y133" s="7" t="n">
        <v>1</v>
      </c>
      <c r="Z133" s="5" t="n">
        <v>2000</v>
      </c>
      <c r="AA133" s="5" t="n">
        <v>2000</v>
      </c>
    </row>
    <row r="134" ht="15" customHeight="1">
      <c r="A134" s="3" t="n">
        <v>46143</v>
      </c>
      <c r="B134" s="4" t="inlineStr">
        <is>
          <t>钱雪冰</t>
        </is>
      </c>
      <c r="C134" s="4" t="inlineStr">
        <is>
          <t>集训营</t>
        </is>
      </c>
      <c r="D134" s="4" t="inlineStr">
        <is>
          <t>考研项目部</t>
        </is>
      </c>
      <c r="E134" s="4" t="inlineStr">
        <is>
          <t>集训营顾问组长</t>
        </is>
      </c>
      <c r="F134" s="5">
        <f>G134+H134</f>
        <v/>
      </c>
      <c r="G134" s="5" t="n">
        <v>3600</v>
      </c>
      <c r="H134" s="5" t="n">
        <v>16714.5761</v>
      </c>
      <c r="I134" s="5" t="n">
        <v>407000</v>
      </c>
      <c r="J134" s="4" t="n"/>
      <c r="K134" s="5" t="n">
        <v>654484.55</v>
      </c>
      <c r="L134" s="5" t="n">
        <v>-99205.85000000001</v>
      </c>
      <c r="M134" s="5" t="n">
        <v>0</v>
      </c>
      <c r="N134" s="5" t="n">
        <v>555278.7</v>
      </c>
      <c r="O134" s="7" t="n"/>
      <c r="P134" s="5" t="n">
        <v>15243.8</v>
      </c>
      <c r="Q134" s="5" t="n">
        <v>-9622.290000000001</v>
      </c>
      <c r="R134" s="5" t="n">
        <v>5621.51</v>
      </c>
      <c r="S134" s="5" t="n">
        <v>92000</v>
      </c>
      <c r="T134" s="5" t="n">
        <v>93080</v>
      </c>
      <c r="U134" s="7" t="n">
        <v>1.01173913043478</v>
      </c>
      <c r="V134" s="7" t="n">
        <v>0.03</v>
      </c>
      <c r="W134" s="5" t="n">
        <v>16714.5761</v>
      </c>
      <c r="X134" s="5" t="n">
        <v>85</v>
      </c>
      <c r="Y134" s="7" t="n">
        <v>0.9</v>
      </c>
      <c r="Z134" s="5" t="n">
        <v>4000</v>
      </c>
      <c r="AA134" s="5" t="n">
        <v>3600</v>
      </c>
    </row>
    <row r="135" ht="15" customHeight="1">
      <c r="A135" s="3" t="n">
        <v>46143</v>
      </c>
      <c r="B135" s="4" t="inlineStr">
        <is>
          <t>张乐</t>
        </is>
      </c>
      <c r="C135" s="4" t="inlineStr">
        <is>
          <t>集训营</t>
        </is>
      </c>
      <c r="D135" s="4" t="inlineStr">
        <is>
          <t>考研项目部</t>
        </is>
      </c>
      <c r="E135" s="4" t="inlineStr">
        <is>
          <t>B级学习顾问</t>
        </is>
      </c>
      <c r="F135" s="5">
        <f>G135+H135</f>
        <v/>
      </c>
      <c r="G135" s="5" t="n">
        <v>0</v>
      </c>
      <c r="H135" s="5" t="n">
        <v>4212</v>
      </c>
      <c r="I135" s="5" t="n">
        <v>745000</v>
      </c>
      <c r="J135" s="4" t="n"/>
      <c r="K135" s="5" t="n">
        <v>612078</v>
      </c>
      <c r="L135" s="5" t="n">
        <v>-85578</v>
      </c>
      <c r="M135" s="5" t="n">
        <v>0</v>
      </c>
      <c r="N135" s="5" t="n">
        <v>526500</v>
      </c>
      <c r="O135" s="7" t="n"/>
      <c r="P135" s="5" t="n">
        <v>0</v>
      </c>
      <c r="Q135" s="5" t="n">
        <v>0</v>
      </c>
      <c r="R135" s="5" t="n">
        <v>0</v>
      </c>
      <c r="S135" s="5" t="n">
        <v>92000</v>
      </c>
      <c r="T135" s="5" t="n">
        <v>0</v>
      </c>
      <c r="U135" s="7" t="n">
        <v>0</v>
      </c>
      <c r="V135" s="7" t="n">
        <v>0.008</v>
      </c>
      <c r="W135" s="5" t="n">
        <v>4212</v>
      </c>
      <c r="X135" s="5" t="n">
        <v>28</v>
      </c>
      <c r="Y135" s="7" t="n">
        <v>0</v>
      </c>
      <c r="Z135" s="5" t="n">
        <v>2000</v>
      </c>
      <c r="AA135" s="5" t="n">
        <v>0</v>
      </c>
    </row>
    <row r="136" ht="15" customHeight="1">
      <c r="A136" s="3" t="n">
        <v>46143</v>
      </c>
      <c r="B136" s="4" t="inlineStr">
        <is>
          <t>张俊旺</t>
        </is>
      </c>
      <c r="C136" s="4" t="inlineStr">
        <is>
          <t>集训营</t>
        </is>
      </c>
      <c r="D136" s="4" t="inlineStr">
        <is>
          <t>考研项目部</t>
        </is>
      </c>
      <c r="E136" s="4" t="inlineStr">
        <is>
          <t>B级学习顾问</t>
        </is>
      </c>
      <c r="F136" s="5">
        <f>G136+H136</f>
        <v/>
      </c>
      <c r="G136" s="5" t="n">
        <v>760</v>
      </c>
      <c r="H136" s="5" t="n">
        <v>24610.536</v>
      </c>
      <c r="I136" s="5" t="n">
        <v>785000</v>
      </c>
      <c r="J136" s="4" t="n"/>
      <c r="K136" s="5" t="n">
        <v>857796</v>
      </c>
      <c r="L136" s="5" t="n">
        <v>-37806</v>
      </c>
      <c r="M136" s="5" t="n">
        <v>0</v>
      </c>
      <c r="N136" s="5" t="n">
        <v>819990</v>
      </c>
      <c r="O136" s="7" t="n"/>
      <c r="P136" s="5" t="n">
        <v>36950.8</v>
      </c>
      <c r="Q136" s="5" t="n">
        <v>-35867.2</v>
      </c>
      <c r="R136" s="5" t="n">
        <v>1083.60000000001</v>
      </c>
      <c r="S136" s="5" t="n">
        <v>92000</v>
      </c>
      <c r="T136" s="5" t="n">
        <v>141646</v>
      </c>
      <c r="U136" s="7" t="n">
        <v>1.53963043478261</v>
      </c>
      <c r="V136" s="7" t="n">
        <v>0.03</v>
      </c>
      <c r="W136" s="5" t="n">
        <v>24610.536</v>
      </c>
      <c r="X136" s="5" t="n">
        <v>78</v>
      </c>
      <c r="Y136" s="7" t="n">
        <v>0.76</v>
      </c>
      <c r="Z136" s="5" t="n">
        <v>1000</v>
      </c>
      <c r="AA136" s="5" t="n">
        <v>760</v>
      </c>
    </row>
    <row r="137" ht="15" customHeight="1">
      <c r="A137" s="3" t="n">
        <v>46143</v>
      </c>
      <c r="B137" s="4" t="inlineStr">
        <is>
          <t>张恒磊</t>
        </is>
      </c>
      <c r="C137" s="4" t="inlineStr">
        <is>
          <t>集训营</t>
        </is>
      </c>
      <c r="D137" s="4" t="inlineStr">
        <is>
          <t>考研项目部</t>
        </is>
      </c>
      <c r="E137" s="4" t="inlineStr">
        <is>
          <t>B级学习顾问</t>
        </is>
      </c>
      <c r="F137" s="5">
        <f>G137+H137</f>
        <v/>
      </c>
      <c r="G137" s="5" t="n">
        <v>2000</v>
      </c>
      <c r="H137" s="5" t="n">
        <v>53201.545</v>
      </c>
      <c r="I137" s="5" t="n">
        <v>504000</v>
      </c>
      <c r="J137" s="4" t="n"/>
      <c r="K137" s="5" t="n">
        <v>1228271.3</v>
      </c>
      <c r="L137" s="5" t="n">
        <v>-166903.2</v>
      </c>
      <c r="M137" s="5" t="n">
        <v>0</v>
      </c>
      <c r="N137" s="5" t="n">
        <v>1061368.1</v>
      </c>
      <c r="O137" s="7" t="n"/>
      <c r="P137" s="5" t="n">
        <v>20669.3</v>
      </c>
      <c r="Q137" s="5" t="n">
        <v>-7355.3</v>
      </c>
      <c r="R137" s="5" t="n">
        <v>13314</v>
      </c>
      <c r="S137" s="5" t="n">
        <v>46000</v>
      </c>
      <c r="T137" s="5" t="n">
        <v>121200</v>
      </c>
      <c r="U137" s="7" t="n">
        <v>2.63478260869565</v>
      </c>
      <c r="V137" s="7" t="n">
        <v>0.05</v>
      </c>
      <c r="W137" s="5" t="n">
        <v>53201.545</v>
      </c>
      <c r="X137" s="5" t="n">
        <v>100</v>
      </c>
      <c r="Y137" s="7" t="n">
        <v>1</v>
      </c>
      <c r="Z137" s="5" t="n">
        <v>2000</v>
      </c>
      <c r="AA137" s="5" t="n">
        <v>2000</v>
      </c>
    </row>
    <row r="138" ht="15" customHeight="1">
      <c r="A138" s="3" t="n">
        <v>46143</v>
      </c>
      <c r="B138" s="4" t="inlineStr">
        <is>
          <t>杨晓超</t>
        </is>
      </c>
      <c r="C138" s="4" t="inlineStr">
        <is>
          <t>集训营</t>
        </is>
      </c>
      <c r="D138" s="4" t="inlineStr">
        <is>
          <t>考研项目部</t>
        </is>
      </c>
      <c r="E138" s="4" t="inlineStr">
        <is>
          <t>B级学习顾问</t>
        </is>
      </c>
      <c r="F138" s="5">
        <f>G138+H138</f>
        <v/>
      </c>
      <c r="G138" s="5" t="n">
        <v>2000</v>
      </c>
      <c r="H138" s="5" t="n">
        <v>39269.21</v>
      </c>
      <c r="I138" s="5" t="n">
        <v>745000</v>
      </c>
      <c r="J138" s="4" t="n"/>
      <c r="K138" s="5" t="n">
        <v>1019465.65</v>
      </c>
      <c r="L138" s="5" t="n">
        <v>-40004</v>
      </c>
      <c r="M138" s="5" t="n">
        <v>0</v>
      </c>
      <c r="N138" s="5" t="n">
        <v>979461.65</v>
      </c>
      <c r="O138" s="7" t="n"/>
      <c r="P138" s="5" t="n">
        <v>11927.1</v>
      </c>
      <c r="Q138" s="5" t="n">
        <v>-2852.7</v>
      </c>
      <c r="R138" s="5" t="n">
        <v>9074.4</v>
      </c>
      <c r="S138" s="5" t="n">
        <v>92000</v>
      </c>
      <c r="T138" s="5" t="n">
        <v>195650</v>
      </c>
      <c r="U138" s="7" t="n">
        <v>2.12663043478261</v>
      </c>
      <c r="V138" s="7" t="n">
        <v>0.04</v>
      </c>
      <c r="W138" s="5" t="n">
        <v>39269.21</v>
      </c>
      <c r="X138" s="5" t="n">
        <v>100</v>
      </c>
      <c r="Y138" s="7" t="n">
        <v>1</v>
      </c>
      <c r="Z138" s="5" t="n">
        <v>2000</v>
      </c>
      <c r="AA138" s="5" t="n">
        <v>2000</v>
      </c>
    </row>
    <row r="139" ht="15" customHeight="1">
      <c r="A139" s="3" t="n">
        <v>46143</v>
      </c>
      <c r="B139" s="4" t="inlineStr">
        <is>
          <t>徐铁</t>
        </is>
      </c>
      <c r="C139" s="4" t="inlineStr">
        <is>
          <t>集训营</t>
        </is>
      </c>
      <c r="D139" s="4" t="inlineStr">
        <is>
          <t>考研项目部</t>
        </is>
      </c>
      <c r="E139" s="4" t="inlineStr">
        <is>
          <t>B级学习顾问</t>
        </is>
      </c>
      <c r="F139" s="5">
        <f>G139+H139</f>
        <v/>
      </c>
      <c r="G139" s="5" t="n">
        <v>0</v>
      </c>
      <c r="H139" s="5" t="n">
        <v>63177.257</v>
      </c>
      <c r="I139" s="5" t="n">
        <v>745000</v>
      </c>
      <c r="J139" s="4" t="n"/>
      <c r="K139" s="5" t="n">
        <v>1395920.9</v>
      </c>
      <c r="L139" s="5" t="n">
        <v>-138271.6</v>
      </c>
      <c r="M139" s="5" t="n">
        <v>0</v>
      </c>
      <c r="N139" s="5" t="n">
        <v>1257649.3</v>
      </c>
      <c r="O139" s="7" t="n"/>
      <c r="P139" s="5" t="n">
        <v>29479.2</v>
      </c>
      <c r="Q139" s="5" t="n">
        <v>0</v>
      </c>
      <c r="R139" s="5" t="n">
        <v>29479.2</v>
      </c>
      <c r="S139" s="5" t="n">
        <v>92000</v>
      </c>
      <c r="T139" s="5" t="n">
        <v>61300</v>
      </c>
      <c r="U139" s="7" t="n">
        <v>0.6663043478260871</v>
      </c>
      <c r="V139" s="7" t="n">
        <v>0.05</v>
      </c>
      <c r="W139" s="5" t="n">
        <v>63177.257</v>
      </c>
      <c r="X139" s="5" t="n">
        <v>30</v>
      </c>
      <c r="Y139" s="7" t="n">
        <v>0</v>
      </c>
      <c r="Z139" s="5" t="n">
        <v>2000</v>
      </c>
      <c r="AA139" s="5" t="n">
        <v>0</v>
      </c>
    </row>
    <row r="140" ht="15" customHeight="1">
      <c r="A140" s="3" t="n">
        <v>46143</v>
      </c>
      <c r="B140" s="4" t="inlineStr">
        <is>
          <t>王钦</t>
        </is>
      </c>
      <c r="C140" s="4" t="inlineStr">
        <is>
          <t>集训营</t>
        </is>
      </c>
      <c r="D140" s="4" t="inlineStr">
        <is>
          <t>考研项目部</t>
        </is>
      </c>
      <c r="E140" s="4" t="inlineStr">
        <is>
          <t>B级学习顾问</t>
        </is>
      </c>
      <c r="F140" s="5">
        <f>G140+H140</f>
        <v/>
      </c>
      <c r="G140" s="5" t="n">
        <v>0</v>
      </c>
      <c r="H140" s="5" t="n">
        <v>10678.0406</v>
      </c>
      <c r="I140" s="5" t="n">
        <v>722000</v>
      </c>
      <c r="J140" s="4" t="n"/>
      <c r="K140" s="5" t="n">
        <v>923847</v>
      </c>
      <c r="L140" s="5" t="n">
        <v>-335994.3</v>
      </c>
      <c r="M140" s="5" t="n">
        <v>0</v>
      </c>
      <c r="N140" s="5" t="n">
        <v>587852.7</v>
      </c>
      <c r="O140" s="7" t="n"/>
      <c r="P140" s="5" t="n">
        <v>9769.200000000001</v>
      </c>
      <c r="Q140" s="5" t="n">
        <v>-100</v>
      </c>
      <c r="R140" s="5" t="n">
        <v>9669.200000000001</v>
      </c>
      <c r="S140" s="5" t="n">
        <v>46000</v>
      </c>
      <c r="T140" s="5" t="n">
        <v>27110</v>
      </c>
      <c r="U140" s="7" t="n">
        <v>0.589347826086957</v>
      </c>
      <c r="V140" s="7" t="n">
        <v>0.018</v>
      </c>
      <c r="W140" s="5" t="n">
        <v>10678.0406</v>
      </c>
      <c r="X140" s="5" t="n">
        <v>50</v>
      </c>
      <c r="Y140" s="7" t="n">
        <v>0</v>
      </c>
      <c r="Z140" s="5" t="n">
        <v>2000</v>
      </c>
      <c r="AA140" s="5" t="n">
        <v>0</v>
      </c>
    </row>
    <row r="141" ht="15" customHeight="1">
      <c r="A141" s="3" t="n">
        <v>46143</v>
      </c>
      <c r="B141" s="4" t="inlineStr">
        <is>
          <t>王鹤琛</t>
        </is>
      </c>
      <c r="C141" s="4" t="inlineStr">
        <is>
          <t>集训营</t>
        </is>
      </c>
      <c r="D141" s="4" t="inlineStr">
        <is>
          <t>考研项目部</t>
        </is>
      </c>
      <c r="E141" s="4" t="inlineStr">
        <is>
          <t>B级学习顾问</t>
        </is>
      </c>
      <c r="F141" s="5">
        <f>G141+H141</f>
        <v/>
      </c>
      <c r="G141" s="5" t="n">
        <v>2000</v>
      </c>
      <c r="H141" s="5" t="n">
        <v>7886.1132</v>
      </c>
      <c r="I141" s="5" t="n">
        <v>504000</v>
      </c>
      <c r="J141" s="4" t="n"/>
      <c r="K141" s="5" t="n">
        <v>536750</v>
      </c>
      <c r="L141" s="5" t="n">
        <v>-98632.60000000001</v>
      </c>
      <c r="M141" s="5" t="n">
        <v>0</v>
      </c>
      <c r="N141" s="5" t="n">
        <v>438117.4</v>
      </c>
      <c r="O141" s="7" t="n"/>
      <c r="P141" s="5" t="n">
        <v>0</v>
      </c>
      <c r="Q141" s="5" t="n">
        <v>0</v>
      </c>
      <c r="R141" s="5" t="n">
        <v>0</v>
      </c>
      <c r="S141" s="5" t="n">
        <v>46000</v>
      </c>
      <c r="T141" s="5" t="n">
        <v>0</v>
      </c>
      <c r="U141" s="7" t="n">
        <v>0</v>
      </c>
      <c r="V141" s="7" t="n">
        <v>0.018</v>
      </c>
      <c r="W141" s="5" t="n">
        <v>7886.1132</v>
      </c>
      <c r="X141" s="5" t="n">
        <v>100</v>
      </c>
      <c r="Y141" s="7" t="n">
        <v>1</v>
      </c>
      <c r="Z141" s="5" t="n">
        <v>2000</v>
      </c>
      <c r="AA141" s="5" t="n">
        <v>2000</v>
      </c>
    </row>
    <row r="142" ht="15" customHeight="1">
      <c r="A142" s="3" t="n">
        <v>46143</v>
      </c>
      <c r="B142" s="4" t="inlineStr">
        <is>
          <t>鲁子寒</t>
        </is>
      </c>
      <c r="C142" s="4" t="inlineStr">
        <is>
          <t>集训营</t>
        </is>
      </c>
      <c r="D142" s="4" t="inlineStr">
        <is>
          <t>考研项目部</t>
        </is>
      </c>
      <c r="E142" s="4" t="inlineStr">
        <is>
          <t>B级学习顾问</t>
        </is>
      </c>
      <c r="F142" s="5">
        <f>G142+H142</f>
        <v/>
      </c>
      <c r="G142" s="5" t="n">
        <v>0</v>
      </c>
      <c r="H142" s="5" t="n">
        <v>134.702</v>
      </c>
      <c r="I142" s="5" t="n">
        <v>750500</v>
      </c>
      <c r="J142" s="4" t="n"/>
      <c r="K142" s="5" t="n">
        <v>169587.1</v>
      </c>
      <c r="L142" s="5" t="n">
        <v>0</v>
      </c>
      <c r="M142" s="5" t="n">
        <v>0</v>
      </c>
      <c r="N142" s="5" t="n">
        <v>169587.1</v>
      </c>
      <c r="O142" s="7" t="n"/>
      <c r="P142" s="5" t="n">
        <v>13570.2</v>
      </c>
      <c r="Q142" s="5" t="n">
        <v>-100</v>
      </c>
      <c r="R142" s="5" t="n">
        <v>13470.2</v>
      </c>
      <c r="S142" s="5" t="n">
        <v>46000</v>
      </c>
      <c r="T142" s="5" t="n">
        <v>0</v>
      </c>
      <c r="U142" s="7" t="n">
        <v>0</v>
      </c>
      <c r="V142" s="7" t="n">
        <v>0</v>
      </c>
      <c r="W142" s="5" t="n">
        <v>134.702</v>
      </c>
      <c r="X142" s="5" t="n">
        <v>40</v>
      </c>
      <c r="Y142" s="7" t="n">
        <v>0.6</v>
      </c>
      <c r="Z142" s="5" t="n">
        <v>2000</v>
      </c>
      <c r="AA142" s="5" t="n">
        <v>0</v>
      </c>
    </row>
    <row r="143" ht="15" customHeight="1">
      <c r="A143" s="3" t="n">
        <v>46143</v>
      </c>
      <c r="B143" s="4" t="inlineStr">
        <is>
          <t>刘创</t>
        </is>
      </c>
      <c r="C143" s="4" t="inlineStr">
        <is>
          <t>集训营</t>
        </is>
      </c>
      <c r="D143" s="4" t="inlineStr">
        <is>
          <t>考研项目部</t>
        </is>
      </c>
      <c r="E143" s="4" t="inlineStr">
        <is>
          <t>B级学习顾问</t>
        </is>
      </c>
      <c r="F143" s="5">
        <f>G143+H143</f>
        <v/>
      </c>
      <c r="G143" s="5" t="n">
        <v>0</v>
      </c>
      <c r="H143" s="5" t="n">
        <v>23.96</v>
      </c>
      <c r="I143" s="5" t="n">
        <v>745000</v>
      </c>
      <c r="J143" s="4" t="n"/>
      <c r="K143" s="5" t="n">
        <v>410084.8</v>
      </c>
      <c r="L143" s="5" t="n">
        <v>-284474</v>
      </c>
      <c r="M143" s="5" t="n">
        <v>0</v>
      </c>
      <c r="N143" s="5" t="n">
        <v>125610.8</v>
      </c>
      <c r="O143" s="7" t="n"/>
      <c r="P143" s="5" t="n">
        <v>2396</v>
      </c>
      <c r="Q143" s="5" t="n">
        <v>0</v>
      </c>
      <c r="R143" s="5" t="n">
        <v>2396</v>
      </c>
      <c r="S143" s="5" t="n">
        <v>92000</v>
      </c>
      <c r="T143" s="5" t="n">
        <v>47550</v>
      </c>
      <c r="U143" s="7" t="n">
        <v>0.516847826086957</v>
      </c>
      <c r="V143" s="7" t="n">
        <v>0</v>
      </c>
      <c r="W143" s="5" t="n">
        <v>23.96</v>
      </c>
      <c r="X143" s="5" t="n">
        <v>34</v>
      </c>
      <c r="Y143" s="7" t="n">
        <v>0</v>
      </c>
      <c r="Z143" s="5" t="n">
        <v>2000</v>
      </c>
      <c r="AA143" s="5" t="n">
        <v>0</v>
      </c>
    </row>
    <row r="144" ht="15" customHeight="1">
      <c r="A144" s="3" t="n">
        <v>46143</v>
      </c>
      <c r="B144" s="4" t="inlineStr">
        <is>
          <t>高龙明</t>
        </is>
      </c>
      <c r="C144" s="4" t="inlineStr">
        <is>
          <t>集训营</t>
        </is>
      </c>
      <c r="D144" s="4" t="inlineStr">
        <is>
          <t>考研项目部</t>
        </is>
      </c>
      <c r="E144" s="4" t="inlineStr">
        <is>
          <t>A级学习顾问</t>
        </is>
      </c>
      <c r="F144" s="5">
        <f>G144+H144</f>
        <v/>
      </c>
      <c r="G144" s="5" t="n">
        <v>0</v>
      </c>
      <c r="H144" s="5" t="n">
        <v>23543.784</v>
      </c>
      <c r="I144" s="5" t="n">
        <v>745000</v>
      </c>
      <c r="J144" s="4" t="n"/>
      <c r="K144" s="5" t="n">
        <v>978120.2</v>
      </c>
      <c r="L144" s="5" t="n">
        <v>-196820.2</v>
      </c>
      <c r="M144" s="5" t="n">
        <v>0</v>
      </c>
      <c r="N144" s="5" t="n">
        <v>781300</v>
      </c>
      <c r="O144" s="7" t="n"/>
      <c r="P144" s="5" t="n">
        <v>10478.4</v>
      </c>
      <c r="Q144" s="5" t="n">
        <v>0</v>
      </c>
      <c r="R144" s="5" t="n">
        <v>10478.4</v>
      </c>
      <c r="S144" s="5" t="n">
        <v>92000</v>
      </c>
      <c r="T144" s="5" t="n">
        <v>24900</v>
      </c>
      <c r="U144" s="7" t="n">
        <v>0.270652173913043</v>
      </c>
      <c r="V144" s="7" t="n">
        <v>0.03</v>
      </c>
      <c r="W144" s="5" t="n">
        <v>23543.784</v>
      </c>
      <c r="X144" s="5" t="n">
        <v>30</v>
      </c>
      <c r="Y144" s="7" t="n">
        <v>0</v>
      </c>
      <c r="Z144" s="5" t="n">
        <v>1000</v>
      </c>
      <c r="AA144" s="5" t="n">
        <v>0</v>
      </c>
    </row>
    <row r="145" ht="15" customHeight="1">
      <c r="A145" s="3" t="n">
        <v>46143</v>
      </c>
      <c r="B145" s="4" t="inlineStr">
        <is>
          <t>陈露</t>
        </is>
      </c>
      <c r="C145" s="4" t="inlineStr">
        <is>
          <t>集训营</t>
        </is>
      </c>
      <c r="D145" s="4" t="inlineStr">
        <is>
          <t>考研项目部</t>
        </is>
      </c>
      <c r="E145" s="4" t="inlineStr">
        <is>
          <t>B级学习顾问</t>
        </is>
      </c>
      <c r="F145" s="5">
        <f>G145+H145</f>
        <v/>
      </c>
      <c r="G145" s="5" t="n">
        <v>0</v>
      </c>
      <c r="H145" s="5" t="n">
        <v>0</v>
      </c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5" t="n">
        <v>0</v>
      </c>
      <c r="T145" s="5" t="n">
        <v>0</v>
      </c>
      <c r="U145" s="7" t="n">
        <v>0</v>
      </c>
      <c r="V145" s="4" t="n"/>
      <c r="W145" s="4" t="n"/>
      <c r="X145" s="4" t="n"/>
      <c r="Y145" s="4" t="n"/>
      <c r="Z145" s="4" t="n"/>
      <c r="AA145" s="4" t="n"/>
    </row>
  </sheetData>
  <autoFilter ref="A2:AA145"/>
  <mergeCells count="10">
    <mergeCell ref="C1:C2"/>
    <mergeCell ref="B1:B2"/>
    <mergeCell ref="G1:G2"/>
    <mergeCell ref="X1:AA1"/>
    <mergeCell ref="F1:F2"/>
    <mergeCell ref="I1:W1"/>
    <mergeCell ref="D1:D2"/>
    <mergeCell ref="E1:E2"/>
    <mergeCell ref="H1:H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4"/>
  <sheetViews>
    <sheetView zoomScale="84" workbookViewId="0">
      <pane xSplit="5" ySplit="2" topLeftCell="V3" activePane="bottomRight" state="frozen"/>
      <selection pane="topRight" activeCell="A1" sqref="A1"/>
      <selection pane="bottomLeft" activeCell="A1" sqref="A1"/>
      <selection pane="bottomRight" activeCell="C15" sqref="C15"/>
    </sheetView>
  </sheetViews>
  <sheetFormatPr baseColWidth="8" defaultRowHeight="14.25"/>
  <cols>
    <col width="12" customWidth="1" min="1" max="1"/>
    <col width="14" customWidth="1" min="2" max="2"/>
    <col width="11" customWidth="1" min="3" max="3"/>
    <col width="24" customWidth="1" min="4" max="4"/>
    <col width="38.6640625" customWidth="1" min="5" max="5"/>
    <col width="12" customWidth="1" min="6" max="8"/>
    <col width="13" customWidth="1" min="9" max="12"/>
    <col width="18.796875" customWidth="1" min="13" max="13"/>
    <col width="13" customWidth="1" min="14" max="14"/>
    <col width="16.19921875" customWidth="1" min="15" max="15"/>
    <col width="13" customWidth="1" min="16" max="20"/>
    <col width="14" customWidth="1" min="21" max="21"/>
    <col width="10" customWidth="1" min="22" max="22"/>
    <col width="12" customWidth="1" min="23" max="23"/>
    <col width="10" customWidth="1" min="24" max="24"/>
    <col width="15.6640625" customWidth="1" min="25" max="25"/>
    <col width="12" customWidth="1" min="26" max="27"/>
  </cols>
  <sheetData>
    <row r="1" ht="27" customHeight="1">
      <c r="A1" s="67" t="inlineStr">
        <is>
          <t>年月（自然月）</t>
        </is>
      </c>
      <c r="B1" s="67" t="inlineStr">
        <is>
          <t>顾问姓名</t>
        </is>
      </c>
      <c r="C1" s="67" t="inlineStr">
        <is>
          <t>二级部门</t>
        </is>
      </c>
      <c r="D1" s="67" t="inlineStr">
        <is>
          <t>三级部门</t>
        </is>
      </c>
      <c r="E1" s="67" t="inlineStr">
        <is>
          <t>岗位</t>
        </is>
      </c>
      <c r="F1" s="66" t="inlineStr">
        <is>
          <t>奖金</t>
        </is>
      </c>
      <c r="G1" s="66" t="inlineStr">
        <is>
          <t>实发绩效</t>
        </is>
      </c>
      <c r="H1" s="66" t="inlineStr">
        <is>
          <t>实发提成</t>
        </is>
      </c>
      <c r="I1" s="64" t="inlineStr">
        <is>
          <t>月度业绩</t>
        </is>
      </c>
      <c r="J1" s="58" t="n"/>
      <c r="K1" s="58" t="n"/>
      <c r="L1" s="58" t="n"/>
      <c r="M1" s="58" t="n"/>
      <c r="N1" s="58" t="n"/>
      <c r="O1" s="58" t="n"/>
      <c r="P1" s="58" t="n"/>
      <c r="Q1" s="58" t="n"/>
      <c r="R1" s="58" t="n"/>
      <c r="S1" s="58" t="n"/>
      <c r="T1" s="58" t="n"/>
      <c r="U1" s="58" t="n"/>
      <c r="V1" s="58" t="n"/>
      <c r="W1" s="59" t="n"/>
      <c r="X1" s="68" t="inlineStr">
        <is>
          <t>月度绩效</t>
        </is>
      </c>
      <c r="Y1" s="58" t="n"/>
      <c r="Z1" s="58" t="n"/>
      <c r="AA1" s="59" t="n"/>
    </row>
    <row r="2" ht="25.05" customHeight="1">
      <c r="A2" s="62" t="n"/>
      <c r="B2" s="62" t="n"/>
      <c r="C2" s="62" t="n"/>
      <c r="D2" s="62" t="n"/>
      <c r="E2" s="62" t="n"/>
      <c r="F2" s="62" t="n"/>
      <c r="G2" s="62" t="n"/>
      <c r="H2" s="62" t="n"/>
      <c r="I2" s="1" t="inlineStr">
        <is>
          <t>目标</t>
        </is>
      </c>
      <c r="J2" s="1" t="inlineStr">
        <is>
          <t>线下目标</t>
        </is>
      </c>
      <c r="K2" s="1" t="inlineStr">
        <is>
          <t>线下进账</t>
        </is>
      </c>
      <c r="L2" s="1" t="inlineStr">
        <is>
          <t>线下退费表</t>
        </is>
      </c>
      <c r="M2" s="1" t="inlineStr">
        <is>
          <t>线下主动调整</t>
        </is>
      </c>
      <c r="N2" s="1" t="inlineStr">
        <is>
          <t>线下净业绩</t>
        </is>
      </c>
      <c r="O2" s="1" t="inlineStr">
        <is>
          <t>线下完成率</t>
        </is>
      </c>
      <c r="P2" s="1" t="inlineStr">
        <is>
          <t>网课进账</t>
        </is>
      </c>
      <c r="Q2" s="1" t="inlineStr">
        <is>
          <t>网课退费</t>
        </is>
      </c>
      <c r="R2" s="1" t="inlineStr">
        <is>
          <t>网课净业绩</t>
        </is>
      </c>
      <c r="S2" s="1" t="inlineStr">
        <is>
          <t>转介绍目标</t>
        </is>
      </c>
      <c r="T2" s="1" t="inlineStr">
        <is>
          <t>转介绍业绩</t>
        </is>
      </c>
      <c r="U2" s="1" t="inlineStr">
        <is>
          <t>转介绍完成率</t>
        </is>
      </c>
      <c r="V2" s="1" t="inlineStr">
        <is>
          <t>提点</t>
        </is>
      </c>
      <c r="W2" s="1" t="inlineStr">
        <is>
          <t>提成</t>
        </is>
      </c>
      <c r="X2" s="2" t="inlineStr">
        <is>
          <t>合计得分</t>
        </is>
      </c>
      <c r="Y2" s="2" t="inlineStr">
        <is>
          <t>发放比例</t>
        </is>
      </c>
      <c r="Z2" s="2" t="inlineStr">
        <is>
          <t>月度绩效标准</t>
        </is>
      </c>
      <c r="AA2" s="2" t="inlineStr">
        <is>
          <t>月绩效应发</t>
        </is>
      </c>
    </row>
    <row r="3" ht="15" customHeight="1">
      <c r="A3" s="3" t="n">
        <v>45809</v>
      </c>
      <c r="B3" s="4" t="inlineStr">
        <is>
          <t>刘海玲</t>
        </is>
      </c>
      <c r="C3" s="4" t="inlineStr">
        <is>
          <t>无忧/走读</t>
        </is>
      </c>
      <c r="D3" s="4" t="inlineStr">
        <is>
          <t>考研项目部</t>
        </is>
      </c>
      <c r="E3" s="4" t="inlineStr">
        <is>
          <t>B级学习顾问</t>
        </is>
      </c>
      <c r="F3" s="5">
        <f>G3+H3</f>
        <v/>
      </c>
      <c r="G3" s="5" t="n">
        <v>0</v>
      </c>
      <c r="H3" s="5" t="n">
        <v>0</v>
      </c>
      <c r="I3" s="5" t="n">
        <v>880000</v>
      </c>
      <c r="J3" s="4" t="n"/>
      <c r="K3" s="5" t="n">
        <v>417141.5</v>
      </c>
      <c r="L3" s="5" t="n">
        <v>-356767.3</v>
      </c>
      <c r="M3" s="5" t="n">
        <v>0</v>
      </c>
      <c r="N3" s="5" t="n">
        <v>60374.20000000001</v>
      </c>
      <c r="O3" s="4" t="n"/>
      <c r="P3" s="5" t="n">
        <v>20827.8</v>
      </c>
      <c r="Q3" s="5" t="n">
        <v>-10054.83</v>
      </c>
      <c r="R3" s="5" t="n">
        <v>10772.97</v>
      </c>
      <c r="S3" s="6" t="n">
        <v>6</v>
      </c>
      <c r="T3" s="6" t="n">
        <v>1</v>
      </c>
      <c r="U3" s="7" t="n">
        <v>0.1667</v>
      </c>
      <c r="V3" s="7" t="n">
        <v>0</v>
      </c>
      <c r="W3" s="5" t="n">
        <v>0</v>
      </c>
      <c r="X3" s="5" t="n">
        <v>25</v>
      </c>
      <c r="Y3" s="7" t="n">
        <v>0</v>
      </c>
      <c r="Z3" s="5" t="n">
        <v>2000</v>
      </c>
      <c r="AA3" s="5" t="n">
        <v>0</v>
      </c>
    </row>
    <row r="4" ht="15" customHeight="1">
      <c r="A4" s="3" t="n">
        <v>45809</v>
      </c>
      <c r="B4" s="4" t="inlineStr">
        <is>
          <t>徐铁</t>
        </is>
      </c>
      <c r="C4" s="4" t="inlineStr">
        <is>
          <t>无忧/走读</t>
        </is>
      </c>
      <c r="D4" s="4" t="inlineStr">
        <is>
          <t>考研项目部</t>
        </is>
      </c>
      <c r="E4" s="4" t="inlineStr">
        <is>
          <t>B级学习顾问</t>
        </is>
      </c>
      <c r="F4" s="5">
        <f>G4+H4</f>
        <v/>
      </c>
      <c r="G4" s="5" t="n">
        <v>0</v>
      </c>
      <c r="H4" s="5" t="n">
        <v>49805.696</v>
      </c>
      <c r="I4" s="5" t="n">
        <v>880000</v>
      </c>
      <c r="J4" s="4" t="n"/>
      <c r="K4" s="5" t="n">
        <v>1403968.5</v>
      </c>
      <c r="L4" s="5" t="n">
        <v>-223913.6</v>
      </c>
      <c r="M4" s="5" t="n">
        <v>0</v>
      </c>
      <c r="N4" s="5" t="n">
        <v>1180054.9</v>
      </c>
      <c r="O4" s="4" t="n"/>
      <c r="P4" s="5" t="n">
        <v>75118.85000000001</v>
      </c>
      <c r="Q4" s="5" t="n">
        <v>-10031.35</v>
      </c>
      <c r="R4" s="5" t="n">
        <v>65087.50000000001</v>
      </c>
      <c r="S4" s="6" t="n">
        <v>6</v>
      </c>
      <c r="T4" s="6" t="n">
        <v>6</v>
      </c>
      <c r="U4" s="7" t="n">
        <v>1</v>
      </c>
      <c r="V4" s="7" t="n">
        <v>0.04</v>
      </c>
      <c r="W4" s="5" t="n">
        <v>49805.696</v>
      </c>
      <c r="X4" s="5" t="n">
        <v>67</v>
      </c>
      <c r="Y4" s="7" t="n">
        <v>0</v>
      </c>
      <c r="Z4" s="5" t="n">
        <v>2000</v>
      </c>
      <c r="AA4" s="5" t="n">
        <v>0</v>
      </c>
    </row>
    <row r="5" ht="15" customHeight="1">
      <c r="A5" s="3" t="n">
        <v>45809</v>
      </c>
      <c r="B5" s="4" t="inlineStr">
        <is>
          <t>刘欢</t>
        </is>
      </c>
      <c r="C5" s="4" t="inlineStr">
        <is>
          <t>无忧/走读</t>
        </is>
      </c>
      <c r="D5" s="4" t="inlineStr">
        <is>
          <t>考研项目部</t>
        </is>
      </c>
      <c r="E5" s="4" t="inlineStr">
        <is>
          <t>A级学习顾问</t>
        </is>
      </c>
      <c r="F5" s="5">
        <f>G5+H5</f>
        <v/>
      </c>
      <c r="G5" s="5" t="n">
        <v>810</v>
      </c>
      <c r="H5" s="5" t="n">
        <v>79101.78</v>
      </c>
      <c r="I5" s="5" t="n">
        <v>880000</v>
      </c>
      <c r="J5" s="4" t="n"/>
      <c r="K5" s="5" t="n">
        <v>1741966</v>
      </c>
      <c r="L5" s="5" t="n">
        <v>-296213.8</v>
      </c>
      <c r="M5" s="5" t="n">
        <v>54150</v>
      </c>
      <c r="N5" s="5" t="n">
        <v>1499902.2</v>
      </c>
      <c r="O5" s="4" t="n"/>
      <c r="P5" s="5" t="n">
        <v>88315.10000000001</v>
      </c>
      <c r="Q5" s="5" t="n">
        <v>-6181.7</v>
      </c>
      <c r="R5" s="5" t="n">
        <v>82133.40000000001</v>
      </c>
      <c r="S5" s="6" t="n">
        <v>6</v>
      </c>
      <c r="T5" s="6" t="n">
        <v>9</v>
      </c>
      <c r="U5" s="7" t="n">
        <v>1.5</v>
      </c>
      <c r="V5" s="7" t="n">
        <v>0.05</v>
      </c>
      <c r="W5" s="5" t="n">
        <v>79101.78</v>
      </c>
      <c r="X5" s="5" t="n">
        <v>81</v>
      </c>
      <c r="Y5" s="7" t="n">
        <v>0.8100000000000001</v>
      </c>
      <c r="Z5" s="5" t="n">
        <v>1000</v>
      </c>
      <c r="AA5" s="5" t="n">
        <v>810</v>
      </c>
    </row>
    <row r="6" ht="15" customHeight="1">
      <c r="A6" s="3" t="n">
        <v>45809</v>
      </c>
      <c r="B6" s="4" t="inlineStr">
        <is>
          <t>汪宇萌</t>
        </is>
      </c>
      <c r="C6" s="4" t="inlineStr">
        <is>
          <t>无忧/走读</t>
        </is>
      </c>
      <c r="D6" s="4" t="inlineStr">
        <is>
          <t>考研项目部</t>
        </is>
      </c>
      <c r="E6" s="4" t="inlineStr">
        <is>
          <t>B级学习顾问</t>
        </is>
      </c>
      <c r="F6" s="5">
        <f>G6+H6</f>
        <v/>
      </c>
      <c r="G6" s="5" t="n">
        <v>1720</v>
      </c>
      <c r="H6" s="5" t="n">
        <v>44222.5008</v>
      </c>
      <c r="I6" s="5" t="n">
        <v>880000</v>
      </c>
      <c r="J6" s="4" t="n"/>
      <c r="K6" s="5" t="n">
        <v>1228006</v>
      </c>
      <c r="L6" s="5" t="n">
        <v>-184301.1</v>
      </c>
      <c r="M6" s="5" t="n">
        <v>0</v>
      </c>
      <c r="N6" s="5" t="n">
        <v>1043704.9</v>
      </c>
      <c r="O6" s="4" t="n"/>
      <c r="P6" s="5" t="n">
        <v>111974.2</v>
      </c>
      <c r="Q6" s="5" t="n">
        <v>-50116.58</v>
      </c>
      <c r="R6" s="5" t="n">
        <v>61857.62</v>
      </c>
      <c r="S6" s="6" t="n">
        <v>6</v>
      </c>
      <c r="T6" s="6" t="n">
        <v>6</v>
      </c>
      <c r="U6" s="7" t="n">
        <v>1</v>
      </c>
      <c r="V6" s="7" t="n">
        <v>0.04</v>
      </c>
      <c r="W6" s="5" t="n">
        <v>44222.5008</v>
      </c>
      <c r="X6" s="5" t="n">
        <v>86</v>
      </c>
      <c r="Y6" s="7" t="n">
        <v>0.86</v>
      </c>
      <c r="Z6" s="5" t="n">
        <v>2000</v>
      </c>
      <c r="AA6" s="5" t="n">
        <v>1720</v>
      </c>
    </row>
    <row r="7" ht="15" customHeight="1">
      <c r="A7" s="3" t="n">
        <v>45809</v>
      </c>
      <c r="B7" s="4" t="inlineStr">
        <is>
          <t>李婧</t>
        </is>
      </c>
      <c r="C7" s="4" t="inlineStr">
        <is>
          <t>无忧/走读</t>
        </is>
      </c>
      <c r="D7" s="4" t="inlineStr">
        <is>
          <t>考研项目部</t>
        </is>
      </c>
      <c r="E7" s="4" t="inlineStr">
        <is>
          <t>B级学习顾问</t>
        </is>
      </c>
      <c r="F7" s="5">
        <f>G7+H7</f>
        <v/>
      </c>
      <c r="G7" s="5" t="n">
        <v>1500</v>
      </c>
      <c r="H7" s="5" t="n">
        <v>16237.5336</v>
      </c>
      <c r="I7" s="5" t="n">
        <v>968000</v>
      </c>
      <c r="J7" s="4" t="n"/>
      <c r="K7" s="5" t="n">
        <v>999495.9</v>
      </c>
      <c r="L7" s="5" t="n">
        <v>-116128.8</v>
      </c>
      <c r="M7" s="5" t="n">
        <v>0</v>
      </c>
      <c r="N7" s="5" t="n">
        <v>883367.1</v>
      </c>
      <c r="O7" s="4" t="n"/>
      <c r="P7" s="5" t="n">
        <v>28918.1</v>
      </c>
      <c r="Q7" s="5" t="n">
        <v>-10200</v>
      </c>
      <c r="R7" s="5" t="n">
        <v>18718.1</v>
      </c>
      <c r="S7" s="6" t="n">
        <v>6</v>
      </c>
      <c r="T7" s="6" t="n">
        <v>5</v>
      </c>
      <c r="U7" s="7" t="n">
        <v>0.8333</v>
      </c>
      <c r="V7" s="7" t="n">
        <v>0.018</v>
      </c>
      <c r="W7" s="5" t="n">
        <v>16237.5336</v>
      </c>
      <c r="X7" s="5" t="n">
        <v>75</v>
      </c>
      <c r="Y7" s="7" t="n">
        <v>0.75</v>
      </c>
      <c r="Z7" s="5" t="n">
        <v>2000</v>
      </c>
      <c r="AA7" s="5" t="n">
        <v>1500</v>
      </c>
    </row>
    <row r="8" ht="15" customHeight="1">
      <c r="A8" s="3" t="n">
        <v>45809</v>
      </c>
      <c r="B8" s="4" t="inlineStr">
        <is>
          <t>李崇宇</t>
        </is>
      </c>
      <c r="C8" s="4" t="inlineStr">
        <is>
          <t>无忧/走读</t>
        </is>
      </c>
      <c r="D8" s="4" t="inlineStr">
        <is>
          <t>考研项目部</t>
        </is>
      </c>
      <c r="E8" s="4" t="inlineStr">
        <is>
          <t>B级学习顾问</t>
        </is>
      </c>
      <c r="F8" s="5">
        <f>G8+H8</f>
        <v/>
      </c>
      <c r="G8" s="5" t="n">
        <v>0</v>
      </c>
      <c r="H8" s="5" t="n">
        <v>0</v>
      </c>
      <c r="I8" s="5" t="n">
        <v>968000</v>
      </c>
      <c r="J8" s="4" t="n"/>
      <c r="K8" s="5" t="n">
        <v>197700</v>
      </c>
      <c r="L8" s="5" t="n">
        <v>-69190.8</v>
      </c>
      <c r="M8" s="5" t="n">
        <v>0</v>
      </c>
      <c r="N8" s="5" t="n">
        <v>128509.2</v>
      </c>
      <c r="O8" s="4" t="n"/>
      <c r="P8" s="5" t="n">
        <v>12682.9</v>
      </c>
      <c r="Q8" s="5" t="n">
        <v>0</v>
      </c>
      <c r="R8" s="5" t="n">
        <v>12682.9</v>
      </c>
      <c r="S8" s="6" t="n">
        <v>4</v>
      </c>
      <c r="T8" s="6" t="n">
        <v>0</v>
      </c>
      <c r="U8" s="7" t="n">
        <v>0</v>
      </c>
      <c r="V8" s="7" t="n">
        <v>0</v>
      </c>
      <c r="W8" s="5" t="n">
        <v>0</v>
      </c>
      <c r="X8" s="5" t="n">
        <v>0</v>
      </c>
      <c r="Y8" s="7" t="n">
        <v>0</v>
      </c>
      <c r="Z8" s="5" t="n">
        <v>2000</v>
      </c>
      <c r="AA8" s="5" t="n">
        <v>0</v>
      </c>
    </row>
    <row r="9" ht="15" customHeight="1">
      <c r="A9" s="3" t="n">
        <v>45809</v>
      </c>
      <c r="B9" s="4" t="inlineStr">
        <is>
          <t>王秋雨</t>
        </is>
      </c>
      <c r="C9" s="4" t="inlineStr">
        <is>
          <t>无忧/走读</t>
        </is>
      </c>
      <c r="D9" s="4" t="inlineStr">
        <is>
          <t>考研项目部</t>
        </is>
      </c>
      <c r="E9" s="4" t="inlineStr">
        <is>
          <t>B级学习顾问</t>
        </is>
      </c>
      <c r="F9" s="5">
        <f>G9+H9</f>
        <v/>
      </c>
      <c r="G9" s="5" t="n">
        <v>0</v>
      </c>
      <c r="H9" s="5" t="n">
        <v>12986.145</v>
      </c>
      <c r="I9" s="5" t="n">
        <v>880000</v>
      </c>
      <c r="J9" s="4" t="n"/>
      <c r="K9" s="5" t="n">
        <v>749621.2000000001</v>
      </c>
      <c r="L9" s="5" t="n">
        <v>-67974.8</v>
      </c>
      <c r="M9" s="5" t="n">
        <v>0</v>
      </c>
      <c r="N9" s="5" t="n">
        <v>681646.4</v>
      </c>
      <c r="O9" s="4" t="n"/>
      <c r="P9" s="5" t="n">
        <v>39806.1</v>
      </c>
      <c r="Q9" s="5" t="n">
        <v>0</v>
      </c>
      <c r="R9" s="5" t="n">
        <v>39806.1</v>
      </c>
      <c r="S9" s="6" t="n">
        <v>4</v>
      </c>
      <c r="T9" s="6" t="n">
        <v>2</v>
      </c>
      <c r="U9" s="7" t="n">
        <v>0.5</v>
      </c>
      <c r="V9" s="7" t="n">
        <v>0.018</v>
      </c>
      <c r="W9" s="5" t="n">
        <v>12986.145</v>
      </c>
      <c r="X9" s="5" t="n">
        <v>45</v>
      </c>
      <c r="Y9" s="7" t="n">
        <v>0</v>
      </c>
      <c r="Z9" s="5" t="n">
        <v>2000</v>
      </c>
      <c r="AA9" s="5" t="n">
        <v>0</v>
      </c>
    </row>
    <row r="10" ht="15" customHeight="1">
      <c r="A10" s="3" t="n">
        <v>45809</v>
      </c>
      <c r="B10" s="4" t="inlineStr">
        <is>
          <t>田源</t>
        </is>
      </c>
      <c r="C10" s="4" t="inlineStr">
        <is>
          <t>无忧/走读</t>
        </is>
      </c>
      <c r="D10" s="4" t="inlineStr">
        <is>
          <t>考研项目部</t>
        </is>
      </c>
      <c r="E10" s="4" t="inlineStr">
        <is>
          <t>B级学习顾问</t>
        </is>
      </c>
      <c r="F10" s="5">
        <f>G10+H10</f>
        <v/>
      </c>
      <c r="G10" s="5" t="n">
        <v>818.1818181818182</v>
      </c>
      <c r="H10" s="5" t="n">
        <v>0</v>
      </c>
      <c r="I10" s="5" t="n">
        <v>0</v>
      </c>
      <c r="J10" s="4" t="n"/>
      <c r="K10" s="5" t="n">
        <v>0</v>
      </c>
      <c r="L10" s="5" t="n">
        <v>0</v>
      </c>
      <c r="M10" s="5" t="n">
        <v>0</v>
      </c>
      <c r="N10" s="5" t="n">
        <v>0</v>
      </c>
      <c r="O10" s="4" t="n"/>
      <c r="P10" s="5" t="n">
        <v>0</v>
      </c>
      <c r="Q10" s="5" t="n">
        <v>0</v>
      </c>
      <c r="R10" s="5" t="n">
        <v>0</v>
      </c>
      <c r="S10" s="6" t="n">
        <v>0</v>
      </c>
      <c r="T10" s="6" t="n">
        <v>0</v>
      </c>
      <c r="U10" s="7" t="n">
        <v>0</v>
      </c>
      <c r="V10" s="7" t="n">
        <v>0</v>
      </c>
      <c r="W10" s="5" t="n">
        <v>0</v>
      </c>
      <c r="X10" s="5" t="n">
        <v>0</v>
      </c>
      <c r="Y10" s="7" t="n">
        <v>0.4090909090909091</v>
      </c>
      <c r="Z10" s="5" t="n">
        <v>2000</v>
      </c>
      <c r="AA10" s="5" t="n">
        <v>818.1818181818182</v>
      </c>
    </row>
    <row r="11" ht="15" customHeight="1">
      <c r="A11" s="3" t="n">
        <v>45809</v>
      </c>
      <c r="B11" s="4" t="inlineStr">
        <is>
          <t>卢晓飞</t>
        </is>
      </c>
      <c r="C11" s="4" t="inlineStr">
        <is>
          <t>无忧/走读</t>
        </is>
      </c>
      <c r="D11" s="4" t="inlineStr">
        <is>
          <t>考研项目部</t>
        </is>
      </c>
      <c r="E11" s="4" t="inlineStr">
        <is>
          <t>B级学习顾问</t>
        </is>
      </c>
      <c r="F11" s="5">
        <f>G11+H11</f>
        <v/>
      </c>
      <c r="G11" s="5" t="n">
        <v>2000</v>
      </c>
      <c r="H11" s="5" t="n">
        <v>544.36</v>
      </c>
      <c r="I11" s="5" t="n">
        <v>0</v>
      </c>
      <c r="J11" s="4" t="n"/>
      <c r="K11" s="5" t="n">
        <v>125500</v>
      </c>
      <c r="L11" s="5" t="n">
        <v>0</v>
      </c>
      <c r="M11" s="5" t="n">
        <v>-88200</v>
      </c>
      <c r="N11" s="5" t="n">
        <v>37300</v>
      </c>
      <c r="O11" s="4" t="n"/>
      <c r="P11" s="5" t="n">
        <v>17136</v>
      </c>
      <c r="Q11" s="5" t="n">
        <v>0</v>
      </c>
      <c r="R11" s="5" t="n">
        <v>17136</v>
      </c>
      <c r="S11" s="6" t="n">
        <v>0</v>
      </c>
      <c r="T11" s="6" t="n">
        <v>0</v>
      </c>
      <c r="U11" s="7" t="n">
        <v>0</v>
      </c>
      <c r="V11" s="7" t="n">
        <v>0.01</v>
      </c>
      <c r="W11" s="5" t="n">
        <v>544.36</v>
      </c>
      <c r="X11" s="5" t="n">
        <v>0</v>
      </c>
      <c r="Y11" s="7" t="n">
        <v>1</v>
      </c>
      <c r="Z11" s="5" t="n">
        <v>2000</v>
      </c>
      <c r="AA11" s="5" t="n">
        <v>2000</v>
      </c>
    </row>
    <row r="12" ht="15" customHeight="1">
      <c r="A12" s="3" t="n">
        <v>45809</v>
      </c>
      <c r="B12" s="4" t="inlineStr">
        <is>
          <t>田志伟</t>
        </is>
      </c>
      <c r="C12" s="4" t="inlineStr">
        <is>
          <t>无忧/走读</t>
        </is>
      </c>
      <c r="D12" s="4" t="inlineStr">
        <is>
          <t>考研项目部</t>
        </is>
      </c>
      <c r="E12" s="4" t="inlineStr">
        <is>
          <t>B级学习顾问</t>
        </is>
      </c>
      <c r="F12" s="5">
        <f>G12+H12</f>
        <v/>
      </c>
      <c r="G12" s="5" t="n">
        <v>2000</v>
      </c>
      <c r="H12" s="5" t="n">
        <v>230</v>
      </c>
      <c r="I12" s="5" t="n">
        <v>0</v>
      </c>
      <c r="J12" s="4" t="n"/>
      <c r="K12" s="5" t="n">
        <v>23000</v>
      </c>
      <c r="L12" s="5" t="n">
        <v>0</v>
      </c>
      <c r="M12" s="5" t="n">
        <v>0</v>
      </c>
      <c r="N12" s="5" t="n">
        <v>23000</v>
      </c>
      <c r="O12" s="4" t="n"/>
      <c r="P12" s="5" t="n">
        <v>0</v>
      </c>
      <c r="Q12" s="5" t="n">
        <v>0</v>
      </c>
      <c r="R12" s="5" t="n">
        <v>0</v>
      </c>
      <c r="S12" s="6" t="n">
        <v>0</v>
      </c>
      <c r="T12" s="6" t="n">
        <v>0</v>
      </c>
      <c r="U12" s="7" t="n">
        <v>0</v>
      </c>
      <c r="V12" s="7" t="n">
        <v>0.01</v>
      </c>
      <c r="W12" s="5" t="n">
        <v>230</v>
      </c>
      <c r="X12" s="5" t="n">
        <v>0</v>
      </c>
      <c r="Y12" s="7" t="n">
        <v>1</v>
      </c>
      <c r="Z12" s="5" t="n">
        <v>2000</v>
      </c>
      <c r="AA12" s="5" t="n">
        <v>2000</v>
      </c>
    </row>
    <row r="13" ht="15" customHeight="1">
      <c r="A13" s="3" t="n">
        <v>45809</v>
      </c>
      <c r="B13" s="4" t="inlineStr">
        <is>
          <t>金民民</t>
        </is>
      </c>
      <c r="C13" s="4" t="inlineStr">
        <is>
          <t>无忧/走读</t>
        </is>
      </c>
      <c r="D13" s="4" t="inlineStr">
        <is>
          <t>考研项目部</t>
        </is>
      </c>
      <c r="E13" s="4" t="inlineStr">
        <is>
          <t>B级学习顾问</t>
        </is>
      </c>
      <c r="F13" s="5">
        <f>G13+H13</f>
        <v/>
      </c>
      <c r="G13" s="5" t="n">
        <v>2000</v>
      </c>
      <c r="H13" s="5" t="n">
        <v>0</v>
      </c>
      <c r="I13" s="5" t="n">
        <v>0</v>
      </c>
      <c r="J13" s="4" t="n"/>
      <c r="K13" s="5" t="n">
        <v>0</v>
      </c>
      <c r="L13" s="5" t="n">
        <v>0</v>
      </c>
      <c r="M13" s="5" t="n">
        <v>0</v>
      </c>
      <c r="N13" s="5" t="n">
        <v>0</v>
      </c>
      <c r="O13" s="4" t="n"/>
      <c r="P13" s="5" t="n">
        <v>0</v>
      </c>
      <c r="Q13" s="5" t="n">
        <v>0</v>
      </c>
      <c r="R13" s="5" t="n">
        <v>0</v>
      </c>
      <c r="S13" s="6" t="n">
        <v>0</v>
      </c>
      <c r="T13" s="6" t="n">
        <v>0</v>
      </c>
      <c r="U13" s="7" t="n">
        <v>0</v>
      </c>
      <c r="V13" s="7" t="n">
        <v>0</v>
      </c>
      <c r="W13" s="5" t="n">
        <v>0</v>
      </c>
      <c r="X13" s="5" t="n">
        <v>0</v>
      </c>
      <c r="Y13" s="7" t="n">
        <v>1</v>
      </c>
      <c r="Z13" s="5" t="n">
        <v>2000</v>
      </c>
      <c r="AA13" s="5" t="n">
        <v>2000</v>
      </c>
    </row>
    <row r="14" ht="15" customHeight="1">
      <c r="A14" s="3" t="n">
        <v>45809</v>
      </c>
      <c r="B14" s="4" t="inlineStr">
        <is>
          <t>寇源</t>
        </is>
      </c>
      <c r="C14" s="4" t="inlineStr">
        <is>
          <t>无忧/走读</t>
        </is>
      </c>
      <c r="D14" s="4" t="inlineStr">
        <is>
          <t>考研项目部</t>
        </is>
      </c>
      <c r="E14" s="4" t="inlineStr">
        <is>
          <t>B级学习顾问</t>
        </is>
      </c>
      <c r="F14" s="5">
        <f>G14+H14</f>
        <v/>
      </c>
      <c r="G14" s="5" t="n">
        <v>0</v>
      </c>
      <c r="H14" s="5" t="n">
        <v>0</v>
      </c>
      <c r="I14" s="5" t="n">
        <v>0</v>
      </c>
      <c r="J14" s="4" t="n"/>
      <c r="K14" s="5" t="n">
        <v>0</v>
      </c>
      <c r="L14" s="5" t="n">
        <v>0</v>
      </c>
      <c r="M14" s="5" t="n">
        <v>0</v>
      </c>
      <c r="N14" s="5" t="n">
        <v>0</v>
      </c>
      <c r="O14" s="4" t="n"/>
      <c r="P14" s="5" t="n">
        <v>0</v>
      </c>
      <c r="Q14" s="5" t="n">
        <v>0</v>
      </c>
      <c r="R14" s="5" t="n">
        <v>0</v>
      </c>
      <c r="S14" s="6" t="n">
        <v>0</v>
      </c>
      <c r="T14" s="6" t="n">
        <v>0</v>
      </c>
      <c r="U14" s="7" t="n">
        <v>0</v>
      </c>
      <c r="V14" s="7" t="n">
        <v>0</v>
      </c>
      <c r="W14" s="5" t="n">
        <v>0</v>
      </c>
      <c r="X14" s="5" t="n">
        <v>0</v>
      </c>
      <c r="Y14" s="7" t="n">
        <v>0</v>
      </c>
      <c r="Z14" s="5" t="n">
        <v>0</v>
      </c>
      <c r="AA14" s="5" t="n">
        <v>0</v>
      </c>
    </row>
    <row r="15" ht="45" customHeight="1">
      <c r="A15" s="3" t="n">
        <v>45839</v>
      </c>
      <c r="B15" s="4" t="inlineStr">
        <is>
          <t>刘海玲</t>
        </is>
      </c>
      <c r="C15" s="4" t="inlineStr">
        <is>
          <t>无忧/走读</t>
        </is>
      </c>
      <c r="D15" s="4" t="inlineStr">
        <is>
          <t>考研项目部</t>
        </is>
      </c>
      <c r="E15" s="4" t="inlineStr">
        <is>
          <t>走读项目部-销售管理部-O1学习顾问</t>
        </is>
      </c>
      <c r="F15" s="5">
        <f>G15+H15</f>
        <v/>
      </c>
      <c r="G15" s="5" t="n">
        <v>2000</v>
      </c>
      <c r="H15" s="5" t="n">
        <v>42234</v>
      </c>
      <c r="I15" s="5" t="n">
        <v>1320000</v>
      </c>
      <c r="J15" s="4" t="n"/>
      <c r="K15" s="5" t="n">
        <v>1585156</v>
      </c>
      <c r="L15" s="5" t="n">
        <v>-250435</v>
      </c>
      <c r="M15" s="5" t="n">
        <v>0</v>
      </c>
      <c r="N15" s="5" t="n">
        <v>1334721</v>
      </c>
      <c r="O15" s="4" t="n"/>
      <c r="P15" s="5" t="n">
        <v>76001</v>
      </c>
      <c r="Q15" s="5" t="n">
        <v>-2936</v>
      </c>
      <c r="R15" s="5" t="n">
        <v>73065</v>
      </c>
      <c r="S15" s="6" t="n">
        <v>4</v>
      </c>
      <c r="T15" s="6" t="n">
        <v>12</v>
      </c>
      <c r="U15" s="7" t="n">
        <v>3</v>
      </c>
      <c r="V15" s="7" t="n">
        <v>0.03</v>
      </c>
      <c r="W15" s="5" t="n">
        <v>42234</v>
      </c>
      <c r="X15" s="5" t="n">
        <v>140</v>
      </c>
      <c r="Y15" s="7" t="n">
        <v>1</v>
      </c>
      <c r="Z15" s="5" t="n">
        <v>2000</v>
      </c>
      <c r="AA15" s="5" t="n">
        <v>2000</v>
      </c>
    </row>
    <row r="16" ht="45" customHeight="1">
      <c r="A16" s="3" t="n">
        <v>45839</v>
      </c>
      <c r="B16" s="4" t="inlineStr">
        <is>
          <t>徐铁</t>
        </is>
      </c>
      <c r="C16" s="4" t="inlineStr">
        <is>
          <t>无忧/走读</t>
        </is>
      </c>
      <c r="D16" s="4" t="inlineStr">
        <is>
          <t>考研项目部</t>
        </is>
      </c>
      <c r="E16" s="4" t="inlineStr">
        <is>
          <t>走读项目部-销售管理部-O1学习顾问</t>
        </is>
      </c>
      <c r="F16" s="5">
        <f>G16+H16</f>
        <v/>
      </c>
      <c r="G16" s="5" t="n">
        <v>2000</v>
      </c>
      <c r="H16" s="5" t="n">
        <v>36762</v>
      </c>
      <c r="I16" s="5" t="n">
        <v>1200000</v>
      </c>
      <c r="J16" s="4" t="n"/>
      <c r="K16" s="5" t="n">
        <v>1412333</v>
      </c>
      <c r="L16" s="5" t="n">
        <v>-237514</v>
      </c>
      <c r="M16" s="5" t="n">
        <v>0</v>
      </c>
      <c r="N16" s="5" t="n">
        <v>1174819</v>
      </c>
      <c r="O16" s="4" t="n"/>
      <c r="P16" s="5" t="n">
        <v>50567</v>
      </c>
      <c r="Q16" s="5" t="n">
        <v>0</v>
      </c>
      <c r="R16" s="5" t="n">
        <v>50567</v>
      </c>
      <c r="S16" s="6" t="n">
        <v>4</v>
      </c>
      <c r="T16" s="6" t="n">
        <v>4</v>
      </c>
      <c r="U16" s="7" t="n">
        <v>1</v>
      </c>
      <c r="V16" s="7" t="n">
        <v>0.03</v>
      </c>
      <c r="W16" s="5" t="n">
        <v>36762</v>
      </c>
      <c r="X16" s="5" t="n">
        <v>100</v>
      </c>
      <c r="Y16" s="7" t="n">
        <v>1</v>
      </c>
      <c r="Z16" s="5" t="n">
        <v>2000</v>
      </c>
      <c r="AA16" s="5" t="n">
        <v>2000</v>
      </c>
    </row>
    <row r="17" ht="45" customHeight="1">
      <c r="A17" s="3" t="n">
        <v>45839</v>
      </c>
      <c r="B17" s="4" t="inlineStr">
        <is>
          <t>刘欢</t>
        </is>
      </c>
      <c r="C17" s="4" t="inlineStr">
        <is>
          <t>无忧/走读</t>
        </is>
      </c>
      <c r="D17" s="4" t="inlineStr">
        <is>
          <t>考研项目部</t>
        </is>
      </c>
      <c r="E17" s="4" t="inlineStr">
        <is>
          <t>走读项目部-销售管理部-O3学习顾问</t>
        </is>
      </c>
      <c r="F17" s="5">
        <f>G17+H17</f>
        <v/>
      </c>
      <c r="G17" s="5" t="n">
        <v>0</v>
      </c>
      <c r="H17" s="5" t="n">
        <v>128266</v>
      </c>
      <c r="I17" s="5" t="n">
        <v>1200000</v>
      </c>
      <c r="J17" s="4" t="n"/>
      <c r="K17" s="5" t="n">
        <v>2759951</v>
      </c>
      <c r="L17" s="5" t="n">
        <v>-375566</v>
      </c>
      <c r="M17" s="5" t="n">
        <v>27650</v>
      </c>
      <c r="N17" s="5" t="n">
        <v>2412035</v>
      </c>
      <c r="O17" s="4" t="n"/>
      <c r="P17" s="5" t="n">
        <v>203877</v>
      </c>
      <c r="Q17" s="5" t="n">
        <v>-50596</v>
      </c>
      <c r="R17" s="5" t="n">
        <v>153281</v>
      </c>
      <c r="S17" s="6" t="n">
        <v>4</v>
      </c>
      <c r="T17" s="6" t="n">
        <v>10</v>
      </c>
      <c r="U17" s="7" t="n">
        <v>2.5</v>
      </c>
      <c r="V17" s="7" t="n">
        <v>0.05</v>
      </c>
      <c r="W17" s="5" t="n">
        <v>128266</v>
      </c>
      <c r="X17" s="5" t="n">
        <v>160</v>
      </c>
      <c r="Y17" s="7" t="n">
        <v>1</v>
      </c>
      <c r="Z17" s="5" t="n">
        <v>0</v>
      </c>
      <c r="AA17" s="5" t="n">
        <v>0</v>
      </c>
    </row>
    <row r="18" ht="45" customHeight="1">
      <c r="A18" s="3" t="n">
        <v>45839</v>
      </c>
      <c r="B18" s="4" t="inlineStr">
        <is>
          <t>汪宇萌</t>
        </is>
      </c>
      <c r="C18" s="4" t="inlineStr">
        <is>
          <t>无忧/走读</t>
        </is>
      </c>
      <c r="D18" s="4" t="inlineStr">
        <is>
          <t>考研项目部</t>
        </is>
      </c>
      <c r="E18" s="4" t="inlineStr">
        <is>
          <t>走读项目部-销售管理部-O1学习顾问</t>
        </is>
      </c>
      <c r="F18" s="5">
        <f>G18+H18</f>
        <v/>
      </c>
      <c r="G18" s="5" t="n">
        <v>2000</v>
      </c>
      <c r="H18" s="5" t="n">
        <v>92735</v>
      </c>
      <c r="I18" s="5" t="n">
        <v>1200000</v>
      </c>
      <c r="J18" s="4" t="n"/>
      <c r="K18" s="5" t="n">
        <v>2189632</v>
      </c>
      <c r="L18" s="5" t="n">
        <v>-393133</v>
      </c>
      <c r="M18" s="5" t="n">
        <v>0</v>
      </c>
      <c r="N18" s="5" t="n">
        <v>1796499</v>
      </c>
      <c r="O18" s="4" t="n"/>
      <c r="P18" s="5" t="n">
        <v>93872</v>
      </c>
      <c r="Q18" s="5" t="n">
        <v>-35679</v>
      </c>
      <c r="R18" s="5" t="n">
        <v>58193</v>
      </c>
      <c r="S18" s="6" t="n">
        <v>4</v>
      </c>
      <c r="T18" s="6" t="n">
        <v>7</v>
      </c>
      <c r="U18" s="7" t="n">
        <v>1.75</v>
      </c>
      <c r="V18" s="7" t="n">
        <v>0.05</v>
      </c>
      <c r="W18" s="5" t="n">
        <v>92735</v>
      </c>
      <c r="X18" s="5" t="n">
        <v>150</v>
      </c>
      <c r="Y18" s="7" t="n">
        <v>1</v>
      </c>
      <c r="Z18" s="5" t="n">
        <v>2000</v>
      </c>
      <c r="AA18" s="5" t="n">
        <v>2000</v>
      </c>
    </row>
    <row r="19" ht="45" customHeight="1">
      <c r="A19" s="3" t="n">
        <v>45839</v>
      </c>
      <c r="B19" s="4" t="inlineStr">
        <is>
          <t>李婧</t>
        </is>
      </c>
      <c r="C19" s="4" t="inlineStr">
        <is>
          <t>无忧/走读</t>
        </is>
      </c>
      <c r="D19" s="4" t="inlineStr">
        <is>
          <t>考研项目部</t>
        </is>
      </c>
      <c r="E19" s="4" t="inlineStr">
        <is>
          <t>走读项目部-销售管理部-O1学习顾问</t>
        </is>
      </c>
      <c r="F19" s="5">
        <f>G19+H19</f>
        <v/>
      </c>
      <c r="G19" s="5" t="n">
        <v>2000</v>
      </c>
      <c r="H19" s="5" t="n">
        <v>2339</v>
      </c>
      <c r="I19" s="5" t="n">
        <v>1200000</v>
      </c>
      <c r="J19" s="4" t="n"/>
      <c r="K19" s="5" t="n">
        <v>786226</v>
      </c>
      <c r="L19" s="5" t="n">
        <v>-550708</v>
      </c>
      <c r="M19" s="5" t="n">
        <v>11300</v>
      </c>
      <c r="N19" s="5" t="n">
        <v>246818</v>
      </c>
      <c r="O19" s="4" t="n"/>
      <c r="P19" s="5" t="n">
        <v>45617</v>
      </c>
      <c r="Q19" s="5" t="n">
        <v>0</v>
      </c>
      <c r="R19" s="5" t="n">
        <v>45617</v>
      </c>
      <c r="S19" s="6" t="n">
        <v>4</v>
      </c>
      <c r="T19" s="6" t="n">
        <v>6</v>
      </c>
      <c r="U19" s="7" t="n">
        <v>1.5</v>
      </c>
      <c r="V19" s="7" t="n">
        <v>0.008</v>
      </c>
      <c r="W19" s="5" t="n">
        <v>2339</v>
      </c>
      <c r="X19" s="5" t="n">
        <v>125</v>
      </c>
      <c r="Y19" s="7" t="n">
        <v>1</v>
      </c>
      <c r="Z19" s="5" t="n">
        <v>2000</v>
      </c>
      <c r="AA19" s="5" t="n">
        <v>2000</v>
      </c>
    </row>
    <row r="20" ht="45" customHeight="1">
      <c r="A20" s="3" t="n">
        <v>45839</v>
      </c>
      <c r="B20" s="4" t="inlineStr">
        <is>
          <t>李崇宇</t>
        </is>
      </c>
      <c r="C20" s="4" t="inlineStr">
        <is>
          <t>无忧/走读</t>
        </is>
      </c>
      <c r="D20" s="4" t="inlineStr">
        <is>
          <t>考研项目部</t>
        </is>
      </c>
      <c r="E20" s="4" t="inlineStr">
        <is>
          <t>走读项目部-销售管理部-O1学习顾问</t>
        </is>
      </c>
      <c r="F20" s="5">
        <f>G20+H20</f>
        <v/>
      </c>
      <c r="G20" s="5" t="n">
        <v>0</v>
      </c>
      <c r="H20" s="5" t="n">
        <v>0</v>
      </c>
      <c r="I20" s="5" t="n">
        <v>0</v>
      </c>
      <c r="J20" s="4" t="n"/>
      <c r="K20" s="5" t="n">
        <v>0</v>
      </c>
      <c r="L20" s="5" t="n">
        <v>0</v>
      </c>
      <c r="M20" s="5" t="n">
        <v>0</v>
      </c>
      <c r="N20" s="5" t="n">
        <v>0</v>
      </c>
      <c r="O20" s="4" t="n"/>
      <c r="P20" s="5" t="n">
        <v>0</v>
      </c>
      <c r="Q20" s="5" t="n">
        <v>0</v>
      </c>
      <c r="R20" s="5" t="n">
        <v>0</v>
      </c>
      <c r="S20" s="6" t="n">
        <v>0</v>
      </c>
      <c r="T20" s="6" t="n">
        <v>0</v>
      </c>
      <c r="U20" s="7" t="n">
        <v>0</v>
      </c>
      <c r="V20" s="7" t="n">
        <v>0</v>
      </c>
      <c r="W20" s="5" t="n">
        <v>0</v>
      </c>
      <c r="X20" s="5" t="n">
        <v>0</v>
      </c>
      <c r="Y20" s="7" t="n">
        <v>0</v>
      </c>
      <c r="Z20" s="5" t="n">
        <v>2000</v>
      </c>
      <c r="AA20" s="5" t="n">
        <v>0</v>
      </c>
    </row>
    <row r="21" ht="45" customHeight="1">
      <c r="A21" s="3" t="n">
        <v>45839</v>
      </c>
      <c r="B21" s="4" t="inlineStr">
        <is>
          <t>王秋雨</t>
        </is>
      </c>
      <c r="C21" s="4" t="inlineStr">
        <is>
          <t>无忧/走读</t>
        </is>
      </c>
      <c r="D21" s="4" t="inlineStr">
        <is>
          <t>考研项目部</t>
        </is>
      </c>
      <c r="E21" s="4" t="inlineStr">
        <is>
          <t>走读项目部-销售管理部-O1学习顾问</t>
        </is>
      </c>
      <c r="F21" s="5">
        <f>G21+H21</f>
        <v/>
      </c>
      <c r="G21" s="5" t="n">
        <v>0</v>
      </c>
      <c r="H21" s="5" t="n">
        <v>36402</v>
      </c>
      <c r="I21" s="5" t="n">
        <v>1200000</v>
      </c>
      <c r="J21" s="4" t="n"/>
      <c r="K21" s="5" t="n">
        <v>1206337</v>
      </c>
      <c r="L21" s="5" t="n">
        <v>-180361</v>
      </c>
      <c r="M21" s="5" t="n">
        <v>0</v>
      </c>
      <c r="N21" s="5" t="n">
        <v>1025976</v>
      </c>
      <c r="O21" s="4" t="n"/>
      <c r="P21" s="5" t="n">
        <v>207599</v>
      </c>
      <c r="Q21" s="5" t="n">
        <v>-20170</v>
      </c>
      <c r="R21" s="5" t="n">
        <v>187429</v>
      </c>
      <c r="S21" s="6" t="n">
        <v>1</v>
      </c>
      <c r="T21" s="6" t="n">
        <v>0</v>
      </c>
      <c r="U21" s="7" t="n">
        <v>0</v>
      </c>
      <c r="V21" s="7" t="n">
        <v>0.03</v>
      </c>
      <c r="W21" s="5" t="n">
        <v>36402</v>
      </c>
      <c r="X21" s="5" t="n">
        <v>60</v>
      </c>
      <c r="Y21" s="7" t="n">
        <v>0</v>
      </c>
      <c r="Z21" s="5" t="n">
        <v>2000</v>
      </c>
      <c r="AA21" s="5" t="n">
        <v>0</v>
      </c>
    </row>
    <row r="22" ht="45" customHeight="1">
      <c r="A22" s="3" t="n">
        <v>45839</v>
      </c>
      <c r="B22" s="4" t="inlineStr">
        <is>
          <t>田志伟</t>
        </is>
      </c>
      <c r="C22" s="4" t="inlineStr">
        <is>
          <t>无忧/走读</t>
        </is>
      </c>
      <c r="D22" s="4" t="inlineStr">
        <is>
          <t>考研项目部</t>
        </is>
      </c>
      <c r="E22" s="4" t="inlineStr">
        <is>
          <t>走读项目部-销售管理部-O1学习顾问</t>
        </is>
      </c>
      <c r="F22" s="5">
        <f>G22+H22</f>
        <v/>
      </c>
      <c r="G22" s="5" t="n">
        <v>2000</v>
      </c>
      <c r="H22" s="5" t="n">
        <v>0</v>
      </c>
      <c r="I22" s="5" t="n">
        <v>360000</v>
      </c>
      <c r="J22" s="4" t="n"/>
      <c r="K22" s="5" t="n">
        <v>53900</v>
      </c>
      <c r="L22" s="5" t="n">
        <v>0</v>
      </c>
      <c r="M22" s="5" t="n">
        <v>0</v>
      </c>
      <c r="N22" s="5" t="n">
        <v>53900</v>
      </c>
      <c r="O22" s="4" t="n"/>
      <c r="P22" s="5" t="n">
        <v>16748</v>
      </c>
      <c r="Q22" s="5" t="n">
        <v>-15330</v>
      </c>
      <c r="R22" s="5" t="n">
        <v>1418</v>
      </c>
      <c r="S22" s="6" t="n">
        <v>1</v>
      </c>
      <c r="T22" s="6" t="n">
        <v>0</v>
      </c>
      <c r="U22" s="7" t="n">
        <v>0</v>
      </c>
      <c r="V22" s="7" t="n">
        <v>0</v>
      </c>
      <c r="W22" s="5" t="n">
        <v>0</v>
      </c>
      <c r="X22" s="5" t="n">
        <v>35</v>
      </c>
      <c r="Y22" s="7" t="n">
        <v>1</v>
      </c>
      <c r="Z22" s="5" t="n">
        <v>2000</v>
      </c>
      <c r="AA22" s="5" t="n">
        <v>2000</v>
      </c>
    </row>
    <row r="23" ht="45" customHeight="1">
      <c r="A23" s="3" t="n">
        <v>45839</v>
      </c>
      <c r="B23" s="4" t="inlineStr">
        <is>
          <t>卢晓飞</t>
        </is>
      </c>
      <c r="C23" s="4" t="inlineStr">
        <is>
          <t>无忧/走读</t>
        </is>
      </c>
      <c r="D23" s="4" t="inlineStr">
        <is>
          <t>考研项目部</t>
        </is>
      </c>
      <c r="E23" s="4" t="inlineStr">
        <is>
          <t>走读项目部-销售管理部-O1学习顾问</t>
        </is>
      </c>
      <c r="F23" s="5">
        <f>G23+H23</f>
        <v/>
      </c>
      <c r="G23" s="5" t="n">
        <v>2000</v>
      </c>
      <c r="H23" s="5" t="n">
        <v>11930</v>
      </c>
      <c r="I23" s="5" t="n">
        <v>360000</v>
      </c>
      <c r="J23" s="4" t="n"/>
      <c r="K23" s="5" t="n">
        <v>373097</v>
      </c>
      <c r="L23" s="5" t="n">
        <v>0</v>
      </c>
      <c r="M23" s="5" t="n">
        <v>0</v>
      </c>
      <c r="N23" s="5" t="n">
        <v>373097</v>
      </c>
      <c r="O23" s="4" t="n"/>
      <c r="P23" s="5" t="n">
        <v>28794</v>
      </c>
      <c r="Q23" s="5" t="n">
        <v>-4233</v>
      </c>
      <c r="R23" s="5" t="n">
        <v>24561</v>
      </c>
      <c r="S23" s="6" t="n">
        <v>1</v>
      </c>
      <c r="T23" s="6" t="n">
        <v>1</v>
      </c>
      <c r="U23" s="7" t="n">
        <v>1</v>
      </c>
      <c r="V23" s="7" t="n">
        <v>0.03</v>
      </c>
      <c r="W23" s="5" t="n">
        <v>11930</v>
      </c>
      <c r="X23" s="5" t="n">
        <v>93</v>
      </c>
      <c r="Y23" s="7" t="n">
        <v>1</v>
      </c>
      <c r="Z23" s="5" t="n">
        <v>2000</v>
      </c>
      <c r="AA23" s="5" t="n">
        <v>2000</v>
      </c>
    </row>
    <row r="24" ht="45" customHeight="1">
      <c r="A24" s="3" t="n">
        <v>45839</v>
      </c>
      <c r="B24" s="4" t="inlineStr">
        <is>
          <t>金民民</t>
        </is>
      </c>
      <c r="C24" s="4" t="inlineStr">
        <is>
          <t>无忧/走读</t>
        </is>
      </c>
      <c r="D24" s="4" t="inlineStr">
        <is>
          <t>考研项目部</t>
        </is>
      </c>
      <c r="E24" s="4" t="inlineStr">
        <is>
          <t>走读项目部-销售管理部-O1学习顾问</t>
        </is>
      </c>
      <c r="F24" s="5">
        <f>G24+H24</f>
        <v/>
      </c>
      <c r="G24" s="5" t="n">
        <v>2000</v>
      </c>
      <c r="H24" s="5" t="n">
        <v>0</v>
      </c>
      <c r="I24" s="5" t="n">
        <v>360000</v>
      </c>
      <c r="J24" s="4" t="n"/>
      <c r="K24" s="5" t="n">
        <v>152200</v>
      </c>
      <c r="L24" s="5" t="n">
        <v>0</v>
      </c>
      <c r="M24" s="5" t="n">
        <v>0</v>
      </c>
      <c r="N24" s="5" t="n">
        <v>152200</v>
      </c>
      <c r="O24" s="4" t="n"/>
      <c r="P24" s="5" t="n">
        <v>23063</v>
      </c>
      <c r="Q24" s="5" t="n">
        <v>0</v>
      </c>
      <c r="R24" s="5" t="n">
        <v>23063</v>
      </c>
      <c r="S24" s="6" t="n">
        <v>1</v>
      </c>
      <c r="T24" s="6" t="n">
        <v>0</v>
      </c>
      <c r="U24" s="7" t="n">
        <v>0</v>
      </c>
      <c r="V24" s="7" t="n">
        <v>0</v>
      </c>
      <c r="W24" s="5" t="n">
        <v>0</v>
      </c>
      <c r="X24" s="5" t="n">
        <v>25</v>
      </c>
      <c r="Y24" s="7" t="n">
        <v>1</v>
      </c>
      <c r="Z24" s="5" t="n">
        <v>2000</v>
      </c>
      <c r="AA24" s="5" t="n">
        <v>2000</v>
      </c>
    </row>
    <row r="25" ht="45" customHeight="1">
      <c r="A25" s="3" t="n">
        <v>45839</v>
      </c>
      <c r="B25" s="4" t="inlineStr">
        <is>
          <t>王一鸣</t>
        </is>
      </c>
      <c r="C25" s="4" t="inlineStr">
        <is>
          <t>无忧/走读</t>
        </is>
      </c>
      <c r="D25" s="4" t="inlineStr">
        <is>
          <t>考研项目部</t>
        </is>
      </c>
      <c r="E25" s="4" t="inlineStr">
        <is>
          <t>走读项目部-销售管理部-O1学习顾问</t>
        </is>
      </c>
      <c r="F25" s="5">
        <f>G25+H25</f>
        <v/>
      </c>
      <c r="G25" s="5" t="n">
        <v>181.8181818181818</v>
      </c>
      <c r="H25" s="5" t="n">
        <v>0</v>
      </c>
      <c r="I25" s="5" t="n">
        <v>0</v>
      </c>
      <c r="J25" s="4" t="n"/>
      <c r="K25" s="5" t="n">
        <v>0</v>
      </c>
      <c r="L25" s="5" t="n">
        <v>0</v>
      </c>
      <c r="M25" s="5" t="n">
        <v>0</v>
      </c>
      <c r="N25" s="5" t="n">
        <v>0</v>
      </c>
      <c r="O25" s="4" t="n"/>
      <c r="P25" s="5" t="n">
        <v>0</v>
      </c>
      <c r="Q25" s="5" t="n">
        <v>0</v>
      </c>
      <c r="R25" s="5" t="n">
        <v>0</v>
      </c>
      <c r="S25" s="6" t="n">
        <v>0</v>
      </c>
      <c r="T25" s="6" t="n">
        <v>0</v>
      </c>
      <c r="U25" s="7" t="n">
        <v>0</v>
      </c>
      <c r="V25" s="7" t="n">
        <v>0</v>
      </c>
      <c r="W25" s="5" t="n">
        <v>0</v>
      </c>
      <c r="X25" s="5" t="n">
        <v>0</v>
      </c>
      <c r="Y25" s="7" t="n">
        <v>0.09090909090909091</v>
      </c>
      <c r="Z25" s="5" t="n">
        <v>2000</v>
      </c>
      <c r="AA25" s="5" t="n">
        <v>181.8181818181818</v>
      </c>
    </row>
    <row r="26" ht="45" customHeight="1">
      <c r="A26" s="3" t="n">
        <v>45839</v>
      </c>
      <c r="B26" s="4" t="inlineStr">
        <is>
          <t>堕朕</t>
        </is>
      </c>
      <c r="C26" s="4" t="inlineStr">
        <is>
          <t>无忧/走读</t>
        </is>
      </c>
      <c r="D26" s="4" t="inlineStr">
        <is>
          <t>考研项目部</t>
        </is>
      </c>
      <c r="E26" s="4" t="inlineStr">
        <is>
          <t>走读项目部-销售管理部-O1学习顾问</t>
        </is>
      </c>
      <c r="F26" s="5">
        <f>G26+H26</f>
        <v/>
      </c>
      <c r="G26" s="5" t="n">
        <v>363.6363636363636</v>
      </c>
      <c r="H26" s="5" t="n">
        <v>0</v>
      </c>
      <c r="I26" s="5" t="n">
        <v>0</v>
      </c>
      <c r="J26" s="4" t="n"/>
      <c r="K26" s="5" t="n">
        <v>0</v>
      </c>
      <c r="L26" s="5" t="n">
        <v>0</v>
      </c>
      <c r="M26" s="5" t="n">
        <v>0</v>
      </c>
      <c r="N26" s="5" t="n">
        <v>0</v>
      </c>
      <c r="O26" s="4" t="n"/>
      <c r="P26" s="5" t="n">
        <v>0</v>
      </c>
      <c r="Q26" s="5" t="n">
        <v>0</v>
      </c>
      <c r="R26" s="5" t="n">
        <v>0</v>
      </c>
      <c r="S26" s="6" t="n">
        <v>0</v>
      </c>
      <c r="T26" s="6" t="n">
        <v>0</v>
      </c>
      <c r="U26" s="7" t="n">
        <v>0</v>
      </c>
      <c r="V26" s="7" t="n">
        <v>0</v>
      </c>
      <c r="W26" s="5" t="n">
        <v>0</v>
      </c>
      <c r="X26" s="5" t="n">
        <v>0</v>
      </c>
      <c r="Y26" s="7" t="n">
        <v>0.1818181818181818</v>
      </c>
      <c r="Z26" s="5" t="n">
        <v>2000</v>
      </c>
      <c r="AA26" s="5" t="n">
        <v>363.6363636363636</v>
      </c>
    </row>
    <row r="27" ht="45" customHeight="1">
      <c r="A27" s="3" t="n">
        <v>45870</v>
      </c>
      <c r="B27" s="4" t="inlineStr">
        <is>
          <t>刘海玲</t>
        </is>
      </c>
      <c r="C27" s="4" t="inlineStr">
        <is>
          <t>无忧/走读</t>
        </is>
      </c>
      <c r="D27" s="4" t="inlineStr">
        <is>
          <t>考研项目部</t>
        </is>
      </c>
      <c r="E27" s="4" t="inlineStr">
        <is>
          <t>走读项目部-销售管理部-O1学习顾问</t>
        </is>
      </c>
      <c r="F27" s="5">
        <f>G27+H27</f>
        <v/>
      </c>
      <c r="G27" s="5" t="n">
        <v>0</v>
      </c>
      <c r="H27" s="5" t="n">
        <v>10461.9393</v>
      </c>
      <c r="I27" s="5" t="n">
        <v>705000</v>
      </c>
      <c r="J27" s="5" t="n">
        <v>670000</v>
      </c>
      <c r="K27" s="5" t="n">
        <v>944937.8</v>
      </c>
      <c r="L27" s="5" t="n">
        <v>-365741.95</v>
      </c>
      <c r="M27" s="5" t="n">
        <v>0</v>
      </c>
      <c r="N27" s="5" t="n">
        <v>579195.8500000001</v>
      </c>
      <c r="O27" s="7" t="n">
        <v>0.8644714179104479</v>
      </c>
      <c r="P27" s="5" t="n">
        <v>2023</v>
      </c>
      <c r="Q27" s="5" t="n">
        <v>0</v>
      </c>
      <c r="R27" s="5" t="n">
        <v>2023</v>
      </c>
      <c r="S27" s="5" t="n">
        <v>90000</v>
      </c>
      <c r="T27" s="5" t="n">
        <v>31123</v>
      </c>
      <c r="U27" s="7" t="n">
        <v>0.3458111111111111</v>
      </c>
      <c r="V27" s="7" t="n">
        <v>0.018</v>
      </c>
      <c r="W27" s="5" t="n">
        <v>10461.9393</v>
      </c>
      <c r="X27" s="5" t="n">
        <v>20</v>
      </c>
      <c r="Y27" s="7" t="n">
        <v>0</v>
      </c>
      <c r="Z27" s="5" t="n">
        <v>2000</v>
      </c>
      <c r="AA27" s="5" t="n">
        <v>0</v>
      </c>
    </row>
    <row r="28" ht="45" customHeight="1">
      <c r="A28" s="3" t="n">
        <v>45870</v>
      </c>
      <c r="B28" s="4" t="inlineStr">
        <is>
          <t>徐铁</t>
        </is>
      </c>
      <c r="C28" s="4" t="inlineStr">
        <is>
          <t>无忧/走读</t>
        </is>
      </c>
      <c r="D28" s="4" t="inlineStr">
        <is>
          <t>考研项目部</t>
        </is>
      </c>
      <c r="E28" s="4" t="inlineStr">
        <is>
          <t>走读项目部-销售管理部-O1学习顾问</t>
        </is>
      </c>
      <c r="F28" s="5">
        <f>G28+H28</f>
        <v/>
      </c>
      <c r="G28" s="5" t="n">
        <v>0</v>
      </c>
      <c r="H28" s="5" t="n">
        <v>35873.076</v>
      </c>
      <c r="I28" s="5" t="n">
        <v>705000</v>
      </c>
      <c r="J28" s="5" t="n">
        <v>670000</v>
      </c>
      <c r="K28" s="5" t="n">
        <v>969162.5</v>
      </c>
      <c r="L28" s="5" t="n">
        <v>-147704.25</v>
      </c>
      <c r="M28" s="5" t="n">
        <v>0</v>
      </c>
      <c r="N28" s="5" t="n">
        <v>821458.25</v>
      </c>
      <c r="O28" s="7" t="n">
        <v>1.226057089552239</v>
      </c>
      <c r="P28" s="5" t="n">
        <v>75368.64999999999</v>
      </c>
      <c r="Q28" s="5" t="n">
        <v>0</v>
      </c>
      <c r="R28" s="5" t="n">
        <v>75368.64999999999</v>
      </c>
      <c r="S28" s="5" t="n">
        <v>90000</v>
      </c>
      <c r="T28" s="5" t="n">
        <v>49055.9</v>
      </c>
      <c r="U28" s="7" t="n">
        <v>0.5450655555555556</v>
      </c>
      <c r="V28" s="7" t="n">
        <v>0.04</v>
      </c>
      <c r="W28" s="5" t="n">
        <v>35873.076</v>
      </c>
      <c r="X28" s="5" t="n">
        <v>20</v>
      </c>
      <c r="Y28" s="7" t="n">
        <v>0</v>
      </c>
      <c r="Z28" s="5" t="n">
        <v>2000</v>
      </c>
      <c r="AA28" s="5" t="n">
        <v>0</v>
      </c>
    </row>
    <row r="29" ht="45" customHeight="1">
      <c r="A29" s="3" t="n">
        <v>45870</v>
      </c>
      <c r="B29" s="4" t="inlineStr">
        <is>
          <t>刘欢</t>
        </is>
      </c>
      <c r="C29" s="4" t="inlineStr">
        <is>
          <t>无忧/走读</t>
        </is>
      </c>
      <c r="D29" s="4" t="inlineStr">
        <is>
          <t>考研项目部</t>
        </is>
      </c>
      <c r="E29" s="4" t="inlineStr">
        <is>
          <t>走读项目部-销售管理部-O3学习顾问</t>
        </is>
      </c>
      <c r="F29" s="5">
        <f>G29+H29</f>
        <v/>
      </c>
      <c r="G29" s="5" t="n">
        <v>0</v>
      </c>
      <c r="H29" s="5" t="n">
        <v>56684.6235</v>
      </c>
      <c r="I29" s="5" t="n">
        <v>705000</v>
      </c>
      <c r="J29" s="5" t="n">
        <v>670000</v>
      </c>
      <c r="K29" s="5" t="n">
        <v>1415085.45</v>
      </c>
      <c r="L29" s="5" t="n">
        <v>-343524.05</v>
      </c>
      <c r="M29" s="5" t="n">
        <v>0</v>
      </c>
      <c r="N29" s="5" t="n">
        <v>1071561.4</v>
      </c>
      <c r="O29" s="7" t="n">
        <v>1.599345373134328</v>
      </c>
      <c r="P29" s="5" t="n">
        <v>76275.75</v>
      </c>
      <c r="Q29" s="5" t="n">
        <v>-14144.68</v>
      </c>
      <c r="R29" s="5" t="n">
        <v>62131.07</v>
      </c>
      <c r="S29" s="5" t="n">
        <v>90000</v>
      </c>
      <c r="T29" s="5" t="n">
        <v>128995.7</v>
      </c>
      <c r="U29" s="7" t="n">
        <v>1.433285555555555</v>
      </c>
      <c r="V29" s="7" t="n">
        <v>0.05</v>
      </c>
      <c r="W29" s="5" t="n">
        <v>56684.6235</v>
      </c>
      <c r="X29" s="5" t="n">
        <v>88</v>
      </c>
      <c r="Y29" s="7" t="n">
        <v>0.88</v>
      </c>
      <c r="Z29" s="5" t="n">
        <v>0</v>
      </c>
      <c r="AA29" s="5" t="n">
        <v>0</v>
      </c>
    </row>
    <row r="30" ht="45" customHeight="1">
      <c r="A30" s="3" t="n">
        <v>45870</v>
      </c>
      <c r="B30" s="4" t="inlineStr">
        <is>
          <t>汪宇萌</t>
        </is>
      </c>
      <c r="C30" s="4" t="inlineStr">
        <is>
          <t>无忧/走读</t>
        </is>
      </c>
      <c r="D30" s="4" t="inlineStr">
        <is>
          <t>考研项目部</t>
        </is>
      </c>
      <c r="E30" s="4" t="inlineStr">
        <is>
          <t>走读项目部-销售管理部-O1学习顾问</t>
        </is>
      </c>
      <c r="F30" s="5">
        <f>G30+H30</f>
        <v/>
      </c>
      <c r="G30" s="5" t="n">
        <v>0</v>
      </c>
      <c r="H30" s="5" t="n">
        <v>37202.2744</v>
      </c>
      <c r="I30" s="5" t="n">
        <v>705000</v>
      </c>
      <c r="J30" s="5" t="n">
        <v>670000</v>
      </c>
      <c r="K30" s="5" t="n">
        <v>1214290</v>
      </c>
      <c r="L30" s="5" t="n">
        <v>-348563.75</v>
      </c>
      <c r="M30" s="5" t="n">
        <v>0</v>
      </c>
      <c r="N30" s="5" t="n">
        <v>865726.25</v>
      </c>
      <c r="O30" s="7" t="n">
        <v>1.292128731343284</v>
      </c>
      <c r="P30" s="5" t="n">
        <v>68367.5</v>
      </c>
      <c r="Q30" s="5" t="n">
        <v>-4036.89</v>
      </c>
      <c r="R30" s="5" t="n">
        <v>64330.61</v>
      </c>
      <c r="S30" s="5" t="n">
        <v>90000</v>
      </c>
      <c r="T30" s="5" t="n">
        <v>43250</v>
      </c>
      <c r="U30" s="7" t="n">
        <v>0.4805555555555556</v>
      </c>
      <c r="V30" s="7" t="n">
        <v>0.04</v>
      </c>
      <c r="W30" s="5" t="n">
        <v>37202.2744</v>
      </c>
      <c r="X30" s="5" t="n">
        <v>20</v>
      </c>
      <c r="Y30" s="7" t="n">
        <v>0</v>
      </c>
      <c r="Z30" s="5" t="n">
        <v>2000</v>
      </c>
      <c r="AA30" s="5" t="n">
        <v>0</v>
      </c>
    </row>
    <row r="31" ht="45" customHeight="1">
      <c r="A31" s="3" t="n">
        <v>45870</v>
      </c>
      <c r="B31" s="4" t="inlineStr">
        <is>
          <t>李婧</t>
        </is>
      </c>
      <c r="C31" s="4" t="inlineStr">
        <is>
          <t>无忧/走读</t>
        </is>
      </c>
      <c r="D31" s="4" t="inlineStr">
        <is>
          <t>考研项目部</t>
        </is>
      </c>
      <c r="E31" s="4" t="inlineStr">
        <is>
          <t>走读项目部-销售管理部-O1学习顾问</t>
        </is>
      </c>
      <c r="F31" s="5">
        <f>G31+H31</f>
        <v/>
      </c>
      <c r="G31" s="5" t="n">
        <v>2000</v>
      </c>
      <c r="H31" s="5" t="n">
        <v>43811.6188</v>
      </c>
      <c r="I31" s="5" t="n">
        <v>775500</v>
      </c>
      <c r="J31" s="5" t="n">
        <v>740500</v>
      </c>
      <c r="K31" s="5" t="n">
        <v>1261818.3</v>
      </c>
      <c r="L31" s="5" t="n">
        <v>-201755.85</v>
      </c>
      <c r="M31" s="5" t="n">
        <v>0</v>
      </c>
      <c r="N31" s="5" t="n">
        <v>1060062.45</v>
      </c>
      <c r="O31" s="7" t="n">
        <v>1.43154956110736</v>
      </c>
      <c r="P31" s="5" t="n">
        <v>42455.5</v>
      </c>
      <c r="Q31" s="5" t="n">
        <v>-7227.48</v>
      </c>
      <c r="R31" s="5" t="n">
        <v>35228.02</v>
      </c>
      <c r="S31" s="5" t="n">
        <v>90000</v>
      </c>
      <c r="T31" s="5" t="n">
        <v>115206</v>
      </c>
      <c r="U31" s="7" t="n">
        <v>1.280066666666667</v>
      </c>
      <c r="V31" s="7" t="n">
        <v>0.04</v>
      </c>
      <c r="W31" s="5" t="n">
        <v>43811.6188</v>
      </c>
      <c r="X31" s="5" t="n">
        <v>100</v>
      </c>
      <c r="Y31" s="7" t="n">
        <v>1</v>
      </c>
      <c r="Z31" s="5" t="n">
        <v>2000</v>
      </c>
      <c r="AA31" s="5" t="n">
        <v>2000</v>
      </c>
    </row>
    <row r="32" ht="45" customHeight="1">
      <c r="A32" s="3" t="n">
        <v>45870</v>
      </c>
      <c r="B32" s="4" t="inlineStr">
        <is>
          <t>王秋雨</t>
        </is>
      </c>
      <c r="C32" s="4" t="inlineStr">
        <is>
          <t>无忧/走读</t>
        </is>
      </c>
      <c r="D32" s="4" t="inlineStr">
        <is>
          <t>考研项目部</t>
        </is>
      </c>
      <c r="E32" s="4" t="inlineStr">
        <is>
          <t>走读项目部-销售管理部-O1学习顾问</t>
        </is>
      </c>
      <c r="F32" s="5">
        <f>G32+H32</f>
        <v/>
      </c>
      <c r="G32" s="5" t="n">
        <v>0</v>
      </c>
      <c r="H32" s="5" t="n">
        <v>22612.4346</v>
      </c>
      <c r="I32" s="5" t="n">
        <v>705000</v>
      </c>
      <c r="J32" s="5" t="n">
        <v>670000</v>
      </c>
      <c r="K32" s="5" t="n">
        <v>817555</v>
      </c>
      <c r="L32" s="5" t="n">
        <v>-110820.9</v>
      </c>
      <c r="M32" s="5" t="n">
        <v>0</v>
      </c>
      <c r="N32" s="5" t="n">
        <v>706734.1</v>
      </c>
      <c r="O32" s="7" t="n">
        <v>1.054827014925373</v>
      </c>
      <c r="P32" s="5" t="n">
        <v>65435</v>
      </c>
      <c r="Q32" s="5" t="n">
        <v>-18421.28</v>
      </c>
      <c r="R32" s="5" t="n">
        <v>47013.72</v>
      </c>
      <c r="S32" s="5" t="n">
        <v>90000</v>
      </c>
      <c r="T32" s="5" t="n">
        <v>22100</v>
      </c>
      <c r="U32" s="7" t="n">
        <v>0.2455555555555556</v>
      </c>
      <c r="V32" s="7" t="n">
        <v>0.03</v>
      </c>
      <c r="W32" s="5" t="n">
        <v>22612.4346</v>
      </c>
      <c r="X32" s="5" t="n">
        <v>20</v>
      </c>
      <c r="Y32" s="7" t="n">
        <v>0</v>
      </c>
      <c r="Z32" s="5" t="n">
        <v>2000</v>
      </c>
      <c r="AA32" s="5" t="n">
        <v>0</v>
      </c>
    </row>
    <row r="33" ht="45" customHeight="1">
      <c r="A33" s="3" t="n">
        <v>45870</v>
      </c>
      <c r="B33" s="4" t="inlineStr">
        <is>
          <t>田志伟</t>
        </is>
      </c>
      <c r="C33" s="4" t="inlineStr">
        <is>
          <t>无忧/走读</t>
        </is>
      </c>
      <c r="D33" s="4" t="inlineStr">
        <is>
          <t>考研项目部</t>
        </is>
      </c>
      <c r="E33" s="4" t="inlineStr">
        <is>
          <t>走读项目部-销售管理部-O1学习顾问</t>
        </is>
      </c>
      <c r="F33" s="5">
        <f>G33+H33</f>
        <v/>
      </c>
      <c r="G33" s="5" t="n">
        <v>2000</v>
      </c>
      <c r="H33" s="5" t="n">
        <v>8462.805</v>
      </c>
      <c r="I33" s="5" t="n">
        <v>352500</v>
      </c>
      <c r="J33" s="5" t="n">
        <v>335000</v>
      </c>
      <c r="K33" s="5" t="n">
        <v>343629.75</v>
      </c>
      <c r="L33" s="5" t="n">
        <v>0</v>
      </c>
      <c r="M33" s="5" t="n">
        <v>0</v>
      </c>
      <c r="N33" s="5" t="n">
        <v>343629.75</v>
      </c>
      <c r="O33" s="7" t="n">
        <v>1.025760447761194</v>
      </c>
      <c r="P33" s="5" t="n">
        <v>79610.5</v>
      </c>
      <c r="Q33" s="5" t="n">
        <v>-100</v>
      </c>
      <c r="R33" s="5" t="n">
        <v>79510.5</v>
      </c>
      <c r="S33" s="5" t="n">
        <v>30000</v>
      </c>
      <c r="T33" s="5" t="n">
        <v>0</v>
      </c>
      <c r="U33" s="7" t="n">
        <v>0</v>
      </c>
      <c r="V33" s="7" t="n">
        <v>0.02</v>
      </c>
      <c r="W33" s="5" t="n">
        <v>8462.805</v>
      </c>
      <c r="X33" s="5" t="n">
        <v>20</v>
      </c>
      <c r="Y33" s="7" t="n">
        <v>1</v>
      </c>
      <c r="Z33" s="5" t="n">
        <v>2000</v>
      </c>
      <c r="AA33" s="5" t="n">
        <v>2000</v>
      </c>
    </row>
    <row r="34" ht="45" customHeight="1">
      <c r="A34" s="3" t="n">
        <v>45870</v>
      </c>
      <c r="B34" s="4" t="inlineStr">
        <is>
          <t>卢晓飞</t>
        </is>
      </c>
      <c r="C34" s="4" t="inlineStr">
        <is>
          <t>无忧/走读</t>
        </is>
      </c>
      <c r="D34" s="4" t="inlineStr">
        <is>
          <t>考研项目部</t>
        </is>
      </c>
      <c r="E34" s="4" t="inlineStr">
        <is>
          <t>走读项目部-销售管理部-O1学习顾问</t>
        </is>
      </c>
      <c r="F34" s="5">
        <f>G34+H34</f>
        <v/>
      </c>
      <c r="G34" s="5" t="n">
        <v>2000</v>
      </c>
      <c r="H34" s="5" t="n">
        <v>5188.248</v>
      </c>
      <c r="I34" s="5" t="n">
        <v>352500</v>
      </c>
      <c r="J34" s="5" t="n">
        <v>335000</v>
      </c>
      <c r="K34" s="5" t="n">
        <v>301332.8</v>
      </c>
      <c r="L34" s="5" t="n">
        <v>-41406.7</v>
      </c>
      <c r="M34" s="5" t="n">
        <v>8997.9</v>
      </c>
      <c r="N34" s="5" t="n">
        <v>268924</v>
      </c>
      <c r="O34" s="7" t="n">
        <v>0.8027582089552239</v>
      </c>
      <c r="P34" s="5" t="n">
        <v>19312</v>
      </c>
      <c r="Q34" s="5" t="n">
        <v>0</v>
      </c>
      <c r="R34" s="5" t="n">
        <v>19312</v>
      </c>
      <c r="S34" s="5" t="n">
        <v>30000</v>
      </c>
      <c r="T34" s="5" t="n">
        <v>0</v>
      </c>
      <c r="U34" s="7" t="n">
        <v>0</v>
      </c>
      <c r="V34" s="7" t="n">
        <v>0.018</v>
      </c>
      <c r="W34" s="5" t="n">
        <v>5188.248</v>
      </c>
      <c r="X34" s="5" t="n">
        <v>0</v>
      </c>
      <c r="Y34" s="7" t="n">
        <v>1</v>
      </c>
      <c r="Z34" s="5" t="n">
        <v>2000</v>
      </c>
      <c r="AA34" s="5" t="n">
        <v>2000</v>
      </c>
    </row>
    <row r="35" ht="45" customHeight="1">
      <c r="A35" s="3" t="n">
        <v>45870</v>
      </c>
      <c r="B35" s="4" t="inlineStr">
        <is>
          <t>金民民</t>
        </is>
      </c>
      <c r="C35" s="4" t="inlineStr">
        <is>
          <t>无忧/走读</t>
        </is>
      </c>
      <c r="D35" s="4" t="inlineStr">
        <is>
          <t>考研项目部</t>
        </is>
      </c>
      <c r="E35" s="4" t="inlineStr">
        <is>
          <t>走读项目部-销售管理部-O1学习顾问</t>
        </is>
      </c>
      <c r="F35" s="5">
        <f>G35+H35</f>
        <v/>
      </c>
      <c r="G35" s="5" t="n">
        <v>2000</v>
      </c>
      <c r="H35" s="5" t="n">
        <v>0</v>
      </c>
      <c r="I35" s="5" t="n">
        <v>352500</v>
      </c>
      <c r="J35" s="5" t="n">
        <v>335000</v>
      </c>
      <c r="K35" s="5" t="n">
        <v>89626.5</v>
      </c>
      <c r="L35" s="5" t="n">
        <v>-30188</v>
      </c>
      <c r="M35" s="5" t="n">
        <v>0</v>
      </c>
      <c r="N35" s="5" t="n">
        <v>59438.5</v>
      </c>
      <c r="O35" s="7" t="n">
        <v>0.1774283582089552</v>
      </c>
      <c r="P35" s="5" t="n">
        <v>18725.5</v>
      </c>
      <c r="Q35" s="5" t="n">
        <v>0</v>
      </c>
      <c r="R35" s="5" t="n">
        <v>18725.5</v>
      </c>
      <c r="S35" s="5" t="n">
        <v>30000</v>
      </c>
      <c r="T35" s="5" t="n">
        <v>0</v>
      </c>
      <c r="U35" s="7" t="n">
        <v>0</v>
      </c>
      <c r="V35" s="7" t="n">
        <v>0</v>
      </c>
      <c r="W35" s="5" t="n">
        <v>0</v>
      </c>
      <c r="X35" s="5" t="n">
        <v>0</v>
      </c>
      <c r="Y35" s="7" t="n">
        <v>1</v>
      </c>
      <c r="Z35" s="5" t="n">
        <v>2000</v>
      </c>
      <c r="AA35" s="5" t="n">
        <v>2000</v>
      </c>
    </row>
    <row r="36" ht="45" customHeight="1">
      <c r="A36" s="3" t="n">
        <v>45870</v>
      </c>
      <c r="B36" s="4" t="inlineStr">
        <is>
          <t>王一鸣</t>
        </is>
      </c>
      <c r="C36" s="4" t="inlineStr">
        <is>
          <t>无忧/走读</t>
        </is>
      </c>
      <c r="D36" s="4" t="inlineStr">
        <is>
          <t>考研项目部</t>
        </is>
      </c>
      <c r="E36" s="4" t="inlineStr">
        <is>
          <t>走读项目部-销售管理部-O1学习顾问</t>
        </is>
      </c>
      <c r="F36" s="5">
        <f>G36+H36</f>
        <v/>
      </c>
      <c r="G36" s="5" t="n">
        <v>2000</v>
      </c>
      <c r="H36" s="5" t="n">
        <v>27093.8</v>
      </c>
      <c r="I36" s="5" t="n">
        <v>211500</v>
      </c>
      <c r="J36" s="5" t="n">
        <v>201000</v>
      </c>
      <c r="K36" s="5" t="n">
        <v>538493</v>
      </c>
      <c r="L36" s="5" t="n">
        <v>0</v>
      </c>
      <c r="M36" s="5" t="n">
        <v>0</v>
      </c>
      <c r="N36" s="5" t="n">
        <v>538493</v>
      </c>
      <c r="O36" s="7" t="n">
        <v>2.679069651741294</v>
      </c>
      <c r="P36" s="5" t="n">
        <v>3383</v>
      </c>
      <c r="Q36" s="5" t="n">
        <v>0</v>
      </c>
      <c r="R36" s="5" t="n">
        <v>3383</v>
      </c>
      <c r="S36" s="5" t="n">
        <v>30000</v>
      </c>
      <c r="T36" s="5" t="n">
        <v>129000</v>
      </c>
      <c r="U36" s="7" t="n">
        <v>4.3</v>
      </c>
      <c r="V36" s="7" t="n">
        <v>0.05</v>
      </c>
      <c r="W36" s="5" t="n">
        <v>27093.8</v>
      </c>
      <c r="X36" s="5" t="n">
        <v>70</v>
      </c>
      <c r="Y36" s="7" t="n">
        <v>1</v>
      </c>
      <c r="Z36" s="5" t="n">
        <v>2000</v>
      </c>
      <c r="AA36" s="5" t="n">
        <v>2000</v>
      </c>
    </row>
    <row r="37" ht="45" customHeight="1">
      <c r="A37" s="3" t="n">
        <v>45870</v>
      </c>
      <c r="B37" s="4" t="inlineStr">
        <is>
          <t>堕朕</t>
        </is>
      </c>
      <c r="C37" s="4" t="inlineStr">
        <is>
          <t>无忧/走读</t>
        </is>
      </c>
      <c r="D37" s="4" t="inlineStr">
        <is>
          <t>考研项目部</t>
        </is>
      </c>
      <c r="E37" s="4" t="inlineStr">
        <is>
          <t>走读项目部-销售管理部-O1学习顾问</t>
        </is>
      </c>
      <c r="F37" s="5">
        <f>G37+H37</f>
        <v/>
      </c>
      <c r="G37" s="5" t="n">
        <v>2000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7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7" t="n">
        <v>0</v>
      </c>
      <c r="V37" s="7" t="n">
        <v>0</v>
      </c>
      <c r="W37" s="5" t="n">
        <v>0</v>
      </c>
      <c r="X37" s="5" t="n">
        <v>0</v>
      </c>
      <c r="Y37" s="7" t="n">
        <v>1</v>
      </c>
      <c r="Z37" s="5" t="n">
        <v>2000</v>
      </c>
      <c r="AA37" s="5" t="n">
        <v>2000</v>
      </c>
    </row>
    <row r="38" ht="15" customHeight="1">
      <c r="A38" s="3" t="n">
        <v>45901</v>
      </c>
      <c r="B38" s="4" t="inlineStr">
        <is>
          <t>汪宇萌</t>
        </is>
      </c>
      <c r="C38" s="4" t="inlineStr">
        <is>
          <t>无忧/走读</t>
        </is>
      </c>
      <c r="D38" s="4" t="inlineStr">
        <is>
          <t>考研项目部</t>
        </is>
      </c>
      <c r="E38" s="4" t="inlineStr">
        <is>
          <t>走读顾问组长</t>
        </is>
      </c>
      <c r="F38" s="5">
        <f>G38+H38</f>
        <v/>
      </c>
      <c r="G38" s="5" t="n">
        <v>2880</v>
      </c>
      <c r="H38" s="5" t="n">
        <v>29807.76</v>
      </c>
      <c r="I38" s="5" t="n">
        <v>365000</v>
      </c>
      <c r="J38" s="5" t="n">
        <v>350000</v>
      </c>
      <c r="K38" s="5" t="n">
        <v>1101732.3</v>
      </c>
      <c r="L38" s="5" t="n">
        <v>-166811.4</v>
      </c>
      <c r="M38" s="5" t="n">
        <v>9900</v>
      </c>
      <c r="N38" s="5" t="n">
        <v>944820.9</v>
      </c>
      <c r="O38" s="7" t="n">
        <v>2.699488285714286</v>
      </c>
      <c r="P38" s="5" t="n">
        <v>48991</v>
      </c>
      <c r="Q38" s="5" t="n">
        <v>-220</v>
      </c>
      <c r="R38" s="5" t="n">
        <v>48771</v>
      </c>
      <c r="S38" s="5" t="n">
        <v>55000</v>
      </c>
      <c r="T38" s="5" t="n">
        <v>50800</v>
      </c>
      <c r="U38" s="7" t="n">
        <v>0</v>
      </c>
      <c r="V38" s="7" t="n">
        <v>0.03</v>
      </c>
      <c r="W38" s="5" t="n">
        <v>29807.757</v>
      </c>
      <c r="X38" s="5" t="n">
        <v>75.97311021350259</v>
      </c>
      <c r="Y38" s="7" t="n">
        <v>0.7597</v>
      </c>
      <c r="Z38" s="5" t="n">
        <v>4000</v>
      </c>
      <c r="AA38" s="5" t="n">
        <v>2880</v>
      </c>
    </row>
    <row r="39" ht="45" customHeight="1">
      <c r="A39" s="3" t="n">
        <v>45901</v>
      </c>
      <c r="B39" s="4" t="inlineStr">
        <is>
          <t>刘海玲</t>
        </is>
      </c>
      <c r="C39" s="4" t="inlineStr">
        <is>
          <t>无忧/走读</t>
        </is>
      </c>
      <c r="D39" s="4" t="inlineStr">
        <is>
          <t>考研项目部</t>
        </is>
      </c>
      <c r="E39" s="4" t="inlineStr">
        <is>
          <t>走读项目部-销售管理部-O1学习顾问</t>
        </is>
      </c>
      <c r="F39" s="5">
        <f>G39+H39</f>
        <v/>
      </c>
      <c r="G39" s="5" t="n">
        <v>1760</v>
      </c>
      <c r="H39" s="5" t="n">
        <v>22889.0967</v>
      </c>
      <c r="I39" s="5" t="n">
        <v>730000</v>
      </c>
      <c r="J39" s="5" t="n">
        <v>700000</v>
      </c>
      <c r="K39" s="5" t="n">
        <v>862161.9</v>
      </c>
      <c r="L39" s="5" t="n">
        <v>-163216.6</v>
      </c>
      <c r="M39" s="5" t="n">
        <v>0</v>
      </c>
      <c r="N39" s="5" t="n">
        <v>698945.3</v>
      </c>
      <c r="O39" s="7" t="n">
        <v>0.9984932857142857</v>
      </c>
      <c r="P39" s="5" t="n">
        <v>67602.89999999999</v>
      </c>
      <c r="Q39" s="5" t="n">
        <v>-3578.31</v>
      </c>
      <c r="R39" s="5" t="n">
        <v>64024.59</v>
      </c>
      <c r="S39" s="5" t="n">
        <v>110000</v>
      </c>
      <c r="T39" s="5" t="n">
        <v>140800</v>
      </c>
      <c r="U39" s="7" t="n">
        <v>4427.3</v>
      </c>
      <c r="V39" s="7" t="n">
        <v>0.03</v>
      </c>
      <c r="W39" s="5" t="n">
        <v>22889.0967</v>
      </c>
      <c r="X39" s="5" t="n">
        <v>88</v>
      </c>
      <c r="Y39" s="7" t="n">
        <v>0.88</v>
      </c>
      <c r="Z39" s="5" t="n">
        <v>2000</v>
      </c>
      <c r="AA39" s="5" t="n">
        <v>1760</v>
      </c>
    </row>
    <row r="40" ht="45" customHeight="1">
      <c r="A40" s="3" t="n">
        <v>45901</v>
      </c>
      <c r="B40" s="4" t="inlineStr">
        <is>
          <t>徐铁</t>
        </is>
      </c>
      <c r="C40" s="4" t="inlineStr">
        <is>
          <t>无忧/走读</t>
        </is>
      </c>
      <c r="D40" s="4" t="inlineStr">
        <is>
          <t>考研项目部</t>
        </is>
      </c>
      <c r="E40" s="4" t="inlineStr">
        <is>
          <t>走读项目部-销售管理部-O1学习顾问</t>
        </is>
      </c>
      <c r="F40" s="5">
        <f>G40+H40</f>
        <v/>
      </c>
      <c r="G40" s="5" t="n">
        <v>1761.290909090909</v>
      </c>
      <c r="H40" s="5" t="n">
        <v>36346.164</v>
      </c>
      <c r="I40" s="5" t="n">
        <v>730000</v>
      </c>
      <c r="J40" s="5" t="n">
        <v>700000</v>
      </c>
      <c r="K40" s="5" t="n">
        <v>1088354.1</v>
      </c>
      <c r="L40" s="5" t="n">
        <v>-255487</v>
      </c>
      <c r="M40" s="5" t="n">
        <v>0</v>
      </c>
      <c r="N40" s="5" t="n">
        <v>832867.1000000001</v>
      </c>
      <c r="O40" s="7" t="n">
        <v>1.189810142857143</v>
      </c>
      <c r="P40" s="5" t="n">
        <v>77899</v>
      </c>
      <c r="Q40" s="5" t="n">
        <v>-2112</v>
      </c>
      <c r="R40" s="5" t="n">
        <v>75787</v>
      </c>
      <c r="S40" s="5" t="n">
        <v>110000</v>
      </c>
      <c r="T40" s="5" t="n">
        <v>83742.10000000001</v>
      </c>
      <c r="U40" s="7" t="n">
        <v>0</v>
      </c>
      <c r="V40" s="7" t="n">
        <v>0.04</v>
      </c>
      <c r="W40" s="5" t="n">
        <v>36346.164</v>
      </c>
      <c r="X40" s="5" t="n">
        <v>88.06454545454545</v>
      </c>
      <c r="Y40" s="7" t="n">
        <v>0.8806454545454545</v>
      </c>
      <c r="Z40" s="5" t="n">
        <v>2000</v>
      </c>
      <c r="AA40" s="5" t="n">
        <v>1761.290909090909</v>
      </c>
    </row>
    <row r="41" ht="45" customHeight="1">
      <c r="A41" s="3" t="n">
        <v>45901</v>
      </c>
      <c r="B41" s="4" t="inlineStr">
        <is>
          <t>刘欢</t>
        </is>
      </c>
      <c r="C41" s="4" t="inlineStr">
        <is>
          <t>无忧/走读</t>
        </is>
      </c>
      <c r="D41" s="4" t="inlineStr">
        <is>
          <t>考研项目部</t>
        </is>
      </c>
      <c r="E41" s="4" t="inlineStr">
        <is>
          <t>走读项目部-销售管理部-O3学习顾问</t>
        </is>
      </c>
      <c r="F41" s="5">
        <f>G41+H41</f>
        <v/>
      </c>
      <c r="G41" s="5" t="n">
        <v>0</v>
      </c>
      <c r="H41" s="5" t="n">
        <v>37865.45</v>
      </c>
      <c r="I41" s="5" t="n">
        <v>730000</v>
      </c>
      <c r="J41" s="5" t="n">
        <v>700000</v>
      </c>
      <c r="K41" s="5" t="n">
        <v>1079758.15</v>
      </c>
      <c r="L41" s="5" t="n">
        <v>-211836.3</v>
      </c>
      <c r="M41" s="5" t="n">
        <v>0</v>
      </c>
      <c r="N41" s="5" t="n">
        <v>867921.8499999999</v>
      </c>
      <c r="O41" s="7" t="n">
        <v>1.239888357142857</v>
      </c>
      <c r="P41" s="5" t="n">
        <v>90610</v>
      </c>
      <c r="Q41" s="5" t="n">
        <v>-11895.6</v>
      </c>
      <c r="R41" s="5" t="n">
        <v>78714.39999999999</v>
      </c>
      <c r="S41" s="5" t="n">
        <v>110000</v>
      </c>
      <c r="T41" s="5" t="n">
        <v>22121</v>
      </c>
      <c r="U41" s="7" t="n">
        <v>3188.8</v>
      </c>
      <c r="V41" s="7" t="n">
        <v>0.04</v>
      </c>
      <c r="W41" s="5" t="n">
        <v>37865.45</v>
      </c>
      <c r="X41" s="5" t="n">
        <v>50</v>
      </c>
      <c r="Y41" s="7" t="n">
        <v>0</v>
      </c>
      <c r="Z41" s="5" t="n">
        <v>0</v>
      </c>
      <c r="AA41" s="5" t="n">
        <v>0</v>
      </c>
    </row>
    <row r="42" ht="45" customHeight="1">
      <c r="A42" s="3" t="n">
        <v>45901</v>
      </c>
      <c r="B42" s="4" t="inlineStr">
        <is>
          <t>李婧</t>
        </is>
      </c>
      <c r="C42" s="4" t="inlineStr">
        <is>
          <t>无忧/走读</t>
        </is>
      </c>
      <c r="D42" s="4" t="inlineStr">
        <is>
          <t>考研项目部</t>
        </is>
      </c>
      <c r="E42" s="4" t="inlineStr">
        <is>
          <t>走读项目部-销售管理部-O1学习顾问</t>
        </is>
      </c>
      <c r="F42" s="5">
        <f>G42+H42</f>
        <v/>
      </c>
      <c r="G42" s="5" t="n">
        <v>2000</v>
      </c>
      <c r="H42" s="5" t="n">
        <v>22377.1605</v>
      </c>
      <c r="I42" s="5" t="n">
        <v>730000</v>
      </c>
      <c r="J42" s="5" t="n">
        <v>700000</v>
      </c>
      <c r="K42" s="5" t="n">
        <v>779605.65</v>
      </c>
      <c r="L42" s="5" t="n">
        <v>-55622</v>
      </c>
      <c r="M42" s="5" t="n">
        <v>0</v>
      </c>
      <c r="N42" s="5" t="n">
        <v>723983.65</v>
      </c>
      <c r="O42" s="7" t="n">
        <v>1.034262357142857</v>
      </c>
      <c r="P42" s="5" t="n">
        <v>21921.7</v>
      </c>
      <c r="Q42" s="5" t="n">
        <v>0</v>
      </c>
      <c r="R42" s="5" t="n">
        <v>21921.7</v>
      </c>
      <c r="S42" s="5" t="n">
        <v>110000</v>
      </c>
      <c r="T42" s="5" t="n">
        <v>93103</v>
      </c>
      <c r="U42" s="7" t="n">
        <v>0</v>
      </c>
      <c r="V42" s="7" t="n">
        <v>0.03</v>
      </c>
      <c r="W42" s="5" t="n">
        <v>22377.1605</v>
      </c>
      <c r="X42" s="5" t="n">
        <v>92.31954545454545</v>
      </c>
      <c r="Y42" s="7" t="n">
        <v>1</v>
      </c>
      <c r="Z42" s="5" t="n">
        <v>2000</v>
      </c>
      <c r="AA42" s="5" t="n">
        <v>2000</v>
      </c>
    </row>
    <row r="43" ht="45" customHeight="1">
      <c r="A43" s="3" t="n">
        <v>45901</v>
      </c>
      <c r="B43" s="4" t="inlineStr">
        <is>
          <t>王秋雨</t>
        </is>
      </c>
      <c r="C43" s="4" t="inlineStr">
        <is>
          <t>无忧/走读</t>
        </is>
      </c>
      <c r="D43" s="4" t="inlineStr">
        <is>
          <t>考研项目部</t>
        </is>
      </c>
      <c r="E43" s="4" t="inlineStr">
        <is>
          <t>走读项目部-销售管理部-O1学习顾问</t>
        </is>
      </c>
      <c r="F43" s="5">
        <f>G43+H43</f>
        <v/>
      </c>
      <c r="G43" s="5" t="n">
        <v>0</v>
      </c>
      <c r="H43" s="5" t="n">
        <v>38426.972</v>
      </c>
      <c r="I43" s="5" t="n">
        <v>730000</v>
      </c>
      <c r="J43" s="5" t="n">
        <v>700000</v>
      </c>
      <c r="K43" s="5" t="n">
        <v>994207.25</v>
      </c>
      <c r="L43" s="5" t="n">
        <v>-75242.55</v>
      </c>
      <c r="M43" s="5" t="n">
        <v>21000</v>
      </c>
      <c r="N43" s="5" t="n">
        <v>939964.7</v>
      </c>
      <c r="O43" s="7" t="n">
        <v>1.342806714285714</v>
      </c>
      <c r="P43" s="5" t="n">
        <v>20709.6</v>
      </c>
      <c r="Q43" s="5" t="n">
        <v>0</v>
      </c>
      <c r="R43" s="5" t="n">
        <v>20709.6</v>
      </c>
      <c r="S43" s="5" t="n">
        <v>110000</v>
      </c>
      <c r="T43" s="5" t="n">
        <v>50300</v>
      </c>
      <c r="U43" s="7" t="n">
        <v>0</v>
      </c>
      <c r="V43" s="7" t="n">
        <v>0.04</v>
      </c>
      <c r="W43" s="5" t="n">
        <v>38426.972</v>
      </c>
      <c r="X43" s="5" t="n">
        <v>44</v>
      </c>
      <c r="Y43" s="7" t="n">
        <v>0</v>
      </c>
      <c r="Z43" s="5" t="n">
        <v>2000</v>
      </c>
      <c r="AA43" s="5" t="n">
        <v>0</v>
      </c>
    </row>
    <row r="44" ht="45" customHeight="1">
      <c r="A44" s="3" t="n">
        <v>45901</v>
      </c>
      <c r="B44" s="4" t="inlineStr">
        <is>
          <t>田志伟</t>
        </is>
      </c>
      <c r="C44" s="4" t="inlineStr">
        <is>
          <t>无忧/走读</t>
        </is>
      </c>
      <c r="D44" s="4" t="inlineStr">
        <is>
          <t>考研项目部</t>
        </is>
      </c>
      <c r="E44" s="4" t="inlineStr">
        <is>
          <t>走读项目部-销售管理部-O1学习顾问</t>
        </is>
      </c>
      <c r="F44" s="5">
        <f>G44+H44</f>
        <v/>
      </c>
      <c r="G44" s="5" t="n">
        <v>2000</v>
      </c>
      <c r="H44" s="5" t="n">
        <v>0</v>
      </c>
      <c r="I44" s="5" t="n">
        <v>584000</v>
      </c>
      <c r="J44" s="5" t="n">
        <v>560000</v>
      </c>
      <c r="K44" s="5" t="n">
        <v>16650</v>
      </c>
      <c r="L44" s="5" t="n">
        <v>-49800</v>
      </c>
      <c r="M44" s="5" t="n">
        <v>0</v>
      </c>
      <c r="N44" s="5" t="n">
        <v>-33150</v>
      </c>
      <c r="O44" s="7" t="n">
        <v>-0.05919642857142857</v>
      </c>
      <c r="P44" s="5" t="n">
        <v>0</v>
      </c>
      <c r="Q44" s="5" t="n">
        <v>-11706.59</v>
      </c>
      <c r="R44" s="5" t="n">
        <v>-11706.59</v>
      </c>
      <c r="S44" s="5" t="n">
        <v>88000</v>
      </c>
      <c r="T44" s="5" t="n">
        <v>0</v>
      </c>
      <c r="U44" s="7" t="n">
        <v>0</v>
      </c>
      <c r="V44" s="7" t="n">
        <v>0</v>
      </c>
      <c r="W44" s="5" t="n">
        <v>0</v>
      </c>
      <c r="X44" s="5" t="n">
        <v>10</v>
      </c>
      <c r="Y44" s="7" t="n">
        <v>1</v>
      </c>
      <c r="Z44" s="5" t="n">
        <v>2000</v>
      </c>
      <c r="AA44" s="5" t="n">
        <v>2000</v>
      </c>
    </row>
    <row r="45" ht="45" customHeight="1">
      <c r="A45" s="3" t="n">
        <v>45901</v>
      </c>
      <c r="B45" s="4" t="inlineStr">
        <is>
          <t>卢晓飞</t>
        </is>
      </c>
      <c r="C45" s="4" t="inlineStr">
        <is>
          <t>无忧/走读</t>
        </is>
      </c>
      <c r="D45" s="4" t="inlineStr">
        <is>
          <t>考研项目部</t>
        </is>
      </c>
      <c r="E45" s="4" t="inlineStr">
        <is>
          <t>走读项目部-销售管理部-O1学习顾问</t>
        </is>
      </c>
      <c r="F45" s="5">
        <f>G45+H45</f>
        <v/>
      </c>
      <c r="G45" s="5" t="n">
        <v>2000</v>
      </c>
      <c r="H45" s="5" t="n">
        <v>0</v>
      </c>
      <c r="I45" s="5" t="n">
        <v>584000</v>
      </c>
      <c r="J45" s="5" t="n">
        <v>560000</v>
      </c>
      <c r="K45" s="5" t="n">
        <v>234736.8</v>
      </c>
      <c r="L45" s="5" t="n">
        <v>-12006.8</v>
      </c>
      <c r="M45" s="5" t="n">
        <v>0</v>
      </c>
      <c r="N45" s="5" t="n">
        <v>222730</v>
      </c>
      <c r="O45" s="7" t="n">
        <v>0.3977321428571429</v>
      </c>
      <c r="P45" s="5" t="n">
        <v>12895.4</v>
      </c>
      <c r="Q45" s="5" t="n">
        <v>0</v>
      </c>
      <c r="R45" s="5" t="n">
        <v>12895.4</v>
      </c>
      <c r="S45" s="5" t="n">
        <v>88000</v>
      </c>
      <c r="T45" s="5" t="n">
        <v>5480</v>
      </c>
      <c r="U45" s="7" t="n">
        <v>0</v>
      </c>
      <c r="V45" s="7" t="n">
        <v>0</v>
      </c>
      <c r="W45" s="5" t="n">
        <v>0</v>
      </c>
      <c r="X45" s="5" t="n">
        <v>30</v>
      </c>
      <c r="Y45" s="7" t="n">
        <v>1</v>
      </c>
      <c r="Z45" s="5" t="n">
        <v>2000</v>
      </c>
      <c r="AA45" s="5" t="n">
        <v>2000</v>
      </c>
    </row>
    <row r="46" ht="45" customHeight="1">
      <c r="A46" s="3" t="n">
        <v>45901</v>
      </c>
      <c r="B46" s="4" t="inlineStr">
        <is>
          <t>金民民</t>
        </is>
      </c>
      <c r="C46" s="4" t="inlineStr">
        <is>
          <t>无忧/走读</t>
        </is>
      </c>
      <c r="D46" s="4" t="inlineStr">
        <is>
          <t>考研项目部</t>
        </is>
      </c>
      <c r="E46" s="4" t="inlineStr">
        <is>
          <t>走读项目部-销售管理部-O1学习顾问</t>
        </is>
      </c>
      <c r="F46" s="5">
        <f>G46+H46</f>
        <v/>
      </c>
      <c r="G46" s="5" t="n">
        <v>2000</v>
      </c>
      <c r="H46" s="5" t="n">
        <v>0</v>
      </c>
      <c r="I46" s="5" t="n">
        <v>584000</v>
      </c>
      <c r="J46" s="5" t="n">
        <v>560000</v>
      </c>
      <c r="K46" s="5" t="n">
        <v>336680.5</v>
      </c>
      <c r="L46" s="5" t="n">
        <v>-105511.2</v>
      </c>
      <c r="M46" s="5" t="n">
        <v>0</v>
      </c>
      <c r="N46" s="5" t="n">
        <v>231169.3</v>
      </c>
      <c r="O46" s="7" t="n">
        <v>0.4128023214285714</v>
      </c>
      <c r="P46" s="5" t="n">
        <v>21824</v>
      </c>
      <c r="Q46" s="5" t="n">
        <v>-80</v>
      </c>
      <c r="R46" s="5" t="n">
        <v>21744</v>
      </c>
      <c r="S46" s="5" t="n">
        <v>88000</v>
      </c>
      <c r="T46" s="5" t="n">
        <v>0</v>
      </c>
      <c r="U46" s="7" t="n">
        <v>29682.5</v>
      </c>
      <c r="V46" s="7" t="n">
        <v>0</v>
      </c>
      <c r="W46" s="5" t="n">
        <v>0</v>
      </c>
      <c r="X46" s="5" t="n">
        <v>50</v>
      </c>
      <c r="Y46" s="7" t="n">
        <v>1</v>
      </c>
      <c r="Z46" s="5" t="n">
        <v>2000</v>
      </c>
      <c r="AA46" s="5" t="n">
        <v>2000</v>
      </c>
    </row>
    <row r="47" ht="45" customHeight="1">
      <c r="A47" s="3" t="n">
        <v>45901</v>
      </c>
      <c r="B47" s="4" t="inlineStr">
        <is>
          <t>王一鸣</t>
        </is>
      </c>
      <c r="C47" s="4" t="inlineStr">
        <is>
          <t>无忧/走读</t>
        </is>
      </c>
      <c r="D47" s="4" t="inlineStr">
        <is>
          <t>考研项目部</t>
        </is>
      </c>
      <c r="E47" s="4" t="inlineStr">
        <is>
          <t>走读项目部-销售管理部-O1学习顾问</t>
        </is>
      </c>
      <c r="F47" s="5">
        <f>G47+H47</f>
        <v/>
      </c>
      <c r="G47" s="5" t="n">
        <v>2000</v>
      </c>
      <c r="H47" s="5" t="n">
        <v>28596.235</v>
      </c>
      <c r="I47" s="5" t="n">
        <v>365000</v>
      </c>
      <c r="J47" s="5" t="n">
        <v>350000</v>
      </c>
      <c r="K47" s="5" t="n">
        <v>678414</v>
      </c>
      <c r="L47" s="5" t="n">
        <v>-130913.3</v>
      </c>
      <c r="M47" s="5" t="n">
        <v>0</v>
      </c>
      <c r="N47" s="5" t="n">
        <v>547500.7</v>
      </c>
      <c r="O47" s="7" t="n">
        <v>1.564287714285714</v>
      </c>
      <c r="P47" s="5" t="n">
        <v>24514</v>
      </c>
      <c r="Q47" s="5" t="n">
        <v>-90</v>
      </c>
      <c r="R47" s="5" t="n">
        <v>24424</v>
      </c>
      <c r="S47" s="5" t="n">
        <v>55000</v>
      </c>
      <c r="T47" s="5" t="n">
        <v>89884</v>
      </c>
      <c r="U47" s="7" t="n">
        <v>0</v>
      </c>
      <c r="V47" s="7" t="n">
        <v>0.05</v>
      </c>
      <c r="W47" s="5" t="n">
        <v>28596.235</v>
      </c>
      <c r="X47" s="5" t="n">
        <v>80</v>
      </c>
      <c r="Y47" s="7" t="n">
        <v>1</v>
      </c>
      <c r="Z47" s="5" t="n">
        <v>2000</v>
      </c>
      <c r="AA47" s="5" t="n">
        <v>2000</v>
      </c>
    </row>
    <row r="48" ht="45" customHeight="1">
      <c r="A48" s="3" t="n">
        <v>45901</v>
      </c>
      <c r="B48" s="4" t="inlineStr">
        <is>
          <t>堕朕</t>
        </is>
      </c>
      <c r="C48" s="4" t="inlineStr">
        <is>
          <t>无忧/走读</t>
        </is>
      </c>
      <c r="D48" s="4" t="inlineStr">
        <is>
          <t>考研项目部</t>
        </is>
      </c>
      <c r="E48" s="4" t="inlineStr">
        <is>
          <t>走读项目部-销售管理部-O1学习顾问</t>
        </is>
      </c>
      <c r="F48" s="5">
        <f>G48+H48</f>
        <v/>
      </c>
      <c r="G48" s="5" t="n">
        <v>2000</v>
      </c>
      <c r="H48" s="5" t="n">
        <v>23849.59</v>
      </c>
      <c r="I48" s="5" t="n">
        <v>200000</v>
      </c>
      <c r="J48" s="5" t="n">
        <v>192000</v>
      </c>
      <c r="K48" s="5" t="n">
        <v>464314</v>
      </c>
      <c r="L48" s="5" t="n">
        <v>-43783.3</v>
      </c>
      <c r="M48" s="5" t="n">
        <v>0</v>
      </c>
      <c r="N48" s="5" t="n">
        <v>420530.7</v>
      </c>
      <c r="O48" s="7" t="n">
        <v>2.1902640625</v>
      </c>
      <c r="P48" s="5" t="n">
        <v>64757.1</v>
      </c>
      <c r="Q48" s="5" t="n">
        <v>-8296</v>
      </c>
      <c r="R48" s="5" t="n">
        <v>56461.1</v>
      </c>
      <c r="S48" s="5" t="n">
        <v>30000</v>
      </c>
      <c r="T48" s="5" t="n">
        <v>0</v>
      </c>
      <c r="U48" s="7" t="n">
        <v>0</v>
      </c>
      <c r="V48" s="7" t="n">
        <v>0.05</v>
      </c>
      <c r="W48" s="5" t="n">
        <v>23849.59</v>
      </c>
      <c r="X48" s="5" t="n">
        <v>30</v>
      </c>
      <c r="Y48" s="7" t="n">
        <v>1</v>
      </c>
      <c r="Z48" s="5" t="n">
        <v>2000</v>
      </c>
      <c r="AA48" s="5" t="n">
        <v>2000</v>
      </c>
    </row>
    <row r="49" ht="15" customHeight="1">
      <c r="A49" s="3" t="n">
        <v>45931</v>
      </c>
      <c r="B49" s="4" t="inlineStr">
        <is>
          <t>汪宇萌</t>
        </is>
      </c>
      <c r="C49" s="4" t="inlineStr">
        <is>
          <t>无忧/走读</t>
        </is>
      </c>
      <c r="D49" s="4" t="inlineStr">
        <is>
          <t>考研项目部</t>
        </is>
      </c>
      <c r="E49" s="4" t="inlineStr">
        <is>
          <t>走读顾问组长</t>
        </is>
      </c>
      <c r="F49" s="5">
        <f>G49+H49</f>
        <v/>
      </c>
      <c r="G49" s="5" t="n">
        <v>2800</v>
      </c>
      <c r="H49" s="5" t="n">
        <v>19172.2851</v>
      </c>
      <c r="I49" s="5" t="n">
        <v>360000</v>
      </c>
      <c r="J49" s="5" t="n">
        <v>345000</v>
      </c>
      <c r="K49" s="5" t="n">
        <v>748004</v>
      </c>
      <c r="L49" s="5" t="n">
        <v>-123083</v>
      </c>
      <c r="M49" s="5" t="n">
        <v>0</v>
      </c>
      <c r="N49" s="5" t="n">
        <v>624921</v>
      </c>
      <c r="O49" s="7" t="n">
        <v>1.81</v>
      </c>
      <c r="P49" s="5" t="n">
        <v>20788</v>
      </c>
      <c r="Q49" s="5" t="n">
        <v>-11656</v>
      </c>
      <c r="R49" s="5" t="n">
        <v>14156</v>
      </c>
      <c r="S49" s="5" t="n">
        <v>60000</v>
      </c>
      <c r="T49" s="5" t="n">
        <v>0</v>
      </c>
      <c r="U49" s="7" t="n">
        <v>0</v>
      </c>
      <c r="V49" s="7" t="n">
        <v>0.03</v>
      </c>
      <c r="W49" s="5" t="n">
        <v>19172.29</v>
      </c>
      <c r="X49" s="5" t="n">
        <v>75.09045791245792</v>
      </c>
      <c r="Y49" s="7" t="n">
        <v>0.7509</v>
      </c>
      <c r="Z49" s="5" t="n">
        <v>4000</v>
      </c>
      <c r="AA49" s="5" t="n">
        <v>2800</v>
      </c>
    </row>
    <row r="50" ht="15" customHeight="1">
      <c r="A50" s="3" t="n">
        <v>45931</v>
      </c>
      <c r="B50" s="4" t="inlineStr">
        <is>
          <t>刘海玲</t>
        </is>
      </c>
      <c r="C50" s="4" t="inlineStr">
        <is>
          <t>无忧/走读</t>
        </is>
      </c>
      <c r="D50" s="4" t="inlineStr">
        <is>
          <t>考研项目部</t>
        </is>
      </c>
      <c r="E50" s="4" t="inlineStr">
        <is>
          <t>走读项目部-销售管理部-O1学习顾问</t>
        </is>
      </c>
      <c r="F50" s="5">
        <f>G50+H50</f>
        <v/>
      </c>
      <c r="G50" s="5" t="n">
        <v>0</v>
      </c>
      <c r="H50" s="5" t="n">
        <v>0</v>
      </c>
      <c r="I50" s="5" t="n">
        <v>720000</v>
      </c>
      <c r="J50" s="5" t="n">
        <v>690000</v>
      </c>
      <c r="K50" s="5" t="n">
        <v>325795</v>
      </c>
      <c r="L50" s="5" t="n">
        <v>-88429</v>
      </c>
      <c r="M50" s="5" t="n">
        <v>0</v>
      </c>
      <c r="N50" s="5" t="n">
        <v>237366</v>
      </c>
      <c r="O50" s="7" t="n">
        <v>0.34</v>
      </c>
      <c r="P50" s="5" t="n">
        <v>14923</v>
      </c>
      <c r="Q50" s="5" t="n">
        <v>0</v>
      </c>
      <c r="R50" s="5" t="n">
        <v>14923</v>
      </c>
      <c r="S50" s="5" t="n">
        <v>90000</v>
      </c>
      <c r="T50" s="5" t="n">
        <v>0</v>
      </c>
      <c r="U50" s="7" t="n">
        <v>0</v>
      </c>
      <c r="V50" s="7" t="n">
        <v>0</v>
      </c>
      <c r="W50" s="5" t="n">
        <v>0</v>
      </c>
      <c r="X50" s="5" t="n">
        <v>12</v>
      </c>
      <c r="Y50" s="7" t="n">
        <v>0</v>
      </c>
      <c r="Z50" s="5" t="n">
        <v>2000</v>
      </c>
      <c r="AA50" s="5" t="n">
        <v>0</v>
      </c>
    </row>
    <row r="51" ht="15" customHeight="1">
      <c r="A51" s="3" t="n">
        <v>45931</v>
      </c>
      <c r="B51" s="4" t="inlineStr">
        <is>
          <t>徐铁</t>
        </is>
      </c>
      <c r="C51" s="4" t="inlineStr">
        <is>
          <t>无忧/走读</t>
        </is>
      </c>
      <c r="D51" s="4" t="inlineStr">
        <is>
          <t>考研项目部</t>
        </is>
      </c>
      <c r="E51" s="4" t="inlineStr">
        <is>
          <t>走读项目部-销售管理部-O1学习顾问</t>
        </is>
      </c>
      <c r="F51" s="5">
        <f>G51+H51</f>
        <v/>
      </c>
      <c r="G51" s="5" t="n">
        <v>0</v>
      </c>
      <c r="H51" s="5" t="n">
        <v>10551.62</v>
      </c>
      <c r="I51" s="5" t="n">
        <v>720000</v>
      </c>
      <c r="J51" s="5" t="n">
        <v>690000</v>
      </c>
      <c r="K51" s="5" t="n">
        <v>991317</v>
      </c>
      <c r="L51" s="5" t="n">
        <v>-468228</v>
      </c>
      <c r="M51" s="5" t="n">
        <v>16350</v>
      </c>
      <c r="N51" s="5" t="n">
        <v>539439</v>
      </c>
      <c r="O51" s="7" t="n">
        <v>0.78</v>
      </c>
      <c r="P51" s="5" t="n">
        <v>38747</v>
      </c>
      <c r="Q51" s="5" t="n">
        <v>-979</v>
      </c>
      <c r="R51" s="5" t="n">
        <v>46762</v>
      </c>
      <c r="S51" s="5" t="n">
        <v>90000</v>
      </c>
      <c r="T51" s="5" t="n">
        <v>65070</v>
      </c>
      <c r="U51" s="7" t="n">
        <v>0.72</v>
      </c>
      <c r="V51" s="7" t="n">
        <v>0.018</v>
      </c>
      <c r="W51" s="5" t="n">
        <v>10551.62</v>
      </c>
      <c r="X51" s="5" t="n">
        <v>56.15</v>
      </c>
      <c r="Y51" s="7" t="n">
        <v>0</v>
      </c>
      <c r="Z51" s="5" t="n">
        <v>2000</v>
      </c>
      <c r="AA51" s="5" t="n">
        <v>0</v>
      </c>
    </row>
    <row r="52" ht="15" customHeight="1">
      <c r="A52" s="3" t="n">
        <v>45931</v>
      </c>
      <c r="B52" s="4" t="inlineStr">
        <is>
          <t>刘欢</t>
        </is>
      </c>
      <c r="C52" s="4" t="inlineStr">
        <is>
          <t>无忧/走读</t>
        </is>
      </c>
      <c r="D52" s="4" t="inlineStr">
        <is>
          <t>考研项目部</t>
        </is>
      </c>
      <c r="E52" s="4" t="inlineStr">
        <is>
          <t>走读项目部-销售管理部-O3学习顾问</t>
        </is>
      </c>
      <c r="F52" s="5">
        <f>G52+H52</f>
        <v/>
      </c>
      <c r="G52" s="5" t="n">
        <v>0</v>
      </c>
      <c r="H52" s="5" t="n">
        <v>59270.19</v>
      </c>
      <c r="I52" s="5" t="n">
        <v>720000</v>
      </c>
      <c r="J52" s="5" t="n">
        <v>690000</v>
      </c>
      <c r="K52" s="5" t="n">
        <v>1415346</v>
      </c>
      <c r="L52" s="5" t="n">
        <v>-333723</v>
      </c>
      <c r="M52" s="5" t="n">
        <v>0</v>
      </c>
      <c r="N52" s="5" t="n">
        <v>1081623</v>
      </c>
      <c r="O52" s="7" t="n">
        <v>1.57</v>
      </c>
      <c r="P52" s="5" t="n">
        <v>105877</v>
      </c>
      <c r="Q52" s="5" t="n">
        <v>-2096</v>
      </c>
      <c r="R52" s="5" t="n">
        <v>103781</v>
      </c>
      <c r="S52" s="5" t="n">
        <v>90000</v>
      </c>
      <c r="T52" s="5" t="n">
        <v>214818</v>
      </c>
      <c r="U52" s="7" t="n">
        <v>2.39</v>
      </c>
      <c r="V52" s="7" t="n">
        <v>0.05</v>
      </c>
      <c r="W52" s="5" t="n">
        <v>59270.19</v>
      </c>
      <c r="X52" s="5" t="n">
        <v>70</v>
      </c>
      <c r="Y52" s="7" t="n">
        <v>0.6</v>
      </c>
      <c r="Z52" s="5" t="n">
        <v>0</v>
      </c>
      <c r="AA52" s="5" t="n">
        <v>0</v>
      </c>
    </row>
    <row r="53" ht="15" customHeight="1">
      <c r="A53" s="3" t="n">
        <v>45931</v>
      </c>
      <c r="B53" s="4" t="inlineStr">
        <is>
          <t>李婧</t>
        </is>
      </c>
      <c r="C53" s="4" t="inlineStr">
        <is>
          <t>无忧/走读</t>
        </is>
      </c>
      <c r="D53" s="4" t="inlineStr">
        <is>
          <t>考研项目部</t>
        </is>
      </c>
      <c r="E53" s="4" t="inlineStr">
        <is>
          <t>走读项目部-销售管理部-O1学习顾问</t>
        </is>
      </c>
      <c r="F53" s="5">
        <f>G53+H53</f>
        <v/>
      </c>
      <c r="G53" s="5" t="n">
        <v>0</v>
      </c>
      <c r="H53" s="5" t="n">
        <v>3568.77</v>
      </c>
      <c r="I53" s="5" t="n">
        <v>720000</v>
      </c>
      <c r="J53" s="5" t="n">
        <v>690000</v>
      </c>
      <c r="K53" s="5" t="n">
        <v>489670</v>
      </c>
      <c r="L53" s="5" t="n">
        <v>-234019</v>
      </c>
      <c r="M53" s="5" t="n">
        <v>151600</v>
      </c>
      <c r="N53" s="5" t="n">
        <v>407251</v>
      </c>
      <c r="O53" s="7" t="n">
        <v>0.59</v>
      </c>
      <c r="P53" s="5" t="n">
        <v>53250</v>
      </c>
      <c r="Q53" s="5" t="n">
        <v>-14405</v>
      </c>
      <c r="R53" s="5" t="n">
        <v>38845</v>
      </c>
      <c r="S53" s="5" t="n">
        <v>90000</v>
      </c>
      <c r="T53" s="5" t="n">
        <v>3090</v>
      </c>
      <c r="U53" s="7" t="n">
        <v>0.03</v>
      </c>
      <c r="V53" s="7" t="n">
        <v>0.008</v>
      </c>
      <c r="W53" s="5" t="n">
        <v>3568.77</v>
      </c>
      <c r="X53" s="5" t="n">
        <v>20</v>
      </c>
      <c r="Y53" s="7" t="n">
        <v>0</v>
      </c>
      <c r="Z53" s="5" t="n">
        <v>2000</v>
      </c>
      <c r="AA53" s="5" t="n">
        <v>0</v>
      </c>
    </row>
    <row r="54" ht="15" customHeight="1">
      <c r="A54" s="3" t="n">
        <v>45931</v>
      </c>
      <c r="B54" s="4" t="inlineStr">
        <is>
          <t>王秋雨</t>
        </is>
      </c>
      <c r="C54" s="4" t="inlineStr">
        <is>
          <t>无忧/走读</t>
        </is>
      </c>
      <c r="D54" s="4" t="inlineStr">
        <is>
          <t>考研项目部</t>
        </is>
      </c>
      <c r="E54" s="4" t="inlineStr">
        <is>
          <t>走读项目部-销售管理部-O1学习顾问</t>
        </is>
      </c>
      <c r="F54" s="5">
        <f>G54+H54</f>
        <v/>
      </c>
      <c r="G54" s="5" t="n">
        <v>0</v>
      </c>
      <c r="H54" s="5" t="n">
        <v>4048.66</v>
      </c>
      <c r="I54" s="5" t="n">
        <v>720000</v>
      </c>
      <c r="J54" s="5" t="n">
        <v>690000</v>
      </c>
      <c r="K54" s="5" t="n">
        <v>777699</v>
      </c>
      <c r="L54" s="5" t="n">
        <v>-340536</v>
      </c>
      <c r="M54" s="5" t="n">
        <v>12220</v>
      </c>
      <c r="N54" s="5" t="n">
        <v>449383</v>
      </c>
      <c r="O54" s="7" t="n">
        <v>0.65</v>
      </c>
      <c r="P54" s="5" t="n">
        <v>53228</v>
      </c>
      <c r="Q54" s="5" t="n">
        <v>-27134</v>
      </c>
      <c r="R54" s="5" t="n">
        <v>56700</v>
      </c>
      <c r="S54" s="5" t="n">
        <v>90000</v>
      </c>
      <c r="T54" s="5" t="n">
        <v>56300</v>
      </c>
      <c r="U54" s="7" t="n">
        <v>0.63</v>
      </c>
      <c r="V54" s="7" t="n">
        <v>0.008</v>
      </c>
      <c r="W54" s="5" t="n">
        <v>4048.66</v>
      </c>
      <c r="X54" s="5" t="n">
        <v>40</v>
      </c>
      <c r="Y54" s="7" t="n">
        <v>0</v>
      </c>
      <c r="Z54" s="5" t="n">
        <v>2000</v>
      </c>
      <c r="AA54" s="5" t="n">
        <v>0</v>
      </c>
    </row>
    <row r="55" ht="15" customHeight="1">
      <c r="A55" s="3" t="n">
        <v>45931</v>
      </c>
      <c r="B55" s="4" t="inlineStr">
        <is>
          <t>卢晓飞</t>
        </is>
      </c>
      <c r="C55" s="4" t="inlineStr">
        <is>
          <t>无忧/走读</t>
        </is>
      </c>
      <c r="D55" s="4" t="inlineStr">
        <is>
          <t>考研项目部</t>
        </is>
      </c>
      <c r="E55" s="4" t="inlineStr">
        <is>
          <t>走读项目部-销售管理部-O1学习顾问</t>
        </is>
      </c>
      <c r="F55" s="5">
        <f>G55+H55</f>
        <v/>
      </c>
      <c r="G55" s="5" t="n">
        <v>0</v>
      </c>
      <c r="H55" s="5" t="n">
        <v>0</v>
      </c>
      <c r="I55" s="5" t="n">
        <v>720000</v>
      </c>
      <c r="J55" s="5" t="n">
        <v>687000</v>
      </c>
      <c r="K55" s="5" t="n">
        <v>492823</v>
      </c>
      <c r="L55" s="5" t="n">
        <v>-52255</v>
      </c>
      <c r="M55" s="5" t="n">
        <v>0</v>
      </c>
      <c r="N55" s="5" t="n">
        <v>440568</v>
      </c>
      <c r="O55" s="7" t="n">
        <v>0.64</v>
      </c>
      <c r="P55" s="5" t="n">
        <v>13297</v>
      </c>
      <c r="Q55" s="5" t="n">
        <v>0</v>
      </c>
      <c r="R55" s="5" t="n">
        <v>13297</v>
      </c>
      <c r="S55" s="5" t="n">
        <v>60000</v>
      </c>
      <c r="T55" s="5" t="n">
        <v>27200</v>
      </c>
      <c r="U55" s="7" t="n">
        <v>0.45</v>
      </c>
      <c r="V55" s="7" t="n">
        <v>0</v>
      </c>
      <c r="W55" s="5" t="n">
        <v>0</v>
      </c>
      <c r="X55" s="5" t="n">
        <v>40</v>
      </c>
      <c r="Y55" s="7" t="n">
        <v>0</v>
      </c>
      <c r="Z55" s="5" t="n">
        <v>2000</v>
      </c>
      <c r="AA55" s="5" t="n">
        <v>0</v>
      </c>
    </row>
    <row r="56" ht="15" customHeight="1">
      <c r="A56" s="3" t="n">
        <v>45931</v>
      </c>
      <c r="B56" s="4" t="inlineStr">
        <is>
          <t>金民民</t>
        </is>
      </c>
      <c r="C56" s="4" t="inlineStr">
        <is>
          <t>无忧/走读</t>
        </is>
      </c>
      <c r="D56" s="4" t="inlineStr">
        <is>
          <t>考研项目部</t>
        </is>
      </c>
      <c r="E56" s="4" t="inlineStr">
        <is>
          <t>走读项目部-销售管理部-O1学习顾问</t>
        </is>
      </c>
      <c r="F56" s="5">
        <f>G56+H56</f>
        <v/>
      </c>
      <c r="G56" s="5" t="n">
        <v>0</v>
      </c>
      <c r="H56" s="5" t="n">
        <v>0</v>
      </c>
      <c r="I56" s="5" t="n">
        <v>720000</v>
      </c>
      <c r="J56" s="5" t="n">
        <v>687000</v>
      </c>
      <c r="K56" s="5" t="n">
        <v>142400</v>
      </c>
      <c r="L56" s="5" t="n">
        <v>-114800</v>
      </c>
      <c r="M56" s="5" t="n">
        <v>0</v>
      </c>
      <c r="N56" s="5" t="n">
        <v>27600</v>
      </c>
      <c r="O56" s="7" t="n">
        <v>0.04</v>
      </c>
      <c r="P56" s="5" t="n">
        <v>99137</v>
      </c>
      <c r="Q56" s="5" t="n">
        <v>0</v>
      </c>
      <c r="R56" s="5" t="n">
        <v>99137</v>
      </c>
      <c r="S56" s="5" t="n">
        <v>60000</v>
      </c>
      <c r="T56" s="5" t="n">
        <v>0</v>
      </c>
      <c r="U56" s="7" t="n">
        <v>0</v>
      </c>
      <c r="V56" s="7" t="n">
        <v>0</v>
      </c>
      <c r="W56" s="5" t="n">
        <v>0</v>
      </c>
      <c r="X56" s="5" t="n">
        <v>10</v>
      </c>
      <c r="Y56" s="7" t="n">
        <v>0</v>
      </c>
      <c r="Z56" s="5" t="n">
        <v>2000</v>
      </c>
      <c r="AA56" s="5" t="n">
        <v>0</v>
      </c>
    </row>
    <row r="57" ht="15" customHeight="1">
      <c r="A57" s="3" t="n">
        <v>45931</v>
      </c>
      <c r="B57" s="4" t="inlineStr">
        <is>
          <t>王一鸣</t>
        </is>
      </c>
      <c r="C57" s="4" t="inlineStr">
        <is>
          <t>无忧/走读</t>
        </is>
      </c>
      <c r="D57" s="4" t="inlineStr">
        <is>
          <t>考研项目部</t>
        </is>
      </c>
      <c r="E57" s="4" t="inlineStr">
        <is>
          <t>走读项目部-销售管理部-O1学习顾问</t>
        </is>
      </c>
      <c r="F57" s="5">
        <f>G57+H57</f>
        <v/>
      </c>
      <c r="G57" s="5" t="n">
        <v>2000</v>
      </c>
      <c r="H57" s="5" t="n">
        <v>18098.99</v>
      </c>
      <c r="I57" s="5" t="n">
        <v>576000</v>
      </c>
      <c r="J57" s="5" t="n">
        <v>552000</v>
      </c>
      <c r="K57" s="5" t="n">
        <v>640720</v>
      </c>
      <c r="L57" s="5" t="n">
        <v>-62274</v>
      </c>
      <c r="M57" s="5" t="n">
        <v>0</v>
      </c>
      <c r="N57" s="5" t="n">
        <v>578446</v>
      </c>
      <c r="O57" s="7" t="n">
        <v>1.05</v>
      </c>
      <c r="P57" s="5" t="n">
        <v>24854</v>
      </c>
      <c r="Q57" s="5" t="n">
        <v>0</v>
      </c>
      <c r="R57" s="5" t="n">
        <v>24854</v>
      </c>
      <c r="S57" s="5" t="n">
        <v>35000</v>
      </c>
      <c r="T57" s="5" t="n">
        <v>93200</v>
      </c>
      <c r="U57" s="7" t="n">
        <v>2.66</v>
      </c>
      <c r="V57" s="7" t="n">
        <v>0.03</v>
      </c>
      <c r="W57" s="5" t="n">
        <v>18098.99</v>
      </c>
      <c r="X57" s="5" t="n">
        <v>72</v>
      </c>
      <c r="Y57" s="7" t="n">
        <v>1</v>
      </c>
      <c r="Z57" s="5" t="n">
        <v>2000</v>
      </c>
      <c r="AA57" s="5" t="n">
        <v>2000</v>
      </c>
    </row>
    <row r="58" ht="15" customHeight="1">
      <c r="A58" s="3" t="n">
        <v>45931</v>
      </c>
      <c r="B58" s="4" t="inlineStr">
        <is>
          <t>堕朕</t>
        </is>
      </c>
      <c r="C58" s="4" t="inlineStr">
        <is>
          <t>无忧/走读</t>
        </is>
      </c>
      <c r="D58" s="4" t="inlineStr">
        <is>
          <t>考研项目部</t>
        </is>
      </c>
      <c r="E58" s="4" t="inlineStr">
        <is>
          <t>走读项目部-销售管理部-O1学习顾问</t>
        </is>
      </c>
      <c r="F58" s="5">
        <f>G58+H58</f>
        <v/>
      </c>
      <c r="G58" s="5" t="n">
        <v>2000</v>
      </c>
      <c r="H58" s="5" t="n">
        <v>18091.42</v>
      </c>
      <c r="I58" s="5" t="n">
        <v>360000</v>
      </c>
      <c r="J58" s="5" t="n">
        <v>345000</v>
      </c>
      <c r="K58" s="5" t="n">
        <v>558781</v>
      </c>
      <c r="L58" s="5" t="n">
        <v>-136660</v>
      </c>
      <c r="M58" s="5" t="n">
        <v>0</v>
      </c>
      <c r="N58" s="5" t="n">
        <v>422121</v>
      </c>
      <c r="O58" s="7" t="n">
        <v>1.22</v>
      </c>
      <c r="P58" s="5" t="n">
        <v>31068</v>
      </c>
      <c r="Q58" s="5" t="n">
        <v>-904</v>
      </c>
      <c r="R58" s="5" t="n">
        <v>30164</v>
      </c>
      <c r="S58" s="5" t="n">
        <v>35000</v>
      </c>
      <c r="T58" s="5" t="n">
        <v>106100</v>
      </c>
      <c r="U58" s="7" t="n">
        <v>3.03</v>
      </c>
      <c r="V58" s="7" t="n">
        <v>0.04</v>
      </c>
      <c r="W58" s="5" t="n">
        <v>18091.42</v>
      </c>
      <c r="X58" s="5" t="n">
        <v>76</v>
      </c>
      <c r="Y58" s="7" t="n">
        <v>1</v>
      </c>
      <c r="Z58" s="5" t="n">
        <v>2000</v>
      </c>
      <c r="AA58" s="5" t="n">
        <v>2000</v>
      </c>
    </row>
    <row r="59" ht="15" customHeight="1">
      <c r="A59" s="3" t="n">
        <v>45962</v>
      </c>
      <c r="B59" s="4" t="inlineStr">
        <is>
          <t>汪宇萌</t>
        </is>
      </c>
      <c r="C59" s="4" t="inlineStr">
        <is>
          <t>无忧/走读</t>
        </is>
      </c>
      <c r="D59" s="4" t="inlineStr">
        <is>
          <t>考研项目部</t>
        </is>
      </c>
      <c r="E59" s="4" t="inlineStr">
        <is>
          <t>走读顾问组长</t>
        </is>
      </c>
      <c r="F59" s="5">
        <f>G59+H59</f>
        <v/>
      </c>
      <c r="G59" s="5" t="n">
        <v>3600</v>
      </c>
      <c r="H59" s="5" t="n">
        <v>14447.91</v>
      </c>
      <c r="I59" s="5" t="n">
        <v>332500</v>
      </c>
      <c r="J59" s="5" t="n">
        <v>330000</v>
      </c>
      <c r="K59" s="5" t="n">
        <v>618836</v>
      </c>
      <c r="L59" s="5" t="n">
        <v>-175808.9</v>
      </c>
      <c r="M59" s="5" t="n">
        <v>12220</v>
      </c>
      <c r="N59" s="5" t="n">
        <v>455247.1</v>
      </c>
      <c r="O59" s="7" t="n">
        <v>1.379536666666667</v>
      </c>
      <c r="P59" s="5" t="n">
        <v>26449.4</v>
      </c>
      <c r="Q59" s="5" t="n">
        <v>-100</v>
      </c>
      <c r="R59" s="5" t="n">
        <v>26349.4</v>
      </c>
      <c r="S59" s="4" t="n"/>
      <c r="T59" s="4" t="n"/>
      <c r="U59" s="4" t="n"/>
      <c r="V59" s="7" t="n">
        <v>0.03</v>
      </c>
      <c r="W59" s="5" t="n">
        <v>14447.9</v>
      </c>
      <c r="X59" s="5" t="n">
        <v>84.73150442477876</v>
      </c>
      <c r="Y59" s="7" t="n">
        <v>0.8473000000000001</v>
      </c>
      <c r="Z59" s="5" t="n">
        <v>4000</v>
      </c>
      <c r="AA59" s="5" t="n">
        <v>3600</v>
      </c>
    </row>
    <row r="60" ht="15" customHeight="1">
      <c r="A60" s="3" t="n">
        <v>45962</v>
      </c>
      <c r="B60" s="4" t="inlineStr">
        <is>
          <t>刘海玲</t>
        </is>
      </c>
      <c r="C60" s="4" t="inlineStr">
        <is>
          <t>无忧/走读</t>
        </is>
      </c>
      <c r="D60" s="4" t="inlineStr">
        <is>
          <t>考研项目部</t>
        </is>
      </c>
      <c r="E60" s="4" t="inlineStr">
        <is>
          <t>走读项目部-销售管理部-O1学习顾问</t>
        </is>
      </c>
      <c r="F60" s="5">
        <f>G60+H60</f>
        <v/>
      </c>
      <c r="G60" s="5" t="n">
        <v>0</v>
      </c>
      <c r="H60" s="5" t="n">
        <v>9865.49</v>
      </c>
      <c r="I60" s="5" t="n">
        <v>599000</v>
      </c>
      <c r="J60" s="5" t="n">
        <v>594000</v>
      </c>
      <c r="K60" s="5" t="n">
        <v>620080</v>
      </c>
      <c r="L60" s="5" t="n">
        <v>-83800</v>
      </c>
      <c r="M60" s="5" t="n">
        <v>0</v>
      </c>
      <c r="N60" s="5" t="n">
        <v>536280</v>
      </c>
      <c r="O60" s="7" t="n">
        <v>0.9028282828282829</v>
      </c>
      <c r="P60" s="5" t="n">
        <v>11902.8</v>
      </c>
      <c r="Q60" s="5" t="n">
        <v>-100</v>
      </c>
      <c r="R60" s="5" t="n">
        <v>11802.8</v>
      </c>
      <c r="S60" s="5" t="n">
        <v>80000</v>
      </c>
      <c r="T60" s="5" t="n">
        <v>14200</v>
      </c>
      <c r="U60" s="7" t="n">
        <v>0.18</v>
      </c>
      <c r="V60" s="7" t="n">
        <v>0.018</v>
      </c>
      <c r="W60" s="5" t="n">
        <v>9865.49</v>
      </c>
      <c r="X60" s="5" t="n">
        <v>28</v>
      </c>
      <c r="Y60" s="7" t="n">
        <v>0</v>
      </c>
      <c r="Z60" s="5" t="n">
        <v>2000</v>
      </c>
      <c r="AA60" s="5" t="n">
        <v>0</v>
      </c>
    </row>
    <row r="61" ht="15" customHeight="1">
      <c r="A61" s="3" t="n">
        <v>45962</v>
      </c>
      <c r="B61" s="4" t="inlineStr">
        <is>
          <t>徐铁</t>
        </is>
      </c>
      <c r="C61" s="4" t="inlineStr">
        <is>
          <t>无忧/走读</t>
        </is>
      </c>
      <c r="D61" s="4" t="inlineStr">
        <is>
          <t>考研项目部</t>
        </is>
      </c>
      <c r="E61" s="4" t="inlineStr">
        <is>
          <t>走读项目部-销售管理部-O1学习顾问</t>
        </is>
      </c>
      <c r="F61" s="5">
        <f>G61+H61</f>
        <v/>
      </c>
      <c r="G61" s="5" t="n">
        <v>2000</v>
      </c>
      <c r="H61" s="5" t="n">
        <v>27152.8</v>
      </c>
      <c r="I61" s="5" t="n">
        <v>555000</v>
      </c>
      <c r="J61" s="5" t="n">
        <v>550000</v>
      </c>
      <c r="K61" s="5" t="n">
        <v>836268</v>
      </c>
      <c r="L61" s="5" t="n">
        <v>-214452.5</v>
      </c>
      <c r="M61" s="5" t="n">
        <v>17100</v>
      </c>
      <c r="N61" s="5" t="n">
        <v>638915.5</v>
      </c>
      <c r="O61" s="7" t="n">
        <v>1.161664545454546</v>
      </c>
      <c r="P61" s="5" t="n">
        <v>40004.4</v>
      </c>
      <c r="Q61" s="5" t="n">
        <v>-100</v>
      </c>
      <c r="R61" s="5" t="n">
        <v>39904.4</v>
      </c>
      <c r="S61" s="5" t="n">
        <v>80000</v>
      </c>
      <c r="T61" s="5" t="n">
        <v>106100</v>
      </c>
      <c r="U61" s="7" t="n">
        <v>1.33</v>
      </c>
      <c r="V61" s="7" t="n">
        <v>0.04</v>
      </c>
      <c r="W61" s="5" t="n">
        <v>27152.8</v>
      </c>
      <c r="X61" s="5" t="n">
        <v>90</v>
      </c>
      <c r="Y61" s="7" t="n">
        <v>1</v>
      </c>
      <c r="Z61" s="5" t="n">
        <v>2000</v>
      </c>
      <c r="AA61" s="5" t="n">
        <v>2000</v>
      </c>
    </row>
    <row r="62" ht="15" customHeight="1">
      <c r="A62" s="3" t="n">
        <v>45962</v>
      </c>
      <c r="B62" s="4" t="inlineStr">
        <is>
          <t>刘欢</t>
        </is>
      </c>
      <c r="C62" s="4" t="inlineStr">
        <is>
          <t>无忧/走读</t>
        </is>
      </c>
      <c r="D62" s="4" t="inlineStr">
        <is>
          <t>考研项目部</t>
        </is>
      </c>
      <c r="E62" s="4" t="inlineStr">
        <is>
          <t>走读项目部-销售管理部-O3学习顾问</t>
        </is>
      </c>
      <c r="F62" s="5">
        <f>G62+H62</f>
        <v/>
      </c>
      <c r="G62" s="5" t="n">
        <v>0</v>
      </c>
      <c r="H62" s="5" t="n">
        <v>8239.41</v>
      </c>
      <c r="I62" s="5" t="n">
        <v>555000</v>
      </c>
      <c r="J62" s="5" t="n">
        <v>550000</v>
      </c>
      <c r="K62" s="5" t="n">
        <v>648333.7000000001</v>
      </c>
      <c r="L62" s="5" t="n">
        <v>-193109.1</v>
      </c>
      <c r="M62" s="5" t="n">
        <v>-6400</v>
      </c>
      <c r="N62" s="5" t="n">
        <v>448824.6000000001</v>
      </c>
      <c r="O62" s="7" t="n">
        <v>0.8160447272727275</v>
      </c>
      <c r="P62" s="5" t="n">
        <v>18470.6</v>
      </c>
      <c r="Q62" s="5" t="n">
        <v>-9550</v>
      </c>
      <c r="R62" s="5" t="n">
        <v>8920.599999999999</v>
      </c>
      <c r="S62" s="5" t="n">
        <v>80000</v>
      </c>
      <c r="T62" s="5" t="n">
        <v>3366</v>
      </c>
      <c r="U62" s="7" t="n">
        <v>0.04</v>
      </c>
      <c r="V62" s="7" t="n">
        <v>0.018</v>
      </c>
      <c r="W62" s="5" t="n">
        <v>8239.41</v>
      </c>
      <c r="X62" s="5" t="n">
        <v>20</v>
      </c>
      <c r="Y62" s="7" t="n">
        <v>0</v>
      </c>
      <c r="Z62" s="5" t="n">
        <v>0</v>
      </c>
      <c r="AA62" s="5" t="n">
        <v>0</v>
      </c>
    </row>
    <row r="63" ht="15" customHeight="1">
      <c r="A63" s="3" t="n">
        <v>45962</v>
      </c>
      <c r="B63" s="4" t="inlineStr">
        <is>
          <t>李婧</t>
        </is>
      </c>
      <c r="C63" s="4" t="inlineStr">
        <is>
          <t>无忧/走读</t>
        </is>
      </c>
      <c r="D63" s="4" t="inlineStr">
        <is>
          <t>考研项目部</t>
        </is>
      </c>
      <c r="E63" s="4" t="inlineStr">
        <is>
          <t>走读项目部-销售管理部-O1学习顾问</t>
        </is>
      </c>
      <c r="F63" s="5">
        <f>G63+H63</f>
        <v/>
      </c>
      <c r="G63" s="5" t="n">
        <v>0</v>
      </c>
      <c r="H63" s="5" t="n">
        <v>0</v>
      </c>
      <c r="I63" s="5" t="n">
        <v>555000</v>
      </c>
      <c r="J63" s="5" t="n">
        <v>550000</v>
      </c>
      <c r="K63" s="5" t="n">
        <v>183650</v>
      </c>
      <c r="L63" s="5" t="n">
        <v>-37829</v>
      </c>
      <c r="M63" s="5" t="n">
        <v>0</v>
      </c>
      <c r="N63" s="5" t="n">
        <v>145821</v>
      </c>
      <c r="O63" s="7" t="n">
        <v>0.2651290909090909</v>
      </c>
      <c r="P63" s="5" t="n">
        <v>8263.1</v>
      </c>
      <c r="Q63" s="5" t="n">
        <v>-100</v>
      </c>
      <c r="R63" s="5" t="n">
        <v>8163.1</v>
      </c>
      <c r="S63" s="5" t="n">
        <v>80000</v>
      </c>
      <c r="T63" s="5" t="n">
        <v>54800</v>
      </c>
      <c r="U63" s="7" t="n">
        <v>0.6899999999999999</v>
      </c>
      <c r="V63" s="7" t="n">
        <v>0</v>
      </c>
      <c r="W63" s="5" t="n">
        <v>0</v>
      </c>
      <c r="X63" s="5" t="n">
        <v>50</v>
      </c>
      <c r="Y63" s="7" t="n">
        <v>0</v>
      </c>
      <c r="Z63" s="5" t="n">
        <v>2000</v>
      </c>
      <c r="AA63" s="5" t="n">
        <v>0</v>
      </c>
    </row>
    <row r="64" ht="15" customHeight="1">
      <c r="A64" s="3" t="n">
        <v>45962</v>
      </c>
      <c r="B64" s="4" t="inlineStr">
        <is>
          <t>王秋雨</t>
        </is>
      </c>
      <c r="C64" s="4" t="inlineStr">
        <is>
          <t>无忧/走读</t>
        </is>
      </c>
      <c r="D64" s="4" t="inlineStr">
        <is>
          <t>考研项目部</t>
        </is>
      </c>
      <c r="E64" s="4" t="inlineStr">
        <is>
          <t>走读项目部-销售管理部-O1学习顾问</t>
        </is>
      </c>
      <c r="F64" s="5">
        <f>G64+H64</f>
        <v/>
      </c>
      <c r="G64" s="5" t="n">
        <v>0</v>
      </c>
      <c r="H64" s="5" t="n">
        <v>22992.59</v>
      </c>
      <c r="I64" s="5" t="n">
        <v>478000</v>
      </c>
      <c r="J64" s="5" t="n">
        <v>473000</v>
      </c>
      <c r="K64" s="5" t="n">
        <v>696219.1</v>
      </c>
      <c r="L64" s="5" t="n">
        <v>-133486.1</v>
      </c>
      <c r="M64" s="5" t="n">
        <v>0</v>
      </c>
      <c r="N64" s="5" t="n">
        <v>562733</v>
      </c>
      <c r="O64" s="7" t="n">
        <v>1.189710359408034</v>
      </c>
      <c r="P64" s="5" t="n">
        <v>12181.85</v>
      </c>
      <c r="Q64" s="5" t="n">
        <v>-100</v>
      </c>
      <c r="R64" s="5" t="n">
        <v>12081.85</v>
      </c>
      <c r="S64" s="5" t="n">
        <v>40000</v>
      </c>
      <c r="T64" s="5" t="n">
        <v>0</v>
      </c>
      <c r="U64" s="7" t="n">
        <v>0</v>
      </c>
      <c r="V64" s="7" t="n">
        <v>0.04</v>
      </c>
      <c r="W64" s="5" t="n">
        <v>22992.59</v>
      </c>
      <c r="X64" s="5" t="n">
        <v>30</v>
      </c>
      <c r="Y64" s="7" t="n">
        <v>0</v>
      </c>
      <c r="Z64" s="5" t="n">
        <v>2000</v>
      </c>
      <c r="AA64" s="5" t="n">
        <v>0</v>
      </c>
    </row>
    <row r="65" ht="15" customHeight="1">
      <c r="A65" s="3" t="n">
        <v>45962</v>
      </c>
      <c r="B65" s="4" t="inlineStr">
        <is>
          <t>卢晓飞</t>
        </is>
      </c>
      <c r="C65" s="4" t="inlineStr">
        <is>
          <t>无忧/走读</t>
        </is>
      </c>
      <c r="D65" s="4" t="inlineStr">
        <is>
          <t>考研项目部</t>
        </is>
      </c>
      <c r="E65" s="4" t="inlineStr">
        <is>
          <t>走读项目部-销售管理部-O1学习顾问</t>
        </is>
      </c>
      <c r="F65" s="5">
        <f>G65+H65</f>
        <v/>
      </c>
      <c r="G65" s="5" t="n">
        <v>0</v>
      </c>
      <c r="H65" s="5" t="n">
        <v>0</v>
      </c>
      <c r="I65" s="5" t="n">
        <v>522000</v>
      </c>
      <c r="J65" s="5" t="n">
        <v>517000</v>
      </c>
      <c r="K65" s="5" t="n">
        <v>203322</v>
      </c>
      <c r="L65" s="5" t="n">
        <v>-39000</v>
      </c>
      <c r="M65" s="5" t="n">
        <v>0</v>
      </c>
      <c r="N65" s="5" t="n">
        <v>164322</v>
      </c>
      <c r="O65" s="7" t="n">
        <v>0.3178375241779497</v>
      </c>
      <c r="P65" s="5" t="n">
        <v>4286.4</v>
      </c>
      <c r="Q65" s="5" t="n">
        <v>-1415.39</v>
      </c>
      <c r="R65" s="5" t="n">
        <v>2871.009999999999</v>
      </c>
      <c r="S65" s="5" t="n">
        <v>40000</v>
      </c>
      <c r="T65" s="5" t="n">
        <v>0</v>
      </c>
      <c r="U65" s="7" t="n">
        <v>0</v>
      </c>
      <c r="V65" s="7" t="n">
        <v>0</v>
      </c>
      <c r="W65" s="5" t="n">
        <v>0</v>
      </c>
      <c r="X65" s="5" t="n">
        <v>20</v>
      </c>
      <c r="Y65" s="7" t="n">
        <v>0</v>
      </c>
      <c r="Z65" s="5" t="n">
        <v>2000</v>
      </c>
      <c r="AA65" s="5" t="n">
        <v>0</v>
      </c>
    </row>
    <row r="66" ht="15" customHeight="1">
      <c r="A66" s="3" t="n">
        <v>45962</v>
      </c>
      <c r="B66" s="4" t="inlineStr">
        <is>
          <t>王一鸣</t>
        </is>
      </c>
      <c r="C66" s="4" t="inlineStr">
        <is>
          <t>无忧/走读</t>
        </is>
      </c>
      <c r="D66" s="4" t="inlineStr">
        <is>
          <t>考研项目部</t>
        </is>
      </c>
      <c r="E66" s="4" t="inlineStr">
        <is>
          <t>走读项目部-销售管理部-O1学习顾问</t>
        </is>
      </c>
      <c r="F66" s="5">
        <f>G66+H66</f>
        <v/>
      </c>
      <c r="G66" s="5" t="n">
        <v>0</v>
      </c>
      <c r="H66" s="5" t="n">
        <v>22951.78</v>
      </c>
      <c r="I66" s="5" t="n">
        <v>478000</v>
      </c>
      <c r="J66" s="5" t="n">
        <v>473000</v>
      </c>
      <c r="K66" s="5" t="n">
        <v>602381.6</v>
      </c>
      <c r="L66" s="5" t="n">
        <v>-54321.6</v>
      </c>
      <c r="M66" s="5" t="n">
        <v>0</v>
      </c>
      <c r="N66" s="5" t="n">
        <v>548060</v>
      </c>
      <c r="O66" s="7" t="n">
        <v>1.158689217758985</v>
      </c>
      <c r="P66" s="5" t="n">
        <v>25814.4</v>
      </c>
      <c r="Q66" s="5" t="n">
        <v>-80</v>
      </c>
      <c r="R66" s="5" t="n">
        <v>25734.4</v>
      </c>
      <c r="S66" s="5" t="n">
        <v>40000</v>
      </c>
      <c r="T66" s="5" t="n">
        <v>14856</v>
      </c>
      <c r="U66" s="7" t="n">
        <v>0.37</v>
      </c>
      <c r="V66" s="7" t="n">
        <v>0.04</v>
      </c>
      <c r="W66" s="5" t="n">
        <v>22951.78</v>
      </c>
      <c r="X66" s="5" t="n">
        <v>38</v>
      </c>
      <c r="Y66" s="7" t="n">
        <v>0</v>
      </c>
      <c r="Z66" s="5" t="n">
        <v>2000</v>
      </c>
      <c r="AA66" s="5" t="n">
        <v>0</v>
      </c>
    </row>
    <row r="67" ht="15" customHeight="1">
      <c r="A67" s="3" t="n">
        <v>45962</v>
      </c>
      <c r="B67" s="4" t="inlineStr">
        <is>
          <t>堕朕</t>
        </is>
      </c>
      <c r="C67" s="4" t="inlineStr">
        <is>
          <t>无忧/走读</t>
        </is>
      </c>
      <c r="D67" s="4" t="inlineStr">
        <is>
          <t>考研项目部</t>
        </is>
      </c>
      <c r="E67" s="4" t="inlineStr">
        <is>
          <t>走读项目部-销售管理部-O1学习顾问</t>
        </is>
      </c>
      <c r="F67" s="5">
        <f>G67+H67</f>
        <v/>
      </c>
      <c r="G67" s="5" t="n">
        <v>2000</v>
      </c>
      <c r="H67" s="5" t="n">
        <v>10686.34</v>
      </c>
      <c r="I67" s="5" t="n">
        <v>356000</v>
      </c>
      <c r="J67" s="5" t="n">
        <v>352000</v>
      </c>
      <c r="K67" s="5" t="n">
        <v>373299.5</v>
      </c>
      <c r="L67" s="5" t="n">
        <v>-81040.3</v>
      </c>
      <c r="M67" s="5" t="n">
        <v>17100</v>
      </c>
      <c r="N67" s="5" t="n">
        <v>309359.2</v>
      </c>
      <c r="O67" s="7" t="n">
        <v>0.8788613636363637</v>
      </c>
      <c r="P67" s="5" t="n">
        <v>46952.05</v>
      </c>
      <c r="Q67" s="5" t="n">
        <v>-100</v>
      </c>
      <c r="R67" s="5" t="n">
        <v>46852.05</v>
      </c>
      <c r="S67" s="5" t="n">
        <v>40000</v>
      </c>
      <c r="T67" s="5" t="n">
        <v>70300</v>
      </c>
      <c r="U67" s="7" t="n">
        <v>1.76</v>
      </c>
      <c r="V67" s="7" t="n">
        <v>0.03</v>
      </c>
      <c r="W67" s="5" t="n">
        <v>10686.34</v>
      </c>
      <c r="X67" s="5" t="n">
        <v>90</v>
      </c>
      <c r="Y67" s="7" t="n">
        <v>1</v>
      </c>
      <c r="Z67" s="5" t="n">
        <v>2000</v>
      </c>
      <c r="AA67" s="5" t="n">
        <v>2000</v>
      </c>
    </row>
    <row r="68" ht="15" customHeight="1">
      <c r="A68" s="3" t="n">
        <v>45992</v>
      </c>
      <c r="B68" s="8" t="inlineStr">
        <is>
          <t>汪宇萌</t>
        </is>
      </c>
      <c r="C68" s="4" t="inlineStr">
        <is>
          <t>无忧/走读</t>
        </is>
      </c>
      <c r="D68" s="4" t="inlineStr">
        <is>
          <t>考研项目部</t>
        </is>
      </c>
      <c r="E68" s="4" t="inlineStr">
        <is>
          <t>走读顾问组长</t>
        </is>
      </c>
      <c r="F68" s="5">
        <f>G68+H68</f>
        <v/>
      </c>
      <c r="G68" s="5" t="n">
        <v>0</v>
      </c>
      <c r="H68" s="5" t="n">
        <v>10311.3</v>
      </c>
      <c r="I68" s="5" t="n">
        <v>262000</v>
      </c>
      <c r="J68" s="5" t="n">
        <v>255000</v>
      </c>
      <c r="K68" s="5" t="n">
        <v>439100</v>
      </c>
      <c r="L68" s="5" t="n">
        <v>-139285</v>
      </c>
      <c r="M68" s="5" t="n">
        <v>0</v>
      </c>
      <c r="N68" s="5" t="n">
        <v>299816</v>
      </c>
      <c r="O68" s="7" t="n">
        <v>1.18</v>
      </c>
      <c r="P68" s="5" t="n">
        <v>44144</v>
      </c>
      <c r="Q68" s="5" t="n">
        <v>-250</v>
      </c>
      <c r="R68" s="5" t="n">
        <v>43894</v>
      </c>
      <c r="S68" s="4" t="n"/>
      <c r="T68" s="4" t="n"/>
      <c r="U68" s="4" t="n"/>
      <c r="V68" s="7" t="n">
        <v>0.04</v>
      </c>
      <c r="W68" s="5" t="n">
        <v>13748.4</v>
      </c>
      <c r="X68" s="5" t="n">
        <v>30</v>
      </c>
      <c r="Y68" s="7" t="n">
        <v>0.3</v>
      </c>
      <c r="Z68" s="5" t="n">
        <v>4000</v>
      </c>
      <c r="AA68" s="5" t="n">
        <v>0</v>
      </c>
    </row>
    <row r="69" ht="15" customHeight="1">
      <c r="A69" s="3" t="n">
        <v>45992</v>
      </c>
      <c r="B69" s="4" t="inlineStr">
        <is>
          <t>刘海玲</t>
        </is>
      </c>
      <c r="C69" s="4" t="inlineStr">
        <is>
          <t>无忧/走读</t>
        </is>
      </c>
      <c r="D69" s="4" t="inlineStr">
        <is>
          <t>考研项目部</t>
        </is>
      </c>
      <c r="E69" s="4" t="inlineStr">
        <is>
          <t>走读项目部-销售管理部-O1学习顾问</t>
        </is>
      </c>
      <c r="F69" s="5">
        <f>G69+H69</f>
        <v/>
      </c>
      <c r="G69" s="5" t="n">
        <v>0</v>
      </c>
      <c r="H69" s="5" t="n">
        <v>2795.71</v>
      </c>
      <c r="I69" s="5" t="n">
        <v>474000</v>
      </c>
      <c r="J69" s="5" t="n">
        <v>460000</v>
      </c>
      <c r="K69" s="5" t="n">
        <v>446520</v>
      </c>
      <c r="L69" s="5" t="n">
        <v>-111760</v>
      </c>
      <c r="M69" s="5" t="n">
        <v>0</v>
      </c>
      <c r="N69" s="5" t="n">
        <v>334760</v>
      </c>
      <c r="O69" s="7" t="n">
        <v>0.7277391304347826</v>
      </c>
      <c r="P69" s="5" t="n">
        <v>14703.6</v>
      </c>
      <c r="Q69" s="5" t="n">
        <v>0</v>
      </c>
      <c r="R69" s="5" t="n">
        <v>14703.6</v>
      </c>
      <c r="S69" s="5" t="n">
        <v>100000</v>
      </c>
      <c r="T69" s="5" t="n">
        <v>42300</v>
      </c>
      <c r="U69" s="7" t="n">
        <v>0.42</v>
      </c>
      <c r="V69" s="7" t="n">
        <v>0.008</v>
      </c>
      <c r="W69" s="5" t="n">
        <v>2795.71</v>
      </c>
      <c r="X69" s="5" t="n">
        <v>22</v>
      </c>
      <c r="Y69" s="7" t="n">
        <v>0</v>
      </c>
      <c r="Z69" s="5" t="n">
        <v>2000</v>
      </c>
      <c r="AA69" s="5" t="n">
        <v>0</v>
      </c>
    </row>
    <row r="70" ht="15" customHeight="1">
      <c r="A70" s="3" t="n">
        <v>45992</v>
      </c>
      <c r="B70" s="4" t="inlineStr">
        <is>
          <t>徐铁</t>
        </is>
      </c>
      <c r="C70" s="4" t="inlineStr">
        <is>
          <t>无忧/走读</t>
        </is>
      </c>
      <c r="D70" s="4" t="inlineStr">
        <is>
          <t>考研项目部</t>
        </is>
      </c>
      <c r="E70" s="4" t="inlineStr">
        <is>
          <t>走读项目部-销售管理部-O1学习顾问</t>
        </is>
      </c>
      <c r="F70" s="5">
        <f>G70+H70</f>
        <v/>
      </c>
      <c r="G70" s="5" t="n">
        <v>0</v>
      </c>
      <c r="H70" s="5" t="n">
        <v>22924.08</v>
      </c>
      <c r="I70" s="5" t="n">
        <v>474000</v>
      </c>
      <c r="J70" s="5" t="n">
        <v>460000</v>
      </c>
      <c r="K70" s="5" t="n">
        <v>602497</v>
      </c>
      <c r="L70" s="5" t="n">
        <v>-38991</v>
      </c>
      <c r="M70" s="5" t="n">
        <v>0</v>
      </c>
      <c r="N70" s="5" t="n">
        <v>563506</v>
      </c>
      <c r="O70" s="7" t="n">
        <v>1.225013043478261</v>
      </c>
      <c r="P70" s="5" t="n">
        <v>9596.1</v>
      </c>
      <c r="Q70" s="5" t="n">
        <v>0</v>
      </c>
      <c r="R70" s="5" t="n">
        <v>9596.1</v>
      </c>
      <c r="S70" s="5" t="n">
        <v>100000</v>
      </c>
      <c r="T70" s="5" t="n">
        <v>0</v>
      </c>
      <c r="U70" s="7" t="n">
        <v>0</v>
      </c>
      <c r="V70" s="7" t="n">
        <v>0.04</v>
      </c>
      <c r="W70" s="5" t="n">
        <v>22924.08</v>
      </c>
      <c r="X70" s="5" t="n">
        <v>8</v>
      </c>
      <c r="Y70" s="7" t="n">
        <v>0</v>
      </c>
      <c r="Z70" s="5" t="n">
        <v>2000</v>
      </c>
      <c r="AA70" s="5" t="n">
        <v>0</v>
      </c>
    </row>
    <row r="71" ht="15" customHeight="1">
      <c r="A71" s="3" t="n">
        <v>45992</v>
      </c>
      <c r="B71" s="4" t="inlineStr">
        <is>
          <t>刘欢</t>
        </is>
      </c>
      <c r="C71" s="4" t="inlineStr">
        <is>
          <t>无忧/走读</t>
        </is>
      </c>
      <c r="D71" s="4" t="inlineStr">
        <is>
          <t>考研项目部</t>
        </is>
      </c>
      <c r="E71" s="4" t="inlineStr">
        <is>
          <t>走读项目部-销售管理部-O3学习顾问</t>
        </is>
      </c>
      <c r="F71" s="5">
        <f>G71+H71</f>
        <v/>
      </c>
      <c r="G71" s="5" t="n">
        <v>0</v>
      </c>
      <c r="H71" s="5" t="n">
        <v>35832.91</v>
      </c>
      <c r="I71" s="5" t="n">
        <v>474000</v>
      </c>
      <c r="J71" s="5" t="n">
        <v>460000</v>
      </c>
      <c r="K71" s="5" t="n">
        <v>770023</v>
      </c>
      <c r="L71" s="5" t="n">
        <v>-69496</v>
      </c>
      <c r="M71" s="5" t="n">
        <v>1280</v>
      </c>
      <c r="N71" s="5" t="n">
        <v>701807</v>
      </c>
      <c r="O71" s="7" t="n">
        <v>1.53</v>
      </c>
      <c r="P71" s="5" t="n">
        <v>46205</v>
      </c>
      <c r="Q71" s="5" t="n">
        <v>-31354</v>
      </c>
      <c r="R71" s="5" t="n">
        <v>14851</v>
      </c>
      <c r="S71" s="5" t="n">
        <v>100000</v>
      </c>
      <c r="T71" s="5" t="n">
        <v>104487</v>
      </c>
      <c r="U71" s="7" t="n">
        <v>1.04</v>
      </c>
      <c r="V71" s="7" t="n">
        <v>0.05</v>
      </c>
      <c r="W71" s="5" t="n">
        <v>35832.91</v>
      </c>
      <c r="X71" s="5" t="n">
        <v>70</v>
      </c>
      <c r="Y71" s="7" t="n">
        <v>0.6</v>
      </c>
      <c r="Z71" s="5" t="n">
        <v>0</v>
      </c>
      <c r="AA71" s="5" t="n">
        <v>0</v>
      </c>
    </row>
    <row r="72" ht="15" customHeight="1">
      <c r="A72" s="3" t="n">
        <v>45992</v>
      </c>
      <c r="B72" s="4" t="inlineStr">
        <is>
          <t>李婧</t>
        </is>
      </c>
      <c r="C72" s="4" t="inlineStr">
        <is>
          <t>无忧/走读</t>
        </is>
      </c>
      <c r="D72" s="4" t="inlineStr">
        <is>
          <t>考研项目部</t>
        </is>
      </c>
      <c r="E72" s="4" t="inlineStr">
        <is>
          <t>走读项目部-销售管理部-O1学习顾问</t>
        </is>
      </c>
      <c r="F72" s="5">
        <f>G72+H72</f>
        <v/>
      </c>
      <c r="G72" s="5" t="n">
        <v>0</v>
      </c>
      <c r="H72" s="5" t="n">
        <v>0</v>
      </c>
      <c r="I72" s="5" t="n">
        <v>515000</v>
      </c>
      <c r="J72" s="5" t="n">
        <v>501000</v>
      </c>
      <c r="K72" s="5" t="n">
        <v>197806</v>
      </c>
      <c r="L72" s="5" t="n">
        <v>-93640.3</v>
      </c>
      <c r="M72" s="5" t="n">
        <v>0</v>
      </c>
      <c r="N72" s="5" t="n">
        <v>104165.7</v>
      </c>
      <c r="O72" s="7" t="n">
        <v>0.2079155688622754</v>
      </c>
      <c r="P72" s="5" t="n">
        <v>11520</v>
      </c>
      <c r="Q72" s="5" t="n">
        <v>0</v>
      </c>
      <c r="R72" s="5" t="n">
        <v>11520</v>
      </c>
      <c r="S72" s="5" t="n">
        <v>100000</v>
      </c>
      <c r="T72" s="5" t="n">
        <v>0</v>
      </c>
      <c r="U72" s="7" t="n">
        <v>0</v>
      </c>
      <c r="V72" s="7" t="n">
        <v>0</v>
      </c>
      <c r="W72" s="5" t="n">
        <v>0</v>
      </c>
      <c r="X72" s="5" t="n">
        <v>30</v>
      </c>
      <c r="Y72" s="7" t="n">
        <v>0</v>
      </c>
      <c r="Z72" s="5" t="n">
        <v>2000</v>
      </c>
      <c r="AA72" s="5" t="n">
        <v>0</v>
      </c>
    </row>
    <row r="73" ht="15" customHeight="1">
      <c r="A73" s="3" t="n">
        <v>45992</v>
      </c>
      <c r="B73" s="4" t="inlineStr">
        <is>
          <t>王秋雨</t>
        </is>
      </c>
      <c r="C73" s="4" t="inlineStr">
        <is>
          <t>无忧/走读</t>
        </is>
      </c>
      <c r="D73" s="4" t="inlineStr">
        <is>
          <t>考研项目部</t>
        </is>
      </c>
      <c r="E73" s="4" t="inlineStr">
        <is>
          <t>走读项目部-销售管理部-O1学习顾问</t>
        </is>
      </c>
      <c r="F73" s="5">
        <f>G73+H73</f>
        <v/>
      </c>
      <c r="G73" s="5" t="n">
        <v>0</v>
      </c>
      <c r="H73" s="5" t="n">
        <v>13332.97</v>
      </c>
      <c r="I73" s="5" t="n">
        <v>439000</v>
      </c>
      <c r="J73" s="5" t="n">
        <v>425000</v>
      </c>
      <c r="K73" s="5" t="n">
        <v>463294</v>
      </c>
      <c r="L73" s="5" t="n">
        <v>-31550</v>
      </c>
      <c r="M73" s="5" t="n">
        <v>0</v>
      </c>
      <c r="N73" s="5" t="n">
        <v>431744</v>
      </c>
      <c r="O73" s="7" t="n">
        <v>1.015868235294118</v>
      </c>
      <c r="P73" s="5" t="n">
        <v>12688.2</v>
      </c>
      <c r="Q73" s="5" t="n">
        <v>0</v>
      </c>
      <c r="R73" s="5" t="n">
        <v>12688.2</v>
      </c>
      <c r="S73" s="5" t="n">
        <v>80000</v>
      </c>
      <c r="T73" s="5" t="n">
        <v>54800</v>
      </c>
      <c r="U73" s="7" t="n">
        <v>0.6899999999999999</v>
      </c>
      <c r="V73" s="7" t="n">
        <v>0.03</v>
      </c>
      <c r="W73" s="5" t="n">
        <v>13332.97</v>
      </c>
      <c r="X73" s="5" t="n">
        <v>50</v>
      </c>
      <c r="Y73" s="7" t="n">
        <v>0</v>
      </c>
      <c r="Z73" s="5" t="n">
        <v>2000</v>
      </c>
      <c r="AA73" s="5" t="n">
        <v>0</v>
      </c>
    </row>
    <row r="74" ht="15" customHeight="1">
      <c r="A74" s="3" t="n">
        <v>45992</v>
      </c>
      <c r="B74" s="4" t="inlineStr">
        <is>
          <t>卢晓飞</t>
        </is>
      </c>
      <c r="C74" s="4" t="inlineStr">
        <is>
          <t>无忧/走读</t>
        </is>
      </c>
      <c r="D74" s="4" t="inlineStr">
        <is>
          <t>考研项目部</t>
        </is>
      </c>
      <c r="E74" s="4" t="inlineStr">
        <is>
          <t>走读项目部-销售管理部-O1学习顾问</t>
        </is>
      </c>
      <c r="F74" s="5">
        <f>G74+H74</f>
        <v/>
      </c>
      <c r="G74" s="5" t="n">
        <v>0</v>
      </c>
      <c r="H74" s="5" t="n">
        <v>0</v>
      </c>
      <c r="I74" s="5" t="n">
        <v>480000</v>
      </c>
      <c r="J74" s="5" t="n">
        <v>466000</v>
      </c>
      <c r="K74" s="5" t="n">
        <v>42250</v>
      </c>
      <c r="L74" s="5" t="n">
        <v>0</v>
      </c>
      <c r="M74" s="5" t="n">
        <v>0</v>
      </c>
      <c r="N74" s="5" t="n">
        <v>42250</v>
      </c>
      <c r="O74" s="7" t="n">
        <v>0.09066523605150215</v>
      </c>
      <c r="P74" s="5" t="n">
        <v>24402</v>
      </c>
      <c r="Q74" s="5" t="n">
        <v>-180</v>
      </c>
      <c r="R74" s="5" t="n">
        <v>24222</v>
      </c>
      <c r="S74" s="5" t="n">
        <v>80000</v>
      </c>
      <c r="T74" s="5" t="n">
        <v>0</v>
      </c>
      <c r="U74" s="7" t="n">
        <v>0</v>
      </c>
      <c r="V74" s="7" t="n">
        <v>0</v>
      </c>
      <c r="W74" s="5" t="n">
        <v>0</v>
      </c>
      <c r="X74" s="5" t="n">
        <v>0</v>
      </c>
      <c r="Y74" s="7" t="n">
        <v>0</v>
      </c>
      <c r="Z74" s="5" t="n">
        <v>2000</v>
      </c>
      <c r="AA74" s="5" t="n">
        <v>0</v>
      </c>
    </row>
    <row r="75" ht="15" customHeight="1">
      <c r="A75" s="3" t="n">
        <v>45992</v>
      </c>
      <c r="B75" s="4" t="inlineStr">
        <is>
          <t>王一鸣</t>
        </is>
      </c>
      <c r="C75" s="4" t="inlineStr">
        <is>
          <t>无忧/走读</t>
        </is>
      </c>
      <c r="D75" s="4" t="inlineStr">
        <is>
          <t>考研项目部</t>
        </is>
      </c>
      <c r="E75" s="4" t="inlineStr">
        <is>
          <t>走读项目部-销售管理部-O1学习顾问</t>
        </is>
      </c>
      <c r="F75" s="5">
        <f>G75+H75</f>
        <v/>
      </c>
      <c r="G75" s="5" t="n">
        <v>0</v>
      </c>
      <c r="H75" s="5" t="n">
        <v>15071.97</v>
      </c>
      <c r="I75" s="5" t="n">
        <v>439000</v>
      </c>
      <c r="J75" s="5" t="n">
        <v>425000</v>
      </c>
      <c r="K75" s="5" t="n">
        <v>500303.6</v>
      </c>
      <c r="L75" s="5" t="n">
        <v>-14034.6</v>
      </c>
      <c r="M75" s="5" t="n">
        <v>0</v>
      </c>
      <c r="N75" s="5" t="n">
        <v>486269</v>
      </c>
      <c r="O75" s="7" t="n">
        <v>1.144162352941176</v>
      </c>
      <c r="P75" s="5" t="n">
        <v>22035.2</v>
      </c>
      <c r="Q75" s="5" t="n">
        <v>-5905.2</v>
      </c>
      <c r="R75" s="5" t="n">
        <v>16130</v>
      </c>
      <c r="S75" s="5" t="n">
        <v>60000</v>
      </c>
      <c r="T75" s="5" t="n">
        <v>0</v>
      </c>
      <c r="U75" s="7" t="n">
        <v>0</v>
      </c>
      <c r="V75" s="7" t="n">
        <v>0.03</v>
      </c>
      <c r="W75" s="5" t="n">
        <v>15071.97</v>
      </c>
      <c r="X75" s="5" t="n">
        <v>0</v>
      </c>
      <c r="Y75" s="7" t="n">
        <v>0</v>
      </c>
      <c r="Z75" s="5" t="n">
        <v>2000</v>
      </c>
      <c r="AA75" s="5" t="n">
        <v>0</v>
      </c>
    </row>
    <row r="76" ht="15" customHeight="1">
      <c r="A76" s="3" t="n">
        <v>45992</v>
      </c>
      <c r="B76" s="4" t="inlineStr">
        <is>
          <t>堕朕</t>
        </is>
      </c>
      <c r="C76" s="4" t="inlineStr">
        <is>
          <t>无忧/走读</t>
        </is>
      </c>
      <c r="D76" s="4" t="inlineStr">
        <is>
          <t>考研项目部</t>
        </is>
      </c>
      <c r="E76" s="4" t="inlineStr">
        <is>
          <t>走读项目部-销售管理部-O1学习顾问</t>
        </is>
      </c>
      <c r="F76" s="5">
        <f>G76+H76</f>
        <v/>
      </c>
      <c r="G76" s="5" t="n">
        <v>0</v>
      </c>
      <c r="H76" s="5" t="n">
        <v>0</v>
      </c>
      <c r="I76" s="5" t="n">
        <v>439000</v>
      </c>
      <c r="J76" s="5" t="n">
        <v>425000</v>
      </c>
      <c r="K76" s="5" t="n">
        <v>90050</v>
      </c>
      <c r="L76" s="5" t="n">
        <v>0</v>
      </c>
      <c r="M76" s="5" t="n">
        <v>0</v>
      </c>
      <c r="N76" s="5" t="n">
        <v>90050</v>
      </c>
      <c r="O76" s="7" t="n">
        <v>0.2118823529411765</v>
      </c>
      <c r="P76" s="5" t="n">
        <v>0</v>
      </c>
      <c r="Q76" s="5" t="n">
        <v>-17390</v>
      </c>
      <c r="R76" s="5" t="n">
        <v>-17390</v>
      </c>
      <c r="S76" s="5" t="n">
        <v>60000</v>
      </c>
      <c r="T76" s="5" t="n">
        <v>0</v>
      </c>
      <c r="U76" s="7" t="n">
        <v>0</v>
      </c>
      <c r="V76" s="7" t="n">
        <v>0</v>
      </c>
      <c r="W76" s="5" t="n">
        <v>0</v>
      </c>
      <c r="X76" s="5" t="n">
        <v>20</v>
      </c>
      <c r="Y76" s="7" t="n">
        <v>0</v>
      </c>
      <c r="Z76" s="5" t="n">
        <v>2000</v>
      </c>
      <c r="AA76" s="5" t="n">
        <v>0</v>
      </c>
    </row>
    <row r="77" ht="15" customHeight="1">
      <c r="A77" s="3" t="n">
        <v>46023</v>
      </c>
      <c r="B77" s="4" t="inlineStr">
        <is>
          <t>汪宇萌</t>
        </is>
      </c>
      <c r="C77" s="4" t="inlineStr">
        <is>
          <t>无忧/走读</t>
        </is>
      </c>
      <c r="D77" s="4" t="inlineStr">
        <is>
          <t>考研项目部</t>
        </is>
      </c>
      <c r="E77" s="4" t="inlineStr">
        <is>
          <t>走读顾问组长</t>
        </is>
      </c>
      <c r="F77" s="5">
        <f>G77+H77</f>
        <v/>
      </c>
      <c r="G77" s="5" t="n">
        <v>4000</v>
      </c>
      <c r="H77" s="5" t="n">
        <v>27174.12</v>
      </c>
      <c r="I77" s="5" t="n">
        <v>340500</v>
      </c>
      <c r="J77" s="5" t="n">
        <v>227500</v>
      </c>
      <c r="K77" s="5" t="n">
        <v>801452.9</v>
      </c>
      <c r="L77" s="5" t="n">
        <v>-23976</v>
      </c>
      <c r="M77" s="5" t="n">
        <v>0</v>
      </c>
      <c r="N77" s="5" t="n">
        <v>777476.9</v>
      </c>
      <c r="O77" s="7" t="n">
        <v>3.417480879120879</v>
      </c>
      <c r="P77" s="5" t="n">
        <v>128696.9</v>
      </c>
      <c r="Q77" s="5" t="n">
        <v>-370</v>
      </c>
      <c r="R77" s="5" t="n">
        <v>128326.9</v>
      </c>
      <c r="S77" s="4" t="n"/>
      <c r="T77" s="4" t="n"/>
      <c r="U77" s="4" t="n"/>
      <c r="V77" s="7" t="n">
        <v>0.03</v>
      </c>
      <c r="W77" s="5" t="n">
        <v>27174.11</v>
      </c>
      <c r="X77" s="5" t="n">
        <v>100</v>
      </c>
      <c r="Y77" s="7" t="n">
        <v>1</v>
      </c>
      <c r="Z77" s="5" t="n">
        <v>4000</v>
      </c>
      <c r="AA77" s="5" t="n">
        <v>4000</v>
      </c>
    </row>
    <row r="78" ht="15" customHeight="1">
      <c r="A78" s="3" t="n">
        <v>46023</v>
      </c>
      <c r="B78" s="4" t="inlineStr">
        <is>
          <t>刘海玲</t>
        </is>
      </c>
      <c r="C78" s="4" t="inlineStr">
        <is>
          <t>无忧/走读</t>
        </is>
      </c>
      <c r="D78" s="4" t="inlineStr">
        <is>
          <t>考研项目部</t>
        </is>
      </c>
      <c r="E78" s="4" t="inlineStr">
        <is>
          <t>走读项目部-销售管理部-O1学习顾问</t>
        </is>
      </c>
      <c r="F78" s="5">
        <f>G78+H78</f>
        <v/>
      </c>
      <c r="G78" s="5" t="n">
        <v>1600</v>
      </c>
      <c r="H78" s="5" t="n">
        <v>18358.37</v>
      </c>
      <c r="I78" s="5" t="n">
        <v>573000</v>
      </c>
      <c r="J78" s="5" t="n">
        <v>455000</v>
      </c>
      <c r="K78" s="5" t="n">
        <v>736580</v>
      </c>
      <c r="L78" s="5" t="n">
        <v>-146348.7</v>
      </c>
      <c r="M78" s="5" t="n">
        <v>0</v>
      </c>
      <c r="N78" s="5" t="n">
        <v>590231.3</v>
      </c>
      <c r="O78" s="7" t="n">
        <v>1.297211648351648</v>
      </c>
      <c r="P78" s="5" t="n">
        <v>21804.4</v>
      </c>
      <c r="Q78" s="5" t="n">
        <v>-90</v>
      </c>
      <c r="R78" s="5" t="n">
        <v>21714.4</v>
      </c>
      <c r="S78" s="5" t="n">
        <v>103000</v>
      </c>
      <c r="T78" s="5" t="n">
        <v>137163.6</v>
      </c>
      <c r="U78" s="7" t="n">
        <v>1.331685436893204</v>
      </c>
      <c r="V78" s="7" t="n">
        <v>0.03</v>
      </c>
      <c r="W78" s="5" t="n">
        <v>18358.37</v>
      </c>
      <c r="X78" s="5" t="n">
        <v>10</v>
      </c>
      <c r="Y78" s="7" t="n">
        <v>80</v>
      </c>
      <c r="Z78" s="5" t="n">
        <v>0.8</v>
      </c>
      <c r="AA78" s="5" t="n">
        <v>2000</v>
      </c>
    </row>
    <row r="79" ht="15" customHeight="1">
      <c r="A79" s="3" t="n">
        <v>46023</v>
      </c>
      <c r="B79" s="4" t="inlineStr">
        <is>
          <t>刘欢</t>
        </is>
      </c>
      <c r="C79" s="4" t="inlineStr">
        <is>
          <t>无忧/走读</t>
        </is>
      </c>
      <c r="D79" s="4" t="inlineStr">
        <is>
          <t>考研项目部</t>
        </is>
      </c>
      <c r="E79" s="4" t="inlineStr">
        <is>
          <t>走读项目部-销售管理部-O3学习顾问</t>
        </is>
      </c>
      <c r="F79" s="5">
        <f>G79+H79</f>
        <v/>
      </c>
      <c r="G79" s="5" t="n">
        <v>0</v>
      </c>
      <c r="H79" s="5" t="n">
        <v>57450.04</v>
      </c>
      <c r="I79" s="5" t="n">
        <v>573000</v>
      </c>
      <c r="J79" s="5" t="n">
        <v>455000</v>
      </c>
      <c r="K79" s="5" t="n">
        <v>1330707.4</v>
      </c>
      <c r="L79" s="5" t="n">
        <v>-254617.1</v>
      </c>
      <c r="M79" s="5" t="n">
        <v>0</v>
      </c>
      <c r="N79" s="5" t="n">
        <v>1076090.3</v>
      </c>
      <c r="O79" s="7" t="n">
        <v>2.365033626373626</v>
      </c>
      <c r="P79" s="5" t="n">
        <v>79050.5</v>
      </c>
      <c r="Q79" s="5" t="n">
        <v>-6140</v>
      </c>
      <c r="R79" s="5" t="n">
        <v>72910.5</v>
      </c>
      <c r="S79" s="5" t="n">
        <v>103000</v>
      </c>
      <c r="T79" s="5" t="n">
        <v>72264.39999999999</v>
      </c>
      <c r="U79" s="7" t="n">
        <v>0.7015961165048543</v>
      </c>
      <c r="V79" s="7" t="n">
        <v>0.05</v>
      </c>
      <c r="W79" s="5" t="n">
        <v>57450.04</v>
      </c>
      <c r="X79" s="5" t="n">
        <v>10</v>
      </c>
      <c r="Y79" s="7" t="n">
        <v>85.07961165048545</v>
      </c>
      <c r="Z79" s="5" t="n">
        <v>0.9015922330097089</v>
      </c>
      <c r="AA79" s="5" t="n">
        <v>0</v>
      </c>
    </row>
    <row r="80" ht="15" customHeight="1">
      <c r="A80" s="3" t="n">
        <v>46023</v>
      </c>
      <c r="B80" s="4" t="inlineStr">
        <is>
          <t>李婧</t>
        </is>
      </c>
      <c r="C80" s="4" t="inlineStr">
        <is>
          <t>无忧/走读</t>
        </is>
      </c>
      <c r="D80" s="4" t="inlineStr">
        <is>
          <t>考研项目部</t>
        </is>
      </c>
      <c r="E80" s="4" t="inlineStr">
        <is>
          <t>走读项目部-销售管理部-O1学习顾问</t>
        </is>
      </c>
      <c r="F80" s="5">
        <f>G80+H80</f>
        <v/>
      </c>
      <c r="G80" s="5" t="n">
        <v>1600</v>
      </c>
      <c r="H80" s="5" t="n">
        <v>31209.68</v>
      </c>
      <c r="I80" s="5" t="n">
        <v>618500</v>
      </c>
      <c r="J80" s="5" t="n">
        <v>500500</v>
      </c>
      <c r="K80" s="5" t="n">
        <v>852120.7</v>
      </c>
      <c r="L80" s="5" t="n">
        <v>-94557.10000000001</v>
      </c>
      <c r="M80" s="5" t="n">
        <v>0</v>
      </c>
      <c r="N80" s="5" t="n">
        <v>757563.6</v>
      </c>
      <c r="O80" s="7" t="n">
        <v>1.513613586413586</v>
      </c>
      <c r="P80" s="5" t="n">
        <v>34198.5</v>
      </c>
      <c r="Q80" s="5" t="n">
        <v>-11520</v>
      </c>
      <c r="R80" s="5" t="n">
        <v>22678.5</v>
      </c>
      <c r="S80" s="5" t="n">
        <v>103000</v>
      </c>
      <c r="T80" s="5" t="n">
        <v>106750</v>
      </c>
      <c r="U80" s="7" t="n">
        <v>1.036407766990291</v>
      </c>
      <c r="V80" s="7" t="n">
        <v>0.04</v>
      </c>
      <c r="W80" s="5" t="n">
        <v>31209.68</v>
      </c>
      <c r="X80" s="5" t="n">
        <v>10</v>
      </c>
      <c r="Y80" s="7" t="n">
        <v>80</v>
      </c>
      <c r="Z80" s="5" t="n">
        <v>0.8</v>
      </c>
      <c r="AA80" s="5" t="n">
        <v>2000</v>
      </c>
    </row>
    <row r="81" ht="15" customHeight="1">
      <c r="A81" s="3" t="n">
        <v>46023</v>
      </c>
      <c r="B81" s="4" t="inlineStr">
        <is>
          <t>王秋雨</t>
        </is>
      </c>
      <c r="C81" s="4" t="inlineStr">
        <is>
          <t>无忧/走读</t>
        </is>
      </c>
      <c r="D81" s="4" t="inlineStr">
        <is>
          <t>考研项目部</t>
        </is>
      </c>
      <c r="E81" s="4" t="inlineStr">
        <is>
          <t>走读项目部-销售管理部-O1学习顾问</t>
        </is>
      </c>
      <c r="F81" s="5">
        <f>G81+H81</f>
        <v/>
      </c>
      <c r="G81" s="5" t="n">
        <v>2000</v>
      </c>
      <c r="H81" s="5" t="n">
        <v>56756.49</v>
      </c>
      <c r="I81" s="5" t="n">
        <v>497400</v>
      </c>
      <c r="J81" s="5" t="n">
        <v>455000</v>
      </c>
      <c r="K81" s="5" t="n">
        <v>1245987.65</v>
      </c>
      <c r="L81" s="5" t="n">
        <v>-188561.6</v>
      </c>
      <c r="M81" s="5" t="n">
        <v>0</v>
      </c>
      <c r="N81" s="5" t="n">
        <v>1057426.05</v>
      </c>
      <c r="O81" s="7" t="n">
        <v>2.324013296703297</v>
      </c>
      <c r="P81" s="5" t="n">
        <v>83843.89999999999</v>
      </c>
      <c r="Q81" s="5" t="n">
        <v>-6140.22</v>
      </c>
      <c r="R81" s="5" t="n">
        <v>77703.67999999999</v>
      </c>
      <c r="S81" s="5" t="n">
        <v>82400</v>
      </c>
      <c r="T81" s="5" t="n">
        <v>257800</v>
      </c>
      <c r="U81" s="7" t="n">
        <v>3.128640776699029</v>
      </c>
      <c r="V81" s="7" t="n">
        <v>0.05</v>
      </c>
      <c r="W81" s="5" t="n">
        <v>56756.49</v>
      </c>
      <c r="X81" s="5" t="n">
        <v>10</v>
      </c>
      <c r="Y81" s="7" t="n">
        <v>100</v>
      </c>
      <c r="Z81" s="5" t="n">
        <v>1</v>
      </c>
      <c r="AA81" s="5" t="n">
        <v>2000</v>
      </c>
    </row>
    <row r="82" ht="15" customHeight="1">
      <c r="A82" s="3" t="n">
        <v>46023</v>
      </c>
      <c r="B82" s="4" t="inlineStr">
        <is>
          <t>卢晓飞</t>
        </is>
      </c>
      <c r="C82" s="4" t="inlineStr">
        <is>
          <t>无忧/走读</t>
        </is>
      </c>
      <c r="D82" s="4" t="inlineStr">
        <is>
          <t>考研项目部</t>
        </is>
      </c>
      <c r="E82" s="4" t="inlineStr">
        <is>
          <t>走读项目部-销售管理部-O1学习顾问</t>
        </is>
      </c>
      <c r="F82" s="5">
        <f>G82+H82</f>
        <v/>
      </c>
      <c r="G82" s="5" t="n">
        <v>1520</v>
      </c>
      <c r="H82" s="5" t="n">
        <v>28119.55</v>
      </c>
      <c r="I82" s="5" t="n">
        <v>542900</v>
      </c>
      <c r="J82" s="5" t="n">
        <v>500500</v>
      </c>
      <c r="K82" s="5" t="n">
        <v>686520</v>
      </c>
      <c r="L82" s="5" t="n">
        <v>0</v>
      </c>
      <c r="M82" s="5" t="n">
        <v>0</v>
      </c>
      <c r="N82" s="5" t="n">
        <v>686520</v>
      </c>
      <c r="O82" s="7" t="n">
        <v>1.371668331668332</v>
      </c>
      <c r="P82" s="5" t="n">
        <v>16648.8</v>
      </c>
      <c r="Q82" s="5" t="n">
        <v>-180</v>
      </c>
      <c r="R82" s="5" t="n">
        <v>16468.8</v>
      </c>
      <c r="S82" s="5" t="n">
        <v>82400</v>
      </c>
      <c r="T82" s="5" t="n">
        <v>144400</v>
      </c>
      <c r="U82" s="7" t="n">
        <v>1.75242718446602</v>
      </c>
      <c r="V82" s="7" t="n">
        <v>0.04</v>
      </c>
      <c r="W82" s="5" t="n">
        <v>28119.55</v>
      </c>
      <c r="X82" s="5" t="n">
        <v>10</v>
      </c>
      <c r="Y82" s="7" t="n">
        <v>78</v>
      </c>
      <c r="Z82" s="5" t="n">
        <v>0.76</v>
      </c>
      <c r="AA82" s="5" t="n">
        <v>2000</v>
      </c>
    </row>
    <row r="83" ht="15" customHeight="1">
      <c r="A83" s="3" t="n">
        <v>46023</v>
      </c>
      <c r="B83" s="4" t="inlineStr">
        <is>
          <t>王一鸣</t>
        </is>
      </c>
      <c r="C83" s="4" t="inlineStr">
        <is>
          <t>无忧/走读</t>
        </is>
      </c>
      <c r="D83" s="4" t="inlineStr">
        <is>
          <t>考研项目部</t>
        </is>
      </c>
      <c r="E83" s="4" t="inlineStr">
        <is>
          <t>走读项目部-销售管理部-O1学习顾问</t>
        </is>
      </c>
      <c r="F83" s="5">
        <f>G83+H83</f>
        <v/>
      </c>
      <c r="G83" s="5" t="n">
        <v>2000</v>
      </c>
      <c r="H83" s="5" t="n">
        <v>57991.02</v>
      </c>
      <c r="I83" s="5" t="n">
        <v>497400</v>
      </c>
      <c r="J83" s="5" t="n">
        <v>455000</v>
      </c>
      <c r="K83" s="5" t="n">
        <v>1262614</v>
      </c>
      <c r="L83" s="5" t="n">
        <v>-125734.6</v>
      </c>
      <c r="M83" s="5" t="n">
        <v>0</v>
      </c>
      <c r="N83" s="5" t="n">
        <v>1136879.4</v>
      </c>
      <c r="O83" s="7" t="n">
        <v>2.498636043956044</v>
      </c>
      <c r="P83" s="5" t="n">
        <v>23041</v>
      </c>
      <c r="Q83" s="5" t="n">
        <v>-100</v>
      </c>
      <c r="R83" s="5" t="n">
        <v>22941</v>
      </c>
      <c r="S83" s="5" t="n">
        <v>61800</v>
      </c>
      <c r="T83" s="5" t="n">
        <v>82300</v>
      </c>
      <c r="U83" s="7" t="n">
        <v>1.331715210355987</v>
      </c>
      <c r="V83" s="7" t="n">
        <v>0.05</v>
      </c>
      <c r="W83" s="5" t="n">
        <v>57991.02</v>
      </c>
      <c r="X83" s="5" t="n">
        <v>10</v>
      </c>
      <c r="Y83" s="7" t="n">
        <v>100</v>
      </c>
      <c r="Z83" s="5" t="n">
        <v>1</v>
      </c>
      <c r="AA83" s="5" t="n">
        <v>2000</v>
      </c>
    </row>
    <row r="84" ht="15" customHeight="1">
      <c r="A84" s="3" t="n">
        <v>46023</v>
      </c>
      <c r="B84" s="4" t="inlineStr">
        <is>
          <t>堕朕</t>
        </is>
      </c>
      <c r="C84" s="4" t="inlineStr">
        <is>
          <t>无忧/走读</t>
        </is>
      </c>
      <c r="D84" s="4" t="inlineStr">
        <is>
          <t>考研项目部</t>
        </is>
      </c>
      <c r="E84" s="4" t="inlineStr">
        <is>
          <t>走读项目部-销售管理部-O1学习顾问</t>
        </is>
      </c>
      <c r="F84" s="5">
        <f>G84+H84</f>
        <v/>
      </c>
      <c r="G84" s="5" t="n">
        <v>2000</v>
      </c>
      <c r="H84" s="5" t="n">
        <v>29982.49</v>
      </c>
      <c r="I84" s="5" t="n">
        <v>542900</v>
      </c>
      <c r="J84" s="5" t="n">
        <v>500500</v>
      </c>
      <c r="K84" s="5" t="n">
        <v>748277.8</v>
      </c>
      <c r="L84" s="5" t="n">
        <v>-90547.8</v>
      </c>
      <c r="M84" s="5" t="n">
        <v>0</v>
      </c>
      <c r="N84" s="5" t="n">
        <v>657730</v>
      </c>
      <c r="O84" s="7" t="n">
        <v>1.314145854145854</v>
      </c>
      <c r="P84" s="5" t="n">
        <v>101384</v>
      </c>
      <c r="Q84" s="5" t="n">
        <v>-9551.68</v>
      </c>
      <c r="R84" s="5" t="n">
        <v>91832.32000000001</v>
      </c>
      <c r="S84" s="5" t="n">
        <v>61800</v>
      </c>
      <c r="T84" s="5" t="n">
        <v>78950</v>
      </c>
      <c r="U84" s="7" t="n">
        <v>1.277508090614887</v>
      </c>
      <c r="V84" s="7" t="n">
        <v>0.04</v>
      </c>
      <c r="W84" s="5" t="n">
        <v>29982.49</v>
      </c>
      <c r="X84" s="5" t="n">
        <v>10</v>
      </c>
      <c r="Y84" s="7" t="n">
        <v>100</v>
      </c>
      <c r="Z84" s="5" t="n">
        <v>1</v>
      </c>
      <c r="AA84" s="5" t="n">
        <v>2000</v>
      </c>
    </row>
    <row r="85" ht="15" customHeight="1">
      <c r="A85" s="3" t="n">
        <v>46023</v>
      </c>
      <c r="B85" s="4" t="inlineStr">
        <is>
          <t>孙宝超</t>
        </is>
      </c>
      <c r="C85" s="4" t="inlineStr">
        <is>
          <t>无忧/走读</t>
        </is>
      </c>
      <c r="D85" s="4" t="inlineStr">
        <is>
          <t>考研项目部</t>
        </is>
      </c>
      <c r="E85" s="4" t="inlineStr">
        <is>
          <t>走读项目部-销售管理部-O1学习顾问</t>
        </is>
      </c>
      <c r="F85" s="5">
        <f>G85+H85</f>
        <v/>
      </c>
      <c r="G85" s="5" t="n">
        <v>900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7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7" t="n">
        <v>0</v>
      </c>
      <c r="V85" s="7" t="n">
        <v>0</v>
      </c>
      <c r="W85" s="5" t="n">
        <v>0</v>
      </c>
      <c r="X85" s="5" t="n">
        <v>0</v>
      </c>
      <c r="Y85" s="7" t="n">
        <v>0</v>
      </c>
      <c r="Z85" s="5" t="n">
        <v>0.45</v>
      </c>
      <c r="AA85" s="5" t="n">
        <v>2000</v>
      </c>
    </row>
    <row r="86" ht="15" customHeight="1">
      <c r="A86" s="3" t="n">
        <v>46023</v>
      </c>
      <c r="B86" s="4" t="inlineStr">
        <is>
          <t>席可</t>
        </is>
      </c>
      <c r="C86" s="4" t="inlineStr">
        <is>
          <t>无忧/走读</t>
        </is>
      </c>
      <c r="D86" s="4" t="inlineStr">
        <is>
          <t>考研项目部</t>
        </is>
      </c>
      <c r="E86" s="4" t="inlineStr">
        <is>
          <t>走读项目部-销售管理部-O1学习顾问</t>
        </is>
      </c>
      <c r="F86" s="5">
        <f>G86+H86</f>
        <v/>
      </c>
      <c r="G86" s="5" t="n">
        <v>500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7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7" t="n">
        <v>0</v>
      </c>
      <c r="V86" s="7" t="n">
        <v>0</v>
      </c>
      <c r="W86" s="5" t="n">
        <v>0</v>
      </c>
      <c r="X86" s="5" t="n">
        <v>0</v>
      </c>
      <c r="Y86" s="7" t="n">
        <v>0</v>
      </c>
      <c r="Z86" s="5" t="n">
        <v>0.25</v>
      </c>
      <c r="AA86" s="5" t="n">
        <v>2000</v>
      </c>
    </row>
    <row r="87" ht="15" customHeight="1">
      <c r="A87" s="3" t="n">
        <v>46023</v>
      </c>
      <c r="B87" s="4" t="inlineStr">
        <is>
          <t>李骏超</t>
        </is>
      </c>
      <c r="C87" s="4" t="inlineStr">
        <is>
          <t>无忧/走读</t>
        </is>
      </c>
      <c r="D87" s="4" t="inlineStr">
        <is>
          <t>考研项目部</t>
        </is>
      </c>
      <c r="E87" s="4" t="inlineStr">
        <is>
          <t>走读项目部-销售管理部-O1学习顾问</t>
        </is>
      </c>
      <c r="F87" s="5">
        <f>G87+H87</f>
        <v/>
      </c>
      <c r="G87" s="5" t="n">
        <v>1100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7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7" t="n">
        <v>0</v>
      </c>
      <c r="V87" s="7" t="n">
        <v>0</v>
      </c>
      <c r="W87" s="5" t="n">
        <v>0</v>
      </c>
      <c r="X87" s="5" t="n">
        <v>0</v>
      </c>
      <c r="Y87" s="7" t="n">
        <v>0</v>
      </c>
      <c r="Z87" s="5" t="n">
        <v>0.55</v>
      </c>
      <c r="AA87" s="5" t="n">
        <v>2000</v>
      </c>
    </row>
    <row r="88" ht="15" customHeight="1">
      <c r="A88" s="3" t="n">
        <v>46054</v>
      </c>
      <c r="B88" s="4" t="inlineStr">
        <is>
          <t>汪宇萌</t>
        </is>
      </c>
      <c r="C88" s="4" t="inlineStr">
        <is>
          <t>无忧/走读</t>
        </is>
      </c>
      <c r="D88" s="4" t="inlineStr">
        <is>
          <t>考研项目部</t>
        </is>
      </c>
      <c r="E88" s="4" t="inlineStr">
        <is>
          <t>走读顾问组长</t>
        </is>
      </c>
      <c r="F88" s="5">
        <f>G88+H88</f>
        <v/>
      </c>
      <c r="G88" s="5" t="n">
        <v>4000</v>
      </c>
      <c r="H88" s="5" t="n">
        <v>902.0260000000001</v>
      </c>
      <c r="I88" s="5" t="n">
        <v>616000</v>
      </c>
      <c r="J88" s="5" t="n">
        <v>0</v>
      </c>
      <c r="K88" s="5" t="n">
        <v>264978.4</v>
      </c>
      <c r="L88" s="5" t="n">
        <v>-59518.4</v>
      </c>
      <c r="M88" s="5" t="n">
        <v>0</v>
      </c>
      <c r="N88" s="5" t="n">
        <v>205460</v>
      </c>
      <c r="O88" s="7" t="n">
        <v>0.3335389610389611</v>
      </c>
      <c r="P88" s="5" t="n">
        <v>91242.60000000001</v>
      </c>
      <c r="Q88" s="5" t="n">
        <v>-1040</v>
      </c>
      <c r="R88" s="5" t="n">
        <v>90202.60000000001</v>
      </c>
      <c r="S88" s="5" t="n">
        <v>90000</v>
      </c>
      <c r="T88" s="5" t="n">
        <v>0</v>
      </c>
      <c r="U88" s="7" t="n">
        <v>0</v>
      </c>
      <c r="V88" s="7" t="n">
        <v>0</v>
      </c>
      <c r="W88" s="5" t="n">
        <v>902.0260000000001</v>
      </c>
      <c r="X88" s="5" t="n">
        <v>100</v>
      </c>
      <c r="Y88" s="7" t="n">
        <v>1</v>
      </c>
      <c r="Z88" s="5" t="n">
        <v>4000</v>
      </c>
      <c r="AA88" s="5" t="n">
        <v>4000</v>
      </c>
    </row>
    <row r="89" ht="15" customHeight="1">
      <c r="A89" s="3" t="n">
        <v>46054</v>
      </c>
      <c r="B89" s="4" t="inlineStr">
        <is>
          <t>刘海玲</t>
        </is>
      </c>
      <c r="C89" s="4" t="inlineStr">
        <is>
          <t>无忧/走读</t>
        </is>
      </c>
      <c r="D89" s="4" t="inlineStr">
        <is>
          <t>考研项目部</t>
        </is>
      </c>
      <c r="E89" s="4" t="inlineStr">
        <is>
          <t>走读项目部-销售管理部-O1学习顾问</t>
        </is>
      </c>
      <c r="F89" s="5">
        <f>G89+H89</f>
        <v/>
      </c>
      <c r="G89" s="5" t="n">
        <v>2000</v>
      </c>
      <c r="H89" s="5" t="n">
        <v>3224.508</v>
      </c>
      <c r="I89" s="5" t="n">
        <v>770000</v>
      </c>
      <c r="J89" s="5" t="n">
        <v>0</v>
      </c>
      <c r="K89" s="5" t="n">
        <v>650559.1</v>
      </c>
      <c r="L89" s="5" t="n">
        <v>-252420.1</v>
      </c>
      <c r="M89" s="5" t="n">
        <v>0</v>
      </c>
      <c r="N89" s="5" t="n">
        <v>398139</v>
      </c>
      <c r="O89" s="7" t="n">
        <v>0.5170636363636364</v>
      </c>
      <c r="P89" s="5" t="n">
        <v>3939.599999999999</v>
      </c>
      <c r="Q89" s="5" t="n">
        <v>0</v>
      </c>
      <c r="R89" s="5" t="n">
        <v>3939.599999999999</v>
      </c>
      <c r="S89" s="5" t="n">
        <v>90000</v>
      </c>
      <c r="T89" s="5" t="n">
        <v>35300</v>
      </c>
      <c r="U89" s="7" t="n">
        <v>0.3922222222222222</v>
      </c>
      <c r="V89" s="7" t="n">
        <v>0.008</v>
      </c>
      <c r="W89" s="5" t="n">
        <v>3224.508</v>
      </c>
      <c r="X89" s="5" t="n">
        <v>0</v>
      </c>
      <c r="Y89" s="7" t="n">
        <v>0</v>
      </c>
      <c r="Z89" s="5" t="n">
        <v>1</v>
      </c>
      <c r="AA89" s="5" t="n">
        <v>2000</v>
      </c>
    </row>
    <row r="90" ht="15" customHeight="1">
      <c r="A90" s="3" t="n">
        <v>46054</v>
      </c>
      <c r="B90" s="4" t="inlineStr">
        <is>
          <t>刘欢</t>
        </is>
      </c>
      <c r="C90" s="4" t="inlineStr">
        <is>
          <t>无忧/走读</t>
        </is>
      </c>
      <c r="D90" s="4" t="inlineStr">
        <is>
          <t>考研项目部</t>
        </is>
      </c>
      <c r="E90" s="4" t="inlineStr">
        <is>
          <t>走读项目部-销售管理部-O3学习顾问</t>
        </is>
      </c>
      <c r="F90" s="5">
        <f>G90+H90</f>
        <v/>
      </c>
      <c r="G90" s="5" t="n">
        <v>0</v>
      </c>
      <c r="H90" s="5" t="n">
        <v>43.012</v>
      </c>
      <c r="I90" s="5" t="n">
        <v>770000</v>
      </c>
      <c r="J90" s="5" t="n">
        <v>0</v>
      </c>
      <c r="K90" s="5" t="n">
        <v>148953.7</v>
      </c>
      <c r="L90" s="5" t="n">
        <v>-166972.9</v>
      </c>
      <c r="M90" s="5" t="n">
        <v>0</v>
      </c>
      <c r="N90" s="5" t="n">
        <v>-18019.20000000001</v>
      </c>
      <c r="O90" s="7" t="n">
        <v>-0.02340155844155846</v>
      </c>
      <c r="P90" s="5" t="n">
        <v>4381.2</v>
      </c>
      <c r="Q90" s="5" t="n">
        <v>-80</v>
      </c>
      <c r="R90" s="5" t="n">
        <v>4301.2</v>
      </c>
      <c r="S90" s="5" t="n">
        <v>90000</v>
      </c>
      <c r="T90" s="5" t="n">
        <v>40340</v>
      </c>
      <c r="U90" s="7" t="n">
        <v>0.4482222222222222</v>
      </c>
      <c r="V90" s="7" t="n">
        <v>0</v>
      </c>
      <c r="W90" s="5" t="n">
        <v>43.012</v>
      </c>
      <c r="X90" s="5" t="n">
        <v>0</v>
      </c>
      <c r="Y90" s="7" t="n">
        <v>0</v>
      </c>
      <c r="Z90" s="5" t="n">
        <v>1</v>
      </c>
      <c r="AA90" s="5" t="n">
        <v>0</v>
      </c>
    </row>
    <row r="91" ht="15" customHeight="1">
      <c r="A91" s="3" t="n">
        <v>46054</v>
      </c>
      <c r="B91" s="4" t="inlineStr">
        <is>
          <t>李婧</t>
        </is>
      </c>
      <c r="C91" s="4" t="inlineStr">
        <is>
          <t>无忧/走读</t>
        </is>
      </c>
      <c r="D91" s="4" t="inlineStr">
        <is>
          <t>考研项目部</t>
        </is>
      </c>
      <c r="E91" s="4" t="inlineStr">
        <is>
          <t>走读项目部-销售管理部-O1学习顾问</t>
        </is>
      </c>
      <c r="F91" s="5">
        <f>G91+H91</f>
        <v/>
      </c>
      <c r="G91" s="5" t="n">
        <v>2000</v>
      </c>
      <c r="H91" s="5" t="n">
        <v>228.336</v>
      </c>
      <c r="I91" s="5" t="n">
        <v>770000</v>
      </c>
      <c r="J91" s="5" t="n">
        <v>0</v>
      </c>
      <c r="K91" s="5" t="n">
        <v>271138.2</v>
      </c>
      <c r="L91" s="5" t="n">
        <v>-14398.2</v>
      </c>
      <c r="M91" s="5" t="n">
        <v>0</v>
      </c>
      <c r="N91" s="5" t="n">
        <v>256740</v>
      </c>
      <c r="O91" s="7" t="n">
        <v>0.3334285714285714</v>
      </c>
      <c r="P91" s="5" t="n">
        <v>22833.6</v>
      </c>
      <c r="Q91" s="5" t="n">
        <v>0</v>
      </c>
      <c r="R91" s="5" t="n">
        <v>22833.6</v>
      </c>
      <c r="S91" s="5" t="n">
        <v>90000</v>
      </c>
      <c r="T91" s="5" t="n">
        <v>17460</v>
      </c>
      <c r="U91" s="7" t="n">
        <v>0.194</v>
      </c>
      <c r="V91" s="7" t="n">
        <v>0</v>
      </c>
      <c r="W91" s="5" t="n">
        <v>228.336</v>
      </c>
      <c r="X91" s="5" t="n">
        <v>0</v>
      </c>
      <c r="Y91" s="7" t="n">
        <v>0</v>
      </c>
      <c r="Z91" s="5" t="n">
        <v>1</v>
      </c>
      <c r="AA91" s="5" t="n">
        <v>2000</v>
      </c>
    </row>
    <row r="92" ht="15" customHeight="1">
      <c r="A92" s="3" t="n">
        <v>46054</v>
      </c>
      <c r="B92" s="4" t="inlineStr">
        <is>
          <t>王秋雨</t>
        </is>
      </c>
      <c r="C92" s="4" t="inlineStr">
        <is>
          <t>无忧/走读</t>
        </is>
      </c>
      <c r="D92" s="4" t="inlineStr">
        <is>
          <t>考研项目部</t>
        </is>
      </c>
      <c r="E92" s="4" t="inlineStr">
        <is>
          <t>走读项目部-销售管理部-O1学习顾问</t>
        </is>
      </c>
      <c r="F92" s="5">
        <f>G92+H92</f>
        <v/>
      </c>
      <c r="G92" s="5" t="n">
        <v>2000</v>
      </c>
      <c r="H92" s="5" t="n">
        <v>516.043</v>
      </c>
      <c r="I92" s="5" t="n">
        <v>708000</v>
      </c>
      <c r="J92" s="5" t="n">
        <v>0</v>
      </c>
      <c r="K92" s="5" t="n">
        <v>301768.55</v>
      </c>
      <c r="L92" s="5" t="n">
        <v>-33268.55</v>
      </c>
      <c r="M92" s="5" t="n">
        <v>0</v>
      </c>
      <c r="N92" s="5" t="n">
        <v>268500</v>
      </c>
      <c r="O92" s="7" t="n">
        <v>0.3792372881355932</v>
      </c>
      <c r="P92" s="5" t="n">
        <v>51604.3</v>
      </c>
      <c r="Q92" s="5" t="n">
        <v>0</v>
      </c>
      <c r="R92" s="5" t="n">
        <v>51604.3</v>
      </c>
      <c r="S92" s="5" t="n">
        <v>72000</v>
      </c>
      <c r="T92" s="5" t="n">
        <v>18300</v>
      </c>
      <c r="U92" s="7" t="n">
        <v>0.2541666666666667</v>
      </c>
      <c r="V92" s="7" t="n">
        <v>0</v>
      </c>
      <c r="W92" s="5" t="n">
        <v>516.043</v>
      </c>
      <c r="X92" s="5" t="n">
        <v>0</v>
      </c>
      <c r="Y92" s="7" t="n">
        <v>0</v>
      </c>
      <c r="Z92" s="5" t="n">
        <v>1</v>
      </c>
      <c r="AA92" s="5" t="n">
        <v>2000</v>
      </c>
    </row>
    <row r="93" ht="15" customHeight="1">
      <c r="A93" s="3" t="n">
        <v>46054</v>
      </c>
      <c r="B93" s="4" t="inlineStr">
        <is>
          <t>卢晓飞</t>
        </is>
      </c>
      <c r="C93" s="4" t="inlineStr">
        <is>
          <t>无忧/走读</t>
        </is>
      </c>
      <c r="D93" s="4" t="inlineStr">
        <is>
          <t>考研项目部</t>
        </is>
      </c>
      <c r="E93" s="4" t="inlineStr">
        <is>
          <t>走读项目部-销售管理部-O1学习顾问</t>
        </is>
      </c>
      <c r="F93" s="5">
        <f>G93+H93</f>
        <v/>
      </c>
      <c r="G93" s="5" t="n">
        <v>2000</v>
      </c>
      <c r="H93" s="5" t="n">
        <v>133.109</v>
      </c>
      <c r="I93" s="5" t="n">
        <v>708000</v>
      </c>
      <c r="J93" s="5" t="n">
        <v>0</v>
      </c>
      <c r="K93" s="5" t="n">
        <v>255452.05</v>
      </c>
      <c r="L93" s="5" t="n">
        <v>-124080.55</v>
      </c>
      <c r="M93" s="5" t="n">
        <v>25220</v>
      </c>
      <c r="N93" s="5" t="n">
        <v>156591.5</v>
      </c>
      <c r="O93" s="7" t="n">
        <v>0.2211744350282486</v>
      </c>
      <c r="P93" s="5" t="n">
        <v>13410.9</v>
      </c>
      <c r="Q93" s="5" t="n">
        <v>-100</v>
      </c>
      <c r="R93" s="5" t="n">
        <v>13310.9</v>
      </c>
      <c r="S93" s="5" t="n">
        <v>72000</v>
      </c>
      <c r="T93" s="5" t="n">
        <v>0</v>
      </c>
      <c r="U93" s="7" t="n">
        <v>0</v>
      </c>
      <c r="V93" s="7" t="n">
        <v>0</v>
      </c>
      <c r="W93" s="5" t="n">
        <v>133.109</v>
      </c>
      <c r="X93" s="5" t="n">
        <v>0</v>
      </c>
      <c r="Y93" s="7" t="n">
        <v>0</v>
      </c>
      <c r="Z93" s="5" t="n">
        <v>1</v>
      </c>
      <c r="AA93" s="5" t="n">
        <v>2000</v>
      </c>
    </row>
    <row r="94" ht="15" customHeight="1">
      <c r="A94" s="3" t="n">
        <v>46054</v>
      </c>
      <c r="B94" s="4" t="inlineStr">
        <is>
          <t>王一鸣</t>
        </is>
      </c>
      <c r="C94" s="4" t="inlineStr">
        <is>
          <t>无忧/走读</t>
        </is>
      </c>
      <c r="D94" s="4" t="inlineStr">
        <is>
          <t>考研项目部</t>
        </is>
      </c>
      <c r="E94" s="4" t="inlineStr">
        <is>
          <t>走读项目部-销售管理部-O1学习顾问</t>
        </is>
      </c>
      <c r="F94" s="5">
        <f>G94+H94</f>
        <v/>
      </c>
      <c r="G94" s="5" t="n">
        <v>2000</v>
      </c>
      <c r="H94" s="5" t="n">
        <v>2679.800000000001</v>
      </c>
      <c r="I94" s="5" t="n">
        <v>708000</v>
      </c>
      <c r="J94" s="5" t="n">
        <v>0</v>
      </c>
      <c r="K94" s="5" t="n">
        <v>562149.3</v>
      </c>
      <c r="L94" s="5" t="n">
        <v>-250544.3</v>
      </c>
      <c r="M94" s="5" t="n">
        <v>0</v>
      </c>
      <c r="N94" s="5" t="n">
        <v>311605.0000000001</v>
      </c>
      <c r="O94" s="7" t="n">
        <v>0.4401200564971752</v>
      </c>
      <c r="P94" s="5" t="n">
        <v>18696</v>
      </c>
      <c r="Q94" s="5" t="n">
        <v>0</v>
      </c>
      <c r="R94" s="5" t="n">
        <v>18696</v>
      </c>
      <c r="S94" s="5" t="n">
        <v>72000</v>
      </c>
      <c r="T94" s="5" t="n">
        <v>49300</v>
      </c>
      <c r="U94" s="7" t="n">
        <v>0.6847222222222222</v>
      </c>
      <c r="V94" s="7" t="n">
        <v>0.008</v>
      </c>
      <c r="W94" s="5" t="n">
        <v>2679.800000000001</v>
      </c>
      <c r="X94" s="5" t="n">
        <v>0</v>
      </c>
      <c r="Y94" s="7" t="n">
        <v>0</v>
      </c>
      <c r="Z94" s="5" t="n">
        <v>1</v>
      </c>
      <c r="AA94" s="5" t="n">
        <v>2000</v>
      </c>
    </row>
    <row r="95" ht="15" customHeight="1">
      <c r="A95" s="3" t="n">
        <v>46054</v>
      </c>
      <c r="B95" s="4" t="inlineStr">
        <is>
          <t>堕朕</t>
        </is>
      </c>
      <c r="C95" s="4" t="inlineStr">
        <is>
          <t>无忧/走读</t>
        </is>
      </c>
      <c r="D95" s="4" t="inlineStr">
        <is>
          <t>考研项目部</t>
        </is>
      </c>
      <c r="E95" s="4" t="inlineStr">
        <is>
          <t>走读项目部-销售管理部-O1学习顾问</t>
        </is>
      </c>
      <c r="F95" s="5">
        <f>G95+H95</f>
        <v/>
      </c>
      <c r="G95" s="5" t="n">
        <v>2000</v>
      </c>
      <c r="H95" s="5" t="n">
        <v>362.947</v>
      </c>
      <c r="I95" s="5" t="n">
        <v>708000</v>
      </c>
      <c r="J95" s="5" t="n">
        <v>0</v>
      </c>
      <c r="K95" s="5" t="n">
        <v>90900</v>
      </c>
      <c r="L95" s="5" t="n">
        <v>-96731.8</v>
      </c>
      <c r="M95" s="5" t="n">
        <v>0</v>
      </c>
      <c r="N95" s="5" t="n">
        <v>-5831.800000000003</v>
      </c>
      <c r="O95" s="7" t="n">
        <v>-0.008237005649717518</v>
      </c>
      <c r="P95" s="5" t="n">
        <v>36294.7</v>
      </c>
      <c r="Q95" s="5" t="n">
        <v>0</v>
      </c>
      <c r="R95" s="5" t="n">
        <v>36294.7</v>
      </c>
      <c r="S95" s="5" t="n">
        <v>72000</v>
      </c>
      <c r="T95" s="5" t="n">
        <v>21400</v>
      </c>
      <c r="U95" s="7" t="n">
        <v>0.2972222222222222</v>
      </c>
      <c r="V95" s="7" t="n">
        <v>0</v>
      </c>
      <c r="W95" s="5" t="n">
        <v>362.947</v>
      </c>
      <c r="X95" s="5" t="n">
        <v>0</v>
      </c>
      <c r="Y95" s="7" t="n">
        <v>0</v>
      </c>
      <c r="Z95" s="5" t="n">
        <v>1</v>
      </c>
      <c r="AA95" s="5" t="n">
        <v>2000</v>
      </c>
    </row>
    <row r="96" ht="15" customHeight="1">
      <c r="A96" s="3" t="n">
        <v>46054</v>
      </c>
      <c r="B96" s="4" t="inlineStr">
        <is>
          <t>孙宝超</t>
        </is>
      </c>
      <c r="C96" s="4" t="inlineStr">
        <is>
          <t>无忧/走读</t>
        </is>
      </c>
      <c r="D96" s="4" t="inlineStr">
        <is>
          <t>考研项目部</t>
        </is>
      </c>
      <c r="E96" s="4" t="inlineStr">
        <is>
          <t>走读项目部-销售管理部-O1学习顾问</t>
        </is>
      </c>
      <c r="F96" s="5">
        <f>G96+H96</f>
        <v/>
      </c>
      <c r="G96" s="5" t="n">
        <v>2000</v>
      </c>
      <c r="H96" s="5" t="n">
        <v>304.074</v>
      </c>
      <c r="I96" s="5" t="n">
        <v>165000</v>
      </c>
      <c r="J96" s="5" t="n">
        <v>0</v>
      </c>
      <c r="K96" s="5" t="n">
        <v>36099.99999999999</v>
      </c>
      <c r="L96" s="5" t="n">
        <v>0</v>
      </c>
      <c r="M96" s="5" t="n">
        <v>0</v>
      </c>
      <c r="N96" s="5" t="n">
        <v>36099.99999999999</v>
      </c>
      <c r="O96" s="7" t="n">
        <v>0.2187878787878788</v>
      </c>
      <c r="P96" s="5" t="n">
        <v>30407.4</v>
      </c>
      <c r="Q96" s="5" t="n">
        <v>0</v>
      </c>
      <c r="R96" s="5" t="n">
        <v>30407.4</v>
      </c>
      <c r="S96" s="5" t="n">
        <v>27000</v>
      </c>
      <c r="T96" s="5" t="n">
        <v>0</v>
      </c>
      <c r="U96" s="7" t="n">
        <v>0</v>
      </c>
      <c r="V96" s="7" t="n">
        <v>0</v>
      </c>
      <c r="W96" s="5" t="n">
        <v>304.074</v>
      </c>
      <c r="X96" s="5" t="n">
        <v>0</v>
      </c>
      <c r="Y96" s="7" t="n">
        <v>0</v>
      </c>
      <c r="Z96" s="5" t="n">
        <v>1</v>
      </c>
      <c r="AA96" s="5" t="n">
        <v>2000</v>
      </c>
    </row>
    <row r="97" ht="15" customHeight="1">
      <c r="A97" s="3" t="n">
        <v>46054</v>
      </c>
      <c r="B97" s="4" t="inlineStr">
        <is>
          <t>席可</t>
        </is>
      </c>
      <c r="C97" s="4" t="inlineStr">
        <is>
          <t>无忧/走读</t>
        </is>
      </c>
      <c r="D97" s="4" t="inlineStr">
        <is>
          <t>考研项目部</t>
        </is>
      </c>
      <c r="E97" s="4" t="inlineStr">
        <is>
          <t>走读项目部-销售管理部-O1学习顾问</t>
        </is>
      </c>
      <c r="F97" s="5">
        <f>G97+H97</f>
        <v/>
      </c>
      <c r="G97" s="5" t="n">
        <v>2000</v>
      </c>
      <c r="H97" s="5" t="n">
        <v>118.414</v>
      </c>
      <c r="I97" s="5" t="n">
        <v>165000</v>
      </c>
      <c r="J97" s="5" t="n">
        <v>0</v>
      </c>
      <c r="K97" s="5" t="n">
        <v>5680.000000000002</v>
      </c>
      <c r="L97" s="5" t="n">
        <v>0</v>
      </c>
      <c r="M97" s="5" t="n">
        <v>0</v>
      </c>
      <c r="N97" s="5" t="n">
        <v>5680.000000000002</v>
      </c>
      <c r="O97" s="7" t="n">
        <v>0.03442424242424243</v>
      </c>
      <c r="P97" s="5" t="n">
        <v>11841.4</v>
      </c>
      <c r="Q97" s="5" t="n">
        <v>0</v>
      </c>
      <c r="R97" s="5" t="n">
        <v>11841.4</v>
      </c>
      <c r="S97" s="5" t="n">
        <v>27000</v>
      </c>
      <c r="T97" s="5" t="n">
        <v>0</v>
      </c>
      <c r="U97" s="7" t="n">
        <v>0</v>
      </c>
      <c r="V97" s="7" t="n">
        <v>0</v>
      </c>
      <c r="W97" s="5" t="n">
        <v>118.414</v>
      </c>
      <c r="X97" s="5" t="n">
        <v>0</v>
      </c>
      <c r="Y97" s="7" t="n">
        <v>0</v>
      </c>
      <c r="Z97" s="5" t="n">
        <v>1</v>
      </c>
      <c r="AA97" s="5" t="n">
        <v>2000</v>
      </c>
    </row>
    <row r="98" ht="15" customHeight="1">
      <c r="A98" s="3" t="n">
        <v>46054</v>
      </c>
      <c r="B98" s="4" t="inlineStr">
        <is>
          <t>李骏超</t>
        </is>
      </c>
      <c r="C98" s="4" t="inlineStr">
        <is>
          <t>无忧/走读</t>
        </is>
      </c>
      <c r="D98" s="4" t="inlineStr">
        <is>
          <t>考研项目部</t>
        </is>
      </c>
      <c r="E98" s="4" t="inlineStr">
        <is>
          <t>走读项目部-销售管理部-O1学习顾问</t>
        </is>
      </c>
      <c r="F98" s="5">
        <f>G98+H98</f>
        <v/>
      </c>
      <c r="G98" s="5" t="n">
        <v>2000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7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7" t="n">
        <v>0</v>
      </c>
      <c r="V98" s="7" t="n">
        <v>0</v>
      </c>
      <c r="W98" s="5" t="n">
        <v>0</v>
      </c>
      <c r="X98" s="5" t="n">
        <v>0</v>
      </c>
      <c r="Y98" s="7" t="n">
        <v>0</v>
      </c>
      <c r="Z98" s="5" t="n">
        <v>1</v>
      </c>
      <c r="AA98" s="5" t="n">
        <v>2000</v>
      </c>
    </row>
    <row r="99" ht="15" customHeight="1">
      <c r="A99" s="3" t="n">
        <v>46054</v>
      </c>
      <c r="B99" s="4" t="inlineStr">
        <is>
          <t>徐钦</t>
        </is>
      </c>
      <c r="C99" s="4" t="inlineStr">
        <is>
          <t>无忧/走读</t>
        </is>
      </c>
      <c r="D99" s="4" t="inlineStr">
        <is>
          <t>考研项目部</t>
        </is>
      </c>
      <c r="E99" s="4" t="inlineStr">
        <is>
          <t>走读项目部-销售管理部-O1学习顾问</t>
        </is>
      </c>
      <c r="F99" s="5">
        <f>G99+H99</f>
        <v/>
      </c>
      <c r="G99" s="5" t="n">
        <v>2000</v>
      </c>
      <c r="H99" s="5" t="n">
        <v>0</v>
      </c>
      <c r="I99" s="5" t="n">
        <v>0</v>
      </c>
      <c r="J99" s="5" t="n">
        <v>0</v>
      </c>
      <c r="K99" s="5" t="n">
        <v>4900</v>
      </c>
      <c r="L99" s="5" t="n">
        <v>0</v>
      </c>
      <c r="M99" s="5" t="n">
        <v>0</v>
      </c>
      <c r="N99" s="5" t="n">
        <v>4900</v>
      </c>
      <c r="O99" s="7" t="n">
        <v>0.0296969696969697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7" t="n">
        <v>0</v>
      </c>
      <c r="V99" s="7" t="n">
        <v>0</v>
      </c>
      <c r="W99" s="5" t="n">
        <v>0</v>
      </c>
      <c r="X99" s="5" t="n">
        <v>0</v>
      </c>
      <c r="Y99" s="7" t="n">
        <v>0</v>
      </c>
      <c r="Z99" s="5" t="n">
        <v>1</v>
      </c>
      <c r="AA99" s="5" t="n">
        <v>2000</v>
      </c>
    </row>
    <row r="100" ht="15" customHeight="1">
      <c r="A100" s="3" t="n">
        <v>46082</v>
      </c>
      <c r="B100" s="4" t="inlineStr">
        <is>
          <t>刘海玲</t>
        </is>
      </c>
      <c r="C100" s="4" t="inlineStr">
        <is>
          <t>无忧/走读</t>
        </is>
      </c>
      <c r="D100" s="4" t="inlineStr">
        <is>
          <t>考研项目部</t>
        </is>
      </c>
      <c r="E100" s="4" t="inlineStr">
        <is>
          <t>走读项目部-销售管理部-O1学习顾问</t>
        </is>
      </c>
      <c r="F100" s="5">
        <f>G100+H100</f>
        <v/>
      </c>
      <c r="G100" s="5">
        <f>AA100</f>
        <v/>
      </c>
      <c r="H100" s="5">
        <f>W100</f>
        <v/>
      </c>
      <c r="I100" s="5" t="n">
        <v>1844400</v>
      </c>
      <c r="K100" s="5" t="n">
        <v>2405732</v>
      </c>
      <c r="L100" s="5" t="n">
        <v>-579952</v>
      </c>
      <c r="M100" s="5" t="n">
        <v>63000</v>
      </c>
      <c r="N100" s="5" t="n">
        <v>1888780</v>
      </c>
      <c r="O100" s="7" t="n">
        <v>1.02</v>
      </c>
      <c r="P100" s="5" t="n">
        <v>25319</v>
      </c>
      <c r="Q100" s="5" t="n">
        <v>-3326</v>
      </c>
      <c r="R100" s="5" t="n">
        <v>21993</v>
      </c>
      <c r="S100" s="5" t="n">
        <v>220000</v>
      </c>
      <c r="T100" s="5" t="n">
        <v>97260</v>
      </c>
      <c r="U100" s="7" t="n">
        <v>0.44</v>
      </c>
      <c r="V100" s="7" t="n">
        <v>0.03</v>
      </c>
      <c r="W100" s="5" t="n">
        <v>56883.34</v>
      </c>
      <c r="X100" s="5" t="n">
        <v>30</v>
      </c>
      <c r="Y100" s="7" t="n">
        <v>0</v>
      </c>
      <c r="Z100" s="5" t="n">
        <v>4000</v>
      </c>
      <c r="AA100" s="5" t="n">
        <v>-2000</v>
      </c>
    </row>
    <row r="101" ht="15" customHeight="1">
      <c r="A101" s="3" t="n">
        <v>46082</v>
      </c>
      <c r="B101" s="4" t="inlineStr">
        <is>
          <t>刘欢</t>
        </is>
      </c>
      <c r="C101" s="4" t="inlineStr">
        <is>
          <t>无忧/走读</t>
        </is>
      </c>
      <c r="D101" s="4" t="inlineStr">
        <is>
          <t>考研项目部</t>
        </is>
      </c>
      <c r="E101" s="4" t="inlineStr">
        <is>
          <t>走读项目部-销售管理部-O3学习顾问</t>
        </is>
      </c>
      <c r="F101" s="5">
        <f>G101+H101</f>
        <v/>
      </c>
      <c r="G101" s="5">
        <f>AA101</f>
        <v/>
      </c>
      <c r="H101" s="5">
        <f>W101</f>
        <v/>
      </c>
      <c r="I101" s="5" t="n">
        <v>669900</v>
      </c>
      <c r="K101" s="5" t="n">
        <v>148954</v>
      </c>
      <c r="L101" s="5" t="n">
        <v>-373755</v>
      </c>
      <c r="M101" s="5" t="n"/>
      <c r="N101" s="5" t="n">
        <v>-224802</v>
      </c>
      <c r="O101" s="7" t="n">
        <v>-0.34</v>
      </c>
      <c r="P101" s="5" t="n">
        <v>4381</v>
      </c>
      <c r="Q101" s="5" t="n">
        <v>-6172</v>
      </c>
      <c r="R101" s="5" t="n">
        <v>-1791</v>
      </c>
      <c r="S101" s="5" t="n"/>
      <c r="T101" s="5" t="n">
        <v>40340</v>
      </c>
      <c r="U101" s="7" t="n"/>
      <c r="V101" s="7" t="n">
        <v>0</v>
      </c>
      <c r="W101" s="5" t="n">
        <v>-17.91</v>
      </c>
      <c r="X101" s="5" t="n">
        <v>30</v>
      </c>
      <c r="Y101" s="7" t="n">
        <v>0</v>
      </c>
      <c r="Z101" s="5" t="n">
        <v>0</v>
      </c>
      <c r="AA101" s="5" t="n">
        <v>0</v>
      </c>
    </row>
    <row r="102" ht="15" customHeight="1">
      <c r="A102" s="3" t="n">
        <v>46082</v>
      </c>
      <c r="B102" s="4" t="inlineStr">
        <is>
          <t>汪宇萌</t>
        </is>
      </c>
      <c r="C102" s="4" t="inlineStr">
        <is>
          <t>无忧/走读</t>
        </is>
      </c>
      <c r="D102" s="4" t="inlineStr">
        <is>
          <t>考研项目部</t>
        </is>
      </c>
      <c r="E102" s="4" t="inlineStr">
        <is>
          <t>走读顾问组长</t>
        </is>
      </c>
      <c r="F102" s="5">
        <f>G102+H102</f>
        <v/>
      </c>
      <c r="G102" s="5">
        <f>AA102</f>
        <v/>
      </c>
      <c r="H102" s="5">
        <f>W102</f>
        <v/>
      </c>
      <c r="I102" s="5" t="n">
        <v>1710420</v>
      </c>
      <c r="K102" s="5" t="n">
        <v>2658369</v>
      </c>
      <c r="L102" s="5" t="n">
        <v>-440914</v>
      </c>
      <c r="M102" s="5" t="n"/>
      <c r="N102" s="5" t="n">
        <v>2217455</v>
      </c>
      <c r="O102" s="7" t="n">
        <v>1.3</v>
      </c>
      <c r="P102" s="5" t="n">
        <v>173512</v>
      </c>
      <c r="Q102" s="5" t="n">
        <v>-30435</v>
      </c>
      <c r="R102" s="5" t="n">
        <v>143077</v>
      </c>
      <c r="S102" s="5" t="n">
        <v>220000</v>
      </c>
      <c r="T102" s="5" t="n">
        <v>94640</v>
      </c>
      <c r="U102" s="7" t="n">
        <v>0.43</v>
      </c>
      <c r="V102" s="7" t="n">
        <v>0.04</v>
      </c>
      <c r="W102" s="5" t="n">
        <v>90128.95</v>
      </c>
      <c r="X102" s="5" t="n">
        <v>85</v>
      </c>
      <c r="Y102" s="7" t="n">
        <v>0.4</v>
      </c>
      <c r="Z102" s="5" t="n">
        <v>8000</v>
      </c>
      <c r="AA102" s="5" t="n">
        <v>3200</v>
      </c>
    </row>
    <row r="103" ht="15" customHeight="1">
      <c r="A103" s="3" t="n">
        <v>46082</v>
      </c>
      <c r="B103" s="4" t="inlineStr">
        <is>
          <t>李婧</t>
        </is>
      </c>
      <c r="C103" s="4" t="inlineStr">
        <is>
          <t>无忧/走读</t>
        </is>
      </c>
      <c r="D103" s="4" t="inlineStr">
        <is>
          <t>考研项目部</t>
        </is>
      </c>
      <c r="E103" s="4" t="inlineStr">
        <is>
          <t>走读项目部-销售管理部-O1学习顾问</t>
        </is>
      </c>
      <c r="F103" s="5">
        <f>G103+H103</f>
        <v/>
      </c>
      <c r="G103" s="5">
        <f>AA103</f>
        <v/>
      </c>
      <c r="H103" s="5">
        <f>W103</f>
        <v/>
      </c>
      <c r="I103" s="5" t="n">
        <v>1844400</v>
      </c>
      <c r="K103" s="5" t="n">
        <v>1965062</v>
      </c>
      <c r="L103" s="5" t="n">
        <v>-92948</v>
      </c>
      <c r="M103" s="5" t="n">
        <v>4800</v>
      </c>
      <c r="N103" s="5" t="n">
        <v>1876913</v>
      </c>
      <c r="O103" s="7" t="n">
        <v>1.02</v>
      </c>
      <c r="P103" s="5" t="n">
        <v>67490</v>
      </c>
      <c r="Q103" s="5" t="n">
        <v>-20378</v>
      </c>
      <c r="R103" s="5" t="n">
        <v>47113</v>
      </c>
      <c r="S103" s="5" t="n">
        <v>220000</v>
      </c>
      <c r="T103" s="5" t="n">
        <v>193060</v>
      </c>
      <c r="U103" s="7" t="n">
        <v>0.88</v>
      </c>
      <c r="V103" s="7" t="n">
        <v>0.03</v>
      </c>
      <c r="W103" s="5" t="n">
        <v>56778.53</v>
      </c>
      <c r="X103" s="5" t="n">
        <v>89.1102272727273</v>
      </c>
      <c r="Y103" s="7" t="n">
        <v>0.9822045454545451</v>
      </c>
      <c r="Z103" s="5" t="n">
        <v>4000</v>
      </c>
      <c r="AA103" s="5" t="n">
        <v>1928.81818181818</v>
      </c>
    </row>
    <row r="104" ht="15" customHeight="1">
      <c r="A104" s="3" t="n">
        <v>46082</v>
      </c>
      <c r="B104" s="4" t="inlineStr">
        <is>
          <t>王秋雨</t>
        </is>
      </c>
      <c r="C104" s="4" t="inlineStr">
        <is>
          <t>无忧/走读</t>
        </is>
      </c>
      <c r="D104" s="4" t="inlineStr">
        <is>
          <t>考研项目部</t>
        </is>
      </c>
      <c r="E104" s="4" t="inlineStr">
        <is>
          <t>走读项目部-销售管理部-O1学习顾问</t>
        </is>
      </c>
      <c r="F104" s="5">
        <f>G104+H104</f>
        <v/>
      </c>
      <c r="G104" s="5">
        <f>AA104</f>
        <v/>
      </c>
      <c r="H104" s="5">
        <f>W104</f>
        <v/>
      </c>
      <c r="I104" s="5" t="n">
        <v>1790460</v>
      </c>
      <c r="K104" s="5" t="n">
        <v>2276712</v>
      </c>
      <c r="L104" s="5" t="n">
        <v>-253246</v>
      </c>
      <c r="M104" s="5" t="n"/>
      <c r="N104" s="5" t="n">
        <v>2023467</v>
      </c>
      <c r="O104" s="7" t="n">
        <v>1.13</v>
      </c>
      <c r="P104" s="5" t="n">
        <v>179344</v>
      </c>
      <c r="Q104" s="5" t="n">
        <v>-8190</v>
      </c>
      <c r="R104" s="5" t="n">
        <v>171154</v>
      </c>
      <c r="S104" s="5" t="n">
        <v>220000</v>
      </c>
      <c r="T104" s="5" t="n">
        <v>159870</v>
      </c>
      <c r="U104" s="7" t="n">
        <v>0.73</v>
      </c>
      <c r="V104" s="7" t="n">
        <v>0.03</v>
      </c>
      <c r="W104" s="5" t="n">
        <v>63127.24</v>
      </c>
      <c r="X104" s="5" t="n">
        <v>80</v>
      </c>
      <c r="Y104" s="7" t="n">
        <v>0.8</v>
      </c>
      <c r="Z104" s="5" t="n">
        <v>4000</v>
      </c>
      <c r="AA104" s="5" t="n">
        <v>1200</v>
      </c>
    </row>
    <row r="105" ht="15" customHeight="1">
      <c r="A105" s="3" t="n">
        <v>46082</v>
      </c>
      <c r="B105" s="4" t="inlineStr">
        <is>
          <t>卢晓飞</t>
        </is>
      </c>
      <c r="C105" s="4" t="inlineStr">
        <is>
          <t>无忧/走读</t>
        </is>
      </c>
      <c r="D105" s="4" t="inlineStr">
        <is>
          <t>考研项目部</t>
        </is>
      </c>
      <c r="E105" s="4" t="inlineStr">
        <is>
          <t>走读项目部-销售管理部-O1学习顾问</t>
        </is>
      </c>
      <c r="F105" s="5">
        <f>G105+H105</f>
        <v/>
      </c>
      <c r="G105" s="5">
        <f>AA105</f>
        <v/>
      </c>
      <c r="H105" s="5">
        <f>W105</f>
        <v/>
      </c>
      <c r="I105" s="5" t="n">
        <v>1708680</v>
      </c>
      <c r="K105" s="5" t="n">
        <v>1636320</v>
      </c>
      <c r="L105" s="5" t="n">
        <v>-241351</v>
      </c>
      <c r="M105" s="5" t="n">
        <v>25220</v>
      </c>
      <c r="N105" s="5" t="n">
        <v>1420189</v>
      </c>
      <c r="O105" s="7" t="n">
        <v>0.83</v>
      </c>
      <c r="P105" s="5" t="n">
        <v>46501</v>
      </c>
      <c r="Q105" s="5" t="n">
        <v>-170</v>
      </c>
      <c r="R105" s="5" t="n">
        <v>46331</v>
      </c>
      <c r="S105" s="5" t="n">
        <v>170000</v>
      </c>
      <c r="T105" s="5" t="n">
        <v>182180</v>
      </c>
      <c r="U105" s="7" t="n">
        <v>1.07</v>
      </c>
      <c r="V105" s="7" t="n">
        <v>0.018</v>
      </c>
      <c r="W105" s="5" t="n">
        <v>26026.71</v>
      </c>
      <c r="X105" s="5" t="n">
        <v>80</v>
      </c>
      <c r="Y105" s="7" t="n">
        <v>0.8</v>
      </c>
      <c r="Z105" s="5" t="n">
        <v>4000</v>
      </c>
      <c r="AA105" s="5" t="n">
        <v>1200</v>
      </c>
    </row>
    <row r="106" ht="15" customHeight="1">
      <c r="A106" s="3" t="n">
        <v>46082</v>
      </c>
      <c r="B106" s="4" t="inlineStr">
        <is>
          <t>王一鸣</t>
        </is>
      </c>
      <c r="C106" s="4" t="inlineStr">
        <is>
          <t>无忧/走读</t>
        </is>
      </c>
      <c r="D106" s="4" t="inlineStr">
        <is>
          <t>考研项目部</t>
        </is>
      </c>
      <c r="E106" s="4" t="inlineStr">
        <is>
          <t>走读项目部-销售管理部-O1学习顾问</t>
        </is>
      </c>
      <c r="F106" s="5">
        <f>G106+H106</f>
        <v/>
      </c>
      <c r="G106" s="5">
        <f>AA106</f>
        <v/>
      </c>
      <c r="H106" s="5">
        <f>W106</f>
        <v/>
      </c>
      <c r="I106" s="5" t="n">
        <v>1708680</v>
      </c>
      <c r="K106" s="5" t="n">
        <v>2563540</v>
      </c>
      <c r="L106" s="5" t="n">
        <v>-489654</v>
      </c>
      <c r="M106" s="5" t="n"/>
      <c r="N106" s="5" t="n">
        <v>2073886</v>
      </c>
      <c r="O106" s="7" t="n">
        <v>1.21</v>
      </c>
      <c r="P106" s="5" t="n">
        <v>30187</v>
      </c>
      <c r="Q106" s="5" t="n">
        <v>-21687</v>
      </c>
      <c r="R106" s="5" t="n">
        <v>8500</v>
      </c>
      <c r="S106" s="5" t="n">
        <v>170000</v>
      </c>
      <c r="T106" s="5" t="n">
        <v>268600</v>
      </c>
      <c r="U106" s="7" t="n">
        <v>1.58</v>
      </c>
      <c r="V106" s="7" t="n">
        <v>0.04</v>
      </c>
      <c r="W106" s="5" t="n">
        <v>83040.42999999999</v>
      </c>
      <c r="X106" s="5" t="n">
        <v>30</v>
      </c>
      <c r="Y106" s="7" t="n">
        <v>0</v>
      </c>
      <c r="Z106" s="5" t="n">
        <v>4000</v>
      </c>
      <c r="AA106" s="5" t="n">
        <v>-2000</v>
      </c>
    </row>
    <row r="107" ht="15" customHeight="1">
      <c r="A107" s="3" t="n">
        <v>46082</v>
      </c>
      <c r="B107" s="4" t="inlineStr">
        <is>
          <t>堕朕</t>
        </is>
      </c>
      <c r="C107" s="4" t="inlineStr">
        <is>
          <t>无忧/走读</t>
        </is>
      </c>
      <c r="D107" s="4" t="inlineStr">
        <is>
          <t>考研项目部</t>
        </is>
      </c>
      <c r="E107" s="4" t="inlineStr">
        <is>
          <t>走读项目部-销售管理部-O1学习顾问</t>
        </is>
      </c>
      <c r="F107" s="5">
        <f>G107+H107</f>
        <v/>
      </c>
      <c r="G107" s="5">
        <f>AA107</f>
        <v/>
      </c>
      <c r="H107" s="5">
        <f>W107</f>
        <v/>
      </c>
      <c r="I107" s="5" t="n">
        <v>1708680</v>
      </c>
      <c r="K107" s="5" t="n">
        <v>2047498</v>
      </c>
      <c r="L107" s="5" t="n">
        <v>-316674</v>
      </c>
      <c r="M107" s="5" t="n">
        <v>21000</v>
      </c>
      <c r="N107" s="5" t="n">
        <v>1751825</v>
      </c>
      <c r="O107" s="7" t="n">
        <v>1.03</v>
      </c>
      <c r="P107" s="5" t="n">
        <v>143463</v>
      </c>
      <c r="Q107" s="5" t="n">
        <v>-14030</v>
      </c>
      <c r="R107" s="5" t="n">
        <v>129433</v>
      </c>
      <c r="S107" s="5" t="n">
        <v>170000</v>
      </c>
      <c r="T107" s="5" t="n">
        <v>77000</v>
      </c>
      <c r="U107" s="7" t="n">
        <v>0.45</v>
      </c>
      <c r="V107" s="7" t="n">
        <v>0.03</v>
      </c>
      <c r="W107" s="5" t="n">
        <v>53849.07</v>
      </c>
      <c r="X107" s="5" t="n">
        <v>60</v>
      </c>
      <c r="Y107" s="7" t="n">
        <v>1</v>
      </c>
      <c r="Z107" s="5" t="n">
        <v>4000</v>
      </c>
      <c r="AA107" s="5" t="n">
        <v>2000</v>
      </c>
    </row>
    <row r="108" ht="15" customHeight="1">
      <c r="A108" s="3" t="n">
        <v>46082</v>
      </c>
      <c r="B108" s="4" t="inlineStr">
        <is>
          <t>孙宝超</t>
        </is>
      </c>
      <c r="C108" s="4" t="inlineStr">
        <is>
          <t>无忧/走读</t>
        </is>
      </c>
      <c r="D108" s="4" t="inlineStr">
        <is>
          <t>考研项目部</t>
        </is>
      </c>
      <c r="E108" s="4" t="inlineStr">
        <is>
          <t>走读项目部-销售管理部-O1学习顾问</t>
        </is>
      </c>
      <c r="F108" s="5">
        <f>G108+H108</f>
        <v/>
      </c>
      <c r="G108" s="5">
        <f>AA108</f>
        <v/>
      </c>
      <c r="H108" s="5">
        <f>W108</f>
        <v/>
      </c>
      <c r="I108" s="5" t="n">
        <v>561150</v>
      </c>
      <c r="K108" s="5" t="n">
        <v>461090</v>
      </c>
      <c r="L108" s="5" t="n">
        <v>0</v>
      </c>
      <c r="M108" s="5" t="n"/>
      <c r="N108" s="5" t="n">
        <v>461090</v>
      </c>
      <c r="O108" s="7" t="n">
        <v>0.82</v>
      </c>
      <c r="P108" s="5" t="n">
        <v>114617</v>
      </c>
      <c r="Q108" s="5" t="n">
        <v>0</v>
      </c>
      <c r="R108" s="5" t="n">
        <v>114617</v>
      </c>
      <c r="S108" s="5" t="n">
        <v>60000</v>
      </c>
      <c r="T108" s="5" t="n">
        <v>62690</v>
      </c>
      <c r="U108" s="7" t="n">
        <v>1.04</v>
      </c>
      <c r="V108" s="7" t="n">
        <v>0.008</v>
      </c>
      <c r="W108" s="5" t="n">
        <v>4834.89</v>
      </c>
      <c r="X108" s="5" t="n">
        <v>10</v>
      </c>
      <c r="Y108" s="7" t="n">
        <v>1</v>
      </c>
      <c r="Z108" s="5" t="n">
        <v>4000</v>
      </c>
      <c r="AA108" s="5" t="n">
        <v>2000</v>
      </c>
    </row>
    <row r="109" ht="15" customHeight="1">
      <c r="A109" s="3" t="n">
        <v>46082</v>
      </c>
      <c r="B109" s="4" t="inlineStr">
        <is>
          <t>席可</t>
        </is>
      </c>
      <c r="C109" s="4" t="inlineStr">
        <is>
          <t>无忧/走读</t>
        </is>
      </c>
      <c r="D109" s="4" t="inlineStr">
        <is>
          <t>考研项目部</t>
        </is>
      </c>
      <c r="E109" s="4" t="inlineStr">
        <is>
          <t>走读项目部-销售管理部-O1学习顾问</t>
        </is>
      </c>
      <c r="F109" s="5">
        <f>G109+H109</f>
        <v/>
      </c>
      <c r="G109" s="5">
        <f>AA109</f>
        <v/>
      </c>
      <c r="H109" s="5">
        <f>W109</f>
        <v/>
      </c>
      <c r="I109" s="5" t="n">
        <v>561150</v>
      </c>
      <c r="K109" s="5" t="n">
        <v>517795</v>
      </c>
      <c r="L109" s="5" t="n">
        <v>-35665</v>
      </c>
      <c r="M109" s="5" t="n"/>
      <c r="N109" s="5" t="n">
        <v>482130</v>
      </c>
      <c r="O109" s="7" t="n">
        <v>0.86</v>
      </c>
      <c r="P109" s="5" t="n">
        <v>41888</v>
      </c>
      <c r="Q109" s="5" t="n">
        <v>0</v>
      </c>
      <c r="R109" s="5" t="n">
        <v>41888</v>
      </c>
      <c r="S109" s="5" t="n">
        <v>60000</v>
      </c>
      <c r="T109" s="5" t="n">
        <v>28300</v>
      </c>
      <c r="U109" s="7" t="n">
        <v>0.47</v>
      </c>
      <c r="V109" s="7" t="n">
        <v>0.008</v>
      </c>
      <c r="W109" s="5" t="n">
        <v>4275.92</v>
      </c>
      <c r="X109" s="5" t="n">
        <v>30</v>
      </c>
      <c r="Y109" s="7" t="n">
        <v>1</v>
      </c>
      <c r="Z109" s="5" t="n">
        <v>4000</v>
      </c>
      <c r="AA109" s="5" t="n">
        <v>2000</v>
      </c>
    </row>
    <row r="110" ht="15" customHeight="1">
      <c r="A110" s="3" t="n">
        <v>46082</v>
      </c>
      <c r="B110" s="4" t="inlineStr">
        <is>
          <t>李骏超</t>
        </is>
      </c>
      <c r="C110" s="4" t="inlineStr">
        <is>
          <t>无忧/走读</t>
        </is>
      </c>
      <c r="D110" s="4" t="inlineStr">
        <is>
          <t>考研项目部</t>
        </is>
      </c>
      <c r="E110" s="4" t="inlineStr">
        <is>
          <t>B级学习顾问</t>
        </is>
      </c>
      <c r="F110" s="5">
        <f>G110+H110</f>
        <v/>
      </c>
      <c r="G110" s="5">
        <f>AA110</f>
        <v/>
      </c>
      <c r="H110" s="5">
        <f>W110</f>
        <v/>
      </c>
      <c r="I110" s="5" t="n">
        <v>255780</v>
      </c>
      <c r="K110" s="5" t="n">
        <v>384997</v>
      </c>
      <c r="L110" s="5" t="n">
        <v>-60847</v>
      </c>
      <c r="M110" s="5" t="n"/>
      <c r="N110" s="5" t="n">
        <v>324150</v>
      </c>
      <c r="O110" s="7" t="n">
        <v>1.27</v>
      </c>
      <c r="P110" s="5" t="n">
        <v>9850</v>
      </c>
      <c r="Q110" s="5" t="n">
        <v>-80</v>
      </c>
      <c r="R110" s="5" t="n">
        <v>9770</v>
      </c>
      <c r="S110" s="5" t="n">
        <v>30000</v>
      </c>
      <c r="T110" s="5" t="n">
        <v>0</v>
      </c>
      <c r="U110" s="7" t="n">
        <v>0</v>
      </c>
      <c r="V110" s="7" t="n">
        <v>0.02</v>
      </c>
      <c r="W110" s="5" t="n">
        <v>6580.7</v>
      </c>
      <c r="X110" s="5" t="n">
        <v>55.5</v>
      </c>
      <c r="Y110" s="7" t="n">
        <v>1</v>
      </c>
      <c r="Z110" s="5" t="n">
        <v>4000</v>
      </c>
      <c r="AA110" s="5" t="n">
        <v>2000</v>
      </c>
    </row>
    <row r="111" ht="15" customHeight="1">
      <c r="A111" s="3" t="n">
        <v>46082</v>
      </c>
      <c r="B111" s="4" t="inlineStr">
        <is>
          <t>徐钦</t>
        </is>
      </c>
      <c r="C111" s="4" t="inlineStr">
        <is>
          <t>无忧/走读</t>
        </is>
      </c>
      <c r="D111" s="4" t="inlineStr">
        <is>
          <t>考研项目部</t>
        </is>
      </c>
      <c r="E111" s="4" t="inlineStr">
        <is>
          <t>走读项目部-销售管理部-O1学习顾问</t>
        </is>
      </c>
      <c r="F111" s="5">
        <f>G111+H111</f>
        <v/>
      </c>
      <c r="G111" s="5">
        <f>AA111</f>
        <v/>
      </c>
      <c r="H111" s="5">
        <f>W111</f>
        <v/>
      </c>
      <c r="I111" s="5" t="n">
        <v>255780</v>
      </c>
      <c r="K111" s="5" t="n">
        <v>397460</v>
      </c>
      <c r="L111" s="5" t="n">
        <v>0</v>
      </c>
      <c r="N111" s="5" t="n">
        <v>397460</v>
      </c>
      <c r="O111" s="7" t="n">
        <v>1.55</v>
      </c>
      <c r="P111" s="5" t="n">
        <v>17999</v>
      </c>
      <c r="Q111" s="5" t="n">
        <v>0</v>
      </c>
      <c r="R111" s="5" t="n">
        <v>17999</v>
      </c>
      <c r="S111" s="5" t="n">
        <v>30000</v>
      </c>
      <c r="T111" s="5" t="n">
        <v>27300</v>
      </c>
      <c r="U111" s="7" t="n">
        <v>0.91</v>
      </c>
      <c r="V111" s="7" t="n">
        <v>0.02</v>
      </c>
      <c r="W111" s="5" t="n">
        <v>8129.19</v>
      </c>
      <c r="X111" s="5" t="n"/>
    </row>
    <row r="112" ht="15" customHeight="1">
      <c r="A112" s="3" t="n">
        <v>46113</v>
      </c>
      <c r="B112" s="4" t="inlineStr">
        <is>
          <t>汪宇萌</t>
        </is>
      </c>
      <c r="C112" s="4" t="inlineStr">
        <is>
          <t>无忧/走读</t>
        </is>
      </c>
      <c r="D112" s="4" t="inlineStr">
        <is>
          <t>考研项目部</t>
        </is>
      </c>
      <c r="E112" s="4" t="inlineStr">
        <is>
          <t>走读顾问组长</t>
        </is>
      </c>
      <c r="F112" s="5">
        <f>G112+H112</f>
        <v/>
      </c>
      <c r="G112" s="5" t="n">
        <v>0</v>
      </c>
      <c r="H112" s="5" t="n">
        <v>17324.97</v>
      </c>
      <c r="I112" s="5" t="n">
        <v>365000</v>
      </c>
      <c r="J112" s="5" t="n"/>
      <c r="K112" s="5" t="n">
        <v>665216</v>
      </c>
      <c r="L112" s="5" t="n">
        <v>-87717.2</v>
      </c>
      <c r="M112" s="5" t="n">
        <v>0</v>
      </c>
      <c r="N112" s="5" t="n">
        <v>577498.8</v>
      </c>
      <c r="O112" s="7" t="n">
        <v>1.582188493150685</v>
      </c>
      <c r="P112" s="5" t="n">
        <v>12371</v>
      </c>
      <c r="Q112" s="5" t="n">
        <v>-26343.11</v>
      </c>
      <c r="R112" s="5" t="n">
        <v>-13972.11</v>
      </c>
      <c r="S112" s="5" t="n">
        <v>50000</v>
      </c>
      <c r="T112" s="5" t="n">
        <v>0</v>
      </c>
      <c r="U112" s="7" t="n">
        <v>0</v>
      </c>
      <c r="V112" s="7" t="n">
        <v>0.03</v>
      </c>
      <c r="W112" s="5" t="n">
        <v>17324.964</v>
      </c>
      <c r="X112" s="5" t="n">
        <v>54.51818181818182</v>
      </c>
      <c r="Y112" s="7" t="n">
        <v>0.5452</v>
      </c>
      <c r="Z112" s="5" t="n">
        <v>8000</v>
      </c>
      <c r="AA112" s="5" t="n">
        <v>0</v>
      </c>
    </row>
    <row r="113" ht="15" customHeight="1">
      <c r="A113" s="3" t="n">
        <v>46113</v>
      </c>
      <c r="B113" s="4" t="inlineStr">
        <is>
          <t>刘海玲</t>
        </is>
      </c>
      <c r="C113" s="4" t="inlineStr">
        <is>
          <t>无忧/走读</t>
        </is>
      </c>
      <c r="D113" s="4" t="inlineStr">
        <is>
          <t>考研项目部</t>
        </is>
      </c>
      <c r="E113" s="4" t="inlineStr">
        <is>
          <t>走读项目部-销售管理部-O1学习顾问</t>
        </is>
      </c>
      <c r="F113" s="5">
        <f>G113+H113</f>
        <v/>
      </c>
      <c r="G113" s="5" t="n">
        <v>2000</v>
      </c>
      <c r="H113" s="5" t="n">
        <v>28477.6845</v>
      </c>
      <c r="I113" s="5" t="n">
        <v>560000</v>
      </c>
      <c r="J113" s="5" t="n"/>
      <c r="K113" s="5" t="n">
        <v>777012.1</v>
      </c>
      <c r="L113" s="5" t="n">
        <v>-68114.10000000001</v>
      </c>
      <c r="M113" s="5" t="n">
        <v>0</v>
      </c>
      <c r="N113" s="5" t="n">
        <v>708898</v>
      </c>
      <c r="O113" s="7" t="n">
        <v>1.265889285714286</v>
      </c>
      <c r="P113" s="5" t="n">
        <v>28005.6</v>
      </c>
      <c r="Q113" s="5" t="n">
        <v>-15829.15</v>
      </c>
      <c r="R113" s="5" t="n">
        <v>12176.45</v>
      </c>
      <c r="S113" s="4" t="n"/>
      <c r="T113" s="4" t="n"/>
      <c r="U113" s="4" t="n"/>
      <c r="V113" s="7" t="n">
        <v>0.04</v>
      </c>
      <c r="W113" s="5" t="n">
        <v>28477.6845</v>
      </c>
      <c r="X113" s="5" t="n">
        <v>90</v>
      </c>
      <c r="Y113" s="7" t="n">
        <v>1</v>
      </c>
      <c r="Z113" s="5" t="n">
        <v>2000</v>
      </c>
      <c r="AA113" s="5" t="n">
        <v>2000</v>
      </c>
    </row>
    <row r="114" ht="15" customHeight="1">
      <c r="A114" s="3" t="n">
        <v>46113</v>
      </c>
      <c r="B114" s="4" t="inlineStr">
        <is>
          <t>刘欢</t>
        </is>
      </c>
      <c r="C114" s="4" t="inlineStr">
        <is>
          <t>无忧/走读</t>
        </is>
      </c>
      <c r="D114" s="4" t="inlineStr">
        <is>
          <t>考研项目部</t>
        </is>
      </c>
      <c r="E114" s="4" t="inlineStr">
        <is>
          <t>走读项目部-销售管理部-O3学习顾问</t>
        </is>
      </c>
      <c r="F114" s="5">
        <f>G114+H114</f>
        <v/>
      </c>
      <c r="G114" s="5" t="n">
        <v>0</v>
      </c>
      <c r="H114" s="5" t="n">
        <v>0</v>
      </c>
      <c r="I114" s="5" t="n">
        <v>0</v>
      </c>
      <c r="J114" s="5" t="n"/>
      <c r="K114" s="5" t="n">
        <v>0</v>
      </c>
      <c r="L114" s="5" t="n">
        <v>0</v>
      </c>
      <c r="M114" s="5" t="n">
        <v>0</v>
      </c>
      <c r="N114" s="5" t="n">
        <v>0</v>
      </c>
      <c r="O114" s="7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7" t="n">
        <v>0</v>
      </c>
      <c r="V114" s="7" t="n">
        <v>0</v>
      </c>
      <c r="W114" s="5" t="n">
        <v>0</v>
      </c>
      <c r="X114" s="5" t="n">
        <v>0</v>
      </c>
      <c r="Y114" s="7" t="n">
        <v>0</v>
      </c>
      <c r="Z114" s="5" t="n">
        <v>0</v>
      </c>
      <c r="AA114" s="5" t="n">
        <v>0</v>
      </c>
    </row>
    <row r="115" ht="15" customHeight="1">
      <c r="A115" s="3" t="n">
        <v>46113</v>
      </c>
      <c r="B115" s="4" t="inlineStr">
        <is>
          <t>李婧</t>
        </is>
      </c>
      <c r="C115" s="4" t="inlineStr">
        <is>
          <t>无忧/走读</t>
        </is>
      </c>
      <c r="D115" s="4" t="inlineStr">
        <is>
          <t>考研项目部</t>
        </is>
      </c>
      <c r="E115" s="4" t="inlineStr">
        <is>
          <t>走读项目部-销售管理部-O1学习顾问</t>
        </is>
      </c>
      <c r="F115" s="5">
        <f>G115+H115</f>
        <v/>
      </c>
      <c r="G115" s="5" t="n">
        <v>0</v>
      </c>
      <c r="H115" s="5" t="n">
        <v>116.25</v>
      </c>
      <c r="I115" s="5" t="n">
        <v>560000</v>
      </c>
      <c r="J115" s="5" t="n"/>
      <c r="K115" s="5" t="n">
        <v>244330.8</v>
      </c>
      <c r="L115" s="5" t="n">
        <v>-89113.7</v>
      </c>
      <c r="M115" s="5" t="n">
        <v>0</v>
      </c>
      <c r="N115" s="5" t="n">
        <v>155217.1</v>
      </c>
      <c r="O115" s="7" t="n">
        <v>0.2771733928571428</v>
      </c>
      <c r="P115" s="5" t="n">
        <v>11625</v>
      </c>
      <c r="Q115" s="5" t="n">
        <v>0</v>
      </c>
      <c r="R115" s="5" t="n">
        <v>11625</v>
      </c>
      <c r="S115" s="5" t="n">
        <v>50000</v>
      </c>
      <c r="T115" s="5" t="n">
        <v>27800</v>
      </c>
      <c r="U115" s="7" t="n">
        <v>0.5600000000000001</v>
      </c>
      <c r="V115" s="7" t="n">
        <v>0</v>
      </c>
      <c r="W115" s="5" t="n">
        <v>116.25</v>
      </c>
      <c r="X115" s="5" t="n">
        <v>10</v>
      </c>
      <c r="Y115" s="7" t="n">
        <v>0</v>
      </c>
      <c r="Z115" s="5" t="n">
        <v>2000</v>
      </c>
      <c r="AA115" s="5" t="n">
        <v>0</v>
      </c>
    </row>
    <row r="116" ht="15" customHeight="1">
      <c r="A116" s="3" t="n">
        <v>46113</v>
      </c>
      <c r="B116" s="4" t="inlineStr">
        <is>
          <t>王秋雨</t>
        </is>
      </c>
      <c r="C116" s="4" t="inlineStr">
        <is>
          <t>无忧/走读</t>
        </is>
      </c>
      <c r="D116" s="4" t="inlineStr">
        <is>
          <t>考研项目部</t>
        </is>
      </c>
      <c r="E116" s="4" t="inlineStr">
        <is>
          <t>走读项目部-销售管理部-O1学习顾问</t>
        </is>
      </c>
      <c r="F116" s="5">
        <f>G116+H116</f>
        <v/>
      </c>
      <c r="G116" s="5" t="n">
        <v>1480</v>
      </c>
      <c r="H116" s="5" t="n">
        <v>27564.621</v>
      </c>
      <c r="I116" s="5" t="n">
        <v>560000</v>
      </c>
      <c r="J116" s="5" t="n"/>
      <c r="K116" s="5" t="n">
        <v>834317.8</v>
      </c>
      <c r="L116" s="5" t="n">
        <v>-151444.9</v>
      </c>
      <c r="M116" s="5" t="n">
        <v>0</v>
      </c>
      <c r="N116" s="5" t="n">
        <v>682872.9</v>
      </c>
      <c r="O116" s="7" t="n">
        <v>1.219415892857143</v>
      </c>
      <c r="P116" s="5" t="n">
        <v>24970.5</v>
      </c>
      <c r="Q116" s="5" t="n">
        <v>0</v>
      </c>
      <c r="R116" s="5" t="n">
        <v>24970.5</v>
      </c>
      <c r="S116" s="5" t="n">
        <v>50000</v>
      </c>
      <c r="T116" s="5" t="n">
        <v>54800</v>
      </c>
      <c r="U116" s="7" t="n">
        <v>1.1</v>
      </c>
      <c r="V116" s="7" t="n">
        <v>0.04</v>
      </c>
      <c r="W116" s="5" t="n">
        <v>27564.621</v>
      </c>
      <c r="X116" s="5" t="n">
        <v>77</v>
      </c>
      <c r="Y116" s="7" t="n">
        <v>0.74</v>
      </c>
      <c r="Z116" s="5" t="n">
        <v>2000</v>
      </c>
      <c r="AA116" s="5" t="n">
        <v>1480</v>
      </c>
    </row>
    <row r="117" ht="15" customHeight="1">
      <c r="A117" s="3" t="n">
        <v>46113</v>
      </c>
      <c r="B117" s="4" t="inlineStr">
        <is>
          <t>卢晓飞</t>
        </is>
      </c>
      <c r="C117" s="4" t="inlineStr">
        <is>
          <t>无忧/走读</t>
        </is>
      </c>
      <c r="D117" s="4" t="inlineStr">
        <is>
          <t>考研项目部</t>
        </is>
      </c>
      <c r="E117" s="4" t="inlineStr">
        <is>
          <t>走读项目部-销售管理部-O1学习顾问</t>
        </is>
      </c>
      <c r="F117" s="5">
        <f>G117+H117</f>
        <v/>
      </c>
      <c r="G117" s="5" t="n">
        <v>2000</v>
      </c>
      <c r="H117" s="5" t="n">
        <v>2715.898</v>
      </c>
      <c r="I117" s="5" t="n">
        <v>536000</v>
      </c>
      <c r="J117" s="5" t="n"/>
      <c r="K117" s="5" t="n">
        <v>419332.9</v>
      </c>
      <c r="L117" s="5" t="n">
        <v>-148096.9</v>
      </c>
      <c r="M117" s="5" t="n">
        <v>0</v>
      </c>
      <c r="N117" s="5" t="n">
        <v>271236</v>
      </c>
      <c r="O117" s="7" t="n">
        <v>0.5060373134328359</v>
      </c>
      <c r="P117" s="5" t="n">
        <v>70863.39999999999</v>
      </c>
      <c r="Q117" s="5" t="n">
        <v>-16262.4</v>
      </c>
      <c r="R117" s="5" t="n">
        <v>54600.99999999999</v>
      </c>
      <c r="S117" s="5" t="n">
        <v>50000</v>
      </c>
      <c r="T117" s="5" t="n">
        <v>74780</v>
      </c>
      <c r="U117" s="7" t="n">
        <v>1.5</v>
      </c>
      <c r="V117" s="7" t="n">
        <v>0.008</v>
      </c>
      <c r="W117" s="5" t="n">
        <v>2715.898</v>
      </c>
      <c r="X117" s="5" t="n">
        <v>97</v>
      </c>
      <c r="Y117" s="7" t="n">
        <v>1</v>
      </c>
      <c r="Z117" s="5" t="n">
        <v>2000</v>
      </c>
      <c r="AA117" s="5" t="n">
        <v>2000</v>
      </c>
    </row>
    <row r="118" ht="15" customHeight="1">
      <c r="A118" s="3" t="n">
        <v>46113</v>
      </c>
      <c r="B118" s="4" t="inlineStr">
        <is>
          <t>王一鸣</t>
        </is>
      </c>
      <c r="C118" s="4" t="inlineStr">
        <is>
          <t>无忧/走读</t>
        </is>
      </c>
      <c r="D118" s="4" t="inlineStr">
        <is>
          <t>考研项目部</t>
        </is>
      </c>
      <c r="E118" s="4" t="inlineStr">
        <is>
          <t>走读项目部-销售管理部-O1学习顾问</t>
        </is>
      </c>
      <c r="F118" s="5">
        <f>G118+H118</f>
        <v/>
      </c>
      <c r="G118" s="5" t="n">
        <v>1680</v>
      </c>
      <c r="H118" s="5" t="n">
        <v>19035.495</v>
      </c>
      <c r="I118" s="5" t="n">
        <v>536000</v>
      </c>
      <c r="J118" s="5" t="n"/>
      <c r="K118" s="5" t="n">
        <v>747506.6</v>
      </c>
      <c r="L118" s="5" t="n">
        <v>-114650.1</v>
      </c>
      <c r="M118" s="5" t="n">
        <v>0</v>
      </c>
      <c r="N118" s="5" t="n">
        <v>632856.5</v>
      </c>
      <c r="O118" s="7" t="n">
        <v>1.180702425373134</v>
      </c>
      <c r="P118" s="5" t="n">
        <v>4980</v>
      </c>
      <c r="Q118" s="5" t="n">
        <v>0</v>
      </c>
      <c r="R118" s="5" t="n">
        <v>4980</v>
      </c>
      <c r="S118" s="5" t="n">
        <v>50000</v>
      </c>
      <c r="T118" s="5" t="n">
        <v>207677</v>
      </c>
      <c r="U118" s="7" t="n">
        <v>4.15</v>
      </c>
      <c r="V118" s="7" t="n">
        <v>0.03</v>
      </c>
      <c r="W118" s="5" t="n">
        <v>19035.495</v>
      </c>
      <c r="X118" s="5" t="n">
        <v>82</v>
      </c>
      <c r="Y118" s="7" t="n">
        <v>0.84</v>
      </c>
      <c r="Z118" s="5" t="n">
        <v>2000</v>
      </c>
      <c r="AA118" s="5" t="n">
        <v>1680</v>
      </c>
    </row>
    <row r="119" ht="15" customHeight="1">
      <c r="A119" s="3" t="n">
        <v>46113</v>
      </c>
      <c r="B119" s="4" t="inlineStr">
        <is>
          <t>堕朕</t>
        </is>
      </c>
      <c r="C119" s="4" t="inlineStr">
        <is>
          <t>无忧/走读</t>
        </is>
      </c>
      <c r="D119" s="4" t="inlineStr">
        <is>
          <t>考研项目部</t>
        </is>
      </c>
      <c r="E119" s="4" t="inlineStr">
        <is>
          <t>走读项目部-销售管理部-O1学习顾问</t>
        </is>
      </c>
      <c r="F119" s="5">
        <f>G119+H119</f>
        <v/>
      </c>
      <c r="G119" s="5" t="n">
        <v>1640.96</v>
      </c>
      <c r="H119" s="5" t="n">
        <v>16662.4878</v>
      </c>
      <c r="I119" s="5" t="n">
        <v>536000</v>
      </c>
      <c r="J119" s="5" t="n"/>
      <c r="K119" s="5" t="n">
        <v>755360.1</v>
      </c>
      <c r="L119" s="5" t="n">
        <v>-197019.9</v>
      </c>
      <c r="M119" s="5" t="n">
        <v>2600</v>
      </c>
      <c r="N119" s="5" t="n">
        <v>560940.2</v>
      </c>
      <c r="O119" s="7" t="n">
        <v>1.046530223880597</v>
      </c>
      <c r="P119" s="5" t="n">
        <v>26308.8</v>
      </c>
      <c r="Q119" s="5" t="n">
        <v>-42880.62</v>
      </c>
      <c r="R119" s="5" t="n">
        <v>-16571.82</v>
      </c>
      <c r="S119" s="5" t="n">
        <v>50000</v>
      </c>
      <c r="T119" s="5" t="n">
        <v>37024</v>
      </c>
      <c r="U119" s="7" t="n">
        <v>0.74</v>
      </c>
      <c r="V119" s="7" t="n">
        <v>0.03</v>
      </c>
      <c r="W119" s="5" t="n">
        <v>16662.4878</v>
      </c>
      <c r="X119" s="5" t="n">
        <v>81.024</v>
      </c>
      <c r="Y119" s="7" t="n">
        <v>0.82048</v>
      </c>
      <c r="Z119" s="5" t="n">
        <v>2000</v>
      </c>
      <c r="AA119" s="5" t="n">
        <v>1640.96</v>
      </c>
    </row>
    <row r="120" ht="15" customHeight="1">
      <c r="A120" s="3" t="n">
        <v>46113</v>
      </c>
      <c r="B120" s="4" t="inlineStr">
        <is>
          <t>孙宝超</t>
        </is>
      </c>
      <c r="C120" s="4" t="inlineStr">
        <is>
          <t>无忧/走读</t>
        </is>
      </c>
      <c r="D120" s="4" t="inlineStr">
        <is>
          <t>考研项目部</t>
        </is>
      </c>
      <c r="E120" s="4" t="inlineStr">
        <is>
          <t>走读项目部-销售管理部-O1学习顾问</t>
        </is>
      </c>
      <c r="F120" s="5">
        <f>G120+H120</f>
        <v/>
      </c>
      <c r="G120" s="5" t="n">
        <v>2000</v>
      </c>
      <c r="H120" s="5" t="n">
        <v>2694.4772</v>
      </c>
      <c r="I120" s="5" t="n">
        <v>352000</v>
      </c>
      <c r="J120" s="5" t="n"/>
      <c r="K120" s="5" t="n">
        <v>404150</v>
      </c>
      <c r="L120" s="5" t="n">
        <v>-121740.1</v>
      </c>
      <c r="M120" s="5" t="n">
        <v>0</v>
      </c>
      <c r="N120" s="5" t="n">
        <v>282409.9</v>
      </c>
      <c r="O120" s="7" t="n">
        <v>0.8023008522727273</v>
      </c>
      <c r="P120" s="5" t="n">
        <v>43519.8</v>
      </c>
      <c r="Q120" s="5" t="n">
        <v>0</v>
      </c>
      <c r="R120" s="5" t="n">
        <v>43519.8</v>
      </c>
      <c r="S120" s="5" t="n">
        <v>40000</v>
      </c>
      <c r="T120" s="5" t="n">
        <v>0</v>
      </c>
      <c r="U120" s="7" t="n">
        <v>0</v>
      </c>
      <c r="V120" s="7" t="n">
        <v>0.008</v>
      </c>
      <c r="W120" s="5" t="n">
        <v>2694.4772</v>
      </c>
      <c r="X120" s="5" t="n">
        <v>0</v>
      </c>
      <c r="Y120" s="7" t="n">
        <v>1</v>
      </c>
      <c r="Z120" s="5" t="n">
        <v>2000</v>
      </c>
      <c r="AA120" s="5" t="n">
        <v>2000</v>
      </c>
    </row>
    <row r="121" ht="15" customHeight="1">
      <c r="A121" s="3" t="n">
        <v>46113</v>
      </c>
      <c r="B121" s="4" t="inlineStr">
        <is>
          <t>席可</t>
        </is>
      </c>
      <c r="C121" s="4" t="inlineStr">
        <is>
          <t>无忧/走读</t>
        </is>
      </c>
      <c r="D121" s="4" t="inlineStr">
        <is>
          <t>考研项目部</t>
        </is>
      </c>
      <c r="E121" s="4" t="inlineStr">
        <is>
          <t>走读项目部-销售管理部-O1学习顾问</t>
        </is>
      </c>
      <c r="F121" s="5">
        <f>G121+H121</f>
        <v/>
      </c>
      <c r="G121" s="5" t="n">
        <v>2000</v>
      </c>
      <c r="H121" s="5" t="n">
        <v>4459.866</v>
      </c>
      <c r="I121" s="5" t="n">
        <v>352000</v>
      </c>
      <c r="J121" s="5" t="n"/>
      <c r="K121" s="5" t="n">
        <v>443062.2</v>
      </c>
      <c r="L121" s="5" t="n">
        <v>-83962.2</v>
      </c>
      <c r="M121" s="5" t="n">
        <v>0</v>
      </c>
      <c r="N121" s="5" t="n">
        <v>359100</v>
      </c>
      <c r="O121" s="7" t="n">
        <v>1.020170454545455</v>
      </c>
      <c r="P121" s="5" t="n">
        <v>15066.6</v>
      </c>
      <c r="Q121" s="5" t="n">
        <v>0</v>
      </c>
      <c r="R121" s="5" t="n">
        <v>15066.6</v>
      </c>
      <c r="S121" s="5" t="n">
        <v>40000</v>
      </c>
      <c r="T121" s="5" t="n">
        <v>24400</v>
      </c>
      <c r="U121" s="7" t="n">
        <v>0.61</v>
      </c>
      <c r="V121" s="7" t="n">
        <v>0.012</v>
      </c>
      <c r="W121" s="5" t="n">
        <v>4459.866</v>
      </c>
      <c r="X121" s="5" t="n">
        <v>0</v>
      </c>
      <c r="Y121" s="7" t="n">
        <v>1</v>
      </c>
      <c r="Z121" s="5" t="n">
        <v>2000</v>
      </c>
      <c r="AA121" s="5" t="n">
        <v>2000</v>
      </c>
    </row>
    <row r="122" ht="15" customHeight="1">
      <c r="A122" s="3" t="n">
        <v>46113</v>
      </c>
      <c r="B122" s="4" t="inlineStr">
        <is>
          <t>李骏超</t>
        </is>
      </c>
      <c r="C122" s="4" t="inlineStr">
        <is>
          <t>无忧/走读</t>
        </is>
      </c>
      <c r="D122" s="4" t="inlineStr">
        <is>
          <t>考研项目部</t>
        </is>
      </c>
      <c r="E122" s="4" t="inlineStr">
        <is>
          <t>走读项目部-销售管理部-O1学习顾问</t>
        </is>
      </c>
      <c r="F122" s="5">
        <f>G122+H122</f>
        <v/>
      </c>
      <c r="G122" s="5" t="n">
        <v>2000</v>
      </c>
      <c r="H122" s="5" t="n">
        <v>1269.6</v>
      </c>
      <c r="I122" s="5" t="n">
        <v>220000</v>
      </c>
      <c r="J122" s="5" t="n"/>
      <c r="K122" s="5" t="n">
        <v>158700</v>
      </c>
      <c r="L122" s="5" t="n">
        <v>0</v>
      </c>
      <c r="M122" s="5" t="n">
        <v>0</v>
      </c>
      <c r="N122" s="5" t="n">
        <v>158700</v>
      </c>
      <c r="O122" s="7" t="n">
        <v>0.7213636363636363</v>
      </c>
      <c r="P122" s="5" t="n">
        <v>0</v>
      </c>
      <c r="Q122" s="5" t="n">
        <v>0</v>
      </c>
      <c r="R122" s="5" t="n">
        <v>0</v>
      </c>
      <c r="S122" s="5" t="n">
        <v>25000</v>
      </c>
      <c r="T122" s="5" t="n">
        <v>0</v>
      </c>
      <c r="U122" s="7" t="n">
        <v>0</v>
      </c>
      <c r="V122" s="7" t="n">
        <v>0.008</v>
      </c>
      <c r="W122" s="5" t="n">
        <v>1269.6</v>
      </c>
      <c r="X122" s="5" t="n">
        <v>0</v>
      </c>
      <c r="Y122" s="7" t="n">
        <v>1</v>
      </c>
      <c r="Z122" s="5" t="n">
        <v>2000</v>
      </c>
      <c r="AA122" s="5" t="n">
        <v>2000</v>
      </c>
    </row>
    <row r="123" ht="15" customFormat="1" customHeight="1" s="12">
      <c r="A123" s="9" t="n">
        <v>46113</v>
      </c>
      <c r="B123" s="8" t="inlineStr">
        <is>
          <t>徐钦</t>
        </is>
      </c>
      <c r="C123" s="8" t="inlineStr">
        <is>
          <t>无忧/走读</t>
        </is>
      </c>
      <c r="D123" s="8" t="inlineStr">
        <is>
          <t>考研项目部</t>
        </is>
      </c>
      <c r="E123" s="8" t="inlineStr">
        <is>
          <t>走读项目部-销售管理部-O1学习顾问</t>
        </is>
      </c>
      <c r="F123" s="10">
        <f>G123+H123</f>
        <v/>
      </c>
      <c r="G123" s="10" t="n">
        <v>2000</v>
      </c>
      <c r="H123" s="10" t="n">
        <v>0</v>
      </c>
      <c r="I123" s="10" t="n">
        <v>220000</v>
      </c>
      <c r="J123" s="10" t="n"/>
      <c r="K123" s="10" t="n">
        <v>122400</v>
      </c>
      <c r="L123" s="10" t="n">
        <v>0</v>
      </c>
      <c r="M123" s="10" t="n">
        <v>0</v>
      </c>
      <c r="N123" s="10" t="n">
        <v>122400</v>
      </c>
      <c r="O123" s="11" t="n">
        <v>0.5563636363636364</v>
      </c>
      <c r="P123" s="10" t="n">
        <v>0</v>
      </c>
      <c r="Q123" s="10" t="n">
        <v>0</v>
      </c>
      <c r="R123" s="10" t="n">
        <v>0</v>
      </c>
      <c r="S123" s="10" t="n">
        <v>25000</v>
      </c>
      <c r="T123" s="10" t="n">
        <v>0</v>
      </c>
      <c r="U123" s="11" t="n">
        <v>0</v>
      </c>
      <c r="V123" s="11" t="n">
        <v>0</v>
      </c>
      <c r="W123" s="10" t="n">
        <v>0</v>
      </c>
      <c r="X123" s="10" t="n">
        <v>0</v>
      </c>
      <c r="Y123" s="11" t="n">
        <v>1</v>
      </c>
      <c r="Z123" s="10" t="n">
        <v>2000</v>
      </c>
      <c r="AA123" s="10" t="n">
        <v>2000</v>
      </c>
    </row>
    <row r="124" ht="15" customFormat="1" customHeight="1" s="12">
      <c r="A124" s="9" t="n">
        <v>46143</v>
      </c>
      <c r="B124" s="8" t="inlineStr">
        <is>
          <t>汪宇萌</t>
        </is>
      </c>
      <c r="C124" s="8" t="inlineStr">
        <is>
          <t>无忧/走读</t>
        </is>
      </c>
      <c r="D124" s="8" t="inlineStr">
        <is>
          <t>考研项目部</t>
        </is>
      </c>
      <c r="E124" s="8" t="inlineStr">
        <is>
          <t>走读顾问组长</t>
        </is>
      </c>
      <c r="F124" s="10">
        <f>G124+H124</f>
        <v/>
      </c>
      <c r="G124" s="10" t="n">
        <v>0</v>
      </c>
      <c r="H124" s="10" t="n">
        <v>18212.01</v>
      </c>
      <c r="I124" s="10" t="n">
        <v>360000</v>
      </c>
      <c r="J124" s="8" t="n"/>
      <c r="K124" s="10" t="n">
        <v>748309.2</v>
      </c>
      <c r="L124" s="10" t="n">
        <v>-145809.2</v>
      </c>
      <c r="M124" s="10" t="n">
        <v>0</v>
      </c>
      <c r="N124" s="10" t="n">
        <v>602500</v>
      </c>
      <c r="O124" s="11" t="n">
        <v>1.673611111111111</v>
      </c>
      <c r="P124" s="10" t="n">
        <v>14001</v>
      </c>
      <c r="Q124" s="10" t="n">
        <v>-300</v>
      </c>
      <c r="R124" s="10" t="n">
        <v>13701</v>
      </c>
      <c r="S124" s="8" t="n"/>
      <c r="T124" s="8" t="n"/>
      <c r="U124" s="8" t="n"/>
      <c r="V124" s="11" t="n">
        <v>0.03</v>
      </c>
      <c r="W124" s="10" t="n">
        <v>18212.01</v>
      </c>
      <c r="X124" s="10" t="n">
        <v>52.10922222222222</v>
      </c>
      <c r="Y124" s="11" t="n">
        <v>0</v>
      </c>
      <c r="Z124" s="10" t="n">
        <v>4000</v>
      </c>
      <c r="AA124" s="10" t="n">
        <v>0</v>
      </c>
    </row>
    <row r="125" ht="15" customHeight="1">
      <c r="A125" s="3" t="n">
        <v>46143</v>
      </c>
      <c r="B125" s="4" t="inlineStr">
        <is>
          <t>刘海玲</t>
        </is>
      </c>
      <c r="C125" s="4" t="inlineStr">
        <is>
          <t>无忧/走读</t>
        </is>
      </c>
      <c r="D125" s="4" t="inlineStr">
        <is>
          <t>考研项目部</t>
        </is>
      </c>
      <c r="E125" s="4" t="inlineStr">
        <is>
          <t>走读项目部-销售管理部-O1学习顾问</t>
        </is>
      </c>
      <c r="F125" s="5">
        <f>G125+H125</f>
        <v/>
      </c>
      <c r="G125" s="5" t="n">
        <v>2000</v>
      </c>
      <c r="H125" s="5" t="n">
        <v>25545.908</v>
      </c>
      <c r="I125" s="5" t="n">
        <v>510000</v>
      </c>
      <c r="J125" s="4" t="n"/>
      <c r="K125" s="5" t="n">
        <v>727064.4</v>
      </c>
      <c r="L125" s="5" t="n">
        <v>-119066.7</v>
      </c>
      <c r="M125" s="5" t="n">
        <v>30650</v>
      </c>
      <c r="N125" s="5" t="n">
        <v>638647.7000000001</v>
      </c>
      <c r="O125" s="7" t="n">
        <v>1.252250392156863</v>
      </c>
      <c r="P125" s="5" t="n">
        <v>0</v>
      </c>
      <c r="Q125" s="5" t="n">
        <v>0</v>
      </c>
      <c r="R125" s="5" t="n">
        <v>0</v>
      </c>
      <c r="S125" s="5" t="n">
        <v>70000</v>
      </c>
      <c r="T125" s="5" t="n">
        <v>71800</v>
      </c>
      <c r="U125" s="7" t="n">
        <v>1.025714285714286</v>
      </c>
      <c r="V125" s="7" t="n">
        <v>0.04</v>
      </c>
      <c r="W125" s="5" t="n">
        <v>25545.908</v>
      </c>
      <c r="X125" s="5" t="n">
        <v>98</v>
      </c>
      <c r="Y125" s="7" t="n">
        <v>1</v>
      </c>
      <c r="Z125" s="5" t="n">
        <v>2000</v>
      </c>
      <c r="AA125" s="5" t="n">
        <v>2000</v>
      </c>
    </row>
    <row r="126" ht="15" customHeight="1">
      <c r="A126" s="3" t="n">
        <v>46143</v>
      </c>
      <c r="B126" s="4" t="inlineStr">
        <is>
          <t>刘欢</t>
        </is>
      </c>
      <c r="C126" s="4" t="inlineStr">
        <is>
          <t>无忧/走读</t>
        </is>
      </c>
      <c r="D126" s="4" t="inlineStr">
        <is>
          <t>考研项目部</t>
        </is>
      </c>
      <c r="E126" s="4" t="inlineStr">
        <is>
          <t>走读项目部-销售管理部-O3学习顾问</t>
        </is>
      </c>
      <c r="F126" s="5">
        <f>G126+H126</f>
        <v/>
      </c>
      <c r="G126" s="5" t="n">
        <v>0</v>
      </c>
      <c r="H126" s="5" t="n">
        <v>0</v>
      </c>
      <c r="I126" s="5" t="n">
        <v>0</v>
      </c>
      <c r="J126" s="4" t="n"/>
      <c r="K126" s="5" t="n">
        <v>0</v>
      </c>
      <c r="L126" s="5" t="n">
        <v>0</v>
      </c>
      <c r="M126" s="5" t="n">
        <v>0</v>
      </c>
      <c r="N126" s="5" t="n">
        <v>0</v>
      </c>
      <c r="O126" s="7" t="n">
        <v>0</v>
      </c>
      <c r="P126" s="5" t="n">
        <v>0</v>
      </c>
      <c r="Q126" s="5" t="n">
        <v>0</v>
      </c>
      <c r="R126" s="5" t="n">
        <v>0</v>
      </c>
      <c r="S126" s="5" t="inlineStr">
        <is>
          <t>产假</t>
        </is>
      </c>
      <c r="T126" s="5" t="n">
        <v>0</v>
      </c>
      <c r="U126" s="7" t="n">
        <v>0</v>
      </c>
      <c r="V126" s="7" t="n">
        <v>0</v>
      </c>
      <c r="W126" s="5" t="n">
        <v>0</v>
      </c>
      <c r="X126" s="5" t="n">
        <v>0</v>
      </c>
      <c r="Y126" s="7" t="n">
        <v>0</v>
      </c>
      <c r="Z126" s="5" t="n">
        <v>0</v>
      </c>
      <c r="AA126" s="5" t="n">
        <v>0</v>
      </c>
    </row>
    <row r="127" ht="15" customHeight="1">
      <c r="A127" s="3" t="n">
        <v>46143</v>
      </c>
      <c r="B127" s="4" t="inlineStr">
        <is>
          <t>李婧</t>
        </is>
      </c>
      <c r="C127" s="4" t="inlineStr">
        <is>
          <t>无忧/走读</t>
        </is>
      </c>
      <c r="D127" s="4" t="inlineStr">
        <is>
          <t>考研项目部</t>
        </is>
      </c>
      <c r="E127" s="4" t="inlineStr">
        <is>
          <t>走读项目部-销售管理部-O1学习顾问</t>
        </is>
      </c>
      <c r="F127" s="5">
        <f>G127+H127</f>
        <v/>
      </c>
      <c r="G127" s="5" t="n">
        <v>0</v>
      </c>
      <c r="H127" s="5" t="n">
        <v>17329.485</v>
      </c>
      <c r="I127" s="5" t="n">
        <v>540000</v>
      </c>
      <c r="J127" s="4" t="n"/>
      <c r="K127" s="5" t="n">
        <v>644421</v>
      </c>
      <c r="L127" s="5" t="n">
        <v>-66771.5</v>
      </c>
      <c r="M127" s="5" t="n">
        <v>0</v>
      </c>
      <c r="N127" s="5" t="n">
        <v>577649.5</v>
      </c>
      <c r="O127" s="7" t="n">
        <v>1.069721296296296</v>
      </c>
      <c r="P127" s="5" t="n">
        <v>0</v>
      </c>
      <c r="Q127" s="5" t="n">
        <v>0</v>
      </c>
      <c r="R127" s="5" t="n">
        <v>0</v>
      </c>
      <c r="S127" s="5" t="n">
        <v>70000</v>
      </c>
      <c r="T127" s="5" t="n">
        <v>0</v>
      </c>
      <c r="U127" s="7" t="n">
        <v>0</v>
      </c>
      <c r="V127" s="7" t="n">
        <v>0.03</v>
      </c>
      <c r="W127" s="5" t="n">
        <v>17329.485</v>
      </c>
      <c r="X127" s="5" t="n">
        <v>28</v>
      </c>
      <c r="Y127" s="7" t="n">
        <v>0</v>
      </c>
      <c r="Z127" s="5" t="n">
        <v>2000</v>
      </c>
      <c r="AA127" s="5" t="n">
        <v>0</v>
      </c>
    </row>
    <row r="128" ht="15" customHeight="1">
      <c r="A128" s="3" t="n">
        <v>46143</v>
      </c>
      <c r="B128" s="4" t="inlineStr">
        <is>
          <t>王秋雨</t>
        </is>
      </c>
      <c r="C128" s="4" t="inlineStr">
        <is>
          <t>无忧/走读</t>
        </is>
      </c>
      <c r="D128" s="4" t="inlineStr">
        <is>
          <t>考研项目部</t>
        </is>
      </c>
      <c r="E128" s="4" t="inlineStr">
        <is>
          <t>走读项目部-销售管理部-O1学习顾问</t>
        </is>
      </c>
      <c r="F128" s="5">
        <f>G128+H128</f>
        <v/>
      </c>
      <c r="G128" s="5" t="n">
        <v>0</v>
      </c>
      <c r="H128" s="5" t="n">
        <v>38395.625</v>
      </c>
      <c r="I128" s="5" t="n">
        <v>510000</v>
      </c>
      <c r="J128" s="4" t="n"/>
      <c r="K128" s="5" t="n">
        <v>861154.2</v>
      </c>
      <c r="L128" s="5" t="n">
        <v>-93241.7</v>
      </c>
      <c r="M128" s="5" t="n">
        <v>0</v>
      </c>
      <c r="N128" s="5" t="n">
        <v>767912.5</v>
      </c>
      <c r="O128" s="7" t="n">
        <v>1.505710784313725</v>
      </c>
      <c r="P128" s="5" t="n">
        <v>0</v>
      </c>
      <c r="Q128" s="5" t="n">
        <v>-19298.11</v>
      </c>
      <c r="R128" s="5" t="n">
        <v>-19298.11</v>
      </c>
      <c r="S128" s="5" t="n">
        <v>70000</v>
      </c>
      <c r="T128" s="5" t="n">
        <v>0</v>
      </c>
      <c r="U128" s="7" t="n">
        <v>0</v>
      </c>
      <c r="V128" s="7" t="n">
        <v>0.05</v>
      </c>
      <c r="W128" s="5" t="n">
        <v>38395.625</v>
      </c>
      <c r="X128" s="5" t="n">
        <v>30</v>
      </c>
      <c r="Y128" s="7" t="n">
        <v>0</v>
      </c>
      <c r="Z128" s="5" t="n">
        <v>2000</v>
      </c>
      <c r="AA128" s="5" t="n">
        <v>0</v>
      </c>
    </row>
    <row r="129" ht="15" customHeight="1">
      <c r="A129" s="3" t="n">
        <v>46143</v>
      </c>
      <c r="B129" s="4" t="inlineStr">
        <is>
          <t>卢晓飞</t>
        </is>
      </c>
      <c r="C129" s="4" t="inlineStr">
        <is>
          <t>无忧/走读</t>
        </is>
      </c>
      <c r="D129" s="4" t="inlineStr">
        <is>
          <t>考研项目部</t>
        </is>
      </c>
      <c r="E129" s="4" t="inlineStr">
        <is>
          <t>走读项目部-销售管理部-O1学习顾问</t>
        </is>
      </c>
      <c r="F129" s="5">
        <f>G129+H129</f>
        <v/>
      </c>
      <c r="G129" s="5" t="n">
        <v>0</v>
      </c>
      <c r="H129" s="5" t="n">
        <v>2261.8752</v>
      </c>
      <c r="I129" s="5" t="n">
        <v>540000</v>
      </c>
      <c r="J129" s="4" t="n"/>
      <c r="K129" s="5" t="n">
        <v>322804.9</v>
      </c>
      <c r="L129" s="5" t="n">
        <v>-85904.5</v>
      </c>
      <c r="M129" s="5" t="n">
        <v>0</v>
      </c>
      <c r="N129" s="5" t="n">
        <v>236900.4</v>
      </c>
      <c r="O129" s="7" t="n">
        <v>0.4387044444444445</v>
      </c>
      <c r="P129" s="5" t="n">
        <v>88859.60000000001</v>
      </c>
      <c r="Q129" s="5" t="n">
        <v>-52192.4</v>
      </c>
      <c r="R129" s="5" t="n">
        <v>36667.2</v>
      </c>
      <c r="S129" s="5" t="n">
        <v>70000</v>
      </c>
      <c r="T129" s="5" t="n">
        <v>0</v>
      </c>
      <c r="U129" s="7" t="n">
        <v>0</v>
      </c>
      <c r="V129" s="7" t="n">
        <v>0.008</v>
      </c>
      <c r="W129" s="5" t="n">
        <v>2261.8752</v>
      </c>
      <c r="X129" s="5" t="n">
        <v>18</v>
      </c>
      <c r="Y129" s="7" t="n">
        <v>0</v>
      </c>
      <c r="Z129" s="5" t="n">
        <v>2000</v>
      </c>
      <c r="AA129" s="5" t="n">
        <v>0</v>
      </c>
    </row>
    <row r="130" ht="15" customHeight="1">
      <c r="A130" s="3" t="n">
        <v>46143</v>
      </c>
      <c r="B130" s="4" t="inlineStr">
        <is>
          <t>王一鸣</t>
        </is>
      </c>
      <c r="C130" s="4" t="inlineStr">
        <is>
          <t>无忧/走读</t>
        </is>
      </c>
      <c r="D130" s="4" t="inlineStr">
        <is>
          <t>考研项目部</t>
        </is>
      </c>
      <c r="E130" s="4" t="inlineStr">
        <is>
          <t>走读项目部-销售管理部-O1学习顾问</t>
        </is>
      </c>
      <c r="F130" s="5">
        <f>G130+H130</f>
        <v/>
      </c>
      <c r="G130" s="5" t="n">
        <v>0</v>
      </c>
      <c r="H130" s="5" t="n">
        <v>52090.7</v>
      </c>
      <c r="I130" s="5" t="n">
        <v>510000</v>
      </c>
      <c r="J130" s="4" t="n"/>
      <c r="K130" s="5" t="n">
        <v>1125660</v>
      </c>
      <c r="L130" s="5" t="n">
        <v>-83846</v>
      </c>
      <c r="M130" s="5" t="n">
        <v>0</v>
      </c>
      <c r="N130" s="5" t="n">
        <v>1041814</v>
      </c>
      <c r="O130" s="7" t="n">
        <v>2.042772549019608</v>
      </c>
      <c r="P130" s="5" t="n">
        <v>0</v>
      </c>
      <c r="Q130" s="5" t="n">
        <v>0</v>
      </c>
      <c r="R130" s="5" t="n">
        <v>0</v>
      </c>
      <c r="S130" s="5" t="n">
        <v>70000</v>
      </c>
      <c r="T130" s="5" t="n">
        <v>0</v>
      </c>
      <c r="U130" s="7" t="n">
        <v>0</v>
      </c>
      <c r="V130" s="7" t="n">
        <v>0.05</v>
      </c>
      <c r="W130" s="5" t="n">
        <v>52090.7</v>
      </c>
      <c r="X130" s="5" t="n">
        <v>30</v>
      </c>
      <c r="Y130" s="7" t="n">
        <v>0</v>
      </c>
      <c r="Z130" s="5" t="n">
        <v>2000</v>
      </c>
      <c r="AA130" s="5" t="n">
        <v>0</v>
      </c>
    </row>
    <row r="131" ht="15" customHeight="1">
      <c r="A131" s="3" t="n">
        <v>46143</v>
      </c>
      <c r="B131" s="4" t="inlineStr">
        <is>
          <t>堕朕</t>
        </is>
      </c>
      <c r="C131" s="4" t="inlineStr">
        <is>
          <t>无忧/走读</t>
        </is>
      </c>
      <c r="D131" s="4" t="inlineStr">
        <is>
          <t>考研项目部</t>
        </is>
      </c>
      <c r="E131" s="4" t="inlineStr">
        <is>
          <t>走读项目部-销售管理部-O1学习顾问</t>
        </is>
      </c>
      <c r="F131" s="5">
        <f>G131+H131</f>
        <v/>
      </c>
      <c r="G131" s="5" t="n">
        <v>1600</v>
      </c>
      <c r="H131" s="5" t="n">
        <v>44315</v>
      </c>
      <c r="I131" s="5" t="n">
        <v>510000</v>
      </c>
      <c r="J131" s="4" t="n"/>
      <c r="K131" s="5" t="n">
        <v>935400</v>
      </c>
      <c r="L131" s="5" t="n">
        <v>-49100</v>
      </c>
      <c r="M131" s="5" t="n">
        <v>0</v>
      </c>
      <c r="N131" s="5" t="n">
        <v>886300</v>
      </c>
      <c r="O131" s="7" t="n">
        <v>1.737843137254902</v>
      </c>
      <c r="P131" s="5" t="n">
        <v>0</v>
      </c>
      <c r="Q131" s="5" t="n">
        <v>-27946.75</v>
      </c>
      <c r="R131" s="5" t="n">
        <v>-27946.75</v>
      </c>
      <c r="S131" s="5" t="n">
        <v>70000</v>
      </c>
      <c r="T131" s="5" t="n">
        <v>247500</v>
      </c>
      <c r="U131" s="7" t="n">
        <v>3.535714285714286</v>
      </c>
      <c r="V131" s="7" t="n">
        <v>0.05</v>
      </c>
      <c r="W131" s="5" t="n">
        <v>44315</v>
      </c>
      <c r="X131" s="5" t="n">
        <v>80</v>
      </c>
      <c r="Y131" s="7" t="n">
        <v>0.8</v>
      </c>
      <c r="Z131" s="5" t="n">
        <v>2000</v>
      </c>
      <c r="AA131" s="5" t="n">
        <v>1600</v>
      </c>
    </row>
    <row r="132" ht="15" customHeight="1">
      <c r="A132" s="3" t="n">
        <v>46143</v>
      </c>
      <c r="B132" s="4" t="inlineStr">
        <is>
          <t>孙宝超</t>
        </is>
      </c>
      <c r="C132" s="4" t="inlineStr">
        <is>
          <t>无忧/走读</t>
        </is>
      </c>
      <c r="D132" s="4" t="inlineStr">
        <is>
          <t>考研项目部</t>
        </is>
      </c>
      <c r="E132" s="4" t="inlineStr">
        <is>
          <t>走读项目部-销售管理部-O1学习顾问</t>
        </is>
      </c>
      <c r="F132" s="5">
        <f>G132+H132</f>
        <v/>
      </c>
      <c r="G132" s="5" t="n">
        <v>0</v>
      </c>
      <c r="H132" s="5" t="n">
        <v>9129.201999999999</v>
      </c>
      <c r="I132" s="5" t="n">
        <v>360000</v>
      </c>
      <c r="J132" s="4" t="n"/>
      <c r="K132" s="5" t="n">
        <v>451974.5</v>
      </c>
      <c r="L132" s="5" t="n">
        <v>0</v>
      </c>
      <c r="M132" s="5" t="n">
        <v>0</v>
      </c>
      <c r="N132" s="5" t="n">
        <v>451974.5</v>
      </c>
      <c r="O132" s="7" t="n">
        <v>1.255484722222222</v>
      </c>
      <c r="P132" s="5" t="n">
        <v>8971.200000000001</v>
      </c>
      <c r="Q132" s="5" t="n">
        <v>0</v>
      </c>
      <c r="R132" s="5" t="n">
        <v>8971.200000000001</v>
      </c>
      <c r="S132" s="5" t="n">
        <v>60000</v>
      </c>
      <c r="T132" s="5" t="n">
        <v>36200</v>
      </c>
      <c r="U132" s="7" t="n">
        <v>0.6033333333333334</v>
      </c>
      <c r="V132" s="7" t="n">
        <v>0.02</v>
      </c>
      <c r="W132" s="5" t="n">
        <v>9129.201999999999</v>
      </c>
      <c r="X132" s="5" t="n">
        <v>40</v>
      </c>
      <c r="Y132" s="7" t="n">
        <v>0</v>
      </c>
      <c r="Z132" s="5" t="n">
        <v>2000</v>
      </c>
      <c r="AA132" s="5" t="n">
        <v>0</v>
      </c>
    </row>
    <row r="133" ht="15" customHeight="1">
      <c r="A133" s="3" t="n">
        <v>46143</v>
      </c>
      <c r="B133" s="4" t="inlineStr">
        <is>
          <t>席可</t>
        </is>
      </c>
      <c r="C133" s="4" t="inlineStr">
        <is>
          <t>无忧/走读</t>
        </is>
      </c>
      <c r="D133" s="4" t="inlineStr">
        <is>
          <t>考研项目部</t>
        </is>
      </c>
      <c r="E133" s="4" t="inlineStr">
        <is>
          <t>走读项目部-销售管理部-O1学习顾问</t>
        </is>
      </c>
      <c r="F133" s="5">
        <f>G133+H133</f>
        <v/>
      </c>
      <c r="G133" s="5" t="n">
        <v>0</v>
      </c>
      <c r="H133" s="5" t="n">
        <v>181.459</v>
      </c>
      <c r="I133" s="5" t="n">
        <v>360000</v>
      </c>
      <c r="J133" s="4" t="n"/>
      <c r="K133" s="5" t="n">
        <v>82074.35000000001</v>
      </c>
      <c r="L133" s="5" t="n">
        <v>-42566</v>
      </c>
      <c r="M133" s="5" t="n">
        <v>0</v>
      </c>
      <c r="N133" s="5" t="n">
        <v>39508.35000000001</v>
      </c>
      <c r="O133" s="7" t="n">
        <v>0.1097454166666667</v>
      </c>
      <c r="P133" s="5" t="n">
        <v>18145.9</v>
      </c>
      <c r="Q133" s="5" t="n">
        <v>0</v>
      </c>
      <c r="R133" s="5" t="n">
        <v>18145.9</v>
      </c>
      <c r="S133" s="5" t="n">
        <v>60000</v>
      </c>
      <c r="T133" s="5" t="n">
        <v>0</v>
      </c>
      <c r="U133" s="7" t="n">
        <v>0</v>
      </c>
      <c r="V133" s="7" t="n">
        <v>0</v>
      </c>
      <c r="W133" s="5" t="n">
        <v>181.459</v>
      </c>
      <c r="X133" s="5" t="n">
        <v>20</v>
      </c>
      <c r="Y133" s="7" t="n">
        <v>0</v>
      </c>
      <c r="Z133" s="5" t="n">
        <v>2000</v>
      </c>
      <c r="AA133" s="5" t="n">
        <v>0</v>
      </c>
    </row>
    <row r="134" ht="15" customHeight="1">
      <c r="A134" s="3" t="n">
        <v>46143</v>
      </c>
      <c r="B134" s="4" t="inlineStr">
        <is>
          <t>李骏超</t>
        </is>
      </c>
      <c r="C134" s="4" t="inlineStr">
        <is>
          <t>无忧/走读</t>
        </is>
      </c>
      <c r="D134" s="4" t="inlineStr">
        <is>
          <t>考研项目部</t>
        </is>
      </c>
      <c r="E134" s="4" t="inlineStr">
        <is>
          <t>走读项目部-销售管理部-O1学习顾问</t>
        </is>
      </c>
      <c r="F134" s="5">
        <f>G134+H134</f>
        <v/>
      </c>
      <c r="G134" s="5" t="n">
        <v>0</v>
      </c>
      <c r="H134" s="5" t="n">
        <v>0</v>
      </c>
      <c r="I134" s="5" t="n">
        <v>288000</v>
      </c>
      <c r="J134" s="4" t="n"/>
      <c r="K134" s="5" t="n">
        <v>0</v>
      </c>
      <c r="L134" s="5" t="n">
        <v>0</v>
      </c>
      <c r="M134" s="5" t="n">
        <v>0</v>
      </c>
      <c r="N134" s="5" t="n">
        <v>0</v>
      </c>
      <c r="O134" s="7" t="n">
        <v>0</v>
      </c>
      <c r="P134" s="5" t="n">
        <v>0</v>
      </c>
      <c r="Q134" s="5" t="n">
        <v>0</v>
      </c>
      <c r="R134" s="5" t="n">
        <v>0</v>
      </c>
      <c r="S134" s="5" t="n">
        <v>48000</v>
      </c>
      <c r="T134" s="5" t="n">
        <v>0</v>
      </c>
      <c r="U134" s="7" t="n">
        <v>0</v>
      </c>
      <c r="V134" s="7" t="n">
        <v>0</v>
      </c>
      <c r="W134" s="5" t="n">
        <v>0</v>
      </c>
      <c r="X134" s="4" t="n"/>
      <c r="Y134" s="4" t="n"/>
      <c r="Z134" s="4" t="n"/>
      <c r="AA134" s="4" t="n"/>
    </row>
  </sheetData>
  <autoFilter ref="A2:AA134"/>
  <mergeCells count="10">
    <mergeCell ref="C1:C2"/>
    <mergeCell ref="B1:B2"/>
    <mergeCell ref="G1:G2"/>
    <mergeCell ref="X1:AA1"/>
    <mergeCell ref="F1:F2"/>
    <mergeCell ref="I1:W1"/>
    <mergeCell ref="D1:D2"/>
    <mergeCell ref="E1:E2"/>
    <mergeCell ref="H1:H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50"/>
  <sheetViews>
    <sheetView workbookViewId="0">
      <pane xSplit="5" ySplit="2" topLeftCell="I3" activePane="bottomRight" state="frozen"/>
      <selection pane="topRight" activeCell="A1" sqref="A1"/>
      <selection pane="bottomLeft" activeCell="A1" sqref="A1"/>
      <selection pane="bottomRight" activeCell="A1" sqref="A1:A2"/>
    </sheetView>
  </sheetViews>
  <sheetFormatPr baseColWidth="8" defaultRowHeight="14.25"/>
  <cols>
    <col width="12" customWidth="1" min="1" max="2"/>
    <col width="10" customWidth="1" min="3" max="3"/>
    <col width="16" customWidth="1" min="4" max="5"/>
    <col width="12" customWidth="1" min="6" max="8"/>
    <col width="16" customWidth="1" min="9" max="9"/>
    <col width="14" customWidth="1" min="10" max="11"/>
    <col width="12" customWidth="1" min="12" max="12"/>
    <col width="16" customWidth="1" min="13" max="13"/>
    <col width="14" customWidth="1" min="14" max="15"/>
    <col width="11" customWidth="1" min="16" max="17"/>
    <col width="13" customWidth="1" min="18" max="18"/>
    <col width="11" customWidth="1" min="19" max="21"/>
    <col width="10" customWidth="1" min="22" max="22"/>
    <col width="12" customWidth="1" min="23" max="23"/>
    <col width="10" customWidth="1" min="24" max="25"/>
    <col width="12" customWidth="1" min="26" max="27"/>
  </cols>
  <sheetData>
    <row r="1" ht="27" customHeight="1">
      <c r="A1" s="67" t="inlineStr">
        <is>
          <t>年月（自然月）</t>
        </is>
      </c>
      <c r="B1" s="67" t="inlineStr">
        <is>
          <t>顾问姓名</t>
        </is>
      </c>
      <c r="C1" s="67" t="inlineStr">
        <is>
          <t>二级部门</t>
        </is>
      </c>
      <c r="D1" s="67" t="inlineStr">
        <is>
          <t>三级部门</t>
        </is>
      </c>
      <c r="E1" s="67" t="inlineStr">
        <is>
          <t>岗位</t>
        </is>
      </c>
      <c r="F1" s="66" t="inlineStr">
        <is>
          <t>奖金</t>
        </is>
      </c>
      <c r="G1" s="66" t="inlineStr">
        <is>
          <t>实发绩效</t>
        </is>
      </c>
      <c r="H1" s="66" t="inlineStr">
        <is>
          <t>实发提成</t>
        </is>
      </c>
      <c r="I1" s="64" t="inlineStr">
        <is>
          <t>月度业绩</t>
        </is>
      </c>
      <c r="J1" s="58" t="n"/>
      <c r="K1" s="58" t="n"/>
      <c r="L1" s="58" t="n"/>
      <c r="M1" s="58" t="n"/>
      <c r="N1" s="58" t="n"/>
      <c r="O1" s="59" t="n"/>
      <c r="P1" s="68" t="inlineStr">
        <is>
          <t>月度绩效</t>
        </is>
      </c>
      <c r="Q1" s="58" t="n"/>
      <c r="R1" s="58" t="n"/>
      <c r="S1" s="59" t="n"/>
      <c r="T1" s="51" t="n"/>
      <c r="U1" s="51" t="n"/>
      <c r="V1" s="51" t="n"/>
      <c r="W1" s="51" t="n"/>
      <c r="X1" s="52" t="n"/>
      <c r="Y1" s="51" t="n"/>
      <c r="Z1" s="51" t="n"/>
      <c r="AA1" s="51" t="n"/>
      <c r="AB1" s="51" t="n"/>
      <c r="AC1" s="51" t="n"/>
      <c r="AD1" s="51" t="n"/>
      <c r="AE1" s="51" t="n"/>
      <c r="AF1" s="51" t="n"/>
      <c r="AG1" s="51" t="n"/>
      <c r="AH1" s="51" t="n"/>
      <c r="AI1" s="51" t="n"/>
      <c r="AJ1" s="51" t="n"/>
      <c r="AK1" s="51" t="n"/>
      <c r="AL1" s="51" t="n"/>
      <c r="AM1" s="51" t="n"/>
    </row>
    <row r="2" ht="25.05" customHeight="1">
      <c r="A2" s="62" t="n"/>
      <c r="B2" s="62" t="n"/>
      <c r="C2" s="62" t="n"/>
      <c r="D2" s="62" t="n"/>
      <c r="E2" s="62" t="n"/>
      <c r="F2" s="62" t="n"/>
      <c r="G2" s="62" t="n"/>
      <c r="H2" s="62" t="n"/>
      <c r="I2" s="64" t="inlineStr">
        <is>
          <t>资源处理时效数据</t>
        </is>
      </c>
      <c r="J2" s="64" t="inlineStr">
        <is>
          <t>资源处理时效得分</t>
        </is>
      </c>
      <c r="K2" s="64" t="inlineStr">
        <is>
          <t>老带新完成人头</t>
        </is>
      </c>
      <c r="L2" s="64" t="inlineStr">
        <is>
          <t>老带新得分</t>
        </is>
      </c>
      <c r="M2" s="64" t="inlineStr">
        <is>
          <t>新增签约完成情况</t>
        </is>
      </c>
      <c r="N2" s="64" t="inlineStr">
        <is>
          <t>新增签约完成率</t>
        </is>
      </c>
      <c r="O2" s="64" t="inlineStr">
        <is>
          <t>新增签约得分</t>
        </is>
      </c>
      <c r="P2" s="68" t="inlineStr">
        <is>
          <t>合计得分</t>
        </is>
      </c>
      <c r="Q2" s="68" t="inlineStr">
        <is>
          <t>发放比例</t>
        </is>
      </c>
      <c r="R2" s="68" t="inlineStr">
        <is>
          <t>月度绩效标准</t>
        </is>
      </c>
      <c r="S2" s="68" t="inlineStr">
        <is>
          <t>月绩效应发</t>
        </is>
      </c>
      <c r="T2" s="52" t="n"/>
      <c r="U2" s="52" t="n"/>
      <c r="V2" s="52" t="n"/>
      <c r="W2" s="52" t="n"/>
      <c r="X2" s="52" t="n"/>
      <c r="Y2" s="52" t="n"/>
      <c r="Z2" s="52" t="n"/>
      <c r="AA2" s="52" t="n"/>
      <c r="AB2" s="51" t="n"/>
      <c r="AC2" s="51" t="n"/>
      <c r="AD2" s="51" t="n"/>
      <c r="AE2" s="51" t="n"/>
      <c r="AF2" s="51" t="n"/>
      <c r="AG2" s="51" t="n"/>
      <c r="AH2" s="51" t="n"/>
      <c r="AI2" s="51" t="n"/>
      <c r="AJ2" s="51" t="n"/>
      <c r="AK2" s="51" t="n"/>
      <c r="AL2" s="51" t="n"/>
      <c r="AM2" s="51" t="n"/>
    </row>
    <row r="3" ht="15" customHeight="1">
      <c r="A3" s="53" t="n">
        <v>45962</v>
      </c>
      <c r="B3" s="54" t="inlineStr">
        <is>
          <t>刘晓娟</t>
        </is>
      </c>
      <c r="C3" s="54" t="inlineStr">
        <is>
          <t>四六级</t>
        </is>
      </c>
      <c r="D3" s="54" t="inlineStr">
        <is>
          <t>四六级项目部</t>
        </is>
      </c>
      <c r="E3" s="54" t="inlineStr">
        <is>
          <t>B级学习顾问</t>
        </is>
      </c>
      <c r="F3" s="55">
        <f>G3+H3</f>
        <v/>
      </c>
      <c r="G3" s="55" t="n">
        <v>2000</v>
      </c>
      <c r="H3" s="55" t="n">
        <v>14556.105</v>
      </c>
      <c r="I3" s="55" t="n">
        <v>12.89</v>
      </c>
      <c r="J3" s="55" t="n">
        <v>10</v>
      </c>
      <c r="K3" s="55" t="n">
        <v>5</v>
      </c>
      <c r="L3" s="55" t="n">
        <v>30</v>
      </c>
      <c r="M3" s="56" t="n">
        <v>0.3</v>
      </c>
      <c r="N3" s="56" t="n">
        <v>1.071428571428571</v>
      </c>
      <c r="O3" s="55" t="n">
        <v>60</v>
      </c>
      <c r="P3" s="55" t="n">
        <v>100</v>
      </c>
      <c r="Q3" s="56" t="n">
        <v>1</v>
      </c>
      <c r="R3" s="55" t="n">
        <v>2000</v>
      </c>
      <c r="S3" s="55" t="n">
        <v>2000</v>
      </c>
      <c r="T3" s="51" t="n"/>
      <c r="U3" s="51" t="n"/>
      <c r="V3" s="51" t="n"/>
      <c r="W3" s="51" t="n"/>
      <c r="X3" s="51" t="n"/>
      <c r="Y3" s="51" t="n"/>
      <c r="Z3" s="51" t="n"/>
      <c r="AA3" s="51" t="n"/>
      <c r="AB3" s="51" t="n"/>
      <c r="AC3" s="51" t="n"/>
      <c r="AD3" s="51" t="n"/>
      <c r="AE3" s="51" t="n"/>
      <c r="AF3" s="51" t="n"/>
      <c r="AG3" s="51" t="n"/>
      <c r="AH3" s="51" t="n"/>
      <c r="AI3" s="51" t="n"/>
      <c r="AJ3" s="51" t="n"/>
      <c r="AK3" s="51" t="n"/>
      <c r="AL3" s="51" t="n"/>
      <c r="AM3" s="51" t="n"/>
    </row>
    <row r="4" ht="15" customHeight="1">
      <c r="A4" s="53" t="n">
        <v>45962</v>
      </c>
      <c r="B4" s="54" t="inlineStr">
        <is>
          <t>房国超</t>
        </is>
      </c>
      <c r="C4" s="54" t="inlineStr">
        <is>
          <t>四六级</t>
        </is>
      </c>
      <c r="D4" s="54" t="inlineStr">
        <is>
          <t>四六级项目部</t>
        </is>
      </c>
      <c r="E4" s="54" t="inlineStr">
        <is>
          <t>B级学习顾问</t>
        </is>
      </c>
      <c r="F4" s="55">
        <f>G4+H4</f>
        <v/>
      </c>
      <c r="G4" s="55" t="n">
        <v>1400</v>
      </c>
      <c r="H4" s="55" t="n">
        <v>4170.9927</v>
      </c>
      <c r="I4" s="55" t="n">
        <v>4.5</v>
      </c>
      <c r="J4" s="55" t="n">
        <v>10</v>
      </c>
      <c r="K4" s="55" t="n">
        <v>3</v>
      </c>
      <c r="L4" s="55" t="n">
        <v>18</v>
      </c>
      <c r="M4" s="56" t="n">
        <v>0.194</v>
      </c>
      <c r="N4" s="56" t="n">
        <v>0.6928571428571428</v>
      </c>
      <c r="O4" s="55" t="n">
        <v>41.57142857142857</v>
      </c>
      <c r="P4" s="55" t="n">
        <v>69.57142857142857</v>
      </c>
      <c r="Q4" s="56" t="n">
        <v>0.7</v>
      </c>
      <c r="R4" s="55" t="n">
        <v>2000</v>
      </c>
      <c r="S4" s="55" t="n">
        <v>1400</v>
      </c>
      <c r="T4" s="51" t="n"/>
      <c r="U4" s="51" t="n"/>
      <c r="V4" s="51" t="n"/>
      <c r="W4" s="51" t="n"/>
      <c r="X4" s="51" t="n"/>
      <c r="Y4" s="51" t="n"/>
      <c r="Z4" s="51" t="n"/>
      <c r="AA4" s="51" t="n"/>
      <c r="AB4" s="51" t="n"/>
      <c r="AC4" s="51" t="n"/>
      <c r="AD4" s="51" t="n"/>
      <c r="AE4" s="51" t="n"/>
      <c r="AF4" s="51" t="n"/>
      <c r="AG4" s="51" t="n"/>
      <c r="AH4" s="51" t="n"/>
      <c r="AI4" s="51" t="n"/>
      <c r="AJ4" s="51" t="n"/>
      <c r="AK4" s="51" t="n"/>
      <c r="AL4" s="51" t="n"/>
      <c r="AM4" s="51" t="n"/>
    </row>
    <row r="5" ht="15" customHeight="1">
      <c r="A5" s="53" t="n">
        <v>45962</v>
      </c>
      <c r="B5" s="54" t="inlineStr">
        <is>
          <t>宋增辉</t>
        </is>
      </c>
      <c r="C5" s="54" t="inlineStr">
        <is>
          <t>四六级</t>
        </is>
      </c>
      <c r="D5" s="54" t="inlineStr">
        <is>
          <t>四六级项目部</t>
        </is>
      </c>
      <c r="E5" s="54" t="inlineStr">
        <is>
          <t>B级学习顾问</t>
        </is>
      </c>
      <c r="F5" s="55">
        <f>G5+H5</f>
        <v/>
      </c>
      <c r="G5" s="55" t="n">
        <v>0</v>
      </c>
      <c r="H5" s="55" t="n">
        <v>0</v>
      </c>
      <c r="I5" s="55" t="n">
        <v>25.83</v>
      </c>
      <c r="J5" s="55" t="n">
        <v>10</v>
      </c>
      <c r="K5" s="55" t="n">
        <v>0</v>
      </c>
      <c r="L5" s="55" t="n">
        <v>0</v>
      </c>
      <c r="M5" s="56" t="n">
        <v>0.11</v>
      </c>
      <c r="N5" s="56" t="n">
        <v>0.3928571428571428</v>
      </c>
      <c r="O5" s="55" t="n">
        <v>23.57142857142857</v>
      </c>
      <c r="P5" s="55" t="n">
        <v>33.57142857142857</v>
      </c>
      <c r="Q5" s="56" t="n">
        <v>0</v>
      </c>
      <c r="R5" s="55" t="n">
        <v>2000</v>
      </c>
      <c r="S5" s="55" t="n">
        <v>0</v>
      </c>
      <c r="T5" s="51" t="n"/>
      <c r="U5" s="51" t="n"/>
      <c r="V5" s="51" t="n"/>
      <c r="W5" s="51" t="n"/>
      <c r="X5" s="51" t="n"/>
      <c r="Y5" s="51" t="n"/>
      <c r="Z5" s="51" t="n"/>
      <c r="AA5" s="51" t="n"/>
      <c r="AB5" s="51" t="n"/>
      <c r="AC5" s="51" t="n"/>
      <c r="AD5" s="51" t="n"/>
      <c r="AE5" s="51" t="n"/>
      <c r="AF5" s="51" t="n"/>
      <c r="AG5" s="51" t="n"/>
      <c r="AH5" s="51" t="n"/>
      <c r="AI5" s="51" t="n"/>
      <c r="AJ5" s="51" t="n"/>
      <c r="AK5" s="51" t="n"/>
      <c r="AL5" s="51" t="n"/>
      <c r="AM5" s="51" t="n"/>
    </row>
    <row r="6" ht="15" customHeight="1">
      <c r="A6" s="53" t="n">
        <v>45962</v>
      </c>
      <c r="B6" s="54" t="inlineStr">
        <is>
          <t>田一禾</t>
        </is>
      </c>
      <c r="C6" s="54" t="inlineStr">
        <is>
          <t>四六级</t>
        </is>
      </c>
      <c r="D6" s="54" t="inlineStr">
        <is>
          <t>四六级项目部</t>
        </is>
      </c>
      <c r="E6" s="54" t="inlineStr">
        <is>
          <t>B级学习顾问</t>
        </is>
      </c>
      <c r="F6" s="55">
        <f>G6+H6</f>
        <v/>
      </c>
      <c r="G6" s="55" t="n">
        <v>1440</v>
      </c>
      <c r="H6" s="55" t="n">
        <v>8662</v>
      </c>
      <c r="I6" s="55" t="n">
        <v>30.36</v>
      </c>
      <c r="J6" s="55" t="n">
        <v>10</v>
      </c>
      <c r="K6" s="55" t="n">
        <v>0</v>
      </c>
      <c r="L6" s="55" t="n">
        <v>0</v>
      </c>
      <c r="M6" s="56" t="n">
        <v>0.3</v>
      </c>
      <c r="N6" s="56" t="n">
        <v>1.071428571428571</v>
      </c>
      <c r="O6" s="55" t="n">
        <v>60</v>
      </c>
      <c r="P6" s="55" t="n">
        <v>70</v>
      </c>
      <c r="Q6" s="56" t="n">
        <v>0.7</v>
      </c>
      <c r="R6" s="55" t="n">
        <v>2000</v>
      </c>
      <c r="S6" s="55" t="n">
        <v>1400</v>
      </c>
      <c r="T6" s="51" t="n"/>
      <c r="U6" s="51" t="n"/>
      <c r="V6" s="51" t="n"/>
      <c r="W6" s="51" t="n"/>
      <c r="X6" s="51" t="n"/>
      <c r="Y6" s="51" t="n"/>
      <c r="Z6" s="51" t="n"/>
      <c r="AA6" s="51" t="n"/>
      <c r="AB6" s="51" t="n"/>
      <c r="AC6" s="51" t="n"/>
      <c r="AD6" s="51" t="n"/>
      <c r="AE6" s="51" t="n"/>
      <c r="AF6" s="51" t="n"/>
      <c r="AG6" s="51" t="n"/>
      <c r="AH6" s="51" t="n"/>
      <c r="AI6" s="51" t="n"/>
      <c r="AJ6" s="51" t="n"/>
      <c r="AK6" s="51" t="n"/>
      <c r="AL6" s="51" t="n"/>
      <c r="AM6" s="51" t="n"/>
    </row>
    <row r="7" ht="15" customHeight="1">
      <c r="A7" s="53" t="n">
        <v>45962</v>
      </c>
      <c r="B7" s="54" t="inlineStr">
        <is>
          <t>黄智超</t>
        </is>
      </c>
      <c r="C7" s="54" t="inlineStr">
        <is>
          <t>四六级</t>
        </is>
      </c>
      <c r="D7" s="54" t="inlineStr">
        <is>
          <t>四六级项目部</t>
        </is>
      </c>
      <c r="E7" s="54" t="inlineStr">
        <is>
          <t>B级学习顾问</t>
        </is>
      </c>
      <c r="F7" s="55">
        <f>G7+H7</f>
        <v/>
      </c>
      <c r="G7" s="55" t="n">
        <v>1520</v>
      </c>
      <c r="H7" s="55" t="n">
        <v>15076</v>
      </c>
      <c r="I7" s="55" t="n">
        <v>5.15</v>
      </c>
      <c r="J7" s="55" t="n">
        <v>10</v>
      </c>
      <c r="K7" s="55" t="n">
        <v>3</v>
      </c>
      <c r="L7" s="55" t="n">
        <v>18</v>
      </c>
      <c r="M7" s="56" t="n">
        <v>0.22</v>
      </c>
      <c r="N7" s="56" t="n">
        <v>0.7857142857142857</v>
      </c>
      <c r="O7" s="55" t="n">
        <v>48</v>
      </c>
      <c r="P7" s="55" t="n">
        <v>76</v>
      </c>
      <c r="Q7" s="56" t="n">
        <v>0.76</v>
      </c>
      <c r="R7" s="55" t="n">
        <v>2000</v>
      </c>
      <c r="S7" s="55" t="n">
        <v>1520</v>
      </c>
      <c r="T7" s="51" t="n"/>
      <c r="U7" s="51" t="n"/>
      <c r="V7" s="51" t="n"/>
      <c r="W7" s="51" t="n"/>
      <c r="X7" s="51" t="n"/>
      <c r="Y7" s="51" t="n"/>
      <c r="Z7" s="51" t="n"/>
      <c r="AA7" s="51" t="n"/>
      <c r="AB7" s="51" t="n"/>
      <c r="AC7" s="51" t="n"/>
      <c r="AD7" s="51" t="n"/>
      <c r="AE7" s="51" t="n"/>
      <c r="AF7" s="51" t="n"/>
      <c r="AG7" s="51" t="n"/>
      <c r="AH7" s="51" t="n"/>
      <c r="AI7" s="51" t="n"/>
      <c r="AJ7" s="51" t="n"/>
      <c r="AK7" s="51" t="n"/>
      <c r="AL7" s="51" t="n"/>
      <c r="AM7" s="51" t="n"/>
    </row>
    <row r="8" ht="30" customHeight="1">
      <c r="A8" s="53" t="n">
        <v>45962</v>
      </c>
      <c r="B8" s="54" t="inlineStr">
        <is>
          <t>徐一城</t>
        </is>
      </c>
      <c r="C8" s="54" t="inlineStr">
        <is>
          <t>四六级</t>
        </is>
      </c>
      <c r="D8" s="54" t="inlineStr">
        <is>
          <t>四六级项目部</t>
        </is>
      </c>
      <c r="E8" s="54" t="inlineStr">
        <is>
          <t>B级学习顾问</t>
        </is>
      </c>
      <c r="F8" s="55">
        <f>G8+H8</f>
        <v/>
      </c>
      <c r="G8" s="55" t="n">
        <v>1480</v>
      </c>
      <c r="H8" s="55" t="n">
        <v>0</v>
      </c>
      <c r="I8" s="55" t="inlineStr">
        <is>
          <t>新人第三个月保护期打满</t>
        </is>
      </c>
      <c r="J8" s="55" t="n">
        <v>10</v>
      </c>
      <c r="K8" s="55" t="n">
        <v>1</v>
      </c>
      <c r="L8" s="55" t="n">
        <v>6</v>
      </c>
      <c r="M8" s="56" t="n">
        <v>0.27</v>
      </c>
      <c r="N8" s="56" t="n">
        <v>0.9642857142857143</v>
      </c>
      <c r="O8" s="55" t="n">
        <v>58</v>
      </c>
      <c r="P8" s="55" t="n">
        <v>74</v>
      </c>
      <c r="Q8" s="56" t="n">
        <v>0.74</v>
      </c>
      <c r="R8" s="55" t="n">
        <v>2000</v>
      </c>
      <c r="S8" s="55" t="n">
        <v>1480</v>
      </c>
      <c r="T8" s="51" t="n"/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</row>
    <row r="9">
      <c r="A9" s="51" t="n"/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1" t="n"/>
      <c r="O9" s="51" t="n"/>
      <c r="P9" s="51" t="n"/>
      <c r="Q9" s="51" t="n"/>
      <c r="R9" s="51" t="n"/>
      <c r="S9" s="51" t="n"/>
      <c r="T9" s="51" t="n"/>
      <c r="U9" s="51" t="n"/>
      <c r="V9" s="51" t="n"/>
      <c r="W9" s="51" t="n"/>
      <c r="X9" s="51" t="n"/>
      <c r="Y9" s="51" t="n"/>
      <c r="Z9" s="51" t="n"/>
      <c r="AA9" s="51" t="n"/>
      <c r="AB9" s="51" t="n"/>
      <c r="AC9" s="51" t="n"/>
      <c r="AD9" s="51" t="n"/>
      <c r="AE9" s="51" t="n"/>
      <c r="AF9" s="51" t="n"/>
      <c r="AG9" s="51" t="n"/>
      <c r="AH9" s="51" t="n"/>
      <c r="AI9" s="51" t="n"/>
      <c r="AJ9" s="51" t="n"/>
      <c r="AK9" s="51" t="n"/>
      <c r="AL9" s="51" t="n"/>
      <c r="AM9" s="51" t="n"/>
    </row>
    <row r="10">
      <c r="A10" s="51" t="n"/>
      <c r="B10" s="51" t="n"/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51" t="n"/>
      <c r="O10" s="51" t="n"/>
      <c r="P10" s="51" t="n"/>
      <c r="Q10" s="51" t="n"/>
      <c r="R10" s="51" t="n"/>
      <c r="S10" s="51" t="n"/>
      <c r="T10" s="51" t="n"/>
      <c r="U10" s="51" t="n"/>
      <c r="V10" s="51" t="n"/>
      <c r="W10" s="51" t="n"/>
      <c r="X10" s="51" t="n"/>
      <c r="Y10" s="51" t="n"/>
      <c r="Z10" s="51" t="n"/>
      <c r="AA10" s="51" t="n"/>
      <c r="AB10" s="51" t="n"/>
      <c r="AC10" s="51" t="n"/>
      <c r="AD10" s="51" t="n"/>
      <c r="AE10" s="51" t="n"/>
      <c r="AF10" s="51" t="n"/>
      <c r="AG10" s="51" t="n"/>
      <c r="AH10" s="51" t="n"/>
      <c r="AI10" s="51" t="n"/>
      <c r="AJ10" s="51" t="n"/>
      <c r="AK10" s="51" t="n"/>
      <c r="AL10" s="51" t="n"/>
      <c r="AM10" s="51" t="n"/>
    </row>
    <row r="11">
      <c r="A11" s="51" t="n"/>
      <c r="B11" s="51" t="n"/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  <c r="T11" s="51" t="n"/>
      <c r="U11" s="51" t="n"/>
      <c r="V11" s="51" t="n"/>
      <c r="W11" s="51" t="n"/>
      <c r="X11" s="51" t="n"/>
      <c r="Y11" s="51" t="n"/>
      <c r="Z11" s="51" t="n"/>
      <c r="AA11" s="51" t="n"/>
      <c r="AB11" s="51" t="n"/>
      <c r="AC11" s="51" t="n"/>
      <c r="AD11" s="51" t="n"/>
      <c r="AE11" s="51" t="n"/>
      <c r="AF11" s="51" t="n"/>
      <c r="AG11" s="51" t="n"/>
      <c r="AH11" s="51" t="n"/>
      <c r="AI11" s="51" t="n"/>
      <c r="AJ11" s="51" t="n"/>
      <c r="AK11" s="51" t="n"/>
      <c r="AL11" s="51" t="n"/>
      <c r="AM11" s="51" t="n"/>
    </row>
    <row r="12">
      <c r="A12" s="51" t="n"/>
      <c r="B12" s="51" t="n"/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  <c r="AA12" s="51" t="n"/>
      <c r="AB12" s="51" t="n"/>
      <c r="AC12" s="51" t="n"/>
      <c r="AD12" s="51" t="n"/>
      <c r="AE12" s="51" t="n"/>
      <c r="AF12" s="51" t="n"/>
      <c r="AG12" s="51" t="n"/>
      <c r="AH12" s="51" t="n"/>
      <c r="AI12" s="51" t="n"/>
      <c r="AJ12" s="51" t="n"/>
      <c r="AK12" s="51" t="n"/>
      <c r="AL12" s="51" t="n"/>
      <c r="AM12" s="51" t="n"/>
    </row>
    <row r="13">
      <c r="A13" s="51" t="n"/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  <c r="AA13" s="51" t="n"/>
      <c r="AB13" s="51" t="n"/>
      <c r="AC13" s="51" t="n"/>
      <c r="AD13" s="51" t="n"/>
      <c r="AE13" s="51" t="n"/>
      <c r="AF13" s="51" t="n"/>
      <c r="AG13" s="51" t="n"/>
      <c r="AH13" s="51" t="n"/>
      <c r="AI13" s="51" t="n"/>
      <c r="AJ13" s="51" t="n"/>
      <c r="AK13" s="51" t="n"/>
      <c r="AL13" s="51" t="n"/>
      <c r="AM13" s="51" t="n"/>
    </row>
    <row r="14">
      <c r="A14" s="51" t="n"/>
      <c r="B14" s="51" t="n"/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  <c r="AA14" s="51" t="n"/>
      <c r="AB14" s="51" t="n"/>
      <c r="AC14" s="51" t="n"/>
      <c r="AD14" s="51" t="n"/>
      <c r="AE14" s="51" t="n"/>
      <c r="AF14" s="51" t="n"/>
      <c r="AG14" s="51" t="n"/>
      <c r="AH14" s="51" t="n"/>
      <c r="AI14" s="51" t="n"/>
      <c r="AJ14" s="51" t="n"/>
      <c r="AK14" s="51" t="n"/>
      <c r="AL14" s="51" t="n"/>
      <c r="AM14" s="51" t="n"/>
    </row>
    <row r="15">
      <c r="A15" s="51" t="n"/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  <c r="AA15" s="51" t="n"/>
      <c r="AB15" s="51" t="n"/>
      <c r="AC15" s="51" t="n"/>
      <c r="AD15" s="51" t="n"/>
      <c r="AE15" s="51" t="n"/>
      <c r="AF15" s="51" t="n"/>
      <c r="AG15" s="51" t="n"/>
      <c r="AH15" s="51" t="n"/>
      <c r="AI15" s="51" t="n"/>
      <c r="AJ15" s="51" t="n"/>
      <c r="AK15" s="51" t="n"/>
      <c r="AL15" s="51" t="n"/>
      <c r="AM15" s="51" t="n"/>
    </row>
    <row r="16">
      <c r="A16" s="51" t="n"/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51" t="n"/>
      <c r="O16" s="51" t="n"/>
      <c r="P16" s="51" t="n"/>
      <c r="Q16" s="51" t="n"/>
      <c r="R16" s="51" t="n"/>
      <c r="S16" s="51" t="n"/>
      <c r="T16" s="51" t="n"/>
      <c r="U16" s="51" t="n"/>
      <c r="V16" s="51" t="n"/>
      <c r="W16" s="51" t="n"/>
      <c r="X16" s="51" t="n"/>
      <c r="Y16" s="51" t="n"/>
      <c r="Z16" s="51" t="n"/>
      <c r="AA16" s="51" t="n"/>
      <c r="AB16" s="51" t="n"/>
      <c r="AC16" s="51" t="n"/>
      <c r="AD16" s="51" t="n"/>
      <c r="AE16" s="51" t="n"/>
      <c r="AF16" s="51" t="n"/>
      <c r="AG16" s="51" t="n"/>
      <c r="AH16" s="51" t="n"/>
      <c r="AI16" s="51" t="n"/>
      <c r="AJ16" s="51" t="n"/>
      <c r="AK16" s="51" t="n"/>
      <c r="AL16" s="51" t="n"/>
      <c r="AM16" s="51" t="n"/>
    </row>
    <row r="17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  <c r="AA17" s="51" t="n"/>
      <c r="AB17" s="51" t="n"/>
      <c r="AC17" s="51" t="n"/>
      <c r="AD17" s="51" t="n"/>
      <c r="AE17" s="51" t="n"/>
      <c r="AF17" s="51" t="n"/>
      <c r="AG17" s="51" t="n"/>
      <c r="AH17" s="51" t="n"/>
      <c r="AI17" s="51" t="n"/>
      <c r="AJ17" s="51" t="n"/>
      <c r="AK17" s="51" t="n"/>
      <c r="AL17" s="51" t="n"/>
      <c r="AM17" s="51" t="n"/>
    </row>
    <row r="18">
      <c r="A18" s="51" t="n"/>
      <c r="B18" s="51" t="n"/>
      <c r="C18" s="51" t="n"/>
      <c r="D18" s="51" t="n"/>
      <c r="E18" s="51" t="n"/>
      <c r="F18" s="51" t="n"/>
      <c r="G18" s="51" t="n"/>
      <c r="H18" s="51" t="n"/>
      <c r="I18" s="51" t="n"/>
      <c r="J18" s="5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  <c r="AA18" s="51" t="n"/>
      <c r="AB18" s="51" t="n"/>
      <c r="AC18" s="51" t="n"/>
      <c r="AD18" s="51" t="n"/>
      <c r="AE18" s="51" t="n"/>
      <c r="AF18" s="51" t="n"/>
      <c r="AG18" s="51" t="n"/>
      <c r="AH18" s="51" t="n"/>
      <c r="AI18" s="51" t="n"/>
      <c r="AJ18" s="51" t="n"/>
      <c r="AK18" s="51" t="n"/>
      <c r="AL18" s="51" t="n"/>
      <c r="AM18" s="51" t="n"/>
    </row>
    <row r="19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  <c r="AA19" s="51" t="n"/>
      <c r="AB19" s="51" t="n"/>
      <c r="AC19" s="51" t="n"/>
      <c r="AD19" s="51" t="n"/>
      <c r="AE19" s="51" t="n"/>
      <c r="AF19" s="51" t="n"/>
      <c r="AG19" s="51" t="n"/>
      <c r="AH19" s="51" t="n"/>
      <c r="AI19" s="51" t="n"/>
      <c r="AJ19" s="51" t="n"/>
      <c r="AK19" s="51" t="n"/>
      <c r="AL19" s="51" t="n"/>
      <c r="AM19" s="51" t="n"/>
    </row>
    <row r="20">
      <c r="A20" s="51" t="n"/>
      <c r="B20" s="51" t="n"/>
      <c r="C20" s="51" t="n"/>
      <c r="D20" s="51" t="n"/>
      <c r="E20" s="51" t="n"/>
      <c r="F20" s="51" t="n"/>
      <c r="G20" s="51" t="n"/>
      <c r="H20" s="51" t="n"/>
      <c r="I20" s="51" t="n"/>
      <c r="J20" s="51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  <c r="AA20" s="51" t="n"/>
      <c r="AB20" s="51" t="n"/>
      <c r="AC20" s="51" t="n"/>
      <c r="AD20" s="51" t="n"/>
      <c r="AE20" s="51" t="n"/>
      <c r="AF20" s="51" t="n"/>
      <c r="AG20" s="51" t="n"/>
      <c r="AH20" s="51" t="n"/>
      <c r="AI20" s="51" t="n"/>
      <c r="AJ20" s="51" t="n"/>
      <c r="AK20" s="51" t="n"/>
      <c r="AL20" s="51" t="n"/>
      <c r="AM20" s="51" t="n"/>
    </row>
    <row r="21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  <c r="AA21" s="51" t="n"/>
      <c r="AB21" s="51" t="n"/>
      <c r="AC21" s="51" t="n"/>
      <c r="AD21" s="51" t="n"/>
      <c r="AE21" s="51" t="n"/>
      <c r="AF21" s="51" t="n"/>
      <c r="AG21" s="51" t="n"/>
      <c r="AH21" s="51" t="n"/>
      <c r="AI21" s="51" t="n"/>
      <c r="AJ21" s="51" t="n"/>
      <c r="AK21" s="51" t="n"/>
      <c r="AL21" s="51" t="n"/>
      <c r="AM21" s="51" t="n"/>
    </row>
    <row r="22">
      <c r="A22" s="51" t="n"/>
      <c r="B22" s="51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  <c r="AA22" s="51" t="n"/>
      <c r="AB22" s="51" t="n"/>
      <c r="AC22" s="51" t="n"/>
      <c r="AD22" s="51" t="n"/>
      <c r="AE22" s="51" t="n"/>
      <c r="AF22" s="51" t="n"/>
      <c r="AG22" s="51" t="n"/>
      <c r="AH22" s="51" t="n"/>
      <c r="AI22" s="51" t="n"/>
      <c r="AJ22" s="51" t="n"/>
      <c r="AK22" s="51" t="n"/>
      <c r="AL22" s="51" t="n"/>
      <c r="AM22" s="51" t="n"/>
    </row>
    <row r="23">
      <c r="A23" s="51" t="n"/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  <c r="AA23" s="51" t="n"/>
      <c r="AB23" s="51" t="n"/>
      <c r="AC23" s="51" t="n"/>
      <c r="AD23" s="51" t="n"/>
      <c r="AE23" s="51" t="n"/>
      <c r="AF23" s="51" t="n"/>
      <c r="AG23" s="51" t="n"/>
      <c r="AH23" s="51" t="n"/>
      <c r="AI23" s="51" t="n"/>
      <c r="AJ23" s="51" t="n"/>
      <c r="AK23" s="51" t="n"/>
      <c r="AL23" s="51" t="n"/>
      <c r="AM23" s="51" t="n"/>
    </row>
    <row r="24">
      <c r="A24" s="51" t="n"/>
      <c r="B24" s="51" t="n"/>
      <c r="C24" s="51" t="n"/>
      <c r="D24" s="51" t="n"/>
      <c r="E24" s="51" t="n"/>
      <c r="F24" s="51" t="n"/>
      <c r="G24" s="51" t="n"/>
      <c r="H24" s="51" t="n"/>
      <c r="I24" s="51" t="n"/>
      <c r="J24" s="51" t="n"/>
      <c r="K24" s="51" t="n"/>
      <c r="L24" s="51" t="n"/>
      <c r="M24" s="51" t="n"/>
      <c r="N24" s="51" t="n"/>
      <c r="O24" s="51" t="n"/>
      <c r="P24" s="51" t="n"/>
      <c r="Q24" s="51" t="n"/>
      <c r="R24" s="51" t="n"/>
      <c r="S24" s="51" t="n"/>
      <c r="T24" s="51" t="n"/>
      <c r="U24" s="51" t="n"/>
      <c r="V24" s="51" t="n"/>
      <c r="W24" s="51" t="n"/>
      <c r="X24" s="51" t="n"/>
      <c r="Y24" s="51" t="n"/>
      <c r="Z24" s="51" t="n"/>
      <c r="AA24" s="51" t="n"/>
      <c r="AB24" s="51" t="n"/>
      <c r="AC24" s="51" t="n"/>
      <c r="AD24" s="51" t="n"/>
      <c r="AE24" s="51" t="n"/>
      <c r="AF24" s="51" t="n"/>
      <c r="AG24" s="51" t="n"/>
      <c r="AH24" s="51" t="n"/>
      <c r="AI24" s="51" t="n"/>
      <c r="AJ24" s="51" t="n"/>
      <c r="AK24" s="51" t="n"/>
      <c r="AL24" s="51" t="n"/>
      <c r="AM24" s="51" t="n"/>
    </row>
    <row r="25">
      <c r="A25" s="51" t="n"/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  <c r="O25" s="51" t="n"/>
      <c r="P25" s="51" t="n"/>
      <c r="Q25" s="51" t="n"/>
      <c r="R25" s="51" t="n"/>
      <c r="S25" s="51" t="n"/>
      <c r="T25" s="51" t="n"/>
      <c r="U25" s="51" t="n"/>
      <c r="V25" s="51" t="n"/>
      <c r="W25" s="51" t="n"/>
      <c r="X25" s="51" t="n"/>
      <c r="Y25" s="51" t="n"/>
      <c r="Z25" s="51" t="n"/>
      <c r="AA25" s="51" t="n"/>
      <c r="AB25" s="51" t="n"/>
      <c r="AC25" s="51" t="n"/>
      <c r="AD25" s="51" t="n"/>
      <c r="AE25" s="51" t="n"/>
      <c r="AF25" s="51" t="n"/>
      <c r="AG25" s="51" t="n"/>
      <c r="AH25" s="51" t="n"/>
      <c r="AI25" s="51" t="n"/>
      <c r="AJ25" s="51" t="n"/>
      <c r="AK25" s="51" t="n"/>
      <c r="AL25" s="51" t="n"/>
      <c r="AM25" s="51" t="n"/>
    </row>
    <row r="26">
      <c r="A26" s="51" t="n"/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51" t="n"/>
      <c r="O26" s="51" t="n"/>
      <c r="P26" s="51" t="n"/>
      <c r="Q26" s="51" t="n"/>
      <c r="R26" s="51" t="n"/>
      <c r="S26" s="51" t="n"/>
      <c r="T26" s="51" t="n"/>
      <c r="U26" s="51" t="n"/>
      <c r="V26" s="51" t="n"/>
      <c r="W26" s="51" t="n"/>
      <c r="X26" s="51" t="n"/>
      <c r="Y26" s="51" t="n"/>
      <c r="Z26" s="51" t="n"/>
      <c r="AA26" s="51" t="n"/>
      <c r="AB26" s="51" t="n"/>
      <c r="AC26" s="51" t="n"/>
      <c r="AD26" s="51" t="n"/>
      <c r="AE26" s="51" t="n"/>
      <c r="AF26" s="51" t="n"/>
      <c r="AG26" s="51" t="n"/>
      <c r="AH26" s="51" t="n"/>
      <c r="AI26" s="51" t="n"/>
      <c r="AJ26" s="51" t="n"/>
      <c r="AK26" s="51" t="n"/>
      <c r="AL26" s="51" t="n"/>
      <c r="AM26" s="51" t="n"/>
    </row>
    <row r="27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  <c r="AA27" s="51" t="n"/>
      <c r="AB27" s="51" t="n"/>
      <c r="AC27" s="51" t="n"/>
      <c r="AD27" s="51" t="n"/>
      <c r="AE27" s="51" t="n"/>
      <c r="AF27" s="51" t="n"/>
      <c r="AG27" s="51" t="n"/>
      <c r="AH27" s="51" t="n"/>
      <c r="AI27" s="51" t="n"/>
      <c r="AJ27" s="51" t="n"/>
      <c r="AK27" s="51" t="n"/>
      <c r="AL27" s="51" t="n"/>
      <c r="AM27" s="51" t="n"/>
    </row>
    <row r="2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  <c r="AA28" s="51" t="n"/>
      <c r="AB28" s="51" t="n"/>
      <c r="AC28" s="51" t="n"/>
      <c r="AD28" s="51" t="n"/>
      <c r="AE28" s="51" t="n"/>
      <c r="AF28" s="51" t="n"/>
      <c r="AG28" s="51" t="n"/>
      <c r="AH28" s="51" t="n"/>
      <c r="AI28" s="51" t="n"/>
      <c r="AJ28" s="51" t="n"/>
      <c r="AK28" s="51" t="n"/>
      <c r="AL28" s="51" t="n"/>
      <c r="AM28" s="51" t="n"/>
    </row>
    <row r="29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  <c r="AA29" s="51" t="n"/>
      <c r="AB29" s="51" t="n"/>
      <c r="AC29" s="51" t="n"/>
      <c r="AD29" s="51" t="n"/>
      <c r="AE29" s="51" t="n"/>
      <c r="AF29" s="51" t="n"/>
      <c r="AG29" s="51" t="n"/>
      <c r="AH29" s="51" t="n"/>
      <c r="AI29" s="51" t="n"/>
      <c r="AJ29" s="51" t="n"/>
      <c r="AK29" s="51" t="n"/>
      <c r="AL29" s="51" t="n"/>
      <c r="AM29" s="51" t="n"/>
    </row>
    <row r="30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  <c r="AA30" s="51" t="n"/>
      <c r="AB30" s="51" t="n"/>
      <c r="AC30" s="51" t="n"/>
      <c r="AD30" s="51" t="n"/>
      <c r="AE30" s="51" t="n"/>
      <c r="AF30" s="51" t="n"/>
      <c r="AG30" s="51" t="n"/>
      <c r="AH30" s="51" t="n"/>
      <c r="AI30" s="51" t="n"/>
      <c r="AJ30" s="51" t="n"/>
      <c r="AK30" s="51" t="n"/>
      <c r="AL30" s="51" t="n"/>
      <c r="AM30" s="51" t="n"/>
    </row>
    <row r="31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  <c r="AA31" s="51" t="n"/>
      <c r="AB31" s="51" t="n"/>
      <c r="AC31" s="51" t="n"/>
      <c r="AD31" s="51" t="n"/>
      <c r="AE31" s="51" t="n"/>
      <c r="AF31" s="51" t="n"/>
      <c r="AG31" s="51" t="n"/>
      <c r="AH31" s="51" t="n"/>
      <c r="AI31" s="51" t="n"/>
      <c r="AJ31" s="51" t="n"/>
      <c r="AK31" s="51" t="n"/>
      <c r="AL31" s="51" t="n"/>
      <c r="AM31" s="51" t="n"/>
    </row>
    <row r="32">
      <c r="A32" s="51" t="n"/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51" t="n"/>
      <c r="AA32" s="51" t="n"/>
      <c r="AB32" s="51" t="n"/>
      <c r="AC32" s="51" t="n"/>
      <c r="AD32" s="51" t="n"/>
      <c r="AE32" s="51" t="n"/>
      <c r="AF32" s="51" t="n"/>
      <c r="AG32" s="51" t="n"/>
      <c r="AH32" s="51" t="n"/>
      <c r="AI32" s="51" t="n"/>
      <c r="AJ32" s="51" t="n"/>
      <c r="AK32" s="51" t="n"/>
      <c r="AL32" s="51" t="n"/>
      <c r="AM32" s="51" t="n"/>
    </row>
    <row r="33">
      <c r="A33" s="51" t="n"/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  <c r="AA33" s="51" t="n"/>
      <c r="AB33" s="51" t="n"/>
      <c r="AC33" s="51" t="n"/>
      <c r="AD33" s="51" t="n"/>
      <c r="AE33" s="51" t="n"/>
      <c r="AF33" s="51" t="n"/>
      <c r="AG33" s="51" t="n"/>
      <c r="AH33" s="51" t="n"/>
      <c r="AI33" s="51" t="n"/>
      <c r="AJ33" s="51" t="n"/>
      <c r="AK33" s="51" t="n"/>
      <c r="AL33" s="51" t="n"/>
      <c r="AM33" s="51" t="n"/>
    </row>
    <row r="34">
      <c r="A34" s="51" t="n"/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  <c r="AA34" s="51" t="n"/>
      <c r="AB34" s="51" t="n"/>
      <c r="AC34" s="51" t="n"/>
      <c r="AD34" s="51" t="n"/>
      <c r="AE34" s="51" t="n"/>
      <c r="AF34" s="51" t="n"/>
      <c r="AG34" s="51" t="n"/>
      <c r="AH34" s="51" t="n"/>
      <c r="AI34" s="51" t="n"/>
      <c r="AJ34" s="51" t="n"/>
      <c r="AK34" s="51" t="n"/>
      <c r="AL34" s="51" t="n"/>
      <c r="AM34" s="51" t="n"/>
    </row>
    <row r="35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  <c r="AA35" s="51" t="n"/>
      <c r="AB35" s="51" t="n"/>
      <c r="AC35" s="51" t="n"/>
      <c r="AD35" s="51" t="n"/>
      <c r="AE35" s="51" t="n"/>
      <c r="AF35" s="51" t="n"/>
      <c r="AG35" s="51" t="n"/>
      <c r="AH35" s="51" t="n"/>
      <c r="AI35" s="51" t="n"/>
      <c r="AJ35" s="51" t="n"/>
      <c r="AK35" s="51" t="n"/>
      <c r="AL35" s="51" t="n"/>
      <c r="AM35" s="51" t="n"/>
    </row>
    <row r="36">
      <c r="A36" s="51" t="n"/>
      <c r="B36" s="51" t="n"/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  <c r="AA36" s="51" t="n"/>
      <c r="AB36" s="51" t="n"/>
      <c r="AC36" s="51" t="n"/>
      <c r="AD36" s="51" t="n"/>
      <c r="AE36" s="51" t="n"/>
      <c r="AF36" s="51" t="n"/>
      <c r="AG36" s="51" t="n"/>
      <c r="AH36" s="51" t="n"/>
      <c r="AI36" s="51" t="n"/>
      <c r="AJ36" s="51" t="n"/>
      <c r="AK36" s="51" t="n"/>
      <c r="AL36" s="51" t="n"/>
      <c r="AM36" s="51" t="n"/>
    </row>
    <row r="37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  <c r="AA37" s="51" t="n"/>
      <c r="AB37" s="51" t="n"/>
      <c r="AC37" s="51" t="n"/>
      <c r="AD37" s="51" t="n"/>
      <c r="AE37" s="51" t="n"/>
      <c r="AF37" s="51" t="n"/>
      <c r="AG37" s="51" t="n"/>
      <c r="AH37" s="51" t="n"/>
      <c r="AI37" s="51" t="n"/>
      <c r="AJ37" s="51" t="n"/>
      <c r="AK37" s="51" t="n"/>
      <c r="AL37" s="51" t="n"/>
      <c r="AM37" s="51" t="n"/>
    </row>
    <row r="38">
      <c r="A38" s="51" t="n"/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  <c r="AA38" s="51" t="n"/>
      <c r="AB38" s="51" t="n"/>
      <c r="AC38" s="51" t="n"/>
      <c r="AD38" s="51" t="n"/>
      <c r="AE38" s="51" t="n"/>
      <c r="AF38" s="51" t="n"/>
      <c r="AG38" s="51" t="n"/>
      <c r="AH38" s="51" t="n"/>
      <c r="AI38" s="51" t="n"/>
      <c r="AJ38" s="51" t="n"/>
      <c r="AK38" s="51" t="n"/>
      <c r="AL38" s="51" t="n"/>
      <c r="AM38" s="51" t="n"/>
    </row>
    <row r="39">
      <c r="A39" s="51" t="n"/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  <c r="AA39" s="51" t="n"/>
      <c r="AB39" s="51" t="n"/>
      <c r="AC39" s="51" t="n"/>
      <c r="AD39" s="51" t="n"/>
      <c r="AE39" s="51" t="n"/>
      <c r="AF39" s="51" t="n"/>
      <c r="AG39" s="51" t="n"/>
      <c r="AH39" s="51" t="n"/>
      <c r="AI39" s="51" t="n"/>
      <c r="AJ39" s="51" t="n"/>
      <c r="AK39" s="51" t="n"/>
      <c r="AL39" s="51" t="n"/>
      <c r="AM39" s="51" t="n"/>
    </row>
    <row r="40">
      <c r="A40" s="51" t="n"/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  <c r="AA40" s="51" t="n"/>
      <c r="AB40" s="51" t="n"/>
      <c r="AC40" s="51" t="n"/>
      <c r="AD40" s="51" t="n"/>
      <c r="AE40" s="51" t="n"/>
      <c r="AF40" s="51" t="n"/>
      <c r="AG40" s="51" t="n"/>
      <c r="AH40" s="51" t="n"/>
      <c r="AI40" s="51" t="n"/>
      <c r="AJ40" s="51" t="n"/>
      <c r="AK40" s="51" t="n"/>
      <c r="AL40" s="51" t="n"/>
      <c r="AM40" s="51" t="n"/>
    </row>
    <row r="41">
      <c r="A41" s="51" t="n"/>
      <c r="B41" s="51" t="n"/>
      <c r="C41" s="51" t="n"/>
      <c r="D41" s="51" t="n"/>
      <c r="E41" s="51" t="n"/>
      <c r="F41" s="51" t="n"/>
      <c r="G41" s="51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  <c r="AA41" s="51" t="n"/>
      <c r="AB41" s="51" t="n"/>
      <c r="AC41" s="51" t="n"/>
      <c r="AD41" s="51" t="n"/>
      <c r="AE41" s="51" t="n"/>
      <c r="AF41" s="51" t="n"/>
      <c r="AG41" s="51" t="n"/>
      <c r="AH41" s="51" t="n"/>
      <c r="AI41" s="51" t="n"/>
      <c r="AJ41" s="51" t="n"/>
      <c r="AK41" s="51" t="n"/>
      <c r="AL41" s="51" t="n"/>
      <c r="AM41" s="51" t="n"/>
    </row>
    <row r="42">
      <c r="A42" s="51" t="n"/>
      <c r="B42" s="51" t="n"/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  <c r="AA42" s="51" t="n"/>
      <c r="AB42" s="51" t="n"/>
      <c r="AC42" s="51" t="n"/>
      <c r="AD42" s="51" t="n"/>
      <c r="AE42" s="51" t="n"/>
      <c r="AF42" s="51" t="n"/>
      <c r="AG42" s="51" t="n"/>
      <c r="AH42" s="51" t="n"/>
      <c r="AI42" s="51" t="n"/>
      <c r="AJ42" s="51" t="n"/>
      <c r="AK42" s="51" t="n"/>
      <c r="AL42" s="51" t="n"/>
      <c r="AM42" s="51" t="n"/>
    </row>
    <row r="43">
      <c r="A43" s="51" t="n"/>
      <c r="B43" s="51" t="n"/>
      <c r="C43" s="51" t="n"/>
      <c r="D43" s="51" t="n"/>
      <c r="E43" s="51" t="n"/>
      <c r="F43" s="51" t="n"/>
      <c r="G43" s="51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  <c r="AA43" s="51" t="n"/>
      <c r="AB43" s="51" t="n"/>
      <c r="AC43" s="51" t="n"/>
      <c r="AD43" s="51" t="n"/>
      <c r="AE43" s="51" t="n"/>
      <c r="AF43" s="51" t="n"/>
      <c r="AG43" s="51" t="n"/>
      <c r="AH43" s="51" t="n"/>
      <c r="AI43" s="51" t="n"/>
      <c r="AJ43" s="51" t="n"/>
      <c r="AK43" s="51" t="n"/>
      <c r="AL43" s="51" t="n"/>
      <c r="AM43" s="51" t="n"/>
    </row>
    <row r="44">
      <c r="A44" s="51" t="n"/>
      <c r="B44" s="51" t="n"/>
      <c r="C44" s="51" t="n"/>
      <c r="D44" s="51" t="n"/>
      <c r="E44" s="51" t="n"/>
      <c r="F44" s="51" t="n"/>
      <c r="G44" s="51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  <c r="AA44" s="51" t="n"/>
      <c r="AB44" s="51" t="n"/>
      <c r="AC44" s="51" t="n"/>
      <c r="AD44" s="51" t="n"/>
      <c r="AE44" s="51" t="n"/>
      <c r="AF44" s="51" t="n"/>
      <c r="AG44" s="51" t="n"/>
      <c r="AH44" s="51" t="n"/>
      <c r="AI44" s="51" t="n"/>
      <c r="AJ44" s="51" t="n"/>
      <c r="AK44" s="51" t="n"/>
      <c r="AL44" s="51" t="n"/>
      <c r="AM44" s="51" t="n"/>
    </row>
    <row r="45">
      <c r="A45" s="51" t="n"/>
      <c r="B45" s="51" t="n"/>
      <c r="C45" s="51" t="n"/>
      <c r="D45" s="51" t="n"/>
      <c r="E45" s="51" t="n"/>
      <c r="F45" s="51" t="n"/>
      <c r="G45" s="51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  <c r="AA45" s="51" t="n"/>
      <c r="AB45" s="51" t="n"/>
      <c r="AC45" s="51" t="n"/>
      <c r="AD45" s="51" t="n"/>
      <c r="AE45" s="51" t="n"/>
      <c r="AF45" s="51" t="n"/>
      <c r="AG45" s="51" t="n"/>
      <c r="AH45" s="51" t="n"/>
      <c r="AI45" s="51" t="n"/>
      <c r="AJ45" s="51" t="n"/>
      <c r="AK45" s="51" t="n"/>
      <c r="AL45" s="51" t="n"/>
      <c r="AM45" s="51" t="n"/>
    </row>
    <row r="46">
      <c r="A46" s="51" t="n"/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  <c r="AA46" s="51" t="n"/>
      <c r="AB46" s="51" t="n"/>
      <c r="AC46" s="51" t="n"/>
      <c r="AD46" s="51" t="n"/>
      <c r="AE46" s="51" t="n"/>
      <c r="AF46" s="51" t="n"/>
      <c r="AG46" s="51" t="n"/>
      <c r="AH46" s="51" t="n"/>
      <c r="AI46" s="51" t="n"/>
      <c r="AJ46" s="51" t="n"/>
      <c r="AK46" s="51" t="n"/>
      <c r="AL46" s="51" t="n"/>
      <c r="AM46" s="51" t="n"/>
    </row>
    <row r="47">
      <c r="A47" s="51" t="n"/>
      <c r="B47" s="51" t="n"/>
      <c r="C47" s="51" t="n"/>
      <c r="D47" s="51" t="n"/>
      <c r="E47" s="51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  <c r="AA47" s="51" t="n"/>
      <c r="AB47" s="51" t="n"/>
      <c r="AC47" s="51" t="n"/>
      <c r="AD47" s="51" t="n"/>
      <c r="AE47" s="51" t="n"/>
      <c r="AF47" s="51" t="n"/>
      <c r="AG47" s="51" t="n"/>
      <c r="AH47" s="51" t="n"/>
      <c r="AI47" s="51" t="n"/>
      <c r="AJ47" s="51" t="n"/>
      <c r="AK47" s="51" t="n"/>
      <c r="AL47" s="51" t="n"/>
      <c r="AM47" s="51" t="n"/>
    </row>
    <row r="48">
      <c r="A48" s="51" t="n"/>
      <c r="B48" s="51" t="n"/>
      <c r="C48" s="51" t="n"/>
      <c r="D48" s="51" t="n"/>
      <c r="E48" s="51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  <c r="AA48" s="51" t="n"/>
      <c r="AB48" s="51" t="n"/>
      <c r="AC48" s="51" t="n"/>
      <c r="AD48" s="51" t="n"/>
      <c r="AE48" s="51" t="n"/>
      <c r="AF48" s="51" t="n"/>
      <c r="AG48" s="51" t="n"/>
      <c r="AH48" s="51" t="n"/>
      <c r="AI48" s="51" t="n"/>
      <c r="AJ48" s="51" t="n"/>
      <c r="AK48" s="51" t="n"/>
      <c r="AL48" s="51" t="n"/>
      <c r="AM48" s="51" t="n"/>
    </row>
    <row r="49">
      <c r="A49" s="51" t="n"/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  <c r="AA49" s="51" t="n"/>
      <c r="AB49" s="51" t="n"/>
      <c r="AC49" s="51" t="n"/>
      <c r="AD49" s="51" t="n"/>
      <c r="AE49" s="51" t="n"/>
      <c r="AF49" s="51" t="n"/>
      <c r="AG49" s="51" t="n"/>
      <c r="AH49" s="51" t="n"/>
      <c r="AI49" s="51" t="n"/>
      <c r="AJ49" s="51" t="n"/>
      <c r="AK49" s="51" t="n"/>
      <c r="AL49" s="51" t="n"/>
      <c r="AM49" s="51" t="n"/>
    </row>
    <row r="50">
      <c r="A50" s="51" t="n"/>
      <c r="B50" s="51" t="n"/>
      <c r="C50" s="51" t="n"/>
      <c r="D50" s="51" t="n"/>
      <c r="E50" s="51" t="n"/>
      <c r="F50" s="51" t="n"/>
      <c r="G50" s="51" t="n"/>
      <c r="H50" s="51" t="n"/>
      <c r="I50" s="51" t="n"/>
      <c r="J50" s="51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  <c r="AA50" s="51" t="n"/>
      <c r="AB50" s="51" t="n"/>
      <c r="AC50" s="51" t="n"/>
      <c r="AD50" s="51" t="n"/>
      <c r="AE50" s="51" t="n"/>
      <c r="AF50" s="51" t="n"/>
      <c r="AG50" s="51" t="n"/>
      <c r="AH50" s="51" t="n"/>
      <c r="AI50" s="51" t="n"/>
      <c r="AJ50" s="51" t="n"/>
      <c r="AK50" s="51" t="n"/>
      <c r="AL50" s="51" t="n"/>
      <c r="AM50" s="51" t="n"/>
    </row>
    <row r="51">
      <c r="A51" s="51" t="n"/>
      <c r="B51" s="51" t="n"/>
      <c r="C51" s="51" t="n"/>
      <c r="D51" s="51" t="n"/>
      <c r="E51" s="51" t="n"/>
      <c r="F51" s="51" t="n"/>
      <c r="G51" s="51" t="n"/>
      <c r="H51" s="51" t="n"/>
      <c r="I51" s="51" t="n"/>
      <c r="J51" s="51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  <c r="AA51" s="51" t="n"/>
      <c r="AB51" s="51" t="n"/>
      <c r="AC51" s="51" t="n"/>
      <c r="AD51" s="51" t="n"/>
      <c r="AE51" s="51" t="n"/>
      <c r="AF51" s="51" t="n"/>
      <c r="AG51" s="51" t="n"/>
      <c r="AH51" s="51" t="n"/>
      <c r="AI51" s="51" t="n"/>
      <c r="AJ51" s="51" t="n"/>
      <c r="AK51" s="51" t="n"/>
      <c r="AL51" s="51" t="n"/>
      <c r="AM51" s="51" t="n"/>
    </row>
    <row r="52">
      <c r="A52" s="51" t="n"/>
      <c r="B52" s="51" t="n"/>
      <c r="C52" s="51" t="n"/>
      <c r="D52" s="51" t="n"/>
      <c r="E52" s="51" t="n"/>
      <c r="F52" s="51" t="n"/>
      <c r="G52" s="51" t="n"/>
      <c r="H52" s="51" t="n"/>
      <c r="I52" s="51" t="n"/>
      <c r="J52" s="51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  <c r="AA52" s="51" t="n"/>
      <c r="AB52" s="51" t="n"/>
      <c r="AC52" s="51" t="n"/>
      <c r="AD52" s="51" t="n"/>
      <c r="AE52" s="51" t="n"/>
      <c r="AF52" s="51" t="n"/>
      <c r="AG52" s="51" t="n"/>
      <c r="AH52" s="51" t="n"/>
      <c r="AI52" s="51" t="n"/>
      <c r="AJ52" s="51" t="n"/>
      <c r="AK52" s="51" t="n"/>
      <c r="AL52" s="51" t="n"/>
      <c r="AM52" s="51" t="n"/>
    </row>
    <row r="53">
      <c r="A53" s="51" t="n"/>
      <c r="B53" s="51" t="n"/>
      <c r="C53" s="51" t="n"/>
      <c r="D53" s="51" t="n"/>
      <c r="E53" s="51" t="n"/>
      <c r="F53" s="51" t="n"/>
      <c r="G53" s="51" t="n"/>
      <c r="H53" s="51" t="n"/>
      <c r="I53" s="51" t="n"/>
      <c r="J53" s="51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  <c r="AA53" s="51" t="n"/>
      <c r="AB53" s="51" t="n"/>
      <c r="AC53" s="51" t="n"/>
      <c r="AD53" s="51" t="n"/>
      <c r="AE53" s="51" t="n"/>
      <c r="AF53" s="51" t="n"/>
      <c r="AG53" s="51" t="n"/>
      <c r="AH53" s="51" t="n"/>
      <c r="AI53" s="51" t="n"/>
      <c r="AJ53" s="51" t="n"/>
      <c r="AK53" s="51" t="n"/>
      <c r="AL53" s="51" t="n"/>
      <c r="AM53" s="51" t="n"/>
    </row>
    <row r="54">
      <c r="A54" s="51" t="n"/>
      <c r="B54" s="51" t="n"/>
      <c r="C54" s="51" t="n"/>
      <c r="D54" s="51" t="n"/>
      <c r="E54" s="51" t="n"/>
      <c r="F54" s="51" t="n"/>
      <c r="G54" s="51" t="n"/>
      <c r="H54" s="51" t="n"/>
      <c r="I54" s="51" t="n"/>
      <c r="J54" s="51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  <c r="AA54" s="51" t="n"/>
      <c r="AB54" s="51" t="n"/>
      <c r="AC54" s="51" t="n"/>
      <c r="AD54" s="51" t="n"/>
      <c r="AE54" s="51" t="n"/>
      <c r="AF54" s="51" t="n"/>
      <c r="AG54" s="51" t="n"/>
      <c r="AH54" s="51" t="n"/>
      <c r="AI54" s="51" t="n"/>
      <c r="AJ54" s="51" t="n"/>
      <c r="AK54" s="51" t="n"/>
      <c r="AL54" s="51" t="n"/>
      <c r="AM54" s="51" t="n"/>
    </row>
    <row r="55">
      <c r="A55" s="51" t="n"/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  <c r="AA55" s="51" t="n"/>
      <c r="AB55" s="51" t="n"/>
      <c r="AC55" s="51" t="n"/>
      <c r="AD55" s="51" t="n"/>
      <c r="AE55" s="51" t="n"/>
      <c r="AF55" s="51" t="n"/>
      <c r="AG55" s="51" t="n"/>
      <c r="AH55" s="51" t="n"/>
      <c r="AI55" s="51" t="n"/>
      <c r="AJ55" s="51" t="n"/>
      <c r="AK55" s="51" t="n"/>
      <c r="AL55" s="51" t="n"/>
      <c r="AM55" s="51" t="n"/>
    </row>
    <row r="56">
      <c r="A56" s="51" t="n"/>
      <c r="B56" s="51" t="n"/>
      <c r="C56" s="51" t="n"/>
      <c r="D56" s="51" t="n"/>
      <c r="E56" s="51" t="n"/>
      <c r="F56" s="51" t="n"/>
      <c r="G56" s="51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  <c r="AA56" s="51" t="n"/>
      <c r="AB56" s="51" t="n"/>
      <c r="AC56" s="51" t="n"/>
      <c r="AD56" s="51" t="n"/>
      <c r="AE56" s="51" t="n"/>
      <c r="AF56" s="51" t="n"/>
      <c r="AG56" s="51" t="n"/>
      <c r="AH56" s="51" t="n"/>
      <c r="AI56" s="51" t="n"/>
      <c r="AJ56" s="51" t="n"/>
      <c r="AK56" s="51" t="n"/>
      <c r="AL56" s="51" t="n"/>
      <c r="AM56" s="51" t="n"/>
    </row>
    <row r="57">
      <c r="A57" s="51" t="n"/>
      <c r="B57" s="51" t="n"/>
      <c r="C57" s="51" t="n"/>
      <c r="D57" s="51" t="n"/>
      <c r="E57" s="51" t="n"/>
      <c r="F57" s="51" t="n"/>
      <c r="G57" s="51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  <c r="AA57" s="51" t="n"/>
      <c r="AB57" s="51" t="n"/>
      <c r="AC57" s="51" t="n"/>
      <c r="AD57" s="51" t="n"/>
      <c r="AE57" s="51" t="n"/>
      <c r="AF57" s="51" t="n"/>
      <c r="AG57" s="51" t="n"/>
      <c r="AH57" s="51" t="n"/>
      <c r="AI57" s="51" t="n"/>
      <c r="AJ57" s="51" t="n"/>
      <c r="AK57" s="51" t="n"/>
      <c r="AL57" s="51" t="n"/>
      <c r="AM57" s="51" t="n"/>
    </row>
    <row r="58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  <c r="AA58" s="51" t="n"/>
      <c r="AB58" s="51" t="n"/>
      <c r="AC58" s="51" t="n"/>
      <c r="AD58" s="51" t="n"/>
      <c r="AE58" s="51" t="n"/>
      <c r="AF58" s="51" t="n"/>
      <c r="AG58" s="51" t="n"/>
      <c r="AH58" s="51" t="n"/>
      <c r="AI58" s="51" t="n"/>
      <c r="AJ58" s="51" t="n"/>
      <c r="AK58" s="51" t="n"/>
      <c r="AL58" s="51" t="n"/>
      <c r="AM58" s="51" t="n"/>
    </row>
    <row r="59">
      <c r="A59" s="51" t="n"/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  <c r="AA59" s="51" t="n"/>
      <c r="AB59" s="51" t="n"/>
      <c r="AC59" s="51" t="n"/>
      <c r="AD59" s="51" t="n"/>
      <c r="AE59" s="51" t="n"/>
      <c r="AF59" s="51" t="n"/>
      <c r="AG59" s="51" t="n"/>
      <c r="AH59" s="51" t="n"/>
      <c r="AI59" s="51" t="n"/>
      <c r="AJ59" s="51" t="n"/>
      <c r="AK59" s="51" t="n"/>
      <c r="AL59" s="51" t="n"/>
      <c r="AM59" s="51" t="n"/>
    </row>
    <row r="60">
      <c r="A60" s="51" t="n"/>
      <c r="B60" s="51" t="n"/>
      <c r="C60" s="51" t="n"/>
      <c r="D60" s="51" t="n"/>
      <c r="E60" s="51" t="n"/>
      <c r="F60" s="51" t="n"/>
      <c r="G60" s="51" t="n"/>
      <c r="H60" s="51" t="n"/>
      <c r="I60" s="51" t="n"/>
      <c r="J60" s="51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  <c r="AA60" s="51" t="n"/>
      <c r="AB60" s="51" t="n"/>
      <c r="AC60" s="51" t="n"/>
      <c r="AD60" s="51" t="n"/>
      <c r="AE60" s="51" t="n"/>
      <c r="AF60" s="51" t="n"/>
      <c r="AG60" s="51" t="n"/>
      <c r="AH60" s="51" t="n"/>
      <c r="AI60" s="51" t="n"/>
      <c r="AJ60" s="51" t="n"/>
      <c r="AK60" s="51" t="n"/>
      <c r="AL60" s="51" t="n"/>
      <c r="AM60" s="51" t="n"/>
    </row>
    <row r="61">
      <c r="A61" s="51" t="n"/>
      <c r="B61" s="51" t="n"/>
      <c r="C61" s="51" t="n"/>
      <c r="D61" s="51" t="n"/>
      <c r="E61" s="51" t="n"/>
      <c r="F61" s="51" t="n"/>
      <c r="G61" s="51" t="n"/>
      <c r="H61" s="51" t="n"/>
      <c r="I61" s="51" t="n"/>
      <c r="J61" s="51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  <c r="AA61" s="51" t="n"/>
      <c r="AB61" s="51" t="n"/>
      <c r="AC61" s="51" t="n"/>
      <c r="AD61" s="51" t="n"/>
      <c r="AE61" s="51" t="n"/>
      <c r="AF61" s="51" t="n"/>
      <c r="AG61" s="51" t="n"/>
      <c r="AH61" s="51" t="n"/>
      <c r="AI61" s="51" t="n"/>
      <c r="AJ61" s="51" t="n"/>
      <c r="AK61" s="51" t="n"/>
      <c r="AL61" s="51" t="n"/>
      <c r="AM61" s="51" t="n"/>
    </row>
    <row r="62">
      <c r="A62" s="51" t="n"/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>
      <c r="A63" s="51" t="n"/>
      <c r="B63" s="51" t="n"/>
      <c r="C63" s="51" t="n"/>
      <c r="D63" s="51" t="n"/>
      <c r="E63" s="51" t="n"/>
      <c r="F63" s="51" t="n"/>
      <c r="G63" s="51" t="n"/>
      <c r="H63" s="51" t="n"/>
      <c r="I63" s="51" t="n"/>
      <c r="J63" s="51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  <c r="AA63" s="51" t="n"/>
      <c r="AB63" s="51" t="n"/>
      <c r="AC63" s="51" t="n"/>
      <c r="AD63" s="51" t="n"/>
      <c r="AE63" s="51" t="n"/>
      <c r="AF63" s="51" t="n"/>
      <c r="AG63" s="51" t="n"/>
      <c r="AH63" s="51" t="n"/>
      <c r="AI63" s="51" t="n"/>
      <c r="AJ63" s="51" t="n"/>
      <c r="AK63" s="51" t="n"/>
      <c r="AL63" s="51" t="n"/>
      <c r="AM63" s="51" t="n"/>
    </row>
    <row r="64">
      <c r="A64" s="51" t="n"/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51" t="n"/>
      <c r="AA64" s="51" t="n"/>
      <c r="AB64" s="51" t="n"/>
      <c r="AC64" s="51" t="n"/>
      <c r="AD64" s="51" t="n"/>
      <c r="AE64" s="51" t="n"/>
      <c r="AF64" s="51" t="n"/>
      <c r="AG64" s="51" t="n"/>
      <c r="AH64" s="51" t="n"/>
      <c r="AI64" s="51" t="n"/>
      <c r="AJ64" s="51" t="n"/>
      <c r="AK64" s="51" t="n"/>
      <c r="AL64" s="51" t="n"/>
      <c r="AM64" s="51" t="n"/>
    </row>
    <row r="65">
      <c r="A65" s="51" t="n"/>
      <c r="B65" s="51" t="n"/>
      <c r="C65" s="51" t="n"/>
      <c r="D65" s="51" t="n"/>
      <c r="E65" s="51" t="n"/>
      <c r="F65" s="51" t="n"/>
      <c r="G65" s="51" t="n"/>
      <c r="H65" s="51" t="n"/>
      <c r="I65" s="51" t="n"/>
      <c r="J65" s="51" t="n"/>
      <c r="K65" s="51" t="n"/>
      <c r="L65" s="51" t="n"/>
      <c r="M65" s="51" t="n"/>
      <c r="N65" s="51" t="n"/>
      <c r="O65" s="51" t="n"/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  <c r="Z65" s="51" t="n"/>
      <c r="AA65" s="51" t="n"/>
      <c r="AB65" s="51" t="n"/>
      <c r="AC65" s="51" t="n"/>
      <c r="AD65" s="51" t="n"/>
      <c r="AE65" s="51" t="n"/>
      <c r="AF65" s="51" t="n"/>
      <c r="AG65" s="51" t="n"/>
      <c r="AH65" s="51" t="n"/>
      <c r="AI65" s="51" t="n"/>
      <c r="AJ65" s="51" t="n"/>
      <c r="AK65" s="51" t="n"/>
      <c r="AL65" s="51" t="n"/>
      <c r="AM65" s="51" t="n"/>
    </row>
    <row r="66">
      <c r="A66" s="51" t="n"/>
      <c r="B66" s="51" t="n"/>
      <c r="C66" s="51" t="n"/>
      <c r="D66" s="51" t="n"/>
      <c r="E66" s="51" t="n"/>
      <c r="F66" s="51" t="n"/>
      <c r="G66" s="51" t="n"/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  <c r="AA66" s="51" t="n"/>
      <c r="AB66" s="51" t="n"/>
      <c r="AC66" s="51" t="n"/>
      <c r="AD66" s="51" t="n"/>
      <c r="AE66" s="51" t="n"/>
      <c r="AF66" s="51" t="n"/>
      <c r="AG66" s="51" t="n"/>
      <c r="AH66" s="51" t="n"/>
      <c r="AI66" s="51" t="n"/>
      <c r="AJ66" s="51" t="n"/>
      <c r="AK66" s="51" t="n"/>
      <c r="AL66" s="51" t="n"/>
      <c r="AM66" s="51" t="n"/>
    </row>
    <row r="67">
      <c r="A67" s="51" t="n"/>
      <c r="B67" s="51" t="n"/>
      <c r="C67" s="51" t="n"/>
      <c r="D67" s="51" t="n"/>
      <c r="E67" s="51" t="n"/>
      <c r="F67" s="51" t="n"/>
      <c r="G67" s="51" t="n"/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  <c r="AA67" s="51" t="n"/>
      <c r="AB67" s="51" t="n"/>
      <c r="AC67" s="51" t="n"/>
      <c r="AD67" s="51" t="n"/>
      <c r="AE67" s="51" t="n"/>
      <c r="AF67" s="51" t="n"/>
      <c r="AG67" s="51" t="n"/>
      <c r="AH67" s="51" t="n"/>
      <c r="AI67" s="51" t="n"/>
      <c r="AJ67" s="51" t="n"/>
      <c r="AK67" s="51" t="n"/>
      <c r="AL67" s="51" t="n"/>
      <c r="AM67" s="51" t="n"/>
    </row>
    <row r="68">
      <c r="A68" s="51" t="n"/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>
      <c r="A69" s="51" t="n"/>
      <c r="B69" s="51" t="n"/>
      <c r="C69" s="51" t="n"/>
      <c r="D69" s="51" t="n"/>
      <c r="E69" s="51" t="n"/>
      <c r="F69" s="51" t="n"/>
      <c r="G69" s="51" t="n"/>
      <c r="H69" s="51" t="n"/>
      <c r="I69" s="51" t="n"/>
      <c r="J69" s="51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>
      <c r="A70" s="51" t="n"/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51" t="n"/>
      <c r="AE71" s="51" t="n"/>
      <c r="AF71" s="51" t="n"/>
      <c r="AG71" s="51" t="n"/>
      <c r="AH71" s="51" t="n"/>
      <c r="AI71" s="51" t="n"/>
      <c r="AJ71" s="51" t="n"/>
      <c r="AK71" s="51" t="n"/>
      <c r="AL71" s="51" t="n"/>
      <c r="AM71" s="51" t="n"/>
    </row>
    <row r="72">
      <c r="A72" s="51" t="n"/>
      <c r="B72" s="51" t="n"/>
      <c r="C72" s="51" t="n"/>
      <c r="D72" s="51" t="n"/>
      <c r="E72" s="51" t="n"/>
      <c r="F72" s="51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1" t="n"/>
      <c r="R72" s="51" t="n"/>
      <c r="S72" s="51" t="n"/>
      <c r="T72" s="51" t="n"/>
      <c r="U72" s="51" t="n"/>
      <c r="V72" s="51" t="n"/>
      <c r="W72" s="51" t="n"/>
      <c r="X72" s="51" t="n"/>
      <c r="Y72" s="51" t="n"/>
      <c r="Z72" s="51" t="n"/>
      <c r="AA72" s="51" t="n"/>
      <c r="AB72" s="51" t="n"/>
      <c r="AC72" s="51" t="n"/>
      <c r="AD72" s="51" t="n"/>
      <c r="AE72" s="51" t="n"/>
      <c r="AF72" s="51" t="n"/>
      <c r="AG72" s="51" t="n"/>
      <c r="AH72" s="51" t="n"/>
      <c r="AI72" s="51" t="n"/>
      <c r="AJ72" s="51" t="n"/>
      <c r="AK72" s="51" t="n"/>
      <c r="AL72" s="51" t="n"/>
      <c r="AM72" s="51" t="n"/>
    </row>
    <row r="73">
      <c r="A73" s="51" t="n"/>
      <c r="B73" s="51" t="n"/>
      <c r="C73" s="51" t="n"/>
      <c r="D73" s="51" t="n"/>
      <c r="E73" s="51" t="n"/>
      <c r="F73" s="51" t="n"/>
      <c r="G73" s="51" t="n"/>
      <c r="H73" s="51" t="n"/>
      <c r="I73" s="51" t="n"/>
      <c r="J73" s="51" t="n"/>
      <c r="K73" s="51" t="n"/>
      <c r="L73" s="51" t="n"/>
      <c r="M73" s="51" t="n"/>
      <c r="N73" s="51" t="n"/>
      <c r="O73" s="51" t="n"/>
      <c r="P73" s="51" t="n"/>
      <c r="Q73" s="51" t="n"/>
      <c r="R73" s="51" t="n"/>
      <c r="S73" s="51" t="n"/>
      <c r="T73" s="51" t="n"/>
      <c r="U73" s="51" t="n"/>
      <c r="V73" s="51" t="n"/>
      <c r="W73" s="51" t="n"/>
      <c r="X73" s="51" t="n"/>
      <c r="Y73" s="51" t="n"/>
      <c r="Z73" s="51" t="n"/>
      <c r="AA73" s="51" t="n"/>
      <c r="AB73" s="51" t="n"/>
      <c r="AC73" s="51" t="n"/>
      <c r="AD73" s="51" t="n"/>
      <c r="AE73" s="51" t="n"/>
      <c r="AF73" s="51" t="n"/>
      <c r="AG73" s="51" t="n"/>
      <c r="AH73" s="51" t="n"/>
      <c r="AI73" s="51" t="n"/>
      <c r="AJ73" s="51" t="n"/>
      <c r="AK73" s="51" t="n"/>
      <c r="AL73" s="51" t="n"/>
      <c r="AM73" s="51" t="n"/>
    </row>
    <row r="74">
      <c r="A74" s="51" t="n"/>
      <c r="B74" s="51" t="n"/>
      <c r="C74" s="51" t="n"/>
      <c r="D74" s="51" t="n"/>
      <c r="E74" s="51" t="n"/>
      <c r="F74" s="51" t="n"/>
      <c r="G74" s="51" t="n"/>
      <c r="H74" s="51" t="n"/>
      <c r="I74" s="51" t="n"/>
      <c r="J74" s="51" t="n"/>
      <c r="K74" s="51" t="n"/>
      <c r="L74" s="51" t="n"/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51" t="n"/>
      <c r="AA74" s="51" t="n"/>
      <c r="AB74" s="51" t="n"/>
      <c r="AC74" s="51" t="n"/>
      <c r="AD74" s="51" t="n"/>
      <c r="AE74" s="51" t="n"/>
      <c r="AF74" s="51" t="n"/>
      <c r="AG74" s="51" t="n"/>
      <c r="AH74" s="51" t="n"/>
      <c r="AI74" s="51" t="n"/>
      <c r="AJ74" s="51" t="n"/>
      <c r="AK74" s="51" t="n"/>
      <c r="AL74" s="51" t="n"/>
      <c r="AM74" s="51" t="n"/>
    </row>
    <row r="75">
      <c r="A75" s="51" t="n"/>
      <c r="B75" s="51" t="n"/>
      <c r="C75" s="51" t="n"/>
      <c r="D75" s="51" t="n"/>
      <c r="E75" s="51" t="n"/>
      <c r="F75" s="51" t="n"/>
      <c r="G75" s="51" t="n"/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  <c r="AA75" s="51" t="n"/>
      <c r="AB75" s="51" t="n"/>
      <c r="AC75" s="51" t="n"/>
      <c r="AD75" s="51" t="n"/>
      <c r="AE75" s="51" t="n"/>
      <c r="AF75" s="51" t="n"/>
      <c r="AG75" s="51" t="n"/>
      <c r="AH75" s="51" t="n"/>
      <c r="AI75" s="51" t="n"/>
      <c r="AJ75" s="51" t="n"/>
      <c r="AK75" s="51" t="n"/>
      <c r="AL75" s="51" t="n"/>
      <c r="AM75" s="51" t="n"/>
    </row>
    <row r="76">
      <c r="A76" s="51" t="n"/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>
      <c r="A77" s="51" t="n"/>
      <c r="B77" s="51" t="n"/>
      <c r="C77" s="51" t="n"/>
      <c r="D77" s="51" t="n"/>
      <c r="E77" s="51" t="n"/>
      <c r="F77" s="51" t="n"/>
      <c r="G77" s="51" t="n"/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>
      <c r="A78" s="51" t="n"/>
      <c r="B78" s="51" t="n"/>
      <c r="C78" s="51" t="n"/>
      <c r="D78" s="51" t="n"/>
      <c r="E78" s="51" t="n"/>
      <c r="F78" s="51" t="n"/>
      <c r="G78" s="51" t="n"/>
      <c r="H78" s="51" t="n"/>
      <c r="I78" s="51" t="n"/>
      <c r="J78" s="51" t="n"/>
      <c r="K78" s="51" t="n"/>
      <c r="L78" s="51" t="n"/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51" t="n"/>
      <c r="AE79" s="51" t="n"/>
      <c r="AF79" s="51" t="n"/>
      <c r="AG79" s="51" t="n"/>
      <c r="AH79" s="51" t="n"/>
      <c r="AI79" s="51" t="n"/>
      <c r="AJ79" s="51" t="n"/>
      <c r="AK79" s="51" t="n"/>
      <c r="AL79" s="51" t="n"/>
      <c r="AM79" s="51" t="n"/>
    </row>
    <row r="80">
      <c r="A80" s="51" t="n"/>
      <c r="B80" s="51" t="n"/>
      <c r="C80" s="51" t="n"/>
      <c r="D80" s="51" t="n"/>
      <c r="E80" s="51" t="n"/>
      <c r="F80" s="51" t="n"/>
      <c r="G80" s="51" t="n"/>
      <c r="H80" s="51" t="n"/>
      <c r="I80" s="51" t="n"/>
      <c r="J80" s="51" t="n"/>
      <c r="K80" s="51" t="n"/>
      <c r="L80" s="51" t="n"/>
      <c r="M80" s="51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  <c r="AA80" s="51" t="n"/>
      <c r="AB80" s="51" t="n"/>
      <c r="AC80" s="51" t="n"/>
      <c r="AD80" s="51" t="n"/>
      <c r="AE80" s="51" t="n"/>
      <c r="AF80" s="51" t="n"/>
      <c r="AG80" s="51" t="n"/>
      <c r="AH80" s="51" t="n"/>
      <c r="AI80" s="51" t="n"/>
      <c r="AJ80" s="51" t="n"/>
      <c r="AK80" s="51" t="n"/>
      <c r="AL80" s="51" t="n"/>
      <c r="AM80" s="51" t="n"/>
    </row>
    <row r="81">
      <c r="A81" s="51" t="n"/>
      <c r="B81" s="51" t="n"/>
      <c r="C81" s="51" t="n"/>
      <c r="D81" s="51" t="n"/>
      <c r="E81" s="51" t="n"/>
      <c r="F81" s="51" t="n"/>
      <c r="G81" s="51" t="n"/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  <c r="AA81" s="51" t="n"/>
      <c r="AB81" s="51" t="n"/>
      <c r="AC81" s="51" t="n"/>
      <c r="AD81" s="51" t="n"/>
      <c r="AE81" s="51" t="n"/>
      <c r="AF81" s="51" t="n"/>
      <c r="AG81" s="51" t="n"/>
      <c r="AH81" s="51" t="n"/>
      <c r="AI81" s="51" t="n"/>
      <c r="AJ81" s="51" t="n"/>
      <c r="AK81" s="51" t="n"/>
      <c r="AL81" s="51" t="n"/>
      <c r="AM81" s="51" t="n"/>
    </row>
    <row r="82">
      <c r="A82" s="51" t="n"/>
      <c r="B82" s="51" t="n"/>
      <c r="C82" s="51" t="n"/>
      <c r="D82" s="51" t="n"/>
      <c r="E82" s="51" t="n"/>
      <c r="F82" s="51" t="n"/>
      <c r="G82" s="51" t="n"/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  <c r="AA82" s="51" t="n"/>
      <c r="AB82" s="51" t="n"/>
      <c r="AC82" s="51" t="n"/>
      <c r="AD82" s="51" t="n"/>
      <c r="AE82" s="51" t="n"/>
      <c r="AF82" s="51" t="n"/>
      <c r="AG82" s="51" t="n"/>
      <c r="AH82" s="51" t="n"/>
      <c r="AI82" s="51" t="n"/>
      <c r="AJ82" s="51" t="n"/>
      <c r="AK82" s="51" t="n"/>
      <c r="AL82" s="51" t="n"/>
      <c r="AM82" s="51" t="n"/>
    </row>
    <row r="83">
      <c r="A83" s="51" t="n"/>
      <c r="B83" s="51" t="n"/>
      <c r="C83" s="51" t="n"/>
      <c r="D83" s="51" t="n"/>
      <c r="E83" s="51" t="n"/>
      <c r="F83" s="51" t="n"/>
      <c r="G83" s="51" t="n"/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  <c r="AA83" s="51" t="n"/>
      <c r="AB83" s="51" t="n"/>
      <c r="AC83" s="51" t="n"/>
      <c r="AD83" s="51" t="n"/>
      <c r="AE83" s="51" t="n"/>
      <c r="AF83" s="51" t="n"/>
      <c r="AG83" s="51" t="n"/>
      <c r="AH83" s="51" t="n"/>
      <c r="AI83" s="51" t="n"/>
      <c r="AJ83" s="51" t="n"/>
      <c r="AK83" s="51" t="n"/>
      <c r="AL83" s="51" t="n"/>
      <c r="AM83" s="51" t="n"/>
    </row>
    <row r="84">
      <c r="A84" s="51" t="n"/>
      <c r="B84" s="51" t="n"/>
      <c r="C84" s="51" t="n"/>
      <c r="D84" s="51" t="n"/>
      <c r="E84" s="51" t="n"/>
      <c r="F84" s="51" t="n"/>
      <c r="G84" s="51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  <c r="AA84" s="51" t="n"/>
      <c r="AB84" s="51" t="n"/>
      <c r="AC84" s="51" t="n"/>
      <c r="AD84" s="51" t="n"/>
      <c r="AE84" s="51" t="n"/>
      <c r="AF84" s="51" t="n"/>
      <c r="AG84" s="51" t="n"/>
      <c r="AH84" s="51" t="n"/>
      <c r="AI84" s="51" t="n"/>
      <c r="AJ84" s="51" t="n"/>
      <c r="AK84" s="51" t="n"/>
      <c r="AL84" s="51" t="n"/>
      <c r="AM84" s="51" t="n"/>
    </row>
    <row r="85">
      <c r="A85" s="51" t="n"/>
      <c r="B85" s="51" t="n"/>
      <c r="C85" s="51" t="n"/>
      <c r="D85" s="51" t="n"/>
      <c r="E85" s="51" t="n"/>
      <c r="F85" s="51" t="n"/>
      <c r="G85" s="51" t="n"/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  <c r="AA85" s="51" t="n"/>
      <c r="AB85" s="51" t="n"/>
      <c r="AC85" s="51" t="n"/>
      <c r="AD85" s="51" t="n"/>
      <c r="AE85" s="51" t="n"/>
      <c r="AF85" s="51" t="n"/>
      <c r="AG85" s="51" t="n"/>
      <c r="AH85" s="51" t="n"/>
      <c r="AI85" s="51" t="n"/>
      <c r="AJ85" s="51" t="n"/>
      <c r="AK85" s="51" t="n"/>
      <c r="AL85" s="51" t="n"/>
      <c r="AM85" s="51" t="n"/>
    </row>
    <row r="86">
      <c r="A86" s="51" t="n"/>
      <c r="B86" s="51" t="n"/>
      <c r="C86" s="51" t="n"/>
      <c r="D86" s="51" t="n"/>
      <c r="E86" s="51" t="n"/>
      <c r="F86" s="51" t="n"/>
      <c r="G86" s="51" t="n"/>
      <c r="H86" s="51" t="n"/>
      <c r="I86" s="51" t="n"/>
      <c r="J86" s="51" t="n"/>
      <c r="K86" s="51" t="n"/>
      <c r="L86" s="51" t="n"/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  <c r="AA86" s="51" t="n"/>
      <c r="AB86" s="51" t="n"/>
      <c r="AC86" s="51" t="n"/>
      <c r="AD86" s="51" t="n"/>
      <c r="AE86" s="51" t="n"/>
      <c r="AF86" s="51" t="n"/>
      <c r="AG86" s="51" t="n"/>
      <c r="AH86" s="51" t="n"/>
      <c r="AI86" s="51" t="n"/>
      <c r="AJ86" s="51" t="n"/>
      <c r="AK86" s="51" t="n"/>
      <c r="AL86" s="51" t="n"/>
      <c r="AM86" s="51" t="n"/>
    </row>
    <row r="87">
      <c r="A87" s="51" t="n"/>
      <c r="B87" s="51" t="n"/>
      <c r="C87" s="51" t="n"/>
      <c r="D87" s="51" t="n"/>
      <c r="E87" s="51" t="n"/>
      <c r="F87" s="51" t="n"/>
      <c r="G87" s="51" t="n"/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  <c r="AA87" s="51" t="n"/>
      <c r="AB87" s="51" t="n"/>
      <c r="AC87" s="51" t="n"/>
      <c r="AD87" s="51" t="n"/>
      <c r="AE87" s="51" t="n"/>
      <c r="AF87" s="51" t="n"/>
      <c r="AG87" s="51" t="n"/>
      <c r="AH87" s="51" t="n"/>
      <c r="AI87" s="51" t="n"/>
      <c r="AJ87" s="51" t="n"/>
      <c r="AK87" s="51" t="n"/>
      <c r="AL87" s="51" t="n"/>
      <c r="AM87" s="51" t="n"/>
    </row>
    <row r="88">
      <c r="A88" s="51" t="n"/>
      <c r="B88" s="51" t="n"/>
      <c r="C88" s="51" t="n"/>
      <c r="D88" s="51" t="n"/>
      <c r="E88" s="51" t="n"/>
      <c r="F88" s="51" t="n"/>
      <c r="G88" s="51" t="n"/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  <c r="Z88" s="51" t="n"/>
      <c r="AA88" s="51" t="n"/>
      <c r="AB88" s="51" t="n"/>
      <c r="AC88" s="51" t="n"/>
      <c r="AD88" s="51" t="n"/>
      <c r="AE88" s="51" t="n"/>
      <c r="AF88" s="51" t="n"/>
      <c r="AG88" s="51" t="n"/>
      <c r="AH88" s="51" t="n"/>
      <c r="AI88" s="51" t="n"/>
      <c r="AJ88" s="51" t="n"/>
      <c r="AK88" s="51" t="n"/>
      <c r="AL88" s="51" t="n"/>
      <c r="AM88" s="51" t="n"/>
    </row>
    <row r="89">
      <c r="A89" s="51" t="n"/>
      <c r="B89" s="51" t="n"/>
      <c r="C89" s="51" t="n"/>
      <c r="D89" s="51" t="n"/>
      <c r="E89" s="51" t="n"/>
      <c r="F89" s="51" t="n"/>
      <c r="G89" s="51" t="n"/>
      <c r="H89" s="51" t="n"/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  <c r="Z89" s="51" t="n"/>
      <c r="AA89" s="51" t="n"/>
      <c r="AB89" s="51" t="n"/>
      <c r="AC89" s="51" t="n"/>
      <c r="AD89" s="51" t="n"/>
      <c r="AE89" s="51" t="n"/>
      <c r="AF89" s="51" t="n"/>
      <c r="AG89" s="51" t="n"/>
      <c r="AH89" s="51" t="n"/>
      <c r="AI89" s="51" t="n"/>
      <c r="AJ89" s="51" t="n"/>
      <c r="AK89" s="51" t="n"/>
      <c r="AL89" s="51" t="n"/>
      <c r="AM89" s="51" t="n"/>
    </row>
    <row r="90">
      <c r="A90" s="51" t="n"/>
      <c r="B90" s="51" t="n"/>
      <c r="C90" s="51" t="n"/>
      <c r="D90" s="51" t="n"/>
      <c r="E90" s="51" t="n"/>
      <c r="F90" s="51" t="n"/>
      <c r="G90" s="51" t="n"/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1" t="n"/>
      <c r="R90" s="51" t="n"/>
      <c r="S90" s="51" t="n"/>
      <c r="T90" s="51" t="n"/>
      <c r="U90" s="51" t="n"/>
      <c r="V90" s="51" t="n"/>
      <c r="W90" s="51" t="n"/>
      <c r="X90" s="51" t="n"/>
      <c r="Y90" s="51" t="n"/>
      <c r="Z90" s="51" t="n"/>
      <c r="AA90" s="51" t="n"/>
      <c r="AB90" s="51" t="n"/>
      <c r="AC90" s="51" t="n"/>
      <c r="AD90" s="51" t="n"/>
      <c r="AE90" s="51" t="n"/>
      <c r="AF90" s="51" t="n"/>
      <c r="AG90" s="51" t="n"/>
      <c r="AH90" s="51" t="n"/>
      <c r="AI90" s="51" t="n"/>
      <c r="AJ90" s="51" t="n"/>
      <c r="AK90" s="51" t="n"/>
      <c r="AL90" s="51" t="n"/>
      <c r="AM90" s="51" t="n"/>
    </row>
    <row r="91">
      <c r="A91" s="51" t="n"/>
      <c r="B91" s="51" t="n"/>
      <c r="C91" s="51" t="n"/>
      <c r="D91" s="51" t="n"/>
      <c r="E91" s="51" t="n"/>
      <c r="F91" s="51" t="n"/>
      <c r="G91" s="51" t="n"/>
      <c r="H91" s="51" t="n"/>
      <c r="I91" s="51" t="n"/>
      <c r="J91" s="51" t="n"/>
      <c r="K91" s="51" t="n"/>
      <c r="L91" s="51" t="n"/>
      <c r="M91" s="51" t="n"/>
      <c r="N91" s="51" t="n"/>
      <c r="O91" s="51" t="n"/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  <c r="Z91" s="51" t="n"/>
      <c r="AA91" s="51" t="n"/>
      <c r="AB91" s="51" t="n"/>
      <c r="AC91" s="51" t="n"/>
      <c r="AD91" s="51" t="n"/>
      <c r="AE91" s="51" t="n"/>
      <c r="AF91" s="51" t="n"/>
      <c r="AG91" s="51" t="n"/>
      <c r="AH91" s="51" t="n"/>
      <c r="AI91" s="51" t="n"/>
      <c r="AJ91" s="51" t="n"/>
      <c r="AK91" s="51" t="n"/>
      <c r="AL91" s="51" t="n"/>
      <c r="AM91" s="51" t="n"/>
    </row>
    <row r="92">
      <c r="A92" s="51" t="n"/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1" t="n"/>
      <c r="AA92" s="51" t="n"/>
      <c r="AB92" s="51" t="n"/>
      <c r="AC92" s="51" t="n"/>
      <c r="AD92" s="51" t="n"/>
      <c r="AE92" s="51" t="n"/>
      <c r="AF92" s="51" t="n"/>
      <c r="AG92" s="51" t="n"/>
      <c r="AH92" s="51" t="n"/>
      <c r="AI92" s="51" t="n"/>
      <c r="AJ92" s="51" t="n"/>
      <c r="AK92" s="51" t="n"/>
      <c r="AL92" s="51" t="n"/>
      <c r="AM92" s="51" t="n"/>
    </row>
    <row r="93">
      <c r="A93" s="51" t="n"/>
      <c r="B93" s="51" t="n"/>
      <c r="C93" s="51" t="n"/>
      <c r="D93" s="51" t="n"/>
      <c r="E93" s="51" t="n"/>
      <c r="F93" s="51" t="n"/>
      <c r="G93" s="51" t="n"/>
      <c r="H93" s="51" t="n"/>
      <c r="I93" s="51" t="n"/>
      <c r="J93" s="51" t="n"/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  <c r="Z93" s="51" t="n"/>
      <c r="AA93" s="51" t="n"/>
      <c r="AB93" s="51" t="n"/>
      <c r="AC93" s="51" t="n"/>
      <c r="AD93" s="51" t="n"/>
      <c r="AE93" s="51" t="n"/>
      <c r="AF93" s="51" t="n"/>
      <c r="AG93" s="51" t="n"/>
      <c r="AH93" s="51" t="n"/>
      <c r="AI93" s="51" t="n"/>
      <c r="AJ93" s="51" t="n"/>
      <c r="AK93" s="51" t="n"/>
      <c r="AL93" s="51" t="n"/>
      <c r="AM93" s="51" t="n"/>
    </row>
    <row r="94">
      <c r="A94" s="51" t="n"/>
      <c r="B94" s="51" t="n"/>
      <c r="C94" s="51" t="n"/>
      <c r="D94" s="51" t="n"/>
      <c r="E94" s="51" t="n"/>
      <c r="F94" s="51" t="n"/>
      <c r="G94" s="51" t="n"/>
      <c r="H94" s="51" t="n"/>
      <c r="I94" s="51" t="n"/>
      <c r="J94" s="51" t="n"/>
      <c r="K94" s="51" t="n"/>
      <c r="L94" s="51" t="n"/>
      <c r="M94" s="51" t="n"/>
      <c r="N94" s="51" t="n"/>
      <c r="O94" s="51" t="n"/>
      <c r="P94" s="51" t="n"/>
      <c r="Q94" s="51" t="n"/>
      <c r="R94" s="51" t="n"/>
      <c r="S94" s="51" t="n"/>
      <c r="T94" s="51" t="n"/>
      <c r="U94" s="51" t="n"/>
      <c r="V94" s="51" t="n"/>
      <c r="W94" s="51" t="n"/>
      <c r="X94" s="51" t="n"/>
      <c r="Y94" s="51" t="n"/>
      <c r="Z94" s="51" t="n"/>
      <c r="AA94" s="51" t="n"/>
      <c r="AB94" s="51" t="n"/>
      <c r="AC94" s="51" t="n"/>
      <c r="AD94" s="51" t="n"/>
      <c r="AE94" s="51" t="n"/>
      <c r="AF94" s="51" t="n"/>
      <c r="AG94" s="51" t="n"/>
      <c r="AH94" s="51" t="n"/>
      <c r="AI94" s="51" t="n"/>
      <c r="AJ94" s="51" t="n"/>
      <c r="AK94" s="51" t="n"/>
      <c r="AL94" s="51" t="n"/>
      <c r="AM94" s="51" t="n"/>
    </row>
    <row r="95">
      <c r="A95" s="51" t="n"/>
      <c r="B95" s="51" t="n"/>
      <c r="C95" s="51" t="n"/>
      <c r="D95" s="51" t="n"/>
      <c r="E95" s="51" t="n"/>
      <c r="F95" s="51" t="n"/>
      <c r="G95" s="51" t="n"/>
      <c r="H95" s="51" t="n"/>
      <c r="I95" s="51" t="n"/>
      <c r="J95" s="51" t="n"/>
      <c r="K95" s="51" t="n"/>
      <c r="L95" s="51" t="n"/>
      <c r="M95" s="51" t="n"/>
      <c r="N95" s="51" t="n"/>
      <c r="O95" s="51" t="n"/>
      <c r="P95" s="51" t="n"/>
      <c r="Q95" s="51" t="n"/>
      <c r="R95" s="51" t="n"/>
      <c r="S95" s="51" t="n"/>
      <c r="T95" s="51" t="n"/>
      <c r="U95" s="51" t="n"/>
      <c r="V95" s="51" t="n"/>
      <c r="W95" s="51" t="n"/>
      <c r="X95" s="51" t="n"/>
      <c r="Y95" s="51" t="n"/>
      <c r="Z95" s="51" t="n"/>
      <c r="AA95" s="51" t="n"/>
      <c r="AB95" s="51" t="n"/>
      <c r="AC95" s="51" t="n"/>
      <c r="AD95" s="51" t="n"/>
      <c r="AE95" s="51" t="n"/>
      <c r="AF95" s="51" t="n"/>
      <c r="AG95" s="51" t="n"/>
      <c r="AH95" s="51" t="n"/>
      <c r="AI95" s="51" t="n"/>
      <c r="AJ95" s="51" t="n"/>
      <c r="AK95" s="51" t="n"/>
      <c r="AL95" s="51" t="n"/>
      <c r="AM95" s="51" t="n"/>
    </row>
    <row r="96">
      <c r="A96" s="51" t="n"/>
      <c r="B96" s="51" t="n"/>
      <c r="C96" s="51" t="n"/>
      <c r="D96" s="51" t="n"/>
      <c r="E96" s="51" t="n"/>
      <c r="F96" s="51" t="n"/>
      <c r="G96" s="51" t="n"/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  <c r="Z96" s="51" t="n"/>
      <c r="AA96" s="51" t="n"/>
      <c r="AB96" s="51" t="n"/>
      <c r="AC96" s="51" t="n"/>
      <c r="AD96" s="51" t="n"/>
      <c r="AE96" s="51" t="n"/>
      <c r="AF96" s="51" t="n"/>
      <c r="AG96" s="51" t="n"/>
      <c r="AH96" s="51" t="n"/>
      <c r="AI96" s="51" t="n"/>
      <c r="AJ96" s="51" t="n"/>
      <c r="AK96" s="51" t="n"/>
      <c r="AL96" s="51" t="n"/>
      <c r="AM96" s="51" t="n"/>
    </row>
    <row r="97">
      <c r="A97" s="51" t="n"/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  <c r="Z97" s="51" t="n"/>
      <c r="AA97" s="51" t="n"/>
      <c r="AB97" s="51" t="n"/>
      <c r="AC97" s="51" t="n"/>
      <c r="AD97" s="51" t="n"/>
      <c r="AE97" s="51" t="n"/>
      <c r="AF97" s="51" t="n"/>
      <c r="AG97" s="51" t="n"/>
      <c r="AH97" s="51" t="n"/>
      <c r="AI97" s="51" t="n"/>
      <c r="AJ97" s="51" t="n"/>
      <c r="AK97" s="51" t="n"/>
      <c r="AL97" s="51" t="n"/>
      <c r="AM97" s="51" t="n"/>
    </row>
    <row r="98">
      <c r="A98" s="51" t="n"/>
      <c r="B98" s="51" t="n"/>
      <c r="C98" s="51" t="n"/>
      <c r="D98" s="51" t="n"/>
      <c r="E98" s="51" t="n"/>
      <c r="F98" s="51" t="n"/>
      <c r="G98" s="51" t="n"/>
      <c r="H98" s="51" t="n"/>
      <c r="I98" s="51" t="n"/>
      <c r="J98" s="51" t="n"/>
      <c r="K98" s="51" t="n"/>
      <c r="L98" s="51" t="n"/>
      <c r="M98" s="51" t="n"/>
      <c r="N98" s="51" t="n"/>
      <c r="O98" s="51" t="n"/>
      <c r="P98" s="51" t="n"/>
      <c r="Q98" s="51" t="n"/>
      <c r="R98" s="51" t="n"/>
      <c r="S98" s="51" t="n"/>
      <c r="T98" s="51" t="n"/>
      <c r="U98" s="51" t="n"/>
      <c r="V98" s="51" t="n"/>
      <c r="W98" s="51" t="n"/>
      <c r="X98" s="51" t="n"/>
      <c r="Y98" s="51" t="n"/>
      <c r="Z98" s="51" t="n"/>
      <c r="AA98" s="51" t="n"/>
      <c r="AB98" s="51" t="n"/>
      <c r="AC98" s="51" t="n"/>
      <c r="AD98" s="51" t="n"/>
      <c r="AE98" s="51" t="n"/>
      <c r="AF98" s="51" t="n"/>
      <c r="AG98" s="51" t="n"/>
      <c r="AH98" s="51" t="n"/>
      <c r="AI98" s="51" t="n"/>
      <c r="AJ98" s="51" t="n"/>
      <c r="AK98" s="51" t="n"/>
      <c r="AL98" s="51" t="n"/>
      <c r="AM98" s="51" t="n"/>
    </row>
    <row r="99">
      <c r="A99" s="51" t="n"/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  <c r="Z99" s="51" t="n"/>
      <c r="AA99" s="51" t="n"/>
      <c r="AB99" s="51" t="n"/>
      <c r="AC99" s="51" t="n"/>
      <c r="AD99" s="51" t="n"/>
      <c r="AE99" s="51" t="n"/>
      <c r="AF99" s="51" t="n"/>
      <c r="AG99" s="51" t="n"/>
      <c r="AH99" s="51" t="n"/>
      <c r="AI99" s="51" t="n"/>
      <c r="AJ99" s="51" t="n"/>
      <c r="AK99" s="51" t="n"/>
      <c r="AL99" s="51" t="n"/>
      <c r="AM99" s="51" t="n"/>
    </row>
    <row r="100">
      <c r="A100" s="51" t="n"/>
      <c r="B100" s="51" t="n"/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  <c r="Z100" s="51" t="n"/>
      <c r="AA100" s="51" t="n"/>
      <c r="AB100" s="51" t="n"/>
      <c r="AC100" s="51" t="n"/>
      <c r="AD100" s="51" t="n"/>
      <c r="AE100" s="51" t="n"/>
      <c r="AF100" s="51" t="n"/>
      <c r="AG100" s="51" t="n"/>
      <c r="AH100" s="51" t="n"/>
      <c r="AI100" s="51" t="n"/>
      <c r="AJ100" s="51" t="n"/>
      <c r="AK100" s="51" t="n"/>
      <c r="AL100" s="51" t="n"/>
      <c r="AM100" s="51" t="n"/>
    </row>
    <row r="101">
      <c r="A101" s="51" t="n"/>
      <c r="B101" s="51" t="n"/>
      <c r="C101" s="51" t="n"/>
      <c r="D101" s="51" t="n"/>
      <c r="E101" s="51" t="n"/>
      <c r="F101" s="51" t="n"/>
      <c r="G101" s="51" t="n"/>
      <c r="H101" s="51" t="n"/>
      <c r="I101" s="51" t="n"/>
      <c r="J101" s="51" t="n"/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  <c r="U101" s="51" t="n"/>
      <c r="V101" s="51" t="n"/>
      <c r="W101" s="51" t="n"/>
      <c r="X101" s="51" t="n"/>
      <c r="Y101" s="51" t="n"/>
      <c r="Z101" s="51" t="n"/>
      <c r="AA101" s="51" t="n"/>
      <c r="AB101" s="51" t="n"/>
      <c r="AC101" s="51" t="n"/>
      <c r="AD101" s="51" t="n"/>
      <c r="AE101" s="51" t="n"/>
      <c r="AF101" s="51" t="n"/>
      <c r="AG101" s="51" t="n"/>
      <c r="AH101" s="51" t="n"/>
      <c r="AI101" s="51" t="n"/>
      <c r="AJ101" s="51" t="n"/>
      <c r="AK101" s="51" t="n"/>
      <c r="AL101" s="51" t="n"/>
      <c r="AM101" s="51" t="n"/>
    </row>
    <row r="102">
      <c r="A102" s="51" t="n"/>
      <c r="B102" s="51" t="n"/>
      <c r="C102" s="51" t="n"/>
      <c r="D102" s="51" t="n"/>
      <c r="E102" s="51" t="n"/>
      <c r="F102" s="51" t="n"/>
      <c r="G102" s="51" t="n"/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1" t="n"/>
      <c r="Q102" s="51" t="n"/>
      <c r="R102" s="51" t="n"/>
      <c r="S102" s="51" t="n"/>
      <c r="T102" s="51" t="n"/>
      <c r="U102" s="51" t="n"/>
      <c r="V102" s="51" t="n"/>
      <c r="W102" s="51" t="n"/>
      <c r="X102" s="51" t="n"/>
      <c r="Y102" s="51" t="n"/>
      <c r="Z102" s="51" t="n"/>
      <c r="AA102" s="51" t="n"/>
      <c r="AB102" s="51" t="n"/>
      <c r="AC102" s="51" t="n"/>
      <c r="AD102" s="51" t="n"/>
      <c r="AE102" s="51" t="n"/>
      <c r="AF102" s="51" t="n"/>
      <c r="AG102" s="51" t="n"/>
      <c r="AH102" s="51" t="n"/>
      <c r="AI102" s="51" t="n"/>
      <c r="AJ102" s="51" t="n"/>
      <c r="AK102" s="51" t="n"/>
      <c r="AL102" s="51" t="n"/>
      <c r="AM102" s="51" t="n"/>
    </row>
    <row r="103">
      <c r="A103" s="51" t="n"/>
      <c r="B103" s="51" t="n"/>
      <c r="C103" s="51" t="n"/>
      <c r="D103" s="51" t="n"/>
      <c r="E103" s="51" t="n"/>
      <c r="F103" s="51" t="n"/>
      <c r="G103" s="51" t="n"/>
      <c r="H103" s="51" t="n"/>
      <c r="I103" s="51" t="n"/>
      <c r="J103" s="51" t="n"/>
      <c r="K103" s="51" t="n"/>
      <c r="L103" s="51" t="n"/>
      <c r="M103" s="51" t="n"/>
      <c r="N103" s="51" t="n"/>
      <c r="O103" s="51" t="n"/>
      <c r="P103" s="51" t="n"/>
      <c r="Q103" s="51" t="n"/>
      <c r="R103" s="51" t="n"/>
      <c r="S103" s="51" t="n"/>
      <c r="T103" s="51" t="n"/>
      <c r="U103" s="51" t="n"/>
      <c r="V103" s="51" t="n"/>
      <c r="W103" s="51" t="n"/>
      <c r="X103" s="51" t="n"/>
      <c r="Y103" s="51" t="n"/>
      <c r="Z103" s="51" t="n"/>
      <c r="AA103" s="51" t="n"/>
      <c r="AB103" s="51" t="n"/>
      <c r="AC103" s="51" t="n"/>
      <c r="AD103" s="51" t="n"/>
      <c r="AE103" s="51" t="n"/>
      <c r="AF103" s="51" t="n"/>
      <c r="AG103" s="51" t="n"/>
      <c r="AH103" s="51" t="n"/>
      <c r="AI103" s="51" t="n"/>
      <c r="AJ103" s="51" t="n"/>
      <c r="AK103" s="51" t="n"/>
      <c r="AL103" s="51" t="n"/>
      <c r="AM103" s="51" t="n"/>
    </row>
    <row r="104">
      <c r="A104" s="51" t="n"/>
      <c r="B104" s="51" t="n"/>
      <c r="C104" s="51" t="n"/>
      <c r="D104" s="51" t="n"/>
      <c r="E104" s="51" t="n"/>
      <c r="F104" s="51" t="n"/>
      <c r="G104" s="51" t="n"/>
      <c r="H104" s="51" t="n"/>
      <c r="I104" s="51" t="n"/>
      <c r="J104" s="51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  <c r="Z104" s="51" t="n"/>
      <c r="AA104" s="51" t="n"/>
      <c r="AB104" s="51" t="n"/>
      <c r="AC104" s="51" t="n"/>
      <c r="AD104" s="51" t="n"/>
      <c r="AE104" s="51" t="n"/>
      <c r="AF104" s="51" t="n"/>
      <c r="AG104" s="51" t="n"/>
      <c r="AH104" s="51" t="n"/>
      <c r="AI104" s="51" t="n"/>
      <c r="AJ104" s="51" t="n"/>
      <c r="AK104" s="51" t="n"/>
      <c r="AL104" s="51" t="n"/>
      <c r="AM104" s="51" t="n"/>
    </row>
    <row r="105">
      <c r="A105" s="51" t="n"/>
      <c r="B105" s="51" t="n"/>
      <c r="C105" s="51" t="n"/>
      <c r="D105" s="51" t="n"/>
      <c r="E105" s="51" t="n"/>
      <c r="F105" s="51" t="n"/>
      <c r="G105" s="51" t="n"/>
      <c r="H105" s="51" t="n"/>
      <c r="I105" s="51" t="n"/>
      <c r="J105" s="51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  <c r="Z105" s="51" t="n"/>
      <c r="AA105" s="51" t="n"/>
      <c r="AB105" s="51" t="n"/>
      <c r="AC105" s="51" t="n"/>
      <c r="AD105" s="51" t="n"/>
      <c r="AE105" s="51" t="n"/>
      <c r="AF105" s="51" t="n"/>
      <c r="AG105" s="51" t="n"/>
      <c r="AH105" s="51" t="n"/>
      <c r="AI105" s="51" t="n"/>
      <c r="AJ105" s="51" t="n"/>
      <c r="AK105" s="51" t="n"/>
      <c r="AL105" s="51" t="n"/>
      <c r="AM105" s="51" t="n"/>
    </row>
    <row r="106">
      <c r="A106" s="51" t="n"/>
      <c r="B106" s="51" t="n"/>
      <c r="C106" s="51" t="n"/>
      <c r="D106" s="51" t="n"/>
      <c r="E106" s="51" t="n"/>
      <c r="F106" s="51" t="n"/>
      <c r="G106" s="51" t="n"/>
      <c r="H106" s="51" t="n"/>
      <c r="I106" s="51" t="n"/>
      <c r="J106" s="51" t="n"/>
      <c r="K106" s="51" t="n"/>
      <c r="L106" s="51" t="n"/>
      <c r="M106" s="51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  <c r="Z106" s="51" t="n"/>
      <c r="AA106" s="51" t="n"/>
      <c r="AB106" s="51" t="n"/>
      <c r="AC106" s="51" t="n"/>
      <c r="AD106" s="51" t="n"/>
      <c r="AE106" s="51" t="n"/>
      <c r="AF106" s="51" t="n"/>
      <c r="AG106" s="51" t="n"/>
      <c r="AH106" s="51" t="n"/>
      <c r="AI106" s="51" t="n"/>
      <c r="AJ106" s="51" t="n"/>
      <c r="AK106" s="51" t="n"/>
      <c r="AL106" s="51" t="n"/>
      <c r="AM106" s="51" t="n"/>
    </row>
    <row r="107">
      <c r="A107" s="51" t="n"/>
      <c r="B107" s="51" t="n"/>
      <c r="C107" s="51" t="n"/>
      <c r="D107" s="51" t="n"/>
      <c r="E107" s="51" t="n"/>
      <c r="F107" s="51" t="n"/>
      <c r="G107" s="51" t="n"/>
      <c r="H107" s="51" t="n"/>
      <c r="I107" s="51" t="n"/>
      <c r="J107" s="51" t="n"/>
      <c r="K107" s="51" t="n"/>
      <c r="L107" s="51" t="n"/>
      <c r="M107" s="51" t="n"/>
      <c r="N107" s="51" t="n"/>
      <c r="O107" s="51" t="n"/>
      <c r="P107" s="51" t="n"/>
      <c r="Q107" s="51" t="n"/>
      <c r="R107" s="51" t="n"/>
      <c r="S107" s="51" t="n"/>
      <c r="T107" s="51" t="n"/>
      <c r="U107" s="51" t="n"/>
      <c r="V107" s="51" t="n"/>
      <c r="W107" s="51" t="n"/>
      <c r="X107" s="51" t="n"/>
      <c r="Y107" s="51" t="n"/>
      <c r="Z107" s="51" t="n"/>
      <c r="AA107" s="51" t="n"/>
      <c r="AB107" s="51" t="n"/>
      <c r="AC107" s="51" t="n"/>
      <c r="AD107" s="51" t="n"/>
      <c r="AE107" s="51" t="n"/>
      <c r="AF107" s="51" t="n"/>
      <c r="AG107" s="51" t="n"/>
      <c r="AH107" s="51" t="n"/>
      <c r="AI107" s="51" t="n"/>
      <c r="AJ107" s="51" t="n"/>
      <c r="AK107" s="51" t="n"/>
      <c r="AL107" s="51" t="n"/>
      <c r="AM107" s="51" t="n"/>
    </row>
    <row r="108">
      <c r="A108" s="51" t="n"/>
      <c r="B108" s="51" t="n"/>
      <c r="C108" s="51" t="n"/>
      <c r="D108" s="51" t="n"/>
      <c r="E108" s="51" t="n"/>
      <c r="F108" s="51" t="n"/>
      <c r="G108" s="51" t="n"/>
      <c r="H108" s="51" t="n"/>
      <c r="I108" s="51" t="n"/>
      <c r="J108" s="51" t="n"/>
      <c r="K108" s="51" t="n"/>
      <c r="L108" s="51" t="n"/>
      <c r="M108" s="51" t="n"/>
      <c r="N108" s="51" t="n"/>
      <c r="O108" s="51" t="n"/>
      <c r="P108" s="51" t="n"/>
      <c r="Q108" s="51" t="n"/>
      <c r="R108" s="51" t="n"/>
      <c r="S108" s="51" t="n"/>
      <c r="T108" s="51" t="n"/>
      <c r="U108" s="51" t="n"/>
      <c r="V108" s="51" t="n"/>
      <c r="W108" s="51" t="n"/>
      <c r="X108" s="51" t="n"/>
      <c r="Y108" s="51" t="n"/>
      <c r="Z108" s="51" t="n"/>
      <c r="AA108" s="51" t="n"/>
      <c r="AB108" s="51" t="n"/>
      <c r="AC108" s="51" t="n"/>
      <c r="AD108" s="51" t="n"/>
      <c r="AE108" s="51" t="n"/>
      <c r="AF108" s="51" t="n"/>
      <c r="AG108" s="51" t="n"/>
      <c r="AH108" s="51" t="n"/>
      <c r="AI108" s="51" t="n"/>
      <c r="AJ108" s="51" t="n"/>
      <c r="AK108" s="51" t="n"/>
      <c r="AL108" s="51" t="n"/>
      <c r="AM108" s="51" t="n"/>
    </row>
    <row r="109">
      <c r="A109" s="51" t="n"/>
      <c r="B109" s="51" t="n"/>
      <c r="C109" s="51" t="n"/>
      <c r="D109" s="51" t="n"/>
      <c r="E109" s="51" t="n"/>
      <c r="F109" s="51" t="n"/>
      <c r="G109" s="51" t="n"/>
      <c r="H109" s="51" t="n"/>
      <c r="I109" s="51" t="n"/>
      <c r="J109" s="51" t="n"/>
      <c r="K109" s="51" t="n"/>
      <c r="L109" s="51" t="n"/>
      <c r="M109" s="51" t="n"/>
      <c r="N109" s="51" t="n"/>
      <c r="O109" s="51" t="n"/>
      <c r="P109" s="51" t="n"/>
      <c r="Q109" s="51" t="n"/>
      <c r="R109" s="51" t="n"/>
      <c r="S109" s="51" t="n"/>
      <c r="T109" s="51" t="n"/>
      <c r="U109" s="51" t="n"/>
      <c r="V109" s="51" t="n"/>
      <c r="W109" s="51" t="n"/>
      <c r="X109" s="51" t="n"/>
      <c r="Y109" s="51" t="n"/>
      <c r="Z109" s="51" t="n"/>
      <c r="AA109" s="51" t="n"/>
      <c r="AB109" s="51" t="n"/>
      <c r="AC109" s="51" t="n"/>
      <c r="AD109" s="51" t="n"/>
      <c r="AE109" s="51" t="n"/>
      <c r="AF109" s="51" t="n"/>
      <c r="AG109" s="51" t="n"/>
      <c r="AH109" s="51" t="n"/>
      <c r="AI109" s="51" t="n"/>
      <c r="AJ109" s="51" t="n"/>
      <c r="AK109" s="51" t="n"/>
      <c r="AL109" s="51" t="n"/>
      <c r="AM109" s="51" t="n"/>
    </row>
    <row r="110">
      <c r="A110" s="51" t="n"/>
      <c r="B110" s="51" t="n"/>
      <c r="C110" s="51" t="n"/>
      <c r="D110" s="51" t="n"/>
      <c r="E110" s="51" t="n"/>
      <c r="F110" s="51" t="n"/>
      <c r="G110" s="51" t="n"/>
      <c r="H110" s="51" t="n"/>
      <c r="I110" s="51" t="n"/>
      <c r="J110" s="51" t="n"/>
      <c r="K110" s="51" t="n"/>
      <c r="L110" s="51" t="n"/>
      <c r="M110" s="51" t="n"/>
      <c r="N110" s="51" t="n"/>
      <c r="O110" s="51" t="n"/>
      <c r="P110" s="51" t="n"/>
      <c r="Q110" s="51" t="n"/>
      <c r="R110" s="51" t="n"/>
      <c r="S110" s="51" t="n"/>
      <c r="T110" s="51" t="n"/>
      <c r="U110" s="51" t="n"/>
      <c r="V110" s="51" t="n"/>
      <c r="W110" s="51" t="n"/>
      <c r="X110" s="51" t="n"/>
      <c r="Y110" s="51" t="n"/>
      <c r="Z110" s="51" t="n"/>
      <c r="AA110" s="51" t="n"/>
      <c r="AB110" s="51" t="n"/>
      <c r="AC110" s="51" t="n"/>
      <c r="AD110" s="51" t="n"/>
      <c r="AE110" s="51" t="n"/>
      <c r="AF110" s="51" t="n"/>
      <c r="AG110" s="51" t="n"/>
      <c r="AH110" s="51" t="n"/>
      <c r="AI110" s="51" t="n"/>
      <c r="AJ110" s="51" t="n"/>
      <c r="AK110" s="51" t="n"/>
      <c r="AL110" s="51" t="n"/>
      <c r="AM110" s="51" t="n"/>
    </row>
    <row r="111">
      <c r="A111" s="51" t="n"/>
      <c r="B111" s="51" t="n"/>
      <c r="C111" s="51" t="n"/>
      <c r="D111" s="51" t="n"/>
      <c r="E111" s="51" t="n"/>
      <c r="F111" s="51" t="n"/>
      <c r="G111" s="51" t="n"/>
      <c r="H111" s="51" t="n"/>
      <c r="I111" s="51" t="n"/>
      <c r="J111" s="51" t="n"/>
      <c r="K111" s="51" t="n"/>
      <c r="L111" s="51" t="n"/>
      <c r="M111" s="51" t="n"/>
      <c r="N111" s="51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  <c r="Z111" s="51" t="n"/>
      <c r="AA111" s="51" t="n"/>
      <c r="AB111" s="51" t="n"/>
      <c r="AC111" s="51" t="n"/>
      <c r="AD111" s="51" t="n"/>
      <c r="AE111" s="51" t="n"/>
      <c r="AF111" s="51" t="n"/>
      <c r="AG111" s="51" t="n"/>
      <c r="AH111" s="51" t="n"/>
      <c r="AI111" s="51" t="n"/>
      <c r="AJ111" s="51" t="n"/>
      <c r="AK111" s="51" t="n"/>
      <c r="AL111" s="51" t="n"/>
      <c r="AM111" s="51" t="n"/>
    </row>
    <row r="112">
      <c r="A112" s="51" t="n"/>
      <c r="B112" s="51" t="n"/>
      <c r="C112" s="51" t="n"/>
      <c r="D112" s="51" t="n"/>
      <c r="E112" s="51" t="n"/>
      <c r="F112" s="51" t="n"/>
      <c r="G112" s="51" t="n"/>
      <c r="H112" s="51" t="n"/>
      <c r="I112" s="51" t="n"/>
      <c r="J112" s="51" t="n"/>
      <c r="K112" s="51" t="n"/>
      <c r="L112" s="51" t="n"/>
      <c r="M112" s="51" t="n"/>
      <c r="N112" s="51" t="n"/>
      <c r="O112" s="51" t="n"/>
      <c r="P112" s="51" t="n"/>
      <c r="Q112" s="51" t="n"/>
      <c r="R112" s="51" t="n"/>
      <c r="S112" s="51" t="n"/>
      <c r="T112" s="51" t="n"/>
      <c r="U112" s="51" t="n"/>
      <c r="V112" s="51" t="n"/>
      <c r="W112" s="51" t="n"/>
      <c r="X112" s="51" t="n"/>
      <c r="Y112" s="51" t="n"/>
      <c r="Z112" s="51" t="n"/>
      <c r="AA112" s="51" t="n"/>
      <c r="AB112" s="51" t="n"/>
      <c r="AC112" s="51" t="n"/>
      <c r="AD112" s="51" t="n"/>
      <c r="AE112" s="51" t="n"/>
      <c r="AF112" s="51" t="n"/>
      <c r="AG112" s="51" t="n"/>
      <c r="AH112" s="51" t="n"/>
      <c r="AI112" s="51" t="n"/>
      <c r="AJ112" s="51" t="n"/>
      <c r="AK112" s="51" t="n"/>
      <c r="AL112" s="51" t="n"/>
      <c r="AM112" s="51" t="n"/>
    </row>
    <row r="113">
      <c r="A113" s="51" t="n"/>
      <c r="B113" s="51" t="n"/>
      <c r="C113" s="51" t="n"/>
      <c r="D113" s="51" t="n"/>
      <c r="E113" s="51" t="n"/>
      <c r="F113" s="51" t="n"/>
      <c r="G113" s="51" t="n"/>
      <c r="H113" s="51" t="n"/>
      <c r="I113" s="51" t="n"/>
      <c r="J113" s="51" t="n"/>
      <c r="K113" s="51" t="n"/>
      <c r="L113" s="51" t="n"/>
      <c r="M113" s="51" t="n"/>
      <c r="N113" s="51" t="n"/>
      <c r="O113" s="51" t="n"/>
      <c r="P113" s="51" t="n"/>
      <c r="Q113" s="51" t="n"/>
      <c r="R113" s="51" t="n"/>
      <c r="S113" s="51" t="n"/>
      <c r="T113" s="51" t="n"/>
      <c r="U113" s="51" t="n"/>
      <c r="V113" s="51" t="n"/>
      <c r="W113" s="51" t="n"/>
      <c r="X113" s="51" t="n"/>
      <c r="Y113" s="51" t="n"/>
      <c r="Z113" s="51" t="n"/>
      <c r="AA113" s="51" t="n"/>
      <c r="AB113" s="51" t="n"/>
      <c r="AC113" s="51" t="n"/>
      <c r="AD113" s="51" t="n"/>
      <c r="AE113" s="51" t="n"/>
      <c r="AF113" s="51" t="n"/>
      <c r="AG113" s="51" t="n"/>
      <c r="AH113" s="51" t="n"/>
      <c r="AI113" s="51" t="n"/>
      <c r="AJ113" s="51" t="n"/>
      <c r="AK113" s="51" t="n"/>
      <c r="AL113" s="51" t="n"/>
      <c r="AM113" s="51" t="n"/>
    </row>
    <row r="114">
      <c r="A114" s="51" t="n"/>
      <c r="B114" s="51" t="n"/>
      <c r="C114" s="51" t="n"/>
      <c r="D114" s="51" t="n"/>
      <c r="E114" s="51" t="n"/>
      <c r="F114" s="51" t="n"/>
      <c r="G114" s="51" t="n"/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1" t="n"/>
      <c r="R114" s="51" t="n"/>
      <c r="S114" s="51" t="n"/>
      <c r="T114" s="51" t="n"/>
      <c r="U114" s="51" t="n"/>
      <c r="V114" s="51" t="n"/>
      <c r="W114" s="51" t="n"/>
      <c r="X114" s="51" t="n"/>
      <c r="Y114" s="51" t="n"/>
      <c r="Z114" s="51" t="n"/>
      <c r="AA114" s="51" t="n"/>
      <c r="AB114" s="51" t="n"/>
      <c r="AC114" s="51" t="n"/>
      <c r="AD114" s="51" t="n"/>
      <c r="AE114" s="51" t="n"/>
      <c r="AF114" s="51" t="n"/>
      <c r="AG114" s="51" t="n"/>
      <c r="AH114" s="51" t="n"/>
      <c r="AI114" s="51" t="n"/>
      <c r="AJ114" s="51" t="n"/>
      <c r="AK114" s="51" t="n"/>
      <c r="AL114" s="51" t="n"/>
      <c r="AM114" s="51" t="n"/>
    </row>
    <row r="115">
      <c r="A115" s="51" t="n"/>
      <c r="B115" s="51" t="n"/>
      <c r="C115" s="51" t="n"/>
      <c r="D115" s="51" t="n"/>
      <c r="E115" s="51" t="n"/>
      <c r="F115" s="51" t="n"/>
      <c r="G115" s="51" t="n"/>
      <c r="H115" s="51" t="n"/>
      <c r="I115" s="51" t="n"/>
      <c r="J115" s="51" t="n"/>
      <c r="K115" s="51" t="n"/>
      <c r="L115" s="51" t="n"/>
      <c r="M115" s="51" t="n"/>
      <c r="N115" s="51" t="n"/>
      <c r="O115" s="51" t="n"/>
      <c r="P115" s="51" t="n"/>
      <c r="Q115" s="51" t="n"/>
      <c r="R115" s="51" t="n"/>
      <c r="S115" s="51" t="n"/>
      <c r="T115" s="51" t="n"/>
      <c r="U115" s="51" t="n"/>
      <c r="V115" s="51" t="n"/>
      <c r="W115" s="51" t="n"/>
      <c r="X115" s="51" t="n"/>
      <c r="Y115" s="51" t="n"/>
      <c r="Z115" s="51" t="n"/>
      <c r="AA115" s="51" t="n"/>
      <c r="AB115" s="51" t="n"/>
      <c r="AC115" s="51" t="n"/>
      <c r="AD115" s="51" t="n"/>
      <c r="AE115" s="51" t="n"/>
      <c r="AF115" s="51" t="n"/>
      <c r="AG115" s="51" t="n"/>
      <c r="AH115" s="51" t="n"/>
      <c r="AI115" s="51" t="n"/>
      <c r="AJ115" s="51" t="n"/>
      <c r="AK115" s="51" t="n"/>
      <c r="AL115" s="51" t="n"/>
      <c r="AM115" s="51" t="n"/>
    </row>
    <row r="116">
      <c r="A116" s="51" t="n"/>
      <c r="B116" s="51" t="n"/>
      <c r="C116" s="51" t="n"/>
      <c r="D116" s="51" t="n"/>
      <c r="E116" s="51" t="n"/>
      <c r="F116" s="51" t="n"/>
      <c r="G116" s="51" t="n"/>
      <c r="H116" s="51" t="n"/>
      <c r="I116" s="51" t="n"/>
      <c r="J116" s="51" t="n"/>
      <c r="K116" s="51" t="n"/>
      <c r="L116" s="51" t="n"/>
      <c r="M116" s="51" t="n"/>
      <c r="N116" s="51" t="n"/>
      <c r="O116" s="51" t="n"/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  <c r="Z116" s="51" t="n"/>
      <c r="AA116" s="51" t="n"/>
      <c r="AB116" s="51" t="n"/>
      <c r="AC116" s="51" t="n"/>
      <c r="AD116" s="51" t="n"/>
      <c r="AE116" s="51" t="n"/>
      <c r="AF116" s="51" t="n"/>
      <c r="AG116" s="51" t="n"/>
      <c r="AH116" s="51" t="n"/>
      <c r="AI116" s="51" t="n"/>
      <c r="AJ116" s="51" t="n"/>
      <c r="AK116" s="51" t="n"/>
      <c r="AL116" s="51" t="n"/>
      <c r="AM116" s="51" t="n"/>
    </row>
    <row r="117">
      <c r="A117" s="51" t="n"/>
      <c r="B117" s="51" t="n"/>
      <c r="C117" s="51" t="n"/>
      <c r="D117" s="51" t="n"/>
      <c r="E117" s="51" t="n"/>
      <c r="F117" s="51" t="n"/>
      <c r="G117" s="51" t="n"/>
      <c r="H117" s="51" t="n"/>
      <c r="I117" s="51" t="n"/>
      <c r="J117" s="51" t="n"/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  <c r="Z117" s="51" t="n"/>
      <c r="AA117" s="51" t="n"/>
      <c r="AB117" s="51" t="n"/>
      <c r="AC117" s="51" t="n"/>
      <c r="AD117" s="51" t="n"/>
      <c r="AE117" s="51" t="n"/>
      <c r="AF117" s="51" t="n"/>
      <c r="AG117" s="51" t="n"/>
      <c r="AH117" s="51" t="n"/>
      <c r="AI117" s="51" t="n"/>
      <c r="AJ117" s="51" t="n"/>
      <c r="AK117" s="51" t="n"/>
      <c r="AL117" s="51" t="n"/>
      <c r="AM117" s="51" t="n"/>
    </row>
    <row r="118">
      <c r="A118" s="51" t="n"/>
      <c r="B118" s="51" t="n"/>
      <c r="C118" s="51" t="n"/>
      <c r="D118" s="51" t="n"/>
      <c r="E118" s="51" t="n"/>
      <c r="F118" s="51" t="n"/>
      <c r="G118" s="51" t="n"/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1" t="n"/>
      <c r="Q118" s="51" t="n"/>
      <c r="R118" s="51" t="n"/>
      <c r="S118" s="51" t="n"/>
      <c r="T118" s="51" t="n"/>
      <c r="U118" s="51" t="n"/>
      <c r="V118" s="51" t="n"/>
      <c r="W118" s="51" t="n"/>
      <c r="X118" s="51" t="n"/>
      <c r="Y118" s="51" t="n"/>
      <c r="Z118" s="51" t="n"/>
      <c r="AA118" s="51" t="n"/>
      <c r="AB118" s="51" t="n"/>
      <c r="AC118" s="51" t="n"/>
      <c r="AD118" s="51" t="n"/>
      <c r="AE118" s="51" t="n"/>
      <c r="AF118" s="51" t="n"/>
      <c r="AG118" s="51" t="n"/>
      <c r="AH118" s="51" t="n"/>
      <c r="AI118" s="51" t="n"/>
      <c r="AJ118" s="51" t="n"/>
      <c r="AK118" s="51" t="n"/>
      <c r="AL118" s="51" t="n"/>
      <c r="AM118" s="51" t="n"/>
    </row>
    <row r="119">
      <c r="A119" s="51" t="n"/>
      <c r="B119" s="51" t="n"/>
      <c r="C119" s="51" t="n"/>
      <c r="D119" s="51" t="n"/>
      <c r="E119" s="51" t="n"/>
      <c r="F119" s="51" t="n"/>
      <c r="G119" s="51" t="n"/>
      <c r="H119" s="51" t="n"/>
      <c r="I119" s="51" t="n"/>
      <c r="J119" s="51" t="n"/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  <c r="Z119" s="51" t="n"/>
      <c r="AA119" s="51" t="n"/>
      <c r="AB119" s="51" t="n"/>
      <c r="AC119" s="51" t="n"/>
      <c r="AD119" s="51" t="n"/>
      <c r="AE119" s="51" t="n"/>
      <c r="AF119" s="51" t="n"/>
      <c r="AG119" s="51" t="n"/>
      <c r="AH119" s="51" t="n"/>
      <c r="AI119" s="51" t="n"/>
      <c r="AJ119" s="51" t="n"/>
      <c r="AK119" s="51" t="n"/>
      <c r="AL119" s="51" t="n"/>
      <c r="AM119" s="51" t="n"/>
    </row>
    <row r="120">
      <c r="A120" s="51" t="n"/>
      <c r="B120" s="51" t="n"/>
      <c r="C120" s="51" t="n"/>
      <c r="D120" s="51" t="n"/>
      <c r="E120" s="51" t="n"/>
      <c r="F120" s="51" t="n"/>
      <c r="G120" s="51" t="n"/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  <c r="Z120" s="51" t="n"/>
      <c r="AA120" s="51" t="n"/>
      <c r="AB120" s="51" t="n"/>
      <c r="AC120" s="51" t="n"/>
      <c r="AD120" s="51" t="n"/>
      <c r="AE120" s="51" t="n"/>
      <c r="AF120" s="51" t="n"/>
      <c r="AG120" s="51" t="n"/>
      <c r="AH120" s="51" t="n"/>
      <c r="AI120" s="51" t="n"/>
      <c r="AJ120" s="51" t="n"/>
      <c r="AK120" s="51" t="n"/>
      <c r="AL120" s="51" t="n"/>
      <c r="AM120" s="51" t="n"/>
    </row>
    <row r="121">
      <c r="A121" s="51" t="n"/>
      <c r="B121" s="51" t="n"/>
      <c r="C121" s="51" t="n"/>
      <c r="D121" s="51" t="n"/>
      <c r="E121" s="51" t="n"/>
      <c r="F121" s="51" t="n"/>
      <c r="G121" s="51" t="n"/>
      <c r="H121" s="51" t="n"/>
      <c r="I121" s="51" t="n"/>
      <c r="J121" s="51" t="n"/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  <c r="U121" s="51" t="n"/>
      <c r="V121" s="51" t="n"/>
      <c r="W121" s="51" t="n"/>
      <c r="X121" s="51" t="n"/>
      <c r="Y121" s="51" t="n"/>
      <c r="Z121" s="51" t="n"/>
      <c r="AA121" s="51" t="n"/>
      <c r="AB121" s="51" t="n"/>
      <c r="AC121" s="51" t="n"/>
      <c r="AD121" s="51" t="n"/>
      <c r="AE121" s="51" t="n"/>
      <c r="AF121" s="51" t="n"/>
      <c r="AG121" s="51" t="n"/>
      <c r="AH121" s="51" t="n"/>
      <c r="AI121" s="51" t="n"/>
      <c r="AJ121" s="51" t="n"/>
      <c r="AK121" s="51" t="n"/>
      <c r="AL121" s="51" t="n"/>
      <c r="AM121" s="51" t="n"/>
    </row>
    <row r="122">
      <c r="A122" s="51" t="n"/>
      <c r="B122" s="51" t="n"/>
      <c r="C122" s="51" t="n"/>
      <c r="D122" s="51" t="n"/>
      <c r="E122" s="51" t="n"/>
      <c r="F122" s="51" t="n"/>
      <c r="G122" s="51" t="n"/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1" t="n"/>
      <c r="Q122" s="51" t="n"/>
      <c r="R122" s="51" t="n"/>
      <c r="S122" s="51" t="n"/>
      <c r="T122" s="51" t="n"/>
      <c r="U122" s="51" t="n"/>
      <c r="V122" s="51" t="n"/>
      <c r="W122" s="51" t="n"/>
      <c r="X122" s="51" t="n"/>
      <c r="Y122" s="51" t="n"/>
      <c r="Z122" s="51" t="n"/>
      <c r="AA122" s="51" t="n"/>
      <c r="AB122" s="51" t="n"/>
      <c r="AC122" s="51" t="n"/>
      <c r="AD122" s="51" t="n"/>
      <c r="AE122" s="51" t="n"/>
      <c r="AF122" s="51" t="n"/>
      <c r="AG122" s="51" t="n"/>
      <c r="AH122" s="51" t="n"/>
      <c r="AI122" s="51" t="n"/>
      <c r="AJ122" s="51" t="n"/>
      <c r="AK122" s="51" t="n"/>
      <c r="AL122" s="51" t="n"/>
      <c r="AM122" s="51" t="n"/>
    </row>
    <row r="123">
      <c r="A123" s="51" t="n"/>
      <c r="B123" s="51" t="n"/>
      <c r="C123" s="51" t="n"/>
      <c r="D123" s="51" t="n"/>
      <c r="E123" s="51" t="n"/>
      <c r="F123" s="51" t="n"/>
      <c r="G123" s="51" t="n"/>
      <c r="H123" s="51" t="n"/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1" t="n"/>
      <c r="R123" s="51" t="n"/>
      <c r="S123" s="51" t="n"/>
      <c r="T123" s="51" t="n"/>
      <c r="U123" s="51" t="n"/>
      <c r="V123" s="51" t="n"/>
      <c r="W123" s="51" t="n"/>
      <c r="X123" s="51" t="n"/>
      <c r="Y123" s="51" t="n"/>
      <c r="Z123" s="51" t="n"/>
      <c r="AA123" s="51" t="n"/>
      <c r="AB123" s="51" t="n"/>
      <c r="AC123" s="51" t="n"/>
      <c r="AD123" s="51" t="n"/>
      <c r="AE123" s="51" t="n"/>
      <c r="AF123" s="51" t="n"/>
      <c r="AG123" s="51" t="n"/>
      <c r="AH123" s="51" t="n"/>
      <c r="AI123" s="51" t="n"/>
      <c r="AJ123" s="51" t="n"/>
      <c r="AK123" s="51" t="n"/>
      <c r="AL123" s="51" t="n"/>
      <c r="AM123" s="51" t="n"/>
    </row>
    <row r="124">
      <c r="A124" s="51" t="n"/>
      <c r="B124" s="51" t="n"/>
      <c r="C124" s="51" t="n"/>
      <c r="D124" s="51" t="n"/>
      <c r="E124" s="51" t="n"/>
      <c r="F124" s="51" t="n"/>
      <c r="G124" s="51" t="n"/>
      <c r="H124" s="51" t="n"/>
      <c r="I124" s="51" t="n"/>
      <c r="J124" s="51" t="n"/>
      <c r="K124" s="51" t="n"/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  <c r="Z124" s="51" t="n"/>
      <c r="AA124" s="51" t="n"/>
      <c r="AB124" s="51" t="n"/>
      <c r="AC124" s="51" t="n"/>
      <c r="AD124" s="51" t="n"/>
      <c r="AE124" s="51" t="n"/>
      <c r="AF124" s="51" t="n"/>
      <c r="AG124" s="51" t="n"/>
      <c r="AH124" s="51" t="n"/>
      <c r="AI124" s="51" t="n"/>
      <c r="AJ124" s="51" t="n"/>
      <c r="AK124" s="51" t="n"/>
      <c r="AL124" s="51" t="n"/>
      <c r="AM124" s="51" t="n"/>
    </row>
    <row r="125">
      <c r="A125" s="51" t="n"/>
      <c r="B125" s="51" t="n"/>
      <c r="C125" s="51" t="n"/>
      <c r="D125" s="51" t="n"/>
      <c r="E125" s="51" t="n"/>
      <c r="F125" s="51" t="n"/>
      <c r="G125" s="51" t="n"/>
      <c r="H125" s="51" t="n"/>
      <c r="I125" s="51" t="n"/>
      <c r="J125" s="51" t="n"/>
      <c r="K125" s="51" t="n"/>
      <c r="L125" s="51" t="n"/>
      <c r="M125" s="51" t="n"/>
      <c r="N125" s="51" t="n"/>
      <c r="O125" s="51" t="n"/>
      <c r="P125" s="51" t="n"/>
      <c r="Q125" s="51" t="n"/>
      <c r="R125" s="51" t="n"/>
      <c r="S125" s="51" t="n"/>
      <c r="T125" s="51" t="n"/>
      <c r="U125" s="51" t="n"/>
      <c r="V125" s="51" t="n"/>
      <c r="W125" s="51" t="n"/>
      <c r="X125" s="51" t="n"/>
      <c r="Y125" s="51" t="n"/>
      <c r="Z125" s="51" t="n"/>
      <c r="AA125" s="51" t="n"/>
      <c r="AB125" s="51" t="n"/>
      <c r="AC125" s="51" t="n"/>
      <c r="AD125" s="51" t="n"/>
      <c r="AE125" s="51" t="n"/>
      <c r="AF125" s="51" t="n"/>
      <c r="AG125" s="51" t="n"/>
      <c r="AH125" s="51" t="n"/>
      <c r="AI125" s="51" t="n"/>
      <c r="AJ125" s="51" t="n"/>
      <c r="AK125" s="51" t="n"/>
      <c r="AL125" s="51" t="n"/>
      <c r="AM125" s="51" t="n"/>
    </row>
    <row r="126">
      <c r="A126" s="51" t="n"/>
      <c r="B126" s="51" t="n"/>
      <c r="C126" s="51" t="n"/>
      <c r="D126" s="51" t="n"/>
      <c r="E126" s="51" t="n"/>
      <c r="F126" s="51" t="n"/>
      <c r="G126" s="51" t="n"/>
      <c r="H126" s="51" t="n"/>
      <c r="I126" s="51" t="n"/>
      <c r="J126" s="51" t="n"/>
      <c r="K126" s="51" t="n"/>
      <c r="L126" s="51" t="n"/>
      <c r="M126" s="51" t="n"/>
      <c r="N126" s="51" t="n"/>
      <c r="O126" s="51" t="n"/>
      <c r="P126" s="51" t="n"/>
      <c r="Q126" s="51" t="n"/>
      <c r="R126" s="51" t="n"/>
      <c r="S126" s="51" t="n"/>
      <c r="T126" s="51" t="n"/>
      <c r="U126" s="51" t="n"/>
      <c r="V126" s="51" t="n"/>
      <c r="W126" s="51" t="n"/>
      <c r="X126" s="51" t="n"/>
      <c r="Y126" s="51" t="n"/>
      <c r="Z126" s="51" t="n"/>
      <c r="AA126" s="51" t="n"/>
      <c r="AB126" s="51" t="n"/>
      <c r="AC126" s="51" t="n"/>
      <c r="AD126" s="51" t="n"/>
      <c r="AE126" s="51" t="n"/>
      <c r="AF126" s="51" t="n"/>
      <c r="AG126" s="51" t="n"/>
      <c r="AH126" s="51" t="n"/>
      <c r="AI126" s="51" t="n"/>
      <c r="AJ126" s="51" t="n"/>
      <c r="AK126" s="51" t="n"/>
      <c r="AL126" s="51" t="n"/>
      <c r="AM126" s="51" t="n"/>
    </row>
    <row r="127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  <c r="Z127" s="51" t="n"/>
      <c r="AA127" s="51" t="n"/>
      <c r="AB127" s="51" t="n"/>
      <c r="AC127" s="51" t="n"/>
      <c r="AD127" s="51" t="n"/>
      <c r="AE127" s="51" t="n"/>
      <c r="AF127" s="51" t="n"/>
      <c r="AG127" s="51" t="n"/>
      <c r="AH127" s="51" t="n"/>
      <c r="AI127" s="51" t="n"/>
      <c r="AJ127" s="51" t="n"/>
      <c r="AK127" s="51" t="n"/>
      <c r="AL127" s="51" t="n"/>
      <c r="AM127" s="51" t="n"/>
    </row>
    <row r="128">
      <c r="A128" s="51" t="n"/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  <c r="Z128" s="51" t="n"/>
      <c r="AA128" s="51" t="n"/>
      <c r="AB128" s="51" t="n"/>
      <c r="AC128" s="51" t="n"/>
      <c r="AD128" s="51" t="n"/>
      <c r="AE128" s="51" t="n"/>
      <c r="AF128" s="51" t="n"/>
      <c r="AG128" s="51" t="n"/>
      <c r="AH128" s="51" t="n"/>
      <c r="AI128" s="51" t="n"/>
      <c r="AJ128" s="51" t="n"/>
      <c r="AK128" s="51" t="n"/>
      <c r="AL128" s="51" t="n"/>
      <c r="AM128" s="51" t="n"/>
    </row>
    <row r="129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  <c r="Z129" s="51" t="n"/>
      <c r="AA129" s="51" t="n"/>
      <c r="AB129" s="51" t="n"/>
      <c r="AC129" s="51" t="n"/>
      <c r="AD129" s="51" t="n"/>
      <c r="AE129" s="51" t="n"/>
      <c r="AF129" s="51" t="n"/>
      <c r="AG129" s="51" t="n"/>
      <c r="AH129" s="51" t="n"/>
      <c r="AI129" s="51" t="n"/>
      <c r="AJ129" s="51" t="n"/>
      <c r="AK129" s="51" t="n"/>
      <c r="AL129" s="51" t="n"/>
      <c r="AM129" s="51" t="n"/>
    </row>
    <row r="130">
      <c r="A130" s="51" t="n"/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  <c r="Z130" s="51" t="n"/>
      <c r="AA130" s="51" t="n"/>
      <c r="AB130" s="51" t="n"/>
      <c r="AC130" s="51" t="n"/>
      <c r="AD130" s="51" t="n"/>
      <c r="AE130" s="51" t="n"/>
      <c r="AF130" s="51" t="n"/>
      <c r="AG130" s="51" t="n"/>
      <c r="AH130" s="51" t="n"/>
      <c r="AI130" s="51" t="n"/>
      <c r="AJ130" s="51" t="n"/>
      <c r="AK130" s="51" t="n"/>
      <c r="AL130" s="51" t="n"/>
      <c r="AM130" s="51" t="n"/>
    </row>
    <row r="131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1" t="n"/>
      <c r="L131" s="51" t="n"/>
      <c r="M131" s="51" t="n"/>
      <c r="N131" s="51" t="n"/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  <c r="Z131" s="51" t="n"/>
      <c r="AA131" s="51" t="n"/>
      <c r="AB131" s="51" t="n"/>
      <c r="AC131" s="51" t="n"/>
      <c r="AD131" s="51" t="n"/>
      <c r="AE131" s="51" t="n"/>
      <c r="AF131" s="51" t="n"/>
      <c r="AG131" s="51" t="n"/>
      <c r="AH131" s="51" t="n"/>
      <c r="AI131" s="51" t="n"/>
      <c r="AJ131" s="51" t="n"/>
      <c r="AK131" s="51" t="n"/>
      <c r="AL131" s="51" t="n"/>
      <c r="AM131" s="51" t="n"/>
    </row>
    <row r="132">
      <c r="A132" s="51" t="n"/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  <c r="AA132" s="51" t="n"/>
      <c r="AB132" s="51" t="n"/>
      <c r="AC132" s="51" t="n"/>
      <c r="AD132" s="51" t="n"/>
      <c r="AE132" s="51" t="n"/>
      <c r="AF132" s="51" t="n"/>
      <c r="AG132" s="51" t="n"/>
      <c r="AH132" s="51" t="n"/>
      <c r="AI132" s="51" t="n"/>
      <c r="AJ132" s="51" t="n"/>
      <c r="AK132" s="51" t="n"/>
      <c r="AL132" s="51" t="n"/>
      <c r="AM132" s="51" t="n"/>
    </row>
    <row r="133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  <c r="J133" s="51" t="n"/>
      <c r="K133" s="51" t="n"/>
      <c r="L133" s="51" t="n"/>
      <c r="M133" s="51" t="n"/>
      <c r="N133" s="51" t="n"/>
      <c r="O133" s="51" t="n"/>
      <c r="P133" s="51" t="n"/>
      <c r="Q133" s="51" t="n"/>
      <c r="R133" s="51" t="n"/>
      <c r="S133" s="51" t="n"/>
      <c r="T133" s="51" t="n"/>
      <c r="U133" s="51" t="n"/>
      <c r="V133" s="51" t="n"/>
      <c r="W133" s="51" t="n"/>
      <c r="X133" s="51" t="n"/>
      <c r="Y133" s="51" t="n"/>
      <c r="Z133" s="51" t="n"/>
      <c r="AA133" s="51" t="n"/>
      <c r="AB133" s="51" t="n"/>
      <c r="AC133" s="51" t="n"/>
      <c r="AD133" s="51" t="n"/>
      <c r="AE133" s="51" t="n"/>
      <c r="AF133" s="51" t="n"/>
      <c r="AG133" s="51" t="n"/>
      <c r="AH133" s="51" t="n"/>
      <c r="AI133" s="51" t="n"/>
      <c r="AJ133" s="51" t="n"/>
      <c r="AK133" s="51" t="n"/>
      <c r="AL133" s="51" t="n"/>
      <c r="AM133" s="51" t="n"/>
    </row>
    <row r="134">
      <c r="A134" s="51" t="n"/>
      <c r="B134" s="51" t="n"/>
      <c r="C134" s="51" t="n"/>
      <c r="D134" s="51" t="n"/>
      <c r="E134" s="51" t="n"/>
      <c r="F134" s="51" t="n"/>
      <c r="G134" s="51" t="n"/>
      <c r="H134" s="51" t="n"/>
      <c r="I134" s="51" t="n"/>
      <c r="J134" s="51" t="n"/>
      <c r="K134" s="51" t="n"/>
      <c r="L134" s="51" t="n"/>
      <c r="M134" s="51" t="n"/>
      <c r="N134" s="51" t="n"/>
      <c r="O134" s="51" t="n"/>
      <c r="P134" s="51" t="n"/>
      <c r="Q134" s="51" t="n"/>
      <c r="R134" s="51" t="n"/>
      <c r="S134" s="51" t="n"/>
      <c r="T134" s="51" t="n"/>
      <c r="U134" s="51" t="n"/>
      <c r="V134" s="51" t="n"/>
      <c r="W134" s="51" t="n"/>
      <c r="X134" s="51" t="n"/>
      <c r="Y134" s="51" t="n"/>
      <c r="Z134" s="51" t="n"/>
      <c r="AA134" s="51" t="n"/>
      <c r="AB134" s="51" t="n"/>
      <c r="AC134" s="51" t="n"/>
      <c r="AD134" s="51" t="n"/>
      <c r="AE134" s="51" t="n"/>
      <c r="AF134" s="51" t="n"/>
      <c r="AG134" s="51" t="n"/>
      <c r="AH134" s="51" t="n"/>
      <c r="AI134" s="51" t="n"/>
      <c r="AJ134" s="51" t="n"/>
      <c r="AK134" s="51" t="n"/>
      <c r="AL134" s="51" t="n"/>
      <c r="AM134" s="51" t="n"/>
    </row>
    <row r="135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  <c r="Z135" s="51" t="n"/>
      <c r="AA135" s="51" t="n"/>
      <c r="AB135" s="51" t="n"/>
      <c r="AC135" s="51" t="n"/>
      <c r="AD135" s="51" t="n"/>
      <c r="AE135" s="51" t="n"/>
      <c r="AF135" s="51" t="n"/>
      <c r="AG135" s="51" t="n"/>
      <c r="AH135" s="51" t="n"/>
      <c r="AI135" s="51" t="n"/>
      <c r="AJ135" s="51" t="n"/>
      <c r="AK135" s="51" t="n"/>
      <c r="AL135" s="51" t="n"/>
      <c r="AM135" s="51" t="n"/>
    </row>
    <row r="136">
      <c r="A136" s="51" t="n"/>
      <c r="B136" s="51" t="n"/>
      <c r="C136" s="51" t="n"/>
      <c r="D136" s="51" t="n"/>
      <c r="E136" s="51" t="n"/>
      <c r="F136" s="51" t="n"/>
      <c r="G136" s="51" t="n"/>
      <c r="H136" s="51" t="n"/>
      <c r="I136" s="51" t="n"/>
      <c r="J136" s="51" t="n"/>
      <c r="K136" s="51" t="n"/>
      <c r="L136" s="51" t="n"/>
      <c r="M136" s="51" t="n"/>
      <c r="N136" s="51" t="n"/>
      <c r="O136" s="51" t="n"/>
      <c r="P136" s="51" t="n"/>
      <c r="Q136" s="51" t="n"/>
      <c r="R136" s="51" t="n"/>
      <c r="S136" s="51" t="n"/>
      <c r="T136" s="51" t="n"/>
      <c r="U136" s="51" t="n"/>
      <c r="V136" s="51" t="n"/>
      <c r="W136" s="51" t="n"/>
      <c r="X136" s="51" t="n"/>
      <c r="Y136" s="51" t="n"/>
      <c r="Z136" s="51" t="n"/>
      <c r="AA136" s="51" t="n"/>
      <c r="AB136" s="51" t="n"/>
      <c r="AC136" s="51" t="n"/>
      <c r="AD136" s="51" t="n"/>
      <c r="AE136" s="51" t="n"/>
      <c r="AF136" s="51" t="n"/>
      <c r="AG136" s="51" t="n"/>
      <c r="AH136" s="51" t="n"/>
      <c r="AI136" s="51" t="n"/>
      <c r="AJ136" s="51" t="n"/>
      <c r="AK136" s="51" t="n"/>
      <c r="AL136" s="51" t="n"/>
      <c r="AM136" s="51" t="n"/>
    </row>
    <row r="137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1" t="n"/>
      <c r="L137" s="51" t="n"/>
      <c r="M137" s="51" t="n"/>
      <c r="N137" s="51" t="n"/>
      <c r="O137" s="51" t="n"/>
      <c r="P137" s="51" t="n"/>
      <c r="Q137" s="51" t="n"/>
      <c r="R137" s="51" t="n"/>
      <c r="S137" s="51" t="n"/>
      <c r="T137" s="51" t="n"/>
      <c r="U137" s="51" t="n"/>
      <c r="V137" s="51" t="n"/>
      <c r="W137" s="51" t="n"/>
      <c r="X137" s="51" t="n"/>
      <c r="Y137" s="51" t="n"/>
      <c r="Z137" s="51" t="n"/>
      <c r="AA137" s="51" t="n"/>
      <c r="AB137" s="51" t="n"/>
      <c r="AC137" s="51" t="n"/>
      <c r="AD137" s="51" t="n"/>
      <c r="AE137" s="51" t="n"/>
      <c r="AF137" s="51" t="n"/>
      <c r="AG137" s="51" t="n"/>
      <c r="AH137" s="51" t="n"/>
      <c r="AI137" s="51" t="n"/>
      <c r="AJ137" s="51" t="n"/>
      <c r="AK137" s="51" t="n"/>
      <c r="AL137" s="51" t="n"/>
      <c r="AM137" s="51" t="n"/>
    </row>
    <row r="138">
      <c r="A138" s="51" t="n"/>
      <c r="B138" s="51" t="n"/>
      <c r="C138" s="51" t="n"/>
      <c r="D138" s="51" t="n"/>
      <c r="E138" s="51" t="n"/>
      <c r="F138" s="51" t="n"/>
      <c r="G138" s="51" t="n"/>
      <c r="H138" s="51" t="n"/>
      <c r="I138" s="51" t="n"/>
      <c r="J138" s="51" t="n"/>
      <c r="K138" s="51" t="n"/>
      <c r="L138" s="51" t="n"/>
      <c r="M138" s="51" t="n"/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  <c r="Z138" s="51" t="n"/>
      <c r="AA138" s="51" t="n"/>
      <c r="AB138" s="51" t="n"/>
      <c r="AC138" s="51" t="n"/>
      <c r="AD138" s="51" t="n"/>
      <c r="AE138" s="51" t="n"/>
      <c r="AF138" s="51" t="n"/>
      <c r="AG138" s="51" t="n"/>
      <c r="AH138" s="51" t="n"/>
      <c r="AI138" s="51" t="n"/>
      <c r="AJ138" s="51" t="n"/>
      <c r="AK138" s="51" t="n"/>
      <c r="AL138" s="51" t="n"/>
      <c r="AM138" s="51" t="n"/>
    </row>
    <row r="139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  <c r="J139" s="51" t="n"/>
      <c r="K139" s="51" t="n"/>
      <c r="L139" s="51" t="n"/>
      <c r="M139" s="51" t="n"/>
      <c r="N139" s="51" t="n"/>
      <c r="O139" s="51" t="n"/>
      <c r="P139" s="51" t="n"/>
      <c r="Q139" s="51" t="n"/>
      <c r="R139" s="51" t="n"/>
      <c r="S139" s="51" t="n"/>
      <c r="T139" s="51" t="n"/>
      <c r="U139" s="51" t="n"/>
      <c r="V139" s="51" t="n"/>
      <c r="W139" s="51" t="n"/>
      <c r="X139" s="51" t="n"/>
      <c r="Y139" s="51" t="n"/>
      <c r="Z139" s="51" t="n"/>
      <c r="AA139" s="51" t="n"/>
      <c r="AB139" s="51" t="n"/>
      <c r="AC139" s="51" t="n"/>
      <c r="AD139" s="51" t="n"/>
      <c r="AE139" s="51" t="n"/>
      <c r="AF139" s="51" t="n"/>
      <c r="AG139" s="51" t="n"/>
      <c r="AH139" s="51" t="n"/>
      <c r="AI139" s="51" t="n"/>
      <c r="AJ139" s="51" t="n"/>
      <c r="AK139" s="51" t="n"/>
      <c r="AL139" s="51" t="n"/>
      <c r="AM139" s="51" t="n"/>
    </row>
    <row r="140">
      <c r="A140" s="51" t="n"/>
      <c r="B140" s="51" t="n"/>
      <c r="C140" s="51" t="n"/>
      <c r="D140" s="51" t="n"/>
      <c r="E140" s="51" t="n"/>
      <c r="F140" s="51" t="n"/>
      <c r="G140" s="51" t="n"/>
      <c r="H140" s="51" t="n"/>
      <c r="I140" s="51" t="n"/>
      <c r="J140" s="51" t="n"/>
      <c r="K140" s="51" t="n"/>
      <c r="L140" s="51" t="n"/>
      <c r="M140" s="51" t="n"/>
      <c r="N140" s="51" t="n"/>
      <c r="O140" s="51" t="n"/>
      <c r="P140" s="51" t="n"/>
      <c r="Q140" s="51" t="n"/>
      <c r="R140" s="51" t="n"/>
      <c r="S140" s="51" t="n"/>
      <c r="T140" s="51" t="n"/>
      <c r="U140" s="51" t="n"/>
      <c r="V140" s="51" t="n"/>
      <c r="W140" s="51" t="n"/>
      <c r="X140" s="51" t="n"/>
      <c r="Y140" s="51" t="n"/>
      <c r="Z140" s="51" t="n"/>
      <c r="AA140" s="51" t="n"/>
      <c r="AB140" s="51" t="n"/>
      <c r="AC140" s="51" t="n"/>
      <c r="AD140" s="51" t="n"/>
      <c r="AE140" s="51" t="n"/>
      <c r="AF140" s="51" t="n"/>
      <c r="AG140" s="51" t="n"/>
      <c r="AH140" s="51" t="n"/>
      <c r="AI140" s="51" t="n"/>
      <c r="AJ140" s="51" t="n"/>
      <c r="AK140" s="51" t="n"/>
      <c r="AL140" s="51" t="n"/>
      <c r="AM140" s="51" t="n"/>
    </row>
    <row r="141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  <c r="J141" s="51" t="n"/>
      <c r="K141" s="51" t="n"/>
      <c r="L141" s="51" t="n"/>
      <c r="M141" s="51" t="n"/>
      <c r="N141" s="51" t="n"/>
      <c r="O141" s="51" t="n"/>
      <c r="P141" s="51" t="n"/>
      <c r="Q141" s="51" t="n"/>
      <c r="R141" s="51" t="n"/>
      <c r="S141" s="51" t="n"/>
      <c r="T141" s="51" t="n"/>
      <c r="U141" s="51" t="n"/>
      <c r="V141" s="51" t="n"/>
      <c r="W141" s="51" t="n"/>
      <c r="X141" s="51" t="n"/>
      <c r="Y141" s="51" t="n"/>
      <c r="Z141" s="51" t="n"/>
      <c r="AA141" s="51" t="n"/>
      <c r="AB141" s="51" t="n"/>
      <c r="AC141" s="51" t="n"/>
      <c r="AD141" s="51" t="n"/>
      <c r="AE141" s="51" t="n"/>
      <c r="AF141" s="51" t="n"/>
      <c r="AG141" s="51" t="n"/>
      <c r="AH141" s="51" t="n"/>
      <c r="AI141" s="51" t="n"/>
      <c r="AJ141" s="51" t="n"/>
      <c r="AK141" s="51" t="n"/>
      <c r="AL141" s="51" t="n"/>
      <c r="AM141" s="51" t="n"/>
    </row>
    <row r="142">
      <c r="A142" s="51" t="n"/>
      <c r="B142" s="51" t="n"/>
      <c r="C142" s="51" t="n"/>
      <c r="D142" s="51" t="n"/>
      <c r="E142" s="51" t="n"/>
      <c r="F142" s="51" t="n"/>
      <c r="G142" s="51" t="n"/>
      <c r="H142" s="51" t="n"/>
      <c r="I142" s="51" t="n"/>
      <c r="J142" s="51" t="n"/>
      <c r="K142" s="51" t="n"/>
      <c r="L142" s="51" t="n"/>
      <c r="M142" s="51" t="n"/>
      <c r="N142" s="51" t="n"/>
      <c r="O142" s="51" t="n"/>
      <c r="P142" s="51" t="n"/>
      <c r="Q142" s="51" t="n"/>
      <c r="R142" s="51" t="n"/>
      <c r="S142" s="51" t="n"/>
      <c r="T142" s="51" t="n"/>
      <c r="U142" s="51" t="n"/>
      <c r="V142" s="51" t="n"/>
      <c r="W142" s="51" t="n"/>
      <c r="X142" s="51" t="n"/>
      <c r="Y142" s="51" t="n"/>
      <c r="Z142" s="51" t="n"/>
      <c r="AA142" s="51" t="n"/>
      <c r="AB142" s="51" t="n"/>
      <c r="AC142" s="51" t="n"/>
      <c r="AD142" s="51" t="n"/>
      <c r="AE142" s="51" t="n"/>
      <c r="AF142" s="51" t="n"/>
      <c r="AG142" s="51" t="n"/>
      <c r="AH142" s="51" t="n"/>
      <c r="AI142" s="51" t="n"/>
      <c r="AJ142" s="51" t="n"/>
      <c r="AK142" s="51" t="n"/>
      <c r="AL142" s="51" t="n"/>
      <c r="AM142" s="51" t="n"/>
    </row>
    <row r="143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  <c r="J143" s="51" t="n"/>
      <c r="K143" s="51" t="n"/>
      <c r="L143" s="51" t="n"/>
      <c r="M143" s="51" t="n"/>
      <c r="N143" s="51" t="n"/>
      <c r="O143" s="51" t="n"/>
      <c r="P143" s="51" t="n"/>
      <c r="Q143" s="51" t="n"/>
      <c r="R143" s="51" t="n"/>
      <c r="S143" s="51" t="n"/>
      <c r="T143" s="51" t="n"/>
      <c r="U143" s="51" t="n"/>
      <c r="V143" s="51" t="n"/>
      <c r="W143" s="51" t="n"/>
      <c r="X143" s="51" t="n"/>
      <c r="Y143" s="51" t="n"/>
      <c r="Z143" s="51" t="n"/>
      <c r="AA143" s="51" t="n"/>
      <c r="AB143" s="51" t="n"/>
      <c r="AC143" s="51" t="n"/>
      <c r="AD143" s="51" t="n"/>
      <c r="AE143" s="51" t="n"/>
      <c r="AF143" s="51" t="n"/>
      <c r="AG143" s="51" t="n"/>
      <c r="AH143" s="51" t="n"/>
      <c r="AI143" s="51" t="n"/>
      <c r="AJ143" s="51" t="n"/>
      <c r="AK143" s="51" t="n"/>
      <c r="AL143" s="51" t="n"/>
      <c r="AM143" s="51" t="n"/>
    </row>
    <row r="144">
      <c r="A144" s="51" t="n"/>
      <c r="B144" s="51" t="n"/>
      <c r="C144" s="51" t="n"/>
      <c r="D144" s="51" t="n"/>
      <c r="E144" s="51" t="n"/>
      <c r="F144" s="51" t="n"/>
      <c r="G144" s="51" t="n"/>
      <c r="H144" s="51" t="n"/>
      <c r="I144" s="51" t="n"/>
      <c r="J144" s="51" t="n"/>
      <c r="K144" s="51" t="n"/>
      <c r="L144" s="51" t="n"/>
      <c r="M144" s="51" t="n"/>
      <c r="N144" s="51" t="n"/>
      <c r="O144" s="51" t="n"/>
      <c r="P144" s="51" t="n"/>
      <c r="Q144" s="51" t="n"/>
      <c r="R144" s="51" t="n"/>
      <c r="S144" s="51" t="n"/>
      <c r="T144" s="51" t="n"/>
      <c r="U144" s="51" t="n"/>
      <c r="V144" s="51" t="n"/>
      <c r="W144" s="51" t="n"/>
      <c r="X144" s="51" t="n"/>
      <c r="Y144" s="51" t="n"/>
      <c r="Z144" s="51" t="n"/>
      <c r="AA144" s="51" t="n"/>
      <c r="AB144" s="51" t="n"/>
      <c r="AC144" s="51" t="n"/>
      <c r="AD144" s="51" t="n"/>
      <c r="AE144" s="51" t="n"/>
      <c r="AF144" s="51" t="n"/>
      <c r="AG144" s="51" t="n"/>
      <c r="AH144" s="51" t="n"/>
      <c r="AI144" s="51" t="n"/>
      <c r="AJ144" s="51" t="n"/>
      <c r="AK144" s="51" t="n"/>
      <c r="AL144" s="51" t="n"/>
      <c r="AM144" s="51" t="n"/>
    </row>
    <row r="145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  <c r="J145" s="51" t="n"/>
      <c r="K145" s="51" t="n"/>
      <c r="L145" s="51" t="n"/>
      <c r="M145" s="51" t="n"/>
      <c r="N145" s="51" t="n"/>
      <c r="O145" s="51" t="n"/>
      <c r="P145" s="51" t="n"/>
      <c r="Q145" s="51" t="n"/>
      <c r="R145" s="51" t="n"/>
      <c r="S145" s="51" t="n"/>
      <c r="T145" s="51" t="n"/>
      <c r="U145" s="51" t="n"/>
      <c r="V145" s="51" t="n"/>
      <c r="W145" s="51" t="n"/>
      <c r="X145" s="51" t="n"/>
      <c r="Y145" s="51" t="n"/>
      <c r="Z145" s="51" t="n"/>
      <c r="AA145" s="51" t="n"/>
      <c r="AB145" s="51" t="n"/>
      <c r="AC145" s="51" t="n"/>
      <c r="AD145" s="51" t="n"/>
      <c r="AE145" s="51" t="n"/>
      <c r="AF145" s="51" t="n"/>
      <c r="AG145" s="51" t="n"/>
      <c r="AH145" s="51" t="n"/>
      <c r="AI145" s="51" t="n"/>
      <c r="AJ145" s="51" t="n"/>
      <c r="AK145" s="51" t="n"/>
      <c r="AL145" s="51" t="n"/>
      <c r="AM145" s="51" t="n"/>
    </row>
    <row r="146">
      <c r="A146" s="51" t="n"/>
      <c r="B146" s="51" t="n"/>
      <c r="C146" s="51" t="n"/>
      <c r="D146" s="51" t="n"/>
      <c r="E146" s="51" t="n"/>
      <c r="F146" s="51" t="n"/>
      <c r="G146" s="51" t="n"/>
      <c r="H146" s="51" t="n"/>
      <c r="I146" s="51" t="n"/>
      <c r="J146" s="51" t="n"/>
      <c r="K146" s="51" t="n"/>
      <c r="L146" s="51" t="n"/>
      <c r="M146" s="51" t="n"/>
      <c r="N146" s="51" t="n"/>
      <c r="O146" s="51" t="n"/>
      <c r="P146" s="51" t="n"/>
      <c r="Q146" s="51" t="n"/>
      <c r="R146" s="51" t="n"/>
      <c r="S146" s="51" t="n"/>
      <c r="T146" s="51" t="n"/>
      <c r="U146" s="51" t="n"/>
      <c r="V146" s="51" t="n"/>
      <c r="W146" s="51" t="n"/>
      <c r="X146" s="51" t="n"/>
      <c r="Y146" s="51" t="n"/>
      <c r="Z146" s="51" t="n"/>
      <c r="AA146" s="51" t="n"/>
      <c r="AB146" s="51" t="n"/>
      <c r="AC146" s="51" t="n"/>
      <c r="AD146" s="51" t="n"/>
      <c r="AE146" s="51" t="n"/>
      <c r="AF146" s="51" t="n"/>
      <c r="AG146" s="51" t="n"/>
      <c r="AH146" s="51" t="n"/>
      <c r="AI146" s="51" t="n"/>
      <c r="AJ146" s="51" t="n"/>
      <c r="AK146" s="51" t="n"/>
      <c r="AL146" s="51" t="n"/>
      <c r="AM146" s="51" t="n"/>
    </row>
    <row r="147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  <c r="J147" s="51" t="n"/>
      <c r="K147" s="51" t="n"/>
      <c r="L147" s="51" t="n"/>
      <c r="M147" s="51" t="n"/>
      <c r="N147" s="51" t="n"/>
      <c r="O147" s="51" t="n"/>
      <c r="P147" s="51" t="n"/>
      <c r="Q147" s="51" t="n"/>
      <c r="R147" s="51" t="n"/>
      <c r="S147" s="51" t="n"/>
      <c r="T147" s="51" t="n"/>
      <c r="U147" s="51" t="n"/>
      <c r="V147" s="51" t="n"/>
      <c r="W147" s="51" t="n"/>
      <c r="X147" s="51" t="n"/>
      <c r="Y147" s="51" t="n"/>
      <c r="Z147" s="51" t="n"/>
      <c r="AA147" s="51" t="n"/>
      <c r="AB147" s="51" t="n"/>
      <c r="AC147" s="51" t="n"/>
      <c r="AD147" s="51" t="n"/>
      <c r="AE147" s="51" t="n"/>
      <c r="AF147" s="51" t="n"/>
      <c r="AG147" s="51" t="n"/>
      <c r="AH147" s="51" t="n"/>
      <c r="AI147" s="51" t="n"/>
      <c r="AJ147" s="51" t="n"/>
      <c r="AK147" s="51" t="n"/>
      <c r="AL147" s="51" t="n"/>
      <c r="AM147" s="51" t="n"/>
    </row>
    <row r="148">
      <c r="A148" s="51" t="n"/>
      <c r="B148" s="51" t="n"/>
      <c r="C148" s="51" t="n"/>
      <c r="D148" s="51" t="n"/>
      <c r="E148" s="51" t="n"/>
      <c r="F148" s="51" t="n"/>
      <c r="G148" s="51" t="n"/>
      <c r="H148" s="51" t="n"/>
      <c r="I148" s="51" t="n"/>
      <c r="J148" s="51" t="n"/>
      <c r="K148" s="51" t="n"/>
      <c r="L148" s="51" t="n"/>
      <c r="M148" s="51" t="n"/>
      <c r="N148" s="51" t="n"/>
      <c r="O148" s="51" t="n"/>
      <c r="P148" s="51" t="n"/>
      <c r="Q148" s="51" t="n"/>
      <c r="R148" s="51" t="n"/>
      <c r="S148" s="51" t="n"/>
      <c r="T148" s="51" t="n"/>
      <c r="U148" s="51" t="n"/>
      <c r="V148" s="51" t="n"/>
      <c r="W148" s="51" t="n"/>
      <c r="X148" s="51" t="n"/>
      <c r="Y148" s="51" t="n"/>
      <c r="Z148" s="51" t="n"/>
      <c r="AA148" s="51" t="n"/>
      <c r="AB148" s="51" t="n"/>
      <c r="AC148" s="51" t="n"/>
      <c r="AD148" s="51" t="n"/>
      <c r="AE148" s="51" t="n"/>
      <c r="AF148" s="51" t="n"/>
      <c r="AG148" s="51" t="n"/>
      <c r="AH148" s="51" t="n"/>
      <c r="AI148" s="51" t="n"/>
      <c r="AJ148" s="51" t="n"/>
      <c r="AK148" s="51" t="n"/>
      <c r="AL148" s="51" t="n"/>
      <c r="AM148" s="51" t="n"/>
    </row>
    <row r="149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  <c r="J149" s="51" t="n"/>
      <c r="K149" s="51" t="n"/>
      <c r="L149" s="51" t="n"/>
      <c r="M149" s="51" t="n"/>
      <c r="N149" s="51" t="n"/>
      <c r="O149" s="51" t="n"/>
      <c r="P149" s="51" t="n"/>
      <c r="Q149" s="51" t="n"/>
      <c r="R149" s="51" t="n"/>
      <c r="S149" s="51" t="n"/>
      <c r="T149" s="51" t="n"/>
      <c r="U149" s="51" t="n"/>
      <c r="V149" s="51" t="n"/>
      <c r="W149" s="51" t="n"/>
      <c r="X149" s="51" t="n"/>
      <c r="Y149" s="51" t="n"/>
      <c r="Z149" s="51" t="n"/>
      <c r="AA149" s="51" t="n"/>
      <c r="AB149" s="51" t="n"/>
      <c r="AC149" s="51" t="n"/>
      <c r="AD149" s="51" t="n"/>
      <c r="AE149" s="51" t="n"/>
      <c r="AF149" s="51" t="n"/>
      <c r="AG149" s="51" t="n"/>
      <c r="AH149" s="51" t="n"/>
      <c r="AI149" s="51" t="n"/>
      <c r="AJ149" s="51" t="n"/>
      <c r="AK149" s="51" t="n"/>
      <c r="AL149" s="51" t="n"/>
      <c r="AM149" s="51" t="n"/>
    </row>
    <row r="150">
      <c r="A150" s="51" t="n"/>
      <c r="B150" s="51" t="n"/>
      <c r="C150" s="51" t="n"/>
      <c r="D150" s="51" t="n"/>
      <c r="E150" s="51" t="n"/>
      <c r="F150" s="51" t="n"/>
      <c r="G150" s="51" t="n"/>
      <c r="H150" s="51" t="n"/>
      <c r="I150" s="51" t="n"/>
      <c r="J150" s="51" t="n"/>
      <c r="K150" s="51" t="n"/>
      <c r="L150" s="51" t="n"/>
      <c r="M150" s="51" t="n"/>
      <c r="N150" s="51" t="n"/>
      <c r="O150" s="51" t="n"/>
      <c r="P150" s="51" t="n"/>
      <c r="Q150" s="51" t="n"/>
      <c r="R150" s="51" t="n"/>
      <c r="S150" s="51" t="n"/>
      <c r="T150" s="51" t="n"/>
      <c r="U150" s="51" t="n"/>
      <c r="V150" s="51" t="n"/>
      <c r="W150" s="51" t="n"/>
      <c r="X150" s="51" t="n"/>
      <c r="Y150" s="51" t="n"/>
      <c r="Z150" s="51" t="n"/>
      <c r="AA150" s="51" t="n"/>
      <c r="AB150" s="51" t="n"/>
      <c r="AC150" s="51" t="n"/>
      <c r="AD150" s="51" t="n"/>
      <c r="AE150" s="51" t="n"/>
      <c r="AF150" s="51" t="n"/>
      <c r="AG150" s="51" t="n"/>
      <c r="AH150" s="51" t="n"/>
      <c r="AI150" s="51" t="n"/>
      <c r="AJ150" s="51" t="n"/>
      <c r="AK150" s="51" t="n"/>
      <c r="AL150" s="51" t="n"/>
      <c r="AM150" s="51" t="n"/>
    </row>
  </sheetData>
  <mergeCells count="10">
    <mergeCell ref="I1:O1"/>
    <mergeCell ref="C1:C2"/>
    <mergeCell ref="B1:B2"/>
    <mergeCell ref="G1:G2"/>
    <mergeCell ref="F1:F2"/>
    <mergeCell ref="E1:E2"/>
    <mergeCell ref="H1:H2"/>
    <mergeCell ref="D1:D2"/>
    <mergeCell ref="P1:S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50"/>
  <sheetViews>
    <sheetView zoomScale="95" zoomScaleNormal="48"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K3" sqref="K3"/>
    </sheetView>
  </sheetViews>
  <sheetFormatPr baseColWidth="8" defaultRowHeight="14.25"/>
  <cols>
    <col width="12" customWidth="1" min="1" max="2"/>
    <col width="11" customWidth="1" min="3" max="3"/>
    <col width="16" customWidth="1" min="4" max="4"/>
    <col width="14" customWidth="1" min="5" max="5"/>
    <col width="12" customWidth="1" min="6" max="8"/>
    <col width="14" customWidth="1" min="9" max="10"/>
    <col width="19.3984375" customWidth="1" min="11" max="11"/>
    <col width="14" customWidth="1" min="12" max="12"/>
    <col width="22.53125" customWidth="1" min="13" max="13"/>
    <col width="12" customWidth="1" min="14" max="14"/>
    <col width="11" customWidth="1" min="15" max="15"/>
    <col width="14.19921875" customWidth="1" style="46" min="16" max="16"/>
    <col width="13" customWidth="1" min="17" max="18"/>
    <col width="14.19921875" customWidth="1" style="46" min="19" max="20"/>
    <col width="11" customWidth="1" min="21" max="23"/>
    <col width="12" customWidth="1" min="24" max="24"/>
    <col width="11" customWidth="1" min="25" max="25"/>
    <col width="10" customWidth="1" min="26" max="26"/>
    <col width="12" customWidth="1" min="27" max="27"/>
    <col width="10" customWidth="1" min="28" max="29"/>
    <col width="12" customWidth="1" min="30" max="31"/>
  </cols>
  <sheetData>
    <row r="1" ht="27" customHeight="1">
      <c r="A1" s="67" t="inlineStr">
        <is>
          <t>年月（自然月）</t>
        </is>
      </c>
      <c r="B1" s="67" t="inlineStr">
        <is>
          <t>顾问姓名</t>
        </is>
      </c>
      <c r="C1" s="67" t="inlineStr">
        <is>
          <t>二级部门</t>
        </is>
      </c>
      <c r="D1" s="67" t="inlineStr">
        <is>
          <t>三级部门</t>
        </is>
      </c>
      <c r="E1" s="67" t="inlineStr">
        <is>
          <t>岗位</t>
        </is>
      </c>
      <c r="F1" s="66" t="inlineStr">
        <is>
          <t>奖金</t>
        </is>
      </c>
      <c r="G1" s="66" t="inlineStr">
        <is>
          <t>实发绩效</t>
        </is>
      </c>
      <c r="H1" s="66" t="inlineStr">
        <is>
          <t>基本提成</t>
        </is>
      </c>
      <c r="I1" s="64" t="inlineStr">
        <is>
          <t>基本提成</t>
        </is>
      </c>
      <c r="J1" s="58" t="n"/>
      <c r="K1" s="58" t="n"/>
      <c r="L1" s="58" t="n"/>
      <c r="M1" s="58" t="n"/>
      <c r="N1" s="58" t="n"/>
      <c r="O1" s="58" t="n"/>
      <c r="P1" s="59" t="n"/>
      <c r="Q1" s="64" t="inlineStr">
        <is>
          <t>转介绍提成</t>
        </is>
      </c>
      <c r="R1" s="58" t="n"/>
      <c r="S1" s="58" t="n"/>
      <c r="T1" s="59" t="n"/>
      <c r="U1" s="68" t="inlineStr">
        <is>
          <t>月度绩效</t>
        </is>
      </c>
      <c r="V1" s="58" t="n"/>
      <c r="W1" s="58" t="n"/>
      <c r="X1" s="59" t="n"/>
      <c r="Y1" s="37" t="n"/>
      <c r="Z1" s="37" t="n"/>
      <c r="AA1" s="37" t="n"/>
      <c r="AB1" s="38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  <c r="AP1" s="37" t="n"/>
      <c r="AQ1" s="37" t="n"/>
    </row>
    <row r="2" ht="25.05" customHeight="1">
      <c r="A2" s="62" t="n"/>
      <c r="B2" s="62" t="n"/>
      <c r="C2" s="62" t="n"/>
      <c r="D2" s="62" t="n"/>
      <c r="E2" s="62" t="n"/>
      <c r="F2" s="62" t="n"/>
      <c r="G2" s="62" t="n"/>
      <c r="H2" s="62" t="n"/>
      <c r="I2" s="60" t="inlineStr">
        <is>
          <t>地面现金目标</t>
        </is>
      </c>
      <c r="J2" s="60" t="inlineStr">
        <is>
          <t>地面净现金</t>
        </is>
      </c>
      <c r="K2" s="60" t="inlineStr">
        <is>
          <t>在线现金目标</t>
        </is>
      </c>
      <c r="L2" s="60" t="inlineStr">
        <is>
          <t>在线净现金</t>
        </is>
      </c>
      <c r="M2" s="60" t="inlineStr">
        <is>
          <t>总现金完成-退费后</t>
        </is>
      </c>
      <c r="N2" s="60" t="inlineStr">
        <is>
          <t>现金完成率</t>
        </is>
      </c>
      <c r="O2" s="60" t="inlineStr">
        <is>
          <t>提点系数</t>
        </is>
      </c>
      <c r="P2" s="60" t="inlineStr">
        <is>
          <t>基本提成</t>
        </is>
      </c>
      <c r="Q2" s="60" t="inlineStr">
        <is>
          <t>转介绍目标</t>
        </is>
      </c>
      <c r="R2" s="60" t="inlineStr">
        <is>
          <t>转介绍业绩</t>
        </is>
      </c>
      <c r="S2" s="60" t="inlineStr">
        <is>
          <t>提点</t>
        </is>
      </c>
      <c r="T2" s="60" t="inlineStr">
        <is>
          <t>转介绍提成</t>
        </is>
      </c>
      <c r="U2" s="57" t="inlineStr">
        <is>
          <t>总得分</t>
        </is>
      </c>
      <c r="V2" s="57" t="inlineStr">
        <is>
          <t>绩效基数</t>
        </is>
      </c>
      <c r="W2" s="57" t="inlineStr">
        <is>
          <t>发放比例</t>
        </is>
      </c>
      <c r="X2" s="57" t="inlineStr">
        <is>
          <t>发放金额</t>
        </is>
      </c>
      <c r="Y2" s="38" t="n"/>
      <c r="Z2" s="38" t="n"/>
      <c r="AA2" s="38" t="n"/>
      <c r="AB2" s="38" t="n"/>
      <c r="AC2" s="38" t="n"/>
      <c r="AD2" s="38" t="n"/>
      <c r="AE2" s="38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  <c r="AP2" s="37" t="n"/>
      <c r="AQ2" s="37" t="n"/>
    </row>
    <row r="3" ht="63.4" customHeight="1">
      <c r="A3" s="39" t="n">
        <v>45962</v>
      </c>
      <c r="B3" s="40" t="inlineStr">
        <is>
          <t>赵星火</t>
        </is>
      </c>
      <c r="C3" s="40" t="inlineStr">
        <is>
          <t>个性化</t>
        </is>
      </c>
      <c r="D3" s="40" t="inlineStr">
        <is>
          <t>考研个性化</t>
        </is>
      </c>
      <c r="E3" s="40" t="inlineStr">
        <is>
          <t>学习顾问</t>
        </is>
      </c>
      <c r="F3" s="41">
        <f>G3+H3</f>
        <v/>
      </c>
      <c r="G3" s="41" t="n">
        <v>600</v>
      </c>
      <c r="H3" s="41">
        <f>P3</f>
        <v/>
      </c>
      <c r="I3" s="41" t="n">
        <v>510000</v>
      </c>
      <c r="J3" s="41" t="n">
        <v>120749.5</v>
      </c>
      <c r="K3" s="41" t="n">
        <v>5000</v>
      </c>
      <c r="L3" s="41" t="n">
        <v>53054.4</v>
      </c>
      <c r="M3" s="41" t="n">
        <v>173803.9</v>
      </c>
      <c r="N3" s="42" t="n">
        <v>0.3374833009708738</v>
      </c>
      <c r="O3" s="42" t="n">
        <v>0.008</v>
      </c>
      <c r="P3" s="47" t="n">
        <v>1390.4312</v>
      </c>
      <c r="Q3" s="41" t="n">
        <v>50000</v>
      </c>
      <c r="R3" s="41" t="n">
        <v>0</v>
      </c>
      <c r="S3" s="42" t="n">
        <v>-0.002</v>
      </c>
      <c r="T3" s="47" t="n">
        <v>0</v>
      </c>
      <c r="U3" s="41" t="n">
        <v>70</v>
      </c>
      <c r="V3" s="41" t="n">
        <v>1000</v>
      </c>
      <c r="W3" s="42" t="n">
        <v>0.6</v>
      </c>
      <c r="X3" s="41" t="n">
        <v>600</v>
      </c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  <c r="AP3" s="37" t="n"/>
      <c r="AQ3" s="37" t="n"/>
    </row>
    <row r="4" ht="74.25" customHeight="1">
      <c r="A4" s="39" t="n">
        <v>45962</v>
      </c>
      <c r="B4" s="40" t="inlineStr">
        <is>
          <t>谭悦</t>
        </is>
      </c>
      <c r="C4" s="40" t="inlineStr">
        <is>
          <t>个性化</t>
        </is>
      </c>
      <c r="D4" s="40" t="inlineStr">
        <is>
          <t>考研个性化</t>
        </is>
      </c>
      <c r="E4" s="40" t="inlineStr">
        <is>
          <t>学习顾问</t>
        </is>
      </c>
      <c r="F4" s="41">
        <f>G4+H4</f>
        <v/>
      </c>
      <c r="G4" s="41" t="n">
        <v>0</v>
      </c>
      <c r="H4" s="41" t="n">
        <v>27810.468</v>
      </c>
      <c r="I4" s="41" t="n">
        <v>510000</v>
      </c>
      <c r="J4" s="41" t="n">
        <v>640893.2</v>
      </c>
      <c r="K4" s="41" t="n">
        <v>5000</v>
      </c>
      <c r="L4" s="41" t="n">
        <v>56051</v>
      </c>
      <c r="M4" s="41" t="n">
        <v>696944.2</v>
      </c>
      <c r="N4" s="42" t="n">
        <v>1.353289708737864</v>
      </c>
      <c r="O4" s="42" t="n">
        <v>0.04</v>
      </c>
      <c r="P4" s="47" t="n">
        <v>27877.768</v>
      </c>
      <c r="Q4" s="41" t="n">
        <v>50000</v>
      </c>
      <c r="R4" s="41" t="n">
        <v>33650</v>
      </c>
      <c r="S4" s="42" t="n">
        <v>-0.002</v>
      </c>
      <c r="T4" s="47" t="n">
        <v>-67.3</v>
      </c>
      <c r="U4" s="41" t="n">
        <v>70</v>
      </c>
      <c r="V4" s="41" t="n">
        <v>0</v>
      </c>
      <c r="W4" s="42" t="n">
        <v>0.6</v>
      </c>
      <c r="X4" s="41" t="n">
        <v>0</v>
      </c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  <c r="AP4" s="37" t="n"/>
      <c r="AQ4" s="37" t="n"/>
    </row>
    <row r="5" ht="72" customHeight="1">
      <c r="A5" s="39" t="n">
        <v>45962</v>
      </c>
      <c r="B5" s="40" t="inlineStr">
        <is>
          <t>李涛</t>
        </is>
      </c>
      <c r="C5" s="40" t="inlineStr">
        <is>
          <t>个性化</t>
        </is>
      </c>
      <c r="D5" s="40" t="inlineStr">
        <is>
          <t>考研个性化</t>
        </is>
      </c>
      <c r="E5" s="40" t="inlineStr">
        <is>
          <t>学习顾问</t>
        </is>
      </c>
      <c r="F5" s="41">
        <f>G5+H5</f>
        <v/>
      </c>
      <c r="G5" s="41" t="n">
        <v>1200</v>
      </c>
      <c r="H5" s="41" t="n">
        <v>0</v>
      </c>
      <c r="I5" s="41" t="n">
        <v>510000</v>
      </c>
      <c r="J5" s="41" t="n">
        <v>77710</v>
      </c>
      <c r="K5" s="41" t="n">
        <v>4000</v>
      </c>
      <c r="L5" s="41" t="n">
        <v>-8366.450000000001</v>
      </c>
      <c r="M5" s="41" t="n">
        <v>69343.55</v>
      </c>
      <c r="N5" s="42" t="n">
        <v>0.1349096303501946</v>
      </c>
      <c r="O5" s="42" t="n">
        <v>0</v>
      </c>
      <c r="P5" s="47" t="n">
        <v>0</v>
      </c>
      <c r="Q5" s="41" t="n">
        <v>40000</v>
      </c>
      <c r="R5" s="41" t="n">
        <v>0</v>
      </c>
      <c r="S5" s="42" t="n">
        <v>-0.002</v>
      </c>
      <c r="T5" s="47" t="n">
        <v>0</v>
      </c>
      <c r="U5" s="41" t="n">
        <v>70</v>
      </c>
      <c r="V5" s="41" t="n">
        <v>2000</v>
      </c>
      <c r="W5" s="42" t="n">
        <v>0.6</v>
      </c>
      <c r="X5" s="41" t="n">
        <v>1200</v>
      </c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  <c r="AP5" s="37" t="n"/>
      <c r="AQ5" s="37" t="n"/>
    </row>
    <row r="6">
      <c r="A6" s="43" t="n"/>
      <c r="B6" s="38" t="n"/>
      <c r="C6" s="38" t="n"/>
      <c r="D6" s="38" t="n"/>
      <c r="E6" s="38" t="n"/>
      <c r="F6" s="44" t="n"/>
      <c r="G6" s="44" t="n"/>
      <c r="H6" s="44" t="n"/>
      <c r="I6" s="44" t="n"/>
      <c r="J6" s="44" t="n"/>
      <c r="K6" s="44" t="n"/>
      <c r="L6" s="44" t="n"/>
      <c r="M6" s="44" t="n"/>
      <c r="N6" s="45" t="n"/>
      <c r="O6" s="45" t="n"/>
      <c r="P6" s="48" t="n"/>
      <c r="Q6" s="44" t="n"/>
      <c r="R6" s="44" t="n"/>
      <c r="S6" s="48" t="n"/>
      <c r="T6" s="48" t="n"/>
      <c r="U6" s="44" t="n"/>
      <c r="V6" s="44" t="n"/>
      <c r="W6" s="45" t="n"/>
      <c r="X6" s="44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  <c r="AP6" s="37" t="n"/>
      <c r="AQ6" s="37" t="n"/>
    </row>
    <row r="7">
      <c r="A7" s="43" t="n"/>
      <c r="B7" s="38" t="n"/>
      <c r="C7" s="38" t="n"/>
      <c r="D7" s="38" t="n"/>
      <c r="E7" s="38" t="n"/>
      <c r="F7" s="44" t="n"/>
      <c r="G7" s="44" t="n"/>
      <c r="H7" s="44" t="n"/>
      <c r="I7" s="44" t="n"/>
      <c r="J7" s="44" t="n"/>
      <c r="K7" s="44" t="n"/>
      <c r="L7" s="44" t="n"/>
      <c r="M7" s="44" t="n"/>
      <c r="N7" s="45" t="n"/>
      <c r="O7" s="45" t="n"/>
      <c r="P7" s="48" t="n"/>
      <c r="Q7" s="44" t="n"/>
      <c r="R7" s="44" t="n"/>
      <c r="S7" s="48" t="n"/>
      <c r="T7" s="48" t="n"/>
      <c r="U7" s="44" t="n"/>
      <c r="V7" s="44" t="n"/>
      <c r="W7" s="45" t="n"/>
      <c r="X7" s="44" t="n"/>
      <c r="Y7" s="37" t="n"/>
      <c r="Z7" s="37" t="n"/>
      <c r="AA7" s="37" t="n"/>
      <c r="AB7" s="37" t="n"/>
      <c r="AC7" s="37" t="n"/>
      <c r="AD7" s="37" t="n"/>
      <c r="AE7" s="37" t="n"/>
      <c r="AF7" s="37" t="n"/>
      <c r="AG7" s="37" t="n"/>
      <c r="AH7" s="37" t="n"/>
      <c r="AI7" s="37" t="n"/>
      <c r="AJ7" s="37" t="n"/>
      <c r="AK7" s="37" t="n"/>
      <c r="AL7" s="37" t="n"/>
      <c r="AM7" s="37" t="n"/>
      <c r="AN7" s="37" t="n"/>
      <c r="AO7" s="37" t="n"/>
      <c r="AP7" s="37" t="n"/>
      <c r="AQ7" s="37" t="n"/>
    </row>
    <row r="8">
      <c r="A8" s="43" t="n"/>
      <c r="B8" s="38" t="n"/>
      <c r="C8" s="38" t="n"/>
      <c r="D8" s="38" t="n"/>
      <c r="E8" s="38" t="n"/>
      <c r="F8" s="44" t="n"/>
      <c r="G8" s="44" t="n"/>
      <c r="H8" s="44" t="n"/>
      <c r="I8" s="44" t="n"/>
      <c r="J8" s="44" t="n"/>
      <c r="K8" s="44" t="n"/>
      <c r="L8" s="44" t="n"/>
      <c r="M8" s="44" t="n"/>
      <c r="N8" s="45" t="n"/>
      <c r="O8" s="45" t="n"/>
      <c r="P8" s="48" t="n"/>
      <c r="Q8" s="44" t="n"/>
      <c r="R8" s="44" t="n"/>
      <c r="S8" s="48" t="n"/>
      <c r="T8" s="48" t="n"/>
      <c r="U8" s="44" t="n"/>
      <c r="V8" s="44" t="n"/>
      <c r="W8" s="45" t="n"/>
      <c r="X8" s="44" t="n"/>
      <c r="Y8" s="37" t="n"/>
      <c r="Z8" s="37" t="n"/>
      <c r="AA8" s="37" t="n"/>
      <c r="AB8" s="37" t="n"/>
      <c r="AC8" s="37" t="n"/>
      <c r="AD8" s="37" t="n"/>
      <c r="AE8" s="37" t="n"/>
      <c r="AF8" s="37" t="n"/>
      <c r="AG8" s="37" t="n"/>
      <c r="AH8" s="37" t="n"/>
      <c r="AI8" s="37" t="n"/>
      <c r="AJ8" s="37" t="n"/>
      <c r="AK8" s="37" t="n"/>
      <c r="AL8" s="37" t="n"/>
      <c r="AM8" s="37" t="n"/>
      <c r="AN8" s="37" t="n"/>
      <c r="AO8" s="37" t="n"/>
      <c r="AP8" s="37" t="n"/>
      <c r="AQ8" s="37" t="n"/>
    </row>
    <row r="9">
      <c r="A9" s="43" t="n"/>
      <c r="B9" s="38" t="n"/>
      <c r="C9" s="38" t="n"/>
      <c r="D9" s="38" t="n"/>
      <c r="E9" s="38" t="n"/>
      <c r="F9" s="44" t="n"/>
      <c r="G9" s="44" t="n"/>
      <c r="H9" s="44" t="n"/>
      <c r="I9" s="44" t="n"/>
      <c r="J9" s="44" t="n"/>
      <c r="K9" s="44" t="n"/>
      <c r="L9" s="44" t="n"/>
      <c r="M9" s="44" t="n"/>
      <c r="N9" s="45" t="n"/>
      <c r="O9" s="45" t="n"/>
      <c r="P9" s="38" t="n"/>
      <c r="Q9" s="44" t="n"/>
      <c r="R9" s="44" t="n"/>
      <c r="S9" s="38" t="n"/>
      <c r="T9" s="38" t="n"/>
      <c r="U9" s="44" t="n"/>
      <c r="V9" s="44" t="n"/>
      <c r="W9" s="45" t="n"/>
      <c r="X9" s="44" t="n"/>
      <c r="Y9" s="37" t="n"/>
      <c r="Z9" s="37" t="n"/>
      <c r="AA9" s="37" t="n"/>
      <c r="AB9" s="37" t="n"/>
      <c r="AC9" s="37" t="n"/>
      <c r="AD9" s="37" t="n"/>
      <c r="AE9" s="37" t="n"/>
      <c r="AF9" s="37" t="n"/>
      <c r="AG9" s="37" t="n"/>
      <c r="AH9" s="37" t="n"/>
      <c r="AI9" s="37" t="n"/>
      <c r="AJ9" s="37" t="n"/>
      <c r="AK9" s="37" t="n"/>
      <c r="AL9" s="37" t="n"/>
      <c r="AM9" s="37" t="n"/>
      <c r="AN9" s="37" t="n"/>
      <c r="AO9" s="37" t="n"/>
      <c r="AP9" s="37" t="n"/>
      <c r="AQ9" s="37" t="n"/>
    </row>
    <row r="10">
      <c r="A10" s="43" t="n"/>
      <c r="B10" s="38" t="n"/>
      <c r="C10" s="38" t="n"/>
      <c r="D10" s="38" t="n"/>
      <c r="E10" s="38" t="n"/>
      <c r="F10" s="44" t="n"/>
      <c r="G10" s="44" t="n"/>
      <c r="H10" s="44" t="n"/>
      <c r="I10" s="44" t="n"/>
      <c r="J10" s="44" t="n"/>
      <c r="K10" s="44" t="n"/>
      <c r="L10" s="44" t="n"/>
      <c r="M10" s="44" t="n"/>
      <c r="N10" s="45" t="n"/>
      <c r="O10" s="45" t="n"/>
      <c r="P10" s="38" t="n"/>
      <c r="Q10" s="44" t="n"/>
      <c r="R10" s="44" t="n"/>
      <c r="S10" s="38" t="n"/>
      <c r="T10" s="38" t="n"/>
      <c r="U10" s="44" t="n"/>
      <c r="V10" s="44" t="n"/>
      <c r="W10" s="45" t="n"/>
      <c r="X10" s="44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  <c r="AP10" s="37" t="n"/>
      <c r="AQ10" s="37" t="n"/>
    </row>
    <row r="11">
      <c r="A11" s="43" t="n"/>
      <c r="B11" s="38" t="n"/>
      <c r="C11" s="38" t="n"/>
      <c r="D11" s="38" t="n"/>
      <c r="E11" s="38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5" t="n"/>
      <c r="O11" s="45" t="n"/>
      <c r="P11" s="38" t="n"/>
      <c r="Q11" s="44" t="n"/>
      <c r="R11" s="44" t="n"/>
      <c r="S11" s="38" t="n"/>
      <c r="T11" s="38" t="n"/>
      <c r="U11" s="44" t="n"/>
      <c r="V11" s="44" t="n"/>
      <c r="W11" s="45" t="n"/>
      <c r="X11" s="44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  <c r="AP11" s="37" t="n"/>
      <c r="AQ11" s="37" t="n"/>
    </row>
    <row r="12">
      <c r="A12" s="43" t="n"/>
      <c r="B12" s="38" t="n"/>
      <c r="C12" s="38" t="n"/>
      <c r="D12" s="38" t="n"/>
      <c r="E12" s="38" t="n"/>
      <c r="F12" s="44" t="n"/>
      <c r="G12" s="44" t="n"/>
      <c r="H12" s="44" t="n"/>
      <c r="I12" s="44" t="n"/>
      <c r="J12" s="44" t="n"/>
      <c r="K12" s="44" t="n"/>
      <c r="L12" s="44" t="n"/>
      <c r="M12" s="44" t="n"/>
      <c r="N12" s="45" t="n"/>
      <c r="O12" s="45" t="n"/>
      <c r="P12" s="38" t="n"/>
      <c r="Q12" s="44" t="n"/>
      <c r="R12" s="44" t="n"/>
      <c r="S12" s="38" t="n"/>
      <c r="T12" s="38" t="n"/>
      <c r="U12" s="44" t="n"/>
      <c r="V12" s="44" t="n"/>
      <c r="W12" s="45" t="n"/>
      <c r="X12" s="44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  <c r="AP12" s="37" t="n"/>
      <c r="AQ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n"/>
      <c r="AE13" s="37" t="n"/>
      <c r="AF13" s="37" t="n"/>
      <c r="AG13" s="37" t="n"/>
      <c r="AH13" s="37" t="n"/>
      <c r="AI13" s="37" t="n"/>
      <c r="AJ13" s="37" t="n"/>
      <c r="AK13" s="37" t="n"/>
      <c r="AL13" s="37" t="n"/>
      <c r="AM13" s="37" t="n"/>
      <c r="AN13" s="37" t="n"/>
      <c r="AO13" s="37" t="n"/>
      <c r="AP13" s="37" t="n"/>
      <c r="AQ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  <c r="AE14" s="37" t="n"/>
      <c r="AF14" s="37" t="n"/>
      <c r="AG14" s="37" t="n"/>
      <c r="AH14" s="37" t="n"/>
      <c r="AI14" s="37" t="n"/>
      <c r="AJ14" s="37" t="n"/>
      <c r="AK14" s="37" t="n"/>
      <c r="AL14" s="37" t="n"/>
      <c r="AM14" s="37" t="n"/>
      <c r="AN14" s="37" t="n"/>
      <c r="AO14" s="37" t="n"/>
      <c r="AP14" s="37" t="n"/>
      <c r="AQ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  <c r="AP15" s="37" t="n"/>
      <c r="AQ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  <c r="AP16" s="37" t="n"/>
      <c r="AQ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  <c r="AP17" s="37" t="n"/>
      <c r="AQ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7" t="n"/>
      <c r="AJ18" s="37" t="n"/>
      <c r="AK18" s="37" t="n"/>
      <c r="AL18" s="37" t="n"/>
      <c r="AM18" s="37" t="n"/>
      <c r="AN18" s="37" t="n"/>
      <c r="AO18" s="37" t="n"/>
      <c r="AP18" s="37" t="n"/>
      <c r="AQ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7" t="n"/>
      <c r="AJ19" s="37" t="n"/>
      <c r="AK19" s="37" t="n"/>
      <c r="AL19" s="37" t="n"/>
      <c r="AM19" s="37" t="n"/>
      <c r="AN19" s="37" t="n"/>
      <c r="AO19" s="37" t="n"/>
      <c r="AP19" s="37" t="n"/>
      <c r="AQ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7" t="n"/>
      <c r="AJ20" s="37" t="n"/>
      <c r="AK20" s="37" t="n"/>
      <c r="AL20" s="37" t="n"/>
      <c r="AM20" s="37" t="n"/>
      <c r="AN20" s="37" t="n"/>
      <c r="AO20" s="37" t="n"/>
      <c r="AP20" s="37" t="n"/>
      <c r="AQ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n"/>
      <c r="AE21" s="37" t="n"/>
      <c r="AF21" s="37" t="n"/>
      <c r="AG21" s="37" t="n"/>
      <c r="AH21" s="37" t="n"/>
      <c r="AI21" s="37" t="n"/>
      <c r="AJ21" s="37" t="n"/>
      <c r="AK21" s="37" t="n"/>
      <c r="AL21" s="37" t="n"/>
      <c r="AM21" s="37" t="n"/>
      <c r="AN21" s="37" t="n"/>
      <c r="AO21" s="37" t="n"/>
      <c r="AP21" s="37" t="n"/>
      <c r="AQ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n"/>
      <c r="AE22" s="37" t="n"/>
      <c r="AF22" s="37" t="n"/>
      <c r="AG22" s="37" t="n"/>
      <c r="AH22" s="37" t="n"/>
      <c r="AI22" s="37" t="n"/>
      <c r="AJ22" s="37" t="n"/>
      <c r="AK22" s="37" t="n"/>
      <c r="AL22" s="37" t="n"/>
      <c r="AM22" s="37" t="n"/>
      <c r="AN22" s="37" t="n"/>
      <c r="AO22" s="37" t="n"/>
      <c r="AP22" s="37" t="n"/>
      <c r="AQ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  <c r="AA23" s="37" t="n"/>
      <c r="AB23" s="37" t="n"/>
      <c r="AC23" s="37" t="n"/>
      <c r="AD23" s="37" t="n"/>
      <c r="AE23" s="37" t="n"/>
      <c r="AF23" s="37" t="n"/>
      <c r="AG23" s="37" t="n"/>
      <c r="AH23" s="37" t="n"/>
      <c r="AI23" s="37" t="n"/>
      <c r="AJ23" s="37" t="n"/>
      <c r="AK23" s="37" t="n"/>
      <c r="AL23" s="37" t="n"/>
      <c r="AM23" s="37" t="n"/>
      <c r="AN23" s="37" t="n"/>
      <c r="AO23" s="37" t="n"/>
      <c r="AP23" s="37" t="n"/>
      <c r="AQ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  <c r="AA24" s="37" t="n"/>
      <c r="AB24" s="37" t="n"/>
      <c r="AC24" s="37" t="n"/>
      <c r="AD24" s="37" t="n"/>
      <c r="AE24" s="37" t="n"/>
      <c r="AF24" s="37" t="n"/>
      <c r="AG24" s="37" t="n"/>
      <c r="AH24" s="37" t="n"/>
      <c r="AI24" s="37" t="n"/>
      <c r="AJ24" s="37" t="n"/>
      <c r="AK24" s="37" t="n"/>
      <c r="AL24" s="37" t="n"/>
      <c r="AM24" s="37" t="n"/>
      <c r="AN24" s="37" t="n"/>
      <c r="AO24" s="37" t="n"/>
      <c r="AP24" s="37" t="n"/>
      <c r="AQ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  <c r="AA25" s="37" t="n"/>
      <c r="AB25" s="37" t="n"/>
      <c r="AC25" s="37" t="n"/>
      <c r="AD25" s="37" t="n"/>
      <c r="AE25" s="37" t="n"/>
      <c r="AF25" s="37" t="n"/>
      <c r="AG25" s="37" t="n"/>
      <c r="AH25" s="37" t="n"/>
      <c r="AI25" s="37" t="n"/>
      <c r="AJ25" s="37" t="n"/>
      <c r="AK25" s="37" t="n"/>
      <c r="AL25" s="37" t="n"/>
      <c r="AM25" s="37" t="n"/>
      <c r="AN25" s="37" t="n"/>
      <c r="AO25" s="37" t="n"/>
      <c r="AP25" s="37" t="n"/>
      <c r="AQ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  <c r="AA26" s="37" t="n"/>
      <c r="AB26" s="37" t="n"/>
      <c r="AC26" s="37" t="n"/>
      <c r="AD26" s="37" t="n"/>
      <c r="AE26" s="37" t="n"/>
      <c r="AF26" s="37" t="n"/>
      <c r="AG26" s="37" t="n"/>
      <c r="AH26" s="37" t="n"/>
      <c r="AI26" s="37" t="n"/>
      <c r="AJ26" s="37" t="n"/>
      <c r="AK26" s="37" t="n"/>
      <c r="AL26" s="37" t="n"/>
      <c r="AM26" s="37" t="n"/>
      <c r="AN26" s="37" t="n"/>
      <c r="AO26" s="37" t="n"/>
      <c r="AP26" s="37" t="n"/>
      <c r="AQ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7" t="n"/>
      <c r="AJ27" s="37" t="n"/>
      <c r="AK27" s="37" t="n"/>
      <c r="AL27" s="37" t="n"/>
      <c r="AM27" s="37" t="n"/>
      <c r="AN27" s="37" t="n"/>
      <c r="AO27" s="37" t="n"/>
      <c r="AP27" s="37" t="n"/>
      <c r="AQ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  <c r="AF28" s="37" t="n"/>
      <c r="AG28" s="37" t="n"/>
      <c r="AH28" s="37" t="n"/>
      <c r="AI28" s="37" t="n"/>
      <c r="AJ28" s="37" t="n"/>
      <c r="AK28" s="37" t="n"/>
      <c r="AL28" s="37" t="n"/>
      <c r="AM28" s="37" t="n"/>
      <c r="AN28" s="37" t="n"/>
      <c r="AO28" s="37" t="n"/>
      <c r="AP28" s="37" t="n"/>
      <c r="AQ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7" t="n"/>
      <c r="AD29" s="37" t="n"/>
      <c r="AE29" s="37" t="n"/>
      <c r="AF29" s="37" t="n"/>
      <c r="AG29" s="37" t="n"/>
      <c r="AH29" s="37" t="n"/>
      <c r="AI29" s="37" t="n"/>
      <c r="AJ29" s="37" t="n"/>
      <c r="AK29" s="37" t="n"/>
      <c r="AL29" s="37" t="n"/>
      <c r="AM29" s="37" t="n"/>
      <c r="AN29" s="37" t="n"/>
      <c r="AO29" s="37" t="n"/>
      <c r="AP29" s="37" t="n"/>
      <c r="AQ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7" t="n"/>
      <c r="AD30" s="37" t="n"/>
      <c r="AE30" s="37" t="n"/>
      <c r="AF30" s="37" t="n"/>
      <c r="AG30" s="37" t="n"/>
      <c r="AH30" s="37" t="n"/>
      <c r="AI30" s="37" t="n"/>
      <c r="AJ30" s="37" t="n"/>
      <c r="AK30" s="37" t="n"/>
      <c r="AL30" s="37" t="n"/>
      <c r="AM30" s="37" t="n"/>
      <c r="AN30" s="37" t="n"/>
      <c r="AO30" s="37" t="n"/>
      <c r="AP30" s="37" t="n"/>
      <c r="AQ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7" t="n"/>
      <c r="AJ31" s="37" t="n"/>
      <c r="AK31" s="37" t="n"/>
      <c r="AL31" s="37" t="n"/>
      <c r="AM31" s="37" t="n"/>
      <c r="AN31" s="37" t="n"/>
      <c r="AO31" s="37" t="n"/>
      <c r="AP31" s="37" t="n"/>
      <c r="AQ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7" t="n"/>
      <c r="AD32" s="37" t="n"/>
      <c r="AE32" s="37" t="n"/>
      <c r="AF32" s="37" t="n"/>
      <c r="AG32" s="37" t="n"/>
      <c r="AH32" s="37" t="n"/>
      <c r="AI32" s="37" t="n"/>
      <c r="AJ32" s="37" t="n"/>
      <c r="AK32" s="37" t="n"/>
      <c r="AL32" s="37" t="n"/>
      <c r="AM32" s="37" t="n"/>
      <c r="AN32" s="37" t="n"/>
      <c r="AO32" s="37" t="n"/>
      <c r="AP32" s="37" t="n"/>
      <c r="AQ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  <c r="AA33" s="37" t="n"/>
      <c r="AB33" s="37" t="n"/>
      <c r="AC33" s="37" t="n"/>
      <c r="AD33" s="37" t="n"/>
      <c r="AE33" s="37" t="n"/>
      <c r="AF33" s="37" t="n"/>
      <c r="AG33" s="37" t="n"/>
      <c r="AH33" s="37" t="n"/>
      <c r="AI33" s="37" t="n"/>
      <c r="AJ33" s="37" t="n"/>
      <c r="AK33" s="37" t="n"/>
      <c r="AL33" s="37" t="n"/>
      <c r="AM33" s="37" t="n"/>
      <c r="AN33" s="37" t="n"/>
      <c r="AO33" s="37" t="n"/>
      <c r="AP33" s="37" t="n"/>
      <c r="AQ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  <c r="AA34" s="37" t="n"/>
      <c r="AB34" s="37" t="n"/>
      <c r="AC34" s="37" t="n"/>
      <c r="AD34" s="37" t="n"/>
      <c r="AE34" s="37" t="n"/>
      <c r="AF34" s="37" t="n"/>
      <c r="AG34" s="37" t="n"/>
      <c r="AH34" s="37" t="n"/>
      <c r="AI34" s="37" t="n"/>
      <c r="AJ34" s="37" t="n"/>
      <c r="AK34" s="37" t="n"/>
      <c r="AL34" s="37" t="n"/>
      <c r="AM34" s="37" t="n"/>
      <c r="AN34" s="37" t="n"/>
      <c r="AO34" s="37" t="n"/>
      <c r="AP34" s="37" t="n"/>
      <c r="AQ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7" t="n"/>
      <c r="AJ35" s="37" t="n"/>
      <c r="AK35" s="37" t="n"/>
      <c r="AL35" s="37" t="n"/>
      <c r="AM35" s="37" t="n"/>
      <c r="AN35" s="37" t="n"/>
      <c r="AO35" s="37" t="n"/>
      <c r="AP35" s="37" t="n"/>
      <c r="AQ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  <c r="AA36" s="37" t="n"/>
      <c r="AB36" s="37" t="n"/>
      <c r="AC36" s="37" t="n"/>
      <c r="AD36" s="37" t="n"/>
      <c r="AE36" s="37" t="n"/>
      <c r="AF36" s="37" t="n"/>
      <c r="AG36" s="37" t="n"/>
      <c r="AH36" s="37" t="n"/>
      <c r="AI36" s="37" t="n"/>
      <c r="AJ36" s="37" t="n"/>
      <c r="AK36" s="37" t="n"/>
      <c r="AL36" s="37" t="n"/>
      <c r="AM36" s="37" t="n"/>
      <c r="AN36" s="37" t="n"/>
      <c r="AO36" s="37" t="n"/>
      <c r="AP36" s="37" t="n"/>
      <c r="AQ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  <c r="AA37" s="37" t="n"/>
      <c r="AB37" s="37" t="n"/>
      <c r="AC37" s="37" t="n"/>
      <c r="AD37" s="37" t="n"/>
      <c r="AE37" s="37" t="n"/>
      <c r="AF37" s="37" t="n"/>
      <c r="AG37" s="37" t="n"/>
      <c r="AH37" s="37" t="n"/>
      <c r="AI37" s="37" t="n"/>
      <c r="AJ37" s="37" t="n"/>
      <c r="AK37" s="37" t="n"/>
      <c r="AL37" s="37" t="n"/>
      <c r="AM37" s="37" t="n"/>
      <c r="AN37" s="37" t="n"/>
      <c r="AO37" s="37" t="n"/>
      <c r="AP37" s="37" t="n"/>
      <c r="AQ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  <c r="AA38" s="37" t="n"/>
      <c r="AB38" s="37" t="n"/>
      <c r="AC38" s="37" t="n"/>
      <c r="AD38" s="37" t="n"/>
      <c r="AE38" s="37" t="n"/>
      <c r="AF38" s="37" t="n"/>
      <c r="AG38" s="37" t="n"/>
      <c r="AH38" s="37" t="n"/>
      <c r="AI38" s="37" t="n"/>
      <c r="AJ38" s="37" t="n"/>
      <c r="AK38" s="37" t="n"/>
      <c r="AL38" s="37" t="n"/>
      <c r="AM38" s="37" t="n"/>
      <c r="AN38" s="37" t="n"/>
      <c r="AO38" s="37" t="n"/>
      <c r="AP38" s="37" t="n"/>
      <c r="AQ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  <c r="AA39" s="37" t="n"/>
      <c r="AB39" s="37" t="n"/>
      <c r="AC39" s="37" t="n"/>
      <c r="AD39" s="37" t="n"/>
      <c r="AE39" s="37" t="n"/>
      <c r="AF39" s="37" t="n"/>
      <c r="AG39" s="37" t="n"/>
      <c r="AH39" s="37" t="n"/>
      <c r="AI39" s="37" t="n"/>
      <c r="AJ39" s="37" t="n"/>
      <c r="AK39" s="37" t="n"/>
      <c r="AL39" s="37" t="n"/>
      <c r="AM39" s="37" t="n"/>
      <c r="AN39" s="37" t="n"/>
      <c r="AO39" s="37" t="n"/>
      <c r="AP39" s="37" t="n"/>
      <c r="AQ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  <c r="AA40" s="37" t="n"/>
      <c r="AB40" s="37" t="n"/>
      <c r="AC40" s="37" t="n"/>
      <c r="AD40" s="37" t="n"/>
      <c r="AE40" s="37" t="n"/>
      <c r="AF40" s="37" t="n"/>
      <c r="AG40" s="37" t="n"/>
      <c r="AH40" s="37" t="n"/>
      <c r="AI40" s="37" t="n"/>
      <c r="AJ40" s="37" t="n"/>
      <c r="AK40" s="37" t="n"/>
      <c r="AL40" s="37" t="n"/>
      <c r="AM40" s="37" t="n"/>
      <c r="AN40" s="37" t="n"/>
      <c r="AO40" s="37" t="n"/>
      <c r="AP40" s="37" t="n"/>
      <c r="AQ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  <c r="AA41" s="37" t="n"/>
      <c r="AB41" s="37" t="n"/>
      <c r="AC41" s="37" t="n"/>
      <c r="AD41" s="37" t="n"/>
      <c r="AE41" s="37" t="n"/>
      <c r="AF41" s="37" t="n"/>
      <c r="AG41" s="37" t="n"/>
      <c r="AH41" s="37" t="n"/>
      <c r="AI41" s="37" t="n"/>
      <c r="AJ41" s="37" t="n"/>
      <c r="AK41" s="37" t="n"/>
      <c r="AL41" s="37" t="n"/>
      <c r="AM41" s="37" t="n"/>
      <c r="AN41" s="37" t="n"/>
      <c r="AO41" s="37" t="n"/>
      <c r="AP41" s="37" t="n"/>
      <c r="AQ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  <c r="AA42" s="37" t="n"/>
      <c r="AB42" s="37" t="n"/>
      <c r="AC42" s="37" t="n"/>
      <c r="AD42" s="37" t="n"/>
      <c r="AE42" s="37" t="n"/>
      <c r="AF42" s="37" t="n"/>
      <c r="AG42" s="37" t="n"/>
      <c r="AH42" s="37" t="n"/>
      <c r="AI42" s="37" t="n"/>
      <c r="AJ42" s="37" t="n"/>
      <c r="AK42" s="37" t="n"/>
      <c r="AL42" s="37" t="n"/>
      <c r="AM42" s="37" t="n"/>
      <c r="AN42" s="37" t="n"/>
      <c r="AO42" s="37" t="n"/>
      <c r="AP42" s="37" t="n"/>
      <c r="AQ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  <c r="AA43" s="37" t="n"/>
      <c r="AB43" s="37" t="n"/>
      <c r="AC43" s="37" t="n"/>
      <c r="AD43" s="37" t="n"/>
      <c r="AE43" s="37" t="n"/>
      <c r="AF43" s="37" t="n"/>
      <c r="AG43" s="37" t="n"/>
      <c r="AH43" s="37" t="n"/>
      <c r="AI43" s="37" t="n"/>
      <c r="AJ43" s="37" t="n"/>
      <c r="AK43" s="37" t="n"/>
      <c r="AL43" s="37" t="n"/>
      <c r="AM43" s="37" t="n"/>
      <c r="AN43" s="37" t="n"/>
      <c r="AO43" s="37" t="n"/>
      <c r="AP43" s="37" t="n"/>
      <c r="AQ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  <c r="AA44" s="37" t="n"/>
      <c r="AB44" s="37" t="n"/>
      <c r="AC44" s="37" t="n"/>
      <c r="AD44" s="37" t="n"/>
      <c r="AE44" s="37" t="n"/>
      <c r="AF44" s="37" t="n"/>
      <c r="AG44" s="37" t="n"/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  <c r="AA45" s="37" t="n"/>
      <c r="AB45" s="37" t="n"/>
      <c r="AC45" s="37" t="n"/>
      <c r="AD45" s="37" t="n"/>
      <c r="AE45" s="37" t="n"/>
      <c r="AF45" s="37" t="n"/>
      <c r="AG45" s="37" t="n"/>
      <c r="AH45" s="37" t="n"/>
      <c r="AI45" s="37" t="n"/>
      <c r="AJ45" s="37" t="n"/>
      <c r="AK45" s="37" t="n"/>
      <c r="AL45" s="37" t="n"/>
      <c r="AM45" s="37" t="n"/>
      <c r="AN45" s="37" t="n"/>
      <c r="AO45" s="37" t="n"/>
      <c r="AP45" s="37" t="n"/>
      <c r="AQ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  <c r="AA46" s="37" t="n"/>
      <c r="AB46" s="37" t="n"/>
      <c r="AC46" s="37" t="n"/>
      <c r="AD46" s="37" t="n"/>
      <c r="AE46" s="37" t="n"/>
      <c r="AF46" s="37" t="n"/>
      <c r="AG46" s="37" t="n"/>
      <c r="AH46" s="37" t="n"/>
      <c r="AI46" s="37" t="n"/>
      <c r="AJ46" s="37" t="n"/>
      <c r="AK46" s="37" t="n"/>
      <c r="AL46" s="37" t="n"/>
      <c r="AM46" s="37" t="n"/>
      <c r="AN46" s="37" t="n"/>
      <c r="AO46" s="37" t="n"/>
      <c r="AP46" s="37" t="n"/>
      <c r="AQ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  <c r="AA47" s="37" t="n"/>
      <c r="AB47" s="37" t="n"/>
      <c r="AC47" s="37" t="n"/>
      <c r="AD47" s="37" t="n"/>
      <c r="AE47" s="37" t="n"/>
      <c r="AF47" s="37" t="n"/>
      <c r="AG47" s="37" t="n"/>
      <c r="AH47" s="37" t="n"/>
      <c r="AI47" s="37" t="n"/>
      <c r="AJ47" s="37" t="n"/>
      <c r="AK47" s="37" t="n"/>
      <c r="AL47" s="37" t="n"/>
      <c r="AM47" s="37" t="n"/>
      <c r="AN47" s="37" t="n"/>
      <c r="AO47" s="37" t="n"/>
      <c r="AP47" s="37" t="n"/>
      <c r="AQ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  <c r="AA48" s="37" t="n"/>
      <c r="AB48" s="37" t="n"/>
      <c r="AC48" s="37" t="n"/>
      <c r="AD48" s="37" t="n"/>
      <c r="AE48" s="37" t="n"/>
      <c r="AF48" s="37" t="n"/>
      <c r="AG48" s="37" t="n"/>
      <c r="AH48" s="37" t="n"/>
      <c r="AI48" s="37" t="n"/>
      <c r="AJ48" s="37" t="n"/>
      <c r="AK48" s="37" t="n"/>
      <c r="AL48" s="37" t="n"/>
      <c r="AM48" s="37" t="n"/>
      <c r="AN48" s="37" t="n"/>
      <c r="AO48" s="37" t="n"/>
      <c r="AP48" s="37" t="n"/>
      <c r="AQ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  <c r="AA49" s="37" t="n"/>
      <c r="AB49" s="37" t="n"/>
      <c r="AC49" s="37" t="n"/>
      <c r="AD49" s="37" t="n"/>
      <c r="AE49" s="37" t="n"/>
      <c r="AF49" s="37" t="n"/>
      <c r="AG49" s="37" t="n"/>
      <c r="AH49" s="37" t="n"/>
      <c r="AI49" s="37" t="n"/>
      <c r="AJ49" s="37" t="n"/>
      <c r="AK49" s="37" t="n"/>
      <c r="AL49" s="37" t="n"/>
      <c r="AM49" s="37" t="n"/>
      <c r="AN49" s="37" t="n"/>
      <c r="AO49" s="37" t="n"/>
      <c r="AP49" s="37" t="n"/>
      <c r="AQ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  <c r="AA50" s="37" t="n"/>
      <c r="AB50" s="37" t="n"/>
      <c r="AC50" s="37" t="n"/>
      <c r="AD50" s="37" t="n"/>
      <c r="AE50" s="37" t="n"/>
      <c r="AF50" s="37" t="n"/>
      <c r="AG50" s="37" t="n"/>
      <c r="AH50" s="37" t="n"/>
      <c r="AI50" s="37" t="n"/>
      <c r="AJ50" s="37" t="n"/>
      <c r="AK50" s="37" t="n"/>
      <c r="AL50" s="37" t="n"/>
      <c r="AM50" s="37" t="n"/>
      <c r="AN50" s="37" t="n"/>
      <c r="AO50" s="37" t="n"/>
      <c r="AP50" s="37" t="n"/>
      <c r="AQ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  <c r="AA51" s="37" t="n"/>
      <c r="AB51" s="37" t="n"/>
      <c r="AC51" s="37" t="n"/>
      <c r="AD51" s="37" t="n"/>
      <c r="AE51" s="37" t="n"/>
      <c r="AF51" s="37" t="n"/>
      <c r="AG51" s="37" t="n"/>
      <c r="AH51" s="37" t="n"/>
      <c r="AI51" s="37" t="n"/>
      <c r="AJ51" s="37" t="n"/>
      <c r="AK51" s="37" t="n"/>
      <c r="AL51" s="37" t="n"/>
      <c r="AM51" s="37" t="n"/>
      <c r="AN51" s="37" t="n"/>
      <c r="AO51" s="37" t="n"/>
      <c r="AP51" s="37" t="n"/>
      <c r="AQ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J52" s="37" t="n"/>
      <c r="AK52" s="37" t="n"/>
      <c r="AL52" s="37" t="n"/>
      <c r="AM52" s="37" t="n"/>
      <c r="AN52" s="37" t="n"/>
      <c r="AO52" s="37" t="n"/>
      <c r="AP52" s="37" t="n"/>
      <c r="AQ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  <c r="AA53" s="37" t="n"/>
      <c r="AB53" s="37" t="n"/>
      <c r="AC53" s="37" t="n"/>
      <c r="AD53" s="37" t="n"/>
      <c r="AE53" s="37" t="n"/>
      <c r="AF53" s="37" t="n"/>
      <c r="AG53" s="37" t="n"/>
      <c r="AH53" s="37" t="n"/>
      <c r="AI53" s="37" t="n"/>
      <c r="AJ53" s="37" t="n"/>
      <c r="AK53" s="37" t="n"/>
      <c r="AL53" s="37" t="n"/>
      <c r="AM53" s="37" t="n"/>
      <c r="AN53" s="37" t="n"/>
      <c r="AO53" s="37" t="n"/>
      <c r="AP53" s="37" t="n"/>
      <c r="AQ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  <c r="AA54" s="37" t="n"/>
      <c r="AB54" s="37" t="n"/>
      <c r="AC54" s="37" t="n"/>
      <c r="AD54" s="37" t="n"/>
      <c r="AE54" s="37" t="n"/>
      <c r="AF54" s="37" t="n"/>
      <c r="AG54" s="37" t="n"/>
      <c r="AH54" s="37" t="n"/>
      <c r="AI54" s="37" t="n"/>
      <c r="AJ54" s="37" t="n"/>
      <c r="AK54" s="37" t="n"/>
      <c r="AL54" s="37" t="n"/>
      <c r="AM54" s="37" t="n"/>
      <c r="AN54" s="37" t="n"/>
      <c r="AO54" s="37" t="n"/>
      <c r="AP54" s="37" t="n"/>
      <c r="AQ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  <c r="AA55" s="37" t="n"/>
      <c r="AB55" s="37" t="n"/>
      <c r="AC55" s="37" t="n"/>
      <c r="AD55" s="37" t="n"/>
      <c r="AE55" s="37" t="n"/>
      <c r="AF55" s="37" t="n"/>
      <c r="AG55" s="37" t="n"/>
      <c r="AH55" s="37" t="n"/>
      <c r="AI55" s="37" t="n"/>
      <c r="AJ55" s="37" t="n"/>
      <c r="AK55" s="37" t="n"/>
      <c r="AL55" s="37" t="n"/>
      <c r="AM55" s="37" t="n"/>
      <c r="AN55" s="37" t="n"/>
      <c r="AO55" s="37" t="n"/>
      <c r="AP55" s="37" t="n"/>
      <c r="AQ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A56" s="37" t="n"/>
      <c r="AB56" s="37" t="n"/>
      <c r="AC56" s="37" t="n"/>
      <c r="AD56" s="37" t="n"/>
      <c r="AE56" s="37" t="n"/>
      <c r="AF56" s="37" t="n"/>
      <c r="AG56" s="37" t="n"/>
      <c r="AH56" s="37" t="n"/>
      <c r="AI56" s="37" t="n"/>
      <c r="AJ56" s="37" t="n"/>
      <c r="AK56" s="37" t="n"/>
      <c r="AL56" s="37" t="n"/>
      <c r="AM56" s="37" t="n"/>
      <c r="AN56" s="37" t="n"/>
      <c r="AO56" s="37" t="n"/>
      <c r="AP56" s="37" t="n"/>
      <c r="AQ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  <c r="AA57" s="37" t="n"/>
      <c r="AB57" s="37" t="n"/>
      <c r="AC57" s="37" t="n"/>
      <c r="AD57" s="37" t="n"/>
      <c r="AE57" s="37" t="n"/>
      <c r="AF57" s="37" t="n"/>
      <c r="AG57" s="37" t="n"/>
      <c r="AH57" s="37" t="n"/>
      <c r="AI57" s="37" t="n"/>
      <c r="AJ57" s="37" t="n"/>
      <c r="AK57" s="37" t="n"/>
      <c r="AL57" s="37" t="n"/>
      <c r="AM57" s="37" t="n"/>
      <c r="AN57" s="37" t="n"/>
      <c r="AO57" s="37" t="n"/>
      <c r="AP57" s="37" t="n"/>
      <c r="AQ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  <c r="AA58" s="37" t="n"/>
      <c r="AB58" s="37" t="n"/>
      <c r="AC58" s="37" t="n"/>
      <c r="AD58" s="37" t="n"/>
      <c r="AE58" s="37" t="n"/>
      <c r="AF58" s="37" t="n"/>
      <c r="AG58" s="37" t="n"/>
      <c r="AH58" s="37" t="n"/>
      <c r="AI58" s="37" t="n"/>
      <c r="AJ58" s="37" t="n"/>
      <c r="AK58" s="37" t="n"/>
      <c r="AL58" s="37" t="n"/>
      <c r="AM58" s="37" t="n"/>
      <c r="AN58" s="37" t="n"/>
      <c r="AO58" s="37" t="n"/>
      <c r="AP58" s="37" t="n"/>
      <c r="AQ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  <c r="AA62" s="37" t="n"/>
      <c r="AB62" s="37" t="n"/>
      <c r="AC62" s="37" t="n"/>
      <c r="AD62" s="37" t="n"/>
      <c r="AE62" s="37" t="n"/>
      <c r="AF62" s="37" t="n"/>
      <c r="AG62" s="37" t="n"/>
      <c r="AH62" s="37" t="n"/>
      <c r="AI62" s="37" t="n"/>
      <c r="AJ62" s="37" t="n"/>
      <c r="AK62" s="37" t="n"/>
      <c r="AL62" s="37" t="n"/>
      <c r="AM62" s="37" t="n"/>
      <c r="AN62" s="37" t="n"/>
      <c r="AO62" s="37" t="n"/>
      <c r="AP62" s="37" t="n"/>
      <c r="AQ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  <c r="AA63" s="37" t="n"/>
      <c r="AB63" s="37" t="n"/>
      <c r="AC63" s="37" t="n"/>
      <c r="AD63" s="37" t="n"/>
      <c r="AE63" s="37" t="n"/>
      <c r="AF63" s="37" t="n"/>
      <c r="AG63" s="37" t="n"/>
      <c r="AH63" s="37" t="n"/>
      <c r="AI63" s="37" t="n"/>
      <c r="AJ63" s="37" t="n"/>
      <c r="AK63" s="37" t="n"/>
      <c r="AL63" s="37" t="n"/>
      <c r="AM63" s="37" t="n"/>
      <c r="AN63" s="37" t="n"/>
      <c r="AO63" s="37" t="n"/>
      <c r="AP63" s="37" t="n"/>
      <c r="AQ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  <c r="AA64" s="37" t="n"/>
      <c r="AB64" s="37" t="n"/>
      <c r="AC64" s="37" t="n"/>
      <c r="AD64" s="37" t="n"/>
      <c r="AE64" s="37" t="n"/>
      <c r="AF64" s="37" t="n"/>
      <c r="AG64" s="37" t="n"/>
      <c r="AH64" s="37" t="n"/>
      <c r="AI64" s="37" t="n"/>
      <c r="AJ64" s="37" t="n"/>
      <c r="AK64" s="37" t="n"/>
      <c r="AL64" s="37" t="n"/>
      <c r="AM64" s="37" t="n"/>
      <c r="AN64" s="37" t="n"/>
      <c r="AO64" s="37" t="n"/>
      <c r="AP64" s="37" t="n"/>
      <c r="AQ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  <c r="AA65" s="37" t="n"/>
      <c r="AB65" s="37" t="n"/>
      <c r="AC65" s="37" t="n"/>
      <c r="AD65" s="37" t="n"/>
      <c r="AE65" s="37" t="n"/>
      <c r="AF65" s="37" t="n"/>
      <c r="AG65" s="37" t="n"/>
      <c r="AH65" s="37" t="n"/>
      <c r="AI65" s="37" t="n"/>
      <c r="AJ65" s="37" t="n"/>
      <c r="AK65" s="37" t="n"/>
      <c r="AL65" s="37" t="n"/>
      <c r="AM65" s="37" t="n"/>
      <c r="AN65" s="37" t="n"/>
      <c r="AO65" s="37" t="n"/>
      <c r="AP65" s="37" t="n"/>
      <c r="AQ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  <c r="AC66" s="37" t="n"/>
      <c r="AD66" s="37" t="n"/>
      <c r="AE66" s="37" t="n"/>
      <c r="AF66" s="37" t="n"/>
      <c r="AG66" s="37" t="n"/>
      <c r="AH66" s="37" t="n"/>
      <c r="AI66" s="37" t="n"/>
      <c r="AJ66" s="37" t="n"/>
      <c r="AK66" s="37" t="n"/>
      <c r="AL66" s="37" t="n"/>
      <c r="AM66" s="37" t="n"/>
      <c r="AN66" s="37" t="n"/>
      <c r="AO66" s="37" t="n"/>
      <c r="AP66" s="37" t="n"/>
      <c r="AQ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  <c r="AA67" s="37" t="n"/>
      <c r="AB67" s="37" t="n"/>
      <c r="AC67" s="37" t="n"/>
      <c r="AD67" s="37" t="n"/>
      <c r="AE67" s="37" t="n"/>
      <c r="AF67" s="37" t="n"/>
      <c r="AG67" s="37" t="n"/>
      <c r="AH67" s="37" t="n"/>
      <c r="AI67" s="37" t="n"/>
      <c r="AJ67" s="37" t="n"/>
      <c r="AK67" s="37" t="n"/>
      <c r="AL67" s="37" t="n"/>
      <c r="AM67" s="37" t="n"/>
      <c r="AN67" s="37" t="n"/>
      <c r="AO67" s="37" t="n"/>
      <c r="AP67" s="37" t="n"/>
      <c r="AQ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  <c r="AA68" s="37" t="n"/>
      <c r="AB68" s="37" t="n"/>
      <c r="AC68" s="37" t="n"/>
      <c r="AD68" s="37" t="n"/>
      <c r="AE68" s="37" t="n"/>
      <c r="AF68" s="37" t="n"/>
      <c r="AG68" s="37" t="n"/>
      <c r="AH68" s="37" t="n"/>
      <c r="AI68" s="37" t="n"/>
      <c r="AJ68" s="37" t="n"/>
      <c r="AK68" s="37" t="n"/>
      <c r="AL68" s="37" t="n"/>
      <c r="AM68" s="37" t="n"/>
      <c r="AN68" s="37" t="n"/>
      <c r="AO68" s="37" t="n"/>
      <c r="AP68" s="37" t="n"/>
      <c r="AQ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  <c r="AA69" s="37" t="n"/>
      <c r="AB69" s="37" t="n"/>
      <c r="AC69" s="37" t="n"/>
      <c r="AD69" s="37" t="n"/>
      <c r="AE69" s="37" t="n"/>
      <c r="AF69" s="37" t="n"/>
      <c r="AG69" s="37" t="n"/>
      <c r="AH69" s="37" t="n"/>
      <c r="AI69" s="37" t="n"/>
      <c r="AJ69" s="37" t="n"/>
      <c r="AK69" s="37" t="n"/>
      <c r="AL69" s="37" t="n"/>
      <c r="AM69" s="37" t="n"/>
      <c r="AN69" s="37" t="n"/>
      <c r="AO69" s="37" t="n"/>
      <c r="AP69" s="37" t="n"/>
      <c r="AQ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  <c r="AA70" s="37" t="n"/>
      <c r="AB70" s="37" t="n"/>
      <c r="AC70" s="37" t="n"/>
      <c r="AD70" s="37" t="n"/>
      <c r="AE70" s="37" t="n"/>
      <c r="AF70" s="37" t="n"/>
      <c r="AG70" s="37" t="n"/>
      <c r="AH70" s="37" t="n"/>
      <c r="AI70" s="37" t="n"/>
      <c r="AJ70" s="37" t="n"/>
      <c r="AK70" s="37" t="n"/>
      <c r="AL70" s="37" t="n"/>
      <c r="AM70" s="37" t="n"/>
      <c r="AN70" s="37" t="n"/>
      <c r="AO70" s="37" t="n"/>
      <c r="AP70" s="37" t="n"/>
      <c r="AQ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  <c r="AA71" s="37" t="n"/>
      <c r="AB71" s="37" t="n"/>
      <c r="AC71" s="37" t="n"/>
      <c r="AD71" s="37" t="n"/>
      <c r="AE71" s="37" t="n"/>
      <c r="AF71" s="37" t="n"/>
      <c r="AG71" s="37" t="n"/>
      <c r="AH71" s="37" t="n"/>
      <c r="AI71" s="37" t="n"/>
      <c r="AJ71" s="37" t="n"/>
      <c r="AK71" s="37" t="n"/>
      <c r="AL71" s="37" t="n"/>
      <c r="AM71" s="37" t="n"/>
      <c r="AN71" s="37" t="n"/>
      <c r="AO71" s="37" t="n"/>
      <c r="AP71" s="37" t="n"/>
      <c r="AQ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  <c r="AA72" s="37" t="n"/>
      <c r="AB72" s="37" t="n"/>
      <c r="AC72" s="37" t="n"/>
      <c r="AD72" s="37" t="n"/>
      <c r="AE72" s="37" t="n"/>
      <c r="AF72" s="37" t="n"/>
      <c r="AG72" s="37" t="n"/>
      <c r="AH72" s="37" t="n"/>
      <c r="AI72" s="37" t="n"/>
      <c r="AJ72" s="37" t="n"/>
      <c r="AK72" s="37" t="n"/>
      <c r="AL72" s="37" t="n"/>
      <c r="AM72" s="37" t="n"/>
      <c r="AN72" s="37" t="n"/>
      <c r="AO72" s="37" t="n"/>
      <c r="AP72" s="37" t="n"/>
      <c r="AQ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  <c r="AA73" s="37" t="n"/>
      <c r="AB73" s="37" t="n"/>
      <c r="AC73" s="37" t="n"/>
      <c r="AD73" s="37" t="n"/>
      <c r="AE73" s="37" t="n"/>
      <c r="AF73" s="37" t="n"/>
      <c r="AG73" s="37" t="n"/>
      <c r="AH73" s="37" t="n"/>
      <c r="AI73" s="37" t="n"/>
      <c r="AJ73" s="37" t="n"/>
      <c r="AK73" s="37" t="n"/>
      <c r="AL73" s="37" t="n"/>
      <c r="AM73" s="37" t="n"/>
      <c r="AN73" s="37" t="n"/>
      <c r="AO73" s="37" t="n"/>
      <c r="AP73" s="37" t="n"/>
      <c r="AQ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  <c r="AA74" s="37" t="n"/>
      <c r="AB74" s="37" t="n"/>
      <c r="AC74" s="37" t="n"/>
      <c r="AD74" s="37" t="n"/>
      <c r="AE74" s="37" t="n"/>
      <c r="AF74" s="37" t="n"/>
      <c r="AG74" s="37" t="n"/>
      <c r="AH74" s="37" t="n"/>
      <c r="AI74" s="37" t="n"/>
      <c r="AJ74" s="37" t="n"/>
      <c r="AK74" s="37" t="n"/>
      <c r="AL74" s="37" t="n"/>
      <c r="AM74" s="37" t="n"/>
      <c r="AN74" s="37" t="n"/>
      <c r="AO74" s="37" t="n"/>
      <c r="AP74" s="37" t="n"/>
      <c r="AQ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  <c r="AA75" s="37" t="n"/>
      <c r="AB75" s="37" t="n"/>
      <c r="AC75" s="37" t="n"/>
      <c r="AD75" s="37" t="n"/>
      <c r="AE75" s="37" t="n"/>
      <c r="AF75" s="37" t="n"/>
      <c r="AG75" s="37" t="n"/>
      <c r="AH75" s="37" t="n"/>
      <c r="AI75" s="37" t="n"/>
      <c r="AJ75" s="37" t="n"/>
      <c r="AK75" s="37" t="n"/>
      <c r="AL75" s="37" t="n"/>
      <c r="AM75" s="37" t="n"/>
      <c r="AN75" s="37" t="n"/>
      <c r="AO75" s="37" t="n"/>
      <c r="AP75" s="37" t="n"/>
      <c r="AQ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  <c r="AA76" s="37" t="n"/>
      <c r="AB76" s="37" t="n"/>
      <c r="AC76" s="37" t="n"/>
      <c r="AD76" s="37" t="n"/>
      <c r="AE76" s="37" t="n"/>
      <c r="AF76" s="37" t="n"/>
      <c r="AG76" s="37" t="n"/>
      <c r="AH76" s="37" t="n"/>
      <c r="AI76" s="37" t="n"/>
      <c r="AJ76" s="37" t="n"/>
      <c r="AK76" s="37" t="n"/>
      <c r="AL76" s="37" t="n"/>
      <c r="AM76" s="37" t="n"/>
      <c r="AN76" s="37" t="n"/>
      <c r="AO76" s="37" t="n"/>
      <c r="AP76" s="37" t="n"/>
      <c r="AQ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  <c r="AA77" s="37" t="n"/>
      <c r="AB77" s="37" t="n"/>
      <c r="AC77" s="37" t="n"/>
      <c r="AD77" s="37" t="n"/>
      <c r="AE77" s="37" t="n"/>
      <c r="AF77" s="37" t="n"/>
      <c r="AG77" s="37" t="n"/>
      <c r="AH77" s="37" t="n"/>
      <c r="AI77" s="37" t="n"/>
      <c r="AJ77" s="37" t="n"/>
      <c r="AK77" s="37" t="n"/>
      <c r="AL77" s="37" t="n"/>
      <c r="AM77" s="37" t="n"/>
      <c r="AN77" s="37" t="n"/>
      <c r="AO77" s="37" t="n"/>
      <c r="AP77" s="37" t="n"/>
      <c r="AQ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  <c r="AA78" s="37" t="n"/>
      <c r="AB78" s="37" t="n"/>
      <c r="AC78" s="37" t="n"/>
      <c r="AD78" s="37" t="n"/>
      <c r="AE78" s="37" t="n"/>
      <c r="AF78" s="37" t="n"/>
      <c r="AG78" s="37" t="n"/>
      <c r="AH78" s="37" t="n"/>
      <c r="AI78" s="37" t="n"/>
      <c r="AJ78" s="37" t="n"/>
      <c r="AK78" s="37" t="n"/>
      <c r="AL78" s="37" t="n"/>
      <c r="AM78" s="37" t="n"/>
      <c r="AN78" s="37" t="n"/>
      <c r="AO78" s="37" t="n"/>
      <c r="AP78" s="37" t="n"/>
      <c r="AQ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  <c r="AA79" s="37" t="n"/>
      <c r="AB79" s="37" t="n"/>
      <c r="AC79" s="37" t="n"/>
      <c r="AD79" s="37" t="n"/>
      <c r="AE79" s="37" t="n"/>
      <c r="AF79" s="37" t="n"/>
      <c r="AG79" s="37" t="n"/>
      <c r="AH79" s="37" t="n"/>
      <c r="AI79" s="37" t="n"/>
      <c r="AJ79" s="37" t="n"/>
      <c r="AK79" s="37" t="n"/>
      <c r="AL79" s="37" t="n"/>
      <c r="AM79" s="37" t="n"/>
      <c r="AN79" s="37" t="n"/>
      <c r="AO79" s="37" t="n"/>
      <c r="AP79" s="37" t="n"/>
      <c r="AQ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  <c r="AA80" s="37" t="n"/>
      <c r="AB80" s="37" t="n"/>
      <c r="AC80" s="37" t="n"/>
      <c r="AD80" s="37" t="n"/>
      <c r="AE80" s="37" t="n"/>
      <c r="AF80" s="37" t="n"/>
      <c r="AG80" s="37" t="n"/>
      <c r="AH80" s="37" t="n"/>
      <c r="AI80" s="37" t="n"/>
      <c r="AJ80" s="37" t="n"/>
      <c r="AK80" s="37" t="n"/>
      <c r="AL80" s="37" t="n"/>
      <c r="AM80" s="37" t="n"/>
      <c r="AN80" s="37" t="n"/>
      <c r="AO80" s="37" t="n"/>
      <c r="AP80" s="37" t="n"/>
      <c r="AQ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  <c r="AA81" s="37" t="n"/>
      <c r="AB81" s="37" t="n"/>
      <c r="AC81" s="37" t="n"/>
      <c r="AD81" s="37" t="n"/>
      <c r="AE81" s="37" t="n"/>
      <c r="AF81" s="37" t="n"/>
      <c r="AG81" s="37" t="n"/>
      <c r="AH81" s="37" t="n"/>
      <c r="AI81" s="37" t="n"/>
      <c r="AJ81" s="37" t="n"/>
      <c r="AK81" s="37" t="n"/>
      <c r="AL81" s="37" t="n"/>
      <c r="AM81" s="37" t="n"/>
      <c r="AN81" s="37" t="n"/>
      <c r="AO81" s="37" t="n"/>
      <c r="AP81" s="37" t="n"/>
      <c r="AQ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  <c r="AA82" s="37" t="n"/>
      <c r="AB82" s="37" t="n"/>
      <c r="AC82" s="37" t="n"/>
      <c r="AD82" s="37" t="n"/>
      <c r="AE82" s="37" t="n"/>
      <c r="AF82" s="37" t="n"/>
      <c r="AG82" s="37" t="n"/>
      <c r="AH82" s="37" t="n"/>
      <c r="AI82" s="37" t="n"/>
      <c r="AJ82" s="37" t="n"/>
      <c r="AK82" s="37" t="n"/>
      <c r="AL82" s="37" t="n"/>
      <c r="AM82" s="37" t="n"/>
      <c r="AN82" s="37" t="n"/>
      <c r="AO82" s="37" t="n"/>
      <c r="AP82" s="37" t="n"/>
      <c r="AQ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  <c r="AA83" s="37" t="n"/>
      <c r="AB83" s="37" t="n"/>
      <c r="AC83" s="37" t="n"/>
      <c r="AD83" s="37" t="n"/>
      <c r="AE83" s="37" t="n"/>
      <c r="AF83" s="37" t="n"/>
      <c r="AG83" s="37" t="n"/>
      <c r="AH83" s="37" t="n"/>
      <c r="AI83" s="37" t="n"/>
      <c r="AJ83" s="37" t="n"/>
      <c r="AK83" s="37" t="n"/>
      <c r="AL83" s="37" t="n"/>
      <c r="AM83" s="37" t="n"/>
      <c r="AN83" s="37" t="n"/>
      <c r="AO83" s="37" t="n"/>
      <c r="AP83" s="37" t="n"/>
      <c r="AQ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/>
      <c r="AB84" s="37" t="n"/>
      <c r="AC84" s="37" t="n"/>
      <c r="AD84" s="37" t="n"/>
      <c r="AE84" s="37" t="n"/>
      <c r="AF84" s="37" t="n"/>
      <c r="AG84" s="37" t="n"/>
      <c r="AH84" s="37" t="n"/>
      <c r="AI84" s="37" t="n"/>
      <c r="AJ84" s="37" t="n"/>
      <c r="AK84" s="37" t="n"/>
      <c r="AL84" s="37" t="n"/>
      <c r="AM84" s="37" t="n"/>
      <c r="AN84" s="37" t="n"/>
      <c r="AO84" s="37" t="n"/>
      <c r="AP84" s="37" t="n"/>
      <c r="AQ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/>
      <c r="AB85" s="37" t="n"/>
      <c r="AC85" s="37" t="n"/>
      <c r="AD85" s="37" t="n"/>
      <c r="AE85" s="37" t="n"/>
      <c r="AF85" s="37" t="n"/>
      <c r="AG85" s="37" t="n"/>
      <c r="AH85" s="37" t="n"/>
      <c r="AI85" s="37" t="n"/>
      <c r="AJ85" s="37" t="n"/>
      <c r="AK85" s="37" t="n"/>
      <c r="AL85" s="37" t="n"/>
      <c r="AM85" s="37" t="n"/>
      <c r="AN85" s="37" t="n"/>
      <c r="AO85" s="37" t="n"/>
      <c r="AP85" s="37" t="n"/>
      <c r="AQ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/>
      <c r="AB86" s="37" t="n"/>
      <c r="AC86" s="37" t="n"/>
      <c r="AD86" s="37" t="n"/>
      <c r="AE86" s="37" t="n"/>
      <c r="AF86" s="37" t="n"/>
      <c r="AG86" s="37" t="n"/>
      <c r="AH86" s="37" t="n"/>
      <c r="AI86" s="37" t="n"/>
      <c r="AJ86" s="37" t="n"/>
      <c r="AK86" s="37" t="n"/>
      <c r="AL86" s="37" t="n"/>
      <c r="AM86" s="37" t="n"/>
      <c r="AN86" s="37" t="n"/>
      <c r="AO86" s="37" t="n"/>
      <c r="AP86" s="37" t="n"/>
      <c r="AQ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/>
      <c r="AB87" s="37" t="n"/>
      <c r="AC87" s="37" t="n"/>
      <c r="AD87" s="37" t="n"/>
      <c r="AE87" s="37" t="n"/>
      <c r="AF87" s="37" t="n"/>
      <c r="AG87" s="37" t="n"/>
      <c r="AH87" s="37" t="n"/>
      <c r="AI87" s="37" t="n"/>
      <c r="AJ87" s="37" t="n"/>
      <c r="AK87" s="37" t="n"/>
      <c r="AL87" s="37" t="n"/>
      <c r="AM87" s="37" t="n"/>
      <c r="AN87" s="37" t="n"/>
      <c r="AO87" s="37" t="n"/>
      <c r="AP87" s="37" t="n"/>
      <c r="AQ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/>
      <c r="AB88" s="37" t="n"/>
      <c r="AC88" s="37" t="n"/>
      <c r="AD88" s="37" t="n"/>
      <c r="AE88" s="37" t="n"/>
      <c r="AF88" s="37" t="n"/>
      <c r="AG88" s="37" t="n"/>
      <c r="AH88" s="37" t="n"/>
      <c r="AI88" s="37" t="n"/>
      <c r="AJ88" s="37" t="n"/>
      <c r="AK88" s="37" t="n"/>
      <c r="AL88" s="37" t="n"/>
      <c r="AM88" s="37" t="n"/>
      <c r="AN88" s="37" t="n"/>
      <c r="AO88" s="37" t="n"/>
      <c r="AP88" s="37" t="n"/>
      <c r="AQ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/>
      <c r="AB89" s="37" t="n"/>
      <c r="AC89" s="37" t="n"/>
      <c r="AD89" s="37" t="n"/>
      <c r="AE89" s="37" t="n"/>
      <c r="AF89" s="37" t="n"/>
      <c r="AG89" s="37" t="n"/>
      <c r="AH89" s="37" t="n"/>
      <c r="AI89" s="37" t="n"/>
      <c r="AJ89" s="37" t="n"/>
      <c r="AK89" s="37" t="n"/>
      <c r="AL89" s="37" t="n"/>
      <c r="AM89" s="37" t="n"/>
      <c r="AN89" s="37" t="n"/>
      <c r="AO89" s="37" t="n"/>
      <c r="AP89" s="37" t="n"/>
      <c r="AQ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/>
      <c r="AB90" s="37" t="n"/>
      <c r="AC90" s="37" t="n"/>
      <c r="AD90" s="37" t="n"/>
      <c r="AE90" s="37" t="n"/>
      <c r="AF90" s="37" t="n"/>
      <c r="AG90" s="37" t="n"/>
      <c r="AH90" s="37" t="n"/>
      <c r="AI90" s="37" t="n"/>
      <c r="AJ90" s="37" t="n"/>
      <c r="AK90" s="37" t="n"/>
      <c r="AL90" s="37" t="n"/>
      <c r="AM90" s="37" t="n"/>
      <c r="AN90" s="37" t="n"/>
      <c r="AO90" s="37" t="n"/>
      <c r="AP90" s="37" t="n"/>
      <c r="AQ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/>
      <c r="AB91" s="37" t="n"/>
      <c r="AC91" s="37" t="n"/>
      <c r="AD91" s="37" t="n"/>
      <c r="AE91" s="37" t="n"/>
      <c r="AF91" s="37" t="n"/>
      <c r="AG91" s="37" t="n"/>
      <c r="AH91" s="37" t="n"/>
      <c r="AI91" s="37" t="n"/>
      <c r="AJ91" s="37" t="n"/>
      <c r="AK91" s="37" t="n"/>
      <c r="AL91" s="37" t="n"/>
      <c r="AM91" s="37" t="n"/>
      <c r="AN91" s="37" t="n"/>
      <c r="AO91" s="37" t="n"/>
      <c r="AP91" s="37" t="n"/>
      <c r="AQ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/>
      <c r="AB92" s="37" t="n"/>
      <c r="AC92" s="37" t="n"/>
      <c r="AD92" s="37" t="n"/>
      <c r="AE92" s="37" t="n"/>
      <c r="AF92" s="37" t="n"/>
      <c r="AG92" s="37" t="n"/>
      <c r="AH92" s="37" t="n"/>
      <c r="AI92" s="37" t="n"/>
      <c r="AJ92" s="37" t="n"/>
      <c r="AK92" s="37" t="n"/>
      <c r="AL92" s="37" t="n"/>
      <c r="AM92" s="37" t="n"/>
      <c r="AN92" s="37" t="n"/>
      <c r="AO92" s="37" t="n"/>
      <c r="AP92" s="37" t="n"/>
      <c r="AQ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/>
      <c r="AB93" s="37" t="n"/>
      <c r="AC93" s="37" t="n"/>
      <c r="AD93" s="37" t="n"/>
      <c r="AE93" s="37" t="n"/>
      <c r="AF93" s="37" t="n"/>
      <c r="AG93" s="37" t="n"/>
      <c r="AH93" s="37" t="n"/>
      <c r="AI93" s="37" t="n"/>
      <c r="AJ93" s="37" t="n"/>
      <c r="AK93" s="37" t="n"/>
      <c r="AL93" s="37" t="n"/>
      <c r="AM93" s="37" t="n"/>
      <c r="AN93" s="37" t="n"/>
      <c r="AO93" s="37" t="n"/>
      <c r="AP93" s="37" t="n"/>
      <c r="AQ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/>
      <c r="AB94" s="37" t="n"/>
      <c r="AC94" s="37" t="n"/>
      <c r="AD94" s="37" t="n"/>
      <c r="AE94" s="37" t="n"/>
      <c r="AF94" s="37" t="n"/>
      <c r="AG94" s="37" t="n"/>
      <c r="AH94" s="37" t="n"/>
      <c r="AI94" s="37" t="n"/>
      <c r="AJ94" s="37" t="n"/>
      <c r="AK94" s="37" t="n"/>
      <c r="AL94" s="37" t="n"/>
      <c r="AM94" s="37" t="n"/>
      <c r="AN94" s="37" t="n"/>
      <c r="AO94" s="37" t="n"/>
      <c r="AP94" s="37" t="n"/>
      <c r="AQ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/>
      <c r="AB95" s="37" t="n"/>
      <c r="AC95" s="37" t="n"/>
      <c r="AD95" s="37" t="n"/>
      <c r="AE95" s="37" t="n"/>
      <c r="AF95" s="37" t="n"/>
      <c r="AG95" s="37" t="n"/>
      <c r="AH95" s="37" t="n"/>
      <c r="AI95" s="37" t="n"/>
      <c r="AJ95" s="37" t="n"/>
      <c r="AK95" s="37" t="n"/>
      <c r="AL95" s="37" t="n"/>
      <c r="AM95" s="37" t="n"/>
      <c r="AN95" s="37" t="n"/>
      <c r="AO95" s="37" t="n"/>
      <c r="AP95" s="37" t="n"/>
      <c r="AQ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/>
      <c r="AB96" s="37" t="n"/>
      <c r="AC96" s="37" t="n"/>
      <c r="AD96" s="37" t="n"/>
      <c r="AE96" s="37" t="n"/>
      <c r="AF96" s="37" t="n"/>
      <c r="AG96" s="37" t="n"/>
      <c r="AH96" s="37" t="n"/>
      <c r="AI96" s="37" t="n"/>
      <c r="AJ96" s="37" t="n"/>
      <c r="AK96" s="37" t="n"/>
      <c r="AL96" s="37" t="n"/>
      <c r="AM96" s="37" t="n"/>
      <c r="AN96" s="37" t="n"/>
      <c r="AO96" s="37" t="n"/>
      <c r="AP96" s="37" t="n"/>
      <c r="AQ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/>
      <c r="AB97" s="37" t="n"/>
      <c r="AC97" s="37" t="n"/>
      <c r="AD97" s="37" t="n"/>
      <c r="AE97" s="37" t="n"/>
      <c r="AF97" s="37" t="n"/>
      <c r="AG97" s="37" t="n"/>
      <c r="AH97" s="37" t="n"/>
      <c r="AI97" s="37" t="n"/>
      <c r="AJ97" s="37" t="n"/>
      <c r="AK97" s="37" t="n"/>
      <c r="AL97" s="37" t="n"/>
      <c r="AM97" s="37" t="n"/>
      <c r="AN97" s="37" t="n"/>
      <c r="AO97" s="37" t="n"/>
      <c r="AP97" s="37" t="n"/>
      <c r="AQ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/>
      <c r="AB98" s="37" t="n"/>
      <c r="AC98" s="37" t="n"/>
      <c r="AD98" s="37" t="n"/>
      <c r="AE98" s="37" t="n"/>
      <c r="AF98" s="37" t="n"/>
      <c r="AG98" s="37" t="n"/>
      <c r="AH98" s="37" t="n"/>
      <c r="AI98" s="37" t="n"/>
      <c r="AJ98" s="37" t="n"/>
      <c r="AK98" s="37" t="n"/>
      <c r="AL98" s="37" t="n"/>
      <c r="AM98" s="37" t="n"/>
      <c r="AN98" s="37" t="n"/>
      <c r="AO98" s="37" t="n"/>
      <c r="AP98" s="37" t="n"/>
      <c r="AQ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/>
      <c r="AB99" s="37" t="n"/>
      <c r="AC99" s="37" t="n"/>
      <c r="AD99" s="37" t="n"/>
      <c r="AE99" s="37" t="n"/>
      <c r="AF99" s="37" t="n"/>
      <c r="AG99" s="37" t="n"/>
      <c r="AH99" s="37" t="n"/>
      <c r="AI99" s="37" t="n"/>
      <c r="AJ99" s="37" t="n"/>
      <c r="AK99" s="37" t="n"/>
      <c r="AL99" s="37" t="n"/>
      <c r="AM99" s="37" t="n"/>
      <c r="AN99" s="37" t="n"/>
      <c r="AO99" s="37" t="n"/>
      <c r="AP99" s="37" t="n"/>
      <c r="AQ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/>
      <c r="AB100" s="37" t="n"/>
      <c r="AC100" s="37" t="n"/>
      <c r="AD100" s="37" t="n"/>
      <c r="AE100" s="37" t="n"/>
      <c r="AF100" s="37" t="n"/>
      <c r="AG100" s="37" t="n"/>
      <c r="AH100" s="37" t="n"/>
      <c r="AI100" s="37" t="n"/>
      <c r="AJ100" s="37" t="n"/>
      <c r="AK100" s="37" t="n"/>
      <c r="AL100" s="37" t="n"/>
      <c r="AM100" s="37" t="n"/>
      <c r="AN100" s="37" t="n"/>
      <c r="AO100" s="37" t="n"/>
      <c r="AP100" s="37" t="n"/>
      <c r="AQ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/>
      <c r="AB101" s="37" t="n"/>
      <c r="AC101" s="37" t="n"/>
      <c r="AD101" s="37" t="n"/>
      <c r="AE101" s="37" t="n"/>
      <c r="AF101" s="37" t="n"/>
      <c r="AG101" s="37" t="n"/>
      <c r="AH101" s="37" t="n"/>
      <c r="AI101" s="37" t="n"/>
      <c r="AJ101" s="37" t="n"/>
      <c r="AK101" s="37" t="n"/>
      <c r="AL101" s="37" t="n"/>
      <c r="AM101" s="37" t="n"/>
      <c r="AN101" s="37" t="n"/>
      <c r="AO101" s="37" t="n"/>
      <c r="AP101" s="37" t="n"/>
      <c r="AQ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/>
      <c r="AB102" s="37" t="n"/>
      <c r="AC102" s="37" t="n"/>
      <c r="AD102" s="37" t="n"/>
      <c r="AE102" s="37" t="n"/>
      <c r="AF102" s="37" t="n"/>
      <c r="AG102" s="37" t="n"/>
      <c r="AH102" s="37" t="n"/>
      <c r="AI102" s="37" t="n"/>
      <c r="AJ102" s="37" t="n"/>
      <c r="AK102" s="37" t="n"/>
      <c r="AL102" s="37" t="n"/>
      <c r="AM102" s="37" t="n"/>
      <c r="AN102" s="37" t="n"/>
      <c r="AO102" s="37" t="n"/>
      <c r="AP102" s="37" t="n"/>
      <c r="AQ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/>
      <c r="AB103" s="37" t="n"/>
      <c r="AC103" s="37" t="n"/>
      <c r="AD103" s="37" t="n"/>
      <c r="AE103" s="37" t="n"/>
      <c r="AF103" s="37" t="n"/>
      <c r="AG103" s="37" t="n"/>
      <c r="AH103" s="37" t="n"/>
      <c r="AI103" s="37" t="n"/>
      <c r="AJ103" s="37" t="n"/>
      <c r="AK103" s="37" t="n"/>
      <c r="AL103" s="37" t="n"/>
      <c r="AM103" s="37" t="n"/>
      <c r="AN103" s="37" t="n"/>
      <c r="AO103" s="37" t="n"/>
      <c r="AP103" s="37" t="n"/>
      <c r="AQ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/>
      <c r="AB104" s="37" t="n"/>
      <c r="AC104" s="37" t="n"/>
      <c r="AD104" s="37" t="n"/>
      <c r="AE104" s="37" t="n"/>
      <c r="AF104" s="37" t="n"/>
      <c r="AG104" s="37" t="n"/>
      <c r="AH104" s="37" t="n"/>
      <c r="AI104" s="37" t="n"/>
      <c r="AJ104" s="37" t="n"/>
      <c r="AK104" s="37" t="n"/>
      <c r="AL104" s="37" t="n"/>
      <c r="AM104" s="37" t="n"/>
      <c r="AN104" s="37" t="n"/>
      <c r="AO104" s="37" t="n"/>
      <c r="AP104" s="37" t="n"/>
      <c r="AQ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/>
      <c r="AB105" s="37" t="n"/>
      <c r="AC105" s="37" t="n"/>
      <c r="AD105" s="37" t="n"/>
      <c r="AE105" s="37" t="n"/>
      <c r="AF105" s="37" t="n"/>
      <c r="AG105" s="37" t="n"/>
      <c r="AH105" s="37" t="n"/>
      <c r="AI105" s="37" t="n"/>
      <c r="AJ105" s="37" t="n"/>
      <c r="AK105" s="37" t="n"/>
      <c r="AL105" s="37" t="n"/>
      <c r="AM105" s="37" t="n"/>
      <c r="AN105" s="37" t="n"/>
      <c r="AO105" s="37" t="n"/>
      <c r="AP105" s="37" t="n"/>
      <c r="AQ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/>
      <c r="AB106" s="37" t="n"/>
      <c r="AC106" s="37" t="n"/>
      <c r="AD106" s="37" t="n"/>
      <c r="AE106" s="37" t="n"/>
      <c r="AF106" s="37" t="n"/>
      <c r="AG106" s="37" t="n"/>
      <c r="AH106" s="37" t="n"/>
      <c r="AI106" s="37" t="n"/>
      <c r="AJ106" s="37" t="n"/>
      <c r="AK106" s="37" t="n"/>
      <c r="AL106" s="37" t="n"/>
      <c r="AM106" s="37" t="n"/>
      <c r="AN106" s="37" t="n"/>
      <c r="AO106" s="37" t="n"/>
      <c r="AP106" s="37" t="n"/>
      <c r="AQ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/>
      <c r="AB107" s="37" t="n"/>
      <c r="AC107" s="37" t="n"/>
      <c r="AD107" s="37" t="n"/>
      <c r="AE107" s="37" t="n"/>
      <c r="AF107" s="37" t="n"/>
      <c r="AG107" s="37" t="n"/>
      <c r="AH107" s="37" t="n"/>
      <c r="AI107" s="37" t="n"/>
      <c r="AJ107" s="37" t="n"/>
      <c r="AK107" s="37" t="n"/>
      <c r="AL107" s="37" t="n"/>
      <c r="AM107" s="37" t="n"/>
      <c r="AN107" s="37" t="n"/>
      <c r="AO107" s="37" t="n"/>
      <c r="AP107" s="37" t="n"/>
      <c r="AQ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/>
      <c r="AB108" s="37" t="n"/>
      <c r="AC108" s="37" t="n"/>
      <c r="AD108" s="37" t="n"/>
      <c r="AE108" s="37" t="n"/>
      <c r="AF108" s="37" t="n"/>
      <c r="AG108" s="37" t="n"/>
      <c r="AH108" s="37" t="n"/>
      <c r="AI108" s="37" t="n"/>
      <c r="AJ108" s="37" t="n"/>
      <c r="AK108" s="37" t="n"/>
      <c r="AL108" s="37" t="n"/>
      <c r="AM108" s="37" t="n"/>
      <c r="AN108" s="37" t="n"/>
      <c r="AO108" s="37" t="n"/>
      <c r="AP108" s="37" t="n"/>
      <c r="AQ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/>
      <c r="AB109" s="37" t="n"/>
      <c r="AC109" s="37" t="n"/>
      <c r="AD109" s="37" t="n"/>
      <c r="AE109" s="37" t="n"/>
      <c r="AF109" s="37" t="n"/>
      <c r="AG109" s="37" t="n"/>
      <c r="AH109" s="37" t="n"/>
      <c r="AI109" s="37" t="n"/>
      <c r="AJ109" s="37" t="n"/>
      <c r="AK109" s="37" t="n"/>
      <c r="AL109" s="37" t="n"/>
      <c r="AM109" s="37" t="n"/>
      <c r="AN109" s="37" t="n"/>
      <c r="AO109" s="37" t="n"/>
      <c r="AP109" s="37" t="n"/>
      <c r="AQ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/>
      <c r="AB110" s="37" t="n"/>
      <c r="AC110" s="37" t="n"/>
      <c r="AD110" s="37" t="n"/>
      <c r="AE110" s="37" t="n"/>
      <c r="AF110" s="37" t="n"/>
      <c r="AG110" s="37" t="n"/>
      <c r="AH110" s="37" t="n"/>
      <c r="AI110" s="37" t="n"/>
      <c r="AJ110" s="37" t="n"/>
      <c r="AK110" s="37" t="n"/>
      <c r="AL110" s="37" t="n"/>
      <c r="AM110" s="37" t="n"/>
      <c r="AN110" s="37" t="n"/>
      <c r="AO110" s="37" t="n"/>
      <c r="AP110" s="37" t="n"/>
      <c r="AQ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/>
      <c r="AB111" s="37" t="n"/>
      <c r="AC111" s="37" t="n"/>
      <c r="AD111" s="37" t="n"/>
      <c r="AE111" s="37" t="n"/>
      <c r="AF111" s="37" t="n"/>
      <c r="AG111" s="37" t="n"/>
      <c r="AH111" s="37" t="n"/>
      <c r="AI111" s="37" t="n"/>
      <c r="AJ111" s="37" t="n"/>
      <c r="AK111" s="37" t="n"/>
      <c r="AL111" s="37" t="n"/>
      <c r="AM111" s="37" t="n"/>
      <c r="AN111" s="37" t="n"/>
      <c r="AO111" s="37" t="n"/>
      <c r="AP111" s="37" t="n"/>
      <c r="AQ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/>
      <c r="AB112" s="37" t="n"/>
      <c r="AC112" s="37" t="n"/>
      <c r="AD112" s="37" t="n"/>
      <c r="AE112" s="37" t="n"/>
      <c r="AF112" s="37" t="n"/>
      <c r="AG112" s="37" t="n"/>
      <c r="AH112" s="37" t="n"/>
      <c r="AI112" s="37" t="n"/>
      <c r="AJ112" s="37" t="n"/>
      <c r="AK112" s="37" t="n"/>
      <c r="AL112" s="37" t="n"/>
      <c r="AM112" s="37" t="n"/>
      <c r="AN112" s="37" t="n"/>
      <c r="AO112" s="37" t="n"/>
      <c r="AP112" s="37" t="n"/>
      <c r="AQ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/>
      <c r="AB113" s="37" t="n"/>
      <c r="AC113" s="37" t="n"/>
      <c r="AD113" s="37" t="n"/>
      <c r="AE113" s="37" t="n"/>
      <c r="AF113" s="37" t="n"/>
      <c r="AG113" s="37" t="n"/>
      <c r="AH113" s="37" t="n"/>
      <c r="AI113" s="37" t="n"/>
      <c r="AJ113" s="37" t="n"/>
      <c r="AK113" s="37" t="n"/>
      <c r="AL113" s="37" t="n"/>
      <c r="AM113" s="37" t="n"/>
      <c r="AN113" s="37" t="n"/>
      <c r="AO113" s="37" t="n"/>
      <c r="AP113" s="37" t="n"/>
      <c r="AQ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/>
      <c r="AB114" s="37" t="n"/>
      <c r="AC114" s="37" t="n"/>
      <c r="AD114" s="37" t="n"/>
      <c r="AE114" s="37" t="n"/>
      <c r="AF114" s="37" t="n"/>
      <c r="AG114" s="37" t="n"/>
      <c r="AH114" s="37" t="n"/>
      <c r="AI114" s="37" t="n"/>
      <c r="AJ114" s="37" t="n"/>
      <c r="AK114" s="37" t="n"/>
      <c r="AL114" s="37" t="n"/>
      <c r="AM114" s="37" t="n"/>
      <c r="AN114" s="37" t="n"/>
      <c r="AO114" s="37" t="n"/>
      <c r="AP114" s="37" t="n"/>
      <c r="AQ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/>
      <c r="AB115" s="37" t="n"/>
      <c r="AC115" s="37" t="n"/>
      <c r="AD115" s="37" t="n"/>
      <c r="AE115" s="37" t="n"/>
      <c r="AF115" s="37" t="n"/>
      <c r="AG115" s="37" t="n"/>
      <c r="AH115" s="37" t="n"/>
      <c r="AI115" s="37" t="n"/>
      <c r="AJ115" s="37" t="n"/>
      <c r="AK115" s="37" t="n"/>
      <c r="AL115" s="37" t="n"/>
      <c r="AM115" s="37" t="n"/>
      <c r="AN115" s="37" t="n"/>
      <c r="AO115" s="37" t="n"/>
      <c r="AP115" s="37" t="n"/>
      <c r="AQ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/>
      <c r="AB116" s="37" t="n"/>
      <c r="AC116" s="37" t="n"/>
      <c r="AD116" s="37" t="n"/>
      <c r="AE116" s="37" t="n"/>
      <c r="AF116" s="37" t="n"/>
      <c r="AG116" s="37" t="n"/>
      <c r="AH116" s="37" t="n"/>
      <c r="AI116" s="37" t="n"/>
      <c r="AJ116" s="37" t="n"/>
      <c r="AK116" s="37" t="n"/>
      <c r="AL116" s="37" t="n"/>
      <c r="AM116" s="37" t="n"/>
      <c r="AN116" s="37" t="n"/>
      <c r="AO116" s="37" t="n"/>
      <c r="AP116" s="37" t="n"/>
      <c r="AQ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/>
      <c r="AB117" s="37" t="n"/>
      <c r="AC117" s="37" t="n"/>
      <c r="AD117" s="37" t="n"/>
      <c r="AE117" s="37" t="n"/>
      <c r="AF117" s="37" t="n"/>
      <c r="AG117" s="37" t="n"/>
      <c r="AH117" s="37" t="n"/>
      <c r="AI117" s="37" t="n"/>
      <c r="AJ117" s="37" t="n"/>
      <c r="AK117" s="37" t="n"/>
      <c r="AL117" s="37" t="n"/>
      <c r="AM117" s="37" t="n"/>
      <c r="AN117" s="37" t="n"/>
      <c r="AO117" s="37" t="n"/>
      <c r="AP117" s="37" t="n"/>
      <c r="AQ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/>
      <c r="AB118" s="37" t="n"/>
      <c r="AC118" s="37" t="n"/>
      <c r="AD118" s="37" t="n"/>
      <c r="AE118" s="37" t="n"/>
      <c r="AF118" s="37" t="n"/>
      <c r="AG118" s="37" t="n"/>
      <c r="AH118" s="37" t="n"/>
      <c r="AI118" s="37" t="n"/>
      <c r="AJ118" s="37" t="n"/>
      <c r="AK118" s="37" t="n"/>
      <c r="AL118" s="37" t="n"/>
      <c r="AM118" s="37" t="n"/>
      <c r="AN118" s="37" t="n"/>
      <c r="AO118" s="37" t="n"/>
      <c r="AP118" s="37" t="n"/>
      <c r="AQ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/>
      <c r="AB119" s="37" t="n"/>
      <c r="AC119" s="37" t="n"/>
      <c r="AD119" s="37" t="n"/>
      <c r="AE119" s="37" t="n"/>
      <c r="AF119" s="37" t="n"/>
      <c r="AG119" s="37" t="n"/>
      <c r="AH119" s="37" t="n"/>
      <c r="AI119" s="37" t="n"/>
      <c r="AJ119" s="37" t="n"/>
      <c r="AK119" s="37" t="n"/>
      <c r="AL119" s="37" t="n"/>
      <c r="AM119" s="37" t="n"/>
      <c r="AN119" s="37" t="n"/>
      <c r="AO119" s="37" t="n"/>
      <c r="AP119" s="37" t="n"/>
      <c r="AQ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/>
      <c r="AB120" s="37" t="n"/>
      <c r="AC120" s="37" t="n"/>
      <c r="AD120" s="37" t="n"/>
      <c r="AE120" s="37" t="n"/>
      <c r="AF120" s="37" t="n"/>
      <c r="AG120" s="37" t="n"/>
      <c r="AH120" s="37" t="n"/>
      <c r="AI120" s="37" t="n"/>
      <c r="AJ120" s="37" t="n"/>
      <c r="AK120" s="37" t="n"/>
      <c r="AL120" s="37" t="n"/>
      <c r="AM120" s="37" t="n"/>
      <c r="AN120" s="37" t="n"/>
      <c r="AO120" s="37" t="n"/>
      <c r="AP120" s="37" t="n"/>
      <c r="AQ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/>
      <c r="AB121" s="37" t="n"/>
      <c r="AC121" s="37" t="n"/>
      <c r="AD121" s="37" t="n"/>
      <c r="AE121" s="37" t="n"/>
      <c r="AF121" s="37" t="n"/>
      <c r="AG121" s="37" t="n"/>
      <c r="AH121" s="37" t="n"/>
      <c r="AI121" s="37" t="n"/>
      <c r="AJ121" s="37" t="n"/>
      <c r="AK121" s="37" t="n"/>
      <c r="AL121" s="37" t="n"/>
      <c r="AM121" s="37" t="n"/>
      <c r="AN121" s="37" t="n"/>
      <c r="AO121" s="37" t="n"/>
      <c r="AP121" s="37" t="n"/>
      <c r="AQ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/>
      <c r="AB122" s="37" t="n"/>
      <c r="AC122" s="37" t="n"/>
      <c r="AD122" s="37" t="n"/>
      <c r="AE122" s="37" t="n"/>
      <c r="AF122" s="37" t="n"/>
      <c r="AG122" s="37" t="n"/>
      <c r="AH122" s="37" t="n"/>
      <c r="AI122" s="37" t="n"/>
      <c r="AJ122" s="37" t="n"/>
      <c r="AK122" s="37" t="n"/>
      <c r="AL122" s="37" t="n"/>
      <c r="AM122" s="37" t="n"/>
      <c r="AN122" s="37" t="n"/>
      <c r="AO122" s="37" t="n"/>
      <c r="AP122" s="37" t="n"/>
      <c r="AQ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/>
      <c r="AB123" s="37" t="n"/>
      <c r="AC123" s="37" t="n"/>
      <c r="AD123" s="37" t="n"/>
      <c r="AE123" s="37" t="n"/>
      <c r="AF123" s="37" t="n"/>
      <c r="AG123" s="37" t="n"/>
      <c r="AH123" s="37" t="n"/>
      <c r="AI123" s="37" t="n"/>
      <c r="AJ123" s="37" t="n"/>
      <c r="AK123" s="37" t="n"/>
      <c r="AL123" s="37" t="n"/>
      <c r="AM123" s="37" t="n"/>
      <c r="AN123" s="37" t="n"/>
      <c r="AO123" s="37" t="n"/>
      <c r="AP123" s="37" t="n"/>
      <c r="AQ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/>
      <c r="AB124" s="37" t="n"/>
      <c r="AC124" s="37" t="n"/>
      <c r="AD124" s="37" t="n"/>
      <c r="AE124" s="37" t="n"/>
      <c r="AF124" s="37" t="n"/>
      <c r="AG124" s="37" t="n"/>
      <c r="AH124" s="37" t="n"/>
      <c r="AI124" s="37" t="n"/>
      <c r="AJ124" s="37" t="n"/>
      <c r="AK124" s="37" t="n"/>
      <c r="AL124" s="37" t="n"/>
      <c r="AM124" s="37" t="n"/>
      <c r="AN124" s="37" t="n"/>
      <c r="AO124" s="37" t="n"/>
      <c r="AP124" s="37" t="n"/>
      <c r="AQ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/>
      <c r="AB125" s="37" t="n"/>
      <c r="AC125" s="37" t="n"/>
      <c r="AD125" s="37" t="n"/>
      <c r="AE125" s="37" t="n"/>
      <c r="AF125" s="37" t="n"/>
      <c r="AG125" s="37" t="n"/>
      <c r="AH125" s="37" t="n"/>
      <c r="AI125" s="37" t="n"/>
      <c r="AJ125" s="37" t="n"/>
      <c r="AK125" s="37" t="n"/>
      <c r="AL125" s="37" t="n"/>
      <c r="AM125" s="37" t="n"/>
      <c r="AN125" s="37" t="n"/>
      <c r="AO125" s="37" t="n"/>
      <c r="AP125" s="37" t="n"/>
      <c r="AQ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/>
      <c r="AB126" s="37" t="n"/>
      <c r="AC126" s="37" t="n"/>
      <c r="AD126" s="37" t="n"/>
      <c r="AE126" s="37" t="n"/>
      <c r="AF126" s="37" t="n"/>
      <c r="AG126" s="37" t="n"/>
      <c r="AH126" s="37" t="n"/>
      <c r="AI126" s="37" t="n"/>
      <c r="AJ126" s="37" t="n"/>
      <c r="AK126" s="37" t="n"/>
      <c r="AL126" s="37" t="n"/>
      <c r="AM126" s="37" t="n"/>
      <c r="AN126" s="37" t="n"/>
      <c r="AO126" s="37" t="n"/>
      <c r="AP126" s="37" t="n"/>
      <c r="AQ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/>
      <c r="AB127" s="37" t="n"/>
      <c r="AC127" s="37" t="n"/>
      <c r="AD127" s="37" t="n"/>
      <c r="AE127" s="37" t="n"/>
      <c r="AF127" s="37" t="n"/>
      <c r="AG127" s="37" t="n"/>
      <c r="AH127" s="37" t="n"/>
      <c r="AI127" s="37" t="n"/>
      <c r="AJ127" s="37" t="n"/>
      <c r="AK127" s="37" t="n"/>
      <c r="AL127" s="37" t="n"/>
      <c r="AM127" s="37" t="n"/>
      <c r="AN127" s="37" t="n"/>
      <c r="AO127" s="37" t="n"/>
      <c r="AP127" s="37" t="n"/>
      <c r="AQ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/>
      <c r="AB128" s="37" t="n"/>
      <c r="AC128" s="37" t="n"/>
      <c r="AD128" s="37" t="n"/>
      <c r="AE128" s="37" t="n"/>
      <c r="AF128" s="37" t="n"/>
      <c r="AG128" s="37" t="n"/>
      <c r="AH128" s="37" t="n"/>
      <c r="AI128" s="37" t="n"/>
      <c r="AJ128" s="37" t="n"/>
      <c r="AK128" s="37" t="n"/>
      <c r="AL128" s="37" t="n"/>
      <c r="AM128" s="37" t="n"/>
      <c r="AN128" s="37" t="n"/>
      <c r="AO128" s="37" t="n"/>
      <c r="AP128" s="37" t="n"/>
      <c r="AQ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/>
      <c r="AB129" s="37" t="n"/>
      <c r="AC129" s="37" t="n"/>
      <c r="AD129" s="37" t="n"/>
      <c r="AE129" s="37" t="n"/>
      <c r="AF129" s="37" t="n"/>
      <c r="AG129" s="37" t="n"/>
      <c r="AH129" s="37" t="n"/>
      <c r="AI129" s="37" t="n"/>
      <c r="AJ129" s="37" t="n"/>
      <c r="AK129" s="37" t="n"/>
      <c r="AL129" s="37" t="n"/>
      <c r="AM129" s="37" t="n"/>
      <c r="AN129" s="37" t="n"/>
      <c r="AO129" s="37" t="n"/>
      <c r="AP129" s="37" t="n"/>
      <c r="AQ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/>
      <c r="AB130" s="37" t="n"/>
      <c r="AC130" s="37" t="n"/>
      <c r="AD130" s="37" t="n"/>
      <c r="AE130" s="37" t="n"/>
      <c r="AF130" s="37" t="n"/>
      <c r="AG130" s="37" t="n"/>
      <c r="AH130" s="37" t="n"/>
      <c r="AI130" s="37" t="n"/>
      <c r="AJ130" s="37" t="n"/>
      <c r="AK130" s="37" t="n"/>
      <c r="AL130" s="37" t="n"/>
      <c r="AM130" s="37" t="n"/>
      <c r="AN130" s="37" t="n"/>
      <c r="AO130" s="37" t="n"/>
      <c r="AP130" s="37" t="n"/>
      <c r="AQ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/>
      <c r="AB131" s="37" t="n"/>
      <c r="AC131" s="37" t="n"/>
      <c r="AD131" s="37" t="n"/>
      <c r="AE131" s="37" t="n"/>
      <c r="AF131" s="37" t="n"/>
      <c r="AG131" s="37" t="n"/>
      <c r="AH131" s="37" t="n"/>
      <c r="AI131" s="37" t="n"/>
      <c r="AJ131" s="37" t="n"/>
      <c r="AK131" s="37" t="n"/>
      <c r="AL131" s="37" t="n"/>
      <c r="AM131" s="37" t="n"/>
      <c r="AN131" s="37" t="n"/>
      <c r="AO131" s="37" t="n"/>
      <c r="AP131" s="37" t="n"/>
      <c r="AQ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/>
      <c r="AB132" s="37" t="n"/>
      <c r="AC132" s="37" t="n"/>
      <c r="AD132" s="37" t="n"/>
      <c r="AE132" s="37" t="n"/>
      <c r="AF132" s="37" t="n"/>
      <c r="AG132" s="37" t="n"/>
      <c r="AH132" s="37" t="n"/>
      <c r="AI132" s="37" t="n"/>
      <c r="AJ132" s="37" t="n"/>
      <c r="AK132" s="37" t="n"/>
      <c r="AL132" s="37" t="n"/>
      <c r="AM132" s="37" t="n"/>
      <c r="AN132" s="37" t="n"/>
      <c r="AO132" s="37" t="n"/>
      <c r="AP132" s="37" t="n"/>
      <c r="AQ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/>
      <c r="AB133" s="37" t="n"/>
      <c r="AC133" s="37" t="n"/>
      <c r="AD133" s="37" t="n"/>
      <c r="AE133" s="37" t="n"/>
      <c r="AF133" s="37" t="n"/>
      <c r="AG133" s="37" t="n"/>
      <c r="AH133" s="37" t="n"/>
      <c r="AI133" s="37" t="n"/>
      <c r="AJ133" s="37" t="n"/>
      <c r="AK133" s="37" t="n"/>
      <c r="AL133" s="37" t="n"/>
      <c r="AM133" s="37" t="n"/>
      <c r="AN133" s="37" t="n"/>
      <c r="AO133" s="37" t="n"/>
      <c r="AP133" s="37" t="n"/>
      <c r="AQ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/>
      <c r="AB134" s="37" t="n"/>
      <c r="AC134" s="37" t="n"/>
      <c r="AD134" s="37" t="n"/>
      <c r="AE134" s="37" t="n"/>
      <c r="AF134" s="37" t="n"/>
      <c r="AG134" s="37" t="n"/>
      <c r="AH134" s="37" t="n"/>
      <c r="AI134" s="37" t="n"/>
      <c r="AJ134" s="37" t="n"/>
      <c r="AK134" s="37" t="n"/>
      <c r="AL134" s="37" t="n"/>
      <c r="AM134" s="37" t="n"/>
      <c r="AN134" s="37" t="n"/>
      <c r="AO134" s="37" t="n"/>
      <c r="AP134" s="37" t="n"/>
      <c r="AQ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/>
      <c r="AB135" s="37" t="n"/>
      <c r="AC135" s="37" t="n"/>
      <c r="AD135" s="37" t="n"/>
      <c r="AE135" s="37" t="n"/>
      <c r="AF135" s="37" t="n"/>
      <c r="AG135" s="37" t="n"/>
      <c r="AH135" s="37" t="n"/>
      <c r="AI135" s="37" t="n"/>
      <c r="AJ135" s="37" t="n"/>
      <c r="AK135" s="37" t="n"/>
      <c r="AL135" s="37" t="n"/>
      <c r="AM135" s="37" t="n"/>
      <c r="AN135" s="37" t="n"/>
      <c r="AO135" s="37" t="n"/>
      <c r="AP135" s="37" t="n"/>
      <c r="AQ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/>
      <c r="AB136" s="37" t="n"/>
      <c r="AC136" s="37" t="n"/>
      <c r="AD136" s="37" t="n"/>
      <c r="AE136" s="37" t="n"/>
      <c r="AF136" s="37" t="n"/>
      <c r="AG136" s="37" t="n"/>
      <c r="AH136" s="37" t="n"/>
      <c r="AI136" s="37" t="n"/>
      <c r="AJ136" s="37" t="n"/>
      <c r="AK136" s="37" t="n"/>
      <c r="AL136" s="37" t="n"/>
      <c r="AM136" s="37" t="n"/>
      <c r="AN136" s="37" t="n"/>
      <c r="AO136" s="37" t="n"/>
      <c r="AP136" s="37" t="n"/>
      <c r="AQ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/>
      <c r="AB137" s="37" t="n"/>
      <c r="AC137" s="37" t="n"/>
      <c r="AD137" s="37" t="n"/>
      <c r="AE137" s="37" t="n"/>
      <c r="AF137" s="37" t="n"/>
      <c r="AG137" s="37" t="n"/>
      <c r="AH137" s="37" t="n"/>
      <c r="AI137" s="37" t="n"/>
      <c r="AJ137" s="37" t="n"/>
      <c r="AK137" s="37" t="n"/>
      <c r="AL137" s="37" t="n"/>
      <c r="AM137" s="37" t="n"/>
      <c r="AN137" s="37" t="n"/>
      <c r="AO137" s="37" t="n"/>
      <c r="AP137" s="37" t="n"/>
      <c r="AQ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/>
      <c r="AB138" s="37" t="n"/>
      <c r="AC138" s="37" t="n"/>
      <c r="AD138" s="37" t="n"/>
      <c r="AE138" s="37" t="n"/>
      <c r="AF138" s="37" t="n"/>
      <c r="AG138" s="37" t="n"/>
      <c r="AH138" s="37" t="n"/>
      <c r="AI138" s="37" t="n"/>
      <c r="AJ138" s="37" t="n"/>
      <c r="AK138" s="37" t="n"/>
      <c r="AL138" s="37" t="n"/>
      <c r="AM138" s="37" t="n"/>
      <c r="AN138" s="37" t="n"/>
      <c r="AO138" s="37" t="n"/>
      <c r="AP138" s="37" t="n"/>
      <c r="AQ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/>
      <c r="AB139" s="37" t="n"/>
      <c r="AC139" s="37" t="n"/>
      <c r="AD139" s="37" t="n"/>
      <c r="AE139" s="37" t="n"/>
      <c r="AF139" s="37" t="n"/>
      <c r="AG139" s="37" t="n"/>
      <c r="AH139" s="37" t="n"/>
      <c r="AI139" s="37" t="n"/>
      <c r="AJ139" s="37" t="n"/>
      <c r="AK139" s="37" t="n"/>
      <c r="AL139" s="37" t="n"/>
      <c r="AM139" s="37" t="n"/>
      <c r="AN139" s="37" t="n"/>
      <c r="AO139" s="37" t="n"/>
      <c r="AP139" s="37" t="n"/>
      <c r="AQ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/>
      <c r="AB140" s="37" t="n"/>
      <c r="AC140" s="37" t="n"/>
      <c r="AD140" s="37" t="n"/>
      <c r="AE140" s="37" t="n"/>
      <c r="AF140" s="37" t="n"/>
      <c r="AG140" s="37" t="n"/>
      <c r="AH140" s="37" t="n"/>
      <c r="AI140" s="37" t="n"/>
      <c r="AJ140" s="37" t="n"/>
      <c r="AK140" s="37" t="n"/>
      <c r="AL140" s="37" t="n"/>
      <c r="AM140" s="37" t="n"/>
      <c r="AN140" s="37" t="n"/>
      <c r="AO140" s="37" t="n"/>
      <c r="AP140" s="37" t="n"/>
      <c r="AQ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/>
      <c r="AB141" s="37" t="n"/>
      <c r="AC141" s="37" t="n"/>
      <c r="AD141" s="37" t="n"/>
      <c r="AE141" s="37" t="n"/>
      <c r="AF141" s="37" t="n"/>
      <c r="AG141" s="37" t="n"/>
      <c r="AH141" s="37" t="n"/>
      <c r="AI141" s="37" t="n"/>
      <c r="AJ141" s="37" t="n"/>
      <c r="AK141" s="37" t="n"/>
      <c r="AL141" s="37" t="n"/>
      <c r="AM141" s="37" t="n"/>
      <c r="AN141" s="37" t="n"/>
      <c r="AO141" s="37" t="n"/>
      <c r="AP141" s="37" t="n"/>
      <c r="AQ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/>
      <c r="AB142" s="37" t="n"/>
      <c r="AC142" s="37" t="n"/>
      <c r="AD142" s="37" t="n"/>
      <c r="AE142" s="37" t="n"/>
      <c r="AF142" s="37" t="n"/>
      <c r="AG142" s="37" t="n"/>
      <c r="AH142" s="37" t="n"/>
      <c r="AI142" s="37" t="n"/>
      <c r="AJ142" s="37" t="n"/>
      <c r="AK142" s="37" t="n"/>
      <c r="AL142" s="37" t="n"/>
      <c r="AM142" s="37" t="n"/>
      <c r="AN142" s="37" t="n"/>
      <c r="AO142" s="37" t="n"/>
      <c r="AP142" s="37" t="n"/>
      <c r="AQ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/>
      <c r="AB143" s="37" t="n"/>
      <c r="AC143" s="37" t="n"/>
      <c r="AD143" s="37" t="n"/>
      <c r="AE143" s="37" t="n"/>
      <c r="AF143" s="37" t="n"/>
      <c r="AG143" s="37" t="n"/>
      <c r="AH143" s="37" t="n"/>
      <c r="AI143" s="37" t="n"/>
      <c r="AJ143" s="37" t="n"/>
      <c r="AK143" s="37" t="n"/>
      <c r="AL143" s="37" t="n"/>
      <c r="AM143" s="37" t="n"/>
      <c r="AN143" s="37" t="n"/>
      <c r="AO143" s="37" t="n"/>
      <c r="AP143" s="37" t="n"/>
      <c r="AQ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/>
      <c r="AB144" s="37" t="n"/>
      <c r="AC144" s="37" t="n"/>
      <c r="AD144" s="37" t="n"/>
      <c r="AE144" s="37" t="n"/>
      <c r="AF144" s="37" t="n"/>
      <c r="AG144" s="37" t="n"/>
      <c r="AH144" s="37" t="n"/>
      <c r="AI144" s="37" t="n"/>
      <c r="AJ144" s="37" t="n"/>
      <c r="AK144" s="37" t="n"/>
      <c r="AL144" s="37" t="n"/>
      <c r="AM144" s="37" t="n"/>
      <c r="AN144" s="37" t="n"/>
      <c r="AO144" s="37" t="n"/>
      <c r="AP144" s="37" t="n"/>
      <c r="AQ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/>
      <c r="AB145" s="37" t="n"/>
      <c r="AC145" s="37" t="n"/>
      <c r="AD145" s="37" t="n"/>
      <c r="AE145" s="37" t="n"/>
      <c r="AF145" s="37" t="n"/>
      <c r="AG145" s="37" t="n"/>
      <c r="AH145" s="37" t="n"/>
      <c r="AI145" s="37" t="n"/>
      <c r="AJ145" s="37" t="n"/>
      <c r="AK145" s="37" t="n"/>
      <c r="AL145" s="37" t="n"/>
      <c r="AM145" s="37" t="n"/>
      <c r="AN145" s="37" t="n"/>
      <c r="AO145" s="37" t="n"/>
      <c r="AP145" s="37" t="n"/>
      <c r="AQ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/>
      <c r="AB146" s="37" t="n"/>
      <c r="AC146" s="37" t="n"/>
      <c r="AD146" s="37" t="n"/>
      <c r="AE146" s="37" t="n"/>
      <c r="AF146" s="37" t="n"/>
      <c r="AG146" s="37" t="n"/>
      <c r="AH146" s="37" t="n"/>
      <c r="AI146" s="37" t="n"/>
      <c r="AJ146" s="37" t="n"/>
      <c r="AK146" s="37" t="n"/>
      <c r="AL146" s="37" t="n"/>
      <c r="AM146" s="37" t="n"/>
      <c r="AN146" s="37" t="n"/>
      <c r="AO146" s="37" t="n"/>
      <c r="AP146" s="37" t="n"/>
      <c r="AQ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/>
      <c r="AB147" s="37" t="n"/>
      <c r="AC147" s="37" t="n"/>
      <c r="AD147" s="37" t="n"/>
      <c r="AE147" s="37" t="n"/>
      <c r="AF147" s="37" t="n"/>
      <c r="AG147" s="37" t="n"/>
      <c r="AH147" s="37" t="n"/>
      <c r="AI147" s="37" t="n"/>
      <c r="AJ147" s="37" t="n"/>
      <c r="AK147" s="37" t="n"/>
      <c r="AL147" s="37" t="n"/>
      <c r="AM147" s="37" t="n"/>
      <c r="AN147" s="37" t="n"/>
      <c r="AO147" s="37" t="n"/>
      <c r="AP147" s="37" t="n"/>
      <c r="AQ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/>
      <c r="AB148" s="37" t="n"/>
      <c r="AC148" s="37" t="n"/>
      <c r="AD148" s="37" t="n"/>
      <c r="AE148" s="37" t="n"/>
      <c r="AF148" s="37" t="n"/>
      <c r="AG148" s="37" t="n"/>
      <c r="AH148" s="37" t="n"/>
      <c r="AI148" s="37" t="n"/>
      <c r="AJ148" s="37" t="n"/>
      <c r="AK148" s="37" t="n"/>
      <c r="AL148" s="37" t="n"/>
      <c r="AM148" s="37" t="n"/>
      <c r="AN148" s="37" t="n"/>
      <c r="AO148" s="37" t="n"/>
      <c r="AP148" s="37" t="n"/>
      <c r="AQ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/>
      <c r="AB149" s="37" t="n"/>
      <c r="AC149" s="37" t="n"/>
      <c r="AD149" s="37" t="n"/>
      <c r="AE149" s="37" t="n"/>
      <c r="AF149" s="37" t="n"/>
      <c r="AG149" s="37" t="n"/>
      <c r="AH149" s="37" t="n"/>
      <c r="AI149" s="37" t="n"/>
      <c r="AJ149" s="37" t="n"/>
      <c r="AK149" s="37" t="n"/>
      <c r="AL149" s="37" t="n"/>
      <c r="AM149" s="37" t="n"/>
      <c r="AN149" s="37" t="n"/>
      <c r="AO149" s="37" t="n"/>
      <c r="AP149" s="37" t="n"/>
      <c r="AQ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/>
      <c r="AB150" s="37" t="n"/>
      <c r="AC150" s="37" t="n"/>
      <c r="AD150" s="37" t="n"/>
      <c r="AE150" s="37" t="n"/>
      <c r="AF150" s="37" t="n"/>
      <c r="AG150" s="37" t="n"/>
      <c r="AH150" s="37" t="n"/>
      <c r="AI150" s="37" t="n"/>
      <c r="AJ150" s="37" t="n"/>
      <c r="AK150" s="37" t="n"/>
      <c r="AL150" s="37" t="n"/>
      <c r="AM150" s="37" t="n"/>
      <c r="AN150" s="37" t="n"/>
      <c r="AO150" s="37" t="n"/>
      <c r="AP150" s="37" t="n"/>
      <c r="AQ150" s="37" t="n"/>
    </row>
  </sheetData>
  <autoFilter ref="I1:P5">
    <filterColumn colId="0" hiddenButton="0" showButton="0"/>
    <filterColumn colId="1" hiddenButton="0" showButton="0"/>
    <filterColumn colId="2" hiddenButton="0" showButton="0"/>
    <filterColumn colId="3" hiddenButton="0" showButton="0"/>
    <filterColumn colId="4" hiddenButton="0" showButton="0"/>
    <filterColumn colId="5" hiddenButton="0" showButton="0"/>
  </autoFilter>
  <mergeCells count="11">
    <mergeCell ref="U1:X1"/>
    <mergeCell ref="Q1:T1"/>
    <mergeCell ref="C1:C2"/>
    <mergeCell ref="D1:D2"/>
    <mergeCell ref="B1:B2"/>
    <mergeCell ref="F1:F2"/>
    <mergeCell ref="E1:E2"/>
    <mergeCell ref="H1:H2"/>
    <mergeCell ref="G1:G2"/>
    <mergeCell ref="I1:P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50"/>
  <sheetViews>
    <sheetView tabSelected="1" zoomScale="84"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W2" sqref="W1:X1048576"/>
    </sheetView>
  </sheetViews>
  <sheetFormatPr baseColWidth="8" defaultRowHeight="14.25"/>
  <cols>
    <col width="12" customWidth="1" min="1" max="2"/>
    <col width="11" customWidth="1" min="3" max="3"/>
    <col width="22" customWidth="1" min="4" max="5"/>
    <col width="12" customWidth="1" min="6" max="8"/>
    <col width="13" customWidth="1" min="9" max="12"/>
    <col width="13.6640625" customWidth="1" min="13" max="13"/>
    <col width="13" customWidth="1" min="14" max="16"/>
    <col width="13" customWidth="1" style="25" min="17" max="17"/>
    <col width="13" customWidth="1" min="18" max="18"/>
    <col width="10" customWidth="1" min="19" max="19"/>
    <col width="11" customWidth="1" min="20" max="20"/>
    <col width="12" customWidth="1" min="21" max="22"/>
    <col width="28.33203125" customWidth="1" min="23" max="24"/>
    <col width="12" customWidth="1" min="25" max="25"/>
    <col width="10" customWidth="1" min="26" max="27"/>
    <col width="12" customWidth="1" min="28" max="29"/>
  </cols>
  <sheetData>
    <row r="1" ht="27" customHeight="1">
      <c r="A1" s="67" t="inlineStr">
        <is>
          <t>年月（自然月）</t>
        </is>
      </c>
      <c r="B1" s="67" t="inlineStr">
        <is>
          <t>顾问姓名</t>
        </is>
      </c>
      <c r="C1" s="67" t="inlineStr">
        <is>
          <t>二级部门</t>
        </is>
      </c>
      <c r="D1" s="67" t="inlineStr">
        <is>
          <t>三级部门</t>
        </is>
      </c>
      <c r="E1" s="67" t="inlineStr">
        <is>
          <t>岗位</t>
        </is>
      </c>
      <c r="F1" s="66" t="inlineStr">
        <is>
          <t>奖金</t>
        </is>
      </c>
      <c r="G1" s="66" t="inlineStr">
        <is>
          <t>实发绩效</t>
        </is>
      </c>
      <c r="H1" s="66" t="inlineStr">
        <is>
          <t>实发提成</t>
        </is>
      </c>
      <c r="I1" s="64" t="inlineStr">
        <is>
          <t>月度业绩</t>
        </is>
      </c>
      <c r="J1" s="58" t="n"/>
      <c r="K1" s="58" t="n"/>
      <c r="L1" s="58" t="n"/>
      <c r="M1" s="58" t="n"/>
      <c r="N1" s="58" t="n"/>
      <c r="O1" s="58" t="n"/>
      <c r="P1" s="59" t="n"/>
      <c r="Q1" s="21" t="n"/>
      <c r="R1" s="14" t="n"/>
      <c r="S1" s="68" t="inlineStr">
        <is>
          <t>月度绩效</t>
        </is>
      </c>
      <c r="T1" s="58" t="n"/>
      <c r="U1" s="58" t="n"/>
      <c r="V1" s="58" t="n"/>
      <c r="W1" s="58" t="n"/>
      <c r="X1" s="59" t="n"/>
      <c r="Y1" s="16" t="n"/>
      <c r="Z1" s="17" t="n"/>
      <c r="AA1" s="16" t="n"/>
      <c r="AB1" s="16" t="n"/>
      <c r="AC1" s="16" t="n"/>
      <c r="AD1" s="16" t="n"/>
      <c r="AE1" s="16" t="n"/>
      <c r="AF1" s="16" t="n"/>
      <c r="AG1" s="16" t="n"/>
      <c r="AH1" s="16" t="n"/>
      <c r="AI1" s="16" t="n"/>
      <c r="AJ1" s="16" t="n"/>
      <c r="AK1" s="16" t="n"/>
      <c r="AL1" s="16" t="n"/>
      <c r="AM1" s="16" t="n"/>
      <c r="AN1" s="16" t="n"/>
      <c r="AO1" s="16" t="n"/>
    </row>
    <row r="2" ht="25.05" customHeight="1">
      <c r="A2" s="62" t="n"/>
      <c r="B2" s="62" t="n"/>
      <c r="C2" s="62" t="n"/>
      <c r="D2" s="62" t="n"/>
      <c r="E2" s="62" t="n"/>
      <c r="F2" s="62" t="n"/>
      <c r="G2" s="62" t="n"/>
      <c r="H2" s="62" t="n"/>
      <c r="I2" s="13" t="inlineStr">
        <is>
          <t>本月目标</t>
        </is>
      </c>
      <c r="J2" s="13" t="inlineStr">
        <is>
          <t>线下进账</t>
        </is>
      </c>
      <c r="K2" s="13" t="inlineStr">
        <is>
          <t>线下退费</t>
        </is>
      </c>
      <c r="L2" s="13" t="inlineStr">
        <is>
          <t>线下净业绩</t>
        </is>
      </c>
      <c r="M2" s="13" t="inlineStr">
        <is>
          <t>月度完成率</t>
        </is>
      </c>
      <c r="N2" s="13" t="inlineStr">
        <is>
          <t>网课进账</t>
        </is>
      </c>
      <c r="O2" s="13" t="inlineStr">
        <is>
          <t>网课退费</t>
        </is>
      </c>
      <c r="P2" s="13" t="inlineStr">
        <is>
          <t>网课净业绩</t>
        </is>
      </c>
      <c r="Q2" s="22" t="inlineStr">
        <is>
          <t>提点</t>
        </is>
      </c>
      <c r="R2" s="13" t="inlineStr">
        <is>
          <t>奖金合计</t>
        </is>
      </c>
      <c r="S2" s="15" t="inlineStr">
        <is>
          <t>总分</t>
        </is>
      </c>
      <c r="T2" s="15" t="inlineStr">
        <is>
          <t>发放比例</t>
        </is>
      </c>
      <c r="U2" s="15" t="inlineStr">
        <is>
          <t>绩效满额</t>
        </is>
      </c>
      <c r="V2" s="15" t="inlineStr">
        <is>
          <t>应发绩效</t>
        </is>
      </c>
      <c r="W2" s="15" t="inlineStr">
        <is>
          <t>2+3绩效满额</t>
        </is>
      </c>
      <c r="X2" s="15" t="inlineStr">
        <is>
          <t>2+3应发绩效</t>
        </is>
      </c>
      <c r="Y2" s="17" t="n"/>
      <c r="Z2" s="17" t="n"/>
      <c r="AA2" s="17" t="n"/>
      <c r="AB2" s="17" t="n"/>
      <c r="AC2" s="17" t="n"/>
      <c r="AD2" s="16" t="n"/>
      <c r="AE2" s="16" t="n"/>
      <c r="AF2" s="16" t="n"/>
      <c r="AG2" s="16" t="n"/>
      <c r="AH2" s="16" t="n"/>
      <c r="AI2" s="16" t="n"/>
      <c r="AJ2" s="16" t="n"/>
      <c r="AK2" s="16" t="n"/>
      <c r="AL2" s="16" t="n"/>
      <c r="AM2" s="16" t="n"/>
      <c r="AN2" s="16" t="n"/>
      <c r="AO2" s="16" t="n"/>
    </row>
    <row r="3" ht="27.85" customHeight="1">
      <c r="A3" s="18" t="inlineStr">
        <is>
          <t>2+3</t>
        </is>
      </c>
      <c r="B3" s="18" t="inlineStr">
        <is>
          <t>杨明</t>
        </is>
      </c>
      <c r="C3" s="18" t="inlineStr">
        <is>
          <t>在职研</t>
        </is>
      </c>
      <c r="D3" s="18" t="inlineStr">
        <is>
          <t>在职研项目部</t>
        </is>
      </c>
      <c r="E3" s="18" t="inlineStr">
        <is>
          <t>B级学习顾问</t>
        </is>
      </c>
      <c r="F3" s="19">
        <f>G3+H3</f>
        <v/>
      </c>
      <c r="G3" s="19" t="n">
        <v>2000</v>
      </c>
      <c r="H3" s="19">
        <f>R3</f>
        <v/>
      </c>
      <c r="I3" s="19" t="n">
        <v>617700</v>
      </c>
      <c r="J3" s="19" t="n">
        <v>574550</v>
      </c>
      <c r="K3" s="19" t="n">
        <v>36279.15</v>
      </c>
      <c r="L3" s="19" t="n">
        <v>538270.85</v>
      </c>
      <c r="M3" s="20" t="n">
        <v>0.871411445685608</v>
      </c>
      <c r="N3" s="19" t="n">
        <v>41810</v>
      </c>
      <c r="O3" s="19" t="n">
        <v>0</v>
      </c>
      <c r="P3" s="19" t="n">
        <v>41810</v>
      </c>
      <c r="Q3" s="23" t="n">
        <v>0.035</v>
      </c>
      <c r="R3" s="19" t="n">
        <v>19257.57975</v>
      </c>
      <c r="S3" s="19" t="n">
        <v>92.20337499999999</v>
      </c>
      <c r="T3" s="20" t="n">
        <v>1</v>
      </c>
      <c r="U3" s="19" t="n">
        <v>2000</v>
      </c>
      <c r="V3" s="19" t="n">
        <v>2000</v>
      </c>
      <c r="W3" s="19" t="n">
        <v>4000</v>
      </c>
      <c r="X3" s="19" t="n">
        <v>2000</v>
      </c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</row>
    <row r="4" ht="27.85" customHeight="1">
      <c r="A4" s="18" t="inlineStr">
        <is>
          <t>2+3</t>
        </is>
      </c>
      <c r="B4" s="18" t="inlineStr">
        <is>
          <t>刘津玲</t>
        </is>
      </c>
      <c r="C4" s="18" t="inlineStr">
        <is>
          <t>在职研</t>
        </is>
      </c>
      <c r="D4" s="18" t="inlineStr">
        <is>
          <t>在职研项目部</t>
        </is>
      </c>
      <c r="E4" s="18" t="inlineStr">
        <is>
          <t>A级学习顾问</t>
        </is>
      </c>
      <c r="F4" s="19">
        <f>G4+H4</f>
        <v/>
      </c>
      <c r="G4" s="19" t="n">
        <v>2220</v>
      </c>
      <c r="H4" s="19">
        <f>R4</f>
        <v/>
      </c>
      <c r="I4" s="19" t="n">
        <v>617700</v>
      </c>
      <c r="J4" s="19" t="n">
        <v>810280</v>
      </c>
      <c r="K4" s="19" t="n">
        <v>60524.85</v>
      </c>
      <c r="L4" s="19" t="n">
        <v>749755.15</v>
      </c>
      <c r="M4" s="20" t="n">
        <v>1.21378525174033</v>
      </c>
      <c r="N4" s="19" t="n">
        <v>84091.60000000001</v>
      </c>
      <c r="O4" s="19" t="n">
        <v>30046</v>
      </c>
      <c r="P4" s="19" t="n">
        <v>54045.6</v>
      </c>
      <c r="Q4" s="23" t="n">
        <v>0.06</v>
      </c>
      <c r="R4" s="19" t="n">
        <v>45525.765</v>
      </c>
      <c r="S4" s="19" t="n">
        <v>86.5</v>
      </c>
      <c r="T4" s="20" t="n">
        <v>0.87</v>
      </c>
      <c r="U4" s="19" t="n">
        <v>3000</v>
      </c>
      <c r="V4" s="19" t="n">
        <v>2610</v>
      </c>
      <c r="W4" s="19" t="n">
        <v>6000</v>
      </c>
      <c r="X4" s="19" t="n">
        <v>2220</v>
      </c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</row>
    <row r="5" ht="27.85" customHeight="1">
      <c r="A5" s="18" t="inlineStr">
        <is>
          <t>2+3</t>
        </is>
      </c>
      <c r="B5" s="18" t="inlineStr">
        <is>
          <t>王沛贤</t>
        </is>
      </c>
      <c r="C5" s="18" t="inlineStr">
        <is>
          <t>在职研</t>
        </is>
      </c>
      <c r="D5" s="18" t="inlineStr">
        <is>
          <t>在职研项目部</t>
        </is>
      </c>
      <c r="E5" s="18" t="inlineStr">
        <is>
          <t>B级学习顾问</t>
        </is>
      </c>
      <c r="F5" s="19">
        <f>G5+H5</f>
        <v/>
      </c>
      <c r="G5" s="19" t="n">
        <v>8295</v>
      </c>
      <c r="H5" s="19">
        <f>R5</f>
        <v/>
      </c>
      <c r="I5" s="19" t="n">
        <v>217500</v>
      </c>
      <c r="J5" s="19" t="n">
        <v>195550</v>
      </c>
      <c r="K5" s="19" t="n">
        <v>0</v>
      </c>
      <c r="L5" s="19" t="n">
        <v>195550</v>
      </c>
      <c r="M5" s="20" t="n">
        <v>0.899080459770115</v>
      </c>
      <c r="N5" s="19" t="n">
        <v>13064.2</v>
      </c>
      <c r="O5" s="19" t="n">
        <v>0</v>
      </c>
      <c r="P5" s="19" t="n">
        <v>13064.2</v>
      </c>
      <c r="Q5" s="23" t="n">
        <v>0.035</v>
      </c>
      <c r="R5" s="19" t="n">
        <v>6974.892</v>
      </c>
      <c r="S5" s="19" t="n">
        <v>83</v>
      </c>
      <c r="T5" s="20" t="n">
        <v>0.83</v>
      </c>
      <c r="U5" s="19" t="n">
        <v>2000</v>
      </c>
      <c r="V5" s="19" t="n">
        <v>1660</v>
      </c>
      <c r="W5" s="19" t="n">
        <v>4000</v>
      </c>
      <c r="X5" s="19" t="n">
        <v>1320</v>
      </c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</row>
    <row r="6">
      <c r="A6" s="77" t="n">
        <v>46113</v>
      </c>
      <c r="B6" s="72" t="inlineStr">
        <is>
          <t>杨明</t>
        </is>
      </c>
      <c r="C6" s="72" t="inlineStr">
        <is>
          <t>在职研</t>
        </is>
      </c>
      <c r="D6" s="72" t="inlineStr">
        <is>
          <t>在职研项目部</t>
        </is>
      </c>
      <c r="E6" s="72" t="inlineStr">
        <is>
          <t>B级学习顾问</t>
        </is>
      </c>
      <c r="F6" s="73">
        <f>G6+H6</f>
        <v/>
      </c>
      <c r="G6" s="73" t="n">
        <v>2000</v>
      </c>
      <c r="H6" s="73">
        <f>R6</f>
        <v/>
      </c>
      <c r="I6" s="73" t="n">
        <v>211000</v>
      </c>
      <c r="J6" s="73" t="n">
        <v>421680</v>
      </c>
      <c r="K6" s="73" t="n">
        <v>167916.1</v>
      </c>
      <c r="L6" s="73" t="n">
        <v>253763.9</v>
      </c>
      <c r="M6" s="74" t="n">
        <v>1.20267251184834</v>
      </c>
      <c r="N6" s="73" t="n">
        <v>4117.5</v>
      </c>
      <c r="O6" s="73" t="n">
        <v>0</v>
      </c>
      <c r="P6" s="73" t="n">
        <v>4117.5</v>
      </c>
      <c r="Q6" s="75" t="n">
        <v>0.06</v>
      </c>
      <c r="R6" s="73" t="n">
        <v>15267.009</v>
      </c>
      <c r="S6" s="73" t="n">
        <v>100</v>
      </c>
      <c r="T6" s="74" t="n">
        <v>1</v>
      </c>
      <c r="U6" s="73" t="n">
        <v>2000</v>
      </c>
      <c r="V6" s="73" t="n">
        <v>2000</v>
      </c>
      <c r="W6" s="72" t="n"/>
      <c r="X6" s="72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6" t="n"/>
      <c r="AI6" s="16" t="n"/>
      <c r="AJ6" s="16" t="n"/>
      <c r="AK6" s="16" t="n"/>
      <c r="AL6" s="16" t="n"/>
      <c r="AM6" s="16" t="n"/>
      <c r="AN6" s="16" t="n"/>
      <c r="AO6" s="16" t="n"/>
    </row>
    <row r="7">
      <c r="A7" s="77" t="n">
        <v>46113</v>
      </c>
      <c r="B7" s="72" t="inlineStr">
        <is>
          <t>刘津玲</t>
        </is>
      </c>
      <c r="C7" s="72" t="inlineStr">
        <is>
          <t>在职研</t>
        </is>
      </c>
      <c r="D7" s="72" t="inlineStr">
        <is>
          <t>在职研项目部</t>
        </is>
      </c>
      <c r="E7" s="72" t="inlineStr">
        <is>
          <t>A级学习顾问</t>
        </is>
      </c>
      <c r="F7" s="73">
        <f>G7+H7</f>
        <v/>
      </c>
      <c r="G7" s="73" t="n">
        <v>3000</v>
      </c>
      <c r="H7" s="73">
        <f>R7</f>
        <v/>
      </c>
      <c r="I7" s="73" t="n">
        <v>211000</v>
      </c>
      <c r="J7" s="73" t="n">
        <v>558372.3</v>
      </c>
      <c r="K7" s="73" t="n">
        <v>132642</v>
      </c>
      <c r="L7" s="73" t="n">
        <v>425730.3</v>
      </c>
      <c r="M7" s="74" t="n">
        <v>2.01767914691943</v>
      </c>
      <c r="N7" s="73" t="n">
        <v>32205</v>
      </c>
      <c r="O7" s="73" t="n">
        <v>8459.719999999999</v>
      </c>
      <c r="P7" s="73" t="n">
        <v>23745.28</v>
      </c>
      <c r="Q7" s="75" t="n">
        <v>0.065</v>
      </c>
      <c r="R7" s="73" t="n">
        <v>27909.9223</v>
      </c>
      <c r="S7" s="73" t="n">
        <v>100</v>
      </c>
      <c r="T7" s="74" t="n">
        <v>1</v>
      </c>
      <c r="U7" s="73" t="n">
        <v>3000</v>
      </c>
      <c r="V7" s="73" t="n">
        <v>3000</v>
      </c>
      <c r="W7" s="72" t="n"/>
      <c r="X7" s="72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</row>
    <row r="8">
      <c r="A8" s="77" t="n">
        <v>46113</v>
      </c>
      <c r="B8" s="72" t="inlineStr">
        <is>
          <t>王沛贤</t>
        </is>
      </c>
      <c r="C8" s="72" t="inlineStr">
        <is>
          <t>在职研</t>
        </is>
      </c>
      <c r="D8" s="72" t="inlineStr">
        <is>
          <t>在职研项目部</t>
        </is>
      </c>
      <c r="E8" s="72" t="inlineStr">
        <is>
          <t>B级学习顾问</t>
        </is>
      </c>
      <c r="F8" s="73">
        <f>G8+H8</f>
        <v/>
      </c>
      <c r="G8" s="73" t="n">
        <v>1600</v>
      </c>
      <c r="H8" s="73">
        <f>R8</f>
        <v/>
      </c>
      <c r="I8" s="73" t="n">
        <v>150000</v>
      </c>
      <c r="J8" s="73" t="n">
        <v>204180</v>
      </c>
      <c r="K8" s="73" t="n">
        <v>0</v>
      </c>
      <c r="L8" s="73" t="n">
        <v>204180</v>
      </c>
      <c r="M8" s="74" t="n">
        <v>1.3612</v>
      </c>
      <c r="N8" s="73" t="n">
        <v>15350.7</v>
      </c>
      <c r="O8" s="73" t="n">
        <v>0</v>
      </c>
      <c r="P8" s="73" t="n">
        <v>15350.7</v>
      </c>
      <c r="Q8" s="75" t="n">
        <v>0.06</v>
      </c>
      <c r="R8" s="73" t="n">
        <v>12404.307</v>
      </c>
      <c r="S8" s="73" t="n">
        <v>80</v>
      </c>
      <c r="T8" s="74" t="n">
        <v>0.8</v>
      </c>
      <c r="U8" s="73" t="n">
        <v>2000</v>
      </c>
      <c r="V8" s="73" t="n">
        <v>1600</v>
      </c>
      <c r="W8" s="72" t="n"/>
      <c r="X8" s="72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/>
      <c r="AM8" s="16" t="n"/>
      <c r="AN8" s="16" t="n"/>
      <c r="AO8" s="16" t="n"/>
    </row>
    <row r="9">
      <c r="A9" s="77" t="n">
        <v>46143</v>
      </c>
      <c r="B9" s="72" t="inlineStr">
        <is>
          <t>杨明</t>
        </is>
      </c>
      <c r="C9" s="72" t="inlineStr">
        <is>
          <t>在职研</t>
        </is>
      </c>
      <c r="D9" s="72" t="inlineStr">
        <is>
          <t>在职研项目部</t>
        </is>
      </c>
      <c r="E9" s="72" t="inlineStr">
        <is>
          <t>B级学习顾问</t>
        </is>
      </c>
      <c r="F9" s="73">
        <f>G9+H9</f>
        <v/>
      </c>
      <c r="G9" s="73" t="n">
        <v>2000</v>
      </c>
      <c r="H9" s="73">
        <f>R9</f>
        <v/>
      </c>
      <c r="I9" s="73" t="n">
        <v>230000</v>
      </c>
      <c r="J9" s="73" t="n">
        <v>283350</v>
      </c>
      <c r="K9" s="73" t="n">
        <v>0</v>
      </c>
      <c r="L9" s="73" t="n">
        <v>283350</v>
      </c>
      <c r="M9" s="74" t="n">
        <v>1.23195652173913</v>
      </c>
      <c r="N9" s="73" t="n">
        <v>31801.7</v>
      </c>
      <c r="O9" s="73" t="n">
        <v>20885</v>
      </c>
      <c r="P9" s="73" t="n">
        <v>10916.7</v>
      </c>
      <c r="Q9" s="75" t="n">
        <v>0.06</v>
      </c>
      <c r="R9" s="73" t="n">
        <v>17110.167</v>
      </c>
      <c r="S9" s="73" t="n">
        <v>100</v>
      </c>
      <c r="T9" s="74" t="n">
        <v>1</v>
      </c>
      <c r="U9" s="73" t="n">
        <v>2000</v>
      </c>
      <c r="V9" s="73" t="n">
        <v>2000</v>
      </c>
      <c r="W9" s="72" t="n"/>
      <c r="X9" s="72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</row>
    <row r="10">
      <c r="A10" s="77" t="n">
        <v>46143</v>
      </c>
      <c r="B10" s="72" t="inlineStr">
        <is>
          <t>刘津玲</t>
        </is>
      </c>
      <c r="C10" s="72" t="inlineStr">
        <is>
          <t>在职研</t>
        </is>
      </c>
      <c r="D10" s="72" t="inlineStr">
        <is>
          <t>在职研项目部</t>
        </is>
      </c>
      <c r="E10" s="72" t="inlineStr">
        <is>
          <t>A级学习顾问</t>
        </is>
      </c>
      <c r="F10" s="73">
        <f>G10+H10</f>
        <v/>
      </c>
      <c r="G10" s="73" t="n">
        <v>3000</v>
      </c>
      <c r="H10" s="73">
        <f>R10</f>
        <v/>
      </c>
      <c r="I10" s="73" t="n">
        <v>230000</v>
      </c>
      <c r="J10" s="73" t="n">
        <v>366530</v>
      </c>
      <c r="K10" s="73" t="n">
        <v>0</v>
      </c>
      <c r="L10" s="73" t="n">
        <v>366530</v>
      </c>
      <c r="M10" s="74" t="n">
        <v>1.59360869565217</v>
      </c>
      <c r="N10" s="73" t="n">
        <v>42700.1</v>
      </c>
      <c r="O10" s="73" t="n">
        <v>37291.3</v>
      </c>
      <c r="P10" s="73" t="n">
        <v>5408.8</v>
      </c>
      <c r="Q10" s="75" t="n">
        <v>0.065</v>
      </c>
      <c r="R10" s="73" t="n">
        <v>23878.538</v>
      </c>
      <c r="S10" s="73" t="n">
        <v>92.2504310344828</v>
      </c>
      <c r="T10" s="74" t="n">
        <v>1</v>
      </c>
      <c r="U10" s="73" t="n">
        <v>3000</v>
      </c>
      <c r="V10" s="73" t="n">
        <v>3000</v>
      </c>
      <c r="W10" s="72" t="n"/>
      <c r="X10" s="72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</row>
    <row r="11">
      <c r="A11" s="77" t="n">
        <v>46143</v>
      </c>
      <c r="B11" s="72" t="inlineStr">
        <is>
          <t>王沛贤</t>
        </is>
      </c>
      <c r="C11" s="72" t="inlineStr">
        <is>
          <t>在职研</t>
        </is>
      </c>
      <c r="D11" s="72" t="inlineStr">
        <is>
          <t>在职研项目部</t>
        </is>
      </c>
      <c r="E11" s="72" t="inlineStr">
        <is>
          <t>B级学习顾问</t>
        </is>
      </c>
      <c r="F11" s="73">
        <f>G11+H11</f>
        <v/>
      </c>
      <c r="G11" s="73" t="n">
        <v>0</v>
      </c>
      <c r="H11" s="73">
        <f>R11</f>
        <v/>
      </c>
      <c r="I11" s="73" t="n">
        <v>230000</v>
      </c>
      <c r="J11" s="73" t="n">
        <v>36400</v>
      </c>
      <c r="K11" s="73" t="n">
        <v>0</v>
      </c>
      <c r="L11" s="73" t="n">
        <v>36400</v>
      </c>
      <c r="M11" s="74" t="n">
        <v>0.158260869565217</v>
      </c>
      <c r="N11" s="73" t="n">
        <v>10509</v>
      </c>
      <c r="O11" s="73" t="n">
        <v>0</v>
      </c>
      <c r="P11" s="73" t="n">
        <v>10509</v>
      </c>
      <c r="Q11" s="75" t="n">
        <v>0</v>
      </c>
      <c r="R11" s="73" t="n">
        <v>105.09</v>
      </c>
      <c r="S11" s="73" t="n">
        <v>38.575</v>
      </c>
      <c r="T11" s="74" t="n">
        <v>0</v>
      </c>
      <c r="U11" s="73" t="n">
        <v>2000</v>
      </c>
      <c r="V11" s="73" t="n">
        <v>0</v>
      </c>
      <c r="W11" s="72" t="n"/>
      <c r="X11" s="72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</row>
    <row r="12">
      <c r="A12" s="77" t="n">
        <v>46023</v>
      </c>
      <c r="B12" s="72" t="inlineStr">
        <is>
          <t>杨明</t>
        </is>
      </c>
      <c r="C12" s="72" t="inlineStr">
        <is>
          <t>在职研</t>
        </is>
      </c>
      <c r="D12" s="72" t="inlineStr">
        <is>
          <t>在职研项目部</t>
        </is>
      </c>
      <c r="E12" s="72" t="inlineStr">
        <is>
          <t>B级学习顾问</t>
        </is>
      </c>
      <c r="F12" s="73">
        <f>G12+H12</f>
        <v/>
      </c>
      <c r="G12" s="73" t="n">
        <v>2000</v>
      </c>
      <c r="H12" s="73">
        <f>R12</f>
        <v/>
      </c>
      <c r="I12" s="73" t="n">
        <v>250000</v>
      </c>
      <c r="J12" s="73" t="n">
        <v>179279.8</v>
      </c>
      <c r="K12" s="73" t="n">
        <v>40529.8</v>
      </c>
      <c r="L12" s="73" t="n">
        <v>138750</v>
      </c>
      <c r="M12" s="74" t="n">
        <v>0.824718</v>
      </c>
      <c r="N12" s="73" t="n">
        <v>70215.5</v>
      </c>
      <c r="O12" s="73" t="n">
        <v>2786</v>
      </c>
      <c r="P12" s="73" t="n">
        <v>67429.5</v>
      </c>
      <c r="Q12" s="75" t="n">
        <v>0.035</v>
      </c>
      <c r="R12" s="73" t="n">
        <v>7216.2825</v>
      </c>
      <c r="S12" s="73" t="n">
        <v>98</v>
      </c>
      <c r="T12" s="74" t="n">
        <v>1</v>
      </c>
      <c r="U12" s="73" t="n">
        <v>2000</v>
      </c>
      <c r="V12" s="73" t="n">
        <v>2000</v>
      </c>
      <c r="W12" s="72" t="n"/>
      <c r="X12" s="72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</row>
    <row r="13">
      <c r="A13" s="77" t="n">
        <v>46023</v>
      </c>
      <c r="B13" s="72" t="inlineStr">
        <is>
          <t>刘津玲</t>
        </is>
      </c>
      <c r="C13" s="72" t="inlineStr">
        <is>
          <t>在职研</t>
        </is>
      </c>
      <c r="D13" s="72" t="inlineStr">
        <is>
          <t>在职研项目部</t>
        </is>
      </c>
      <c r="E13" s="72" t="inlineStr">
        <is>
          <t>A级学习顾问</t>
        </is>
      </c>
      <c r="F13" s="73">
        <f>G13+H13</f>
        <v/>
      </c>
      <c r="G13" s="73" t="n">
        <v>3000</v>
      </c>
      <c r="H13" s="73">
        <f>R13</f>
        <v/>
      </c>
      <c r="I13" s="73" t="n">
        <v>250000</v>
      </c>
      <c r="J13" s="73" t="n">
        <v>187350</v>
      </c>
      <c r="K13" s="73" t="n">
        <v>30100</v>
      </c>
      <c r="L13" s="73" t="n">
        <v>157250</v>
      </c>
      <c r="M13" s="74" t="n">
        <v>1.05466312</v>
      </c>
      <c r="N13" s="73" t="n">
        <v>125915.78</v>
      </c>
      <c r="O13" s="73" t="n">
        <v>19500</v>
      </c>
      <c r="P13" s="73" t="n">
        <v>106415.78</v>
      </c>
      <c r="Q13" s="75" t="n">
        <v>0.05</v>
      </c>
      <c r="R13" s="73" t="n">
        <v>13183.289</v>
      </c>
      <c r="S13" s="73" t="n">
        <v>100</v>
      </c>
      <c r="T13" s="74" t="n">
        <v>1</v>
      </c>
      <c r="U13" s="73" t="n">
        <v>3000</v>
      </c>
      <c r="V13" s="73" t="n">
        <v>3000</v>
      </c>
      <c r="W13" s="72" t="n"/>
      <c r="X13" s="72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</row>
    <row r="14">
      <c r="A14" s="77" t="n">
        <v>46023</v>
      </c>
      <c r="B14" s="72" t="inlineStr">
        <is>
          <t>王沛贤</t>
        </is>
      </c>
      <c r="C14" s="72" t="inlineStr">
        <is>
          <t>在职研</t>
        </is>
      </c>
      <c r="D14" s="72" t="inlineStr">
        <is>
          <t>在职研项目部</t>
        </is>
      </c>
      <c r="E14" s="72" t="inlineStr">
        <is>
          <t>B级学习顾问</t>
        </is>
      </c>
      <c r="F14" s="73">
        <f>G14+H14</f>
        <v/>
      </c>
      <c r="G14" s="73" t="n">
        <v>4000</v>
      </c>
      <c r="H14" s="73">
        <f>R14</f>
        <v/>
      </c>
      <c r="I14" s="73" t="n">
        <v>50000</v>
      </c>
      <c r="J14" s="73" t="n">
        <v>28800</v>
      </c>
      <c r="K14" s="73" t="n">
        <v>0</v>
      </c>
      <c r="L14" s="73" t="n">
        <v>28800</v>
      </c>
      <c r="M14" s="74" t="n">
        <v>0.576</v>
      </c>
      <c r="N14" s="73" t="n">
        <v>0</v>
      </c>
      <c r="O14" s="73" t="n">
        <v>0</v>
      </c>
      <c r="P14" s="73" t="n">
        <v>0</v>
      </c>
      <c r="Q14" s="75" t="n">
        <v>0</v>
      </c>
      <c r="R14" s="73" t="n">
        <v>0</v>
      </c>
      <c r="S14" s="73" t="inlineStr">
        <is>
          <t>——</t>
        </is>
      </c>
      <c r="T14" s="74" t="n">
        <v>1</v>
      </c>
      <c r="U14" s="73" t="n">
        <v>4000</v>
      </c>
      <c r="V14" s="73" t="n">
        <v>4000</v>
      </c>
      <c r="W14" s="72" t="n"/>
      <c r="X14" s="72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24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24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24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24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24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24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24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24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24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24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24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24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24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24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24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24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24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24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24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24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24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24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  <c r="AL36" s="16" t="n"/>
      <c r="AM36" s="16" t="n"/>
      <c r="AN36" s="16" t="n"/>
      <c r="AO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24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  <c r="AJ37" s="16" t="n"/>
      <c r="AK37" s="16" t="n"/>
      <c r="AL37" s="16" t="n"/>
      <c r="AM37" s="16" t="n"/>
      <c r="AN37" s="16" t="n"/>
      <c r="AO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24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  <c r="AJ38" s="16" t="n"/>
      <c r="AK38" s="16" t="n"/>
      <c r="AL38" s="16" t="n"/>
      <c r="AM38" s="16" t="n"/>
      <c r="AN38" s="16" t="n"/>
      <c r="AO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24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  <c r="AJ39" s="16" t="n"/>
      <c r="AK39" s="16" t="n"/>
      <c r="AL39" s="16" t="n"/>
      <c r="AM39" s="16" t="n"/>
      <c r="AN39" s="16" t="n"/>
      <c r="AO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24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  <c r="AJ40" s="16" t="n"/>
      <c r="AK40" s="16" t="n"/>
      <c r="AL40" s="16" t="n"/>
      <c r="AM40" s="16" t="n"/>
      <c r="AN40" s="16" t="n"/>
      <c r="AO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24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  <c r="AJ41" s="16" t="n"/>
      <c r="AK41" s="16" t="n"/>
      <c r="AL41" s="16" t="n"/>
      <c r="AM41" s="16" t="n"/>
      <c r="AN41" s="16" t="n"/>
      <c r="AO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24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  <c r="AJ42" s="16" t="n"/>
      <c r="AK42" s="16" t="n"/>
      <c r="AL42" s="16" t="n"/>
      <c r="AM42" s="16" t="n"/>
      <c r="AN42" s="16" t="n"/>
      <c r="AO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24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  <c r="AJ43" s="16" t="n"/>
      <c r="AK43" s="16" t="n"/>
      <c r="AL43" s="16" t="n"/>
      <c r="AM43" s="16" t="n"/>
      <c r="AN43" s="16" t="n"/>
      <c r="AO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24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  <c r="AJ44" s="16" t="n"/>
      <c r="AK44" s="16" t="n"/>
      <c r="AL44" s="16" t="n"/>
      <c r="AM44" s="16" t="n"/>
      <c r="AN44" s="16" t="n"/>
      <c r="AO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24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  <c r="AJ45" s="16" t="n"/>
      <c r="AK45" s="16" t="n"/>
      <c r="AL45" s="16" t="n"/>
      <c r="AM45" s="16" t="n"/>
      <c r="AN45" s="16" t="n"/>
      <c r="AO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24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  <c r="AJ46" s="16" t="n"/>
      <c r="AK46" s="16" t="n"/>
      <c r="AL46" s="16" t="n"/>
      <c r="AM46" s="16" t="n"/>
      <c r="AN46" s="16" t="n"/>
      <c r="AO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24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  <c r="AJ47" s="16" t="n"/>
      <c r="AK47" s="16" t="n"/>
      <c r="AL47" s="16" t="n"/>
      <c r="AM47" s="16" t="n"/>
      <c r="AN47" s="16" t="n"/>
      <c r="AO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24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  <c r="AJ48" s="16" t="n"/>
      <c r="AK48" s="16" t="n"/>
      <c r="AL48" s="16" t="n"/>
      <c r="AM48" s="16" t="n"/>
      <c r="AN48" s="16" t="n"/>
      <c r="AO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24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24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24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24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  <c r="AJ52" s="16" t="n"/>
      <c r="AK52" s="16" t="n"/>
      <c r="AL52" s="16" t="n"/>
      <c r="AM52" s="16" t="n"/>
      <c r="AN52" s="16" t="n"/>
      <c r="AO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24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/>
      <c r="AJ53" s="16" t="n"/>
      <c r="AK53" s="16" t="n"/>
      <c r="AL53" s="16" t="n"/>
      <c r="AM53" s="16" t="n"/>
      <c r="AN53" s="16" t="n"/>
      <c r="AO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24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6" t="n"/>
      <c r="AK54" s="16" t="n"/>
      <c r="AL54" s="16" t="n"/>
      <c r="AM54" s="16" t="n"/>
      <c r="AN54" s="16" t="n"/>
      <c r="AO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24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  <c r="AJ55" s="16" t="n"/>
      <c r="AK55" s="16" t="n"/>
      <c r="AL55" s="16" t="n"/>
      <c r="AM55" s="16" t="n"/>
      <c r="AN55" s="16" t="n"/>
      <c r="AO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24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6" t="n"/>
      <c r="AJ56" s="16" t="n"/>
      <c r="AK56" s="16" t="n"/>
      <c r="AL56" s="16" t="n"/>
      <c r="AM56" s="16" t="n"/>
      <c r="AN56" s="16" t="n"/>
      <c r="AO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24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/>
      <c r="AJ57" s="16" t="n"/>
      <c r="AK57" s="16" t="n"/>
      <c r="AL57" s="16" t="n"/>
      <c r="AM57" s="16" t="n"/>
      <c r="AN57" s="16" t="n"/>
      <c r="AO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24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  <c r="AJ58" s="16" t="n"/>
      <c r="AK58" s="16" t="n"/>
      <c r="AL58" s="16" t="n"/>
      <c r="AM58" s="16" t="n"/>
      <c r="AN58" s="16" t="n"/>
      <c r="AO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24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/>
      <c r="AJ59" s="16" t="n"/>
      <c r="AK59" s="16" t="n"/>
      <c r="AL59" s="16" t="n"/>
      <c r="AM59" s="16" t="n"/>
      <c r="AN59" s="16" t="n"/>
      <c r="AO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24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/>
      <c r="AJ60" s="16" t="n"/>
      <c r="AK60" s="16" t="n"/>
      <c r="AL60" s="16" t="n"/>
      <c r="AM60" s="16" t="n"/>
      <c r="AN60" s="16" t="n"/>
      <c r="AO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24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6" t="n"/>
      <c r="AJ61" s="16" t="n"/>
      <c r="AK61" s="16" t="n"/>
      <c r="AL61" s="16" t="n"/>
      <c r="AM61" s="16" t="n"/>
      <c r="AN61" s="16" t="n"/>
      <c r="AO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24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  <c r="AJ62" s="16" t="n"/>
      <c r="AK62" s="16" t="n"/>
      <c r="AL62" s="16" t="n"/>
      <c r="AM62" s="16" t="n"/>
      <c r="AN62" s="16" t="n"/>
      <c r="AO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24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  <c r="AJ63" s="16" t="n"/>
      <c r="AK63" s="16" t="n"/>
      <c r="AL63" s="16" t="n"/>
      <c r="AM63" s="16" t="n"/>
      <c r="AN63" s="16" t="n"/>
      <c r="AO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24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  <c r="AJ64" s="16" t="n"/>
      <c r="AK64" s="16" t="n"/>
      <c r="AL64" s="16" t="n"/>
      <c r="AM64" s="16" t="n"/>
      <c r="AN64" s="16" t="n"/>
      <c r="AO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24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6" t="n"/>
      <c r="AJ65" s="16" t="n"/>
      <c r="AK65" s="16" t="n"/>
      <c r="AL65" s="16" t="n"/>
      <c r="AM65" s="16" t="n"/>
      <c r="AN65" s="16" t="n"/>
      <c r="AO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24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/>
      <c r="AJ66" s="16" t="n"/>
      <c r="AK66" s="16" t="n"/>
      <c r="AL66" s="16" t="n"/>
      <c r="AM66" s="16" t="n"/>
      <c r="AN66" s="16" t="n"/>
      <c r="AO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24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6" t="n"/>
      <c r="AJ67" s="16" t="n"/>
      <c r="AK67" s="16" t="n"/>
      <c r="AL67" s="16" t="n"/>
      <c r="AM67" s="16" t="n"/>
      <c r="AN67" s="16" t="n"/>
      <c r="AO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24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6" t="n"/>
      <c r="AJ68" s="16" t="n"/>
      <c r="AK68" s="16" t="n"/>
      <c r="AL68" s="16" t="n"/>
      <c r="AM68" s="16" t="n"/>
      <c r="AN68" s="16" t="n"/>
      <c r="AO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24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/>
      <c r="AJ69" s="16" t="n"/>
      <c r="AK69" s="16" t="n"/>
      <c r="AL69" s="16" t="n"/>
      <c r="AM69" s="16" t="n"/>
      <c r="AN69" s="16" t="n"/>
      <c r="AO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24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  <c r="AJ70" s="16" t="n"/>
      <c r="AK70" s="16" t="n"/>
      <c r="AL70" s="16" t="n"/>
      <c r="AM70" s="16" t="n"/>
      <c r="AN70" s="16" t="n"/>
      <c r="AO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24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/>
      <c r="AJ71" s="16" t="n"/>
      <c r="AK71" s="16" t="n"/>
      <c r="AL71" s="16" t="n"/>
      <c r="AM71" s="16" t="n"/>
      <c r="AN71" s="16" t="n"/>
      <c r="AO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24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6" t="n"/>
      <c r="AJ72" s="16" t="n"/>
      <c r="AK72" s="16" t="n"/>
      <c r="AL72" s="16" t="n"/>
      <c r="AM72" s="16" t="n"/>
      <c r="AN72" s="16" t="n"/>
      <c r="AO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24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/>
      <c r="AJ73" s="16" t="n"/>
      <c r="AK73" s="16" t="n"/>
      <c r="AL73" s="16" t="n"/>
      <c r="AM73" s="16" t="n"/>
      <c r="AN73" s="16" t="n"/>
      <c r="AO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24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/>
      <c r="AJ74" s="16" t="n"/>
      <c r="AK74" s="16" t="n"/>
      <c r="AL74" s="16" t="n"/>
      <c r="AM74" s="16" t="n"/>
      <c r="AN74" s="16" t="n"/>
      <c r="AO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24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/>
      <c r="AJ75" s="16" t="n"/>
      <c r="AK75" s="16" t="n"/>
      <c r="AL75" s="16" t="n"/>
      <c r="AM75" s="16" t="n"/>
      <c r="AN75" s="16" t="n"/>
      <c r="AO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24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  <c r="AJ76" s="16" t="n"/>
      <c r="AK76" s="16" t="n"/>
      <c r="AL76" s="16" t="n"/>
      <c r="AM76" s="16" t="n"/>
      <c r="AN76" s="16" t="n"/>
      <c r="AO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24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  <c r="AJ77" s="16" t="n"/>
      <c r="AK77" s="16" t="n"/>
      <c r="AL77" s="16" t="n"/>
      <c r="AM77" s="16" t="n"/>
      <c r="AN77" s="16" t="n"/>
      <c r="AO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24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6" t="n"/>
      <c r="AJ78" s="16" t="n"/>
      <c r="AK78" s="16" t="n"/>
      <c r="AL78" s="16" t="n"/>
      <c r="AM78" s="16" t="n"/>
      <c r="AN78" s="16" t="n"/>
      <c r="AO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24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/>
      <c r="AI79" s="16" t="n"/>
      <c r="AJ79" s="16" t="n"/>
      <c r="AK79" s="16" t="n"/>
      <c r="AL79" s="16" t="n"/>
      <c r="AM79" s="16" t="n"/>
      <c r="AN79" s="16" t="n"/>
      <c r="AO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24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6" t="n"/>
      <c r="AI80" s="16" t="n"/>
      <c r="AJ80" s="16" t="n"/>
      <c r="AK80" s="16" t="n"/>
      <c r="AL80" s="16" t="n"/>
      <c r="AM80" s="16" t="n"/>
      <c r="AN80" s="16" t="n"/>
      <c r="AO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24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  <c r="AE81" s="16" t="n"/>
      <c r="AF81" s="16" t="n"/>
      <c r="AG81" s="16" t="n"/>
      <c r="AH81" s="16" t="n"/>
      <c r="AI81" s="16" t="n"/>
      <c r="AJ81" s="16" t="n"/>
      <c r="AK81" s="16" t="n"/>
      <c r="AL81" s="16" t="n"/>
      <c r="AM81" s="16" t="n"/>
      <c r="AN81" s="16" t="n"/>
      <c r="AO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24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  <c r="AE82" s="16" t="n"/>
      <c r="AF82" s="16" t="n"/>
      <c r="AG82" s="16" t="n"/>
      <c r="AH82" s="16" t="n"/>
      <c r="AI82" s="16" t="n"/>
      <c r="AJ82" s="16" t="n"/>
      <c r="AK82" s="16" t="n"/>
      <c r="AL82" s="16" t="n"/>
      <c r="AM82" s="16" t="n"/>
      <c r="AN82" s="16" t="n"/>
      <c r="AO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24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  <c r="AE83" s="16" t="n"/>
      <c r="AF83" s="16" t="n"/>
      <c r="AG83" s="16" t="n"/>
      <c r="AH83" s="16" t="n"/>
      <c r="AI83" s="16" t="n"/>
      <c r="AJ83" s="16" t="n"/>
      <c r="AK83" s="16" t="n"/>
      <c r="AL83" s="16" t="n"/>
      <c r="AM83" s="16" t="n"/>
      <c r="AN83" s="16" t="n"/>
      <c r="AO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24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  <c r="AE84" s="16" t="n"/>
      <c r="AF84" s="16" t="n"/>
      <c r="AG84" s="16" t="n"/>
      <c r="AH84" s="16" t="n"/>
      <c r="AI84" s="16" t="n"/>
      <c r="AJ84" s="16" t="n"/>
      <c r="AK84" s="16" t="n"/>
      <c r="AL84" s="16" t="n"/>
      <c r="AM84" s="16" t="n"/>
      <c r="AN84" s="16" t="n"/>
      <c r="AO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24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  <c r="AE85" s="16" t="n"/>
      <c r="AF85" s="16" t="n"/>
      <c r="AG85" s="16" t="n"/>
      <c r="AH85" s="16" t="n"/>
      <c r="AI85" s="16" t="n"/>
      <c r="AJ85" s="16" t="n"/>
      <c r="AK85" s="16" t="n"/>
      <c r="AL85" s="16" t="n"/>
      <c r="AM85" s="16" t="n"/>
      <c r="AN85" s="16" t="n"/>
      <c r="AO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24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  <c r="AE86" s="16" t="n"/>
      <c r="AF86" s="16" t="n"/>
      <c r="AG86" s="16" t="n"/>
      <c r="AH86" s="16" t="n"/>
      <c r="AI86" s="16" t="n"/>
      <c r="AJ86" s="16" t="n"/>
      <c r="AK86" s="16" t="n"/>
      <c r="AL86" s="16" t="n"/>
      <c r="AM86" s="16" t="n"/>
      <c r="AN86" s="16" t="n"/>
      <c r="AO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24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  <c r="AE87" s="16" t="n"/>
      <c r="AF87" s="16" t="n"/>
      <c r="AG87" s="16" t="n"/>
      <c r="AH87" s="16" t="n"/>
      <c r="AI87" s="16" t="n"/>
      <c r="AJ87" s="16" t="n"/>
      <c r="AK87" s="16" t="n"/>
      <c r="AL87" s="16" t="n"/>
      <c r="AM87" s="16" t="n"/>
      <c r="AN87" s="16" t="n"/>
      <c r="AO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24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  <c r="AE88" s="16" t="n"/>
      <c r="AF88" s="16" t="n"/>
      <c r="AG88" s="16" t="n"/>
      <c r="AH88" s="16" t="n"/>
      <c r="AI88" s="16" t="n"/>
      <c r="AJ88" s="16" t="n"/>
      <c r="AK88" s="16" t="n"/>
      <c r="AL88" s="16" t="n"/>
      <c r="AM88" s="16" t="n"/>
      <c r="AN88" s="16" t="n"/>
      <c r="AO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24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  <c r="AE89" s="16" t="n"/>
      <c r="AF89" s="16" t="n"/>
      <c r="AG89" s="16" t="n"/>
      <c r="AH89" s="16" t="n"/>
      <c r="AI89" s="16" t="n"/>
      <c r="AJ89" s="16" t="n"/>
      <c r="AK89" s="16" t="n"/>
      <c r="AL89" s="16" t="n"/>
      <c r="AM89" s="16" t="n"/>
      <c r="AN89" s="16" t="n"/>
      <c r="AO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24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  <c r="AE90" s="16" t="n"/>
      <c r="AF90" s="16" t="n"/>
      <c r="AG90" s="16" t="n"/>
      <c r="AH90" s="16" t="n"/>
      <c r="AI90" s="16" t="n"/>
      <c r="AJ90" s="16" t="n"/>
      <c r="AK90" s="16" t="n"/>
      <c r="AL90" s="16" t="n"/>
      <c r="AM90" s="16" t="n"/>
      <c r="AN90" s="16" t="n"/>
      <c r="AO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24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  <c r="AE91" s="16" t="n"/>
      <c r="AF91" s="16" t="n"/>
      <c r="AG91" s="16" t="n"/>
      <c r="AH91" s="16" t="n"/>
      <c r="AI91" s="16" t="n"/>
      <c r="AJ91" s="16" t="n"/>
      <c r="AK91" s="16" t="n"/>
      <c r="AL91" s="16" t="n"/>
      <c r="AM91" s="16" t="n"/>
      <c r="AN91" s="16" t="n"/>
      <c r="AO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24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  <c r="AE92" s="16" t="n"/>
      <c r="AF92" s="16" t="n"/>
      <c r="AG92" s="16" t="n"/>
      <c r="AH92" s="16" t="n"/>
      <c r="AI92" s="16" t="n"/>
      <c r="AJ92" s="16" t="n"/>
      <c r="AK92" s="16" t="n"/>
      <c r="AL92" s="16" t="n"/>
      <c r="AM92" s="16" t="n"/>
      <c r="AN92" s="16" t="n"/>
      <c r="AO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24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  <c r="AE93" s="16" t="n"/>
      <c r="AF93" s="16" t="n"/>
      <c r="AG93" s="16" t="n"/>
      <c r="AH93" s="16" t="n"/>
      <c r="AI93" s="16" t="n"/>
      <c r="AJ93" s="16" t="n"/>
      <c r="AK93" s="16" t="n"/>
      <c r="AL93" s="16" t="n"/>
      <c r="AM93" s="16" t="n"/>
      <c r="AN93" s="16" t="n"/>
      <c r="AO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24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  <c r="AE94" s="16" t="n"/>
      <c r="AF94" s="16" t="n"/>
      <c r="AG94" s="16" t="n"/>
      <c r="AH94" s="16" t="n"/>
      <c r="AI94" s="16" t="n"/>
      <c r="AJ94" s="16" t="n"/>
      <c r="AK94" s="16" t="n"/>
      <c r="AL94" s="16" t="n"/>
      <c r="AM94" s="16" t="n"/>
      <c r="AN94" s="16" t="n"/>
      <c r="AO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24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  <c r="AE95" s="16" t="n"/>
      <c r="AF95" s="16" t="n"/>
      <c r="AG95" s="16" t="n"/>
      <c r="AH95" s="16" t="n"/>
      <c r="AI95" s="16" t="n"/>
      <c r="AJ95" s="16" t="n"/>
      <c r="AK95" s="16" t="n"/>
      <c r="AL95" s="16" t="n"/>
      <c r="AM95" s="16" t="n"/>
      <c r="AN95" s="16" t="n"/>
      <c r="AO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24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  <c r="AE96" s="16" t="n"/>
      <c r="AF96" s="16" t="n"/>
      <c r="AG96" s="16" t="n"/>
      <c r="AH96" s="16" t="n"/>
      <c r="AI96" s="16" t="n"/>
      <c r="AJ96" s="16" t="n"/>
      <c r="AK96" s="16" t="n"/>
      <c r="AL96" s="16" t="n"/>
      <c r="AM96" s="16" t="n"/>
      <c r="AN96" s="16" t="n"/>
      <c r="AO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24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  <c r="AE97" s="16" t="n"/>
      <c r="AF97" s="16" t="n"/>
      <c r="AG97" s="16" t="n"/>
      <c r="AH97" s="16" t="n"/>
      <c r="AI97" s="16" t="n"/>
      <c r="AJ97" s="16" t="n"/>
      <c r="AK97" s="16" t="n"/>
      <c r="AL97" s="16" t="n"/>
      <c r="AM97" s="16" t="n"/>
      <c r="AN97" s="16" t="n"/>
      <c r="AO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24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  <c r="AE98" s="16" t="n"/>
      <c r="AF98" s="16" t="n"/>
      <c r="AG98" s="16" t="n"/>
      <c r="AH98" s="16" t="n"/>
      <c r="AI98" s="16" t="n"/>
      <c r="AJ98" s="16" t="n"/>
      <c r="AK98" s="16" t="n"/>
      <c r="AL98" s="16" t="n"/>
      <c r="AM98" s="16" t="n"/>
      <c r="AN98" s="16" t="n"/>
      <c r="AO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24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  <c r="AE99" s="16" t="n"/>
      <c r="AF99" s="16" t="n"/>
      <c r="AG99" s="16" t="n"/>
      <c r="AH99" s="16" t="n"/>
      <c r="AI99" s="16" t="n"/>
      <c r="AJ99" s="16" t="n"/>
      <c r="AK99" s="16" t="n"/>
      <c r="AL99" s="16" t="n"/>
      <c r="AM99" s="16" t="n"/>
      <c r="AN99" s="16" t="n"/>
      <c r="AO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24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  <c r="AE100" s="16" t="n"/>
      <c r="AF100" s="16" t="n"/>
      <c r="AG100" s="16" t="n"/>
      <c r="AH100" s="16" t="n"/>
      <c r="AI100" s="16" t="n"/>
      <c r="AJ100" s="16" t="n"/>
      <c r="AK100" s="16" t="n"/>
      <c r="AL100" s="16" t="n"/>
      <c r="AM100" s="16" t="n"/>
      <c r="AN100" s="16" t="n"/>
      <c r="AO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24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  <c r="AE101" s="16" t="n"/>
      <c r="AF101" s="16" t="n"/>
      <c r="AG101" s="16" t="n"/>
      <c r="AH101" s="16" t="n"/>
      <c r="AI101" s="16" t="n"/>
      <c r="AJ101" s="16" t="n"/>
      <c r="AK101" s="16" t="n"/>
      <c r="AL101" s="16" t="n"/>
      <c r="AM101" s="16" t="n"/>
      <c r="AN101" s="16" t="n"/>
      <c r="AO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24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  <c r="AE102" s="16" t="n"/>
      <c r="AF102" s="16" t="n"/>
      <c r="AG102" s="16" t="n"/>
      <c r="AH102" s="16" t="n"/>
      <c r="AI102" s="16" t="n"/>
      <c r="AJ102" s="16" t="n"/>
      <c r="AK102" s="16" t="n"/>
      <c r="AL102" s="16" t="n"/>
      <c r="AM102" s="16" t="n"/>
      <c r="AN102" s="16" t="n"/>
      <c r="AO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24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  <c r="AE103" s="16" t="n"/>
      <c r="AF103" s="16" t="n"/>
      <c r="AG103" s="16" t="n"/>
      <c r="AH103" s="16" t="n"/>
      <c r="AI103" s="16" t="n"/>
      <c r="AJ103" s="16" t="n"/>
      <c r="AK103" s="16" t="n"/>
      <c r="AL103" s="16" t="n"/>
      <c r="AM103" s="16" t="n"/>
      <c r="AN103" s="16" t="n"/>
      <c r="AO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24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  <c r="AE104" s="16" t="n"/>
      <c r="AF104" s="16" t="n"/>
      <c r="AG104" s="16" t="n"/>
      <c r="AH104" s="16" t="n"/>
      <c r="AI104" s="16" t="n"/>
      <c r="AJ104" s="16" t="n"/>
      <c r="AK104" s="16" t="n"/>
      <c r="AL104" s="16" t="n"/>
      <c r="AM104" s="16" t="n"/>
      <c r="AN104" s="16" t="n"/>
      <c r="AO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24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  <c r="AE105" s="16" t="n"/>
      <c r="AF105" s="16" t="n"/>
      <c r="AG105" s="16" t="n"/>
      <c r="AH105" s="16" t="n"/>
      <c r="AI105" s="16" t="n"/>
      <c r="AJ105" s="16" t="n"/>
      <c r="AK105" s="16" t="n"/>
      <c r="AL105" s="16" t="n"/>
      <c r="AM105" s="16" t="n"/>
      <c r="AN105" s="16" t="n"/>
      <c r="AO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24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  <c r="AE106" s="16" t="n"/>
      <c r="AF106" s="16" t="n"/>
      <c r="AG106" s="16" t="n"/>
      <c r="AH106" s="16" t="n"/>
      <c r="AI106" s="16" t="n"/>
      <c r="AJ106" s="16" t="n"/>
      <c r="AK106" s="16" t="n"/>
      <c r="AL106" s="16" t="n"/>
      <c r="AM106" s="16" t="n"/>
      <c r="AN106" s="16" t="n"/>
      <c r="AO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24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  <c r="AE107" s="16" t="n"/>
      <c r="AF107" s="16" t="n"/>
      <c r="AG107" s="16" t="n"/>
      <c r="AH107" s="16" t="n"/>
      <c r="AI107" s="16" t="n"/>
      <c r="AJ107" s="16" t="n"/>
      <c r="AK107" s="16" t="n"/>
      <c r="AL107" s="16" t="n"/>
      <c r="AM107" s="16" t="n"/>
      <c r="AN107" s="16" t="n"/>
      <c r="AO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24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  <c r="AE108" s="16" t="n"/>
      <c r="AF108" s="16" t="n"/>
      <c r="AG108" s="16" t="n"/>
      <c r="AH108" s="16" t="n"/>
      <c r="AI108" s="16" t="n"/>
      <c r="AJ108" s="16" t="n"/>
      <c r="AK108" s="16" t="n"/>
      <c r="AL108" s="16" t="n"/>
      <c r="AM108" s="16" t="n"/>
      <c r="AN108" s="16" t="n"/>
      <c r="AO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24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  <c r="AE109" s="16" t="n"/>
      <c r="AF109" s="16" t="n"/>
      <c r="AG109" s="16" t="n"/>
      <c r="AH109" s="16" t="n"/>
      <c r="AI109" s="16" t="n"/>
      <c r="AJ109" s="16" t="n"/>
      <c r="AK109" s="16" t="n"/>
      <c r="AL109" s="16" t="n"/>
      <c r="AM109" s="16" t="n"/>
      <c r="AN109" s="16" t="n"/>
      <c r="AO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24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  <c r="AE110" s="16" t="n"/>
      <c r="AF110" s="16" t="n"/>
      <c r="AG110" s="16" t="n"/>
      <c r="AH110" s="16" t="n"/>
      <c r="AI110" s="16" t="n"/>
      <c r="AJ110" s="16" t="n"/>
      <c r="AK110" s="16" t="n"/>
      <c r="AL110" s="16" t="n"/>
      <c r="AM110" s="16" t="n"/>
      <c r="AN110" s="16" t="n"/>
      <c r="AO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24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  <c r="AE111" s="16" t="n"/>
      <c r="AF111" s="16" t="n"/>
      <c r="AG111" s="16" t="n"/>
      <c r="AH111" s="16" t="n"/>
      <c r="AI111" s="16" t="n"/>
      <c r="AJ111" s="16" t="n"/>
      <c r="AK111" s="16" t="n"/>
      <c r="AL111" s="16" t="n"/>
      <c r="AM111" s="16" t="n"/>
      <c r="AN111" s="16" t="n"/>
      <c r="AO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24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  <c r="AE112" s="16" t="n"/>
      <c r="AF112" s="16" t="n"/>
      <c r="AG112" s="16" t="n"/>
      <c r="AH112" s="16" t="n"/>
      <c r="AI112" s="16" t="n"/>
      <c r="AJ112" s="16" t="n"/>
      <c r="AK112" s="16" t="n"/>
      <c r="AL112" s="16" t="n"/>
      <c r="AM112" s="16" t="n"/>
      <c r="AN112" s="16" t="n"/>
      <c r="AO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24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  <c r="AE113" s="16" t="n"/>
      <c r="AF113" s="16" t="n"/>
      <c r="AG113" s="16" t="n"/>
      <c r="AH113" s="16" t="n"/>
      <c r="AI113" s="16" t="n"/>
      <c r="AJ113" s="16" t="n"/>
      <c r="AK113" s="16" t="n"/>
      <c r="AL113" s="16" t="n"/>
      <c r="AM113" s="16" t="n"/>
      <c r="AN113" s="16" t="n"/>
      <c r="AO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24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  <c r="AE114" s="16" t="n"/>
      <c r="AF114" s="16" t="n"/>
      <c r="AG114" s="16" t="n"/>
      <c r="AH114" s="16" t="n"/>
      <c r="AI114" s="16" t="n"/>
      <c r="AJ114" s="16" t="n"/>
      <c r="AK114" s="16" t="n"/>
      <c r="AL114" s="16" t="n"/>
      <c r="AM114" s="16" t="n"/>
      <c r="AN114" s="16" t="n"/>
      <c r="AO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24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  <c r="AE115" s="16" t="n"/>
      <c r="AF115" s="16" t="n"/>
      <c r="AG115" s="16" t="n"/>
      <c r="AH115" s="16" t="n"/>
      <c r="AI115" s="16" t="n"/>
      <c r="AJ115" s="16" t="n"/>
      <c r="AK115" s="16" t="n"/>
      <c r="AL115" s="16" t="n"/>
      <c r="AM115" s="16" t="n"/>
      <c r="AN115" s="16" t="n"/>
      <c r="AO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24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  <c r="AE116" s="16" t="n"/>
      <c r="AF116" s="16" t="n"/>
      <c r="AG116" s="16" t="n"/>
      <c r="AH116" s="16" t="n"/>
      <c r="AI116" s="16" t="n"/>
      <c r="AJ116" s="16" t="n"/>
      <c r="AK116" s="16" t="n"/>
      <c r="AL116" s="16" t="n"/>
      <c r="AM116" s="16" t="n"/>
      <c r="AN116" s="16" t="n"/>
      <c r="AO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24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  <c r="AE117" s="16" t="n"/>
      <c r="AF117" s="16" t="n"/>
      <c r="AG117" s="16" t="n"/>
      <c r="AH117" s="16" t="n"/>
      <c r="AI117" s="16" t="n"/>
      <c r="AJ117" s="16" t="n"/>
      <c r="AK117" s="16" t="n"/>
      <c r="AL117" s="16" t="n"/>
      <c r="AM117" s="16" t="n"/>
      <c r="AN117" s="16" t="n"/>
      <c r="AO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24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  <c r="AE118" s="16" t="n"/>
      <c r="AF118" s="16" t="n"/>
      <c r="AG118" s="16" t="n"/>
      <c r="AH118" s="16" t="n"/>
      <c r="AI118" s="16" t="n"/>
      <c r="AJ118" s="16" t="n"/>
      <c r="AK118" s="16" t="n"/>
      <c r="AL118" s="16" t="n"/>
      <c r="AM118" s="16" t="n"/>
      <c r="AN118" s="16" t="n"/>
      <c r="AO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24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  <c r="AE119" s="16" t="n"/>
      <c r="AF119" s="16" t="n"/>
      <c r="AG119" s="16" t="n"/>
      <c r="AH119" s="16" t="n"/>
      <c r="AI119" s="16" t="n"/>
      <c r="AJ119" s="16" t="n"/>
      <c r="AK119" s="16" t="n"/>
      <c r="AL119" s="16" t="n"/>
      <c r="AM119" s="16" t="n"/>
      <c r="AN119" s="16" t="n"/>
      <c r="AO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24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  <c r="AE120" s="16" t="n"/>
      <c r="AF120" s="16" t="n"/>
      <c r="AG120" s="16" t="n"/>
      <c r="AH120" s="16" t="n"/>
      <c r="AI120" s="16" t="n"/>
      <c r="AJ120" s="16" t="n"/>
      <c r="AK120" s="16" t="n"/>
      <c r="AL120" s="16" t="n"/>
      <c r="AM120" s="16" t="n"/>
      <c r="AN120" s="16" t="n"/>
      <c r="AO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24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  <c r="AE121" s="16" t="n"/>
      <c r="AF121" s="16" t="n"/>
      <c r="AG121" s="16" t="n"/>
      <c r="AH121" s="16" t="n"/>
      <c r="AI121" s="16" t="n"/>
      <c r="AJ121" s="16" t="n"/>
      <c r="AK121" s="16" t="n"/>
      <c r="AL121" s="16" t="n"/>
      <c r="AM121" s="16" t="n"/>
      <c r="AN121" s="16" t="n"/>
      <c r="AO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24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  <c r="AE122" s="16" t="n"/>
      <c r="AF122" s="16" t="n"/>
      <c r="AG122" s="16" t="n"/>
      <c r="AH122" s="16" t="n"/>
      <c r="AI122" s="16" t="n"/>
      <c r="AJ122" s="16" t="n"/>
      <c r="AK122" s="16" t="n"/>
      <c r="AL122" s="16" t="n"/>
      <c r="AM122" s="16" t="n"/>
      <c r="AN122" s="16" t="n"/>
      <c r="AO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24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  <c r="AE123" s="16" t="n"/>
      <c r="AF123" s="16" t="n"/>
      <c r="AG123" s="16" t="n"/>
      <c r="AH123" s="16" t="n"/>
      <c r="AI123" s="16" t="n"/>
      <c r="AJ123" s="16" t="n"/>
      <c r="AK123" s="16" t="n"/>
      <c r="AL123" s="16" t="n"/>
      <c r="AM123" s="16" t="n"/>
      <c r="AN123" s="16" t="n"/>
      <c r="AO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24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  <c r="AE124" s="16" t="n"/>
      <c r="AF124" s="16" t="n"/>
      <c r="AG124" s="16" t="n"/>
      <c r="AH124" s="16" t="n"/>
      <c r="AI124" s="16" t="n"/>
      <c r="AJ124" s="16" t="n"/>
      <c r="AK124" s="16" t="n"/>
      <c r="AL124" s="16" t="n"/>
      <c r="AM124" s="16" t="n"/>
      <c r="AN124" s="16" t="n"/>
      <c r="AO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24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  <c r="AE125" s="16" t="n"/>
      <c r="AF125" s="16" t="n"/>
      <c r="AG125" s="16" t="n"/>
      <c r="AH125" s="16" t="n"/>
      <c r="AI125" s="16" t="n"/>
      <c r="AJ125" s="16" t="n"/>
      <c r="AK125" s="16" t="n"/>
      <c r="AL125" s="16" t="n"/>
      <c r="AM125" s="16" t="n"/>
      <c r="AN125" s="16" t="n"/>
      <c r="AO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24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  <c r="AE126" s="16" t="n"/>
      <c r="AF126" s="16" t="n"/>
      <c r="AG126" s="16" t="n"/>
      <c r="AH126" s="16" t="n"/>
      <c r="AI126" s="16" t="n"/>
      <c r="AJ126" s="16" t="n"/>
      <c r="AK126" s="16" t="n"/>
      <c r="AL126" s="16" t="n"/>
      <c r="AM126" s="16" t="n"/>
      <c r="AN126" s="16" t="n"/>
      <c r="AO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24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  <c r="AE127" s="16" t="n"/>
      <c r="AF127" s="16" t="n"/>
      <c r="AG127" s="16" t="n"/>
      <c r="AH127" s="16" t="n"/>
      <c r="AI127" s="16" t="n"/>
      <c r="AJ127" s="16" t="n"/>
      <c r="AK127" s="16" t="n"/>
      <c r="AL127" s="16" t="n"/>
      <c r="AM127" s="16" t="n"/>
      <c r="AN127" s="16" t="n"/>
      <c r="AO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24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  <c r="AE128" s="16" t="n"/>
      <c r="AF128" s="16" t="n"/>
      <c r="AG128" s="16" t="n"/>
      <c r="AH128" s="16" t="n"/>
      <c r="AI128" s="16" t="n"/>
      <c r="AJ128" s="16" t="n"/>
      <c r="AK128" s="16" t="n"/>
      <c r="AL128" s="16" t="n"/>
      <c r="AM128" s="16" t="n"/>
      <c r="AN128" s="16" t="n"/>
      <c r="AO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24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  <c r="AE129" s="16" t="n"/>
      <c r="AF129" s="16" t="n"/>
      <c r="AG129" s="16" t="n"/>
      <c r="AH129" s="16" t="n"/>
      <c r="AI129" s="16" t="n"/>
      <c r="AJ129" s="16" t="n"/>
      <c r="AK129" s="16" t="n"/>
      <c r="AL129" s="16" t="n"/>
      <c r="AM129" s="16" t="n"/>
      <c r="AN129" s="16" t="n"/>
      <c r="AO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24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  <c r="AE130" s="16" t="n"/>
      <c r="AF130" s="16" t="n"/>
      <c r="AG130" s="16" t="n"/>
      <c r="AH130" s="16" t="n"/>
      <c r="AI130" s="16" t="n"/>
      <c r="AJ130" s="16" t="n"/>
      <c r="AK130" s="16" t="n"/>
      <c r="AL130" s="16" t="n"/>
      <c r="AM130" s="16" t="n"/>
      <c r="AN130" s="16" t="n"/>
      <c r="AO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24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  <c r="AE131" s="16" t="n"/>
      <c r="AF131" s="16" t="n"/>
      <c r="AG131" s="16" t="n"/>
      <c r="AH131" s="16" t="n"/>
      <c r="AI131" s="16" t="n"/>
      <c r="AJ131" s="16" t="n"/>
      <c r="AK131" s="16" t="n"/>
      <c r="AL131" s="16" t="n"/>
      <c r="AM131" s="16" t="n"/>
      <c r="AN131" s="16" t="n"/>
      <c r="AO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24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  <c r="AE132" s="16" t="n"/>
      <c r="AF132" s="16" t="n"/>
      <c r="AG132" s="16" t="n"/>
      <c r="AH132" s="16" t="n"/>
      <c r="AI132" s="16" t="n"/>
      <c r="AJ132" s="16" t="n"/>
      <c r="AK132" s="16" t="n"/>
      <c r="AL132" s="16" t="n"/>
      <c r="AM132" s="16" t="n"/>
      <c r="AN132" s="16" t="n"/>
      <c r="AO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24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  <c r="AE133" s="16" t="n"/>
      <c r="AF133" s="16" t="n"/>
      <c r="AG133" s="16" t="n"/>
      <c r="AH133" s="16" t="n"/>
      <c r="AI133" s="16" t="n"/>
      <c r="AJ133" s="16" t="n"/>
      <c r="AK133" s="16" t="n"/>
      <c r="AL133" s="16" t="n"/>
      <c r="AM133" s="16" t="n"/>
      <c r="AN133" s="16" t="n"/>
      <c r="AO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24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  <c r="AE134" s="16" t="n"/>
      <c r="AF134" s="16" t="n"/>
      <c r="AG134" s="16" t="n"/>
      <c r="AH134" s="16" t="n"/>
      <c r="AI134" s="16" t="n"/>
      <c r="AJ134" s="16" t="n"/>
      <c r="AK134" s="16" t="n"/>
      <c r="AL134" s="16" t="n"/>
      <c r="AM134" s="16" t="n"/>
      <c r="AN134" s="16" t="n"/>
      <c r="AO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24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  <c r="AE135" s="16" t="n"/>
      <c r="AF135" s="16" t="n"/>
      <c r="AG135" s="16" t="n"/>
      <c r="AH135" s="16" t="n"/>
      <c r="AI135" s="16" t="n"/>
      <c r="AJ135" s="16" t="n"/>
      <c r="AK135" s="16" t="n"/>
      <c r="AL135" s="16" t="n"/>
      <c r="AM135" s="16" t="n"/>
      <c r="AN135" s="16" t="n"/>
      <c r="AO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24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  <c r="AE136" s="16" t="n"/>
      <c r="AF136" s="16" t="n"/>
      <c r="AG136" s="16" t="n"/>
      <c r="AH136" s="16" t="n"/>
      <c r="AI136" s="16" t="n"/>
      <c r="AJ136" s="16" t="n"/>
      <c r="AK136" s="16" t="n"/>
      <c r="AL136" s="16" t="n"/>
      <c r="AM136" s="16" t="n"/>
      <c r="AN136" s="16" t="n"/>
      <c r="AO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24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  <c r="AE137" s="16" t="n"/>
      <c r="AF137" s="16" t="n"/>
      <c r="AG137" s="16" t="n"/>
      <c r="AH137" s="16" t="n"/>
      <c r="AI137" s="16" t="n"/>
      <c r="AJ137" s="16" t="n"/>
      <c r="AK137" s="16" t="n"/>
      <c r="AL137" s="16" t="n"/>
      <c r="AM137" s="16" t="n"/>
      <c r="AN137" s="16" t="n"/>
      <c r="AO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24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  <c r="AE138" s="16" t="n"/>
      <c r="AF138" s="16" t="n"/>
      <c r="AG138" s="16" t="n"/>
      <c r="AH138" s="16" t="n"/>
      <c r="AI138" s="16" t="n"/>
      <c r="AJ138" s="16" t="n"/>
      <c r="AK138" s="16" t="n"/>
      <c r="AL138" s="16" t="n"/>
      <c r="AM138" s="16" t="n"/>
      <c r="AN138" s="16" t="n"/>
      <c r="AO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24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  <c r="AE139" s="16" t="n"/>
      <c r="AF139" s="16" t="n"/>
      <c r="AG139" s="16" t="n"/>
      <c r="AH139" s="16" t="n"/>
      <c r="AI139" s="16" t="n"/>
      <c r="AJ139" s="16" t="n"/>
      <c r="AK139" s="16" t="n"/>
      <c r="AL139" s="16" t="n"/>
      <c r="AM139" s="16" t="n"/>
      <c r="AN139" s="16" t="n"/>
      <c r="AO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24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  <c r="AE140" s="16" t="n"/>
      <c r="AF140" s="16" t="n"/>
      <c r="AG140" s="16" t="n"/>
      <c r="AH140" s="16" t="n"/>
      <c r="AI140" s="16" t="n"/>
      <c r="AJ140" s="16" t="n"/>
      <c r="AK140" s="16" t="n"/>
      <c r="AL140" s="16" t="n"/>
      <c r="AM140" s="16" t="n"/>
      <c r="AN140" s="16" t="n"/>
      <c r="AO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24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  <c r="AE141" s="16" t="n"/>
      <c r="AF141" s="16" t="n"/>
      <c r="AG141" s="16" t="n"/>
      <c r="AH141" s="16" t="n"/>
      <c r="AI141" s="16" t="n"/>
      <c r="AJ141" s="16" t="n"/>
      <c r="AK141" s="16" t="n"/>
      <c r="AL141" s="16" t="n"/>
      <c r="AM141" s="16" t="n"/>
      <c r="AN141" s="16" t="n"/>
      <c r="AO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24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  <c r="AE142" s="16" t="n"/>
      <c r="AF142" s="16" t="n"/>
      <c r="AG142" s="16" t="n"/>
      <c r="AH142" s="16" t="n"/>
      <c r="AI142" s="16" t="n"/>
      <c r="AJ142" s="16" t="n"/>
      <c r="AK142" s="16" t="n"/>
      <c r="AL142" s="16" t="n"/>
      <c r="AM142" s="16" t="n"/>
      <c r="AN142" s="16" t="n"/>
      <c r="AO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24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  <c r="AE143" s="16" t="n"/>
      <c r="AF143" s="16" t="n"/>
      <c r="AG143" s="16" t="n"/>
      <c r="AH143" s="16" t="n"/>
      <c r="AI143" s="16" t="n"/>
      <c r="AJ143" s="16" t="n"/>
      <c r="AK143" s="16" t="n"/>
      <c r="AL143" s="16" t="n"/>
      <c r="AM143" s="16" t="n"/>
      <c r="AN143" s="16" t="n"/>
      <c r="AO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24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  <c r="AE144" s="16" t="n"/>
      <c r="AF144" s="16" t="n"/>
      <c r="AG144" s="16" t="n"/>
      <c r="AH144" s="16" t="n"/>
      <c r="AI144" s="16" t="n"/>
      <c r="AJ144" s="16" t="n"/>
      <c r="AK144" s="16" t="n"/>
      <c r="AL144" s="16" t="n"/>
      <c r="AM144" s="16" t="n"/>
      <c r="AN144" s="16" t="n"/>
      <c r="AO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24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  <c r="AE145" s="16" t="n"/>
      <c r="AF145" s="16" t="n"/>
      <c r="AG145" s="16" t="n"/>
      <c r="AH145" s="16" t="n"/>
      <c r="AI145" s="16" t="n"/>
      <c r="AJ145" s="16" t="n"/>
      <c r="AK145" s="16" t="n"/>
      <c r="AL145" s="16" t="n"/>
      <c r="AM145" s="16" t="n"/>
      <c r="AN145" s="16" t="n"/>
      <c r="AO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24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  <c r="AE146" s="16" t="n"/>
      <c r="AF146" s="16" t="n"/>
      <c r="AG146" s="16" t="n"/>
      <c r="AH146" s="16" t="n"/>
      <c r="AI146" s="16" t="n"/>
      <c r="AJ146" s="16" t="n"/>
      <c r="AK146" s="16" t="n"/>
      <c r="AL146" s="16" t="n"/>
      <c r="AM146" s="16" t="n"/>
      <c r="AN146" s="16" t="n"/>
      <c r="AO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24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  <c r="AE147" s="16" t="n"/>
      <c r="AF147" s="16" t="n"/>
      <c r="AG147" s="16" t="n"/>
      <c r="AH147" s="16" t="n"/>
      <c r="AI147" s="16" t="n"/>
      <c r="AJ147" s="16" t="n"/>
      <c r="AK147" s="16" t="n"/>
      <c r="AL147" s="16" t="n"/>
      <c r="AM147" s="16" t="n"/>
      <c r="AN147" s="16" t="n"/>
      <c r="AO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24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  <c r="AE148" s="16" t="n"/>
      <c r="AF148" s="16" t="n"/>
      <c r="AG148" s="16" t="n"/>
      <c r="AH148" s="16" t="n"/>
      <c r="AI148" s="16" t="n"/>
      <c r="AJ148" s="16" t="n"/>
      <c r="AK148" s="16" t="n"/>
      <c r="AL148" s="16" t="n"/>
      <c r="AM148" s="16" t="n"/>
      <c r="AN148" s="16" t="n"/>
      <c r="AO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24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  <c r="AE149" s="16" t="n"/>
      <c r="AF149" s="16" t="n"/>
      <c r="AG149" s="16" t="n"/>
      <c r="AH149" s="16" t="n"/>
      <c r="AI149" s="16" t="n"/>
      <c r="AJ149" s="16" t="n"/>
      <c r="AK149" s="16" t="n"/>
      <c r="AL149" s="16" t="n"/>
      <c r="AM149" s="16" t="n"/>
      <c r="AN149" s="16" t="n"/>
      <c r="AO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24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  <c r="AE150" s="16" t="n"/>
      <c r="AF150" s="16" t="n"/>
      <c r="AG150" s="16" t="n"/>
      <c r="AH150" s="16" t="n"/>
      <c r="AI150" s="16" t="n"/>
      <c r="AJ150" s="16" t="n"/>
      <c r="AK150" s="16" t="n"/>
      <c r="AL150" s="16" t="n"/>
      <c r="AM150" s="16" t="n"/>
      <c r="AN150" s="16" t="n"/>
      <c r="AO150" s="16" t="n"/>
    </row>
  </sheetData>
  <mergeCells count="10">
    <mergeCell ref="S1:X1"/>
    <mergeCell ref="D1:D2"/>
    <mergeCell ref="B1:B2"/>
    <mergeCell ref="G1:G2"/>
    <mergeCell ref="F1:F2"/>
    <mergeCell ref="E1:E2"/>
    <mergeCell ref="H1:H2"/>
    <mergeCell ref="C1:C2"/>
    <mergeCell ref="I1:P1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50"/>
  <sheetViews>
    <sheetView zoomScale="68" zoomScaleNormal="70"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X7" sqref="X7"/>
    </sheetView>
  </sheetViews>
  <sheetFormatPr baseColWidth="8" defaultRowHeight="14.25"/>
  <cols>
    <col width="14.33203125" customWidth="1" min="1" max="1"/>
    <col width="12" customWidth="1" min="2" max="2"/>
    <col width="10" customWidth="1" min="3" max="3"/>
    <col width="16" customWidth="1" min="4" max="4"/>
    <col width="13.3984375" customWidth="1" min="5" max="5"/>
    <col width="12" customWidth="1" min="6" max="9"/>
    <col width="13" customWidth="1" min="10" max="10"/>
    <col width="12" customWidth="1" min="11" max="11"/>
    <col width="14" customWidth="1" min="12" max="12"/>
    <col width="15.265625" customWidth="1" min="13" max="13"/>
    <col width="14" customWidth="1" min="14" max="14"/>
    <col width="13" customWidth="1" min="15" max="15"/>
    <col width="15.265625" customWidth="1" min="16" max="16"/>
    <col width="13" customWidth="1" min="17" max="17"/>
    <col width="12" customWidth="1" min="18" max="18"/>
    <col width="14" customWidth="1" min="19" max="19"/>
    <col width="15.265625" customWidth="1" min="20" max="20"/>
    <col width="13" customWidth="1" min="21" max="21"/>
    <col width="15.265625" customWidth="1" min="22" max="22"/>
    <col width="11" customWidth="1" min="23" max="23"/>
    <col width="13" customWidth="1" min="24" max="24"/>
    <col width="12" customWidth="1" min="25" max="25"/>
    <col width="10" customWidth="1" min="26" max="27"/>
    <col width="12" customWidth="1" min="28" max="29"/>
  </cols>
  <sheetData>
    <row r="1" ht="27" customHeight="1">
      <c r="A1" s="67" t="inlineStr">
        <is>
          <t>年月（自然月）</t>
        </is>
      </c>
      <c r="B1" s="67" t="inlineStr">
        <is>
          <t>顾问姓名</t>
        </is>
      </c>
      <c r="C1" s="67" t="inlineStr">
        <is>
          <t>二级部门</t>
        </is>
      </c>
      <c r="D1" s="67" t="inlineStr">
        <is>
          <t>三级部门</t>
        </is>
      </c>
      <c r="E1" s="67" t="inlineStr">
        <is>
          <t>岗位</t>
        </is>
      </c>
      <c r="F1" s="66" t="inlineStr">
        <is>
          <t>奖金</t>
        </is>
      </c>
      <c r="G1" s="66" t="inlineStr">
        <is>
          <t>新签提成</t>
        </is>
      </c>
      <c r="H1" s="66" t="inlineStr">
        <is>
          <t>续费提成</t>
        </is>
      </c>
      <c r="I1" s="66" t="inlineStr">
        <is>
          <t>月度绩效</t>
        </is>
      </c>
      <c r="J1" s="64" t="inlineStr">
        <is>
          <t>新签提成</t>
        </is>
      </c>
      <c r="K1" s="58" t="n"/>
      <c r="L1" s="58" t="n"/>
      <c r="M1" s="58" t="n"/>
      <c r="N1" s="58" t="n"/>
      <c r="O1" s="58" t="n"/>
      <c r="P1" s="59" t="n"/>
      <c r="Q1" s="76" t="inlineStr">
        <is>
          <t>续费提成</t>
        </is>
      </c>
      <c r="R1" s="58" t="n"/>
      <c r="S1" s="58" t="n"/>
      <c r="T1" s="58" t="n"/>
      <c r="U1" s="58" t="n"/>
      <c r="V1" s="59" t="n"/>
      <c r="W1" s="68" t="inlineStr">
        <is>
          <t>月度绩效</t>
        </is>
      </c>
      <c r="X1" s="59" t="n"/>
      <c r="Y1" s="28" t="n"/>
      <c r="Z1" s="29" t="n"/>
      <c r="AA1" s="28" t="n"/>
      <c r="AB1" s="28" t="n"/>
      <c r="AC1" s="28" t="n"/>
      <c r="AD1" s="28" t="n"/>
      <c r="AE1" s="28" t="n"/>
      <c r="AF1" s="28" t="n"/>
      <c r="AG1" s="28" t="n"/>
      <c r="AH1" s="28" t="n"/>
      <c r="AI1" s="28" t="n"/>
      <c r="AJ1" s="28" t="n"/>
      <c r="AK1" s="28" t="n"/>
      <c r="AL1" s="28" t="n"/>
      <c r="AM1" s="28" t="n"/>
      <c r="AN1" s="28" t="n"/>
      <c r="AO1" s="28" t="n"/>
    </row>
    <row r="2" ht="25.05" customHeight="1">
      <c r="A2" s="62" t="n"/>
      <c r="B2" s="62" t="n"/>
      <c r="C2" s="62" t="n"/>
      <c r="D2" s="62" t="n"/>
      <c r="E2" s="62" t="n"/>
      <c r="F2" s="62" t="n"/>
      <c r="G2" s="62" t="n"/>
      <c r="H2" s="62" t="n"/>
      <c r="I2" s="62" t="n"/>
      <c r="J2" s="26" t="inlineStr">
        <is>
          <t>业绩目标</t>
        </is>
      </c>
      <c r="K2" s="26" t="inlineStr">
        <is>
          <t>个人新签</t>
        </is>
      </c>
      <c r="L2" s="26" t="inlineStr">
        <is>
          <t>退费金额</t>
        </is>
      </c>
      <c r="M2" s="26" t="inlineStr">
        <is>
          <t>新签净业绩</t>
        </is>
      </c>
      <c r="N2" s="26" t="inlineStr">
        <is>
          <t>新签完成率</t>
        </is>
      </c>
      <c r="O2" s="26" t="inlineStr">
        <is>
          <t>提点</t>
        </is>
      </c>
      <c r="P2" s="26" t="inlineStr">
        <is>
          <t>新签提成</t>
        </is>
      </c>
      <c r="Q2" s="34" t="inlineStr">
        <is>
          <t>续费总计</t>
        </is>
      </c>
      <c r="R2" s="34" t="inlineStr">
        <is>
          <t>退费总计</t>
        </is>
      </c>
      <c r="S2" s="34" t="inlineStr">
        <is>
          <t>退费金额</t>
        </is>
      </c>
      <c r="T2" s="34" t="inlineStr">
        <is>
          <t>续费业绩</t>
        </is>
      </c>
      <c r="U2" s="34" t="inlineStr">
        <is>
          <t>提点</t>
        </is>
      </c>
      <c r="V2" s="34" t="inlineStr">
        <is>
          <t>续费提成</t>
        </is>
      </c>
      <c r="W2" s="27" t="inlineStr">
        <is>
          <t>月度评分</t>
        </is>
      </c>
      <c r="X2" s="27" t="inlineStr">
        <is>
          <t>月度绩效</t>
        </is>
      </c>
      <c r="Y2" s="29" t="n"/>
      <c r="Z2" s="29" t="n"/>
      <c r="AA2" s="29" t="n"/>
      <c r="AB2" s="29" t="n"/>
      <c r="AC2" s="29" t="n"/>
      <c r="AD2" s="28" t="n"/>
      <c r="AE2" s="28" t="n"/>
      <c r="AF2" s="28" t="n"/>
      <c r="AG2" s="28" t="n"/>
      <c r="AH2" s="28" t="n"/>
      <c r="AI2" s="28" t="n"/>
      <c r="AJ2" s="28" t="n"/>
      <c r="AK2" s="28" t="n"/>
      <c r="AL2" s="28" t="n"/>
      <c r="AM2" s="28" t="n"/>
      <c r="AN2" s="28" t="n"/>
      <c r="AO2" s="28" t="n"/>
    </row>
    <row r="3" ht="38.35" customHeight="1">
      <c r="A3" s="30" t="n"/>
      <c r="B3" s="31" t="n"/>
      <c r="C3" s="31" t="n"/>
      <c r="D3" s="31" t="n"/>
      <c r="E3" s="31" t="n"/>
      <c r="F3" s="32" t="n"/>
      <c r="G3" s="32" t="n"/>
      <c r="H3" s="32" t="n"/>
      <c r="I3" s="32" t="n"/>
      <c r="J3" s="32" t="n"/>
      <c r="K3" s="32" t="n"/>
      <c r="L3" s="32" t="n"/>
      <c r="M3" s="33" t="n"/>
      <c r="N3" s="32" t="n"/>
      <c r="O3" s="32" t="n"/>
      <c r="P3" s="33" t="n"/>
      <c r="Q3" s="32" t="n"/>
      <c r="R3" s="32" t="n"/>
      <c r="S3" s="32" t="n"/>
      <c r="T3" s="33" t="n"/>
      <c r="U3" s="32" t="n"/>
      <c r="V3" s="33" t="n"/>
      <c r="W3" s="32" t="n"/>
      <c r="X3" s="32" t="n"/>
      <c r="Y3" s="28" t="n"/>
      <c r="Z3" s="28" t="n"/>
      <c r="AA3" s="28" t="n"/>
      <c r="AB3" s="28" t="n"/>
      <c r="AC3" s="28" t="n"/>
      <c r="AD3" s="28" t="n"/>
      <c r="AE3" s="28" t="n"/>
      <c r="AF3" s="28" t="n"/>
      <c r="AG3" s="28" t="n"/>
      <c r="AH3" s="28" t="n"/>
      <c r="AI3" s="28" t="n"/>
      <c r="AJ3" s="28" t="n"/>
      <c r="AK3" s="28" t="n"/>
      <c r="AL3" s="28" t="n"/>
      <c r="AM3" s="28" t="n"/>
      <c r="AN3" s="28" t="n"/>
      <c r="AO3" s="28" t="n"/>
    </row>
    <row r="4" ht="38.35" customHeight="1">
      <c r="A4" s="30" t="n"/>
      <c r="B4" s="31" t="n"/>
      <c r="C4" s="31" t="n"/>
      <c r="D4" s="31" t="n"/>
      <c r="E4" s="31" t="n"/>
      <c r="F4" s="32" t="n"/>
      <c r="G4" s="32" t="n"/>
      <c r="H4" s="32" t="n"/>
      <c r="I4" s="32" t="n"/>
      <c r="J4" s="32" t="n"/>
      <c r="K4" s="32" t="n"/>
      <c r="L4" s="32" t="n"/>
      <c r="M4" s="33" t="n"/>
      <c r="N4" s="32" t="n"/>
      <c r="O4" s="32" t="n"/>
      <c r="P4" s="33" t="n"/>
      <c r="Q4" s="32" t="n"/>
      <c r="R4" s="32" t="n"/>
      <c r="S4" s="32" t="n"/>
      <c r="T4" s="33" t="n"/>
      <c r="U4" s="32" t="n"/>
      <c r="V4" s="33" t="n"/>
      <c r="W4" s="32" t="n"/>
      <c r="X4" s="32" t="n"/>
      <c r="Y4" s="28" t="n"/>
      <c r="Z4" s="28" t="n"/>
      <c r="AA4" s="28" t="n"/>
      <c r="AB4" s="28" t="n"/>
      <c r="AC4" s="28" t="n"/>
      <c r="AD4" s="28" t="n"/>
      <c r="AE4" s="28" t="n"/>
      <c r="AF4" s="28" t="n"/>
      <c r="AG4" s="28" t="n"/>
      <c r="AH4" s="28" t="n"/>
      <c r="AI4" s="28" t="n"/>
      <c r="AJ4" s="28" t="n"/>
      <c r="AK4" s="28" t="n"/>
      <c r="AL4" s="28" t="n"/>
      <c r="AM4" s="28" t="n"/>
      <c r="AN4" s="28" t="n"/>
      <c r="AO4" s="28" t="n"/>
    </row>
    <row r="5" ht="38.35" customHeight="1">
      <c r="A5" s="30" t="n"/>
      <c r="B5" s="31" t="n"/>
      <c r="C5" s="31" t="n"/>
      <c r="D5" s="31" t="n"/>
      <c r="E5" s="31" t="n"/>
      <c r="F5" s="32" t="n"/>
      <c r="G5" s="32" t="n"/>
      <c r="H5" s="32" t="n"/>
      <c r="I5" s="32" t="n"/>
      <c r="J5" s="32" t="n"/>
      <c r="K5" s="32" t="n"/>
      <c r="L5" s="32" t="n"/>
      <c r="M5" s="33" t="n"/>
      <c r="N5" s="32" t="n"/>
      <c r="O5" s="32" t="n"/>
      <c r="P5" s="33" t="n"/>
      <c r="Q5" s="32" t="n"/>
      <c r="R5" s="32" t="n"/>
      <c r="S5" s="32" t="n"/>
      <c r="T5" s="33" t="n"/>
      <c r="U5" s="32" t="n"/>
      <c r="V5" s="33" t="n"/>
      <c r="W5" s="32" t="n"/>
      <c r="X5" s="32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8" t="n"/>
      <c r="AK5" s="28" t="n"/>
      <c r="AL5" s="28" t="n"/>
      <c r="AM5" s="28" t="n"/>
      <c r="AN5" s="28" t="n"/>
      <c r="AO5" s="28" t="n"/>
    </row>
    <row r="6" ht="38.35" customHeight="1">
      <c r="A6" s="30" t="n"/>
      <c r="B6" s="31" t="n"/>
      <c r="C6" s="31" t="n"/>
      <c r="D6" s="31" t="n"/>
      <c r="E6" s="31" t="n"/>
      <c r="F6" s="32" t="n"/>
      <c r="G6" s="32" t="n"/>
      <c r="H6" s="32" t="n"/>
      <c r="I6" s="32" t="n"/>
      <c r="J6" s="32" t="n"/>
      <c r="K6" s="32" t="n"/>
      <c r="L6" s="32" t="n"/>
      <c r="M6" s="33" t="n"/>
      <c r="N6" s="32" t="n"/>
      <c r="O6" s="32" t="n"/>
      <c r="P6" s="33" t="n"/>
      <c r="Q6" s="32" t="n"/>
      <c r="R6" s="32" t="n"/>
      <c r="S6" s="32" t="n"/>
      <c r="T6" s="33" t="n"/>
      <c r="U6" s="32" t="n"/>
      <c r="V6" s="33" t="n"/>
      <c r="W6" s="32" t="n"/>
      <c r="X6" s="32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8" t="n"/>
      <c r="AK6" s="28" t="n"/>
      <c r="AL6" s="28" t="n"/>
      <c r="AM6" s="28" t="n"/>
      <c r="AN6" s="28" t="n"/>
      <c r="AO6" s="28" t="n"/>
    </row>
    <row r="7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8" t="n"/>
      <c r="AK8" s="28" t="n"/>
      <c r="AL8" s="28" t="n"/>
      <c r="AM8" s="28" t="n"/>
      <c r="AN8" s="28" t="n"/>
      <c r="AO8" s="28" t="n"/>
    </row>
    <row r="9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8" t="n"/>
      <c r="AK9" s="28" t="n"/>
      <c r="AL9" s="28" t="n"/>
      <c r="AM9" s="28" t="n"/>
      <c r="AN9" s="28" t="n"/>
      <c r="AO9" s="28" t="n"/>
    </row>
    <row r="10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8" t="n"/>
      <c r="AK10" s="28" t="n"/>
      <c r="AL10" s="28" t="n"/>
      <c r="AM10" s="28" t="n"/>
      <c r="AN10" s="28" t="n"/>
      <c r="AO10" s="28" t="n"/>
    </row>
    <row r="11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8" t="n"/>
    </row>
    <row r="12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8" t="n"/>
    </row>
    <row r="13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8" t="n"/>
    </row>
    <row r="14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8" t="n"/>
    </row>
    <row r="1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  <c r="AA15" s="28" t="n"/>
      <c r="AB15" s="28" t="n"/>
      <c r="AC15" s="28" t="n"/>
      <c r="AD15" s="28" t="n"/>
      <c r="AE15" s="28" t="n"/>
      <c r="AF15" s="28" t="n"/>
      <c r="AG15" s="28" t="n"/>
      <c r="AH15" s="28" t="n"/>
      <c r="AI15" s="28" t="n"/>
      <c r="AJ15" s="28" t="n"/>
      <c r="AK15" s="28" t="n"/>
      <c r="AL15" s="28" t="n"/>
      <c r="AM15" s="28" t="n"/>
      <c r="AN15" s="28" t="n"/>
      <c r="AO15" s="28" t="n"/>
    </row>
    <row r="16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</row>
    <row r="17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8" t="n"/>
      <c r="AK17" s="28" t="n"/>
      <c r="AL17" s="28" t="n"/>
      <c r="AM17" s="28" t="n"/>
      <c r="AN17" s="28" t="n"/>
      <c r="AO17" s="28" t="n"/>
    </row>
    <row r="18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8" t="n"/>
      <c r="AK18" s="28" t="n"/>
      <c r="AL18" s="28" t="n"/>
      <c r="AM18" s="28" t="n"/>
      <c r="AN18" s="28" t="n"/>
      <c r="AO18" s="28" t="n"/>
    </row>
    <row r="19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8" t="n"/>
      <c r="AK19" s="28" t="n"/>
      <c r="AL19" s="28" t="n"/>
      <c r="AM19" s="28" t="n"/>
      <c r="AN19" s="28" t="n"/>
      <c r="AO19" s="28" t="n"/>
    </row>
    <row r="20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8" t="n"/>
      <c r="AK20" s="28" t="n"/>
      <c r="AL20" s="28" t="n"/>
      <c r="AM20" s="28" t="n"/>
      <c r="AN20" s="28" t="n"/>
      <c r="AO20" s="28" t="n"/>
    </row>
    <row r="21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  <c r="AM21" s="28" t="n"/>
      <c r="AN21" s="28" t="n"/>
      <c r="AO21" s="28" t="n"/>
    </row>
    <row r="22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8" t="n"/>
      <c r="AK22" s="28" t="n"/>
      <c r="AL22" s="28" t="n"/>
      <c r="AM22" s="28" t="n"/>
      <c r="AN22" s="28" t="n"/>
      <c r="AO22" s="28" t="n"/>
    </row>
    <row r="23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  <c r="AA23" s="28" t="n"/>
      <c r="AB23" s="28" t="n"/>
      <c r="AC23" s="28" t="n"/>
      <c r="AD23" s="28" t="n"/>
      <c r="AE23" s="28" t="n"/>
      <c r="AF23" s="28" t="n"/>
      <c r="AG23" s="28" t="n"/>
      <c r="AH23" s="28" t="n"/>
      <c r="AI23" s="28" t="n"/>
      <c r="AJ23" s="28" t="n"/>
      <c r="AK23" s="28" t="n"/>
      <c r="AL23" s="28" t="n"/>
      <c r="AM23" s="28" t="n"/>
      <c r="AN23" s="28" t="n"/>
      <c r="AO23" s="28" t="n"/>
    </row>
    <row r="24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8" t="n"/>
      <c r="AK24" s="28" t="n"/>
      <c r="AL24" s="28" t="n"/>
      <c r="AM24" s="28" t="n"/>
      <c r="AN24" s="28" t="n"/>
      <c r="AO24" s="28" t="n"/>
    </row>
    <row r="2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  <c r="AA25" s="28" t="n"/>
      <c r="AB25" s="28" t="n"/>
      <c r="AC25" s="28" t="n"/>
      <c r="AD25" s="28" t="n"/>
      <c r="AE25" s="28" t="n"/>
      <c r="AF25" s="28" t="n"/>
      <c r="AG25" s="28" t="n"/>
      <c r="AH25" s="28" t="n"/>
      <c r="AI25" s="28" t="n"/>
      <c r="AJ25" s="28" t="n"/>
      <c r="AK25" s="28" t="n"/>
      <c r="AL25" s="28" t="n"/>
      <c r="AM25" s="28" t="n"/>
      <c r="AN25" s="28" t="n"/>
      <c r="AO25" s="28" t="n"/>
    </row>
    <row r="26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  <c r="AA26" s="28" t="n"/>
      <c r="AB26" s="28" t="n"/>
      <c r="AC26" s="28" t="n"/>
      <c r="AD26" s="28" t="n"/>
      <c r="AE26" s="28" t="n"/>
      <c r="AF26" s="28" t="n"/>
      <c r="AG26" s="28" t="n"/>
      <c r="AH26" s="28" t="n"/>
      <c r="AI26" s="28" t="n"/>
      <c r="AJ26" s="28" t="n"/>
      <c r="AK26" s="28" t="n"/>
      <c r="AL26" s="28" t="n"/>
      <c r="AM26" s="28" t="n"/>
      <c r="AN26" s="28" t="n"/>
      <c r="AO26" s="28" t="n"/>
    </row>
    <row r="27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8" t="n"/>
      <c r="AK27" s="28" t="n"/>
      <c r="AL27" s="28" t="n"/>
      <c r="AM27" s="28" t="n"/>
      <c r="AN27" s="28" t="n"/>
      <c r="AO27" s="28" t="n"/>
    </row>
    <row r="28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8" t="n"/>
      <c r="AK28" s="28" t="n"/>
      <c r="AL28" s="28" t="n"/>
      <c r="AM28" s="28" t="n"/>
      <c r="AN28" s="28" t="n"/>
      <c r="AO28" s="28" t="n"/>
    </row>
    <row r="29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8" t="n"/>
      <c r="AK29" s="28" t="n"/>
      <c r="AL29" s="28" t="n"/>
      <c r="AM29" s="28" t="n"/>
      <c r="AN29" s="28" t="n"/>
      <c r="AO29" s="28" t="n"/>
    </row>
    <row r="30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8" t="n"/>
      <c r="AK30" s="28" t="n"/>
      <c r="AL30" s="28" t="n"/>
      <c r="AM30" s="28" t="n"/>
      <c r="AN30" s="28" t="n"/>
      <c r="AO30" s="28" t="n"/>
    </row>
    <row r="31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8" t="n"/>
      <c r="AK31" s="28" t="n"/>
      <c r="AL31" s="28" t="n"/>
      <c r="AM31" s="28" t="n"/>
      <c r="AN31" s="28" t="n"/>
      <c r="AO31" s="28" t="n"/>
    </row>
    <row r="3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8" t="n"/>
      <c r="AK32" s="28" t="n"/>
      <c r="AL32" s="28" t="n"/>
      <c r="AM32" s="28" t="n"/>
      <c r="AN32" s="28" t="n"/>
      <c r="AO32" s="28" t="n"/>
    </row>
    <row r="33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8" t="n"/>
      <c r="AK33" s="28" t="n"/>
      <c r="AL33" s="28" t="n"/>
      <c r="AM33" s="28" t="n"/>
      <c r="AN33" s="28" t="n"/>
      <c r="AO33" s="28" t="n"/>
    </row>
    <row r="34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8" t="n"/>
      <c r="AK34" s="28" t="n"/>
      <c r="AL34" s="28" t="n"/>
      <c r="AM34" s="28" t="n"/>
      <c r="AN34" s="28" t="n"/>
      <c r="AO34" s="28" t="n"/>
    </row>
    <row r="3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8" t="n"/>
      <c r="AK35" s="28" t="n"/>
      <c r="AL35" s="28" t="n"/>
      <c r="AM35" s="28" t="n"/>
      <c r="AN35" s="28" t="n"/>
      <c r="AO35" s="28" t="n"/>
    </row>
    <row r="36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  <c r="AA36" s="28" t="n"/>
      <c r="AB36" s="28" t="n"/>
      <c r="AC36" s="28" t="n"/>
      <c r="AD36" s="28" t="n"/>
      <c r="AE36" s="28" t="n"/>
      <c r="AF36" s="28" t="n"/>
      <c r="AG36" s="28" t="n"/>
      <c r="AH36" s="28" t="n"/>
      <c r="AI36" s="28" t="n"/>
      <c r="AJ36" s="28" t="n"/>
      <c r="AK36" s="28" t="n"/>
      <c r="AL36" s="28" t="n"/>
      <c r="AM36" s="28" t="n"/>
      <c r="AN36" s="28" t="n"/>
      <c r="AO36" s="28" t="n"/>
    </row>
    <row r="37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  <c r="AA37" s="28" t="n"/>
      <c r="AB37" s="28" t="n"/>
      <c r="AC37" s="28" t="n"/>
      <c r="AD37" s="28" t="n"/>
      <c r="AE37" s="28" t="n"/>
      <c r="AF37" s="28" t="n"/>
      <c r="AG37" s="28" t="n"/>
      <c r="AH37" s="28" t="n"/>
      <c r="AI37" s="28" t="n"/>
      <c r="AJ37" s="28" t="n"/>
      <c r="AK37" s="28" t="n"/>
      <c r="AL37" s="28" t="n"/>
      <c r="AM37" s="28" t="n"/>
      <c r="AN37" s="28" t="n"/>
      <c r="AO37" s="28" t="n"/>
    </row>
    <row r="38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8" t="n"/>
      <c r="AD38" s="28" t="n"/>
      <c r="AE38" s="28" t="n"/>
      <c r="AF38" s="28" t="n"/>
      <c r="AG38" s="28" t="n"/>
      <c r="AH38" s="28" t="n"/>
      <c r="AI38" s="28" t="n"/>
      <c r="AJ38" s="28" t="n"/>
      <c r="AK38" s="28" t="n"/>
      <c r="AL38" s="28" t="n"/>
      <c r="AM38" s="28" t="n"/>
      <c r="AN38" s="28" t="n"/>
      <c r="AO38" s="28" t="n"/>
    </row>
    <row r="39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  <c r="AM39" s="28" t="n"/>
      <c r="AN39" s="28" t="n"/>
      <c r="AO39" s="28" t="n"/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8" t="n"/>
    </row>
    <row r="41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n"/>
      <c r="AH41" s="28" t="n"/>
      <c r="AI41" s="28" t="n"/>
      <c r="AJ41" s="28" t="n"/>
      <c r="AK41" s="28" t="n"/>
      <c r="AL41" s="28" t="n"/>
      <c r="AM41" s="28" t="n"/>
      <c r="AN41" s="28" t="n"/>
      <c r="AO41" s="28" t="n"/>
    </row>
    <row r="42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8" t="n"/>
      <c r="AK42" s="28" t="n"/>
      <c r="AL42" s="28" t="n"/>
      <c r="AM42" s="28" t="n"/>
      <c r="AN42" s="28" t="n"/>
      <c r="AO42" s="28" t="n"/>
    </row>
    <row r="43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8" t="n"/>
      <c r="AK43" s="28" t="n"/>
      <c r="AL43" s="28" t="n"/>
      <c r="AM43" s="28" t="n"/>
      <c r="AN43" s="28" t="n"/>
      <c r="AO43" s="28" t="n"/>
    </row>
    <row r="44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8" t="n"/>
      <c r="AK44" s="28" t="n"/>
      <c r="AL44" s="28" t="n"/>
      <c r="AM44" s="28" t="n"/>
      <c r="AN44" s="28" t="n"/>
      <c r="AO44" s="28" t="n"/>
    </row>
    <row r="4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  <c r="AA45" s="28" t="n"/>
      <c r="AB45" s="28" t="n"/>
      <c r="AC45" s="28" t="n"/>
      <c r="AD45" s="28" t="n"/>
      <c r="AE45" s="28" t="n"/>
      <c r="AF45" s="28" t="n"/>
      <c r="AG45" s="28" t="n"/>
      <c r="AH45" s="28" t="n"/>
      <c r="AI45" s="28" t="n"/>
      <c r="AJ45" s="28" t="n"/>
      <c r="AK45" s="28" t="n"/>
      <c r="AL45" s="28" t="n"/>
      <c r="AM45" s="28" t="n"/>
      <c r="AN45" s="28" t="n"/>
      <c r="AO45" s="28" t="n"/>
    </row>
    <row r="46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8" t="n"/>
      <c r="AK46" s="28" t="n"/>
      <c r="AL46" s="28" t="n"/>
      <c r="AM46" s="28" t="n"/>
      <c r="AN46" s="28" t="n"/>
      <c r="AO46" s="28" t="n"/>
    </row>
    <row r="47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28" t="n"/>
      <c r="AE47" s="28" t="n"/>
      <c r="AF47" s="28" t="n"/>
      <c r="AG47" s="28" t="n"/>
      <c r="AH47" s="28" t="n"/>
      <c r="AI47" s="28" t="n"/>
      <c r="AJ47" s="28" t="n"/>
      <c r="AK47" s="28" t="n"/>
      <c r="AL47" s="28" t="n"/>
      <c r="AM47" s="28" t="n"/>
      <c r="AN47" s="28" t="n"/>
      <c r="AO47" s="28" t="n"/>
    </row>
    <row r="48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28" t="n"/>
      <c r="AE48" s="28" t="n"/>
      <c r="AF48" s="28" t="n"/>
      <c r="AG48" s="28" t="n"/>
      <c r="AH48" s="28" t="n"/>
      <c r="AI48" s="28" t="n"/>
      <c r="AJ48" s="28" t="n"/>
      <c r="AK48" s="28" t="n"/>
      <c r="AL48" s="28" t="n"/>
      <c r="AM48" s="28" t="n"/>
      <c r="AN48" s="28" t="n"/>
      <c r="AO48" s="28" t="n"/>
    </row>
    <row r="49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28" t="n"/>
      <c r="AI49" s="28" t="n"/>
      <c r="AJ49" s="28" t="n"/>
      <c r="AK49" s="28" t="n"/>
      <c r="AL49" s="28" t="n"/>
      <c r="AM49" s="28" t="n"/>
      <c r="AN49" s="28" t="n"/>
      <c r="AO49" s="28" t="n"/>
    </row>
    <row r="50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8" t="n"/>
      <c r="AK50" s="28" t="n"/>
      <c r="AL50" s="28" t="n"/>
      <c r="AM50" s="28" t="n"/>
      <c r="AN50" s="28" t="n"/>
      <c r="AO50" s="28" t="n"/>
    </row>
    <row r="51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</row>
    <row r="52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8" t="n"/>
      <c r="AK52" s="28" t="n"/>
      <c r="AL52" s="28" t="n"/>
      <c r="AM52" s="28" t="n"/>
      <c r="AN52" s="28" t="n"/>
      <c r="AO52" s="28" t="n"/>
    </row>
    <row r="53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8" t="n"/>
      <c r="AI53" s="28" t="n"/>
      <c r="AJ53" s="28" t="n"/>
      <c r="AK53" s="28" t="n"/>
      <c r="AL53" s="28" t="n"/>
      <c r="AM53" s="28" t="n"/>
      <c r="AN53" s="28" t="n"/>
      <c r="AO53" s="28" t="n"/>
    </row>
    <row r="54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8" t="n"/>
      <c r="AK54" s="28" t="n"/>
      <c r="AL54" s="28" t="n"/>
      <c r="AM54" s="28" t="n"/>
      <c r="AN54" s="28" t="n"/>
      <c r="AO54" s="28" t="n"/>
    </row>
    <row r="5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8" t="n"/>
      <c r="AK55" s="28" t="n"/>
      <c r="AL55" s="28" t="n"/>
      <c r="AM55" s="28" t="n"/>
      <c r="AN55" s="28" t="n"/>
      <c r="AO55" s="28" t="n"/>
    </row>
    <row r="56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  <c r="AA56" s="28" t="n"/>
      <c r="AB56" s="28" t="n"/>
      <c r="AC56" s="28" t="n"/>
      <c r="AD56" s="28" t="n"/>
      <c r="AE56" s="28" t="n"/>
      <c r="AF56" s="28" t="n"/>
      <c r="AG56" s="28" t="n"/>
      <c r="AH56" s="28" t="n"/>
      <c r="AI56" s="28" t="n"/>
      <c r="AJ56" s="28" t="n"/>
      <c r="AK56" s="28" t="n"/>
      <c r="AL56" s="28" t="n"/>
      <c r="AM56" s="28" t="n"/>
      <c r="AN56" s="28" t="n"/>
      <c r="AO56" s="28" t="n"/>
    </row>
    <row r="57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8" t="n"/>
      <c r="AK57" s="28" t="n"/>
      <c r="AL57" s="28" t="n"/>
      <c r="AM57" s="28" t="n"/>
      <c r="AN57" s="28" t="n"/>
      <c r="AO57" s="28" t="n"/>
    </row>
    <row r="58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  <c r="AK58" s="28" t="n"/>
      <c r="AL58" s="28" t="n"/>
      <c r="AM58" s="28" t="n"/>
      <c r="AN58" s="28" t="n"/>
      <c r="AO58" s="28" t="n"/>
    </row>
    <row r="59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  <c r="AE59" s="28" t="n"/>
      <c r="AF59" s="28" t="n"/>
      <c r="AG59" s="28" t="n"/>
      <c r="AH59" s="28" t="n"/>
      <c r="AI59" s="28" t="n"/>
      <c r="AJ59" s="28" t="n"/>
      <c r="AK59" s="28" t="n"/>
      <c r="AL59" s="28" t="n"/>
      <c r="AM59" s="28" t="n"/>
      <c r="AN59" s="28" t="n"/>
      <c r="AO59" s="28" t="n"/>
    </row>
    <row r="60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8" t="n"/>
      <c r="AK60" s="28" t="n"/>
      <c r="AL60" s="28" t="n"/>
      <c r="AM60" s="28" t="n"/>
      <c r="AN60" s="28" t="n"/>
      <c r="AO60" s="28" t="n"/>
    </row>
    <row r="6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8" t="n"/>
      <c r="AK61" s="28" t="n"/>
      <c r="AL61" s="28" t="n"/>
      <c r="AM61" s="28" t="n"/>
      <c r="AN61" s="28" t="n"/>
      <c r="AO61" s="28" t="n"/>
    </row>
    <row r="62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  <c r="AK62" s="28" t="n"/>
      <c r="AL62" s="28" t="n"/>
      <c r="AM62" s="28" t="n"/>
      <c r="AN62" s="28" t="n"/>
      <c r="AO62" s="28" t="n"/>
    </row>
    <row r="63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8" t="n"/>
      <c r="AK63" s="28" t="n"/>
      <c r="AL63" s="28" t="n"/>
      <c r="AM63" s="28" t="n"/>
      <c r="AN63" s="28" t="n"/>
      <c r="AO63" s="28" t="n"/>
    </row>
    <row r="64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8" t="n"/>
      <c r="AK64" s="28" t="n"/>
      <c r="AL64" s="28" t="n"/>
      <c r="AM64" s="28" t="n"/>
      <c r="AN64" s="28" t="n"/>
      <c r="AO64" s="28" t="n"/>
    </row>
    <row r="6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8" t="n"/>
      <c r="AK65" s="28" t="n"/>
      <c r="AL65" s="28" t="n"/>
      <c r="AM65" s="28" t="n"/>
      <c r="AN65" s="28" t="n"/>
      <c r="AO65" s="28" t="n"/>
    </row>
    <row r="66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8" t="n"/>
      <c r="AK66" s="28" t="n"/>
      <c r="AL66" s="28" t="n"/>
      <c r="AM66" s="28" t="n"/>
      <c r="AN66" s="28" t="n"/>
      <c r="AO66" s="28" t="n"/>
    </row>
    <row r="67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8" t="n"/>
      <c r="AK67" s="28" t="n"/>
      <c r="AL67" s="28" t="n"/>
      <c r="AM67" s="28" t="n"/>
      <c r="AN67" s="28" t="n"/>
      <c r="AO67" s="28" t="n"/>
    </row>
    <row r="68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8" t="n"/>
      <c r="AK68" s="28" t="n"/>
      <c r="AL68" s="28" t="n"/>
      <c r="AM68" s="28" t="n"/>
      <c r="AN68" s="28" t="n"/>
      <c r="AO68" s="28" t="n"/>
    </row>
    <row r="69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  <c r="AA69" s="28" t="n"/>
      <c r="AB69" s="28" t="n"/>
      <c r="AC69" s="28" t="n"/>
      <c r="AD69" s="28" t="n"/>
      <c r="AE69" s="28" t="n"/>
      <c r="AF69" s="28" t="n"/>
      <c r="AG69" s="28" t="n"/>
      <c r="AH69" s="28" t="n"/>
      <c r="AI69" s="28" t="n"/>
      <c r="AJ69" s="28" t="n"/>
      <c r="AK69" s="28" t="n"/>
      <c r="AL69" s="28" t="n"/>
      <c r="AM69" s="28" t="n"/>
      <c r="AN69" s="28" t="n"/>
      <c r="AO69" s="28" t="n"/>
    </row>
    <row r="70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  <c r="AA70" s="28" t="n"/>
      <c r="AB70" s="28" t="n"/>
      <c r="AC70" s="28" t="n"/>
      <c r="AD70" s="28" t="n"/>
      <c r="AE70" s="28" t="n"/>
      <c r="AF70" s="28" t="n"/>
      <c r="AG70" s="28" t="n"/>
      <c r="AH70" s="28" t="n"/>
      <c r="AI70" s="28" t="n"/>
      <c r="AJ70" s="28" t="n"/>
      <c r="AK70" s="28" t="n"/>
      <c r="AL70" s="28" t="n"/>
      <c r="AM70" s="28" t="n"/>
      <c r="AN70" s="28" t="n"/>
      <c r="AO70" s="28" t="n"/>
    </row>
    <row r="71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8" t="n"/>
      <c r="AK71" s="28" t="n"/>
      <c r="AL71" s="28" t="n"/>
      <c r="AM71" s="28" t="n"/>
      <c r="AN71" s="28" t="n"/>
      <c r="AO71" s="28" t="n"/>
    </row>
    <row r="72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8" t="n"/>
      <c r="AK72" s="28" t="n"/>
      <c r="AL72" s="28" t="n"/>
      <c r="AM72" s="28" t="n"/>
      <c r="AN72" s="28" t="n"/>
      <c r="AO72" s="28" t="n"/>
    </row>
    <row r="73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8" t="n"/>
      <c r="AK73" s="28" t="n"/>
      <c r="AL73" s="28" t="n"/>
      <c r="AM73" s="28" t="n"/>
      <c r="AN73" s="28" t="n"/>
      <c r="AO73" s="28" t="n"/>
    </row>
    <row r="74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8" t="n"/>
      <c r="AK74" s="28" t="n"/>
      <c r="AL74" s="28" t="n"/>
      <c r="AM74" s="28" t="n"/>
      <c r="AN74" s="28" t="n"/>
      <c r="AO74" s="28" t="n"/>
    </row>
    <row r="7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8" t="n"/>
      <c r="AK75" s="28" t="n"/>
      <c r="AL75" s="28" t="n"/>
      <c r="AM75" s="28" t="n"/>
      <c r="AN75" s="28" t="n"/>
      <c r="AO75" s="28" t="n"/>
    </row>
    <row r="76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8" t="n"/>
      <c r="AK76" s="28" t="n"/>
      <c r="AL76" s="28" t="n"/>
      <c r="AM76" s="28" t="n"/>
      <c r="AN76" s="28" t="n"/>
      <c r="AO76" s="28" t="n"/>
    </row>
    <row r="77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8" t="n"/>
      <c r="AK77" s="28" t="n"/>
      <c r="AL77" s="28" t="n"/>
      <c r="AM77" s="28" t="n"/>
      <c r="AN77" s="28" t="n"/>
      <c r="AO77" s="28" t="n"/>
    </row>
    <row r="78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  <c r="AA78" s="28" t="n"/>
      <c r="AB78" s="28" t="n"/>
      <c r="AC78" s="28" t="n"/>
      <c r="AD78" s="28" t="n"/>
      <c r="AE78" s="28" t="n"/>
      <c r="AF78" s="28" t="n"/>
      <c r="AG78" s="28" t="n"/>
      <c r="AH78" s="28" t="n"/>
      <c r="AI78" s="28" t="n"/>
      <c r="AJ78" s="28" t="n"/>
      <c r="AK78" s="28" t="n"/>
      <c r="AL78" s="28" t="n"/>
      <c r="AM78" s="28" t="n"/>
      <c r="AN78" s="28" t="n"/>
      <c r="AO78" s="28" t="n"/>
    </row>
    <row r="79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8" t="n"/>
      <c r="AK79" s="28" t="n"/>
      <c r="AL79" s="28" t="n"/>
      <c r="AM79" s="28" t="n"/>
      <c r="AN79" s="28" t="n"/>
      <c r="AO79" s="28" t="n"/>
    </row>
    <row r="80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28" t="n"/>
      <c r="AG80" s="28" t="n"/>
      <c r="AH80" s="28" t="n"/>
      <c r="AI80" s="28" t="n"/>
      <c r="AJ80" s="28" t="n"/>
      <c r="AK80" s="28" t="n"/>
      <c r="AL80" s="28" t="n"/>
      <c r="AM80" s="28" t="n"/>
      <c r="AN80" s="28" t="n"/>
      <c r="AO80" s="28" t="n"/>
    </row>
    <row r="81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  <c r="AA81" s="28" t="n"/>
      <c r="AB81" s="28" t="n"/>
      <c r="AC81" s="28" t="n"/>
      <c r="AD81" s="28" t="n"/>
      <c r="AE81" s="28" t="n"/>
      <c r="AF81" s="28" t="n"/>
      <c r="AG81" s="28" t="n"/>
      <c r="AH81" s="28" t="n"/>
      <c r="AI81" s="28" t="n"/>
      <c r="AJ81" s="28" t="n"/>
      <c r="AK81" s="28" t="n"/>
      <c r="AL81" s="28" t="n"/>
      <c r="AM81" s="28" t="n"/>
      <c r="AN81" s="28" t="n"/>
      <c r="AO81" s="28" t="n"/>
    </row>
    <row r="82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8" t="n"/>
      <c r="AK82" s="28" t="n"/>
      <c r="AL82" s="28" t="n"/>
      <c r="AM82" s="28" t="n"/>
      <c r="AN82" s="28" t="n"/>
      <c r="AO82" s="28" t="n"/>
    </row>
    <row r="83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8" t="n"/>
      <c r="AI83" s="28" t="n"/>
      <c r="AJ83" s="28" t="n"/>
      <c r="AK83" s="28" t="n"/>
      <c r="AL83" s="28" t="n"/>
      <c r="AM83" s="28" t="n"/>
      <c r="AN83" s="28" t="n"/>
      <c r="AO83" s="28" t="n"/>
    </row>
    <row r="84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8" t="n"/>
      <c r="AK84" s="28" t="n"/>
      <c r="AL84" s="28" t="n"/>
      <c r="AM84" s="28" t="n"/>
      <c r="AN84" s="28" t="n"/>
      <c r="AO84" s="28" t="n"/>
    </row>
    <row r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8" t="n"/>
      <c r="AK85" s="28" t="n"/>
      <c r="AL85" s="28" t="n"/>
      <c r="AM85" s="28" t="n"/>
      <c r="AN85" s="28" t="n"/>
      <c r="AO85" s="28" t="n"/>
    </row>
    <row r="86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8" t="n"/>
      <c r="AK86" s="28" t="n"/>
      <c r="AL86" s="28" t="n"/>
      <c r="AM86" s="28" t="n"/>
      <c r="AN86" s="28" t="n"/>
      <c r="AO86" s="28" t="n"/>
    </row>
    <row r="87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8" t="n"/>
      <c r="AK87" s="28" t="n"/>
      <c r="AL87" s="28" t="n"/>
      <c r="AM87" s="28" t="n"/>
      <c r="AN87" s="28" t="n"/>
      <c r="AO87" s="28" t="n"/>
    </row>
    <row r="88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8" t="n"/>
      <c r="AK88" s="28" t="n"/>
      <c r="AL88" s="28" t="n"/>
      <c r="AM88" s="28" t="n"/>
      <c r="AN88" s="28" t="n"/>
      <c r="AO88" s="28" t="n"/>
    </row>
    <row r="89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  <c r="AA89" s="28" t="n"/>
      <c r="AB89" s="28" t="n"/>
      <c r="AC89" s="28" t="n"/>
      <c r="AD89" s="28" t="n"/>
      <c r="AE89" s="28" t="n"/>
      <c r="AF89" s="28" t="n"/>
      <c r="AG89" s="28" t="n"/>
      <c r="AH89" s="28" t="n"/>
      <c r="AI89" s="28" t="n"/>
      <c r="AJ89" s="28" t="n"/>
      <c r="AK89" s="28" t="n"/>
      <c r="AL89" s="28" t="n"/>
      <c r="AM89" s="28" t="n"/>
      <c r="AN89" s="28" t="n"/>
      <c r="AO89" s="28" t="n"/>
    </row>
    <row r="90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8" t="n"/>
      <c r="AK90" s="28" t="n"/>
      <c r="AL90" s="28" t="n"/>
      <c r="AM90" s="28" t="n"/>
      <c r="AN90" s="28" t="n"/>
      <c r="AO90" s="28" t="n"/>
    </row>
    <row r="91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  <c r="AA91" s="28" t="n"/>
      <c r="AB91" s="28" t="n"/>
      <c r="AC91" s="28" t="n"/>
      <c r="AD91" s="28" t="n"/>
      <c r="AE91" s="28" t="n"/>
      <c r="AF91" s="28" t="n"/>
      <c r="AG91" s="28" t="n"/>
      <c r="AH91" s="28" t="n"/>
      <c r="AI91" s="28" t="n"/>
      <c r="AJ91" s="28" t="n"/>
      <c r="AK91" s="28" t="n"/>
      <c r="AL91" s="28" t="n"/>
      <c r="AM91" s="28" t="n"/>
      <c r="AN91" s="28" t="n"/>
      <c r="AO91" s="28" t="n"/>
    </row>
    <row r="92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  <c r="AA92" s="28" t="n"/>
      <c r="AB92" s="28" t="n"/>
      <c r="AC92" s="28" t="n"/>
      <c r="AD92" s="28" t="n"/>
      <c r="AE92" s="28" t="n"/>
      <c r="AF92" s="28" t="n"/>
      <c r="AG92" s="28" t="n"/>
      <c r="AH92" s="28" t="n"/>
      <c r="AI92" s="28" t="n"/>
      <c r="AJ92" s="28" t="n"/>
      <c r="AK92" s="28" t="n"/>
      <c r="AL92" s="28" t="n"/>
      <c r="AM92" s="28" t="n"/>
      <c r="AN92" s="28" t="n"/>
      <c r="AO92" s="28" t="n"/>
    </row>
    <row r="93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8" t="n"/>
      <c r="AK93" s="28" t="n"/>
      <c r="AL93" s="28" t="n"/>
      <c r="AM93" s="28" t="n"/>
      <c r="AN93" s="28" t="n"/>
      <c r="AO93" s="28" t="n"/>
    </row>
    <row r="94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28" t="n"/>
      <c r="AJ94" s="28" t="n"/>
      <c r="AK94" s="28" t="n"/>
      <c r="AL94" s="28" t="n"/>
      <c r="AM94" s="28" t="n"/>
      <c r="AN94" s="28" t="n"/>
      <c r="AO94" s="28" t="n"/>
    </row>
    <row r="9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8" t="n"/>
      <c r="AK95" s="28" t="n"/>
      <c r="AL95" s="28" t="n"/>
      <c r="AM95" s="28" t="n"/>
      <c r="AN95" s="28" t="n"/>
      <c r="AO95" s="28" t="n"/>
    </row>
    <row r="96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8" t="n"/>
      <c r="AK96" s="28" t="n"/>
      <c r="AL96" s="28" t="n"/>
      <c r="AM96" s="28" t="n"/>
      <c r="AN96" s="28" t="n"/>
      <c r="AO96" s="28" t="n"/>
    </row>
    <row r="97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8" t="n"/>
      <c r="AK97" s="28" t="n"/>
      <c r="AL97" s="28" t="n"/>
      <c r="AM97" s="28" t="n"/>
      <c r="AN97" s="28" t="n"/>
      <c r="AO97" s="28" t="n"/>
    </row>
    <row r="98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8" t="n"/>
      <c r="AK98" s="28" t="n"/>
      <c r="AL98" s="28" t="n"/>
      <c r="AM98" s="28" t="n"/>
      <c r="AN98" s="28" t="n"/>
      <c r="AO98" s="28" t="n"/>
    </row>
    <row r="99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8" t="n"/>
      <c r="AK99" s="28" t="n"/>
      <c r="AL99" s="28" t="n"/>
      <c r="AM99" s="28" t="n"/>
      <c r="AN99" s="28" t="n"/>
      <c r="AO99" s="28" t="n"/>
    </row>
    <row r="100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  <c r="AG100" s="28" t="n"/>
      <c r="AH100" s="28" t="n"/>
      <c r="AI100" s="28" t="n"/>
      <c r="AJ100" s="28" t="n"/>
      <c r="AK100" s="28" t="n"/>
      <c r="AL100" s="28" t="n"/>
      <c r="AM100" s="28" t="n"/>
      <c r="AN100" s="28" t="n"/>
      <c r="AO100" s="28" t="n"/>
    </row>
    <row r="101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8" t="n"/>
      <c r="AK101" s="28" t="n"/>
      <c r="AL101" s="28" t="n"/>
      <c r="AM101" s="28" t="n"/>
      <c r="AN101" s="28" t="n"/>
      <c r="AO101" s="28" t="n"/>
    </row>
    <row r="102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8" t="n"/>
      <c r="AE102" s="28" t="n"/>
      <c r="AF102" s="28" t="n"/>
      <c r="AG102" s="28" t="n"/>
      <c r="AH102" s="28" t="n"/>
      <c r="AI102" s="28" t="n"/>
      <c r="AJ102" s="28" t="n"/>
      <c r="AK102" s="28" t="n"/>
      <c r="AL102" s="28" t="n"/>
      <c r="AM102" s="28" t="n"/>
      <c r="AN102" s="28" t="n"/>
      <c r="AO102" s="28" t="n"/>
    </row>
    <row r="103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28" t="n"/>
      <c r="AD103" s="28" t="n"/>
      <c r="AE103" s="28" t="n"/>
      <c r="AF103" s="28" t="n"/>
      <c r="AG103" s="28" t="n"/>
      <c r="AH103" s="28" t="n"/>
      <c r="AI103" s="28" t="n"/>
      <c r="AJ103" s="28" t="n"/>
      <c r="AK103" s="28" t="n"/>
      <c r="AL103" s="28" t="n"/>
      <c r="AM103" s="28" t="n"/>
      <c r="AN103" s="28" t="n"/>
      <c r="AO103" s="28" t="n"/>
    </row>
    <row r="104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8" t="n"/>
      <c r="AK104" s="28" t="n"/>
      <c r="AL104" s="28" t="n"/>
      <c r="AM104" s="28" t="n"/>
      <c r="AN104" s="28" t="n"/>
      <c r="AO104" s="28" t="n"/>
    </row>
    <row r="10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8" t="n"/>
      <c r="AK105" s="28" t="n"/>
      <c r="AL105" s="28" t="n"/>
      <c r="AM105" s="28" t="n"/>
      <c r="AN105" s="28" t="n"/>
      <c r="AO105" s="28" t="n"/>
    </row>
    <row r="106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8" t="n"/>
      <c r="AK106" s="28" t="n"/>
      <c r="AL106" s="28" t="n"/>
      <c r="AM106" s="28" t="n"/>
      <c r="AN106" s="28" t="n"/>
      <c r="AO106" s="28" t="n"/>
    </row>
    <row r="107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  <c r="AA107" s="28" t="n"/>
      <c r="AB107" s="28" t="n"/>
      <c r="AC107" s="28" t="n"/>
      <c r="AD107" s="28" t="n"/>
      <c r="AE107" s="28" t="n"/>
      <c r="AF107" s="28" t="n"/>
      <c r="AG107" s="28" t="n"/>
      <c r="AH107" s="28" t="n"/>
      <c r="AI107" s="28" t="n"/>
      <c r="AJ107" s="28" t="n"/>
      <c r="AK107" s="28" t="n"/>
      <c r="AL107" s="28" t="n"/>
      <c r="AM107" s="28" t="n"/>
      <c r="AN107" s="28" t="n"/>
      <c r="AO107" s="28" t="n"/>
    </row>
    <row r="108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8" t="n"/>
      <c r="AK108" s="28" t="n"/>
      <c r="AL108" s="28" t="n"/>
      <c r="AM108" s="28" t="n"/>
      <c r="AN108" s="28" t="n"/>
      <c r="AO108" s="28" t="n"/>
    </row>
    <row r="109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8" t="n"/>
      <c r="AK109" s="28" t="n"/>
      <c r="AL109" s="28" t="n"/>
      <c r="AM109" s="28" t="n"/>
      <c r="AN109" s="28" t="n"/>
      <c r="AO109" s="28" t="n"/>
    </row>
    <row r="110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8" t="n"/>
      <c r="AK110" s="28" t="n"/>
      <c r="AL110" s="28" t="n"/>
      <c r="AM110" s="28" t="n"/>
      <c r="AN110" s="28" t="n"/>
      <c r="AO110" s="28" t="n"/>
    </row>
    <row r="111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8" t="n"/>
      <c r="AE111" s="28" t="n"/>
      <c r="AF111" s="28" t="n"/>
      <c r="AG111" s="28" t="n"/>
      <c r="AH111" s="28" t="n"/>
      <c r="AI111" s="28" t="n"/>
      <c r="AJ111" s="28" t="n"/>
      <c r="AK111" s="28" t="n"/>
      <c r="AL111" s="28" t="n"/>
      <c r="AM111" s="28" t="n"/>
      <c r="AN111" s="28" t="n"/>
      <c r="AO111" s="28" t="n"/>
    </row>
    <row r="112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8" t="n"/>
      <c r="AK112" s="28" t="n"/>
      <c r="AL112" s="28" t="n"/>
      <c r="AM112" s="28" t="n"/>
      <c r="AN112" s="28" t="n"/>
      <c r="AO112" s="28" t="n"/>
    </row>
    <row r="113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  <c r="AG113" s="28" t="n"/>
      <c r="AH113" s="28" t="n"/>
      <c r="AI113" s="28" t="n"/>
      <c r="AJ113" s="28" t="n"/>
      <c r="AK113" s="28" t="n"/>
      <c r="AL113" s="28" t="n"/>
      <c r="AM113" s="28" t="n"/>
      <c r="AN113" s="28" t="n"/>
      <c r="AO113" s="28" t="n"/>
    </row>
    <row r="114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  <c r="AA114" s="28" t="n"/>
      <c r="AB114" s="28" t="n"/>
      <c r="AC114" s="28" t="n"/>
      <c r="AD114" s="28" t="n"/>
      <c r="AE114" s="28" t="n"/>
      <c r="AF114" s="28" t="n"/>
      <c r="AG114" s="28" t="n"/>
      <c r="AH114" s="28" t="n"/>
      <c r="AI114" s="28" t="n"/>
      <c r="AJ114" s="28" t="n"/>
      <c r="AK114" s="28" t="n"/>
      <c r="AL114" s="28" t="n"/>
      <c r="AM114" s="28" t="n"/>
      <c r="AN114" s="28" t="n"/>
      <c r="AO114" s="28" t="n"/>
    </row>
    <row r="11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8" t="n"/>
      <c r="AK115" s="28" t="n"/>
      <c r="AL115" s="28" t="n"/>
      <c r="AM115" s="28" t="n"/>
      <c r="AN115" s="28" t="n"/>
      <c r="AO115" s="28" t="n"/>
    </row>
    <row r="116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8" t="n"/>
      <c r="AK116" s="28" t="n"/>
      <c r="AL116" s="28" t="n"/>
      <c r="AM116" s="28" t="n"/>
      <c r="AN116" s="28" t="n"/>
      <c r="AO116" s="28" t="n"/>
    </row>
    <row r="117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8" t="n"/>
      <c r="AK117" s="28" t="n"/>
      <c r="AL117" s="28" t="n"/>
      <c r="AM117" s="28" t="n"/>
      <c r="AN117" s="28" t="n"/>
      <c r="AO117" s="28" t="n"/>
    </row>
    <row r="118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  <c r="AA118" s="28" t="n"/>
      <c r="AB118" s="28" t="n"/>
      <c r="AC118" s="28" t="n"/>
      <c r="AD118" s="28" t="n"/>
      <c r="AE118" s="28" t="n"/>
      <c r="AF118" s="28" t="n"/>
      <c r="AG118" s="28" t="n"/>
      <c r="AH118" s="28" t="n"/>
      <c r="AI118" s="28" t="n"/>
      <c r="AJ118" s="28" t="n"/>
      <c r="AK118" s="28" t="n"/>
      <c r="AL118" s="28" t="n"/>
      <c r="AM118" s="28" t="n"/>
      <c r="AN118" s="28" t="n"/>
      <c r="AO118" s="28" t="n"/>
    </row>
    <row r="119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8" t="n"/>
      <c r="AK119" s="28" t="n"/>
      <c r="AL119" s="28" t="n"/>
      <c r="AM119" s="28" t="n"/>
      <c r="AN119" s="28" t="n"/>
      <c r="AO119" s="28" t="n"/>
    </row>
    <row r="120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8" t="n"/>
      <c r="AK120" s="28" t="n"/>
      <c r="AL120" s="28" t="n"/>
      <c r="AM120" s="28" t="n"/>
      <c r="AN120" s="28" t="n"/>
      <c r="AO120" s="28" t="n"/>
    </row>
    <row r="121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8" t="n"/>
      <c r="AK121" s="28" t="n"/>
      <c r="AL121" s="28" t="n"/>
      <c r="AM121" s="28" t="n"/>
      <c r="AN121" s="28" t="n"/>
      <c r="AO121" s="28" t="n"/>
    </row>
    <row r="122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  <c r="AA122" s="28" t="n"/>
      <c r="AB122" s="28" t="n"/>
      <c r="AC122" s="28" t="n"/>
      <c r="AD122" s="28" t="n"/>
      <c r="AE122" s="28" t="n"/>
      <c r="AF122" s="28" t="n"/>
      <c r="AG122" s="28" t="n"/>
      <c r="AH122" s="28" t="n"/>
      <c r="AI122" s="28" t="n"/>
      <c r="AJ122" s="28" t="n"/>
      <c r="AK122" s="28" t="n"/>
      <c r="AL122" s="28" t="n"/>
      <c r="AM122" s="28" t="n"/>
      <c r="AN122" s="28" t="n"/>
      <c r="AO122" s="28" t="n"/>
    </row>
    <row r="123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8" t="n"/>
      <c r="AK123" s="28" t="n"/>
      <c r="AL123" s="28" t="n"/>
      <c r="AM123" s="28" t="n"/>
      <c r="AN123" s="28" t="n"/>
      <c r="AO123" s="28" t="n"/>
    </row>
    <row r="124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  <c r="AG124" s="28" t="n"/>
      <c r="AH124" s="28" t="n"/>
      <c r="AI124" s="28" t="n"/>
      <c r="AJ124" s="28" t="n"/>
      <c r="AK124" s="28" t="n"/>
      <c r="AL124" s="28" t="n"/>
      <c r="AM124" s="28" t="n"/>
      <c r="AN124" s="28" t="n"/>
      <c r="AO124" s="28" t="n"/>
    </row>
    <row r="12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  <c r="AG125" s="28" t="n"/>
      <c r="AH125" s="28" t="n"/>
      <c r="AI125" s="28" t="n"/>
      <c r="AJ125" s="28" t="n"/>
      <c r="AK125" s="28" t="n"/>
      <c r="AL125" s="28" t="n"/>
      <c r="AM125" s="28" t="n"/>
      <c r="AN125" s="28" t="n"/>
      <c r="AO125" s="28" t="n"/>
    </row>
    <row r="126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8" t="n"/>
      <c r="AK126" s="28" t="n"/>
      <c r="AL126" s="28" t="n"/>
      <c r="AM126" s="28" t="n"/>
      <c r="AN126" s="28" t="n"/>
      <c r="AO126" s="28" t="n"/>
    </row>
    <row r="127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8" t="n"/>
      <c r="AK127" s="28" t="n"/>
      <c r="AL127" s="28" t="n"/>
      <c r="AM127" s="28" t="n"/>
      <c r="AN127" s="28" t="n"/>
      <c r="AO127" s="28" t="n"/>
    </row>
    <row r="128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8" t="n"/>
      <c r="AK128" s="28" t="n"/>
      <c r="AL128" s="28" t="n"/>
      <c r="AM128" s="28" t="n"/>
      <c r="AN128" s="28" t="n"/>
      <c r="AO128" s="28" t="n"/>
    </row>
    <row r="129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  <c r="AA129" s="28" t="n"/>
      <c r="AB129" s="28" t="n"/>
      <c r="AC129" s="28" t="n"/>
      <c r="AD129" s="28" t="n"/>
      <c r="AE129" s="28" t="n"/>
      <c r="AF129" s="28" t="n"/>
      <c r="AG129" s="28" t="n"/>
      <c r="AH129" s="28" t="n"/>
      <c r="AI129" s="28" t="n"/>
      <c r="AJ129" s="28" t="n"/>
      <c r="AK129" s="28" t="n"/>
      <c r="AL129" s="28" t="n"/>
      <c r="AM129" s="28" t="n"/>
      <c r="AN129" s="28" t="n"/>
      <c r="AO129" s="28" t="n"/>
    </row>
    <row r="130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8" t="n"/>
      <c r="AK130" s="28" t="n"/>
      <c r="AL130" s="28" t="n"/>
      <c r="AM130" s="28" t="n"/>
      <c r="AN130" s="28" t="n"/>
      <c r="AO130" s="28" t="n"/>
    </row>
    <row r="131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8" t="n"/>
      <c r="AK131" s="28" t="n"/>
      <c r="AL131" s="28" t="n"/>
      <c r="AM131" s="28" t="n"/>
      <c r="AN131" s="28" t="n"/>
      <c r="AO131" s="28" t="n"/>
    </row>
    <row r="132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8" t="n"/>
      <c r="AK132" s="28" t="n"/>
      <c r="AL132" s="28" t="n"/>
      <c r="AM132" s="28" t="n"/>
      <c r="AN132" s="28" t="n"/>
      <c r="AO132" s="28" t="n"/>
    </row>
    <row r="133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8" t="n"/>
      <c r="AK133" s="28" t="n"/>
      <c r="AL133" s="28" t="n"/>
      <c r="AM133" s="28" t="n"/>
      <c r="AN133" s="28" t="n"/>
      <c r="AO133" s="28" t="n"/>
    </row>
    <row r="134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8" t="n"/>
      <c r="AK134" s="28" t="n"/>
      <c r="AL134" s="28" t="n"/>
      <c r="AM134" s="28" t="n"/>
      <c r="AN134" s="28" t="n"/>
      <c r="AO134" s="28" t="n"/>
    </row>
    <row r="13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  <c r="AA135" s="28" t="n"/>
      <c r="AB135" s="28" t="n"/>
      <c r="AC135" s="28" t="n"/>
      <c r="AD135" s="28" t="n"/>
      <c r="AE135" s="28" t="n"/>
      <c r="AF135" s="28" t="n"/>
      <c r="AG135" s="28" t="n"/>
      <c r="AH135" s="28" t="n"/>
      <c r="AI135" s="28" t="n"/>
      <c r="AJ135" s="28" t="n"/>
      <c r="AK135" s="28" t="n"/>
      <c r="AL135" s="28" t="n"/>
      <c r="AM135" s="28" t="n"/>
      <c r="AN135" s="28" t="n"/>
      <c r="AO135" s="28" t="n"/>
    </row>
    <row r="136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28" t="n"/>
      <c r="AH136" s="28" t="n"/>
      <c r="AI136" s="28" t="n"/>
      <c r="AJ136" s="28" t="n"/>
      <c r="AK136" s="28" t="n"/>
      <c r="AL136" s="28" t="n"/>
      <c r="AM136" s="28" t="n"/>
      <c r="AN136" s="28" t="n"/>
      <c r="AO136" s="28" t="n"/>
    </row>
    <row r="137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  <c r="AG137" s="28" t="n"/>
      <c r="AH137" s="28" t="n"/>
      <c r="AI137" s="28" t="n"/>
      <c r="AJ137" s="28" t="n"/>
      <c r="AK137" s="28" t="n"/>
      <c r="AL137" s="28" t="n"/>
      <c r="AM137" s="28" t="n"/>
      <c r="AN137" s="28" t="n"/>
      <c r="AO137" s="28" t="n"/>
    </row>
    <row r="138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8" t="n"/>
      <c r="AK138" s="28" t="n"/>
      <c r="AL138" s="28" t="n"/>
      <c r="AM138" s="28" t="n"/>
      <c r="AN138" s="28" t="n"/>
      <c r="AO138" s="28" t="n"/>
    </row>
    <row r="139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8" t="n"/>
      <c r="AK139" s="28" t="n"/>
      <c r="AL139" s="28" t="n"/>
      <c r="AM139" s="28" t="n"/>
      <c r="AN139" s="28" t="n"/>
      <c r="AO139" s="28" t="n"/>
    </row>
    <row r="140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  <c r="AA140" s="28" t="n"/>
      <c r="AB140" s="28" t="n"/>
      <c r="AC140" s="28" t="n"/>
      <c r="AD140" s="28" t="n"/>
      <c r="AE140" s="28" t="n"/>
      <c r="AF140" s="28" t="n"/>
      <c r="AG140" s="28" t="n"/>
      <c r="AH140" s="28" t="n"/>
      <c r="AI140" s="28" t="n"/>
      <c r="AJ140" s="28" t="n"/>
      <c r="AK140" s="28" t="n"/>
      <c r="AL140" s="28" t="n"/>
      <c r="AM140" s="28" t="n"/>
      <c r="AN140" s="28" t="n"/>
      <c r="AO140" s="28" t="n"/>
    </row>
    <row r="141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8" t="n"/>
      <c r="AK141" s="28" t="n"/>
      <c r="AL141" s="28" t="n"/>
      <c r="AM141" s="28" t="n"/>
      <c r="AN141" s="28" t="n"/>
      <c r="AO141" s="28" t="n"/>
    </row>
    <row r="142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8" t="n"/>
      <c r="AK142" s="28" t="n"/>
      <c r="AL142" s="28" t="n"/>
      <c r="AM142" s="28" t="n"/>
      <c r="AN142" s="28" t="n"/>
      <c r="AO142" s="28" t="n"/>
    </row>
    <row r="143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8" t="n"/>
      <c r="AK143" s="28" t="n"/>
      <c r="AL143" s="28" t="n"/>
      <c r="AM143" s="28" t="n"/>
      <c r="AN143" s="28" t="n"/>
      <c r="AO143" s="28" t="n"/>
    </row>
    <row r="144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8" t="n"/>
      <c r="AK144" s="28" t="n"/>
      <c r="AL144" s="28" t="n"/>
      <c r="AM144" s="28" t="n"/>
      <c r="AN144" s="28" t="n"/>
      <c r="AO144" s="28" t="n"/>
    </row>
    <row r="14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8" t="n"/>
      <c r="AK145" s="28" t="n"/>
      <c r="AL145" s="28" t="n"/>
      <c r="AM145" s="28" t="n"/>
      <c r="AN145" s="28" t="n"/>
      <c r="AO145" s="28" t="n"/>
    </row>
    <row r="146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  <c r="AA146" s="28" t="n"/>
      <c r="AB146" s="28" t="n"/>
      <c r="AC146" s="28" t="n"/>
      <c r="AD146" s="28" t="n"/>
      <c r="AE146" s="28" t="n"/>
      <c r="AF146" s="28" t="n"/>
      <c r="AG146" s="28" t="n"/>
      <c r="AH146" s="28" t="n"/>
      <c r="AI146" s="28" t="n"/>
      <c r="AJ146" s="28" t="n"/>
      <c r="AK146" s="28" t="n"/>
      <c r="AL146" s="28" t="n"/>
      <c r="AM146" s="28" t="n"/>
      <c r="AN146" s="28" t="n"/>
      <c r="AO146" s="28" t="n"/>
    </row>
    <row r="147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  <c r="AA147" s="28" t="n"/>
      <c r="AB147" s="28" t="n"/>
      <c r="AC147" s="28" t="n"/>
      <c r="AD147" s="28" t="n"/>
      <c r="AE147" s="28" t="n"/>
      <c r="AF147" s="28" t="n"/>
      <c r="AG147" s="28" t="n"/>
      <c r="AH147" s="28" t="n"/>
      <c r="AI147" s="28" t="n"/>
      <c r="AJ147" s="28" t="n"/>
      <c r="AK147" s="28" t="n"/>
      <c r="AL147" s="28" t="n"/>
      <c r="AM147" s="28" t="n"/>
      <c r="AN147" s="28" t="n"/>
      <c r="AO147" s="28" t="n"/>
    </row>
    <row r="148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  <c r="AA148" s="28" t="n"/>
      <c r="AB148" s="28" t="n"/>
      <c r="AC148" s="28" t="n"/>
      <c r="AD148" s="28" t="n"/>
      <c r="AE148" s="28" t="n"/>
      <c r="AF148" s="28" t="n"/>
      <c r="AG148" s="28" t="n"/>
      <c r="AH148" s="28" t="n"/>
      <c r="AI148" s="28" t="n"/>
      <c r="AJ148" s="28" t="n"/>
      <c r="AK148" s="28" t="n"/>
      <c r="AL148" s="28" t="n"/>
      <c r="AM148" s="28" t="n"/>
      <c r="AN148" s="28" t="n"/>
      <c r="AO148" s="28" t="n"/>
    </row>
    <row r="149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8" t="n"/>
      <c r="AK149" s="28" t="n"/>
      <c r="AL149" s="28" t="n"/>
      <c r="AM149" s="28" t="n"/>
      <c r="AN149" s="28" t="n"/>
      <c r="AO149" s="28" t="n"/>
    </row>
    <row r="150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8" t="n"/>
      <c r="AK150" s="28" t="n"/>
      <c r="AL150" s="28" t="n"/>
      <c r="AM150" s="28" t="n"/>
      <c r="AN150" s="28" t="n"/>
      <c r="AO150" s="28" t="n"/>
    </row>
  </sheetData>
  <mergeCells count="12">
    <mergeCell ref="J1:P1"/>
    <mergeCell ref="W1:X1"/>
    <mergeCell ref="D1:D2"/>
    <mergeCell ref="B1:B2"/>
    <mergeCell ref="G1:G2"/>
    <mergeCell ref="F1:F2"/>
    <mergeCell ref="E1:E2"/>
    <mergeCell ref="I1:I2"/>
    <mergeCell ref="C1:C2"/>
    <mergeCell ref="H1:H2"/>
    <mergeCell ref="Q1:V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2026-06-29T11:20:10Z</dcterms:created>
  <dcterms:modified xmlns:dcterms="http://purl.org/dc/terms/" xmlns:xsi="http://www.w3.org/2001/XMLSchema-instance" xsi:type="dcterms:W3CDTF">2026-07-01T15:01:29Z</dcterms:modified>
  <cp:lastModifiedBy>依琳 李</cp:lastModifiedBy>
</cp:coreProperties>
</file>