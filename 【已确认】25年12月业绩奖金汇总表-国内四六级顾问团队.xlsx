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2-北京工作\02-日常发薪\FY26\202512\浮动\OK=四六级\"/>
    </mc:Choice>
  </mc:AlternateContent>
  <bookViews>
    <workbookView xWindow="-38760" yWindow="3816" windowWidth="28236" windowHeight="17436"/>
  </bookViews>
  <sheets>
    <sheet name="业绩奖金" sheetId="1" r:id="rId1"/>
    <sheet name="业绩核算明细" sheetId="2" r:id="rId2"/>
    <sheet name="12月绩效" sheetId="3" r:id="rId3"/>
    <sheet name="转介绍金额和人头" sheetId="4" r:id="rId4"/>
    <sheet name="四六级进账" sheetId="5" r:id="rId5"/>
    <sheet name="无考研退费" sheetId="6" r:id="rId6"/>
    <sheet name="考研进账" sheetId="7" r:id="rId7"/>
    <sheet name="四六级退费合计" sheetId="8" r:id="rId8"/>
    <sheet name="q2绩效" sheetId="9" r:id="rId9"/>
    <sheet name="刘文君q2季度绩效" sheetId="10" r:id="rId10"/>
  </sheets>
  <definedNames>
    <definedName name="_xlnm._FilterDatabase" localSheetId="6">考研进账!$A$1:$AP$7</definedName>
    <definedName name="_xlnm._FilterDatabase" localSheetId="4">四六级进账!$J$11:$AS$253</definedName>
    <definedName name="_xlnm._FilterDatabase" localSheetId="7">四六级退费合计!$A$1:$BB$41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0" l="1"/>
  <c r="F26" i="10"/>
  <c r="F24" i="10"/>
  <c r="D20" i="10"/>
  <c r="C20" i="10"/>
  <c r="E20" i="10" s="1"/>
  <c r="E19" i="10"/>
  <c r="E18" i="10"/>
  <c r="D13" i="10"/>
  <c r="E13" i="10" s="1"/>
  <c r="C13" i="10"/>
  <c r="E12" i="10"/>
  <c r="E11" i="10"/>
  <c r="D6" i="10"/>
  <c r="C6" i="10"/>
  <c r="E6" i="10" s="1"/>
  <c r="E5" i="10"/>
  <c r="E4" i="10"/>
  <c r="G36" i="9"/>
  <c r="F36" i="9"/>
  <c r="E36" i="9"/>
  <c r="D36" i="9"/>
  <c r="H35" i="9"/>
  <c r="H34" i="9"/>
  <c r="H33" i="9"/>
  <c r="H32" i="9"/>
  <c r="H31" i="9"/>
  <c r="H30" i="9"/>
  <c r="G25" i="9"/>
  <c r="F25" i="9"/>
  <c r="E25" i="9"/>
  <c r="D25" i="9"/>
  <c r="H24" i="9"/>
  <c r="H23" i="9"/>
  <c r="I23" i="9" s="1"/>
  <c r="H22" i="9"/>
  <c r="I22" i="9" s="1"/>
  <c r="H21" i="9"/>
  <c r="I21" i="9" s="1"/>
  <c r="H20" i="9"/>
  <c r="I20" i="9" s="1"/>
  <c r="H19" i="9"/>
  <c r="H18" i="9"/>
  <c r="I18" i="9" s="1"/>
  <c r="R11" i="9"/>
  <c r="G11" i="9"/>
  <c r="F11" i="9"/>
  <c r="E11" i="9"/>
  <c r="D11" i="9"/>
  <c r="H10" i="9"/>
  <c r="Q9" i="9"/>
  <c r="P9" i="9"/>
  <c r="S9" i="9" s="1"/>
  <c r="O9" i="9"/>
  <c r="H9" i="9"/>
  <c r="I9" i="9" s="1"/>
  <c r="Q8" i="9"/>
  <c r="P8" i="9"/>
  <c r="S8" i="9" s="1"/>
  <c r="T8" i="9" s="1"/>
  <c r="O8" i="9"/>
  <c r="H8" i="9"/>
  <c r="I8" i="9" s="1"/>
  <c r="Q7" i="9"/>
  <c r="P7" i="9"/>
  <c r="S7" i="9" s="1"/>
  <c r="O7" i="9"/>
  <c r="H7" i="9"/>
  <c r="I7" i="9" s="1"/>
  <c r="Q6" i="9"/>
  <c r="P6" i="9"/>
  <c r="S6" i="9" s="1"/>
  <c r="O6" i="9"/>
  <c r="H6" i="9"/>
  <c r="I6" i="9" s="1"/>
  <c r="Q5" i="9"/>
  <c r="P5" i="9"/>
  <c r="S5" i="9" s="1"/>
  <c r="O5" i="9"/>
  <c r="H5" i="9"/>
  <c r="I5" i="9" s="1"/>
  <c r="Q4" i="9"/>
  <c r="P4" i="9"/>
  <c r="O4" i="9"/>
  <c r="H4" i="9"/>
  <c r="I4" i="9" s="1"/>
  <c r="AQ2" i="8"/>
  <c r="AP2" i="8"/>
  <c r="C9" i="5"/>
  <c r="E8" i="5"/>
  <c r="D8" i="5"/>
  <c r="F8" i="5" s="1"/>
  <c r="G8" i="5" s="1"/>
  <c r="E7" i="5"/>
  <c r="D7" i="5"/>
  <c r="F7" i="5" s="1"/>
  <c r="G7" i="5" s="1"/>
  <c r="E6" i="5"/>
  <c r="F7" i="2" s="1"/>
  <c r="D6" i="5"/>
  <c r="F6" i="5" s="1"/>
  <c r="G6" i="5" s="1"/>
  <c r="F5" i="5"/>
  <c r="G5" i="5" s="1"/>
  <c r="E5" i="5"/>
  <c r="D5" i="5"/>
  <c r="E4" i="5"/>
  <c r="F5" i="2" s="1"/>
  <c r="D4" i="5"/>
  <c r="E3" i="5"/>
  <c r="E9" i="5" s="1"/>
  <c r="D3" i="5"/>
  <c r="D9" i="5" s="1"/>
  <c r="B7" i="4"/>
  <c r="B6" i="4"/>
  <c r="B5" i="4"/>
  <c r="B4" i="4"/>
  <c r="B3" i="4"/>
  <c r="B2" i="4"/>
  <c r="S8" i="3"/>
  <c r="N8" i="3"/>
  <c r="O8" i="3" s="1"/>
  <c r="P8" i="3" s="1"/>
  <c r="J8" i="3"/>
  <c r="S7" i="3"/>
  <c r="N7" i="3"/>
  <c r="K7" i="3"/>
  <c r="P7" i="3" s="1"/>
  <c r="J7" i="3"/>
  <c r="S6" i="3"/>
  <c r="N6" i="3"/>
  <c r="O6" i="3" s="1"/>
  <c r="J6" i="3"/>
  <c r="K6" i="3" s="1"/>
  <c r="P6" i="3" s="1"/>
  <c r="S5" i="3"/>
  <c r="O5" i="3"/>
  <c r="P5" i="3" s="1"/>
  <c r="N5" i="3"/>
  <c r="K5" i="3"/>
  <c r="J5" i="3"/>
  <c r="S4" i="3"/>
  <c r="N4" i="3"/>
  <c r="O4" i="3" s="1"/>
  <c r="J4" i="3"/>
  <c r="K4" i="3" s="1"/>
  <c r="P4" i="3" s="1"/>
  <c r="S3" i="3"/>
  <c r="N3" i="3"/>
  <c r="J3" i="3"/>
  <c r="K3" i="3" s="1"/>
  <c r="P3" i="3" s="1"/>
  <c r="D10" i="2"/>
  <c r="V9" i="2"/>
  <c r="M9" i="2"/>
  <c r="J9" i="2"/>
  <c r="F9" i="2"/>
  <c r="E9" i="2"/>
  <c r="G9" i="2" s="1"/>
  <c r="V8" i="2"/>
  <c r="M8" i="2"/>
  <c r="J8" i="2"/>
  <c r="F8" i="2"/>
  <c r="V7" i="2"/>
  <c r="M7" i="2"/>
  <c r="J7" i="2"/>
  <c r="E7" i="2"/>
  <c r="V6" i="2"/>
  <c r="V10" i="2" s="1"/>
  <c r="R6" i="2"/>
  <c r="M6" i="2"/>
  <c r="J6" i="2"/>
  <c r="F6" i="2"/>
  <c r="E6" i="2"/>
  <c r="G6" i="2" s="1"/>
  <c r="V5" i="2"/>
  <c r="M5" i="2"/>
  <c r="J5" i="2"/>
  <c r="E5" i="2"/>
  <c r="V4" i="2"/>
  <c r="M4" i="2"/>
  <c r="J4" i="2"/>
  <c r="F4" i="2"/>
  <c r="F10" i="2" s="1"/>
  <c r="H26" i="1"/>
  <c r="T5" i="9" l="1"/>
  <c r="T9" i="9"/>
  <c r="O11" i="9"/>
  <c r="Q11" i="9"/>
  <c r="H36" i="9"/>
  <c r="T6" i="9"/>
  <c r="H25" i="9"/>
  <c r="I25" i="9" s="1"/>
  <c r="T7" i="9"/>
  <c r="H11" i="9"/>
  <c r="S6" i="2"/>
  <c r="U6" i="2" s="1"/>
  <c r="H6" i="2"/>
  <c r="P6" i="2" s="1"/>
  <c r="G5" i="2"/>
  <c r="H9" i="2"/>
  <c r="S9" i="2"/>
  <c r="G7" i="2"/>
  <c r="F3" i="5"/>
  <c r="F4" i="5"/>
  <c r="G4" i="5" s="1"/>
  <c r="X6" i="2"/>
  <c r="Y6" i="2" s="1"/>
  <c r="E8" i="2"/>
  <c r="G8" i="2" s="1"/>
  <c r="E4" i="2"/>
  <c r="I19" i="9"/>
  <c r="S4" i="9"/>
  <c r="I11" i="9" l="1"/>
  <c r="S7" i="2"/>
  <c r="H7" i="2"/>
  <c r="P9" i="2"/>
  <c r="Q9" i="2" s="1"/>
  <c r="W9" i="2"/>
  <c r="T9" i="2"/>
  <c r="U9" i="2" s="1"/>
  <c r="Y9" i="2" s="1"/>
  <c r="N9" i="2"/>
  <c r="O9" i="2" s="1"/>
  <c r="R9" i="2" s="1"/>
  <c r="T4" i="9"/>
  <c r="E10" i="2"/>
  <c r="G4" i="2"/>
  <c r="P11" i="9"/>
  <c r="H8" i="2"/>
  <c r="S8" i="2"/>
  <c r="S5" i="2"/>
  <c r="H5" i="2"/>
  <c r="F9" i="5"/>
  <c r="G9" i="5" s="1"/>
  <c r="G3" i="5"/>
  <c r="S11" i="9" l="1"/>
  <c r="T11" i="9" s="1"/>
  <c r="N5" i="2"/>
  <c r="O5" i="2" s="1"/>
  <c r="W5" i="2"/>
  <c r="X5" i="2" s="1"/>
  <c r="T5" i="2"/>
  <c r="P5" i="2"/>
  <c r="Q5" i="2" s="1"/>
  <c r="U5" i="2"/>
  <c r="N8" i="2"/>
  <c r="O8" i="2" s="1"/>
  <c r="T8" i="2"/>
  <c r="U8" i="2" s="1"/>
  <c r="W8" i="2"/>
  <c r="X8" i="2" s="1"/>
  <c r="P8" i="2"/>
  <c r="Q8" i="2" s="1"/>
  <c r="W7" i="2"/>
  <c r="X7" i="2" s="1"/>
  <c r="P7" i="2"/>
  <c r="Q7" i="2" s="1"/>
  <c r="T7" i="2"/>
  <c r="N7" i="2"/>
  <c r="O7" i="2" s="1"/>
  <c r="R7" i="2" s="1"/>
  <c r="H4" i="2"/>
  <c r="G10" i="2"/>
  <c r="H10" i="2" s="1"/>
  <c r="S4" i="2"/>
  <c r="U7" i="2"/>
  <c r="R8" i="2" l="1"/>
  <c r="Y8" i="2" s="1"/>
  <c r="P4" i="2"/>
  <c r="Q4" i="2" s="1"/>
  <c r="T4" i="2"/>
  <c r="U4" i="2" s="1"/>
  <c r="U10" i="2" s="1"/>
  <c r="W4" i="2"/>
  <c r="X4" i="2" s="1"/>
  <c r="N4" i="2"/>
  <c r="O4" i="2" s="1"/>
  <c r="Y7" i="2"/>
  <c r="R5" i="2"/>
  <c r="Y5" i="2" s="1"/>
  <c r="X10" i="2" l="1"/>
  <c r="R4" i="2"/>
  <c r="Y4" i="2" s="1"/>
  <c r="Y10" i="2" s="1"/>
</calcChain>
</file>

<file path=xl/comments1.xml><?xml version="1.0" encoding="utf-8"?>
<comments xmlns="http://schemas.openxmlformats.org/spreadsheetml/2006/main">
  <authors>
    <author>Unknown User</author>
  </authors>
  <commentList>
    <comment ref="N6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退费前完成率超过70%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Q2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签约跟房国超分单，所以退费一分一半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  <comment ref="AD21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学员报名是优惠有价格不是原价，学管登记错误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  <comment ref="AP21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学员报名是优惠有价格不是原价，学管登记错误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  <comment ref="AP22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学员报名金额就是5680，6480是原价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  <comment ref="AD23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学员报名金额不是6480，优惠后是5874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  <comment ref="AP23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学员报名是优惠有价格不是原价，学管登记错误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  <comment ref="AP25" authorId="0" shapeId="0">
      <text>
        <r>
          <rPr>
            <b/>
            <sz val="9"/>
            <color rgb="FF000000"/>
            <rFont val="宋体"/>
            <family val="3"/>
            <charset val="134"/>
          </rPr>
          <t>daiyu:</t>
        </r>
        <r>
          <rPr>
            <sz val="9"/>
            <color rgb="FF000000"/>
            <rFont val="宋体"/>
            <family val="3"/>
            <charset val="134"/>
          </rPr>
          <t xml:space="preserve">
此单子是当月收当月退，所以不算退费，新签也没算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戴宇</t>
        </r>
      </text>
    </comment>
  </commentList>
</comments>
</file>

<file path=xl/sharedStrings.xml><?xml version="1.0" encoding="utf-8"?>
<sst xmlns="http://schemas.openxmlformats.org/spreadsheetml/2006/main" count="8618" uniqueCount="1991">
  <si>
    <t>业绩奖金表（一人可多条，需写清类别）</t>
  </si>
  <si>
    <t>序号</t>
  </si>
  <si>
    <t>机构</t>
  </si>
  <si>
    <t>年月</t>
  </si>
  <si>
    <t>工号</t>
  </si>
  <si>
    <t>姓名</t>
  </si>
  <si>
    <t>部门</t>
  </si>
  <si>
    <t>薪资项目</t>
  </si>
  <si>
    <t>金额</t>
  </si>
  <si>
    <t>备注</t>
  </si>
  <si>
    <t>北京中心</t>
  </si>
  <si>
    <t>004192</t>
  </si>
  <si>
    <t>刘晓娟</t>
  </si>
  <si>
    <t>B级学习顾问</t>
  </si>
  <si>
    <t>月度绩效</t>
  </si>
  <si>
    <t>顾问签约奖金</t>
  </si>
  <si>
    <t>其它奖金</t>
  </si>
  <si>
    <t>过渡性补贴2000</t>
  </si>
  <si>
    <t>季度奖金</t>
  </si>
  <si>
    <t>房国超</t>
  </si>
  <si>
    <t>宋增辉</t>
  </si>
  <si>
    <t>田一禾</t>
  </si>
  <si>
    <t>黄智超</t>
  </si>
  <si>
    <t>本月积分超过5分，奖励1000元</t>
  </si>
  <si>
    <t>徐一城</t>
  </si>
  <si>
    <t>合计</t>
  </si>
  <si>
    <t>此张表格中的绩效奖金包含提成奖金、月度绩效、季度绩效、其他业绩奖金</t>
  </si>
  <si>
    <t>国内顾问业绩汇总（11月）</t>
  </si>
  <si>
    <t>排名</t>
  </si>
  <si>
    <t>组别</t>
  </si>
  <si>
    <t>顾问</t>
  </si>
  <si>
    <t>月度数据</t>
  </si>
  <si>
    <t>转介绍总业绩奖金</t>
  </si>
  <si>
    <t>四六级总业绩奖金</t>
  </si>
  <si>
    <t>考研减去转介绍剩余业绩奖金</t>
  </si>
  <si>
    <t>本月目标</t>
  </si>
  <si>
    <t>总进账</t>
  </si>
  <si>
    <t>线下退费</t>
  </si>
  <si>
    <t>综合业绩</t>
  </si>
  <si>
    <t>月度完成率</t>
  </si>
  <si>
    <t>转介绍目标</t>
  </si>
  <si>
    <t>转介绍总业绩</t>
  </si>
  <si>
    <t>考研转介绍金额</t>
  </si>
  <si>
    <t>四六级转介绍金额</t>
  </si>
  <si>
    <t>转介绍完成率</t>
  </si>
  <si>
    <t>四六级顾问对应提点</t>
  </si>
  <si>
    <t>四六级转介绍提点奖金</t>
  </si>
  <si>
    <t>考研顾问转介绍提点</t>
  </si>
  <si>
    <t>考研转介绍奖金</t>
  </si>
  <si>
    <t>总转介绍奖金</t>
  </si>
  <si>
    <t>减去转介绍的剩余业绩</t>
  </si>
  <si>
    <t>对应提点</t>
  </si>
  <si>
    <t>四六级提点奖金</t>
  </si>
  <si>
    <t>考研减去转介绍剩余业绩</t>
  </si>
  <si>
    <t>考研提点奖金</t>
  </si>
  <si>
    <t>总计奖金</t>
  </si>
  <si>
    <t>四六级</t>
  </si>
  <si>
    <t>小组合计</t>
  </si>
  <si>
    <t>未达签约人头目标</t>
  </si>
  <si>
    <t>-</t>
  </si>
  <si>
    <t>资源处理时效（10）</t>
  </si>
  <si>
    <t>老带新签约人头（30）</t>
  </si>
  <si>
    <t>9月新增资源签约率（60）</t>
  </si>
  <si>
    <t>合计得分</t>
  </si>
  <si>
    <t>发放比例</t>
  </si>
  <si>
    <t>月度绩效标准</t>
  </si>
  <si>
    <t>月绩效应发</t>
  </si>
  <si>
    <t>目标</t>
  </si>
  <si>
    <t>数据</t>
  </si>
  <si>
    <t>完成率</t>
  </si>
  <si>
    <t>得分</t>
  </si>
  <si>
    <t>完成</t>
  </si>
  <si>
    <t>完成情况</t>
  </si>
  <si>
    <t>/</t>
  </si>
  <si>
    <t>30min</t>
  </si>
  <si>
    <t>新人第三个月保护期打满</t>
  </si>
  <si>
    <t>a</t>
  </si>
  <si>
    <t>四六级签约金额</t>
  </si>
  <si>
    <t>转介绍签约人头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</si>
  <si>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</si>
  <si>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</si>
  <si>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</si>
  <si>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</si>
  <si>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</si>
  <si>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</si>
  <si>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</si>
  <si>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</si>
  <si>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</si>
  <si>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</si>
  <si>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</si>
  <si>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</si>
  <si>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</si>
  <si>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</si>
  <si>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</si>
  <si>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</si>
  <si>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</si>
  <si>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</si>
  <si>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</si>
  <si>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</si>
  <si>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</si>
  <si>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</si>
  <si>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</si>
  <si>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</si>
  <si>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</si>
  <si>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</si>
  <si>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</si>
  <si>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</si>
  <si>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</si>
  <si>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北京大学部</t>
  </si>
  <si>
    <t>国内大学部</t>
  </si>
  <si>
    <t>2025-12-31</t>
  </si>
  <si>
    <t>孙楚凝</t>
  </si>
  <si>
    <t/>
  </si>
  <si>
    <t>宋燕</t>
  </si>
  <si>
    <t>续班</t>
  </si>
  <si>
    <t>未交接</t>
  </si>
  <si>
    <t>转介绍</t>
  </si>
  <si>
    <t>顾问转介绍-其他(不返现)</t>
  </si>
  <si>
    <t>2025-12-31 12:31</t>
  </si>
  <si>
    <t>2025-12-31 11:17:59</t>
  </si>
  <si>
    <t>A（六个月内有报课意向工单）</t>
  </si>
  <si>
    <t>BJWY4423360303</t>
  </si>
  <si>
    <t>专升本</t>
  </si>
  <si>
    <t>北京劳动保障职业学院</t>
  </si>
  <si>
    <t>大二</t>
  </si>
  <si>
    <t>法学</t>
  </si>
  <si>
    <t>25考季</t>
  </si>
  <si>
    <t>专升本VIP</t>
  </si>
  <si>
    <t>英语</t>
  </si>
  <si>
    <t>徐梓熙</t>
  </si>
  <si>
    <t>国内考试</t>
  </si>
  <si>
    <t>新签</t>
  </si>
  <si>
    <t>已交接</t>
  </si>
  <si>
    <t>2025-12-31 11:01</t>
  </si>
  <si>
    <t>2025-12-29 18:03:52</t>
  </si>
  <si>
    <t>B（需长时间跟单或只需要规划）</t>
  </si>
  <si>
    <t>WebReg</t>
  </si>
  <si>
    <t>BJWY4022871188</t>
  </si>
  <si>
    <t>四级</t>
  </si>
  <si>
    <t>询问院校未告知</t>
  </si>
  <si>
    <t>大一</t>
  </si>
  <si>
    <t>询问院系未告知</t>
  </si>
  <si>
    <t>询问专业未告知</t>
  </si>
  <si>
    <t>26上考季</t>
  </si>
  <si>
    <t>四级无忧计划</t>
  </si>
  <si>
    <t>2025-12-25</t>
  </si>
  <si>
    <t>欧紫舒</t>
  </si>
  <si>
    <t>同科续费</t>
  </si>
  <si>
    <t>罗昕煜</t>
  </si>
  <si>
    <t>2025-12-25 19:18</t>
  </si>
  <si>
    <t>2025-12-25 19:19</t>
  </si>
  <si>
    <t>2025-12-25 19:18:25</t>
  </si>
  <si>
    <t>BJWY22035556hl</t>
  </si>
  <si>
    <t>BJWY6485401846</t>
  </si>
  <si>
    <t>中国音乐学院</t>
  </si>
  <si>
    <t>教育学院</t>
  </si>
  <si>
    <t>音乐教育</t>
  </si>
  <si>
    <t>25下考季</t>
  </si>
  <si>
    <t>2025-12-24</t>
  </si>
  <si>
    <t>陈锦阳</t>
  </si>
  <si>
    <t>姚姚妈</t>
  </si>
  <si>
    <t>2025-12-24 14:38</t>
  </si>
  <si>
    <t>2025-12-24 12:52:33</t>
  </si>
  <si>
    <t>BJWY0387887950</t>
  </si>
  <si>
    <t>哈尔滨商业大学</t>
  </si>
  <si>
    <t>金融学院</t>
  </si>
  <si>
    <t>金融学</t>
  </si>
  <si>
    <t>陈挚赫</t>
  </si>
  <si>
    <t>2025-12-24 13:11</t>
  </si>
  <si>
    <t>2025-12-23 17:59:13</t>
  </si>
  <si>
    <t>BJWY25030q8UPI</t>
  </si>
  <si>
    <t>BJWY4414649577</t>
  </si>
  <si>
    <t>北京建筑大学</t>
  </si>
  <si>
    <t>机电与车辆工程学院</t>
  </si>
  <si>
    <t>机械工程</t>
  </si>
  <si>
    <t>2025-12-22</t>
  </si>
  <si>
    <t>贺喜</t>
  </si>
  <si>
    <t>幽幽</t>
  </si>
  <si>
    <t>2025-12-22 14:46</t>
  </si>
  <si>
    <t>2025-12-22 14:51</t>
  </si>
  <si>
    <t>2025-12-08 13:35:04</t>
  </si>
  <si>
    <t>BJWY6679910353</t>
  </si>
  <si>
    <t>大学学科辅导</t>
  </si>
  <si>
    <t>清华大学</t>
  </si>
  <si>
    <t>电机工程与应用电子技术系</t>
  </si>
  <si>
    <t>精密仪器</t>
  </si>
  <si>
    <t>专业课</t>
  </si>
  <si>
    <t>2025-12-16</t>
  </si>
  <si>
    <t>王俊文</t>
  </si>
  <si>
    <t>王骁BJWY5697728947</t>
  </si>
  <si>
    <t>老带新系统顾问</t>
  </si>
  <si>
    <t>2025-12-16 14:47</t>
  </si>
  <si>
    <t>2025-12-16 14:46:47</t>
  </si>
  <si>
    <t>BJWY2201F8pC6h</t>
  </si>
  <si>
    <t>BJWY0784585325</t>
  </si>
  <si>
    <t>北方工业大学</t>
  </si>
  <si>
    <t>机械与材料工程学院</t>
  </si>
  <si>
    <t>机械设计制造及其自动化</t>
  </si>
  <si>
    <t>王骁</t>
  </si>
  <si>
    <t>姬月</t>
  </si>
  <si>
    <t>顾问续费</t>
  </si>
  <si>
    <t>2025-12-16 14:41</t>
  </si>
  <si>
    <t>2025-12-16 14:42</t>
  </si>
  <si>
    <t>2025-12-16 14:41:38</t>
  </si>
  <si>
    <t>BJWY5697728947</t>
  </si>
  <si>
    <t>六级</t>
  </si>
  <si>
    <t>北京信息科技大学</t>
  </si>
  <si>
    <t>计算机学院</t>
  </si>
  <si>
    <t>数据科学与大数据技术</t>
  </si>
  <si>
    <t>六级无忧计划</t>
  </si>
  <si>
    <t>程梓翔</t>
  </si>
  <si>
    <t>2025-12-16 14:48</t>
  </si>
  <si>
    <t>2025-12-16 14:48:00</t>
  </si>
  <si>
    <t>BJWY4161329609</t>
  </si>
  <si>
    <t>华北电力大学</t>
  </si>
  <si>
    <t>电气与电子工程学院</t>
  </si>
  <si>
    <t>电气工程及其自动化</t>
  </si>
  <si>
    <t>2025-12-12</t>
  </si>
  <si>
    <t>余明泽</t>
  </si>
  <si>
    <t>王梓冰</t>
  </si>
  <si>
    <t>2025-12-12 21:03</t>
  </si>
  <si>
    <t>2025-12-12 21:04</t>
  </si>
  <si>
    <t>2025-12-09 18:56:22</t>
  </si>
  <si>
    <t>BJWY24032w1g8X</t>
  </si>
  <si>
    <t>BJWY3919474923</t>
  </si>
  <si>
    <t>北京工业大学</t>
  </si>
  <si>
    <t>环境与生命学部</t>
  </si>
  <si>
    <t>生物技术（实验班）</t>
  </si>
  <si>
    <t>项目</t>
  </si>
  <si>
    <t>本月进账</t>
  </si>
  <si>
    <t>本月退费</t>
  </si>
  <si>
    <t>时间进度</t>
  </si>
  <si>
    <t>总计</t>
  </si>
  <si>
    <t>2025-12-28</t>
  </si>
  <si>
    <t>王乐予</t>
  </si>
  <si>
    <t>线上运营-私域中台</t>
  </si>
  <si>
    <t>TMK合作</t>
  </si>
  <si>
    <t>2025-12-28 20:39</t>
  </si>
  <si>
    <t>2025-12-29 16:36</t>
  </si>
  <si>
    <t>2025-12-21 09:22:21</t>
  </si>
  <si>
    <t>BJWY1159293703</t>
  </si>
  <si>
    <t>不详</t>
  </si>
  <si>
    <t>询问未告知</t>
  </si>
  <si>
    <t>2025-12-14</t>
  </si>
  <si>
    <t>王宏章</t>
  </si>
  <si>
    <t>无须交接</t>
  </si>
  <si>
    <t>线上运营-小红书</t>
  </si>
  <si>
    <t>小红书</t>
  </si>
  <si>
    <t>2025-12-14 22:10</t>
  </si>
  <si>
    <t>2025-12-15 09:47</t>
  </si>
  <si>
    <t>2025-12-14 20:37:29</t>
  </si>
  <si>
    <t>研二</t>
  </si>
  <si>
    <t>材料与制造学部</t>
  </si>
  <si>
    <t>材料科学与工程</t>
  </si>
  <si>
    <t>贾笑晗</t>
  </si>
  <si>
    <t>集团官微</t>
  </si>
  <si>
    <t>2025-12-14 11:50</t>
  </si>
  <si>
    <t>2025-12-14 11:58</t>
  </si>
  <si>
    <t>2025-12-14 10:32:26</t>
  </si>
  <si>
    <t>毕同</t>
  </si>
  <si>
    <t>2025-12-14 12:14</t>
  </si>
  <si>
    <t>2025-12-14 12:16</t>
  </si>
  <si>
    <t>2025-12-14 12:11:10</t>
  </si>
  <si>
    <t>北京师范大学</t>
  </si>
  <si>
    <t>教育学部</t>
  </si>
  <si>
    <t>教育学</t>
  </si>
  <si>
    <t>2025-12-08</t>
  </si>
  <si>
    <t>宋宇涵</t>
  </si>
  <si>
    <t>2025-12-08 15:20</t>
  </si>
  <si>
    <t>2025-11-10 18:23:07</t>
  </si>
  <si>
    <t>专四</t>
  </si>
  <si>
    <t>外国语言文学学院</t>
  </si>
  <si>
    <t>张云翔</t>
  </si>
  <si>
    <t>线上运营-本地生活平台</t>
  </si>
  <si>
    <t>地图标点</t>
  </si>
  <si>
    <t>2025-12-31 16:16</t>
  </si>
  <si>
    <t>2025-12-27 12:24:30</t>
  </si>
  <si>
    <t>XDF1647563634</t>
  </si>
  <si>
    <t>北京林业大学</t>
  </si>
  <si>
    <t>林学院</t>
  </si>
  <si>
    <t>林学</t>
  </si>
  <si>
    <t>李多多</t>
  </si>
  <si>
    <t>新东方官网</t>
  </si>
  <si>
    <t>新东方PC官网</t>
  </si>
  <si>
    <t>2025-12-31 23:06</t>
  </si>
  <si>
    <t>2025-11-10 15:02:06</t>
  </si>
  <si>
    <t>大三</t>
  </si>
  <si>
    <t>26考季</t>
  </si>
  <si>
    <t>刘佳朋</t>
  </si>
  <si>
    <t>罗志勇</t>
  </si>
  <si>
    <t>学管续费推荐</t>
  </si>
  <si>
    <t>2025-12-31 10:24</t>
  </si>
  <si>
    <t>2025-12-16 17:49:02</t>
  </si>
  <si>
    <t>BJWY9866282726</t>
  </si>
  <si>
    <t>河北农业大学</t>
  </si>
  <si>
    <t>机电工程学院</t>
  </si>
  <si>
    <t>六级寒假集训营</t>
  </si>
  <si>
    <t>2025-12-29</t>
  </si>
  <si>
    <t>深圳市33</t>
  </si>
  <si>
    <t>2025-12-29 13:19</t>
  </si>
  <si>
    <t>2025-12-29 13:20</t>
  </si>
  <si>
    <t>2025-12-29 10:12:00</t>
  </si>
  <si>
    <t>专八</t>
  </si>
  <si>
    <t>大四</t>
  </si>
  <si>
    <t>徐岩</t>
  </si>
  <si>
    <t>2025-12-28 15:51</t>
  </si>
  <si>
    <t>2025-12-24 10:53:04</t>
  </si>
  <si>
    <t>张钰杭1</t>
  </si>
  <si>
    <t>线上运营-投放</t>
  </si>
  <si>
    <t>总部-百度投放</t>
  </si>
  <si>
    <t>2025-12-28 13:25</t>
  </si>
  <si>
    <t>2025-12-23 10:00:55</t>
  </si>
  <si>
    <t>北京经贸职业学院</t>
  </si>
  <si>
    <t>高三</t>
  </si>
  <si>
    <t>计算机</t>
  </si>
  <si>
    <t>28考季</t>
  </si>
  <si>
    <t>专升本全科全程班</t>
  </si>
  <si>
    <t>李金泽</t>
  </si>
  <si>
    <t>2025-12-22 18:35</t>
  </si>
  <si>
    <t>2025-12-22 15:05:46</t>
  </si>
  <si>
    <t>BJWY3281520680</t>
  </si>
  <si>
    <t>首都师范大学</t>
  </si>
  <si>
    <t>大五</t>
  </si>
  <si>
    <t>历史学院</t>
  </si>
  <si>
    <t>历史学</t>
  </si>
  <si>
    <t>林兰青</t>
  </si>
  <si>
    <t>新东方官网APP</t>
  </si>
  <si>
    <t>2025-12-16 12:37</t>
  </si>
  <si>
    <t>2025-12-16 12:37:24</t>
  </si>
  <si>
    <t>中国矿业大学（北京）</t>
  </si>
  <si>
    <t>能源与矿业学院</t>
  </si>
  <si>
    <t>采矿工程</t>
  </si>
  <si>
    <t>四级线上网课</t>
  </si>
  <si>
    <t>2025-12-13</t>
  </si>
  <si>
    <t>徐天佑</t>
  </si>
  <si>
    <t>张泽7</t>
  </si>
  <si>
    <t>2025-12-13 16:56</t>
  </si>
  <si>
    <t>2025-12-13 16:34:26</t>
  </si>
  <si>
    <t>BJWY8809971011</t>
  </si>
  <si>
    <t>考研VIP</t>
  </si>
  <si>
    <t>北京交通大学</t>
  </si>
  <si>
    <t>语言与传播学院</t>
  </si>
  <si>
    <t>网络与新媒体</t>
  </si>
  <si>
    <t>VIP - 畅学</t>
  </si>
  <si>
    <t>管综</t>
  </si>
  <si>
    <t>2025-12-01</t>
  </si>
  <si>
    <t>何颖</t>
  </si>
  <si>
    <t>2025-12-01 11:32</t>
  </si>
  <si>
    <t>2025-11-29 16:43:27</t>
  </si>
  <si>
    <t>南昌应用技术师范学院</t>
  </si>
  <si>
    <t>大学已毕业</t>
  </si>
  <si>
    <t>张墨涵</t>
  </si>
  <si>
    <t>分单</t>
  </si>
  <si>
    <t>大众点评</t>
  </si>
  <si>
    <t>2025-12-31 17:17</t>
  </si>
  <si>
    <t>2025-12-31 23:12</t>
  </si>
  <si>
    <t>2025-12-26 20:28:26</t>
  </si>
  <si>
    <t>BJWY0933636428</t>
  </si>
  <si>
    <t>东北农业大学</t>
  </si>
  <si>
    <t>农学院</t>
  </si>
  <si>
    <t>农学</t>
  </si>
  <si>
    <t>周祖铖</t>
  </si>
  <si>
    <t>视频号</t>
  </si>
  <si>
    <t>2025-12-31 21:18</t>
  </si>
  <si>
    <t>2025-12-13 11:10:57</t>
  </si>
  <si>
    <t>BJWY3697560370</t>
  </si>
  <si>
    <t>中国石油大学（北京）</t>
  </si>
  <si>
    <t>经济管理学院</t>
  </si>
  <si>
    <t>李亚璇</t>
  </si>
  <si>
    <t>2025-12-31 19:54</t>
  </si>
  <si>
    <t>2025-12-03 16:04:48</t>
  </si>
  <si>
    <t>BJWY8234509638</t>
  </si>
  <si>
    <t>中央财经大学</t>
  </si>
  <si>
    <t>经济学院</t>
  </si>
  <si>
    <t>经济学</t>
  </si>
  <si>
    <t>谢润晨</t>
  </si>
  <si>
    <t>王成颖+wangchengying1@xdf.cn+产业机构-大学事业部-大学石家庄中心-考研项目部-销售管理部+顾问管理主管</t>
  </si>
  <si>
    <t>内部员工推荐</t>
  </si>
  <si>
    <t>2025-12-31 19:47</t>
  </si>
  <si>
    <t>2025-12-31 19:48</t>
  </si>
  <si>
    <t>2025-12-31 11:02:48</t>
  </si>
  <si>
    <t>BJWY5191810963</t>
  </si>
  <si>
    <t>河北东方学院</t>
  </si>
  <si>
    <t>文物与艺术学院</t>
  </si>
  <si>
    <t>文物保护与修复</t>
  </si>
  <si>
    <t>BJWY2101498uW2</t>
  </si>
  <si>
    <t>于舒朦</t>
  </si>
  <si>
    <t>电话</t>
  </si>
  <si>
    <t>大客服呼入</t>
  </si>
  <si>
    <t>2025-12-31 12:33</t>
  </si>
  <si>
    <t>2025-12-16 10:14:00</t>
  </si>
  <si>
    <t>BJWY6218859735</t>
  </si>
  <si>
    <t>哈尔滨医科大学</t>
  </si>
  <si>
    <t>口腔医学院</t>
  </si>
  <si>
    <t>口腔医学</t>
  </si>
  <si>
    <t>王依雪</t>
  </si>
  <si>
    <t>李玉迪</t>
  </si>
  <si>
    <t>2025-12-31 10:22</t>
  </si>
  <si>
    <t>2025-12-26 17:11:21</t>
  </si>
  <si>
    <t>BJWY2011wXCx1W</t>
  </si>
  <si>
    <t>BJWY1668538930</t>
  </si>
  <si>
    <t>华北理工大学</t>
  </si>
  <si>
    <t>临床医学院</t>
  </si>
  <si>
    <t>临床医学</t>
  </si>
  <si>
    <t>四级一对一</t>
  </si>
  <si>
    <t>杨歆</t>
  </si>
  <si>
    <t>合作</t>
  </si>
  <si>
    <t>集团资源</t>
  </si>
  <si>
    <t>2025-12-31 19:52</t>
  </si>
  <si>
    <t>2025-12-22 19:11:00</t>
  </si>
  <si>
    <t>BJWY1237101581</t>
  </si>
  <si>
    <t>四级,英语</t>
  </si>
  <si>
    <t>26下考季</t>
  </si>
  <si>
    <t>吴嘉伟</t>
  </si>
  <si>
    <t>2025-12-31 23:36</t>
  </si>
  <si>
    <t>2025-12-11 19:35:25</t>
  </si>
  <si>
    <t>BJWY4994271131</t>
  </si>
  <si>
    <t>北方民族大学</t>
  </si>
  <si>
    <t>法学院</t>
  </si>
  <si>
    <t>薛钰兰</t>
  </si>
  <si>
    <t>2025-12-31 22:37</t>
  </si>
  <si>
    <t>2025-12-31 22:40</t>
  </si>
  <si>
    <t>2025-12-28 11:23:11</t>
  </si>
  <si>
    <t>BJWY1698876738</t>
  </si>
  <si>
    <t>农林经济管理</t>
  </si>
  <si>
    <t>李梓曼</t>
  </si>
  <si>
    <t>2025-12-31 21:56</t>
  </si>
  <si>
    <t>2025-12-25 21:12:53</t>
  </si>
  <si>
    <t>BJWY7206183045</t>
  </si>
  <si>
    <t>中国传媒大学</t>
  </si>
  <si>
    <t>动画与数字艺术学院</t>
  </si>
  <si>
    <t>动画</t>
  </si>
  <si>
    <t>丁源</t>
  </si>
  <si>
    <t>2025-12-31 21:48</t>
  </si>
  <si>
    <t>2025-12-31 21:49</t>
  </si>
  <si>
    <t>2025-12-01 18:45:02</t>
  </si>
  <si>
    <t>BJWY1166696604</t>
  </si>
  <si>
    <t>大连理工大学</t>
  </si>
  <si>
    <t>物理学院</t>
  </si>
  <si>
    <t>应用物理学</t>
  </si>
  <si>
    <t>六级集训营</t>
  </si>
  <si>
    <t>杨晓宇</t>
  </si>
  <si>
    <t>百度地图</t>
  </si>
  <si>
    <t>2025-12-31 21:07</t>
  </si>
  <si>
    <t>2025-12-29 18:37:06</t>
  </si>
  <si>
    <t>BJWY1721248700</t>
  </si>
  <si>
    <t>黑龙江科技大学</t>
  </si>
  <si>
    <t>管理学院</t>
  </si>
  <si>
    <t>会计学</t>
  </si>
  <si>
    <t>孙庆灏</t>
  </si>
  <si>
    <t>2025-12-31 19:49</t>
  </si>
  <si>
    <t>2025-12-27 15:40:02</t>
  </si>
  <si>
    <t>BJWY9487031216</t>
  </si>
  <si>
    <t>中央美术学院</t>
  </si>
  <si>
    <t>研究生以上</t>
  </si>
  <si>
    <t>建筑学院</t>
  </si>
  <si>
    <t>建筑学（城市设计）</t>
  </si>
  <si>
    <t>周越</t>
  </si>
  <si>
    <t>2025-12-31 17:39</t>
  </si>
  <si>
    <t>2025-12-28 14:03:16</t>
  </si>
  <si>
    <t>BJWY5335935966</t>
  </si>
  <si>
    <t>哈尔滨工业大学</t>
  </si>
  <si>
    <t>未告知</t>
  </si>
  <si>
    <t>董双桢</t>
  </si>
  <si>
    <t>2025-12-31 17:27</t>
  </si>
  <si>
    <t>2025-12-16 11:01:12</t>
  </si>
  <si>
    <t>BJWY7349441864</t>
  </si>
  <si>
    <t>北京体育大学</t>
  </si>
  <si>
    <t>运动医学与康复学院</t>
  </si>
  <si>
    <t>运动康复</t>
  </si>
  <si>
    <t>刘轩宇</t>
  </si>
  <si>
    <t>2025-12-31 17:15</t>
  </si>
  <si>
    <t>2025-12-31 16:19:56</t>
  </si>
  <si>
    <t>BJWY1821216749</t>
  </si>
  <si>
    <t>大学预科</t>
  </si>
  <si>
    <t>顾靖淇</t>
  </si>
  <si>
    <t>毛坯数据</t>
  </si>
  <si>
    <t>2025-12-31 17:07</t>
  </si>
  <si>
    <t>2025-12-23 11:02:39</t>
  </si>
  <si>
    <t>BJWY9058073370</t>
  </si>
  <si>
    <t>六级,大学预科</t>
  </si>
  <si>
    <t>中国石油大学(北京)</t>
  </si>
  <si>
    <t>石油工程</t>
  </si>
  <si>
    <t>李尚诺</t>
  </si>
  <si>
    <t>公众号</t>
  </si>
  <si>
    <t>2025-12-31 17:00</t>
  </si>
  <si>
    <t>2025-12-29 17:33:08</t>
  </si>
  <si>
    <t>BJWY0795051695</t>
  </si>
  <si>
    <t>首都医科大学</t>
  </si>
  <si>
    <t>刘筱汤米</t>
  </si>
  <si>
    <t>2025-12-31 13:27</t>
  </si>
  <si>
    <t>2025-12-31 13:29</t>
  </si>
  <si>
    <t>2025-12-30 14:19:48</t>
  </si>
  <si>
    <t>XDF122122110720592</t>
  </si>
  <si>
    <t>六级,四级</t>
  </si>
  <si>
    <t>犹他州立大学</t>
  </si>
  <si>
    <t>国际金融与贸易</t>
  </si>
  <si>
    <t>23上考季</t>
  </si>
  <si>
    <t>王梓锌</t>
  </si>
  <si>
    <t>扩科续费</t>
  </si>
  <si>
    <t>2025-12-31 13:20</t>
  </si>
  <si>
    <t>2025-11-21 12:09:52</t>
  </si>
  <si>
    <t>BJWY8660074434</t>
  </si>
  <si>
    <t>北京理工大学</t>
  </si>
  <si>
    <t>光电学院</t>
  </si>
  <si>
    <t>光电信息科学与工程</t>
  </si>
  <si>
    <t>顾思懿</t>
  </si>
  <si>
    <t>2025-12-31 11:14</t>
  </si>
  <si>
    <t>2025-12-31 11:15</t>
  </si>
  <si>
    <t>2025-12-27 14:16:45</t>
  </si>
  <si>
    <t>BJWY0214188255</t>
  </si>
  <si>
    <t>北京城市学院</t>
  </si>
  <si>
    <t>城市建设学部</t>
  </si>
  <si>
    <t>城乡规划</t>
  </si>
  <si>
    <t>2025-12-30</t>
  </si>
  <si>
    <t>赵津艺</t>
  </si>
  <si>
    <t>刘美月+liumeiyue2@xdf.cn+621753+培训学校-北京学校-高中一对一部-西北区-远大路分中心+课程顾问培训生</t>
  </si>
  <si>
    <t>2025-12-31 19:55</t>
  </si>
  <si>
    <t>2025-12-31 19:56</t>
  </si>
  <si>
    <t>2025-11-22 10:26:52</t>
  </si>
  <si>
    <t>BJWY2692498424</t>
  </si>
  <si>
    <t>中国医科大学</t>
  </si>
  <si>
    <t>第一临床学院</t>
  </si>
  <si>
    <t>赵思淳</t>
  </si>
  <si>
    <t>2025-12-31 14:31</t>
  </si>
  <si>
    <t>2025-12-31 14:32</t>
  </si>
  <si>
    <t>2025-12-31 14:31:31</t>
  </si>
  <si>
    <t>BJWY8860662154</t>
  </si>
  <si>
    <t>音乐学系</t>
  </si>
  <si>
    <t>音乐学理论</t>
  </si>
  <si>
    <t>潘文涛</t>
  </si>
  <si>
    <t>2025-12-30 20:53</t>
  </si>
  <si>
    <t>2025-12-31 21:24</t>
  </si>
  <si>
    <t>2025-12-24 10:21:06</t>
  </si>
  <si>
    <t>BJWY6927176482</t>
  </si>
  <si>
    <t>济宁医学院</t>
  </si>
  <si>
    <t>医学信息工程学院</t>
  </si>
  <si>
    <t>信息管理与信息统</t>
  </si>
  <si>
    <t>吕佳宜</t>
  </si>
  <si>
    <t>2025-12-30 19:24</t>
  </si>
  <si>
    <t>2025-12-27 12:24:08</t>
  </si>
  <si>
    <t>BJWY5269371291</t>
  </si>
  <si>
    <t>六级,英语</t>
  </si>
  <si>
    <t>徐子昂</t>
  </si>
  <si>
    <t>社群、虚拟人</t>
  </si>
  <si>
    <t>2025-12-30 14:02</t>
  </si>
  <si>
    <t>2025-12-30 14:08</t>
  </si>
  <si>
    <t>2025-12-30 10:32:39</t>
  </si>
  <si>
    <t>XDF1345573711</t>
  </si>
  <si>
    <t>中国石油大学(华东)</t>
  </si>
  <si>
    <t>崔原畅</t>
  </si>
  <si>
    <t>新东方官网M站</t>
  </si>
  <si>
    <t>2025-12-30 13:53</t>
  </si>
  <si>
    <t>2025-12-30 17:20</t>
  </si>
  <si>
    <t>2025-12-24 20:47:49</t>
  </si>
  <si>
    <t>BJWY1353972223</t>
  </si>
  <si>
    <t>北京金融科技学院</t>
  </si>
  <si>
    <t>财务管理</t>
  </si>
  <si>
    <t>秦志毅</t>
  </si>
  <si>
    <t>2025-12-30 13:42</t>
  </si>
  <si>
    <t>2025-12-30 13:59</t>
  </si>
  <si>
    <t>2025-12-15 11:30:26</t>
  </si>
  <si>
    <t>BJWY0615783764</t>
  </si>
  <si>
    <t>基础医学院</t>
  </si>
  <si>
    <t>基础医学</t>
  </si>
  <si>
    <t>集训</t>
  </si>
  <si>
    <t>郝嘉睿</t>
  </si>
  <si>
    <t>丁雨晴+dingyuqing@xdf.cn+ID+丁雨晴(新东方教育科技集团有限公司-产业机构-国际教育培训事业部-国际教育北京中心-运营管理部-大学区域运营中心-国贸大学分中心 | 学业规划师)</t>
  </si>
  <si>
    <t>2025-12-30 12:17</t>
  </si>
  <si>
    <t>2025-12-30 12:18</t>
  </si>
  <si>
    <t>2025-12-08 18:57:05</t>
  </si>
  <si>
    <t>BJWY7559662561</t>
  </si>
  <si>
    <t>辽宁中医药大学</t>
  </si>
  <si>
    <t>信息工程学院</t>
  </si>
  <si>
    <t>医学信息工程</t>
  </si>
  <si>
    <t>庞佳仪</t>
  </si>
  <si>
    <t>知了好学</t>
  </si>
  <si>
    <t>2025-12-31 16:57</t>
  </si>
  <si>
    <t>2025-11-15 11:57:13</t>
  </si>
  <si>
    <t>BJWY4695528645</t>
  </si>
  <si>
    <t>资源环境与旅游学院</t>
  </si>
  <si>
    <t>地理科学</t>
  </si>
  <si>
    <t>王彦均</t>
  </si>
  <si>
    <t>边鑫博</t>
  </si>
  <si>
    <t>2025-12-30 20:55</t>
  </si>
  <si>
    <t>2025-12-19 13:47:20</t>
  </si>
  <si>
    <t>BJWY8590362294</t>
  </si>
  <si>
    <t>南京医科大学</t>
  </si>
  <si>
    <t>第一临床医学院</t>
  </si>
  <si>
    <t>四年制医学检验技术</t>
  </si>
  <si>
    <t>刘艾琛</t>
  </si>
  <si>
    <t>2025-12-30 18:00</t>
  </si>
  <si>
    <t>2025-12-30 17:59:53</t>
  </si>
  <si>
    <t>BJWY7023911345</t>
  </si>
  <si>
    <t>信息学院</t>
  </si>
  <si>
    <t>计算机科学与技术</t>
  </si>
  <si>
    <t>张绮涵</t>
  </si>
  <si>
    <t>2025-12-31 16:55</t>
  </si>
  <si>
    <t>2025-12-07 19:50:47</t>
  </si>
  <si>
    <t>BJWY0980520226</t>
  </si>
  <si>
    <t>艺术与传媒学院</t>
  </si>
  <si>
    <t>音乐学</t>
  </si>
  <si>
    <t>陈蕾</t>
  </si>
  <si>
    <t>2025-12-30 10:41</t>
  </si>
  <si>
    <t>2025-12-30 10:44</t>
  </si>
  <si>
    <t>2025-12-12 17:02:04</t>
  </si>
  <si>
    <t>BJWY7112897975</t>
  </si>
  <si>
    <t>马克思主义学院</t>
  </si>
  <si>
    <t>思想政治教育</t>
  </si>
  <si>
    <t>李安琪</t>
  </si>
  <si>
    <t>高镜+gaojing49@xdf.cn+产业机构-国际教育培训事业部-国际教育北京中心-运营管理部-大学区域运营中心-中关村大学分中心+学业规划师</t>
  </si>
  <si>
    <t>孩子31号后期末考试结束，不想被打扰，辛苦学管老师考后联系</t>
  </si>
  <si>
    <t>2025-12-30 10:08</t>
  </si>
  <si>
    <t>2025-12-30 10:34</t>
  </si>
  <si>
    <t>2025-12-28 13:38:03</t>
  </si>
  <si>
    <t>BJWY7647274915</t>
  </si>
  <si>
    <t>沈兴宇</t>
  </si>
  <si>
    <t>2025-12-29 19:40</t>
  </si>
  <si>
    <t>2025-12-27 16:41:33</t>
  </si>
  <si>
    <t>BJWY9596656105</t>
  </si>
  <si>
    <t>首都经济贸易大学</t>
  </si>
  <si>
    <t>统计学院</t>
  </si>
  <si>
    <t>经济统计学</t>
  </si>
  <si>
    <t>边粟洋</t>
  </si>
  <si>
    <t>2025-12-29 15:45</t>
  </si>
  <si>
    <t>2025-12-29 15:46</t>
  </si>
  <si>
    <t>2025-12-25 17:11:37</t>
  </si>
  <si>
    <t>BJWY8215972615</t>
  </si>
  <si>
    <t>首都体育学院</t>
  </si>
  <si>
    <t>体育教育训练学院</t>
  </si>
  <si>
    <t>体育教育</t>
  </si>
  <si>
    <t>徐轶凡</t>
  </si>
  <si>
    <t>2025-12-29 11:56</t>
  </si>
  <si>
    <t>2025-12-28 15:46:42</t>
  </si>
  <si>
    <t>BJWY0388202144</t>
  </si>
  <si>
    <t>中国民航大学</t>
  </si>
  <si>
    <t>空中交通管理学院</t>
  </si>
  <si>
    <t>交通管理（飞行运行管理）</t>
  </si>
  <si>
    <t>吕冰琪</t>
  </si>
  <si>
    <t>2025-12-29 11:00</t>
  </si>
  <si>
    <t>2025-12-29 11:01</t>
  </si>
  <si>
    <t>2025-12-22 18:04:28</t>
  </si>
  <si>
    <t>BJWY1751322233</t>
  </si>
  <si>
    <t>北京第二外国语学院</t>
  </si>
  <si>
    <t>欧洲学院</t>
  </si>
  <si>
    <t>西班牙语</t>
  </si>
  <si>
    <t>李睿</t>
  </si>
  <si>
    <t>新东方官网小程序</t>
  </si>
  <si>
    <t>2025-12-29 15:00</t>
  </si>
  <si>
    <t>2025-12-22 09:21:35</t>
  </si>
  <si>
    <t>BJWY2462242718</t>
  </si>
  <si>
    <t>北京邮电大学</t>
  </si>
  <si>
    <t>信息与通信工程学院</t>
  </si>
  <si>
    <t>通信工程</t>
  </si>
  <si>
    <t>唐子淇</t>
  </si>
  <si>
    <t>阿里本地通</t>
  </si>
  <si>
    <t>2025-12-28 20:15</t>
  </si>
  <si>
    <t>2025-12-29 10:15</t>
  </si>
  <si>
    <t>2025-11-25 10:33:37</t>
  </si>
  <si>
    <t>BJWY1876123576</t>
  </si>
  <si>
    <t>天津外国语大学</t>
  </si>
  <si>
    <t>英语学院</t>
  </si>
  <si>
    <t>李慕溪</t>
  </si>
  <si>
    <t>2025-12-28 19:41</t>
  </si>
  <si>
    <t>2025-12-28 19:44</t>
  </si>
  <si>
    <t>2025-12-28 11:56:20</t>
  </si>
  <si>
    <t>BJWY6739407297</t>
  </si>
  <si>
    <t>六级,数学</t>
  </si>
  <si>
    <t>材料学院</t>
  </si>
  <si>
    <t>未来精工技术（任选专业）</t>
  </si>
  <si>
    <t>匙明檀</t>
  </si>
  <si>
    <t>同学在考试周，家长不希望打扰孩子，辛苦学管老师先不联系，需要联系时顾问会和学管老师说明~</t>
  </si>
  <si>
    <t>2025-12-28 19:36</t>
  </si>
  <si>
    <t>2025-12-28 19:37</t>
  </si>
  <si>
    <t>2025-12-14 01:43:19</t>
  </si>
  <si>
    <t>BJWY6936924843</t>
  </si>
  <si>
    <t>金融</t>
  </si>
  <si>
    <t>闫鸿滨</t>
  </si>
  <si>
    <t>2025-12-28 18:33</t>
  </si>
  <si>
    <t>2025-12-28 18:37</t>
  </si>
  <si>
    <t>2025-12-28 17:49:55</t>
  </si>
  <si>
    <t>BJWY2016782113</t>
  </si>
  <si>
    <t>电气与控制工程学院</t>
  </si>
  <si>
    <t>储能科学与工程</t>
  </si>
  <si>
    <t>刘尧</t>
  </si>
  <si>
    <t>2025-12-28 16:21</t>
  </si>
  <si>
    <t>2025-12-20 19:23:48</t>
  </si>
  <si>
    <t>BJWY5451645822</t>
  </si>
  <si>
    <t>2025-12-28 17:57</t>
  </si>
  <si>
    <t>2025-12-27 17:50:11</t>
  </si>
  <si>
    <t>滑灵睿</t>
  </si>
  <si>
    <t>2025-12-28 17:19</t>
  </si>
  <si>
    <t>2025-12-19 16:50:29</t>
  </si>
  <si>
    <t>BJWY6118008763</t>
  </si>
  <si>
    <t>北京航空航天大学</t>
  </si>
  <si>
    <t>柏一洋</t>
  </si>
  <si>
    <t>2025-12-28 14:50</t>
  </si>
  <si>
    <t>2025-12-28 10:32:40</t>
  </si>
  <si>
    <t>BJWY0358804798</t>
  </si>
  <si>
    <t>智能建造</t>
  </si>
  <si>
    <t>陈奕萱</t>
  </si>
  <si>
    <t>2025-12-28 13:01</t>
  </si>
  <si>
    <t>2025-12-28 13:06</t>
  </si>
  <si>
    <t>2025-12-28 11:23:20</t>
  </si>
  <si>
    <t>BJWY0886276084</t>
  </si>
  <si>
    <t>英语,专八</t>
  </si>
  <si>
    <t>马翊铭</t>
  </si>
  <si>
    <t>腾讯广告</t>
  </si>
  <si>
    <t>2025-12-28 12:08</t>
  </si>
  <si>
    <t>2025-12-28 15:56</t>
  </si>
  <si>
    <t>2025-12-22 11:52:36</t>
  </si>
  <si>
    <t>BJWY4702418932</t>
  </si>
  <si>
    <t>周轩正</t>
  </si>
  <si>
    <t>2025-12-28 11:57</t>
  </si>
  <si>
    <t>2025-12-17 11:18:51</t>
  </si>
  <si>
    <t>BJWY3795700171</t>
  </si>
  <si>
    <t>南京大学</t>
  </si>
  <si>
    <t>数学系</t>
  </si>
  <si>
    <t>统计学</t>
  </si>
  <si>
    <t>六级无忧计划,六级一对一</t>
  </si>
  <si>
    <t>王艺霖</t>
  </si>
  <si>
    <t>线上运营-商务合作</t>
  </si>
  <si>
    <t>百教网</t>
  </si>
  <si>
    <t>2025-12-28 11:20</t>
  </si>
  <si>
    <t>2025-12-28 11:21</t>
  </si>
  <si>
    <t>2025-12-15 10:53:58</t>
  </si>
  <si>
    <t>BJWY2009649230</t>
  </si>
  <si>
    <t>烟台大学</t>
  </si>
  <si>
    <t>新闻</t>
  </si>
  <si>
    <t>安祐闻</t>
  </si>
  <si>
    <t>2025-12-28 13:40</t>
  </si>
  <si>
    <t>2025-12-19 10:13:32</t>
  </si>
  <si>
    <t>BJWY5972463653</t>
  </si>
  <si>
    <t>电子信息工程</t>
  </si>
  <si>
    <t>仲达</t>
  </si>
  <si>
    <t>2025-12-28 11:06</t>
  </si>
  <si>
    <t>2025-12-23 10:47:31</t>
  </si>
  <si>
    <t>BJWY7054946616</t>
  </si>
  <si>
    <t>2025-12-27</t>
  </si>
  <si>
    <t>黄希夷</t>
  </si>
  <si>
    <t>陈贵云+chenguiyun@xdf.cn+新东方教育科技集团有限公司-培训学校-北京学校-高中一对一部-东南区|学管高级主管</t>
  </si>
  <si>
    <t>2025-12-27 17:50</t>
  </si>
  <si>
    <t>2025-12-27 18:45</t>
  </si>
  <si>
    <t>2025-12-23 10:08:58</t>
  </si>
  <si>
    <t>BJWY3501635415</t>
  </si>
  <si>
    <t>外交学院</t>
  </si>
  <si>
    <t>外语系</t>
  </si>
  <si>
    <t>法语</t>
  </si>
  <si>
    <t>崔泽君</t>
  </si>
  <si>
    <t>2025-12-27 16:45</t>
  </si>
  <si>
    <t>2025-12-21 10:15:12</t>
  </si>
  <si>
    <t>BJWY5870792896</t>
  </si>
  <si>
    <t>西安交通大学</t>
  </si>
  <si>
    <t>物理学</t>
  </si>
  <si>
    <t>束梓墨</t>
  </si>
  <si>
    <t>线上运营推荐</t>
  </si>
  <si>
    <t>2025-12-27 12:12</t>
  </si>
  <si>
    <t>2025-12-22 10:05:13</t>
  </si>
  <si>
    <t>BJWY3693524843</t>
  </si>
  <si>
    <t>沈阳音乐学院</t>
  </si>
  <si>
    <t>民族声乐系</t>
  </si>
  <si>
    <t>民族声乐</t>
  </si>
  <si>
    <t>四级寒假集训营</t>
  </si>
  <si>
    <t>任健实</t>
  </si>
  <si>
    <t>2025-12-27 11:14</t>
  </si>
  <si>
    <t>2025-12-27 11:15</t>
  </si>
  <si>
    <t>2025-12-23 22:26:19</t>
  </si>
  <si>
    <t>BJWY7627454818</t>
  </si>
  <si>
    <t>秦淇</t>
  </si>
  <si>
    <t>2025-12-27 15:28</t>
  </si>
  <si>
    <t>2025-12-14 16:51:34</t>
  </si>
  <si>
    <t>BJWY9337319092</t>
  </si>
  <si>
    <t>中国人民公安大学</t>
  </si>
  <si>
    <t>公安管理学院</t>
  </si>
  <si>
    <t>公安管理学</t>
  </si>
  <si>
    <t>2025-12-26</t>
  </si>
  <si>
    <t>韩宁远</t>
  </si>
  <si>
    <t>坦途网</t>
  </si>
  <si>
    <t>2025-12-28 17:10</t>
  </si>
  <si>
    <t>2025-12-28 17:11</t>
  </si>
  <si>
    <t>2025-12-23 15:08:37</t>
  </si>
  <si>
    <t>BJWY2391694126</t>
  </si>
  <si>
    <t>北京石油化工学院</t>
  </si>
  <si>
    <t>物联网工程</t>
  </si>
  <si>
    <t>宋奕诺</t>
  </si>
  <si>
    <t>吕玉珠+lvyuzhu1@xdf.cn+444957+培训学校-北京学校-高中一对一部-增长中心-线上社群组+社群运营专员 黄智超</t>
  </si>
  <si>
    <t>2025-12-26 15:49</t>
  </si>
  <si>
    <t>2025-12-26 16:08</t>
  </si>
  <si>
    <t>2025-12-18 11:23:52</t>
  </si>
  <si>
    <t>BJWY3509325424</t>
  </si>
  <si>
    <t>北京农学院</t>
  </si>
  <si>
    <t>食品科学与工程学院</t>
  </si>
  <si>
    <t>食品科学与工程</t>
  </si>
  <si>
    <t>李嘉珊</t>
  </si>
  <si>
    <t>已联系徐岩老师上过一节，续费唐亮老师5节课</t>
  </si>
  <si>
    <t>百度投放</t>
  </si>
  <si>
    <t>2025-12-26 20:37</t>
  </si>
  <si>
    <t>2025-12-26 20:38</t>
  </si>
  <si>
    <t>2025-12-26 14:58:05</t>
  </si>
  <si>
    <t>BJWY7845569662</t>
  </si>
  <si>
    <t>生命科学学院</t>
  </si>
  <si>
    <t>生物科学</t>
  </si>
  <si>
    <t>乔铭喆</t>
  </si>
  <si>
    <t>2025-12-26 20:07</t>
  </si>
  <si>
    <t>2025-12-21 19:49:17</t>
  </si>
  <si>
    <t>BJWY5730819423</t>
  </si>
  <si>
    <t>中央民族大学</t>
  </si>
  <si>
    <t>王思洁</t>
  </si>
  <si>
    <t>2025-12-26 16:42</t>
  </si>
  <si>
    <t>2025-12-26 16:41:57</t>
  </si>
  <si>
    <t>BJWY5182724099</t>
  </si>
  <si>
    <t>北京物资学院</t>
  </si>
  <si>
    <t>张好</t>
  </si>
  <si>
    <t>2025-12-27 14:57</t>
  </si>
  <si>
    <t>2025-12-27 14:58</t>
  </si>
  <si>
    <t>2025-12-27 14:56:31</t>
  </si>
  <si>
    <t>BJWY7109755815</t>
  </si>
  <si>
    <t>建筑与城市规划学院</t>
  </si>
  <si>
    <t>韩绍强</t>
  </si>
  <si>
    <t>盖博文</t>
  </si>
  <si>
    <t>学管转介绍</t>
  </si>
  <si>
    <t>2025-12-26 16:39</t>
  </si>
  <si>
    <t>2025-12-26 16:38:34</t>
  </si>
  <si>
    <t>BJWY9999003313</t>
  </si>
  <si>
    <t>研一</t>
  </si>
  <si>
    <t>李泽峰</t>
  </si>
  <si>
    <t>2025-12-26 16:17</t>
  </si>
  <si>
    <t>2025-12-26 13:39:52</t>
  </si>
  <si>
    <t>BJWY7200162004</t>
  </si>
  <si>
    <t>地理信息科学</t>
  </si>
  <si>
    <t>马晓慧</t>
  </si>
  <si>
    <t>徐亚娣+xuyadi@xdf.cn+新东方教育科技集团有限公司-培训学校-北京学校-高中一对一部-西南区-玉泉路分中心|学习顾问</t>
  </si>
  <si>
    <t>2025-12-26 14:07</t>
  </si>
  <si>
    <t>2025-12-16 19:30:59</t>
  </si>
  <si>
    <t>BJWY3543016150</t>
  </si>
  <si>
    <t>信息学部</t>
  </si>
  <si>
    <t>电子信息工程（实验班）</t>
  </si>
  <si>
    <t>孙竟涵</t>
  </si>
  <si>
    <t>2025-12-26 10:18</t>
  </si>
  <si>
    <t>2025-12-26 10:19</t>
  </si>
  <si>
    <t>2025-12-25 22:07:27</t>
  </si>
  <si>
    <t>BJWY6688830393</t>
  </si>
  <si>
    <t>国际经济与贸易</t>
  </si>
  <si>
    <t>2025-12-25 19:21</t>
  </si>
  <si>
    <t>2025-12-25 19:21:11</t>
  </si>
  <si>
    <t>BJWY9812323348</t>
  </si>
  <si>
    <t>管弦系</t>
  </si>
  <si>
    <t>管弦乐器演奏</t>
  </si>
  <si>
    <t>王静姝</t>
  </si>
  <si>
    <t>2025-12-25 16:28</t>
  </si>
  <si>
    <t>2025-12-24 20:50:42</t>
  </si>
  <si>
    <t>BJWY7987318192</t>
  </si>
  <si>
    <t>生物医药学部</t>
  </si>
  <si>
    <t>食品质量与安全</t>
  </si>
  <si>
    <t>刘一</t>
  </si>
  <si>
    <t>2025-12-25 12:22</t>
  </si>
  <si>
    <t>2025-12-25 12:24</t>
  </si>
  <si>
    <t>2025-12-16 14:12:08</t>
  </si>
  <si>
    <t>BJWY1680990689</t>
  </si>
  <si>
    <t>天津大学</t>
  </si>
  <si>
    <t>精密仪器与光电子工程学院</t>
  </si>
  <si>
    <t>测控技术与仪器</t>
  </si>
  <si>
    <t>梁嘉琪</t>
  </si>
  <si>
    <t>吕玉珠+lvyuzhu1@xdf.cn+444957+吕玉珠1(新东方教育科技集团有限公司-培训学校-北京学校-高中一对一部-增长中心-线上社群组 | 社群运营专员)</t>
  </si>
  <si>
    <t>2025-12-25 15:48</t>
  </si>
  <si>
    <t>2025-12-18 11:17:09</t>
  </si>
  <si>
    <t>BJWY3560692562</t>
  </si>
  <si>
    <t>水土保持学院</t>
  </si>
  <si>
    <t>水土保持与荒漠化防治</t>
  </si>
  <si>
    <t>栗子硕</t>
  </si>
  <si>
    <t>2025-12-25 13:55</t>
  </si>
  <si>
    <t>2025-11-25 19:24:00</t>
  </si>
  <si>
    <t>BJWY4125491721</t>
  </si>
  <si>
    <t>中国农业大学</t>
  </si>
  <si>
    <t>食品科学与营养工程学院</t>
  </si>
  <si>
    <t>陈乔雨</t>
  </si>
  <si>
    <t>2025-12-25 13:31</t>
  </si>
  <si>
    <t>2025-12-16 10:57:36</t>
  </si>
  <si>
    <t>BJWY6378740672</t>
  </si>
  <si>
    <t>2025-12-25 11:36</t>
  </si>
  <si>
    <t>2025-12-25 11:41</t>
  </si>
  <si>
    <t>2025-12-25 10:49:54</t>
  </si>
  <si>
    <t>丁莹洁</t>
  </si>
  <si>
    <t>2025-12-25 10:54</t>
  </si>
  <si>
    <t>2025-12-25 10:56</t>
  </si>
  <si>
    <t>2025-12-23 15:13:03</t>
  </si>
  <si>
    <t>BJWY9462967039</t>
  </si>
  <si>
    <t>北京语言大学</t>
  </si>
  <si>
    <t>英语教育</t>
  </si>
  <si>
    <t>王一然</t>
  </si>
  <si>
    <t>2025-12-24 12:04</t>
  </si>
  <si>
    <t>2025-12-04 13:58:54</t>
  </si>
  <si>
    <t>BJWY6962078578</t>
  </si>
  <si>
    <t>李奕涵</t>
  </si>
  <si>
    <t>2025-12-24 16:38</t>
  </si>
  <si>
    <t>2025-12-24 16:40</t>
  </si>
  <si>
    <t>2025-12-24 16:25:29</t>
  </si>
  <si>
    <t>BJWY0868821731</t>
  </si>
  <si>
    <t>吉林体育学院</t>
  </si>
  <si>
    <t>体育艺术学院</t>
  </si>
  <si>
    <t>表演</t>
  </si>
  <si>
    <t>吕炳睿</t>
  </si>
  <si>
    <t>2025-12-24 10:19</t>
  </si>
  <si>
    <t>2025-12-23 11:44:44</t>
  </si>
  <si>
    <t>BJWY9925025061</t>
  </si>
  <si>
    <t>西北师范大学</t>
  </si>
  <si>
    <t>于润桐</t>
  </si>
  <si>
    <t>2025-12-24 10:15</t>
  </si>
  <si>
    <t>2025-12-24 10:21</t>
  </si>
  <si>
    <t>2025-12-23 16:31:44</t>
  </si>
  <si>
    <t>BJWY0849919091</t>
  </si>
  <si>
    <t>2025-12-23</t>
  </si>
  <si>
    <t>杨宇焜</t>
  </si>
  <si>
    <t>2025-12-23 10:53</t>
  </si>
  <si>
    <t>2025-12-20 15:12:03</t>
  </si>
  <si>
    <t>BJWY6596609997</t>
  </si>
  <si>
    <t>西南财经大学</t>
  </si>
  <si>
    <t>刘妙润</t>
  </si>
  <si>
    <t>于乐乐+yulele@xdf.cn+ID+于乐乐(新东方教育科技集团有限公司-培训学校-北京学校-高中一对一部-东南区-珠市口分中心 | 课程顾问)</t>
  </si>
  <si>
    <t>2025-12-23 10:14</t>
  </si>
  <si>
    <t>2025-12-23 10:15</t>
  </si>
  <si>
    <t>2025-12-20 11:00:29</t>
  </si>
  <si>
    <t>BJWY2176526732</t>
  </si>
  <si>
    <t>中央戏剧学院</t>
  </si>
  <si>
    <t>表演系</t>
  </si>
  <si>
    <t>话剧影视表演</t>
  </si>
  <si>
    <t>陈奕奇</t>
  </si>
  <si>
    <t>2025-12-23 22:04</t>
  </si>
  <si>
    <t>2025-12-25 19:20</t>
  </si>
  <si>
    <t>2025-12-23 22:03:19</t>
  </si>
  <si>
    <t>BJWY8928140516</t>
  </si>
  <si>
    <t>北京工业大学耿丹学院</t>
  </si>
  <si>
    <t>工学院</t>
  </si>
  <si>
    <t>遥感</t>
  </si>
  <si>
    <t>2025-12-23 17:05</t>
  </si>
  <si>
    <t>2025-12-23 17:06</t>
  </si>
  <si>
    <t>2025-12-23 17:05:28</t>
  </si>
  <si>
    <t>朱震</t>
  </si>
  <si>
    <t>2025-12-23 17:02</t>
  </si>
  <si>
    <t>2025-12-23 16:59:00</t>
  </si>
  <si>
    <t>BJWY6138635718</t>
  </si>
  <si>
    <t>山东第一医科大学</t>
  </si>
  <si>
    <t>麻醉学</t>
  </si>
  <si>
    <t>王楠</t>
  </si>
  <si>
    <t>唐雅楠+tangyanan5@xdf.cn+产业机构-国际教育培训事业部-国际教育北京中心-运营管理部-大学区域运营中心-国贸大学分中心+学业规划师</t>
  </si>
  <si>
    <t>2025-12-23 15:04</t>
  </si>
  <si>
    <t>2025-12-21 02:31:00</t>
  </si>
  <si>
    <t>BJWY0429434799</t>
  </si>
  <si>
    <t>会计学院</t>
  </si>
  <si>
    <t>贾梓箫</t>
  </si>
  <si>
    <t>2025-12-23 14:23</t>
  </si>
  <si>
    <t>2025-12-23 14:26</t>
  </si>
  <si>
    <t>2025-12-19 15:38:02</t>
  </si>
  <si>
    <t>BJWY2901931132</t>
  </si>
  <si>
    <t>劳动经济学院</t>
  </si>
  <si>
    <t>人力资源管理</t>
  </si>
  <si>
    <t>2025-12-23 11:06</t>
  </si>
  <si>
    <t>2025-12-19 16:49:40</t>
  </si>
  <si>
    <t>王滕</t>
  </si>
  <si>
    <t>刘若思+liuruosi@xdf.cn+ID+刘若思(新东方教育科技集团有限公司-培训学校-北京学校-智慧学习部-门店运营中心-中关村南校区 | 课程顾问)</t>
  </si>
  <si>
    <t>2025-12-23 10:24</t>
  </si>
  <si>
    <t>2025-12-23 10:25</t>
  </si>
  <si>
    <t>2025-12-13 20:22:08</t>
  </si>
  <si>
    <t>BJWY5017517764</t>
  </si>
  <si>
    <t>内蒙古师范大学</t>
  </si>
  <si>
    <t>小学教育</t>
  </si>
  <si>
    <t>王梓墨</t>
  </si>
  <si>
    <t>2025-12-22 19:52</t>
  </si>
  <si>
    <t>2025-12-23 11:31</t>
  </si>
  <si>
    <t>2025-12-22 18:40:40</t>
  </si>
  <si>
    <t>BJWY4604767292</t>
  </si>
  <si>
    <t>大数据管理与应用</t>
  </si>
  <si>
    <t>梅鑫诺</t>
  </si>
  <si>
    <t>2025-12-22 16:40</t>
  </si>
  <si>
    <t>2025-12-22 16:39:08</t>
  </si>
  <si>
    <t>BJWY1246819014</t>
  </si>
  <si>
    <t>浙江师范大学</t>
  </si>
  <si>
    <t>张靖熙</t>
  </si>
  <si>
    <t>直访</t>
  </si>
  <si>
    <t>2025-12-22 16:06</t>
  </si>
  <si>
    <t>2025-12-19 17:35:20</t>
  </si>
  <si>
    <t>XDF072230205056717</t>
  </si>
  <si>
    <t>金融学1</t>
  </si>
  <si>
    <t>饶天瑞</t>
  </si>
  <si>
    <t>2025-12-22 20:50</t>
  </si>
  <si>
    <t>2025-11-26 19:09:57</t>
  </si>
  <si>
    <t>BJWY1397742602</t>
  </si>
  <si>
    <t>2025-12-22 18:20</t>
  </si>
  <si>
    <t>2025-12-22 18:22</t>
  </si>
  <si>
    <t>2025-12-17 12:42:51</t>
  </si>
  <si>
    <t>李子尧</t>
  </si>
  <si>
    <t>教育宝</t>
  </si>
  <si>
    <t>2025-12-22 11:46</t>
  </si>
  <si>
    <t>2025-12-22 12:07</t>
  </si>
  <si>
    <t>2025-12-21 11:31:23</t>
  </si>
  <si>
    <t>BJWY4332051597</t>
  </si>
  <si>
    <t>2025-12-21</t>
  </si>
  <si>
    <t>马宇畅</t>
  </si>
  <si>
    <t>2025-12-21 17:31</t>
  </si>
  <si>
    <t>2025-12-21 17:32</t>
  </si>
  <si>
    <t>2025-12-21 16:58:29</t>
  </si>
  <si>
    <t>BJWY8310793285</t>
  </si>
  <si>
    <t>金童</t>
  </si>
  <si>
    <t>2025-12-21 17:43</t>
  </si>
  <si>
    <t>2025-12-21 17:57</t>
  </si>
  <si>
    <t>2025-12-08 10:17:57</t>
  </si>
  <si>
    <t>BJWY7873051119</t>
  </si>
  <si>
    <t>劳动与社会保障</t>
  </si>
  <si>
    <t>2025-12-21 15:26</t>
  </si>
  <si>
    <t>2025-12-21 15:34</t>
  </si>
  <si>
    <t>2025-12-21 02:28:40</t>
  </si>
  <si>
    <t>田宥兰</t>
  </si>
  <si>
    <t>KFJD202512155295</t>
  </si>
  <si>
    <t>其他转介绍</t>
  </si>
  <si>
    <t>2025-12-21 11:09</t>
  </si>
  <si>
    <t>2025-12-21 11:10</t>
  </si>
  <si>
    <t>2025-12-15 10:08:19</t>
  </si>
  <si>
    <t>BJWY0764349342</t>
  </si>
  <si>
    <t>河南大学</t>
  </si>
  <si>
    <t>临床医学院（河南省人民医院、淮河医院、第一附属医院）</t>
  </si>
  <si>
    <t>张立葳</t>
  </si>
  <si>
    <t>2025-12-21 18:35</t>
  </si>
  <si>
    <t>2025-12-21 15:35:46</t>
  </si>
  <si>
    <t>BJWY7044186501</t>
  </si>
  <si>
    <t>北京工商大学</t>
  </si>
  <si>
    <t>数学与统计学院</t>
  </si>
  <si>
    <t>信息与计算科学</t>
  </si>
  <si>
    <t>乔司颖</t>
  </si>
  <si>
    <t>宋东鑫+songdongxin@xdf.cn+新东方教育科技集团有限公司-培训学校-北京学校-高中一对一部-增长中心-线上社群组 | 社群运营主管</t>
  </si>
  <si>
    <t>2025-12-21 15:02</t>
  </si>
  <si>
    <t>2025-12-21 15:22</t>
  </si>
  <si>
    <t>2025-12-17 14:10:46</t>
  </si>
  <si>
    <t>BJWY7149394488</t>
  </si>
  <si>
    <t>郭思嘉</t>
  </si>
  <si>
    <t>2025-12-21 12:00</t>
  </si>
  <si>
    <t>2025-12-19 10:34:21</t>
  </si>
  <si>
    <t>BJWY8315834045</t>
  </si>
  <si>
    <t>商学院</t>
  </si>
  <si>
    <t>2025-12-20</t>
  </si>
  <si>
    <t>刘又铭</t>
  </si>
  <si>
    <t>校代</t>
  </si>
  <si>
    <t>线下校代</t>
  </si>
  <si>
    <t>2025-12-20 14:29</t>
  </si>
  <si>
    <t>2025-12-20 15:16</t>
  </si>
  <si>
    <t>2025-12-05 12:20:35</t>
  </si>
  <si>
    <t>BJWY2961533442</t>
  </si>
  <si>
    <t>土木水利学院</t>
  </si>
  <si>
    <t>土木工程</t>
  </si>
  <si>
    <t>泽君</t>
  </si>
  <si>
    <t>2025-12-20 17:05</t>
  </si>
  <si>
    <t>2025-12-20 17:07</t>
  </si>
  <si>
    <t>2025-12-18 19:28:52</t>
  </si>
  <si>
    <t>宓昕田</t>
  </si>
  <si>
    <t>2025-12-20 18:02</t>
  </si>
  <si>
    <t>2025-12-15 23:53:54</t>
  </si>
  <si>
    <t>BJWY4796776060</t>
  </si>
  <si>
    <t>文法与城乡发展学院</t>
  </si>
  <si>
    <t>社会工作</t>
  </si>
  <si>
    <t>张仕潇</t>
  </si>
  <si>
    <t>2025-12-20 16:41</t>
  </si>
  <si>
    <t>2025-12-20 16:44</t>
  </si>
  <si>
    <t>2025-12-20 16:19:22</t>
  </si>
  <si>
    <t>BJWY3267372899</t>
  </si>
  <si>
    <t>文法学院</t>
  </si>
  <si>
    <t>汉语言文学</t>
  </si>
  <si>
    <t>刘明睎</t>
  </si>
  <si>
    <t>2025-12-20 16:25</t>
  </si>
  <si>
    <t>2025-12-20 15:08:58</t>
  </si>
  <si>
    <t>BJWY4963617968</t>
  </si>
  <si>
    <t>中国人民大学</t>
  </si>
  <si>
    <t>中国共产党历史</t>
  </si>
  <si>
    <t>尚钊辉</t>
  </si>
  <si>
    <t>2025-12-20 15:45</t>
  </si>
  <si>
    <t>2025-12-20 10:57:57</t>
  </si>
  <si>
    <t>BJWY6561702713</t>
  </si>
  <si>
    <t>航空科学与工程学院</t>
  </si>
  <si>
    <t>智能飞行器技术</t>
  </si>
  <si>
    <t>2025-12-20 10:34</t>
  </si>
  <si>
    <t>2025-12-20 10:37</t>
  </si>
  <si>
    <t>2025-11-23 11:47:59</t>
  </si>
  <si>
    <t>2025-12-19</t>
  </si>
  <si>
    <t>谭悦淼</t>
  </si>
  <si>
    <t>2025-12-19 16:39</t>
  </si>
  <si>
    <t>2025-12-19 16:40</t>
  </si>
  <si>
    <t>2025-12-07 21:12:34</t>
  </si>
  <si>
    <t>BJWY9688874022</t>
  </si>
  <si>
    <t>李荣晋</t>
  </si>
  <si>
    <t>2025-12-19 19:28</t>
  </si>
  <si>
    <t>2025-12-19 19:29</t>
  </si>
  <si>
    <t>2025-12-19 18:58:54</t>
  </si>
  <si>
    <t>BJWY9280687581</t>
  </si>
  <si>
    <t>厦门大学</t>
  </si>
  <si>
    <t>2025-12-18</t>
  </si>
  <si>
    <t>李恩峰</t>
  </si>
  <si>
    <t>2025-12-18 18:04</t>
  </si>
  <si>
    <t>2025-12-18 18:05</t>
  </si>
  <si>
    <t>2025-12-17 20:44:40</t>
  </si>
  <si>
    <t>BJWY0721110867</t>
  </si>
  <si>
    <t>六级一对一</t>
  </si>
  <si>
    <t>苗悦萌</t>
  </si>
  <si>
    <t>郅莉+zhili3@xdf.cn+ID+培训学校-北京学校-高中一对一部-西北区-远大路分中心</t>
  </si>
  <si>
    <t>2025-12-18 16:37</t>
  </si>
  <si>
    <t>2025-12-19 18:15</t>
  </si>
  <si>
    <t>2025-12-11 19:40:55</t>
  </si>
  <si>
    <t>BJWY9063784256</t>
  </si>
  <si>
    <t>机器人工程</t>
  </si>
  <si>
    <t>2025-12-18 12:23</t>
  </si>
  <si>
    <t>2025-12-18 10:27:45</t>
  </si>
  <si>
    <t>郭梓宣</t>
  </si>
  <si>
    <t>彭丽娜+penglina@xdf.cn+新东方教育科技集团有限公司-培训学校-北京学校-高中一对一部-教学项目中心-高中语文项目 | 教师</t>
  </si>
  <si>
    <t>2025-12-18 21:10</t>
  </si>
  <si>
    <t>杨晓超</t>
  </si>
  <si>
    <t>2025-12-19 11:59</t>
  </si>
  <si>
    <t>2025-12-18 16:25:26</t>
  </si>
  <si>
    <t>BJWY3772462559</t>
  </si>
  <si>
    <t>王宏达</t>
  </si>
  <si>
    <t>2025-12-18 17:31</t>
  </si>
  <si>
    <t>2025-12-18 17:32</t>
  </si>
  <si>
    <t>2025-12-14 20:54:16</t>
  </si>
  <si>
    <t>BJWY8380731868</t>
  </si>
  <si>
    <t>北京市广渠门中学</t>
  </si>
  <si>
    <t>万诺妤</t>
  </si>
  <si>
    <t>新课网</t>
  </si>
  <si>
    <t>2025-12-18 17:26</t>
  </si>
  <si>
    <t>2025-12-18 17:27</t>
  </si>
  <si>
    <t>2025-11-11 15:01:24</t>
  </si>
  <si>
    <t>BJWY7256181089</t>
  </si>
  <si>
    <t>艺术设计学部</t>
  </si>
  <si>
    <t>数字媒体艺术</t>
  </si>
  <si>
    <t>王雯静</t>
  </si>
  <si>
    <t>2025-12-18 11:45</t>
  </si>
  <si>
    <t>2025-12-18 11:46</t>
  </si>
  <si>
    <t>2025-12-17 15:00:57</t>
  </si>
  <si>
    <t>BJWY9180727015</t>
  </si>
  <si>
    <t>湖南医药学院</t>
  </si>
  <si>
    <t>医学院</t>
  </si>
  <si>
    <t>刘威名</t>
  </si>
  <si>
    <t>2025-12-18 10:20</t>
  </si>
  <si>
    <t>2025-12-02 15:15:19</t>
  </si>
  <si>
    <t>BJWY3444700897</t>
  </si>
  <si>
    <t>渤海大学</t>
  </si>
  <si>
    <t>航运学院</t>
  </si>
  <si>
    <t>轮机工程</t>
  </si>
  <si>
    <t>宁天</t>
  </si>
  <si>
    <t>2025-12-18 10:09</t>
  </si>
  <si>
    <t>2025-12-18 10:13</t>
  </si>
  <si>
    <t>2025-12-13 10:40:07</t>
  </si>
  <si>
    <t>BJWY8323178239</t>
  </si>
  <si>
    <t>2025-12-17</t>
  </si>
  <si>
    <t>张瑶</t>
  </si>
  <si>
    <t>2025-12-17 17:35</t>
  </si>
  <si>
    <t>2025-12-17 17:36</t>
  </si>
  <si>
    <t>2025-12-17 13:00:37</t>
  </si>
  <si>
    <t>BJWY0761840508</t>
  </si>
  <si>
    <t>机械工程及自动化学院</t>
  </si>
  <si>
    <t>机械工程1</t>
  </si>
  <si>
    <t>顾礼源</t>
  </si>
  <si>
    <t>2025-12-17 16:14</t>
  </si>
  <si>
    <t>2025-12-14 10:33:26</t>
  </si>
  <si>
    <t>BJWY7690665162</t>
  </si>
  <si>
    <t>管理工程学院</t>
  </si>
  <si>
    <t>数据科学与大数据技术（信息技术）</t>
  </si>
  <si>
    <t>袁梦</t>
  </si>
  <si>
    <t>李彬2+libin2@xdf.cn+新东方教育科技集团有限公司-培训学校-北京学校-综合行政部-信息管理中心-资深通讯系统工程师</t>
  </si>
  <si>
    <t>2025-12-17 14:49</t>
  </si>
  <si>
    <t>2025-12-10 14:49:15</t>
  </si>
  <si>
    <t>BJWY0579607228</t>
  </si>
  <si>
    <t>文学院</t>
  </si>
  <si>
    <t>彭琦玮</t>
  </si>
  <si>
    <t>2025-12-17 16:18</t>
  </si>
  <si>
    <t>2025-12-17 16:17:54</t>
  </si>
  <si>
    <t>BJWY2913826463</t>
  </si>
  <si>
    <t>湖南大学</t>
  </si>
  <si>
    <t>信息科学与工程学院</t>
  </si>
  <si>
    <t>2025-12-17 10:51</t>
  </si>
  <si>
    <t>2025-12-17 10:57</t>
  </si>
  <si>
    <t>2025-12-15 15:09:49</t>
  </si>
  <si>
    <t>王梓祎</t>
  </si>
  <si>
    <t>2025-12-16 17:54:27</t>
  </si>
  <si>
    <t>BJWY2343159831</t>
  </si>
  <si>
    <t>赵堉江</t>
  </si>
  <si>
    <t>2025-12-17 20:45</t>
  </si>
  <si>
    <t>2025-12-16 20:35:14</t>
  </si>
  <si>
    <t>BJWY7351705479</t>
  </si>
  <si>
    <t>国际警务执法学院</t>
  </si>
  <si>
    <t>涉外警务</t>
  </si>
  <si>
    <t>吕培昕</t>
  </si>
  <si>
    <t>周颖+zhouying17@xdf.cn+新东方教育科技集团有限公司-培训学校-北京学校-高中一对一部-东南区-蒲黄榆分中心|课程顾问</t>
  </si>
  <si>
    <t>2025-12-17 15:54</t>
  </si>
  <si>
    <t>2025-12-17 15:56</t>
  </si>
  <si>
    <t>2025-12-15 11:58:06</t>
  </si>
  <si>
    <t>XDF022304183118134</t>
  </si>
  <si>
    <t>数学科学学院</t>
  </si>
  <si>
    <t>数学与应用数学</t>
  </si>
  <si>
    <t>李卓馨</t>
  </si>
  <si>
    <t>孟立芳+ menglifang@xdf.cn+新东方教育科技集团有限公司-培训学校-北京学校-高中一对一部-东南区-珠市口分中心|课程顾问</t>
  </si>
  <si>
    <t>2025-12-17 10:49</t>
  </si>
  <si>
    <t>2025-12-17 10:49:21</t>
  </si>
  <si>
    <t>BJWY3271664179</t>
  </si>
  <si>
    <t>刘峰昊</t>
  </si>
  <si>
    <t>总部-巨量广告</t>
  </si>
  <si>
    <t>2025-12-17 10:46</t>
  </si>
  <si>
    <t>2025-12-17 10:46:22</t>
  </si>
  <si>
    <t>BJWY8229207548</t>
  </si>
  <si>
    <t>江西中医药大学</t>
  </si>
  <si>
    <t>中医学院</t>
  </si>
  <si>
    <t>中医学</t>
  </si>
  <si>
    <t>2025-12-15</t>
  </si>
  <si>
    <t>方泓顺</t>
  </si>
  <si>
    <t>老带新系统学管</t>
  </si>
  <si>
    <t>2025-12-15 18:44</t>
  </si>
  <si>
    <t>2025-12-15 10:16:37</t>
  </si>
  <si>
    <t>BJWY0943344478</t>
  </si>
  <si>
    <t>卞悦萌</t>
  </si>
  <si>
    <t>曾超+zengchao@xdf.cn+ID+曾超(新东方教育科技集团有限公司-产业机构-国际教育培训事业部-国际教育北京中心-运营管理部-大学区域运营中心-国贸大学分中心 | 学业规划师)</t>
  </si>
  <si>
    <t>2025-12-15 17:58</t>
  </si>
  <si>
    <t>2025-12-15 17:59</t>
  </si>
  <si>
    <t>2025-12-12 10:30:11</t>
  </si>
  <si>
    <t>BJWY5832334247</t>
  </si>
  <si>
    <t>文法学部</t>
  </si>
  <si>
    <t>张佑琳</t>
  </si>
  <si>
    <t>2025-12-15 17:46</t>
  </si>
  <si>
    <t>2025-12-15 17:47</t>
  </si>
  <si>
    <t>2025-11-26 18:34:54</t>
  </si>
  <si>
    <t>BJWY9140573723</t>
  </si>
  <si>
    <t>中国政法大学</t>
  </si>
  <si>
    <t>法学（法学人才培养模式改革实验班）</t>
  </si>
  <si>
    <t>四级集训营</t>
  </si>
  <si>
    <t>王晓旭</t>
  </si>
  <si>
    <t>2025-12-15 16:56</t>
  </si>
  <si>
    <t>2025-12-15 16:39:50</t>
  </si>
  <si>
    <t>BJWY6843520026</t>
  </si>
  <si>
    <t>军事科学院</t>
  </si>
  <si>
    <t>研三</t>
  </si>
  <si>
    <t>医药系</t>
  </si>
  <si>
    <t>药学</t>
  </si>
  <si>
    <t>李盈</t>
  </si>
  <si>
    <t>2025-12-15 12:50</t>
  </si>
  <si>
    <t>2025-12-15 11:24:22</t>
  </si>
  <si>
    <t>BJWY5432150858</t>
  </si>
  <si>
    <t>内蒙古医科大学</t>
  </si>
  <si>
    <t>医疗保险</t>
  </si>
  <si>
    <t>章天珩</t>
  </si>
  <si>
    <t>2025-12-15 15:43</t>
  </si>
  <si>
    <t>2025-12-15 15:45</t>
  </si>
  <si>
    <t>2025-12-15 10:38:17</t>
  </si>
  <si>
    <t>BJWY9680196315</t>
  </si>
  <si>
    <t>清华大学附属中学（清华附中）</t>
  </si>
  <si>
    <t>王之旭</t>
  </si>
  <si>
    <t>2025-12-15 12:31</t>
  </si>
  <si>
    <t>2025-11-03 12:22:54</t>
  </si>
  <si>
    <t>BJWY7936256483</t>
  </si>
  <si>
    <t>褚明阳</t>
  </si>
  <si>
    <t>2025-12-15 12:25</t>
  </si>
  <si>
    <t>2025-12-14 12:03:24</t>
  </si>
  <si>
    <t>BJWY1606107730</t>
  </si>
  <si>
    <t>土木与交通工程学院</t>
  </si>
  <si>
    <t>兰鸿岳</t>
  </si>
  <si>
    <t>2025-12-15 11:38</t>
  </si>
  <si>
    <t>2025-12-09 16:20:35</t>
  </si>
  <si>
    <t>BJWY8443266202</t>
  </si>
  <si>
    <t>闫箬轩</t>
  </si>
  <si>
    <t>卢嘉雯+lujiawen3@xdf.cn+新东方教育科技集团有限公司-培训学校-北京学校-高中一对一部-西北区-展春园分中心 | 分中心主管</t>
  </si>
  <si>
    <t>2025-12-14 16:56</t>
  </si>
  <si>
    <t>2025-12-14 16:57</t>
  </si>
  <si>
    <t>2025-11-05 17:51:19</t>
  </si>
  <si>
    <t>BJWY6840057068</t>
  </si>
  <si>
    <t>耿子然</t>
  </si>
  <si>
    <t>2025-12-14 15:22</t>
  </si>
  <si>
    <t>2025-12-14 15:30</t>
  </si>
  <si>
    <t>2025-12-02 18:02:24</t>
  </si>
  <si>
    <t>BJWY8914149292</t>
  </si>
  <si>
    <t>北京协和医学院</t>
  </si>
  <si>
    <t>宫明阳</t>
  </si>
  <si>
    <t>2025-12-14 13:52</t>
  </si>
  <si>
    <t>2025-12-14 13:53</t>
  </si>
  <si>
    <t>2025-11-22 19:15:53</t>
  </si>
  <si>
    <t>BJWY5649794023</t>
  </si>
  <si>
    <t>锦州医科大学</t>
  </si>
  <si>
    <t>艾午予</t>
  </si>
  <si>
    <t>2025-12-14 13:34</t>
  </si>
  <si>
    <t>2025-12-14 13:42</t>
  </si>
  <si>
    <t>2025-12-14 12:55:09</t>
  </si>
  <si>
    <t>BJWY5928202516</t>
  </si>
  <si>
    <t>李星睿</t>
  </si>
  <si>
    <t>2025-12-14 10:36</t>
  </si>
  <si>
    <t>2025-12-14 10:37</t>
  </si>
  <si>
    <t>2025-11-28 17:46:24</t>
  </si>
  <si>
    <t>XDF032325175607369</t>
  </si>
  <si>
    <t>于滟心</t>
  </si>
  <si>
    <t>2025-12-14 10:26</t>
  </si>
  <si>
    <t>2025-12-14 10:30</t>
  </si>
  <si>
    <t>2025-12-13 17:11:45</t>
  </si>
  <si>
    <t>BJWY5043930385</t>
  </si>
  <si>
    <t>数学,大学学科辅导</t>
  </si>
  <si>
    <t>应急管理与安全工程学院</t>
  </si>
  <si>
    <t>安全工程</t>
  </si>
  <si>
    <t>江丽佼</t>
  </si>
  <si>
    <t>2025-12-13 20:58</t>
  </si>
  <si>
    <t>2025-12-07 10:24:06</t>
  </si>
  <si>
    <t>BJWY8206025837</t>
  </si>
  <si>
    <t>郭思淇</t>
  </si>
  <si>
    <t>2025-12-13 13:57</t>
  </si>
  <si>
    <t>2025-12-13 14:01</t>
  </si>
  <si>
    <t>2025-12-08 10:11:20</t>
  </si>
  <si>
    <t>BJWY2569416299</t>
  </si>
  <si>
    <t>吕京泽</t>
  </si>
  <si>
    <t>孟杰+mengjie9@xdf.cn+培训学校-北京学校-高中班级部-门店运营中心-朝阳二-销售主管</t>
  </si>
  <si>
    <t>2025-12-13 18:27</t>
  </si>
  <si>
    <t>2025-12-07 17:34:59</t>
  </si>
  <si>
    <t>BJWY5193228077</t>
  </si>
  <si>
    <t>南京工业大学</t>
  </si>
  <si>
    <t>电气工程与控制科学学院</t>
  </si>
  <si>
    <t>智能制造工程</t>
  </si>
  <si>
    <t>朱海润</t>
  </si>
  <si>
    <t>2025-12-13 16:58</t>
  </si>
  <si>
    <t>2025-12-13 17:01</t>
  </si>
  <si>
    <t>2025-12-13 16:32:06</t>
  </si>
  <si>
    <t>BJWY2454733004</t>
  </si>
  <si>
    <t>自动化</t>
  </si>
  <si>
    <t>杨靖怡</t>
  </si>
  <si>
    <t>2025-12-12 11:32</t>
  </si>
  <si>
    <t>2025-12-12 11:32:24</t>
  </si>
  <si>
    <t>BJWY1315194841</t>
  </si>
  <si>
    <t>天津商业大学</t>
  </si>
  <si>
    <t>外国语学院</t>
  </si>
  <si>
    <t>日语</t>
  </si>
  <si>
    <t>陶泽宇</t>
  </si>
  <si>
    <t>2025-12-12 14:51</t>
  </si>
  <si>
    <t>2025-12-12 14:20:43</t>
  </si>
  <si>
    <t>BJWY8597493978</t>
  </si>
  <si>
    <t>郑州轻工业大学</t>
  </si>
  <si>
    <t>能源与动力工程学院</t>
  </si>
  <si>
    <t>新能源科学与工程</t>
  </si>
  <si>
    <t>尹湘平</t>
  </si>
  <si>
    <t>2025-12-12 13:31</t>
  </si>
  <si>
    <t>2025-12-06 19:01:57</t>
  </si>
  <si>
    <t>BJWY2533582904</t>
  </si>
  <si>
    <t>国际文化与传播学院</t>
  </si>
  <si>
    <t>广播电视编导</t>
  </si>
  <si>
    <t>刘泽宇</t>
  </si>
  <si>
    <t>吕玉珠+lvyuzhu1@xdf.cn+444957+培训学校-北京学校-高中一对一部-增长中心-线上社群组+社群运营专员</t>
  </si>
  <si>
    <t>2025-12-12 11:07</t>
  </si>
  <si>
    <t>2025-11-21 14:51:15</t>
  </si>
  <si>
    <t>BJWY2376937071</t>
  </si>
  <si>
    <t>中国人民警察大学</t>
  </si>
  <si>
    <t>公安技术系</t>
  </si>
  <si>
    <t>消防工程</t>
  </si>
  <si>
    <t>2025-12-12 11:03</t>
  </si>
  <si>
    <t>2025-12-12 11:29</t>
  </si>
  <si>
    <t>2025-12-12 10:51:39</t>
  </si>
  <si>
    <t>赵硕</t>
  </si>
  <si>
    <t>2025-12-12 10:39</t>
  </si>
  <si>
    <t>2025-12-11 16:11:08</t>
  </si>
  <si>
    <t>BJWY1150338245</t>
  </si>
  <si>
    <t>青岛大学</t>
  </si>
  <si>
    <t>文学与新闻传播学院</t>
  </si>
  <si>
    <t>栖雅</t>
  </si>
  <si>
    <t>2025-12-12 10:12</t>
  </si>
  <si>
    <t>2025-12-12 11:25</t>
  </si>
  <si>
    <t>2025-12-11 10:17:21</t>
  </si>
  <si>
    <t>BJWY7021928093</t>
  </si>
  <si>
    <t>国际经济学院</t>
  </si>
  <si>
    <t>唐静悠</t>
  </si>
  <si>
    <t>2025-12-12 15:32</t>
  </si>
  <si>
    <t>2025-11-19 15:44:44</t>
  </si>
  <si>
    <t>BJWY9248249294</t>
  </si>
  <si>
    <t>北京大学</t>
  </si>
  <si>
    <t>中国语言文学系</t>
  </si>
  <si>
    <t>中国文学</t>
  </si>
  <si>
    <t>贾立超</t>
  </si>
  <si>
    <t>舒志豪</t>
  </si>
  <si>
    <t>2025-12-12 11:38</t>
  </si>
  <si>
    <t>2025-12-12 13:07</t>
  </si>
  <si>
    <t>2025-12-11 18:09:55</t>
  </si>
  <si>
    <t>BJWY6929944511</t>
  </si>
  <si>
    <t>食品与健康学院</t>
  </si>
  <si>
    <t>2025-12-11</t>
  </si>
  <si>
    <t>杨言复</t>
  </si>
  <si>
    <t>2025-12-11 22:34</t>
  </si>
  <si>
    <t>2025-12-11 22:35</t>
  </si>
  <si>
    <t>2025-12-11 14:54:28</t>
  </si>
  <si>
    <t>BJWY3082744050</t>
  </si>
  <si>
    <t>四级,大学预科</t>
  </si>
  <si>
    <t>刘航硕</t>
  </si>
  <si>
    <t>2025-12-11 10:55</t>
  </si>
  <si>
    <t>2025-12-11 10:57</t>
  </si>
  <si>
    <t>2025-12-09 16:21:06</t>
  </si>
  <si>
    <t>BJWY1411487386</t>
  </si>
  <si>
    <t>北京科技大学</t>
  </si>
  <si>
    <t>刘润</t>
  </si>
  <si>
    <t>2025-12-11 20:06</t>
  </si>
  <si>
    <t>2025-12-11 20:09</t>
  </si>
  <si>
    <t>2025-11-19 18:21:50</t>
  </si>
  <si>
    <t>BJWY5720706678</t>
  </si>
  <si>
    <t>北京联合大学</t>
  </si>
  <si>
    <t>应用文理学院</t>
  </si>
  <si>
    <t>曾昭羲</t>
  </si>
  <si>
    <t>2025-12-11 20:04</t>
  </si>
  <si>
    <t>2025-12-11 22:23</t>
  </si>
  <si>
    <t>2025-12-03 20:47:58</t>
  </si>
  <si>
    <t>BJWY1626519538</t>
  </si>
  <si>
    <t>自动化学院</t>
  </si>
  <si>
    <t>张敬涵</t>
  </si>
  <si>
    <t>2025-12-11 16:20</t>
  </si>
  <si>
    <t>2025-12-11 16:49</t>
  </si>
  <si>
    <t>2025-12-11 16:18:17</t>
  </si>
  <si>
    <t>BJWY5062456767</t>
  </si>
  <si>
    <t>工商管理</t>
  </si>
  <si>
    <t>王薪童</t>
  </si>
  <si>
    <t>2025-12-11 15:38</t>
  </si>
  <si>
    <t>2025-12-11 15:39</t>
  </si>
  <si>
    <t>2025-12-11 10:31:22</t>
  </si>
  <si>
    <t>BJWY4499781555</t>
  </si>
  <si>
    <t>邹天成</t>
  </si>
  <si>
    <t>2025-12-11 14:31</t>
  </si>
  <si>
    <t>2025-11-23 10:33:39</t>
  </si>
  <si>
    <t>BJWY9543216008</t>
  </si>
  <si>
    <t>电气与信息工程学院</t>
  </si>
  <si>
    <t>彭慨然</t>
  </si>
  <si>
    <t>2025-12-11 10:21</t>
  </si>
  <si>
    <t>2025-12-11 10:47</t>
  </si>
  <si>
    <t>2025-12-10 15:56:55</t>
  </si>
  <si>
    <t>BJWY2619373185</t>
  </si>
  <si>
    <t>徐铭烁</t>
  </si>
  <si>
    <t>未知</t>
  </si>
  <si>
    <t>2025-12-11 14:21</t>
  </si>
  <si>
    <t>2025-08-16 15:38:18</t>
  </si>
  <si>
    <t>BJWY4842473272</t>
  </si>
  <si>
    <t>护理学</t>
  </si>
  <si>
    <t>李佳羲</t>
  </si>
  <si>
    <t>2025-12-11 11:05</t>
  </si>
  <si>
    <t>2025-12-11 11:06</t>
  </si>
  <si>
    <t>2025-12-11 10:34:49</t>
  </si>
  <si>
    <t>BJWY8658744284</t>
  </si>
  <si>
    <t>2025-12-10</t>
  </si>
  <si>
    <t>贾佑铭</t>
  </si>
  <si>
    <t>曹冲+caochong1@xdf.cn+新东方教育科技集团有限公司-培训学校-北京学校-高中班级部-门店运营中心-通州 | 课程顾问</t>
  </si>
  <si>
    <t>2025-12-10 13:37</t>
  </si>
  <si>
    <t>2025-12-10 14:22</t>
  </si>
  <si>
    <t>2025-12-02 15:17:59</t>
  </si>
  <si>
    <t>BJWY9544404661</t>
  </si>
  <si>
    <t>四级,大学学科辅导</t>
  </si>
  <si>
    <t>四级无忧计划,大学学科辅导</t>
  </si>
  <si>
    <t>杨霄涵</t>
  </si>
  <si>
    <t>2025-12-10 16:51</t>
  </si>
  <si>
    <t>2025-12-10 16:54</t>
  </si>
  <si>
    <t>2025-12-10 16:51:50</t>
  </si>
  <si>
    <t>BJWY5130042592</t>
  </si>
  <si>
    <t>河北大学</t>
  </si>
  <si>
    <t>25上考季</t>
  </si>
  <si>
    <t>宋仁宣</t>
  </si>
  <si>
    <t>2025-12-10 14:20</t>
  </si>
  <si>
    <t>2025-12-10 14:21</t>
  </si>
  <si>
    <t>2025-11-30 19:01:22</t>
  </si>
  <si>
    <t>BJWY1882772682</t>
  </si>
  <si>
    <t>公安学系</t>
  </si>
  <si>
    <t>公安政治工作</t>
  </si>
  <si>
    <t>高震泽</t>
  </si>
  <si>
    <t>2025-12-10 14:10</t>
  </si>
  <si>
    <t>2025-12-10 14:11</t>
  </si>
  <si>
    <t>2025-12-08 17:18:28</t>
  </si>
  <si>
    <t>BJWY4039550376</t>
  </si>
  <si>
    <t>龙岩学院</t>
  </si>
  <si>
    <t>数学与信息工程学院</t>
  </si>
  <si>
    <t>物联网工程（含闽台合作项目）</t>
  </si>
  <si>
    <t>2025-12-10 20:56</t>
  </si>
  <si>
    <t>2025-12-02 15:48:16</t>
  </si>
  <si>
    <t>BJWY3492569276</t>
  </si>
  <si>
    <t>软件工程（实验班）</t>
  </si>
  <si>
    <t>2025-12-09</t>
  </si>
  <si>
    <t>王煜宁</t>
  </si>
  <si>
    <t>2025-12-09 16:59</t>
  </si>
  <si>
    <t>2025-12-09 17:00</t>
  </si>
  <si>
    <t>2025-12-07 16:49:07</t>
  </si>
  <si>
    <t>BJWY5936106813</t>
  </si>
  <si>
    <t>南开大学</t>
  </si>
  <si>
    <t>刘泽瑶</t>
  </si>
  <si>
    <t>学员情况特殊，请学管老师联系顾问徐一城</t>
  </si>
  <si>
    <t>2025-12-09 18:46</t>
  </si>
  <si>
    <t>2025-12-09 18:49</t>
  </si>
  <si>
    <t>2025-12-04 13:11:54</t>
  </si>
  <si>
    <t>BJWY8845241802</t>
  </si>
  <si>
    <t>化工学院</t>
  </si>
  <si>
    <t>应用化学（工）</t>
  </si>
  <si>
    <t>蒋靖泽</t>
  </si>
  <si>
    <t>2025-12-09 08:38</t>
  </si>
  <si>
    <t>2025-12-09 08:46</t>
  </si>
  <si>
    <t>2025-12-08 18:28:46</t>
  </si>
  <si>
    <t>BJWY6967051920</t>
  </si>
  <si>
    <t>电子信息工程学院</t>
  </si>
  <si>
    <t>电子科学与技术</t>
  </si>
  <si>
    <t>卢鼎新</t>
  </si>
  <si>
    <t>2025-12-08 11:51</t>
  </si>
  <si>
    <t>2025-12-08 11:52</t>
  </si>
  <si>
    <t>2025-12-07 11:50:58</t>
  </si>
  <si>
    <t>BJWY7818550809</t>
  </si>
  <si>
    <t>六级,四级,大学预科</t>
  </si>
  <si>
    <t>许燕梅</t>
  </si>
  <si>
    <t>2025-12-08 19:36</t>
  </si>
  <si>
    <t>钱雪冰</t>
  </si>
  <si>
    <t>2025-12-08 19:43</t>
  </si>
  <si>
    <t>2025-12-06 15:35:03</t>
  </si>
  <si>
    <t>BJWY1994870278</t>
  </si>
  <si>
    <t>北京舞蹈学院</t>
  </si>
  <si>
    <t>中国古典舞系</t>
  </si>
  <si>
    <t>舞蹈表演（中国古典舞）</t>
  </si>
  <si>
    <t>金玲旭</t>
  </si>
  <si>
    <t>贾同学</t>
  </si>
  <si>
    <t>2025-12-08 11:33</t>
  </si>
  <si>
    <t>2025-12-08 11:33:21</t>
  </si>
  <si>
    <t>BJWY3450008754</t>
  </si>
  <si>
    <t>反恐怖学院</t>
  </si>
  <si>
    <t>公安情报学</t>
  </si>
  <si>
    <t>2025-12-07</t>
  </si>
  <si>
    <t>刘霜洁+liushuangjie@xdf.cn+培训学校 北京学校 智慧学习部 门店运营中心 望京校区 课程顾问</t>
  </si>
  <si>
    <t>2025-12-07 10:39</t>
  </si>
  <si>
    <t>2025-12-07 10:43</t>
  </si>
  <si>
    <t>2025-12-01 09:22:30</t>
  </si>
  <si>
    <t>杨淏文</t>
  </si>
  <si>
    <t>2025-12-07 10:31</t>
  </si>
  <si>
    <t>2025-11-12 11:03:26</t>
  </si>
  <si>
    <t>BJWY4953885049</t>
  </si>
  <si>
    <t>2025-12-07 16:24</t>
  </si>
  <si>
    <t>2025-12-05 18:38:31</t>
  </si>
  <si>
    <t>陈逸豪</t>
  </si>
  <si>
    <t>黄婷+huangting21@xdf.cn+新东方教育科技集团有限公司-产业机构-国际教育培训事业部-国际教育北京中心-运营管理部-中学区域运营中心一区-中关村中学分中心二部 | 学业规划师</t>
  </si>
  <si>
    <t>2025-12-07 16:11</t>
  </si>
  <si>
    <t>2025-12-07 16:13</t>
  </si>
  <si>
    <t>2025-12-07 15:30:08</t>
  </si>
  <si>
    <t>BJWY0419531171</t>
  </si>
  <si>
    <t>郭昱君</t>
  </si>
  <si>
    <t>2025-12-07 13:52</t>
  </si>
  <si>
    <t>2025-12-07 13:56</t>
  </si>
  <si>
    <t>2025-12-07 11:37:32</t>
  </si>
  <si>
    <t>BJWY8553960405</t>
  </si>
  <si>
    <t>一对一</t>
  </si>
  <si>
    <t>李翌瑶</t>
  </si>
  <si>
    <t>2025-12-07 10:57</t>
  </si>
  <si>
    <t>2025-12-07 10:59</t>
  </si>
  <si>
    <t>2025-12-07 10:52:02</t>
  </si>
  <si>
    <t>XDF092108192959439</t>
  </si>
  <si>
    <t>应用统计学</t>
  </si>
  <si>
    <t>冯佳璐</t>
  </si>
  <si>
    <t>李文婷+liwenting10@xdf.cn+新东方教育科技集团有限公司-培训学校-北京学校-高中一对一部-东北区-朝阳北分中心 | 学习顾问</t>
  </si>
  <si>
    <t>2025-12-07 10:16</t>
  </si>
  <si>
    <t>2025-11-06 19:13:07</t>
  </si>
  <si>
    <t>BJWY3889385317</t>
  </si>
  <si>
    <t>2025-12-06</t>
  </si>
  <si>
    <t>2025-12-06 19:14</t>
  </si>
  <si>
    <t>2025-12-06 19:16</t>
  </si>
  <si>
    <t>2025-12-03 11:10:24</t>
  </si>
  <si>
    <t>2025-12-06 14:05</t>
  </si>
  <si>
    <t>2025-12-06 14:08</t>
  </si>
  <si>
    <t>2025-12-01 11:25:37</t>
  </si>
  <si>
    <t>马浩哲</t>
  </si>
  <si>
    <t>2025-12-06 11:01</t>
  </si>
  <si>
    <t>2025-12-06 11:03</t>
  </si>
  <si>
    <t>2025-12-01 18:58:21</t>
  </si>
  <si>
    <t>BJWY3743126204</t>
  </si>
  <si>
    <t>广州民航职业技术学院</t>
  </si>
  <si>
    <t>机电学院</t>
  </si>
  <si>
    <t>飞机机电维修</t>
  </si>
  <si>
    <t>秦爽+qinshuang2@xdf.cn+培训学校-北京学校-高中班级部-门店运营中心-海淀二+销售高级主管</t>
  </si>
  <si>
    <t>2025-12-06 15:27</t>
  </si>
  <si>
    <t>2025-12-06 15:31</t>
  </si>
  <si>
    <t>2025-12-06 10:24:01</t>
  </si>
  <si>
    <t>大学学科辅导,大学预科</t>
  </si>
  <si>
    <t>张志豪</t>
  </si>
  <si>
    <t>2025-12-06 11:46</t>
  </si>
  <si>
    <t>2025-12-06 11:49</t>
  </si>
  <si>
    <t>2025-11-24 14:38:32</t>
  </si>
  <si>
    <t>BJWY4849766230</t>
  </si>
  <si>
    <t>刘俊麟</t>
  </si>
  <si>
    <t>2025-12-06 10:45</t>
  </si>
  <si>
    <t>2025-12-06 10:49</t>
  </si>
  <si>
    <t>2025-12-06 10:11:39</t>
  </si>
  <si>
    <t>BJWY9013136110</t>
  </si>
  <si>
    <t>2025-12-04</t>
  </si>
  <si>
    <t>徐露嘉</t>
  </si>
  <si>
    <t>余平瑶</t>
  </si>
  <si>
    <t>2025-12-04 14:04</t>
  </si>
  <si>
    <t>2025-12-02 10:47:21</t>
  </si>
  <si>
    <t>BJWY7115469481</t>
  </si>
  <si>
    <t>琪琪</t>
  </si>
  <si>
    <t>激活</t>
  </si>
  <si>
    <t>2025-12-04 19:40</t>
  </si>
  <si>
    <t>2025-12-04 19:41</t>
  </si>
  <si>
    <t>2025-12-04 19:21:34</t>
  </si>
  <si>
    <t>BJWY8422242205</t>
  </si>
  <si>
    <t>其他</t>
  </si>
  <si>
    <t>2025-12-04 14:06</t>
  </si>
  <si>
    <t>2025-11-19 16:43:12</t>
  </si>
  <si>
    <t>王崔美美</t>
  </si>
  <si>
    <t>2025-12-04 15:50</t>
  </si>
  <si>
    <t>2025-12-04 15:51</t>
  </si>
  <si>
    <t>2025-11-28 17:22:37</t>
  </si>
  <si>
    <t>BJWY7965204377</t>
  </si>
  <si>
    <t>外语学院</t>
  </si>
  <si>
    <t>商务英语</t>
  </si>
  <si>
    <t>李修源</t>
  </si>
  <si>
    <t>2025-12-04 12:28</t>
  </si>
  <si>
    <t>2025-12-04 12:29</t>
  </si>
  <si>
    <t>2025-11-22 12:02:00</t>
  </si>
  <si>
    <t>BJWY9773155490</t>
  </si>
  <si>
    <t>山东大学</t>
  </si>
  <si>
    <t>哲学与社会发展学院</t>
  </si>
  <si>
    <t>哲学</t>
  </si>
  <si>
    <t>2025-12-03</t>
  </si>
  <si>
    <t>钱文多</t>
  </si>
  <si>
    <t>2025-12-03 11:29</t>
  </si>
  <si>
    <t>2025-12-03 11:33</t>
  </si>
  <si>
    <t>2025-12-03 10:58:30</t>
  </si>
  <si>
    <t>BJWY7728017481</t>
  </si>
  <si>
    <t>国际关系学院</t>
  </si>
  <si>
    <t>经济金融学院</t>
  </si>
  <si>
    <t>2025-12-02</t>
  </si>
  <si>
    <t>2025-12-02 19:17</t>
  </si>
  <si>
    <t>2025-12-02 19:20</t>
  </si>
  <si>
    <t>2025-11-28 14:49:46</t>
  </si>
  <si>
    <t>刘缤逸</t>
  </si>
  <si>
    <t>2025-12-02 19:12</t>
  </si>
  <si>
    <t>2025-12-02 19:26</t>
  </si>
  <si>
    <t>2025-12-02 18:41:02</t>
  </si>
  <si>
    <t>BJWY3944762969</t>
  </si>
  <si>
    <t>艺术</t>
  </si>
  <si>
    <t>油画</t>
  </si>
  <si>
    <t>朱佳易</t>
  </si>
  <si>
    <t>2025-12-02 11:20</t>
  </si>
  <si>
    <t>2025-10-31 11:55:46</t>
  </si>
  <si>
    <t>BJWY1804474655</t>
  </si>
  <si>
    <t>甘肃医学院</t>
  </si>
  <si>
    <t>临床医学系</t>
  </si>
  <si>
    <t>六级集训</t>
  </si>
  <si>
    <t>高子悦</t>
  </si>
  <si>
    <t>2025-12-01 17:38</t>
  </si>
  <si>
    <t>2025-12-01 17:42</t>
  </si>
  <si>
    <t>2025-12-01 11:37:20</t>
  </si>
  <si>
    <t>BJWY0000142982</t>
  </si>
  <si>
    <t>统计与数学学院</t>
  </si>
  <si>
    <t>赵韵童</t>
  </si>
  <si>
    <t>2025-12-01 17:36</t>
  </si>
  <si>
    <t>2025-12-01 17:37</t>
  </si>
  <si>
    <t>2025-11-25 18:48:28</t>
  </si>
  <si>
    <t>BJWY4040439747</t>
  </si>
  <si>
    <t>云南财经大学</t>
  </si>
  <si>
    <t>国际工商学院</t>
  </si>
  <si>
    <t>国际经济与贸易（中外合作办学）</t>
  </si>
  <si>
    <t>张佳怡</t>
  </si>
  <si>
    <t>已联系徐岩老师说明情况</t>
  </si>
  <si>
    <t>2025-12-01 12:46</t>
  </si>
  <si>
    <t>2025-12-01 12:49</t>
  </si>
  <si>
    <t>2025-12-01 12:20:42</t>
  </si>
  <si>
    <t>BJWY2246893073</t>
  </si>
  <si>
    <t>中国劳动关系学院</t>
  </si>
  <si>
    <t>公共管理学院</t>
  </si>
  <si>
    <t>旅游管理</t>
  </si>
  <si>
    <t>黄俊杰</t>
  </si>
  <si>
    <t>2025-12-15 20:25</t>
  </si>
  <si>
    <t>2025-12-16 10:41</t>
  </si>
  <si>
    <t>2025-12-15 20:25:14</t>
  </si>
  <si>
    <t>BJWY7255636583</t>
  </si>
  <si>
    <t>六级,数学,考研专业课,大学学科辅导</t>
  </si>
  <si>
    <t>新闻传播学院</t>
  </si>
  <si>
    <t>新闻学</t>
  </si>
  <si>
    <t>大学学科辅导,六级一对一,考研专业课150</t>
  </si>
  <si>
    <t>国内高校-C9</t>
  </si>
  <si>
    <t>否</t>
  </si>
  <si>
    <t>2025-10-19</t>
  </si>
  <si>
    <t>徐英桓</t>
  </si>
  <si>
    <t>转班</t>
  </si>
  <si>
    <t>2025-10-31 18:37</t>
  </si>
  <si>
    <t>2026-01-01 21:46</t>
  </si>
  <si>
    <t>2025-10-31 18:36:07</t>
  </si>
  <si>
    <t>BJWY5425884493</t>
  </si>
  <si>
    <t>四级,其他</t>
  </si>
  <si>
    <t>中国地质大学(北京)</t>
  </si>
  <si>
    <t>软件工程</t>
  </si>
  <si>
    <t>国内高校-211</t>
  </si>
  <si>
    <t>外地人本地大学(常规)</t>
  </si>
  <si>
    <t>学管主管审批通过</t>
  </si>
  <si>
    <t>是</t>
  </si>
  <si>
    <t>6180.0</t>
  </si>
  <si>
    <t>赵云钐</t>
  </si>
  <si>
    <t>2026-01-01 22:05</t>
  </si>
  <si>
    <t>2026-01-01 22:04:36</t>
  </si>
  <si>
    <t>BJWY4726874831</t>
  </si>
  <si>
    <t>长安大学</t>
  </si>
  <si>
    <t>电子与控制工程学院</t>
  </si>
  <si>
    <t>本地人外地大学(归巢)</t>
  </si>
  <si>
    <t>5680.0</t>
  </si>
  <si>
    <t>提交日期</t>
  </si>
  <si>
    <t>OA流水号</t>
  </si>
  <si>
    <t>学管姓名</t>
  </si>
  <si>
    <t>学管是否代办</t>
  </si>
  <si>
    <t>顾问姓名</t>
  </si>
  <si>
    <t>顾问是否代办</t>
  </si>
  <si>
    <t>91系统-最新报名二级渠道</t>
  </si>
  <si>
    <t>转介绍人</t>
  </si>
  <si>
    <t>原班所属项目</t>
  </si>
  <si>
    <t>新报入班级所属项目</t>
  </si>
  <si>
    <t>退费阶段</t>
  </si>
  <si>
    <t>退费一级原因（开课前）</t>
  </si>
  <si>
    <t>退费一级原因 (开课后)</t>
  </si>
  <si>
    <t>退费二级原因（专业课师资匹配原因）</t>
  </si>
  <si>
    <t>退费二级原因（学员意愿转变_开课前）</t>
  </si>
  <si>
    <t>退费二级原因（计划冲突_开课前）</t>
  </si>
  <si>
    <t>退费二级原因（中心原因_开课前）</t>
  </si>
  <si>
    <t>退费二级原因（签约话术）</t>
  </si>
  <si>
    <t>退费二级原因（教师）</t>
  </si>
  <si>
    <t>退费二级原因（教学）</t>
  </si>
  <si>
    <t>退费二级原因（课程安排）</t>
  </si>
  <si>
    <t>退费二级原因（配套服务）</t>
  </si>
  <si>
    <t>退费二级原因（配套学习设施）</t>
  </si>
  <si>
    <t>退费二级原因（中心原因_开课后）</t>
  </si>
  <si>
    <t>退费二级原因（计划冲突_开课后）</t>
  </si>
  <si>
    <t>退费二级原因（学员意愿转变_开课后）</t>
  </si>
  <si>
    <t>退费三级原因（完全匹配不上）-院校、学院、专业、专业课代码及名称</t>
  </si>
  <si>
    <t>退费详细原因说明（与OA退费详细说明保持一致）</t>
  </si>
  <si>
    <t>预计报名新班学费金额</t>
  </si>
  <si>
    <t>转班金额（请学管填写所在班级实际金额）</t>
  </si>
  <si>
    <t>转班详细原因说明</t>
  </si>
  <si>
    <t>提交时间</t>
  </si>
  <si>
    <t>学院</t>
  </si>
  <si>
    <t>您所办理的业务类型</t>
  </si>
  <si>
    <t>提交人</t>
  </si>
  <si>
    <t>退费类型</t>
  </si>
  <si>
    <t>学员姓名</t>
  </si>
  <si>
    <t>学员编码</t>
  </si>
  <si>
    <t>退费金额</t>
  </si>
  <si>
    <t>办理日期-客服</t>
  </si>
  <si>
    <t>月</t>
  </si>
  <si>
    <t>日</t>
  </si>
  <si>
    <t>退费方式-客服</t>
  </si>
  <si>
    <t>需要跟进的顾问/学管</t>
  </si>
  <si>
    <t>退费/转班特殊情况备注（若需要学管提供银行卡信息，可将需求填写在此处）-客服</t>
  </si>
  <si>
    <t>是否完成退费/转班-客服</t>
  </si>
  <si>
    <t>父记录</t>
  </si>
  <si>
    <t>2025/12/26</t>
  </si>
  <si>
    <t>NO.2017612633063657031</t>
  </si>
  <si>
    <t>马一鸣16</t>
  </si>
  <si>
    <t>许庆典</t>
  </si>
  <si>
    <t>无忧项目-专业课</t>
  </si>
  <si>
    <t>无忧项目</t>
  </si>
  <si>
    <t>开课前退费</t>
  </si>
  <si>
    <t>学员意愿转变_开课前</t>
  </si>
  <si>
    <t>认为课程用处不大/不适合自己</t>
  </si>
  <si>
    <t>学生想要从408的一对一课程转到408的班课学习，需要退到学员账户，再特批报入。</t>
  </si>
  <si>
    <t>¥9000.00</t>
  </si>
  <si>
    <t>退费</t>
  </si>
  <si>
    <t>转项目/转班/退出重报等未产生实际退费</t>
  </si>
  <si>
    <t>王晓巍</t>
  </si>
  <si>
    <t>BJWY7037419543</t>
  </si>
  <si>
    <t>12.27 已办理，退回账户余额@马一鸣16 (马一鸣)
未办理：未找到退费审核记录@马一鸣16 (马一鸣)（12.26）
[图片]</t>
  </si>
  <si>
    <t>TRUE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</si>
  <si>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</si>
  <si>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</si>
  <si>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</si>
  <si>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</si>
  <si>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</si>
  <si>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</si>
  <si>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</si>
  <si>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</si>
  <si>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</si>
  <si>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陶泽禹</t>
  </si>
  <si>
    <t>2025-12-28 12:36</t>
  </si>
  <si>
    <t>2025-12-18 13:37:16</t>
  </si>
  <si>
    <t>XDF062303185327611</t>
  </si>
  <si>
    <t>考研专业课,考研集训营</t>
  </si>
  <si>
    <t>电子商务</t>
  </si>
  <si>
    <t>27考季</t>
  </si>
  <si>
    <t>寒暑假集训营（春秋OMO）,考研专业课150</t>
  </si>
  <si>
    <t>英语,政治,数学,专业课150</t>
  </si>
  <si>
    <t>国内高校-双非</t>
  </si>
  <si>
    <t>本地人本地大学(常规)</t>
  </si>
  <si>
    <t>2025-12-28 10:33</t>
  </si>
  <si>
    <t>2025-12-27 14:32</t>
  </si>
  <si>
    <t>2025-12-27 14:31:44</t>
  </si>
  <si>
    <t>考研专业课,考研无忧计划</t>
  </si>
  <si>
    <t>电子信息工程（电路与系统设计）</t>
  </si>
  <si>
    <t>无忧计划-啄木鸟,考研专业课150</t>
  </si>
  <si>
    <t>英语,政治,数学,计算机</t>
  </si>
  <si>
    <t>2025-07-09 20:21</t>
  </si>
  <si>
    <t>2025-12-22 17:21</t>
  </si>
  <si>
    <t>2025-12-22 17:29</t>
  </si>
  <si>
    <t>2025-12-22 11:45:42</t>
  </si>
  <si>
    <t>宋德弘</t>
  </si>
  <si>
    <t>2025-12-07 11:01</t>
  </si>
  <si>
    <t>2025-12-07 11:03</t>
  </si>
  <si>
    <t>2025-12-06 17:30:03</t>
  </si>
  <si>
    <t>BJWY4327598123</t>
  </si>
  <si>
    <t>四级线上网课,四级一对一</t>
  </si>
  <si>
    <t>2025-12-04 16:59</t>
  </si>
  <si>
    <t>2025-12-04 17:02</t>
  </si>
  <si>
    <t>2025-12-01 11:10:42</t>
  </si>
  <si>
    <t>王梓函</t>
  </si>
  <si>
    <t>于明珠2+yumingzhu2@xdf.cn+ID+于明珠2(新东方教育科技集团有限公司-产业机构-国际教育培训事业部-国际教育北京中心-运营管理部-中学区域运营中心三区-望京中学分中心 | 学业规划</t>
  </si>
  <si>
    <t>2025-12-10 14:09</t>
  </si>
  <si>
    <t>2025-11-14 20:08:57</t>
  </si>
  <si>
    <t>BJWY4539449808</t>
  </si>
  <si>
    <t>考研无忧计划</t>
  </si>
  <si>
    <t>作曲系</t>
  </si>
  <si>
    <t>作曲</t>
  </si>
  <si>
    <t>无忧计划-啄木鸟</t>
  </si>
  <si>
    <t>英语,政治</t>
  </si>
  <si>
    <t>原来金额</t>
  </si>
  <si>
    <t>2025/11/25</t>
  </si>
  <si>
    <t>NO.2025112401110</t>
  </si>
  <si>
    <t>舒志豪1</t>
  </si>
  <si>
    <t>无忧项目-VIP</t>
  </si>
  <si>
    <t>开课后退费</t>
  </si>
  <si>
    <t>学员意愿转变_开课后</t>
  </si>
  <si>
    <t>家人不支持考研/不支持跟班学习/意见不一致</t>
  </si>
  <si>
    <t>学员大四，11月19号上午旷课，电话不接，信息不回，家长因此与孩子有矛盾，孩子自己不愿意上课，家长也不愿意留着课时日后使用，坚持退费</t>
  </si>
  <si>
    <t>2025-11-25</t>
  </si>
  <si>
    <t>人文学院</t>
  </si>
  <si>
    <t>真实产生的退费</t>
  </si>
  <si>
    <t>王牧骥</t>
  </si>
  <si>
    <t>BJWY5966881279</t>
  </si>
  <si>
    <t>12.10显示已退款[图片]
12.9已转手工，待短信确认：吴维萍6226980700396185中信银行北京万柳支行
等财务老师转手工之后提交手工退款，卡号就是上面卡信息（原银联商务POS支付卡）
12.5银联商务POS退款中——————————
12.03退款中
12.02退款中[图片]
12.1已办理，原渠道是刷卡，以下是两张银行卡分别对应的金额，目前退款中，待到账
[图片]
未办理：OA未到客服（11.30）@舒志豪1 (舒志豪)——————-
11.29未办理：OA未到客服
11.28未办理：OA未到客服
11.27未办理：OA未到客服
11.26未办理，oa未到客服</t>
  </si>
  <si>
    <t>2025/11/29</t>
  </si>
  <si>
    <t>李玉迪1</t>
  </si>
  <si>
    <t>四六级项目-班课</t>
  </si>
  <si>
    <t>WYS25047,开课后退费，消耗22课次家长联系说孩子学校里课程结课提前，没有时间上面授，后面三周的课申请退出，建议保留可以看一下直播或者云教室，但是家长觉得孩子学校里事情都忙不完实在没时间补，不考虑留课，申请退出</t>
  </si>
  <si>
    <t>2025-11-29</t>
  </si>
  <si>
    <t>北京科技大学天津学院</t>
  </si>
  <si>
    <t>法律系</t>
  </si>
  <si>
    <t>王艺璇</t>
  </si>
  <si>
    <t>BJWY8762185994</t>
  </si>
  <si>
    <t>12.01已办理，原支付渠道是微信，已到账
[图片]
未办理：无顾问挽单记录（11.30）@李玉迪1 (李玉迪)@田一禾3 (田一禾)</t>
  </si>
  <si>
    <t>WYS25046,开课后报名，消耗8课次学员基础不好，报了班课和一对一课时包，上了两次班课觉得进度太快了，跟不上，都转成一对一上课了，着急排课已经报入新的课时包，班课办理退费退回。
属于特殊情况退费，已发送邮件同步，辛苦老师办理。</t>
  </si>
  <si>
    <t>地质学院</t>
  </si>
  <si>
    <t>地质资源与地质工程</t>
  </si>
  <si>
    <t>刘孟</t>
  </si>
  <si>
    <t>BJWY7540306760</t>
  </si>
  <si>
    <t>12.2支付宝退1850————————[图片]
[图片]
邮件未审批完——————[图片]
12.01未办理，新oa退费金额和退费审核不一致@李玉迪1 (李玉迪)
[图片][图片]
未办理：OA提交有误，11.29已回退（11.30）@李玉迪1 (李玉迪)————————-
[图片]
[图片]</t>
  </si>
  <si>
    <t>2025/11/30</t>
  </si>
  <si>
    <t>NO.2025112900160</t>
  </si>
  <si>
    <t>四六级项目-VIP</t>
  </si>
  <si>
    <t>计划冲突_开课前</t>
  </si>
  <si>
    <t>专业课学习时间和新东方时间冲突</t>
  </si>
  <si>
    <t>学员马上要参加一个考试，数学这学期也不考了，没时间学习，也不需要保留课时，转化其他科目</t>
  </si>
  <si>
    <t>2025-11-30</t>
  </si>
  <si>
    <t>科德学院</t>
  </si>
  <si>
    <t>心理学</t>
  </si>
  <si>
    <t>张一冉</t>
  </si>
  <si>
    <t>BJWY7214774690</t>
  </si>
  <si>
    <t>12.01已办理，原支付渠道是微信，已到账
[图片]</t>
  </si>
  <si>
    <t>2025/12/05</t>
  </si>
  <si>
    <t>NO.2025120401586</t>
  </si>
  <si>
    <t>计划冲突_开课后</t>
  </si>
  <si>
    <t>学校事务和新东方时间冲突</t>
  </si>
  <si>
    <t>学员大一，报名有四级班课，一开始咨询考研数学，但是从大一开始学有点早，所以报名80H数学一对一从基础开始学，但目前孩子不打算学高数，用不到，也不愿意留存课时或者扩科，后续有需要再报名学习，已经和顾问进行了挽单操作，均挽单失败</t>
  </si>
  <si>
    <t>2025-12-05</t>
  </si>
  <si>
    <t>支付宝退回
未办理：OA未到前台（12.5）</t>
  </si>
  <si>
    <t>2025/12/06</t>
  </si>
  <si>
    <t>四六级项目</t>
  </si>
  <si>
    <t>个人生活/工作事务和新东方时间冲突</t>
  </si>
  <si>
    <t>【退到账户储值】【退出转线上】【开课后退费】报名班级WYF25046，12-1号提出退费消耗0课次</t>
  </si>
  <si>
    <t>北京印刷学院</t>
  </si>
  <si>
    <t>新闻出版学</t>
  </si>
  <si>
    <t>数字出版</t>
  </si>
  <si>
    <t>孙昭涵</t>
  </si>
  <si>
    <t>BJWY3666268697</t>
  </si>
  <si>
    <t>退至学员账户</t>
  </si>
  <si>
    <t>【退到账户储值】【退出转线上】【开课前退费】报名班级WYS26001 ，12-1号提出退费消耗0课次</t>
  </si>
  <si>
    <t>退回账户</t>
  </si>
  <si>
    <t>2025/12/09</t>
  </si>
  <si>
    <t>NO.2025120401577</t>
  </si>
  <si>
    <t>学生自己意愿不明确，之前上了一次课后就停课了，说是学校内课程太多，暂时没时间学习，也用不到这些课程，后面有需要再说</t>
  </si>
  <si>
    <t>北京中医药大学</t>
  </si>
  <si>
    <t>孙瑞</t>
  </si>
  <si>
    <t>BJWY0299423626</t>
  </si>
  <si>
    <t>12.13，微信退还。@舒志豪1 (舒志豪)@田一禾3 (田一禾)
未办理：OA流程未到客服（12.12）
未办理：OA流程未到客服（12.10）</t>
  </si>
  <si>
    <t>2025/12/11</t>
  </si>
  <si>
    <t>徐岩91</t>
  </si>
  <si>
    <t>自己找到老师复习</t>
  </si>
  <si>
    <t>退到账户 转定制</t>
  </si>
  <si>
    <t>退回学员账户</t>
  </si>
  <si>
    <t>2025/12/12</t>
  </si>
  <si>
    <t>NO.2025120901880</t>
  </si>
  <si>
    <t>学生自己意愿不明确，之前上了一次课后就停课了，说是学校内课程太多，专业课学习非常紧张，暂时没时间学习，也用不到这些课程，后面有需要再说</t>
  </si>
  <si>
    <t>刘桐希</t>
  </si>
  <si>
    <t>BJWY8915310304</t>
  </si>
  <si>
    <t>微信退回
未办理：未查询到顾问挽单记录（12.14）
12.13未办理：未查询到顾问挽单记录。
未办理：OA流程未到客服（12.12）</t>
  </si>
  <si>
    <t>家长想让孩子学难度更高的课程 确定转到六级班
原班级编码：WYF26001 转至WYS26001</t>
  </si>
  <si>
    <t>黄智超1</t>
  </si>
  <si>
    <t>已转班</t>
  </si>
  <si>
    <t>2025/12/14</t>
  </si>
  <si>
    <t>孩子一共报名6小时 上了4小时 剩余2小时不需要了 但是确定上六级 家长想着六级不一定选择这个老师和定制老师，计划先清算这个2小时退费，等选好了六级老师，再交钱在报名</t>
  </si>
  <si>
    <t>12.19微信退2600————————
未办理：群内无审核记录（12.19）@徐岩91 (徐岩)————————
12.17未办理，群内无记录
[图片]
未办理：群里未查到顾问+学管的挽单记录（12.16）
未办理：群里未查到顾问+学管的挽单记录（12.15）</t>
  </si>
  <si>
    <t>学员李加亦，孩子11.28续费了52小时，晚上跟孩子爸爸商量之后又决定不续费了，打算退了，先把目前的课时上完，后面要是需要再说，已经同步给家长新东方有雅思考研大学四六级课程，家长还是想先退了学员李加亦，孩子11.28续费了52小时，晚上跟孩子爸爸商量之后又决定不续费了，打算退了，先把目前的课时上完，后面要是需要再说，已经同步给家长新东方有雅思考研大学四六级课程，家长还是想先退了</t>
  </si>
  <si>
    <t>李加亦</t>
  </si>
  <si>
    <t>BJWY1362662123</t>
  </si>
  <si>
    <t>12.23退款成功。
12.22已短信确认/退款中
12.21短信重发，学生短信未确认，辛苦老师提醒@徐岩91 (徐岩)
12.20学生短信未确认，辛苦老师提醒@徐岩91 (徐岩)
12.19转手工47400，待学员短信进行退费确认@徐岩91 (徐岩)————————
账户名称:济南华捷仪器仪表有限公司
开户行: 招商银行济南开元支行
账号:531906647610778
12.18需要手工退款，请提供圈出来的银行卡信息@徐岩91 (徐岩)
12.17需要手工退款，请提供圈出来的银行卡信息@徐岩91 (徐岩)
[图片]
未办理：群里未查到顾问的挽单记录（12.16）@徐岩91 (徐岩)
未办理：群里未查到顾问的挽单记录（12.15）@徐岩91 (徐岩)</t>
  </si>
  <si>
    <t>家长觉得老师不适合孩子 一开始老师也是家长自己选的 中途沟通过觉得还是不合适 换了老师也觉得还是不行 没有达到他心里的预期 也不学其他的课程 坚持退费 特殊退费说明：学员当时提出退费，经过挽单，领导说给免费安排一节李萍老师课程，因为已经排进系统且无法解锁，所以申请特殊退费~ 学员一共报名80小时，实际消耗22小时，但当时最后一节课应该是免费给上的，所以要申请按照消耗20小时计算，特申请特殊退费，已经申请领导同意</t>
  </si>
  <si>
    <t>冯俊扬</t>
  </si>
  <si>
    <t>BJWY1851952720</t>
  </si>
  <si>
    <t>12.23退款成功。
12.22已短信确认/退款中
12.20短信已确认，退款中
12.20提现退52000，提醒学员进行退费短信确认@徐岩91 (徐岩)————————
*开户行: 工商银行
*开户行支行: 北京菜市口支行
*卡号:9558800200115958080
*姓名: 冯俊扬
12.18请提供户名@徐岩91 (徐岩)
12.17请提供户名@徐岩91 (徐岩)
[图片]
暂退至学员账户，提供原汇款银行卡信息@徐岩91 (徐岩)
[图片]</t>
  </si>
  <si>
    <t>2025/12/15</t>
  </si>
  <si>
    <t>找到工作</t>
  </si>
  <si>
    <t>开课后退费】报名班级WYF25046 ，2025-12-2号提出退费消耗4课次,退费原因学员不考四级，备考学位英语不需要听力，报名前已沟通</t>
  </si>
  <si>
    <t>在职</t>
  </si>
  <si>
    <t>张鑫烨</t>
  </si>
  <si>
    <t>BJWY2188272707</t>
  </si>
  <si>
    <t>12.19退款完成——————
12.18已短信确认，退款中————————————————————
12.17业务群里发送提现申请，待短信确认
暂退至学员账户，原支付方式为现金，需要提供本人银行卡信息转手工退费@边鑫博
[图片]
未办理：顾问+学管挽单记录不符合要求（12.15）@黄智超1 (黄智超)@边鑫博
[图片]</t>
  </si>
  <si>
    <t>媒体/线上投放</t>
  </si>
  <si>
    <t>WYF26001，未开课，消耗0课时学员改变主意要报集训营的课，转班有差价需要退出在入班。未退费</t>
  </si>
  <si>
    <t>退账户6180</t>
  </si>
  <si>
    <t>2025/12/16</t>
  </si>
  <si>
    <t>顾问转介绍-老带新</t>
  </si>
  <si>
    <t>放假晚转二期</t>
  </si>
  <si>
    <t>12.16已转班</t>
  </si>
  <si>
    <t>放假晚，上二期课</t>
  </si>
  <si>
    <t>老学员续费</t>
  </si>
  <si>
    <t>放假晚，转二期</t>
  </si>
  <si>
    <t>放假晚，转二期班</t>
  </si>
  <si>
    <t>2025/12/17</t>
  </si>
  <si>
    <t>由四级寒假小班转入至六级小班二期
WYF26002转至WYS26004</t>
  </si>
  <si>
    <t>2025/12/22</t>
  </si>
  <si>
    <t>NO.2025122000561</t>
  </si>
  <si>
    <t>12月18号报名高数课程，指定女老师，但家长未提前和孩子商量沟通，晚上和孩子沟通后才得知，孩子已经在学校内找到一位学姐补课，且效果不错，所以申请退费，目前四六级和考研都不需要，不保留课时</t>
  </si>
  <si>
    <t>郭宣</t>
  </si>
  <si>
    <t>BJWY4466093680</t>
  </si>
  <si>
    <t>12.27  原路径退还1800 ，微信退还，已退款
未办理，oa未到客服（12.26）
12.25 未办理，oa未到客服
[图片]
12.24未办理：OA未到客服
未办理：OA未到客服（12.23）
未办理：OA未到客服（12.22）</t>
  </si>
  <si>
    <t>2025/12/23</t>
  </si>
  <si>
    <t>学生时间不合适，需要转班到晚开班的班级</t>
  </si>
  <si>
    <t>刘艾琛爸爸想要孩子年前就学习完，报名的时候一期班已经满班，现在有学生转到二期空出名额，申请从27号上课的四级精英计划二期班WYF26004转入到19号四级精英计划WYF26002一期班</t>
  </si>
  <si>
    <t>刘艾琛</t>
  </si>
  <si>
    <t>学生寒假没有时间，需要转到春季班</t>
  </si>
  <si>
    <t>2025/12/25</t>
  </si>
  <si>
    <t>已转班</t>
  </si>
  <si>
    <t>寒假没时间转春季班</t>
  </si>
  <si>
    <t>寒假没时间转春季</t>
  </si>
  <si>
    <t>寒假没时间转到春季</t>
  </si>
  <si>
    <t>2025/12/29</t>
  </si>
  <si>
    <t>个人身体原因无法承受高强度学习</t>
  </si>
  <si>
    <t>WYF25042，开课后退费，消耗20课次学员暑假已经上过一期小班课，开学之后学校里事情非常多，本来想再跟一期大班课保持学习，但是实在兼顾不了，剩余的课次申请先退掉。引导转去数学课学习.学费退到学员账户</t>
  </si>
  <si>
    <t>天津科技大学</t>
  </si>
  <si>
    <t>计算机科学</t>
  </si>
  <si>
    <t>张继中</t>
  </si>
  <si>
    <t>BJWY2473867563</t>
  </si>
  <si>
    <t>2025/12/30</t>
  </si>
  <si>
    <t>【开课前退费】报名班级WYS26002，2025-12-22号提出退费消耗0课次,退费原因孩子明年6月四级考试 想要暑假学习六级课程 告知课程可以转班 家长觉得周期太长先退费 已告知优惠 家长知晓【有希望回流】</t>
  </si>
  <si>
    <t>刘畅</t>
  </si>
  <si>
    <t>BJWY6608411312</t>
  </si>
  <si>
    <t>微信退回</t>
  </si>
  <si>
    <t>学生想直接学习六级准备四级</t>
  </si>
  <si>
    <t>学生时间不合适，申请转班</t>
  </si>
  <si>
    <t>2025/12/31</t>
  </si>
  <si>
    <t>罗志勇1</t>
  </si>
  <si>
    <t>中心原因_开课前</t>
  </si>
  <si>
    <t>退出重报（取消班/合班/延转/选班/扩科等）</t>
  </si>
  <si>
    <t>开课前退费】学生刘筱汤米，为了更好效果，退出班课，续费转入1v1.</t>
  </si>
  <si>
    <t>孩子实在是没时间学习一对一，之前又报了大班课，孩子学校事物多，没时间学习，所以就想看大班课回放自己复习复习，已经劝说很多次了，也说过考研或者等考试出成绩再退费，家长说到时候在说吧，坚持退费～。</t>
  </si>
  <si>
    <t>重庆师范大学</t>
  </si>
  <si>
    <t>化学学院</t>
  </si>
  <si>
    <t>化学</t>
  </si>
  <si>
    <t>于芯懿</t>
  </si>
  <si>
    <t>BJWY0648546751</t>
  </si>
  <si>
    <t>国内顾问业绩汇总（9月）</t>
  </si>
  <si>
    <t>国内顾问业绩汇总（Q2）</t>
  </si>
  <si>
    <t>手动加</t>
  </si>
  <si>
    <t>季度目标</t>
  </si>
  <si>
    <t>刘文君</t>
  </si>
  <si>
    <t>月度</t>
  </si>
  <si>
    <t>顾问团队现金目标</t>
  </si>
  <si>
    <t>顾问团队实际完成</t>
  </si>
  <si>
    <t>现金完成率</t>
  </si>
  <si>
    <t>9月</t>
  </si>
  <si>
    <t>国内顾问业绩汇总（10月）</t>
  </si>
  <si>
    <t>10月</t>
  </si>
  <si>
    <t>Q2现金</t>
  </si>
  <si>
    <t>汇总</t>
  </si>
  <si>
    <t>Q2转介绍业绩</t>
  </si>
  <si>
    <t>转介绍现金目标</t>
  </si>
  <si>
    <t>转介绍实际完成</t>
  </si>
  <si>
    <t>Q2签约率</t>
  </si>
  <si>
    <t>新增工单量</t>
  </si>
  <si>
    <t>新增签约量</t>
  </si>
  <si>
    <t>新增资源签约率</t>
  </si>
  <si>
    <t>指标</t>
  </si>
  <si>
    <t>占比</t>
  </si>
  <si>
    <t>实际完成</t>
  </si>
  <si>
    <t>现金</t>
  </si>
  <si>
    <t>签约率</t>
  </si>
  <si>
    <t>转介绍业绩</t>
  </si>
  <si>
    <t>刘文君</t>
    <phoneticPr fontId="1" type="noConversion"/>
  </si>
  <si>
    <t>销售主管</t>
    <phoneticPr fontId="1" type="noConversion"/>
  </si>
  <si>
    <t>季度绩效</t>
    <phoneticPr fontId="1" type="noConversion"/>
  </si>
  <si>
    <t>人力：更正为1700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</si>
</sst>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￥&quot;#,##0.00;[Red]&quot;￥&quot;\-#,##0.00"/>
    <numFmt numFmtId="177" formatCode="0_ "/>
    <numFmt numFmtId="178" formatCode="0.00_ "/>
    <numFmt numFmtId="179" formatCode="0.0%"/>
    <numFmt numFmtId="180" formatCode="0_);[Red]\(0\)"/>
  </numFmts>
  <fonts count="5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2"/>
      <color rgb="FF000000"/>
      <name val="微软雅黑"/>
      <family val="2"/>
      <charset val="134"/>
    </font>
    <font>
      <sz val="11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rgb="FFFFFFFF"/>
      <name val="微软雅黑"/>
      <family val="2"/>
      <charset val="134"/>
    </font>
    <font>
      <sz val="10"/>
      <color rgb="FF000000"/>
      <name val="等线"/>
      <family val="4"/>
      <charset val="134"/>
    </font>
    <font>
      <sz val="10"/>
      <color rgb="FF000000"/>
      <name val="Microsoft YaHei"/>
      <family val="2"/>
      <charset val="134"/>
    </font>
    <font>
      <sz val="9"/>
      <color rgb="FF000000"/>
      <name val="宋体"/>
      <family val="3"/>
      <charset val="134"/>
    </font>
    <font>
      <b/>
      <sz val="10"/>
      <color rgb="FF000000"/>
      <name val="等线"/>
      <family val="4"/>
      <charset val="134"/>
    </font>
    <font>
      <sz val="12"/>
      <color rgb="FFFFFFFF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C55F10"/>
      <name val="微软雅黑"/>
      <family val="2"/>
      <charset val="134"/>
    </font>
    <font>
      <b/>
      <sz val="10"/>
      <color rgb="FFC55F1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0"/>
      <name val="等线"/>
      <family val="4"/>
      <charset val="134"/>
    </font>
    <font>
      <u/>
      <sz val="12"/>
      <color theme="10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rgb="FF016C5E"/>
      </patternFill>
    </fill>
    <fill>
      <patternFill patternType="solid">
        <fgColor rgb="FFFBE5D6"/>
      </patternFill>
    </fill>
    <fill>
      <patternFill patternType="solid">
        <fgColor rgb="FFDAE3F3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CCCCFF"/>
      </patternFill>
    </fill>
    <fill>
      <patternFill patternType="solid">
        <fgColor rgb="FF006E5E"/>
      </patternFill>
    </fill>
    <fill>
      <patternFill patternType="solid">
        <fgColor rgb="FF00B050"/>
      </patternFill>
    </fill>
    <fill>
      <patternFill patternType="solid">
        <fgColor rgb="FFB0D580"/>
      </patternFill>
    </fill>
    <fill>
      <patternFill patternType="solid">
        <fgColor rgb="FFF4B382"/>
      </patternFill>
    </fill>
    <fill>
      <patternFill patternType="solid">
        <fgColor rgb="FFF4B482"/>
      </patternFill>
    </fill>
    <fill>
      <patternFill patternType="solid">
        <fgColor rgb="FF006C5D"/>
      </patternFill>
    </fill>
    <fill>
      <patternFill patternType="solid">
        <fgColor rgb="FF49C021"/>
      </patternFill>
    </fill>
    <fill>
      <patternFill patternType="solid">
        <fgColor rgb="FFF4B183"/>
      </patternFill>
    </fill>
    <fill>
      <patternFill patternType="solid">
        <fgColor rgb="FF00B0F0"/>
      </patternFill>
    </fill>
    <fill>
      <patternFill patternType="solid">
        <fgColor rgb="FFE54C5E"/>
      </patternFill>
    </fill>
    <fill>
      <patternFill patternType="solid">
        <fgColor rgb="FFEE822F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9" fontId="5" fillId="5" borderId="8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" fontId="6" fillId="5" borderId="10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11" fillId="8" borderId="10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>
      <alignment vertical="center"/>
    </xf>
    <xf numFmtId="0" fontId="13" fillId="2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0" xfId="0" applyFont="1">
      <alignment vertical="center"/>
    </xf>
    <xf numFmtId="9" fontId="9" fillId="11" borderId="10" xfId="0" applyNumberFormat="1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6" fillId="13" borderId="0" xfId="0" applyFont="1" applyFill="1">
      <alignment vertical="center"/>
    </xf>
    <xf numFmtId="9" fontId="9" fillId="13" borderId="10" xfId="0" applyNumberFormat="1" applyFont="1" applyFill="1" applyBorder="1" applyAlignment="1">
      <alignment horizontal="center" vertical="center"/>
    </xf>
    <xf numFmtId="9" fontId="5" fillId="14" borderId="10" xfId="0" applyNumberFormat="1" applyFont="1" applyFill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8" fillId="15" borderId="10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20" fillId="15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 vertical="center"/>
    </xf>
    <xf numFmtId="177" fontId="21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9" fontId="21" fillId="0" borderId="10" xfId="0" applyNumberFormat="1" applyFont="1" applyBorder="1" applyAlignment="1">
      <alignment horizontal="center" vertical="center"/>
    </xf>
    <xf numFmtId="1" fontId="21" fillId="16" borderId="10" xfId="0" applyNumberFormat="1" applyFont="1" applyFill="1" applyBorder="1" applyAlignment="1">
      <alignment horizontal="center" vertical="center"/>
    </xf>
    <xf numFmtId="9" fontId="21" fillId="16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16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78" fontId="21" fillId="0" borderId="10" xfId="0" applyNumberFormat="1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0" xfId="0" applyFont="1" applyBorder="1">
      <alignment vertical="center"/>
    </xf>
    <xf numFmtId="0" fontId="5" fillId="2" borderId="8" xfId="0" applyFont="1" applyFill="1" applyBorder="1">
      <alignment vertical="center"/>
    </xf>
    <xf numFmtId="10" fontId="5" fillId="2" borderId="10" xfId="0" applyNumberFormat="1" applyFont="1" applyFill="1" applyBorder="1" applyAlignment="1">
      <alignment horizontal="center" vertical="center"/>
    </xf>
    <xf numFmtId="10" fontId="5" fillId="2" borderId="8" xfId="0" applyNumberFormat="1" applyFont="1" applyFill="1" applyBorder="1" applyAlignment="1">
      <alignment horizontal="center" vertical="center"/>
    </xf>
    <xf numFmtId="10" fontId="5" fillId="19" borderId="8" xfId="0" applyNumberFormat="1" applyFont="1" applyFill="1" applyBorder="1" applyAlignment="1">
      <alignment horizontal="center" vertical="center"/>
    </xf>
    <xf numFmtId="10" fontId="5" fillId="19" borderId="0" xfId="0" applyNumberFormat="1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179" fontId="9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22" fillId="0" borderId="11" xfId="0" applyNumberFormat="1" applyFont="1" applyBorder="1" applyAlignment="1">
      <alignment horizontal="center" vertical="center"/>
    </xf>
    <xf numFmtId="177" fontId="23" fillId="0" borderId="10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 wrapText="1"/>
    </xf>
    <xf numFmtId="177" fontId="9" fillId="7" borderId="10" xfId="0" applyNumberFormat="1" applyFont="1" applyFill="1" applyBorder="1" applyAlignment="1">
      <alignment horizontal="center" vertical="center"/>
    </xf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4" fillId="0" borderId="0" xfId="0" applyFont="1">
      <alignment vertical="center"/>
    </xf>
    <xf numFmtId="0" fontId="21" fillId="21" borderId="10" xfId="0" applyFont="1" applyFill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/>
    </xf>
    <xf numFmtId="180" fontId="21" fillId="0" borderId="10" xfId="0" applyNumberFormat="1" applyFont="1" applyBorder="1" applyAlignment="1">
      <alignment horizontal="center" vertical="center"/>
    </xf>
    <xf numFmtId="0" fontId="21" fillId="0" borderId="10" xfId="0" quotePrefix="1" applyFont="1" applyBorder="1" applyAlignment="1">
      <alignment horizontal="center" vertical="center"/>
    </xf>
    <xf numFmtId="9" fontId="25" fillId="0" borderId="0" xfId="0" applyNumberFormat="1" applyFont="1">
      <alignment vertical="center"/>
    </xf>
    <xf numFmtId="0" fontId="25" fillId="0" borderId="0" xfId="0" applyFont="1">
      <alignment vertical="center"/>
    </xf>
    <xf numFmtId="0" fontId="25" fillId="0" borderId="10" xfId="0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9" fontId="25" fillId="0" borderId="10" xfId="0" applyNumberFormat="1" applyFont="1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 vertical="center"/>
    </xf>
    <xf numFmtId="177" fontId="27" fillId="0" borderId="10" xfId="0" applyNumberFormat="1" applyFont="1" applyBorder="1" applyAlignment="1">
      <alignment horizontal="center" vertical="center"/>
    </xf>
    <xf numFmtId="177" fontId="28" fillId="0" borderId="10" xfId="0" applyNumberFormat="1" applyFont="1" applyBorder="1" applyAlignment="1">
      <alignment horizontal="center" vertical="center"/>
    </xf>
    <xf numFmtId="177" fontId="29" fillId="0" borderId="10" xfId="0" applyNumberFormat="1" applyFont="1" applyBorder="1" applyAlignment="1">
      <alignment horizontal="center" vertical="center"/>
    </xf>
    <xf numFmtId="177" fontId="30" fillId="0" borderId="10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4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8" fillId="15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9" fontId="9" fillId="12" borderId="10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3" fillId="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25" fillId="0" borderId="2" xfId="0" applyFont="1" applyBorder="1">
      <alignment vertical="center"/>
    </xf>
    <xf numFmtId="0" fontId="21" fillId="22" borderId="10" xfId="0" applyFont="1" applyFill="1" applyBorder="1" applyAlignment="1">
      <alignment horizontal="center" vertical="center"/>
    </xf>
    <xf numFmtId="178" fontId="21" fillId="22" borderId="10" xfId="0" applyNumberFormat="1" applyFont="1" applyFill="1" applyBorder="1" applyAlignment="1">
      <alignment horizontal="center" vertical="center"/>
    </xf>
    <xf numFmtId="0" fontId="21" fillId="22" borderId="10" xfId="0" quotePrefix="1" applyFont="1" applyFill="1" applyBorder="1" applyAlignment="1">
      <alignment horizontal="center" vertical="center"/>
    </xf>
    <xf numFmtId="1" fontId="21" fillId="22" borderId="10" xfId="0" applyNumberFormat="1" applyFont="1" applyFill="1" applyBorder="1" applyAlignment="1">
      <alignment horizontal="center" vertical="center"/>
    </xf>
    <xf numFmtId="0" fontId="21" fillId="22" borderId="10" xfId="0" applyFont="1" applyFill="1" applyBorder="1" applyAlignment="1">
      <alignment horizontal="left"/>
    </xf>
    <xf numFmtId="0" fontId="24" fillId="22" borderId="0" xfId="0" applyFont="1" applyFill="1">
      <alignment vertical="center"/>
    </xf>
    <xf numFmtId="0" fontId="0" fillId="2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5814655" cy="77152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1600"/>
          <a:ext cx="25814655" cy="7715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25890220" cy="110490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54640"/>
          <a:ext cx="25890220" cy="1104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25629870" cy="165735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48160"/>
          <a:ext cx="25629870" cy="16573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48</xdr:row>
      <xdr:rowOff>0</xdr:rowOff>
    </xdr:from>
    <xdr:ext cx="17059275" cy="37909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104775</xdr:rowOff>
    </xdr:from>
    <xdr:ext cx="16900071" cy="328612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4"/>
  <sheetViews>
    <sheetView tabSelected="1" topLeftCell="E1" workbookViewId="0">
      <selection activeCell="I11" sqref="I11"/>
    </sheetView>
  </sheetViews>
  <sheetFormatPr defaultColWidth="9.1796875" defaultRowHeight="17.55" customHeight="1"/>
  <cols>
    <col min="1" max="1" width="12.453125" style="70" customWidth="1"/>
    <col min="2" max="3" width="15.81640625" style="70" customWidth="1"/>
    <col min="4" max="4" width="13.453125" style="70" customWidth="1"/>
    <col min="5" max="5" width="17.453125" style="70" customWidth="1"/>
    <col min="6" max="6" width="20.1796875" style="70" customWidth="1"/>
    <col min="7" max="7" width="16.6328125" style="70" customWidth="1"/>
    <col min="8" max="8" width="14.81640625" style="71" customWidth="1"/>
    <col min="9" max="9" width="90.81640625" style="71" customWidth="1"/>
    <col min="10" max="40" width="9.1796875" style="72"/>
  </cols>
  <sheetData>
    <row r="1" spans="1:40" ht="17.55" customHeight="1">
      <c r="A1" s="113" t="s">
        <v>0</v>
      </c>
      <c r="B1" s="113"/>
      <c r="C1" s="113"/>
      <c r="D1" s="113"/>
      <c r="E1" s="113"/>
      <c r="F1" s="113"/>
      <c r="G1" s="113"/>
      <c r="H1" s="113"/>
    </row>
    <row r="2" spans="1:40" ht="17.55" customHeight="1">
      <c r="A2" s="73" t="s">
        <v>1</v>
      </c>
      <c r="B2" s="73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73" t="s">
        <v>7</v>
      </c>
      <c r="H2" s="73" t="s">
        <v>8</v>
      </c>
      <c r="I2" s="73" t="s">
        <v>9</v>
      </c>
    </row>
    <row r="3" spans="1:40" s="163" customFormat="1" ht="17.55" customHeight="1">
      <c r="A3" s="157">
        <v>1</v>
      </c>
      <c r="B3" s="157" t="s">
        <v>10</v>
      </c>
      <c r="C3" s="158">
        <v>2026.12</v>
      </c>
      <c r="D3" s="159" t="s">
        <v>11</v>
      </c>
      <c r="E3" s="157" t="s">
        <v>12</v>
      </c>
      <c r="F3" s="157" t="s">
        <v>13</v>
      </c>
      <c r="G3" s="157" t="s">
        <v>14</v>
      </c>
      <c r="H3" s="160">
        <v>2000</v>
      </c>
      <c r="I3" s="161" t="s">
        <v>1990</v>
      </c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</row>
    <row r="4" spans="1:40" ht="17.55" customHeight="1">
      <c r="A4" s="39">
        <v>2</v>
      </c>
      <c r="B4" s="39" t="s">
        <v>10</v>
      </c>
      <c r="C4" s="74">
        <v>2026.12</v>
      </c>
      <c r="D4" s="77" t="s">
        <v>11</v>
      </c>
      <c r="E4" s="39" t="s">
        <v>12</v>
      </c>
      <c r="F4" s="39" t="s">
        <v>13</v>
      </c>
      <c r="G4" s="39" t="s">
        <v>15</v>
      </c>
      <c r="H4" s="46">
        <v>28110.6175</v>
      </c>
      <c r="I4" s="75"/>
    </row>
    <row r="5" spans="1:40" ht="17.55" customHeight="1">
      <c r="A5" s="39">
        <v>3</v>
      </c>
      <c r="B5" s="39" t="s">
        <v>10</v>
      </c>
      <c r="C5" s="74">
        <v>2026.12</v>
      </c>
      <c r="D5" s="77" t="s">
        <v>11</v>
      </c>
      <c r="E5" s="39" t="s">
        <v>12</v>
      </c>
      <c r="F5" s="39" t="s">
        <v>13</v>
      </c>
      <c r="G5" s="39" t="s">
        <v>16</v>
      </c>
      <c r="H5" s="46">
        <v>2000</v>
      </c>
      <c r="I5" s="75" t="s">
        <v>17</v>
      </c>
    </row>
    <row r="6" spans="1:40" ht="17.55" customHeight="1">
      <c r="A6" s="39">
        <v>4</v>
      </c>
      <c r="B6" s="39" t="s">
        <v>10</v>
      </c>
      <c r="C6" s="74">
        <v>2026.12</v>
      </c>
      <c r="D6" s="77" t="s">
        <v>11</v>
      </c>
      <c r="E6" s="39" t="s">
        <v>12</v>
      </c>
      <c r="F6" s="39" t="s">
        <v>13</v>
      </c>
      <c r="G6" s="39" t="s">
        <v>18</v>
      </c>
      <c r="H6" s="46">
        <v>8000</v>
      </c>
      <c r="I6" s="75"/>
    </row>
    <row r="7" spans="1:40" ht="17.55" customHeight="1">
      <c r="A7" s="39">
        <v>5</v>
      </c>
      <c r="B7" s="39" t="s">
        <v>10</v>
      </c>
      <c r="C7" s="74">
        <v>2026.12</v>
      </c>
      <c r="D7" s="39">
        <v>594606</v>
      </c>
      <c r="E7" s="39" t="s">
        <v>19</v>
      </c>
      <c r="F7" s="39" t="s">
        <v>13</v>
      </c>
      <c r="G7" s="39" t="s">
        <v>14</v>
      </c>
      <c r="H7" s="46">
        <v>1640</v>
      </c>
      <c r="I7" s="75"/>
    </row>
    <row r="8" spans="1:40" ht="17.55" customHeight="1">
      <c r="A8" s="39">
        <v>6</v>
      </c>
      <c r="B8" s="39" t="s">
        <v>10</v>
      </c>
      <c r="C8" s="74">
        <v>2026.12</v>
      </c>
      <c r="D8" s="39">
        <v>594606</v>
      </c>
      <c r="E8" s="39" t="s">
        <v>19</v>
      </c>
      <c r="F8" s="39" t="s">
        <v>13</v>
      </c>
      <c r="G8" s="39" t="s">
        <v>15</v>
      </c>
      <c r="H8" s="46">
        <v>4515.4087</v>
      </c>
      <c r="I8" s="75"/>
    </row>
    <row r="9" spans="1:40" ht="17.55" customHeight="1">
      <c r="A9" s="39">
        <v>7</v>
      </c>
      <c r="B9" s="39" t="s">
        <v>10</v>
      </c>
      <c r="C9" s="74">
        <v>2026.12</v>
      </c>
      <c r="D9" s="39">
        <v>594606</v>
      </c>
      <c r="E9" s="39" t="s">
        <v>19</v>
      </c>
      <c r="F9" s="39" t="s">
        <v>13</v>
      </c>
      <c r="G9" s="39" t="s">
        <v>16</v>
      </c>
      <c r="H9" s="46">
        <v>2000</v>
      </c>
      <c r="I9" s="75" t="s">
        <v>17</v>
      </c>
    </row>
    <row r="10" spans="1:40" ht="17.55" customHeight="1">
      <c r="A10" s="39">
        <v>8</v>
      </c>
      <c r="B10" s="39" t="s">
        <v>10</v>
      </c>
      <c r="C10" s="74">
        <v>2026.12</v>
      </c>
      <c r="D10" s="39">
        <v>608630</v>
      </c>
      <c r="E10" s="39" t="s">
        <v>20</v>
      </c>
      <c r="F10" s="39" t="s">
        <v>13</v>
      </c>
      <c r="G10" s="39" t="s">
        <v>14</v>
      </c>
      <c r="H10" s="46">
        <v>0</v>
      </c>
      <c r="I10" s="75"/>
    </row>
    <row r="11" spans="1:40" ht="17.55" customHeight="1">
      <c r="A11" s="39">
        <v>9</v>
      </c>
      <c r="B11" s="39" t="s">
        <v>10</v>
      </c>
      <c r="C11" s="74">
        <v>2026.12</v>
      </c>
      <c r="D11" s="39">
        <v>608630</v>
      </c>
      <c r="E11" s="39" t="s">
        <v>20</v>
      </c>
      <c r="F11" s="39" t="s">
        <v>13</v>
      </c>
      <c r="G11" s="39" t="s">
        <v>15</v>
      </c>
      <c r="H11" s="46">
        <v>1644.576</v>
      </c>
      <c r="I11" s="75"/>
    </row>
    <row r="12" spans="1:40" ht="17.55" customHeight="1">
      <c r="A12" s="39">
        <v>10</v>
      </c>
      <c r="B12" s="39" t="s">
        <v>10</v>
      </c>
      <c r="C12" s="74">
        <v>2026.12</v>
      </c>
      <c r="D12" s="39">
        <v>608630</v>
      </c>
      <c r="E12" s="39" t="s">
        <v>20</v>
      </c>
      <c r="F12" s="39" t="s">
        <v>13</v>
      </c>
      <c r="G12" s="39" t="s">
        <v>16</v>
      </c>
      <c r="H12" s="46">
        <v>2000</v>
      </c>
      <c r="I12" s="75" t="s">
        <v>17</v>
      </c>
    </row>
    <row r="13" spans="1:40" ht="17.55" customHeight="1">
      <c r="A13" s="39">
        <v>11</v>
      </c>
      <c r="B13" s="39" t="s">
        <v>10</v>
      </c>
      <c r="C13" s="74">
        <v>2026.12</v>
      </c>
      <c r="D13" s="39">
        <v>608617</v>
      </c>
      <c r="E13" s="39" t="s">
        <v>21</v>
      </c>
      <c r="F13" s="39" t="s">
        <v>13</v>
      </c>
      <c r="G13" s="39" t="s">
        <v>14</v>
      </c>
      <c r="H13" s="46">
        <v>0</v>
      </c>
      <c r="I13" s="75"/>
    </row>
    <row r="14" spans="1:40" ht="17.55" customHeight="1">
      <c r="A14" s="39">
        <v>12</v>
      </c>
      <c r="B14" s="39" t="s">
        <v>10</v>
      </c>
      <c r="C14" s="74">
        <v>2026.12</v>
      </c>
      <c r="D14" s="39">
        <v>608617</v>
      </c>
      <c r="E14" s="39" t="s">
        <v>21</v>
      </c>
      <c r="F14" s="39" t="s">
        <v>13</v>
      </c>
      <c r="G14" s="39" t="s">
        <v>15</v>
      </c>
      <c r="H14" s="46">
        <v>14874.12</v>
      </c>
      <c r="I14" s="75"/>
    </row>
    <row r="15" spans="1:40" ht="18.75" customHeight="1">
      <c r="A15" s="39">
        <v>13</v>
      </c>
      <c r="B15" s="39" t="s">
        <v>10</v>
      </c>
      <c r="C15" s="74">
        <v>2026.12</v>
      </c>
      <c r="D15" s="39">
        <v>608617</v>
      </c>
      <c r="E15" s="39" t="s">
        <v>21</v>
      </c>
      <c r="F15" s="39" t="s">
        <v>13</v>
      </c>
      <c r="G15" s="39" t="s">
        <v>16</v>
      </c>
      <c r="H15" s="46">
        <v>2000</v>
      </c>
      <c r="I15" s="75" t="s">
        <v>17</v>
      </c>
    </row>
    <row r="16" spans="1:40" ht="18.75" customHeight="1">
      <c r="A16" s="39">
        <v>14</v>
      </c>
      <c r="B16" s="39" t="s">
        <v>10</v>
      </c>
      <c r="C16" s="74">
        <v>2026.12</v>
      </c>
      <c r="D16" s="39">
        <v>608617</v>
      </c>
      <c r="E16" s="39" t="s">
        <v>21</v>
      </c>
      <c r="F16" s="39" t="s">
        <v>13</v>
      </c>
      <c r="G16" s="39" t="s">
        <v>18</v>
      </c>
      <c r="H16" s="46">
        <v>8000</v>
      </c>
      <c r="I16" s="75"/>
    </row>
    <row r="17" spans="1:9" ht="18.75" customHeight="1">
      <c r="A17" s="39">
        <v>15</v>
      </c>
      <c r="B17" s="39" t="s">
        <v>10</v>
      </c>
      <c r="C17" s="74">
        <v>2026.12</v>
      </c>
      <c r="D17" s="8">
        <v>343549</v>
      </c>
      <c r="E17" s="39" t="s">
        <v>22</v>
      </c>
      <c r="F17" s="39" t="s">
        <v>13</v>
      </c>
      <c r="G17" s="39" t="s">
        <v>18</v>
      </c>
      <c r="H17" s="46">
        <v>8000</v>
      </c>
      <c r="I17" s="75"/>
    </row>
    <row r="18" spans="1:9" ht="18.75" customHeight="1">
      <c r="A18" s="39">
        <v>16</v>
      </c>
      <c r="B18" s="39" t="s">
        <v>10</v>
      </c>
      <c r="C18" s="74">
        <v>2026.12</v>
      </c>
      <c r="D18" s="8">
        <v>343549</v>
      </c>
      <c r="E18" s="39" t="s">
        <v>22</v>
      </c>
      <c r="F18" s="39" t="s">
        <v>13</v>
      </c>
      <c r="G18" s="39" t="s">
        <v>14</v>
      </c>
      <c r="H18" s="46">
        <v>2000</v>
      </c>
      <c r="I18" s="75"/>
    </row>
    <row r="19" spans="1:9" ht="18.75" customHeight="1">
      <c r="A19" s="39">
        <v>17</v>
      </c>
      <c r="B19" s="39" t="s">
        <v>10</v>
      </c>
      <c r="C19" s="74">
        <v>2026.12</v>
      </c>
      <c r="D19" s="8">
        <v>343549</v>
      </c>
      <c r="E19" s="39" t="s">
        <v>22</v>
      </c>
      <c r="F19" s="39" t="s">
        <v>13</v>
      </c>
      <c r="G19" s="39" t="s">
        <v>15</v>
      </c>
      <c r="H19" s="46">
        <v>25944.587500000001</v>
      </c>
      <c r="I19" s="75"/>
    </row>
    <row r="20" spans="1:9" ht="18.75" customHeight="1">
      <c r="A20" s="39">
        <v>18</v>
      </c>
      <c r="B20" s="39" t="s">
        <v>10</v>
      </c>
      <c r="C20" s="74">
        <v>2026.12</v>
      </c>
      <c r="D20" s="8">
        <v>343549</v>
      </c>
      <c r="E20" s="39" t="s">
        <v>22</v>
      </c>
      <c r="F20" s="39" t="s">
        <v>13</v>
      </c>
      <c r="G20" s="39" t="s">
        <v>16</v>
      </c>
      <c r="H20" s="46">
        <v>2000</v>
      </c>
      <c r="I20" s="75" t="s">
        <v>17</v>
      </c>
    </row>
    <row r="21" spans="1:9" ht="18.75" customHeight="1">
      <c r="A21" s="39">
        <v>19</v>
      </c>
      <c r="B21" s="39" t="s">
        <v>10</v>
      </c>
      <c r="C21" s="74">
        <v>2026.12</v>
      </c>
      <c r="D21" s="8">
        <v>343549</v>
      </c>
      <c r="E21" s="39" t="s">
        <v>22</v>
      </c>
      <c r="F21" s="39" t="s">
        <v>13</v>
      </c>
      <c r="G21" s="39" t="s">
        <v>16</v>
      </c>
      <c r="H21" s="46">
        <v>1000</v>
      </c>
      <c r="I21" s="75" t="s">
        <v>23</v>
      </c>
    </row>
    <row r="22" spans="1:9" ht="18.75" customHeight="1">
      <c r="A22" s="39">
        <v>20</v>
      </c>
      <c r="B22" s="39" t="s">
        <v>10</v>
      </c>
      <c r="C22" s="74">
        <v>2026.12</v>
      </c>
      <c r="D22" s="8">
        <v>639094</v>
      </c>
      <c r="E22" s="39" t="s">
        <v>24</v>
      </c>
      <c r="F22" s="39" t="s">
        <v>13</v>
      </c>
      <c r="G22" s="39" t="s">
        <v>14</v>
      </c>
      <c r="H22" s="46">
        <v>1520</v>
      </c>
      <c r="I22" s="75"/>
    </row>
    <row r="23" spans="1:9" ht="18.75" customHeight="1">
      <c r="A23" s="39">
        <v>21</v>
      </c>
      <c r="B23" s="39" t="s">
        <v>10</v>
      </c>
      <c r="C23" s="74">
        <v>2026.12</v>
      </c>
      <c r="D23" s="8">
        <v>639094</v>
      </c>
      <c r="E23" s="39" t="s">
        <v>24</v>
      </c>
      <c r="F23" s="39" t="s">
        <v>13</v>
      </c>
      <c r="G23" s="39" t="s">
        <v>15</v>
      </c>
      <c r="H23" s="46">
        <v>9912.6880000000001</v>
      </c>
      <c r="I23" s="75"/>
    </row>
    <row r="24" spans="1:9" ht="18.75" customHeight="1">
      <c r="A24" s="39">
        <v>22</v>
      </c>
      <c r="B24" s="39" t="s">
        <v>10</v>
      </c>
      <c r="C24" s="74">
        <v>2026.12</v>
      </c>
      <c r="D24" s="8">
        <v>639094</v>
      </c>
      <c r="E24" s="39" t="s">
        <v>24</v>
      </c>
      <c r="F24" s="39" t="s">
        <v>13</v>
      </c>
      <c r="G24" s="39" t="s">
        <v>16</v>
      </c>
      <c r="H24" s="46">
        <v>2000</v>
      </c>
      <c r="I24" s="75" t="s">
        <v>17</v>
      </c>
    </row>
    <row r="25" spans="1:9" ht="17.55" customHeight="1">
      <c r="A25" s="39"/>
      <c r="B25" s="39" t="s">
        <v>10</v>
      </c>
      <c r="C25" s="74">
        <v>2026.12</v>
      </c>
      <c r="D25" s="39">
        <v>258756</v>
      </c>
      <c r="E25" s="39" t="s">
        <v>1987</v>
      </c>
      <c r="F25" s="39" t="s">
        <v>1988</v>
      </c>
      <c r="G25" s="39" t="s">
        <v>1989</v>
      </c>
      <c r="H25" s="76">
        <v>6133</v>
      </c>
      <c r="I25" s="75"/>
    </row>
    <row r="26" spans="1:9" ht="17.55" customHeight="1">
      <c r="A26" s="39"/>
      <c r="B26" s="39" t="s">
        <v>10</v>
      </c>
      <c r="C26" s="74">
        <v>2026.12</v>
      </c>
      <c r="D26" s="114" t="s">
        <v>25</v>
      </c>
      <c r="E26" s="115"/>
      <c r="F26" s="115"/>
      <c r="G26" s="116"/>
      <c r="H26" s="76">
        <f>SUM(H3:H25)</f>
        <v>135294.99770000001</v>
      </c>
      <c r="I26" s="75"/>
    </row>
    <row r="28" spans="1:9" ht="17.55" customHeight="1">
      <c r="A28" s="70" t="s">
        <v>9</v>
      </c>
    </row>
    <row r="29" spans="1:9" ht="17.55" customHeight="1">
      <c r="A29" s="70" t="s">
        <v>26</v>
      </c>
    </row>
    <row r="31" spans="1:9" ht="17.55" customHeight="1">
      <c r="I31" s="70"/>
    </row>
    <row r="32" spans="1:9" ht="17.55" customHeight="1">
      <c r="I32" s="70"/>
    </row>
    <row r="33" spans="9:9" ht="17.55" customHeight="1">
      <c r="I33" s="70"/>
    </row>
    <row r="34" spans="9:9" ht="17.55" customHeight="1">
      <c r="I34" s="70"/>
    </row>
  </sheetData>
  <mergeCells count="2">
    <mergeCell ref="A1:H1"/>
    <mergeCell ref="D26:G26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workbookViewId="0">
      <pane xSplit="3" topLeftCell="D1" activePane="topRight" state="frozen"/>
      <selection pane="topRight" sqref="A1:H1"/>
    </sheetView>
  </sheetViews>
  <sheetFormatPr defaultColWidth="9.1796875" defaultRowHeight="16.8" customHeight="1"/>
  <cols>
    <col min="4" max="4" width="10.453125" style="18"/>
    <col min="5" max="5" width="12.453125" style="18" customWidth="1"/>
    <col min="6" max="6" width="16.81640625" style="18" customWidth="1"/>
    <col min="7" max="7" width="24.81640625" style="18" customWidth="1"/>
    <col min="8" max="9" width="21.1796875" style="18" customWidth="1"/>
    <col min="10" max="10" width="18.6328125" style="20" customWidth="1"/>
    <col min="11" max="13" width="17.81640625" style="20" customWidth="1"/>
    <col min="14" max="14" width="23.453125" style="20" customWidth="1"/>
    <col min="15" max="18" width="23.81640625" style="20" customWidth="1"/>
    <col min="19" max="19" width="25.1796875" style="20" customWidth="1"/>
    <col min="20" max="21" width="18.36328125" style="20" customWidth="1"/>
    <col min="22" max="22" width="28.453125" style="20" customWidth="1"/>
    <col min="23" max="24" width="18.36328125" style="20" customWidth="1"/>
    <col min="25" max="25" width="18.6328125" style="20" customWidth="1"/>
  </cols>
  <sheetData>
    <row r="1" spans="1:25" ht="16.8" customHeight="1">
      <c r="A1" s="130" t="s">
        <v>27</v>
      </c>
      <c r="B1" s="131"/>
      <c r="C1" s="131"/>
      <c r="D1" s="131"/>
      <c r="E1" s="131"/>
      <c r="F1" s="131"/>
      <c r="G1" s="131"/>
      <c r="H1" s="132"/>
      <c r="I1" s="51"/>
      <c r="J1" s="52"/>
      <c r="K1" s="52"/>
      <c r="L1" s="52"/>
      <c r="M1" s="52"/>
      <c r="N1" s="52"/>
      <c r="O1" s="52"/>
      <c r="P1" s="52"/>
      <c r="Q1" s="52"/>
      <c r="R1" s="52"/>
      <c r="S1" s="53"/>
      <c r="T1" s="53"/>
      <c r="U1" s="53"/>
      <c r="V1" s="53"/>
      <c r="W1" s="53"/>
      <c r="X1" s="53"/>
      <c r="Y1" s="53"/>
    </row>
    <row r="2" spans="1:25" ht="16.8" customHeight="1">
      <c r="A2" s="138" t="s">
        <v>28</v>
      </c>
      <c r="B2" s="138" t="s">
        <v>29</v>
      </c>
      <c r="C2" s="129" t="s">
        <v>30</v>
      </c>
      <c r="D2" s="126" t="s">
        <v>31</v>
      </c>
      <c r="E2" s="127"/>
      <c r="F2" s="127"/>
      <c r="G2" s="127"/>
      <c r="H2" s="128"/>
      <c r="I2" s="133" t="s">
        <v>32</v>
      </c>
      <c r="J2" s="133"/>
      <c r="K2" s="133"/>
      <c r="L2" s="133"/>
      <c r="M2" s="133"/>
      <c r="N2" s="133"/>
      <c r="O2" s="133"/>
      <c r="P2" s="133"/>
      <c r="Q2" s="133"/>
      <c r="R2" s="134"/>
      <c r="S2" s="135" t="s">
        <v>33</v>
      </c>
      <c r="T2" s="136"/>
      <c r="U2" s="137"/>
      <c r="V2" s="123" t="s">
        <v>34</v>
      </c>
      <c r="W2" s="124"/>
      <c r="X2" s="125"/>
      <c r="Y2" s="54"/>
    </row>
    <row r="3" spans="1:25" ht="16.8" customHeight="1">
      <c r="A3" s="139"/>
      <c r="B3" s="139"/>
      <c r="C3" s="129"/>
      <c r="D3" s="2" t="s">
        <v>35</v>
      </c>
      <c r="E3" s="3" t="s">
        <v>36</v>
      </c>
      <c r="F3" s="3" t="s">
        <v>37</v>
      </c>
      <c r="G3" s="5" t="s">
        <v>38</v>
      </c>
      <c r="H3" s="6" t="s">
        <v>39</v>
      </c>
      <c r="I3" s="55" t="s">
        <v>40</v>
      </c>
      <c r="J3" s="55" t="s">
        <v>41</v>
      </c>
      <c r="K3" s="55" t="s">
        <v>42</v>
      </c>
      <c r="L3" s="55" t="s">
        <v>43</v>
      </c>
      <c r="M3" s="55" t="s">
        <v>44</v>
      </c>
      <c r="N3" s="55" t="s">
        <v>45</v>
      </c>
      <c r="O3" s="55" t="s">
        <v>46</v>
      </c>
      <c r="P3" s="55" t="s">
        <v>47</v>
      </c>
      <c r="Q3" s="55" t="s">
        <v>48</v>
      </c>
      <c r="R3" s="55" t="s">
        <v>49</v>
      </c>
      <c r="S3" s="56" t="s">
        <v>50</v>
      </c>
      <c r="T3" s="56" t="s">
        <v>51</v>
      </c>
      <c r="U3" s="57" t="s">
        <v>52</v>
      </c>
      <c r="V3" s="54" t="s">
        <v>53</v>
      </c>
      <c r="W3" s="54" t="s">
        <v>51</v>
      </c>
      <c r="X3" s="58" t="s">
        <v>54</v>
      </c>
      <c r="Y3" s="59" t="s">
        <v>55</v>
      </c>
    </row>
    <row r="4" spans="1:25" ht="16.8" customHeight="1">
      <c r="A4" s="117" t="s">
        <v>56</v>
      </c>
      <c r="B4" s="118"/>
      <c r="C4" s="7" t="s">
        <v>12</v>
      </c>
      <c r="D4" s="27">
        <v>290000</v>
      </c>
      <c r="E4" s="28">
        <f>四六级进账!D3</f>
        <v>592469.15</v>
      </c>
      <c r="F4" s="11">
        <f>四六级进账!E3</f>
        <v>90192</v>
      </c>
      <c r="G4" s="11">
        <f t="shared" ref="G4:G9" si="0">E4-F4</f>
        <v>502277.15</v>
      </c>
      <c r="H4" s="10">
        <f t="shared" ref="H4:H10" si="1">G4/D4</f>
        <v>1.7319901724137932</v>
      </c>
      <c r="I4" s="11">
        <v>25000</v>
      </c>
      <c r="J4" s="60">
        <f t="shared" ref="J4:J9" si="2">K4+L4</f>
        <v>65920</v>
      </c>
      <c r="K4" s="61">
        <v>62800</v>
      </c>
      <c r="L4" s="60">
        <v>3120</v>
      </c>
      <c r="M4" s="10">
        <f t="shared" ref="M4:M9" si="3">L4/I4</f>
        <v>0.12479999999999999</v>
      </c>
      <c r="N4" s="62">
        <f>IF(ISNUMBER(IF(H4&gt;=150%,5%,IF(H4&gt;=120%,4%,IF(H4&gt;=100%,3%,IF(H4&gt;=80%,1.8%,IF(H4&gt;=70%,0.8%,"未达提点门槛")))))),IF(H4&gt;=150%,5%,IF(H4&gt;=120%,4%,IF(H4&gt;=100%,3%,IF(H4&gt;=80%,1.8%,IF(H4&gt;=70%,0.8%,"未达提点门槛")))))+IF(M4&gt;=100%,0.2%,IF(M4&lt;70%,-0.2%,0)),"未达提点门槛")</f>
        <v>4.8000000000000001E-2</v>
      </c>
      <c r="O4" s="60">
        <f>L4*N4</f>
        <v>149.76</v>
      </c>
      <c r="P4" s="62">
        <f t="shared" ref="P4:P9" si="4">IF(ISNUMBER(IF(H4&gt;=150%,5%,IF(H4&gt;=120%,4%,IF(H4&gt;=100%,3%,IF(H4&gt;=80%,1.8%,IF(H4&gt;=70%,0.8%,"未达提点门槛")))))),MIN(IF(H4&gt;=150%,5%,IF(H4&gt;=120%,4%,IF(H4&gt;=100%,3%,IF(H4&gt;=80%,1.8%,0.8%)))+IF(M4&gt;=100%,0.2%,IF(M4&lt;70%,-0.2%,0))),3%),"未达提点门槛")</f>
        <v>0.03</v>
      </c>
      <c r="Q4" s="63">
        <f>K4*P4</f>
        <v>1884</v>
      </c>
      <c r="R4" s="63">
        <f t="shared" ref="R4:R9" si="5">O4+Q4</f>
        <v>2033.76</v>
      </c>
      <c r="S4" s="60">
        <f t="shared" ref="S4:S9" si="6">G4-L4</f>
        <v>499157.15</v>
      </c>
      <c r="T4" s="64">
        <f>IF(H4&gt;=150%,5%,IF(H4&gt;=120%,4%,IF(H4&gt;=100%,3%,IF(H4&gt;=80%,1.8%,IF(H4&gt;=70%,0.8%,"未达提点门槛")))))</f>
        <v>0.05</v>
      </c>
      <c r="U4" s="65">
        <f t="shared" ref="U4:U9" si="7">S4*T4</f>
        <v>24957.857500000002</v>
      </c>
      <c r="V4" s="65">
        <f>SUMIF(考研进账!P:P,C4,考研进账!H:H)-K4</f>
        <v>37300</v>
      </c>
      <c r="W4" s="64">
        <f>IF(H4&gt;=100%,3%,IF(H4&gt;=80%,1.8%,IF(H4&gt;=70%,0.8%,"未达提点门槛")))</f>
        <v>0.03</v>
      </c>
      <c r="X4" s="65">
        <f>V4*W4</f>
        <v>1119</v>
      </c>
      <c r="Y4" s="66">
        <f t="shared" ref="Y4:Y9" si="8">X4+U4+R4</f>
        <v>28110.6175</v>
      </c>
    </row>
    <row r="5" spans="1:25" ht="16.8" customHeight="1">
      <c r="A5" s="119"/>
      <c r="B5" s="120"/>
      <c r="C5" s="7" t="s">
        <v>19</v>
      </c>
      <c r="D5" s="31">
        <v>290000</v>
      </c>
      <c r="E5" s="28">
        <f>四六级进账!D4</f>
        <v>278067.15000000002</v>
      </c>
      <c r="F5" s="11">
        <f>四六级进账!E4</f>
        <v>25340</v>
      </c>
      <c r="G5" s="11">
        <f t="shared" si="0"/>
        <v>252727.15000000002</v>
      </c>
      <c r="H5" s="10">
        <f t="shared" si="1"/>
        <v>0.87147293103448287</v>
      </c>
      <c r="I5" s="11">
        <v>25000</v>
      </c>
      <c r="J5" s="60">
        <f t="shared" si="2"/>
        <v>16840</v>
      </c>
      <c r="K5" s="63">
        <v>0</v>
      </c>
      <c r="L5" s="60">
        <v>16840</v>
      </c>
      <c r="M5" s="10">
        <f t="shared" si="3"/>
        <v>0.67359999999999998</v>
      </c>
      <c r="N5" s="62">
        <f>IF(ISNUMBER(IF(H5&gt;=150%,5%,IF(H5&gt;=120%,4%,IF(H5&gt;=100%,3%,IF(H5&gt;=80%,1.8%,IF(H5&gt;=70%,0.8%,"未达提点门槛")))))),IF(H5&gt;=150%,5%,IF(H5&gt;=120%,4%,IF(H5&gt;=100%,3%,IF(H5&gt;=80%,1.8%,IF(H5&gt;=70%,0.8%,"未达提点门槛")))))+IF(M5&gt;=100%,0.2%,IF(M5&lt;70%,-0.2%,0)),"未达提点门槛")</f>
        <v>1.6E-2</v>
      </c>
      <c r="O5" s="60">
        <f>L5*N5</f>
        <v>269.44</v>
      </c>
      <c r="P5" s="62">
        <f t="shared" si="4"/>
        <v>1.6E-2</v>
      </c>
      <c r="Q5" s="63">
        <f>K5*P5</f>
        <v>0</v>
      </c>
      <c r="R5" s="63">
        <f t="shared" si="5"/>
        <v>269.44</v>
      </c>
      <c r="S5" s="60">
        <f t="shared" si="6"/>
        <v>235887.15000000002</v>
      </c>
      <c r="T5" s="64">
        <f>IF(H5&gt;=150%,5%,IF(H5&gt;=120%,4%,IF(H5&gt;=100%,3%,IF(H5&gt;=80%,1.8%,IF(H5&gt;=70%,0.8%,"未达提点门槛")))))</f>
        <v>1.8000000000000002E-2</v>
      </c>
      <c r="U5" s="65">
        <f t="shared" si="7"/>
        <v>4245.9687000000013</v>
      </c>
      <c r="V5" s="65">
        <f>SUMIF(考研进账!P:P,C5,考研进账!H:H)-K5</f>
        <v>0</v>
      </c>
      <c r="W5" s="64">
        <f>IF(H5&gt;=100%,3%,IF(H5&gt;=80%,1.8%,IF(H5&gt;=70%,0.8%,"未达提点门槛")))</f>
        <v>1.8000000000000002E-2</v>
      </c>
      <c r="X5" s="65">
        <f>V5*W5</f>
        <v>0</v>
      </c>
      <c r="Y5" s="66">
        <f t="shared" si="8"/>
        <v>4515.4087000000009</v>
      </c>
    </row>
    <row r="6" spans="1:25" ht="16.8" customHeight="1">
      <c r="A6" s="119"/>
      <c r="B6" s="120"/>
      <c r="C6" s="12" t="s">
        <v>20</v>
      </c>
      <c r="D6" s="31">
        <v>320000</v>
      </c>
      <c r="E6" s="28">
        <f>四六级进账!D5</f>
        <v>249852</v>
      </c>
      <c r="F6" s="11">
        <f>四六级进账!E5</f>
        <v>44280</v>
      </c>
      <c r="G6" s="11">
        <f t="shared" si="0"/>
        <v>205572</v>
      </c>
      <c r="H6" s="10">
        <f t="shared" si="1"/>
        <v>0.64241250000000005</v>
      </c>
      <c r="I6" s="11">
        <v>25000</v>
      </c>
      <c r="J6" s="60">
        <f t="shared" si="2"/>
        <v>0</v>
      </c>
      <c r="K6" s="63">
        <v>0</v>
      </c>
      <c r="L6" s="60">
        <v>0</v>
      </c>
      <c r="M6" s="10">
        <f t="shared" si="3"/>
        <v>0</v>
      </c>
      <c r="N6" s="62">
        <v>8.0000000000000002E-3</v>
      </c>
      <c r="O6" s="60">
        <v>0</v>
      </c>
      <c r="P6" s="62" t="str">
        <f t="shared" si="4"/>
        <v>未达提点门槛</v>
      </c>
      <c r="Q6" s="63">
        <v>0</v>
      </c>
      <c r="R6" s="63">
        <f t="shared" si="5"/>
        <v>0</v>
      </c>
      <c r="S6" s="60">
        <f t="shared" si="6"/>
        <v>205572</v>
      </c>
      <c r="T6" s="64">
        <v>8.0000000000000002E-3</v>
      </c>
      <c r="U6" s="65">
        <f t="shared" si="7"/>
        <v>1644.576</v>
      </c>
      <c r="V6" s="65">
        <f>SUMIF(考研进账!P:P,C6,考研进账!H:H)-K6</f>
        <v>0</v>
      </c>
      <c r="W6" s="64">
        <v>0</v>
      </c>
      <c r="X6" s="65">
        <f>V6*W6</f>
        <v>0</v>
      </c>
      <c r="Y6" s="66">
        <f t="shared" si="8"/>
        <v>1644.576</v>
      </c>
    </row>
    <row r="7" spans="1:25" ht="16.8" customHeight="1">
      <c r="A7" s="119"/>
      <c r="B7" s="120"/>
      <c r="C7" s="12" t="s">
        <v>21</v>
      </c>
      <c r="D7" s="31">
        <v>290000</v>
      </c>
      <c r="E7" s="28">
        <f>四六级进账!D6</f>
        <v>460819</v>
      </c>
      <c r="F7" s="11">
        <f>四六级进账!E6</f>
        <v>97516</v>
      </c>
      <c r="G7" s="11">
        <f t="shared" si="0"/>
        <v>363303</v>
      </c>
      <c r="H7" s="10">
        <f t="shared" si="1"/>
        <v>1.2527689655172414</v>
      </c>
      <c r="I7" s="11">
        <v>25000</v>
      </c>
      <c r="J7" s="60">
        <f t="shared" si="2"/>
        <v>0</v>
      </c>
      <c r="K7" s="63">
        <v>0</v>
      </c>
      <c r="L7" s="61">
        <v>0</v>
      </c>
      <c r="M7" s="10">
        <f t="shared" si="3"/>
        <v>0</v>
      </c>
      <c r="N7" s="62">
        <f>IF(ISNUMBER(IF(H7&gt;=150%,5%,IF(H7&gt;=120%,4%,IF(H7&gt;=100%,3%,IF(H7&gt;=80%,1.8%,IF(H7&gt;=70%,0.8%,"未达提点门槛")))))),IF(H7&gt;=150%,5%,IF(H7&gt;=120%,4%,IF(H7&gt;=100%,3%,IF(H7&gt;=80%,1.8%,IF(H7&gt;=70%,0.8%,"未达提点门槛")))))+IF(M7&gt;=100%,0.2%,IF(M7&lt;70%,-0.2%,0)),"未达提点门槛")</f>
        <v>3.7999999999999999E-2</v>
      </c>
      <c r="O7" s="60">
        <f>L7*N7</f>
        <v>0</v>
      </c>
      <c r="P7" s="62">
        <f t="shared" si="4"/>
        <v>0.03</v>
      </c>
      <c r="Q7" s="63">
        <f>K7*P7</f>
        <v>0</v>
      </c>
      <c r="R7" s="63">
        <f t="shared" si="5"/>
        <v>0</v>
      </c>
      <c r="S7" s="60">
        <f t="shared" si="6"/>
        <v>363303</v>
      </c>
      <c r="T7" s="64">
        <f>IF(H7&gt;=150%,5%,IF(H7&gt;=120%,4%,IF(H7&gt;=100%,3%,IF(H7&gt;=80%,1.8%,IF(H7&gt;=70%,0.8%,"0")))))</f>
        <v>0.04</v>
      </c>
      <c r="U7" s="67">
        <f t="shared" si="7"/>
        <v>14532.12</v>
      </c>
      <c r="V7" s="65">
        <f>SUMIF(考研进账!P:P,C7,考研进账!H:H)-K7</f>
        <v>11400</v>
      </c>
      <c r="W7" s="64">
        <f>IF(H7&gt;=100%,3%,IF(H7&gt;=80%,1.8%,IF(H7&gt;=70%,0.8%,"未达提点门槛")))</f>
        <v>0.03</v>
      </c>
      <c r="X7" s="65">
        <f>V7*W7</f>
        <v>342</v>
      </c>
      <c r="Y7" s="66">
        <f t="shared" si="8"/>
        <v>14874.12</v>
      </c>
    </row>
    <row r="8" spans="1:25" ht="16.8" customHeight="1">
      <c r="A8" s="119"/>
      <c r="B8" s="120"/>
      <c r="C8" s="12" t="s">
        <v>22</v>
      </c>
      <c r="D8" s="31">
        <v>290000</v>
      </c>
      <c r="E8" s="28">
        <f>四六级进账!D7</f>
        <v>695660.15</v>
      </c>
      <c r="F8" s="11">
        <f>四六级进账!E7</f>
        <v>190702</v>
      </c>
      <c r="G8" s="11">
        <f t="shared" si="0"/>
        <v>504958.15</v>
      </c>
      <c r="H8" s="10">
        <f t="shared" si="1"/>
        <v>1.7412350000000001</v>
      </c>
      <c r="I8" s="11">
        <v>25000</v>
      </c>
      <c r="J8" s="60">
        <f t="shared" si="2"/>
        <v>66340</v>
      </c>
      <c r="K8" s="63">
        <v>0</v>
      </c>
      <c r="L8" s="63">
        <v>66340</v>
      </c>
      <c r="M8" s="10">
        <f t="shared" si="3"/>
        <v>2.6536</v>
      </c>
      <c r="N8" s="62">
        <f>IF(ISNUMBER(IF(H8&gt;=150%,5%,IF(H8&gt;=120%,4%,IF(H8&gt;=100%,3%,IF(H8&gt;=80%,1.8%,IF(H8&gt;=70%,0.8%,"未达提点门槛")))))),IF(H8&gt;=150%,5%,IF(H8&gt;=120%,4%,IF(H8&gt;=100%,3%,IF(H8&gt;=80%,1.8%,IF(H8&gt;=70%,0.8%,"未达提点门槛")))))+IF(M8&gt;=100%,0.2%,IF(M8&lt;70%,-0.2%,0)),"未达提点门槛")</f>
        <v>5.2000000000000005E-2</v>
      </c>
      <c r="O8" s="60">
        <f>L8*N8</f>
        <v>3449.6800000000003</v>
      </c>
      <c r="P8" s="62">
        <f t="shared" si="4"/>
        <v>0.03</v>
      </c>
      <c r="Q8" s="63">
        <f>K8*P8</f>
        <v>0</v>
      </c>
      <c r="R8" s="63">
        <f t="shared" si="5"/>
        <v>3449.6800000000003</v>
      </c>
      <c r="S8" s="60">
        <f t="shared" si="6"/>
        <v>438618.15</v>
      </c>
      <c r="T8" s="64">
        <f>IF(H8&gt;=150%,5%,IF(H8&gt;=120%,4%,IF(H8&gt;=100%,3%,IF(H8&gt;=80%,1.8%,IF(H8&gt;=70%,0.8%,"未达提点门槛")))))</f>
        <v>0.05</v>
      </c>
      <c r="U8" s="67">
        <f t="shared" si="7"/>
        <v>21930.907500000001</v>
      </c>
      <c r="V8" s="65">
        <f>SUMIF(考研进账!P:P,C8,考研进账!H:H)-K8</f>
        <v>18800</v>
      </c>
      <c r="W8" s="64">
        <f>IF(H8&gt;=100%,3%,IF(H8&gt;=80%,1.8%,IF(H8&gt;=70%,0.8%,"未达提点门槛")))</f>
        <v>0.03</v>
      </c>
      <c r="X8" s="65">
        <f>V8*W8</f>
        <v>564</v>
      </c>
      <c r="Y8" s="66">
        <f t="shared" si="8"/>
        <v>25944.587500000001</v>
      </c>
    </row>
    <row r="9" spans="1:25" ht="16.8" customHeight="1">
      <c r="A9" s="119"/>
      <c r="B9" s="120"/>
      <c r="C9" s="12" t="s">
        <v>24</v>
      </c>
      <c r="D9" s="31">
        <v>320000</v>
      </c>
      <c r="E9" s="28">
        <f>四六级进账!D8</f>
        <v>354120</v>
      </c>
      <c r="F9" s="11">
        <f>四六级进账!E8</f>
        <v>22960</v>
      </c>
      <c r="G9" s="11">
        <f t="shared" si="0"/>
        <v>331160</v>
      </c>
      <c r="H9" s="10">
        <f t="shared" si="1"/>
        <v>1.034875</v>
      </c>
      <c r="I9" s="11">
        <v>25000</v>
      </c>
      <c r="J9" s="60">
        <f t="shared" si="2"/>
        <v>11056</v>
      </c>
      <c r="K9" s="63">
        <v>0</v>
      </c>
      <c r="L9" s="63">
        <v>11056</v>
      </c>
      <c r="M9" s="10">
        <f t="shared" si="3"/>
        <v>0.44224000000000002</v>
      </c>
      <c r="N9" s="62">
        <f>IF(ISNUMBER(IF(H9&gt;=150%,5%,IF(H9&gt;=120%,4%,IF(H9&gt;=100%,3%,IF(H9&gt;=80%,1.8%,IF(H9&gt;=70%,0.8%,"未达提点门槛")))))),IF(H9&gt;=150%,5%,IF(H9&gt;=120%,4%,IF(H9&gt;=100%,3%,IF(H9&gt;=80%,1.8%,IF(H9&gt;=70%,0.8%,"未达提点门槛")))))+IF(M9&gt;=100%,0.2%,IF(M9&lt;70%,-0.2%,0)),"未达提点门槛")</f>
        <v>2.7999999999999997E-2</v>
      </c>
      <c r="O9" s="60">
        <f>L9*N9</f>
        <v>309.56799999999998</v>
      </c>
      <c r="P9" s="62">
        <f t="shared" si="4"/>
        <v>2.7999999999999997E-2</v>
      </c>
      <c r="Q9" s="63">
        <f>K9*P9</f>
        <v>0</v>
      </c>
      <c r="R9" s="63">
        <f t="shared" si="5"/>
        <v>309.56799999999998</v>
      </c>
      <c r="S9" s="60">
        <f t="shared" si="6"/>
        <v>320104</v>
      </c>
      <c r="T9" s="64">
        <f>IF(H9&gt;=150%,5%,IF(H9&gt;=120%,4%,IF(H9&gt;=100%,3%,IF(H9&gt;=80%,1.8%,IF(H9&gt;=70%,0.8%,"未达提点门槛")))))</f>
        <v>0.03</v>
      </c>
      <c r="U9" s="67">
        <f t="shared" si="7"/>
        <v>9603.119999999999</v>
      </c>
      <c r="V9" s="65">
        <f>SUMIF(考研进账!P:P,C9,考研进账!H:H)-K9</f>
        <v>0</v>
      </c>
      <c r="W9" s="64">
        <f>IF(H9&gt;=100%,3%,IF(H9&gt;=80%,1.8%,IF(H9&gt;=70%,0.8%,"未达提点门槛")))</f>
        <v>0.03</v>
      </c>
      <c r="X9" s="67">
        <v>0</v>
      </c>
      <c r="Y9" s="66">
        <f t="shared" si="8"/>
        <v>9912.6879999999983</v>
      </c>
    </row>
    <row r="10" spans="1:25" ht="16.8" customHeight="1">
      <c r="A10" s="121"/>
      <c r="B10" s="122"/>
      <c r="C10" s="16" t="s">
        <v>57</v>
      </c>
      <c r="D10" s="16">
        <f>SUM(D4:D9)</f>
        <v>1800000</v>
      </c>
      <c r="E10" s="16">
        <f>SUM(E4:E9)</f>
        <v>2630987.4500000002</v>
      </c>
      <c r="F10" s="16">
        <f>SUM(F4:F9)</f>
        <v>470990</v>
      </c>
      <c r="G10" s="17">
        <f>G4+G5+G6+G7+G8+G9</f>
        <v>2159997.4500000002</v>
      </c>
      <c r="H10" s="15">
        <f t="shared" si="1"/>
        <v>1.1999985833333335</v>
      </c>
      <c r="I10" s="15"/>
      <c r="J10" s="63" t="s">
        <v>58</v>
      </c>
      <c r="K10" s="63"/>
      <c r="L10" s="63"/>
      <c r="M10" s="63"/>
      <c r="N10" s="63"/>
      <c r="O10" s="63"/>
      <c r="P10" s="68"/>
      <c r="Q10" s="63"/>
      <c r="R10" s="63"/>
      <c r="S10" s="63"/>
      <c r="T10" s="63"/>
      <c r="U10" s="69">
        <f>SUM(U4:U9)</f>
        <v>76914.549700000003</v>
      </c>
      <c r="V10" s="69">
        <f>SUM(V4:V9)</f>
        <v>67500</v>
      </c>
      <c r="W10" s="69" t="s">
        <v>59</v>
      </c>
      <c r="X10" s="69">
        <f>SUM(X4:X9)</f>
        <v>2025</v>
      </c>
      <c r="Y10" s="69">
        <f>SUM(Y4:Y9)</f>
        <v>85001.997700000007</v>
      </c>
    </row>
    <row r="13" spans="1:25" ht="22.05" customHeight="1"/>
    <row r="18" spans="7:9" ht="16.8" customHeight="1">
      <c r="G18" s="20"/>
      <c r="H18" s="20"/>
      <c r="I18" s="20"/>
    </row>
    <row r="19" spans="7:9" ht="16.8" customHeight="1">
      <c r="G19" s="20"/>
    </row>
    <row r="20" spans="7:9" ht="16.8" customHeight="1">
      <c r="G20" s="20"/>
      <c r="H20" s="20"/>
      <c r="I20" s="20"/>
    </row>
    <row r="21" spans="7:9" ht="16.8" customHeight="1">
      <c r="G21" s="20"/>
    </row>
    <row r="22" spans="7:9" ht="16.8" customHeight="1">
      <c r="G22" s="20"/>
      <c r="H22" s="20"/>
      <c r="I22" s="20"/>
    </row>
    <row r="23" spans="7:9" ht="16.8" customHeight="1">
      <c r="G23" s="20"/>
      <c r="H23" s="20"/>
      <c r="I23" s="20"/>
    </row>
  </sheetData>
  <mergeCells count="9">
    <mergeCell ref="A4:B10"/>
    <mergeCell ref="V2:X2"/>
    <mergeCell ref="D2:H2"/>
    <mergeCell ref="C2:C3"/>
    <mergeCell ref="A1:H1"/>
    <mergeCell ref="I2:R2"/>
    <mergeCell ref="S2:U2"/>
    <mergeCell ref="A2:A3"/>
    <mergeCell ref="B2:B3"/>
  </mergeCells>
  <phoneticPr fontId="1" type="noConversion"/>
  <conditionalFormatting sqref="H4:I10">
    <cfRule type="colorScale" priority="7">
      <colorScale>
        <cfvo type="min"/>
        <cfvo type="percentile" val="50"/>
        <cfvo type="max"/>
        <color rgb="FFF9686A"/>
        <color rgb="FFEDC97E"/>
        <color rgb="FF62BF7A"/>
      </colorScale>
    </cfRule>
    <cfRule type="colorScale" priority="8">
      <colorScale>
        <cfvo type="min"/>
        <cfvo type="percentile" val="50"/>
        <cfvo type="max"/>
        <color rgb="FFF9686A"/>
        <color rgb="FFEDC97E"/>
        <color rgb="FF62BF7A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AN39"/>
  <sheetViews>
    <sheetView workbookViewId="0"/>
  </sheetViews>
  <sheetFormatPr defaultColWidth="9.1796875" defaultRowHeight="16.8" customHeight="1"/>
  <cols>
    <col min="1" max="1" width="15.6328125" style="20" customWidth="1"/>
    <col min="2" max="4" width="9.1796875" style="20"/>
    <col min="5" max="5" width="9.1796875" style="20" hidden="1" customWidth="1"/>
    <col min="6" max="12" width="9.1796875" style="20"/>
    <col min="13" max="13" width="17.36328125" style="20" customWidth="1"/>
    <col min="14" max="14" width="10.1796875" style="20"/>
    <col min="15" max="17" width="9.1796875" style="20"/>
    <col min="18" max="19" width="15.81640625" style="20" customWidth="1"/>
    <col min="20" max="40" width="9.1796875" style="20"/>
  </cols>
  <sheetData>
    <row r="1" spans="1:19" ht="16.8" customHeight="1">
      <c r="A1" s="140" t="s">
        <v>56</v>
      </c>
      <c r="B1" s="140"/>
      <c r="C1" s="140"/>
      <c r="D1" s="140" t="s">
        <v>60</v>
      </c>
      <c r="E1" s="140"/>
      <c r="F1" s="140"/>
      <c r="G1" s="140"/>
      <c r="H1" s="140" t="s">
        <v>61</v>
      </c>
      <c r="I1" s="140"/>
      <c r="J1" s="140"/>
      <c r="K1" s="140"/>
      <c r="L1" s="140" t="s">
        <v>62</v>
      </c>
      <c r="M1" s="140"/>
      <c r="N1" s="142"/>
      <c r="O1" s="142"/>
      <c r="P1" s="144" t="s">
        <v>63</v>
      </c>
      <c r="Q1" s="144" t="s">
        <v>64</v>
      </c>
      <c r="R1" s="143" t="s">
        <v>65</v>
      </c>
      <c r="S1" s="141" t="s">
        <v>66</v>
      </c>
    </row>
    <row r="2" spans="1:19" ht="16.8" customHeight="1">
      <c r="A2" s="38" t="s">
        <v>4</v>
      </c>
      <c r="B2" s="38" t="s">
        <v>30</v>
      </c>
      <c r="C2" s="38" t="s">
        <v>9</v>
      </c>
      <c r="D2" s="36" t="s">
        <v>67</v>
      </c>
      <c r="E2" s="36" t="s">
        <v>68</v>
      </c>
      <c r="F2" s="36" t="s">
        <v>69</v>
      </c>
      <c r="G2" s="36" t="s">
        <v>70</v>
      </c>
      <c r="H2" s="36" t="s">
        <v>67</v>
      </c>
      <c r="I2" s="36" t="s">
        <v>71</v>
      </c>
      <c r="J2" s="36" t="s">
        <v>69</v>
      </c>
      <c r="K2" s="36" t="s">
        <v>70</v>
      </c>
      <c r="L2" s="36" t="s">
        <v>67</v>
      </c>
      <c r="M2" s="36" t="s">
        <v>72</v>
      </c>
      <c r="N2" s="37" t="s">
        <v>69</v>
      </c>
      <c r="O2" s="37" t="s">
        <v>70</v>
      </c>
      <c r="P2" s="144"/>
      <c r="Q2" s="144"/>
      <c r="R2" s="143"/>
      <c r="S2" s="141"/>
    </row>
    <row r="3" spans="1:19" ht="16.8" customHeight="1">
      <c r="A3" s="77" t="s">
        <v>11</v>
      </c>
      <c r="B3" s="39" t="s">
        <v>12</v>
      </c>
      <c r="C3" s="39" t="s">
        <v>73</v>
      </c>
      <c r="D3" s="39" t="s">
        <v>74</v>
      </c>
      <c r="E3" s="83">
        <v>12.89</v>
      </c>
      <c r="F3" s="40">
        <v>1</v>
      </c>
      <c r="G3" s="41">
        <v>10</v>
      </c>
      <c r="H3" s="42">
        <v>4</v>
      </c>
      <c r="I3" s="35">
        <v>2</v>
      </c>
      <c r="J3" s="40">
        <f t="shared" ref="J3:J8" si="0">I3/H3</f>
        <v>0.5</v>
      </c>
      <c r="K3" s="41">
        <f>30*J3</f>
        <v>15</v>
      </c>
      <c r="L3" s="43">
        <v>0.28000000000000003</v>
      </c>
      <c r="M3" s="43">
        <v>0.31719999999999998</v>
      </c>
      <c r="N3" s="40">
        <f t="shared" ref="N3:N8" si="1">M3/L3</f>
        <v>1.1328571428571428</v>
      </c>
      <c r="O3" s="41">
        <v>60</v>
      </c>
      <c r="P3" s="44">
        <f t="shared" ref="P3:P8" si="2">G3+K3+O3</f>
        <v>85</v>
      </c>
      <c r="Q3" s="45">
        <v>1</v>
      </c>
      <c r="R3" s="46">
        <v>2000</v>
      </c>
      <c r="S3" s="46">
        <f t="shared" ref="S3:S8" si="3">R3*Q3</f>
        <v>2000</v>
      </c>
    </row>
    <row r="4" spans="1:19" ht="16.8" customHeight="1">
      <c r="A4" s="39">
        <v>594606</v>
      </c>
      <c r="B4" s="39" t="s">
        <v>19</v>
      </c>
      <c r="C4" s="39" t="s">
        <v>73</v>
      </c>
      <c r="D4" s="39" t="s">
        <v>74</v>
      </c>
      <c r="E4" s="84">
        <v>4.5</v>
      </c>
      <c r="F4" s="40">
        <v>1</v>
      </c>
      <c r="G4" s="41">
        <v>10</v>
      </c>
      <c r="H4" s="42">
        <v>4</v>
      </c>
      <c r="I4" s="35">
        <v>3</v>
      </c>
      <c r="J4" s="40">
        <f t="shared" si="0"/>
        <v>0.75</v>
      </c>
      <c r="K4" s="41">
        <f>30*J4</f>
        <v>22.5</v>
      </c>
      <c r="L4" s="43">
        <v>0.28000000000000003</v>
      </c>
      <c r="M4" s="43">
        <v>0.23230000000000001</v>
      </c>
      <c r="N4" s="40">
        <f t="shared" si="1"/>
        <v>0.82964285714285713</v>
      </c>
      <c r="O4" s="41">
        <f>60*N4</f>
        <v>49.778571428571425</v>
      </c>
      <c r="P4" s="44">
        <f t="shared" si="2"/>
        <v>82.278571428571425</v>
      </c>
      <c r="Q4" s="45">
        <v>0.82</v>
      </c>
      <c r="R4" s="46">
        <v>2000</v>
      </c>
      <c r="S4" s="46">
        <f t="shared" si="3"/>
        <v>1640</v>
      </c>
    </row>
    <row r="5" spans="1:19" ht="16.8" customHeight="1">
      <c r="A5" s="39">
        <v>608630</v>
      </c>
      <c r="B5" s="47" t="s">
        <v>20</v>
      </c>
      <c r="C5" s="39" t="s">
        <v>73</v>
      </c>
      <c r="D5" s="39" t="s">
        <v>74</v>
      </c>
      <c r="E5" s="85">
        <v>25.83</v>
      </c>
      <c r="F5" s="40">
        <v>1</v>
      </c>
      <c r="G5" s="41">
        <v>10</v>
      </c>
      <c r="H5" s="42">
        <v>4</v>
      </c>
      <c r="I5" s="35">
        <v>0</v>
      </c>
      <c r="J5" s="40">
        <f t="shared" si="0"/>
        <v>0</v>
      </c>
      <c r="K5" s="41">
        <f>30*J5</f>
        <v>0</v>
      </c>
      <c r="L5" s="43">
        <v>0.28000000000000003</v>
      </c>
      <c r="M5" s="43">
        <v>0.15479999999999999</v>
      </c>
      <c r="N5" s="40">
        <f t="shared" si="1"/>
        <v>0.55285714285714282</v>
      </c>
      <c r="O5" s="41">
        <f>60*N5</f>
        <v>33.171428571428571</v>
      </c>
      <c r="P5" s="44">
        <f t="shared" si="2"/>
        <v>43.171428571428571</v>
      </c>
      <c r="Q5" s="48">
        <v>0</v>
      </c>
      <c r="R5" s="46">
        <v>2000</v>
      </c>
      <c r="S5" s="46">
        <f t="shared" si="3"/>
        <v>0</v>
      </c>
    </row>
    <row r="6" spans="1:19" ht="16.8" customHeight="1">
      <c r="A6" s="39">
        <v>608617</v>
      </c>
      <c r="B6" s="47" t="s">
        <v>21</v>
      </c>
      <c r="C6" s="39" t="s">
        <v>73</v>
      </c>
      <c r="D6" s="39" t="s">
        <v>74</v>
      </c>
      <c r="E6" s="86">
        <v>30.36</v>
      </c>
      <c r="F6" s="40">
        <v>1</v>
      </c>
      <c r="G6" s="41">
        <v>10</v>
      </c>
      <c r="H6" s="42">
        <v>4</v>
      </c>
      <c r="I6" s="35">
        <v>0</v>
      </c>
      <c r="J6" s="40">
        <f t="shared" si="0"/>
        <v>0</v>
      </c>
      <c r="K6" s="41">
        <f>30*J6</f>
        <v>0</v>
      </c>
      <c r="L6" s="43">
        <v>0.28000000000000003</v>
      </c>
      <c r="M6" s="43">
        <v>0.24759999999999999</v>
      </c>
      <c r="N6" s="40">
        <f t="shared" si="1"/>
        <v>0.88428571428571412</v>
      </c>
      <c r="O6" s="41">
        <f>60*N6</f>
        <v>53.05714285714285</v>
      </c>
      <c r="P6" s="44">
        <f t="shared" si="2"/>
        <v>63.05714285714285</v>
      </c>
      <c r="Q6" s="45">
        <v>0</v>
      </c>
      <c r="R6" s="46">
        <v>2000</v>
      </c>
      <c r="S6" s="46">
        <f t="shared" si="3"/>
        <v>0</v>
      </c>
    </row>
    <row r="7" spans="1:19" ht="16.8" customHeight="1">
      <c r="A7" s="39">
        <v>343549</v>
      </c>
      <c r="B7" s="39" t="s">
        <v>22</v>
      </c>
      <c r="C7" s="39" t="s">
        <v>73</v>
      </c>
      <c r="D7" s="39" t="s">
        <v>74</v>
      </c>
      <c r="E7" s="87">
        <v>5.15</v>
      </c>
      <c r="F7" s="40">
        <v>1</v>
      </c>
      <c r="G7" s="41">
        <v>10</v>
      </c>
      <c r="H7" s="42">
        <v>4</v>
      </c>
      <c r="I7" s="35">
        <v>4</v>
      </c>
      <c r="J7" s="40">
        <f t="shared" si="0"/>
        <v>1</v>
      </c>
      <c r="K7" s="41">
        <f>30*J7</f>
        <v>30</v>
      </c>
      <c r="L7" s="43">
        <v>0.28000000000000003</v>
      </c>
      <c r="M7" s="43">
        <v>0.38279999999999997</v>
      </c>
      <c r="N7" s="40">
        <f t="shared" si="1"/>
        <v>1.367142857142857</v>
      </c>
      <c r="O7" s="41">
        <v>60</v>
      </c>
      <c r="P7" s="44">
        <f t="shared" si="2"/>
        <v>100</v>
      </c>
      <c r="Q7" s="45">
        <v>1</v>
      </c>
      <c r="R7" s="46">
        <v>2000</v>
      </c>
      <c r="S7" s="46">
        <f t="shared" si="3"/>
        <v>2000</v>
      </c>
    </row>
    <row r="8" spans="1:19" ht="16.8" customHeight="1">
      <c r="A8" s="8">
        <v>639094</v>
      </c>
      <c r="B8" s="49" t="s">
        <v>24</v>
      </c>
      <c r="C8" s="39" t="s">
        <v>73</v>
      </c>
      <c r="D8" s="39" t="s">
        <v>74</v>
      </c>
      <c r="E8" s="50" t="s">
        <v>75</v>
      </c>
      <c r="F8" s="40">
        <v>1</v>
      </c>
      <c r="G8" s="41">
        <v>10</v>
      </c>
      <c r="H8" s="42">
        <v>4</v>
      </c>
      <c r="I8" s="35">
        <v>2</v>
      </c>
      <c r="J8" s="40">
        <f t="shared" si="0"/>
        <v>0.5</v>
      </c>
      <c r="K8" s="41">
        <v>6</v>
      </c>
      <c r="L8" s="43">
        <v>0.28000000000000003</v>
      </c>
      <c r="M8" s="43">
        <v>0.28000000000000003</v>
      </c>
      <c r="N8" s="40">
        <f t="shared" si="1"/>
        <v>1</v>
      </c>
      <c r="O8" s="41">
        <f>60*N8</f>
        <v>60</v>
      </c>
      <c r="P8" s="44">
        <f t="shared" si="2"/>
        <v>76</v>
      </c>
      <c r="Q8" s="45">
        <v>0.76</v>
      </c>
      <c r="R8" s="46">
        <v>2000</v>
      </c>
      <c r="S8" s="46">
        <f t="shared" si="3"/>
        <v>1520</v>
      </c>
    </row>
    <row r="39" spans="7:7" ht="16.8" customHeight="1">
      <c r="G39" s="20" t="s">
        <v>76</v>
      </c>
    </row>
  </sheetData>
  <mergeCells count="8">
    <mergeCell ref="A1:C1"/>
    <mergeCell ref="S1:S2"/>
    <mergeCell ref="L1:O1"/>
    <mergeCell ref="R1:R2"/>
    <mergeCell ref="H1:K1"/>
    <mergeCell ref="D1:G1"/>
    <mergeCell ref="Q1:Q2"/>
    <mergeCell ref="P1:P2"/>
  </mergeCells>
  <phoneticPr fontId="1" type="noConversion"/>
  <hyperlinks>
    <hyperlink ref="E3" r:id="rId1" display="javascript:void(0);"/>
    <hyperlink ref="E4" r:id="rId2" display="javascript:void(0);"/>
    <hyperlink ref="E5" r:id="rId3" display="javascript:void(0);"/>
    <hyperlink ref="E6" r:id="rId4" display="javascript:void(0);"/>
    <hyperlink ref="E7" r:id="rId5" display="javascript:void(0);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AO11"/>
  <sheetViews>
    <sheetView workbookViewId="0"/>
  </sheetViews>
  <sheetFormatPr defaultColWidth="9.1796875" defaultRowHeight="16.8" customHeight="1"/>
  <cols>
    <col min="2" max="2" width="19.453125" style="18" customWidth="1"/>
    <col min="3" max="3" width="17.1796875" style="18" customWidth="1"/>
    <col min="10" max="10" width="16.81640625" style="18" customWidth="1"/>
    <col min="13" max="13" width="9.36328125" style="18" customWidth="1"/>
    <col min="16" max="16" width="11.36328125" style="18" customWidth="1"/>
    <col min="23" max="23" width="23.81640625" style="18" customWidth="1"/>
    <col min="34" max="34" width="17.1796875" style="18" customWidth="1"/>
    <col min="40" max="40" width="20.36328125" style="18" customWidth="1"/>
  </cols>
  <sheetData>
    <row r="1" spans="1:41" s="18" customFormat="1" ht="13.95" customHeight="1">
      <c r="A1" s="35" t="s">
        <v>5</v>
      </c>
      <c r="B1" s="35" t="s">
        <v>77</v>
      </c>
      <c r="C1" s="35" t="s">
        <v>78</v>
      </c>
      <c r="I1" s="21" t="s">
        <v>1</v>
      </c>
      <c r="J1" s="21" t="s">
        <v>79</v>
      </c>
      <c r="K1" s="21" t="s">
        <v>6</v>
      </c>
      <c r="L1" s="21" t="s">
        <v>80</v>
      </c>
      <c r="M1" s="21" t="s">
        <v>5</v>
      </c>
      <c r="N1" s="21" t="s">
        <v>81</v>
      </c>
      <c r="O1" s="21" t="s">
        <v>82</v>
      </c>
      <c r="P1" s="21" t="s">
        <v>83</v>
      </c>
      <c r="Q1" s="21" t="s">
        <v>84</v>
      </c>
      <c r="R1" s="21" t="s">
        <v>85</v>
      </c>
      <c r="S1" s="21" t="s">
        <v>86</v>
      </c>
      <c r="T1" s="21" t="s">
        <v>87</v>
      </c>
      <c r="U1" s="21" t="s">
        <v>88</v>
      </c>
      <c r="V1" s="21" t="s">
        <v>89</v>
      </c>
      <c r="W1" s="21" t="s">
        <v>90</v>
      </c>
      <c r="X1" s="21" t="s">
        <v>91</v>
      </c>
      <c r="Y1" s="21" t="s">
        <v>92</v>
      </c>
      <c r="Z1" s="21" t="s">
        <v>93</v>
      </c>
      <c r="AA1" s="21" t="s">
        <v>94</v>
      </c>
      <c r="AB1" s="21" t="s">
        <v>95</v>
      </c>
      <c r="AC1" s="21" t="s">
        <v>96</v>
      </c>
      <c r="AD1" s="21" t="s">
        <v>97</v>
      </c>
      <c r="AE1" s="21" t="s">
        <v>98</v>
      </c>
      <c r="AF1" s="21" t="s">
        <v>99</v>
      </c>
      <c r="AG1" s="21" t="s">
        <v>100</v>
      </c>
      <c r="AH1" s="21" t="s">
        <v>101</v>
      </c>
      <c r="AI1" s="21" t="s">
        <v>79</v>
      </c>
      <c r="AJ1" s="21" t="s">
        <v>102</v>
      </c>
      <c r="AK1" s="21" t="s">
        <v>103</v>
      </c>
      <c r="AL1" s="21" t="s">
        <v>104</v>
      </c>
      <c r="AM1" s="21" t="s">
        <v>105</v>
      </c>
      <c r="AN1" s="21" t="s">
        <v>106</v>
      </c>
      <c r="AO1" s="21" t="s">
        <v>107</v>
      </c>
    </row>
    <row r="2" spans="1:41" s="18" customFormat="1" ht="16.8" customHeight="1">
      <c r="A2" s="11" t="s">
        <v>12</v>
      </c>
      <c r="B2" s="35">
        <f t="shared" ref="B2:B7" si="0">SUMIF(X:X,A2,P:P)</f>
        <v>3120</v>
      </c>
      <c r="C2" s="35">
        <v>2</v>
      </c>
      <c r="I2" s="22">
        <v>9</v>
      </c>
      <c r="J2" s="22" t="s">
        <v>108</v>
      </c>
      <c r="K2" s="22" t="s">
        <v>109</v>
      </c>
      <c r="L2" s="22" t="s">
        <v>110</v>
      </c>
      <c r="M2" s="22" t="s">
        <v>111</v>
      </c>
      <c r="N2" s="22"/>
      <c r="O2" s="22" t="s">
        <v>112</v>
      </c>
      <c r="P2" s="22">
        <v>3120</v>
      </c>
      <c r="Q2" s="22"/>
      <c r="R2" s="22" t="s">
        <v>113</v>
      </c>
      <c r="S2" s="22" t="s">
        <v>114</v>
      </c>
      <c r="T2" s="22"/>
      <c r="U2" s="22" t="s">
        <v>115</v>
      </c>
      <c r="V2" s="22" t="s">
        <v>116</v>
      </c>
      <c r="W2" s="22" t="s">
        <v>117</v>
      </c>
      <c r="X2" s="22" t="s">
        <v>12</v>
      </c>
      <c r="Y2" s="22" t="s">
        <v>118</v>
      </c>
      <c r="Z2" s="22"/>
      <c r="AA2" s="22"/>
      <c r="AB2" s="22" t="s">
        <v>119</v>
      </c>
      <c r="AC2" s="22" t="s">
        <v>120</v>
      </c>
      <c r="AD2" s="22"/>
      <c r="AE2" s="22" t="s">
        <v>121</v>
      </c>
      <c r="AF2" s="22"/>
      <c r="AG2" s="22"/>
      <c r="AH2" s="22" t="s">
        <v>122</v>
      </c>
      <c r="AI2" s="22" t="s">
        <v>123</v>
      </c>
      <c r="AJ2" s="22" t="s">
        <v>124</v>
      </c>
      <c r="AK2" s="22" t="s">
        <v>125</v>
      </c>
      <c r="AL2" s="22" t="s">
        <v>125</v>
      </c>
      <c r="AM2" s="22" t="s">
        <v>126</v>
      </c>
      <c r="AN2" s="22" t="s">
        <v>127</v>
      </c>
      <c r="AO2" s="22" t="s">
        <v>128</v>
      </c>
    </row>
    <row r="3" spans="1:41" s="18" customFormat="1" ht="16.8" customHeight="1">
      <c r="A3" s="30" t="s">
        <v>19</v>
      </c>
      <c r="B3" s="35">
        <f t="shared" si="0"/>
        <v>16840</v>
      </c>
      <c r="C3" s="35">
        <v>3</v>
      </c>
      <c r="I3" s="22">
        <v>24</v>
      </c>
      <c r="J3" s="22" t="s">
        <v>108</v>
      </c>
      <c r="K3" s="22" t="s">
        <v>109</v>
      </c>
      <c r="L3" s="22" t="s">
        <v>110</v>
      </c>
      <c r="M3" s="22" t="s">
        <v>129</v>
      </c>
      <c r="N3" s="22" t="s">
        <v>130</v>
      </c>
      <c r="O3" s="22" t="s">
        <v>112</v>
      </c>
      <c r="P3" s="22">
        <v>5382</v>
      </c>
      <c r="Q3" s="22"/>
      <c r="R3" s="22" t="s">
        <v>24</v>
      </c>
      <c r="S3" s="22" t="s">
        <v>131</v>
      </c>
      <c r="T3" s="22" t="s">
        <v>112</v>
      </c>
      <c r="U3" s="22" t="s">
        <v>132</v>
      </c>
      <c r="V3" s="22" t="s">
        <v>116</v>
      </c>
      <c r="W3" s="22" t="s">
        <v>117</v>
      </c>
      <c r="X3" s="22" t="s">
        <v>24</v>
      </c>
      <c r="Y3" s="22" t="s">
        <v>133</v>
      </c>
      <c r="Z3" s="22" t="s">
        <v>24</v>
      </c>
      <c r="AA3" s="22" t="s">
        <v>133</v>
      </c>
      <c r="AB3" s="22" t="s">
        <v>134</v>
      </c>
      <c r="AC3" s="22" t="s">
        <v>135</v>
      </c>
      <c r="AD3" s="22" t="s">
        <v>136</v>
      </c>
      <c r="AE3" s="22" t="s">
        <v>137</v>
      </c>
      <c r="AF3" s="22" t="s">
        <v>110</v>
      </c>
      <c r="AG3" s="22"/>
      <c r="AH3" s="22" t="s">
        <v>138</v>
      </c>
      <c r="AI3" s="22" t="s">
        <v>139</v>
      </c>
      <c r="AJ3" s="22" t="s">
        <v>140</v>
      </c>
      <c r="AK3" s="22" t="s">
        <v>141</v>
      </c>
      <c r="AL3" s="22" t="s">
        <v>142</v>
      </c>
      <c r="AM3" s="22" t="s">
        <v>143</v>
      </c>
      <c r="AN3" s="22" t="s">
        <v>144</v>
      </c>
      <c r="AO3" s="22" t="s">
        <v>112</v>
      </c>
    </row>
    <row r="4" spans="1:41" s="18" customFormat="1" ht="16.8" customHeight="1">
      <c r="A4" s="30" t="s">
        <v>20</v>
      </c>
      <c r="B4" s="35">
        <f t="shared" si="0"/>
        <v>0</v>
      </c>
      <c r="C4" s="35">
        <v>0</v>
      </c>
      <c r="I4" s="22">
        <v>97</v>
      </c>
      <c r="J4" s="22" t="s">
        <v>108</v>
      </c>
      <c r="K4" s="22" t="s">
        <v>109</v>
      </c>
      <c r="L4" s="22" t="s">
        <v>145</v>
      </c>
      <c r="M4" s="22" t="s">
        <v>146</v>
      </c>
      <c r="N4" s="22" t="s">
        <v>130</v>
      </c>
      <c r="O4" s="22" t="s">
        <v>112</v>
      </c>
      <c r="P4" s="22">
        <v>19600</v>
      </c>
      <c r="Q4" s="22" t="s">
        <v>147</v>
      </c>
      <c r="R4" s="22" t="s">
        <v>148</v>
      </c>
      <c r="S4" s="22" t="s">
        <v>114</v>
      </c>
      <c r="T4" s="22" t="s">
        <v>112</v>
      </c>
      <c r="U4" s="22" t="s">
        <v>132</v>
      </c>
      <c r="V4" s="22" t="s">
        <v>116</v>
      </c>
      <c r="W4" s="22" t="s">
        <v>117</v>
      </c>
      <c r="X4" s="22" t="s">
        <v>22</v>
      </c>
      <c r="Y4" s="22" t="s">
        <v>149</v>
      </c>
      <c r="Z4" s="22" t="s">
        <v>22</v>
      </c>
      <c r="AA4" s="22" t="s">
        <v>150</v>
      </c>
      <c r="AB4" s="22" t="s">
        <v>151</v>
      </c>
      <c r="AC4" s="22" t="s">
        <v>135</v>
      </c>
      <c r="AD4" s="22" t="s">
        <v>152</v>
      </c>
      <c r="AE4" s="22" t="s">
        <v>153</v>
      </c>
      <c r="AF4" s="22" t="s">
        <v>145</v>
      </c>
      <c r="AG4" s="22"/>
      <c r="AH4" s="22" t="s">
        <v>138</v>
      </c>
      <c r="AI4" s="22" t="s">
        <v>154</v>
      </c>
      <c r="AJ4" s="22" t="s">
        <v>124</v>
      </c>
      <c r="AK4" s="22" t="s">
        <v>155</v>
      </c>
      <c r="AL4" s="22" t="s">
        <v>156</v>
      </c>
      <c r="AM4" s="22" t="s">
        <v>157</v>
      </c>
      <c r="AN4" s="22" t="s">
        <v>144</v>
      </c>
      <c r="AO4" s="22" t="s">
        <v>112</v>
      </c>
    </row>
    <row r="5" spans="1:41" s="18" customFormat="1" ht="16.8" customHeight="1">
      <c r="A5" s="30" t="s">
        <v>21</v>
      </c>
      <c r="B5" s="35">
        <f t="shared" si="0"/>
        <v>0</v>
      </c>
      <c r="C5" s="35">
        <v>0</v>
      </c>
      <c r="I5" s="22">
        <v>103</v>
      </c>
      <c r="J5" s="22" t="s">
        <v>108</v>
      </c>
      <c r="K5" s="22" t="s">
        <v>109</v>
      </c>
      <c r="L5" s="22" t="s">
        <v>158</v>
      </c>
      <c r="M5" s="22" t="s">
        <v>159</v>
      </c>
      <c r="N5" s="22" t="s">
        <v>130</v>
      </c>
      <c r="O5" s="22" t="s">
        <v>112</v>
      </c>
      <c r="P5" s="22">
        <v>15120</v>
      </c>
      <c r="Q5" s="22"/>
      <c r="R5" s="22" t="s">
        <v>160</v>
      </c>
      <c r="S5" s="22" t="s">
        <v>131</v>
      </c>
      <c r="T5" s="22" t="s">
        <v>112</v>
      </c>
      <c r="U5" s="22" t="s">
        <v>132</v>
      </c>
      <c r="V5" s="22" t="s">
        <v>116</v>
      </c>
      <c r="W5" s="22" t="s">
        <v>117</v>
      </c>
      <c r="X5" s="22" t="s">
        <v>22</v>
      </c>
      <c r="Y5" s="22" t="s">
        <v>161</v>
      </c>
      <c r="Z5" s="22" t="s">
        <v>22</v>
      </c>
      <c r="AA5" s="22" t="s">
        <v>161</v>
      </c>
      <c r="AB5" s="22" t="s">
        <v>162</v>
      </c>
      <c r="AC5" s="22" t="s">
        <v>120</v>
      </c>
      <c r="AD5" s="22" t="s">
        <v>136</v>
      </c>
      <c r="AE5" s="22" t="s">
        <v>163</v>
      </c>
      <c r="AF5" s="22" t="s">
        <v>158</v>
      </c>
      <c r="AG5" s="22"/>
      <c r="AH5" s="22" t="s">
        <v>138</v>
      </c>
      <c r="AI5" s="22" t="s">
        <v>164</v>
      </c>
      <c r="AJ5" s="22" t="s">
        <v>140</v>
      </c>
      <c r="AK5" s="22" t="s">
        <v>165</v>
      </c>
      <c r="AL5" s="22" t="s">
        <v>166</v>
      </c>
      <c r="AM5" s="22" t="s">
        <v>143</v>
      </c>
      <c r="AN5" s="22" t="s">
        <v>144</v>
      </c>
      <c r="AO5" s="22" t="s">
        <v>112</v>
      </c>
    </row>
    <row r="6" spans="1:41" s="18" customFormat="1" ht="16.8" customHeight="1">
      <c r="A6" s="30" t="s">
        <v>22</v>
      </c>
      <c r="B6" s="35">
        <f t="shared" si="0"/>
        <v>66340</v>
      </c>
      <c r="C6" s="35">
        <v>4</v>
      </c>
      <c r="I6" s="22">
        <v>108</v>
      </c>
      <c r="J6" s="22" t="s">
        <v>108</v>
      </c>
      <c r="K6" s="22" t="s">
        <v>109</v>
      </c>
      <c r="L6" s="22" t="s">
        <v>158</v>
      </c>
      <c r="M6" s="22" t="s">
        <v>167</v>
      </c>
      <c r="N6" s="22" t="s">
        <v>130</v>
      </c>
      <c r="O6" s="22" t="s">
        <v>112</v>
      </c>
      <c r="P6" s="22">
        <v>19620</v>
      </c>
      <c r="Q6" s="22"/>
      <c r="R6" s="22" t="s">
        <v>22</v>
      </c>
      <c r="S6" s="22" t="s">
        <v>131</v>
      </c>
      <c r="T6" s="22" t="s">
        <v>112</v>
      </c>
      <c r="U6" s="22" t="s">
        <v>132</v>
      </c>
      <c r="V6" s="22" t="s">
        <v>116</v>
      </c>
      <c r="W6" s="22" t="s">
        <v>117</v>
      </c>
      <c r="X6" s="22" t="s">
        <v>22</v>
      </c>
      <c r="Y6" s="22" t="s">
        <v>168</v>
      </c>
      <c r="Z6" s="22" t="s">
        <v>22</v>
      </c>
      <c r="AA6" s="22" t="s">
        <v>168</v>
      </c>
      <c r="AB6" s="22" t="s">
        <v>169</v>
      </c>
      <c r="AC6" s="22" t="s">
        <v>120</v>
      </c>
      <c r="AD6" s="22" t="s">
        <v>170</v>
      </c>
      <c r="AE6" s="22" t="s">
        <v>171</v>
      </c>
      <c r="AF6" s="22" t="s">
        <v>158</v>
      </c>
      <c r="AG6" s="22"/>
      <c r="AH6" s="22" t="s">
        <v>138</v>
      </c>
      <c r="AI6" s="22" t="s">
        <v>172</v>
      </c>
      <c r="AJ6" s="22" t="s">
        <v>140</v>
      </c>
      <c r="AK6" s="22" t="s">
        <v>173</v>
      </c>
      <c r="AL6" s="22" t="s">
        <v>174</v>
      </c>
      <c r="AM6" s="22" t="s">
        <v>143</v>
      </c>
      <c r="AN6" s="22" t="s">
        <v>144</v>
      </c>
      <c r="AO6" s="22" t="s">
        <v>112</v>
      </c>
    </row>
    <row r="7" spans="1:41" s="18" customFormat="1" ht="16.8" customHeight="1">
      <c r="A7" s="30" t="s">
        <v>24</v>
      </c>
      <c r="B7" s="35">
        <f t="shared" si="0"/>
        <v>11056</v>
      </c>
      <c r="C7" s="35">
        <v>2</v>
      </c>
      <c r="I7" s="22">
        <v>122</v>
      </c>
      <c r="J7" s="22" t="s">
        <v>108</v>
      </c>
      <c r="K7" s="22" t="s">
        <v>109</v>
      </c>
      <c r="L7" s="22" t="s">
        <v>175</v>
      </c>
      <c r="M7" s="22" t="s">
        <v>176</v>
      </c>
      <c r="N7" s="22" t="s">
        <v>130</v>
      </c>
      <c r="O7" s="22" t="s">
        <v>112</v>
      </c>
      <c r="P7" s="22">
        <v>12000</v>
      </c>
      <c r="Q7" s="22"/>
      <c r="R7" s="22" t="s">
        <v>177</v>
      </c>
      <c r="S7" s="22" t="s">
        <v>131</v>
      </c>
      <c r="T7" s="22" t="s">
        <v>112</v>
      </c>
      <c r="U7" s="22" t="s">
        <v>132</v>
      </c>
      <c r="V7" s="22" t="s">
        <v>116</v>
      </c>
      <c r="W7" s="22" t="s">
        <v>117</v>
      </c>
      <c r="X7" s="22" t="s">
        <v>22</v>
      </c>
      <c r="Y7" s="22" t="s">
        <v>178</v>
      </c>
      <c r="Z7" s="22" t="s">
        <v>22</v>
      </c>
      <c r="AA7" s="22" t="s">
        <v>179</v>
      </c>
      <c r="AB7" s="22" t="s">
        <v>180</v>
      </c>
      <c r="AC7" s="22" t="s">
        <v>135</v>
      </c>
      <c r="AD7" s="22"/>
      <c r="AE7" s="22" t="s">
        <v>181</v>
      </c>
      <c r="AF7" s="22"/>
      <c r="AG7" s="22"/>
      <c r="AH7" s="22" t="s">
        <v>182</v>
      </c>
      <c r="AI7" s="22" t="s">
        <v>183</v>
      </c>
      <c r="AJ7" s="22" t="s">
        <v>140</v>
      </c>
      <c r="AK7" s="22" t="s">
        <v>184</v>
      </c>
      <c r="AL7" s="22" t="s">
        <v>185</v>
      </c>
      <c r="AM7" s="22" t="s">
        <v>157</v>
      </c>
      <c r="AN7" s="22" t="s">
        <v>182</v>
      </c>
      <c r="AO7" s="22" t="s">
        <v>186</v>
      </c>
    </row>
    <row r="8" spans="1:41" s="18" customFormat="1" ht="16.8" customHeight="1">
      <c r="I8" s="22">
        <v>161</v>
      </c>
      <c r="J8" s="22" t="s">
        <v>108</v>
      </c>
      <c r="K8" s="22" t="s">
        <v>109</v>
      </c>
      <c r="L8" s="22" t="s">
        <v>187</v>
      </c>
      <c r="M8" s="22" t="s">
        <v>188</v>
      </c>
      <c r="N8" s="22" t="s">
        <v>130</v>
      </c>
      <c r="O8" s="22" t="s">
        <v>112</v>
      </c>
      <c r="P8" s="22">
        <v>5580</v>
      </c>
      <c r="Q8" s="22" t="s">
        <v>147</v>
      </c>
      <c r="R8" s="22" t="s">
        <v>189</v>
      </c>
      <c r="S8" s="22" t="s">
        <v>114</v>
      </c>
      <c r="T8" s="22" t="s">
        <v>112</v>
      </c>
      <c r="U8" s="22" t="s">
        <v>132</v>
      </c>
      <c r="V8" s="22" t="s">
        <v>116</v>
      </c>
      <c r="W8" s="22" t="s">
        <v>190</v>
      </c>
      <c r="X8" s="22" t="s">
        <v>19</v>
      </c>
      <c r="Y8" s="22" t="s">
        <v>191</v>
      </c>
      <c r="Z8" s="22" t="s">
        <v>19</v>
      </c>
      <c r="AA8" s="22" t="s">
        <v>191</v>
      </c>
      <c r="AB8" s="22" t="s">
        <v>192</v>
      </c>
      <c r="AC8" s="22" t="s">
        <v>120</v>
      </c>
      <c r="AD8" s="22" t="s">
        <v>193</v>
      </c>
      <c r="AE8" s="22" t="s">
        <v>194</v>
      </c>
      <c r="AF8" s="22" t="s">
        <v>187</v>
      </c>
      <c r="AG8" s="22"/>
      <c r="AH8" s="22" t="s">
        <v>138</v>
      </c>
      <c r="AI8" s="22" t="s">
        <v>195</v>
      </c>
      <c r="AJ8" s="22" t="s">
        <v>140</v>
      </c>
      <c r="AK8" s="22" t="s">
        <v>196</v>
      </c>
      <c r="AL8" s="22" t="s">
        <v>197</v>
      </c>
      <c r="AM8" s="22" t="s">
        <v>143</v>
      </c>
      <c r="AN8" s="22" t="s">
        <v>144</v>
      </c>
      <c r="AO8" s="22" t="s">
        <v>112</v>
      </c>
    </row>
    <row r="9" spans="1:41" s="18" customFormat="1" ht="16.8" customHeight="1">
      <c r="I9" s="22">
        <v>162</v>
      </c>
      <c r="J9" s="22" t="s">
        <v>108</v>
      </c>
      <c r="K9" s="22" t="s">
        <v>109</v>
      </c>
      <c r="L9" s="22" t="s">
        <v>187</v>
      </c>
      <c r="M9" s="22" t="s">
        <v>198</v>
      </c>
      <c r="N9" s="22" t="s">
        <v>130</v>
      </c>
      <c r="O9" s="22" t="s">
        <v>112</v>
      </c>
      <c r="P9" s="22">
        <v>5780</v>
      </c>
      <c r="Q9" s="22" t="s">
        <v>147</v>
      </c>
      <c r="R9" s="22" t="s">
        <v>199</v>
      </c>
      <c r="S9" s="22" t="s">
        <v>114</v>
      </c>
      <c r="T9" s="22" t="s">
        <v>112</v>
      </c>
      <c r="U9" s="22" t="s">
        <v>132</v>
      </c>
      <c r="V9" s="22" t="s">
        <v>116</v>
      </c>
      <c r="W9" s="22" t="s">
        <v>200</v>
      </c>
      <c r="X9" s="22" t="s">
        <v>19</v>
      </c>
      <c r="Y9" s="22" t="s">
        <v>201</v>
      </c>
      <c r="Z9" s="22" t="s">
        <v>19</v>
      </c>
      <c r="AA9" s="22" t="s">
        <v>202</v>
      </c>
      <c r="AB9" s="22" t="s">
        <v>203</v>
      </c>
      <c r="AC9" s="22" t="s">
        <v>120</v>
      </c>
      <c r="AD9" s="22" t="s">
        <v>193</v>
      </c>
      <c r="AE9" s="22" t="s">
        <v>204</v>
      </c>
      <c r="AF9" s="22" t="s">
        <v>187</v>
      </c>
      <c r="AG9" s="22"/>
      <c r="AH9" s="22" t="s">
        <v>205</v>
      </c>
      <c r="AI9" s="22" t="s">
        <v>206</v>
      </c>
      <c r="AJ9" s="22" t="s">
        <v>140</v>
      </c>
      <c r="AK9" s="22" t="s">
        <v>207</v>
      </c>
      <c r="AL9" s="22" t="s">
        <v>208</v>
      </c>
      <c r="AM9" s="22" t="s">
        <v>157</v>
      </c>
      <c r="AN9" s="22" t="s">
        <v>209</v>
      </c>
      <c r="AO9" s="22" t="s">
        <v>112</v>
      </c>
    </row>
    <row r="10" spans="1:41" s="18" customFormat="1" ht="16.8" customHeight="1">
      <c r="I10" s="22">
        <v>165</v>
      </c>
      <c r="J10" s="22" t="s">
        <v>108</v>
      </c>
      <c r="K10" s="22" t="s">
        <v>109</v>
      </c>
      <c r="L10" s="22" t="s">
        <v>187</v>
      </c>
      <c r="M10" s="22" t="s">
        <v>210</v>
      </c>
      <c r="N10" s="22" t="s">
        <v>130</v>
      </c>
      <c r="O10" s="22" t="s">
        <v>112</v>
      </c>
      <c r="P10" s="22">
        <v>5480</v>
      </c>
      <c r="Q10" s="22" t="s">
        <v>147</v>
      </c>
      <c r="R10" s="22" t="s">
        <v>189</v>
      </c>
      <c r="S10" s="22" t="s">
        <v>114</v>
      </c>
      <c r="T10" s="22" t="s">
        <v>112</v>
      </c>
      <c r="U10" s="22" t="s">
        <v>132</v>
      </c>
      <c r="V10" s="22" t="s">
        <v>116</v>
      </c>
      <c r="W10" s="22" t="s">
        <v>190</v>
      </c>
      <c r="X10" s="22" t="s">
        <v>19</v>
      </c>
      <c r="Y10" s="22" t="s">
        <v>211</v>
      </c>
      <c r="Z10" s="22" t="s">
        <v>19</v>
      </c>
      <c r="AA10" s="22" t="s">
        <v>211</v>
      </c>
      <c r="AB10" s="22" t="s">
        <v>212</v>
      </c>
      <c r="AC10" s="22" t="s">
        <v>120</v>
      </c>
      <c r="AD10" s="22" t="s">
        <v>193</v>
      </c>
      <c r="AE10" s="22" t="s">
        <v>213</v>
      </c>
      <c r="AF10" s="22" t="s">
        <v>187</v>
      </c>
      <c r="AG10" s="22"/>
      <c r="AH10" s="22" t="s">
        <v>205</v>
      </c>
      <c r="AI10" s="22" t="s">
        <v>214</v>
      </c>
      <c r="AJ10" s="22" t="s">
        <v>140</v>
      </c>
      <c r="AK10" s="22" t="s">
        <v>215</v>
      </c>
      <c r="AL10" s="22" t="s">
        <v>216</v>
      </c>
      <c r="AM10" s="22" t="s">
        <v>143</v>
      </c>
      <c r="AN10" s="22" t="s">
        <v>209</v>
      </c>
      <c r="AO10" s="22" t="s">
        <v>112</v>
      </c>
    </row>
    <row r="11" spans="1:41" s="18" customFormat="1" ht="16.8" customHeight="1">
      <c r="I11" s="22">
        <v>188</v>
      </c>
      <c r="J11" s="22" t="s">
        <v>108</v>
      </c>
      <c r="K11" s="22" t="s">
        <v>109</v>
      </c>
      <c r="L11" s="22" t="s">
        <v>217</v>
      </c>
      <c r="M11" s="22" t="s">
        <v>218</v>
      </c>
      <c r="N11" s="22" t="s">
        <v>130</v>
      </c>
      <c r="O11" s="22" t="s">
        <v>112</v>
      </c>
      <c r="P11" s="22">
        <v>5674</v>
      </c>
      <c r="Q11" s="22"/>
      <c r="R11" s="22" t="s">
        <v>219</v>
      </c>
      <c r="S11" s="22" t="s">
        <v>131</v>
      </c>
      <c r="T11" s="22" t="s">
        <v>112</v>
      </c>
      <c r="U11" s="22" t="s">
        <v>132</v>
      </c>
      <c r="V11" s="22" t="s">
        <v>116</v>
      </c>
      <c r="W11" s="22" t="s">
        <v>117</v>
      </c>
      <c r="X11" s="22" t="s">
        <v>24</v>
      </c>
      <c r="Y11" s="22" t="s">
        <v>220</v>
      </c>
      <c r="Z11" s="22" t="s">
        <v>24</v>
      </c>
      <c r="AA11" s="22" t="s">
        <v>221</v>
      </c>
      <c r="AB11" s="22" t="s">
        <v>222</v>
      </c>
      <c r="AC11" s="22" t="s">
        <v>120</v>
      </c>
      <c r="AD11" s="22" t="s">
        <v>223</v>
      </c>
      <c r="AE11" s="22" t="s">
        <v>224</v>
      </c>
      <c r="AF11" s="22" t="s">
        <v>217</v>
      </c>
      <c r="AG11" s="22"/>
      <c r="AH11" s="22" t="s">
        <v>205</v>
      </c>
      <c r="AI11" s="22" t="s">
        <v>225</v>
      </c>
      <c r="AJ11" s="22" t="s">
        <v>140</v>
      </c>
      <c r="AK11" s="22" t="s">
        <v>226</v>
      </c>
      <c r="AL11" s="22" t="s">
        <v>227</v>
      </c>
      <c r="AM11" s="22" t="s">
        <v>157</v>
      </c>
      <c r="AN11" s="22" t="s">
        <v>209</v>
      </c>
      <c r="AO11" s="22" t="s">
        <v>112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AY253"/>
  <sheetViews>
    <sheetView workbookViewId="0"/>
  </sheetViews>
  <sheetFormatPr defaultColWidth="10" defaultRowHeight="16.8" customHeight="1"/>
  <cols>
    <col min="4" max="4" width="13.6328125" style="18" customWidth="1"/>
    <col min="6" max="6" width="14.453125" style="18"/>
    <col min="23" max="23" width="24.81640625" style="18" customWidth="1"/>
    <col min="41" max="41" width="26.36328125" style="18" customWidth="1"/>
  </cols>
  <sheetData>
    <row r="1" spans="1:42" ht="27.75" customHeight="1">
      <c r="A1" s="147" t="s">
        <v>228</v>
      </c>
      <c r="B1" s="147" t="s">
        <v>30</v>
      </c>
      <c r="C1" s="151" t="s">
        <v>31</v>
      </c>
      <c r="D1" s="150"/>
      <c r="E1" s="150"/>
      <c r="F1" s="150"/>
      <c r="G1" s="150"/>
      <c r="H1" s="150"/>
      <c r="I1" s="23"/>
      <c r="J1" s="23"/>
      <c r="K1" s="23"/>
    </row>
    <row r="2" spans="1:42" ht="27.75" customHeight="1">
      <c r="A2" s="148"/>
      <c r="B2" s="148"/>
      <c r="C2" s="24" t="s">
        <v>35</v>
      </c>
      <c r="D2" s="25" t="s">
        <v>229</v>
      </c>
      <c r="E2" s="24" t="s">
        <v>230</v>
      </c>
      <c r="F2" s="26" t="s">
        <v>38</v>
      </c>
      <c r="G2" s="26" t="s">
        <v>39</v>
      </c>
      <c r="H2" s="24" t="s">
        <v>231</v>
      </c>
      <c r="I2" s="23"/>
      <c r="J2" s="23"/>
      <c r="K2" s="23"/>
    </row>
    <row r="3" spans="1:42" ht="16.5" customHeight="1">
      <c r="A3" s="152" t="s">
        <v>56</v>
      </c>
      <c r="B3" s="11" t="s">
        <v>12</v>
      </c>
      <c r="C3" s="27">
        <v>290000</v>
      </c>
      <c r="D3" s="28">
        <f t="shared" ref="D3:D8" si="0">SUMIF(Y:Y,B3,Q:Q)</f>
        <v>592469.15</v>
      </c>
      <c r="E3" s="11">
        <f>SUMIF(四六级退费合计!E:E,B3,四六级退费合计!AP:AP)</f>
        <v>90192</v>
      </c>
      <c r="F3" s="11">
        <f t="shared" ref="F3:F8" si="1">D3-E3</f>
        <v>502277.15</v>
      </c>
      <c r="G3" s="29">
        <f t="shared" ref="G3:G9" si="2">F3/C3</f>
        <v>1.7319901724137932</v>
      </c>
      <c r="H3" s="149">
        <v>1</v>
      </c>
      <c r="I3" s="11"/>
      <c r="J3" s="11"/>
      <c r="K3" s="11"/>
    </row>
    <row r="4" spans="1:42" ht="16.5" customHeight="1">
      <c r="A4" s="150"/>
      <c r="B4" s="30" t="s">
        <v>19</v>
      </c>
      <c r="C4" s="31">
        <v>290000</v>
      </c>
      <c r="D4" s="32">
        <f t="shared" si="0"/>
        <v>278067.15000000002</v>
      </c>
      <c r="E4" s="30">
        <f>SUMIF(四六级退费合计!E:E,B4,四六级退费合计!AP:AP)</f>
        <v>25340</v>
      </c>
      <c r="F4" s="30">
        <f t="shared" si="1"/>
        <v>252727.15000000002</v>
      </c>
      <c r="G4" s="33">
        <f t="shared" si="2"/>
        <v>0.87147293103448287</v>
      </c>
      <c r="H4" s="150"/>
      <c r="I4" s="23"/>
      <c r="J4" s="23"/>
      <c r="K4" s="23"/>
    </row>
    <row r="5" spans="1:42" ht="16.5" customHeight="1">
      <c r="A5" s="150"/>
      <c r="B5" s="30" t="s">
        <v>20</v>
      </c>
      <c r="C5" s="31">
        <v>320000</v>
      </c>
      <c r="D5" s="32">
        <f t="shared" si="0"/>
        <v>249852</v>
      </c>
      <c r="E5" s="30">
        <f>SUMIF(四六级退费合计!E:E,B5,四六级退费合计!AP:AP)</f>
        <v>44280</v>
      </c>
      <c r="F5" s="30">
        <f t="shared" si="1"/>
        <v>205572</v>
      </c>
      <c r="G5" s="33">
        <f t="shared" si="2"/>
        <v>0.64241250000000005</v>
      </c>
      <c r="H5" s="150"/>
      <c r="I5" s="23"/>
      <c r="J5" s="23"/>
      <c r="K5" s="23"/>
    </row>
    <row r="6" spans="1:42" ht="16.5" customHeight="1">
      <c r="A6" s="150"/>
      <c r="B6" s="30" t="s">
        <v>21</v>
      </c>
      <c r="C6" s="31">
        <v>290000</v>
      </c>
      <c r="D6" s="32">
        <f t="shared" si="0"/>
        <v>460819</v>
      </c>
      <c r="E6" s="30">
        <f>SUMIF(四六级退费合计!E:E,B6,四六级退费合计!AP:AP)</f>
        <v>97516</v>
      </c>
      <c r="F6" s="30">
        <f t="shared" si="1"/>
        <v>363303</v>
      </c>
      <c r="G6" s="33">
        <f t="shared" si="2"/>
        <v>1.2527689655172414</v>
      </c>
      <c r="H6" s="150"/>
      <c r="I6" s="23"/>
      <c r="J6" s="23"/>
      <c r="K6" s="23"/>
    </row>
    <row r="7" spans="1:42" ht="16.5" customHeight="1">
      <c r="A7" s="150"/>
      <c r="B7" s="30" t="s">
        <v>22</v>
      </c>
      <c r="C7" s="31">
        <v>290000</v>
      </c>
      <c r="D7" s="32">
        <f t="shared" si="0"/>
        <v>695660.15</v>
      </c>
      <c r="E7" s="30">
        <f>SUMIF(四六级退费合计!E:E,B7,四六级退费合计!AP:AP)</f>
        <v>190702</v>
      </c>
      <c r="F7" s="30">
        <f t="shared" si="1"/>
        <v>504958.15</v>
      </c>
      <c r="G7" s="33">
        <f t="shared" si="2"/>
        <v>1.7412350000000001</v>
      </c>
      <c r="H7" s="150"/>
      <c r="I7" s="23"/>
      <c r="J7" s="23"/>
      <c r="K7" s="23"/>
    </row>
    <row r="8" spans="1:42" ht="16.5" customHeight="1">
      <c r="A8" s="150"/>
      <c r="B8" s="30" t="s">
        <v>24</v>
      </c>
      <c r="C8" s="31">
        <v>320000</v>
      </c>
      <c r="D8" s="32">
        <f t="shared" si="0"/>
        <v>354120</v>
      </c>
      <c r="E8" s="30">
        <f>SUMIF(四六级退费合计!E:E,B8,四六级退费合计!AP:AP)</f>
        <v>22960</v>
      </c>
      <c r="F8" s="30">
        <f t="shared" si="1"/>
        <v>331160</v>
      </c>
      <c r="G8" s="33">
        <f t="shared" si="2"/>
        <v>1.034875</v>
      </c>
      <c r="H8" s="150"/>
      <c r="I8" s="23"/>
      <c r="J8" s="23"/>
      <c r="K8" s="23"/>
    </row>
    <row r="9" spans="1:42" ht="16.5" customHeight="1">
      <c r="A9" s="145" t="s">
        <v>232</v>
      </c>
      <c r="B9" s="146"/>
      <c r="C9" s="24">
        <f>SUM(C3:C8)</f>
        <v>1800000</v>
      </c>
      <c r="D9" s="24">
        <f>SUM(D3:D8)</f>
        <v>2630987.4500000002</v>
      </c>
      <c r="E9" s="24">
        <f>SUM(E3:E8)</f>
        <v>470990</v>
      </c>
      <c r="F9" s="24">
        <f>SUM(F3:F8)</f>
        <v>2159997.4500000002</v>
      </c>
      <c r="G9" s="34">
        <f t="shared" si="2"/>
        <v>1.1999985833333335</v>
      </c>
      <c r="H9" s="150"/>
      <c r="I9" s="23"/>
      <c r="J9" s="23"/>
      <c r="K9" s="23"/>
    </row>
    <row r="10" spans="1:42" ht="16.5" customHeight="1">
      <c r="H10" s="23"/>
    </row>
    <row r="11" spans="1:42" s="18" customFormat="1" ht="13.95" customHeight="1">
      <c r="J11" s="21" t="s">
        <v>1</v>
      </c>
      <c r="K11" s="21" t="s">
        <v>79</v>
      </c>
      <c r="L11" s="21" t="s">
        <v>6</v>
      </c>
      <c r="M11" s="21" t="s">
        <v>80</v>
      </c>
      <c r="N11" s="21" t="s">
        <v>5</v>
      </c>
      <c r="O11" s="21" t="s">
        <v>81</v>
      </c>
      <c r="P11" s="21" t="s">
        <v>82</v>
      </c>
      <c r="Q11" s="21" t="s">
        <v>83</v>
      </c>
      <c r="R11" s="21" t="s">
        <v>84</v>
      </c>
      <c r="S11" s="21" t="s">
        <v>85</v>
      </c>
      <c r="T11" s="21" t="s">
        <v>86</v>
      </c>
      <c r="U11" s="21" t="s">
        <v>87</v>
      </c>
      <c r="V11" s="21" t="s">
        <v>88</v>
      </c>
      <c r="W11" s="21" t="s">
        <v>89</v>
      </c>
      <c r="X11" s="21" t="s">
        <v>90</v>
      </c>
      <c r="Y11" s="21" t="s">
        <v>91</v>
      </c>
      <c r="Z11" s="21" t="s">
        <v>92</v>
      </c>
      <c r="AA11" s="21" t="s">
        <v>93</v>
      </c>
      <c r="AB11" s="21" t="s">
        <v>94</v>
      </c>
      <c r="AC11" s="21" t="s">
        <v>95</v>
      </c>
      <c r="AD11" s="21" t="s">
        <v>96</v>
      </c>
      <c r="AE11" s="21" t="s">
        <v>97</v>
      </c>
      <c r="AF11" s="21" t="s">
        <v>98</v>
      </c>
      <c r="AG11" s="21" t="s">
        <v>99</v>
      </c>
      <c r="AH11" s="21" t="s">
        <v>100</v>
      </c>
      <c r="AI11" s="21" t="s">
        <v>101</v>
      </c>
      <c r="AJ11" s="21" t="s">
        <v>79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</row>
    <row r="12" spans="1:42" s="18" customFormat="1" ht="16.8" customHeight="1">
      <c r="J12" s="22">
        <v>1</v>
      </c>
      <c r="K12" s="22" t="s">
        <v>108</v>
      </c>
      <c r="L12" s="22" t="s">
        <v>109</v>
      </c>
      <c r="M12" s="22" t="s">
        <v>233</v>
      </c>
      <c r="N12" s="22" t="s">
        <v>234</v>
      </c>
      <c r="O12" s="22" t="s">
        <v>130</v>
      </c>
      <c r="P12" s="22" t="s">
        <v>112</v>
      </c>
      <c r="Q12" s="22">
        <v>5832</v>
      </c>
      <c r="R12" s="22"/>
      <c r="S12" s="22" t="s">
        <v>112</v>
      </c>
      <c r="T12" s="22" t="s">
        <v>131</v>
      </c>
      <c r="U12" s="22" t="s">
        <v>112</v>
      </c>
      <c r="V12" s="22" t="s">
        <v>132</v>
      </c>
      <c r="W12" s="22" t="s">
        <v>235</v>
      </c>
      <c r="X12" s="22" t="s">
        <v>236</v>
      </c>
      <c r="Y12" s="22" t="s">
        <v>24</v>
      </c>
      <c r="Z12" s="22" t="s">
        <v>237</v>
      </c>
      <c r="AA12" s="22" t="s">
        <v>24</v>
      </c>
      <c r="AB12" s="22" t="s">
        <v>238</v>
      </c>
      <c r="AC12" s="22" t="s">
        <v>239</v>
      </c>
      <c r="AD12" s="22" t="s">
        <v>120</v>
      </c>
      <c r="AE12" s="22" t="s">
        <v>136</v>
      </c>
      <c r="AF12" s="22" t="s">
        <v>240</v>
      </c>
      <c r="AG12" s="22" t="s">
        <v>233</v>
      </c>
      <c r="AH12" s="22"/>
      <c r="AI12" s="22" t="s">
        <v>138</v>
      </c>
      <c r="AJ12" s="22" t="s">
        <v>241</v>
      </c>
      <c r="AK12" s="22" t="s">
        <v>140</v>
      </c>
      <c r="AL12" s="22" t="s">
        <v>242</v>
      </c>
      <c r="AM12" s="22" t="s">
        <v>242</v>
      </c>
      <c r="AN12" s="22" t="s">
        <v>143</v>
      </c>
      <c r="AO12" s="22" t="s">
        <v>144</v>
      </c>
      <c r="AP12" s="22" t="s">
        <v>112</v>
      </c>
    </row>
    <row r="13" spans="1:42" s="18" customFormat="1" ht="16.8" customHeight="1">
      <c r="J13" s="22">
        <v>3</v>
      </c>
      <c r="K13" s="22" t="s">
        <v>108</v>
      </c>
      <c r="L13" s="22" t="s">
        <v>109</v>
      </c>
      <c r="M13" s="22" t="s">
        <v>243</v>
      </c>
      <c r="N13" s="22" t="s">
        <v>244</v>
      </c>
      <c r="O13" s="22" t="s">
        <v>130</v>
      </c>
      <c r="P13" s="22" t="s">
        <v>112</v>
      </c>
      <c r="Q13" s="22">
        <v>49</v>
      </c>
      <c r="R13" s="22"/>
      <c r="S13" s="22" t="s">
        <v>112</v>
      </c>
      <c r="T13" s="22" t="s">
        <v>131</v>
      </c>
      <c r="U13" s="22" t="s">
        <v>112</v>
      </c>
      <c r="V13" s="22" t="s">
        <v>245</v>
      </c>
      <c r="W13" s="22" t="s">
        <v>246</v>
      </c>
      <c r="X13" s="22" t="s">
        <v>247</v>
      </c>
      <c r="Y13" s="22" t="s">
        <v>19</v>
      </c>
      <c r="Z13" s="22" t="s">
        <v>248</v>
      </c>
      <c r="AA13" s="22" t="s">
        <v>19</v>
      </c>
      <c r="AB13" s="22" t="s">
        <v>249</v>
      </c>
      <c r="AC13" s="22" t="s">
        <v>250</v>
      </c>
      <c r="AD13" s="22" t="s">
        <v>120</v>
      </c>
      <c r="AE13" s="22"/>
      <c r="AF13" s="22"/>
      <c r="AG13" s="22"/>
      <c r="AH13" s="22"/>
      <c r="AI13" s="22" t="s">
        <v>205</v>
      </c>
      <c r="AJ13" s="22" t="s">
        <v>225</v>
      </c>
      <c r="AK13" s="22" t="s">
        <v>251</v>
      </c>
      <c r="AL13" s="22" t="s">
        <v>252</v>
      </c>
      <c r="AM13" s="22" t="s">
        <v>253</v>
      </c>
      <c r="AN13" s="22" t="s">
        <v>143</v>
      </c>
      <c r="AO13" s="22" t="s">
        <v>209</v>
      </c>
      <c r="AP13" s="22" t="s">
        <v>112</v>
      </c>
    </row>
    <row r="14" spans="1:42" s="18" customFormat="1" ht="16.8" customHeight="1">
      <c r="J14" s="22">
        <v>4</v>
      </c>
      <c r="K14" s="22" t="s">
        <v>108</v>
      </c>
      <c r="L14" s="22" t="s">
        <v>109</v>
      </c>
      <c r="M14" s="22" t="s">
        <v>243</v>
      </c>
      <c r="N14" s="22" t="s">
        <v>254</v>
      </c>
      <c r="O14" s="22" t="s">
        <v>130</v>
      </c>
      <c r="P14" s="22" t="s">
        <v>112</v>
      </c>
      <c r="Q14" s="22">
        <v>249</v>
      </c>
      <c r="R14" s="22"/>
      <c r="S14" s="22" t="s">
        <v>112</v>
      </c>
      <c r="T14" s="22" t="s">
        <v>131</v>
      </c>
      <c r="U14" s="22" t="s">
        <v>112</v>
      </c>
      <c r="V14" s="22" t="s">
        <v>245</v>
      </c>
      <c r="W14" s="22" t="s">
        <v>235</v>
      </c>
      <c r="X14" s="22" t="s">
        <v>255</v>
      </c>
      <c r="Y14" s="22" t="s">
        <v>19</v>
      </c>
      <c r="Z14" s="22" t="s">
        <v>256</v>
      </c>
      <c r="AA14" s="22" t="s">
        <v>19</v>
      </c>
      <c r="AB14" s="22" t="s">
        <v>257</v>
      </c>
      <c r="AC14" s="22" t="s">
        <v>258</v>
      </c>
      <c r="AD14" s="22" t="s">
        <v>120</v>
      </c>
      <c r="AE14" s="22"/>
      <c r="AF14" s="22"/>
      <c r="AG14" s="22"/>
      <c r="AH14" s="22"/>
      <c r="AI14" s="22" t="s">
        <v>205</v>
      </c>
      <c r="AJ14" s="22" t="s">
        <v>225</v>
      </c>
      <c r="AK14" s="22" t="s">
        <v>140</v>
      </c>
      <c r="AL14" s="22" t="s">
        <v>252</v>
      </c>
      <c r="AM14" s="22" t="s">
        <v>253</v>
      </c>
      <c r="AN14" s="22" t="s">
        <v>143</v>
      </c>
      <c r="AO14" s="22" t="s">
        <v>209</v>
      </c>
      <c r="AP14" s="22" t="s">
        <v>112</v>
      </c>
    </row>
    <row r="15" spans="1:42" s="18" customFormat="1" ht="16.8" customHeight="1">
      <c r="J15" s="22">
        <v>5</v>
      </c>
      <c r="K15" s="22" t="s">
        <v>108</v>
      </c>
      <c r="L15" s="22" t="s">
        <v>109</v>
      </c>
      <c r="M15" s="22" t="s">
        <v>243</v>
      </c>
      <c r="N15" s="22" t="s">
        <v>259</v>
      </c>
      <c r="O15" s="22" t="s">
        <v>130</v>
      </c>
      <c r="P15" s="22" t="s">
        <v>112</v>
      </c>
      <c r="Q15" s="22">
        <v>249</v>
      </c>
      <c r="R15" s="22"/>
      <c r="S15" s="22" t="s">
        <v>112</v>
      </c>
      <c r="T15" s="22" t="s">
        <v>114</v>
      </c>
      <c r="U15" s="22" t="s">
        <v>112</v>
      </c>
      <c r="V15" s="22" t="s">
        <v>245</v>
      </c>
      <c r="W15" s="22" t="s">
        <v>246</v>
      </c>
      <c r="X15" s="22" t="s">
        <v>247</v>
      </c>
      <c r="Y15" s="22" t="s">
        <v>22</v>
      </c>
      <c r="Z15" s="22" t="s">
        <v>260</v>
      </c>
      <c r="AA15" s="22" t="s">
        <v>22</v>
      </c>
      <c r="AB15" s="22" t="s">
        <v>261</v>
      </c>
      <c r="AC15" s="22" t="s">
        <v>262</v>
      </c>
      <c r="AD15" s="22" t="s">
        <v>135</v>
      </c>
      <c r="AE15" s="22"/>
      <c r="AF15" s="22"/>
      <c r="AG15" s="22"/>
      <c r="AH15" s="22"/>
      <c r="AI15" s="22" t="s">
        <v>205</v>
      </c>
      <c r="AJ15" s="22" t="s">
        <v>263</v>
      </c>
      <c r="AK15" s="22" t="s">
        <v>140</v>
      </c>
      <c r="AL15" s="22" t="s">
        <v>264</v>
      </c>
      <c r="AM15" s="22" t="s">
        <v>265</v>
      </c>
      <c r="AN15" s="22" t="s">
        <v>157</v>
      </c>
      <c r="AO15" s="22" t="s">
        <v>209</v>
      </c>
      <c r="AP15" s="22" t="s">
        <v>112</v>
      </c>
    </row>
    <row r="16" spans="1:42" s="18" customFormat="1" ht="16.8" customHeight="1">
      <c r="J16" s="22">
        <v>6</v>
      </c>
      <c r="K16" s="22" t="s">
        <v>108</v>
      </c>
      <c r="L16" s="22" t="s">
        <v>109</v>
      </c>
      <c r="M16" s="22" t="s">
        <v>266</v>
      </c>
      <c r="N16" s="22" t="s">
        <v>267</v>
      </c>
      <c r="O16" s="22" t="s">
        <v>130</v>
      </c>
      <c r="P16" s="22" t="s">
        <v>112</v>
      </c>
      <c r="Q16" s="22">
        <v>1529.15</v>
      </c>
      <c r="R16" s="22"/>
      <c r="S16" s="22" t="s">
        <v>112</v>
      </c>
      <c r="T16" s="22" t="s">
        <v>131</v>
      </c>
      <c r="U16" s="22" t="s">
        <v>112</v>
      </c>
      <c r="V16" s="22" t="s">
        <v>245</v>
      </c>
      <c r="W16" s="22" t="s">
        <v>235</v>
      </c>
      <c r="X16" s="22" t="s">
        <v>255</v>
      </c>
      <c r="Y16" s="22" t="s">
        <v>22</v>
      </c>
      <c r="Z16" s="22" t="s">
        <v>268</v>
      </c>
      <c r="AA16" s="22" t="s">
        <v>22</v>
      </c>
      <c r="AB16" s="22" t="s">
        <v>268</v>
      </c>
      <c r="AC16" s="22" t="s">
        <v>269</v>
      </c>
      <c r="AD16" s="22" t="s">
        <v>120</v>
      </c>
      <c r="AE16" s="22"/>
      <c r="AF16" s="22"/>
      <c r="AG16" s="22"/>
      <c r="AH16" s="22"/>
      <c r="AI16" s="22" t="s">
        <v>270</v>
      </c>
      <c r="AJ16" s="22" t="s">
        <v>263</v>
      </c>
      <c r="AK16" s="22" t="s">
        <v>124</v>
      </c>
      <c r="AL16" s="22" t="s">
        <v>271</v>
      </c>
      <c r="AM16" s="22" t="s">
        <v>128</v>
      </c>
      <c r="AN16" s="22"/>
      <c r="AO16" s="22" t="s">
        <v>112</v>
      </c>
      <c r="AP16" s="22" t="s">
        <v>112</v>
      </c>
    </row>
    <row r="17" spans="10:42" s="18" customFormat="1" ht="16.8" customHeight="1">
      <c r="J17" s="22">
        <v>7</v>
      </c>
      <c r="K17" s="22" t="s">
        <v>108</v>
      </c>
      <c r="L17" s="22" t="s">
        <v>109</v>
      </c>
      <c r="M17" s="22" t="s">
        <v>110</v>
      </c>
      <c r="N17" s="22" t="s">
        <v>272</v>
      </c>
      <c r="O17" s="22" t="s">
        <v>130</v>
      </c>
      <c r="P17" s="22" t="s">
        <v>112</v>
      </c>
      <c r="Q17" s="22">
        <v>5382</v>
      </c>
      <c r="R17" s="22"/>
      <c r="S17" s="22" t="s">
        <v>112</v>
      </c>
      <c r="T17" s="22" t="s">
        <v>131</v>
      </c>
      <c r="U17" s="22" t="s">
        <v>112</v>
      </c>
      <c r="V17" s="22" t="s">
        <v>115</v>
      </c>
      <c r="W17" s="22" t="s">
        <v>273</v>
      </c>
      <c r="X17" s="22" t="s">
        <v>274</v>
      </c>
      <c r="Y17" s="22" t="s">
        <v>12</v>
      </c>
      <c r="Z17" s="22" t="s">
        <v>275</v>
      </c>
      <c r="AA17" s="22" t="s">
        <v>12</v>
      </c>
      <c r="AB17" s="22" t="s">
        <v>275</v>
      </c>
      <c r="AC17" s="22" t="s">
        <v>276</v>
      </c>
      <c r="AD17" s="22" t="s">
        <v>120</v>
      </c>
      <c r="AE17" s="22" t="s">
        <v>136</v>
      </c>
      <c r="AF17" s="22" t="s">
        <v>277</v>
      </c>
      <c r="AG17" s="22" t="s">
        <v>110</v>
      </c>
      <c r="AH17" s="22"/>
      <c r="AI17" s="22" t="s">
        <v>138</v>
      </c>
      <c r="AJ17" s="22" t="s">
        <v>278</v>
      </c>
      <c r="AK17" s="22" t="s">
        <v>140</v>
      </c>
      <c r="AL17" s="22" t="s">
        <v>279</v>
      </c>
      <c r="AM17" s="22" t="s">
        <v>280</v>
      </c>
      <c r="AN17" s="22" t="s">
        <v>143</v>
      </c>
      <c r="AO17" s="22" t="s">
        <v>144</v>
      </c>
      <c r="AP17" s="22" t="s">
        <v>112</v>
      </c>
    </row>
    <row r="18" spans="10:42" s="18" customFormat="1" ht="16.8" customHeight="1">
      <c r="J18" s="22">
        <v>8</v>
      </c>
      <c r="K18" s="22" t="s">
        <v>108</v>
      </c>
      <c r="L18" s="22" t="s">
        <v>109</v>
      </c>
      <c r="M18" s="22" t="s">
        <v>110</v>
      </c>
      <c r="N18" s="22" t="s">
        <v>281</v>
      </c>
      <c r="O18" s="22"/>
      <c r="P18" s="22" t="s">
        <v>112</v>
      </c>
      <c r="Q18" s="22">
        <v>1999</v>
      </c>
      <c r="R18" s="22"/>
      <c r="S18" s="22" t="s">
        <v>112</v>
      </c>
      <c r="T18" s="22" t="s">
        <v>131</v>
      </c>
      <c r="U18" s="22"/>
      <c r="V18" s="22" t="s">
        <v>115</v>
      </c>
      <c r="W18" s="22" t="s">
        <v>282</v>
      </c>
      <c r="X18" s="22" t="s">
        <v>283</v>
      </c>
      <c r="Y18" s="22" t="s">
        <v>19</v>
      </c>
      <c r="Z18" s="22" t="s">
        <v>284</v>
      </c>
      <c r="AA18" s="22"/>
      <c r="AB18" s="22"/>
      <c r="AC18" s="22" t="s">
        <v>285</v>
      </c>
      <c r="AD18" s="22" t="s">
        <v>120</v>
      </c>
      <c r="AE18" s="22"/>
      <c r="AF18" s="22"/>
      <c r="AG18" s="22"/>
      <c r="AH18" s="22"/>
      <c r="AI18" s="22" t="s">
        <v>122</v>
      </c>
      <c r="AJ18" s="22" t="s">
        <v>139</v>
      </c>
      <c r="AK18" s="22" t="s">
        <v>286</v>
      </c>
      <c r="AL18" s="22" t="s">
        <v>141</v>
      </c>
      <c r="AM18" s="22" t="s">
        <v>142</v>
      </c>
      <c r="AN18" s="22" t="s">
        <v>287</v>
      </c>
      <c r="AO18" s="22" t="s">
        <v>127</v>
      </c>
      <c r="AP18" s="22" t="s">
        <v>128</v>
      </c>
    </row>
    <row r="19" spans="10:42" s="18" customFormat="1" ht="16.8" customHeight="1">
      <c r="J19" s="22">
        <v>9</v>
      </c>
      <c r="K19" s="22" t="s">
        <v>108</v>
      </c>
      <c r="L19" s="22" t="s">
        <v>109</v>
      </c>
      <c r="M19" s="22" t="s">
        <v>110</v>
      </c>
      <c r="N19" s="22" t="s">
        <v>111</v>
      </c>
      <c r="O19" s="22"/>
      <c r="P19" s="22" t="s">
        <v>112</v>
      </c>
      <c r="Q19" s="22">
        <v>3120</v>
      </c>
      <c r="R19" s="22"/>
      <c r="S19" s="22" t="s">
        <v>113</v>
      </c>
      <c r="T19" s="22" t="s">
        <v>114</v>
      </c>
      <c r="U19" s="22"/>
      <c r="V19" s="22" t="s">
        <v>115</v>
      </c>
      <c r="W19" s="22" t="s">
        <v>116</v>
      </c>
      <c r="X19" s="22" t="s">
        <v>117</v>
      </c>
      <c r="Y19" s="22" t="s">
        <v>12</v>
      </c>
      <c r="Z19" s="22" t="s">
        <v>118</v>
      </c>
      <c r="AA19" s="22"/>
      <c r="AB19" s="22"/>
      <c r="AC19" s="22" t="s">
        <v>119</v>
      </c>
      <c r="AD19" s="22" t="s">
        <v>120</v>
      </c>
      <c r="AE19" s="22"/>
      <c r="AF19" s="22" t="s">
        <v>121</v>
      </c>
      <c r="AG19" s="22"/>
      <c r="AH19" s="22"/>
      <c r="AI19" s="22" t="s">
        <v>122</v>
      </c>
      <c r="AJ19" s="22" t="s">
        <v>123</v>
      </c>
      <c r="AK19" s="22" t="s">
        <v>124</v>
      </c>
      <c r="AL19" s="22" t="s">
        <v>125</v>
      </c>
      <c r="AM19" s="22" t="s">
        <v>125</v>
      </c>
      <c r="AN19" s="22" t="s">
        <v>126</v>
      </c>
      <c r="AO19" s="22" t="s">
        <v>127</v>
      </c>
      <c r="AP19" s="22" t="s">
        <v>128</v>
      </c>
    </row>
    <row r="20" spans="10:42" s="18" customFormat="1" ht="16.8" customHeight="1">
      <c r="J20" s="22">
        <v>10</v>
      </c>
      <c r="K20" s="22" t="s">
        <v>108</v>
      </c>
      <c r="L20" s="22" t="s">
        <v>109</v>
      </c>
      <c r="M20" s="22" t="s">
        <v>110</v>
      </c>
      <c r="N20" s="22" t="s">
        <v>288</v>
      </c>
      <c r="O20" s="22" t="s">
        <v>130</v>
      </c>
      <c r="P20" s="22" t="s">
        <v>112</v>
      </c>
      <c r="Q20" s="22">
        <v>15120</v>
      </c>
      <c r="R20" s="22" t="s">
        <v>147</v>
      </c>
      <c r="S20" s="22" t="s">
        <v>289</v>
      </c>
      <c r="T20" s="22" t="s">
        <v>114</v>
      </c>
      <c r="U20" s="22" t="s">
        <v>112</v>
      </c>
      <c r="V20" s="22" t="s">
        <v>115</v>
      </c>
      <c r="W20" s="22" t="s">
        <v>116</v>
      </c>
      <c r="X20" s="22" t="s">
        <v>290</v>
      </c>
      <c r="Y20" s="22" t="s">
        <v>12</v>
      </c>
      <c r="Z20" s="22" t="s">
        <v>291</v>
      </c>
      <c r="AA20" s="22" t="s">
        <v>12</v>
      </c>
      <c r="AB20" s="22" t="s">
        <v>291</v>
      </c>
      <c r="AC20" s="22" t="s">
        <v>292</v>
      </c>
      <c r="AD20" s="22" t="s">
        <v>135</v>
      </c>
      <c r="AE20" s="22" t="s">
        <v>136</v>
      </c>
      <c r="AF20" s="22" t="s">
        <v>293</v>
      </c>
      <c r="AG20" s="22" t="s">
        <v>110</v>
      </c>
      <c r="AH20" s="22"/>
      <c r="AI20" s="22" t="s">
        <v>205</v>
      </c>
      <c r="AJ20" s="22" t="s">
        <v>294</v>
      </c>
      <c r="AK20" s="22" t="s">
        <v>286</v>
      </c>
      <c r="AL20" s="22" t="s">
        <v>295</v>
      </c>
      <c r="AM20" s="22" t="s">
        <v>197</v>
      </c>
      <c r="AN20" s="22" t="s">
        <v>143</v>
      </c>
      <c r="AO20" s="22" t="s">
        <v>296</v>
      </c>
      <c r="AP20" s="22" t="s">
        <v>112</v>
      </c>
    </row>
    <row r="21" spans="10:42" s="18" customFormat="1" ht="16.8" customHeight="1">
      <c r="J21" s="22">
        <v>11</v>
      </c>
      <c r="K21" s="22" t="s">
        <v>108</v>
      </c>
      <c r="L21" s="22" t="s">
        <v>109</v>
      </c>
      <c r="M21" s="22" t="s">
        <v>297</v>
      </c>
      <c r="N21" s="22" t="s">
        <v>298</v>
      </c>
      <c r="O21" s="22" t="s">
        <v>130</v>
      </c>
      <c r="P21" s="22" t="s">
        <v>112</v>
      </c>
      <c r="Q21" s="22">
        <v>1529.15</v>
      </c>
      <c r="R21" s="22"/>
      <c r="S21" s="22" t="s">
        <v>112</v>
      </c>
      <c r="T21" s="22" t="s">
        <v>131</v>
      </c>
      <c r="U21" s="22" t="s">
        <v>112</v>
      </c>
      <c r="V21" s="22" t="s">
        <v>115</v>
      </c>
      <c r="W21" s="22" t="s">
        <v>282</v>
      </c>
      <c r="X21" s="22" t="s">
        <v>283</v>
      </c>
      <c r="Y21" s="22" t="s">
        <v>12</v>
      </c>
      <c r="Z21" s="22" t="s">
        <v>299</v>
      </c>
      <c r="AA21" s="22" t="s">
        <v>12</v>
      </c>
      <c r="AB21" s="22" t="s">
        <v>300</v>
      </c>
      <c r="AC21" s="22" t="s">
        <v>301</v>
      </c>
      <c r="AD21" s="22" t="s">
        <v>120</v>
      </c>
      <c r="AE21" s="22"/>
      <c r="AF21" s="22"/>
      <c r="AG21" s="22"/>
      <c r="AH21" s="22"/>
      <c r="AI21" s="22" t="s">
        <v>302</v>
      </c>
      <c r="AJ21" s="22" t="s">
        <v>139</v>
      </c>
      <c r="AK21" s="22" t="s">
        <v>303</v>
      </c>
      <c r="AL21" s="22" t="s">
        <v>141</v>
      </c>
      <c r="AM21" s="22" t="s">
        <v>142</v>
      </c>
      <c r="AN21" s="22"/>
      <c r="AO21" s="22" t="s">
        <v>112</v>
      </c>
      <c r="AP21" s="22" t="s">
        <v>112</v>
      </c>
    </row>
    <row r="22" spans="10:42" s="18" customFormat="1" ht="16.8" customHeight="1">
      <c r="J22" s="22">
        <v>12</v>
      </c>
      <c r="K22" s="22" t="s">
        <v>108</v>
      </c>
      <c r="L22" s="22" t="s">
        <v>109</v>
      </c>
      <c r="M22" s="22" t="s">
        <v>233</v>
      </c>
      <c r="N22" s="22" t="s">
        <v>111</v>
      </c>
      <c r="O22" s="22"/>
      <c r="P22" s="22" t="s">
        <v>112</v>
      </c>
      <c r="Q22" s="22">
        <v>22880</v>
      </c>
      <c r="R22" s="22"/>
      <c r="S22" s="22" t="s">
        <v>304</v>
      </c>
      <c r="T22" s="22" t="s">
        <v>114</v>
      </c>
      <c r="U22" s="22"/>
      <c r="V22" s="22" t="s">
        <v>115</v>
      </c>
      <c r="W22" s="22" t="s">
        <v>116</v>
      </c>
      <c r="X22" s="22" t="s">
        <v>290</v>
      </c>
      <c r="Y22" s="22" t="s">
        <v>12</v>
      </c>
      <c r="Z22" s="22" t="s">
        <v>305</v>
      </c>
      <c r="AA22" s="22"/>
      <c r="AB22" s="22"/>
      <c r="AC22" s="22" t="s">
        <v>306</v>
      </c>
      <c r="AD22" s="22" t="s">
        <v>120</v>
      </c>
      <c r="AE22" s="22"/>
      <c r="AF22" s="22" t="s">
        <v>121</v>
      </c>
      <c r="AG22" s="22"/>
      <c r="AH22" s="22"/>
      <c r="AI22" s="22" t="s">
        <v>122</v>
      </c>
      <c r="AJ22" s="22" t="s">
        <v>123</v>
      </c>
      <c r="AK22" s="22" t="s">
        <v>124</v>
      </c>
      <c r="AL22" s="22" t="s">
        <v>125</v>
      </c>
      <c r="AM22" s="22" t="s">
        <v>125</v>
      </c>
      <c r="AN22" s="22" t="s">
        <v>287</v>
      </c>
      <c r="AO22" s="22" t="s">
        <v>127</v>
      </c>
      <c r="AP22" s="22" t="s">
        <v>128</v>
      </c>
    </row>
    <row r="23" spans="10:42" s="18" customFormat="1" ht="16.8" customHeight="1">
      <c r="J23" s="22">
        <v>13</v>
      </c>
      <c r="K23" s="22" t="s">
        <v>108</v>
      </c>
      <c r="L23" s="22" t="s">
        <v>109</v>
      </c>
      <c r="M23" s="22" t="s">
        <v>233</v>
      </c>
      <c r="N23" s="22" t="s">
        <v>307</v>
      </c>
      <c r="O23" s="22"/>
      <c r="P23" s="22" t="s">
        <v>112</v>
      </c>
      <c r="Q23" s="22">
        <v>1999</v>
      </c>
      <c r="R23" s="22"/>
      <c r="S23" s="22" t="s">
        <v>112</v>
      </c>
      <c r="T23" s="22" t="s">
        <v>131</v>
      </c>
      <c r="U23" s="22" t="s">
        <v>112</v>
      </c>
      <c r="V23" s="22" t="s">
        <v>115</v>
      </c>
      <c r="W23" s="22" t="s">
        <v>308</v>
      </c>
      <c r="X23" s="22" t="s">
        <v>309</v>
      </c>
      <c r="Y23" s="22" t="s">
        <v>12</v>
      </c>
      <c r="Z23" s="22" t="s">
        <v>310</v>
      </c>
      <c r="AA23" s="22" t="s">
        <v>12</v>
      </c>
      <c r="AB23" s="22" t="s">
        <v>310</v>
      </c>
      <c r="AC23" s="22" t="s">
        <v>311</v>
      </c>
      <c r="AD23" s="22" t="s">
        <v>120</v>
      </c>
      <c r="AE23" s="22"/>
      <c r="AF23" s="22"/>
      <c r="AG23" s="22"/>
      <c r="AH23" s="22"/>
      <c r="AI23" s="22" t="s">
        <v>122</v>
      </c>
      <c r="AJ23" s="22" t="s">
        <v>312</v>
      </c>
      <c r="AK23" s="22" t="s">
        <v>313</v>
      </c>
      <c r="AL23" s="22" t="s">
        <v>314</v>
      </c>
      <c r="AM23" s="22" t="s">
        <v>314</v>
      </c>
      <c r="AN23" s="22" t="s">
        <v>315</v>
      </c>
      <c r="AO23" s="22" t="s">
        <v>316</v>
      </c>
      <c r="AP23" s="22" t="s">
        <v>128</v>
      </c>
    </row>
    <row r="24" spans="10:42" s="18" customFormat="1" ht="16.8" customHeight="1">
      <c r="J24" s="22">
        <v>14</v>
      </c>
      <c r="K24" s="22" t="s">
        <v>108</v>
      </c>
      <c r="L24" s="22" t="s">
        <v>109</v>
      </c>
      <c r="M24" s="22" t="s">
        <v>175</v>
      </c>
      <c r="N24" s="22" t="s">
        <v>317</v>
      </c>
      <c r="O24" s="22"/>
      <c r="P24" s="22" t="s">
        <v>112</v>
      </c>
      <c r="Q24" s="22">
        <v>10000</v>
      </c>
      <c r="R24" s="22"/>
      <c r="S24" s="22" t="s">
        <v>304</v>
      </c>
      <c r="T24" s="22" t="s">
        <v>114</v>
      </c>
      <c r="U24" s="22"/>
      <c r="V24" s="22" t="s">
        <v>115</v>
      </c>
      <c r="W24" s="22" t="s">
        <v>116</v>
      </c>
      <c r="X24" s="22" t="s">
        <v>290</v>
      </c>
      <c r="Y24" s="22" t="s">
        <v>12</v>
      </c>
      <c r="Z24" s="22" t="s">
        <v>318</v>
      </c>
      <c r="AA24" s="22"/>
      <c r="AB24" s="22"/>
      <c r="AC24" s="22" t="s">
        <v>319</v>
      </c>
      <c r="AD24" s="22" t="s">
        <v>120</v>
      </c>
      <c r="AE24" s="22"/>
      <c r="AF24" s="22" t="s">
        <v>320</v>
      </c>
      <c r="AG24" s="22"/>
      <c r="AH24" s="22"/>
      <c r="AI24" s="22" t="s">
        <v>182</v>
      </c>
      <c r="AJ24" s="22" t="s">
        <v>321</v>
      </c>
      <c r="AK24" s="22" t="s">
        <v>322</v>
      </c>
      <c r="AL24" s="22" t="s">
        <v>323</v>
      </c>
      <c r="AM24" s="22" t="s">
        <v>324</v>
      </c>
      <c r="AN24" s="22" t="s">
        <v>157</v>
      </c>
      <c r="AO24" s="22" t="s">
        <v>182</v>
      </c>
      <c r="AP24" s="22" t="s">
        <v>186</v>
      </c>
    </row>
    <row r="25" spans="10:42" s="18" customFormat="1" ht="16.8" customHeight="1">
      <c r="J25" s="22">
        <v>15</v>
      </c>
      <c r="K25" s="22" t="s">
        <v>108</v>
      </c>
      <c r="L25" s="22" t="s">
        <v>109</v>
      </c>
      <c r="M25" s="22" t="s">
        <v>187</v>
      </c>
      <c r="N25" s="22" t="s">
        <v>325</v>
      </c>
      <c r="O25" s="22" t="s">
        <v>130</v>
      </c>
      <c r="P25" s="22" t="s">
        <v>112</v>
      </c>
      <c r="Q25" s="22">
        <v>279</v>
      </c>
      <c r="R25" s="22"/>
      <c r="S25" s="22" t="s">
        <v>112</v>
      </c>
      <c r="T25" s="22" t="s">
        <v>131</v>
      </c>
      <c r="U25" s="22" t="s">
        <v>112</v>
      </c>
      <c r="V25" s="22" t="s">
        <v>115</v>
      </c>
      <c r="W25" s="22" t="s">
        <v>282</v>
      </c>
      <c r="X25" s="22" t="s">
        <v>326</v>
      </c>
      <c r="Y25" s="22" t="s">
        <v>12</v>
      </c>
      <c r="Z25" s="22" t="s">
        <v>327</v>
      </c>
      <c r="AA25" s="22" t="s">
        <v>12</v>
      </c>
      <c r="AB25" s="22" t="s">
        <v>327</v>
      </c>
      <c r="AC25" s="22" t="s">
        <v>328</v>
      </c>
      <c r="AD25" s="22" t="s">
        <v>120</v>
      </c>
      <c r="AE25" s="22"/>
      <c r="AF25" s="22"/>
      <c r="AG25" s="22"/>
      <c r="AH25" s="22"/>
      <c r="AI25" s="22" t="s">
        <v>138</v>
      </c>
      <c r="AJ25" s="22" t="s">
        <v>329</v>
      </c>
      <c r="AK25" s="22" t="s">
        <v>140</v>
      </c>
      <c r="AL25" s="22" t="s">
        <v>330</v>
      </c>
      <c r="AM25" s="22" t="s">
        <v>331</v>
      </c>
      <c r="AN25" s="22" t="s">
        <v>143</v>
      </c>
      <c r="AO25" s="22" t="s">
        <v>332</v>
      </c>
      <c r="AP25" s="22" t="s">
        <v>112</v>
      </c>
    </row>
    <row r="26" spans="10:42" s="18" customFormat="1" ht="16.8" customHeight="1">
      <c r="J26" s="22">
        <v>16</v>
      </c>
      <c r="K26" s="22" t="s">
        <v>108</v>
      </c>
      <c r="L26" s="22" t="s">
        <v>109</v>
      </c>
      <c r="M26" s="22" t="s">
        <v>333</v>
      </c>
      <c r="N26" s="22" t="s">
        <v>334</v>
      </c>
      <c r="O26" s="22"/>
      <c r="P26" s="22" t="s">
        <v>112</v>
      </c>
      <c r="Q26" s="22">
        <v>1600</v>
      </c>
      <c r="R26" s="22"/>
      <c r="S26" s="22" t="s">
        <v>335</v>
      </c>
      <c r="T26" s="22" t="s">
        <v>114</v>
      </c>
      <c r="U26" s="22"/>
      <c r="V26" s="22" t="s">
        <v>115</v>
      </c>
      <c r="W26" s="22" t="s">
        <v>116</v>
      </c>
      <c r="X26" s="22" t="s">
        <v>290</v>
      </c>
      <c r="Y26" s="22" t="s">
        <v>12</v>
      </c>
      <c r="Z26" s="22" t="s">
        <v>336</v>
      </c>
      <c r="AA26" s="22"/>
      <c r="AB26" s="22"/>
      <c r="AC26" s="22" t="s">
        <v>337</v>
      </c>
      <c r="AD26" s="22" t="s">
        <v>120</v>
      </c>
      <c r="AE26" s="22"/>
      <c r="AF26" s="22" t="s">
        <v>338</v>
      </c>
      <c r="AG26" s="22"/>
      <c r="AH26" s="22"/>
      <c r="AI26" s="22" t="s">
        <v>339</v>
      </c>
      <c r="AJ26" s="22" t="s">
        <v>340</v>
      </c>
      <c r="AK26" s="22" t="s">
        <v>303</v>
      </c>
      <c r="AL26" s="22" t="s">
        <v>341</v>
      </c>
      <c r="AM26" s="22" t="s">
        <v>342</v>
      </c>
      <c r="AN26" s="22" t="s">
        <v>287</v>
      </c>
      <c r="AO26" s="22" t="s">
        <v>343</v>
      </c>
      <c r="AP26" s="22" t="s">
        <v>344</v>
      </c>
    </row>
    <row r="27" spans="10:42" s="18" customFormat="1" ht="16.8" customHeight="1">
      <c r="J27" s="22">
        <v>17</v>
      </c>
      <c r="K27" s="22" t="s">
        <v>108</v>
      </c>
      <c r="L27" s="22" t="s">
        <v>109</v>
      </c>
      <c r="M27" s="22" t="s">
        <v>345</v>
      </c>
      <c r="N27" s="22" t="s">
        <v>346</v>
      </c>
      <c r="O27" s="22"/>
      <c r="P27" s="22" t="s">
        <v>112</v>
      </c>
      <c r="Q27" s="22">
        <v>1529.15</v>
      </c>
      <c r="R27" s="22"/>
      <c r="S27" s="22" t="s">
        <v>112</v>
      </c>
      <c r="T27" s="22" t="s">
        <v>131</v>
      </c>
      <c r="U27" s="22"/>
      <c r="V27" s="22" t="s">
        <v>115</v>
      </c>
      <c r="W27" s="22" t="s">
        <v>282</v>
      </c>
      <c r="X27" s="22" t="s">
        <v>283</v>
      </c>
      <c r="Y27" s="22" t="s">
        <v>19</v>
      </c>
      <c r="Z27" s="22" t="s">
        <v>347</v>
      </c>
      <c r="AA27" s="22"/>
      <c r="AB27" s="22"/>
      <c r="AC27" s="22" t="s">
        <v>348</v>
      </c>
      <c r="AD27" s="22" t="s">
        <v>120</v>
      </c>
      <c r="AE27" s="22"/>
      <c r="AF27" s="22"/>
      <c r="AG27" s="22"/>
      <c r="AH27" s="22"/>
      <c r="AI27" s="22" t="s">
        <v>302</v>
      </c>
      <c r="AJ27" s="22" t="s">
        <v>349</v>
      </c>
      <c r="AK27" s="22" t="s">
        <v>350</v>
      </c>
      <c r="AL27" s="22" t="s">
        <v>155</v>
      </c>
      <c r="AM27" s="22" t="s">
        <v>128</v>
      </c>
      <c r="AN27" s="22"/>
      <c r="AO27" s="22" t="s">
        <v>112</v>
      </c>
      <c r="AP27" s="22" t="s">
        <v>112</v>
      </c>
    </row>
    <row r="28" spans="10:42" s="18" customFormat="1" ht="16.8" customHeight="1">
      <c r="J28" s="22">
        <v>18</v>
      </c>
      <c r="K28" s="22" t="s">
        <v>108</v>
      </c>
      <c r="L28" s="22" t="s">
        <v>109</v>
      </c>
      <c r="M28" s="22" t="s">
        <v>110</v>
      </c>
      <c r="N28" s="22" t="s">
        <v>351</v>
      </c>
      <c r="O28" s="22" t="s">
        <v>130</v>
      </c>
      <c r="P28" s="22" t="s">
        <v>112</v>
      </c>
      <c r="Q28" s="22">
        <v>7560</v>
      </c>
      <c r="R28" s="22"/>
      <c r="S28" s="22" t="s">
        <v>112</v>
      </c>
      <c r="T28" s="22" t="s">
        <v>352</v>
      </c>
      <c r="U28" s="22" t="s">
        <v>112</v>
      </c>
      <c r="V28" s="22" t="s">
        <v>132</v>
      </c>
      <c r="W28" s="22" t="s">
        <v>273</v>
      </c>
      <c r="X28" s="22" t="s">
        <v>353</v>
      </c>
      <c r="Y28" s="22" t="s">
        <v>19</v>
      </c>
      <c r="Z28" s="22" t="s">
        <v>354</v>
      </c>
      <c r="AA28" s="22" t="s">
        <v>22</v>
      </c>
      <c r="AB28" s="22" t="s">
        <v>355</v>
      </c>
      <c r="AC28" s="22" t="s">
        <v>356</v>
      </c>
      <c r="AD28" s="22" t="s">
        <v>135</v>
      </c>
      <c r="AE28" s="22"/>
      <c r="AF28" s="22" t="s">
        <v>357</v>
      </c>
      <c r="AG28" s="22"/>
      <c r="AH28" s="22"/>
      <c r="AI28" s="22" t="s">
        <v>205</v>
      </c>
      <c r="AJ28" s="22" t="s">
        <v>358</v>
      </c>
      <c r="AK28" s="22" t="s">
        <v>140</v>
      </c>
      <c r="AL28" s="22" t="s">
        <v>359</v>
      </c>
      <c r="AM28" s="22" t="s">
        <v>360</v>
      </c>
      <c r="AN28" s="22" t="s">
        <v>143</v>
      </c>
      <c r="AO28" s="22" t="s">
        <v>209</v>
      </c>
      <c r="AP28" s="22" t="s">
        <v>112</v>
      </c>
    </row>
    <row r="29" spans="10:42" s="18" customFormat="1" ht="16.8" customHeight="1">
      <c r="J29" s="22">
        <v>19</v>
      </c>
      <c r="K29" s="22" t="s">
        <v>108</v>
      </c>
      <c r="L29" s="22" t="s">
        <v>109</v>
      </c>
      <c r="M29" s="22" t="s">
        <v>110</v>
      </c>
      <c r="N29" s="22" t="s">
        <v>361</v>
      </c>
      <c r="O29" s="22" t="s">
        <v>130</v>
      </c>
      <c r="P29" s="22" t="s">
        <v>112</v>
      </c>
      <c r="Q29" s="22">
        <v>5382</v>
      </c>
      <c r="R29" s="22"/>
      <c r="S29" s="22" t="s">
        <v>112</v>
      </c>
      <c r="T29" s="22" t="s">
        <v>131</v>
      </c>
      <c r="U29" s="22" t="s">
        <v>112</v>
      </c>
      <c r="V29" s="22" t="s">
        <v>132</v>
      </c>
      <c r="W29" s="22" t="s">
        <v>235</v>
      </c>
      <c r="X29" s="22" t="s">
        <v>362</v>
      </c>
      <c r="Y29" s="22" t="s">
        <v>19</v>
      </c>
      <c r="Z29" s="22" t="s">
        <v>363</v>
      </c>
      <c r="AA29" s="22" t="s">
        <v>19</v>
      </c>
      <c r="AB29" s="22" t="s">
        <v>363</v>
      </c>
      <c r="AC29" s="22" t="s">
        <v>364</v>
      </c>
      <c r="AD29" s="22" t="s">
        <v>120</v>
      </c>
      <c r="AE29" s="22" t="s">
        <v>136</v>
      </c>
      <c r="AF29" s="22" t="s">
        <v>365</v>
      </c>
      <c r="AG29" s="22" t="s">
        <v>110</v>
      </c>
      <c r="AH29" s="22"/>
      <c r="AI29" s="22" t="s">
        <v>205</v>
      </c>
      <c r="AJ29" s="22" t="s">
        <v>366</v>
      </c>
      <c r="AK29" s="22" t="s">
        <v>140</v>
      </c>
      <c r="AL29" s="22" t="s">
        <v>367</v>
      </c>
      <c r="AM29" s="22" t="s">
        <v>166</v>
      </c>
      <c r="AN29" s="22" t="s">
        <v>143</v>
      </c>
      <c r="AO29" s="22" t="s">
        <v>209</v>
      </c>
      <c r="AP29" s="22" t="s">
        <v>112</v>
      </c>
    </row>
    <row r="30" spans="10:42" s="18" customFormat="1" ht="16.8" customHeight="1">
      <c r="J30" s="22">
        <v>20</v>
      </c>
      <c r="K30" s="22" t="s">
        <v>108</v>
      </c>
      <c r="L30" s="22" t="s">
        <v>109</v>
      </c>
      <c r="M30" s="22" t="s">
        <v>110</v>
      </c>
      <c r="N30" s="22" t="s">
        <v>368</v>
      </c>
      <c r="O30" s="22" t="s">
        <v>130</v>
      </c>
      <c r="P30" s="22" t="s">
        <v>112</v>
      </c>
      <c r="Q30" s="22">
        <v>5382</v>
      </c>
      <c r="R30" s="22"/>
      <c r="S30" s="22" t="s">
        <v>112</v>
      </c>
      <c r="T30" s="22" t="s">
        <v>131</v>
      </c>
      <c r="U30" s="22" t="s">
        <v>112</v>
      </c>
      <c r="V30" s="22" t="s">
        <v>132</v>
      </c>
      <c r="W30" s="22" t="s">
        <v>282</v>
      </c>
      <c r="X30" s="22" t="s">
        <v>283</v>
      </c>
      <c r="Y30" s="22" t="s">
        <v>22</v>
      </c>
      <c r="Z30" s="22" t="s">
        <v>369</v>
      </c>
      <c r="AA30" s="22" t="s">
        <v>22</v>
      </c>
      <c r="AB30" s="22" t="s">
        <v>369</v>
      </c>
      <c r="AC30" s="22" t="s">
        <v>370</v>
      </c>
      <c r="AD30" s="22" t="s">
        <v>120</v>
      </c>
      <c r="AE30" s="22" t="s">
        <v>136</v>
      </c>
      <c r="AF30" s="22" t="s">
        <v>371</v>
      </c>
      <c r="AG30" s="22" t="s">
        <v>110</v>
      </c>
      <c r="AH30" s="22"/>
      <c r="AI30" s="22" t="s">
        <v>205</v>
      </c>
      <c r="AJ30" s="22" t="s">
        <v>372</v>
      </c>
      <c r="AK30" s="22" t="s">
        <v>140</v>
      </c>
      <c r="AL30" s="22" t="s">
        <v>373</v>
      </c>
      <c r="AM30" s="22" t="s">
        <v>374</v>
      </c>
      <c r="AN30" s="22" t="s">
        <v>143</v>
      </c>
      <c r="AO30" s="22" t="s">
        <v>209</v>
      </c>
      <c r="AP30" s="22" t="s">
        <v>112</v>
      </c>
    </row>
    <row r="31" spans="10:42" s="18" customFormat="1" ht="16.8" customHeight="1">
      <c r="J31" s="22">
        <v>21</v>
      </c>
      <c r="K31" s="22" t="s">
        <v>108</v>
      </c>
      <c r="L31" s="22" t="s">
        <v>109</v>
      </c>
      <c r="M31" s="22" t="s">
        <v>110</v>
      </c>
      <c r="N31" s="22" t="s">
        <v>375</v>
      </c>
      <c r="O31" s="22" t="s">
        <v>130</v>
      </c>
      <c r="P31" s="22" t="s">
        <v>112</v>
      </c>
      <c r="Q31" s="22">
        <v>5832</v>
      </c>
      <c r="R31" s="22"/>
      <c r="S31" s="22" t="s">
        <v>376</v>
      </c>
      <c r="T31" s="22" t="s">
        <v>131</v>
      </c>
      <c r="U31" s="22" t="s">
        <v>112</v>
      </c>
      <c r="V31" s="22" t="s">
        <v>132</v>
      </c>
      <c r="W31" s="22" t="s">
        <v>116</v>
      </c>
      <c r="X31" s="22" t="s">
        <v>377</v>
      </c>
      <c r="Y31" s="22" t="s">
        <v>22</v>
      </c>
      <c r="Z31" s="22" t="s">
        <v>378</v>
      </c>
      <c r="AA31" s="22" t="s">
        <v>22</v>
      </c>
      <c r="AB31" s="22" t="s">
        <v>379</v>
      </c>
      <c r="AC31" s="22" t="s">
        <v>380</v>
      </c>
      <c r="AD31" s="22" t="s">
        <v>120</v>
      </c>
      <c r="AE31" s="22" t="s">
        <v>136</v>
      </c>
      <c r="AF31" s="22" t="s">
        <v>381</v>
      </c>
      <c r="AG31" s="22" t="s">
        <v>110</v>
      </c>
      <c r="AH31" s="22"/>
      <c r="AI31" s="22" t="s">
        <v>138</v>
      </c>
      <c r="AJ31" s="22" t="s">
        <v>382</v>
      </c>
      <c r="AK31" s="22" t="s">
        <v>124</v>
      </c>
      <c r="AL31" s="22" t="s">
        <v>383</v>
      </c>
      <c r="AM31" s="22" t="s">
        <v>384</v>
      </c>
      <c r="AN31" s="22" t="s">
        <v>143</v>
      </c>
      <c r="AO31" s="22" t="s">
        <v>144</v>
      </c>
      <c r="AP31" s="22" t="s">
        <v>112</v>
      </c>
    </row>
    <row r="32" spans="10:42" s="18" customFormat="1" ht="16.8" customHeight="1">
      <c r="J32" s="22">
        <v>22</v>
      </c>
      <c r="K32" s="22" t="s">
        <v>108</v>
      </c>
      <c r="L32" s="22" t="s">
        <v>109</v>
      </c>
      <c r="M32" s="22" t="s">
        <v>110</v>
      </c>
      <c r="N32" s="22" t="s">
        <v>351</v>
      </c>
      <c r="O32" s="22" t="s">
        <v>130</v>
      </c>
      <c r="P32" s="22" t="s">
        <v>112</v>
      </c>
      <c r="Q32" s="22">
        <v>7560</v>
      </c>
      <c r="R32" s="22"/>
      <c r="S32" s="22" t="s">
        <v>112</v>
      </c>
      <c r="T32" s="22" t="s">
        <v>131</v>
      </c>
      <c r="U32" s="22" t="s">
        <v>112</v>
      </c>
      <c r="V32" s="22" t="s">
        <v>132</v>
      </c>
      <c r="W32" s="22" t="s">
        <v>273</v>
      </c>
      <c r="X32" s="22" t="s">
        <v>353</v>
      </c>
      <c r="Y32" s="22" t="s">
        <v>22</v>
      </c>
      <c r="Z32" s="22" t="s">
        <v>354</v>
      </c>
      <c r="AA32" s="22" t="s">
        <v>22</v>
      </c>
      <c r="AB32" s="22" t="s">
        <v>355</v>
      </c>
      <c r="AC32" s="22" t="s">
        <v>356</v>
      </c>
      <c r="AD32" s="22" t="s">
        <v>135</v>
      </c>
      <c r="AE32" s="22" t="s">
        <v>385</v>
      </c>
      <c r="AF32" s="22" t="s">
        <v>357</v>
      </c>
      <c r="AG32" s="22" t="s">
        <v>110</v>
      </c>
      <c r="AH32" s="22"/>
      <c r="AI32" s="22" t="s">
        <v>205</v>
      </c>
      <c r="AJ32" s="22" t="s">
        <v>358</v>
      </c>
      <c r="AK32" s="22" t="s">
        <v>140</v>
      </c>
      <c r="AL32" s="22" t="s">
        <v>359</v>
      </c>
      <c r="AM32" s="22" t="s">
        <v>360</v>
      </c>
      <c r="AN32" s="22" t="s">
        <v>143</v>
      </c>
      <c r="AO32" s="22" t="s">
        <v>209</v>
      </c>
      <c r="AP32" s="22" t="s">
        <v>112</v>
      </c>
    </row>
    <row r="33" spans="10:42" s="18" customFormat="1" ht="16.8" customHeight="1">
      <c r="J33" s="22">
        <v>23</v>
      </c>
      <c r="K33" s="22" t="s">
        <v>108</v>
      </c>
      <c r="L33" s="22" t="s">
        <v>109</v>
      </c>
      <c r="M33" s="22" t="s">
        <v>110</v>
      </c>
      <c r="N33" s="22" t="s">
        <v>386</v>
      </c>
      <c r="O33" s="22" t="s">
        <v>130</v>
      </c>
      <c r="P33" s="22" t="s">
        <v>112</v>
      </c>
      <c r="Q33" s="22">
        <v>5382</v>
      </c>
      <c r="R33" s="22"/>
      <c r="S33" s="22" t="s">
        <v>112</v>
      </c>
      <c r="T33" s="22" t="s">
        <v>131</v>
      </c>
      <c r="U33" s="22" t="s">
        <v>112</v>
      </c>
      <c r="V33" s="22" t="s">
        <v>132</v>
      </c>
      <c r="W33" s="22" t="s">
        <v>387</v>
      </c>
      <c r="X33" s="22" t="s">
        <v>388</v>
      </c>
      <c r="Y33" s="22" t="s">
        <v>12</v>
      </c>
      <c r="Z33" s="22" t="s">
        <v>389</v>
      </c>
      <c r="AA33" s="22" t="s">
        <v>12</v>
      </c>
      <c r="AB33" s="22" t="s">
        <v>389</v>
      </c>
      <c r="AC33" s="22" t="s">
        <v>390</v>
      </c>
      <c r="AD33" s="22" t="s">
        <v>120</v>
      </c>
      <c r="AE33" s="22" t="s">
        <v>385</v>
      </c>
      <c r="AF33" s="22" t="s">
        <v>391</v>
      </c>
      <c r="AG33" s="22" t="s">
        <v>110</v>
      </c>
      <c r="AH33" s="22"/>
      <c r="AI33" s="22" t="s">
        <v>138</v>
      </c>
      <c r="AJ33" s="22" t="s">
        <v>392</v>
      </c>
      <c r="AK33" s="22" t="s">
        <v>286</v>
      </c>
      <c r="AL33" s="22" t="s">
        <v>393</v>
      </c>
      <c r="AM33" s="22" t="s">
        <v>394</v>
      </c>
      <c r="AN33" s="22" t="s">
        <v>143</v>
      </c>
      <c r="AO33" s="22" t="s">
        <v>144</v>
      </c>
      <c r="AP33" s="22" t="s">
        <v>112</v>
      </c>
    </row>
    <row r="34" spans="10:42" s="18" customFormat="1" ht="16.8" customHeight="1">
      <c r="J34" s="22">
        <v>24</v>
      </c>
      <c r="K34" s="22" t="s">
        <v>108</v>
      </c>
      <c r="L34" s="22" t="s">
        <v>109</v>
      </c>
      <c r="M34" s="22" t="s">
        <v>110</v>
      </c>
      <c r="N34" s="22" t="s">
        <v>129</v>
      </c>
      <c r="O34" s="22" t="s">
        <v>130</v>
      </c>
      <c r="P34" s="22" t="s">
        <v>112</v>
      </c>
      <c r="Q34" s="22">
        <v>5382</v>
      </c>
      <c r="R34" s="22"/>
      <c r="S34" s="22" t="s">
        <v>24</v>
      </c>
      <c r="T34" s="22" t="s">
        <v>131</v>
      </c>
      <c r="U34" s="22" t="s">
        <v>112</v>
      </c>
      <c r="V34" s="22" t="s">
        <v>132</v>
      </c>
      <c r="W34" s="22" t="s">
        <v>116</v>
      </c>
      <c r="X34" s="22" t="s">
        <v>117</v>
      </c>
      <c r="Y34" s="22" t="s">
        <v>24</v>
      </c>
      <c r="Z34" s="22" t="s">
        <v>133</v>
      </c>
      <c r="AA34" s="22" t="s">
        <v>24</v>
      </c>
      <c r="AB34" s="22" t="s">
        <v>133</v>
      </c>
      <c r="AC34" s="22" t="s">
        <v>134</v>
      </c>
      <c r="AD34" s="22" t="s">
        <v>135</v>
      </c>
      <c r="AE34" s="22" t="s">
        <v>136</v>
      </c>
      <c r="AF34" s="22" t="s">
        <v>137</v>
      </c>
      <c r="AG34" s="22" t="s">
        <v>110</v>
      </c>
      <c r="AH34" s="22"/>
      <c r="AI34" s="22" t="s">
        <v>138</v>
      </c>
      <c r="AJ34" s="22" t="s">
        <v>139</v>
      </c>
      <c r="AK34" s="22" t="s">
        <v>140</v>
      </c>
      <c r="AL34" s="22" t="s">
        <v>141</v>
      </c>
      <c r="AM34" s="22" t="s">
        <v>142</v>
      </c>
      <c r="AN34" s="22" t="s">
        <v>143</v>
      </c>
      <c r="AO34" s="22" t="s">
        <v>144</v>
      </c>
      <c r="AP34" s="22" t="s">
        <v>112</v>
      </c>
    </row>
    <row r="35" spans="10:42" s="18" customFormat="1" ht="16.8" customHeight="1">
      <c r="J35" s="22">
        <v>25</v>
      </c>
      <c r="K35" s="22" t="s">
        <v>108</v>
      </c>
      <c r="L35" s="22" t="s">
        <v>109</v>
      </c>
      <c r="M35" s="22" t="s">
        <v>110</v>
      </c>
      <c r="N35" s="22" t="s">
        <v>395</v>
      </c>
      <c r="O35" s="22" t="s">
        <v>130</v>
      </c>
      <c r="P35" s="22" t="s">
        <v>112</v>
      </c>
      <c r="Q35" s="22">
        <v>5832</v>
      </c>
      <c r="R35" s="22" t="s">
        <v>147</v>
      </c>
      <c r="S35" s="22" t="s">
        <v>396</v>
      </c>
      <c r="T35" s="22" t="s">
        <v>114</v>
      </c>
      <c r="U35" s="22" t="s">
        <v>112</v>
      </c>
      <c r="V35" s="22" t="s">
        <v>132</v>
      </c>
      <c r="W35" s="22" t="s">
        <v>116</v>
      </c>
      <c r="X35" s="22" t="s">
        <v>290</v>
      </c>
      <c r="Y35" s="22" t="s">
        <v>21</v>
      </c>
      <c r="Z35" s="22" t="s">
        <v>397</v>
      </c>
      <c r="AA35" s="22" t="s">
        <v>21</v>
      </c>
      <c r="AB35" s="22" t="s">
        <v>397</v>
      </c>
      <c r="AC35" s="22" t="s">
        <v>398</v>
      </c>
      <c r="AD35" s="22" t="s">
        <v>120</v>
      </c>
      <c r="AE35" s="22" t="s">
        <v>399</v>
      </c>
      <c r="AF35" s="22" t="s">
        <v>400</v>
      </c>
      <c r="AG35" s="22" t="s">
        <v>110</v>
      </c>
      <c r="AH35" s="22"/>
      <c r="AI35" s="22" t="s">
        <v>138</v>
      </c>
      <c r="AJ35" s="22" t="s">
        <v>401</v>
      </c>
      <c r="AK35" s="22" t="s">
        <v>286</v>
      </c>
      <c r="AL35" s="22" t="s">
        <v>402</v>
      </c>
      <c r="AM35" s="22" t="s">
        <v>403</v>
      </c>
      <c r="AN35" s="22" t="s">
        <v>143</v>
      </c>
      <c r="AO35" s="22" t="s">
        <v>404</v>
      </c>
      <c r="AP35" s="22" t="s">
        <v>112</v>
      </c>
    </row>
    <row r="36" spans="10:42" s="18" customFormat="1" ht="16.8" customHeight="1">
      <c r="J36" s="22">
        <v>26</v>
      </c>
      <c r="K36" s="22" t="s">
        <v>108</v>
      </c>
      <c r="L36" s="22" t="s">
        <v>109</v>
      </c>
      <c r="M36" s="22" t="s">
        <v>110</v>
      </c>
      <c r="N36" s="22" t="s">
        <v>405</v>
      </c>
      <c r="O36" s="22" t="s">
        <v>130</v>
      </c>
      <c r="P36" s="22" t="s">
        <v>112</v>
      </c>
      <c r="Q36" s="22">
        <v>5382</v>
      </c>
      <c r="R36" s="22"/>
      <c r="S36" s="22" t="s">
        <v>112</v>
      </c>
      <c r="T36" s="22" t="s">
        <v>131</v>
      </c>
      <c r="U36" s="22" t="s">
        <v>112</v>
      </c>
      <c r="V36" s="22" t="s">
        <v>132</v>
      </c>
      <c r="W36" s="22" t="s">
        <v>406</v>
      </c>
      <c r="X36" s="22" t="s">
        <v>407</v>
      </c>
      <c r="Y36" s="22" t="s">
        <v>22</v>
      </c>
      <c r="Z36" s="22" t="s">
        <v>408</v>
      </c>
      <c r="AA36" s="22" t="s">
        <v>22</v>
      </c>
      <c r="AB36" s="22" t="s">
        <v>408</v>
      </c>
      <c r="AC36" s="22" t="s">
        <v>409</v>
      </c>
      <c r="AD36" s="22" t="s">
        <v>135</v>
      </c>
      <c r="AE36" s="22" t="s">
        <v>136</v>
      </c>
      <c r="AF36" s="22" t="s">
        <v>410</v>
      </c>
      <c r="AG36" s="22" t="s">
        <v>110</v>
      </c>
      <c r="AH36" s="22"/>
      <c r="AI36" s="22" t="s">
        <v>411</v>
      </c>
      <c r="AJ36" s="22" t="s">
        <v>139</v>
      </c>
      <c r="AK36" s="22" t="s">
        <v>140</v>
      </c>
      <c r="AL36" s="22" t="s">
        <v>141</v>
      </c>
      <c r="AM36" s="22" t="s">
        <v>142</v>
      </c>
      <c r="AN36" s="22" t="s">
        <v>412</v>
      </c>
      <c r="AO36" s="22" t="s">
        <v>144</v>
      </c>
      <c r="AP36" s="22" t="s">
        <v>112</v>
      </c>
    </row>
    <row r="37" spans="10:42" s="18" customFormat="1" ht="16.8" customHeight="1">
      <c r="J37" s="22">
        <v>27</v>
      </c>
      <c r="K37" s="22" t="s">
        <v>108</v>
      </c>
      <c r="L37" s="22" t="s">
        <v>109</v>
      </c>
      <c r="M37" s="22" t="s">
        <v>110</v>
      </c>
      <c r="N37" s="22" t="s">
        <v>413</v>
      </c>
      <c r="O37" s="22" t="s">
        <v>130</v>
      </c>
      <c r="P37" s="22" t="s">
        <v>112</v>
      </c>
      <c r="Q37" s="22">
        <v>5382</v>
      </c>
      <c r="R37" s="22"/>
      <c r="S37" s="22" t="s">
        <v>112</v>
      </c>
      <c r="T37" s="22" t="s">
        <v>131</v>
      </c>
      <c r="U37" s="22" t="s">
        <v>112</v>
      </c>
      <c r="V37" s="22" t="s">
        <v>132</v>
      </c>
      <c r="W37" s="22" t="s">
        <v>246</v>
      </c>
      <c r="X37" s="22" t="s">
        <v>247</v>
      </c>
      <c r="Y37" s="22" t="s">
        <v>24</v>
      </c>
      <c r="Z37" s="22" t="s">
        <v>414</v>
      </c>
      <c r="AA37" s="22" t="s">
        <v>24</v>
      </c>
      <c r="AB37" s="22" t="s">
        <v>414</v>
      </c>
      <c r="AC37" s="22" t="s">
        <v>415</v>
      </c>
      <c r="AD37" s="22" t="s">
        <v>120</v>
      </c>
      <c r="AE37" s="22" t="s">
        <v>136</v>
      </c>
      <c r="AF37" s="22" t="s">
        <v>416</v>
      </c>
      <c r="AG37" s="22" t="s">
        <v>110</v>
      </c>
      <c r="AH37" s="22"/>
      <c r="AI37" s="22" t="s">
        <v>205</v>
      </c>
      <c r="AJ37" s="22" t="s">
        <v>417</v>
      </c>
      <c r="AK37" s="22" t="s">
        <v>124</v>
      </c>
      <c r="AL37" s="22" t="s">
        <v>418</v>
      </c>
      <c r="AM37" s="22" t="s">
        <v>125</v>
      </c>
      <c r="AN37" s="22" t="s">
        <v>143</v>
      </c>
      <c r="AO37" s="22" t="s">
        <v>209</v>
      </c>
      <c r="AP37" s="22" t="s">
        <v>112</v>
      </c>
    </row>
    <row r="38" spans="10:42" s="18" customFormat="1" ht="16.8" customHeight="1">
      <c r="J38" s="22">
        <v>28</v>
      </c>
      <c r="K38" s="22" t="s">
        <v>108</v>
      </c>
      <c r="L38" s="22" t="s">
        <v>109</v>
      </c>
      <c r="M38" s="22" t="s">
        <v>110</v>
      </c>
      <c r="N38" s="22" t="s">
        <v>419</v>
      </c>
      <c r="O38" s="22" t="s">
        <v>130</v>
      </c>
      <c r="P38" s="22" t="s">
        <v>112</v>
      </c>
      <c r="Q38" s="22">
        <v>19300</v>
      </c>
      <c r="R38" s="22"/>
      <c r="S38" s="22" t="s">
        <v>112</v>
      </c>
      <c r="T38" s="22" t="s">
        <v>131</v>
      </c>
      <c r="U38" s="22" t="s">
        <v>112</v>
      </c>
      <c r="V38" s="22" t="s">
        <v>132</v>
      </c>
      <c r="W38" s="22" t="s">
        <v>235</v>
      </c>
      <c r="X38" s="22" t="s">
        <v>255</v>
      </c>
      <c r="Y38" s="22" t="s">
        <v>20</v>
      </c>
      <c r="Z38" s="22" t="s">
        <v>420</v>
      </c>
      <c r="AA38" s="22" t="s">
        <v>20</v>
      </c>
      <c r="AB38" s="22" t="s">
        <v>421</v>
      </c>
      <c r="AC38" s="22" t="s">
        <v>422</v>
      </c>
      <c r="AD38" s="22" t="s">
        <v>120</v>
      </c>
      <c r="AE38" s="22" t="s">
        <v>136</v>
      </c>
      <c r="AF38" s="22" t="s">
        <v>423</v>
      </c>
      <c r="AG38" s="22" t="s">
        <v>110</v>
      </c>
      <c r="AH38" s="22"/>
      <c r="AI38" s="22" t="s">
        <v>205</v>
      </c>
      <c r="AJ38" s="22" t="s">
        <v>358</v>
      </c>
      <c r="AK38" s="22" t="s">
        <v>140</v>
      </c>
      <c r="AL38" s="22" t="s">
        <v>367</v>
      </c>
      <c r="AM38" s="22" t="s">
        <v>424</v>
      </c>
      <c r="AN38" s="22" t="s">
        <v>143</v>
      </c>
      <c r="AO38" s="22" t="s">
        <v>209</v>
      </c>
      <c r="AP38" s="22" t="s">
        <v>112</v>
      </c>
    </row>
    <row r="39" spans="10:42" s="18" customFormat="1" ht="16.8" customHeight="1">
      <c r="J39" s="22">
        <v>29</v>
      </c>
      <c r="K39" s="22" t="s">
        <v>108</v>
      </c>
      <c r="L39" s="22" t="s">
        <v>109</v>
      </c>
      <c r="M39" s="22" t="s">
        <v>110</v>
      </c>
      <c r="N39" s="22" t="s">
        <v>425</v>
      </c>
      <c r="O39" s="22" t="s">
        <v>130</v>
      </c>
      <c r="P39" s="22" t="s">
        <v>112</v>
      </c>
      <c r="Q39" s="22">
        <v>19300</v>
      </c>
      <c r="R39" s="22"/>
      <c r="S39" s="22" t="s">
        <v>112</v>
      </c>
      <c r="T39" s="22" t="s">
        <v>131</v>
      </c>
      <c r="U39" s="22" t="s">
        <v>112</v>
      </c>
      <c r="V39" s="22" t="s">
        <v>132</v>
      </c>
      <c r="W39" s="22" t="s">
        <v>246</v>
      </c>
      <c r="X39" s="22" t="s">
        <v>247</v>
      </c>
      <c r="Y39" s="22" t="s">
        <v>24</v>
      </c>
      <c r="Z39" s="22" t="s">
        <v>426</v>
      </c>
      <c r="AA39" s="22" t="s">
        <v>24</v>
      </c>
      <c r="AB39" s="22" t="s">
        <v>426</v>
      </c>
      <c r="AC39" s="22" t="s">
        <v>427</v>
      </c>
      <c r="AD39" s="22" t="s">
        <v>120</v>
      </c>
      <c r="AE39" s="22" t="s">
        <v>136</v>
      </c>
      <c r="AF39" s="22" t="s">
        <v>428</v>
      </c>
      <c r="AG39" s="22" t="s">
        <v>110</v>
      </c>
      <c r="AH39" s="22"/>
      <c r="AI39" s="22" t="s">
        <v>138</v>
      </c>
      <c r="AJ39" s="22" t="s">
        <v>429</v>
      </c>
      <c r="AK39" s="22" t="s">
        <v>140</v>
      </c>
      <c r="AL39" s="22" t="s">
        <v>430</v>
      </c>
      <c r="AM39" s="22" t="s">
        <v>431</v>
      </c>
      <c r="AN39" s="22" t="s">
        <v>143</v>
      </c>
      <c r="AO39" s="22" t="s">
        <v>144</v>
      </c>
      <c r="AP39" s="22" t="s">
        <v>112</v>
      </c>
    </row>
    <row r="40" spans="10:42" s="18" customFormat="1" ht="16.8" customHeight="1">
      <c r="J40" s="22">
        <v>30</v>
      </c>
      <c r="K40" s="22" t="s">
        <v>108</v>
      </c>
      <c r="L40" s="22" t="s">
        <v>109</v>
      </c>
      <c r="M40" s="22" t="s">
        <v>110</v>
      </c>
      <c r="N40" s="22" t="s">
        <v>432</v>
      </c>
      <c r="O40" s="22" t="s">
        <v>130</v>
      </c>
      <c r="P40" s="22" t="s">
        <v>112</v>
      </c>
      <c r="Q40" s="22">
        <v>15120</v>
      </c>
      <c r="R40" s="22"/>
      <c r="S40" s="22" t="s">
        <v>112</v>
      </c>
      <c r="T40" s="22" t="s">
        <v>131</v>
      </c>
      <c r="U40" s="22" t="s">
        <v>112</v>
      </c>
      <c r="V40" s="22" t="s">
        <v>132</v>
      </c>
      <c r="W40" s="22" t="s">
        <v>246</v>
      </c>
      <c r="X40" s="22" t="s">
        <v>247</v>
      </c>
      <c r="Y40" s="22" t="s">
        <v>24</v>
      </c>
      <c r="Z40" s="22" t="s">
        <v>433</v>
      </c>
      <c r="AA40" s="22" t="s">
        <v>24</v>
      </c>
      <c r="AB40" s="22" t="s">
        <v>434</v>
      </c>
      <c r="AC40" s="22" t="s">
        <v>435</v>
      </c>
      <c r="AD40" s="22" t="s">
        <v>120</v>
      </c>
      <c r="AE40" s="22" t="s">
        <v>136</v>
      </c>
      <c r="AF40" s="22" t="s">
        <v>436</v>
      </c>
      <c r="AG40" s="22" t="s">
        <v>110</v>
      </c>
      <c r="AH40" s="22"/>
      <c r="AI40" s="22" t="s">
        <v>205</v>
      </c>
      <c r="AJ40" s="22" t="s">
        <v>437</v>
      </c>
      <c r="AK40" s="22" t="s">
        <v>140</v>
      </c>
      <c r="AL40" s="22" t="s">
        <v>438</v>
      </c>
      <c r="AM40" s="22" t="s">
        <v>439</v>
      </c>
      <c r="AN40" s="22" t="s">
        <v>143</v>
      </c>
      <c r="AO40" s="22" t="s">
        <v>440</v>
      </c>
      <c r="AP40" s="22" t="s">
        <v>112</v>
      </c>
    </row>
    <row r="41" spans="10:42" s="18" customFormat="1" ht="16.8" customHeight="1">
      <c r="J41" s="22">
        <v>31</v>
      </c>
      <c r="K41" s="22" t="s">
        <v>108</v>
      </c>
      <c r="L41" s="22" t="s">
        <v>109</v>
      </c>
      <c r="M41" s="22" t="s">
        <v>110</v>
      </c>
      <c r="N41" s="22" t="s">
        <v>441</v>
      </c>
      <c r="O41" s="22" t="s">
        <v>130</v>
      </c>
      <c r="P41" s="22" t="s">
        <v>112</v>
      </c>
      <c r="Q41" s="22">
        <v>5832</v>
      </c>
      <c r="R41" s="22"/>
      <c r="S41" s="22" t="s">
        <v>112</v>
      </c>
      <c r="T41" s="22" t="s">
        <v>131</v>
      </c>
      <c r="U41" s="22" t="s">
        <v>112</v>
      </c>
      <c r="V41" s="22" t="s">
        <v>132</v>
      </c>
      <c r="W41" s="22" t="s">
        <v>273</v>
      </c>
      <c r="X41" s="22" t="s">
        <v>442</v>
      </c>
      <c r="Y41" s="22" t="s">
        <v>19</v>
      </c>
      <c r="Z41" s="22" t="s">
        <v>443</v>
      </c>
      <c r="AA41" s="22" t="s">
        <v>19</v>
      </c>
      <c r="AB41" s="22" t="s">
        <v>443</v>
      </c>
      <c r="AC41" s="22" t="s">
        <v>444</v>
      </c>
      <c r="AD41" s="22" t="s">
        <v>120</v>
      </c>
      <c r="AE41" s="22" t="s">
        <v>136</v>
      </c>
      <c r="AF41" s="22" t="s">
        <v>445</v>
      </c>
      <c r="AG41" s="22" t="s">
        <v>110</v>
      </c>
      <c r="AH41" s="22"/>
      <c r="AI41" s="22" t="s">
        <v>138</v>
      </c>
      <c r="AJ41" s="22" t="s">
        <v>446</v>
      </c>
      <c r="AK41" s="22" t="s">
        <v>140</v>
      </c>
      <c r="AL41" s="22" t="s">
        <v>447</v>
      </c>
      <c r="AM41" s="22" t="s">
        <v>448</v>
      </c>
      <c r="AN41" s="22" t="s">
        <v>143</v>
      </c>
      <c r="AO41" s="22" t="s">
        <v>144</v>
      </c>
      <c r="AP41" s="22" t="s">
        <v>112</v>
      </c>
    </row>
    <row r="42" spans="10:42" s="18" customFormat="1" ht="16.8" customHeight="1">
      <c r="J42" s="22">
        <v>32</v>
      </c>
      <c r="K42" s="22" t="s">
        <v>108</v>
      </c>
      <c r="L42" s="22" t="s">
        <v>109</v>
      </c>
      <c r="M42" s="22" t="s">
        <v>110</v>
      </c>
      <c r="N42" s="22" t="s">
        <v>449</v>
      </c>
      <c r="O42" s="22" t="s">
        <v>130</v>
      </c>
      <c r="P42" s="22" t="s">
        <v>112</v>
      </c>
      <c r="Q42" s="22">
        <v>5832</v>
      </c>
      <c r="R42" s="22"/>
      <c r="S42" s="22" t="s">
        <v>112</v>
      </c>
      <c r="T42" s="22" t="s">
        <v>131</v>
      </c>
      <c r="U42" s="22" t="s">
        <v>112</v>
      </c>
      <c r="V42" s="22" t="s">
        <v>132</v>
      </c>
      <c r="W42" s="22" t="s">
        <v>235</v>
      </c>
      <c r="X42" s="22" t="s">
        <v>255</v>
      </c>
      <c r="Y42" s="22" t="s">
        <v>22</v>
      </c>
      <c r="Z42" s="22" t="s">
        <v>450</v>
      </c>
      <c r="AA42" s="22" t="s">
        <v>22</v>
      </c>
      <c r="AB42" s="22" t="s">
        <v>450</v>
      </c>
      <c r="AC42" s="22" t="s">
        <v>451</v>
      </c>
      <c r="AD42" s="22" t="s">
        <v>120</v>
      </c>
      <c r="AE42" s="22" t="s">
        <v>170</v>
      </c>
      <c r="AF42" s="22" t="s">
        <v>452</v>
      </c>
      <c r="AG42" s="22" t="s">
        <v>110</v>
      </c>
      <c r="AH42" s="22"/>
      <c r="AI42" s="22" t="s">
        <v>205</v>
      </c>
      <c r="AJ42" s="22" t="s">
        <v>453</v>
      </c>
      <c r="AK42" s="22" t="s">
        <v>454</v>
      </c>
      <c r="AL42" s="22" t="s">
        <v>455</v>
      </c>
      <c r="AM42" s="22" t="s">
        <v>456</v>
      </c>
      <c r="AN42" s="22" t="s">
        <v>143</v>
      </c>
      <c r="AO42" s="22" t="s">
        <v>209</v>
      </c>
      <c r="AP42" s="22" t="s">
        <v>112</v>
      </c>
    </row>
    <row r="43" spans="10:42" s="18" customFormat="1" ht="16.8" customHeight="1">
      <c r="J43" s="22">
        <v>33</v>
      </c>
      <c r="K43" s="22" t="s">
        <v>108</v>
      </c>
      <c r="L43" s="22" t="s">
        <v>109</v>
      </c>
      <c r="M43" s="22" t="s">
        <v>110</v>
      </c>
      <c r="N43" s="22" t="s">
        <v>457</v>
      </c>
      <c r="O43" s="22" t="s">
        <v>130</v>
      </c>
      <c r="P43" s="22" t="s">
        <v>112</v>
      </c>
      <c r="Q43" s="22">
        <v>19300</v>
      </c>
      <c r="R43" s="22"/>
      <c r="S43" s="22" t="s">
        <v>112</v>
      </c>
      <c r="T43" s="22" t="s">
        <v>131</v>
      </c>
      <c r="U43" s="22" t="s">
        <v>112</v>
      </c>
      <c r="V43" s="22" t="s">
        <v>132</v>
      </c>
      <c r="W43" s="22" t="s">
        <v>235</v>
      </c>
      <c r="X43" s="22" t="s">
        <v>255</v>
      </c>
      <c r="Y43" s="22" t="s">
        <v>24</v>
      </c>
      <c r="Z43" s="22" t="s">
        <v>458</v>
      </c>
      <c r="AA43" s="22" t="s">
        <v>24</v>
      </c>
      <c r="AB43" s="22" t="s">
        <v>458</v>
      </c>
      <c r="AC43" s="22" t="s">
        <v>459</v>
      </c>
      <c r="AD43" s="22" t="s">
        <v>120</v>
      </c>
      <c r="AE43" s="22" t="s">
        <v>136</v>
      </c>
      <c r="AF43" s="22" t="s">
        <v>460</v>
      </c>
      <c r="AG43" s="22" t="s">
        <v>110</v>
      </c>
      <c r="AH43" s="22"/>
      <c r="AI43" s="22" t="s">
        <v>205</v>
      </c>
      <c r="AJ43" s="22" t="s">
        <v>461</v>
      </c>
      <c r="AK43" s="22" t="s">
        <v>140</v>
      </c>
      <c r="AL43" s="22" t="s">
        <v>462</v>
      </c>
      <c r="AM43" s="22" t="s">
        <v>462</v>
      </c>
      <c r="AN43" s="22" t="s">
        <v>143</v>
      </c>
      <c r="AO43" s="22" t="s">
        <v>209</v>
      </c>
      <c r="AP43" s="22" t="s">
        <v>112</v>
      </c>
    </row>
    <row r="44" spans="10:42" s="18" customFormat="1" ht="16.8" customHeight="1">
      <c r="J44" s="22">
        <v>34</v>
      </c>
      <c r="K44" s="22" t="s">
        <v>108</v>
      </c>
      <c r="L44" s="22" t="s">
        <v>109</v>
      </c>
      <c r="M44" s="22" t="s">
        <v>110</v>
      </c>
      <c r="N44" s="22" t="s">
        <v>463</v>
      </c>
      <c r="O44" s="22" t="s">
        <v>130</v>
      </c>
      <c r="P44" s="22" t="s">
        <v>112</v>
      </c>
      <c r="Q44" s="22">
        <v>5832</v>
      </c>
      <c r="R44" s="22"/>
      <c r="S44" s="22" t="s">
        <v>112</v>
      </c>
      <c r="T44" s="22" t="s">
        <v>131</v>
      </c>
      <c r="U44" s="22" t="s">
        <v>112</v>
      </c>
      <c r="V44" s="22" t="s">
        <v>132</v>
      </c>
      <c r="W44" s="22" t="s">
        <v>246</v>
      </c>
      <c r="X44" s="22" t="s">
        <v>247</v>
      </c>
      <c r="Y44" s="22" t="s">
        <v>24</v>
      </c>
      <c r="Z44" s="22" t="s">
        <v>464</v>
      </c>
      <c r="AA44" s="22" t="s">
        <v>24</v>
      </c>
      <c r="AB44" s="22" t="s">
        <v>464</v>
      </c>
      <c r="AC44" s="22" t="s">
        <v>465</v>
      </c>
      <c r="AD44" s="22" t="s">
        <v>135</v>
      </c>
      <c r="AE44" s="22" t="s">
        <v>136</v>
      </c>
      <c r="AF44" s="22" t="s">
        <v>466</v>
      </c>
      <c r="AG44" s="22" t="s">
        <v>110</v>
      </c>
      <c r="AH44" s="22"/>
      <c r="AI44" s="22" t="s">
        <v>205</v>
      </c>
      <c r="AJ44" s="22" t="s">
        <v>467</v>
      </c>
      <c r="AK44" s="22" t="s">
        <v>124</v>
      </c>
      <c r="AL44" s="22" t="s">
        <v>468</v>
      </c>
      <c r="AM44" s="22" t="s">
        <v>469</v>
      </c>
      <c r="AN44" s="22" t="s">
        <v>143</v>
      </c>
      <c r="AO44" s="22" t="s">
        <v>209</v>
      </c>
      <c r="AP44" s="22" t="s">
        <v>112</v>
      </c>
    </row>
    <row r="45" spans="10:42" s="18" customFormat="1" ht="16.8" customHeight="1">
      <c r="J45" s="22">
        <v>35</v>
      </c>
      <c r="K45" s="22" t="s">
        <v>108</v>
      </c>
      <c r="L45" s="22" t="s">
        <v>109</v>
      </c>
      <c r="M45" s="22" t="s">
        <v>110</v>
      </c>
      <c r="N45" s="22" t="s">
        <v>470</v>
      </c>
      <c r="O45" s="22" t="s">
        <v>130</v>
      </c>
      <c r="P45" s="22" t="s">
        <v>112</v>
      </c>
      <c r="Q45" s="22">
        <v>9000</v>
      </c>
      <c r="R45" s="22"/>
      <c r="S45" s="22" t="s">
        <v>396</v>
      </c>
      <c r="T45" s="22" t="s">
        <v>114</v>
      </c>
      <c r="U45" s="22" t="s">
        <v>112</v>
      </c>
      <c r="V45" s="22" t="s">
        <v>132</v>
      </c>
      <c r="W45" s="22" t="s">
        <v>116</v>
      </c>
      <c r="X45" s="22" t="s">
        <v>290</v>
      </c>
      <c r="Y45" s="22" t="s">
        <v>21</v>
      </c>
      <c r="Z45" s="22" t="s">
        <v>471</v>
      </c>
      <c r="AA45" s="22" t="s">
        <v>21</v>
      </c>
      <c r="AB45" s="22" t="s">
        <v>354</v>
      </c>
      <c r="AC45" s="22" t="s">
        <v>472</v>
      </c>
      <c r="AD45" s="22" t="s">
        <v>120</v>
      </c>
      <c r="AE45" s="22"/>
      <c r="AF45" s="22" t="s">
        <v>473</v>
      </c>
      <c r="AG45" s="22"/>
      <c r="AH45" s="22"/>
      <c r="AI45" s="22" t="s">
        <v>474</v>
      </c>
      <c r="AJ45" s="22" t="s">
        <v>206</v>
      </c>
      <c r="AK45" s="22" t="s">
        <v>140</v>
      </c>
      <c r="AL45" s="22" t="s">
        <v>367</v>
      </c>
      <c r="AM45" s="22" t="s">
        <v>448</v>
      </c>
      <c r="AN45" s="22"/>
      <c r="AO45" s="22" t="s">
        <v>112</v>
      </c>
      <c r="AP45" s="22" t="s">
        <v>112</v>
      </c>
    </row>
    <row r="46" spans="10:42" s="18" customFormat="1" ht="16.8" customHeight="1">
      <c r="J46" s="22">
        <v>36</v>
      </c>
      <c r="K46" s="22" t="s">
        <v>108</v>
      </c>
      <c r="L46" s="22" t="s">
        <v>109</v>
      </c>
      <c r="M46" s="22" t="s">
        <v>110</v>
      </c>
      <c r="N46" s="22" t="s">
        <v>475</v>
      </c>
      <c r="O46" s="22" t="s">
        <v>130</v>
      </c>
      <c r="P46" s="22" t="s">
        <v>112</v>
      </c>
      <c r="Q46" s="22">
        <v>5832</v>
      </c>
      <c r="R46" s="22" t="s">
        <v>147</v>
      </c>
      <c r="S46" s="22" t="s">
        <v>112</v>
      </c>
      <c r="T46" s="22" t="s">
        <v>114</v>
      </c>
      <c r="U46" s="22" t="s">
        <v>112</v>
      </c>
      <c r="V46" s="22" t="s">
        <v>132</v>
      </c>
      <c r="W46" s="22" t="s">
        <v>476</v>
      </c>
      <c r="X46" s="22" t="s">
        <v>476</v>
      </c>
      <c r="Y46" s="22" t="s">
        <v>24</v>
      </c>
      <c r="Z46" s="22" t="s">
        <v>477</v>
      </c>
      <c r="AA46" s="22" t="s">
        <v>24</v>
      </c>
      <c r="AB46" s="22" t="s">
        <v>477</v>
      </c>
      <c r="AC46" s="22" t="s">
        <v>478</v>
      </c>
      <c r="AD46" s="22" t="s">
        <v>120</v>
      </c>
      <c r="AE46" s="22" t="s">
        <v>136</v>
      </c>
      <c r="AF46" s="22" t="s">
        <v>479</v>
      </c>
      <c r="AG46" s="22" t="s">
        <v>110</v>
      </c>
      <c r="AH46" s="22"/>
      <c r="AI46" s="22" t="s">
        <v>480</v>
      </c>
      <c r="AJ46" s="22" t="s">
        <v>481</v>
      </c>
      <c r="AK46" s="22" t="s">
        <v>140</v>
      </c>
      <c r="AL46" s="22" t="s">
        <v>482</v>
      </c>
      <c r="AM46" s="22" t="s">
        <v>482</v>
      </c>
      <c r="AN46" s="22" t="s">
        <v>157</v>
      </c>
      <c r="AO46" s="22" t="s">
        <v>209</v>
      </c>
      <c r="AP46" s="22" t="s">
        <v>112</v>
      </c>
    </row>
    <row r="47" spans="10:42" s="18" customFormat="1" ht="16.8" customHeight="1">
      <c r="J47" s="22">
        <v>37</v>
      </c>
      <c r="K47" s="22" t="s">
        <v>108</v>
      </c>
      <c r="L47" s="22" t="s">
        <v>109</v>
      </c>
      <c r="M47" s="22" t="s">
        <v>110</v>
      </c>
      <c r="N47" s="22" t="s">
        <v>483</v>
      </c>
      <c r="O47" s="22" t="s">
        <v>130</v>
      </c>
      <c r="P47" s="22" t="s">
        <v>112</v>
      </c>
      <c r="Q47" s="22">
        <v>5832</v>
      </c>
      <c r="R47" s="22"/>
      <c r="S47" s="22" t="s">
        <v>112</v>
      </c>
      <c r="T47" s="22" t="s">
        <v>131</v>
      </c>
      <c r="U47" s="22" t="s">
        <v>112</v>
      </c>
      <c r="V47" s="22" t="s">
        <v>132</v>
      </c>
      <c r="W47" s="22" t="s">
        <v>235</v>
      </c>
      <c r="X47" s="22" t="s">
        <v>484</v>
      </c>
      <c r="Y47" s="22" t="s">
        <v>22</v>
      </c>
      <c r="Z47" s="22" t="s">
        <v>485</v>
      </c>
      <c r="AA47" s="22" t="s">
        <v>22</v>
      </c>
      <c r="AB47" s="22" t="s">
        <v>485</v>
      </c>
      <c r="AC47" s="22" t="s">
        <v>486</v>
      </c>
      <c r="AD47" s="22" t="s">
        <v>135</v>
      </c>
      <c r="AE47" s="22" t="s">
        <v>170</v>
      </c>
      <c r="AF47" s="22" t="s">
        <v>487</v>
      </c>
      <c r="AG47" s="22" t="s">
        <v>110</v>
      </c>
      <c r="AH47" s="22"/>
      <c r="AI47" s="22" t="s">
        <v>138</v>
      </c>
      <c r="AJ47" s="22" t="s">
        <v>488</v>
      </c>
      <c r="AK47" s="22" t="s">
        <v>140</v>
      </c>
      <c r="AL47" s="22" t="s">
        <v>402</v>
      </c>
      <c r="AM47" s="22" t="s">
        <v>403</v>
      </c>
      <c r="AN47" s="22" t="s">
        <v>143</v>
      </c>
      <c r="AO47" s="22" t="s">
        <v>144</v>
      </c>
      <c r="AP47" s="22" t="s">
        <v>112</v>
      </c>
    </row>
    <row r="48" spans="10:42" s="18" customFormat="1" ht="16.8" customHeight="1">
      <c r="J48" s="22">
        <v>38</v>
      </c>
      <c r="K48" s="22" t="s">
        <v>108</v>
      </c>
      <c r="L48" s="22" t="s">
        <v>109</v>
      </c>
      <c r="M48" s="22" t="s">
        <v>110</v>
      </c>
      <c r="N48" s="22" t="s">
        <v>489</v>
      </c>
      <c r="O48" s="22" t="s">
        <v>130</v>
      </c>
      <c r="P48" s="22" t="s">
        <v>112</v>
      </c>
      <c r="Q48" s="22">
        <v>31500</v>
      </c>
      <c r="R48" s="22"/>
      <c r="S48" s="22" t="s">
        <v>289</v>
      </c>
      <c r="T48" s="22" t="s">
        <v>114</v>
      </c>
      <c r="U48" s="22" t="s">
        <v>112</v>
      </c>
      <c r="V48" s="22" t="s">
        <v>132</v>
      </c>
      <c r="W48" s="22" t="s">
        <v>116</v>
      </c>
      <c r="X48" s="22" t="s">
        <v>290</v>
      </c>
      <c r="Y48" s="22" t="s">
        <v>21</v>
      </c>
      <c r="Z48" s="22" t="s">
        <v>490</v>
      </c>
      <c r="AA48" s="22" t="s">
        <v>21</v>
      </c>
      <c r="AB48" s="22" t="s">
        <v>491</v>
      </c>
      <c r="AC48" s="22" t="s">
        <v>492</v>
      </c>
      <c r="AD48" s="22" t="s">
        <v>120</v>
      </c>
      <c r="AE48" s="22"/>
      <c r="AF48" s="22" t="s">
        <v>493</v>
      </c>
      <c r="AG48" s="22"/>
      <c r="AH48" s="22"/>
      <c r="AI48" s="22" t="s">
        <v>494</v>
      </c>
      <c r="AJ48" s="22" t="s">
        <v>495</v>
      </c>
      <c r="AK48" s="22" t="s">
        <v>303</v>
      </c>
      <c r="AL48" s="22" t="s">
        <v>165</v>
      </c>
      <c r="AM48" s="22" t="s">
        <v>496</v>
      </c>
      <c r="AN48" s="22" t="s">
        <v>497</v>
      </c>
      <c r="AO48" s="22" t="s">
        <v>332</v>
      </c>
      <c r="AP48" s="22" t="s">
        <v>112</v>
      </c>
    </row>
    <row r="49" spans="10:42" s="18" customFormat="1" ht="16.8" customHeight="1">
      <c r="J49" s="22">
        <v>39</v>
      </c>
      <c r="K49" s="22" t="s">
        <v>108</v>
      </c>
      <c r="L49" s="22" t="s">
        <v>109</v>
      </c>
      <c r="M49" s="22" t="s">
        <v>110</v>
      </c>
      <c r="N49" s="22" t="s">
        <v>498</v>
      </c>
      <c r="O49" s="22" t="s">
        <v>130</v>
      </c>
      <c r="P49" s="22" t="s">
        <v>112</v>
      </c>
      <c r="Q49" s="22">
        <v>5382</v>
      </c>
      <c r="R49" s="22" t="s">
        <v>499</v>
      </c>
      <c r="S49" s="22" t="s">
        <v>396</v>
      </c>
      <c r="T49" s="22" t="s">
        <v>114</v>
      </c>
      <c r="U49" s="22" t="s">
        <v>112</v>
      </c>
      <c r="V49" s="22" t="s">
        <v>132</v>
      </c>
      <c r="W49" s="22" t="s">
        <v>116</v>
      </c>
      <c r="X49" s="22" t="s">
        <v>290</v>
      </c>
      <c r="Y49" s="22" t="s">
        <v>19</v>
      </c>
      <c r="Z49" s="22" t="s">
        <v>500</v>
      </c>
      <c r="AA49" s="22" t="s">
        <v>19</v>
      </c>
      <c r="AB49" s="22" t="s">
        <v>500</v>
      </c>
      <c r="AC49" s="22" t="s">
        <v>501</v>
      </c>
      <c r="AD49" s="22" t="s">
        <v>120</v>
      </c>
      <c r="AE49" s="22" t="s">
        <v>136</v>
      </c>
      <c r="AF49" s="22" t="s">
        <v>502</v>
      </c>
      <c r="AG49" s="22" t="s">
        <v>110</v>
      </c>
      <c r="AH49" s="22"/>
      <c r="AI49" s="22" t="s">
        <v>205</v>
      </c>
      <c r="AJ49" s="22" t="s">
        <v>503</v>
      </c>
      <c r="AK49" s="22" t="s">
        <v>140</v>
      </c>
      <c r="AL49" s="22" t="s">
        <v>504</v>
      </c>
      <c r="AM49" s="22" t="s">
        <v>505</v>
      </c>
      <c r="AN49" s="22" t="s">
        <v>143</v>
      </c>
      <c r="AO49" s="22" t="s">
        <v>209</v>
      </c>
      <c r="AP49" s="22" t="s">
        <v>112</v>
      </c>
    </row>
    <row r="50" spans="10:42" s="18" customFormat="1" ht="16.8" customHeight="1">
      <c r="J50" s="22">
        <v>40</v>
      </c>
      <c r="K50" s="22" t="s">
        <v>108</v>
      </c>
      <c r="L50" s="22" t="s">
        <v>109</v>
      </c>
      <c r="M50" s="22" t="s">
        <v>110</v>
      </c>
      <c r="N50" s="22" t="s">
        <v>506</v>
      </c>
      <c r="O50" s="22" t="s">
        <v>130</v>
      </c>
      <c r="P50" s="22" t="s">
        <v>112</v>
      </c>
      <c r="Q50" s="22">
        <v>5382</v>
      </c>
      <c r="R50" s="22"/>
      <c r="S50" s="22" t="s">
        <v>112</v>
      </c>
      <c r="T50" s="22" t="s">
        <v>131</v>
      </c>
      <c r="U50" s="22" t="s">
        <v>112</v>
      </c>
      <c r="V50" s="22" t="s">
        <v>132</v>
      </c>
      <c r="W50" s="22" t="s">
        <v>273</v>
      </c>
      <c r="X50" s="22" t="s">
        <v>353</v>
      </c>
      <c r="Y50" s="22" t="s">
        <v>12</v>
      </c>
      <c r="Z50" s="22" t="s">
        <v>507</v>
      </c>
      <c r="AA50" s="22" t="s">
        <v>12</v>
      </c>
      <c r="AB50" s="22" t="s">
        <v>508</v>
      </c>
      <c r="AC50" s="22" t="s">
        <v>509</v>
      </c>
      <c r="AD50" s="22" t="s">
        <v>120</v>
      </c>
      <c r="AE50" s="22" t="s">
        <v>136</v>
      </c>
      <c r="AF50" s="22" t="s">
        <v>510</v>
      </c>
      <c r="AG50" s="22" t="s">
        <v>110</v>
      </c>
      <c r="AH50" s="22"/>
      <c r="AI50" s="22" t="s">
        <v>138</v>
      </c>
      <c r="AJ50" s="22" t="s">
        <v>511</v>
      </c>
      <c r="AK50" s="22" t="s">
        <v>140</v>
      </c>
      <c r="AL50" s="22" t="s">
        <v>512</v>
      </c>
      <c r="AM50" s="22" t="s">
        <v>513</v>
      </c>
      <c r="AN50" s="22" t="s">
        <v>143</v>
      </c>
      <c r="AO50" s="22" t="s">
        <v>144</v>
      </c>
      <c r="AP50" s="22" t="s">
        <v>112</v>
      </c>
    </row>
    <row r="51" spans="10:42" s="18" customFormat="1" ht="16.8" customHeight="1">
      <c r="J51" s="22">
        <v>41</v>
      </c>
      <c r="K51" s="22" t="s">
        <v>108</v>
      </c>
      <c r="L51" s="22" t="s">
        <v>109</v>
      </c>
      <c r="M51" s="22" t="s">
        <v>514</v>
      </c>
      <c r="N51" s="22" t="s">
        <v>515</v>
      </c>
      <c r="O51" s="22" t="s">
        <v>130</v>
      </c>
      <c r="P51" s="22" t="s">
        <v>112</v>
      </c>
      <c r="Q51" s="22">
        <v>5382</v>
      </c>
      <c r="R51" s="22"/>
      <c r="S51" s="22" t="s">
        <v>516</v>
      </c>
      <c r="T51" s="22" t="s">
        <v>131</v>
      </c>
      <c r="U51" s="22" t="s">
        <v>112</v>
      </c>
      <c r="V51" s="22" t="s">
        <v>132</v>
      </c>
      <c r="W51" s="22" t="s">
        <v>116</v>
      </c>
      <c r="X51" s="22" t="s">
        <v>377</v>
      </c>
      <c r="Y51" s="22" t="s">
        <v>22</v>
      </c>
      <c r="Z51" s="22" t="s">
        <v>517</v>
      </c>
      <c r="AA51" s="22" t="s">
        <v>22</v>
      </c>
      <c r="AB51" s="22" t="s">
        <v>518</v>
      </c>
      <c r="AC51" s="22" t="s">
        <v>519</v>
      </c>
      <c r="AD51" s="22" t="s">
        <v>135</v>
      </c>
      <c r="AE51" s="22" t="s">
        <v>136</v>
      </c>
      <c r="AF51" s="22" t="s">
        <v>520</v>
      </c>
      <c r="AG51" s="22" t="s">
        <v>514</v>
      </c>
      <c r="AH51" s="22"/>
      <c r="AI51" s="22" t="s">
        <v>205</v>
      </c>
      <c r="AJ51" s="22" t="s">
        <v>521</v>
      </c>
      <c r="AK51" s="22" t="s">
        <v>140</v>
      </c>
      <c r="AL51" s="22" t="s">
        <v>522</v>
      </c>
      <c r="AM51" s="22" t="s">
        <v>403</v>
      </c>
      <c r="AN51" s="22" t="s">
        <v>143</v>
      </c>
      <c r="AO51" s="22" t="s">
        <v>209</v>
      </c>
      <c r="AP51" s="22" t="s">
        <v>112</v>
      </c>
    </row>
    <row r="52" spans="10:42" s="18" customFormat="1" ht="16.8" customHeight="1">
      <c r="J52" s="22">
        <v>42</v>
      </c>
      <c r="K52" s="22" t="s">
        <v>108</v>
      </c>
      <c r="L52" s="22" t="s">
        <v>109</v>
      </c>
      <c r="M52" s="22" t="s">
        <v>514</v>
      </c>
      <c r="N52" s="22" t="s">
        <v>523</v>
      </c>
      <c r="O52" s="22" t="s">
        <v>130</v>
      </c>
      <c r="P52" s="22" t="s">
        <v>112</v>
      </c>
      <c r="Q52" s="22">
        <v>5832</v>
      </c>
      <c r="R52" s="22" t="s">
        <v>499</v>
      </c>
      <c r="S52" s="22" t="s">
        <v>112</v>
      </c>
      <c r="T52" s="22" t="s">
        <v>114</v>
      </c>
      <c r="U52" s="22" t="s">
        <v>112</v>
      </c>
      <c r="V52" s="22" t="s">
        <v>132</v>
      </c>
      <c r="W52" s="22" t="s">
        <v>246</v>
      </c>
      <c r="X52" s="22" t="s">
        <v>247</v>
      </c>
      <c r="Y52" s="22" t="s">
        <v>22</v>
      </c>
      <c r="Z52" s="22" t="s">
        <v>524</v>
      </c>
      <c r="AA52" s="22" t="s">
        <v>22</v>
      </c>
      <c r="AB52" s="22" t="s">
        <v>525</v>
      </c>
      <c r="AC52" s="22" t="s">
        <v>526</v>
      </c>
      <c r="AD52" s="22" t="s">
        <v>135</v>
      </c>
      <c r="AE52" s="22" t="s">
        <v>385</v>
      </c>
      <c r="AF52" s="22" t="s">
        <v>527</v>
      </c>
      <c r="AG52" s="22" t="s">
        <v>514</v>
      </c>
      <c r="AH52" s="22"/>
      <c r="AI52" s="22" t="s">
        <v>205</v>
      </c>
      <c r="AJ52" s="22" t="s">
        <v>154</v>
      </c>
      <c r="AK52" s="22" t="s">
        <v>286</v>
      </c>
      <c r="AL52" s="22" t="s">
        <v>528</v>
      </c>
      <c r="AM52" s="22" t="s">
        <v>529</v>
      </c>
      <c r="AN52" s="22" t="s">
        <v>143</v>
      </c>
      <c r="AO52" s="22" t="s">
        <v>209</v>
      </c>
      <c r="AP52" s="22" t="s">
        <v>112</v>
      </c>
    </row>
    <row r="53" spans="10:42" s="18" customFormat="1" ht="16.8" customHeight="1">
      <c r="J53" s="22">
        <v>43</v>
      </c>
      <c r="K53" s="22" t="s">
        <v>108</v>
      </c>
      <c r="L53" s="22" t="s">
        <v>109</v>
      </c>
      <c r="M53" s="22" t="s">
        <v>514</v>
      </c>
      <c r="N53" s="22" t="s">
        <v>530</v>
      </c>
      <c r="O53" s="22" t="s">
        <v>130</v>
      </c>
      <c r="P53" s="22" t="s">
        <v>112</v>
      </c>
      <c r="Q53" s="22">
        <v>15120</v>
      </c>
      <c r="R53" s="22"/>
      <c r="S53" s="22" t="s">
        <v>112</v>
      </c>
      <c r="T53" s="22" t="s">
        <v>131</v>
      </c>
      <c r="U53" s="22" t="s">
        <v>112</v>
      </c>
      <c r="V53" s="22" t="s">
        <v>132</v>
      </c>
      <c r="W53" s="22" t="s">
        <v>282</v>
      </c>
      <c r="X53" s="22" t="s">
        <v>283</v>
      </c>
      <c r="Y53" s="22" t="s">
        <v>12</v>
      </c>
      <c r="Z53" s="22" t="s">
        <v>531</v>
      </c>
      <c r="AA53" s="22" t="s">
        <v>12</v>
      </c>
      <c r="AB53" s="22" t="s">
        <v>532</v>
      </c>
      <c r="AC53" s="22" t="s">
        <v>533</v>
      </c>
      <c r="AD53" s="22" t="s">
        <v>120</v>
      </c>
      <c r="AE53" s="22" t="s">
        <v>223</v>
      </c>
      <c r="AF53" s="22" t="s">
        <v>534</v>
      </c>
      <c r="AG53" s="22" t="s">
        <v>514</v>
      </c>
      <c r="AH53" s="22"/>
      <c r="AI53" s="22" t="s">
        <v>205</v>
      </c>
      <c r="AJ53" s="22" t="s">
        <v>535</v>
      </c>
      <c r="AK53" s="22" t="s">
        <v>124</v>
      </c>
      <c r="AL53" s="22" t="s">
        <v>536</v>
      </c>
      <c r="AM53" s="22" t="s">
        <v>537</v>
      </c>
      <c r="AN53" s="22" t="s">
        <v>143</v>
      </c>
      <c r="AO53" s="22" t="s">
        <v>296</v>
      </c>
      <c r="AP53" s="22" t="s">
        <v>112</v>
      </c>
    </row>
    <row r="54" spans="10:42" s="18" customFormat="1" ht="16.8" customHeight="1">
      <c r="J54" s="22">
        <v>44</v>
      </c>
      <c r="K54" s="22" t="s">
        <v>108</v>
      </c>
      <c r="L54" s="22" t="s">
        <v>109</v>
      </c>
      <c r="M54" s="22" t="s">
        <v>514</v>
      </c>
      <c r="N54" s="22" t="s">
        <v>538</v>
      </c>
      <c r="O54" s="22" t="s">
        <v>130</v>
      </c>
      <c r="P54" s="22" t="s">
        <v>112</v>
      </c>
      <c r="Q54" s="22">
        <v>19300</v>
      </c>
      <c r="R54" s="22"/>
      <c r="S54" s="22" t="s">
        <v>112</v>
      </c>
      <c r="T54" s="22" t="s">
        <v>131</v>
      </c>
      <c r="U54" s="22" t="s">
        <v>112</v>
      </c>
      <c r="V54" s="22" t="s">
        <v>132</v>
      </c>
      <c r="W54" s="22" t="s">
        <v>282</v>
      </c>
      <c r="X54" s="22" t="s">
        <v>283</v>
      </c>
      <c r="Y54" s="22" t="s">
        <v>19</v>
      </c>
      <c r="Z54" s="22" t="s">
        <v>539</v>
      </c>
      <c r="AA54" s="22" t="s">
        <v>19</v>
      </c>
      <c r="AB54" s="22" t="s">
        <v>539</v>
      </c>
      <c r="AC54" s="22" t="s">
        <v>540</v>
      </c>
      <c r="AD54" s="22" t="s">
        <v>120</v>
      </c>
      <c r="AE54" s="22" t="s">
        <v>136</v>
      </c>
      <c r="AF54" s="22" t="s">
        <v>541</v>
      </c>
      <c r="AG54" s="22" t="s">
        <v>514</v>
      </c>
      <c r="AH54" s="22"/>
      <c r="AI54" s="22" t="s">
        <v>542</v>
      </c>
      <c r="AJ54" s="22" t="s">
        <v>225</v>
      </c>
      <c r="AK54" s="22" t="s">
        <v>140</v>
      </c>
      <c r="AL54" s="22" t="s">
        <v>252</v>
      </c>
      <c r="AM54" s="22" t="s">
        <v>253</v>
      </c>
      <c r="AN54" s="22" t="s">
        <v>143</v>
      </c>
      <c r="AO54" s="22" t="s">
        <v>209</v>
      </c>
      <c r="AP54" s="22" t="s">
        <v>112</v>
      </c>
    </row>
    <row r="55" spans="10:42" s="18" customFormat="1" ht="16.8" customHeight="1">
      <c r="J55" s="22">
        <v>45</v>
      </c>
      <c r="K55" s="22" t="s">
        <v>108</v>
      </c>
      <c r="L55" s="22" t="s">
        <v>109</v>
      </c>
      <c r="M55" s="22" t="s">
        <v>514</v>
      </c>
      <c r="N55" s="22" t="s">
        <v>543</v>
      </c>
      <c r="O55" s="22" t="s">
        <v>130</v>
      </c>
      <c r="P55" s="22" t="s">
        <v>112</v>
      </c>
      <c r="Q55" s="22">
        <v>19300</v>
      </c>
      <c r="R55" s="22" t="s">
        <v>147</v>
      </c>
      <c r="S55" s="22" t="s">
        <v>112</v>
      </c>
      <c r="T55" s="22" t="s">
        <v>114</v>
      </c>
      <c r="U55" s="22" t="s">
        <v>112</v>
      </c>
      <c r="V55" s="22" t="s">
        <v>132</v>
      </c>
      <c r="W55" s="22" t="s">
        <v>235</v>
      </c>
      <c r="X55" s="22" t="s">
        <v>544</v>
      </c>
      <c r="Y55" s="22" t="s">
        <v>20</v>
      </c>
      <c r="Z55" s="22" t="s">
        <v>545</v>
      </c>
      <c r="AA55" s="22" t="s">
        <v>20</v>
      </c>
      <c r="AB55" s="22" t="s">
        <v>546</v>
      </c>
      <c r="AC55" s="22" t="s">
        <v>547</v>
      </c>
      <c r="AD55" s="22" t="s">
        <v>135</v>
      </c>
      <c r="AE55" s="22" t="s">
        <v>136</v>
      </c>
      <c r="AF55" s="22" t="s">
        <v>548</v>
      </c>
      <c r="AG55" s="22" t="s">
        <v>514</v>
      </c>
      <c r="AH55" s="22"/>
      <c r="AI55" s="22" t="s">
        <v>205</v>
      </c>
      <c r="AJ55" s="22" t="s">
        <v>549</v>
      </c>
      <c r="AK55" s="22" t="s">
        <v>124</v>
      </c>
      <c r="AL55" s="22" t="s">
        <v>141</v>
      </c>
      <c r="AM55" s="22" t="s">
        <v>142</v>
      </c>
      <c r="AN55" s="22" t="s">
        <v>143</v>
      </c>
      <c r="AO55" s="22" t="s">
        <v>209</v>
      </c>
      <c r="AP55" s="22" t="s">
        <v>112</v>
      </c>
    </row>
    <row r="56" spans="10:42" s="18" customFormat="1" ht="16.8" customHeight="1">
      <c r="J56" s="22">
        <v>46</v>
      </c>
      <c r="K56" s="22" t="s">
        <v>108</v>
      </c>
      <c r="L56" s="22" t="s">
        <v>109</v>
      </c>
      <c r="M56" s="22" t="s">
        <v>514</v>
      </c>
      <c r="N56" s="22" t="s">
        <v>550</v>
      </c>
      <c r="O56" s="22" t="s">
        <v>130</v>
      </c>
      <c r="P56" s="22" t="s">
        <v>112</v>
      </c>
      <c r="Q56" s="22">
        <v>22950</v>
      </c>
      <c r="R56" s="22"/>
      <c r="S56" s="22" t="s">
        <v>112</v>
      </c>
      <c r="T56" s="22" t="s">
        <v>131</v>
      </c>
      <c r="U56" s="22" t="s">
        <v>112</v>
      </c>
      <c r="V56" s="22" t="s">
        <v>132</v>
      </c>
      <c r="W56" s="22" t="s">
        <v>282</v>
      </c>
      <c r="X56" s="22" t="s">
        <v>551</v>
      </c>
      <c r="Y56" s="22" t="s">
        <v>24</v>
      </c>
      <c r="Z56" s="22" t="s">
        <v>552</v>
      </c>
      <c r="AA56" s="22" t="s">
        <v>24</v>
      </c>
      <c r="AB56" s="22" t="s">
        <v>553</v>
      </c>
      <c r="AC56" s="22" t="s">
        <v>554</v>
      </c>
      <c r="AD56" s="22" t="s">
        <v>120</v>
      </c>
      <c r="AE56" s="22"/>
      <c r="AF56" s="22" t="s">
        <v>555</v>
      </c>
      <c r="AG56" s="22"/>
      <c r="AH56" s="22"/>
      <c r="AI56" s="22" t="s">
        <v>138</v>
      </c>
      <c r="AJ56" s="22" t="s">
        <v>556</v>
      </c>
      <c r="AK56" s="22" t="s">
        <v>140</v>
      </c>
      <c r="AL56" s="22" t="s">
        <v>165</v>
      </c>
      <c r="AM56" s="22" t="s">
        <v>557</v>
      </c>
      <c r="AN56" s="22" t="s">
        <v>143</v>
      </c>
      <c r="AO56" s="22" t="s">
        <v>404</v>
      </c>
      <c r="AP56" s="22" t="s">
        <v>112</v>
      </c>
    </row>
    <row r="57" spans="10:42" s="18" customFormat="1" ht="16.8" customHeight="1">
      <c r="J57" s="22">
        <v>47</v>
      </c>
      <c r="K57" s="22" t="s">
        <v>108</v>
      </c>
      <c r="L57" s="22" t="s">
        <v>109</v>
      </c>
      <c r="M57" s="22" t="s">
        <v>514</v>
      </c>
      <c r="N57" s="22" t="s">
        <v>558</v>
      </c>
      <c r="O57" s="22" t="s">
        <v>130</v>
      </c>
      <c r="P57" s="22" t="s">
        <v>112</v>
      </c>
      <c r="Q57" s="22">
        <v>7560</v>
      </c>
      <c r="R57" s="22"/>
      <c r="S57" s="22" t="s">
        <v>112</v>
      </c>
      <c r="T57" s="22" t="s">
        <v>131</v>
      </c>
      <c r="U57" s="22" t="s">
        <v>112</v>
      </c>
      <c r="V57" s="22" t="s">
        <v>132</v>
      </c>
      <c r="W57" s="22" t="s">
        <v>235</v>
      </c>
      <c r="X57" s="22" t="s">
        <v>484</v>
      </c>
      <c r="Y57" s="22" t="s">
        <v>20</v>
      </c>
      <c r="Z57" s="22" t="s">
        <v>559</v>
      </c>
      <c r="AA57" s="22" t="s">
        <v>20</v>
      </c>
      <c r="AB57" s="22" t="s">
        <v>560</v>
      </c>
      <c r="AC57" s="22" t="s">
        <v>561</v>
      </c>
      <c r="AD57" s="22" t="s">
        <v>135</v>
      </c>
      <c r="AE57" s="22" t="s">
        <v>136</v>
      </c>
      <c r="AF57" s="22" t="s">
        <v>562</v>
      </c>
      <c r="AG57" s="22" t="s">
        <v>514</v>
      </c>
      <c r="AH57" s="22"/>
      <c r="AI57" s="22" t="s">
        <v>205</v>
      </c>
      <c r="AJ57" s="22" t="s">
        <v>521</v>
      </c>
      <c r="AK57" s="22" t="s">
        <v>303</v>
      </c>
      <c r="AL57" s="22" t="s">
        <v>563</v>
      </c>
      <c r="AM57" s="22" t="s">
        <v>564</v>
      </c>
      <c r="AN57" s="22" t="s">
        <v>143</v>
      </c>
      <c r="AO57" s="22" t="s">
        <v>565</v>
      </c>
      <c r="AP57" s="22" t="s">
        <v>112</v>
      </c>
    </row>
    <row r="58" spans="10:42" s="18" customFormat="1" ht="16.8" customHeight="1">
      <c r="J58" s="22">
        <v>48</v>
      </c>
      <c r="K58" s="22" t="s">
        <v>108</v>
      </c>
      <c r="L58" s="22" t="s">
        <v>109</v>
      </c>
      <c r="M58" s="22" t="s">
        <v>514</v>
      </c>
      <c r="N58" s="22" t="s">
        <v>566</v>
      </c>
      <c r="O58" s="22" t="s">
        <v>130</v>
      </c>
      <c r="P58" s="22" t="s">
        <v>112</v>
      </c>
      <c r="Q58" s="22">
        <v>5382</v>
      </c>
      <c r="R58" s="22"/>
      <c r="S58" s="22" t="s">
        <v>567</v>
      </c>
      <c r="T58" s="22" t="s">
        <v>131</v>
      </c>
      <c r="U58" s="22" t="s">
        <v>112</v>
      </c>
      <c r="V58" s="22" t="s">
        <v>132</v>
      </c>
      <c r="W58" s="22" t="s">
        <v>116</v>
      </c>
      <c r="X58" s="22" t="s">
        <v>377</v>
      </c>
      <c r="Y58" s="22" t="s">
        <v>24</v>
      </c>
      <c r="Z58" s="22" t="s">
        <v>568</v>
      </c>
      <c r="AA58" s="22" t="s">
        <v>24</v>
      </c>
      <c r="AB58" s="22" t="s">
        <v>569</v>
      </c>
      <c r="AC58" s="22" t="s">
        <v>570</v>
      </c>
      <c r="AD58" s="22" t="s">
        <v>120</v>
      </c>
      <c r="AE58" s="22" t="s">
        <v>385</v>
      </c>
      <c r="AF58" s="22" t="s">
        <v>571</v>
      </c>
      <c r="AG58" s="22" t="s">
        <v>514</v>
      </c>
      <c r="AH58" s="22"/>
      <c r="AI58" s="22" t="s">
        <v>138</v>
      </c>
      <c r="AJ58" s="22" t="s">
        <v>572</v>
      </c>
      <c r="AK58" s="22" t="s">
        <v>140</v>
      </c>
      <c r="AL58" s="22" t="s">
        <v>573</v>
      </c>
      <c r="AM58" s="22" t="s">
        <v>574</v>
      </c>
      <c r="AN58" s="22" t="s">
        <v>157</v>
      </c>
      <c r="AO58" s="22" t="s">
        <v>144</v>
      </c>
      <c r="AP58" s="22" t="s">
        <v>112</v>
      </c>
    </row>
    <row r="59" spans="10:42" s="18" customFormat="1" ht="16.8" customHeight="1">
      <c r="J59" s="22">
        <v>49</v>
      </c>
      <c r="K59" s="22" t="s">
        <v>108</v>
      </c>
      <c r="L59" s="22" t="s">
        <v>109</v>
      </c>
      <c r="M59" s="22" t="s">
        <v>514</v>
      </c>
      <c r="N59" s="22" t="s">
        <v>575</v>
      </c>
      <c r="O59" s="22" t="s">
        <v>130</v>
      </c>
      <c r="P59" s="22" t="s">
        <v>112</v>
      </c>
      <c r="Q59" s="22">
        <v>5832</v>
      </c>
      <c r="R59" s="22"/>
      <c r="S59" s="22" t="s">
        <v>112</v>
      </c>
      <c r="T59" s="22" t="s">
        <v>131</v>
      </c>
      <c r="U59" s="22" t="s">
        <v>112</v>
      </c>
      <c r="V59" s="22" t="s">
        <v>132</v>
      </c>
      <c r="W59" s="22" t="s">
        <v>273</v>
      </c>
      <c r="X59" s="22" t="s">
        <v>576</v>
      </c>
      <c r="Y59" s="22" t="s">
        <v>22</v>
      </c>
      <c r="Z59" s="22" t="s">
        <v>577</v>
      </c>
      <c r="AA59" s="22" t="s">
        <v>22</v>
      </c>
      <c r="AB59" s="22" t="s">
        <v>577</v>
      </c>
      <c r="AC59" s="22" t="s">
        <v>578</v>
      </c>
      <c r="AD59" s="22" t="s">
        <v>135</v>
      </c>
      <c r="AE59" s="22" t="s">
        <v>385</v>
      </c>
      <c r="AF59" s="22" t="s">
        <v>579</v>
      </c>
      <c r="AG59" s="22" t="s">
        <v>514</v>
      </c>
      <c r="AH59" s="22"/>
      <c r="AI59" s="22" t="s">
        <v>205</v>
      </c>
      <c r="AJ59" s="22" t="s">
        <v>321</v>
      </c>
      <c r="AK59" s="22" t="s">
        <v>286</v>
      </c>
      <c r="AL59" s="22" t="s">
        <v>580</v>
      </c>
      <c r="AM59" s="22" t="s">
        <v>581</v>
      </c>
      <c r="AN59" s="22" t="s">
        <v>143</v>
      </c>
      <c r="AO59" s="22" t="s">
        <v>209</v>
      </c>
      <c r="AP59" s="22" t="s">
        <v>112</v>
      </c>
    </row>
    <row r="60" spans="10:42" s="18" customFormat="1" ht="16.8" customHeight="1">
      <c r="J60" s="22">
        <v>50</v>
      </c>
      <c r="K60" s="22" t="s">
        <v>108</v>
      </c>
      <c r="L60" s="22" t="s">
        <v>109</v>
      </c>
      <c r="M60" s="22" t="s">
        <v>514</v>
      </c>
      <c r="N60" s="22" t="s">
        <v>582</v>
      </c>
      <c r="O60" s="22" t="s">
        <v>130</v>
      </c>
      <c r="P60" s="22" t="s">
        <v>112</v>
      </c>
      <c r="Q60" s="22">
        <v>5832</v>
      </c>
      <c r="R60" s="22" t="s">
        <v>147</v>
      </c>
      <c r="S60" s="22" t="s">
        <v>583</v>
      </c>
      <c r="T60" s="22" t="s">
        <v>114</v>
      </c>
      <c r="U60" s="22" t="s">
        <v>112</v>
      </c>
      <c r="V60" s="22" t="s">
        <v>132</v>
      </c>
      <c r="W60" s="22" t="s">
        <v>116</v>
      </c>
      <c r="X60" s="22" t="s">
        <v>290</v>
      </c>
      <c r="Y60" s="22" t="s">
        <v>19</v>
      </c>
      <c r="Z60" s="22" t="s">
        <v>584</v>
      </c>
      <c r="AA60" s="22" t="s">
        <v>19</v>
      </c>
      <c r="AB60" s="22" t="s">
        <v>584</v>
      </c>
      <c r="AC60" s="22" t="s">
        <v>585</v>
      </c>
      <c r="AD60" s="22" t="s">
        <v>120</v>
      </c>
      <c r="AE60" s="22" t="s">
        <v>136</v>
      </c>
      <c r="AF60" s="22" t="s">
        <v>586</v>
      </c>
      <c r="AG60" s="22" t="s">
        <v>514</v>
      </c>
      <c r="AH60" s="22"/>
      <c r="AI60" s="22" t="s">
        <v>205</v>
      </c>
      <c r="AJ60" s="22" t="s">
        <v>587</v>
      </c>
      <c r="AK60" s="22" t="s">
        <v>140</v>
      </c>
      <c r="AL60" s="22" t="s">
        <v>588</v>
      </c>
      <c r="AM60" s="22" t="s">
        <v>589</v>
      </c>
      <c r="AN60" s="22" t="s">
        <v>143</v>
      </c>
      <c r="AO60" s="22" t="s">
        <v>209</v>
      </c>
      <c r="AP60" s="22" t="s">
        <v>112</v>
      </c>
    </row>
    <row r="61" spans="10:42" s="18" customFormat="1" ht="16.8" customHeight="1">
      <c r="J61" s="22">
        <v>51</v>
      </c>
      <c r="K61" s="22" t="s">
        <v>108</v>
      </c>
      <c r="L61" s="22" t="s">
        <v>109</v>
      </c>
      <c r="M61" s="22" t="s">
        <v>514</v>
      </c>
      <c r="N61" s="22" t="s">
        <v>590</v>
      </c>
      <c r="O61" s="22" t="s">
        <v>130</v>
      </c>
      <c r="P61" s="22" t="s">
        <v>112</v>
      </c>
      <c r="Q61" s="22">
        <v>19300</v>
      </c>
      <c r="R61" s="22" t="s">
        <v>147</v>
      </c>
      <c r="S61" s="22" t="s">
        <v>112</v>
      </c>
      <c r="T61" s="22" t="s">
        <v>114</v>
      </c>
      <c r="U61" s="22" t="s">
        <v>112</v>
      </c>
      <c r="V61" s="22" t="s">
        <v>132</v>
      </c>
      <c r="W61" s="22" t="s">
        <v>235</v>
      </c>
      <c r="X61" s="22" t="s">
        <v>236</v>
      </c>
      <c r="Y61" s="22" t="s">
        <v>20</v>
      </c>
      <c r="Z61" s="22" t="s">
        <v>591</v>
      </c>
      <c r="AA61" s="22" t="s">
        <v>20</v>
      </c>
      <c r="AB61" s="22" t="s">
        <v>591</v>
      </c>
      <c r="AC61" s="22" t="s">
        <v>592</v>
      </c>
      <c r="AD61" s="22" t="s">
        <v>120</v>
      </c>
      <c r="AE61" s="22" t="s">
        <v>385</v>
      </c>
      <c r="AF61" s="22" t="s">
        <v>593</v>
      </c>
      <c r="AG61" s="22" t="s">
        <v>514</v>
      </c>
      <c r="AH61" s="22"/>
      <c r="AI61" s="22" t="s">
        <v>138</v>
      </c>
      <c r="AJ61" s="22" t="s">
        <v>195</v>
      </c>
      <c r="AK61" s="22" t="s">
        <v>286</v>
      </c>
      <c r="AL61" s="22" t="s">
        <v>594</v>
      </c>
      <c r="AM61" s="22" t="s">
        <v>595</v>
      </c>
      <c r="AN61" s="22" t="s">
        <v>143</v>
      </c>
      <c r="AO61" s="22" t="s">
        <v>144</v>
      </c>
      <c r="AP61" s="22" t="s">
        <v>112</v>
      </c>
    </row>
    <row r="62" spans="10:42" s="18" customFormat="1" ht="16.8" customHeight="1">
      <c r="J62" s="22">
        <v>52</v>
      </c>
      <c r="K62" s="22" t="s">
        <v>108</v>
      </c>
      <c r="L62" s="22" t="s">
        <v>109</v>
      </c>
      <c r="M62" s="22" t="s">
        <v>514</v>
      </c>
      <c r="N62" s="22" t="s">
        <v>558</v>
      </c>
      <c r="O62" s="22" t="s">
        <v>130</v>
      </c>
      <c r="P62" s="22" t="s">
        <v>112</v>
      </c>
      <c r="Q62" s="22">
        <v>7560</v>
      </c>
      <c r="R62" s="22"/>
      <c r="S62" s="22" t="s">
        <v>112</v>
      </c>
      <c r="T62" s="22" t="s">
        <v>352</v>
      </c>
      <c r="U62" s="22" t="s">
        <v>112</v>
      </c>
      <c r="V62" s="22" t="s">
        <v>132</v>
      </c>
      <c r="W62" s="22" t="s">
        <v>235</v>
      </c>
      <c r="X62" s="22" t="s">
        <v>484</v>
      </c>
      <c r="Y62" s="22" t="s">
        <v>12</v>
      </c>
      <c r="Z62" s="22" t="s">
        <v>559</v>
      </c>
      <c r="AA62" s="22" t="s">
        <v>20</v>
      </c>
      <c r="AB62" s="22" t="s">
        <v>560</v>
      </c>
      <c r="AC62" s="22" t="s">
        <v>561</v>
      </c>
      <c r="AD62" s="22" t="s">
        <v>135</v>
      </c>
      <c r="AE62" s="22"/>
      <c r="AF62" s="22" t="s">
        <v>562</v>
      </c>
      <c r="AG62" s="22"/>
      <c r="AH62" s="22"/>
      <c r="AI62" s="22" t="s">
        <v>205</v>
      </c>
      <c r="AJ62" s="22" t="s">
        <v>521</v>
      </c>
      <c r="AK62" s="22" t="s">
        <v>303</v>
      </c>
      <c r="AL62" s="22" t="s">
        <v>563</v>
      </c>
      <c r="AM62" s="22" t="s">
        <v>564</v>
      </c>
      <c r="AN62" s="22" t="s">
        <v>143</v>
      </c>
      <c r="AO62" s="22" t="s">
        <v>565</v>
      </c>
      <c r="AP62" s="22" t="s">
        <v>112</v>
      </c>
    </row>
    <row r="63" spans="10:42" s="18" customFormat="1" ht="16.8" customHeight="1">
      <c r="J63" s="22">
        <v>53</v>
      </c>
      <c r="K63" s="22" t="s">
        <v>108</v>
      </c>
      <c r="L63" s="22" t="s">
        <v>109</v>
      </c>
      <c r="M63" s="22" t="s">
        <v>514</v>
      </c>
      <c r="N63" s="22" t="s">
        <v>596</v>
      </c>
      <c r="O63" s="22" t="s">
        <v>130</v>
      </c>
      <c r="P63" s="22" t="s">
        <v>112</v>
      </c>
      <c r="Q63" s="22">
        <v>5382</v>
      </c>
      <c r="R63" s="22"/>
      <c r="S63" s="22" t="s">
        <v>112</v>
      </c>
      <c r="T63" s="22" t="s">
        <v>131</v>
      </c>
      <c r="U63" s="22" t="s">
        <v>112</v>
      </c>
      <c r="V63" s="22" t="s">
        <v>132</v>
      </c>
      <c r="W63" s="22" t="s">
        <v>246</v>
      </c>
      <c r="X63" s="22" t="s">
        <v>247</v>
      </c>
      <c r="Y63" s="22" t="s">
        <v>22</v>
      </c>
      <c r="Z63" s="22" t="s">
        <v>597</v>
      </c>
      <c r="AA63" s="22" t="s">
        <v>22</v>
      </c>
      <c r="AB63" s="22" t="s">
        <v>597</v>
      </c>
      <c r="AC63" s="22" t="s">
        <v>598</v>
      </c>
      <c r="AD63" s="22" t="s">
        <v>120</v>
      </c>
      <c r="AE63" s="22" t="s">
        <v>136</v>
      </c>
      <c r="AF63" s="22" t="s">
        <v>599</v>
      </c>
      <c r="AG63" s="22" t="s">
        <v>514</v>
      </c>
      <c r="AH63" s="22"/>
      <c r="AI63" s="22" t="s">
        <v>138</v>
      </c>
      <c r="AJ63" s="22" t="s">
        <v>263</v>
      </c>
      <c r="AK63" s="22" t="s">
        <v>140</v>
      </c>
      <c r="AL63" s="22" t="s">
        <v>600</v>
      </c>
      <c r="AM63" s="22" t="s">
        <v>601</v>
      </c>
      <c r="AN63" s="22" t="s">
        <v>143</v>
      </c>
      <c r="AO63" s="22" t="s">
        <v>144</v>
      </c>
      <c r="AP63" s="22" t="s">
        <v>112</v>
      </c>
    </row>
    <row r="64" spans="10:42" s="18" customFormat="1" ht="16.8" customHeight="1">
      <c r="J64" s="22">
        <v>54</v>
      </c>
      <c r="K64" s="22" t="s">
        <v>108</v>
      </c>
      <c r="L64" s="22" t="s">
        <v>109</v>
      </c>
      <c r="M64" s="22" t="s">
        <v>514</v>
      </c>
      <c r="N64" s="22" t="s">
        <v>602</v>
      </c>
      <c r="O64" s="22" t="s">
        <v>130</v>
      </c>
      <c r="P64" s="22" t="s">
        <v>112</v>
      </c>
      <c r="Q64" s="22">
        <v>5382</v>
      </c>
      <c r="R64" s="22" t="s">
        <v>499</v>
      </c>
      <c r="S64" s="22" t="s">
        <v>583</v>
      </c>
      <c r="T64" s="22" t="s">
        <v>114</v>
      </c>
      <c r="U64" s="22" t="s">
        <v>112</v>
      </c>
      <c r="V64" s="22" t="s">
        <v>132</v>
      </c>
      <c r="W64" s="22" t="s">
        <v>116</v>
      </c>
      <c r="X64" s="22" t="s">
        <v>290</v>
      </c>
      <c r="Y64" s="22" t="s">
        <v>19</v>
      </c>
      <c r="Z64" s="22" t="s">
        <v>603</v>
      </c>
      <c r="AA64" s="22" t="s">
        <v>19</v>
      </c>
      <c r="AB64" s="22" t="s">
        <v>604</v>
      </c>
      <c r="AC64" s="22" t="s">
        <v>605</v>
      </c>
      <c r="AD64" s="22" t="s">
        <v>120</v>
      </c>
      <c r="AE64" s="22" t="s">
        <v>136</v>
      </c>
      <c r="AF64" s="22" t="s">
        <v>606</v>
      </c>
      <c r="AG64" s="22" t="s">
        <v>514</v>
      </c>
      <c r="AH64" s="22"/>
      <c r="AI64" s="22" t="s">
        <v>205</v>
      </c>
      <c r="AJ64" s="22" t="s">
        <v>321</v>
      </c>
      <c r="AK64" s="22" t="s">
        <v>124</v>
      </c>
      <c r="AL64" s="22" t="s">
        <v>607</v>
      </c>
      <c r="AM64" s="22" t="s">
        <v>608</v>
      </c>
      <c r="AN64" s="22" t="s">
        <v>143</v>
      </c>
      <c r="AO64" s="22" t="s">
        <v>209</v>
      </c>
      <c r="AP64" s="22" t="s">
        <v>112</v>
      </c>
    </row>
    <row r="65" spans="10:42" s="18" customFormat="1" ht="16.8" customHeight="1">
      <c r="J65" s="22">
        <v>55</v>
      </c>
      <c r="K65" s="22" t="s">
        <v>108</v>
      </c>
      <c r="L65" s="22" t="s">
        <v>109</v>
      </c>
      <c r="M65" s="22" t="s">
        <v>514</v>
      </c>
      <c r="N65" s="22" t="s">
        <v>609</v>
      </c>
      <c r="O65" s="22" t="s">
        <v>130</v>
      </c>
      <c r="P65" s="22" t="s">
        <v>112</v>
      </c>
      <c r="Q65" s="22">
        <v>5832</v>
      </c>
      <c r="R65" s="22"/>
      <c r="S65" s="22" t="s">
        <v>610</v>
      </c>
      <c r="T65" s="22" t="s">
        <v>131</v>
      </c>
      <c r="U65" s="22" t="s">
        <v>611</v>
      </c>
      <c r="V65" s="22" t="s">
        <v>132</v>
      </c>
      <c r="W65" s="22" t="s">
        <v>116</v>
      </c>
      <c r="X65" s="22" t="s">
        <v>377</v>
      </c>
      <c r="Y65" s="22" t="s">
        <v>24</v>
      </c>
      <c r="Z65" s="22" t="s">
        <v>612</v>
      </c>
      <c r="AA65" s="22" t="s">
        <v>24</v>
      </c>
      <c r="AB65" s="22" t="s">
        <v>613</v>
      </c>
      <c r="AC65" s="22" t="s">
        <v>614</v>
      </c>
      <c r="AD65" s="22" t="s">
        <v>120</v>
      </c>
      <c r="AE65" s="22" t="s">
        <v>399</v>
      </c>
      <c r="AF65" s="22" t="s">
        <v>615</v>
      </c>
      <c r="AG65" s="22" t="s">
        <v>514</v>
      </c>
      <c r="AH65" s="22"/>
      <c r="AI65" s="22" t="s">
        <v>205</v>
      </c>
      <c r="AJ65" s="22" t="s">
        <v>340</v>
      </c>
      <c r="AK65" s="22" t="s">
        <v>140</v>
      </c>
      <c r="AL65" s="22" t="s">
        <v>341</v>
      </c>
      <c r="AM65" s="22" t="s">
        <v>342</v>
      </c>
      <c r="AN65" s="22" t="s">
        <v>157</v>
      </c>
      <c r="AO65" s="22" t="s">
        <v>209</v>
      </c>
      <c r="AP65" s="22" t="s">
        <v>112</v>
      </c>
    </row>
    <row r="66" spans="10:42" s="18" customFormat="1" ht="16.8" customHeight="1">
      <c r="J66" s="22">
        <v>56</v>
      </c>
      <c r="K66" s="22" t="s">
        <v>108</v>
      </c>
      <c r="L66" s="22" t="s">
        <v>109</v>
      </c>
      <c r="M66" s="22" t="s">
        <v>297</v>
      </c>
      <c r="N66" s="22" t="s">
        <v>616</v>
      </c>
      <c r="O66" s="22" t="s">
        <v>130</v>
      </c>
      <c r="P66" s="22" t="s">
        <v>112</v>
      </c>
      <c r="Q66" s="22">
        <v>5382</v>
      </c>
      <c r="R66" s="22"/>
      <c r="S66" s="22" t="s">
        <v>112</v>
      </c>
      <c r="T66" s="22" t="s">
        <v>131</v>
      </c>
      <c r="U66" s="22" t="s">
        <v>112</v>
      </c>
      <c r="V66" s="22" t="s">
        <v>132</v>
      </c>
      <c r="W66" s="22" t="s">
        <v>246</v>
      </c>
      <c r="X66" s="22" t="s">
        <v>247</v>
      </c>
      <c r="Y66" s="22" t="s">
        <v>22</v>
      </c>
      <c r="Z66" s="22" t="s">
        <v>617</v>
      </c>
      <c r="AA66" s="22" t="s">
        <v>22</v>
      </c>
      <c r="AB66" s="22" t="s">
        <v>617</v>
      </c>
      <c r="AC66" s="22" t="s">
        <v>618</v>
      </c>
      <c r="AD66" s="22" t="s">
        <v>135</v>
      </c>
      <c r="AE66" s="22" t="s">
        <v>385</v>
      </c>
      <c r="AF66" s="22" t="s">
        <v>619</v>
      </c>
      <c r="AG66" s="22" t="s">
        <v>297</v>
      </c>
      <c r="AH66" s="22"/>
      <c r="AI66" s="22" t="s">
        <v>205</v>
      </c>
      <c r="AJ66" s="22" t="s">
        <v>620</v>
      </c>
      <c r="AK66" s="22" t="s">
        <v>124</v>
      </c>
      <c r="AL66" s="22" t="s">
        <v>621</v>
      </c>
      <c r="AM66" s="22" t="s">
        <v>622</v>
      </c>
      <c r="AN66" s="22" t="s">
        <v>143</v>
      </c>
      <c r="AO66" s="22" t="s">
        <v>209</v>
      </c>
      <c r="AP66" s="22" t="s">
        <v>112</v>
      </c>
    </row>
    <row r="67" spans="10:42" s="18" customFormat="1" ht="16.8" customHeight="1">
      <c r="J67" s="22">
        <v>57</v>
      </c>
      <c r="K67" s="22" t="s">
        <v>108</v>
      </c>
      <c r="L67" s="22" t="s">
        <v>109</v>
      </c>
      <c r="M67" s="22" t="s">
        <v>297</v>
      </c>
      <c r="N67" s="22" t="s">
        <v>623</v>
      </c>
      <c r="O67" s="22" t="s">
        <v>130</v>
      </c>
      <c r="P67" s="22" t="s">
        <v>112</v>
      </c>
      <c r="Q67" s="22">
        <v>5832</v>
      </c>
      <c r="R67" s="22"/>
      <c r="S67" s="22" t="s">
        <v>112</v>
      </c>
      <c r="T67" s="22" t="s">
        <v>131</v>
      </c>
      <c r="U67" s="22" t="s">
        <v>112</v>
      </c>
      <c r="V67" s="22" t="s">
        <v>132</v>
      </c>
      <c r="W67" s="22" t="s">
        <v>282</v>
      </c>
      <c r="X67" s="22" t="s">
        <v>326</v>
      </c>
      <c r="Y67" s="22" t="s">
        <v>22</v>
      </c>
      <c r="Z67" s="22" t="s">
        <v>624</v>
      </c>
      <c r="AA67" s="22" t="s">
        <v>22</v>
      </c>
      <c r="AB67" s="22" t="s">
        <v>625</v>
      </c>
      <c r="AC67" s="22" t="s">
        <v>626</v>
      </c>
      <c r="AD67" s="22" t="s">
        <v>120</v>
      </c>
      <c r="AE67" s="22" t="s">
        <v>136</v>
      </c>
      <c r="AF67" s="22" t="s">
        <v>627</v>
      </c>
      <c r="AG67" s="22" t="s">
        <v>297</v>
      </c>
      <c r="AH67" s="22"/>
      <c r="AI67" s="22" t="s">
        <v>138</v>
      </c>
      <c r="AJ67" s="22" t="s">
        <v>628</v>
      </c>
      <c r="AK67" s="22" t="s">
        <v>124</v>
      </c>
      <c r="AL67" s="22" t="s">
        <v>629</v>
      </c>
      <c r="AM67" s="22" t="s">
        <v>630</v>
      </c>
      <c r="AN67" s="22" t="s">
        <v>143</v>
      </c>
      <c r="AO67" s="22" t="s">
        <v>144</v>
      </c>
      <c r="AP67" s="22" t="s">
        <v>112</v>
      </c>
    </row>
    <row r="68" spans="10:42" s="18" customFormat="1" ht="16.8" customHeight="1">
      <c r="J68" s="22">
        <v>58</v>
      </c>
      <c r="K68" s="22" t="s">
        <v>108</v>
      </c>
      <c r="L68" s="22" t="s">
        <v>109</v>
      </c>
      <c r="M68" s="22" t="s">
        <v>297</v>
      </c>
      <c r="N68" s="22" t="s">
        <v>631</v>
      </c>
      <c r="O68" s="22" t="s">
        <v>130</v>
      </c>
      <c r="P68" s="22" t="s">
        <v>112</v>
      </c>
      <c r="Q68" s="22">
        <v>5832</v>
      </c>
      <c r="R68" s="22"/>
      <c r="S68" s="22" t="s">
        <v>112</v>
      </c>
      <c r="T68" s="22" t="s">
        <v>131</v>
      </c>
      <c r="U68" s="22" t="s">
        <v>112</v>
      </c>
      <c r="V68" s="22" t="s">
        <v>132</v>
      </c>
      <c r="W68" s="22" t="s">
        <v>273</v>
      </c>
      <c r="X68" s="22" t="s">
        <v>353</v>
      </c>
      <c r="Y68" s="22" t="s">
        <v>22</v>
      </c>
      <c r="Z68" s="22" t="s">
        <v>632</v>
      </c>
      <c r="AA68" s="22" t="s">
        <v>22</v>
      </c>
      <c r="AB68" s="22" t="s">
        <v>632</v>
      </c>
      <c r="AC68" s="22" t="s">
        <v>633</v>
      </c>
      <c r="AD68" s="22" t="s">
        <v>120</v>
      </c>
      <c r="AE68" s="22" t="s">
        <v>193</v>
      </c>
      <c r="AF68" s="22" t="s">
        <v>634</v>
      </c>
      <c r="AG68" s="22" t="s">
        <v>297</v>
      </c>
      <c r="AH68" s="22"/>
      <c r="AI68" s="22" t="s">
        <v>205</v>
      </c>
      <c r="AJ68" s="22" t="s">
        <v>635</v>
      </c>
      <c r="AK68" s="22" t="s">
        <v>140</v>
      </c>
      <c r="AL68" s="22" t="s">
        <v>636</v>
      </c>
      <c r="AM68" s="22" t="s">
        <v>637</v>
      </c>
      <c r="AN68" s="22" t="s">
        <v>143</v>
      </c>
      <c r="AO68" s="22" t="s">
        <v>209</v>
      </c>
      <c r="AP68" s="22" t="s">
        <v>112</v>
      </c>
    </row>
    <row r="69" spans="10:42" s="18" customFormat="1" ht="16.8" customHeight="1">
      <c r="J69" s="22">
        <v>59</v>
      </c>
      <c r="K69" s="22" t="s">
        <v>108</v>
      </c>
      <c r="L69" s="22" t="s">
        <v>109</v>
      </c>
      <c r="M69" s="22" t="s">
        <v>297</v>
      </c>
      <c r="N69" s="22" t="s">
        <v>638</v>
      </c>
      <c r="O69" s="22" t="s">
        <v>130</v>
      </c>
      <c r="P69" s="22" t="s">
        <v>112</v>
      </c>
      <c r="Q69" s="22">
        <v>5832</v>
      </c>
      <c r="R69" s="22"/>
      <c r="S69" s="22" t="s">
        <v>112</v>
      </c>
      <c r="T69" s="22" t="s">
        <v>131</v>
      </c>
      <c r="U69" s="22" t="s">
        <v>112</v>
      </c>
      <c r="V69" s="22" t="s">
        <v>132</v>
      </c>
      <c r="W69" s="22" t="s">
        <v>273</v>
      </c>
      <c r="X69" s="22" t="s">
        <v>353</v>
      </c>
      <c r="Y69" s="22" t="s">
        <v>12</v>
      </c>
      <c r="Z69" s="22" t="s">
        <v>639</v>
      </c>
      <c r="AA69" s="22" t="s">
        <v>12</v>
      </c>
      <c r="AB69" s="22" t="s">
        <v>640</v>
      </c>
      <c r="AC69" s="22" t="s">
        <v>641</v>
      </c>
      <c r="AD69" s="22" t="s">
        <v>120</v>
      </c>
      <c r="AE69" s="22" t="s">
        <v>193</v>
      </c>
      <c r="AF69" s="22" t="s">
        <v>642</v>
      </c>
      <c r="AG69" s="22" t="s">
        <v>297</v>
      </c>
      <c r="AH69" s="22"/>
      <c r="AI69" s="22" t="s">
        <v>138</v>
      </c>
      <c r="AJ69" s="22" t="s">
        <v>643</v>
      </c>
      <c r="AK69" s="22" t="s">
        <v>140</v>
      </c>
      <c r="AL69" s="22" t="s">
        <v>644</v>
      </c>
      <c r="AM69" s="22" t="s">
        <v>645</v>
      </c>
      <c r="AN69" s="22" t="s">
        <v>143</v>
      </c>
      <c r="AO69" s="22" t="s">
        <v>144</v>
      </c>
      <c r="AP69" s="22" t="s">
        <v>112</v>
      </c>
    </row>
    <row r="70" spans="10:42" s="18" customFormat="1" ht="16.8" customHeight="1">
      <c r="J70" s="22">
        <v>60</v>
      </c>
      <c r="K70" s="22" t="s">
        <v>108</v>
      </c>
      <c r="L70" s="22" t="s">
        <v>109</v>
      </c>
      <c r="M70" s="22" t="s">
        <v>297</v>
      </c>
      <c r="N70" s="22" t="s">
        <v>646</v>
      </c>
      <c r="O70" s="22" t="s">
        <v>130</v>
      </c>
      <c r="P70" s="22" t="s">
        <v>112</v>
      </c>
      <c r="Q70" s="22">
        <v>19300</v>
      </c>
      <c r="R70" s="22"/>
      <c r="S70" s="22" t="s">
        <v>112</v>
      </c>
      <c r="T70" s="22" t="s">
        <v>131</v>
      </c>
      <c r="U70" s="22" t="s">
        <v>112</v>
      </c>
      <c r="V70" s="22" t="s">
        <v>132</v>
      </c>
      <c r="W70" s="22" t="s">
        <v>282</v>
      </c>
      <c r="X70" s="22" t="s">
        <v>647</v>
      </c>
      <c r="Y70" s="22" t="s">
        <v>24</v>
      </c>
      <c r="Z70" s="22" t="s">
        <v>648</v>
      </c>
      <c r="AA70" s="22" t="s">
        <v>24</v>
      </c>
      <c r="AB70" s="22" t="s">
        <v>648</v>
      </c>
      <c r="AC70" s="22" t="s">
        <v>649</v>
      </c>
      <c r="AD70" s="22" t="s">
        <v>120</v>
      </c>
      <c r="AE70" s="22" t="s">
        <v>193</v>
      </c>
      <c r="AF70" s="22" t="s">
        <v>650</v>
      </c>
      <c r="AG70" s="22" t="s">
        <v>297</v>
      </c>
      <c r="AH70" s="22"/>
      <c r="AI70" s="22" t="s">
        <v>205</v>
      </c>
      <c r="AJ70" s="22" t="s">
        <v>651</v>
      </c>
      <c r="AK70" s="22" t="s">
        <v>140</v>
      </c>
      <c r="AL70" s="22" t="s">
        <v>652</v>
      </c>
      <c r="AM70" s="22" t="s">
        <v>653</v>
      </c>
      <c r="AN70" s="22" t="s">
        <v>143</v>
      </c>
      <c r="AO70" s="22" t="s">
        <v>209</v>
      </c>
      <c r="AP70" s="22" t="s">
        <v>112</v>
      </c>
    </row>
    <row r="71" spans="10:42" s="18" customFormat="1" ht="16.8" customHeight="1">
      <c r="J71" s="22">
        <v>61</v>
      </c>
      <c r="K71" s="22" t="s">
        <v>108</v>
      </c>
      <c r="L71" s="22" t="s">
        <v>109</v>
      </c>
      <c r="M71" s="22" t="s">
        <v>233</v>
      </c>
      <c r="N71" s="22" t="s">
        <v>654</v>
      </c>
      <c r="O71" s="22" t="s">
        <v>130</v>
      </c>
      <c r="P71" s="22" t="s">
        <v>112</v>
      </c>
      <c r="Q71" s="22">
        <v>14800</v>
      </c>
      <c r="R71" s="22"/>
      <c r="S71" s="22" t="s">
        <v>112</v>
      </c>
      <c r="T71" s="22" t="s">
        <v>131</v>
      </c>
      <c r="U71" s="22" t="s">
        <v>112</v>
      </c>
      <c r="V71" s="22" t="s">
        <v>132</v>
      </c>
      <c r="W71" s="22" t="s">
        <v>273</v>
      </c>
      <c r="X71" s="22" t="s">
        <v>655</v>
      </c>
      <c r="Y71" s="22" t="s">
        <v>12</v>
      </c>
      <c r="Z71" s="22" t="s">
        <v>656</v>
      </c>
      <c r="AA71" s="22" t="s">
        <v>12</v>
      </c>
      <c r="AB71" s="22" t="s">
        <v>657</v>
      </c>
      <c r="AC71" s="22" t="s">
        <v>658</v>
      </c>
      <c r="AD71" s="22" t="s">
        <v>120</v>
      </c>
      <c r="AE71" s="22" t="s">
        <v>223</v>
      </c>
      <c r="AF71" s="22" t="s">
        <v>659</v>
      </c>
      <c r="AG71" s="22" t="s">
        <v>233</v>
      </c>
      <c r="AH71" s="22"/>
      <c r="AI71" s="22" t="s">
        <v>205</v>
      </c>
      <c r="AJ71" s="22" t="s">
        <v>660</v>
      </c>
      <c r="AK71" s="22" t="s">
        <v>124</v>
      </c>
      <c r="AL71" s="22" t="s">
        <v>661</v>
      </c>
      <c r="AM71" s="22" t="s">
        <v>128</v>
      </c>
      <c r="AN71" s="22" t="s">
        <v>143</v>
      </c>
      <c r="AO71" s="22" t="s">
        <v>296</v>
      </c>
      <c r="AP71" s="22" t="s">
        <v>112</v>
      </c>
    </row>
    <row r="72" spans="10:42" s="18" customFormat="1" ht="16.8" customHeight="1">
      <c r="J72" s="22">
        <v>62</v>
      </c>
      <c r="K72" s="22" t="s">
        <v>108</v>
      </c>
      <c r="L72" s="22" t="s">
        <v>109</v>
      </c>
      <c r="M72" s="22" t="s">
        <v>233</v>
      </c>
      <c r="N72" s="22" t="s">
        <v>662</v>
      </c>
      <c r="O72" s="22" t="s">
        <v>130</v>
      </c>
      <c r="P72" s="22" t="s">
        <v>112</v>
      </c>
      <c r="Q72" s="22">
        <v>13900</v>
      </c>
      <c r="R72" s="22"/>
      <c r="S72" s="22" t="s">
        <v>112</v>
      </c>
      <c r="T72" s="22" t="s">
        <v>131</v>
      </c>
      <c r="U72" s="22" t="s">
        <v>112</v>
      </c>
      <c r="V72" s="22" t="s">
        <v>132</v>
      </c>
      <c r="W72" s="22" t="s">
        <v>406</v>
      </c>
      <c r="X72" s="22" t="s">
        <v>407</v>
      </c>
      <c r="Y72" s="22" t="s">
        <v>21</v>
      </c>
      <c r="Z72" s="22" t="s">
        <v>663</v>
      </c>
      <c r="AA72" s="22" t="s">
        <v>21</v>
      </c>
      <c r="AB72" s="22" t="s">
        <v>664</v>
      </c>
      <c r="AC72" s="22" t="s">
        <v>665</v>
      </c>
      <c r="AD72" s="22" t="s">
        <v>135</v>
      </c>
      <c r="AE72" s="22"/>
      <c r="AF72" s="22" t="s">
        <v>666</v>
      </c>
      <c r="AG72" s="22"/>
      <c r="AH72" s="22"/>
      <c r="AI72" s="22" t="s">
        <v>667</v>
      </c>
      <c r="AJ72" s="22" t="s">
        <v>503</v>
      </c>
      <c r="AK72" s="22" t="s">
        <v>140</v>
      </c>
      <c r="AL72" s="22" t="s">
        <v>668</v>
      </c>
      <c r="AM72" s="22" t="s">
        <v>669</v>
      </c>
      <c r="AN72" s="22" t="s">
        <v>412</v>
      </c>
      <c r="AO72" s="22" t="s">
        <v>209</v>
      </c>
      <c r="AP72" s="22" t="s">
        <v>112</v>
      </c>
    </row>
    <row r="73" spans="10:42" s="18" customFormat="1" ht="16.8" customHeight="1">
      <c r="J73" s="22">
        <v>63</v>
      </c>
      <c r="K73" s="22" t="s">
        <v>108</v>
      </c>
      <c r="L73" s="22" t="s">
        <v>109</v>
      </c>
      <c r="M73" s="22" t="s">
        <v>233</v>
      </c>
      <c r="N73" s="22" t="s">
        <v>670</v>
      </c>
      <c r="O73" s="22" t="s">
        <v>130</v>
      </c>
      <c r="P73" s="22" t="s">
        <v>112</v>
      </c>
      <c r="Q73" s="22">
        <v>5382</v>
      </c>
      <c r="R73" s="22"/>
      <c r="S73" s="22" t="s">
        <v>112</v>
      </c>
      <c r="T73" s="22" t="s">
        <v>131</v>
      </c>
      <c r="U73" s="22" t="s">
        <v>671</v>
      </c>
      <c r="V73" s="22" t="s">
        <v>132</v>
      </c>
      <c r="W73" s="22" t="s">
        <v>235</v>
      </c>
      <c r="X73" s="22" t="s">
        <v>484</v>
      </c>
      <c r="Y73" s="22" t="s">
        <v>24</v>
      </c>
      <c r="Z73" s="22" t="s">
        <v>672</v>
      </c>
      <c r="AA73" s="22" t="s">
        <v>24</v>
      </c>
      <c r="AB73" s="22" t="s">
        <v>673</v>
      </c>
      <c r="AC73" s="22" t="s">
        <v>674</v>
      </c>
      <c r="AD73" s="22" t="s">
        <v>120</v>
      </c>
      <c r="AE73" s="22" t="s">
        <v>136</v>
      </c>
      <c r="AF73" s="22" t="s">
        <v>675</v>
      </c>
      <c r="AG73" s="22" t="s">
        <v>233</v>
      </c>
      <c r="AH73" s="22"/>
      <c r="AI73" s="22" t="s">
        <v>494</v>
      </c>
      <c r="AJ73" s="22" t="s">
        <v>139</v>
      </c>
      <c r="AK73" s="22" t="s">
        <v>124</v>
      </c>
      <c r="AL73" s="22" t="s">
        <v>165</v>
      </c>
      <c r="AM73" s="22" t="s">
        <v>676</v>
      </c>
      <c r="AN73" s="22" t="s">
        <v>143</v>
      </c>
      <c r="AO73" s="22" t="s">
        <v>209</v>
      </c>
      <c r="AP73" s="22" t="s">
        <v>112</v>
      </c>
    </row>
    <row r="74" spans="10:42" s="18" customFormat="1" ht="16.8" customHeight="1">
      <c r="J74" s="22">
        <v>64</v>
      </c>
      <c r="K74" s="22" t="s">
        <v>108</v>
      </c>
      <c r="L74" s="22" t="s">
        <v>109</v>
      </c>
      <c r="M74" s="22" t="s">
        <v>233</v>
      </c>
      <c r="N74" s="22" t="s">
        <v>677</v>
      </c>
      <c r="O74" s="22" t="s">
        <v>130</v>
      </c>
      <c r="P74" s="22" t="s">
        <v>112</v>
      </c>
      <c r="Q74" s="22">
        <v>16100</v>
      </c>
      <c r="R74" s="22"/>
      <c r="S74" s="22" t="s">
        <v>304</v>
      </c>
      <c r="T74" s="22" t="s">
        <v>114</v>
      </c>
      <c r="U74" s="22" t="s">
        <v>112</v>
      </c>
      <c r="V74" s="22" t="s">
        <v>132</v>
      </c>
      <c r="W74" s="22" t="s">
        <v>116</v>
      </c>
      <c r="X74" s="22" t="s">
        <v>290</v>
      </c>
      <c r="Y74" s="22" t="s">
        <v>21</v>
      </c>
      <c r="Z74" s="22" t="s">
        <v>678</v>
      </c>
      <c r="AA74" s="22" t="s">
        <v>21</v>
      </c>
      <c r="AB74" s="22" t="s">
        <v>679</v>
      </c>
      <c r="AC74" s="22" t="s">
        <v>680</v>
      </c>
      <c r="AD74" s="22" t="s">
        <v>120</v>
      </c>
      <c r="AE74" s="22"/>
      <c r="AF74" s="22" t="s">
        <v>681</v>
      </c>
      <c r="AG74" s="22"/>
      <c r="AH74" s="22"/>
      <c r="AI74" s="22" t="s">
        <v>138</v>
      </c>
      <c r="AJ74" s="22" t="s">
        <v>195</v>
      </c>
      <c r="AK74" s="22" t="s">
        <v>140</v>
      </c>
      <c r="AL74" s="22" t="s">
        <v>682</v>
      </c>
      <c r="AM74" s="22" t="s">
        <v>683</v>
      </c>
      <c r="AN74" s="22" t="s">
        <v>157</v>
      </c>
      <c r="AO74" s="22" t="s">
        <v>144</v>
      </c>
      <c r="AP74" s="22" t="s">
        <v>112</v>
      </c>
    </row>
    <row r="75" spans="10:42" s="18" customFormat="1" ht="16.8" customHeight="1">
      <c r="J75" s="22">
        <v>65</v>
      </c>
      <c r="K75" s="22" t="s">
        <v>108</v>
      </c>
      <c r="L75" s="22" t="s">
        <v>109</v>
      </c>
      <c r="M75" s="22" t="s">
        <v>233</v>
      </c>
      <c r="N75" s="22" t="s">
        <v>684</v>
      </c>
      <c r="O75" s="22" t="s">
        <v>130</v>
      </c>
      <c r="P75" s="22" t="s">
        <v>112</v>
      </c>
      <c r="Q75" s="22">
        <v>5832</v>
      </c>
      <c r="R75" s="22"/>
      <c r="S75" s="22" t="s">
        <v>112</v>
      </c>
      <c r="T75" s="22" t="s">
        <v>131</v>
      </c>
      <c r="U75" s="22" t="s">
        <v>112</v>
      </c>
      <c r="V75" s="22" t="s">
        <v>132</v>
      </c>
      <c r="W75" s="22" t="s">
        <v>246</v>
      </c>
      <c r="X75" s="22" t="s">
        <v>247</v>
      </c>
      <c r="Y75" s="22" t="s">
        <v>21</v>
      </c>
      <c r="Z75" s="22" t="s">
        <v>685</v>
      </c>
      <c r="AA75" s="22" t="s">
        <v>21</v>
      </c>
      <c r="AB75" s="22" t="s">
        <v>685</v>
      </c>
      <c r="AC75" s="22" t="s">
        <v>686</v>
      </c>
      <c r="AD75" s="22" t="s">
        <v>135</v>
      </c>
      <c r="AE75" s="22" t="s">
        <v>399</v>
      </c>
      <c r="AF75" s="22" t="s">
        <v>687</v>
      </c>
      <c r="AG75" s="22" t="s">
        <v>233</v>
      </c>
      <c r="AH75" s="22"/>
      <c r="AI75" s="22" t="s">
        <v>205</v>
      </c>
      <c r="AJ75" s="22" t="s">
        <v>242</v>
      </c>
      <c r="AK75" s="22" t="s">
        <v>140</v>
      </c>
      <c r="AL75" s="22" t="s">
        <v>242</v>
      </c>
      <c r="AM75" s="22" t="s">
        <v>242</v>
      </c>
      <c r="AN75" s="22" t="s">
        <v>143</v>
      </c>
      <c r="AO75" s="22" t="s">
        <v>209</v>
      </c>
      <c r="AP75" s="22" t="s">
        <v>112</v>
      </c>
    </row>
    <row r="76" spans="10:42" s="18" customFormat="1" ht="16.8" customHeight="1">
      <c r="J76" s="22">
        <v>66</v>
      </c>
      <c r="K76" s="22" t="s">
        <v>108</v>
      </c>
      <c r="L76" s="22" t="s">
        <v>109</v>
      </c>
      <c r="M76" s="22" t="s">
        <v>233</v>
      </c>
      <c r="N76" s="22" t="s">
        <v>523</v>
      </c>
      <c r="O76" s="22" t="s">
        <v>130</v>
      </c>
      <c r="P76" s="22" t="s">
        <v>112</v>
      </c>
      <c r="Q76" s="22">
        <v>5832</v>
      </c>
      <c r="R76" s="22"/>
      <c r="S76" s="22" t="s">
        <v>112</v>
      </c>
      <c r="T76" s="22" t="s">
        <v>114</v>
      </c>
      <c r="U76" s="22" t="s">
        <v>112</v>
      </c>
      <c r="V76" s="22" t="s">
        <v>132</v>
      </c>
      <c r="W76" s="22" t="s">
        <v>246</v>
      </c>
      <c r="X76" s="22" t="s">
        <v>247</v>
      </c>
      <c r="Y76" s="22" t="s">
        <v>22</v>
      </c>
      <c r="Z76" s="22" t="s">
        <v>688</v>
      </c>
      <c r="AA76" s="22" t="s">
        <v>22</v>
      </c>
      <c r="AB76" s="22" t="s">
        <v>688</v>
      </c>
      <c r="AC76" s="22" t="s">
        <v>689</v>
      </c>
      <c r="AD76" s="22" t="s">
        <v>135</v>
      </c>
      <c r="AE76" s="22" t="s">
        <v>170</v>
      </c>
      <c r="AF76" s="22" t="s">
        <v>527</v>
      </c>
      <c r="AG76" s="22" t="s">
        <v>233</v>
      </c>
      <c r="AH76" s="22"/>
      <c r="AI76" s="22" t="s">
        <v>138</v>
      </c>
      <c r="AJ76" s="22" t="s">
        <v>154</v>
      </c>
      <c r="AK76" s="22" t="s">
        <v>286</v>
      </c>
      <c r="AL76" s="22" t="s">
        <v>528</v>
      </c>
      <c r="AM76" s="22" t="s">
        <v>529</v>
      </c>
      <c r="AN76" s="22" t="s">
        <v>143</v>
      </c>
      <c r="AO76" s="22" t="s">
        <v>144</v>
      </c>
      <c r="AP76" s="22" t="s">
        <v>112</v>
      </c>
    </row>
    <row r="77" spans="10:42" s="18" customFormat="1" ht="16.8" customHeight="1">
      <c r="J77" s="22">
        <v>67</v>
      </c>
      <c r="K77" s="22" t="s">
        <v>108</v>
      </c>
      <c r="L77" s="22" t="s">
        <v>109</v>
      </c>
      <c r="M77" s="22" t="s">
        <v>233</v>
      </c>
      <c r="N77" s="22" t="s">
        <v>690</v>
      </c>
      <c r="O77" s="22" t="s">
        <v>130</v>
      </c>
      <c r="P77" s="22" t="s">
        <v>112</v>
      </c>
      <c r="Q77" s="22">
        <v>5382</v>
      </c>
      <c r="R77" s="22"/>
      <c r="S77" s="22" t="s">
        <v>112</v>
      </c>
      <c r="T77" s="22" t="s">
        <v>131</v>
      </c>
      <c r="U77" s="22" t="s">
        <v>112</v>
      </c>
      <c r="V77" s="22" t="s">
        <v>132</v>
      </c>
      <c r="W77" s="22" t="s">
        <v>235</v>
      </c>
      <c r="X77" s="22" t="s">
        <v>484</v>
      </c>
      <c r="Y77" s="22" t="s">
        <v>22</v>
      </c>
      <c r="Z77" s="22" t="s">
        <v>691</v>
      </c>
      <c r="AA77" s="22" t="s">
        <v>22</v>
      </c>
      <c r="AB77" s="22" t="s">
        <v>691</v>
      </c>
      <c r="AC77" s="22" t="s">
        <v>692</v>
      </c>
      <c r="AD77" s="22" t="s">
        <v>120</v>
      </c>
      <c r="AE77" s="22" t="s">
        <v>223</v>
      </c>
      <c r="AF77" s="22" t="s">
        <v>693</v>
      </c>
      <c r="AG77" s="22" t="s">
        <v>233</v>
      </c>
      <c r="AH77" s="22"/>
      <c r="AI77" s="22" t="s">
        <v>205</v>
      </c>
      <c r="AJ77" s="22" t="s">
        <v>694</v>
      </c>
      <c r="AK77" s="22" t="s">
        <v>124</v>
      </c>
      <c r="AL77" s="22" t="s">
        <v>367</v>
      </c>
      <c r="AM77" s="22" t="s">
        <v>622</v>
      </c>
      <c r="AN77" s="22" t="s">
        <v>143</v>
      </c>
      <c r="AO77" s="22" t="s">
        <v>209</v>
      </c>
      <c r="AP77" s="22" t="s">
        <v>112</v>
      </c>
    </row>
    <row r="78" spans="10:42" s="18" customFormat="1" ht="16.8" customHeight="1">
      <c r="J78" s="22">
        <v>68</v>
      </c>
      <c r="K78" s="22" t="s">
        <v>108</v>
      </c>
      <c r="L78" s="22" t="s">
        <v>109</v>
      </c>
      <c r="M78" s="22" t="s">
        <v>233</v>
      </c>
      <c r="N78" s="22" t="s">
        <v>695</v>
      </c>
      <c r="O78" s="22" t="s">
        <v>130</v>
      </c>
      <c r="P78" s="22" t="s">
        <v>112</v>
      </c>
      <c r="Q78" s="22">
        <v>5832</v>
      </c>
      <c r="R78" s="22"/>
      <c r="S78" s="22" t="s">
        <v>112</v>
      </c>
      <c r="T78" s="22" t="s">
        <v>131</v>
      </c>
      <c r="U78" s="22" t="s">
        <v>112</v>
      </c>
      <c r="V78" s="22" t="s">
        <v>132</v>
      </c>
      <c r="W78" s="22" t="s">
        <v>282</v>
      </c>
      <c r="X78" s="22" t="s">
        <v>283</v>
      </c>
      <c r="Y78" s="22" t="s">
        <v>12</v>
      </c>
      <c r="Z78" s="22" t="s">
        <v>696</v>
      </c>
      <c r="AA78" s="22" t="s">
        <v>12</v>
      </c>
      <c r="AB78" s="22" t="s">
        <v>696</v>
      </c>
      <c r="AC78" s="22" t="s">
        <v>697</v>
      </c>
      <c r="AD78" s="22" t="s">
        <v>120</v>
      </c>
      <c r="AE78" s="22" t="s">
        <v>136</v>
      </c>
      <c r="AF78" s="22" t="s">
        <v>698</v>
      </c>
      <c r="AG78" s="22" t="s">
        <v>233</v>
      </c>
      <c r="AH78" s="22"/>
      <c r="AI78" s="22" t="s">
        <v>542</v>
      </c>
      <c r="AJ78" s="22" t="s">
        <v>225</v>
      </c>
      <c r="AK78" s="22" t="s">
        <v>140</v>
      </c>
      <c r="AL78" s="22" t="s">
        <v>512</v>
      </c>
      <c r="AM78" s="22" t="s">
        <v>699</v>
      </c>
      <c r="AN78" s="22" t="s">
        <v>157</v>
      </c>
      <c r="AO78" s="22" t="s">
        <v>209</v>
      </c>
      <c r="AP78" s="22" t="s">
        <v>112</v>
      </c>
    </row>
    <row r="79" spans="10:42" s="18" customFormat="1" ht="16.8" customHeight="1">
      <c r="J79" s="22">
        <v>69</v>
      </c>
      <c r="K79" s="22" t="s">
        <v>108</v>
      </c>
      <c r="L79" s="22" t="s">
        <v>109</v>
      </c>
      <c r="M79" s="22" t="s">
        <v>233</v>
      </c>
      <c r="N79" s="22" t="s">
        <v>700</v>
      </c>
      <c r="O79" s="22" t="s">
        <v>130</v>
      </c>
      <c r="P79" s="22" t="s">
        <v>112</v>
      </c>
      <c r="Q79" s="22">
        <v>37500</v>
      </c>
      <c r="R79" s="22"/>
      <c r="S79" s="22" t="s">
        <v>304</v>
      </c>
      <c r="T79" s="22" t="s">
        <v>114</v>
      </c>
      <c r="U79" s="22" t="s">
        <v>112</v>
      </c>
      <c r="V79" s="22" t="s">
        <v>132</v>
      </c>
      <c r="W79" s="22" t="s">
        <v>116</v>
      </c>
      <c r="X79" s="22" t="s">
        <v>290</v>
      </c>
      <c r="Y79" s="22" t="s">
        <v>22</v>
      </c>
      <c r="Z79" s="22" t="s">
        <v>701</v>
      </c>
      <c r="AA79" s="22" t="s">
        <v>22</v>
      </c>
      <c r="AB79" s="22" t="s">
        <v>702</v>
      </c>
      <c r="AC79" s="22" t="s">
        <v>703</v>
      </c>
      <c r="AD79" s="22" t="s">
        <v>120</v>
      </c>
      <c r="AE79" s="22"/>
      <c r="AF79" s="22" t="s">
        <v>704</v>
      </c>
      <c r="AG79" s="22"/>
      <c r="AH79" s="22"/>
      <c r="AI79" s="22" t="s">
        <v>705</v>
      </c>
      <c r="AJ79" s="22" t="s">
        <v>643</v>
      </c>
      <c r="AK79" s="22" t="s">
        <v>303</v>
      </c>
      <c r="AL79" s="22" t="s">
        <v>661</v>
      </c>
      <c r="AM79" s="22" t="s">
        <v>128</v>
      </c>
      <c r="AN79" s="22"/>
      <c r="AO79" s="22" t="s">
        <v>112</v>
      </c>
      <c r="AP79" s="22" t="s">
        <v>112</v>
      </c>
    </row>
    <row r="80" spans="10:42" s="18" customFormat="1" ht="16.8" customHeight="1">
      <c r="J80" s="22">
        <v>70</v>
      </c>
      <c r="K80" s="22" t="s">
        <v>108</v>
      </c>
      <c r="L80" s="22" t="s">
        <v>109</v>
      </c>
      <c r="M80" s="22" t="s">
        <v>233</v>
      </c>
      <c r="N80" s="22" t="s">
        <v>706</v>
      </c>
      <c r="O80" s="22" t="s">
        <v>130</v>
      </c>
      <c r="P80" s="22" t="s">
        <v>112</v>
      </c>
      <c r="Q80" s="22">
        <v>5832</v>
      </c>
      <c r="R80" s="22"/>
      <c r="S80" s="22" t="s">
        <v>112</v>
      </c>
      <c r="T80" s="22" t="s">
        <v>131</v>
      </c>
      <c r="U80" s="22" t="s">
        <v>112</v>
      </c>
      <c r="V80" s="22" t="s">
        <v>132</v>
      </c>
      <c r="W80" s="22" t="s">
        <v>308</v>
      </c>
      <c r="X80" s="22" t="s">
        <v>707</v>
      </c>
      <c r="Y80" s="22" t="s">
        <v>21</v>
      </c>
      <c r="Z80" s="22" t="s">
        <v>708</v>
      </c>
      <c r="AA80" s="22" t="s">
        <v>21</v>
      </c>
      <c r="AB80" s="22" t="s">
        <v>709</v>
      </c>
      <c r="AC80" s="22" t="s">
        <v>710</v>
      </c>
      <c r="AD80" s="22" t="s">
        <v>135</v>
      </c>
      <c r="AE80" s="22" t="s">
        <v>399</v>
      </c>
      <c r="AF80" s="22" t="s">
        <v>711</v>
      </c>
      <c r="AG80" s="22" t="s">
        <v>233</v>
      </c>
      <c r="AH80" s="22"/>
      <c r="AI80" s="22" t="s">
        <v>494</v>
      </c>
      <c r="AJ80" s="22" t="s">
        <v>242</v>
      </c>
      <c r="AK80" s="22" t="s">
        <v>140</v>
      </c>
      <c r="AL80" s="22" t="s">
        <v>242</v>
      </c>
      <c r="AM80" s="22" t="s">
        <v>242</v>
      </c>
      <c r="AN80" s="22" t="s">
        <v>143</v>
      </c>
      <c r="AO80" s="22" t="s">
        <v>144</v>
      </c>
      <c r="AP80" s="22" t="s">
        <v>112</v>
      </c>
    </row>
    <row r="81" spans="10:42" s="18" customFormat="1" ht="16.8" customHeight="1">
      <c r="J81" s="22">
        <v>71</v>
      </c>
      <c r="K81" s="22" t="s">
        <v>108</v>
      </c>
      <c r="L81" s="22" t="s">
        <v>109</v>
      </c>
      <c r="M81" s="22" t="s">
        <v>233</v>
      </c>
      <c r="N81" s="22" t="s">
        <v>712</v>
      </c>
      <c r="O81" s="22" t="s">
        <v>130</v>
      </c>
      <c r="P81" s="22" t="s">
        <v>112</v>
      </c>
      <c r="Q81" s="22">
        <v>19300</v>
      </c>
      <c r="R81" s="22" t="s">
        <v>499</v>
      </c>
      <c r="S81" s="22" t="s">
        <v>304</v>
      </c>
      <c r="T81" s="22" t="s">
        <v>114</v>
      </c>
      <c r="U81" s="22" t="s">
        <v>112</v>
      </c>
      <c r="V81" s="22" t="s">
        <v>132</v>
      </c>
      <c r="W81" s="22" t="s">
        <v>116</v>
      </c>
      <c r="X81" s="22" t="s">
        <v>290</v>
      </c>
      <c r="Y81" s="22" t="s">
        <v>20</v>
      </c>
      <c r="Z81" s="22" t="s">
        <v>713</v>
      </c>
      <c r="AA81" s="22" t="s">
        <v>20</v>
      </c>
      <c r="AB81" s="22" t="s">
        <v>713</v>
      </c>
      <c r="AC81" s="22" t="s">
        <v>714</v>
      </c>
      <c r="AD81" s="22" t="s">
        <v>120</v>
      </c>
      <c r="AE81" s="22" t="s">
        <v>170</v>
      </c>
      <c r="AF81" s="22" t="s">
        <v>715</v>
      </c>
      <c r="AG81" s="22" t="s">
        <v>233</v>
      </c>
      <c r="AH81" s="22"/>
      <c r="AI81" s="22" t="s">
        <v>205</v>
      </c>
      <c r="AJ81" s="22" t="s">
        <v>716</v>
      </c>
      <c r="AK81" s="22" t="s">
        <v>140</v>
      </c>
      <c r="AL81" s="22" t="s">
        <v>717</v>
      </c>
      <c r="AM81" s="22" t="s">
        <v>718</v>
      </c>
      <c r="AN81" s="22" t="s">
        <v>143</v>
      </c>
      <c r="AO81" s="22" t="s">
        <v>719</v>
      </c>
      <c r="AP81" s="22" t="s">
        <v>112</v>
      </c>
    </row>
    <row r="82" spans="10:42" s="18" customFormat="1" ht="16.8" customHeight="1">
      <c r="J82" s="22">
        <v>72</v>
      </c>
      <c r="K82" s="22" t="s">
        <v>108</v>
      </c>
      <c r="L82" s="22" t="s">
        <v>109</v>
      </c>
      <c r="M82" s="22" t="s">
        <v>233</v>
      </c>
      <c r="N82" s="22" t="s">
        <v>720</v>
      </c>
      <c r="O82" s="22" t="s">
        <v>130</v>
      </c>
      <c r="P82" s="22" t="s">
        <v>112</v>
      </c>
      <c r="Q82" s="22">
        <v>19620</v>
      </c>
      <c r="R82" s="22"/>
      <c r="S82" s="22" t="s">
        <v>112</v>
      </c>
      <c r="T82" s="22" t="s">
        <v>131</v>
      </c>
      <c r="U82" s="22" t="s">
        <v>112</v>
      </c>
      <c r="V82" s="22" t="s">
        <v>132</v>
      </c>
      <c r="W82" s="22" t="s">
        <v>721</v>
      </c>
      <c r="X82" s="22" t="s">
        <v>722</v>
      </c>
      <c r="Y82" s="22" t="s">
        <v>21</v>
      </c>
      <c r="Z82" s="22" t="s">
        <v>723</v>
      </c>
      <c r="AA82" s="22" t="s">
        <v>21</v>
      </c>
      <c r="AB82" s="22" t="s">
        <v>724</v>
      </c>
      <c r="AC82" s="22" t="s">
        <v>725</v>
      </c>
      <c r="AD82" s="22" t="s">
        <v>120</v>
      </c>
      <c r="AE82" s="22" t="s">
        <v>399</v>
      </c>
      <c r="AF82" s="22" t="s">
        <v>726</v>
      </c>
      <c r="AG82" s="22" t="s">
        <v>233</v>
      </c>
      <c r="AH82" s="22"/>
      <c r="AI82" s="22" t="s">
        <v>138</v>
      </c>
      <c r="AJ82" s="22" t="s">
        <v>727</v>
      </c>
      <c r="AK82" s="22" t="s">
        <v>124</v>
      </c>
      <c r="AL82" s="22" t="s">
        <v>728</v>
      </c>
      <c r="AM82" s="22" t="s">
        <v>728</v>
      </c>
      <c r="AN82" s="22" t="s">
        <v>143</v>
      </c>
      <c r="AO82" s="22" t="s">
        <v>144</v>
      </c>
      <c r="AP82" s="22" t="s">
        <v>112</v>
      </c>
    </row>
    <row r="83" spans="10:42" s="18" customFormat="1" ht="16.8" customHeight="1">
      <c r="J83" s="22">
        <v>73</v>
      </c>
      <c r="K83" s="22" t="s">
        <v>108</v>
      </c>
      <c r="L83" s="22" t="s">
        <v>109</v>
      </c>
      <c r="M83" s="22" t="s">
        <v>233</v>
      </c>
      <c r="N83" s="22" t="s">
        <v>729</v>
      </c>
      <c r="O83" s="22" t="s">
        <v>130</v>
      </c>
      <c r="P83" s="22" t="s">
        <v>112</v>
      </c>
      <c r="Q83" s="22">
        <v>5382</v>
      </c>
      <c r="R83" s="22" t="s">
        <v>499</v>
      </c>
      <c r="S83" s="22" t="s">
        <v>396</v>
      </c>
      <c r="T83" s="22" t="s">
        <v>114</v>
      </c>
      <c r="U83" s="22" t="s">
        <v>112</v>
      </c>
      <c r="V83" s="22" t="s">
        <v>132</v>
      </c>
      <c r="W83" s="22" t="s">
        <v>116</v>
      </c>
      <c r="X83" s="22" t="s">
        <v>290</v>
      </c>
      <c r="Y83" s="22" t="s">
        <v>19</v>
      </c>
      <c r="Z83" s="22" t="s">
        <v>730</v>
      </c>
      <c r="AA83" s="22" t="s">
        <v>19</v>
      </c>
      <c r="AB83" s="22" t="s">
        <v>730</v>
      </c>
      <c r="AC83" s="22" t="s">
        <v>731</v>
      </c>
      <c r="AD83" s="22" t="s">
        <v>120</v>
      </c>
      <c r="AE83" s="22" t="s">
        <v>136</v>
      </c>
      <c r="AF83" s="22" t="s">
        <v>732</v>
      </c>
      <c r="AG83" s="22" t="s">
        <v>233</v>
      </c>
      <c r="AH83" s="22"/>
      <c r="AI83" s="22" t="s">
        <v>205</v>
      </c>
      <c r="AJ83" s="22" t="s">
        <v>206</v>
      </c>
      <c r="AK83" s="22" t="s">
        <v>124</v>
      </c>
      <c r="AL83" s="22" t="s">
        <v>652</v>
      </c>
      <c r="AM83" s="22" t="s">
        <v>733</v>
      </c>
      <c r="AN83" s="22" t="s">
        <v>143</v>
      </c>
      <c r="AO83" s="22" t="s">
        <v>209</v>
      </c>
      <c r="AP83" s="22" t="s">
        <v>112</v>
      </c>
    </row>
    <row r="84" spans="10:42" s="18" customFormat="1" ht="16.8" customHeight="1">
      <c r="J84" s="22">
        <v>75</v>
      </c>
      <c r="K84" s="22" t="s">
        <v>108</v>
      </c>
      <c r="L84" s="22" t="s">
        <v>109</v>
      </c>
      <c r="M84" s="22" t="s">
        <v>233</v>
      </c>
      <c r="N84" s="22" t="s">
        <v>734</v>
      </c>
      <c r="O84" s="22" t="s">
        <v>130</v>
      </c>
      <c r="P84" s="22" t="s">
        <v>112</v>
      </c>
      <c r="Q84" s="22">
        <v>5382</v>
      </c>
      <c r="R84" s="22"/>
      <c r="S84" s="22" t="s">
        <v>112</v>
      </c>
      <c r="T84" s="22" t="s">
        <v>131</v>
      </c>
      <c r="U84" s="22" t="s">
        <v>112</v>
      </c>
      <c r="V84" s="22" t="s">
        <v>132</v>
      </c>
      <c r="W84" s="22" t="s">
        <v>282</v>
      </c>
      <c r="X84" s="22" t="s">
        <v>551</v>
      </c>
      <c r="Y84" s="22" t="s">
        <v>21</v>
      </c>
      <c r="Z84" s="22" t="s">
        <v>735</v>
      </c>
      <c r="AA84" s="22" t="s">
        <v>21</v>
      </c>
      <c r="AB84" s="22" t="s">
        <v>735</v>
      </c>
      <c r="AC84" s="22" t="s">
        <v>736</v>
      </c>
      <c r="AD84" s="22" t="s">
        <v>120</v>
      </c>
      <c r="AE84" s="22" t="s">
        <v>170</v>
      </c>
      <c r="AF84" s="22" t="s">
        <v>737</v>
      </c>
      <c r="AG84" s="22" t="s">
        <v>233</v>
      </c>
      <c r="AH84" s="22"/>
      <c r="AI84" s="22" t="s">
        <v>138</v>
      </c>
      <c r="AJ84" s="22" t="s">
        <v>139</v>
      </c>
      <c r="AK84" s="22" t="s">
        <v>140</v>
      </c>
      <c r="AL84" s="22" t="s">
        <v>141</v>
      </c>
      <c r="AM84" s="22" t="s">
        <v>142</v>
      </c>
      <c r="AN84" s="22" t="s">
        <v>143</v>
      </c>
      <c r="AO84" s="22" t="s">
        <v>144</v>
      </c>
      <c r="AP84" s="22" t="s">
        <v>112</v>
      </c>
    </row>
    <row r="85" spans="10:42" s="18" customFormat="1" ht="16.8" customHeight="1">
      <c r="J85" s="22">
        <v>77</v>
      </c>
      <c r="K85" s="22" t="s">
        <v>108</v>
      </c>
      <c r="L85" s="22" t="s">
        <v>109</v>
      </c>
      <c r="M85" s="22" t="s">
        <v>738</v>
      </c>
      <c r="N85" s="22" t="s">
        <v>739</v>
      </c>
      <c r="O85" s="22" t="s">
        <v>130</v>
      </c>
      <c r="P85" s="22" t="s">
        <v>112</v>
      </c>
      <c r="Q85" s="22">
        <v>2691</v>
      </c>
      <c r="R85" s="22" t="s">
        <v>147</v>
      </c>
      <c r="S85" s="22" t="s">
        <v>740</v>
      </c>
      <c r="T85" s="22" t="s">
        <v>114</v>
      </c>
      <c r="U85" s="22" t="s">
        <v>112</v>
      </c>
      <c r="V85" s="22" t="s">
        <v>132</v>
      </c>
      <c r="W85" s="22" t="s">
        <v>116</v>
      </c>
      <c r="X85" s="22" t="s">
        <v>377</v>
      </c>
      <c r="Y85" s="22" t="s">
        <v>19</v>
      </c>
      <c r="Z85" s="22" t="s">
        <v>741</v>
      </c>
      <c r="AA85" s="22" t="s">
        <v>19</v>
      </c>
      <c r="AB85" s="22" t="s">
        <v>742</v>
      </c>
      <c r="AC85" s="22" t="s">
        <v>743</v>
      </c>
      <c r="AD85" s="22" t="s">
        <v>120</v>
      </c>
      <c r="AE85" s="22" t="s">
        <v>136</v>
      </c>
      <c r="AF85" s="22" t="s">
        <v>744</v>
      </c>
      <c r="AG85" s="22" t="s">
        <v>738</v>
      </c>
      <c r="AH85" s="22"/>
      <c r="AI85" s="22" t="s">
        <v>205</v>
      </c>
      <c r="AJ85" s="22" t="s">
        <v>745</v>
      </c>
      <c r="AK85" s="22" t="s">
        <v>140</v>
      </c>
      <c r="AL85" s="22" t="s">
        <v>746</v>
      </c>
      <c r="AM85" s="22" t="s">
        <v>747</v>
      </c>
      <c r="AN85" s="22" t="s">
        <v>143</v>
      </c>
      <c r="AO85" s="22" t="s">
        <v>209</v>
      </c>
      <c r="AP85" s="22" t="s">
        <v>112</v>
      </c>
    </row>
    <row r="86" spans="10:42" s="18" customFormat="1" ht="16.8" customHeight="1">
      <c r="J86" s="22">
        <v>78</v>
      </c>
      <c r="K86" s="22" t="s">
        <v>108</v>
      </c>
      <c r="L86" s="22" t="s">
        <v>109</v>
      </c>
      <c r="M86" s="22" t="s">
        <v>738</v>
      </c>
      <c r="N86" s="22" t="s">
        <v>748</v>
      </c>
      <c r="O86" s="22" t="s">
        <v>130</v>
      </c>
      <c r="P86" s="22" t="s">
        <v>112</v>
      </c>
      <c r="Q86" s="22">
        <v>31500</v>
      </c>
      <c r="R86" s="22"/>
      <c r="S86" s="22" t="s">
        <v>112</v>
      </c>
      <c r="T86" s="22" t="s">
        <v>114</v>
      </c>
      <c r="U86" s="22" t="s">
        <v>112</v>
      </c>
      <c r="V86" s="22" t="s">
        <v>132</v>
      </c>
      <c r="W86" s="22" t="s">
        <v>235</v>
      </c>
      <c r="X86" s="22" t="s">
        <v>484</v>
      </c>
      <c r="Y86" s="22" t="s">
        <v>19</v>
      </c>
      <c r="Z86" s="22" t="s">
        <v>749</v>
      </c>
      <c r="AA86" s="22" t="s">
        <v>19</v>
      </c>
      <c r="AB86" s="22" t="s">
        <v>749</v>
      </c>
      <c r="AC86" s="22" t="s">
        <v>750</v>
      </c>
      <c r="AD86" s="22" t="s">
        <v>120</v>
      </c>
      <c r="AE86" s="22"/>
      <c r="AF86" s="22" t="s">
        <v>751</v>
      </c>
      <c r="AG86" s="22"/>
      <c r="AH86" s="22"/>
      <c r="AI86" s="22" t="s">
        <v>182</v>
      </c>
      <c r="AJ86" s="22" t="s">
        <v>752</v>
      </c>
      <c r="AK86" s="22" t="s">
        <v>140</v>
      </c>
      <c r="AL86" s="22" t="s">
        <v>438</v>
      </c>
      <c r="AM86" s="22" t="s">
        <v>753</v>
      </c>
      <c r="AN86" s="22" t="s">
        <v>143</v>
      </c>
      <c r="AO86" s="22" t="s">
        <v>182</v>
      </c>
      <c r="AP86" s="22" t="s">
        <v>186</v>
      </c>
    </row>
    <row r="87" spans="10:42" s="18" customFormat="1" ht="16.8" customHeight="1">
      <c r="J87" s="22">
        <v>79</v>
      </c>
      <c r="K87" s="22" t="s">
        <v>108</v>
      </c>
      <c r="L87" s="22" t="s">
        <v>109</v>
      </c>
      <c r="M87" s="22" t="s">
        <v>738</v>
      </c>
      <c r="N87" s="22" t="s">
        <v>754</v>
      </c>
      <c r="O87" s="22" t="s">
        <v>130</v>
      </c>
      <c r="P87" s="22" t="s">
        <v>112</v>
      </c>
      <c r="Q87" s="22">
        <v>15120</v>
      </c>
      <c r="R87" s="22"/>
      <c r="S87" s="22" t="s">
        <v>112</v>
      </c>
      <c r="T87" s="22" t="s">
        <v>131</v>
      </c>
      <c r="U87" s="22" t="s">
        <v>112</v>
      </c>
      <c r="V87" s="22" t="s">
        <v>132</v>
      </c>
      <c r="W87" s="22" t="s">
        <v>235</v>
      </c>
      <c r="X87" s="22" t="s">
        <v>755</v>
      </c>
      <c r="Y87" s="22" t="s">
        <v>12</v>
      </c>
      <c r="Z87" s="22" t="s">
        <v>756</v>
      </c>
      <c r="AA87" s="22" t="s">
        <v>12</v>
      </c>
      <c r="AB87" s="22" t="s">
        <v>756</v>
      </c>
      <c r="AC87" s="22" t="s">
        <v>757</v>
      </c>
      <c r="AD87" s="22" t="s">
        <v>120</v>
      </c>
      <c r="AE87" s="22" t="s">
        <v>170</v>
      </c>
      <c r="AF87" s="22" t="s">
        <v>758</v>
      </c>
      <c r="AG87" s="22" t="s">
        <v>738</v>
      </c>
      <c r="AH87" s="22"/>
      <c r="AI87" s="22" t="s">
        <v>138</v>
      </c>
      <c r="AJ87" s="22" t="s">
        <v>759</v>
      </c>
      <c r="AK87" s="22" t="s">
        <v>286</v>
      </c>
      <c r="AL87" s="22" t="s">
        <v>760</v>
      </c>
      <c r="AM87" s="22" t="s">
        <v>761</v>
      </c>
      <c r="AN87" s="22" t="s">
        <v>143</v>
      </c>
      <c r="AO87" s="22" t="s">
        <v>762</v>
      </c>
      <c r="AP87" s="22" t="s">
        <v>112</v>
      </c>
    </row>
    <row r="88" spans="10:42" s="18" customFormat="1" ht="16.8" customHeight="1">
      <c r="J88" s="22">
        <v>80</v>
      </c>
      <c r="K88" s="22" t="s">
        <v>108</v>
      </c>
      <c r="L88" s="22" t="s">
        <v>109</v>
      </c>
      <c r="M88" s="22" t="s">
        <v>738</v>
      </c>
      <c r="N88" s="22" t="s">
        <v>763</v>
      </c>
      <c r="O88" s="22" t="s">
        <v>130</v>
      </c>
      <c r="P88" s="22" t="s">
        <v>112</v>
      </c>
      <c r="Q88" s="22">
        <v>9000</v>
      </c>
      <c r="R88" s="22"/>
      <c r="S88" s="22" t="s">
        <v>112</v>
      </c>
      <c r="T88" s="22" t="s">
        <v>131</v>
      </c>
      <c r="U88" s="22" t="s">
        <v>112</v>
      </c>
      <c r="V88" s="22" t="s">
        <v>132</v>
      </c>
      <c r="W88" s="22" t="s">
        <v>282</v>
      </c>
      <c r="X88" s="22" t="s">
        <v>647</v>
      </c>
      <c r="Y88" s="22" t="s">
        <v>22</v>
      </c>
      <c r="Z88" s="22" t="s">
        <v>764</v>
      </c>
      <c r="AA88" s="22" t="s">
        <v>22</v>
      </c>
      <c r="AB88" s="22" t="s">
        <v>765</v>
      </c>
      <c r="AC88" s="22" t="s">
        <v>766</v>
      </c>
      <c r="AD88" s="22" t="s">
        <v>120</v>
      </c>
      <c r="AE88" s="22"/>
      <c r="AF88" s="22" t="s">
        <v>767</v>
      </c>
      <c r="AG88" s="22"/>
      <c r="AH88" s="22"/>
      <c r="AI88" s="22" t="s">
        <v>182</v>
      </c>
      <c r="AJ88" s="22" t="s">
        <v>643</v>
      </c>
      <c r="AK88" s="22" t="s">
        <v>140</v>
      </c>
      <c r="AL88" s="22" t="s">
        <v>373</v>
      </c>
      <c r="AM88" s="22" t="s">
        <v>166</v>
      </c>
      <c r="AN88" s="22" t="s">
        <v>143</v>
      </c>
      <c r="AO88" s="22" t="s">
        <v>182</v>
      </c>
      <c r="AP88" s="22" t="s">
        <v>186</v>
      </c>
    </row>
    <row r="89" spans="10:42" s="18" customFormat="1" ht="16.8" customHeight="1">
      <c r="J89" s="22">
        <v>81</v>
      </c>
      <c r="K89" s="22" t="s">
        <v>108</v>
      </c>
      <c r="L89" s="22" t="s">
        <v>109</v>
      </c>
      <c r="M89" s="22" t="s">
        <v>738</v>
      </c>
      <c r="N89" s="22" t="s">
        <v>768</v>
      </c>
      <c r="O89" s="22" t="s">
        <v>130</v>
      </c>
      <c r="P89" s="22" t="s">
        <v>112</v>
      </c>
      <c r="Q89" s="22">
        <v>19300</v>
      </c>
      <c r="R89" s="22"/>
      <c r="S89" s="22" t="s">
        <v>112</v>
      </c>
      <c r="T89" s="22" t="s">
        <v>131</v>
      </c>
      <c r="U89" s="22" t="s">
        <v>112</v>
      </c>
      <c r="V89" s="22" t="s">
        <v>132</v>
      </c>
      <c r="W89" s="22" t="s">
        <v>282</v>
      </c>
      <c r="X89" s="22" t="s">
        <v>326</v>
      </c>
      <c r="Y89" s="22" t="s">
        <v>22</v>
      </c>
      <c r="Z89" s="22" t="s">
        <v>769</v>
      </c>
      <c r="AA89" s="22" t="s">
        <v>22</v>
      </c>
      <c r="AB89" s="22" t="s">
        <v>769</v>
      </c>
      <c r="AC89" s="22" t="s">
        <v>770</v>
      </c>
      <c r="AD89" s="22" t="s">
        <v>120</v>
      </c>
      <c r="AE89" s="22" t="s">
        <v>152</v>
      </c>
      <c r="AF89" s="22" t="s">
        <v>771</v>
      </c>
      <c r="AG89" s="22" t="s">
        <v>738</v>
      </c>
      <c r="AH89" s="22"/>
      <c r="AI89" s="22" t="s">
        <v>205</v>
      </c>
      <c r="AJ89" s="22" t="s">
        <v>772</v>
      </c>
      <c r="AK89" s="22" t="s">
        <v>140</v>
      </c>
      <c r="AL89" s="22" t="s">
        <v>773</v>
      </c>
      <c r="AM89" s="22" t="s">
        <v>774</v>
      </c>
      <c r="AN89" s="22" t="s">
        <v>143</v>
      </c>
      <c r="AO89" s="22" t="s">
        <v>209</v>
      </c>
      <c r="AP89" s="22" t="s">
        <v>112</v>
      </c>
    </row>
    <row r="90" spans="10:42" s="18" customFormat="1" ht="16.8" customHeight="1">
      <c r="J90" s="22">
        <v>82</v>
      </c>
      <c r="K90" s="22" t="s">
        <v>108</v>
      </c>
      <c r="L90" s="22" t="s">
        <v>109</v>
      </c>
      <c r="M90" s="22" t="s">
        <v>775</v>
      </c>
      <c r="N90" s="22" t="s">
        <v>776</v>
      </c>
      <c r="O90" s="22" t="s">
        <v>130</v>
      </c>
      <c r="P90" s="22" t="s">
        <v>112</v>
      </c>
      <c r="Q90" s="22">
        <v>9000</v>
      </c>
      <c r="R90" s="22"/>
      <c r="S90" s="22" t="s">
        <v>112</v>
      </c>
      <c r="T90" s="22" t="s">
        <v>352</v>
      </c>
      <c r="U90" s="22" t="s">
        <v>112</v>
      </c>
      <c r="V90" s="22" t="s">
        <v>132</v>
      </c>
      <c r="W90" s="22" t="s">
        <v>721</v>
      </c>
      <c r="X90" s="22" t="s">
        <v>777</v>
      </c>
      <c r="Y90" s="22" t="s">
        <v>22</v>
      </c>
      <c r="Z90" s="22" t="s">
        <v>778</v>
      </c>
      <c r="AA90" s="22" t="s">
        <v>19</v>
      </c>
      <c r="AB90" s="22" t="s">
        <v>779</v>
      </c>
      <c r="AC90" s="22" t="s">
        <v>780</v>
      </c>
      <c r="AD90" s="22" t="s">
        <v>120</v>
      </c>
      <c r="AE90" s="22"/>
      <c r="AF90" s="22" t="s">
        <v>781</v>
      </c>
      <c r="AG90" s="22"/>
      <c r="AH90" s="22"/>
      <c r="AI90" s="22" t="s">
        <v>138</v>
      </c>
      <c r="AJ90" s="22" t="s">
        <v>782</v>
      </c>
      <c r="AK90" s="22" t="s">
        <v>286</v>
      </c>
      <c r="AL90" s="22" t="s">
        <v>573</v>
      </c>
      <c r="AM90" s="22" t="s">
        <v>783</v>
      </c>
      <c r="AN90" s="22" t="s">
        <v>143</v>
      </c>
      <c r="AO90" s="22" t="s">
        <v>144</v>
      </c>
      <c r="AP90" s="22" t="s">
        <v>112</v>
      </c>
    </row>
    <row r="91" spans="10:42" s="18" customFormat="1" ht="16.8" customHeight="1">
      <c r="J91" s="22">
        <v>83</v>
      </c>
      <c r="K91" s="22" t="s">
        <v>108</v>
      </c>
      <c r="L91" s="22" t="s">
        <v>109</v>
      </c>
      <c r="M91" s="22" t="s">
        <v>775</v>
      </c>
      <c r="N91" s="22" t="s">
        <v>784</v>
      </c>
      <c r="O91" s="22" t="s">
        <v>130</v>
      </c>
      <c r="P91" s="22" t="s">
        <v>112</v>
      </c>
      <c r="Q91" s="22">
        <v>5382</v>
      </c>
      <c r="R91" s="22"/>
      <c r="S91" s="22" t="s">
        <v>785</v>
      </c>
      <c r="T91" s="22" t="s">
        <v>131</v>
      </c>
      <c r="U91" s="22" t="s">
        <v>112</v>
      </c>
      <c r="V91" s="22" t="s">
        <v>132</v>
      </c>
      <c r="W91" s="22" t="s">
        <v>116</v>
      </c>
      <c r="X91" s="22" t="s">
        <v>377</v>
      </c>
      <c r="Y91" s="22" t="s">
        <v>22</v>
      </c>
      <c r="Z91" s="22" t="s">
        <v>786</v>
      </c>
      <c r="AA91" s="22" t="s">
        <v>22</v>
      </c>
      <c r="AB91" s="22" t="s">
        <v>787</v>
      </c>
      <c r="AC91" s="22" t="s">
        <v>788</v>
      </c>
      <c r="AD91" s="22" t="s">
        <v>120</v>
      </c>
      <c r="AE91" s="22" t="s">
        <v>136</v>
      </c>
      <c r="AF91" s="22" t="s">
        <v>789</v>
      </c>
      <c r="AG91" s="22" t="s">
        <v>775</v>
      </c>
      <c r="AH91" s="22"/>
      <c r="AI91" s="22" t="s">
        <v>138</v>
      </c>
      <c r="AJ91" s="22" t="s">
        <v>790</v>
      </c>
      <c r="AK91" s="22" t="s">
        <v>140</v>
      </c>
      <c r="AL91" s="22" t="s">
        <v>791</v>
      </c>
      <c r="AM91" s="22" t="s">
        <v>792</v>
      </c>
      <c r="AN91" s="22" t="s">
        <v>143</v>
      </c>
      <c r="AO91" s="22" t="s">
        <v>144</v>
      </c>
      <c r="AP91" s="22" t="s">
        <v>112</v>
      </c>
    </row>
    <row r="92" spans="10:42" s="18" customFormat="1" ht="16.8" customHeight="1">
      <c r="J92" s="22">
        <v>84</v>
      </c>
      <c r="K92" s="22" t="s">
        <v>108</v>
      </c>
      <c r="L92" s="22" t="s">
        <v>109</v>
      </c>
      <c r="M92" s="22" t="s">
        <v>775</v>
      </c>
      <c r="N92" s="22" t="s">
        <v>776</v>
      </c>
      <c r="O92" s="22" t="s">
        <v>130</v>
      </c>
      <c r="P92" s="22" t="s">
        <v>112</v>
      </c>
      <c r="Q92" s="22">
        <v>9000</v>
      </c>
      <c r="R92" s="22"/>
      <c r="S92" s="22" t="s">
        <v>112</v>
      </c>
      <c r="T92" s="22" t="s">
        <v>131</v>
      </c>
      <c r="U92" s="22" t="s">
        <v>112</v>
      </c>
      <c r="V92" s="22" t="s">
        <v>132</v>
      </c>
      <c r="W92" s="22" t="s">
        <v>721</v>
      </c>
      <c r="X92" s="22" t="s">
        <v>777</v>
      </c>
      <c r="Y92" s="22" t="s">
        <v>19</v>
      </c>
      <c r="Z92" s="22" t="s">
        <v>778</v>
      </c>
      <c r="AA92" s="22" t="s">
        <v>19</v>
      </c>
      <c r="AB92" s="22" t="s">
        <v>779</v>
      </c>
      <c r="AC92" s="22" t="s">
        <v>780</v>
      </c>
      <c r="AD92" s="22" t="s">
        <v>120</v>
      </c>
      <c r="AE92" s="22" t="s">
        <v>193</v>
      </c>
      <c r="AF92" s="22" t="s">
        <v>781</v>
      </c>
      <c r="AG92" s="22" t="s">
        <v>775</v>
      </c>
      <c r="AH92" s="22"/>
      <c r="AI92" s="22" t="s">
        <v>138</v>
      </c>
      <c r="AJ92" s="22" t="s">
        <v>782</v>
      </c>
      <c r="AK92" s="22" t="s">
        <v>286</v>
      </c>
      <c r="AL92" s="22" t="s">
        <v>573</v>
      </c>
      <c r="AM92" s="22" t="s">
        <v>783</v>
      </c>
      <c r="AN92" s="22" t="s">
        <v>143</v>
      </c>
      <c r="AO92" s="22" t="s">
        <v>144</v>
      </c>
      <c r="AP92" s="22" t="s">
        <v>112</v>
      </c>
    </row>
    <row r="93" spans="10:42" s="18" customFormat="1" ht="16.8" customHeight="1">
      <c r="J93" s="22">
        <v>85</v>
      </c>
      <c r="K93" s="22" t="s">
        <v>108</v>
      </c>
      <c r="L93" s="22" t="s">
        <v>109</v>
      </c>
      <c r="M93" s="22" t="s">
        <v>775</v>
      </c>
      <c r="N93" s="22" t="s">
        <v>793</v>
      </c>
      <c r="O93" s="22" t="s">
        <v>130</v>
      </c>
      <c r="P93" s="22" t="s">
        <v>112</v>
      </c>
      <c r="Q93" s="22">
        <v>8500</v>
      </c>
      <c r="R93" s="22"/>
      <c r="S93" s="22" t="s">
        <v>112</v>
      </c>
      <c r="T93" s="22" t="s">
        <v>114</v>
      </c>
      <c r="U93" s="22" t="s">
        <v>794</v>
      </c>
      <c r="V93" s="22" t="s">
        <v>132</v>
      </c>
      <c r="W93" s="22" t="s">
        <v>308</v>
      </c>
      <c r="X93" s="22" t="s">
        <v>795</v>
      </c>
      <c r="Y93" s="22" t="s">
        <v>24</v>
      </c>
      <c r="Z93" s="22" t="s">
        <v>796</v>
      </c>
      <c r="AA93" s="22" t="s">
        <v>24</v>
      </c>
      <c r="AB93" s="22" t="s">
        <v>797</v>
      </c>
      <c r="AC93" s="22" t="s">
        <v>798</v>
      </c>
      <c r="AD93" s="22" t="s">
        <v>135</v>
      </c>
      <c r="AE93" s="22"/>
      <c r="AF93" s="22" t="s">
        <v>799</v>
      </c>
      <c r="AG93" s="22"/>
      <c r="AH93" s="22"/>
      <c r="AI93" s="22" t="s">
        <v>182</v>
      </c>
      <c r="AJ93" s="22" t="s">
        <v>321</v>
      </c>
      <c r="AK93" s="22" t="s">
        <v>140</v>
      </c>
      <c r="AL93" s="22" t="s">
        <v>800</v>
      </c>
      <c r="AM93" s="22" t="s">
        <v>801</v>
      </c>
      <c r="AN93" s="22" t="s">
        <v>157</v>
      </c>
      <c r="AO93" s="22" t="s">
        <v>182</v>
      </c>
      <c r="AP93" s="22" t="s">
        <v>186</v>
      </c>
    </row>
    <row r="94" spans="10:42" s="18" customFormat="1" ht="16.8" customHeight="1">
      <c r="J94" s="22">
        <v>86</v>
      </c>
      <c r="K94" s="22" t="s">
        <v>108</v>
      </c>
      <c r="L94" s="22" t="s">
        <v>109</v>
      </c>
      <c r="M94" s="22" t="s">
        <v>775</v>
      </c>
      <c r="N94" s="22" t="s">
        <v>802</v>
      </c>
      <c r="O94" s="22" t="s">
        <v>130</v>
      </c>
      <c r="P94" s="22" t="s">
        <v>112</v>
      </c>
      <c r="Q94" s="22">
        <v>15120</v>
      </c>
      <c r="R94" s="22"/>
      <c r="S94" s="22" t="s">
        <v>112</v>
      </c>
      <c r="T94" s="22" t="s">
        <v>131</v>
      </c>
      <c r="U94" s="22" t="s">
        <v>112</v>
      </c>
      <c r="V94" s="22" t="s">
        <v>132</v>
      </c>
      <c r="W94" s="22" t="s">
        <v>246</v>
      </c>
      <c r="X94" s="22" t="s">
        <v>247</v>
      </c>
      <c r="Y94" s="22" t="s">
        <v>21</v>
      </c>
      <c r="Z94" s="22" t="s">
        <v>803</v>
      </c>
      <c r="AA94" s="22" t="s">
        <v>21</v>
      </c>
      <c r="AB94" s="22" t="s">
        <v>803</v>
      </c>
      <c r="AC94" s="22" t="s">
        <v>804</v>
      </c>
      <c r="AD94" s="22" t="s">
        <v>135</v>
      </c>
      <c r="AE94" s="22" t="s">
        <v>193</v>
      </c>
      <c r="AF94" s="22" t="s">
        <v>805</v>
      </c>
      <c r="AG94" s="22" t="s">
        <v>775</v>
      </c>
      <c r="AH94" s="22"/>
      <c r="AI94" s="22" t="s">
        <v>205</v>
      </c>
      <c r="AJ94" s="22" t="s">
        <v>806</v>
      </c>
      <c r="AK94" s="22" t="s">
        <v>140</v>
      </c>
      <c r="AL94" s="22" t="s">
        <v>373</v>
      </c>
      <c r="AM94" s="22" t="s">
        <v>374</v>
      </c>
      <c r="AN94" s="22" t="s">
        <v>143</v>
      </c>
      <c r="AO94" s="22" t="s">
        <v>209</v>
      </c>
      <c r="AP94" s="22" t="s">
        <v>112</v>
      </c>
    </row>
    <row r="95" spans="10:42" s="18" customFormat="1" ht="16.8" customHeight="1">
      <c r="J95" s="22">
        <v>87</v>
      </c>
      <c r="K95" s="22" t="s">
        <v>108</v>
      </c>
      <c r="L95" s="22" t="s">
        <v>109</v>
      </c>
      <c r="M95" s="22" t="s">
        <v>775</v>
      </c>
      <c r="N95" s="22" t="s">
        <v>807</v>
      </c>
      <c r="O95" s="22" t="s">
        <v>130</v>
      </c>
      <c r="P95" s="22" t="s">
        <v>112</v>
      </c>
      <c r="Q95" s="22">
        <v>5832</v>
      </c>
      <c r="R95" s="22" t="s">
        <v>147</v>
      </c>
      <c r="S95" s="22" t="s">
        <v>112</v>
      </c>
      <c r="T95" s="22" t="s">
        <v>114</v>
      </c>
      <c r="U95" s="22" t="s">
        <v>112</v>
      </c>
      <c r="V95" s="22" t="s">
        <v>132</v>
      </c>
      <c r="W95" s="22" t="s">
        <v>116</v>
      </c>
      <c r="X95" s="22" t="s">
        <v>290</v>
      </c>
      <c r="Y95" s="22" t="s">
        <v>12</v>
      </c>
      <c r="Z95" s="22" t="s">
        <v>808</v>
      </c>
      <c r="AA95" s="22" t="s">
        <v>12</v>
      </c>
      <c r="AB95" s="22" t="s">
        <v>808</v>
      </c>
      <c r="AC95" s="22" t="s">
        <v>809</v>
      </c>
      <c r="AD95" s="22" t="s">
        <v>135</v>
      </c>
      <c r="AE95" s="22" t="s">
        <v>223</v>
      </c>
      <c r="AF95" s="22" t="s">
        <v>810</v>
      </c>
      <c r="AG95" s="22" t="s">
        <v>775</v>
      </c>
      <c r="AH95" s="22"/>
      <c r="AI95" s="22" t="s">
        <v>205</v>
      </c>
      <c r="AJ95" s="22" t="s">
        <v>811</v>
      </c>
      <c r="AK95" s="22" t="s">
        <v>140</v>
      </c>
      <c r="AL95" s="22" t="s">
        <v>418</v>
      </c>
      <c r="AM95" s="22" t="s">
        <v>125</v>
      </c>
      <c r="AN95" s="22" t="s">
        <v>143</v>
      </c>
      <c r="AO95" s="22" t="s">
        <v>209</v>
      </c>
      <c r="AP95" s="22" t="s">
        <v>112</v>
      </c>
    </row>
    <row r="96" spans="10:42" s="18" customFormat="1" ht="16.8" customHeight="1">
      <c r="J96" s="22">
        <v>88</v>
      </c>
      <c r="K96" s="22" t="s">
        <v>108</v>
      </c>
      <c r="L96" s="22" t="s">
        <v>109</v>
      </c>
      <c r="M96" s="22" t="s">
        <v>775</v>
      </c>
      <c r="N96" s="22" t="s">
        <v>812</v>
      </c>
      <c r="O96" s="22" t="s">
        <v>130</v>
      </c>
      <c r="P96" s="22" t="s">
        <v>112</v>
      </c>
      <c r="Q96" s="22">
        <v>6067</v>
      </c>
      <c r="R96" s="22" t="s">
        <v>147</v>
      </c>
      <c r="S96" s="22" t="s">
        <v>112</v>
      </c>
      <c r="T96" s="22" t="s">
        <v>114</v>
      </c>
      <c r="U96" s="22" t="s">
        <v>112</v>
      </c>
      <c r="V96" s="22" t="s">
        <v>132</v>
      </c>
      <c r="W96" s="22" t="s">
        <v>235</v>
      </c>
      <c r="X96" s="22" t="s">
        <v>255</v>
      </c>
      <c r="Y96" s="22" t="s">
        <v>21</v>
      </c>
      <c r="Z96" s="22" t="s">
        <v>813</v>
      </c>
      <c r="AA96" s="22" t="s">
        <v>21</v>
      </c>
      <c r="AB96" s="22" t="s">
        <v>814</v>
      </c>
      <c r="AC96" s="22" t="s">
        <v>815</v>
      </c>
      <c r="AD96" s="22" t="s">
        <v>120</v>
      </c>
      <c r="AE96" s="22" t="s">
        <v>223</v>
      </c>
      <c r="AF96" s="22" t="s">
        <v>816</v>
      </c>
      <c r="AG96" s="22" t="s">
        <v>775</v>
      </c>
      <c r="AH96" s="22"/>
      <c r="AI96" s="22" t="s">
        <v>205</v>
      </c>
      <c r="AJ96" s="22" t="s">
        <v>172</v>
      </c>
      <c r="AK96" s="22" t="s">
        <v>286</v>
      </c>
      <c r="AL96" s="22" t="s">
        <v>817</v>
      </c>
      <c r="AM96" s="22" t="s">
        <v>513</v>
      </c>
      <c r="AN96" s="22" t="s">
        <v>143</v>
      </c>
      <c r="AO96" s="22" t="s">
        <v>209</v>
      </c>
      <c r="AP96" s="22" t="s">
        <v>112</v>
      </c>
    </row>
    <row r="97" spans="10:42" s="18" customFormat="1" ht="16.8" customHeight="1">
      <c r="J97" s="22">
        <v>89</v>
      </c>
      <c r="K97" s="22" t="s">
        <v>108</v>
      </c>
      <c r="L97" s="22" t="s">
        <v>109</v>
      </c>
      <c r="M97" s="22" t="s">
        <v>775</v>
      </c>
      <c r="N97" s="22" t="s">
        <v>818</v>
      </c>
      <c r="O97" s="22" t="s">
        <v>130</v>
      </c>
      <c r="P97" s="22" t="s">
        <v>112</v>
      </c>
      <c r="Q97" s="22">
        <v>5980</v>
      </c>
      <c r="R97" s="22" t="s">
        <v>147</v>
      </c>
      <c r="S97" s="22" t="s">
        <v>819</v>
      </c>
      <c r="T97" s="22" t="s">
        <v>114</v>
      </c>
      <c r="U97" s="22" t="s">
        <v>112</v>
      </c>
      <c r="V97" s="22" t="s">
        <v>132</v>
      </c>
      <c r="W97" s="22" t="s">
        <v>116</v>
      </c>
      <c r="X97" s="22" t="s">
        <v>820</v>
      </c>
      <c r="Y97" s="22" t="s">
        <v>12</v>
      </c>
      <c r="Z97" s="22" t="s">
        <v>821</v>
      </c>
      <c r="AA97" s="22" t="s">
        <v>12</v>
      </c>
      <c r="AB97" s="22" t="s">
        <v>821</v>
      </c>
      <c r="AC97" s="22" t="s">
        <v>822</v>
      </c>
      <c r="AD97" s="22" t="s">
        <v>120</v>
      </c>
      <c r="AE97" s="22" t="s">
        <v>193</v>
      </c>
      <c r="AF97" s="22" t="s">
        <v>823</v>
      </c>
      <c r="AG97" s="22" t="s">
        <v>775</v>
      </c>
      <c r="AH97" s="22"/>
      <c r="AI97" s="22" t="s">
        <v>205</v>
      </c>
      <c r="AJ97" s="22" t="s">
        <v>340</v>
      </c>
      <c r="AK97" s="22" t="s">
        <v>824</v>
      </c>
      <c r="AL97" s="22" t="s">
        <v>367</v>
      </c>
      <c r="AM97" s="22" t="s">
        <v>374</v>
      </c>
      <c r="AN97" s="22" t="s">
        <v>143</v>
      </c>
      <c r="AO97" s="22" t="s">
        <v>209</v>
      </c>
      <c r="AP97" s="22" t="s">
        <v>112</v>
      </c>
    </row>
    <row r="98" spans="10:42" s="18" customFormat="1" ht="16.8" customHeight="1">
      <c r="J98" s="22">
        <v>90</v>
      </c>
      <c r="K98" s="22" t="s">
        <v>108</v>
      </c>
      <c r="L98" s="22" t="s">
        <v>109</v>
      </c>
      <c r="M98" s="22" t="s">
        <v>775</v>
      </c>
      <c r="N98" s="22" t="s">
        <v>825</v>
      </c>
      <c r="O98" s="22" t="s">
        <v>130</v>
      </c>
      <c r="P98" s="22" t="s">
        <v>112</v>
      </c>
      <c r="Q98" s="22">
        <v>5832</v>
      </c>
      <c r="R98" s="22"/>
      <c r="S98" s="22" t="s">
        <v>112</v>
      </c>
      <c r="T98" s="22" t="s">
        <v>131</v>
      </c>
      <c r="U98" s="22" t="s">
        <v>112</v>
      </c>
      <c r="V98" s="22" t="s">
        <v>132</v>
      </c>
      <c r="W98" s="22" t="s">
        <v>273</v>
      </c>
      <c r="X98" s="22" t="s">
        <v>274</v>
      </c>
      <c r="Y98" s="22" t="s">
        <v>24</v>
      </c>
      <c r="Z98" s="22" t="s">
        <v>826</v>
      </c>
      <c r="AA98" s="22" t="s">
        <v>24</v>
      </c>
      <c r="AB98" s="22" t="s">
        <v>826</v>
      </c>
      <c r="AC98" s="22" t="s">
        <v>827</v>
      </c>
      <c r="AD98" s="22" t="s">
        <v>135</v>
      </c>
      <c r="AE98" s="22" t="s">
        <v>136</v>
      </c>
      <c r="AF98" s="22" t="s">
        <v>828</v>
      </c>
      <c r="AG98" s="22" t="s">
        <v>775</v>
      </c>
      <c r="AH98" s="22"/>
      <c r="AI98" s="22" t="s">
        <v>138</v>
      </c>
      <c r="AJ98" s="22" t="s">
        <v>511</v>
      </c>
      <c r="AK98" s="22" t="s">
        <v>303</v>
      </c>
      <c r="AL98" s="22" t="s">
        <v>512</v>
      </c>
      <c r="AM98" s="22" t="s">
        <v>829</v>
      </c>
      <c r="AN98" s="22" t="s">
        <v>143</v>
      </c>
      <c r="AO98" s="22" t="s">
        <v>144</v>
      </c>
      <c r="AP98" s="22" t="s">
        <v>112</v>
      </c>
    </row>
    <row r="99" spans="10:42" s="18" customFormat="1" ht="16.8" customHeight="1">
      <c r="J99" s="22">
        <v>91</v>
      </c>
      <c r="K99" s="22" t="s">
        <v>108</v>
      </c>
      <c r="L99" s="22" t="s">
        <v>109</v>
      </c>
      <c r="M99" s="22" t="s">
        <v>775</v>
      </c>
      <c r="N99" s="22" t="s">
        <v>830</v>
      </c>
      <c r="O99" s="22" t="s">
        <v>130</v>
      </c>
      <c r="P99" s="22" t="s">
        <v>112</v>
      </c>
      <c r="Q99" s="22">
        <v>19620</v>
      </c>
      <c r="R99" s="22"/>
      <c r="S99" s="22" t="s">
        <v>831</v>
      </c>
      <c r="T99" s="22" t="s">
        <v>131</v>
      </c>
      <c r="U99" s="22" t="s">
        <v>112</v>
      </c>
      <c r="V99" s="22" t="s">
        <v>132</v>
      </c>
      <c r="W99" s="22" t="s">
        <v>116</v>
      </c>
      <c r="X99" s="22" t="s">
        <v>377</v>
      </c>
      <c r="Y99" s="22" t="s">
        <v>21</v>
      </c>
      <c r="Z99" s="22" t="s">
        <v>832</v>
      </c>
      <c r="AA99" s="22" t="s">
        <v>21</v>
      </c>
      <c r="AB99" s="22" t="s">
        <v>832</v>
      </c>
      <c r="AC99" s="22" t="s">
        <v>833</v>
      </c>
      <c r="AD99" s="22" t="s">
        <v>135</v>
      </c>
      <c r="AE99" s="22" t="s">
        <v>170</v>
      </c>
      <c r="AF99" s="22" t="s">
        <v>834</v>
      </c>
      <c r="AG99" s="22" t="s">
        <v>775</v>
      </c>
      <c r="AH99" s="22"/>
      <c r="AI99" s="22" t="s">
        <v>205</v>
      </c>
      <c r="AJ99" s="22" t="s">
        <v>225</v>
      </c>
      <c r="AK99" s="22" t="s">
        <v>140</v>
      </c>
      <c r="AL99" s="22" t="s">
        <v>835</v>
      </c>
      <c r="AM99" s="22" t="s">
        <v>836</v>
      </c>
      <c r="AN99" s="22" t="s">
        <v>143</v>
      </c>
      <c r="AO99" s="22" t="s">
        <v>209</v>
      </c>
      <c r="AP99" s="22" t="s">
        <v>112</v>
      </c>
    </row>
    <row r="100" spans="10:42" s="18" customFormat="1" ht="16.8" customHeight="1">
      <c r="J100" s="22">
        <v>92</v>
      </c>
      <c r="K100" s="22" t="s">
        <v>108</v>
      </c>
      <c r="L100" s="22" t="s">
        <v>109</v>
      </c>
      <c r="M100" s="22" t="s">
        <v>775</v>
      </c>
      <c r="N100" s="22" t="s">
        <v>837</v>
      </c>
      <c r="O100" s="22" t="s">
        <v>130</v>
      </c>
      <c r="P100" s="22" t="s">
        <v>112</v>
      </c>
      <c r="Q100" s="22">
        <v>5400</v>
      </c>
      <c r="R100" s="22"/>
      <c r="S100" s="22" t="s">
        <v>112</v>
      </c>
      <c r="T100" s="22" t="s">
        <v>114</v>
      </c>
      <c r="U100" s="22" t="s">
        <v>112</v>
      </c>
      <c r="V100" s="22" t="s">
        <v>132</v>
      </c>
      <c r="W100" s="22" t="s">
        <v>308</v>
      </c>
      <c r="X100" s="22" t="s">
        <v>309</v>
      </c>
      <c r="Y100" s="22" t="s">
        <v>19</v>
      </c>
      <c r="Z100" s="22" t="s">
        <v>838</v>
      </c>
      <c r="AA100" s="22" t="s">
        <v>19</v>
      </c>
      <c r="AB100" s="22" t="s">
        <v>839</v>
      </c>
      <c r="AC100" s="22" t="s">
        <v>840</v>
      </c>
      <c r="AD100" s="22" t="s">
        <v>120</v>
      </c>
      <c r="AE100" s="22"/>
      <c r="AF100" s="22" t="s">
        <v>841</v>
      </c>
      <c r="AG100" s="22"/>
      <c r="AH100" s="22"/>
      <c r="AI100" s="22" t="s">
        <v>122</v>
      </c>
      <c r="AJ100" s="22" t="s">
        <v>790</v>
      </c>
      <c r="AK100" s="22" t="s">
        <v>350</v>
      </c>
      <c r="AL100" s="22" t="s">
        <v>367</v>
      </c>
      <c r="AM100" s="22" t="s">
        <v>842</v>
      </c>
      <c r="AN100" s="22" t="s">
        <v>287</v>
      </c>
      <c r="AO100" s="22" t="s">
        <v>127</v>
      </c>
      <c r="AP100" s="22" t="s">
        <v>128</v>
      </c>
    </row>
    <row r="101" spans="10:42" s="18" customFormat="1" ht="16.8" customHeight="1">
      <c r="J101" s="22">
        <v>93</v>
      </c>
      <c r="K101" s="22" t="s">
        <v>108</v>
      </c>
      <c r="L101" s="22" t="s">
        <v>109</v>
      </c>
      <c r="M101" s="22" t="s">
        <v>145</v>
      </c>
      <c r="N101" s="22" t="s">
        <v>148</v>
      </c>
      <c r="O101" s="22" t="s">
        <v>130</v>
      </c>
      <c r="P101" s="22" t="s">
        <v>112</v>
      </c>
      <c r="Q101" s="22">
        <v>19800</v>
      </c>
      <c r="R101" s="22" t="s">
        <v>147</v>
      </c>
      <c r="S101" s="22" t="s">
        <v>112</v>
      </c>
      <c r="T101" s="22" t="s">
        <v>114</v>
      </c>
      <c r="U101" s="22" t="s">
        <v>112</v>
      </c>
      <c r="V101" s="22" t="s">
        <v>132</v>
      </c>
      <c r="W101" s="22" t="s">
        <v>235</v>
      </c>
      <c r="X101" s="22" t="s">
        <v>255</v>
      </c>
      <c r="Y101" s="22" t="s">
        <v>22</v>
      </c>
      <c r="Z101" s="22" t="s">
        <v>843</v>
      </c>
      <c r="AA101" s="22" t="s">
        <v>22</v>
      </c>
      <c r="AB101" s="22" t="s">
        <v>843</v>
      </c>
      <c r="AC101" s="22" t="s">
        <v>844</v>
      </c>
      <c r="AD101" s="22" t="s">
        <v>120</v>
      </c>
      <c r="AE101" s="22" t="s">
        <v>152</v>
      </c>
      <c r="AF101" s="22" t="s">
        <v>845</v>
      </c>
      <c r="AG101" s="22" t="s">
        <v>145</v>
      </c>
      <c r="AH101" s="22"/>
      <c r="AI101" s="22" t="s">
        <v>138</v>
      </c>
      <c r="AJ101" s="22" t="s">
        <v>154</v>
      </c>
      <c r="AK101" s="22" t="s">
        <v>124</v>
      </c>
      <c r="AL101" s="22" t="s">
        <v>846</v>
      </c>
      <c r="AM101" s="22" t="s">
        <v>847</v>
      </c>
      <c r="AN101" s="22" t="s">
        <v>157</v>
      </c>
      <c r="AO101" s="22" t="s">
        <v>144</v>
      </c>
      <c r="AP101" s="22" t="s">
        <v>112</v>
      </c>
    </row>
    <row r="102" spans="10:42" s="18" customFormat="1" ht="16.8" customHeight="1">
      <c r="J102" s="22">
        <v>94</v>
      </c>
      <c r="K102" s="22" t="s">
        <v>108</v>
      </c>
      <c r="L102" s="22" t="s">
        <v>109</v>
      </c>
      <c r="M102" s="22" t="s">
        <v>145</v>
      </c>
      <c r="N102" s="22" t="s">
        <v>848</v>
      </c>
      <c r="O102" s="22" t="s">
        <v>130</v>
      </c>
      <c r="P102" s="22" t="s">
        <v>112</v>
      </c>
      <c r="Q102" s="22">
        <v>5382</v>
      </c>
      <c r="R102" s="22"/>
      <c r="S102" s="22" t="s">
        <v>112</v>
      </c>
      <c r="T102" s="22" t="s">
        <v>131</v>
      </c>
      <c r="U102" s="22" t="s">
        <v>112</v>
      </c>
      <c r="V102" s="22" t="s">
        <v>132</v>
      </c>
      <c r="W102" s="22" t="s">
        <v>235</v>
      </c>
      <c r="X102" s="22" t="s">
        <v>362</v>
      </c>
      <c r="Y102" s="22" t="s">
        <v>19</v>
      </c>
      <c r="Z102" s="22" t="s">
        <v>849</v>
      </c>
      <c r="AA102" s="22" t="s">
        <v>19</v>
      </c>
      <c r="AB102" s="22" t="s">
        <v>849</v>
      </c>
      <c r="AC102" s="22" t="s">
        <v>850</v>
      </c>
      <c r="AD102" s="22" t="s">
        <v>120</v>
      </c>
      <c r="AE102" s="22" t="s">
        <v>136</v>
      </c>
      <c r="AF102" s="22" t="s">
        <v>851</v>
      </c>
      <c r="AG102" s="22" t="s">
        <v>145</v>
      </c>
      <c r="AH102" s="22"/>
      <c r="AI102" s="22" t="s">
        <v>138</v>
      </c>
      <c r="AJ102" s="22" t="s">
        <v>511</v>
      </c>
      <c r="AK102" s="22" t="s">
        <v>140</v>
      </c>
      <c r="AL102" s="22" t="s">
        <v>852</v>
      </c>
      <c r="AM102" s="22" t="s">
        <v>853</v>
      </c>
      <c r="AN102" s="22" t="s">
        <v>412</v>
      </c>
      <c r="AO102" s="22" t="s">
        <v>144</v>
      </c>
      <c r="AP102" s="22" t="s">
        <v>112</v>
      </c>
    </row>
    <row r="103" spans="10:42" s="18" customFormat="1" ht="16.8" customHeight="1">
      <c r="J103" s="22">
        <v>95</v>
      </c>
      <c r="K103" s="22" t="s">
        <v>108</v>
      </c>
      <c r="L103" s="22" t="s">
        <v>109</v>
      </c>
      <c r="M103" s="22" t="s">
        <v>145</v>
      </c>
      <c r="N103" s="22" t="s">
        <v>854</v>
      </c>
      <c r="O103" s="22" t="s">
        <v>130</v>
      </c>
      <c r="P103" s="22" t="s">
        <v>112</v>
      </c>
      <c r="Q103" s="22">
        <v>19200</v>
      </c>
      <c r="R103" s="22"/>
      <c r="S103" s="22" t="s">
        <v>112</v>
      </c>
      <c r="T103" s="22" t="s">
        <v>131</v>
      </c>
      <c r="U103" s="22" t="s">
        <v>112</v>
      </c>
      <c r="V103" s="22" t="s">
        <v>132</v>
      </c>
      <c r="W103" s="22" t="s">
        <v>387</v>
      </c>
      <c r="X103" s="22" t="s">
        <v>388</v>
      </c>
      <c r="Y103" s="22" t="s">
        <v>12</v>
      </c>
      <c r="Z103" s="22" t="s">
        <v>855</v>
      </c>
      <c r="AA103" s="22" t="s">
        <v>12</v>
      </c>
      <c r="AB103" s="22" t="s">
        <v>856</v>
      </c>
      <c r="AC103" s="22" t="s">
        <v>857</v>
      </c>
      <c r="AD103" s="22" t="s">
        <v>120</v>
      </c>
      <c r="AE103" s="22"/>
      <c r="AF103" s="22" t="s">
        <v>858</v>
      </c>
      <c r="AG103" s="22"/>
      <c r="AH103" s="22"/>
      <c r="AI103" s="22" t="s">
        <v>182</v>
      </c>
      <c r="AJ103" s="22" t="s">
        <v>859</v>
      </c>
      <c r="AK103" s="22" t="s">
        <v>286</v>
      </c>
      <c r="AL103" s="22" t="s">
        <v>860</v>
      </c>
      <c r="AM103" s="22" t="s">
        <v>861</v>
      </c>
      <c r="AN103" s="22" t="s">
        <v>143</v>
      </c>
      <c r="AO103" s="22" t="s">
        <v>182</v>
      </c>
      <c r="AP103" s="22" t="s">
        <v>186</v>
      </c>
    </row>
    <row r="104" spans="10:42" s="18" customFormat="1" ht="16.8" customHeight="1">
      <c r="J104" s="22">
        <v>96</v>
      </c>
      <c r="K104" s="22" t="s">
        <v>108</v>
      </c>
      <c r="L104" s="22" t="s">
        <v>109</v>
      </c>
      <c r="M104" s="22" t="s">
        <v>145</v>
      </c>
      <c r="N104" s="22" t="s">
        <v>854</v>
      </c>
      <c r="O104" s="22" t="s">
        <v>130</v>
      </c>
      <c r="P104" s="22" t="s">
        <v>112</v>
      </c>
      <c r="Q104" s="22">
        <v>19200</v>
      </c>
      <c r="R104" s="22"/>
      <c r="S104" s="22" t="s">
        <v>112</v>
      </c>
      <c r="T104" s="22" t="s">
        <v>352</v>
      </c>
      <c r="U104" s="22" t="s">
        <v>112</v>
      </c>
      <c r="V104" s="22" t="s">
        <v>132</v>
      </c>
      <c r="W104" s="22" t="s">
        <v>387</v>
      </c>
      <c r="X104" s="22" t="s">
        <v>388</v>
      </c>
      <c r="Y104" s="22" t="s">
        <v>19</v>
      </c>
      <c r="Z104" s="22" t="s">
        <v>855</v>
      </c>
      <c r="AA104" s="22" t="s">
        <v>12</v>
      </c>
      <c r="AB104" s="22" t="s">
        <v>856</v>
      </c>
      <c r="AC104" s="22" t="s">
        <v>857</v>
      </c>
      <c r="AD104" s="22" t="s">
        <v>120</v>
      </c>
      <c r="AE104" s="22"/>
      <c r="AF104" s="22" t="s">
        <v>858</v>
      </c>
      <c r="AG104" s="22"/>
      <c r="AH104" s="22"/>
      <c r="AI104" s="22" t="s">
        <v>182</v>
      </c>
      <c r="AJ104" s="22" t="s">
        <v>859</v>
      </c>
      <c r="AK104" s="22" t="s">
        <v>286</v>
      </c>
      <c r="AL104" s="22" t="s">
        <v>860</v>
      </c>
      <c r="AM104" s="22" t="s">
        <v>861</v>
      </c>
      <c r="AN104" s="22" t="s">
        <v>143</v>
      </c>
      <c r="AO104" s="22" t="s">
        <v>182</v>
      </c>
      <c r="AP104" s="22" t="s">
        <v>186</v>
      </c>
    </row>
    <row r="105" spans="10:42" s="18" customFormat="1" ht="16.8" customHeight="1">
      <c r="J105" s="22">
        <v>97</v>
      </c>
      <c r="K105" s="22" t="s">
        <v>108</v>
      </c>
      <c r="L105" s="22" t="s">
        <v>109</v>
      </c>
      <c r="M105" s="22" t="s">
        <v>145</v>
      </c>
      <c r="N105" s="22" t="s">
        <v>146</v>
      </c>
      <c r="O105" s="22" t="s">
        <v>130</v>
      </c>
      <c r="P105" s="22" t="s">
        <v>112</v>
      </c>
      <c r="Q105" s="22">
        <v>19600</v>
      </c>
      <c r="R105" s="22" t="s">
        <v>147</v>
      </c>
      <c r="S105" s="22" t="s">
        <v>148</v>
      </c>
      <c r="T105" s="22" t="s">
        <v>114</v>
      </c>
      <c r="U105" s="22" t="s">
        <v>112</v>
      </c>
      <c r="V105" s="22" t="s">
        <v>132</v>
      </c>
      <c r="W105" s="22" t="s">
        <v>116</v>
      </c>
      <c r="X105" s="22" t="s">
        <v>117</v>
      </c>
      <c r="Y105" s="22" t="s">
        <v>22</v>
      </c>
      <c r="Z105" s="22" t="s">
        <v>149</v>
      </c>
      <c r="AA105" s="22" t="s">
        <v>22</v>
      </c>
      <c r="AB105" s="22" t="s">
        <v>150</v>
      </c>
      <c r="AC105" s="22" t="s">
        <v>151</v>
      </c>
      <c r="AD105" s="22" t="s">
        <v>135</v>
      </c>
      <c r="AE105" s="22" t="s">
        <v>152</v>
      </c>
      <c r="AF105" s="22" t="s">
        <v>153</v>
      </c>
      <c r="AG105" s="22" t="s">
        <v>145</v>
      </c>
      <c r="AH105" s="22"/>
      <c r="AI105" s="22" t="s">
        <v>138</v>
      </c>
      <c r="AJ105" s="22" t="s">
        <v>154</v>
      </c>
      <c r="AK105" s="22" t="s">
        <v>124</v>
      </c>
      <c r="AL105" s="22" t="s">
        <v>155</v>
      </c>
      <c r="AM105" s="22" t="s">
        <v>156</v>
      </c>
      <c r="AN105" s="22" t="s">
        <v>157</v>
      </c>
      <c r="AO105" s="22" t="s">
        <v>144</v>
      </c>
      <c r="AP105" s="22" t="s">
        <v>112</v>
      </c>
    </row>
    <row r="106" spans="10:42" s="18" customFormat="1" ht="16.8" customHeight="1">
      <c r="J106" s="22">
        <v>98</v>
      </c>
      <c r="K106" s="22" t="s">
        <v>108</v>
      </c>
      <c r="L106" s="22" t="s">
        <v>109</v>
      </c>
      <c r="M106" s="22" t="s">
        <v>145</v>
      </c>
      <c r="N106" s="22" t="s">
        <v>862</v>
      </c>
      <c r="O106" s="22" t="s">
        <v>130</v>
      </c>
      <c r="P106" s="22" t="s">
        <v>112</v>
      </c>
      <c r="Q106" s="22">
        <v>5832</v>
      </c>
      <c r="R106" s="22"/>
      <c r="S106" s="22" t="s">
        <v>863</v>
      </c>
      <c r="T106" s="22" t="s">
        <v>131</v>
      </c>
      <c r="U106" s="22" t="s">
        <v>112</v>
      </c>
      <c r="V106" s="22" t="s">
        <v>132</v>
      </c>
      <c r="W106" s="22" t="s">
        <v>116</v>
      </c>
      <c r="X106" s="22" t="s">
        <v>377</v>
      </c>
      <c r="Y106" s="22" t="s">
        <v>12</v>
      </c>
      <c r="Z106" s="22" t="s">
        <v>864</v>
      </c>
      <c r="AA106" s="22" t="s">
        <v>12</v>
      </c>
      <c r="AB106" s="22" t="s">
        <v>864</v>
      </c>
      <c r="AC106" s="22" t="s">
        <v>865</v>
      </c>
      <c r="AD106" s="22" t="s">
        <v>120</v>
      </c>
      <c r="AE106" s="22" t="s">
        <v>136</v>
      </c>
      <c r="AF106" s="22" t="s">
        <v>866</v>
      </c>
      <c r="AG106" s="22" t="s">
        <v>145</v>
      </c>
      <c r="AH106" s="22"/>
      <c r="AI106" s="22" t="s">
        <v>138</v>
      </c>
      <c r="AJ106" s="22" t="s">
        <v>278</v>
      </c>
      <c r="AK106" s="22" t="s">
        <v>140</v>
      </c>
      <c r="AL106" s="22" t="s">
        <v>867</v>
      </c>
      <c r="AM106" s="22" t="s">
        <v>868</v>
      </c>
      <c r="AN106" s="22" t="s">
        <v>143</v>
      </c>
      <c r="AO106" s="22" t="s">
        <v>144</v>
      </c>
      <c r="AP106" s="22" t="s">
        <v>112</v>
      </c>
    </row>
    <row r="107" spans="10:42" s="18" customFormat="1" ht="16.8" customHeight="1">
      <c r="J107" s="22">
        <v>99</v>
      </c>
      <c r="K107" s="22" t="s">
        <v>108</v>
      </c>
      <c r="L107" s="22" t="s">
        <v>109</v>
      </c>
      <c r="M107" s="22" t="s">
        <v>145</v>
      </c>
      <c r="N107" s="22" t="s">
        <v>869</v>
      </c>
      <c r="O107" s="22" t="s">
        <v>130</v>
      </c>
      <c r="P107" s="22" t="s">
        <v>112</v>
      </c>
      <c r="Q107" s="22">
        <v>5832</v>
      </c>
      <c r="R107" s="22"/>
      <c r="S107" s="22" t="s">
        <v>112</v>
      </c>
      <c r="T107" s="22" t="s">
        <v>131</v>
      </c>
      <c r="U107" s="22" t="s">
        <v>112</v>
      </c>
      <c r="V107" s="22" t="s">
        <v>132</v>
      </c>
      <c r="W107" s="22" t="s">
        <v>273</v>
      </c>
      <c r="X107" s="22" t="s">
        <v>655</v>
      </c>
      <c r="Y107" s="22" t="s">
        <v>22</v>
      </c>
      <c r="Z107" s="22" t="s">
        <v>870</v>
      </c>
      <c r="AA107" s="22" t="s">
        <v>22</v>
      </c>
      <c r="AB107" s="22" t="s">
        <v>870</v>
      </c>
      <c r="AC107" s="22" t="s">
        <v>871</v>
      </c>
      <c r="AD107" s="22" t="s">
        <v>120</v>
      </c>
      <c r="AE107" s="22" t="s">
        <v>136</v>
      </c>
      <c r="AF107" s="22" t="s">
        <v>872</v>
      </c>
      <c r="AG107" s="22" t="s">
        <v>145</v>
      </c>
      <c r="AH107" s="22"/>
      <c r="AI107" s="22" t="s">
        <v>205</v>
      </c>
      <c r="AJ107" s="22" t="s">
        <v>873</v>
      </c>
      <c r="AK107" s="22" t="s">
        <v>124</v>
      </c>
      <c r="AL107" s="22" t="s">
        <v>874</v>
      </c>
      <c r="AM107" s="22" t="s">
        <v>792</v>
      </c>
      <c r="AN107" s="22" t="s">
        <v>143</v>
      </c>
      <c r="AO107" s="22" t="s">
        <v>209</v>
      </c>
      <c r="AP107" s="22" t="s">
        <v>112</v>
      </c>
    </row>
    <row r="108" spans="10:42" s="18" customFormat="1" ht="16.8" customHeight="1">
      <c r="J108" s="22">
        <v>100</v>
      </c>
      <c r="K108" s="22" t="s">
        <v>108</v>
      </c>
      <c r="L108" s="22" t="s">
        <v>109</v>
      </c>
      <c r="M108" s="22" t="s">
        <v>145</v>
      </c>
      <c r="N108" s="22" t="s">
        <v>875</v>
      </c>
      <c r="O108" s="22" t="s">
        <v>130</v>
      </c>
      <c r="P108" s="22" t="s">
        <v>112</v>
      </c>
      <c r="Q108" s="22">
        <v>5382</v>
      </c>
      <c r="R108" s="22"/>
      <c r="S108" s="22" t="s">
        <v>112</v>
      </c>
      <c r="T108" s="22" t="s">
        <v>131</v>
      </c>
      <c r="U108" s="22" t="s">
        <v>112</v>
      </c>
      <c r="V108" s="22" t="s">
        <v>132</v>
      </c>
      <c r="W108" s="22" t="s">
        <v>273</v>
      </c>
      <c r="X108" s="22" t="s">
        <v>576</v>
      </c>
      <c r="Y108" s="22" t="s">
        <v>19</v>
      </c>
      <c r="Z108" s="22" t="s">
        <v>876</v>
      </c>
      <c r="AA108" s="22" t="s">
        <v>19</v>
      </c>
      <c r="AB108" s="22" t="s">
        <v>876</v>
      </c>
      <c r="AC108" s="22" t="s">
        <v>877</v>
      </c>
      <c r="AD108" s="22" t="s">
        <v>120</v>
      </c>
      <c r="AE108" s="22" t="s">
        <v>136</v>
      </c>
      <c r="AF108" s="22" t="s">
        <v>878</v>
      </c>
      <c r="AG108" s="22" t="s">
        <v>145</v>
      </c>
      <c r="AH108" s="22"/>
      <c r="AI108" s="22" t="s">
        <v>205</v>
      </c>
      <c r="AJ108" s="22" t="s">
        <v>651</v>
      </c>
      <c r="AK108" s="22" t="s">
        <v>140</v>
      </c>
      <c r="AL108" s="22" t="s">
        <v>652</v>
      </c>
      <c r="AM108" s="22" t="s">
        <v>733</v>
      </c>
      <c r="AN108" s="22" t="s">
        <v>143</v>
      </c>
      <c r="AO108" s="22" t="s">
        <v>209</v>
      </c>
      <c r="AP108" s="22" t="s">
        <v>112</v>
      </c>
    </row>
    <row r="109" spans="10:42" s="18" customFormat="1" ht="16.8" customHeight="1">
      <c r="J109" s="22">
        <v>101</v>
      </c>
      <c r="K109" s="22" t="s">
        <v>108</v>
      </c>
      <c r="L109" s="22" t="s">
        <v>109</v>
      </c>
      <c r="M109" s="22" t="s">
        <v>145</v>
      </c>
      <c r="N109" s="22" t="s">
        <v>837</v>
      </c>
      <c r="O109" s="22" t="s">
        <v>130</v>
      </c>
      <c r="P109" s="22" t="s">
        <v>112</v>
      </c>
      <c r="Q109" s="22">
        <v>1800</v>
      </c>
      <c r="R109" s="22"/>
      <c r="S109" s="22" t="s">
        <v>112</v>
      </c>
      <c r="T109" s="22" t="s">
        <v>131</v>
      </c>
      <c r="U109" s="22" t="s">
        <v>112</v>
      </c>
      <c r="V109" s="22" t="s">
        <v>132</v>
      </c>
      <c r="W109" s="22" t="s">
        <v>308</v>
      </c>
      <c r="X109" s="22" t="s">
        <v>309</v>
      </c>
      <c r="Y109" s="22" t="s">
        <v>19</v>
      </c>
      <c r="Z109" s="22" t="s">
        <v>879</v>
      </c>
      <c r="AA109" s="22" t="s">
        <v>19</v>
      </c>
      <c r="AB109" s="22" t="s">
        <v>880</v>
      </c>
      <c r="AC109" s="22" t="s">
        <v>881</v>
      </c>
      <c r="AD109" s="22" t="s">
        <v>120</v>
      </c>
      <c r="AE109" s="22"/>
      <c r="AF109" s="22" t="s">
        <v>841</v>
      </c>
      <c r="AG109" s="22"/>
      <c r="AH109" s="22"/>
      <c r="AI109" s="22" t="s">
        <v>122</v>
      </c>
      <c r="AJ109" s="22" t="s">
        <v>790</v>
      </c>
      <c r="AK109" s="22" t="s">
        <v>350</v>
      </c>
      <c r="AL109" s="22" t="s">
        <v>367</v>
      </c>
      <c r="AM109" s="22" t="s">
        <v>842</v>
      </c>
      <c r="AN109" s="22" t="s">
        <v>287</v>
      </c>
      <c r="AO109" s="22" t="s">
        <v>127</v>
      </c>
      <c r="AP109" s="22" t="s">
        <v>128</v>
      </c>
    </row>
    <row r="110" spans="10:42" s="18" customFormat="1" ht="16.8" customHeight="1">
      <c r="J110" s="22">
        <v>102</v>
      </c>
      <c r="K110" s="22" t="s">
        <v>108</v>
      </c>
      <c r="L110" s="22" t="s">
        <v>109</v>
      </c>
      <c r="M110" s="22" t="s">
        <v>145</v>
      </c>
      <c r="N110" s="22" t="s">
        <v>882</v>
      </c>
      <c r="O110" s="22" t="s">
        <v>130</v>
      </c>
      <c r="P110" s="22" t="s">
        <v>112</v>
      </c>
      <c r="Q110" s="22">
        <v>60000</v>
      </c>
      <c r="R110" s="22"/>
      <c r="S110" s="22" t="s">
        <v>112</v>
      </c>
      <c r="T110" s="22" t="s">
        <v>131</v>
      </c>
      <c r="U110" s="22" t="s">
        <v>112</v>
      </c>
      <c r="V110" s="22" t="s">
        <v>132</v>
      </c>
      <c r="W110" s="22" t="s">
        <v>387</v>
      </c>
      <c r="X110" s="22" t="s">
        <v>388</v>
      </c>
      <c r="Y110" s="22" t="s">
        <v>21</v>
      </c>
      <c r="Z110" s="22" t="s">
        <v>883</v>
      </c>
      <c r="AA110" s="22" t="s">
        <v>21</v>
      </c>
      <c r="AB110" s="22" t="s">
        <v>884</v>
      </c>
      <c r="AC110" s="22" t="s">
        <v>885</v>
      </c>
      <c r="AD110" s="22" t="s">
        <v>135</v>
      </c>
      <c r="AE110" s="22"/>
      <c r="AF110" s="22" t="s">
        <v>886</v>
      </c>
      <c r="AG110" s="22"/>
      <c r="AH110" s="22"/>
      <c r="AI110" s="22" t="s">
        <v>128</v>
      </c>
      <c r="AJ110" s="22" t="s">
        <v>887</v>
      </c>
      <c r="AK110" s="22" t="s">
        <v>303</v>
      </c>
      <c r="AL110" s="22" t="s">
        <v>661</v>
      </c>
      <c r="AM110" s="22" t="s">
        <v>888</v>
      </c>
      <c r="AN110" s="22"/>
      <c r="AO110" s="22" t="s">
        <v>112</v>
      </c>
      <c r="AP110" s="22" t="s">
        <v>112</v>
      </c>
    </row>
    <row r="111" spans="10:42" s="18" customFormat="1" ht="16.8" customHeight="1">
      <c r="J111" s="22">
        <v>103</v>
      </c>
      <c r="K111" s="22" t="s">
        <v>108</v>
      </c>
      <c r="L111" s="22" t="s">
        <v>109</v>
      </c>
      <c r="M111" s="22" t="s">
        <v>158</v>
      </c>
      <c r="N111" s="22" t="s">
        <v>159</v>
      </c>
      <c r="O111" s="22" t="s">
        <v>130</v>
      </c>
      <c r="P111" s="22" t="s">
        <v>112</v>
      </c>
      <c r="Q111" s="22">
        <v>15120</v>
      </c>
      <c r="R111" s="22"/>
      <c r="S111" s="22" t="s">
        <v>160</v>
      </c>
      <c r="T111" s="22" t="s">
        <v>131</v>
      </c>
      <c r="U111" s="22" t="s">
        <v>112</v>
      </c>
      <c r="V111" s="22" t="s">
        <v>132</v>
      </c>
      <c r="W111" s="22" t="s">
        <v>116</v>
      </c>
      <c r="X111" s="22" t="s">
        <v>117</v>
      </c>
      <c r="Y111" s="22" t="s">
        <v>22</v>
      </c>
      <c r="Z111" s="22" t="s">
        <v>161</v>
      </c>
      <c r="AA111" s="22" t="s">
        <v>22</v>
      </c>
      <c r="AB111" s="22" t="s">
        <v>161</v>
      </c>
      <c r="AC111" s="22" t="s">
        <v>162</v>
      </c>
      <c r="AD111" s="22" t="s">
        <v>120</v>
      </c>
      <c r="AE111" s="22" t="s">
        <v>136</v>
      </c>
      <c r="AF111" s="22" t="s">
        <v>163</v>
      </c>
      <c r="AG111" s="22" t="s">
        <v>158</v>
      </c>
      <c r="AH111" s="22"/>
      <c r="AI111" s="22" t="s">
        <v>138</v>
      </c>
      <c r="AJ111" s="22" t="s">
        <v>164</v>
      </c>
      <c r="AK111" s="22" t="s">
        <v>140</v>
      </c>
      <c r="AL111" s="22" t="s">
        <v>165</v>
      </c>
      <c r="AM111" s="22" t="s">
        <v>166</v>
      </c>
      <c r="AN111" s="22" t="s">
        <v>143</v>
      </c>
      <c r="AO111" s="22" t="s">
        <v>144</v>
      </c>
      <c r="AP111" s="22" t="s">
        <v>112</v>
      </c>
    </row>
    <row r="112" spans="10:42" s="18" customFormat="1" ht="16.8" customHeight="1">
      <c r="J112" s="22">
        <v>104</v>
      </c>
      <c r="K112" s="22" t="s">
        <v>108</v>
      </c>
      <c r="L112" s="22" t="s">
        <v>109</v>
      </c>
      <c r="M112" s="22" t="s">
        <v>158</v>
      </c>
      <c r="N112" s="22" t="s">
        <v>889</v>
      </c>
      <c r="O112" s="22" t="s">
        <v>130</v>
      </c>
      <c r="P112" s="22" t="s">
        <v>112</v>
      </c>
      <c r="Q112" s="22">
        <v>5832</v>
      </c>
      <c r="R112" s="22"/>
      <c r="S112" s="22" t="s">
        <v>112</v>
      </c>
      <c r="T112" s="22" t="s">
        <v>131</v>
      </c>
      <c r="U112" s="22" t="s">
        <v>112</v>
      </c>
      <c r="V112" s="22" t="s">
        <v>132</v>
      </c>
      <c r="W112" s="22" t="s">
        <v>406</v>
      </c>
      <c r="X112" s="22" t="s">
        <v>407</v>
      </c>
      <c r="Y112" s="22" t="s">
        <v>24</v>
      </c>
      <c r="Z112" s="22" t="s">
        <v>890</v>
      </c>
      <c r="AA112" s="22" t="s">
        <v>24</v>
      </c>
      <c r="AB112" s="22" t="s">
        <v>890</v>
      </c>
      <c r="AC112" s="22" t="s">
        <v>891</v>
      </c>
      <c r="AD112" s="22" t="s">
        <v>120</v>
      </c>
      <c r="AE112" s="22" t="s">
        <v>136</v>
      </c>
      <c r="AF112" s="22" t="s">
        <v>892</v>
      </c>
      <c r="AG112" s="22" t="s">
        <v>158</v>
      </c>
      <c r="AH112" s="22"/>
      <c r="AI112" s="22" t="s">
        <v>411</v>
      </c>
      <c r="AJ112" s="22" t="s">
        <v>241</v>
      </c>
      <c r="AK112" s="22" t="s">
        <v>124</v>
      </c>
      <c r="AL112" s="22" t="s">
        <v>242</v>
      </c>
      <c r="AM112" s="22" t="s">
        <v>462</v>
      </c>
      <c r="AN112" s="22" t="s">
        <v>143</v>
      </c>
      <c r="AO112" s="22" t="s">
        <v>144</v>
      </c>
      <c r="AP112" s="22" t="s">
        <v>112</v>
      </c>
    </row>
    <row r="113" spans="10:42" s="18" customFormat="1" ht="16.8" customHeight="1">
      <c r="J113" s="22">
        <v>105</v>
      </c>
      <c r="K113" s="22" t="s">
        <v>108</v>
      </c>
      <c r="L113" s="22" t="s">
        <v>109</v>
      </c>
      <c r="M113" s="22" t="s">
        <v>158</v>
      </c>
      <c r="N113" s="22" t="s">
        <v>893</v>
      </c>
      <c r="O113" s="22" t="s">
        <v>130</v>
      </c>
      <c r="P113" s="22" t="s">
        <v>112</v>
      </c>
      <c r="Q113" s="22">
        <v>8000</v>
      </c>
      <c r="R113" s="22"/>
      <c r="S113" s="22" t="s">
        <v>304</v>
      </c>
      <c r="T113" s="22" t="s">
        <v>114</v>
      </c>
      <c r="U113" s="22" t="s">
        <v>112</v>
      </c>
      <c r="V113" s="22" t="s">
        <v>132</v>
      </c>
      <c r="W113" s="22" t="s">
        <v>116</v>
      </c>
      <c r="X113" s="22" t="s">
        <v>290</v>
      </c>
      <c r="Y113" s="22" t="s">
        <v>20</v>
      </c>
      <c r="Z113" s="22" t="s">
        <v>894</v>
      </c>
      <c r="AA113" s="22" t="s">
        <v>20</v>
      </c>
      <c r="AB113" s="22" t="s">
        <v>895</v>
      </c>
      <c r="AC113" s="22" t="s">
        <v>896</v>
      </c>
      <c r="AD113" s="22" t="s">
        <v>120</v>
      </c>
      <c r="AE113" s="22"/>
      <c r="AF113" s="22" t="s">
        <v>897</v>
      </c>
      <c r="AG113" s="22"/>
      <c r="AH113" s="22"/>
      <c r="AI113" s="22" t="s">
        <v>138</v>
      </c>
      <c r="AJ113" s="22" t="s">
        <v>898</v>
      </c>
      <c r="AK113" s="22" t="s">
        <v>124</v>
      </c>
      <c r="AL113" s="22" t="s">
        <v>899</v>
      </c>
      <c r="AM113" s="22" t="s">
        <v>900</v>
      </c>
      <c r="AN113" s="22" t="s">
        <v>143</v>
      </c>
      <c r="AO113" s="22" t="s">
        <v>404</v>
      </c>
      <c r="AP113" s="22" t="s">
        <v>112</v>
      </c>
    </row>
    <row r="114" spans="10:42" s="18" customFormat="1" ht="16.8" customHeight="1">
      <c r="J114" s="22">
        <v>106</v>
      </c>
      <c r="K114" s="22" t="s">
        <v>108</v>
      </c>
      <c r="L114" s="22" t="s">
        <v>109</v>
      </c>
      <c r="M114" s="22" t="s">
        <v>158</v>
      </c>
      <c r="N114" s="22" t="s">
        <v>901</v>
      </c>
      <c r="O114" s="22" t="s">
        <v>130</v>
      </c>
      <c r="P114" s="22" t="s">
        <v>112</v>
      </c>
      <c r="Q114" s="22">
        <v>19300</v>
      </c>
      <c r="R114" s="22"/>
      <c r="S114" s="22" t="s">
        <v>304</v>
      </c>
      <c r="T114" s="22" t="s">
        <v>114</v>
      </c>
      <c r="U114" s="22" t="s">
        <v>112</v>
      </c>
      <c r="V114" s="22" t="s">
        <v>132</v>
      </c>
      <c r="W114" s="22" t="s">
        <v>116</v>
      </c>
      <c r="X114" s="22" t="s">
        <v>290</v>
      </c>
      <c r="Y114" s="22" t="s">
        <v>22</v>
      </c>
      <c r="Z114" s="22" t="s">
        <v>902</v>
      </c>
      <c r="AA114" s="22" t="s">
        <v>22</v>
      </c>
      <c r="AB114" s="22" t="s">
        <v>902</v>
      </c>
      <c r="AC114" s="22" t="s">
        <v>903</v>
      </c>
      <c r="AD114" s="22" t="s">
        <v>120</v>
      </c>
      <c r="AE114" s="22" t="s">
        <v>399</v>
      </c>
      <c r="AF114" s="22" t="s">
        <v>904</v>
      </c>
      <c r="AG114" s="22" t="s">
        <v>158</v>
      </c>
      <c r="AH114" s="22"/>
      <c r="AI114" s="22" t="s">
        <v>205</v>
      </c>
      <c r="AJ114" s="22" t="s">
        <v>905</v>
      </c>
      <c r="AK114" s="22" t="s">
        <v>124</v>
      </c>
      <c r="AL114" s="22" t="s">
        <v>418</v>
      </c>
      <c r="AM114" s="22" t="s">
        <v>125</v>
      </c>
      <c r="AN114" s="22" t="s">
        <v>143</v>
      </c>
      <c r="AO114" s="22" t="s">
        <v>209</v>
      </c>
      <c r="AP114" s="22" t="s">
        <v>112</v>
      </c>
    </row>
    <row r="115" spans="10:42" s="18" customFormat="1" ht="16.8" customHeight="1">
      <c r="J115" s="22">
        <v>107</v>
      </c>
      <c r="K115" s="22" t="s">
        <v>108</v>
      </c>
      <c r="L115" s="22" t="s">
        <v>109</v>
      </c>
      <c r="M115" s="22" t="s">
        <v>158</v>
      </c>
      <c r="N115" s="22" t="s">
        <v>906</v>
      </c>
      <c r="O115" s="22" t="s">
        <v>130</v>
      </c>
      <c r="P115" s="22" t="s">
        <v>112</v>
      </c>
      <c r="Q115" s="22">
        <v>9000</v>
      </c>
      <c r="R115" s="22"/>
      <c r="S115" s="22" t="s">
        <v>112</v>
      </c>
      <c r="T115" s="22" t="s">
        <v>131</v>
      </c>
      <c r="U115" s="22" t="s">
        <v>112</v>
      </c>
      <c r="V115" s="22" t="s">
        <v>132</v>
      </c>
      <c r="W115" s="22" t="s">
        <v>273</v>
      </c>
      <c r="X115" s="22" t="s">
        <v>353</v>
      </c>
      <c r="Y115" s="22" t="s">
        <v>12</v>
      </c>
      <c r="Z115" s="22" t="s">
        <v>907</v>
      </c>
      <c r="AA115" s="22" t="s">
        <v>12</v>
      </c>
      <c r="AB115" s="22" t="s">
        <v>908</v>
      </c>
      <c r="AC115" s="22" t="s">
        <v>909</v>
      </c>
      <c r="AD115" s="22" t="s">
        <v>120</v>
      </c>
      <c r="AE115" s="22"/>
      <c r="AF115" s="22" t="s">
        <v>910</v>
      </c>
      <c r="AG115" s="22"/>
      <c r="AH115" s="22"/>
      <c r="AI115" s="22" t="s">
        <v>182</v>
      </c>
      <c r="AJ115" s="22" t="s">
        <v>790</v>
      </c>
      <c r="AK115" s="22" t="s">
        <v>140</v>
      </c>
      <c r="AL115" s="22" t="s">
        <v>367</v>
      </c>
      <c r="AM115" s="22" t="s">
        <v>424</v>
      </c>
      <c r="AN115" s="22" t="s">
        <v>143</v>
      </c>
      <c r="AO115" s="22" t="s">
        <v>182</v>
      </c>
      <c r="AP115" s="22" t="s">
        <v>186</v>
      </c>
    </row>
    <row r="116" spans="10:42" s="18" customFormat="1" ht="16.8" customHeight="1">
      <c r="J116" s="22">
        <v>108</v>
      </c>
      <c r="K116" s="22" t="s">
        <v>108</v>
      </c>
      <c r="L116" s="22" t="s">
        <v>109</v>
      </c>
      <c r="M116" s="22" t="s">
        <v>158</v>
      </c>
      <c r="N116" s="22" t="s">
        <v>167</v>
      </c>
      <c r="O116" s="22" t="s">
        <v>130</v>
      </c>
      <c r="P116" s="22" t="s">
        <v>112</v>
      </c>
      <c r="Q116" s="22">
        <v>19620</v>
      </c>
      <c r="R116" s="22"/>
      <c r="S116" s="22" t="s">
        <v>22</v>
      </c>
      <c r="T116" s="22" t="s">
        <v>131</v>
      </c>
      <c r="U116" s="22" t="s">
        <v>112</v>
      </c>
      <c r="V116" s="22" t="s">
        <v>132</v>
      </c>
      <c r="W116" s="22" t="s">
        <v>116</v>
      </c>
      <c r="X116" s="22" t="s">
        <v>117</v>
      </c>
      <c r="Y116" s="22" t="s">
        <v>22</v>
      </c>
      <c r="Z116" s="22" t="s">
        <v>168</v>
      </c>
      <c r="AA116" s="22" t="s">
        <v>22</v>
      </c>
      <c r="AB116" s="22" t="s">
        <v>168</v>
      </c>
      <c r="AC116" s="22" t="s">
        <v>169</v>
      </c>
      <c r="AD116" s="22" t="s">
        <v>120</v>
      </c>
      <c r="AE116" s="22" t="s">
        <v>170</v>
      </c>
      <c r="AF116" s="22" t="s">
        <v>171</v>
      </c>
      <c r="AG116" s="22" t="s">
        <v>158</v>
      </c>
      <c r="AH116" s="22"/>
      <c r="AI116" s="22" t="s">
        <v>138</v>
      </c>
      <c r="AJ116" s="22" t="s">
        <v>172</v>
      </c>
      <c r="AK116" s="22" t="s">
        <v>140</v>
      </c>
      <c r="AL116" s="22" t="s">
        <v>173</v>
      </c>
      <c r="AM116" s="22" t="s">
        <v>174</v>
      </c>
      <c r="AN116" s="22" t="s">
        <v>143</v>
      </c>
      <c r="AO116" s="22" t="s">
        <v>144</v>
      </c>
      <c r="AP116" s="22" t="s">
        <v>112</v>
      </c>
    </row>
    <row r="117" spans="10:42" s="18" customFormat="1" ht="16.8" customHeight="1">
      <c r="J117" s="22">
        <v>109</v>
      </c>
      <c r="K117" s="22" t="s">
        <v>108</v>
      </c>
      <c r="L117" s="22" t="s">
        <v>109</v>
      </c>
      <c r="M117" s="22" t="s">
        <v>911</v>
      </c>
      <c r="N117" s="22" t="s">
        <v>912</v>
      </c>
      <c r="O117" s="22" t="s">
        <v>130</v>
      </c>
      <c r="P117" s="22" t="s">
        <v>112</v>
      </c>
      <c r="Q117" s="22">
        <v>5832</v>
      </c>
      <c r="R117" s="22"/>
      <c r="S117" s="22" t="s">
        <v>112</v>
      </c>
      <c r="T117" s="22" t="s">
        <v>131</v>
      </c>
      <c r="U117" s="22" t="s">
        <v>112</v>
      </c>
      <c r="V117" s="22" t="s">
        <v>132</v>
      </c>
      <c r="W117" s="22" t="s">
        <v>235</v>
      </c>
      <c r="X117" s="22" t="s">
        <v>236</v>
      </c>
      <c r="Y117" s="22" t="s">
        <v>22</v>
      </c>
      <c r="Z117" s="22" t="s">
        <v>913</v>
      </c>
      <c r="AA117" s="22" t="s">
        <v>22</v>
      </c>
      <c r="AB117" s="22" t="s">
        <v>913</v>
      </c>
      <c r="AC117" s="22" t="s">
        <v>914</v>
      </c>
      <c r="AD117" s="22" t="s">
        <v>120</v>
      </c>
      <c r="AE117" s="22" t="s">
        <v>385</v>
      </c>
      <c r="AF117" s="22" t="s">
        <v>915</v>
      </c>
      <c r="AG117" s="22" t="s">
        <v>911</v>
      </c>
      <c r="AH117" s="22"/>
      <c r="AI117" s="22" t="s">
        <v>205</v>
      </c>
      <c r="AJ117" s="22" t="s">
        <v>916</v>
      </c>
      <c r="AK117" s="22" t="s">
        <v>140</v>
      </c>
      <c r="AL117" s="22" t="s">
        <v>165</v>
      </c>
      <c r="AM117" s="22" t="s">
        <v>166</v>
      </c>
      <c r="AN117" s="22" t="s">
        <v>143</v>
      </c>
      <c r="AO117" s="22" t="s">
        <v>209</v>
      </c>
      <c r="AP117" s="22" t="s">
        <v>112</v>
      </c>
    </row>
    <row r="118" spans="10:42" s="18" customFormat="1" ht="16.8" customHeight="1">
      <c r="J118" s="22">
        <v>110</v>
      </c>
      <c r="K118" s="22" t="s">
        <v>108</v>
      </c>
      <c r="L118" s="22" t="s">
        <v>109</v>
      </c>
      <c r="M118" s="22" t="s">
        <v>911</v>
      </c>
      <c r="N118" s="22" t="s">
        <v>917</v>
      </c>
      <c r="O118" s="22" t="s">
        <v>130</v>
      </c>
      <c r="P118" s="22" t="s">
        <v>112</v>
      </c>
      <c r="Q118" s="22">
        <v>5382</v>
      </c>
      <c r="R118" s="22"/>
      <c r="S118" s="22" t="s">
        <v>918</v>
      </c>
      <c r="T118" s="22" t="s">
        <v>131</v>
      </c>
      <c r="U118" s="22" t="s">
        <v>112</v>
      </c>
      <c r="V118" s="22" t="s">
        <v>132</v>
      </c>
      <c r="W118" s="22" t="s">
        <v>116</v>
      </c>
      <c r="X118" s="22" t="s">
        <v>377</v>
      </c>
      <c r="Y118" s="22" t="s">
        <v>12</v>
      </c>
      <c r="Z118" s="22" t="s">
        <v>919</v>
      </c>
      <c r="AA118" s="22" t="s">
        <v>12</v>
      </c>
      <c r="AB118" s="22" t="s">
        <v>920</v>
      </c>
      <c r="AC118" s="22" t="s">
        <v>921</v>
      </c>
      <c r="AD118" s="22" t="s">
        <v>120</v>
      </c>
      <c r="AE118" s="22" t="s">
        <v>399</v>
      </c>
      <c r="AF118" s="22" t="s">
        <v>922</v>
      </c>
      <c r="AG118" s="22" t="s">
        <v>911</v>
      </c>
      <c r="AH118" s="22"/>
      <c r="AI118" s="22" t="s">
        <v>138</v>
      </c>
      <c r="AJ118" s="22" t="s">
        <v>923</v>
      </c>
      <c r="AK118" s="22" t="s">
        <v>286</v>
      </c>
      <c r="AL118" s="22" t="s">
        <v>924</v>
      </c>
      <c r="AM118" s="22" t="s">
        <v>925</v>
      </c>
      <c r="AN118" s="22" t="s">
        <v>157</v>
      </c>
      <c r="AO118" s="22" t="s">
        <v>144</v>
      </c>
      <c r="AP118" s="22" t="s">
        <v>112</v>
      </c>
    </row>
    <row r="119" spans="10:42" s="18" customFormat="1" ht="16.8" customHeight="1">
      <c r="J119" s="22">
        <v>111</v>
      </c>
      <c r="K119" s="22" t="s">
        <v>108</v>
      </c>
      <c r="L119" s="22" t="s">
        <v>109</v>
      </c>
      <c r="M119" s="22" t="s">
        <v>911</v>
      </c>
      <c r="N119" s="22" t="s">
        <v>926</v>
      </c>
      <c r="O119" s="22" t="s">
        <v>130</v>
      </c>
      <c r="P119" s="22" t="s">
        <v>112</v>
      </c>
      <c r="Q119" s="22">
        <v>18800</v>
      </c>
      <c r="R119" s="22" t="s">
        <v>147</v>
      </c>
      <c r="S119" s="22" t="s">
        <v>112</v>
      </c>
      <c r="T119" s="22" t="s">
        <v>114</v>
      </c>
      <c r="U119" s="22" t="s">
        <v>112</v>
      </c>
      <c r="V119" s="22" t="s">
        <v>132</v>
      </c>
      <c r="W119" s="22" t="s">
        <v>235</v>
      </c>
      <c r="X119" s="22" t="s">
        <v>255</v>
      </c>
      <c r="Y119" s="22" t="s">
        <v>22</v>
      </c>
      <c r="Z119" s="22" t="s">
        <v>927</v>
      </c>
      <c r="AA119" s="22" t="s">
        <v>22</v>
      </c>
      <c r="AB119" s="22" t="s">
        <v>928</v>
      </c>
      <c r="AC119" s="22" t="s">
        <v>929</v>
      </c>
      <c r="AD119" s="22" t="s">
        <v>120</v>
      </c>
      <c r="AE119" s="22" t="s">
        <v>152</v>
      </c>
      <c r="AF119" s="22" t="s">
        <v>930</v>
      </c>
      <c r="AG119" s="22" t="s">
        <v>911</v>
      </c>
      <c r="AH119" s="22"/>
      <c r="AI119" s="22" t="s">
        <v>138</v>
      </c>
      <c r="AJ119" s="22" t="s">
        <v>931</v>
      </c>
      <c r="AK119" s="22" t="s">
        <v>140</v>
      </c>
      <c r="AL119" s="22" t="s">
        <v>932</v>
      </c>
      <c r="AM119" s="22" t="s">
        <v>933</v>
      </c>
      <c r="AN119" s="22" t="s">
        <v>143</v>
      </c>
      <c r="AO119" s="22" t="s">
        <v>144</v>
      </c>
      <c r="AP119" s="22" t="s">
        <v>112</v>
      </c>
    </row>
    <row r="120" spans="10:42" s="18" customFormat="1" ht="16.8" customHeight="1">
      <c r="J120" s="22">
        <v>112</v>
      </c>
      <c r="K120" s="22" t="s">
        <v>108</v>
      </c>
      <c r="L120" s="22" t="s">
        <v>109</v>
      </c>
      <c r="M120" s="22" t="s">
        <v>911</v>
      </c>
      <c r="N120" s="22" t="s">
        <v>590</v>
      </c>
      <c r="O120" s="22" t="s">
        <v>130</v>
      </c>
      <c r="P120" s="22" t="s">
        <v>112</v>
      </c>
      <c r="Q120" s="22">
        <v>19300</v>
      </c>
      <c r="R120" s="22" t="s">
        <v>147</v>
      </c>
      <c r="S120" s="22" t="s">
        <v>112</v>
      </c>
      <c r="T120" s="22" t="s">
        <v>114</v>
      </c>
      <c r="U120" s="22" t="s">
        <v>112</v>
      </c>
      <c r="V120" s="22" t="s">
        <v>132</v>
      </c>
      <c r="W120" s="22" t="s">
        <v>235</v>
      </c>
      <c r="X120" s="22" t="s">
        <v>236</v>
      </c>
      <c r="Y120" s="22" t="s">
        <v>20</v>
      </c>
      <c r="Z120" s="22" t="s">
        <v>934</v>
      </c>
      <c r="AA120" s="22" t="s">
        <v>20</v>
      </c>
      <c r="AB120" s="22" t="s">
        <v>935</v>
      </c>
      <c r="AC120" s="22" t="s">
        <v>936</v>
      </c>
      <c r="AD120" s="22" t="s">
        <v>120</v>
      </c>
      <c r="AE120" s="22" t="s">
        <v>152</v>
      </c>
      <c r="AF120" s="22" t="s">
        <v>593</v>
      </c>
      <c r="AG120" s="22" t="s">
        <v>911</v>
      </c>
      <c r="AH120" s="22"/>
      <c r="AI120" s="22" t="s">
        <v>138</v>
      </c>
      <c r="AJ120" s="22" t="s">
        <v>195</v>
      </c>
      <c r="AK120" s="22" t="s">
        <v>286</v>
      </c>
      <c r="AL120" s="22" t="s">
        <v>594</v>
      </c>
      <c r="AM120" s="22" t="s">
        <v>595</v>
      </c>
      <c r="AN120" s="22" t="s">
        <v>143</v>
      </c>
      <c r="AO120" s="22" t="s">
        <v>144</v>
      </c>
      <c r="AP120" s="22" t="s">
        <v>112</v>
      </c>
    </row>
    <row r="121" spans="10:42" s="18" customFormat="1" ht="16.8" customHeight="1">
      <c r="J121" s="22">
        <v>113</v>
      </c>
      <c r="K121" s="22" t="s">
        <v>108</v>
      </c>
      <c r="L121" s="22" t="s">
        <v>109</v>
      </c>
      <c r="M121" s="22" t="s">
        <v>911</v>
      </c>
      <c r="N121" s="22" t="s">
        <v>937</v>
      </c>
      <c r="O121" s="22" t="s">
        <v>130</v>
      </c>
      <c r="P121" s="22" t="s">
        <v>112</v>
      </c>
      <c r="Q121" s="22">
        <v>19300</v>
      </c>
      <c r="R121" s="22" t="s">
        <v>147</v>
      </c>
      <c r="S121" s="22" t="s">
        <v>112</v>
      </c>
      <c r="T121" s="22" t="s">
        <v>114</v>
      </c>
      <c r="U121" s="22" t="s">
        <v>112</v>
      </c>
      <c r="V121" s="22" t="s">
        <v>132</v>
      </c>
      <c r="W121" s="22" t="s">
        <v>273</v>
      </c>
      <c r="X121" s="22" t="s">
        <v>353</v>
      </c>
      <c r="Y121" s="22" t="s">
        <v>12</v>
      </c>
      <c r="Z121" s="22" t="s">
        <v>938</v>
      </c>
      <c r="AA121" s="22" t="s">
        <v>12</v>
      </c>
      <c r="AB121" s="22" t="s">
        <v>938</v>
      </c>
      <c r="AC121" s="22" t="s">
        <v>939</v>
      </c>
      <c r="AD121" s="22" t="s">
        <v>120</v>
      </c>
      <c r="AE121" s="22" t="s">
        <v>152</v>
      </c>
      <c r="AF121" s="22" t="s">
        <v>940</v>
      </c>
      <c r="AG121" s="22" t="s">
        <v>911</v>
      </c>
      <c r="AH121" s="22"/>
      <c r="AI121" s="22" t="s">
        <v>138</v>
      </c>
      <c r="AJ121" s="22" t="s">
        <v>941</v>
      </c>
      <c r="AK121" s="22" t="s">
        <v>140</v>
      </c>
      <c r="AL121" s="22" t="s">
        <v>402</v>
      </c>
      <c r="AM121" s="22" t="s">
        <v>942</v>
      </c>
      <c r="AN121" s="22" t="s">
        <v>143</v>
      </c>
      <c r="AO121" s="22" t="s">
        <v>144</v>
      </c>
      <c r="AP121" s="22" t="s">
        <v>112</v>
      </c>
    </row>
    <row r="122" spans="10:42" s="18" customFormat="1" ht="16.8" customHeight="1">
      <c r="J122" s="22">
        <v>114</v>
      </c>
      <c r="K122" s="22" t="s">
        <v>108</v>
      </c>
      <c r="L122" s="22" t="s">
        <v>109</v>
      </c>
      <c r="M122" s="22" t="s">
        <v>911</v>
      </c>
      <c r="N122" s="22" t="s">
        <v>943</v>
      </c>
      <c r="O122" s="22" t="s">
        <v>130</v>
      </c>
      <c r="P122" s="22" t="s">
        <v>112</v>
      </c>
      <c r="Q122" s="22">
        <v>19300</v>
      </c>
      <c r="R122" s="22"/>
      <c r="S122" s="22" t="s">
        <v>944</v>
      </c>
      <c r="T122" s="22" t="s">
        <v>131</v>
      </c>
      <c r="U122" s="22" t="s">
        <v>112</v>
      </c>
      <c r="V122" s="22" t="s">
        <v>132</v>
      </c>
      <c r="W122" s="22" t="s">
        <v>116</v>
      </c>
      <c r="X122" s="22" t="s">
        <v>377</v>
      </c>
      <c r="Y122" s="22" t="s">
        <v>24</v>
      </c>
      <c r="Z122" s="22" t="s">
        <v>945</v>
      </c>
      <c r="AA122" s="22" t="s">
        <v>24</v>
      </c>
      <c r="AB122" s="22" t="s">
        <v>945</v>
      </c>
      <c r="AC122" s="22" t="s">
        <v>946</v>
      </c>
      <c r="AD122" s="22" t="s">
        <v>120</v>
      </c>
      <c r="AE122" s="22" t="s">
        <v>136</v>
      </c>
      <c r="AF122" s="22" t="s">
        <v>947</v>
      </c>
      <c r="AG122" s="22" t="s">
        <v>911</v>
      </c>
      <c r="AH122" s="22"/>
      <c r="AI122" s="22" t="s">
        <v>205</v>
      </c>
      <c r="AJ122" s="22" t="s">
        <v>372</v>
      </c>
      <c r="AK122" s="22" t="s">
        <v>140</v>
      </c>
      <c r="AL122" s="22" t="s">
        <v>948</v>
      </c>
      <c r="AM122" s="22" t="s">
        <v>448</v>
      </c>
      <c r="AN122" s="22" t="s">
        <v>157</v>
      </c>
      <c r="AO122" s="22" t="s">
        <v>209</v>
      </c>
      <c r="AP122" s="22" t="s">
        <v>112</v>
      </c>
    </row>
    <row r="123" spans="10:42" s="18" customFormat="1" ht="16.8" customHeight="1">
      <c r="J123" s="22">
        <v>115</v>
      </c>
      <c r="K123" s="22" t="s">
        <v>108</v>
      </c>
      <c r="L123" s="22" t="s">
        <v>109</v>
      </c>
      <c r="M123" s="22" t="s">
        <v>911</v>
      </c>
      <c r="N123" s="22" t="s">
        <v>949</v>
      </c>
      <c r="O123" s="22" t="s">
        <v>130</v>
      </c>
      <c r="P123" s="22" t="s">
        <v>112</v>
      </c>
      <c r="Q123" s="22">
        <v>28200</v>
      </c>
      <c r="R123" s="22"/>
      <c r="S123" s="22" t="s">
        <v>304</v>
      </c>
      <c r="T123" s="22" t="s">
        <v>114</v>
      </c>
      <c r="U123" s="22" t="s">
        <v>112</v>
      </c>
      <c r="V123" s="22" t="s">
        <v>132</v>
      </c>
      <c r="W123" s="22" t="s">
        <v>116</v>
      </c>
      <c r="X123" s="22" t="s">
        <v>290</v>
      </c>
      <c r="Y123" s="22" t="s">
        <v>12</v>
      </c>
      <c r="Z123" s="22" t="s">
        <v>950</v>
      </c>
      <c r="AA123" s="22" t="s">
        <v>12</v>
      </c>
      <c r="AB123" s="22" t="s">
        <v>951</v>
      </c>
      <c r="AC123" s="22" t="s">
        <v>952</v>
      </c>
      <c r="AD123" s="22" t="s">
        <v>120</v>
      </c>
      <c r="AE123" s="22"/>
      <c r="AF123" s="22" t="s">
        <v>953</v>
      </c>
      <c r="AG123" s="22"/>
      <c r="AH123" s="22"/>
      <c r="AI123" s="22" t="s">
        <v>122</v>
      </c>
      <c r="AJ123" s="22" t="s">
        <v>620</v>
      </c>
      <c r="AK123" s="22" t="s">
        <v>286</v>
      </c>
      <c r="AL123" s="22" t="s">
        <v>954</v>
      </c>
      <c r="AM123" s="22" t="s">
        <v>955</v>
      </c>
      <c r="AN123" s="22" t="s">
        <v>287</v>
      </c>
      <c r="AO123" s="22" t="s">
        <v>127</v>
      </c>
      <c r="AP123" s="22" t="s">
        <v>128</v>
      </c>
    </row>
    <row r="124" spans="10:42" s="18" customFormat="1" ht="16.8" customHeight="1">
      <c r="J124" s="22">
        <v>116</v>
      </c>
      <c r="K124" s="22" t="s">
        <v>108</v>
      </c>
      <c r="L124" s="22" t="s">
        <v>109</v>
      </c>
      <c r="M124" s="22" t="s">
        <v>911</v>
      </c>
      <c r="N124" s="22" t="s">
        <v>590</v>
      </c>
      <c r="O124" s="22" t="s">
        <v>130</v>
      </c>
      <c r="P124" s="22" t="s">
        <v>112</v>
      </c>
      <c r="Q124" s="22">
        <v>19300</v>
      </c>
      <c r="R124" s="22"/>
      <c r="S124" s="22" t="s">
        <v>112</v>
      </c>
      <c r="T124" s="22" t="s">
        <v>131</v>
      </c>
      <c r="U124" s="22" t="s">
        <v>112</v>
      </c>
      <c r="V124" s="22" t="s">
        <v>132</v>
      </c>
      <c r="W124" s="22" t="s">
        <v>235</v>
      </c>
      <c r="X124" s="22" t="s">
        <v>236</v>
      </c>
      <c r="Y124" s="22" t="s">
        <v>20</v>
      </c>
      <c r="Z124" s="22" t="s">
        <v>956</v>
      </c>
      <c r="AA124" s="22" t="s">
        <v>20</v>
      </c>
      <c r="AB124" s="22" t="s">
        <v>956</v>
      </c>
      <c r="AC124" s="22" t="s">
        <v>957</v>
      </c>
      <c r="AD124" s="22" t="s">
        <v>120</v>
      </c>
      <c r="AE124" s="22" t="s">
        <v>136</v>
      </c>
      <c r="AF124" s="22" t="s">
        <v>593</v>
      </c>
      <c r="AG124" s="22" t="s">
        <v>911</v>
      </c>
      <c r="AH124" s="22"/>
      <c r="AI124" s="22" t="s">
        <v>138</v>
      </c>
      <c r="AJ124" s="22" t="s">
        <v>195</v>
      </c>
      <c r="AK124" s="22" t="s">
        <v>286</v>
      </c>
      <c r="AL124" s="22" t="s">
        <v>594</v>
      </c>
      <c r="AM124" s="22" t="s">
        <v>595</v>
      </c>
      <c r="AN124" s="22" t="s">
        <v>143</v>
      </c>
      <c r="AO124" s="22" t="s">
        <v>144</v>
      </c>
      <c r="AP124" s="22" t="s">
        <v>112</v>
      </c>
    </row>
    <row r="125" spans="10:42" s="18" customFormat="1" ht="16.8" customHeight="1">
      <c r="J125" s="22">
        <v>117</v>
      </c>
      <c r="K125" s="22" t="s">
        <v>108</v>
      </c>
      <c r="L125" s="22" t="s">
        <v>109</v>
      </c>
      <c r="M125" s="22" t="s">
        <v>911</v>
      </c>
      <c r="N125" s="22" t="s">
        <v>958</v>
      </c>
      <c r="O125" s="22" t="s">
        <v>130</v>
      </c>
      <c r="P125" s="22" t="s">
        <v>112</v>
      </c>
      <c r="Q125" s="22">
        <v>5832</v>
      </c>
      <c r="R125" s="22"/>
      <c r="S125" s="22" t="s">
        <v>959</v>
      </c>
      <c r="T125" s="22" t="s">
        <v>131</v>
      </c>
      <c r="U125" s="22" t="s">
        <v>112</v>
      </c>
      <c r="V125" s="22" t="s">
        <v>132</v>
      </c>
      <c r="W125" s="22" t="s">
        <v>116</v>
      </c>
      <c r="X125" s="22" t="s">
        <v>377</v>
      </c>
      <c r="Y125" s="22" t="s">
        <v>12</v>
      </c>
      <c r="Z125" s="22" t="s">
        <v>960</v>
      </c>
      <c r="AA125" s="22" t="s">
        <v>12</v>
      </c>
      <c r="AB125" s="22" t="s">
        <v>961</v>
      </c>
      <c r="AC125" s="22" t="s">
        <v>962</v>
      </c>
      <c r="AD125" s="22" t="s">
        <v>120</v>
      </c>
      <c r="AE125" s="22" t="s">
        <v>152</v>
      </c>
      <c r="AF125" s="22" t="s">
        <v>963</v>
      </c>
      <c r="AG125" s="22" t="s">
        <v>911</v>
      </c>
      <c r="AH125" s="22"/>
      <c r="AI125" s="22" t="s">
        <v>138</v>
      </c>
      <c r="AJ125" s="22" t="s">
        <v>964</v>
      </c>
      <c r="AK125" s="22" t="s">
        <v>140</v>
      </c>
      <c r="AL125" s="22" t="s">
        <v>155</v>
      </c>
      <c r="AM125" s="22" t="s">
        <v>965</v>
      </c>
      <c r="AN125" s="22" t="s">
        <v>157</v>
      </c>
      <c r="AO125" s="22" t="s">
        <v>144</v>
      </c>
      <c r="AP125" s="22" t="s">
        <v>112</v>
      </c>
    </row>
    <row r="126" spans="10:42" s="18" customFormat="1" ht="16.8" customHeight="1">
      <c r="J126" s="22">
        <v>118</v>
      </c>
      <c r="K126" s="22" t="s">
        <v>108</v>
      </c>
      <c r="L126" s="22" t="s">
        <v>109</v>
      </c>
      <c r="M126" s="22" t="s">
        <v>175</v>
      </c>
      <c r="N126" s="22" t="s">
        <v>966</v>
      </c>
      <c r="O126" s="22" t="s">
        <v>130</v>
      </c>
      <c r="P126" s="22" t="s">
        <v>112</v>
      </c>
      <c r="Q126" s="22">
        <v>19300</v>
      </c>
      <c r="R126" s="22" t="s">
        <v>499</v>
      </c>
      <c r="S126" s="22" t="s">
        <v>583</v>
      </c>
      <c r="T126" s="22" t="s">
        <v>114</v>
      </c>
      <c r="U126" s="22" t="s">
        <v>112</v>
      </c>
      <c r="V126" s="22" t="s">
        <v>132</v>
      </c>
      <c r="W126" s="22" t="s">
        <v>116</v>
      </c>
      <c r="X126" s="22" t="s">
        <v>290</v>
      </c>
      <c r="Y126" s="22" t="s">
        <v>22</v>
      </c>
      <c r="Z126" s="22" t="s">
        <v>967</v>
      </c>
      <c r="AA126" s="22" t="s">
        <v>22</v>
      </c>
      <c r="AB126" s="22" t="s">
        <v>968</v>
      </c>
      <c r="AC126" s="22" t="s">
        <v>969</v>
      </c>
      <c r="AD126" s="22" t="s">
        <v>120</v>
      </c>
      <c r="AE126" s="22" t="s">
        <v>385</v>
      </c>
      <c r="AF126" s="22" t="s">
        <v>970</v>
      </c>
      <c r="AG126" s="22" t="s">
        <v>175</v>
      </c>
      <c r="AH126" s="22"/>
      <c r="AI126" s="22" t="s">
        <v>205</v>
      </c>
      <c r="AJ126" s="22" t="s">
        <v>811</v>
      </c>
      <c r="AK126" s="22" t="s">
        <v>140</v>
      </c>
      <c r="AL126" s="22" t="s">
        <v>594</v>
      </c>
      <c r="AM126" s="22" t="s">
        <v>971</v>
      </c>
      <c r="AN126" s="22" t="s">
        <v>143</v>
      </c>
      <c r="AO126" s="22" t="s">
        <v>209</v>
      </c>
      <c r="AP126" s="22" t="s">
        <v>112</v>
      </c>
    </row>
    <row r="127" spans="10:42" s="18" customFormat="1" ht="16.8" customHeight="1">
      <c r="J127" s="22">
        <v>120</v>
      </c>
      <c r="K127" s="22" t="s">
        <v>108</v>
      </c>
      <c r="L127" s="22" t="s">
        <v>109</v>
      </c>
      <c r="M127" s="22" t="s">
        <v>175</v>
      </c>
      <c r="N127" s="22" t="s">
        <v>972</v>
      </c>
      <c r="O127" s="22" t="s">
        <v>130</v>
      </c>
      <c r="P127" s="22" t="s">
        <v>112</v>
      </c>
      <c r="Q127" s="22">
        <v>5382</v>
      </c>
      <c r="R127" s="22" t="s">
        <v>499</v>
      </c>
      <c r="S127" s="22" t="s">
        <v>583</v>
      </c>
      <c r="T127" s="22" t="s">
        <v>114</v>
      </c>
      <c r="U127" s="22" t="s">
        <v>112</v>
      </c>
      <c r="V127" s="22" t="s">
        <v>132</v>
      </c>
      <c r="W127" s="22" t="s">
        <v>116</v>
      </c>
      <c r="X127" s="22" t="s">
        <v>290</v>
      </c>
      <c r="Y127" s="22" t="s">
        <v>22</v>
      </c>
      <c r="Z127" s="22" t="s">
        <v>973</v>
      </c>
      <c r="AA127" s="22" t="s">
        <v>22</v>
      </c>
      <c r="AB127" s="22" t="s">
        <v>973</v>
      </c>
      <c r="AC127" s="22" t="s">
        <v>974</v>
      </c>
      <c r="AD127" s="22" t="s">
        <v>120</v>
      </c>
      <c r="AE127" s="22" t="s">
        <v>152</v>
      </c>
      <c r="AF127" s="22" t="s">
        <v>975</v>
      </c>
      <c r="AG127" s="22" t="s">
        <v>175</v>
      </c>
      <c r="AH127" s="22"/>
      <c r="AI127" s="22" t="s">
        <v>205</v>
      </c>
      <c r="AJ127" s="22" t="s">
        <v>976</v>
      </c>
      <c r="AK127" s="22" t="s">
        <v>140</v>
      </c>
      <c r="AL127" s="22" t="s">
        <v>155</v>
      </c>
      <c r="AM127" s="22" t="s">
        <v>965</v>
      </c>
      <c r="AN127" s="22" t="s">
        <v>143</v>
      </c>
      <c r="AO127" s="22" t="s">
        <v>209</v>
      </c>
      <c r="AP127" s="22" t="s">
        <v>112</v>
      </c>
    </row>
    <row r="128" spans="10:42" s="18" customFormat="1" ht="16.8" customHeight="1">
      <c r="J128" s="22">
        <v>121</v>
      </c>
      <c r="K128" s="22" t="s">
        <v>108</v>
      </c>
      <c r="L128" s="22" t="s">
        <v>109</v>
      </c>
      <c r="M128" s="22" t="s">
        <v>175</v>
      </c>
      <c r="N128" s="22" t="s">
        <v>977</v>
      </c>
      <c r="O128" s="22" t="s">
        <v>130</v>
      </c>
      <c r="P128" s="22" t="s">
        <v>112</v>
      </c>
      <c r="Q128" s="22">
        <v>19620</v>
      </c>
      <c r="R128" s="22"/>
      <c r="S128" s="22" t="s">
        <v>112</v>
      </c>
      <c r="T128" s="22" t="s">
        <v>131</v>
      </c>
      <c r="U128" s="22" t="s">
        <v>112</v>
      </c>
      <c r="V128" s="22" t="s">
        <v>132</v>
      </c>
      <c r="W128" s="22" t="s">
        <v>978</v>
      </c>
      <c r="X128" s="22" t="s">
        <v>978</v>
      </c>
      <c r="Y128" s="22" t="s">
        <v>21</v>
      </c>
      <c r="Z128" s="22" t="s">
        <v>979</v>
      </c>
      <c r="AA128" s="22" t="s">
        <v>21</v>
      </c>
      <c r="AB128" s="22" t="s">
        <v>979</v>
      </c>
      <c r="AC128" s="22" t="s">
        <v>980</v>
      </c>
      <c r="AD128" s="22" t="s">
        <v>135</v>
      </c>
      <c r="AE128" s="22" t="s">
        <v>170</v>
      </c>
      <c r="AF128" s="22" t="s">
        <v>981</v>
      </c>
      <c r="AG128" s="22" t="s">
        <v>175</v>
      </c>
      <c r="AH128" s="22"/>
      <c r="AI128" s="22" t="s">
        <v>128</v>
      </c>
      <c r="AJ128" s="22" t="s">
        <v>620</v>
      </c>
      <c r="AK128" s="22" t="s">
        <v>140</v>
      </c>
      <c r="AL128" s="22" t="s">
        <v>165</v>
      </c>
      <c r="AM128" s="22" t="s">
        <v>982</v>
      </c>
      <c r="AN128" s="22"/>
      <c r="AO128" s="22" t="s">
        <v>112</v>
      </c>
      <c r="AP128" s="22" t="s">
        <v>112</v>
      </c>
    </row>
    <row r="129" spans="10:42" s="18" customFormat="1" ht="16.8" customHeight="1">
      <c r="J129" s="22">
        <v>122</v>
      </c>
      <c r="K129" s="22" t="s">
        <v>108</v>
      </c>
      <c r="L129" s="22" t="s">
        <v>109</v>
      </c>
      <c r="M129" s="22" t="s">
        <v>175</v>
      </c>
      <c r="N129" s="22" t="s">
        <v>176</v>
      </c>
      <c r="O129" s="22" t="s">
        <v>130</v>
      </c>
      <c r="P129" s="22" t="s">
        <v>112</v>
      </c>
      <c r="Q129" s="22">
        <v>12000</v>
      </c>
      <c r="R129" s="22"/>
      <c r="S129" s="22" t="s">
        <v>177</v>
      </c>
      <c r="T129" s="22" t="s">
        <v>131</v>
      </c>
      <c r="U129" s="22" t="s">
        <v>112</v>
      </c>
      <c r="V129" s="22" t="s">
        <v>132</v>
      </c>
      <c r="W129" s="22" t="s">
        <v>116</v>
      </c>
      <c r="X129" s="22" t="s">
        <v>117</v>
      </c>
      <c r="Y129" s="22" t="s">
        <v>22</v>
      </c>
      <c r="Z129" s="22" t="s">
        <v>178</v>
      </c>
      <c r="AA129" s="22" t="s">
        <v>22</v>
      </c>
      <c r="AB129" s="22" t="s">
        <v>179</v>
      </c>
      <c r="AC129" s="22" t="s">
        <v>180</v>
      </c>
      <c r="AD129" s="22" t="s">
        <v>135</v>
      </c>
      <c r="AE129" s="22"/>
      <c r="AF129" s="22" t="s">
        <v>181</v>
      </c>
      <c r="AG129" s="22"/>
      <c r="AH129" s="22"/>
      <c r="AI129" s="22" t="s">
        <v>182</v>
      </c>
      <c r="AJ129" s="22" t="s">
        <v>183</v>
      </c>
      <c r="AK129" s="22" t="s">
        <v>140</v>
      </c>
      <c r="AL129" s="22" t="s">
        <v>184</v>
      </c>
      <c r="AM129" s="22" t="s">
        <v>185</v>
      </c>
      <c r="AN129" s="22" t="s">
        <v>157</v>
      </c>
      <c r="AO129" s="22" t="s">
        <v>182</v>
      </c>
      <c r="AP129" s="22" t="s">
        <v>186</v>
      </c>
    </row>
    <row r="130" spans="10:42" s="18" customFormat="1" ht="16.8" customHeight="1">
      <c r="J130" s="22">
        <v>123</v>
      </c>
      <c r="K130" s="22" t="s">
        <v>108</v>
      </c>
      <c r="L130" s="22" t="s">
        <v>109</v>
      </c>
      <c r="M130" s="22" t="s">
        <v>175</v>
      </c>
      <c r="N130" s="22" t="s">
        <v>983</v>
      </c>
      <c r="O130" s="22" t="s">
        <v>130</v>
      </c>
      <c r="P130" s="22" t="s">
        <v>112</v>
      </c>
      <c r="Q130" s="22">
        <v>19300</v>
      </c>
      <c r="R130" s="22"/>
      <c r="S130" s="22" t="s">
        <v>112</v>
      </c>
      <c r="T130" s="22" t="s">
        <v>131</v>
      </c>
      <c r="U130" s="22" t="s">
        <v>112</v>
      </c>
      <c r="V130" s="22" t="s">
        <v>132</v>
      </c>
      <c r="W130" s="22" t="s">
        <v>273</v>
      </c>
      <c r="X130" s="22" t="s">
        <v>442</v>
      </c>
      <c r="Y130" s="22" t="s">
        <v>21</v>
      </c>
      <c r="Z130" s="22" t="s">
        <v>984</v>
      </c>
      <c r="AA130" s="22" t="s">
        <v>21</v>
      </c>
      <c r="AB130" s="22" t="s">
        <v>984</v>
      </c>
      <c r="AC130" s="22" t="s">
        <v>985</v>
      </c>
      <c r="AD130" s="22" t="s">
        <v>135</v>
      </c>
      <c r="AE130" s="22" t="s">
        <v>385</v>
      </c>
      <c r="AF130" s="22" t="s">
        <v>986</v>
      </c>
      <c r="AG130" s="22" t="s">
        <v>175</v>
      </c>
      <c r="AH130" s="22"/>
      <c r="AI130" s="22" t="s">
        <v>138</v>
      </c>
      <c r="AJ130" s="22" t="s">
        <v>242</v>
      </c>
      <c r="AK130" s="22" t="s">
        <v>140</v>
      </c>
      <c r="AL130" s="22" t="s">
        <v>242</v>
      </c>
      <c r="AM130" s="22" t="s">
        <v>242</v>
      </c>
      <c r="AN130" s="22" t="s">
        <v>143</v>
      </c>
      <c r="AO130" s="22" t="s">
        <v>144</v>
      </c>
      <c r="AP130" s="22" t="s">
        <v>112</v>
      </c>
    </row>
    <row r="131" spans="10:42" s="18" customFormat="1" ht="16.8" customHeight="1">
      <c r="J131" s="22">
        <v>124</v>
      </c>
      <c r="K131" s="22" t="s">
        <v>108</v>
      </c>
      <c r="L131" s="22" t="s">
        <v>109</v>
      </c>
      <c r="M131" s="22" t="s">
        <v>175</v>
      </c>
      <c r="N131" s="22" t="s">
        <v>966</v>
      </c>
      <c r="O131" s="22" t="s">
        <v>130</v>
      </c>
      <c r="P131" s="22" t="s">
        <v>112</v>
      </c>
      <c r="Q131" s="22">
        <v>22950</v>
      </c>
      <c r="R131" s="22"/>
      <c r="S131" s="22" t="s">
        <v>583</v>
      </c>
      <c r="T131" s="22" t="s">
        <v>114</v>
      </c>
      <c r="U131" s="22" t="s">
        <v>112</v>
      </c>
      <c r="V131" s="22" t="s">
        <v>132</v>
      </c>
      <c r="W131" s="22" t="s">
        <v>116</v>
      </c>
      <c r="X131" s="22" t="s">
        <v>290</v>
      </c>
      <c r="Y131" s="22" t="s">
        <v>22</v>
      </c>
      <c r="Z131" s="22" t="s">
        <v>987</v>
      </c>
      <c r="AA131" s="22" t="s">
        <v>22</v>
      </c>
      <c r="AB131" s="22" t="s">
        <v>988</v>
      </c>
      <c r="AC131" s="22" t="s">
        <v>989</v>
      </c>
      <c r="AD131" s="22" t="s">
        <v>120</v>
      </c>
      <c r="AE131" s="22"/>
      <c r="AF131" s="22" t="s">
        <v>970</v>
      </c>
      <c r="AG131" s="22"/>
      <c r="AH131" s="22"/>
      <c r="AI131" s="22" t="s">
        <v>138</v>
      </c>
      <c r="AJ131" s="22" t="s">
        <v>811</v>
      </c>
      <c r="AK131" s="22" t="s">
        <v>140</v>
      </c>
      <c r="AL131" s="22" t="s">
        <v>594</v>
      </c>
      <c r="AM131" s="22" t="s">
        <v>971</v>
      </c>
      <c r="AN131" s="22" t="s">
        <v>143</v>
      </c>
      <c r="AO131" s="22" t="s">
        <v>144</v>
      </c>
      <c r="AP131" s="22" t="s">
        <v>112</v>
      </c>
    </row>
    <row r="132" spans="10:42" s="18" customFormat="1" ht="16.8" customHeight="1">
      <c r="J132" s="22">
        <v>125</v>
      </c>
      <c r="K132" s="22" t="s">
        <v>108</v>
      </c>
      <c r="L132" s="22" t="s">
        <v>109</v>
      </c>
      <c r="M132" s="22" t="s">
        <v>175</v>
      </c>
      <c r="N132" s="22" t="s">
        <v>990</v>
      </c>
      <c r="O132" s="22" t="s">
        <v>130</v>
      </c>
      <c r="P132" s="22" t="s">
        <v>112</v>
      </c>
      <c r="Q132" s="22">
        <v>5680</v>
      </c>
      <c r="R132" s="22" t="s">
        <v>147</v>
      </c>
      <c r="S132" s="22" t="s">
        <v>112</v>
      </c>
      <c r="T132" s="22" t="s">
        <v>114</v>
      </c>
      <c r="U132" s="22" t="s">
        <v>112</v>
      </c>
      <c r="V132" s="22" t="s">
        <v>132</v>
      </c>
      <c r="W132" s="22" t="s">
        <v>721</v>
      </c>
      <c r="X132" s="22" t="s">
        <v>991</v>
      </c>
      <c r="Y132" s="22" t="s">
        <v>22</v>
      </c>
      <c r="Z132" s="22" t="s">
        <v>992</v>
      </c>
      <c r="AA132" s="22" t="s">
        <v>22</v>
      </c>
      <c r="AB132" s="22" t="s">
        <v>993</v>
      </c>
      <c r="AC132" s="22" t="s">
        <v>994</v>
      </c>
      <c r="AD132" s="22" t="s">
        <v>120</v>
      </c>
      <c r="AE132" s="22" t="s">
        <v>152</v>
      </c>
      <c r="AF132" s="22" t="s">
        <v>995</v>
      </c>
      <c r="AG132" s="22" t="s">
        <v>175</v>
      </c>
      <c r="AH132" s="22"/>
      <c r="AI132" s="22" t="s">
        <v>205</v>
      </c>
      <c r="AJ132" s="22" t="s">
        <v>139</v>
      </c>
      <c r="AK132" s="22" t="s">
        <v>286</v>
      </c>
      <c r="AL132" s="22" t="s">
        <v>141</v>
      </c>
      <c r="AM132" s="22" t="s">
        <v>142</v>
      </c>
      <c r="AN132" s="22" t="s">
        <v>143</v>
      </c>
      <c r="AO132" s="22" t="s">
        <v>209</v>
      </c>
      <c r="AP132" s="22" t="s">
        <v>112</v>
      </c>
    </row>
    <row r="133" spans="10:42" s="18" customFormat="1" ht="16.8" customHeight="1">
      <c r="J133" s="22">
        <v>126</v>
      </c>
      <c r="K133" s="22" t="s">
        <v>108</v>
      </c>
      <c r="L133" s="22" t="s">
        <v>109</v>
      </c>
      <c r="M133" s="22" t="s">
        <v>996</v>
      </c>
      <c r="N133" s="22" t="s">
        <v>997</v>
      </c>
      <c r="O133" s="22" t="s">
        <v>130</v>
      </c>
      <c r="P133" s="22" t="s">
        <v>112</v>
      </c>
      <c r="Q133" s="22">
        <v>15120</v>
      </c>
      <c r="R133" s="22" t="s">
        <v>499</v>
      </c>
      <c r="S133" s="22" t="s">
        <v>112</v>
      </c>
      <c r="T133" s="22" t="s">
        <v>114</v>
      </c>
      <c r="U133" s="22" t="s">
        <v>112</v>
      </c>
      <c r="V133" s="22" t="s">
        <v>132</v>
      </c>
      <c r="W133" s="22" t="s">
        <v>235</v>
      </c>
      <c r="X133" s="22" t="s">
        <v>236</v>
      </c>
      <c r="Y133" s="22" t="s">
        <v>21</v>
      </c>
      <c r="Z133" s="22" t="s">
        <v>998</v>
      </c>
      <c r="AA133" s="22" t="s">
        <v>21</v>
      </c>
      <c r="AB133" s="22" t="s">
        <v>999</v>
      </c>
      <c r="AC133" s="22" t="s">
        <v>1000</v>
      </c>
      <c r="AD133" s="22" t="s">
        <v>120</v>
      </c>
      <c r="AE133" s="22" t="s">
        <v>136</v>
      </c>
      <c r="AF133" s="22" t="s">
        <v>1001</v>
      </c>
      <c r="AG133" s="22" t="s">
        <v>996</v>
      </c>
      <c r="AH133" s="22"/>
      <c r="AI133" s="22" t="s">
        <v>494</v>
      </c>
      <c r="AJ133" s="22" t="s">
        <v>139</v>
      </c>
      <c r="AK133" s="22" t="s">
        <v>140</v>
      </c>
      <c r="AL133" s="22" t="s">
        <v>141</v>
      </c>
      <c r="AM133" s="22" t="s">
        <v>142</v>
      </c>
      <c r="AN133" s="22" t="s">
        <v>157</v>
      </c>
      <c r="AO133" s="22" t="s">
        <v>144</v>
      </c>
      <c r="AP133" s="22" t="s">
        <v>112</v>
      </c>
    </row>
    <row r="134" spans="10:42" s="18" customFormat="1" ht="16.8" customHeight="1">
      <c r="J134" s="22">
        <v>127</v>
      </c>
      <c r="K134" s="22" t="s">
        <v>108</v>
      </c>
      <c r="L134" s="22" t="s">
        <v>109</v>
      </c>
      <c r="M134" s="22" t="s">
        <v>996</v>
      </c>
      <c r="N134" s="22" t="s">
        <v>1002</v>
      </c>
      <c r="O134" s="22" t="s">
        <v>130</v>
      </c>
      <c r="P134" s="22" t="s">
        <v>112</v>
      </c>
      <c r="Q134" s="22">
        <v>49000</v>
      </c>
      <c r="R134" s="22"/>
      <c r="S134" s="22" t="s">
        <v>112</v>
      </c>
      <c r="T134" s="22" t="s">
        <v>131</v>
      </c>
      <c r="U134" s="22" t="s">
        <v>112</v>
      </c>
      <c r="V134" s="22" t="s">
        <v>132</v>
      </c>
      <c r="W134" s="22" t="s">
        <v>246</v>
      </c>
      <c r="X134" s="22" t="s">
        <v>247</v>
      </c>
      <c r="Y134" s="22" t="s">
        <v>12</v>
      </c>
      <c r="Z134" s="22" t="s">
        <v>1003</v>
      </c>
      <c r="AA134" s="22" t="s">
        <v>12</v>
      </c>
      <c r="AB134" s="22" t="s">
        <v>1004</v>
      </c>
      <c r="AC134" s="22" t="s">
        <v>1005</v>
      </c>
      <c r="AD134" s="22" t="s">
        <v>120</v>
      </c>
      <c r="AE134" s="22"/>
      <c r="AF134" s="22" t="s">
        <v>1006</v>
      </c>
      <c r="AG134" s="22"/>
      <c r="AH134" s="22"/>
      <c r="AI134" s="22" t="s">
        <v>138</v>
      </c>
      <c r="AJ134" s="22" t="s">
        <v>321</v>
      </c>
      <c r="AK134" s="22" t="s">
        <v>303</v>
      </c>
      <c r="AL134" s="22" t="s">
        <v>447</v>
      </c>
      <c r="AM134" s="22" t="s">
        <v>1007</v>
      </c>
      <c r="AN134" s="22" t="s">
        <v>143</v>
      </c>
      <c r="AO134" s="22" t="s">
        <v>404</v>
      </c>
      <c r="AP134" s="22" t="s">
        <v>112</v>
      </c>
    </row>
    <row r="135" spans="10:42" s="18" customFormat="1" ht="16.8" customHeight="1">
      <c r="J135" s="22">
        <v>128</v>
      </c>
      <c r="K135" s="22" t="s">
        <v>108</v>
      </c>
      <c r="L135" s="22" t="s">
        <v>109</v>
      </c>
      <c r="M135" s="22" t="s">
        <v>996</v>
      </c>
      <c r="N135" s="22" t="s">
        <v>793</v>
      </c>
      <c r="O135" s="22" t="s">
        <v>130</v>
      </c>
      <c r="P135" s="22" t="s">
        <v>112</v>
      </c>
      <c r="Q135" s="22">
        <v>1800</v>
      </c>
      <c r="R135" s="22"/>
      <c r="S135" s="22" t="s">
        <v>112</v>
      </c>
      <c r="T135" s="22" t="s">
        <v>131</v>
      </c>
      <c r="U135" s="22" t="s">
        <v>112</v>
      </c>
      <c r="V135" s="22" t="s">
        <v>132</v>
      </c>
      <c r="W135" s="22" t="s">
        <v>308</v>
      </c>
      <c r="X135" s="22" t="s">
        <v>795</v>
      </c>
      <c r="Y135" s="22" t="s">
        <v>24</v>
      </c>
      <c r="Z135" s="22" t="s">
        <v>1008</v>
      </c>
      <c r="AA135" s="22" t="s">
        <v>24</v>
      </c>
      <c r="AB135" s="22" t="s">
        <v>1009</v>
      </c>
      <c r="AC135" s="22" t="s">
        <v>1010</v>
      </c>
      <c r="AD135" s="22" t="s">
        <v>135</v>
      </c>
      <c r="AE135" s="22"/>
      <c r="AF135" s="22" t="s">
        <v>799</v>
      </c>
      <c r="AG135" s="22"/>
      <c r="AH135" s="22"/>
      <c r="AI135" s="22" t="s">
        <v>182</v>
      </c>
      <c r="AJ135" s="22" t="s">
        <v>321</v>
      </c>
      <c r="AK135" s="22" t="s">
        <v>140</v>
      </c>
      <c r="AL135" s="22" t="s">
        <v>800</v>
      </c>
      <c r="AM135" s="22" t="s">
        <v>801</v>
      </c>
      <c r="AN135" s="22" t="s">
        <v>157</v>
      </c>
      <c r="AO135" s="22" t="s">
        <v>182</v>
      </c>
      <c r="AP135" s="22" t="s">
        <v>186</v>
      </c>
    </row>
    <row r="136" spans="10:42" s="18" customFormat="1" ht="16.8" customHeight="1">
      <c r="J136" s="22">
        <v>129</v>
      </c>
      <c r="K136" s="22" t="s">
        <v>108</v>
      </c>
      <c r="L136" s="22" t="s">
        <v>109</v>
      </c>
      <c r="M136" s="22" t="s">
        <v>996</v>
      </c>
      <c r="N136" s="22" t="s">
        <v>1011</v>
      </c>
      <c r="O136" s="22" t="s">
        <v>130</v>
      </c>
      <c r="P136" s="22" t="s">
        <v>112</v>
      </c>
      <c r="Q136" s="22">
        <v>5832</v>
      </c>
      <c r="R136" s="22"/>
      <c r="S136" s="22" t="s">
        <v>1012</v>
      </c>
      <c r="T136" s="22" t="s">
        <v>131</v>
      </c>
      <c r="U136" s="22" t="s">
        <v>112</v>
      </c>
      <c r="V136" s="22" t="s">
        <v>132</v>
      </c>
      <c r="W136" s="22" t="s">
        <v>116</v>
      </c>
      <c r="X136" s="22" t="s">
        <v>1013</v>
      </c>
      <c r="Y136" s="22" t="s">
        <v>21</v>
      </c>
      <c r="Z136" s="22" t="s">
        <v>1014</v>
      </c>
      <c r="AA136" s="22" t="s">
        <v>21</v>
      </c>
      <c r="AB136" s="22" t="s">
        <v>1015</v>
      </c>
      <c r="AC136" s="22" t="s">
        <v>1016</v>
      </c>
      <c r="AD136" s="22" t="s">
        <v>135</v>
      </c>
      <c r="AE136" s="22" t="s">
        <v>385</v>
      </c>
      <c r="AF136" s="22" t="s">
        <v>1017</v>
      </c>
      <c r="AG136" s="22" t="s">
        <v>996</v>
      </c>
      <c r="AH136" s="22"/>
      <c r="AI136" s="22" t="s">
        <v>494</v>
      </c>
      <c r="AJ136" s="22" t="s">
        <v>1018</v>
      </c>
      <c r="AK136" s="22" t="s">
        <v>140</v>
      </c>
      <c r="AL136" s="22" t="s">
        <v>1019</v>
      </c>
      <c r="AM136" s="22" t="s">
        <v>403</v>
      </c>
      <c r="AN136" s="22" t="s">
        <v>143</v>
      </c>
      <c r="AO136" s="22" t="s">
        <v>144</v>
      </c>
      <c r="AP136" s="22" t="s">
        <v>112</v>
      </c>
    </row>
    <row r="137" spans="10:42" s="18" customFormat="1" ht="16.8" customHeight="1">
      <c r="J137" s="22">
        <v>130</v>
      </c>
      <c r="K137" s="22" t="s">
        <v>108</v>
      </c>
      <c r="L137" s="22" t="s">
        <v>109</v>
      </c>
      <c r="M137" s="22" t="s">
        <v>996</v>
      </c>
      <c r="N137" s="22" t="s">
        <v>1020</v>
      </c>
      <c r="O137" s="22" t="s">
        <v>130</v>
      </c>
      <c r="P137" s="22" t="s">
        <v>112</v>
      </c>
      <c r="Q137" s="22">
        <v>5382</v>
      </c>
      <c r="R137" s="22"/>
      <c r="S137" s="22" t="s">
        <v>112</v>
      </c>
      <c r="T137" s="22" t="s">
        <v>131</v>
      </c>
      <c r="U137" s="22" t="s">
        <v>112</v>
      </c>
      <c r="V137" s="22" t="s">
        <v>132</v>
      </c>
      <c r="W137" s="22" t="s">
        <v>476</v>
      </c>
      <c r="X137" s="22" t="s">
        <v>476</v>
      </c>
      <c r="Y137" s="22" t="s">
        <v>12</v>
      </c>
      <c r="Z137" s="22" t="s">
        <v>1021</v>
      </c>
      <c r="AA137" s="22" t="s">
        <v>12</v>
      </c>
      <c r="AB137" s="22" t="s">
        <v>1021</v>
      </c>
      <c r="AC137" s="22" t="s">
        <v>1022</v>
      </c>
      <c r="AD137" s="22" t="s">
        <v>120</v>
      </c>
      <c r="AE137" s="22" t="s">
        <v>399</v>
      </c>
      <c r="AF137" s="22" t="s">
        <v>1023</v>
      </c>
      <c r="AG137" s="22" t="s">
        <v>996</v>
      </c>
      <c r="AH137" s="22"/>
      <c r="AI137" s="22" t="s">
        <v>138</v>
      </c>
      <c r="AJ137" s="22" t="s">
        <v>1024</v>
      </c>
      <c r="AK137" s="22" t="s">
        <v>140</v>
      </c>
      <c r="AL137" s="22" t="s">
        <v>1025</v>
      </c>
      <c r="AM137" s="22" t="s">
        <v>1026</v>
      </c>
      <c r="AN137" s="22" t="s">
        <v>143</v>
      </c>
      <c r="AO137" s="22" t="s">
        <v>144</v>
      </c>
      <c r="AP137" s="22" t="s">
        <v>112</v>
      </c>
    </row>
    <row r="138" spans="10:42" s="18" customFormat="1" ht="16.8" customHeight="1">
      <c r="J138" s="22">
        <v>131</v>
      </c>
      <c r="K138" s="22" t="s">
        <v>108</v>
      </c>
      <c r="L138" s="22" t="s">
        <v>109</v>
      </c>
      <c r="M138" s="22" t="s">
        <v>996</v>
      </c>
      <c r="N138" s="22" t="s">
        <v>1027</v>
      </c>
      <c r="O138" s="22" t="s">
        <v>130</v>
      </c>
      <c r="P138" s="22" t="s">
        <v>112</v>
      </c>
      <c r="Q138" s="22">
        <v>5382</v>
      </c>
      <c r="R138" s="22"/>
      <c r="S138" s="22" t="s">
        <v>1028</v>
      </c>
      <c r="T138" s="22" t="s">
        <v>131</v>
      </c>
      <c r="U138" s="22" t="s">
        <v>112</v>
      </c>
      <c r="V138" s="22" t="s">
        <v>132</v>
      </c>
      <c r="W138" s="22" t="s">
        <v>476</v>
      </c>
      <c r="X138" s="22" t="s">
        <v>476</v>
      </c>
      <c r="Y138" s="22" t="s">
        <v>19</v>
      </c>
      <c r="Z138" s="22" t="s">
        <v>1029</v>
      </c>
      <c r="AA138" s="22" t="s">
        <v>19</v>
      </c>
      <c r="AB138" s="22" t="s">
        <v>1030</v>
      </c>
      <c r="AC138" s="22" t="s">
        <v>1031</v>
      </c>
      <c r="AD138" s="22" t="s">
        <v>120</v>
      </c>
      <c r="AE138" s="22" t="s">
        <v>136</v>
      </c>
      <c r="AF138" s="22" t="s">
        <v>1032</v>
      </c>
      <c r="AG138" s="22" t="s">
        <v>996</v>
      </c>
      <c r="AH138" s="22"/>
      <c r="AI138" s="22" t="s">
        <v>205</v>
      </c>
      <c r="AJ138" s="22" t="s">
        <v>1024</v>
      </c>
      <c r="AK138" s="22" t="s">
        <v>124</v>
      </c>
      <c r="AL138" s="22" t="s">
        <v>373</v>
      </c>
      <c r="AM138" s="22" t="s">
        <v>374</v>
      </c>
      <c r="AN138" s="22" t="s">
        <v>143</v>
      </c>
      <c r="AO138" s="22" t="s">
        <v>209</v>
      </c>
      <c r="AP138" s="22" t="s">
        <v>112</v>
      </c>
    </row>
    <row r="139" spans="10:42" s="18" customFormat="1" ht="16.8" customHeight="1">
      <c r="J139" s="22">
        <v>132</v>
      </c>
      <c r="K139" s="22" t="s">
        <v>108</v>
      </c>
      <c r="L139" s="22" t="s">
        <v>109</v>
      </c>
      <c r="M139" s="22" t="s">
        <v>996</v>
      </c>
      <c r="N139" s="22" t="s">
        <v>1033</v>
      </c>
      <c r="O139" s="22" t="s">
        <v>130</v>
      </c>
      <c r="P139" s="22" t="s">
        <v>112</v>
      </c>
      <c r="Q139" s="22">
        <v>5832</v>
      </c>
      <c r="R139" s="22"/>
      <c r="S139" s="22" t="s">
        <v>112</v>
      </c>
      <c r="T139" s="22" t="s">
        <v>131</v>
      </c>
      <c r="U139" s="22" t="s">
        <v>112</v>
      </c>
      <c r="V139" s="22" t="s">
        <v>132</v>
      </c>
      <c r="W139" s="22" t="s">
        <v>282</v>
      </c>
      <c r="X139" s="22" t="s">
        <v>283</v>
      </c>
      <c r="Y139" s="22" t="s">
        <v>20</v>
      </c>
      <c r="Z139" s="22" t="s">
        <v>1034</v>
      </c>
      <c r="AA139" s="22" t="s">
        <v>20</v>
      </c>
      <c r="AB139" s="22" t="s">
        <v>1034</v>
      </c>
      <c r="AC139" s="22" t="s">
        <v>1035</v>
      </c>
      <c r="AD139" s="22" t="s">
        <v>120</v>
      </c>
      <c r="AE139" s="22" t="s">
        <v>136</v>
      </c>
      <c r="AF139" s="22" t="s">
        <v>1036</v>
      </c>
      <c r="AG139" s="22" t="s">
        <v>996</v>
      </c>
      <c r="AH139" s="22"/>
      <c r="AI139" s="22" t="s">
        <v>205</v>
      </c>
      <c r="AJ139" s="22" t="s">
        <v>1024</v>
      </c>
      <c r="AK139" s="22" t="s">
        <v>140</v>
      </c>
      <c r="AL139" s="22" t="s">
        <v>1037</v>
      </c>
      <c r="AM139" s="22" t="s">
        <v>557</v>
      </c>
      <c r="AN139" s="22" t="s">
        <v>143</v>
      </c>
      <c r="AO139" s="22" t="s">
        <v>209</v>
      </c>
      <c r="AP139" s="22" t="s">
        <v>112</v>
      </c>
    </row>
    <row r="140" spans="10:42" s="18" customFormat="1" ht="16.8" customHeight="1">
      <c r="J140" s="22">
        <v>133</v>
      </c>
      <c r="K140" s="22" t="s">
        <v>108</v>
      </c>
      <c r="L140" s="22" t="s">
        <v>109</v>
      </c>
      <c r="M140" s="22" t="s">
        <v>1038</v>
      </c>
      <c r="N140" s="22" t="s">
        <v>1039</v>
      </c>
      <c r="O140" s="22" t="s">
        <v>130</v>
      </c>
      <c r="P140" s="22" t="s">
        <v>112</v>
      </c>
      <c r="Q140" s="22">
        <v>9650</v>
      </c>
      <c r="R140" s="22"/>
      <c r="S140" s="22" t="s">
        <v>112</v>
      </c>
      <c r="T140" s="22" t="s">
        <v>131</v>
      </c>
      <c r="U140" s="22" t="s">
        <v>112</v>
      </c>
      <c r="V140" s="22" t="s">
        <v>132</v>
      </c>
      <c r="W140" s="22" t="s">
        <v>1040</v>
      </c>
      <c r="X140" s="22" t="s">
        <v>1041</v>
      </c>
      <c r="Y140" s="22" t="s">
        <v>22</v>
      </c>
      <c r="Z140" s="22" t="s">
        <v>1042</v>
      </c>
      <c r="AA140" s="22" t="s">
        <v>22</v>
      </c>
      <c r="AB140" s="22" t="s">
        <v>1043</v>
      </c>
      <c r="AC140" s="22" t="s">
        <v>1044</v>
      </c>
      <c r="AD140" s="22" t="s">
        <v>120</v>
      </c>
      <c r="AE140" s="22" t="s">
        <v>223</v>
      </c>
      <c r="AF140" s="22" t="s">
        <v>1045</v>
      </c>
      <c r="AG140" s="22" t="s">
        <v>1038</v>
      </c>
      <c r="AH140" s="22"/>
      <c r="AI140" s="22" t="s">
        <v>205</v>
      </c>
      <c r="AJ140" s="22" t="s">
        <v>183</v>
      </c>
      <c r="AK140" s="22" t="s">
        <v>140</v>
      </c>
      <c r="AL140" s="22" t="s">
        <v>1046</v>
      </c>
      <c r="AM140" s="22" t="s">
        <v>1047</v>
      </c>
      <c r="AN140" s="22" t="s">
        <v>143</v>
      </c>
      <c r="AO140" s="22" t="s">
        <v>209</v>
      </c>
      <c r="AP140" s="22" t="s">
        <v>112</v>
      </c>
    </row>
    <row r="141" spans="10:42" s="18" customFormat="1" ht="16.8" customHeight="1">
      <c r="J141" s="22">
        <v>134</v>
      </c>
      <c r="K141" s="22" t="s">
        <v>108</v>
      </c>
      <c r="L141" s="22" t="s">
        <v>109</v>
      </c>
      <c r="M141" s="22" t="s">
        <v>1038</v>
      </c>
      <c r="N141" s="22" t="s">
        <v>1048</v>
      </c>
      <c r="O141" s="22" t="s">
        <v>130</v>
      </c>
      <c r="P141" s="22" t="s">
        <v>112</v>
      </c>
      <c r="Q141" s="22">
        <v>2600</v>
      </c>
      <c r="R141" s="22"/>
      <c r="S141" s="22" t="s">
        <v>112</v>
      </c>
      <c r="T141" s="22" t="s">
        <v>131</v>
      </c>
      <c r="U141" s="22" t="s">
        <v>112</v>
      </c>
      <c r="V141" s="22" t="s">
        <v>132</v>
      </c>
      <c r="W141" s="22" t="s">
        <v>235</v>
      </c>
      <c r="X141" s="22" t="s">
        <v>484</v>
      </c>
      <c r="Y141" s="22" t="s">
        <v>19</v>
      </c>
      <c r="Z141" s="22" t="s">
        <v>1049</v>
      </c>
      <c r="AA141" s="22" t="s">
        <v>19</v>
      </c>
      <c r="AB141" s="22" t="s">
        <v>1050</v>
      </c>
      <c r="AC141" s="22" t="s">
        <v>1051</v>
      </c>
      <c r="AD141" s="22" t="s">
        <v>120</v>
      </c>
      <c r="AE141" s="22"/>
      <c r="AF141" s="22" t="s">
        <v>751</v>
      </c>
      <c r="AG141" s="22"/>
      <c r="AH141" s="22"/>
      <c r="AI141" s="22" t="s">
        <v>182</v>
      </c>
      <c r="AJ141" s="22" t="s">
        <v>752</v>
      </c>
      <c r="AK141" s="22" t="s">
        <v>140</v>
      </c>
      <c r="AL141" s="22" t="s">
        <v>438</v>
      </c>
      <c r="AM141" s="22" t="s">
        <v>753</v>
      </c>
      <c r="AN141" s="22" t="s">
        <v>143</v>
      </c>
      <c r="AO141" s="22" t="s">
        <v>182</v>
      </c>
      <c r="AP141" s="22" t="s">
        <v>186</v>
      </c>
    </row>
    <row r="142" spans="10:42" s="18" customFormat="1" ht="16.8" customHeight="1">
      <c r="J142" s="22">
        <v>135</v>
      </c>
      <c r="K142" s="22" t="s">
        <v>108</v>
      </c>
      <c r="L142" s="22" t="s">
        <v>109</v>
      </c>
      <c r="M142" s="22" t="s">
        <v>1038</v>
      </c>
      <c r="N142" s="22" t="s">
        <v>1039</v>
      </c>
      <c r="O142" s="22" t="s">
        <v>130</v>
      </c>
      <c r="P142" s="22" t="s">
        <v>112</v>
      </c>
      <c r="Q142" s="22">
        <v>9650</v>
      </c>
      <c r="R142" s="22"/>
      <c r="S142" s="22" t="s">
        <v>112</v>
      </c>
      <c r="T142" s="22" t="s">
        <v>352</v>
      </c>
      <c r="U142" s="22" t="s">
        <v>112</v>
      </c>
      <c r="V142" s="22" t="s">
        <v>132</v>
      </c>
      <c r="W142" s="22" t="s">
        <v>1040</v>
      </c>
      <c r="X142" s="22" t="s">
        <v>1041</v>
      </c>
      <c r="Y142" s="22" t="s">
        <v>24</v>
      </c>
      <c r="Z142" s="22" t="s">
        <v>1042</v>
      </c>
      <c r="AA142" s="22" t="s">
        <v>22</v>
      </c>
      <c r="AB142" s="22" t="s">
        <v>1043</v>
      </c>
      <c r="AC142" s="22" t="s">
        <v>1044</v>
      </c>
      <c r="AD142" s="22" t="s">
        <v>120</v>
      </c>
      <c r="AE142" s="22"/>
      <c r="AF142" s="22" t="s">
        <v>1045</v>
      </c>
      <c r="AG142" s="22"/>
      <c r="AH142" s="22"/>
      <c r="AI142" s="22" t="s">
        <v>205</v>
      </c>
      <c r="AJ142" s="22" t="s">
        <v>183</v>
      </c>
      <c r="AK142" s="22" t="s">
        <v>140</v>
      </c>
      <c r="AL142" s="22" t="s">
        <v>1046</v>
      </c>
      <c r="AM142" s="22" t="s">
        <v>1047</v>
      </c>
      <c r="AN142" s="22" t="s">
        <v>143</v>
      </c>
      <c r="AO142" s="22" t="s">
        <v>209</v>
      </c>
      <c r="AP142" s="22" t="s">
        <v>112</v>
      </c>
    </row>
    <row r="143" spans="10:42" s="18" customFormat="1" ht="16.8" customHeight="1">
      <c r="J143" s="22">
        <v>136</v>
      </c>
      <c r="K143" s="22" t="s">
        <v>108</v>
      </c>
      <c r="L143" s="22" t="s">
        <v>109</v>
      </c>
      <c r="M143" s="22" t="s">
        <v>1038</v>
      </c>
      <c r="N143" s="22" t="s">
        <v>1052</v>
      </c>
      <c r="O143" s="22" t="s">
        <v>130</v>
      </c>
      <c r="P143" s="22" t="s">
        <v>112</v>
      </c>
      <c r="Q143" s="22">
        <v>15120</v>
      </c>
      <c r="R143" s="22"/>
      <c r="S143" s="22" t="s">
        <v>112</v>
      </c>
      <c r="T143" s="22" t="s">
        <v>131</v>
      </c>
      <c r="U143" s="22" t="s">
        <v>112</v>
      </c>
      <c r="V143" s="22" t="s">
        <v>132</v>
      </c>
      <c r="W143" s="22" t="s">
        <v>282</v>
      </c>
      <c r="X143" s="22" t="s">
        <v>283</v>
      </c>
      <c r="Y143" s="22" t="s">
        <v>24</v>
      </c>
      <c r="Z143" s="22" t="s">
        <v>1053</v>
      </c>
      <c r="AA143" s="22" t="s">
        <v>24</v>
      </c>
      <c r="AB143" s="22" t="s">
        <v>1053</v>
      </c>
      <c r="AC143" s="22" t="s">
        <v>1054</v>
      </c>
      <c r="AD143" s="22" t="s">
        <v>120</v>
      </c>
      <c r="AE143" s="22" t="s">
        <v>136</v>
      </c>
      <c r="AF143" s="22" t="s">
        <v>1055</v>
      </c>
      <c r="AG143" s="22" t="s">
        <v>1038</v>
      </c>
      <c r="AH143" s="22"/>
      <c r="AI143" s="22" t="s">
        <v>205</v>
      </c>
      <c r="AJ143" s="22" t="s">
        <v>790</v>
      </c>
      <c r="AK143" s="22" t="s">
        <v>140</v>
      </c>
      <c r="AL143" s="22" t="s">
        <v>1056</v>
      </c>
      <c r="AM143" s="22" t="s">
        <v>1057</v>
      </c>
      <c r="AN143" s="22" t="s">
        <v>143</v>
      </c>
      <c r="AO143" s="22" t="s">
        <v>440</v>
      </c>
      <c r="AP143" s="22" t="s">
        <v>112</v>
      </c>
    </row>
    <row r="144" spans="10:42" s="18" customFormat="1" ht="16.8" customHeight="1">
      <c r="J144" s="22">
        <v>137</v>
      </c>
      <c r="K144" s="22" t="s">
        <v>108</v>
      </c>
      <c r="L144" s="22" t="s">
        <v>109</v>
      </c>
      <c r="M144" s="22" t="s">
        <v>1038</v>
      </c>
      <c r="N144" s="22" t="s">
        <v>1058</v>
      </c>
      <c r="O144" s="22" t="s">
        <v>130</v>
      </c>
      <c r="P144" s="22" t="s">
        <v>112</v>
      </c>
      <c r="Q144" s="22">
        <v>52000</v>
      </c>
      <c r="R144" s="22"/>
      <c r="S144" s="22" t="s">
        <v>112</v>
      </c>
      <c r="T144" s="22" t="s">
        <v>131</v>
      </c>
      <c r="U144" s="22" t="s">
        <v>112</v>
      </c>
      <c r="V144" s="22" t="s">
        <v>132</v>
      </c>
      <c r="W144" s="22" t="s">
        <v>978</v>
      </c>
      <c r="X144" s="22" t="s">
        <v>978</v>
      </c>
      <c r="Y144" s="22" t="s">
        <v>21</v>
      </c>
      <c r="Z144" s="22" t="s">
        <v>1059</v>
      </c>
      <c r="AA144" s="22" t="s">
        <v>21</v>
      </c>
      <c r="AB144" s="22" t="s">
        <v>1060</v>
      </c>
      <c r="AC144" s="22" t="s">
        <v>1061</v>
      </c>
      <c r="AD144" s="22" t="s">
        <v>135</v>
      </c>
      <c r="AE144" s="22"/>
      <c r="AF144" s="22" t="s">
        <v>1062</v>
      </c>
      <c r="AG144" s="22"/>
      <c r="AH144" s="22"/>
      <c r="AI144" s="22" t="s">
        <v>138</v>
      </c>
      <c r="AJ144" s="22" t="s">
        <v>195</v>
      </c>
      <c r="AK144" s="22" t="s">
        <v>303</v>
      </c>
      <c r="AL144" s="22" t="s">
        <v>1063</v>
      </c>
      <c r="AM144" s="22" t="s">
        <v>1064</v>
      </c>
      <c r="AN144" s="22" t="s">
        <v>143</v>
      </c>
      <c r="AO144" s="22" t="s">
        <v>404</v>
      </c>
      <c r="AP144" s="22" t="s">
        <v>112</v>
      </c>
    </row>
    <row r="145" spans="10:42" s="18" customFormat="1" ht="16.8" customHeight="1">
      <c r="J145" s="22">
        <v>138</v>
      </c>
      <c r="K145" s="22" t="s">
        <v>108</v>
      </c>
      <c r="L145" s="22" t="s">
        <v>109</v>
      </c>
      <c r="M145" s="22" t="s">
        <v>1038</v>
      </c>
      <c r="N145" s="22" t="s">
        <v>1065</v>
      </c>
      <c r="O145" s="22" t="s">
        <v>130</v>
      </c>
      <c r="P145" s="22" t="s">
        <v>112</v>
      </c>
      <c r="Q145" s="22">
        <v>5832</v>
      </c>
      <c r="R145" s="22"/>
      <c r="S145" s="22" t="s">
        <v>112</v>
      </c>
      <c r="T145" s="22" t="s">
        <v>131</v>
      </c>
      <c r="U145" s="22" t="s">
        <v>112</v>
      </c>
      <c r="V145" s="22" t="s">
        <v>132</v>
      </c>
      <c r="W145" s="22" t="s">
        <v>282</v>
      </c>
      <c r="X145" s="22" t="s">
        <v>283</v>
      </c>
      <c r="Y145" s="22" t="s">
        <v>12</v>
      </c>
      <c r="Z145" s="22" t="s">
        <v>1066</v>
      </c>
      <c r="AA145" s="22" t="s">
        <v>12</v>
      </c>
      <c r="AB145" s="22" t="s">
        <v>1066</v>
      </c>
      <c r="AC145" s="22" t="s">
        <v>1067</v>
      </c>
      <c r="AD145" s="22" t="s">
        <v>120</v>
      </c>
      <c r="AE145" s="22" t="s">
        <v>223</v>
      </c>
      <c r="AF145" s="22" t="s">
        <v>1068</v>
      </c>
      <c r="AG145" s="22" t="s">
        <v>1038</v>
      </c>
      <c r="AH145" s="22"/>
      <c r="AI145" s="22" t="s">
        <v>205</v>
      </c>
      <c r="AJ145" s="22" t="s">
        <v>1069</v>
      </c>
      <c r="AK145" s="22" t="s">
        <v>140</v>
      </c>
      <c r="AL145" s="22" t="s">
        <v>607</v>
      </c>
      <c r="AM145" s="22" t="s">
        <v>1070</v>
      </c>
      <c r="AN145" s="22" t="s">
        <v>143</v>
      </c>
      <c r="AO145" s="22" t="s">
        <v>209</v>
      </c>
      <c r="AP145" s="22" t="s">
        <v>112</v>
      </c>
    </row>
    <row r="146" spans="10:42" s="18" customFormat="1" ht="16.8" customHeight="1">
      <c r="J146" s="22">
        <v>139</v>
      </c>
      <c r="K146" s="22" t="s">
        <v>108</v>
      </c>
      <c r="L146" s="22" t="s">
        <v>109</v>
      </c>
      <c r="M146" s="22" t="s">
        <v>1038</v>
      </c>
      <c r="N146" s="22" t="s">
        <v>1071</v>
      </c>
      <c r="O146" s="22" t="s">
        <v>130</v>
      </c>
      <c r="P146" s="22" t="s">
        <v>112</v>
      </c>
      <c r="Q146" s="22">
        <v>5832</v>
      </c>
      <c r="R146" s="22"/>
      <c r="S146" s="22" t="s">
        <v>112</v>
      </c>
      <c r="T146" s="22" t="s">
        <v>131</v>
      </c>
      <c r="U146" s="22" t="s">
        <v>112</v>
      </c>
      <c r="V146" s="22" t="s">
        <v>132</v>
      </c>
      <c r="W146" s="22" t="s">
        <v>282</v>
      </c>
      <c r="X146" s="22" t="s">
        <v>283</v>
      </c>
      <c r="Y146" s="22" t="s">
        <v>12</v>
      </c>
      <c r="Z146" s="22" t="s">
        <v>1072</v>
      </c>
      <c r="AA146" s="22" t="s">
        <v>12</v>
      </c>
      <c r="AB146" s="22" t="s">
        <v>1072</v>
      </c>
      <c r="AC146" s="22" t="s">
        <v>1073</v>
      </c>
      <c r="AD146" s="22" t="s">
        <v>120</v>
      </c>
      <c r="AE146" s="22" t="s">
        <v>136</v>
      </c>
      <c r="AF146" s="22" t="s">
        <v>1074</v>
      </c>
      <c r="AG146" s="22" t="s">
        <v>1038</v>
      </c>
      <c r="AH146" s="22"/>
      <c r="AI146" s="22" t="s">
        <v>205</v>
      </c>
      <c r="AJ146" s="22" t="s">
        <v>694</v>
      </c>
      <c r="AK146" s="22" t="s">
        <v>140</v>
      </c>
      <c r="AL146" s="22" t="s">
        <v>1075</v>
      </c>
      <c r="AM146" s="22" t="s">
        <v>1076</v>
      </c>
      <c r="AN146" s="22" t="s">
        <v>143</v>
      </c>
      <c r="AO146" s="22" t="s">
        <v>209</v>
      </c>
      <c r="AP146" s="22" t="s">
        <v>112</v>
      </c>
    </row>
    <row r="147" spans="10:42" s="18" customFormat="1" ht="16.8" customHeight="1">
      <c r="J147" s="22">
        <v>140</v>
      </c>
      <c r="K147" s="22" t="s">
        <v>108</v>
      </c>
      <c r="L147" s="22" t="s">
        <v>109</v>
      </c>
      <c r="M147" s="22" t="s">
        <v>1038</v>
      </c>
      <c r="N147" s="22" t="s">
        <v>700</v>
      </c>
      <c r="O147" s="22" t="s">
        <v>130</v>
      </c>
      <c r="P147" s="22" t="s">
        <v>112</v>
      </c>
      <c r="Q147" s="22">
        <v>25500</v>
      </c>
      <c r="R147" s="22"/>
      <c r="S147" s="22" t="s">
        <v>112</v>
      </c>
      <c r="T147" s="22" t="s">
        <v>131</v>
      </c>
      <c r="U147" s="22" t="s">
        <v>112</v>
      </c>
      <c r="V147" s="22" t="s">
        <v>132</v>
      </c>
      <c r="W147" s="22" t="s">
        <v>308</v>
      </c>
      <c r="X147" s="22" t="s">
        <v>309</v>
      </c>
      <c r="Y147" s="22" t="s">
        <v>22</v>
      </c>
      <c r="Z147" s="22" t="s">
        <v>1077</v>
      </c>
      <c r="AA147" s="22" t="s">
        <v>22</v>
      </c>
      <c r="AB147" s="22" t="s">
        <v>1078</v>
      </c>
      <c r="AC147" s="22" t="s">
        <v>1079</v>
      </c>
      <c r="AD147" s="22" t="s">
        <v>135</v>
      </c>
      <c r="AE147" s="22"/>
      <c r="AF147" s="22" t="s">
        <v>704</v>
      </c>
      <c r="AG147" s="22"/>
      <c r="AH147" s="22"/>
      <c r="AI147" s="22" t="s">
        <v>705</v>
      </c>
      <c r="AJ147" s="22" t="s">
        <v>643</v>
      </c>
      <c r="AK147" s="22" t="s">
        <v>303</v>
      </c>
      <c r="AL147" s="22" t="s">
        <v>661</v>
      </c>
      <c r="AM147" s="22" t="s">
        <v>128</v>
      </c>
      <c r="AN147" s="22"/>
      <c r="AO147" s="22" t="s">
        <v>112</v>
      </c>
      <c r="AP147" s="22" t="s">
        <v>112</v>
      </c>
    </row>
    <row r="148" spans="10:42" s="18" customFormat="1" ht="16.8" customHeight="1">
      <c r="J148" s="22">
        <v>141</v>
      </c>
      <c r="K148" s="22" t="s">
        <v>108</v>
      </c>
      <c r="L148" s="22" t="s">
        <v>109</v>
      </c>
      <c r="M148" s="22" t="s">
        <v>1080</v>
      </c>
      <c r="N148" s="22" t="s">
        <v>1081</v>
      </c>
      <c r="O148" s="22" t="s">
        <v>130</v>
      </c>
      <c r="P148" s="22" t="s">
        <v>112</v>
      </c>
      <c r="Q148" s="22">
        <v>5832</v>
      </c>
      <c r="R148" s="22"/>
      <c r="S148" s="22" t="s">
        <v>112</v>
      </c>
      <c r="T148" s="22" t="s">
        <v>131</v>
      </c>
      <c r="U148" s="22" t="s">
        <v>112</v>
      </c>
      <c r="V148" s="22" t="s">
        <v>132</v>
      </c>
      <c r="W148" s="22" t="s">
        <v>273</v>
      </c>
      <c r="X148" s="22" t="s">
        <v>442</v>
      </c>
      <c r="Y148" s="22" t="s">
        <v>20</v>
      </c>
      <c r="Z148" s="22" t="s">
        <v>1082</v>
      </c>
      <c r="AA148" s="22" t="s">
        <v>20</v>
      </c>
      <c r="AB148" s="22" t="s">
        <v>1083</v>
      </c>
      <c r="AC148" s="22" t="s">
        <v>1084</v>
      </c>
      <c r="AD148" s="22" t="s">
        <v>135</v>
      </c>
      <c r="AE148" s="22" t="s">
        <v>136</v>
      </c>
      <c r="AF148" s="22" t="s">
        <v>1085</v>
      </c>
      <c r="AG148" s="22" t="s">
        <v>1080</v>
      </c>
      <c r="AH148" s="22"/>
      <c r="AI148" s="22" t="s">
        <v>205</v>
      </c>
      <c r="AJ148" s="22" t="s">
        <v>401</v>
      </c>
      <c r="AK148" s="22" t="s">
        <v>124</v>
      </c>
      <c r="AL148" s="22" t="s">
        <v>393</v>
      </c>
      <c r="AM148" s="22" t="s">
        <v>394</v>
      </c>
      <c r="AN148" s="22" t="s">
        <v>143</v>
      </c>
      <c r="AO148" s="22" t="s">
        <v>209</v>
      </c>
      <c r="AP148" s="22" t="s">
        <v>112</v>
      </c>
    </row>
    <row r="149" spans="10:42" s="18" customFormat="1" ht="16.8" customHeight="1">
      <c r="J149" s="22">
        <v>142</v>
      </c>
      <c r="K149" s="22" t="s">
        <v>108</v>
      </c>
      <c r="L149" s="22" t="s">
        <v>109</v>
      </c>
      <c r="M149" s="22" t="s">
        <v>1080</v>
      </c>
      <c r="N149" s="22" t="s">
        <v>1086</v>
      </c>
      <c r="O149" s="22" t="s">
        <v>130</v>
      </c>
      <c r="P149" s="22" t="s">
        <v>112</v>
      </c>
      <c r="Q149" s="22">
        <v>5382</v>
      </c>
      <c r="R149" s="22" t="s">
        <v>147</v>
      </c>
      <c r="S149" s="22" t="s">
        <v>112</v>
      </c>
      <c r="T149" s="22" t="s">
        <v>114</v>
      </c>
      <c r="U149" s="22" t="s">
        <v>112</v>
      </c>
      <c r="V149" s="22" t="s">
        <v>132</v>
      </c>
      <c r="W149" s="22" t="s">
        <v>282</v>
      </c>
      <c r="X149" s="22" t="s">
        <v>551</v>
      </c>
      <c r="Y149" s="22" t="s">
        <v>20</v>
      </c>
      <c r="Z149" s="22" t="s">
        <v>1087</v>
      </c>
      <c r="AA149" s="22" t="s">
        <v>20</v>
      </c>
      <c r="AB149" s="22" t="s">
        <v>1088</v>
      </c>
      <c r="AC149" s="22" t="s">
        <v>1089</v>
      </c>
      <c r="AD149" s="22" t="s">
        <v>120</v>
      </c>
      <c r="AE149" s="22" t="s">
        <v>136</v>
      </c>
      <c r="AF149" s="22" t="s">
        <v>1090</v>
      </c>
      <c r="AG149" s="22" t="s">
        <v>1080</v>
      </c>
      <c r="AH149" s="22"/>
      <c r="AI149" s="22" t="s">
        <v>205</v>
      </c>
      <c r="AJ149" s="22" t="s">
        <v>1091</v>
      </c>
      <c r="AK149" s="22" t="s">
        <v>140</v>
      </c>
      <c r="AL149" s="22" t="s">
        <v>373</v>
      </c>
      <c r="AM149" s="22" t="s">
        <v>374</v>
      </c>
      <c r="AN149" s="22" t="s">
        <v>143</v>
      </c>
      <c r="AO149" s="22" t="s">
        <v>209</v>
      </c>
      <c r="AP149" s="22" t="s">
        <v>112</v>
      </c>
    </row>
    <row r="150" spans="10:42" s="18" customFormat="1" ht="16.8" customHeight="1">
      <c r="J150" s="22">
        <v>143</v>
      </c>
      <c r="K150" s="22" t="s">
        <v>108</v>
      </c>
      <c r="L150" s="22" t="s">
        <v>109</v>
      </c>
      <c r="M150" s="22" t="s">
        <v>1092</v>
      </c>
      <c r="N150" s="22" t="s">
        <v>1093</v>
      </c>
      <c r="O150" s="22" t="s">
        <v>130</v>
      </c>
      <c r="P150" s="22" t="s">
        <v>112</v>
      </c>
      <c r="Q150" s="22">
        <v>17550</v>
      </c>
      <c r="R150" s="22"/>
      <c r="S150" s="22" t="s">
        <v>304</v>
      </c>
      <c r="T150" s="22" t="s">
        <v>114</v>
      </c>
      <c r="U150" s="22" t="s">
        <v>112</v>
      </c>
      <c r="V150" s="22" t="s">
        <v>132</v>
      </c>
      <c r="W150" s="22" t="s">
        <v>116</v>
      </c>
      <c r="X150" s="22" t="s">
        <v>290</v>
      </c>
      <c r="Y150" s="22" t="s">
        <v>19</v>
      </c>
      <c r="Z150" s="22" t="s">
        <v>1094</v>
      </c>
      <c r="AA150" s="22" t="s">
        <v>19</v>
      </c>
      <c r="AB150" s="22" t="s">
        <v>1095</v>
      </c>
      <c r="AC150" s="22" t="s">
        <v>1096</v>
      </c>
      <c r="AD150" s="22" t="s">
        <v>120</v>
      </c>
      <c r="AE150" s="22"/>
      <c r="AF150" s="22" t="s">
        <v>1097</v>
      </c>
      <c r="AG150" s="22"/>
      <c r="AH150" s="22"/>
      <c r="AI150" s="22" t="s">
        <v>205</v>
      </c>
      <c r="AJ150" s="22" t="s">
        <v>488</v>
      </c>
      <c r="AK150" s="22" t="s">
        <v>824</v>
      </c>
      <c r="AL150" s="22" t="s">
        <v>402</v>
      </c>
      <c r="AM150" s="22" t="s">
        <v>403</v>
      </c>
      <c r="AN150" s="22" t="s">
        <v>143</v>
      </c>
      <c r="AO150" s="22" t="s">
        <v>1098</v>
      </c>
      <c r="AP150" s="22" t="s">
        <v>112</v>
      </c>
    </row>
    <row r="151" spans="10:42" s="18" customFormat="1" ht="16.8" customHeight="1">
      <c r="J151" s="22">
        <v>144</v>
      </c>
      <c r="K151" s="22" t="s">
        <v>108</v>
      </c>
      <c r="L151" s="22" t="s">
        <v>109</v>
      </c>
      <c r="M151" s="22" t="s">
        <v>1092</v>
      </c>
      <c r="N151" s="22" t="s">
        <v>1099</v>
      </c>
      <c r="O151" s="22" t="s">
        <v>130</v>
      </c>
      <c r="P151" s="22" t="s">
        <v>112</v>
      </c>
      <c r="Q151" s="22">
        <v>11500</v>
      </c>
      <c r="R151" s="22"/>
      <c r="S151" s="22" t="s">
        <v>1100</v>
      </c>
      <c r="T151" s="22" t="s">
        <v>114</v>
      </c>
      <c r="U151" s="22" t="s">
        <v>112</v>
      </c>
      <c r="V151" s="22" t="s">
        <v>132</v>
      </c>
      <c r="W151" s="22" t="s">
        <v>116</v>
      </c>
      <c r="X151" s="22" t="s">
        <v>377</v>
      </c>
      <c r="Y151" s="22" t="s">
        <v>24</v>
      </c>
      <c r="Z151" s="22" t="s">
        <v>1101</v>
      </c>
      <c r="AA151" s="22" t="s">
        <v>24</v>
      </c>
      <c r="AB151" s="22" t="s">
        <v>1102</v>
      </c>
      <c r="AC151" s="22" t="s">
        <v>1103</v>
      </c>
      <c r="AD151" s="22" t="s">
        <v>120</v>
      </c>
      <c r="AE151" s="22"/>
      <c r="AF151" s="22" t="s">
        <v>1104</v>
      </c>
      <c r="AG151" s="22"/>
      <c r="AH151" s="22"/>
      <c r="AI151" s="22" t="s">
        <v>182</v>
      </c>
      <c r="AJ151" s="22" t="s">
        <v>225</v>
      </c>
      <c r="AK151" s="22" t="s">
        <v>140</v>
      </c>
      <c r="AL151" s="22" t="s">
        <v>835</v>
      </c>
      <c r="AM151" s="22" t="s">
        <v>1105</v>
      </c>
      <c r="AN151" s="22" t="s">
        <v>157</v>
      </c>
      <c r="AO151" s="22" t="s">
        <v>182</v>
      </c>
      <c r="AP151" s="22" t="s">
        <v>186</v>
      </c>
    </row>
    <row r="152" spans="10:42" s="18" customFormat="1" ht="16.8" customHeight="1">
      <c r="J152" s="22">
        <v>145</v>
      </c>
      <c r="K152" s="22" t="s">
        <v>108</v>
      </c>
      <c r="L152" s="22" t="s">
        <v>109</v>
      </c>
      <c r="M152" s="22" t="s">
        <v>1092</v>
      </c>
      <c r="N152" s="22" t="s">
        <v>807</v>
      </c>
      <c r="O152" s="22" t="s">
        <v>130</v>
      </c>
      <c r="P152" s="22" t="s">
        <v>112</v>
      </c>
      <c r="Q152" s="22">
        <v>5832</v>
      </c>
      <c r="R152" s="22" t="s">
        <v>499</v>
      </c>
      <c r="S152" s="22" t="s">
        <v>289</v>
      </c>
      <c r="T152" s="22" t="s">
        <v>114</v>
      </c>
      <c r="U152" s="22" t="s">
        <v>112</v>
      </c>
      <c r="V152" s="22" t="s">
        <v>132</v>
      </c>
      <c r="W152" s="22" t="s">
        <v>116</v>
      </c>
      <c r="X152" s="22" t="s">
        <v>290</v>
      </c>
      <c r="Y152" s="22" t="s">
        <v>12</v>
      </c>
      <c r="Z152" s="22" t="s">
        <v>1106</v>
      </c>
      <c r="AA152" s="22" t="s">
        <v>12</v>
      </c>
      <c r="AB152" s="22" t="s">
        <v>1106</v>
      </c>
      <c r="AC152" s="22" t="s">
        <v>1107</v>
      </c>
      <c r="AD152" s="22" t="s">
        <v>135</v>
      </c>
      <c r="AE152" s="22" t="s">
        <v>152</v>
      </c>
      <c r="AF152" s="22" t="s">
        <v>810</v>
      </c>
      <c r="AG152" s="22" t="s">
        <v>1092</v>
      </c>
      <c r="AH152" s="22"/>
      <c r="AI152" s="22" t="s">
        <v>205</v>
      </c>
      <c r="AJ152" s="22" t="s">
        <v>811</v>
      </c>
      <c r="AK152" s="22" t="s">
        <v>140</v>
      </c>
      <c r="AL152" s="22" t="s">
        <v>418</v>
      </c>
      <c r="AM152" s="22" t="s">
        <v>125</v>
      </c>
      <c r="AN152" s="22" t="s">
        <v>143</v>
      </c>
      <c r="AO152" s="22" t="s">
        <v>209</v>
      </c>
      <c r="AP152" s="22" t="s">
        <v>112</v>
      </c>
    </row>
    <row r="153" spans="10:42" s="18" customFormat="1" ht="16.8" customHeight="1">
      <c r="J153" s="22">
        <v>146</v>
      </c>
      <c r="K153" s="22" t="s">
        <v>108</v>
      </c>
      <c r="L153" s="22" t="s">
        <v>109</v>
      </c>
      <c r="M153" s="22" t="s">
        <v>1092</v>
      </c>
      <c r="N153" s="22" t="s">
        <v>1108</v>
      </c>
      <c r="O153" s="22" t="s">
        <v>130</v>
      </c>
      <c r="P153" s="22" t="s">
        <v>112</v>
      </c>
      <c r="Q153" s="22">
        <v>4000</v>
      </c>
      <c r="R153" s="22"/>
      <c r="S153" s="22" t="s">
        <v>1109</v>
      </c>
      <c r="T153" s="22" t="s">
        <v>352</v>
      </c>
      <c r="U153" s="22" t="s">
        <v>112</v>
      </c>
      <c r="V153" s="22" t="s">
        <v>132</v>
      </c>
      <c r="W153" s="22" t="s">
        <v>116</v>
      </c>
      <c r="X153" s="22" t="s">
        <v>377</v>
      </c>
      <c r="Y153" s="22" t="s">
        <v>22</v>
      </c>
      <c r="Z153" s="22" t="s">
        <v>1110</v>
      </c>
      <c r="AA153" s="22" t="s">
        <v>1111</v>
      </c>
      <c r="AB153" s="22" t="s">
        <v>1112</v>
      </c>
      <c r="AC153" s="22" t="s">
        <v>1113</v>
      </c>
      <c r="AD153" s="22" t="s">
        <v>120</v>
      </c>
      <c r="AE153" s="22"/>
      <c r="AF153" s="22" t="s">
        <v>1114</v>
      </c>
      <c r="AG153" s="22"/>
      <c r="AH153" s="22"/>
      <c r="AI153" s="22" t="s">
        <v>182</v>
      </c>
      <c r="AJ153" s="22" t="s">
        <v>811</v>
      </c>
      <c r="AK153" s="22" t="s">
        <v>140</v>
      </c>
      <c r="AL153" s="22" t="s">
        <v>1037</v>
      </c>
      <c r="AM153" s="22" t="s">
        <v>557</v>
      </c>
      <c r="AN153" s="22" t="s">
        <v>157</v>
      </c>
      <c r="AO153" s="22" t="s">
        <v>182</v>
      </c>
      <c r="AP153" s="22" t="s">
        <v>186</v>
      </c>
    </row>
    <row r="154" spans="10:42" s="18" customFormat="1" ht="16.8" customHeight="1">
      <c r="J154" s="22">
        <v>147</v>
      </c>
      <c r="K154" s="22" t="s">
        <v>108</v>
      </c>
      <c r="L154" s="22" t="s">
        <v>109</v>
      </c>
      <c r="M154" s="22" t="s">
        <v>1092</v>
      </c>
      <c r="N154" s="22" t="s">
        <v>1115</v>
      </c>
      <c r="O154" s="22" t="s">
        <v>130</v>
      </c>
      <c r="P154" s="22" t="s">
        <v>112</v>
      </c>
      <c r="Q154" s="22">
        <v>15120</v>
      </c>
      <c r="R154" s="22" t="s">
        <v>147</v>
      </c>
      <c r="S154" s="22" t="s">
        <v>1028</v>
      </c>
      <c r="T154" s="22" t="s">
        <v>114</v>
      </c>
      <c r="U154" s="22" t="s">
        <v>112</v>
      </c>
      <c r="V154" s="22" t="s">
        <v>132</v>
      </c>
      <c r="W154" s="22" t="s">
        <v>116</v>
      </c>
      <c r="X154" s="22" t="s">
        <v>377</v>
      </c>
      <c r="Y154" s="22" t="s">
        <v>21</v>
      </c>
      <c r="Z154" s="22" t="s">
        <v>1116</v>
      </c>
      <c r="AA154" s="22" t="s">
        <v>21</v>
      </c>
      <c r="AB154" s="22" t="s">
        <v>1117</v>
      </c>
      <c r="AC154" s="22" t="s">
        <v>1118</v>
      </c>
      <c r="AD154" s="22" t="s">
        <v>135</v>
      </c>
      <c r="AE154" s="22" t="s">
        <v>152</v>
      </c>
      <c r="AF154" s="22" t="s">
        <v>1119</v>
      </c>
      <c r="AG154" s="22" t="s">
        <v>1092</v>
      </c>
      <c r="AH154" s="22"/>
      <c r="AI154" s="22" t="s">
        <v>138</v>
      </c>
      <c r="AJ154" s="22" t="s">
        <v>1120</v>
      </c>
      <c r="AK154" s="22" t="s">
        <v>124</v>
      </c>
      <c r="AL154" s="22" t="s">
        <v>242</v>
      </c>
      <c r="AM154" s="22" t="s">
        <v>242</v>
      </c>
      <c r="AN154" s="22" t="s">
        <v>143</v>
      </c>
      <c r="AO154" s="22" t="s">
        <v>144</v>
      </c>
      <c r="AP154" s="22" t="s">
        <v>112</v>
      </c>
    </row>
    <row r="155" spans="10:42" s="18" customFormat="1" ht="16.8" customHeight="1">
      <c r="J155" s="22">
        <v>148</v>
      </c>
      <c r="K155" s="22" t="s">
        <v>108</v>
      </c>
      <c r="L155" s="22" t="s">
        <v>109</v>
      </c>
      <c r="M155" s="22" t="s">
        <v>1092</v>
      </c>
      <c r="N155" s="22" t="s">
        <v>1121</v>
      </c>
      <c r="O155" s="22" t="s">
        <v>130</v>
      </c>
      <c r="P155" s="22" t="s">
        <v>112</v>
      </c>
      <c r="Q155" s="22">
        <v>24500</v>
      </c>
      <c r="R155" s="22"/>
      <c r="S155" s="22" t="s">
        <v>112</v>
      </c>
      <c r="T155" s="22" t="s">
        <v>352</v>
      </c>
      <c r="U155" s="22" t="s">
        <v>112</v>
      </c>
      <c r="V155" s="22" t="s">
        <v>132</v>
      </c>
      <c r="W155" s="22" t="s">
        <v>721</v>
      </c>
      <c r="X155" s="22" t="s">
        <v>1122</v>
      </c>
      <c r="Y155" s="22" t="s">
        <v>19</v>
      </c>
      <c r="Z155" s="22" t="s">
        <v>1123</v>
      </c>
      <c r="AA155" s="22" t="s">
        <v>20</v>
      </c>
      <c r="AB155" s="22" t="s">
        <v>1124</v>
      </c>
      <c r="AC155" s="22" t="s">
        <v>1125</v>
      </c>
      <c r="AD155" s="22" t="s">
        <v>120</v>
      </c>
      <c r="AE155" s="22"/>
      <c r="AF155" s="22" t="s">
        <v>1126</v>
      </c>
      <c r="AG155" s="22"/>
      <c r="AH155" s="22"/>
      <c r="AI155" s="22" t="s">
        <v>138</v>
      </c>
      <c r="AJ155" s="22" t="s">
        <v>511</v>
      </c>
      <c r="AK155" s="22" t="s">
        <v>140</v>
      </c>
      <c r="AL155" s="22" t="s">
        <v>1127</v>
      </c>
      <c r="AM155" s="22" t="s">
        <v>1128</v>
      </c>
      <c r="AN155" s="22" t="s">
        <v>143</v>
      </c>
      <c r="AO155" s="22" t="s">
        <v>404</v>
      </c>
      <c r="AP155" s="22" t="s">
        <v>112</v>
      </c>
    </row>
    <row r="156" spans="10:42" s="18" customFormat="1" ht="16.8" customHeight="1">
      <c r="J156" s="22">
        <v>149</v>
      </c>
      <c r="K156" s="22" t="s">
        <v>108</v>
      </c>
      <c r="L156" s="22" t="s">
        <v>109</v>
      </c>
      <c r="M156" s="22" t="s">
        <v>1092</v>
      </c>
      <c r="N156" s="22" t="s">
        <v>1121</v>
      </c>
      <c r="O156" s="22" t="s">
        <v>130</v>
      </c>
      <c r="P156" s="22" t="s">
        <v>112</v>
      </c>
      <c r="Q156" s="22">
        <v>24500</v>
      </c>
      <c r="R156" s="22"/>
      <c r="S156" s="22" t="s">
        <v>112</v>
      </c>
      <c r="T156" s="22" t="s">
        <v>131</v>
      </c>
      <c r="U156" s="22" t="s">
        <v>112</v>
      </c>
      <c r="V156" s="22" t="s">
        <v>132</v>
      </c>
      <c r="W156" s="22" t="s">
        <v>721</v>
      </c>
      <c r="X156" s="22" t="s">
        <v>1122</v>
      </c>
      <c r="Y156" s="22" t="s">
        <v>20</v>
      </c>
      <c r="Z156" s="22" t="s">
        <v>1123</v>
      </c>
      <c r="AA156" s="22" t="s">
        <v>20</v>
      </c>
      <c r="AB156" s="22" t="s">
        <v>1124</v>
      </c>
      <c r="AC156" s="22" t="s">
        <v>1125</v>
      </c>
      <c r="AD156" s="22" t="s">
        <v>120</v>
      </c>
      <c r="AE156" s="22"/>
      <c r="AF156" s="22" t="s">
        <v>1126</v>
      </c>
      <c r="AG156" s="22"/>
      <c r="AH156" s="22"/>
      <c r="AI156" s="22" t="s">
        <v>138</v>
      </c>
      <c r="AJ156" s="22" t="s">
        <v>511</v>
      </c>
      <c r="AK156" s="22" t="s">
        <v>140</v>
      </c>
      <c r="AL156" s="22" t="s">
        <v>1127</v>
      </c>
      <c r="AM156" s="22" t="s">
        <v>1128</v>
      </c>
      <c r="AN156" s="22" t="s">
        <v>143</v>
      </c>
      <c r="AO156" s="22" t="s">
        <v>404</v>
      </c>
      <c r="AP156" s="22" t="s">
        <v>112</v>
      </c>
    </row>
    <row r="157" spans="10:42" s="18" customFormat="1" ht="16.8" customHeight="1">
      <c r="J157" s="22">
        <v>150</v>
      </c>
      <c r="K157" s="22" t="s">
        <v>108</v>
      </c>
      <c r="L157" s="22" t="s">
        <v>109</v>
      </c>
      <c r="M157" s="22" t="s">
        <v>1092</v>
      </c>
      <c r="N157" s="22" t="s">
        <v>1129</v>
      </c>
      <c r="O157" s="22" t="s">
        <v>130</v>
      </c>
      <c r="P157" s="22" t="s">
        <v>112</v>
      </c>
      <c r="Q157" s="22">
        <v>5382</v>
      </c>
      <c r="R157" s="22"/>
      <c r="S157" s="22" t="s">
        <v>112</v>
      </c>
      <c r="T157" s="22" t="s">
        <v>131</v>
      </c>
      <c r="U157" s="22" t="s">
        <v>112</v>
      </c>
      <c r="V157" s="22" t="s">
        <v>132</v>
      </c>
      <c r="W157" s="22" t="s">
        <v>235</v>
      </c>
      <c r="X157" s="22" t="s">
        <v>544</v>
      </c>
      <c r="Y157" s="22" t="s">
        <v>12</v>
      </c>
      <c r="Z157" s="22" t="s">
        <v>1130</v>
      </c>
      <c r="AA157" s="22" t="s">
        <v>12</v>
      </c>
      <c r="AB157" s="22" t="s">
        <v>1131</v>
      </c>
      <c r="AC157" s="22" t="s">
        <v>1132</v>
      </c>
      <c r="AD157" s="22" t="s">
        <v>120</v>
      </c>
      <c r="AE157" s="22" t="s">
        <v>193</v>
      </c>
      <c r="AF157" s="22" t="s">
        <v>1133</v>
      </c>
      <c r="AG157" s="22" t="s">
        <v>1092</v>
      </c>
      <c r="AH157" s="22"/>
      <c r="AI157" s="22" t="s">
        <v>138</v>
      </c>
      <c r="AJ157" s="22" t="s">
        <v>1134</v>
      </c>
      <c r="AK157" s="22" t="s">
        <v>140</v>
      </c>
      <c r="AL157" s="22" t="s">
        <v>1135</v>
      </c>
      <c r="AM157" s="22" t="s">
        <v>403</v>
      </c>
      <c r="AN157" s="22" t="s">
        <v>143</v>
      </c>
      <c r="AO157" s="22" t="s">
        <v>332</v>
      </c>
      <c r="AP157" s="22" t="s">
        <v>112</v>
      </c>
    </row>
    <row r="158" spans="10:42" s="18" customFormat="1" ht="16.8" customHeight="1">
      <c r="J158" s="22">
        <v>151</v>
      </c>
      <c r="K158" s="22" t="s">
        <v>108</v>
      </c>
      <c r="L158" s="22" t="s">
        <v>109</v>
      </c>
      <c r="M158" s="22" t="s">
        <v>1092</v>
      </c>
      <c r="N158" s="22" t="s">
        <v>1136</v>
      </c>
      <c r="O158" s="22" t="s">
        <v>130</v>
      </c>
      <c r="P158" s="22" t="s">
        <v>112</v>
      </c>
      <c r="Q158" s="22">
        <v>19300</v>
      </c>
      <c r="R158" s="22"/>
      <c r="S158" s="22" t="s">
        <v>112</v>
      </c>
      <c r="T158" s="22" t="s">
        <v>131</v>
      </c>
      <c r="U158" s="22" t="s">
        <v>112</v>
      </c>
      <c r="V158" s="22" t="s">
        <v>132</v>
      </c>
      <c r="W158" s="22" t="s">
        <v>282</v>
      </c>
      <c r="X158" s="22" t="s">
        <v>283</v>
      </c>
      <c r="Y158" s="22" t="s">
        <v>19</v>
      </c>
      <c r="Z158" s="22" t="s">
        <v>1137</v>
      </c>
      <c r="AA158" s="22" t="s">
        <v>19</v>
      </c>
      <c r="AB158" s="22" t="s">
        <v>1137</v>
      </c>
      <c r="AC158" s="22" t="s">
        <v>1138</v>
      </c>
      <c r="AD158" s="22" t="s">
        <v>120</v>
      </c>
      <c r="AE158" s="22" t="s">
        <v>170</v>
      </c>
      <c r="AF158" s="22" t="s">
        <v>1139</v>
      </c>
      <c r="AG158" s="22" t="s">
        <v>1092</v>
      </c>
      <c r="AH158" s="22"/>
      <c r="AI158" s="22" t="s">
        <v>138</v>
      </c>
      <c r="AJ158" s="22" t="s">
        <v>1140</v>
      </c>
      <c r="AK158" s="22" t="s">
        <v>303</v>
      </c>
      <c r="AL158" s="22" t="s">
        <v>1141</v>
      </c>
      <c r="AM158" s="22" t="s">
        <v>1142</v>
      </c>
      <c r="AN158" s="22" t="s">
        <v>143</v>
      </c>
      <c r="AO158" s="22" t="s">
        <v>144</v>
      </c>
      <c r="AP158" s="22" t="s">
        <v>112</v>
      </c>
    </row>
    <row r="159" spans="10:42" s="18" customFormat="1" ht="16.8" customHeight="1">
      <c r="J159" s="22">
        <v>152</v>
      </c>
      <c r="K159" s="22" t="s">
        <v>108</v>
      </c>
      <c r="L159" s="22" t="s">
        <v>109</v>
      </c>
      <c r="M159" s="22" t="s">
        <v>1092</v>
      </c>
      <c r="N159" s="22" t="s">
        <v>1143</v>
      </c>
      <c r="O159" s="22" t="s">
        <v>130</v>
      </c>
      <c r="P159" s="22" t="s">
        <v>112</v>
      </c>
      <c r="Q159" s="22">
        <v>73000</v>
      </c>
      <c r="R159" s="22"/>
      <c r="S159" s="22" t="s">
        <v>112</v>
      </c>
      <c r="T159" s="22" t="s">
        <v>131</v>
      </c>
      <c r="U159" s="22" t="s">
        <v>112</v>
      </c>
      <c r="V159" s="22" t="s">
        <v>132</v>
      </c>
      <c r="W159" s="22" t="s">
        <v>246</v>
      </c>
      <c r="X159" s="22" t="s">
        <v>247</v>
      </c>
      <c r="Y159" s="22" t="s">
        <v>12</v>
      </c>
      <c r="Z159" s="22" t="s">
        <v>1144</v>
      </c>
      <c r="AA159" s="22" t="s">
        <v>12</v>
      </c>
      <c r="AB159" s="22" t="s">
        <v>1145</v>
      </c>
      <c r="AC159" s="22" t="s">
        <v>1146</v>
      </c>
      <c r="AD159" s="22" t="s">
        <v>120</v>
      </c>
      <c r="AE159" s="22"/>
      <c r="AF159" s="22" t="s">
        <v>1147</v>
      </c>
      <c r="AG159" s="22"/>
      <c r="AH159" s="22"/>
      <c r="AI159" s="22" t="s">
        <v>205</v>
      </c>
      <c r="AJ159" s="22" t="s">
        <v>782</v>
      </c>
      <c r="AK159" s="22" t="s">
        <v>824</v>
      </c>
      <c r="AL159" s="22" t="s">
        <v>367</v>
      </c>
      <c r="AM159" s="22" t="s">
        <v>842</v>
      </c>
      <c r="AN159" s="22" t="s">
        <v>143</v>
      </c>
      <c r="AO159" s="22" t="s">
        <v>1098</v>
      </c>
      <c r="AP159" s="22" t="s">
        <v>112</v>
      </c>
    </row>
    <row r="160" spans="10:42" s="18" customFormat="1" ht="16.8" customHeight="1">
      <c r="J160" s="22">
        <v>153</v>
      </c>
      <c r="K160" s="22" t="s">
        <v>108</v>
      </c>
      <c r="L160" s="22" t="s">
        <v>109</v>
      </c>
      <c r="M160" s="22" t="s">
        <v>1148</v>
      </c>
      <c r="N160" s="22" t="s">
        <v>1149</v>
      </c>
      <c r="O160" s="22" t="s">
        <v>130</v>
      </c>
      <c r="P160" s="22" t="s">
        <v>112</v>
      </c>
      <c r="Q160" s="22">
        <v>6500</v>
      </c>
      <c r="R160" s="22"/>
      <c r="S160" s="22" t="s">
        <v>304</v>
      </c>
      <c r="T160" s="22" t="s">
        <v>114</v>
      </c>
      <c r="U160" s="22" t="s">
        <v>112</v>
      </c>
      <c r="V160" s="22" t="s">
        <v>132</v>
      </c>
      <c r="W160" s="22" t="s">
        <v>116</v>
      </c>
      <c r="X160" s="22" t="s">
        <v>290</v>
      </c>
      <c r="Y160" s="22" t="s">
        <v>12</v>
      </c>
      <c r="Z160" s="22" t="s">
        <v>1150</v>
      </c>
      <c r="AA160" s="22" t="s">
        <v>12</v>
      </c>
      <c r="AB160" s="22" t="s">
        <v>1151</v>
      </c>
      <c r="AC160" s="22" t="s">
        <v>1152</v>
      </c>
      <c r="AD160" s="22" t="s">
        <v>120</v>
      </c>
      <c r="AE160" s="22"/>
      <c r="AF160" s="22" t="s">
        <v>1153</v>
      </c>
      <c r="AG160" s="22"/>
      <c r="AH160" s="22"/>
      <c r="AI160" s="22" t="s">
        <v>182</v>
      </c>
      <c r="AJ160" s="22" t="s">
        <v>694</v>
      </c>
      <c r="AK160" s="22" t="s">
        <v>124</v>
      </c>
      <c r="AL160" s="22" t="s">
        <v>1154</v>
      </c>
      <c r="AM160" s="22" t="s">
        <v>1155</v>
      </c>
      <c r="AN160" s="22" t="s">
        <v>157</v>
      </c>
      <c r="AO160" s="22" t="s">
        <v>182</v>
      </c>
      <c r="AP160" s="22" t="s">
        <v>186</v>
      </c>
    </row>
    <row r="161" spans="10:42" s="18" customFormat="1" ht="16.8" customHeight="1">
      <c r="J161" s="22">
        <v>154</v>
      </c>
      <c r="K161" s="22" t="s">
        <v>108</v>
      </c>
      <c r="L161" s="22" t="s">
        <v>109</v>
      </c>
      <c r="M161" s="22" t="s">
        <v>1148</v>
      </c>
      <c r="N161" s="22" t="s">
        <v>1156</v>
      </c>
      <c r="O161" s="22" t="s">
        <v>130</v>
      </c>
      <c r="P161" s="22" t="s">
        <v>112</v>
      </c>
      <c r="Q161" s="22">
        <v>19300</v>
      </c>
      <c r="R161" s="22"/>
      <c r="S161" s="22" t="s">
        <v>112</v>
      </c>
      <c r="T161" s="22" t="s">
        <v>131</v>
      </c>
      <c r="U161" s="22" t="s">
        <v>112</v>
      </c>
      <c r="V161" s="22" t="s">
        <v>132</v>
      </c>
      <c r="W161" s="22" t="s">
        <v>246</v>
      </c>
      <c r="X161" s="22" t="s">
        <v>247</v>
      </c>
      <c r="Y161" s="22" t="s">
        <v>22</v>
      </c>
      <c r="Z161" s="22" t="s">
        <v>1157</v>
      </c>
      <c r="AA161" s="22" t="s">
        <v>22</v>
      </c>
      <c r="AB161" s="22" t="s">
        <v>1157</v>
      </c>
      <c r="AC161" s="22" t="s">
        <v>1158</v>
      </c>
      <c r="AD161" s="22" t="s">
        <v>120</v>
      </c>
      <c r="AE161" s="22" t="s">
        <v>152</v>
      </c>
      <c r="AF161" s="22" t="s">
        <v>1159</v>
      </c>
      <c r="AG161" s="22" t="s">
        <v>1148</v>
      </c>
      <c r="AH161" s="22"/>
      <c r="AI161" s="22" t="s">
        <v>205</v>
      </c>
      <c r="AJ161" s="22" t="s">
        <v>620</v>
      </c>
      <c r="AK161" s="22" t="s">
        <v>124</v>
      </c>
      <c r="AL161" s="22" t="s">
        <v>1160</v>
      </c>
      <c r="AM161" s="22" t="s">
        <v>1161</v>
      </c>
      <c r="AN161" s="22" t="s">
        <v>143</v>
      </c>
      <c r="AO161" s="22" t="s">
        <v>209</v>
      </c>
      <c r="AP161" s="22" t="s">
        <v>112</v>
      </c>
    </row>
    <row r="162" spans="10:42" s="18" customFormat="1" ht="16.8" customHeight="1">
      <c r="J162" s="22">
        <v>155</v>
      </c>
      <c r="K162" s="22" t="s">
        <v>108</v>
      </c>
      <c r="L162" s="22" t="s">
        <v>109</v>
      </c>
      <c r="M162" s="22" t="s">
        <v>1148</v>
      </c>
      <c r="N162" s="22" t="s">
        <v>1162</v>
      </c>
      <c r="O162" s="22" t="s">
        <v>130</v>
      </c>
      <c r="P162" s="22" t="s">
        <v>112</v>
      </c>
      <c r="Q162" s="22">
        <v>3240</v>
      </c>
      <c r="R162" s="22"/>
      <c r="S162" s="22" t="s">
        <v>1163</v>
      </c>
      <c r="T162" s="22" t="s">
        <v>131</v>
      </c>
      <c r="U162" s="22" t="s">
        <v>112</v>
      </c>
      <c r="V162" s="22" t="s">
        <v>132</v>
      </c>
      <c r="W162" s="22" t="s">
        <v>116</v>
      </c>
      <c r="X162" s="22" t="s">
        <v>377</v>
      </c>
      <c r="Y162" s="22" t="s">
        <v>22</v>
      </c>
      <c r="Z162" s="22" t="s">
        <v>1164</v>
      </c>
      <c r="AA162" s="22" t="s">
        <v>22</v>
      </c>
      <c r="AB162" s="22" t="s">
        <v>1164</v>
      </c>
      <c r="AC162" s="22" t="s">
        <v>1165</v>
      </c>
      <c r="AD162" s="22" t="s">
        <v>135</v>
      </c>
      <c r="AE162" s="22" t="s">
        <v>152</v>
      </c>
      <c r="AF162" s="22" t="s">
        <v>1166</v>
      </c>
      <c r="AG162" s="22" t="s">
        <v>1148</v>
      </c>
      <c r="AH162" s="22"/>
      <c r="AI162" s="22" t="s">
        <v>138</v>
      </c>
      <c r="AJ162" s="22" t="s">
        <v>321</v>
      </c>
      <c r="AK162" s="22" t="s">
        <v>140</v>
      </c>
      <c r="AL162" s="22" t="s">
        <v>1167</v>
      </c>
      <c r="AM162" s="22" t="s">
        <v>1064</v>
      </c>
      <c r="AN162" s="22" t="s">
        <v>143</v>
      </c>
      <c r="AO162" s="22" t="s">
        <v>144</v>
      </c>
      <c r="AP162" s="22" t="s">
        <v>112</v>
      </c>
    </row>
    <row r="163" spans="10:42" s="18" customFormat="1" ht="16.8" customHeight="1">
      <c r="J163" s="22">
        <v>156</v>
      </c>
      <c r="K163" s="22" t="s">
        <v>108</v>
      </c>
      <c r="L163" s="22" t="s">
        <v>109</v>
      </c>
      <c r="M163" s="22" t="s">
        <v>1148</v>
      </c>
      <c r="N163" s="22" t="s">
        <v>1168</v>
      </c>
      <c r="O163" s="22" t="s">
        <v>130</v>
      </c>
      <c r="P163" s="22" t="s">
        <v>112</v>
      </c>
      <c r="Q163" s="22">
        <v>19800</v>
      </c>
      <c r="R163" s="22" t="s">
        <v>499</v>
      </c>
      <c r="S163" s="22" t="s">
        <v>112</v>
      </c>
      <c r="T163" s="22" t="s">
        <v>114</v>
      </c>
      <c r="U163" s="22" t="s">
        <v>112</v>
      </c>
      <c r="V163" s="22" t="s">
        <v>132</v>
      </c>
      <c r="W163" s="22" t="s">
        <v>282</v>
      </c>
      <c r="X163" s="22" t="s">
        <v>283</v>
      </c>
      <c r="Y163" s="22" t="s">
        <v>22</v>
      </c>
      <c r="Z163" s="22" t="s">
        <v>1169</v>
      </c>
      <c r="AA163" s="22" t="s">
        <v>22</v>
      </c>
      <c r="AB163" s="22" t="s">
        <v>1169</v>
      </c>
      <c r="AC163" s="22" t="s">
        <v>1170</v>
      </c>
      <c r="AD163" s="22" t="s">
        <v>120</v>
      </c>
      <c r="AE163" s="22" t="s">
        <v>152</v>
      </c>
      <c r="AF163" s="22" t="s">
        <v>1171</v>
      </c>
      <c r="AG163" s="22" t="s">
        <v>1148</v>
      </c>
      <c r="AH163" s="22"/>
      <c r="AI163" s="22" t="s">
        <v>542</v>
      </c>
      <c r="AJ163" s="22" t="s">
        <v>1172</v>
      </c>
      <c r="AK163" s="22" t="s">
        <v>140</v>
      </c>
      <c r="AL163" s="22" t="s">
        <v>1173</v>
      </c>
      <c r="AM163" s="22" t="s">
        <v>653</v>
      </c>
      <c r="AN163" s="22" t="s">
        <v>143</v>
      </c>
      <c r="AO163" s="22" t="s">
        <v>209</v>
      </c>
      <c r="AP163" s="22" t="s">
        <v>112</v>
      </c>
    </row>
    <row r="164" spans="10:42" s="18" customFormat="1" ht="16.8" customHeight="1">
      <c r="J164" s="22">
        <v>157</v>
      </c>
      <c r="K164" s="22" t="s">
        <v>108</v>
      </c>
      <c r="L164" s="22" t="s">
        <v>109</v>
      </c>
      <c r="M164" s="22" t="s">
        <v>1148</v>
      </c>
      <c r="N164" s="22" t="s">
        <v>489</v>
      </c>
      <c r="O164" s="22" t="s">
        <v>130</v>
      </c>
      <c r="P164" s="22" t="s">
        <v>112</v>
      </c>
      <c r="Q164" s="22">
        <v>5382</v>
      </c>
      <c r="R164" s="22"/>
      <c r="S164" s="22" t="s">
        <v>112</v>
      </c>
      <c r="T164" s="22" t="s">
        <v>131</v>
      </c>
      <c r="U164" s="22" t="s">
        <v>112</v>
      </c>
      <c r="V164" s="22" t="s">
        <v>132</v>
      </c>
      <c r="W164" s="22" t="s">
        <v>246</v>
      </c>
      <c r="X164" s="22" t="s">
        <v>247</v>
      </c>
      <c r="Y164" s="22" t="s">
        <v>21</v>
      </c>
      <c r="Z164" s="22" t="s">
        <v>1174</v>
      </c>
      <c r="AA164" s="22" t="s">
        <v>21</v>
      </c>
      <c r="AB164" s="22" t="s">
        <v>1175</v>
      </c>
      <c r="AC164" s="22" t="s">
        <v>1176</v>
      </c>
      <c r="AD164" s="22" t="s">
        <v>135</v>
      </c>
      <c r="AE164" s="22" t="s">
        <v>399</v>
      </c>
      <c r="AF164" s="22" t="s">
        <v>493</v>
      </c>
      <c r="AG164" s="22" t="s">
        <v>1148</v>
      </c>
      <c r="AH164" s="22"/>
      <c r="AI164" s="22" t="s">
        <v>494</v>
      </c>
      <c r="AJ164" s="22" t="s">
        <v>495</v>
      </c>
      <c r="AK164" s="22" t="s">
        <v>303</v>
      </c>
      <c r="AL164" s="22" t="s">
        <v>165</v>
      </c>
      <c r="AM164" s="22" t="s">
        <v>496</v>
      </c>
      <c r="AN164" s="22" t="s">
        <v>157</v>
      </c>
      <c r="AO164" s="22" t="s">
        <v>404</v>
      </c>
      <c r="AP164" s="22" t="s">
        <v>112</v>
      </c>
    </row>
    <row r="165" spans="10:42" s="18" customFormat="1" ht="16.8" customHeight="1">
      <c r="J165" s="22">
        <v>158</v>
      </c>
      <c r="K165" s="22" t="s">
        <v>108</v>
      </c>
      <c r="L165" s="22" t="s">
        <v>109</v>
      </c>
      <c r="M165" s="22" t="s">
        <v>1148</v>
      </c>
      <c r="N165" s="22" t="s">
        <v>1177</v>
      </c>
      <c r="O165" s="22" t="s">
        <v>130</v>
      </c>
      <c r="P165" s="22" t="s">
        <v>112</v>
      </c>
      <c r="Q165" s="22">
        <v>5832</v>
      </c>
      <c r="R165" s="22"/>
      <c r="S165" s="22" t="s">
        <v>396</v>
      </c>
      <c r="T165" s="22" t="s">
        <v>114</v>
      </c>
      <c r="U165" s="22" t="s">
        <v>112</v>
      </c>
      <c r="V165" s="22" t="s">
        <v>132</v>
      </c>
      <c r="W165" s="22" t="s">
        <v>116</v>
      </c>
      <c r="X165" s="22" t="s">
        <v>290</v>
      </c>
      <c r="Y165" s="22" t="s">
        <v>24</v>
      </c>
      <c r="Z165" s="22" t="s">
        <v>1124</v>
      </c>
      <c r="AA165" s="22" t="s">
        <v>24</v>
      </c>
      <c r="AB165" s="22" t="s">
        <v>1124</v>
      </c>
      <c r="AC165" s="22" t="s">
        <v>1178</v>
      </c>
      <c r="AD165" s="22" t="s">
        <v>120</v>
      </c>
      <c r="AE165" s="22" t="s">
        <v>193</v>
      </c>
      <c r="AF165" s="22" t="s">
        <v>1179</v>
      </c>
      <c r="AG165" s="22" t="s">
        <v>1148</v>
      </c>
      <c r="AH165" s="22"/>
      <c r="AI165" s="22" t="s">
        <v>138</v>
      </c>
      <c r="AJ165" s="22" t="s">
        <v>139</v>
      </c>
      <c r="AK165" s="22" t="s">
        <v>140</v>
      </c>
      <c r="AL165" s="22" t="s">
        <v>142</v>
      </c>
      <c r="AM165" s="22" t="s">
        <v>142</v>
      </c>
      <c r="AN165" s="22" t="s">
        <v>143</v>
      </c>
      <c r="AO165" s="22" t="s">
        <v>144</v>
      </c>
      <c r="AP165" s="22" t="s">
        <v>112</v>
      </c>
    </row>
    <row r="166" spans="10:42" s="18" customFormat="1" ht="16.8" customHeight="1">
      <c r="J166" s="22">
        <v>159</v>
      </c>
      <c r="K166" s="22" t="s">
        <v>108</v>
      </c>
      <c r="L166" s="22" t="s">
        <v>109</v>
      </c>
      <c r="M166" s="22" t="s">
        <v>1148</v>
      </c>
      <c r="N166" s="22" t="s">
        <v>1180</v>
      </c>
      <c r="O166" s="22" t="s">
        <v>130</v>
      </c>
      <c r="P166" s="22" t="s">
        <v>112</v>
      </c>
      <c r="Q166" s="22">
        <v>5832</v>
      </c>
      <c r="R166" s="22"/>
      <c r="S166" s="22" t="s">
        <v>112</v>
      </c>
      <c r="T166" s="22" t="s">
        <v>131</v>
      </c>
      <c r="U166" s="22" t="s">
        <v>112</v>
      </c>
      <c r="V166" s="22" t="s">
        <v>132</v>
      </c>
      <c r="W166" s="22" t="s">
        <v>235</v>
      </c>
      <c r="X166" s="22" t="s">
        <v>484</v>
      </c>
      <c r="Y166" s="22" t="s">
        <v>12</v>
      </c>
      <c r="Z166" s="22" t="s">
        <v>1181</v>
      </c>
      <c r="AA166" s="22" t="s">
        <v>12</v>
      </c>
      <c r="AB166" s="22" t="s">
        <v>1181</v>
      </c>
      <c r="AC166" s="22" t="s">
        <v>1182</v>
      </c>
      <c r="AD166" s="22" t="s">
        <v>120</v>
      </c>
      <c r="AE166" s="22" t="s">
        <v>136</v>
      </c>
      <c r="AF166" s="22" t="s">
        <v>1183</v>
      </c>
      <c r="AG166" s="22" t="s">
        <v>1148</v>
      </c>
      <c r="AH166" s="22"/>
      <c r="AI166" s="22" t="s">
        <v>205</v>
      </c>
      <c r="AJ166" s="22" t="s">
        <v>772</v>
      </c>
      <c r="AK166" s="22" t="s">
        <v>140</v>
      </c>
      <c r="AL166" s="22" t="s">
        <v>1184</v>
      </c>
      <c r="AM166" s="22" t="s">
        <v>1185</v>
      </c>
      <c r="AN166" s="22" t="s">
        <v>143</v>
      </c>
      <c r="AO166" s="22" t="s">
        <v>209</v>
      </c>
      <c r="AP166" s="22" t="s">
        <v>112</v>
      </c>
    </row>
    <row r="167" spans="10:42" s="18" customFormat="1" ht="16.8" customHeight="1">
      <c r="J167" s="22">
        <v>160</v>
      </c>
      <c r="K167" s="22" t="s">
        <v>108</v>
      </c>
      <c r="L167" s="22" t="s">
        <v>109</v>
      </c>
      <c r="M167" s="22" t="s">
        <v>1148</v>
      </c>
      <c r="N167" s="22" t="s">
        <v>1186</v>
      </c>
      <c r="O167" s="22" t="s">
        <v>130</v>
      </c>
      <c r="P167" s="22" t="s">
        <v>112</v>
      </c>
      <c r="Q167" s="22">
        <v>13000</v>
      </c>
      <c r="R167" s="22"/>
      <c r="S167" s="22" t="s">
        <v>1187</v>
      </c>
      <c r="T167" s="22" t="s">
        <v>131</v>
      </c>
      <c r="U167" s="22" t="s">
        <v>112</v>
      </c>
      <c r="V167" s="22" t="s">
        <v>132</v>
      </c>
      <c r="W167" s="22" t="s">
        <v>116</v>
      </c>
      <c r="X167" s="22" t="s">
        <v>377</v>
      </c>
      <c r="Y167" s="22" t="s">
        <v>22</v>
      </c>
      <c r="Z167" s="22" t="s">
        <v>1188</v>
      </c>
      <c r="AA167" s="22" t="s">
        <v>22</v>
      </c>
      <c r="AB167" s="22" t="s">
        <v>1189</v>
      </c>
      <c r="AC167" s="22" t="s">
        <v>1190</v>
      </c>
      <c r="AD167" s="22" t="s">
        <v>120</v>
      </c>
      <c r="AE167" s="22"/>
      <c r="AF167" s="22" t="s">
        <v>1191</v>
      </c>
      <c r="AG167" s="22"/>
      <c r="AH167" s="22"/>
      <c r="AI167" s="22" t="s">
        <v>182</v>
      </c>
      <c r="AJ167" s="22" t="s">
        <v>321</v>
      </c>
      <c r="AK167" s="22" t="s">
        <v>140</v>
      </c>
      <c r="AL167" s="22" t="s">
        <v>1192</v>
      </c>
      <c r="AM167" s="22" t="s">
        <v>1193</v>
      </c>
      <c r="AN167" s="22" t="s">
        <v>157</v>
      </c>
      <c r="AO167" s="22" t="s">
        <v>182</v>
      </c>
      <c r="AP167" s="22" t="s">
        <v>186</v>
      </c>
    </row>
    <row r="168" spans="10:42" s="18" customFormat="1" ht="16.8" customHeight="1">
      <c r="J168" s="22">
        <v>161</v>
      </c>
      <c r="K168" s="22" t="s">
        <v>108</v>
      </c>
      <c r="L168" s="22" t="s">
        <v>109</v>
      </c>
      <c r="M168" s="22" t="s">
        <v>187</v>
      </c>
      <c r="N168" s="22" t="s">
        <v>188</v>
      </c>
      <c r="O168" s="22" t="s">
        <v>130</v>
      </c>
      <c r="P168" s="22" t="s">
        <v>112</v>
      </c>
      <c r="Q168" s="22">
        <v>5580</v>
      </c>
      <c r="R168" s="22" t="s">
        <v>147</v>
      </c>
      <c r="S168" s="22" t="s">
        <v>189</v>
      </c>
      <c r="T168" s="22" t="s">
        <v>114</v>
      </c>
      <c r="U168" s="22" t="s">
        <v>112</v>
      </c>
      <c r="V168" s="22" t="s">
        <v>132</v>
      </c>
      <c r="W168" s="22" t="s">
        <v>116</v>
      </c>
      <c r="X168" s="22" t="s">
        <v>190</v>
      </c>
      <c r="Y168" s="22" t="s">
        <v>19</v>
      </c>
      <c r="Z168" s="22" t="s">
        <v>191</v>
      </c>
      <c r="AA168" s="22" t="s">
        <v>19</v>
      </c>
      <c r="AB168" s="22" t="s">
        <v>191</v>
      </c>
      <c r="AC168" s="22" t="s">
        <v>192</v>
      </c>
      <c r="AD168" s="22" t="s">
        <v>120</v>
      </c>
      <c r="AE168" s="22" t="s">
        <v>193</v>
      </c>
      <c r="AF168" s="22" t="s">
        <v>194</v>
      </c>
      <c r="AG168" s="22" t="s">
        <v>187</v>
      </c>
      <c r="AH168" s="22"/>
      <c r="AI168" s="22" t="s">
        <v>138</v>
      </c>
      <c r="AJ168" s="22" t="s">
        <v>195</v>
      </c>
      <c r="AK168" s="22" t="s">
        <v>140</v>
      </c>
      <c r="AL168" s="22" t="s">
        <v>196</v>
      </c>
      <c r="AM168" s="22" t="s">
        <v>197</v>
      </c>
      <c r="AN168" s="22" t="s">
        <v>143</v>
      </c>
      <c r="AO168" s="22" t="s">
        <v>144</v>
      </c>
      <c r="AP168" s="22" t="s">
        <v>112</v>
      </c>
    </row>
    <row r="169" spans="10:42" s="18" customFormat="1" ht="16.8" customHeight="1">
      <c r="J169" s="22">
        <v>162</v>
      </c>
      <c r="K169" s="22" t="s">
        <v>108</v>
      </c>
      <c r="L169" s="22" t="s">
        <v>109</v>
      </c>
      <c r="M169" s="22" t="s">
        <v>187</v>
      </c>
      <c r="N169" s="22" t="s">
        <v>198</v>
      </c>
      <c r="O169" s="22" t="s">
        <v>130</v>
      </c>
      <c r="P169" s="22" t="s">
        <v>112</v>
      </c>
      <c r="Q169" s="22">
        <v>5780</v>
      </c>
      <c r="R169" s="22" t="s">
        <v>147</v>
      </c>
      <c r="S169" s="22" t="s">
        <v>199</v>
      </c>
      <c r="T169" s="22" t="s">
        <v>114</v>
      </c>
      <c r="U169" s="22" t="s">
        <v>112</v>
      </c>
      <c r="V169" s="22" t="s">
        <v>132</v>
      </c>
      <c r="W169" s="22" t="s">
        <v>116</v>
      </c>
      <c r="X169" s="22" t="s">
        <v>200</v>
      </c>
      <c r="Y169" s="22" t="s">
        <v>19</v>
      </c>
      <c r="Z169" s="22" t="s">
        <v>201</v>
      </c>
      <c r="AA169" s="22" t="s">
        <v>19</v>
      </c>
      <c r="AB169" s="22" t="s">
        <v>202</v>
      </c>
      <c r="AC169" s="22" t="s">
        <v>203</v>
      </c>
      <c r="AD169" s="22" t="s">
        <v>120</v>
      </c>
      <c r="AE169" s="22" t="s">
        <v>193</v>
      </c>
      <c r="AF169" s="22" t="s">
        <v>204</v>
      </c>
      <c r="AG169" s="22" t="s">
        <v>187</v>
      </c>
      <c r="AH169" s="22"/>
      <c r="AI169" s="22" t="s">
        <v>205</v>
      </c>
      <c r="AJ169" s="22" t="s">
        <v>206</v>
      </c>
      <c r="AK169" s="22" t="s">
        <v>140</v>
      </c>
      <c r="AL169" s="22" t="s">
        <v>207</v>
      </c>
      <c r="AM169" s="22" t="s">
        <v>208</v>
      </c>
      <c r="AN169" s="22" t="s">
        <v>157</v>
      </c>
      <c r="AO169" s="22" t="s">
        <v>209</v>
      </c>
      <c r="AP169" s="22" t="s">
        <v>112</v>
      </c>
    </row>
    <row r="170" spans="10:42" s="18" customFormat="1" ht="16.8" customHeight="1">
      <c r="J170" s="22">
        <v>163</v>
      </c>
      <c r="K170" s="22" t="s">
        <v>108</v>
      </c>
      <c r="L170" s="22" t="s">
        <v>109</v>
      </c>
      <c r="M170" s="22" t="s">
        <v>187</v>
      </c>
      <c r="N170" s="22" t="s">
        <v>1194</v>
      </c>
      <c r="O170" s="22" t="s">
        <v>130</v>
      </c>
      <c r="P170" s="22" t="s">
        <v>112</v>
      </c>
      <c r="Q170" s="22">
        <v>5874</v>
      </c>
      <c r="R170" s="22" t="s">
        <v>147</v>
      </c>
      <c r="S170" s="22" t="s">
        <v>1195</v>
      </c>
      <c r="T170" s="22" t="s">
        <v>114</v>
      </c>
      <c r="U170" s="22" t="s">
        <v>112</v>
      </c>
      <c r="V170" s="22" t="s">
        <v>132</v>
      </c>
      <c r="W170" s="22" t="s">
        <v>116</v>
      </c>
      <c r="X170" s="22" t="s">
        <v>377</v>
      </c>
      <c r="Y170" s="22" t="s">
        <v>22</v>
      </c>
      <c r="Z170" s="22" t="s">
        <v>1196</v>
      </c>
      <c r="AA170" s="22" t="s">
        <v>22</v>
      </c>
      <c r="AB170" s="22" t="s">
        <v>1196</v>
      </c>
      <c r="AC170" s="22" t="s">
        <v>1197</v>
      </c>
      <c r="AD170" s="22" t="s">
        <v>135</v>
      </c>
      <c r="AE170" s="22" t="s">
        <v>193</v>
      </c>
      <c r="AF170" s="22" t="s">
        <v>1198</v>
      </c>
      <c r="AG170" s="22" t="s">
        <v>187</v>
      </c>
      <c r="AH170" s="22"/>
      <c r="AI170" s="22" t="s">
        <v>182</v>
      </c>
      <c r="AJ170" s="22" t="s">
        <v>1024</v>
      </c>
      <c r="AK170" s="22" t="s">
        <v>140</v>
      </c>
      <c r="AL170" s="22" t="s">
        <v>1025</v>
      </c>
      <c r="AM170" s="22" t="s">
        <v>1026</v>
      </c>
      <c r="AN170" s="22" t="s">
        <v>157</v>
      </c>
      <c r="AO170" s="22" t="s">
        <v>182</v>
      </c>
      <c r="AP170" s="22" t="s">
        <v>186</v>
      </c>
    </row>
    <row r="171" spans="10:42" s="18" customFormat="1" ht="16.8" customHeight="1">
      <c r="J171" s="22">
        <v>164</v>
      </c>
      <c r="K171" s="22" t="s">
        <v>108</v>
      </c>
      <c r="L171" s="22" t="s">
        <v>109</v>
      </c>
      <c r="M171" s="22" t="s">
        <v>187</v>
      </c>
      <c r="N171" s="22" t="s">
        <v>1199</v>
      </c>
      <c r="O171" s="22" t="s">
        <v>130</v>
      </c>
      <c r="P171" s="22" t="s">
        <v>112</v>
      </c>
      <c r="Q171" s="22">
        <v>5874</v>
      </c>
      <c r="R171" s="22" t="s">
        <v>147</v>
      </c>
      <c r="S171" s="22" t="s">
        <v>112</v>
      </c>
      <c r="T171" s="22" t="s">
        <v>114</v>
      </c>
      <c r="U171" s="22" t="s">
        <v>112</v>
      </c>
      <c r="V171" s="22" t="s">
        <v>132</v>
      </c>
      <c r="W171" s="22" t="s">
        <v>308</v>
      </c>
      <c r="X171" s="22" t="s">
        <v>1200</v>
      </c>
      <c r="Y171" s="22" t="s">
        <v>22</v>
      </c>
      <c r="Z171" s="22" t="s">
        <v>1201</v>
      </c>
      <c r="AA171" s="22" t="s">
        <v>22</v>
      </c>
      <c r="AB171" s="22" t="s">
        <v>1201</v>
      </c>
      <c r="AC171" s="22" t="s">
        <v>1202</v>
      </c>
      <c r="AD171" s="22" t="s">
        <v>120</v>
      </c>
      <c r="AE171" s="22" t="s">
        <v>193</v>
      </c>
      <c r="AF171" s="22" t="s">
        <v>1203</v>
      </c>
      <c r="AG171" s="22" t="s">
        <v>187</v>
      </c>
      <c r="AH171" s="22"/>
      <c r="AI171" s="22" t="s">
        <v>205</v>
      </c>
      <c r="AJ171" s="22" t="s">
        <v>1204</v>
      </c>
      <c r="AK171" s="22" t="s">
        <v>124</v>
      </c>
      <c r="AL171" s="22" t="s">
        <v>1205</v>
      </c>
      <c r="AM171" s="22" t="s">
        <v>1206</v>
      </c>
      <c r="AN171" s="22" t="s">
        <v>143</v>
      </c>
      <c r="AO171" s="22" t="s">
        <v>209</v>
      </c>
      <c r="AP171" s="22" t="s">
        <v>112</v>
      </c>
    </row>
    <row r="172" spans="10:42" s="18" customFormat="1" ht="16.8" customHeight="1">
      <c r="J172" s="22">
        <v>165</v>
      </c>
      <c r="K172" s="22" t="s">
        <v>108</v>
      </c>
      <c r="L172" s="22" t="s">
        <v>109</v>
      </c>
      <c r="M172" s="22" t="s">
        <v>187</v>
      </c>
      <c r="N172" s="22" t="s">
        <v>210</v>
      </c>
      <c r="O172" s="22" t="s">
        <v>130</v>
      </c>
      <c r="P172" s="22" t="s">
        <v>112</v>
      </c>
      <c r="Q172" s="22">
        <v>5480</v>
      </c>
      <c r="R172" s="22" t="s">
        <v>147</v>
      </c>
      <c r="S172" s="22" t="s">
        <v>189</v>
      </c>
      <c r="T172" s="22" t="s">
        <v>114</v>
      </c>
      <c r="U172" s="22" t="s">
        <v>112</v>
      </c>
      <c r="V172" s="22" t="s">
        <v>132</v>
      </c>
      <c r="W172" s="22" t="s">
        <v>116</v>
      </c>
      <c r="X172" s="22" t="s">
        <v>190</v>
      </c>
      <c r="Y172" s="22" t="s">
        <v>19</v>
      </c>
      <c r="Z172" s="22" t="s">
        <v>211</v>
      </c>
      <c r="AA172" s="22" t="s">
        <v>19</v>
      </c>
      <c r="AB172" s="22" t="s">
        <v>211</v>
      </c>
      <c r="AC172" s="22" t="s">
        <v>212</v>
      </c>
      <c r="AD172" s="22" t="s">
        <v>120</v>
      </c>
      <c r="AE172" s="22" t="s">
        <v>193</v>
      </c>
      <c r="AF172" s="22" t="s">
        <v>213</v>
      </c>
      <c r="AG172" s="22" t="s">
        <v>187</v>
      </c>
      <c r="AH172" s="22"/>
      <c r="AI172" s="22" t="s">
        <v>205</v>
      </c>
      <c r="AJ172" s="22" t="s">
        <v>214</v>
      </c>
      <c r="AK172" s="22" t="s">
        <v>140</v>
      </c>
      <c r="AL172" s="22" t="s">
        <v>215</v>
      </c>
      <c r="AM172" s="22" t="s">
        <v>216</v>
      </c>
      <c r="AN172" s="22" t="s">
        <v>143</v>
      </c>
      <c r="AO172" s="22" t="s">
        <v>209</v>
      </c>
      <c r="AP172" s="22" t="s">
        <v>112</v>
      </c>
    </row>
    <row r="173" spans="10:42" s="18" customFormat="1" ht="16.8" customHeight="1">
      <c r="J173" s="22">
        <v>166</v>
      </c>
      <c r="K173" s="22" t="s">
        <v>108</v>
      </c>
      <c r="L173" s="22" t="s">
        <v>109</v>
      </c>
      <c r="M173" s="22" t="s">
        <v>1207</v>
      </c>
      <c r="N173" s="22" t="s">
        <v>1208</v>
      </c>
      <c r="O173" s="22" t="s">
        <v>130</v>
      </c>
      <c r="P173" s="22" t="s">
        <v>112</v>
      </c>
      <c r="Q173" s="22">
        <v>2916</v>
      </c>
      <c r="R173" s="22"/>
      <c r="S173" s="22" t="s">
        <v>583</v>
      </c>
      <c r="T173" s="22" t="s">
        <v>131</v>
      </c>
      <c r="U173" s="22" t="s">
        <v>112</v>
      </c>
      <c r="V173" s="22" t="s">
        <v>132</v>
      </c>
      <c r="W173" s="22" t="s">
        <v>116</v>
      </c>
      <c r="X173" s="22" t="s">
        <v>1209</v>
      </c>
      <c r="Y173" s="22" t="s">
        <v>19</v>
      </c>
      <c r="Z173" s="22" t="s">
        <v>1210</v>
      </c>
      <c r="AA173" s="22" t="s">
        <v>19</v>
      </c>
      <c r="AB173" s="22" t="s">
        <v>1210</v>
      </c>
      <c r="AC173" s="22" t="s">
        <v>1211</v>
      </c>
      <c r="AD173" s="22" t="s">
        <v>120</v>
      </c>
      <c r="AE173" s="22" t="s">
        <v>136</v>
      </c>
      <c r="AF173" s="22" t="s">
        <v>1212</v>
      </c>
      <c r="AG173" s="22" t="s">
        <v>1207</v>
      </c>
      <c r="AH173" s="22"/>
      <c r="AI173" s="22" t="s">
        <v>138</v>
      </c>
      <c r="AJ173" s="22" t="s">
        <v>139</v>
      </c>
      <c r="AK173" s="22" t="s">
        <v>140</v>
      </c>
      <c r="AL173" s="22" t="s">
        <v>141</v>
      </c>
      <c r="AM173" s="22" t="s">
        <v>142</v>
      </c>
      <c r="AN173" s="22" t="s">
        <v>143</v>
      </c>
      <c r="AO173" s="22" t="s">
        <v>144</v>
      </c>
      <c r="AP173" s="22" t="s">
        <v>112</v>
      </c>
    </row>
    <row r="174" spans="10:42" s="18" customFormat="1" ht="16.8" customHeight="1">
      <c r="J174" s="22">
        <v>167</v>
      </c>
      <c r="K174" s="22" t="s">
        <v>108</v>
      </c>
      <c r="L174" s="22" t="s">
        <v>109</v>
      </c>
      <c r="M174" s="22" t="s">
        <v>1207</v>
      </c>
      <c r="N174" s="22" t="s">
        <v>1213</v>
      </c>
      <c r="O174" s="22" t="s">
        <v>130</v>
      </c>
      <c r="P174" s="22" t="s">
        <v>112</v>
      </c>
      <c r="Q174" s="22">
        <v>5382</v>
      </c>
      <c r="R174" s="22"/>
      <c r="S174" s="22" t="s">
        <v>1214</v>
      </c>
      <c r="T174" s="22" t="s">
        <v>131</v>
      </c>
      <c r="U174" s="22" t="s">
        <v>112</v>
      </c>
      <c r="V174" s="22" t="s">
        <v>132</v>
      </c>
      <c r="W174" s="22" t="s">
        <v>116</v>
      </c>
      <c r="X174" s="22" t="s">
        <v>377</v>
      </c>
      <c r="Y174" s="22" t="s">
        <v>12</v>
      </c>
      <c r="Z174" s="22" t="s">
        <v>1215</v>
      </c>
      <c r="AA174" s="22" t="s">
        <v>12</v>
      </c>
      <c r="AB174" s="22" t="s">
        <v>1216</v>
      </c>
      <c r="AC174" s="22" t="s">
        <v>1217</v>
      </c>
      <c r="AD174" s="22" t="s">
        <v>120</v>
      </c>
      <c r="AE174" s="22" t="s">
        <v>399</v>
      </c>
      <c r="AF174" s="22" t="s">
        <v>1218</v>
      </c>
      <c r="AG174" s="22" t="s">
        <v>1207</v>
      </c>
      <c r="AH174" s="22"/>
      <c r="AI174" s="22" t="s">
        <v>205</v>
      </c>
      <c r="AJ174" s="22" t="s">
        <v>225</v>
      </c>
      <c r="AK174" s="22" t="s">
        <v>140</v>
      </c>
      <c r="AL174" s="22" t="s">
        <v>1219</v>
      </c>
      <c r="AM174" s="22" t="s">
        <v>125</v>
      </c>
      <c r="AN174" s="22" t="s">
        <v>143</v>
      </c>
      <c r="AO174" s="22" t="s">
        <v>209</v>
      </c>
      <c r="AP174" s="22" t="s">
        <v>112</v>
      </c>
    </row>
    <row r="175" spans="10:42" s="18" customFormat="1" ht="16.8" customHeight="1">
      <c r="J175" s="22">
        <v>168</v>
      </c>
      <c r="K175" s="22" t="s">
        <v>108</v>
      </c>
      <c r="L175" s="22" t="s">
        <v>109</v>
      </c>
      <c r="M175" s="22" t="s">
        <v>1207</v>
      </c>
      <c r="N175" s="22" t="s">
        <v>1220</v>
      </c>
      <c r="O175" s="22" t="s">
        <v>130</v>
      </c>
      <c r="P175" s="22" t="s">
        <v>112</v>
      </c>
      <c r="Q175" s="22">
        <v>15120</v>
      </c>
      <c r="R175" s="22" t="s">
        <v>147</v>
      </c>
      <c r="S175" s="22" t="s">
        <v>112</v>
      </c>
      <c r="T175" s="22" t="s">
        <v>114</v>
      </c>
      <c r="U175" s="22" t="s">
        <v>112</v>
      </c>
      <c r="V175" s="22" t="s">
        <v>132</v>
      </c>
      <c r="W175" s="22" t="s">
        <v>235</v>
      </c>
      <c r="X175" s="22" t="s">
        <v>236</v>
      </c>
      <c r="Y175" s="22" t="s">
        <v>24</v>
      </c>
      <c r="Z175" s="22" t="s">
        <v>1221</v>
      </c>
      <c r="AA175" s="22" t="s">
        <v>24</v>
      </c>
      <c r="AB175" s="22" t="s">
        <v>1222</v>
      </c>
      <c r="AC175" s="22" t="s">
        <v>1223</v>
      </c>
      <c r="AD175" s="22" t="s">
        <v>120</v>
      </c>
      <c r="AE175" s="22" t="s">
        <v>152</v>
      </c>
      <c r="AF175" s="22" t="s">
        <v>1224</v>
      </c>
      <c r="AG175" s="22" t="s">
        <v>1207</v>
      </c>
      <c r="AH175" s="22"/>
      <c r="AI175" s="22" t="s">
        <v>138</v>
      </c>
      <c r="AJ175" s="22" t="s">
        <v>1225</v>
      </c>
      <c r="AK175" s="22" t="s">
        <v>140</v>
      </c>
      <c r="AL175" s="22" t="s">
        <v>418</v>
      </c>
      <c r="AM175" s="22" t="s">
        <v>1226</v>
      </c>
      <c r="AN175" s="22" t="s">
        <v>143</v>
      </c>
      <c r="AO175" s="22" t="s">
        <v>1227</v>
      </c>
      <c r="AP175" s="22" t="s">
        <v>112</v>
      </c>
    </row>
    <row r="176" spans="10:42" s="18" customFormat="1" ht="16.8" customHeight="1">
      <c r="J176" s="22">
        <v>169</v>
      </c>
      <c r="K176" s="22" t="s">
        <v>108</v>
      </c>
      <c r="L176" s="22" t="s">
        <v>109</v>
      </c>
      <c r="M176" s="22" t="s">
        <v>1207</v>
      </c>
      <c r="N176" s="22" t="s">
        <v>1228</v>
      </c>
      <c r="O176" s="22" t="s">
        <v>130</v>
      </c>
      <c r="P176" s="22" t="s">
        <v>112</v>
      </c>
      <c r="Q176" s="22">
        <v>5382</v>
      </c>
      <c r="R176" s="22"/>
      <c r="S176" s="22" t="s">
        <v>112</v>
      </c>
      <c r="T176" s="22" t="s">
        <v>131</v>
      </c>
      <c r="U176" s="22" t="s">
        <v>112</v>
      </c>
      <c r="V176" s="22" t="s">
        <v>132</v>
      </c>
      <c r="W176" s="22" t="s">
        <v>273</v>
      </c>
      <c r="X176" s="22" t="s">
        <v>442</v>
      </c>
      <c r="Y176" s="22" t="s">
        <v>20</v>
      </c>
      <c r="Z176" s="22" t="s">
        <v>1229</v>
      </c>
      <c r="AA176" s="22" t="s">
        <v>20</v>
      </c>
      <c r="AB176" s="22" t="s">
        <v>1229</v>
      </c>
      <c r="AC176" s="22" t="s">
        <v>1230</v>
      </c>
      <c r="AD176" s="22" t="s">
        <v>135</v>
      </c>
      <c r="AE176" s="22" t="s">
        <v>136</v>
      </c>
      <c r="AF176" s="22" t="s">
        <v>1231</v>
      </c>
      <c r="AG176" s="22" t="s">
        <v>1207</v>
      </c>
      <c r="AH176" s="22"/>
      <c r="AI176" s="22" t="s">
        <v>205</v>
      </c>
      <c r="AJ176" s="22" t="s">
        <v>1232</v>
      </c>
      <c r="AK176" s="22" t="s">
        <v>1233</v>
      </c>
      <c r="AL176" s="22" t="s">
        <v>1234</v>
      </c>
      <c r="AM176" s="22" t="s">
        <v>1235</v>
      </c>
      <c r="AN176" s="22" t="s">
        <v>143</v>
      </c>
      <c r="AO176" s="22" t="s">
        <v>209</v>
      </c>
      <c r="AP176" s="22" t="s">
        <v>112</v>
      </c>
    </row>
    <row r="177" spans="10:42" s="18" customFormat="1" ht="16.8" customHeight="1">
      <c r="J177" s="22">
        <v>170</v>
      </c>
      <c r="K177" s="22" t="s">
        <v>108</v>
      </c>
      <c r="L177" s="22" t="s">
        <v>109</v>
      </c>
      <c r="M177" s="22" t="s">
        <v>1207</v>
      </c>
      <c r="N177" s="22" t="s">
        <v>1236</v>
      </c>
      <c r="O177" s="22" t="s">
        <v>130</v>
      </c>
      <c r="P177" s="22" t="s">
        <v>112</v>
      </c>
      <c r="Q177" s="22">
        <v>15300</v>
      </c>
      <c r="R177" s="22"/>
      <c r="S177" s="22" t="s">
        <v>112</v>
      </c>
      <c r="T177" s="22" t="s">
        <v>131</v>
      </c>
      <c r="U177" s="22" t="s">
        <v>112</v>
      </c>
      <c r="V177" s="22" t="s">
        <v>132</v>
      </c>
      <c r="W177" s="22" t="s">
        <v>282</v>
      </c>
      <c r="X177" s="22" t="s">
        <v>283</v>
      </c>
      <c r="Y177" s="22" t="s">
        <v>22</v>
      </c>
      <c r="Z177" s="22" t="s">
        <v>1237</v>
      </c>
      <c r="AA177" s="22" t="s">
        <v>22</v>
      </c>
      <c r="AB177" s="22" t="s">
        <v>1237</v>
      </c>
      <c r="AC177" s="22" t="s">
        <v>1238</v>
      </c>
      <c r="AD177" s="22" t="s">
        <v>120</v>
      </c>
      <c r="AE177" s="22" t="s">
        <v>136</v>
      </c>
      <c r="AF177" s="22" t="s">
        <v>1239</v>
      </c>
      <c r="AG177" s="22" t="s">
        <v>1207</v>
      </c>
      <c r="AH177" s="22"/>
      <c r="AI177" s="22" t="s">
        <v>411</v>
      </c>
      <c r="AJ177" s="22" t="s">
        <v>1240</v>
      </c>
      <c r="AK177" s="22" t="s">
        <v>124</v>
      </c>
      <c r="AL177" s="22" t="s">
        <v>563</v>
      </c>
      <c r="AM177" s="22" t="s">
        <v>1241</v>
      </c>
      <c r="AN177" s="22" t="s">
        <v>143</v>
      </c>
      <c r="AO177" s="22" t="s">
        <v>144</v>
      </c>
      <c r="AP177" s="22" t="s">
        <v>112</v>
      </c>
    </row>
    <row r="178" spans="10:42" s="18" customFormat="1" ht="16.8" customHeight="1">
      <c r="J178" s="22">
        <v>171</v>
      </c>
      <c r="K178" s="22" t="s">
        <v>108</v>
      </c>
      <c r="L178" s="22" t="s">
        <v>109</v>
      </c>
      <c r="M178" s="22" t="s">
        <v>1207</v>
      </c>
      <c r="N178" s="22" t="s">
        <v>1208</v>
      </c>
      <c r="O178" s="22" t="s">
        <v>130</v>
      </c>
      <c r="P178" s="22" t="s">
        <v>112</v>
      </c>
      <c r="Q178" s="22">
        <v>2916</v>
      </c>
      <c r="R178" s="22"/>
      <c r="S178" s="22" t="s">
        <v>583</v>
      </c>
      <c r="T178" s="22" t="s">
        <v>352</v>
      </c>
      <c r="U178" s="22" t="s">
        <v>112</v>
      </c>
      <c r="V178" s="22" t="s">
        <v>132</v>
      </c>
      <c r="W178" s="22" t="s">
        <v>116</v>
      </c>
      <c r="X178" s="22" t="s">
        <v>1209</v>
      </c>
      <c r="Y178" s="22" t="s">
        <v>20</v>
      </c>
      <c r="Z178" s="22" t="s">
        <v>1210</v>
      </c>
      <c r="AA178" s="22" t="s">
        <v>19</v>
      </c>
      <c r="AB178" s="22" t="s">
        <v>1210</v>
      </c>
      <c r="AC178" s="22" t="s">
        <v>1211</v>
      </c>
      <c r="AD178" s="22" t="s">
        <v>120</v>
      </c>
      <c r="AE178" s="22"/>
      <c r="AF178" s="22" t="s">
        <v>1212</v>
      </c>
      <c r="AG178" s="22"/>
      <c r="AH178" s="22"/>
      <c r="AI178" s="22" t="s">
        <v>138</v>
      </c>
      <c r="AJ178" s="22" t="s">
        <v>139</v>
      </c>
      <c r="AK178" s="22" t="s">
        <v>140</v>
      </c>
      <c r="AL178" s="22" t="s">
        <v>141</v>
      </c>
      <c r="AM178" s="22" t="s">
        <v>142</v>
      </c>
      <c r="AN178" s="22" t="s">
        <v>143</v>
      </c>
      <c r="AO178" s="22" t="s">
        <v>144</v>
      </c>
      <c r="AP178" s="22" t="s">
        <v>112</v>
      </c>
    </row>
    <row r="179" spans="10:42" s="18" customFormat="1" ht="16.8" customHeight="1">
      <c r="J179" s="22">
        <v>172</v>
      </c>
      <c r="K179" s="22" t="s">
        <v>108</v>
      </c>
      <c r="L179" s="22" t="s">
        <v>109</v>
      </c>
      <c r="M179" s="22" t="s">
        <v>1207</v>
      </c>
      <c r="N179" s="22" t="s">
        <v>1242</v>
      </c>
      <c r="O179" s="22" t="s">
        <v>130</v>
      </c>
      <c r="P179" s="22" t="s">
        <v>112</v>
      </c>
      <c r="Q179" s="22">
        <v>33288</v>
      </c>
      <c r="R179" s="22"/>
      <c r="S179" s="22" t="s">
        <v>304</v>
      </c>
      <c r="T179" s="22" t="s">
        <v>114</v>
      </c>
      <c r="U179" s="22" t="s">
        <v>112</v>
      </c>
      <c r="V179" s="22" t="s">
        <v>132</v>
      </c>
      <c r="W179" s="22" t="s">
        <v>116</v>
      </c>
      <c r="X179" s="22" t="s">
        <v>290</v>
      </c>
      <c r="Y179" s="22" t="s">
        <v>22</v>
      </c>
      <c r="Z179" s="22" t="s">
        <v>1243</v>
      </c>
      <c r="AA179" s="22" t="s">
        <v>22</v>
      </c>
      <c r="AB179" s="22" t="s">
        <v>1244</v>
      </c>
      <c r="AC179" s="22" t="s">
        <v>1245</v>
      </c>
      <c r="AD179" s="22" t="s">
        <v>120</v>
      </c>
      <c r="AE179" s="22"/>
      <c r="AF179" s="22" t="s">
        <v>1246</v>
      </c>
      <c r="AG179" s="22"/>
      <c r="AH179" s="22"/>
      <c r="AI179" s="22" t="s">
        <v>138</v>
      </c>
      <c r="AJ179" s="22" t="s">
        <v>1247</v>
      </c>
      <c r="AK179" s="22" t="s">
        <v>140</v>
      </c>
      <c r="AL179" s="22" t="s">
        <v>141</v>
      </c>
      <c r="AM179" s="22" t="s">
        <v>142</v>
      </c>
      <c r="AN179" s="22" t="s">
        <v>143</v>
      </c>
      <c r="AO179" s="22" t="s">
        <v>144</v>
      </c>
      <c r="AP179" s="22" t="s">
        <v>112</v>
      </c>
    </row>
    <row r="180" spans="10:42" s="18" customFormat="1" ht="16.8" customHeight="1">
      <c r="J180" s="22">
        <v>173</v>
      </c>
      <c r="K180" s="22" t="s">
        <v>108</v>
      </c>
      <c r="L180" s="22" t="s">
        <v>109</v>
      </c>
      <c r="M180" s="22" t="s">
        <v>1207</v>
      </c>
      <c r="N180" s="22" t="s">
        <v>1248</v>
      </c>
      <c r="O180" s="22" t="s">
        <v>130</v>
      </c>
      <c r="P180" s="22" t="s">
        <v>112</v>
      </c>
      <c r="Q180" s="22">
        <v>5832</v>
      </c>
      <c r="R180" s="22" t="s">
        <v>499</v>
      </c>
      <c r="S180" s="22" t="s">
        <v>112</v>
      </c>
      <c r="T180" s="22" t="s">
        <v>114</v>
      </c>
      <c r="U180" s="22" t="s">
        <v>112</v>
      </c>
      <c r="V180" s="22" t="s">
        <v>132</v>
      </c>
      <c r="W180" s="22" t="s">
        <v>308</v>
      </c>
      <c r="X180" s="22" t="s">
        <v>707</v>
      </c>
      <c r="Y180" s="22" t="s">
        <v>12</v>
      </c>
      <c r="Z180" s="22" t="s">
        <v>1249</v>
      </c>
      <c r="AA180" s="22" t="s">
        <v>12</v>
      </c>
      <c r="AB180" s="22" t="s">
        <v>1249</v>
      </c>
      <c r="AC180" s="22" t="s">
        <v>1250</v>
      </c>
      <c r="AD180" s="22" t="s">
        <v>120</v>
      </c>
      <c r="AE180" s="22" t="s">
        <v>223</v>
      </c>
      <c r="AF180" s="22" t="s">
        <v>1251</v>
      </c>
      <c r="AG180" s="22" t="s">
        <v>1207</v>
      </c>
      <c r="AH180" s="22"/>
      <c r="AI180" s="22" t="s">
        <v>205</v>
      </c>
      <c r="AJ180" s="22" t="s">
        <v>321</v>
      </c>
      <c r="AK180" s="22" t="s">
        <v>140</v>
      </c>
      <c r="AL180" s="22" t="s">
        <v>1167</v>
      </c>
      <c r="AM180" s="22" t="s">
        <v>1064</v>
      </c>
      <c r="AN180" s="22" t="s">
        <v>157</v>
      </c>
      <c r="AO180" s="22" t="s">
        <v>209</v>
      </c>
      <c r="AP180" s="22" t="s">
        <v>112</v>
      </c>
    </row>
    <row r="181" spans="10:42" s="18" customFormat="1" ht="16.8" customHeight="1">
      <c r="J181" s="22">
        <v>174</v>
      </c>
      <c r="K181" s="22" t="s">
        <v>108</v>
      </c>
      <c r="L181" s="22" t="s">
        <v>109</v>
      </c>
      <c r="M181" s="22" t="s">
        <v>1207</v>
      </c>
      <c r="N181" s="22" t="s">
        <v>1252</v>
      </c>
      <c r="O181" s="22" t="s">
        <v>130</v>
      </c>
      <c r="P181" s="22" t="s">
        <v>112</v>
      </c>
      <c r="Q181" s="22">
        <v>5832</v>
      </c>
      <c r="R181" s="22"/>
      <c r="S181" s="22" t="s">
        <v>112</v>
      </c>
      <c r="T181" s="22" t="s">
        <v>131</v>
      </c>
      <c r="U181" s="22" t="s">
        <v>112</v>
      </c>
      <c r="V181" s="22" t="s">
        <v>132</v>
      </c>
      <c r="W181" s="22" t="s">
        <v>246</v>
      </c>
      <c r="X181" s="22" t="s">
        <v>247</v>
      </c>
      <c r="Y181" s="22" t="s">
        <v>12</v>
      </c>
      <c r="Z181" s="22" t="s">
        <v>1253</v>
      </c>
      <c r="AA181" s="22" t="s">
        <v>12</v>
      </c>
      <c r="AB181" s="22" t="s">
        <v>1253</v>
      </c>
      <c r="AC181" s="22" t="s">
        <v>1254</v>
      </c>
      <c r="AD181" s="22" t="s">
        <v>120</v>
      </c>
      <c r="AE181" s="22" t="s">
        <v>223</v>
      </c>
      <c r="AF181" s="22" t="s">
        <v>1255</v>
      </c>
      <c r="AG181" s="22" t="s">
        <v>1207</v>
      </c>
      <c r="AH181" s="22"/>
      <c r="AI181" s="22" t="s">
        <v>138</v>
      </c>
      <c r="AJ181" s="22" t="s">
        <v>172</v>
      </c>
      <c r="AK181" s="22" t="s">
        <v>140</v>
      </c>
      <c r="AL181" s="22" t="s">
        <v>1256</v>
      </c>
      <c r="AM181" s="22" t="s">
        <v>699</v>
      </c>
      <c r="AN181" s="22" t="s">
        <v>143</v>
      </c>
      <c r="AO181" s="22" t="s">
        <v>144</v>
      </c>
      <c r="AP181" s="22" t="s">
        <v>112</v>
      </c>
    </row>
    <row r="182" spans="10:42" s="18" customFormat="1" ht="16.8" customHeight="1">
      <c r="J182" s="22">
        <v>175</v>
      </c>
      <c r="K182" s="22" t="s">
        <v>108</v>
      </c>
      <c r="L182" s="22" t="s">
        <v>109</v>
      </c>
      <c r="M182" s="22" t="s">
        <v>1207</v>
      </c>
      <c r="N182" s="22" t="s">
        <v>1257</v>
      </c>
      <c r="O182" s="22" t="s">
        <v>130</v>
      </c>
      <c r="P182" s="22" t="s">
        <v>112</v>
      </c>
      <c r="Q182" s="22">
        <v>5832</v>
      </c>
      <c r="R182" s="22"/>
      <c r="S182" s="22" t="s">
        <v>335</v>
      </c>
      <c r="T182" s="22" t="s">
        <v>114</v>
      </c>
      <c r="U182" s="22" t="s">
        <v>112</v>
      </c>
      <c r="V182" s="22" t="s">
        <v>132</v>
      </c>
      <c r="W182" s="22" t="s">
        <v>116</v>
      </c>
      <c r="X182" s="22" t="s">
        <v>290</v>
      </c>
      <c r="Y182" s="22" t="s">
        <v>20</v>
      </c>
      <c r="Z182" s="22" t="s">
        <v>1258</v>
      </c>
      <c r="AA182" s="22" t="s">
        <v>20</v>
      </c>
      <c r="AB182" s="22" t="s">
        <v>1258</v>
      </c>
      <c r="AC182" s="22" t="s">
        <v>1259</v>
      </c>
      <c r="AD182" s="22" t="s">
        <v>120</v>
      </c>
      <c r="AE182" s="22" t="s">
        <v>136</v>
      </c>
      <c r="AF182" s="22" t="s">
        <v>1260</v>
      </c>
      <c r="AG182" s="22" t="s">
        <v>1207</v>
      </c>
      <c r="AH182" s="22"/>
      <c r="AI182" s="22" t="s">
        <v>205</v>
      </c>
      <c r="AJ182" s="22" t="s">
        <v>225</v>
      </c>
      <c r="AK182" s="22" t="s">
        <v>824</v>
      </c>
      <c r="AL182" s="22" t="s">
        <v>1219</v>
      </c>
      <c r="AM182" s="22" t="s">
        <v>125</v>
      </c>
      <c r="AN182" s="22" t="s">
        <v>143</v>
      </c>
      <c r="AO182" s="22" t="s">
        <v>209</v>
      </c>
      <c r="AP182" s="22" t="s">
        <v>112</v>
      </c>
    </row>
    <row r="183" spans="10:42" s="18" customFormat="1" ht="16.8" customHeight="1">
      <c r="J183" s="22">
        <v>176</v>
      </c>
      <c r="K183" s="22" t="s">
        <v>108</v>
      </c>
      <c r="L183" s="22" t="s">
        <v>109</v>
      </c>
      <c r="M183" s="22" t="s">
        <v>243</v>
      </c>
      <c r="N183" s="22" t="s">
        <v>1261</v>
      </c>
      <c r="O183" s="22" t="s">
        <v>130</v>
      </c>
      <c r="P183" s="22" t="s">
        <v>112</v>
      </c>
      <c r="Q183" s="22">
        <v>13800</v>
      </c>
      <c r="R183" s="22"/>
      <c r="S183" s="22" t="s">
        <v>1262</v>
      </c>
      <c r="T183" s="22" t="s">
        <v>352</v>
      </c>
      <c r="U183" s="22" t="s">
        <v>112</v>
      </c>
      <c r="V183" s="22" t="s">
        <v>132</v>
      </c>
      <c r="W183" s="22" t="s">
        <v>116</v>
      </c>
      <c r="X183" s="22" t="s">
        <v>377</v>
      </c>
      <c r="Y183" s="22" t="s">
        <v>24</v>
      </c>
      <c r="Z183" s="22" t="s">
        <v>1263</v>
      </c>
      <c r="AA183" s="22" t="s">
        <v>19</v>
      </c>
      <c r="AB183" s="22" t="s">
        <v>1264</v>
      </c>
      <c r="AC183" s="22" t="s">
        <v>1265</v>
      </c>
      <c r="AD183" s="22" t="s">
        <v>120</v>
      </c>
      <c r="AE183" s="22"/>
      <c r="AF183" s="22" t="s">
        <v>1266</v>
      </c>
      <c r="AG183" s="22"/>
      <c r="AH183" s="22"/>
      <c r="AI183" s="22" t="s">
        <v>182</v>
      </c>
      <c r="AJ183" s="22" t="s">
        <v>620</v>
      </c>
      <c r="AK183" s="22" t="s">
        <v>140</v>
      </c>
      <c r="AL183" s="22" t="s">
        <v>373</v>
      </c>
      <c r="AM183" s="22" t="s">
        <v>374</v>
      </c>
      <c r="AN183" s="22" t="s">
        <v>157</v>
      </c>
      <c r="AO183" s="22" t="s">
        <v>182</v>
      </c>
      <c r="AP183" s="22" t="s">
        <v>186</v>
      </c>
    </row>
    <row r="184" spans="10:42" s="18" customFormat="1" ht="16.8" customHeight="1">
      <c r="J184" s="22">
        <v>177</v>
      </c>
      <c r="K184" s="22" t="s">
        <v>108</v>
      </c>
      <c r="L184" s="22" t="s">
        <v>109</v>
      </c>
      <c r="M184" s="22" t="s">
        <v>243</v>
      </c>
      <c r="N184" s="22" t="s">
        <v>1267</v>
      </c>
      <c r="O184" s="22" t="s">
        <v>130</v>
      </c>
      <c r="P184" s="22" t="s">
        <v>112</v>
      </c>
      <c r="Q184" s="22">
        <v>49500</v>
      </c>
      <c r="R184" s="22"/>
      <c r="S184" s="22" t="s">
        <v>304</v>
      </c>
      <c r="T184" s="22" t="s">
        <v>114</v>
      </c>
      <c r="U184" s="22" t="s">
        <v>112</v>
      </c>
      <c r="V184" s="22" t="s">
        <v>132</v>
      </c>
      <c r="W184" s="22" t="s">
        <v>116</v>
      </c>
      <c r="X184" s="22" t="s">
        <v>290</v>
      </c>
      <c r="Y184" s="22" t="s">
        <v>21</v>
      </c>
      <c r="Z184" s="22" t="s">
        <v>1268</v>
      </c>
      <c r="AA184" s="22" t="s">
        <v>21</v>
      </c>
      <c r="AB184" s="22" t="s">
        <v>1269</v>
      </c>
      <c r="AC184" s="22" t="s">
        <v>1270</v>
      </c>
      <c r="AD184" s="22" t="s">
        <v>135</v>
      </c>
      <c r="AE184" s="22"/>
      <c r="AF184" s="22" t="s">
        <v>1271</v>
      </c>
      <c r="AG184" s="22"/>
      <c r="AH184" s="22"/>
      <c r="AI184" s="22" t="s">
        <v>205</v>
      </c>
      <c r="AJ184" s="22" t="s">
        <v>1272</v>
      </c>
      <c r="AK184" s="22" t="s">
        <v>454</v>
      </c>
      <c r="AL184" s="22" t="s">
        <v>402</v>
      </c>
      <c r="AM184" s="22" t="s">
        <v>403</v>
      </c>
      <c r="AN184" s="22" t="s">
        <v>157</v>
      </c>
      <c r="AO184" s="22" t="s">
        <v>719</v>
      </c>
      <c r="AP184" s="22" t="s">
        <v>112</v>
      </c>
    </row>
    <row r="185" spans="10:42" s="18" customFormat="1" ht="16.8" customHeight="1">
      <c r="J185" s="22">
        <v>178</v>
      </c>
      <c r="K185" s="22" t="s">
        <v>108</v>
      </c>
      <c r="L185" s="22" t="s">
        <v>109</v>
      </c>
      <c r="M185" s="22" t="s">
        <v>243</v>
      </c>
      <c r="N185" s="22" t="s">
        <v>1273</v>
      </c>
      <c r="O185" s="22" t="s">
        <v>130</v>
      </c>
      <c r="P185" s="22" t="s">
        <v>112</v>
      </c>
      <c r="Q185" s="22">
        <v>15300</v>
      </c>
      <c r="R185" s="22"/>
      <c r="S185" s="22" t="s">
        <v>112</v>
      </c>
      <c r="T185" s="22" t="s">
        <v>131</v>
      </c>
      <c r="U185" s="22" t="s">
        <v>112</v>
      </c>
      <c r="V185" s="22" t="s">
        <v>132</v>
      </c>
      <c r="W185" s="22" t="s">
        <v>235</v>
      </c>
      <c r="X185" s="22" t="s">
        <v>362</v>
      </c>
      <c r="Y185" s="22" t="s">
        <v>24</v>
      </c>
      <c r="Z185" s="22" t="s">
        <v>1274</v>
      </c>
      <c r="AA185" s="22" t="s">
        <v>24</v>
      </c>
      <c r="AB185" s="22" t="s">
        <v>1275</v>
      </c>
      <c r="AC185" s="22" t="s">
        <v>1276</v>
      </c>
      <c r="AD185" s="22" t="s">
        <v>120</v>
      </c>
      <c r="AE185" s="22" t="s">
        <v>136</v>
      </c>
      <c r="AF185" s="22" t="s">
        <v>1277</v>
      </c>
      <c r="AG185" s="22" t="s">
        <v>243</v>
      </c>
      <c r="AH185" s="22"/>
      <c r="AI185" s="22" t="s">
        <v>205</v>
      </c>
      <c r="AJ185" s="22" t="s">
        <v>1278</v>
      </c>
      <c r="AK185" s="22" t="s">
        <v>140</v>
      </c>
      <c r="AL185" s="22" t="s">
        <v>588</v>
      </c>
      <c r="AM185" s="22" t="s">
        <v>403</v>
      </c>
      <c r="AN185" s="22" t="s">
        <v>143</v>
      </c>
      <c r="AO185" s="22" t="s">
        <v>440</v>
      </c>
      <c r="AP185" s="22" t="s">
        <v>112</v>
      </c>
    </row>
    <row r="186" spans="10:42" s="18" customFormat="1" ht="16.8" customHeight="1">
      <c r="J186" s="22">
        <v>179</v>
      </c>
      <c r="K186" s="22" t="s">
        <v>108</v>
      </c>
      <c r="L186" s="22" t="s">
        <v>109</v>
      </c>
      <c r="M186" s="22" t="s">
        <v>243</v>
      </c>
      <c r="N186" s="22" t="s">
        <v>1279</v>
      </c>
      <c r="O186" s="22" t="s">
        <v>130</v>
      </c>
      <c r="P186" s="22" t="s">
        <v>112</v>
      </c>
      <c r="Q186" s="22">
        <v>25500</v>
      </c>
      <c r="R186" s="22"/>
      <c r="S186" s="22" t="s">
        <v>304</v>
      </c>
      <c r="T186" s="22" t="s">
        <v>114</v>
      </c>
      <c r="U186" s="22" t="s">
        <v>112</v>
      </c>
      <c r="V186" s="22" t="s">
        <v>132</v>
      </c>
      <c r="W186" s="22" t="s">
        <v>116</v>
      </c>
      <c r="X186" s="22" t="s">
        <v>290</v>
      </c>
      <c r="Y186" s="22" t="s">
        <v>22</v>
      </c>
      <c r="Z186" s="22" t="s">
        <v>1280</v>
      </c>
      <c r="AA186" s="22" t="s">
        <v>22</v>
      </c>
      <c r="AB186" s="22" t="s">
        <v>1281</v>
      </c>
      <c r="AC186" s="22" t="s">
        <v>1282</v>
      </c>
      <c r="AD186" s="22" t="s">
        <v>120</v>
      </c>
      <c r="AE186" s="22"/>
      <c r="AF186" s="22" t="s">
        <v>1283</v>
      </c>
      <c r="AG186" s="22"/>
      <c r="AH186" s="22"/>
      <c r="AI186" s="22" t="s">
        <v>182</v>
      </c>
      <c r="AJ186" s="22" t="s">
        <v>321</v>
      </c>
      <c r="AK186" s="22" t="s">
        <v>140</v>
      </c>
      <c r="AL186" s="22" t="s">
        <v>1192</v>
      </c>
      <c r="AM186" s="22" t="s">
        <v>1193</v>
      </c>
      <c r="AN186" s="22" t="s">
        <v>157</v>
      </c>
      <c r="AO186" s="22" t="s">
        <v>182</v>
      </c>
      <c r="AP186" s="22" t="s">
        <v>186</v>
      </c>
    </row>
    <row r="187" spans="10:42" s="18" customFormat="1" ht="16.8" customHeight="1">
      <c r="J187" s="22">
        <v>180</v>
      </c>
      <c r="K187" s="22" t="s">
        <v>108</v>
      </c>
      <c r="L187" s="22" t="s">
        <v>109</v>
      </c>
      <c r="M187" s="22" t="s">
        <v>243</v>
      </c>
      <c r="N187" s="22" t="s">
        <v>1284</v>
      </c>
      <c r="O187" s="22" t="s">
        <v>130</v>
      </c>
      <c r="P187" s="22" t="s">
        <v>112</v>
      </c>
      <c r="Q187" s="22">
        <v>5680</v>
      </c>
      <c r="R187" s="22"/>
      <c r="S187" s="22" t="s">
        <v>112</v>
      </c>
      <c r="T187" s="22" t="s">
        <v>131</v>
      </c>
      <c r="U187" s="22" t="s">
        <v>112</v>
      </c>
      <c r="V187" s="22" t="s">
        <v>132</v>
      </c>
      <c r="W187" s="22" t="s">
        <v>235</v>
      </c>
      <c r="X187" s="22" t="s">
        <v>236</v>
      </c>
      <c r="Y187" s="22" t="s">
        <v>22</v>
      </c>
      <c r="Z187" s="22" t="s">
        <v>1285</v>
      </c>
      <c r="AA187" s="22" t="s">
        <v>22</v>
      </c>
      <c r="AB187" s="22" t="s">
        <v>1286</v>
      </c>
      <c r="AC187" s="22" t="s">
        <v>1287</v>
      </c>
      <c r="AD187" s="22" t="s">
        <v>120</v>
      </c>
      <c r="AE187" s="22" t="s">
        <v>136</v>
      </c>
      <c r="AF187" s="22" t="s">
        <v>1288</v>
      </c>
      <c r="AG187" s="22" t="s">
        <v>243</v>
      </c>
      <c r="AH187" s="22"/>
      <c r="AI187" s="22" t="s">
        <v>205</v>
      </c>
      <c r="AJ187" s="22" t="s">
        <v>139</v>
      </c>
      <c r="AK187" s="22" t="s">
        <v>140</v>
      </c>
      <c r="AL187" s="22" t="s">
        <v>141</v>
      </c>
      <c r="AM187" s="22" t="s">
        <v>142</v>
      </c>
      <c r="AN187" s="22" t="s">
        <v>143</v>
      </c>
      <c r="AO187" s="22" t="s">
        <v>209</v>
      </c>
      <c r="AP187" s="22" t="s">
        <v>112</v>
      </c>
    </row>
    <row r="188" spans="10:42" s="18" customFormat="1" ht="16.8" customHeight="1">
      <c r="J188" s="22">
        <v>181</v>
      </c>
      <c r="K188" s="22" t="s">
        <v>108</v>
      </c>
      <c r="L188" s="22" t="s">
        <v>109</v>
      </c>
      <c r="M188" s="22" t="s">
        <v>243</v>
      </c>
      <c r="N188" s="22" t="s">
        <v>1261</v>
      </c>
      <c r="O188" s="22" t="s">
        <v>130</v>
      </c>
      <c r="P188" s="22" t="s">
        <v>112</v>
      </c>
      <c r="Q188" s="22">
        <v>13800</v>
      </c>
      <c r="R188" s="22"/>
      <c r="S188" s="22" t="s">
        <v>1262</v>
      </c>
      <c r="T188" s="22" t="s">
        <v>131</v>
      </c>
      <c r="U188" s="22" t="s">
        <v>112</v>
      </c>
      <c r="V188" s="22" t="s">
        <v>132</v>
      </c>
      <c r="W188" s="22" t="s">
        <v>116</v>
      </c>
      <c r="X188" s="22" t="s">
        <v>377</v>
      </c>
      <c r="Y188" s="22" t="s">
        <v>19</v>
      </c>
      <c r="Z188" s="22" t="s">
        <v>1263</v>
      </c>
      <c r="AA188" s="22" t="s">
        <v>19</v>
      </c>
      <c r="AB188" s="22" t="s">
        <v>1264</v>
      </c>
      <c r="AC188" s="22" t="s">
        <v>1265</v>
      </c>
      <c r="AD188" s="22" t="s">
        <v>120</v>
      </c>
      <c r="AE188" s="22"/>
      <c r="AF188" s="22" t="s">
        <v>1266</v>
      </c>
      <c r="AG188" s="22"/>
      <c r="AH188" s="22"/>
      <c r="AI188" s="22" t="s">
        <v>182</v>
      </c>
      <c r="AJ188" s="22" t="s">
        <v>620</v>
      </c>
      <c r="AK188" s="22" t="s">
        <v>140</v>
      </c>
      <c r="AL188" s="22" t="s">
        <v>373</v>
      </c>
      <c r="AM188" s="22" t="s">
        <v>374</v>
      </c>
      <c r="AN188" s="22" t="s">
        <v>157</v>
      </c>
      <c r="AO188" s="22" t="s">
        <v>182</v>
      </c>
      <c r="AP188" s="22" t="s">
        <v>186</v>
      </c>
    </row>
    <row r="189" spans="10:42" s="18" customFormat="1" ht="16.8" customHeight="1">
      <c r="J189" s="22">
        <v>182</v>
      </c>
      <c r="K189" s="22" t="s">
        <v>108</v>
      </c>
      <c r="L189" s="22" t="s">
        <v>109</v>
      </c>
      <c r="M189" s="22" t="s">
        <v>243</v>
      </c>
      <c r="N189" s="22" t="s">
        <v>1289</v>
      </c>
      <c r="O189" s="22" t="s">
        <v>130</v>
      </c>
      <c r="P189" s="22" t="s">
        <v>112</v>
      </c>
      <c r="Q189" s="22">
        <v>12100</v>
      </c>
      <c r="R189" s="22"/>
      <c r="S189" s="22" t="s">
        <v>112</v>
      </c>
      <c r="T189" s="22" t="s">
        <v>131</v>
      </c>
      <c r="U189" s="22" t="s">
        <v>112</v>
      </c>
      <c r="V189" s="22" t="s">
        <v>132</v>
      </c>
      <c r="W189" s="22" t="s">
        <v>282</v>
      </c>
      <c r="X189" s="22" t="s">
        <v>283</v>
      </c>
      <c r="Y189" s="22" t="s">
        <v>12</v>
      </c>
      <c r="Z189" s="22" t="s">
        <v>1290</v>
      </c>
      <c r="AA189" s="22" t="s">
        <v>12</v>
      </c>
      <c r="AB189" s="22" t="s">
        <v>1291</v>
      </c>
      <c r="AC189" s="22" t="s">
        <v>1292</v>
      </c>
      <c r="AD189" s="22" t="s">
        <v>120</v>
      </c>
      <c r="AE189" s="22"/>
      <c r="AF189" s="22" t="s">
        <v>1293</v>
      </c>
      <c r="AG189" s="22"/>
      <c r="AH189" s="22"/>
      <c r="AI189" s="22" t="s">
        <v>1294</v>
      </c>
      <c r="AJ189" s="22" t="s">
        <v>329</v>
      </c>
      <c r="AK189" s="22" t="s">
        <v>140</v>
      </c>
      <c r="AL189" s="22" t="s">
        <v>1295</v>
      </c>
      <c r="AM189" s="22" t="s">
        <v>1296</v>
      </c>
      <c r="AN189" s="22" t="s">
        <v>157</v>
      </c>
      <c r="AO189" s="22" t="s">
        <v>182</v>
      </c>
      <c r="AP189" s="22" t="s">
        <v>186</v>
      </c>
    </row>
    <row r="190" spans="10:42" s="18" customFormat="1" ht="16.8" customHeight="1">
      <c r="J190" s="22">
        <v>183</v>
      </c>
      <c r="K190" s="22" t="s">
        <v>108</v>
      </c>
      <c r="L190" s="22" t="s">
        <v>109</v>
      </c>
      <c r="M190" s="22" t="s">
        <v>333</v>
      </c>
      <c r="N190" s="22" t="s">
        <v>1297</v>
      </c>
      <c r="O190" s="22" t="s">
        <v>130</v>
      </c>
      <c r="P190" s="22" t="s">
        <v>112</v>
      </c>
      <c r="Q190" s="22">
        <v>5382</v>
      </c>
      <c r="R190" s="22"/>
      <c r="S190" s="22" t="s">
        <v>112</v>
      </c>
      <c r="T190" s="22" t="s">
        <v>131</v>
      </c>
      <c r="U190" s="22" t="s">
        <v>112</v>
      </c>
      <c r="V190" s="22" t="s">
        <v>132</v>
      </c>
      <c r="W190" s="22" t="s">
        <v>387</v>
      </c>
      <c r="X190" s="22" t="s">
        <v>388</v>
      </c>
      <c r="Y190" s="22" t="s">
        <v>12</v>
      </c>
      <c r="Z190" s="22" t="s">
        <v>1298</v>
      </c>
      <c r="AA190" s="22" t="s">
        <v>12</v>
      </c>
      <c r="AB190" s="22" t="s">
        <v>1298</v>
      </c>
      <c r="AC190" s="22" t="s">
        <v>1299</v>
      </c>
      <c r="AD190" s="22" t="s">
        <v>120</v>
      </c>
      <c r="AE190" s="22" t="s">
        <v>223</v>
      </c>
      <c r="AF190" s="22" t="s">
        <v>1300</v>
      </c>
      <c r="AG190" s="22" t="s">
        <v>333</v>
      </c>
      <c r="AH190" s="22"/>
      <c r="AI190" s="22" t="s">
        <v>205</v>
      </c>
      <c r="AJ190" s="22" t="s">
        <v>1278</v>
      </c>
      <c r="AK190" s="22" t="s">
        <v>140</v>
      </c>
      <c r="AL190" s="22" t="s">
        <v>588</v>
      </c>
      <c r="AM190" s="22" t="s">
        <v>403</v>
      </c>
      <c r="AN190" s="22" t="s">
        <v>143</v>
      </c>
      <c r="AO190" s="22" t="s">
        <v>209</v>
      </c>
      <c r="AP190" s="22" t="s">
        <v>112</v>
      </c>
    </row>
    <row r="191" spans="10:42" s="18" customFormat="1" ht="16.8" customHeight="1">
      <c r="J191" s="22">
        <v>184</v>
      </c>
      <c r="K191" s="22" t="s">
        <v>108</v>
      </c>
      <c r="L191" s="22" t="s">
        <v>109</v>
      </c>
      <c r="M191" s="22" t="s">
        <v>333</v>
      </c>
      <c r="N191" s="22" t="s">
        <v>1301</v>
      </c>
      <c r="O191" s="22" t="s">
        <v>130</v>
      </c>
      <c r="P191" s="22" t="s">
        <v>112</v>
      </c>
      <c r="Q191" s="22">
        <v>1800</v>
      </c>
      <c r="R191" s="22"/>
      <c r="S191" s="22" t="s">
        <v>304</v>
      </c>
      <c r="T191" s="22" t="s">
        <v>114</v>
      </c>
      <c r="U191" s="22" t="s">
        <v>112</v>
      </c>
      <c r="V191" s="22" t="s">
        <v>132</v>
      </c>
      <c r="W191" s="22" t="s">
        <v>116</v>
      </c>
      <c r="X191" s="22" t="s">
        <v>290</v>
      </c>
      <c r="Y191" s="22" t="s">
        <v>22</v>
      </c>
      <c r="Z191" s="22" t="s">
        <v>1302</v>
      </c>
      <c r="AA191" s="22" t="s">
        <v>22</v>
      </c>
      <c r="AB191" s="22" t="s">
        <v>1303</v>
      </c>
      <c r="AC191" s="22" t="s">
        <v>1304</v>
      </c>
      <c r="AD191" s="22" t="s">
        <v>120</v>
      </c>
      <c r="AE191" s="22"/>
      <c r="AF191" s="22" t="s">
        <v>1305</v>
      </c>
      <c r="AG191" s="22"/>
      <c r="AH191" s="22"/>
      <c r="AI191" s="22" t="s">
        <v>205</v>
      </c>
      <c r="AJ191" s="22" t="s">
        <v>139</v>
      </c>
      <c r="AK191" s="22" t="s">
        <v>140</v>
      </c>
      <c r="AL191" s="22" t="s">
        <v>141</v>
      </c>
      <c r="AM191" s="22" t="s">
        <v>142</v>
      </c>
      <c r="AN191" s="22" t="s">
        <v>143</v>
      </c>
      <c r="AO191" s="22" t="s">
        <v>209</v>
      </c>
      <c r="AP191" s="22" t="s">
        <v>112</v>
      </c>
    </row>
    <row r="192" spans="10:42" s="18" customFormat="1" ht="16.8" customHeight="1">
      <c r="J192" s="22">
        <v>185</v>
      </c>
      <c r="K192" s="22" t="s">
        <v>108</v>
      </c>
      <c r="L192" s="22" t="s">
        <v>109</v>
      </c>
      <c r="M192" s="22" t="s">
        <v>333</v>
      </c>
      <c r="N192" s="22" t="s">
        <v>1306</v>
      </c>
      <c r="O192" s="22" t="s">
        <v>130</v>
      </c>
      <c r="P192" s="22" t="s">
        <v>112</v>
      </c>
      <c r="Q192" s="22">
        <v>5832</v>
      </c>
      <c r="R192" s="22"/>
      <c r="S192" s="22" t="s">
        <v>1307</v>
      </c>
      <c r="T192" s="22" t="s">
        <v>131</v>
      </c>
      <c r="U192" s="22" t="s">
        <v>112</v>
      </c>
      <c r="V192" s="22" t="s">
        <v>132</v>
      </c>
      <c r="W192" s="22" t="s">
        <v>116</v>
      </c>
      <c r="X192" s="22" t="s">
        <v>377</v>
      </c>
      <c r="Y192" s="22" t="s">
        <v>24</v>
      </c>
      <c r="Z192" s="22" t="s">
        <v>1308</v>
      </c>
      <c r="AA192" s="22" t="s">
        <v>24</v>
      </c>
      <c r="AB192" s="22" t="s">
        <v>1308</v>
      </c>
      <c r="AC192" s="22" t="s">
        <v>1309</v>
      </c>
      <c r="AD192" s="22" t="s">
        <v>120</v>
      </c>
      <c r="AE192" s="22" t="s">
        <v>170</v>
      </c>
      <c r="AF192" s="22" t="s">
        <v>1310</v>
      </c>
      <c r="AG192" s="22" t="s">
        <v>333</v>
      </c>
      <c r="AH192" s="22"/>
      <c r="AI192" s="22" t="s">
        <v>205</v>
      </c>
      <c r="AJ192" s="22" t="s">
        <v>1311</v>
      </c>
      <c r="AK192" s="22" t="s">
        <v>140</v>
      </c>
      <c r="AL192" s="22" t="s">
        <v>1312</v>
      </c>
      <c r="AM192" s="22" t="s">
        <v>1313</v>
      </c>
      <c r="AN192" s="22" t="s">
        <v>143</v>
      </c>
      <c r="AO192" s="22" t="s">
        <v>209</v>
      </c>
      <c r="AP192" s="22" t="s">
        <v>112</v>
      </c>
    </row>
    <row r="193" spans="10:42" s="18" customFormat="1" ht="16.8" customHeight="1">
      <c r="J193" s="22">
        <v>186</v>
      </c>
      <c r="K193" s="22" t="s">
        <v>108</v>
      </c>
      <c r="L193" s="22" t="s">
        <v>109</v>
      </c>
      <c r="M193" s="22" t="s">
        <v>333</v>
      </c>
      <c r="N193" s="22" t="s">
        <v>1314</v>
      </c>
      <c r="O193" s="22" t="s">
        <v>130</v>
      </c>
      <c r="P193" s="22" t="s">
        <v>112</v>
      </c>
      <c r="Q193" s="22">
        <v>4200</v>
      </c>
      <c r="R193" s="22"/>
      <c r="S193" s="22" t="s">
        <v>112</v>
      </c>
      <c r="T193" s="22" t="s">
        <v>114</v>
      </c>
      <c r="U193" s="22" t="s">
        <v>112</v>
      </c>
      <c r="V193" s="22" t="s">
        <v>132</v>
      </c>
      <c r="W193" s="22" t="s">
        <v>116</v>
      </c>
      <c r="X193" s="22" t="s">
        <v>290</v>
      </c>
      <c r="Y193" s="22" t="s">
        <v>12</v>
      </c>
      <c r="Z193" s="22" t="s">
        <v>1315</v>
      </c>
      <c r="AA193" s="22" t="s">
        <v>12</v>
      </c>
      <c r="AB193" s="22" t="s">
        <v>1316</v>
      </c>
      <c r="AC193" s="22" t="s">
        <v>1317</v>
      </c>
      <c r="AD193" s="22" t="s">
        <v>120</v>
      </c>
      <c r="AE193" s="22"/>
      <c r="AF193" s="22" t="s">
        <v>1318</v>
      </c>
      <c r="AG193" s="22"/>
      <c r="AH193" s="22"/>
      <c r="AI193" s="22" t="s">
        <v>205</v>
      </c>
      <c r="AJ193" s="22" t="s">
        <v>195</v>
      </c>
      <c r="AK193" s="22" t="s">
        <v>303</v>
      </c>
      <c r="AL193" s="22" t="s">
        <v>682</v>
      </c>
      <c r="AM193" s="22" t="s">
        <v>1319</v>
      </c>
      <c r="AN193" s="22" t="s">
        <v>157</v>
      </c>
      <c r="AO193" s="22" t="s">
        <v>1098</v>
      </c>
      <c r="AP193" s="22" t="s">
        <v>112</v>
      </c>
    </row>
    <row r="194" spans="10:42" s="18" customFormat="1" ht="16.8" customHeight="1">
      <c r="J194" s="22">
        <v>187</v>
      </c>
      <c r="K194" s="22" t="s">
        <v>108</v>
      </c>
      <c r="L194" s="22" t="s">
        <v>109</v>
      </c>
      <c r="M194" s="22" t="s">
        <v>217</v>
      </c>
      <c r="N194" s="22" t="s">
        <v>1320</v>
      </c>
      <c r="O194" s="22" t="s">
        <v>130</v>
      </c>
      <c r="P194" s="22" t="s">
        <v>112</v>
      </c>
      <c r="Q194" s="22">
        <v>5874</v>
      </c>
      <c r="R194" s="22" t="s">
        <v>499</v>
      </c>
      <c r="S194" s="22" t="s">
        <v>112</v>
      </c>
      <c r="T194" s="22" t="s">
        <v>114</v>
      </c>
      <c r="U194" s="22" t="s">
        <v>112</v>
      </c>
      <c r="V194" s="22" t="s">
        <v>132</v>
      </c>
      <c r="W194" s="22" t="s">
        <v>116</v>
      </c>
      <c r="X194" s="22" t="s">
        <v>290</v>
      </c>
      <c r="Y194" s="22" t="s">
        <v>22</v>
      </c>
      <c r="Z194" s="22" t="s">
        <v>1321</v>
      </c>
      <c r="AA194" s="22" t="s">
        <v>22</v>
      </c>
      <c r="AB194" s="22" t="s">
        <v>1321</v>
      </c>
      <c r="AC194" s="22" t="s">
        <v>1322</v>
      </c>
      <c r="AD194" s="22" t="s">
        <v>120</v>
      </c>
      <c r="AE194" s="22" t="s">
        <v>223</v>
      </c>
      <c r="AF194" s="22" t="s">
        <v>1323</v>
      </c>
      <c r="AG194" s="22" t="s">
        <v>217</v>
      </c>
      <c r="AH194" s="22"/>
      <c r="AI194" s="22" t="s">
        <v>205</v>
      </c>
      <c r="AJ194" s="22" t="s">
        <v>1324</v>
      </c>
      <c r="AK194" s="22" t="s">
        <v>140</v>
      </c>
      <c r="AL194" s="22" t="s">
        <v>1325</v>
      </c>
      <c r="AM194" s="22" t="s">
        <v>1326</v>
      </c>
      <c r="AN194" s="22" t="s">
        <v>143</v>
      </c>
      <c r="AO194" s="22" t="s">
        <v>209</v>
      </c>
      <c r="AP194" s="22" t="s">
        <v>112</v>
      </c>
    </row>
    <row r="195" spans="10:42" s="18" customFormat="1" ht="16.8" customHeight="1">
      <c r="J195" s="22">
        <v>188</v>
      </c>
      <c r="K195" s="22" t="s">
        <v>108</v>
      </c>
      <c r="L195" s="22" t="s">
        <v>109</v>
      </c>
      <c r="M195" s="22" t="s">
        <v>217</v>
      </c>
      <c r="N195" s="22" t="s">
        <v>218</v>
      </c>
      <c r="O195" s="22" t="s">
        <v>130</v>
      </c>
      <c r="P195" s="22" t="s">
        <v>112</v>
      </c>
      <c r="Q195" s="22">
        <v>5674</v>
      </c>
      <c r="R195" s="22"/>
      <c r="S195" s="22" t="s">
        <v>219</v>
      </c>
      <c r="T195" s="22" t="s">
        <v>131</v>
      </c>
      <c r="U195" s="22" t="s">
        <v>112</v>
      </c>
      <c r="V195" s="22" t="s">
        <v>132</v>
      </c>
      <c r="W195" s="22" t="s">
        <v>116</v>
      </c>
      <c r="X195" s="22" t="s">
        <v>117</v>
      </c>
      <c r="Y195" s="22" t="s">
        <v>24</v>
      </c>
      <c r="Z195" s="22" t="s">
        <v>220</v>
      </c>
      <c r="AA195" s="22" t="s">
        <v>24</v>
      </c>
      <c r="AB195" s="22" t="s">
        <v>221</v>
      </c>
      <c r="AC195" s="22" t="s">
        <v>222</v>
      </c>
      <c r="AD195" s="22" t="s">
        <v>120</v>
      </c>
      <c r="AE195" s="22" t="s">
        <v>223</v>
      </c>
      <c r="AF195" s="22" t="s">
        <v>224</v>
      </c>
      <c r="AG195" s="22" t="s">
        <v>217</v>
      </c>
      <c r="AH195" s="22"/>
      <c r="AI195" s="22" t="s">
        <v>205</v>
      </c>
      <c r="AJ195" s="22" t="s">
        <v>225</v>
      </c>
      <c r="AK195" s="22" t="s">
        <v>140</v>
      </c>
      <c r="AL195" s="22" t="s">
        <v>226</v>
      </c>
      <c r="AM195" s="22" t="s">
        <v>227</v>
      </c>
      <c r="AN195" s="22" t="s">
        <v>157</v>
      </c>
      <c r="AO195" s="22" t="s">
        <v>209</v>
      </c>
      <c r="AP195" s="22" t="s">
        <v>112</v>
      </c>
    </row>
    <row r="196" spans="10:42" s="18" customFormat="1" ht="16.8" customHeight="1">
      <c r="J196" s="22">
        <v>189</v>
      </c>
      <c r="K196" s="22" t="s">
        <v>108</v>
      </c>
      <c r="L196" s="22" t="s">
        <v>109</v>
      </c>
      <c r="M196" s="22" t="s">
        <v>217</v>
      </c>
      <c r="N196" s="22" t="s">
        <v>1327</v>
      </c>
      <c r="O196" s="22" t="s">
        <v>130</v>
      </c>
      <c r="P196" s="22" t="s">
        <v>112</v>
      </c>
      <c r="Q196" s="22">
        <v>5874</v>
      </c>
      <c r="R196" s="22"/>
      <c r="S196" s="22" t="s">
        <v>112</v>
      </c>
      <c r="T196" s="22" t="s">
        <v>131</v>
      </c>
      <c r="U196" s="22" t="s">
        <v>112</v>
      </c>
      <c r="V196" s="22" t="s">
        <v>132</v>
      </c>
      <c r="W196" s="22" t="s">
        <v>282</v>
      </c>
      <c r="X196" s="22" t="s">
        <v>283</v>
      </c>
      <c r="Y196" s="22" t="s">
        <v>20</v>
      </c>
      <c r="Z196" s="22" t="s">
        <v>1328</v>
      </c>
      <c r="AA196" s="22" t="s">
        <v>20</v>
      </c>
      <c r="AB196" s="22" t="s">
        <v>1328</v>
      </c>
      <c r="AC196" s="22" t="s">
        <v>1329</v>
      </c>
      <c r="AD196" s="22" t="s">
        <v>120</v>
      </c>
      <c r="AE196" s="22" t="s">
        <v>223</v>
      </c>
      <c r="AF196" s="22" t="s">
        <v>1330</v>
      </c>
      <c r="AG196" s="22" t="s">
        <v>217</v>
      </c>
      <c r="AH196" s="22"/>
      <c r="AI196" s="22" t="s">
        <v>138</v>
      </c>
      <c r="AJ196" s="22" t="s">
        <v>1331</v>
      </c>
      <c r="AK196" s="22" t="s">
        <v>140</v>
      </c>
      <c r="AL196" s="22" t="s">
        <v>1332</v>
      </c>
      <c r="AM196" s="22" t="s">
        <v>1333</v>
      </c>
      <c r="AN196" s="22" t="s">
        <v>143</v>
      </c>
      <c r="AO196" s="22" t="s">
        <v>144</v>
      </c>
      <c r="AP196" s="22" t="s">
        <v>112</v>
      </c>
    </row>
    <row r="197" spans="10:42" s="18" customFormat="1" ht="16.8" customHeight="1">
      <c r="J197" s="22">
        <v>190</v>
      </c>
      <c r="K197" s="22" t="s">
        <v>108</v>
      </c>
      <c r="L197" s="22" t="s">
        <v>109</v>
      </c>
      <c r="M197" s="22" t="s">
        <v>217</v>
      </c>
      <c r="N197" s="22" t="s">
        <v>1334</v>
      </c>
      <c r="O197" s="22" t="s">
        <v>130</v>
      </c>
      <c r="P197" s="22" t="s">
        <v>112</v>
      </c>
      <c r="Q197" s="22">
        <v>19800</v>
      </c>
      <c r="R197" s="22"/>
      <c r="S197" s="22" t="s">
        <v>112</v>
      </c>
      <c r="T197" s="22" t="s">
        <v>131</v>
      </c>
      <c r="U197" s="22" t="s">
        <v>112</v>
      </c>
      <c r="V197" s="22" t="s">
        <v>132</v>
      </c>
      <c r="W197" s="22" t="s">
        <v>273</v>
      </c>
      <c r="X197" s="22" t="s">
        <v>655</v>
      </c>
      <c r="Y197" s="22" t="s">
        <v>22</v>
      </c>
      <c r="Z197" s="22" t="s">
        <v>1335</v>
      </c>
      <c r="AA197" s="22" t="s">
        <v>22</v>
      </c>
      <c r="AB197" s="22" t="s">
        <v>1335</v>
      </c>
      <c r="AC197" s="22" t="s">
        <v>1336</v>
      </c>
      <c r="AD197" s="22" t="s">
        <v>120</v>
      </c>
      <c r="AE197" s="22" t="s">
        <v>136</v>
      </c>
      <c r="AF197" s="22" t="s">
        <v>1337</v>
      </c>
      <c r="AG197" s="22" t="s">
        <v>217</v>
      </c>
      <c r="AH197" s="22"/>
      <c r="AI197" s="22" t="s">
        <v>138</v>
      </c>
      <c r="AJ197" s="22" t="s">
        <v>511</v>
      </c>
      <c r="AK197" s="22" t="s">
        <v>286</v>
      </c>
      <c r="AL197" s="22" t="s">
        <v>1338</v>
      </c>
      <c r="AM197" s="22" t="s">
        <v>1339</v>
      </c>
      <c r="AN197" s="22" t="s">
        <v>143</v>
      </c>
      <c r="AO197" s="22" t="s">
        <v>144</v>
      </c>
      <c r="AP197" s="22" t="s">
        <v>112</v>
      </c>
    </row>
    <row r="198" spans="10:42" s="18" customFormat="1" ht="16.8" customHeight="1">
      <c r="J198" s="22">
        <v>191</v>
      </c>
      <c r="K198" s="22" t="s">
        <v>108</v>
      </c>
      <c r="L198" s="22" t="s">
        <v>109</v>
      </c>
      <c r="M198" s="22" t="s">
        <v>217</v>
      </c>
      <c r="N198" s="22" t="s">
        <v>1340</v>
      </c>
      <c r="O198" s="22" t="s">
        <v>130</v>
      </c>
      <c r="P198" s="22" t="s">
        <v>112</v>
      </c>
      <c r="Q198" s="22">
        <v>5874</v>
      </c>
      <c r="R198" s="22"/>
      <c r="S198" s="22" t="s">
        <v>1341</v>
      </c>
      <c r="T198" s="22" t="s">
        <v>131</v>
      </c>
      <c r="U198" s="22" t="s">
        <v>112</v>
      </c>
      <c r="V198" s="22" t="s">
        <v>132</v>
      </c>
      <c r="W198" s="22" t="s">
        <v>116</v>
      </c>
      <c r="X198" s="22" t="s">
        <v>377</v>
      </c>
      <c r="Y198" s="22" t="s">
        <v>22</v>
      </c>
      <c r="Z198" s="22" t="s">
        <v>1342</v>
      </c>
      <c r="AA198" s="22" t="s">
        <v>22</v>
      </c>
      <c r="AB198" s="22" t="s">
        <v>1342</v>
      </c>
      <c r="AC198" s="22" t="s">
        <v>1343</v>
      </c>
      <c r="AD198" s="22" t="s">
        <v>135</v>
      </c>
      <c r="AE198" s="22" t="s">
        <v>385</v>
      </c>
      <c r="AF198" s="22" t="s">
        <v>1344</v>
      </c>
      <c r="AG198" s="22" t="s">
        <v>217</v>
      </c>
      <c r="AH198" s="22"/>
      <c r="AI198" s="22" t="s">
        <v>138</v>
      </c>
      <c r="AJ198" s="22" t="s">
        <v>1345</v>
      </c>
      <c r="AK198" s="22" t="s">
        <v>140</v>
      </c>
      <c r="AL198" s="22" t="s">
        <v>1346</v>
      </c>
      <c r="AM198" s="22" t="s">
        <v>1347</v>
      </c>
      <c r="AN198" s="22" t="s">
        <v>143</v>
      </c>
      <c r="AO198" s="22" t="s">
        <v>144</v>
      </c>
      <c r="AP198" s="22" t="s">
        <v>112</v>
      </c>
    </row>
    <row r="199" spans="10:42" s="18" customFormat="1" ht="16.8" customHeight="1">
      <c r="J199" s="22">
        <v>192</v>
      </c>
      <c r="K199" s="22" t="s">
        <v>108</v>
      </c>
      <c r="L199" s="22" t="s">
        <v>109</v>
      </c>
      <c r="M199" s="22" t="s">
        <v>217</v>
      </c>
      <c r="N199" s="22" t="s">
        <v>1320</v>
      </c>
      <c r="O199" s="22" t="s">
        <v>130</v>
      </c>
      <c r="P199" s="22" t="s">
        <v>112</v>
      </c>
      <c r="Q199" s="22">
        <v>5874</v>
      </c>
      <c r="R199" s="22" t="s">
        <v>147</v>
      </c>
      <c r="S199" s="22" t="s">
        <v>583</v>
      </c>
      <c r="T199" s="22" t="s">
        <v>114</v>
      </c>
      <c r="U199" s="22" t="s">
        <v>112</v>
      </c>
      <c r="V199" s="22" t="s">
        <v>132</v>
      </c>
      <c r="W199" s="22" t="s">
        <v>116</v>
      </c>
      <c r="X199" s="22" t="s">
        <v>290</v>
      </c>
      <c r="Y199" s="22" t="s">
        <v>22</v>
      </c>
      <c r="Z199" s="22" t="s">
        <v>1348</v>
      </c>
      <c r="AA199" s="22" t="s">
        <v>22</v>
      </c>
      <c r="AB199" s="22" t="s">
        <v>1349</v>
      </c>
      <c r="AC199" s="22" t="s">
        <v>1350</v>
      </c>
      <c r="AD199" s="22" t="s">
        <v>120</v>
      </c>
      <c r="AE199" s="22" t="s">
        <v>223</v>
      </c>
      <c r="AF199" s="22" t="s">
        <v>1323</v>
      </c>
      <c r="AG199" s="22" t="s">
        <v>217</v>
      </c>
      <c r="AH199" s="22"/>
      <c r="AI199" s="22" t="s">
        <v>205</v>
      </c>
      <c r="AJ199" s="22" t="s">
        <v>1324</v>
      </c>
      <c r="AK199" s="22" t="s">
        <v>140</v>
      </c>
      <c r="AL199" s="22" t="s">
        <v>1325</v>
      </c>
      <c r="AM199" s="22" t="s">
        <v>1326</v>
      </c>
      <c r="AN199" s="22" t="s">
        <v>143</v>
      </c>
      <c r="AO199" s="22" t="s">
        <v>209</v>
      </c>
      <c r="AP199" s="22" t="s">
        <v>112</v>
      </c>
    </row>
    <row r="200" spans="10:42" s="18" customFormat="1" ht="16.8" customHeight="1">
      <c r="J200" s="22">
        <v>193</v>
      </c>
      <c r="K200" s="22" t="s">
        <v>108</v>
      </c>
      <c r="L200" s="22" t="s">
        <v>109</v>
      </c>
      <c r="M200" s="22" t="s">
        <v>217</v>
      </c>
      <c r="N200" s="22" t="s">
        <v>1351</v>
      </c>
      <c r="O200" s="22" t="s">
        <v>130</v>
      </c>
      <c r="P200" s="22" t="s">
        <v>112</v>
      </c>
      <c r="Q200" s="22">
        <v>5874</v>
      </c>
      <c r="R200" s="22"/>
      <c r="S200" s="22" t="s">
        <v>112</v>
      </c>
      <c r="T200" s="22" t="s">
        <v>131</v>
      </c>
      <c r="U200" s="22" t="s">
        <v>112</v>
      </c>
      <c r="V200" s="22" t="s">
        <v>132</v>
      </c>
      <c r="W200" s="22" t="s">
        <v>978</v>
      </c>
      <c r="X200" s="22" t="s">
        <v>978</v>
      </c>
      <c r="Y200" s="22" t="s">
        <v>22</v>
      </c>
      <c r="Z200" s="22" t="s">
        <v>1352</v>
      </c>
      <c r="AA200" s="22" t="s">
        <v>22</v>
      </c>
      <c r="AB200" s="22" t="s">
        <v>1352</v>
      </c>
      <c r="AC200" s="22" t="s">
        <v>1353</v>
      </c>
      <c r="AD200" s="22" t="s">
        <v>135</v>
      </c>
      <c r="AE200" s="22" t="s">
        <v>385</v>
      </c>
      <c r="AF200" s="22" t="s">
        <v>1354</v>
      </c>
      <c r="AG200" s="22" t="s">
        <v>217</v>
      </c>
      <c r="AH200" s="22"/>
      <c r="AI200" s="22" t="s">
        <v>542</v>
      </c>
      <c r="AJ200" s="22" t="s">
        <v>1355</v>
      </c>
      <c r="AK200" s="22" t="s">
        <v>124</v>
      </c>
      <c r="AL200" s="22" t="s">
        <v>1356</v>
      </c>
      <c r="AM200" s="22" t="s">
        <v>1339</v>
      </c>
      <c r="AN200" s="22" t="s">
        <v>143</v>
      </c>
      <c r="AO200" s="22" t="s">
        <v>209</v>
      </c>
      <c r="AP200" s="22" t="s">
        <v>112</v>
      </c>
    </row>
    <row r="201" spans="10:42" s="18" customFormat="1" ht="16.8" customHeight="1">
      <c r="J201" s="22">
        <v>194</v>
      </c>
      <c r="K201" s="22" t="s">
        <v>108</v>
      </c>
      <c r="L201" s="22" t="s">
        <v>109</v>
      </c>
      <c r="M201" s="22" t="s">
        <v>217</v>
      </c>
      <c r="N201" s="22" t="s">
        <v>1357</v>
      </c>
      <c r="O201" s="22" t="s">
        <v>130</v>
      </c>
      <c r="P201" s="22" t="s">
        <v>112</v>
      </c>
      <c r="Q201" s="22">
        <v>2600</v>
      </c>
      <c r="R201" s="22"/>
      <c r="S201" s="22" t="s">
        <v>112</v>
      </c>
      <c r="T201" s="22" t="s">
        <v>131</v>
      </c>
      <c r="U201" s="22" t="s">
        <v>112</v>
      </c>
      <c r="V201" s="22" t="s">
        <v>132</v>
      </c>
      <c r="W201" s="22" t="s">
        <v>282</v>
      </c>
      <c r="X201" s="22" t="s">
        <v>283</v>
      </c>
      <c r="Y201" s="22" t="s">
        <v>22</v>
      </c>
      <c r="Z201" s="22" t="s">
        <v>1358</v>
      </c>
      <c r="AA201" s="22" t="s">
        <v>22</v>
      </c>
      <c r="AB201" s="22" t="s">
        <v>1359</v>
      </c>
      <c r="AC201" s="22" t="s">
        <v>1360</v>
      </c>
      <c r="AD201" s="22" t="s">
        <v>120</v>
      </c>
      <c r="AE201" s="22"/>
      <c r="AF201" s="22" t="s">
        <v>1361</v>
      </c>
      <c r="AG201" s="22"/>
      <c r="AH201" s="22"/>
      <c r="AI201" s="22" t="s">
        <v>182</v>
      </c>
      <c r="AJ201" s="22" t="s">
        <v>745</v>
      </c>
      <c r="AK201" s="22" t="s">
        <v>140</v>
      </c>
      <c r="AL201" s="22" t="s">
        <v>1362</v>
      </c>
      <c r="AM201" s="22" t="s">
        <v>842</v>
      </c>
      <c r="AN201" s="22" t="s">
        <v>157</v>
      </c>
      <c r="AO201" s="22" t="s">
        <v>182</v>
      </c>
      <c r="AP201" s="22" t="s">
        <v>186</v>
      </c>
    </row>
    <row r="202" spans="10:42" s="18" customFormat="1" ht="16.8" customHeight="1">
      <c r="J202" s="22">
        <v>195</v>
      </c>
      <c r="K202" s="22" t="s">
        <v>108</v>
      </c>
      <c r="L202" s="22" t="s">
        <v>109</v>
      </c>
      <c r="M202" s="22" t="s">
        <v>217</v>
      </c>
      <c r="N202" s="22" t="s">
        <v>1363</v>
      </c>
      <c r="O202" s="22" t="s">
        <v>130</v>
      </c>
      <c r="P202" s="22" t="s">
        <v>112</v>
      </c>
      <c r="Q202" s="22">
        <v>5874</v>
      </c>
      <c r="R202" s="22"/>
      <c r="S202" s="22" t="s">
        <v>112</v>
      </c>
      <c r="T202" s="22" t="s">
        <v>131</v>
      </c>
      <c r="U202" s="22" t="s">
        <v>112</v>
      </c>
      <c r="V202" s="22" t="s">
        <v>132</v>
      </c>
      <c r="W202" s="22" t="s">
        <v>721</v>
      </c>
      <c r="X202" s="22" t="s">
        <v>777</v>
      </c>
      <c r="Y202" s="22" t="s">
        <v>22</v>
      </c>
      <c r="Z202" s="22" t="s">
        <v>1364</v>
      </c>
      <c r="AA202" s="22" t="s">
        <v>22</v>
      </c>
      <c r="AB202" s="22" t="s">
        <v>1364</v>
      </c>
      <c r="AC202" s="22" t="s">
        <v>1365</v>
      </c>
      <c r="AD202" s="22" t="s">
        <v>135</v>
      </c>
      <c r="AE202" s="22" t="s">
        <v>223</v>
      </c>
      <c r="AF202" s="22" t="s">
        <v>1366</v>
      </c>
      <c r="AG202" s="22" t="s">
        <v>217</v>
      </c>
      <c r="AH202" s="22"/>
      <c r="AI202" s="22" t="s">
        <v>205</v>
      </c>
      <c r="AJ202" s="22" t="s">
        <v>1367</v>
      </c>
      <c r="AK202" s="22" t="s">
        <v>140</v>
      </c>
      <c r="AL202" s="22" t="s">
        <v>1368</v>
      </c>
      <c r="AM202" s="22" t="s">
        <v>1369</v>
      </c>
      <c r="AN202" s="22" t="s">
        <v>143</v>
      </c>
      <c r="AO202" s="22" t="s">
        <v>209</v>
      </c>
      <c r="AP202" s="22" t="s">
        <v>112</v>
      </c>
    </row>
    <row r="203" spans="10:42" s="18" customFormat="1" ht="16.8" customHeight="1">
      <c r="J203" s="22">
        <v>196</v>
      </c>
      <c r="K203" s="22" t="s">
        <v>108</v>
      </c>
      <c r="L203" s="22" t="s">
        <v>109</v>
      </c>
      <c r="M203" s="22" t="s">
        <v>217</v>
      </c>
      <c r="N203" s="22" t="s">
        <v>1370</v>
      </c>
      <c r="O203" s="22" t="s">
        <v>130</v>
      </c>
      <c r="P203" s="22" t="s">
        <v>112</v>
      </c>
      <c r="Q203" s="22">
        <v>1800</v>
      </c>
      <c r="R203" s="22"/>
      <c r="S203" s="22" t="s">
        <v>1371</v>
      </c>
      <c r="T203" s="22" t="s">
        <v>114</v>
      </c>
      <c r="U203" s="22" t="s">
        <v>112</v>
      </c>
      <c r="V203" s="22" t="s">
        <v>132</v>
      </c>
      <c r="W203" s="22" t="s">
        <v>116</v>
      </c>
      <c r="X203" s="22" t="s">
        <v>290</v>
      </c>
      <c r="Y203" s="22" t="s">
        <v>12</v>
      </c>
      <c r="Z203" s="22" t="s">
        <v>1372</v>
      </c>
      <c r="AA203" s="22" t="s">
        <v>12</v>
      </c>
      <c r="AB203" s="22" t="s">
        <v>1373</v>
      </c>
      <c r="AC203" s="22" t="s">
        <v>1374</v>
      </c>
      <c r="AD203" s="22" t="s">
        <v>120</v>
      </c>
      <c r="AE203" s="22"/>
      <c r="AF203" s="22" t="s">
        <v>1375</v>
      </c>
      <c r="AG203" s="22"/>
      <c r="AH203" s="22"/>
      <c r="AI203" s="22" t="s">
        <v>138</v>
      </c>
      <c r="AJ203" s="22" t="s">
        <v>1024</v>
      </c>
      <c r="AK203" s="22" t="s">
        <v>124</v>
      </c>
      <c r="AL203" s="22" t="s">
        <v>1376</v>
      </c>
      <c r="AM203" s="22" t="s">
        <v>792</v>
      </c>
      <c r="AN203" s="22" t="s">
        <v>157</v>
      </c>
      <c r="AO203" s="22" t="s">
        <v>404</v>
      </c>
      <c r="AP203" s="22" t="s">
        <v>112</v>
      </c>
    </row>
    <row r="204" spans="10:42" s="18" customFormat="1" ht="16.8" customHeight="1">
      <c r="J204" s="22">
        <v>197</v>
      </c>
      <c r="K204" s="22" t="s">
        <v>108</v>
      </c>
      <c r="L204" s="22" t="s">
        <v>109</v>
      </c>
      <c r="M204" s="22" t="s">
        <v>1377</v>
      </c>
      <c r="N204" s="22" t="s">
        <v>1378</v>
      </c>
      <c r="O204" s="22" t="s">
        <v>130</v>
      </c>
      <c r="P204" s="22" t="s">
        <v>112</v>
      </c>
      <c r="Q204" s="22">
        <v>5874</v>
      </c>
      <c r="R204" s="22" t="s">
        <v>147</v>
      </c>
      <c r="S204" s="22" t="s">
        <v>304</v>
      </c>
      <c r="T204" s="22" t="s">
        <v>114</v>
      </c>
      <c r="U204" s="22" t="s">
        <v>112</v>
      </c>
      <c r="V204" s="22" t="s">
        <v>132</v>
      </c>
      <c r="W204" s="22" t="s">
        <v>116</v>
      </c>
      <c r="X204" s="22" t="s">
        <v>290</v>
      </c>
      <c r="Y204" s="22" t="s">
        <v>22</v>
      </c>
      <c r="Z204" s="22" t="s">
        <v>1379</v>
      </c>
      <c r="AA204" s="22" t="s">
        <v>22</v>
      </c>
      <c r="AB204" s="22" t="s">
        <v>1380</v>
      </c>
      <c r="AC204" s="22" t="s">
        <v>1381</v>
      </c>
      <c r="AD204" s="22" t="s">
        <v>120</v>
      </c>
      <c r="AE204" s="22" t="s">
        <v>223</v>
      </c>
      <c r="AF204" s="22" t="s">
        <v>1382</v>
      </c>
      <c r="AG204" s="22" t="s">
        <v>1377</v>
      </c>
      <c r="AH204" s="22"/>
      <c r="AI204" s="22" t="s">
        <v>1383</v>
      </c>
      <c r="AJ204" s="22" t="s">
        <v>225</v>
      </c>
      <c r="AK204" s="22" t="s">
        <v>140</v>
      </c>
      <c r="AL204" s="22" t="s">
        <v>252</v>
      </c>
      <c r="AM204" s="22" t="s">
        <v>174</v>
      </c>
      <c r="AN204" s="22" t="s">
        <v>143</v>
      </c>
      <c r="AO204" s="22" t="s">
        <v>144</v>
      </c>
      <c r="AP204" s="22" t="s">
        <v>112</v>
      </c>
    </row>
    <row r="205" spans="10:42" s="18" customFormat="1" ht="16.8" customHeight="1">
      <c r="J205" s="22">
        <v>198</v>
      </c>
      <c r="K205" s="22" t="s">
        <v>108</v>
      </c>
      <c r="L205" s="22" t="s">
        <v>109</v>
      </c>
      <c r="M205" s="22" t="s">
        <v>1377</v>
      </c>
      <c r="N205" s="22" t="s">
        <v>1384</v>
      </c>
      <c r="O205" s="22" t="s">
        <v>130</v>
      </c>
      <c r="P205" s="22" t="s">
        <v>112</v>
      </c>
      <c r="Q205" s="22">
        <v>9588</v>
      </c>
      <c r="R205" s="22"/>
      <c r="S205" s="22" t="s">
        <v>1371</v>
      </c>
      <c r="T205" s="22" t="s">
        <v>114</v>
      </c>
      <c r="U205" s="22" t="s">
        <v>112</v>
      </c>
      <c r="V205" s="22" t="s">
        <v>132</v>
      </c>
      <c r="W205" s="22" t="s">
        <v>116</v>
      </c>
      <c r="X205" s="22" t="s">
        <v>290</v>
      </c>
      <c r="Y205" s="22" t="s">
        <v>21</v>
      </c>
      <c r="Z205" s="22" t="s">
        <v>1385</v>
      </c>
      <c r="AA205" s="22" t="s">
        <v>21</v>
      </c>
      <c r="AB205" s="22" t="s">
        <v>1386</v>
      </c>
      <c r="AC205" s="22" t="s">
        <v>1387</v>
      </c>
      <c r="AD205" s="22" t="s">
        <v>120</v>
      </c>
      <c r="AE205" s="22"/>
      <c r="AF205" s="22" t="s">
        <v>1388</v>
      </c>
      <c r="AG205" s="22"/>
      <c r="AH205" s="22"/>
      <c r="AI205" s="22" t="s">
        <v>494</v>
      </c>
      <c r="AJ205" s="22" t="s">
        <v>1389</v>
      </c>
      <c r="AK205" s="22" t="s">
        <v>140</v>
      </c>
      <c r="AL205" s="22" t="s">
        <v>142</v>
      </c>
      <c r="AM205" s="22" t="s">
        <v>314</v>
      </c>
      <c r="AN205" s="22" t="s">
        <v>157</v>
      </c>
      <c r="AO205" s="22" t="s">
        <v>404</v>
      </c>
      <c r="AP205" s="22" t="s">
        <v>112</v>
      </c>
    </row>
    <row r="206" spans="10:42" s="18" customFormat="1" ht="16.8" customHeight="1">
      <c r="J206" s="22">
        <v>199</v>
      </c>
      <c r="K206" s="22" t="s">
        <v>108</v>
      </c>
      <c r="L206" s="22" t="s">
        <v>109</v>
      </c>
      <c r="M206" s="22" t="s">
        <v>1377</v>
      </c>
      <c r="N206" s="22" t="s">
        <v>1390</v>
      </c>
      <c r="O206" s="22" t="s">
        <v>130</v>
      </c>
      <c r="P206" s="22" t="s">
        <v>112</v>
      </c>
      <c r="Q206" s="22">
        <v>5874</v>
      </c>
      <c r="R206" s="22" t="s">
        <v>499</v>
      </c>
      <c r="S206" s="22" t="s">
        <v>396</v>
      </c>
      <c r="T206" s="22" t="s">
        <v>114</v>
      </c>
      <c r="U206" s="22" t="s">
        <v>112</v>
      </c>
      <c r="V206" s="22" t="s">
        <v>132</v>
      </c>
      <c r="W206" s="22" t="s">
        <v>116</v>
      </c>
      <c r="X206" s="22" t="s">
        <v>290</v>
      </c>
      <c r="Y206" s="22" t="s">
        <v>20</v>
      </c>
      <c r="Z206" s="22" t="s">
        <v>1391</v>
      </c>
      <c r="AA206" s="22" t="s">
        <v>20</v>
      </c>
      <c r="AB206" s="22" t="s">
        <v>1392</v>
      </c>
      <c r="AC206" s="22" t="s">
        <v>1393</v>
      </c>
      <c r="AD206" s="22" t="s">
        <v>120</v>
      </c>
      <c r="AE206" s="22" t="s">
        <v>223</v>
      </c>
      <c r="AF206" s="22" t="s">
        <v>1394</v>
      </c>
      <c r="AG206" s="22" t="s">
        <v>1377</v>
      </c>
      <c r="AH206" s="22"/>
      <c r="AI206" s="22" t="s">
        <v>205</v>
      </c>
      <c r="AJ206" s="22" t="s">
        <v>1395</v>
      </c>
      <c r="AK206" s="22" t="s">
        <v>124</v>
      </c>
      <c r="AL206" s="22" t="s">
        <v>1396</v>
      </c>
      <c r="AM206" s="22" t="s">
        <v>829</v>
      </c>
      <c r="AN206" s="22" t="s">
        <v>143</v>
      </c>
      <c r="AO206" s="22" t="s">
        <v>209</v>
      </c>
      <c r="AP206" s="22" t="s">
        <v>112</v>
      </c>
    </row>
    <row r="207" spans="10:42" s="18" customFormat="1" ht="16.8" customHeight="1">
      <c r="J207" s="22">
        <v>200</v>
      </c>
      <c r="K207" s="22" t="s">
        <v>108</v>
      </c>
      <c r="L207" s="22" t="s">
        <v>109</v>
      </c>
      <c r="M207" s="22" t="s">
        <v>1377</v>
      </c>
      <c r="N207" s="22" t="s">
        <v>1397</v>
      </c>
      <c r="O207" s="22" t="s">
        <v>130</v>
      </c>
      <c r="P207" s="22" t="s">
        <v>112</v>
      </c>
      <c r="Q207" s="22">
        <v>5374</v>
      </c>
      <c r="R207" s="22"/>
      <c r="S207" s="22" t="s">
        <v>112</v>
      </c>
      <c r="T207" s="22" t="s">
        <v>131</v>
      </c>
      <c r="U207" s="22" t="s">
        <v>112</v>
      </c>
      <c r="V207" s="22" t="s">
        <v>132</v>
      </c>
      <c r="W207" s="22" t="s">
        <v>282</v>
      </c>
      <c r="X207" s="22" t="s">
        <v>283</v>
      </c>
      <c r="Y207" s="22" t="s">
        <v>22</v>
      </c>
      <c r="Z207" s="22" t="s">
        <v>1398</v>
      </c>
      <c r="AA207" s="22" t="s">
        <v>22</v>
      </c>
      <c r="AB207" s="22" t="s">
        <v>1399</v>
      </c>
      <c r="AC207" s="22" t="s">
        <v>1400</v>
      </c>
      <c r="AD207" s="22" t="s">
        <v>120</v>
      </c>
      <c r="AE207" s="22" t="s">
        <v>223</v>
      </c>
      <c r="AF207" s="22" t="s">
        <v>1401</v>
      </c>
      <c r="AG207" s="22" t="s">
        <v>1377</v>
      </c>
      <c r="AH207" s="22"/>
      <c r="AI207" s="22" t="s">
        <v>205</v>
      </c>
      <c r="AJ207" s="22" t="s">
        <v>503</v>
      </c>
      <c r="AK207" s="22" t="s">
        <v>140</v>
      </c>
      <c r="AL207" s="22" t="s">
        <v>1402</v>
      </c>
      <c r="AM207" s="22" t="s">
        <v>1319</v>
      </c>
      <c r="AN207" s="22" t="s">
        <v>143</v>
      </c>
      <c r="AO207" s="22" t="s">
        <v>209</v>
      </c>
      <c r="AP207" s="22" t="s">
        <v>112</v>
      </c>
    </row>
    <row r="208" spans="10:42" s="18" customFormat="1" ht="16.8" customHeight="1">
      <c r="J208" s="22">
        <v>201</v>
      </c>
      <c r="K208" s="22" t="s">
        <v>108</v>
      </c>
      <c r="L208" s="22" t="s">
        <v>109</v>
      </c>
      <c r="M208" s="22" t="s">
        <v>1377</v>
      </c>
      <c r="N208" s="22" t="s">
        <v>1403</v>
      </c>
      <c r="O208" s="22" t="s">
        <v>130</v>
      </c>
      <c r="P208" s="22" t="s">
        <v>112</v>
      </c>
      <c r="Q208" s="22">
        <v>5200</v>
      </c>
      <c r="R208" s="22"/>
      <c r="S208" s="22" t="s">
        <v>304</v>
      </c>
      <c r="T208" s="22" t="s">
        <v>114</v>
      </c>
      <c r="U208" s="22" t="s">
        <v>112</v>
      </c>
      <c r="V208" s="22" t="s">
        <v>132</v>
      </c>
      <c r="W208" s="22" t="s">
        <v>116</v>
      </c>
      <c r="X208" s="22" t="s">
        <v>290</v>
      </c>
      <c r="Y208" s="22" t="s">
        <v>22</v>
      </c>
      <c r="Z208" s="22" t="s">
        <v>1404</v>
      </c>
      <c r="AA208" s="22" t="s">
        <v>22</v>
      </c>
      <c r="AB208" s="22" t="s">
        <v>1405</v>
      </c>
      <c r="AC208" s="22" t="s">
        <v>1406</v>
      </c>
      <c r="AD208" s="22" t="s">
        <v>120</v>
      </c>
      <c r="AE208" s="22"/>
      <c r="AF208" s="22" t="s">
        <v>1407</v>
      </c>
      <c r="AG208" s="22"/>
      <c r="AH208" s="22"/>
      <c r="AI208" s="22" t="s">
        <v>205</v>
      </c>
      <c r="AJ208" s="22" t="s">
        <v>278</v>
      </c>
      <c r="AK208" s="22" t="s">
        <v>124</v>
      </c>
      <c r="AL208" s="22" t="s">
        <v>367</v>
      </c>
      <c r="AM208" s="22" t="s">
        <v>1408</v>
      </c>
      <c r="AN208" s="22" t="s">
        <v>157</v>
      </c>
      <c r="AO208" s="22" t="s">
        <v>209</v>
      </c>
      <c r="AP208" s="22" t="s">
        <v>112</v>
      </c>
    </row>
    <row r="209" spans="10:42" s="18" customFormat="1" ht="16.8" customHeight="1">
      <c r="J209" s="22">
        <v>202</v>
      </c>
      <c r="K209" s="22" t="s">
        <v>108</v>
      </c>
      <c r="L209" s="22" t="s">
        <v>109</v>
      </c>
      <c r="M209" s="22" t="s">
        <v>1377</v>
      </c>
      <c r="N209" s="22" t="s">
        <v>1409</v>
      </c>
      <c r="O209" s="22" t="s">
        <v>130</v>
      </c>
      <c r="P209" s="22" t="s">
        <v>112</v>
      </c>
      <c r="Q209" s="22">
        <v>5374</v>
      </c>
      <c r="R209" s="22"/>
      <c r="S209" s="22" t="s">
        <v>112</v>
      </c>
      <c r="T209" s="22" t="s">
        <v>131</v>
      </c>
      <c r="U209" s="22" t="s">
        <v>112</v>
      </c>
      <c r="V209" s="22" t="s">
        <v>132</v>
      </c>
      <c r="W209" s="22" t="s">
        <v>282</v>
      </c>
      <c r="X209" s="22" t="s">
        <v>647</v>
      </c>
      <c r="Y209" s="22" t="s">
        <v>24</v>
      </c>
      <c r="Z209" s="22" t="s">
        <v>1410</v>
      </c>
      <c r="AA209" s="22" t="s">
        <v>24</v>
      </c>
      <c r="AB209" s="22" t="s">
        <v>1411</v>
      </c>
      <c r="AC209" s="22" t="s">
        <v>1412</v>
      </c>
      <c r="AD209" s="22" t="s">
        <v>120</v>
      </c>
      <c r="AE209" s="22" t="s">
        <v>399</v>
      </c>
      <c r="AF209" s="22" t="s">
        <v>1413</v>
      </c>
      <c r="AG209" s="22" t="s">
        <v>1377</v>
      </c>
      <c r="AH209" s="22"/>
      <c r="AI209" s="22" t="s">
        <v>205</v>
      </c>
      <c r="AJ209" s="22" t="s">
        <v>139</v>
      </c>
      <c r="AK209" s="22" t="s">
        <v>286</v>
      </c>
      <c r="AL209" s="22" t="s">
        <v>141</v>
      </c>
      <c r="AM209" s="22" t="s">
        <v>142</v>
      </c>
      <c r="AN209" s="22" t="s">
        <v>143</v>
      </c>
      <c r="AO209" s="22" t="s">
        <v>209</v>
      </c>
      <c r="AP209" s="22" t="s">
        <v>112</v>
      </c>
    </row>
    <row r="210" spans="10:42" s="18" customFormat="1" ht="16.8" customHeight="1">
      <c r="J210" s="22">
        <v>203</v>
      </c>
      <c r="K210" s="22" t="s">
        <v>108</v>
      </c>
      <c r="L210" s="22" t="s">
        <v>109</v>
      </c>
      <c r="M210" s="22" t="s">
        <v>1377</v>
      </c>
      <c r="N210" s="22" t="s">
        <v>1414</v>
      </c>
      <c r="O210" s="22" t="s">
        <v>130</v>
      </c>
      <c r="P210" s="22" t="s">
        <v>112</v>
      </c>
      <c r="Q210" s="22">
        <v>5874</v>
      </c>
      <c r="R210" s="22"/>
      <c r="S210" s="22" t="s">
        <v>112</v>
      </c>
      <c r="T210" s="22" t="s">
        <v>131</v>
      </c>
      <c r="U210" s="22" t="s">
        <v>112</v>
      </c>
      <c r="V210" s="22" t="s">
        <v>132</v>
      </c>
      <c r="W210" s="22" t="s">
        <v>476</v>
      </c>
      <c r="X210" s="22" t="s">
        <v>476</v>
      </c>
      <c r="Y210" s="22" t="s">
        <v>22</v>
      </c>
      <c r="Z210" s="22" t="s">
        <v>1415</v>
      </c>
      <c r="AA210" s="22" t="s">
        <v>22</v>
      </c>
      <c r="AB210" s="22" t="s">
        <v>1415</v>
      </c>
      <c r="AC210" s="22" t="s">
        <v>1416</v>
      </c>
      <c r="AD210" s="22" t="s">
        <v>120</v>
      </c>
      <c r="AE210" s="22" t="s">
        <v>170</v>
      </c>
      <c r="AF210" s="22" t="s">
        <v>1417</v>
      </c>
      <c r="AG210" s="22" t="s">
        <v>1377</v>
      </c>
      <c r="AH210" s="22"/>
      <c r="AI210" s="22" t="s">
        <v>138</v>
      </c>
      <c r="AJ210" s="22" t="s">
        <v>172</v>
      </c>
      <c r="AK210" s="22" t="s">
        <v>140</v>
      </c>
      <c r="AL210" s="22" t="s">
        <v>1418</v>
      </c>
      <c r="AM210" s="22" t="s">
        <v>216</v>
      </c>
      <c r="AN210" s="22" t="s">
        <v>143</v>
      </c>
      <c r="AO210" s="22" t="s">
        <v>144</v>
      </c>
      <c r="AP210" s="22" t="s">
        <v>112</v>
      </c>
    </row>
    <row r="211" spans="10:42" s="18" customFormat="1" ht="16.8" customHeight="1">
      <c r="J211" s="22">
        <v>204</v>
      </c>
      <c r="K211" s="22" t="s">
        <v>108</v>
      </c>
      <c r="L211" s="22" t="s">
        <v>109</v>
      </c>
      <c r="M211" s="22" t="s">
        <v>1377</v>
      </c>
      <c r="N211" s="22" t="s">
        <v>1419</v>
      </c>
      <c r="O211" s="22" t="s">
        <v>130</v>
      </c>
      <c r="P211" s="22" t="s">
        <v>112</v>
      </c>
      <c r="Q211" s="22">
        <v>25500</v>
      </c>
      <c r="R211" s="22"/>
      <c r="S211" s="22" t="s">
        <v>112</v>
      </c>
      <c r="T211" s="22" t="s">
        <v>131</v>
      </c>
      <c r="U211" s="22" t="s">
        <v>112</v>
      </c>
      <c r="V211" s="22" t="s">
        <v>132</v>
      </c>
      <c r="W211" s="22" t="s">
        <v>235</v>
      </c>
      <c r="X211" s="22" t="s">
        <v>544</v>
      </c>
      <c r="Y211" s="22" t="s">
        <v>22</v>
      </c>
      <c r="Z211" s="22" t="s">
        <v>1420</v>
      </c>
      <c r="AA211" s="22" t="s">
        <v>22</v>
      </c>
      <c r="AB211" s="22" t="s">
        <v>1421</v>
      </c>
      <c r="AC211" s="22" t="s">
        <v>1422</v>
      </c>
      <c r="AD211" s="22" t="s">
        <v>120</v>
      </c>
      <c r="AE211" s="22"/>
      <c r="AF211" s="22" t="s">
        <v>1423</v>
      </c>
      <c r="AG211" s="22"/>
      <c r="AH211" s="22"/>
      <c r="AI211" s="22" t="s">
        <v>182</v>
      </c>
      <c r="AJ211" s="22" t="s">
        <v>195</v>
      </c>
      <c r="AK211" s="22" t="s">
        <v>286</v>
      </c>
      <c r="AL211" s="22" t="s">
        <v>196</v>
      </c>
      <c r="AM211" s="22" t="s">
        <v>197</v>
      </c>
      <c r="AN211" s="22" t="s">
        <v>157</v>
      </c>
      <c r="AO211" s="22" t="s">
        <v>182</v>
      </c>
      <c r="AP211" s="22" t="s">
        <v>186</v>
      </c>
    </row>
    <row r="212" spans="10:42" s="18" customFormat="1" ht="16.8" customHeight="1">
      <c r="J212" s="22">
        <v>205</v>
      </c>
      <c r="K212" s="22" t="s">
        <v>108</v>
      </c>
      <c r="L212" s="22" t="s">
        <v>109</v>
      </c>
      <c r="M212" s="22" t="s">
        <v>1377</v>
      </c>
      <c r="N212" s="22" t="s">
        <v>1424</v>
      </c>
      <c r="O212" s="22" t="s">
        <v>130</v>
      </c>
      <c r="P212" s="22" t="s">
        <v>112</v>
      </c>
      <c r="Q212" s="22">
        <v>5374</v>
      </c>
      <c r="R212" s="22"/>
      <c r="S212" s="22" t="s">
        <v>1425</v>
      </c>
      <c r="T212" s="22" t="s">
        <v>131</v>
      </c>
      <c r="U212" s="22" t="s">
        <v>112</v>
      </c>
      <c r="V212" s="22" t="s">
        <v>132</v>
      </c>
      <c r="W212" s="22" t="s">
        <v>116</v>
      </c>
      <c r="X212" s="22" t="s">
        <v>377</v>
      </c>
      <c r="Y212" s="22" t="s">
        <v>22</v>
      </c>
      <c r="Z212" s="22" t="s">
        <v>1426</v>
      </c>
      <c r="AA212" s="22" t="s">
        <v>22</v>
      </c>
      <c r="AB212" s="22" t="s">
        <v>1426</v>
      </c>
      <c r="AC212" s="22" t="s">
        <v>1427</v>
      </c>
      <c r="AD212" s="22" t="s">
        <v>120</v>
      </c>
      <c r="AE212" s="22" t="s">
        <v>170</v>
      </c>
      <c r="AF212" s="22" t="s">
        <v>1428</v>
      </c>
      <c r="AG212" s="22" t="s">
        <v>1377</v>
      </c>
      <c r="AH212" s="22"/>
      <c r="AI212" s="22" t="s">
        <v>138</v>
      </c>
      <c r="AJ212" s="22" t="s">
        <v>511</v>
      </c>
      <c r="AK212" s="22" t="s">
        <v>140</v>
      </c>
      <c r="AL212" s="22" t="s">
        <v>852</v>
      </c>
      <c r="AM212" s="22" t="s">
        <v>1429</v>
      </c>
      <c r="AN212" s="22" t="s">
        <v>143</v>
      </c>
      <c r="AO212" s="22" t="s">
        <v>144</v>
      </c>
      <c r="AP212" s="22" t="s">
        <v>112</v>
      </c>
    </row>
    <row r="213" spans="10:42" s="18" customFormat="1" ht="16.8" customHeight="1">
      <c r="J213" s="22">
        <v>206</v>
      </c>
      <c r="K213" s="22" t="s">
        <v>108</v>
      </c>
      <c r="L213" s="22" t="s">
        <v>109</v>
      </c>
      <c r="M213" s="22" t="s">
        <v>1377</v>
      </c>
      <c r="N213" s="22" t="s">
        <v>1430</v>
      </c>
      <c r="O213" s="22" t="s">
        <v>130</v>
      </c>
      <c r="P213" s="22" t="s">
        <v>112</v>
      </c>
      <c r="Q213" s="22">
        <v>6180</v>
      </c>
      <c r="R213" s="22" t="s">
        <v>499</v>
      </c>
      <c r="S213" s="22" t="s">
        <v>112</v>
      </c>
      <c r="T213" s="22" t="s">
        <v>114</v>
      </c>
      <c r="U213" s="22" t="s">
        <v>112</v>
      </c>
      <c r="V213" s="22" t="s">
        <v>132</v>
      </c>
      <c r="W213" s="22" t="s">
        <v>116</v>
      </c>
      <c r="X213" s="22" t="s">
        <v>290</v>
      </c>
      <c r="Y213" s="22" t="s">
        <v>21</v>
      </c>
      <c r="Z213" s="22" t="s">
        <v>1431</v>
      </c>
      <c r="AA213" s="22" t="s">
        <v>21</v>
      </c>
      <c r="AB213" s="22" t="s">
        <v>1432</v>
      </c>
      <c r="AC213" s="22" t="s">
        <v>1433</v>
      </c>
      <c r="AD213" s="22" t="s">
        <v>120</v>
      </c>
      <c r="AE213" s="22" t="s">
        <v>170</v>
      </c>
      <c r="AF213" s="22" t="s">
        <v>1434</v>
      </c>
      <c r="AG213" s="22" t="s">
        <v>1377</v>
      </c>
      <c r="AH213" s="22"/>
      <c r="AI213" s="22" t="s">
        <v>182</v>
      </c>
      <c r="AJ213" s="22" t="s">
        <v>511</v>
      </c>
      <c r="AK213" s="22" t="s">
        <v>140</v>
      </c>
      <c r="AL213" s="22" t="s">
        <v>835</v>
      </c>
      <c r="AM213" s="22" t="s">
        <v>208</v>
      </c>
      <c r="AN213" s="22" t="s">
        <v>157</v>
      </c>
      <c r="AO213" s="22" t="s">
        <v>182</v>
      </c>
      <c r="AP213" s="22" t="s">
        <v>186</v>
      </c>
    </row>
    <row r="214" spans="10:42" s="18" customFormat="1" ht="16.8" customHeight="1">
      <c r="J214" s="22">
        <v>207</v>
      </c>
      <c r="K214" s="22" t="s">
        <v>108</v>
      </c>
      <c r="L214" s="22" t="s">
        <v>109</v>
      </c>
      <c r="M214" s="22" t="s">
        <v>1435</v>
      </c>
      <c r="N214" s="22" t="s">
        <v>1436</v>
      </c>
      <c r="O214" s="22" t="s">
        <v>130</v>
      </c>
      <c r="P214" s="22" t="s">
        <v>112</v>
      </c>
      <c r="Q214" s="22">
        <v>70088</v>
      </c>
      <c r="R214" s="22" t="s">
        <v>147</v>
      </c>
      <c r="S214" s="22" t="s">
        <v>1437</v>
      </c>
      <c r="T214" s="22" t="s">
        <v>114</v>
      </c>
      <c r="U214" s="22" t="s">
        <v>112</v>
      </c>
      <c r="V214" s="22" t="s">
        <v>132</v>
      </c>
      <c r="W214" s="22" t="s">
        <v>116</v>
      </c>
      <c r="X214" s="22" t="s">
        <v>377</v>
      </c>
      <c r="Y214" s="22" t="s">
        <v>12</v>
      </c>
      <c r="Z214" s="22" t="s">
        <v>1438</v>
      </c>
      <c r="AA214" s="22" t="s">
        <v>12</v>
      </c>
      <c r="AB214" s="22" t="s">
        <v>1439</v>
      </c>
      <c r="AC214" s="22" t="s">
        <v>1440</v>
      </c>
      <c r="AD214" s="22" t="s">
        <v>120</v>
      </c>
      <c r="AE214" s="22" t="s">
        <v>193</v>
      </c>
      <c r="AF214" s="22" t="s">
        <v>1441</v>
      </c>
      <c r="AG214" s="22" t="s">
        <v>1435</v>
      </c>
      <c r="AH214" s="22"/>
      <c r="AI214" s="22" t="s">
        <v>1442</v>
      </c>
      <c r="AJ214" s="22" t="s">
        <v>1367</v>
      </c>
      <c r="AK214" s="22" t="s">
        <v>140</v>
      </c>
      <c r="AL214" s="22" t="s">
        <v>1192</v>
      </c>
      <c r="AM214" s="22" t="s">
        <v>1193</v>
      </c>
      <c r="AN214" s="22" t="s">
        <v>157</v>
      </c>
      <c r="AO214" s="22" t="s">
        <v>1443</v>
      </c>
      <c r="AP214" s="22" t="s">
        <v>186</v>
      </c>
    </row>
    <row r="215" spans="10:42" s="18" customFormat="1" ht="16.8" customHeight="1">
      <c r="J215" s="22">
        <v>208</v>
      </c>
      <c r="K215" s="22" t="s">
        <v>108</v>
      </c>
      <c r="L215" s="22" t="s">
        <v>109</v>
      </c>
      <c r="M215" s="22" t="s">
        <v>1435</v>
      </c>
      <c r="N215" s="22" t="s">
        <v>1444</v>
      </c>
      <c r="O215" s="22" t="s">
        <v>130</v>
      </c>
      <c r="P215" s="22" t="s">
        <v>112</v>
      </c>
      <c r="Q215" s="22">
        <v>5874</v>
      </c>
      <c r="R215" s="22"/>
      <c r="S215" s="22" t="s">
        <v>112</v>
      </c>
      <c r="T215" s="22" t="s">
        <v>131</v>
      </c>
      <c r="U215" s="22" t="s">
        <v>112</v>
      </c>
      <c r="V215" s="22" t="s">
        <v>132</v>
      </c>
      <c r="W215" s="22" t="s">
        <v>246</v>
      </c>
      <c r="X215" s="22" t="s">
        <v>247</v>
      </c>
      <c r="Y215" s="22" t="s">
        <v>12</v>
      </c>
      <c r="Z215" s="22" t="s">
        <v>1445</v>
      </c>
      <c r="AA215" s="22" t="s">
        <v>12</v>
      </c>
      <c r="AB215" s="22" t="s">
        <v>1446</v>
      </c>
      <c r="AC215" s="22" t="s">
        <v>1447</v>
      </c>
      <c r="AD215" s="22" t="s">
        <v>120</v>
      </c>
      <c r="AE215" s="22" t="s">
        <v>193</v>
      </c>
      <c r="AF215" s="22" t="s">
        <v>1448</v>
      </c>
      <c r="AG215" s="22" t="s">
        <v>1435</v>
      </c>
      <c r="AH215" s="22"/>
      <c r="AI215" s="22" t="s">
        <v>205</v>
      </c>
      <c r="AJ215" s="22" t="s">
        <v>1449</v>
      </c>
      <c r="AK215" s="22" t="s">
        <v>140</v>
      </c>
      <c r="AL215" s="22" t="s">
        <v>323</v>
      </c>
      <c r="AM215" s="22" t="s">
        <v>324</v>
      </c>
      <c r="AN215" s="22" t="s">
        <v>1450</v>
      </c>
      <c r="AO215" s="22" t="s">
        <v>209</v>
      </c>
      <c r="AP215" s="22" t="s">
        <v>112</v>
      </c>
    </row>
    <row r="216" spans="10:42" s="18" customFormat="1" ht="16.8" customHeight="1">
      <c r="J216" s="22">
        <v>209</v>
      </c>
      <c r="K216" s="22" t="s">
        <v>108</v>
      </c>
      <c r="L216" s="22" t="s">
        <v>109</v>
      </c>
      <c r="M216" s="22" t="s">
        <v>1435</v>
      </c>
      <c r="N216" s="22" t="s">
        <v>1451</v>
      </c>
      <c r="O216" s="22" t="s">
        <v>130</v>
      </c>
      <c r="P216" s="22" t="s">
        <v>112</v>
      </c>
      <c r="Q216" s="22">
        <v>5874</v>
      </c>
      <c r="R216" s="22"/>
      <c r="S216" s="22" t="s">
        <v>112</v>
      </c>
      <c r="T216" s="22" t="s">
        <v>131</v>
      </c>
      <c r="U216" s="22" t="s">
        <v>112</v>
      </c>
      <c r="V216" s="22" t="s">
        <v>132</v>
      </c>
      <c r="W216" s="22" t="s">
        <v>273</v>
      </c>
      <c r="X216" s="22" t="s">
        <v>353</v>
      </c>
      <c r="Y216" s="22" t="s">
        <v>21</v>
      </c>
      <c r="Z216" s="22" t="s">
        <v>1452</v>
      </c>
      <c r="AA216" s="22" t="s">
        <v>21</v>
      </c>
      <c r="AB216" s="22" t="s">
        <v>1453</v>
      </c>
      <c r="AC216" s="22" t="s">
        <v>1454</v>
      </c>
      <c r="AD216" s="22" t="s">
        <v>135</v>
      </c>
      <c r="AE216" s="22" t="s">
        <v>193</v>
      </c>
      <c r="AF216" s="22" t="s">
        <v>1455</v>
      </c>
      <c r="AG216" s="22" t="s">
        <v>1435</v>
      </c>
      <c r="AH216" s="22"/>
      <c r="AI216" s="22" t="s">
        <v>138</v>
      </c>
      <c r="AJ216" s="22" t="s">
        <v>1345</v>
      </c>
      <c r="AK216" s="22" t="s">
        <v>286</v>
      </c>
      <c r="AL216" s="22" t="s">
        <v>1456</v>
      </c>
      <c r="AM216" s="22" t="s">
        <v>1457</v>
      </c>
      <c r="AN216" s="22" t="s">
        <v>143</v>
      </c>
      <c r="AO216" s="22" t="s">
        <v>144</v>
      </c>
      <c r="AP216" s="22" t="s">
        <v>112</v>
      </c>
    </row>
    <row r="217" spans="10:42" s="18" customFormat="1" ht="16.8" customHeight="1">
      <c r="J217" s="22">
        <v>210</v>
      </c>
      <c r="K217" s="22" t="s">
        <v>108</v>
      </c>
      <c r="L217" s="22" t="s">
        <v>109</v>
      </c>
      <c r="M217" s="22" t="s">
        <v>1435</v>
      </c>
      <c r="N217" s="22" t="s">
        <v>1458</v>
      </c>
      <c r="O217" s="22" t="s">
        <v>130</v>
      </c>
      <c r="P217" s="22" t="s">
        <v>112</v>
      </c>
      <c r="Q217" s="22">
        <v>5374</v>
      </c>
      <c r="R217" s="22"/>
      <c r="S217" s="22" t="s">
        <v>112</v>
      </c>
      <c r="T217" s="22" t="s">
        <v>131</v>
      </c>
      <c r="U217" s="22" t="s">
        <v>112</v>
      </c>
      <c r="V217" s="22" t="s">
        <v>132</v>
      </c>
      <c r="W217" s="22" t="s">
        <v>235</v>
      </c>
      <c r="X217" s="22" t="s">
        <v>484</v>
      </c>
      <c r="Y217" s="22" t="s">
        <v>21</v>
      </c>
      <c r="Z217" s="22" t="s">
        <v>1459</v>
      </c>
      <c r="AA217" s="22" t="s">
        <v>21</v>
      </c>
      <c r="AB217" s="22" t="s">
        <v>1460</v>
      </c>
      <c r="AC217" s="22" t="s">
        <v>1461</v>
      </c>
      <c r="AD217" s="22" t="s">
        <v>120</v>
      </c>
      <c r="AE217" s="22" t="s">
        <v>193</v>
      </c>
      <c r="AF217" s="22" t="s">
        <v>1462</v>
      </c>
      <c r="AG217" s="22" t="s">
        <v>1435</v>
      </c>
      <c r="AH217" s="22"/>
      <c r="AI217" s="22" t="s">
        <v>205</v>
      </c>
      <c r="AJ217" s="22" t="s">
        <v>1463</v>
      </c>
      <c r="AK217" s="22" t="s">
        <v>286</v>
      </c>
      <c r="AL217" s="22" t="s">
        <v>1464</v>
      </c>
      <c r="AM217" s="22" t="s">
        <v>1465</v>
      </c>
      <c r="AN217" s="22" t="s">
        <v>143</v>
      </c>
      <c r="AO217" s="22" t="s">
        <v>209</v>
      </c>
      <c r="AP217" s="22" t="s">
        <v>112</v>
      </c>
    </row>
    <row r="218" spans="10:42" s="18" customFormat="1" ht="16.8" customHeight="1">
      <c r="J218" s="22">
        <v>211</v>
      </c>
      <c r="K218" s="22" t="s">
        <v>108</v>
      </c>
      <c r="L218" s="22" t="s">
        <v>109</v>
      </c>
      <c r="M218" s="22" t="s">
        <v>1435</v>
      </c>
      <c r="N218" s="22" t="s">
        <v>219</v>
      </c>
      <c r="O218" s="22" t="s">
        <v>130</v>
      </c>
      <c r="P218" s="22" t="s">
        <v>112</v>
      </c>
      <c r="Q218" s="22">
        <v>5874</v>
      </c>
      <c r="R218" s="22"/>
      <c r="S218" s="22" t="s">
        <v>112</v>
      </c>
      <c r="T218" s="22" t="s">
        <v>131</v>
      </c>
      <c r="U218" s="22" t="s">
        <v>112</v>
      </c>
      <c r="V218" s="22" t="s">
        <v>132</v>
      </c>
      <c r="W218" s="22" t="s">
        <v>282</v>
      </c>
      <c r="X218" s="22" t="s">
        <v>551</v>
      </c>
      <c r="Y218" s="22" t="s">
        <v>24</v>
      </c>
      <c r="Z218" s="22" t="s">
        <v>1466</v>
      </c>
      <c r="AA218" s="22" t="s">
        <v>24</v>
      </c>
      <c r="AB218" s="22" t="s">
        <v>1466</v>
      </c>
      <c r="AC218" s="22" t="s">
        <v>1467</v>
      </c>
      <c r="AD218" s="22" t="s">
        <v>120</v>
      </c>
      <c r="AE218" s="22" t="s">
        <v>170</v>
      </c>
      <c r="AF218" s="22" t="s">
        <v>1468</v>
      </c>
      <c r="AG218" s="22" t="s">
        <v>1435</v>
      </c>
      <c r="AH218" s="22"/>
      <c r="AI218" s="22" t="s">
        <v>205</v>
      </c>
      <c r="AJ218" s="22" t="s">
        <v>225</v>
      </c>
      <c r="AK218" s="22" t="s">
        <v>140</v>
      </c>
      <c r="AL218" s="22" t="s">
        <v>835</v>
      </c>
      <c r="AM218" s="22" t="s">
        <v>1469</v>
      </c>
      <c r="AN218" s="22" t="s">
        <v>143</v>
      </c>
      <c r="AO218" s="22" t="s">
        <v>209</v>
      </c>
      <c r="AP218" s="22" t="s">
        <v>112</v>
      </c>
    </row>
    <row r="219" spans="10:42" s="18" customFormat="1" ht="16.8" customHeight="1">
      <c r="J219" s="22">
        <v>212</v>
      </c>
      <c r="K219" s="22" t="s">
        <v>108</v>
      </c>
      <c r="L219" s="22" t="s">
        <v>109</v>
      </c>
      <c r="M219" s="22" t="s">
        <v>1470</v>
      </c>
      <c r="N219" s="22" t="s">
        <v>1471</v>
      </c>
      <c r="O219" s="22" t="s">
        <v>130</v>
      </c>
      <c r="P219" s="22" t="s">
        <v>112</v>
      </c>
      <c r="Q219" s="22">
        <v>5374</v>
      </c>
      <c r="R219" s="22"/>
      <c r="S219" s="22" t="s">
        <v>112</v>
      </c>
      <c r="T219" s="22" t="s">
        <v>131</v>
      </c>
      <c r="U219" s="22" t="s">
        <v>112</v>
      </c>
      <c r="V219" s="22" t="s">
        <v>132</v>
      </c>
      <c r="W219" s="22" t="s">
        <v>235</v>
      </c>
      <c r="X219" s="22" t="s">
        <v>255</v>
      </c>
      <c r="Y219" s="22" t="s">
        <v>24</v>
      </c>
      <c r="Z219" s="22" t="s">
        <v>1472</v>
      </c>
      <c r="AA219" s="22" t="s">
        <v>24</v>
      </c>
      <c r="AB219" s="22" t="s">
        <v>1473</v>
      </c>
      <c r="AC219" s="22" t="s">
        <v>1474</v>
      </c>
      <c r="AD219" s="22" t="s">
        <v>120</v>
      </c>
      <c r="AE219" s="22" t="s">
        <v>152</v>
      </c>
      <c r="AF219" s="22" t="s">
        <v>1475</v>
      </c>
      <c r="AG219" s="22" t="s">
        <v>1470</v>
      </c>
      <c r="AH219" s="22"/>
      <c r="AI219" s="22" t="s">
        <v>205</v>
      </c>
      <c r="AJ219" s="22" t="s">
        <v>1476</v>
      </c>
      <c r="AK219" s="22" t="s">
        <v>140</v>
      </c>
      <c r="AL219" s="22" t="s">
        <v>1037</v>
      </c>
      <c r="AM219" s="22" t="s">
        <v>1408</v>
      </c>
      <c r="AN219" s="22" t="s">
        <v>143</v>
      </c>
      <c r="AO219" s="22" t="s">
        <v>209</v>
      </c>
      <c r="AP219" s="22" t="s">
        <v>112</v>
      </c>
    </row>
    <row r="220" spans="10:42" s="18" customFormat="1" ht="16.8" customHeight="1">
      <c r="J220" s="22">
        <v>213</v>
      </c>
      <c r="K220" s="22" t="s">
        <v>108</v>
      </c>
      <c r="L220" s="22" t="s">
        <v>109</v>
      </c>
      <c r="M220" s="22" t="s">
        <v>1470</v>
      </c>
      <c r="N220" s="22" t="s">
        <v>1477</v>
      </c>
      <c r="O220" s="22" t="s">
        <v>130</v>
      </c>
      <c r="P220" s="22" t="s">
        <v>112</v>
      </c>
      <c r="Q220" s="22">
        <v>5200</v>
      </c>
      <c r="R220" s="22"/>
      <c r="S220" s="22" t="s">
        <v>289</v>
      </c>
      <c r="T220" s="22" t="s">
        <v>131</v>
      </c>
      <c r="U220" s="22" t="s">
        <v>1478</v>
      </c>
      <c r="V220" s="22" t="s">
        <v>132</v>
      </c>
      <c r="W220" s="22" t="s">
        <v>116</v>
      </c>
      <c r="X220" s="22" t="s">
        <v>290</v>
      </c>
      <c r="Y220" s="22" t="s">
        <v>24</v>
      </c>
      <c r="Z220" s="22" t="s">
        <v>1479</v>
      </c>
      <c r="AA220" s="22" t="s">
        <v>24</v>
      </c>
      <c r="AB220" s="22" t="s">
        <v>1480</v>
      </c>
      <c r="AC220" s="22" t="s">
        <v>1481</v>
      </c>
      <c r="AD220" s="22" t="s">
        <v>120</v>
      </c>
      <c r="AE220" s="22"/>
      <c r="AF220" s="22" t="s">
        <v>1482</v>
      </c>
      <c r="AG220" s="22"/>
      <c r="AH220" s="22"/>
      <c r="AI220" s="22" t="s">
        <v>182</v>
      </c>
      <c r="AJ220" s="22" t="s">
        <v>859</v>
      </c>
      <c r="AK220" s="22" t="s">
        <v>303</v>
      </c>
      <c r="AL220" s="22" t="s">
        <v>1483</v>
      </c>
      <c r="AM220" s="22" t="s">
        <v>1484</v>
      </c>
      <c r="AN220" s="22" t="s">
        <v>157</v>
      </c>
      <c r="AO220" s="22" t="s">
        <v>182</v>
      </c>
      <c r="AP220" s="22" t="s">
        <v>186</v>
      </c>
    </row>
    <row r="221" spans="10:42" s="18" customFormat="1" ht="16.8" customHeight="1">
      <c r="J221" s="22">
        <v>214</v>
      </c>
      <c r="K221" s="22" t="s">
        <v>108</v>
      </c>
      <c r="L221" s="22" t="s">
        <v>109</v>
      </c>
      <c r="M221" s="22" t="s">
        <v>1470</v>
      </c>
      <c r="N221" s="22" t="s">
        <v>1485</v>
      </c>
      <c r="O221" s="22" t="s">
        <v>130</v>
      </c>
      <c r="P221" s="22" t="s">
        <v>112</v>
      </c>
      <c r="Q221" s="22">
        <v>2600</v>
      </c>
      <c r="R221" s="22"/>
      <c r="S221" s="22" t="s">
        <v>112</v>
      </c>
      <c r="T221" s="22" t="s">
        <v>131</v>
      </c>
      <c r="U221" s="22" t="s">
        <v>112</v>
      </c>
      <c r="V221" s="22" t="s">
        <v>132</v>
      </c>
      <c r="W221" s="22" t="s">
        <v>235</v>
      </c>
      <c r="X221" s="22" t="s">
        <v>255</v>
      </c>
      <c r="Y221" s="22" t="s">
        <v>22</v>
      </c>
      <c r="Z221" s="22" t="s">
        <v>1486</v>
      </c>
      <c r="AA221" s="22" t="s">
        <v>22</v>
      </c>
      <c r="AB221" s="22" t="s">
        <v>1487</v>
      </c>
      <c r="AC221" s="22" t="s">
        <v>1488</v>
      </c>
      <c r="AD221" s="22" t="s">
        <v>120</v>
      </c>
      <c r="AE221" s="22"/>
      <c r="AF221" s="22" t="s">
        <v>1489</v>
      </c>
      <c r="AG221" s="22"/>
      <c r="AH221" s="22"/>
      <c r="AI221" s="22" t="s">
        <v>205</v>
      </c>
      <c r="AJ221" s="22" t="s">
        <v>694</v>
      </c>
      <c r="AK221" s="22" t="s">
        <v>140</v>
      </c>
      <c r="AL221" s="22" t="s">
        <v>1490</v>
      </c>
      <c r="AM221" s="22" t="s">
        <v>1491</v>
      </c>
      <c r="AN221" s="22" t="s">
        <v>157</v>
      </c>
      <c r="AO221" s="22" t="s">
        <v>1098</v>
      </c>
      <c r="AP221" s="22" t="s">
        <v>112</v>
      </c>
    </row>
    <row r="222" spans="10:42" s="18" customFormat="1" ht="16.8" customHeight="1">
      <c r="J222" s="22">
        <v>215</v>
      </c>
      <c r="K222" s="22" t="s">
        <v>108</v>
      </c>
      <c r="L222" s="22" t="s">
        <v>109</v>
      </c>
      <c r="M222" s="22" t="s">
        <v>266</v>
      </c>
      <c r="N222" s="22" t="s">
        <v>1492</v>
      </c>
      <c r="O222" s="22" t="s">
        <v>130</v>
      </c>
      <c r="P222" s="22" t="s">
        <v>112</v>
      </c>
      <c r="Q222" s="22">
        <v>19588</v>
      </c>
      <c r="R222" s="22"/>
      <c r="S222" s="22" t="s">
        <v>304</v>
      </c>
      <c r="T222" s="22" t="s">
        <v>114</v>
      </c>
      <c r="U222" s="22" t="s">
        <v>112</v>
      </c>
      <c r="V222" s="22" t="s">
        <v>132</v>
      </c>
      <c r="W222" s="22" t="s">
        <v>116</v>
      </c>
      <c r="X222" s="22" t="s">
        <v>290</v>
      </c>
      <c r="Y222" s="22" t="s">
        <v>21</v>
      </c>
      <c r="Z222" s="22" t="s">
        <v>1493</v>
      </c>
      <c r="AA222" s="22" t="s">
        <v>21</v>
      </c>
      <c r="AB222" s="22" t="s">
        <v>1494</v>
      </c>
      <c r="AC222" s="22" t="s">
        <v>1495</v>
      </c>
      <c r="AD222" s="22" t="s">
        <v>120</v>
      </c>
      <c r="AE222" s="22"/>
      <c r="AF222" s="22" t="s">
        <v>1496</v>
      </c>
      <c r="AG222" s="22"/>
      <c r="AH222" s="22"/>
      <c r="AI222" s="22" t="s">
        <v>1497</v>
      </c>
      <c r="AJ222" s="22" t="s">
        <v>195</v>
      </c>
      <c r="AK222" s="22" t="s">
        <v>140</v>
      </c>
      <c r="AL222" s="22" t="s">
        <v>682</v>
      </c>
      <c r="AM222" s="22" t="s">
        <v>216</v>
      </c>
      <c r="AN222" s="22" t="s">
        <v>157</v>
      </c>
      <c r="AO222" s="22" t="s">
        <v>1098</v>
      </c>
      <c r="AP222" s="22" t="s">
        <v>112</v>
      </c>
    </row>
    <row r="223" spans="10:42" s="18" customFormat="1" ht="16.8" customHeight="1">
      <c r="J223" s="22">
        <v>216</v>
      </c>
      <c r="K223" s="22" t="s">
        <v>108</v>
      </c>
      <c r="L223" s="22" t="s">
        <v>109</v>
      </c>
      <c r="M223" s="22" t="s">
        <v>266</v>
      </c>
      <c r="N223" s="22" t="s">
        <v>1498</v>
      </c>
      <c r="O223" s="22" t="s">
        <v>130</v>
      </c>
      <c r="P223" s="22" t="s">
        <v>112</v>
      </c>
      <c r="Q223" s="22">
        <v>12500</v>
      </c>
      <c r="R223" s="22"/>
      <c r="S223" s="22" t="s">
        <v>112</v>
      </c>
      <c r="T223" s="22" t="s">
        <v>352</v>
      </c>
      <c r="U223" s="22" t="s">
        <v>112</v>
      </c>
      <c r="V223" s="22" t="s">
        <v>132</v>
      </c>
      <c r="W223" s="22" t="s">
        <v>978</v>
      </c>
      <c r="X223" s="22" t="s">
        <v>978</v>
      </c>
      <c r="Y223" s="22" t="s">
        <v>20</v>
      </c>
      <c r="Z223" s="22" t="s">
        <v>1499</v>
      </c>
      <c r="AA223" s="22" t="s">
        <v>1500</v>
      </c>
      <c r="AB223" s="22" t="s">
        <v>1501</v>
      </c>
      <c r="AC223" s="22" t="s">
        <v>1502</v>
      </c>
      <c r="AD223" s="22" t="s">
        <v>120</v>
      </c>
      <c r="AE223" s="22"/>
      <c r="AF223" s="22" t="s">
        <v>1503</v>
      </c>
      <c r="AG223" s="22"/>
      <c r="AH223" s="22"/>
      <c r="AI223" s="22" t="s">
        <v>138</v>
      </c>
      <c r="AJ223" s="22" t="s">
        <v>1504</v>
      </c>
      <c r="AK223" s="22" t="s">
        <v>124</v>
      </c>
      <c r="AL223" s="22" t="s">
        <v>1505</v>
      </c>
      <c r="AM223" s="22" t="s">
        <v>1506</v>
      </c>
      <c r="AN223" s="22" t="s">
        <v>143</v>
      </c>
      <c r="AO223" s="22" t="s">
        <v>404</v>
      </c>
      <c r="AP223" s="22" t="s">
        <v>112</v>
      </c>
    </row>
    <row r="224" spans="10:42" s="18" customFormat="1" ht="16.8" customHeight="1">
      <c r="J224" s="22">
        <v>217</v>
      </c>
      <c r="K224" s="22" t="s">
        <v>108</v>
      </c>
      <c r="L224" s="22" t="s">
        <v>109</v>
      </c>
      <c r="M224" s="22" t="s">
        <v>266</v>
      </c>
      <c r="N224" s="22" t="s">
        <v>1507</v>
      </c>
      <c r="O224" s="22" t="s">
        <v>130</v>
      </c>
      <c r="P224" s="22" t="s">
        <v>112</v>
      </c>
      <c r="Q224" s="22">
        <v>5480</v>
      </c>
      <c r="R224" s="22" t="s">
        <v>147</v>
      </c>
      <c r="S224" s="22" t="s">
        <v>1508</v>
      </c>
      <c r="T224" s="22" t="s">
        <v>114</v>
      </c>
      <c r="U224" s="22" t="s">
        <v>112</v>
      </c>
      <c r="V224" s="22" t="s">
        <v>132</v>
      </c>
      <c r="W224" s="22" t="s">
        <v>116</v>
      </c>
      <c r="X224" s="22" t="s">
        <v>820</v>
      </c>
      <c r="Y224" s="22" t="s">
        <v>22</v>
      </c>
      <c r="Z224" s="22" t="s">
        <v>1509</v>
      </c>
      <c r="AA224" s="22" t="s">
        <v>22</v>
      </c>
      <c r="AB224" s="22" t="s">
        <v>1509</v>
      </c>
      <c r="AC224" s="22" t="s">
        <v>1510</v>
      </c>
      <c r="AD224" s="22" t="s">
        <v>135</v>
      </c>
      <c r="AE224" s="22" t="s">
        <v>223</v>
      </c>
      <c r="AF224" s="22" t="s">
        <v>1511</v>
      </c>
      <c r="AG224" s="22" t="s">
        <v>266</v>
      </c>
      <c r="AH224" s="22"/>
      <c r="AI224" s="22" t="s">
        <v>205</v>
      </c>
      <c r="AJ224" s="22" t="s">
        <v>772</v>
      </c>
      <c r="AK224" s="22" t="s">
        <v>140</v>
      </c>
      <c r="AL224" s="22" t="s">
        <v>1512</v>
      </c>
      <c r="AM224" s="22" t="s">
        <v>1513</v>
      </c>
      <c r="AN224" s="22" t="s">
        <v>143</v>
      </c>
      <c r="AO224" s="22" t="s">
        <v>209</v>
      </c>
      <c r="AP224" s="22" t="s">
        <v>112</v>
      </c>
    </row>
    <row r="225" spans="10:42" s="18" customFormat="1" ht="16.8" customHeight="1">
      <c r="J225" s="22">
        <v>218</v>
      </c>
      <c r="K225" s="22" t="s">
        <v>108</v>
      </c>
      <c r="L225" s="22" t="s">
        <v>109</v>
      </c>
      <c r="M225" s="22" t="s">
        <v>1514</v>
      </c>
      <c r="N225" s="22" t="s">
        <v>1242</v>
      </c>
      <c r="O225" s="22" t="s">
        <v>130</v>
      </c>
      <c r="P225" s="22" t="s">
        <v>112</v>
      </c>
      <c r="Q225" s="22">
        <v>2600</v>
      </c>
      <c r="R225" s="22"/>
      <c r="S225" s="22" t="s">
        <v>1515</v>
      </c>
      <c r="T225" s="22" t="s">
        <v>131</v>
      </c>
      <c r="U225" s="22" t="s">
        <v>112</v>
      </c>
      <c r="V225" s="22" t="s">
        <v>132</v>
      </c>
      <c r="W225" s="22" t="s">
        <v>116</v>
      </c>
      <c r="X225" s="22" t="s">
        <v>377</v>
      </c>
      <c r="Y225" s="22" t="s">
        <v>22</v>
      </c>
      <c r="Z225" s="22" t="s">
        <v>1516</v>
      </c>
      <c r="AA225" s="22" t="s">
        <v>22</v>
      </c>
      <c r="AB225" s="22" t="s">
        <v>1517</v>
      </c>
      <c r="AC225" s="22" t="s">
        <v>1518</v>
      </c>
      <c r="AD225" s="22" t="s">
        <v>120</v>
      </c>
      <c r="AE225" s="22"/>
      <c r="AF225" s="22" t="s">
        <v>1246</v>
      </c>
      <c r="AG225" s="22"/>
      <c r="AH225" s="22"/>
      <c r="AI225" s="22" t="s">
        <v>138</v>
      </c>
      <c r="AJ225" s="22" t="s">
        <v>1247</v>
      </c>
      <c r="AK225" s="22" t="s">
        <v>140</v>
      </c>
      <c r="AL225" s="22" t="s">
        <v>141</v>
      </c>
      <c r="AM225" s="22" t="s">
        <v>142</v>
      </c>
      <c r="AN225" s="22" t="s">
        <v>157</v>
      </c>
      <c r="AO225" s="22" t="s">
        <v>404</v>
      </c>
      <c r="AP225" s="22" t="s">
        <v>112</v>
      </c>
    </row>
    <row r="226" spans="10:42" s="18" customFormat="1" ht="16.8" customHeight="1">
      <c r="J226" s="22">
        <v>221</v>
      </c>
      <c r="K226" s="22" t="s">
        <v>108</v>
      </c>
      <c r="L226" s="22" t="s">
        <v>109</v>
      </c>
      <c r="M226" s="22" t="s">
        <v>1514</v>
      </c>
      <c r="N226" s="22" t="s">
        <v>1519</v>
      </c>
      <c r="O226" s="22" t="s">
        <v>130</v>
      </c>
      <c r="P226" s="22" t="s">
        <v>112</v>
      </c>
      <c r="Q226" s="22">
        <v>5374</v>
      </c>
      <c r="R226" s="22"/>
      <c r="S226" s="22" t="s">
        <v>112</v>
      </c>
      <c r="T226" s="22" t="s">
        <v>131</v>
      </c>
      <c r="U226" s="22" t="s">
        <v>112</v>
      </c>
      <c r="V226" s="22" t="s">
        <v>132</v>
      </c>
      <c r="W226" s="22" t="s">
        <v>476</v>
      </c>
      <c r="X226" s="22" t="s">
        <v>476</v>
      </c>
      <c r="Y226" s="22" t="s">
        <v>12</v>
      </c>
      <c r="Z226" s="22" t="s">
        <v>1520</v>
      </c>
      <c r="AA226" s="22" t="s">
        <v>12</v>
      </c>
      <c r="AB226" s="22" t="s">
        <v>1520</v>
      </c>
      <c r="AC226" s="22" t="s">
        <v>1521</v>
      </c>
      <c r="AD226" s="22" t="s">
        <v>120</v>
      </c>
      <c r="AE226" s="22" t="s">
        <v>385</v>
      </c>
      <c r="AF226" s="22" t="s">
        <v>1522</v>
      </c>
      <c r="AG226" s="22" t="s">
        <v>1514</v>
      </c>
      <c r="AH226" s="22"/>
      <c r="AI226" s="22" t="s">
        <v>138</v>
      </c>
      <c r="AJ226" s="22" t="s">
        <v>225</v>
      </c>
      <c r="AK226" s="22" t="s">
        <v>140</v>
      </c>
      <c r="AL226" s="22" t="s">
        <v>512</v>
      </c>
      <c r="AM226" s="22" t="s">
        <v>699</v>
      </c>
      <c r="AN226" s="22" t="s">
        <v>143</v>
      </c>
      <c r="AO226" s="22" t="s">
        <v>144</v>
      </c>
      <c r="AP226" s="22" t="s">
        <v>112</v>
      </c>
    </row>
    <row r="227" spans="10:42" s="18" customFormat="1" ht="16.8" customHeight="1">
      <c r="J227" s="22">
        <v>222</v>
      </c>
      <c r="K227" s="22" t="s">
        <v>108</v>
      </c>
      <c r="L227" s="22" t="s">
        <v>109</v>
      </c>
      <c r="M227" s="22" t="s">
        <v>1514</v>
      </c>
      <c r="N227" s="22" t="s">
        <v>1199</v>
      </c>
      <c r="O227" s="22" t="s">
        <v>130</v>
      </c>
      <c r="P227" s="22" t="s">
        <v>112</v>
      </c>
      <c r="Q227" s="22">
        <v>5874</v>
      </c>
      <c r="R227" s="22"/>
      <c r="S227" s="22" t="s">
        <v>112</v>
      </c>
      <c r="T227" s="22" t="s">
        <v>131</v>
      </c>
      <c r="U227" s="22" t="s">
        <v>112</v>
      </c>
      <c r="V227" s="22" t="s">
        <v>132</v>
      </c>
      <c r="W227" s="22" t="s">
        <v>308</v>
      </c>
      <c r="X227" s="22" t="s">
        <v>1200</v>
      </c>
      <c r="Y227" s="22" t="s">
        <v>22</v>
      </c>
      <c r="Z227" s="22" t="s">
        <v>1523</v>
      </c>
      <c r="AA227" s="22" t="s">
        <v>22</v>
      </c>
      <c r="AB227" s="22" t="s">
        <v>1523</v>
      </c>
      <c r="AC227" s="22" t="s">
        <v>1524</v>
      </c>
      <c r="AD227" s="22" t="s">
        <v>120</v>
      </c>
      <c r="AE227" s="22" t="s">
        <v>170</v>
      </c>
      <c r="AF227" s="22" t="s">
        <v>1203</v>
      </c>
      <c r="AG227" s="22" t="s">
        <v>1514</v>
      </c>
      <c r="AH227" s="22"/>
      <c r="AI227" s="22" t="s">
        <v>205</v>
      </c>
      <c r="AJ227" s="22" t="s">
        <v>1204</v>
      </c>
      <c r="AK227" s="22" t="s">
        <v>124</v>
      </c>
      <c r="AL227" s="22" t="s">
        <v>1205</v>
      </c>
      <c r="AM227" s="22" t="s">
        <v>1206</v>
      </c>
      <c r="AN227" s="22" t="s">
        <v>143</v>
      </c>
      <c r="AO227" s="22" t="s">
        <v>209</v>
      </c>
      <c r="AP227" s="22" t="s">
        <v>112</v>
      </c>
    </row>
    <row r="228" spans="10:42" s="18" customFormat="1" ht="16.8" customHeight="1">
      <c r="J228" s="22">
        <v>223</v>
      </c>
      <c r="K228" s="22" t="s">
        <v>108</v>
      </c>
      <c r="L228" s="22" t="s">
        <v>109</v>
      </c>
      <c r="M228" s="22" t="s">
        <v>1514</v>
      </c>
      <c r="N228" s="22" t="s">
        <v>1525</v>
      </c>
      <c r="O228" s="22" t="s">
        <v>130</v>
      </c>
      <c r="P228" s="22" t="s">
        <v>112</v>
      </c>
      <c r="Q228" s="22">
        <v>5874</v>
      </c>
      <c r="R228" s="22"/>
      <c r="S228" s="22" t="s">
        <v>1526</v>
      </c>
      <c r="T228" s="22" t="s">
        <v>131</v>
      </c>
      <c r="U228" s="22" t="s">
        <v>112</v>
      </c>
      <c r="V228" s="22" t="s">
        <v>132</v>
      </c>
      <c r="W228" s="22" t="s">
        <v>116</v>
      </c>
      <c r="X228" s="22" t="s">
        <v>377</v>
      </c>
      <c r="Y228" s="22" t="s">
        <v>19</v>
      </c>
      <c r="Z228" s="22" t="s">
        <v>1527</v>
      </c>
      <c r="AA228" s="22" t="s">
        <v>19</v>
      </c>
      <c r="AB228" s="22" t="s">
        <v>1528</v>
      </c>
      <c r="AC228" s="22" t="s">
        <v>1529</v>
      </c>
      <c r="AD228" s="22" t="s">
        <v>120</v>
      </c>
      <c r="AE228" s="22" t="s">
        <v>385</v>
      </c>
      <c r="AF228" s="22" t="s">
        <v>1530</v>
      </c>
      <c r="AG228" s="22" t="s">
        <v>1514</v>
      </c>
      <c r="AH228" s="22"/>
      <c r="AI228" s="22" t="s">
        <v>205</v>
      </c>
      <c r="AJ228" s="22" t="s">
        <v>225</v>
      </c>
      <c r="AK228" s="22" t="s">
        <v>140</v>
      </c>
      <c r="AL228" s="22" t="s">
        <v>835</v>
      </c>
      <c r="AM228" s="22" t="s">
        <v>733</v>
      </c>
      <c r="AN228" s="22" t="s">
        <v>143</v>
      </c>
      <c r="AO228" s="22" t="s">
        <v>209</v>
      </c>
      <c r="AP228" s="22" t="s">
        <v>112</v>
      </c>
    </row>
    <row r="229" spans="10:42" s="18" customFormat="1" ht="16.8" customHeight="1">
      <c r="J229" s="22">
        <v>224</v>
      </c>
      <c r="K229" s="22" t="s">
        <v>108</v>
      </c>
      <c r="L229" s="22" t="s">
        <v>109</v>
      </c>
      <c r="M229" s="22" t="s">
        <v>1514</v>
      </c>
      <c r="N229" s="22" t="s">
        <v>1531</v>
      </c>
      <c r="O229" s="22" t="s">
        <v>130</v>
      </c>
      <c r="P229" s="22" t="s">
        <v>112</v>
      </c>
      <c r="Q229" s="22">
        <v>9588</v>
      </c>
      <c r="R229" s="22"/>
      <c r="S229" s="22" t="s">
        <v>583</v>
      </c>
      <c r="T229" s="22" t="s">
        <v>114</v>
      </c>
      <c r="U229" s="22" t="s">
        <v>112</v>
      </c>
      <c r="V229" s="22" t="s">
        <v>132</v>
      </c>
      <c r="W229" s="22" t="s">
        <v>116</v>
      </c>
      <c r="X229" s="22" t="s">
        <v>290</v>
      </c>
      <c r="Y229" s="22" t="s">
        <v>20</v>
      </c>
      <c r="Z229" s="22" t="s">
        <v>1532</v>
      </c>
      <c r="AA229" s="22" t="s">
        <v>20</v>
      </c>
      <c r="AB229" s="22" t="s">
        <v>1533</v>
      </c>
      <c r="AC229" s="22" t="s">
        <v>1534</v>
      </c>
      <c r="AD229" s="22" t="s">
        <v>120</v>
      </c>
      <c r="AE229" s="22"/>
      <c r="AF229" s="22" t="s">
        <v>1535</v>
      </c>
      <c r="AG229" s="22"/>
      <c r="AH229" s="22"/>
      <c r="AI229" s="22" t="s">
        <v>138</v>
      </c>
      <c r="AJ229" s="22" t="s">
        <v>154</v>
      </c>
      <c r="AK229" s="22" t="s">
        <v>140</v>
      </c>
      <c r="AL229" s="22" t="s">
        <v>155</v>
      </c>
      <c r="AM229" s="22" t="s">
        <v>156</v>
      </c>
      <c r="AN229" s="22" t="s">
        <v>143</v>
      </c>
      <c r="AO229" s="22" t="s">
        <v>1536</v>
      </c>
      <c r="AP229" s="22" t="s">
        <v>112</v>
      </c>
    </row>
    <row r="230" spans="10:42" s="18" customFormat="1" ht="16.8" customHeight="1">
      <c r="J230" s="22">
        <v>225</v>
      </c>
      <c r="K230" s="22" t="s">
        <v>108</v>
      </c>
      <c r="L230" s="22" t="s">
        <v>109</v>
      </c>
      <c r="M230" s="22" t="s">
        <v>1514</v>
      </c>
      <c r="N230" s="22" t="s">
        <v>1537</v>
      </c>
      <c r="O230" s="22" t="s">
        <v>130</v>
      </c>
      <c r="P230" s="22" t="s">
        <v>112</v>
      </c>
      <c r="Q230" s="22">
        <v>9588</v>
      </c>
      <c r="R230" s="22"/>
      <c r="S230" s="22" t="s">
        <v>1371</v>
      </c>
      <c r="T230" s="22" t="s">
        <v>114</v>
      </c>
      <c r="U230" s="22" t="s">
        <v>112</v>
      </c>
      <c r="V230" s="22" t="s">
        <v>132</v>
      </c>
      <c r="W230" s="22" t="s">
        <v>116</v>
      </c>
      <c r="X230" s="22" t="s">
        <v>290</v>
      </c>
      <c r="Y230" s="22" t="s">
        <v>12</v>
      </c>
      <c r="Z230" s="22" t="s">
        <v>1538</v>
      </c>
      <c r="AA230" s="22" t="s">
        <v>12</v>
      </c>
      <c r="AB230" s="22" t="s">
        <v>1539</v>
      </c>
      <c r="AC230" s="22" t="s">
        <v>1540</v>
      </c>
      <c r="AD230" s="22" t="s">
        <v>120</v>
      </c>
      <c r="AE230" s="22"/>
      <c r="AF230" s="22" t="s">
        <v>1541</v>
      </c>
      <c r="AG230" s="22"/>
      <c r="AH230" s="22"/>
      <c r="AI230" s="22" t="s">
        <v>182</v>
      </c>
      <c r="AJ230" s="22" t="s">
        <v>1024</v>
      </c>
      <c r="AK230" s="22" t="s">
        <v>140</v>
      </c>
      <c r="AL230" s="22" t="s">
        <v>1025</v>
      </c>
      <c r="AM230" s="22" t="s">
        <v>1542</v>
      </c>
      <c r="AN230" s="22" t="s">
        <v>157</v>
      </c>
      <c r="AO230" s="22" t="s">
        <v>182</v>
      </c>
      <c r="AP230" s="22" t="s">
        <v>186</v>
      </c>
    </row>
    <row r="231" spans="10:42" s="18" customFormat="1" ht="16.8" customHeight="1">
      <c r="J231" s="22">
        <v>226</v>
      </c>
      <c r="K231" s="22" t="s">
        <v>108</v>
      </c>
      <c r="L231" s="22" t="s">
        <v>109</v>
      </c>
      <c r="M231" s="22" t="s">
        <v>1514</v>
      </c>
      <c r="N231" s="22" t="s">
        <v>1543</v>
      </c>
      <c r="O231" s="22" t="s">
        <v>130</v>
      </c>
      <c r="P231" s="22" t="s">
        <v>112</v>
      </c>
      <c r="Q231" s="22">
        <v>5374</v>
      </c>
      <c r="R231" s="22"/>
      <c r="S231" s="22" t="s">
        <v>1544</v>
      </c>
      <c r="T231" s="22" t="s">
        <v>131</v>
      </c>
      <c r="U231" s="22" t="s">
        <v>112</v>
      </c>
      <c r="V231" s="22" t="s">
        <v>132</v>
      </c>
      <c r="W231" s="22" t="s">
        <v>116</v>
      </c>
      <c r="X231" s="22" t="s">
        <v>377</v>
      </c>
      <c r="Y231" s="22" t="s">
        <v>19</v>
      </c>
      <c r="Z231" s="22" t="s">
        <v>1545</v>
      </c>
      <c r="AA231" s="22" t="s">
        <v>19</v>
      </c>
      <c r="AB231" s="22" t="s">
        <v>1545</v>
      </c>
      <c r="AC231" s="22" t="s">
        <v>1546</v>
      </c>
      <c r="AD231" s="22" t="s">
        <v>120</v>
      </c>
      <c r="AE231" s="22" t="s">
        <v>385</v>
      </c>
      <c r="AF231" s="22" t="s">
        <v>1547</v>
      </c>
      <c r="AG231" s="22" t="s">
        <v>1514</v>
      </c>
      <c r="AH231" s="22"/>
      <c r="AI231" s="22" t="s">
        <v>138</v>
      </c>
      <c r="AJ231" s="22" t="s">
        <v>1024</v>
      </c>
      <c r="AK231" s="22" t="s">
        <v>140</v>
      </c>
      <c r="AL231" s="22" t="s">
        <v>1037</v>
      </c>
      <c r="AM231" s="22" t="s">
        <v>1408</v>
      </c>
      <c r="AN231" s="22" t="s">
        <v>143</v>
      </c>
      <c r="AO231" s="22" t="s">
        <v>144</v>
      </c>
      <c r="AP231" s="22" t="s">
        <v>112</v>
      </c>
    </row>
    <row r="232" spans="10:42" s="18" customFormat="1" ht="16.8" customHeight="1">
      <c r="J232" s="22">
        <v>227</v>
      </c>
      <c r="K232" s="22" t="s">
        <v>108</v>
      </c>
      <c r="L232" s="22" t="s">
        <v>109</v>
      </c>
      <c r="M232" s="22" t="s">
        <v>1548</v>
      </c>
      <c r="N232" s="22" t="s">
        <v>1384</v>
      </c>
      <c r="O232" s="22" t="s">
        <v>130</v>
      </c>
      <c r="P232" s="22" t="s">
        <v>112</v>
      </c>
      <c r="Q232" s="22">
        <v>1800</v>
      </c>
      <c r="R232" s="22"/>
      <c r="S232" s="22" t="s">
        <v>1371</v>
      </c>
      <c r="T232" s="22" t="s">
        <v>114</v>
      </c>
      <c r="U232" s="22" t="s">
        <v>112</v>
      </c>
      <c r="V232" s="22" t="s">
        <v>132</v>
      </c>
      <c r="W232" s="22" t="s">
        <v>116</v>
      </c>
      <c r="X232" s="22" t="s">
        <v>290</v>
      </c>
      <c r="Y232" s="22" t="s">
        <v>21</v>
      </c>
      <c r="Z232" s="22" t="s">
        <v>1549</v>
      </c>
      <c r="AA232" s="22" t="s">
        <v>21</v>
      </c>
      <c r="AB232" s="22" t="s">
        <v>1550</v>
      </c>
      <c r="AC232" s="22" t="s">
        <v>1551</v>
      </c>
      <c r="AD232" s="22" t="s">
        <v>120</v>
      </c>
      <c r="AE232" s="22"/>
      <c r="AF232" s="22" t="s">
        <v>1388</v>
      </c>
      <c r="AG232" s="22"/>
      <c r="AH232" s="22"/>
      <c r="AI232" s="22" t="s">
        <v>494</v>
      </c>
      <c r="AJ232" s="22" t="s">
        <v>1389</v>
      </c>
      <c r="AK232" s="22" t="s">
        <v>140</v>
      </c>
      <c r="AL232" s="22" t="s">
        <v>142</v>
      </c>
      <c r="AM232" s="22" t="s">
        <v>314</v>
      </c>
      <c r="AN232" s="22" t="s">
        <v>157</v>
      </c>
      <c r="AO232" s="22" t="s">
        <v>404</v>
      </c>
      <c r="AP232" s="22" t="s">
        <v>112</v>
      </c>
    </row>
    <row r="233" spans="10:42" s="18" customFormat="1" ht="16.8" customHeight="1">
      <c r="J233" s="22">
        <v>228</v>
      </c>
      <c r="K233" s="22" t="s">
        <v>108</v>
      </c>
      <c r="L233" s="22" t="s">
        <v>109</v>
      </c>
      <c r="M233" s="22" t="s">
        <v>1548</v>
      </c>
      <c r="N233" s="22" t="s">
        <v>1492</v>
      </c>
      <c r="O233" s="22" t="s">
        <v>130</v>
      </c>
      <c r="P233" s="22" t="s">
        <v>112</v>
      </c>
      <c r="Q233" s="22">
        <v>750</v>
      </c>
      <c r="R233" s="22"/>
      <c r="S233" s="22" t="s">
        <v>304</v>
      </c>
      <c r="T233" s="22" t="s">
        <v>114</v>
      </c>
      <c r="U233" s="22" t="s">
        <v>112</v>
      </c>
      <c r="V233" s="22" t="s">
        <v>132</v>
      </c>
      <c r="W233" s="22" t="s">
        <v>116</v>
      </c>
      <c r="X233" s="22" t="s">
        <v>290</v>
      </c>
      <c r="Y233" s="22" t="s">
        <v>21</v>
      </c>
      <c r="Z233" s="22" t="s">
        <v>1552</v>
      </c>
      <c r="AA233" s="22" t="s">
        <v>21</v>
      </c>
      <c r="AB233" s="22" t="s">
        <v>1553</v>
      </c>
      <c r="AC233" s="22" t="s">
        <v>1554</v>
      </c>
      <c r="AD233" s="22" t="s">
        <v>120</v>
      </c>
      <c r="AE233" s="22"/>
      <c r="AF233" s="22" t="s">
        <v>1496</v>
      </c>
      <c r="AG233" s="22"/>
      <c r="AH233" s="22"/>
      <c r="AI233" s="22" t="s">
        <v>1497</v>
      </c>
      <c r="AJ233" s="22" t="s">
        <v>195</v>
      </c>
      <c r="AK233" s="22" t="s">
        <v>140</v>
      </c>
      <c r="AL233" s="22" t="s">
        <v>682</v>
      </c>
      <c r="AM233" s="22" t="s">
        <v>216</v>
      </c>
      <c r="AN233" s="22" t="s">
        <v>157</v>
      </c>
      <c r="AO233" s="22" t="s">
        <v>404</v>
      </c>
      <c r="AP233" s="22" t="s">
        <v>112</v>
      </c>
    </row>
    <row r="234" spans="10:42" s="18" customFormat="1" ht="16.8" customHeight="1">
      <c r="J234" s="22">
        <v>229</v>
      </c>
      <c r="K234" s="22" t="s">
        <v>108</v>
      </c>
      <c r="L234" s="22" t="s">
        <v>109</v>
      </c>
      <c r="M234" s="22" t="s">
        <v>1548</v>
      </c>
      <c r="N234" s="22" t="s">
        <v>1555</v>
      </c>
      <c r="O234" s="22" t="s">
        <v>130</v>
      </c>
      <c r="P234" s="22" t="s">
        <v>112</v>
      </c>
      <c r="Q234" s="22">
        <v>19300</v>
      </c>
      <c r="R234" s="22"/>
      <c r="S234" s="22" t="s">
        <v>112</v>
      </c>
      <c r="T234" s="22" t="s">
        <v>131</v>
      </c>
      <c r="U234" s="22" t="s">
        <v>112</v>
      </c>
      <c r="V234" s="22" t="s">
        <v>132</v>
      </c>
      <c r="W234" s="22" t="s">
        <v>273</v>
      </c>
      <c r="X234" s="22" t="s">
        <v>655</v>
      </c>
      <c r="Y234" s="22" t="s">
        <v>19</v>
      </c>
      <c r="Z234" s="22" t="s">
        <v>1556</v>
      </c>
      <c r="AA234" s="22" t="s">
        <v>19</v>
      </c>
      <c r="AB234" s="22" t="s">
        <v>1557</v>
      </c>
      <c r="AC234" s="22" t="s">
        <v>1558</v>
      </c>
      <c r="AD234" s="22" t="s">
        <v>120</v>
      </c>
      <c r="AE234" s="22" t="s">
        <v>223</v>
      </c>
      <c r="AF234" s="22" t="s">
        <v>1559</v>
      </c>
      <c r="AG234" s="22" t="s">
        <v>1548</v>
      </c>
      <c r="AH234" s="22"/>
      <c r="AI234" s="22" t="s">
        <v>138</v>
      </c>
      <c r="AJ234" s="22" t="s">
        <v>1560</v>
      </c>
      <c r="AK234" s="22" t="s">
        <v>286</v>
      </c>
      <c r="AL234" s="22" t="s">
        <v>1561</v>
      </c>
      <c r="AM234" s="22" t="s">
        <v>1562</v>
      </c>
      <c r="AN234" s="22" t="s">
        <v>143</v>
      </c>
      <c r="AO234" s="22" t="s">
        <v>144</v>
      </c>
      <c r="AP234" s="22" t="s">
        <v>112</v>
      </c>
    </row>
    <row r="235" spans="10:42" s="18" customFormat="1" ht="16.8" customHeight="1">
      <c r="J235" s="22">
        <v>230</v>
      </c>
      <c r="K235" s="22" t="s">
        <v>108</v>
      </c>
      <c r="L235" s="22" t="s">
        <v>109</v>
      </c>
      <c r="M235" s="22" t="s">
        <v>1548</v>
      </c>
      <c r="N235" s="22" t="s">
        <v>1279</v>
      </c>
      <c r="O235" s="22" t="s">
        <v>130</v>
      </c>
      <c r="P235" s="22" t="s">
        <v>112</v>
      </c>
      <c r="Q235" s="22">
        <v>1800</v>
      </c>
      <c r="R235" s="22"/>
      <c r="S235" s="22" t="s">
        <v>1563</v>
      </c>
      <c r="T235" s="22" t="s">
        <v>131</v>
      </c>
      <c r="U235" s="22" t="s">
        <v>112</v>
      </c>
      <c r="V235" s="22" t="s">
        <v>132</v>
      </c>
      <c r="W235" s="22" t="s">
        <v>116</v>
      </c>
      <c r="X235" s="22" t="s">
        <v>377</v>
      </c>
      <c r="Y235" s="22" t="s">
        <v>22</v>
      </c>
      <c r="Z235" s="22" t="s">
        <v>1564</v>
      </c>
      <c r="AA235" s="22" t="s">
        <v>22</v>
      </c>
      <c r="AB235" s="22" t="s">
        <v>1565</v>
      </c>
      <c r="AC235" s="22" t="s">
        <v>1566</v>
      </c>
      <c r="AD235" s="22" t="s">
        <v>120</v>
      </c>
      <c r="AE235" s="22"/>
      <c r="AF235" s="22" t="s">
        <v>1283</v>
      </c>
      <c r="AG235" s="22"/>
      <c r="AH235" s="22"/>
      <c r="AI235" s="22" t="s">
        <v>1567</v>
      </c>
      <c r="AJ235" s="22" t="s">
        <v>321</v>
      </c>
      <c r="AK235" s="22" t="s">
        <v>140</v>
      </c>
      <c r="AL235" s="22" t="s">
        <v>1192</v>
      </c>
      <c r="AM235" s="22" t="s">
        <v>1193</v>
      </c>
      <c r="AN235" s="22" t="s">
        <v>157</v>
      </c>
      <c r="AO235" s="22" t="s">
        <v>182</v>
      </c>
      <c r="AP235" s="22" t="s">
        <v>186</v>
      </c>
    </row>
    <row r="236" spans="10:42" s="18" customFormat="1" ht="16.8" customHeight="1">
      <c r="J236" s="22">
        <v>231</v>
      </c>
      <c r="K236" s="22" t="s">
        <v>108</v>
      </c>
      <c r="L236" s="22" t="s">
        <v>109</v>
      </c>
      <c r="M236" s="22" t="s">
        <v>1548</v>
      </c>
      <c r="N236" s="22" t="s">
        <v>1568</v>
      </c>
      <c r="O236" s="22" t="s">
        <v>130</v>
      </c>
      <c r="P236" s="22" t="s">
        <v>112</v>
      </c>
      <c r="Q236" s="22">
        <v>29968</v>
      </c>
      <c r="R236" s="22"/>
      <c r="S236" s="22" t="s">
        <v>112</v>
      </c>
      <c r="T236" s="22" t="s">
        <v>131</v>
      </c>
      <c r="U236" s="22" t="s">
        <v>112</v>
      </c>
      <c r="V236" s="22" t="s">
        <v>132</v>
      </c>
      <c r="W236" s="22" t="s">
        <v>273</v>
      </c>
      <c r="X236" s="22" t="s">
        <v>353</v>
      </c>
      <c r="Y236" s="22" t="s">
        <v>12</v>
      </c>
      <c r="Z236" s="22" t="s">
        <v>1569</v>
      </c>
      <c r="AA236" s="22" t="s">
        <v>12</v>
      </c>
      <c r="AB236" s="22" t="s">
        <v>1570</v>
      </c>
      <c r="AC236" s="22" t="s">
        <v>1571</v>
      </c>
      <c r="AD236" s="22" t="s">
        <v>120</v>
      </c>
      <c r="AE236" s="22" t="s">
        <v>399</v>
      </c>
      <c r="AF236" s="22" t="s">
        <v>1572</v>
      </c>
      <c r="AG236" s="22" t="s">
        <v>1548</v>
      </c>
      <c r="AH236" s="22"/>
      <c r="AI236" s="22" t="s">
        <v>138</v>
      </c>
      <c r="AJ236" s="22" t="s">
        <v>488</v>
      </c>
      <c r="AK236" s="22" t="s">
        <v>303</v>
      </c>
      <c r="AL236" s="22" t="s">
        <v>563</v>
      </c>
      <c r="AM236" s="22" t="s">
        <v>469</v>
      </c>
      <c r="AN236" s="22" t="s">
        <v>157</v>
      </c>
      <c r="AO236" s="22" t="s">
        <v>404</v>
      </c>
      <c r="AP236" s="22" t="s">
        <v>112</v>
      </c>
    </row>
    <row r="237" spans="10:42" s="18" customFormat="1" ht="16.8" customHeight="1">
      <c r="J237" s="22">
        <v>232</v>
      </c>
      <c r="K237" s="22" t="s">
        <v>108</v>
      </c>
      <c r="L237" s="22" t="s">
        <v>109</v>
      </c>
      <c r="M237" s="22" t="s">
        <v>1548</v>
      </c>
      <c r="N237" s="22" t="s">
        <v>1573</v>
      </c>
      <c r="O237" s="22" t="s">
        <v>130</v>
      </c>
      <c r="P237" s="22" t="s">
        <v>112</v>
      </c>
      <c r="Q237" s="22">
        <v>4400</v>
      </c>
      <c r="R237" s="22"/>
      <c r="S237" s="22" t="s">
        <v>583</v>
      </c>
      <c r="T237" s="22" t="s">
        <v>114</v>
      </c>
      <c r="U237" s="22" t="s">
        <v>112</v>
      </c>
      <c r="V237" s="22" t="s">
        <v>132</v>
      </c>
      <c r="W237" s="22" t="s">
        <v>116</v>
      </c>
      <c r="X237" s="22" t="s">
        <v>290</v>
      </c>
      <c r="Y237" s="22" t="s">
        <v>12</v>
      </c>
      <c r="Z237" s="22" t="s">
        <v>1574</v>
      </c>
      <c r="AA237" s="22" t="s">
        <v>12</v>
      </c>
      <c r="AB237" s="22" t="s">
        <v>1575</v>
      </c>
      <c r="AC237" s="22" t="s">
        <v>1576</v>
      </c>
      <c r="AD237" s="22" t="s">
        <v>120</v>
      </c>
      <c r="AE237" s="22"/>
      <c r="AF237" s="22" t="s">
        <v>1577</v>
      </c>
      <c r="AG237" s="22"/>
      <c r="AH237" s="22"/>
      <c r="AI237" s="22" t="s">
        <v>205</v>
      </c>
      <c r="AJ237" s="22" t="s">
        <v>859</v>
      </c>
      <c r="AK237" s="22" t="s">
        <v>140</v>
      </c>
      <c r="AL237" s="22" t="s">
        <v>1483</v>
      </c>
      <c r="AM237" s="22" t="s">
        <v>1484</v>
      </c>
      <c r="AN237" s="22" t="s">
        <v>157</v>
      </c>
      <c r="AO237" s="22" t="s">
        <v>1098</v>
      </c>
      <c r="AP237" s="22" t="s">
        <v>112</v>
      </c>
    </row>
    <row r="238" spans="10:42" s="18" customFormat="1" ht="16.8" customHeight="1">
      <c r="J238" s="22">
        <v>233</v>
      </c>
      <c r="K238" s="22" t="s">
        <v>108</v>
      </c>
      <c r="L238" s="22" t="s">
        <v>109</v>
      </c>
      <c r="M238" s="22" t="s">
        <v>1578</v>
      </c>
      <c r="N238" s="22" t="s">
        <v>1579</v>
      </c>
      <c r="O238" s="22" t="s">
        <v>130</v>
      </c>
      <c r="P238" s="22" t="s">
        <v>112</v>
      </c>
      <c r="Q238" s="22">
        <v>5374</v>
      </c>
      <c r="R238" s="22" t="s">
        <v>499</v>
      </c>
      <c r="S238" s="22" t="s">
        <v>1580</v>
      </c>
      <c r="T238" s="22" t="s">
        <v>114</v>
      </c>
      <c r="U238" s="22" t="s">
        <v>112</v>
      </c>
      <c r="V238" s="22" t="s">
        <v>132</v>
      </c>
      <c r="W238" s="22" t="s">
        <v>116</v>
      </c>
      <c r="X238" s="22" t="s">
        <v>290</v>
      </c>
      <c r="Y238" s="22" t="s">
        <v>12</v>
      </c>
      <c r="Z238" s="22" t="s">
        <v>1581</v>
      </c>
      <c r="AA238" s="22" t="s">
        <v>12</v>
      </c>
      <c r="AB238" s="22" t="s">
        <v>1581</v>
      </c>
      <c r="AC238" s="22" t="s">
        <v>1582</v>
      </c>
      <c r="AD238" s="22" t="s">
        <v>120</v>
      </c>
      <c r="AE238" s="22" t="s">
        <v>152</v>
      </c>
      <c r="AF238" s="22" t="s">
        <v>1583</v>
      </c>
      <c r="AG238" s="22" t="s">
        <v>1578</v>
      </c>
      <c r="AH238" s="22"/>
      <c r="AI238" s="22" t="s">
        <v>205</v>
      </c>
      <c r="AJ238" s="22" t="s">
        <v>488</v>
      </c>
      <c r="AK238" s="22" t="s">
        <v>140</v>
      </c>
      <c r="AL238" s="22" t="s">
        <v>402</v>
      </c>
      <c r="AM238" s="22" t="s">
        <v>403</v>
      </c>
      <c r="AN238" s="22" t="s">
        <v>143</v>
      </c>
      <c r="AO238" s="22" t="s">
        <v>209</v>
      </c>
      <c r="AP238" s="22" t="s">
        <v>112</v>
      </c>
    </row>
    <row r="239" spans="10:42" s="18" customFormat="1" ht="16.8" customHeight="1">
      <c r="J239" s="22">
        <v>234</v>
      </c>
      <c r="K239" s="22" t="s">
        <v>108</v>
      </c>
      <c r="L239" s="22" t="s">
        <v>109</v>
      </c>
      <c r="M239" s="22" t="s">
        <v>1578</v>
      </c>
      <c r="N239" s="22" t="s">
        <v>1584</v>
      </c>
      <c r="O239" s="22" t="s">
        <v>130</v>
      </c>
      <c r="P239" s="22" t="s">
        <v>112</v>
      </c>
      <c r="Q239" s="22">
        <v>5400</v>
      </c>
      <c r="R239" s="22"/>
      <c r="S239" s="22" t="s">
        <v>1585</v>
      </c>
      <c r="T239" s="22" t="s">
        <v>131</v>
      </c>
      <c r="U239" s="22" t="s">
        <v>112</v>
      </c>
      <c r="V239" s="22" t="s">
        <v>132</v>
      </c>
      <c r="W239" s="22" t="s">
        <v>116</v>
      </c>
      <c r="X239" s="22" t="s">
        <v>377</v>
      </c>
      <c r="Y239" s="22" t="s">
        <v>24</v>
      </c>
      <c r="Z239" s="22" t="s">
        <v>1586</v>
      </c>
      <c r="AA239" s="22" t="s">
        <v>24</v>
      </c>
      <c r="AB239" s="22" t="s">
        <v>1587</v>
      </c>
      <c r="AC239" s="22" t="s">
        <v>1588</v>
      </c>
      <c r="AD239" s="22" t="s">
        <v>120</v>
      </c>
      <c r="AE239" s="22"/>
      <c r="AF239" s="22" t="s">
        <v>1589</v>
      </c>
      <c r="AG239" s="22"/>
      <c r="AH239" s="22"/>
      <c r="AI239" s="22" t="s">
        <v>205</v>
      </c>
      <c r="AJ239" s="22" t="s">
        <v>1590</v>
      </c>
      <c r="AK239" s="22" t="s">
        <v>124</v>
      </c>
      <c r="AL239" s="22" t="s">
        <v>1590</v>
      </c>
      <c r="AM239" s="22" t="s">
        <v>1590</v>
      </c>
      <c r="AN239" s="22" t="s">
        <v>157</v>
      </c>
      <c r="AO239" s="22" t="s">
        <v>1098</v>
      </c>
      <c r="AP239" s="22" t="s">
        <v>112</v>
      </c>
    </row>
    <row r="240" spans="10:42" s="18" customFormat="1" ht="16.8" customHeight="1">
      <c r="J240" s="22">
        <v>236</v>
      </c>
      <c r="K240" s="22" t="s">
        <v>108</v>
      </c>
      <c r="L240" s="22" t="s">
        <v>109</v>
      </c>
      <c r="M240" s="22" t="s">
        <v>1578</v>
      </c>
      <c r="N240" s="22" t="s">
        <v>1194</v>
      </c>
      <c r="O240" s="22" t="s">
        <v>130</v>
      </c>
      <c r="P240" s="22" t="s">
        <v>112</v>
      </c>
      <c r="Q240" s="22">
        <v>5874</v>
      </c>
      <c r="R240" s="22" t="s">
        <v>499</v>
      </c>
      <c r="S240" s="22" t="s">
        <v>1195</v>
      </c>
      <c r="T240" s="22" t="s">
        <v>114</v>
      </c>
      <c r="U240" s="22" t="s">
        <v>112</v>
      </c>
      <c r="V240" s="22" t="s">
        <v>132</v>
      </c>
      <c r="W240" s="22" t="s">
        <v>116</v>
      </c>
      <c r="X240" s="22" t="s">
        <v>377</v>
      </c>
      <c r="Y240" s="22" t="s">
        <v>22</v>
      </c>
      <c r="Z240" s="22" t="s">
        <v>1591</v>
      </c>
      <c r="AA240" s="22" t="s">
        <v>22</v>
      </c>
      <c r="AB240" s="22" t="s">
        <v>1591</v>
      </c>
      <c r="AC240" s="22" t="s">
        <v>1592</v>
      </c>
      <c r="AD240" s="22" t="s">
        <v>135</v>
      </c>
      <c r="AE240" s="22" t="s">
        <v>152</v>
      </c>
      <c r="AF240" s="22" t="s">
        <v>1198</v>
      </c>
      <c r="AG240" s="22" t="s">
        <v>1578</v>
      </c>
      <c r="AH240" s="22"/>
      <c r="AI240" s="22" t="s">
        <v>182</v>
      </c>
      <c r="AJ240" s="22" t="s">
        <v>1024</v>
      </c>
      <c r="AK240" s="22" t="s">
        <v>140</v>
      </c>
      <c r="AL240" s="22" t="s">
        <v>1025</v>
      </c>
      <c r="AM240" s="22" t="s">
        <v>1026</v>
      </c>
      <c r="AN240" s="22" t="s">
        <v>157</v>
      </c>
      <c r="AO240" s="22" t="s">
        <v>182</v>
      </c>
      <c r="AP240" s="22" t="s">
        <v>186</v>
      </c>
    </row>
    <row r="241" spans="10:51" s="18" customFormat="1" ht="16.8" customHeight="1">
      <c r="J241" s="22">
        <v>237</v>
      </c>
      <c r="K241" s="22" t="s">
        <v>108</v>
      </c>
      <c r="L241" s="22" t="s">
        <v>109</v>
      </c>
      <c r="M241" s="22" t="s">
        <v>1578</v>
      </c>
      <c r="N241" s="22" t="s">
        <v>1593</v>
      </c>
      <c r="O241" s="22" t="s">
        <v>130</v>
      </c>
      <c r="P241" s="22" t="s">
        <v>112</v>
      </c>
      <c r="Q241" s="22">
        <v>11388</v>
      </c>
      <c r="R241" s="22"/>
      <c r="S241" s="22" t="s">
        <v>112</v>
      </c>
      <c r="T241" s="22" t="s">
        <v>131</v>
      </c>
      <c r="U241" s="22" t="s">
        <v>112</v>
      </c>
      <c r="V241" s="22" t="s">
        <v>132</v>
      </c>
      <c r="W241" s="22" t="s">
        <v>282</v>
      </c>
      <c r="X241" s="22" t="s">
        <v>283</v>
      </c>
      <c r="Y241" s="22" t="s">
        <v>22</v>
      </c>
      <c r="Z241" s="22" t="s">
        <v>1594</v>
      </c>
      <c r="AA241" s="22" t="s">
        <v>22</v>
      </c>
      <c r="AB241" s="22" t="s">
        <v>1595</v>
      </c>
      <c r="AC241" s="22" t="s">
        <v>1596</v>
      </c>
      <c r="AD241" s="22" t="s">
        <v>120</v>
      </c>
      <c r="AE241" s="22"/>
      <c r="AF241" s="22" t="s">
        <v>1597</v>
      </c>
      <c r="AG241" s="22"/>
      <c r="AH241" s="22"/>
      <c r="AI241" s="22" t="s">
        <v>182</v>
      </c>
      <c r="AJ241" s="22" t="s">
        <v>278</v>
      </c>
      <c r="AK241" s="22" t="s">
        <v>140</v>
      </c>
      <c r="AL241" s="22" t="s">
        <v>1598</v>
      </c>
      <c r="AM241" s="22" t="s">
        <v>1599</v>
      </c>
      <c r="AN241" s="22" t="s">
        <v>143</v>
      </c>
      <c r="AO241" s="22" t="s">
        <v>182</v>
      </c>
      <c r="AP241" s="22" t="s">
        <v>186</v>
      </c>
    </row>
    <row r="242" spans="10:51" s="18" customFormat="1" ht="16.8" customHeight="1">
      <c r="J242" s="22">
        <v>238</v>
      </c>
      <c r="K242" s="22" t="s">
        <v>108</v>
      </c>
      <c r="L242" s="22" t="s">
        <v>109</v>
      </c>
      <c r="M242" s="22" t="s">
        <v>1578</v>
      </c>
      <c r="N242" s="22" t="s">
        <v>1600</v>
      </c>
      <c r="O242" s="22" t="s">
        <v>130</v>
      </c>
      <c r="P242" s="22" t="s">
        <v>112</v>
      </c>
      <c r="Q242" s="22">
        <v>9588</v>
      </c>
      <c r="R242" s="22"/>
      <c r="S242" s="22" t="s">
        <v>112</v>
      </c>
      <c r="T242" s="22" t="s">
        <v>131</v>
      </c>
      <c r="U242" s="22" t="s">
        <v>112</v>
      </c>
      <c r="V242" s="22" t="s">
        <v>132</v>
      </c>
      <c r="W242" s="22" t="s">
        <v>246</v>
      </c>
      <c r="X242" s="22" t="s">
        <v>247</v>
      </c>
      <c r="Y242" s="22" t="s">
        <v>22</v>
      </c>
      <c r="Z242" s="22" t="s">
        <v>1601</v>
      </c>
      <c r="AA242" s="22" t="s">
        <v>22</v>
      </c>
      <c r="AB242" s="22" t="s">
        <v>1602</v>
      </c>
      <c r="AC242" s="22" t="s">
        <v>1603</v>
      </c>
      <c r="AD242" s="22" t="s">
        <v>120</v>
      </c>
      <c r="AE242" s="22"/>
      <c r="AF242" s="22" t="s">
        <v>1604</v>
      </c>
      <c r="AG242" s="22"/>
      <c r="AH242" s="22"/>
      <c r="AI242" s="22" t="s">
        <v>205</v>
      </c>
      <c r="AJ242" s="22" t="s">
        <v>1605</v>
      </c>
      <c r="AK242" s="22" t="s">
        <v>251</v>
      </c>
      <c r="AL242" s="22" t="s">
        <v>1606</v>
      </c>
      <c r="AM242" s="22" t="s">
        <v>1607</v>
      </c>
      <c r="AN242" s="22" t="s">
        <v>157</v>
      </c>
      <c r="AO242" s="22" t="s">
        <v>1098</v>
      </c>
      <c r="AP242" s="22" t="s">
        <v>112</v>
      </c>
    </row>
    <row r="243" spans="10:51" s="18" customFormat="1" ht="16.8" customHeight="1">
      <c r="J243" s="22">
        <v>239</v>
      </c>
      <c r="K243" s="22" t="s">
        <v>108</v>
      </c>
      <c r="L243" s="22" t="s">
        <v>109</v>
      </c>
      <c r="M243" s="22" t="s">
        <v>1608</v>
      </c>
      <c r="N243" s="22" t="s">
        <v>1609</v>
      </c>
      <c r="O243" s="22" t="s">
        <v>130</v>
      </c>
      <c r="P243" s="22" t="s">
        <v>112</v>
      </c>
      <c r="Q243" s="22">
        <v>9588</v>
      </c>
      <c r="R243" s="22"/>
      <c r="S243" s="22" t="s">
        <v>112</v>
      </c>
      <c r="T243" s="22" t="s">
        <v>131</v>
      </c>
      <c r="U243" s="22" t="s">
        <v>112</v>
      </c>
      <c r="V243" s="22" t="s">
        <v>132</v>
      </c>
      <c r="W243" s="22" t="s">
        <v>246</v>
      </c>
      <c r="X243" s="22" t="s">
        <v>247</v>
      </c>
      <c r="Y243" s="22" t="s">
        <v>12</v>
      </c>
      <c r="Z243" s="22" t="s">
        <v>1610</v>
      </c>
      <c r="AA243" s="22" t="s">
        <v>12</v>
      </c>
      <c r="AB243" s="22" t="s">
        <v>1611</v>
      </c>
      <c r="AC243" s="22" t="s">
        <v>1612</v>
      </c>
      <c r="AD243" s="22" t="s">
        <v>120</v>
      </c>
      <c r="AE243" s="22"/>
      <c r="AF243" s="22" t="s">
        <v>1613</v>
      </c>
      <c r="AG243" s="22"/>
      <c r="AH243" s="22"/>
      <c r="AI243" s="22" t="s">
        <v>205</v>
      </c>
      <c r="AJ243" s="22" t="s">
        <v>1614</v>
      </c>
      <c r="AK243" s="22" t="s">
        <v>286</v>
      </c>
      <c r="AL243" s="22" t="s">
        <v>1615</v>
      </c>
      <c r="AM243" s="22" t="s">
        <v>842</v>
      </c>
      <c r="AN243" s="22" t="s">
        <v>157</v>
      </c>
      <c r="AO243" s="22" t="s">
        <v>1098</v>
      </c>
      <c r="AP243" s="22" t="s">
        <v>112</v>
      </c>
    </row>
    <row r="244" spans="10:51" s="18" customFormat="1" ht="16.8" customHeight="1">
      <c r="J244" s="22">
        <v>240</v>
      </c>
      <c r="K244" s="22" t="s">
        <v>108</v>
      </c>
      <c r="L244" s="22" t="s">
        <v>109</v>
      </c>
      <c r="M244" s="22" t="s">
        <v>1616</v>
      </c>
      <c r="N244" s="22" t="s">
        <v>893</v>
      </c>
      <c r="O244" s="22" t="s">
        <v>130</v>
      </c>
      <c r="P244" s="22" t="s">
        <v>112</v>
      </c>
      <c r="Q244" s="22">
        <v>8000</v>
      </c>
      <c r="R244" s="22"/>
      <c r="S244" s="22" t="s">
        <v>112</v>
      </c>
      <c r="T244" s="22" t="s">
        <v>131</v>
      </c>
      <c r="U244" s="22" t="s">
        <v>112</v>
      </c>
      <c r="V244" s="22" t="s">
        <v>132</v>
      </c>
      <c r="W244" s="22" t="s">
        <v>273</v>
      </c>
      <c r="X244" s="22" t="s">
        <v>353</v>
      </c>
      <c r="Y244" s="22" t="s">
        <v>20</v>
      </c>
      <c r="Z244" s="22" t="s">
        <v>1617</v>
      </c>
      <c r="AA244" s="22" t="s">
        <v>20</v>
      </c>
      <c r="AB244" s="22" t="s">
        <v>1618</v>
      </c>
      <c r="AC244" s="22" t="s">
        <v>1619</v>
      </c>
      <c r="AD244" s="22" t="s">
        <v>135</v>
      </c>
      <c r="AE244" s="22"/>
      <c r="AF244" s="22" t="s">
        <v>897</v>
      </c>
      <c r="AG244" s="22"/>
      <c r="AH244" s="22"/>
      <c r="AI244" s="22" t="s">
        <v>138</v>
      </c>
      <c r="AJ244" s="22" t="s">
        <v>898</v>
      </c>
      <c r="AK244" s="22" t="s">
        <v>124</v>
      </c>
      <c r="AL244" s="22" t="s">
        <v>899</v>
      </c>
      <c r="AM244" s="22" t="s">
        <v>900</v>
      </c>
      <c r="AN244" s="22" t="s">
        <v>143</v>
      </c>
      <c r="AO244" s="22" t="s">
        <v>404</v>
      </c>
      <c r="AP244" s="22" t="s">
        <v>112</v>
      </c>
    </row>
    <row r="245" spans="10:51" s="18" customFormat="1" ht="16.8" customHeight="1">
      <c r="J245" s="22">
        <v>241</v>
      </c>
      <c r="K245" s="22" t="s">
        <v>108</v>
      </c>
      <c r="L245" s="22" t="s">
        <v>109</v>
      </c>
      <c r="M245" s="22" t="s">
        <v>1616</v>
      </c>
      <c r="N245" s="22" t="s">
        <v>1620</v>
      </c>
      <c r="O245" s="22" t="s">
        <v>130</v>
      </c>
      <c r="P245" s="22" t="s">
        <v>112</v>
      </c>
      <c r="Q245" s="22">
        <v>15588</v>
      </c>
      <c r="R245" s="22"/>
      <c r="S245" s="22" t="s">
        <v>112</v>
      </c>
      <c r="T245" s="22" t="s">
        <v>131</v>
      </c>
      <c r="U245" s="22" t="s">
        <v>112</v>
      </c>
      <c r="V245" s="22" t="s">
        <v>132</v>
      </c>
      <c r="W245" s="22" t="s">
        <v>246</v>
      </c>
      <c r="X245" s="22" t="s">
        <v>247</v>
      </c>
      <c r="Y245" s="22" t="s">
        <v>21</v>
      </c>
      <c r="Z245" s="22" t="s">
        <v>1621</v>
      </c>
      <c r="AA245" s="22" t="s">
        <v>21</v>
      </c>
      <c r="AB245" s="22" t="s">
        <v>1622</v>
      </c>
      <c r="AC245" s="22" t="s">
        <v>1623</v>
      </c>
      <c r="AD245" s="22" t="s">
        <v>135</v>
      </c>
      <c r="AE245" s="22"/>
      <c r="AF245" s="22" t="s">
        <v>1624</v>
      </c>
      <c r="AG245" s="22"/>
      <c r="AH245" s="22"/>
      <c r="AI245" s="22" t="s">
        <v>138</v>
      </c>
      <c r="AJ245" s="22" t="s">
        <v>806</v>
      </c>
      <c r="AK245" s="22" t="s">
        <v>124</v>
      </c>
      <c r="AL245" s="22" t="s">
        <v>1625</v>
      </c>
      <c r="AM245" s="22" t="s">
        <v>1626</v>
      </c>
      <c r="AN245" s="22" t="s">
        <v>157</v>
      </c>
      <c r="AO245" s="22" t="s">
        <v>404</v>
      </c>
      <c r="AP245" s="22" t="s">
        <v>112</v>
      </c>
    </row>
    <row r="246" spans="10:51" s="18" customFormat="1" ht="16.8" customHeight="1">
      <c r="J246" s="22">
        <v>242</v>
      </c>
      <c r="K246" s="22" t="s">
        <v>108</v>
      </c>
      <c r="L246" s="22" t="s">
        <v>109</v>
      </c>
      <c r="M246" s="22" t="s">
        <v>1616</v>
      </c>
      <c r="N246" s="22" t="s">
        <v>1627</v>
      </c>
      <c r="O246" s="22" t="s">
        <v>130</v>
      </c>
      <c r="P246" s="22" t="s">
        <v>112</v>
      </c>
      <c r="Q246" s="22">
        <v>15300</v>
      </c>
      <c r="R246" s="22"/>
      <c r="S246" s="22" t="s">
        <v>112</v>
      </c>
      <c r="T246" s="22" t="s">
        <v>131</v>
      </c>
      <c r="U246" s="22" t="s">
        <v>112</v>
      </c>
      <c r="V246" s="22" t="s">
        <v>132</v>
      </c>
      <c r="W246" s="22" t="s">
        <v>282</v>
      </c>
      <c r="X246" s="22" t="s">
        <v>551</v>
      </c>
      <c r="Y246" s="22" t="s">
        <v>20</v>
      </c>
      <c r="Z246" s="22" t="s">
        <v>1628</v>
      </c>
      <c r="AA246" s="22" t="s">
        <v>20</v>
      </c>
      <c r="AB246" s="22" t="s">
        <v>1628</v>
      </c>
      <c r="AC246" s="22" t="s">
        <v>1629</v>
      </c>
      <c r="AD246" s="22" t="s">
        <v>120</v>
      </c>
      <c r="AE246" s="22" t="s">
        <v>136</v>
      </c>
      <c r="AF246" s="22" t="s">
        <v>1630</v>
      </c>
      <c r="AG246" s="22" t="s">
        <v>1616</v>
      </c>
      <c r="AH246" s="22"/>
      <c r="AI246" s="22" t="s">
        <v>205</v>
      </c>
      <c r="AJ246" s="22" t="s">
        <v>1631</v>
      </c>
      <c r="AK246" s="22" t="s">
        <v>140</v>
      </c>
      <c r="AL246" s="22" t="s">
        <v>1632</v>
      </c>
      <c r="AM246" s="22" t="s">
        <v>403</v>
      </c>
      <c r="AN246" s="22" t="s">
        <v>143</v>
      </c>
      <c r="AO246" s="22" t="s">
        <v>1633</v>
      </c>
      <c r="AP246" s="22" t="s">
        <v>112</v>
      </c>
    </row>
    <row r="247" spans="10:51" s="18" customFormat="1" ht="16.8" customHeight="1">
      <c r="J247" s="22">
        <v>243</v>
      </c>
      <c r="K247" s="22" t="s">
        <v>108</v>
      </c>
      <c r="L247" s="22" t="s">
        <v>109</v>
      </c>
      <c r="M247" s="22" t="s">
        <v>345</v>
      </c>
      <c r="N247" s="22" t="s">
        <v>1634</v>
      </c>
      <c r="O247" s="22" t="s">
        <v>130</v>
      </c>
      <c r="P247" s="22" t="s">
        <v>112</v>
      </c>
      <c r="Q247" s="22">
        <v>398</v>
      </c>
      <c r="R247" s="22"/>
      <c r="S247" s="22" t="s">
        <v>112</v>
      </c>
      <c r="T247" s="22" t="s">
        <v>131</v>
      </c>
      <c r="U247" s="22" t="s">
        <v>112</v>
      </c>
      <c r="V247" s="22" t="s">
        <v>132</v>
      </c>
      <c r="W247" s="22" t="s">
        <v>235</v>
      </c>
      <c r="X247" s="22" t="s">
        <v>236</v>
      </c>
      <c r="Y247" s="22" t="s">
        <v>21</v>
      </c>
      <c r="Z247" s="22" t="s">
        <v>1635</v>
      </c>
      <c r="AA247" s="22" t="s">
        <v>21</v>
      </c>
      <c r="AB247" s="22" t="s">
        <v>1636</v>
      </c>
      <c r="AC247" s="22" t="s">
        <v>1637</v>
      </c>
      <c r="AD247" s="22" t="s">
        <v>120</v>
      </c>
      <c r="AE247" s="22" t="s">
        <v>136</v>
      </c>
      <c r="AF247" s="22" t="s">
        <v>1638</v>
      </c>
      <c r="AG247" s="22" t="s">
        <v>345</v>
      </c>
      <c r="AH247" s="22"/>
      <c r="AI247" s="22" t="s">
        <v>205</v>
      </c>
      <c r="AJ247" s="22" t="s">
        <v>372</v>
      </c>
      <c r="AK247" s="22" t="s">
        <v>124</v>
      </c>
      <c r="AL247" s="22" t="s">
        <v>1639</v>
      </c>
      <c r="AM247" s="22" t="s">
        <v>622</v>
      </c>
      <c r="AN247" s="22" t="s">
        <v>157</v>
      </c>
      <c r="AO247" s="22" t="s">
        <v>209</v>
      </c>
      <c r="AP247" s="22" t="s">
        <v>112</v>
      </c>
    </row>
    <row r="248" spans="10:51" s="18" customFormat="1" ht="16.8" customHeight="1">
      <c r="J248" s="22">
        <v>244</v>
      </c>
      <c r="K248" s="22" t="s">
        <v>108</v>
      </c>
      <c r="L248" s="22" t="s">
        <v>109</v>
      </c>
      <c r="M248" s="22" t="s">
        <v>345</v>
      </c>
      <c r="N248" s="22" t="s">
        <v>1640</v>
      </c>
      <c r="O248" s="22" t="s">
        <v>130</v>
      </c>
      <c r="P248" s="22" t="s">
        <v>112</v>
      </c>
      <c r="Q248" s="22">
        <v>15800</v>
      </c>
      <c r="R248" s="22"/>
      <c r="S248" s="22" t="s">
        <v>112</v>
      </c>
      <c r="T248" s="22" t="s">
        <v>131</v>
      </c>
      <c r="U248" s="22" t="s">
        <v>112</v>
      </c>
      <c r="V248" s="22" t="s">
        <v>132</v>
      </c>
      <c r="W248" s="22" t="s">
        <v>246</v>
      </c>
      <c r="X248" s="22" t="s">
        <v>247</v>
      </c>
      <c r="Y248" s="22" t="s">
        <v>24</v>
      </c>
      <c r="Z248" s="22" t="s">
        <v>1641</v>
      </c>
      <c r="AA248" s="22" t="s">
        <v>24</v>
      </c>
      <c r="AB248" s="22" t="s">
        <v>1642</v>
      </c>
      <c r="AC248" s="22" t="s">
        <v>1643</v>
      </c>
      <c r="AD248" s="22" t="s">
        <v>120</v>
      </c>
      <c r="AE248" s="22" t="s">
        <v>136</v>
      </c>
      <c r="AF248" s="22" t="s">
        <v>1644</v>
      </c>
      <c r="AG248" s="22" t="s">
        <v>345</v>
      </c>
      <c r="AH248" s="22"/>
      <c r="AI248" s="22" t="s">
        <v>138</v>
      </c>
      <c r="AJ248" s="22" t="s">
        <v>1645</v>
      </c>
      <c r="AK248" s="22" t="s">
        <v>140</v>
      </c>
      <c r="AL248" s="22" t="s">
        <v>1646</v>
      </c>
      <c r="AM248" s="22" t="s">
        <v>1647</v>
      </c>
      <c r="AN248" s="22" t="s">
        <v>143</v>
      </c>
      <c r="AO248" s="22" t="s">
        <v>1227</v>
      </c>
      <c r="AP248" s="22" t="s">
        <v>112</v>
      </c>
    </row>
    <row r="249" spans="10:51" s="18" customFormat="1" ht="16.8" customHeight="1">
      <c r="J249" s="22">
        <v>245</v>
      </c>
      <c r="K249" s="22" t="s">
        <v>108</v>
      </c>
      <c r="L249" s="22" t="s">
        <v>109</v>
      </c>
      <c r="M249" s="22" t="s">
        <v>345</v>
      </c>
      <c r="N249" s="22" t="s">
        <v>1648</v>
      </c>
      <c r="O249" s="22" t="s">
        <v>130</v>
      </c>
      <c r="P249" s="22" t="s">
        <v>112</v>
      </c>
      <c r="Q249" s="22">
        <v>25000</v>
      </c>
      <c r="R249" s="22"/>
      <c r="S249" s="22" t="s">
        <v>289</v>
      </c>
      <c r="T249" s="22" t="s">
        <v>114</v>
      </c>
      <c r="U249" s="22" t="s">
        <v>1649</v>
      </c>
      <c r="V249" s="22" t="s">
        <v>132</v>
      </c>
      <c r="W249" s="22" t="s">
        <v>116</v>
      </c>
      <c r="X249" s="22" t="s">
        <v>290</v>
      </c>
      <c r="Y249" s="22" t="s">
        <v>24</v>
      </c>
      <c r="Z249" s="22" t="s">
        <v>1650</v>
      </c>
      <c r="AA249" s="22" t="s">
        <v>24</v>
      </c>
      <c r="AB249" s="22" t="s">
        <v>1651</v>
      </c>
      <c r="AC249" s="22" t="s">
        <v>1652</v>
      </c>
      <c r="AD249" s="22" t="s">
        <v>135</v>
      </c>
      <c r="AE249" s="22"/>
      <c r="AF249" s="22" t="s">
        <v>1653</v>
      </c>
      <c r="AG249" s="22"/>
      <c r="AH249" s="22"/>
      <c r="AI249" s="22" t="s">
        <v>182</v>
      </c>
      <c r="AJ249" s="22" t="s">
        <v>1654</v>
      </c>
      <c r="AK249" s="22" t="s">
        <v>140</v>
      </c>
      <c r="AL249" s="22" t="s">
        <v>1655</v>
      </c>
      <c r="AM249" s="22" t="s">
        <v>1656</v>
      </c>
      <c r="AN249" s="22" t="s">
        <v>157</v>
      </c>
      <c r="AO249" s="22" t="s">
        <v>182</v>
      </c>
      <c r="AP249" s="22" t="s">
        <v>186</v>
      </c>
    </row>
    <row r="250" spans="10:51" s="18" customFormat="1" ht="16.8" customHeight="1">
      <c r="J250" s="22">
        <v>246</v>
      </c>
      <c r="K250" s="22" t="s">
        <v>108</v>
      </c>
      <c r="L250" s="22" t="s">
        <v>109</v>
      </c>
      <c r="M250" s="22" t="s">
        <v>345</v>
      </c>
      <c r="N250" s="22" t="s">
        <v>1634</v>
      </c>
      <c r="O250" s="22" t="s">
        <v>130</v>
      </c>
      <c r="P250" s="22" t="s">
        <v>112</v>
      </c>
      <c r="Q250" s="22">
        <v>398</v>
      </c>
      <c r="R250" s="22"/>
      <c r="S250" s="22" t="s">
        <v>112</v>
      </c>
      <c r="T250" s="22" t="s">
        <v>352</v>
      </c>
      <c r="U250" s="22" t="s">
        <v>112</v>
      </c>
      <c r="V250" s="22" t="s">
        <v>132</v>
      </c>
      <c r="W250" s="22" t="s">
        <v>235</v>
      </c>
      <c r="X250" s="22" t="s">
        <v>236</v>
      </c>
      <c r="Y250" s="22" t="s">
        <v>19</v>
      </c>
      <c r="Z250" s="22" t="s">
        <v>1635</v>
      </c>
      <c r="AA250" s="22" t="s">
        <v>21</v>
      </c>
      <c r="AB250" s="22" t="s">
        <v>1636</v>
      </c>
      <c r="AC250" s="22" t="s">
        <v>1637</v>
      </c>
      <c r="AD250" s="22" t="s">
        <v>120</v>
      </c>
      <c r="AE250" s="22"/>
      <c r="AF250" s="22" t="s">
        <v>1638</v>
      </c>
      <c r="AG250" s="22"/>
      <c r="AH250" s="22"/>
      <c r="AI250" s="22" t="s">
        <v>205</v>
      </c>
      <c r="AJ250" s="22" t="s">
        <v>372</v>
      </c>
      <c r="AK250" s="22" t="s">
        <v>124</v>
      </c>
      <c r="AL250" s="22" t="s">
        <v>1639</v>
      </c>
      <c r="AM250" s="22" t="s">
        <v>622</v>
      </c>
      <c r="AN250" s="22" t="s">
        <v>157</v>
      </c>
      <c r="AO250" s="22" t="s">
        <v>209</v>
      </c>
      <c r="AP250" s="22" t="s">
        <v>112</v>
      </c>
    </row>
    <row r="251" spans="10:51" ht="16.8" customHeight="1">
      <c r="J251" s="22">
        <v>2</v>
      </c>
      <c r="K251" s="22" t="s">
        <v>108</v>
      </c>
      <c r="L251" s="22" t="s">
        <v>109</v>
      </c>
      <c r="M251" s="22" t="s">
        <v>1207</v>
      </c>
      <c r="N251" s="22" t="s">
        <v>1657</v>
      </c>
      <c r="O251" s="22" t="s">
        <v>130</v>
      </c>
      <c r="P251" s="22" t="s">
        <v>112</v>
      </c>
      <c r="Q251" s="22">
        <v>7600</v>
      </c>
      <c r="R251" s="22"/>
      <c r="S251" s="22" t="s">
        <v>112</v>
      </c>
      <c r="T251" s="22" t="s">
        <v>114</v>
      </c>
      <c r="U251" s="22" t="s">
        <v>112</v>
      </c>
      <c r="V251" s="22" t="s">
        <v>245</v>
      </c>
      <c r="W251" s="22" t="s">
        <v>282</v>
      </c>
      <c r="X251" s="22" t="s">
        <v>283</v>
      </c>
      <c r="Y251" s="22" t="s">
        <v>12</v>
      </c>
      <c r="Z251" s="22" t="s">
        <v>1658</v>
      </c>
      <c r="AA251" s="22" t="s">
        <v>12</v>
      </c>
      <c r="AB251" s="22" t="s">
        <v>1659</v>
      </c>
      <c r="AC251" s="22" t="s">
        <v>1660</v>
      </c>
      <c r="AD251" s="22" t="s">
        <v>120</v>
      </c>
      <c r="AE251" s="22"/>
      <c r="AF251" s="22" t="s">
        <v>1661</v>
      </c>
      <c r="AG251" s="22"/>
      <c r="AH251" s="22"/>
      <c r="AI251" s="22" t="s">
        <v>1662</v>
      </c>
      <c r="AJ251" s="22" t="s">
        <v>1367</v>
      </c>
      <c r="AK251" s="22" t="s">
        <v>140</v>
      </c>
      <c r="AL251" s="22" t="s">
        <v>1663</v>
      </c>
      <c r="AM251" s="22" t="s">
        <v>1664</v>
      </c>
      <c r="AN251" s="22" t="s">
        <v>1450</v>
      </c>
      <c r="AO251" s="22" t="s">
        <v>1665</v>
      </c>
      <c r="AP251" s="22" t="s">
        <v>186</v>
      </c>
      <c r="AQ251" s="22" t="s">
        <v>1666</v>
      </c>
      <c r="AR251" s="22">
        <v>5720103</v>
      </c>
      <c r="AS251" s="22"/>
      <c r="AT251" s="22"/>
      <c r="AU251" s="22"/>
      <c r="AV251" s="22" t="s">
        <v>1667</v>
      </c>
      <c r="AW251" s="22"/>
      <c r="AX251" s="22"/>
      <c r="AY251" s="22" t="s">
        <v>112</v>
      </c>
    </row>
    <row r="252" spans="10:51" ht="16.8" customHeight="1">
      <c r="J252" s="22">
        <v>1</v>
      </c>
      <c r="K252" s="22" t="s">
        <v>108</v>
      </c>
      <c r="L252" s="22" t="s">
        <v>109</v>
      </c>
      <c r="M252" s="22" t="s">
        <v>1668</v>
      </c>
      <c r="N252" s="22" t="s">
        <v>1669</v>
      </c>
      <c r="O252" s="22" t="s">
        <v>130</v>
      </c>
      <c r="P252" s="22" t="s">
        <v>112</v>
      </c>
      <c r="Q252" s="22">
        <v>6180</v>
      </c>
      <c r="R252" s="22" t="s">
        <v>499</v>
      </c>
      <c r="S252" s="22" t="s">
        <v>112</v>
      </c>
      <c r="T252" s="22" t="s">
        <v>114</v>
      </c>
      <c r="U252" s="22" t="s">
        <v>1670</v>
      </c>
      <c r="V252" s="22" t="s">
        <v>132</v>
      </c>
      <c r="W252" s="22" t="s">
        <v>235</v>
      </c>
      <c r="X252" s="22" t="s">
        <v>484</v>
      </c>
      <c r="Y252" s="22" t="s">
        <v>24</v>
      </c>
      <c r="Z252" s="22" t="s">
        <v>1671</v>
      </c>
      <c r="AA252" s="22" t="s">
        <v>24</v>
      </c>
      <c r="AB252" s="22" t="s">
        <v>1672</v>
      </c>
      <c r="AC252" s="22" t="s">
        <v>1673</v>
      </c>
      <c r="AD252" s="22" t="s">
        <v>135</v>
      </c>
      <c r="AE252" s="22" t="s">
        <v>170</v>
      </c>
      <c r="AF252" s="22" t="s">
        <v>1674</v>
      </c>
      <c r="AG252" s="22" t="s">
        <v>1668</v>
      </c>
      <c r="AH252" s="22"/>
      <c r="AI252" s="22" t="s">
        <v>1675</v>
      </c>
      <c r="AJ252" s="22" t="s">
        <v>1676</v>
      </c>
      <c r="AK252" s="22" t="s">
        <v>140</v>
      </c>
      <c r="AL252" s="22" t="s">
        <v>1677</v>
      </c>
      <c r="AM252" s="22" t="s">
        <v>1677</v>
      </c>
      <c r="AN252" s="22" t="s">
        <v>157</v>
      </c>
      <c r="AO252" s="22" t="s">
        <v>404</v>
      </c>
      <c r="AP252" s="22" t="s">
        <v>112</v>
      </c>
      <c r="AQ252" s="22" t="s">
        <v>1678</v>
      </c>
      <c r="AR252" s="22">
        <v>5689055</v>
      </c>
      <c r="AS252" s="22" t="s">
        <v>1679</v>
      </c>
      <c r="AT252" s="22"/>
      <c r="AU252" s="22" t="s">
        <v>1680</v>
      </c>
      <c r="AV252" s="22" t="s">
        <v>1681</v>
      </c>
      <c r="AW252" s="22"/>
      <c r="AX252" s="22" t="s">
        <v>1682</v>
      </c>
      <c r="AY252" s="22" t="s">
        <v>1681</v>
      </c>
    </row>
    <row r="253" spans="10:51" ht="16.8" customHeight="1">
      <c r="J253" s="22">
        <v>1</v>
      </c>
      <c r="K253" s="22" t="s">
        <v>108</v>
      </c>
      <c r="L253" s="22" t="s">
        <v>109</v>
      </c>
      <c r="M253" s="22" t="s">
        <v>187</v>
      </c>
      <c r="N253" s="22" t="s">
        <v>1683</v>
      </c>
      <c r="O253" s="22" t="s">
        <v>130</v>
      </c>
      <c r="P253" s="22" t="s">
        <v>112</v>
      </c>
      <c r="Q253" s="22">
        <v>5680</v>
      </c>
      <c r="R253" s="22" t="s">
        <v>147</v>
      </c>
      <c r="S253" s="22" t="s">
        <v>112</v>
      </c>
      <c r="T253" s="22" t="s">
        <v>114</v>
      </c>
      <c r="U253" s="22" t="s">
        <v>112</v>
      </c>
      <c r="V253" s="22" t="s">
        <v>132</v>
      </c>
      <c r="W253" s="22" t="s">
        <v>1040</v>
      </c>
      <c r="X253" s="22" t="s">
        <v>1041</v>
      </c>
      <c r="Y253" s="22" t="s">
        <v>20</v>
      </c>
      <c r="Z253" s="22" t="s">
        <v>1684</v>
      </c>
      <c r="AA253" s="22" t="s">
        <v>20</v>
      </c>
      <c r="AB253" s="22" t="s">
        <v>1684</v>
      </c>
      <c r="AC253" s="22" t="s">
        <v>1685</v>
      </c>
      <c r="AD253" s="22" t="s">
        <v>135</v>
      </c>
      <c r="AE253" s="22" t="s">
        <v>193</v>
      </c>
      <c r="AF253" s="22" t="s">
        <v>1686</v>
      </c>
      <c r="AG253" s="22" t="s">
        <v>187</v>
      </c>
      <c r="AH253" s="22"/>
      <c r="AI253" s="22" t="s">
        <v>205</v>
      </c>
      <c r="AJ253" s="22" t="s">
        <v>1687</v>
      </c>
      <c r="AK253" s="22" t="s">
        <v>124</v>
      </c>
      <c r="AL253" s="22" t="s">
        <v>1688</v>
      </c>
      <c r="AM253" s="22" t="s">
        <v>216</v>
      </c>
      <c r="AN253" s="22" t="s">
        <v>143</v>
      </c>
      <c r="AO253" s="22" t="s">
        <v>209</v>
      </c>
      <c r="AP253" s="22" t="s">
        <v>112</v>
      </c>
      <c r="AQ253" s="22" t="s">
        <v>1678</v>
      </c>
      <c r="AR253" s="22">
        <v>5756830</v>
      </c>
      <c r="AS253" s="22" t="s">
        <v>1689</v>
      </c>
      <c r="AT253" s="22"/>
      <c r="AU253" s="22" t="s">
        <v>1680</v>
      </c>
      <c r="AV253" s="22" t="s">
        <v>1681</v>
      </c>
      <c r="AW253" s="22"/>
      <c r="AX253" s="22" t="s">
        <v>1690</v>
      </c>
      <c r="AY253" s="22" t="s">
        <v>1681</v>
      </c>
    </row>
  </sheetData>
  <autoFilter ref="J11:AS253"/>
  <mergeCells count="6">
    <mergeCell ref="A9:B9"/>
    <mergeCell ref="A1:A2"/>
    <mergeCell ref="B1:B2"/>
    <mergeCell ref="H3:H9"/>
    <mergeCell ref="C1:H1"/>
    <mergeCell ref="A3:A8"/>
  </mergeCells>
  <phoneticPr fontId="1" type="noConversion"/>
  <conditionalFormatting sqref="G3:G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BA2"/>
  <sheetViews>
    <sheetView workbookViewId="0"/>
  </sheetViews>
  <sheetFormatPr defaultColWidth="9.1796875" defaultRowHeight="16.8" customHeight="1"/>
  <sheetData>
    <row r="1" spans="1:53" s="18" customFormat="1" ht="16.8" customHeight="1">
      <c r="A1" s="18" t="s">
        <v>1691</v>
      </c>
      <c r="B1" s="18" t="s">
        <v>1692</v>
      </c>
      <c r="C1" s="18" t="s">
        <v>1693</v>
      </c>
      <c r="D1" s="18" t="s">
        <v>1694</v>
      </c>
      <c r="E1" s="18" t="s">
        <v>1695</v>
      </c>
      <c r="F1" s="18" t="s">
        <v>1696</v>
      </c>
      <c r="G1" s="18" t="s">
        <v>1697</v>
      </c>
      <c r="H1" s="18" t="s">
        <v>1698</v>
      </c>
      <c r="I1" s="18" t="s">
        <v>1699</v>
      </c>
      <c r="J1" s="18" t="s">
        <v>1700</v>
      </c>
      <c r="K1" s="18" t="s">
        <v>1701</v>
      </c>
      <c r="L1" s="18" t="s">
        <v>1702</v>
      </c>
      <c r="M1" s="18" t="s">
        <v>1703</v>
      </c>
      <c r="N1" s="18" t="s">
        <v>1704</v>
      </c>
      <c r="O1" s="18" t="s">
        <v>1705</v>
      </c>
      <c r="P1" s="18" t="s">
        <v>1706</v>
      </c>
      <c r="Q1" s="18" t="s">
        <v>1707</v>
      </c>
      <c r="R1" s="18" t="s">
        <v>1708</v>
      </c>
      <c r="S1" s="18" t="s">
        <v>1709</v>
      </c>
      <c r="T1" s="18" t="s">
        <v>1710</v>
      </c>
      <c r="U1" s="18" t="s">
        <v>1711</v>
      </c>
      <c r="V1" s="18" t="s">
        <v>1712</v>
      </c>
      <c r="W1" s="18" t="s">
        <v>1713</v>
      </c>
      <c r="X1" s="18" t="s">
        <v>1714</v>
      </c>
      <c r="Y1" s="18" t="s">
        <v>1715</v>
      </c>
      <c r="Z1" s="18" t="s">
        <v>1716</v>
      </c>
      <c r="AA1" s="18" t="s">
        <v>1717</v>
      </c>
      <c r="AB1" s="18" t="s">
        <v>1718</v>
      </c>
      <c r="AC1" s="18" t="s">
        <v>1719</v>
      </c>
      <c r="AD1" s="18" t="s">
        <v>1720</v>
      </c>
      <c r="AE1" s="18" t="s">
        <v>1721</v>
      </c>
      <c r="AF1" s="18" t="s">
        <v>1722</v>
      </c>
      <c r="AG1" s="18" t="s">
        <v>79</v>
      </c>
      <c r="AH1" s="18" t="s">
        <v>1723</v>
      </c>
      <c r="AI1" s="18" t="s">
        <v>102</v>
      </c>
      <c r="AJ1" s="18" t="s">
        <v>104</v>
      </c>
      <c r="AK1" s="18" t="s">
        <v>1724</v>
      </c>
      <c r="AL1" s="18" t="s">
        <v>1725</v>
      </c>
      <c r="AM1" s="18" t="s">
        <v>1726</v>
      </c>
      <c r="AN1" s="18" t="s">
        <v>1727</v>
      </c>
      <c r="AO1" s="18" t="s">
        <v>1728</v>
      </c>
      <c r="AP1" s="18" t="s">
        <v>1729</v>
      </c>
      <c r="AQ1" s="18" t="s">
        <v>1730</v>
      </c>
      <c r="AR1" s="18" t="s">
        <v>1731</v>
      </c>
      <c r="AS1" s="18" t="s">
        <v>1732</v>
      </c>
      <c r="AT1" s="18" t="s">
        <v>1733</v>
      </c>
      <c r="AW1" s="18" t="s">
        <v>1734</v>
      </c>
      <c r="AX1" s="18" t="s">
        <v>1735</v>
      </c>
      <c r="AY1" s="18" t="s">
        <v>1736</v>
      </c>
      <c r="AZ1" s="18" t="s">
        <v>1737</v>
      </c>
      <c r="BA1" s="18" t="s">
        <v>1737</v>
      </c>
    </row>
    <row r="2" spans="1:53" s="18" customFormat="1" ht="16.8" customHeight="1">
      <c r="A2" s="18" t="s">
        <v>1738</v>
      </c>
      <c r="B2" s="18" t="s">
        <v>1739</v>
      </c>
      <c r="C2" s="18" t="s">
        <v>1740</v>
      </c>
      <c r="E2" s="18" t="s">
        <v>12</v>
      </c>
      <c r="G2" s="18" t="s">
        <v>290</v>
      </c>
      <c r="H2" s="18" t="s">
        <v>1741</v>
      </c>
      <c r="I2" s="18" t="s">
        <v>1742</v>
      </c>
      <c r="J2" s="18" t="s">
        <v>1743</v>
      </c>
      <c r="K2" s="18" t="s">
        <v>1744</v>
      </c>
      <c r="L2" s="18" t="s">
        <v>1745</v>
      </c>
      <c r="O2" s="18" t="s">
        <v>1746</v>
      </c>
      <c r="AB2" s="18" t="s">
        <v>1747</v>
      </c>
      <c r="AC2" s="18" t="s">
        <v>1748</v>
      </c>
      <c r="AF2" s="18" t="s">
        <v>775</v>
      </c>
      <c r="AG2" s="18" t="s">
        <v>511</v>
      </c>
      <c r="AH2" s="18" t="s">
        <v>835</v>
      </c>
      <c r="AI2" s="18" t="s">
        <v>286</v>
      </c>
      <c r="AJ2" s="18" t="s">
        <v>733</v>
      </c>
      <c r="AK2" s="18" t="s">
        <v>1749</v>
      </c>
      <c r="AL2" s="18" t="s">
        <v>1740</v>
      </c>
      <c r="AM2" s="18" t="s">
        <v>1750</v>
      </c>
      <c r="AN2" s="18" t="s">
        <v>1751</v>
      </c>
      <c r="AO2" s="18" t="s">
        <v>1752</v>
      </c>
      <c r="AP2" s="18" t="s">
        <v>1748</v>
      </c>
      <c r="AQ2" s="18">
        <v>2025</v>
      </c>
      <c r="AR2" s="18">
        <v>12</v>
      </c>
      <c r="AS2" s="18">
        <v>27</v>
      </c>
      <c r="AT2" s="88" t="s">
        <v>1753</v>
      </c>
      <c r="AY2" s="18" t="s">
        <v>1754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AP200"/>
  <sheetViews>
    <sheetView workbookViewId="0"/>
  </sheetViews>
  <sheetFormatPr defaultColWidth="9.1796875" defaultRowHeight="16.8" customHeight="1"/>
  <cols>
    <col min="1" max="10" width="9.1796875" style="18"/>
    <col min="11" max="11" width="19.1796875" style="18" customWidth="1"/>
    <col min="12" max="12" width="32" style="18" customWidth="1"/>
    <col min="13" max="13" width="19.6328125" style="18" customWidth="1"/>
    <col min="14" max="14" width="9.1796875" style="18"/>
    <col min="15" max="15" width="15.1796875" style="18" customWidth="1"/>
    <col min="16" max="36" width="9.1796875" style="18"/>
    <col min="37" max="38" width="9.1796875" style="20"/>
    <col min="39" max="42" width="9.1796875" style="18"/>
  </cols>
  <sheetData>
    <row r="1" spans="1:42" s="18" customFormat="1" ht="13.95" customHeight="1">
      <c r="A1" s="21" t="s">
        <v>1</v>
      </c>
      <c r="B1" s="21" t="s">
        <v>79</v>
      </c>
      <c r="C1" s="21" t="s">
        <v>6</v>
      </c>
      <c r="D1" s="21" t="s">
        <v>80</v>
      </c>
      <c r="E1" s="21" t="s">
        <v>5</v>
      </c>
      <c r="F1" s="21" t="s">
        <v>81</v>
      </c>
      <c r="G1" s="21" t="s">
        <v>82</v>
      </c>
      <c r="H1" s="21" t="s">
        <v>83</v>
      </c>
      <c r="I1" s="21" t="s">
        <v>84</v>
      </c>
      <c r="J1" s="21" t="s">
        <v>85</v>
      </c>
      <c r="K1" s="21" t="s">
        <v>86</v>
      </c>
      <c r="L1" s="21" t="s">
        <v>87</v>
      </c>
      <c r="M1" s="21" t="s">
        <v>88</v>
      </c>
      <c r="N1" s="21" t="s">
        <v>89</v>
      </c>
      <c r="O1" s="21" t="s">
        <v>90</v>
      </c>
      <c r="P1" s="21" t="s">
        <v>91</v>
      </c>
      <c r="Q1" s="21" t="s">
        <v>92</v>
      </c>
      <c r="R1" s="21" t="s">
        <v>93</v>
      </c>
      <c r="S1" s="21" t="s">
        <v>94</v>
      </c>
      <c r="T1" s="21" t="s">
        <v>95</v>
      </c>
      <c r="U1" s="21" t="s">
        <v>96</v>
      </c>
      <c r="V1" s="21" t="s">
        <v>97</v>
      </c>
      <c r="W1" s="21" t="s">
        <v>98</v>
      </c>
      <c r="X1" s="21" t="s">
        <v>99</v>
      </c>
      <c r="Y1" s="21" t="s">
        <v>100</v>
      </c>
      <c r="Z1" s="21" t="s">
        <v>101</v>
      </c>
      <c r="AA1" s="21" t="s">
        <v>79</v>
      </c>
      <c r="AB1" s="21" t="s">
        <v>102</v>
      </c>
      <c r="AC1" s="21" t="s">
        <v>103</v>
      </c>
      <c r="AD1" s="21" t="s">
        <v>104</v>
      </c>
      <c r="AE1" s="21" t="s">
        <v>105</v>
      </c>
      <c r="AF1" s="21" t="s">
        <v>106</v>
      </c>
      <c r="AG1" s="21" t="s">
        <v>107</v>
      </c>
      <c r="AH1" s="21" t="s">
        <v>1755</v>
      </c>
      <c r="AI1" s="21" t="s">
        <v>1756</v>
      </c>
      <c r="AJ1" s="21" t="s">
        <v>1757</v>
      </c>
      <c r="AK1" s="21" t="s">
        <v>1758</v>
      </c>
      <c r="AL1" s="21" t="s">
        <v>1759</v>
      </c>
      <c r="AM1" s="21" t="s">
        <v>1760</v>
      </c>
      <c r="AN1" s="21" t="s">
        <v>1761</v>
      </c>
      <c r="AO1" s="21" t="s">
        <v>1762</v>
      </c>
      <c r="AP1" s="21" t="s">
        <v>1763</v>
      </c>
    </row>
    <row r="2" spans="1:42" s="18" customFormat="1" ht="16.8" customHeight="1">
      <c r="A2" s="22">
        <v>74</v>
      </c>
      <c r="B2" s="22" t="s">
        <v>108</v>
      </c>
      <c r="C2" s="22" t="s">
        <v>109</v>
      </c>
      <c r="D2" s="22" t="s">
        <v>233</v>
      </c>
      <c r="E2" s="22" t="s">
        <v>1764</v>
      </c>
      <c r="F2" s="22" t="s">
        <v>130</v>
      </c>
      <c r="G2" s="22" t="s">
        <v>112</v>
      </c>
      <c r="H2" s="22">
        <v>62800</v>
      </c>
      <c r="I2" s="22"/>
      <c r="J2" s="22" t="s">
        <v>12</v>
      </c>
      <c r="K2" s="22" t="s">
        <v>131</v>
      </c>
      <c r="L2" s="22" t="s">
        <v>112</v>
      </c>
      <c r="M2" s="22" t="s">
        <v>132</v>
      </c>
      <c r="N2" s="22" t="s">
        <v>116</v>
      </c>
      <c r="O2" s="22" t="s">
        <v>190</v>
      </c>
      <c r="P2" s="22" t="s">
        <v>12</v>
      </c>
      <c r="Q2" s="22" t="s">
        <v>1765</v>
      </c>
      <c r="R2" s="22" t="s">
        <v>12</v>
      </c>
      <c r="S2" s="22" t="s">
        <v>1765</v>
      </c>
      <c r="T2" s="22" t="s">
        <v>1766</v>
      </c>
      <c r="U2" s="22" t="s">
        <v>120</v>
      </c>
      <c r="V2" s="22" t="s">
        <v>223</v>
      </c>
      <c r="W2" s="22" t="s">
        <v>1767</v>
      </c>
      <c r="X2" s="22" t="s">
        <v>233</v>
      </c>
      <c r="Y2" s="22"/>
      <c r="Z2" s="22" t="s">
        <v>1768</v>
      </c>
      <c r="AA2" s="22" t="s">
        <v>206</v>
      </c>
      <c r="AB2" s="22" t="s">
        <v>286</v>
      </c>
      <c r="AC2" s="22" t="s">
        <v>1769</v>
      </c>
      <c r="AD2" s="22" t="s">
        <v>1769</v>
      </c>
      <c r="AE2" s="22" t="s">
        <v>1770</v>
      </c>
      <c r="AF2" s="22" t="s">
        <v>1771</v>
      </c>
      <c r="AG2" s="22" t="s">
        <v>1772</v>
      </c>
      <c r="AH2" s="22" t="s">
        <v>1773</v>
      </c>
      <c r="AI2" s="22">
        <v>5727330</v>
      </c>
      <c r="AJ2" s="22" t="s">
        <v>1774</v>
      </c>
      <c r="AK2" s="22"/>
      <c r="AL2" s="22" t="s">
        <v>1680</v>
      </c>
      <c r="AM2" s="22" t="s">
        <v>1681</v>
      </c>
      <c r="AN2" s="22" t="s">
        <v>1775</v>
      </c>
      <c r="AO2" s="22">
        <v>62800</v>
      </c>
      <c r="AP2" s="22" t="s">
        <v>1681</v>
      </c>
    </row>
    <row r="3" spans="1:42" s="18" customFormat="1" ht="16.8" customHeight="1">
      <c r="A3" s="22">
        <v>76</v>
      </c>
      <c r="B3" s="22" t="s">
        <v>108</v>
      </c>
      <c r="C3" s="22" t="s">
        <v>109</v>
      </c>
      <c r="D3" s="22" t="s">
        <v>738</v>
      </c>
      <c r="E3" s="22" t="s">
        <v>1751</v>
      </c>
      <c r="F3" s="22" t="s">
        <v>130</v>
      </c>
      <c r="G3" s="22" t="s">
        <v>112</v>
      </c>
      <c r="H3" s="22">
        <v>9000</v>
      </c>
      <c r="I3" s="22" t="s">
        <v>499</v>
      </c>
      <c r="J3" s="22" t="s">
        <v>112</v>
      </c>
      <c r="K3" s="22" t="s">
        <v>114</v>
      </c>
      <c r="L3" s="22" t="s">
        <v>112</v>
      </c>
      <c r="M3" s="22" t="s">
        <v>132</v>
      </c>
      <c r="N3" s="22" t="s">
        <v>116</v>
      </c>
      <c r="O3" s="22" t="s">
        <v>290</v>
      </c>
      <c r="P3" s="22" t="s">
        <v>12</v>
      </c>
      <c r="Q3" s="22" t="s">
        <v>1776</v>
      </c>
      <c r="R3" s="22" t="s">
        <v>12</v>
      </c>
      <c r="S3" s="22" t="s">
        <v>1776</v>
      </c>
      <c r="T3" s="22" t="s">
        <v>1777</v>
      </c>
      <c r="U3" s="22" t="s">
        <v>120</v>
      </c>
      <c r="V3" s="22" t="s">
        <v>152</v>
      </c>
      <c r="W3" s="22" t="s">
        <v>1752</v>
      </c>
      <c r="X3" s="22" t="s">
        <v>738</v>
      </c>
      <c r="Y3" s="22"/>
      <c r="Z3" s="22" t="s">
        <v>1778</v>
      </c>
      <c r="AA3" s="22" t="s">
        <v>511</v>
      </c>
      <c r="AB3" s="22" t="s">
        <v>286</v>
      </c>
      <c r="AC3" s="22" t="s">
        <v>835</v>
      </c>
      <c r="AD3" s="22" t="s">
        <v>1779</v>
      </c>
      <c r="AE3" s="22" t="s">
        <v>1770</v>
      </c>
      <c r="AF3" s="22" t="s">
        <v>1780</v>
      </c>
      <c r="AG3" s="22" t="s">
        <v>1781</v>
      </c>
      <c r="AH3" s="22" t="s">
        <v>1773</v>
      </c>
      <c r="AI3" s="22">
        <v>5764531</v>
      </c>
      <c r="AJ3" s="22" t="s">
        <v>1774</v>
      </c>
      <c r="AK3" s="22"/>
      <c r="AL3" s="22" t="s">
        <v>1680</v>
      </c>
      <c r="AM3" s="22" t="s">
        <v>1681</v>
      </c>
      <c r="AN3" s="22" t="s">
        <v>1782</v>
      </c>
      <c r="AO3" s="22">
        <v>55300</v>
      </c>
      <c r="AP3" s="22" t="s">
        <v>1667</v>
      </c>
    </row>
    <row r="4" spans="1:42" s="18" customFormat="1" ht="16.8" customHeight="1">
      <c r="A4" s="22">
        <v>119</v>
      </c>
      <c r="B4" s="22" t="s">
        <v>108</v>
      </c>
      <c r="C4" s="22" t="s">
        <v>109</v>
      </c>
      <c r="D4" s="22" t="s">
        <v>175</v>
      </c>
      <c r="E4" s="22" t="s">
        <v>1357</v>
      </c>
      <c r="F4" s="22" t="s">
        <v>130</v>
      </c>
      <c r="G4" s="22" t="s">
        <v>112</v>
      </c>
      <c r="H4" s="22">
        <v>18800</v>
      </c>
      <c r="I4" s="22"/>
      <c r="J4" s="22" t="s">
        <v>112</v>
      </c>
      <c r="K4" s="22" t="s">
        <v>114</v>
      </c>
      <c r="L4" s="22" t="s">
        <v>112</v>
      </c>
      <c r="M4" s="22" t="s">
        <v>132</v>
      </c>
      <c r="N4" s="22" t="s">
        <v>273</v>
      </c>
      <c r="O4" s="22" t="s">
        <v>576</v>
      </c>
      <c r="P4" s="22" t="s">
        <v>22</v>
      </c>
      <c r="Q4" s="22" t="s">
        <v>1783</v>
      </c>
      <c r="R4" s="22" t="s">
        <v>22</v>
      </c>
      <c r="S4" s="22" t="s">
        <v>1784</v>
      </c>
      <c r="T4" s="22" t="s">
        <v>1785</v>
      </c>
      <c r="U4" s="22" t="s">
        <v>135</v>
      </c>
      <c r="V4" s="22"/>
      <c r="W4" s="22" t="s">
        <v>1361</v>
      </c>
      <c r="X4" s="22"/>
      <c r="Y4" s="22"/>
      <c r="Z4" s="22" t="s">
        <v>182</v>
      </c>
      <c r="AA4" s="22" t="s">
        <v>745</v>
      </c>
      <c r="AB4" s="22" t="s">
        <v>140</v>
      </c>
      <c r="AC4" s="22" t="s">
        <v>1362</v>
      </c>
      <c r="AD4" s="22" t="s">
        <v>842</v>
      </c>
      <c r="AE4" s="22" t="s">
        <v>143</v>
      </c>
      <c r="AF4" s="22" t="s">
        <v>182</v>
      </c>
      <c r="AG4" s="22" t="s">
        <v>186</v>
      </c>
    </row>
    <row r="5" spans="1:42" s="18" customFormat="1" ht="16.8" customHeight="1">
      <c r="A5" s="22">
        <v>220</v>
      </c>
      <c r="B5" s="22" t="s">
        <v>108</v>
      </c>
      <c r="C5" s="22" t="s">
        <v>109</v>
      </c>
      <c r="D5" s="22" t="s">
        <v>1514</v>
      </c>
      <c r="E5" s="22" t="s">
        <v>1786</v>
      </c>
      <c r="F5" s="22" t="s">
        <v>130</v>
      </c>
      <c r="G5" s="22" t="s">
        <v>112</v>
      </c>
      <c r="H5" s="22">
        <v>8000</v>
      </c>
      <c r="I5" s="22"/>
      <c r="J5" s="22" t="s">
        <v>335</v>
      </c>
      <c r="K5" s="22" t="s">
        <v>114</v>
      </c>
      <c r="L5" s="22" t="s">
        <v>112</v>
      </c>
      <c r="M5" s="22" t="s">
        <v>132</v>
      </c>
      <c r="N5" s="22" t="s">
        <v>116</v>
      </c>
      <c r="O5" s="22" t="s">
        <v>290</v>
      </c>
      <c r="P5" s="22" t="s">
        <v>21</v>
      </c>
      <c r="Q5" s="22" t="s">
        <v>1787</v>
      </c>
      <c r="R5" s="22" t="s">
        <v>21</v>
      </c>
      <c r="S5" s="22" t="s">
        <v>1788</v>
      </c>
      <c r="T5" s="22" t="s">
        <v>1789</v>
      </c>
      <c r="U5" s="22" t="s">
        <v>120</v>
      </c>
      <c r="V5" s="22"/>
      <c r="W5" s="22" t="s">
        <v>1790</v>
      </c>
      <c r="X5" s="22"/>
      <c r="Y5" s="22"/>
      <c r="Z5" s="22" t="s">
        <v>138</v>
      </c>
      <c r="AA5" s="22" t="s">
        <v>1225</v>
      </c>
      <c r="AB5" s="22" t="s">
        <v>286</v>
      </c>
      <c r="AC5" s="22" t="s">
        <v>418</v>
      </c>
      <c r="AD5" s="22" t="s">
        <v>1226</v>
      </c>
      <c r="AE5" s="22" t="s">
        <v>157</v>
      </c>
      <c r="AF5" s="22" t="s">
        <v>1791</v>
      </c>
      <c r="AG5" s="22" t="s">
        <v>112</v>
      </c>
    </row>
    <row r="6" spans="1:42" s="18" customFormat="1" ht="16.8" customHeight="1">
      <c r="A6" s="22">
        <v>235</v>
      </c>
      <c r="B6" s="22" t="s">
        <v>108</v>
      </c>
      <c r="C6" s="22" t="s">
        <v>109</v>
      </c>
      <c r="D6" s="22" t="s">
        <v>1578</v>
      </c>
      <c r="E6" s="22" t="s">
        <v>1786</v>
      </c>
      <c r="F6" s="22" t="s">
        <v>130</v>
      </c>
      <c r="G6" s="22" t="s">
        <v>112</v>
      </c>
      <c r="H6" s="22">
        <v>3400</v>
      </c>
      <c r="I6" s="22"/>
      <c r="J6" s="22" t="s">
        <v>335</v>
      </c>
      <c r="K6" s="22" t="s">
        <v>114</v>
      </c>
      <c r="L6" s="22" t="s">
        <v>112</v>
      </c>
      <c r="M6" s="22" t="s">
        <v>132</v>
      </c>
      <c r="N6" s="22" t="s">
        <v>116</v>
      </c>
      <c r="O6" s="22" t="s">
        <v>290</v>
      </c>
      <c r="P6" s="22" t="s">
        <v>21</v>
      </c>
      <c r="Q6" s="22" t="s">
        <v>1792</v>
      </c>
      <c r="R6" s="22" t="s">
        <v>21</v>
      </c>
      <c r="S6" s="22" t="s">
        <v>1793</v>
      </c>
      <c r="T6" s="22" t="s">
        <v>1794</v>
      </c>
      <c r="U6" s="22" t="s">
        <v>120</v>
      </c>
      <c r="V6" s="22"/>
      <c r="W6" s="22" t="s">
        <v>1790</v>
      </c>
      <c r="X6" s="22"/>
      <c r="Y6" s="22"/>
      <c r="Z6" s="22" t="s">
        <v>138</v>
      </c>
      <c r="AA6" s="22" t="s">
        <v>1225</v>
      </c>
      <c r="AB6" s="22" t="s">
        <v>286</v>
      </c>
      <c r="AC6" s="22" t="s">
        <v>418</v>
      </c>
      <c r="AD6" s="22" t="s">
        <v>1226</v>
      </c>
      <c r="AE6" s="22" t="s">
        <v>157</v>
      </c>
      <c r="AF6" s="22" t="s">
        <v>144</v>
      </c>
      <c r="AG6" s="22" t="s">
        <v>112</v>
      </c>
    </row>
    <row r="7" spans="1:42" s="18" customFormat="1" ht="16.8" customHeight="1">
      <c r="A7" s="22">
        <v>219</v>
      </c>
      <c r="B7" s="22" t="s">
        <v>108</v>
      </c>
      <c r="C7" s="22" t="s">
        <v>109</v>
      </c>
      <c r="D7" s="22" t="s">
        <v>1514</v>
      </c>
      <c r="E7" s="22" t="s">
        <v>1795</v>
      </c>
      <c r="F7" s="22" t="s">
        <v>130</v>
      </c>
      <c r="G7" s="22" t="s">
        <v>112</v>
      </c>
      <c r="H7" s="22">
        <v>28300</v>
      </c>
      <c r="I7" s="22"/>
      <c r="J7" s="22" t="s">
        <v>1796</v>
      </c>
      <c r="K7" s="22" t="s">
        <v>131</v>
      </c>
      <c r="L7" s="22" t="s">
        <v>112</v>
      </c>
      <c r="M7" s="22" t="s">
        <v>132</v>
      </c>
      <c r="N7" s="22" t="s">
        <v>116</v>
      </c>
      <c r="O7" s="22" t="s">
        <v>377</v>
      </c>
      <c r="P7" s="22" t="s">
        <v>12</v>
      </c>
      <c r="Q7" s="22" t="s">
        <v>1532</v>
      </c>
      <c r="R7" s="22" t="s">
        <v>12</v>
      </c>
      <c r="S7" s="22" t="s">
        <v>1797</v>
      </c>
      <c r="T7" s="22" t="s">
        <v>1798</v>
      </c>
      <c r="U7" s="22" t="s">
        <v>120</v>
      </c>
      <c r="V7" s="22" t="s">
        <v>136</v>
      </c>
      <c r="W7" s="22" t="s">
        <v>1799</v>
      </c>
      <c r="X7" s="22" t="s">
        <v>1514</v>
      </c>
      <c r="Y7" s="22"/>
      <c r="Z7" s="22" t="s">
        <v>1800</v>
      </c>
      <c r="AA7" s="22" t="s">
        <v>154</v>
      </c>
      <c r="AB7" s="22" t="s">
        <v>303</v>
      </c>
      <c r="AC7" s="22" t="s">
        <v>1801</v>
      </c>
      <c r="AD7" s="22" t="s">
        <v>1802</v>
      </c>
      <c r="AE7" s="22" t="s">
        <v>1770</v>
      </c>
      <c r="AF7" s="22" t="s">
        <v>1803</v>
      </c>
      <c r="AG7" s="22" t="s">
        <v>1804</v>
      </c>
    </row>
    <row r="8" spans="1:42" s="18" customFormat="1" ht="16.8" customHeight="1"/>
    <row r="9" spans="1:42" s="18" customFormat="1" ht="16.8" customHeight="1"/>
    <row r="10" spans="1:42" s="18" customFormat="1" ht="16.8" customHeight="1"/>
    <row r="11" spans="1:42" s="18" customFormat="1" ht="16.8" customHeight="1"/>
    <row r="12" spans="1:42" s="18" customFormat="1" ht="16.8" customHeight="1"/>
    <row r="13" spans="1:42" s="18" customFormat="1" ht="16.8" customHeight="1"/>
    <row r="14" spans="1:42" s="18" customFormat="1" ht="16.8" customHeight="1"/>
    <row r="15" spans="1:42" s="18" customFormat="1" ht="16.8" customHeight="1"/>
    <row r="16" spans="1:42" s="18" customFormat="1" ht="16.8" customHeight="1"/>
    <row r="17" s="18" customFormat="1" ht="16.8" customHeight="1"/>
    <row r="18" s="18" customFormat="1" ht="16.8" customHeight="1"/>
    <row r="19" s="18" customFormat="1" ht="16.8" customHeight="1"/>
    <row r="20" s="18" customFormat="1" ht="16.8" customHeight="1"/>
    <row r="21" s="18" customFormat="1" ht="16.8" customHeight="1"/>
    <row r="22" s="18" customFormat="1" ht="16.8" customHeight="1"/>
    <row r="23" s="18" customFormat="1" ht="16.8" customHeight="1"/>
    <row r="24" s="18" customFormat="1" ht="16.8" customHeight="1"/>
    <row r="25" s="18" customFormat="1" ht="16.8" customHeight="1"/>
    <row r="26" s="18" customFormat="1" ht="16.8" customHeight="1"/>
    <row r="27" s="18" customFormat="1" ht="16.8" customHeight="1"/>
    <row r="28" s="18" customFormat="1" ht="16.8" customHeight="1"/>
    <row r="29" s="18" customFormat="1" ht="16.8" customHeight="1"/>
    <row r="30" s="18" customFormat="1" ht="16.8" customHeight="1"/>
    <row r="31" s="18" customFormat="1" ht="16.8" customHeight="1"/>
    <row r="32" s="18" customFormat="1" ht="16.8" customHeight="1"/>
    <row r="33" s="18" customFormat="1" ht="16.8" customHeight="1"/>
    <row r="34" s="18" customFormat="1" ht="16.8" customHeight="1"/>
    <row r="35" s="18" customFormat="1" ht="16.8" customHeight="1"/>
    <row r="36" s="18" customFormat="1" ht="16.8" customHeight="1"/>
    <row r="37" s="18" customFormat="1" ht="16.8" customHeight="1"/>
    <row r="38" s="18" customFormat="1" ht="16.8" customHeight="1"/>
    <row r="39" s="18" customFormat="1" ht="16.8" customHeight="1"/>
    <row r="40" s="18" customFormat="1" ht="16.8" customHeight="1"/>
    <row r="41" s="18" customFormat="1" ht="16.8" customHeight="1"/>
    <row r="42" s="18" customFormat="1" ht="16.8" customHeight="1"/>
    <row r="43" s="18" customFormat="1" ht="16.8" customHeight="1"/>
    <row r="44" s="18" customFormat="1" ht="16.8" customHeight="1"/>
    <row r="45" s="18" customFormat="1" ht="16.8" customHeight="1"/>
    <row r="46" s="18" customFormat="1" ht="16.8" customHeight="1"/>
    <row r="47" s="18" customFormat="1" ht="16.8" customHeight="1"/>
    <row r="48" s="18" customFormat="1" ht="16.8" customHeight="1"/>
    <row r="49" s="18" customFormat="1" ht="16.8" customHeight="1"/>
    <row r="50" s="18" customFormat="1" ht="16.8" customHeight="1"/>
    <row r="51" s="18" customFormat="1" ht="16.8" customHeight="1"/>
    <row r="52" s="18" customFormat="1" ht="16.8" customHeight="1"/>
    <row r="53" s="18" customFormat="1" ht="16.8" customHeight="1"/>
    <row r="54" s="18" customFormat="1" ht="16.8" customHeight="1"/>
    <row r="55" s="18" customFormat="1" ht="16.8" customHeight="1"/>
    <row r="56" s="18" customFormat="1" ht="16.8" customHeight="1"/>
    <row r="57" s="18" customFormat="1" ht="16.8" customHeight="1"/>
    <row r="58" s="18" customFormat="1" ht="16.8" customHeight="1"/>
    <row r="59" s="18" customFormat="1" ht="16.8" customHeight="1"/>
    <row r="60" s="18" customFormat="1" ht="16.8" customHeight="1"/>
    <row r="61" s="18" customFormat="1" ht="16.8" customHeight="1"/>
    <row r="62" s="18" customFormat="1" ht="16.8" customHeight="1"/>
    <row r="63" s="18" customFormat="1" ht="16.8" customHeight="1"/>
    <row r="64" s="18" customFormat="1" ht="16.8" customHeight="1"/>
    <row r="65" s="18" customFormat="1" ht="16.8" customHeight="1"/>
    <row r="66" s="18" customFormat="1" ht="16.8" customHeight="1"/>
    <row r="67" s="18" customFormat="1" ht="16.8" customHeight="1"/>
    <row r="68" s="18" customFormat="1" ht="16.8" customHeight="1"/>
    <row r="69" s="18" customFormat="1" ht="16.8" customHeight="1"/>
    <row r="70" s="18" customFormat="1" ht="16.8" customHeight="1"/>
    <row r="71" s="18" customFormat="1" ht="16.8" customHeight="1"/>
    <row r="72" s="18" customFormat="1" ht="16.8" customHeight="1"/>
    <row r="73" s="18" customFormat="1" ht="16.8" customHeight="1"/>
    <row r="74" s="18" customFormat="1" ht="16.8" customHeight="1"/>
    <row r="75" s="18" customFormat="1" ht="16.8" customHeight="1"/>
    <row r="76" s="18" customFormat="1" ht="16.8" customHeight="1"/>
    <row r="77" s="18" customFormat="1" ht="16.8" customHeight="1"/>
    <row r="78" s="18" customFormat="1" ht="16.8" customHeight="1"/>
    <row r="79" s="18" customFormat="1" ht="16.8" customHeight="1"/>
    <row r="80" s="18" customFormat="1" ht="16.8" customHeight="1"/>
    <row r="81" s="18" customFormat="1" ht="16.8" customHeight="1"/>
    <row r="82" s="18" customFormat="1" ht="16.8" customHeight="1"/>
    <row r="83" s="18" customFormat="1" ht="16.8" customHeight="1"/>
    <row r="84" s="18" customFormat="1" ht="16.8" customHeight="1"/>
    <row r="85" s="18" customFormat="1" ht="16.8" customHeight="1"/>
    <row r="86" s="18" customFormat="1" ht="16.8" customHeight="1"/>
    <row r="87" s="18" customFormat="1" ht="16.8" customHeight="1"/>
    <row r="88" s="18" customFormat="1" ht="16.8" customHeight="1"/>
    <row r="89" s="18" customFormat="1" ht="16.8" customHeight="1"/>
    <row r="90" s="18" customFormat="1" ht="16.8" customHeight="1"/>
    <row r="91" s="18" customFormat="1" ht="16.8" customHeight="1"/>
    <row r="92" s="18" customFormat="1" ht="16.8" customHeight="1"/>
    <row r="93" s="18" customFormat="1" ht="16.8" customHeight="1"/>
    <row r="94" s="18" customFormat="1" ht="16.8" customHeight="1"/>
    <row r="95" s="18" customFormat="1" ht="16.8" customHeight="1"/>
    <row r="96" s="18" customFormat="1" ht="16.8" customHeight="1"/>
    <row r="97" s="18" customFormat="1" ht="16.8" customHeight="1"/>
    <row r="98" s="18" customFormat="1" ht="16.8" customHeight="1"/>
    <row r="99" s="18" customFormat="1" ht="16.8" customHeight="1"/>
    <row r="100" s="18" customFormat="1" ht="16.8" customHeight="1"/>
    <row r="101" s="18" customFormat="1" ht="16.8" customHeight="1"/>
    <row r="102" s="18" customFormat="1" ht="16.8" customHeight="1"/>
    <row r="103" s="18" customFormat="1" ht="16.8" customHeight="1"/>
    <row r="104" s="18" customFormat="1" ht="16.8" customHeight="1"/>
    <row r="105" s="18" customFormat="1" ht="16.8" customHeight="1"/>
    <row r="106" s="18" customFormat="1" ht="16.8" customHeight="1"/>
    <row r="107" s="18" customFormat="1" ht="16.8" customHeight="1"/>
    <row r="108" s="18" customFormat="1" ht="16.8" customHeight="1"/>
    <row r="109" s="18" customFormat="1" ht="16.8" customHeight="1"/>
    <row r="110" s="18" customFormat="1" ht="16.8" customHeight="1"/>
    <row r="111" s="18" customFormat="1" ht="16.8" customHeight="1"/>
    <row r="112" s="18" customFormat="1" ht="16.8" customHeight="1"/>
    <row r="113" s="18" customFormat="1" ht="16.8" customHeight="1"/>
    <row r="114" s="18" customFormat="1" ht="16.8" customHeight="1"/>
    <row r="115" s="18" customFormat="1" ht="16.8" customHeight="1"/>
    <row r="116" s="18" customFormat="1" ht="16.8" customHeight="1"/>
    <row r="117" s="18" customFormat="1" ht="16.8" customHeight="1"/>
    <row r="118" s="18" customFormat="1" ht="16.8" customHeight="1"/>
    <row r="119" s="18" customFormat="1" ht="16.8" customHeight="1"/>
    <row r="120" s="18" customFormat="1" ht="16.8" customHeight="1"/>
    <row r="121" s="18" customFormat="1" ht="16.8" customHeight="1"/>
    <row r="122" s="18" customFormat="1" ht="16.8" customHeight="1"/>
    <row r="123" s="18" customFormat="1" ht="16.8" customHeight="1"/>
    <row r="124" s="18" customFormat="1" ht="16.8" customHeight="1"/>
    <row r="125" s="18" customFormat="1" ht="16.8" customHeight="1"/>
    <row r="126" s="18" customFormat="1" ht="16.8" customHeight="1"/>
    <row r="127" s="18" customFormat="1" ht="16.8" customHeight="1"/>
    <row r="128" s="18" customFormat="1" ht="16.8" customHeight="1"/>
    <row r="129" s="18" customFormat="1" ht="16.8" customHeight="1"/>
    <row r="130" s="18" customFormat="1" ht="16.8" customHeight="1"/>
    <row r="131" s="18" customFormat="1" ht="16.8" customHeight="1"/>
    <row r="132" s="18" customFormat="1" ht="16.8" customHeight="1"/>
    <row r="133" s="18" customFormat="1" ht="16.8" customHeight="1"/>
    <row r="134" s="18" customFormat="1" ht="16.8" customHeight="1"/>
    <row r="135" s="18" customFormat="1" ht="16.8" customHeight="1"/>
    <row r="136" s="18" customFormat="1" ht="16.8" customHeight="1"/>
    <row r="137" s="18" customFormat="1" ht="16.8" customHeight="1"/>
    <row r="138" s="18" customFormat="1" ht="16.8" customHeight="1"/>
    <row r="139" s="18" customFormat="1" ht="16.8" customHeight="1"/>
    <row r="140" s="18" customFormat="1" ht="16.8" customHeight="1"/>
    <row r="141" s="18" customFormat="1" ht="16.8" customHeight="1"/>
    <row r="142" s="18" customFormat="1" ht="16.8" customHeight="1"/>
    <row r="143" s="18" customFormat="1" ht="16.8" customHeight="1"/>
    <row r="144" s="18" customFormat="1" ht="16.8" customHeight="1"/>
    <row r="145" s="18" customFormat="1" ht="16.8" customHeight="1"/>
    <row r="146" s="18" customFormat="1" ht="16.8" customHeight="1"/>
    <row r="147" s="18" customFormat="1" ht="16.8" customHeight="1"/>
    <row r="148" s="18" customFormat="1" ht="16.8" customHeight="1"/>
    <row r="149" s="18" customFormat="1" ht="16.8" customHeight="1"/>
    <row r="150" s="18" customFormat="1" ht="16.8" customHeight="1"/>
    <row r="151" s="18" customFormat="1" ht="16.8" customHeight="1"/>
    <row r="152" s="18" customFormat="1" ht="16.8" customHeight="1"/>
    <row r="153" s="18" customFormat="1" ht="16.8" customHeight="1"/>
    <row r="154" s="18" customFormat="1" ht="16.8" customHeight="1"/>
    <row r="155" s="18" customFormat="1" ht="16.8" customHeight="1"/>
    <row r="156" s="18" customFormat="1" ht="16.8" customHeight="1"/>
    <row r="157" s="18" customFormat="1" ht="16.8" customHeight="1"/>
    <row r="158" s="18" customFormat="1" ht="16.8" customHeight="1"/>
    <row r="159" s="18" customFormat="1" ht="16.8" customHeight="1"/>
    <row r="160" s="18" customFormat="1" ht="16.8" customHeight="1"/>
    <row r="161" s="18" customFormat="1" ht="16.8" customHeight="1"/>
    <row r="162" s="18" customFormat="1" ht="16.8" customHeight="1"/>
    <row r="163" s="18" customFormat="1" ht="16.8" customHeight="1"/>
    <row r="164" s="18" customFormat="1" ht="16.8" customHeight="1"/>
    <row r="165" s="18" customFormat="1" ht="16.8" customHeight="1"/>
    <row r="166" s="18" customFormat="1" ht="16.8" customHeight="1"/>
    <row r="167" s="18" customFormat="1" ht="16.8" customHeight="1"/>
    <row r="168" s="18" customFormat="1" ht="16.8" customHeight="1"/>
    <row r="169" s="18" customFormat="1" ht="16.8" customHeight="1"/>
    <row r="170" s="18" customFormat="1" ht="16.8" customHeight="1"/>
    <row r="171" s="18" customFormat="1" ht="16.8" customHeight="1"/>
    <row r="172" s="18" customFormat="1" ht="16.8" customHeight="1"/>
    <row r="173" s="18" customFormat="1" ht="16.8" customHeight="1"/>
    <row r="174" s="18" customFormat="1" ht="16.8" customHeight="1"/>
    <row r="175" s="18" customFormat="1" ht="16.8" customHeight="1"/>
    <row r="176" s="18" customFormat="1" ht="16.8" customHeight="1"/>
    <row r="177" s="18" customFormat="1" ht="16.8" customHeight="1"/>
    <row r="178" s="18" customFormat="1" ht="16.8" customHeight="1"/>
    <row r="179" s="18" customFormat="1" ht="16.8" customHeight="1"/>
    <row r="180" s="18" customFormat="1" ht="16.8" customHeight="1"/>
    <row r="181" s="18" customFormat="1" ht="16.8" customHeight="1"/>
    <row r="182" s="18" customFormat="1" ht="16.8" customHeight="1"/>
    <row r="183" s="18" customFormat="1" ht="16.8" customHeight="1"/>
    <row r="184" s="18" customFormat="1" ht="16.8" customHeight="1"/>
    <row r="185" s="18" customFormat="1" ht="16.8" customHeight="1"/>
    <row r="186" s="18" customFormat="1" ht="16.8" customHeight="1"/>
    <row r="187" s="18" customFormat="1" ht="16.8" customHeight="1"/>
    <row r="188" s="18" customFormat="1" ht="16.8" customHeight="1"/>
    <row r="189" s="18" customFormat="1" ht="16.8" customHeight="1"/>
    <row r="190" s="18" customFormat="1" ht="16.8" customHeight="1"/>
    <row r="191" s="18" customFormat="1" ht="16.8" customHeight="1"/>
    <row r="192" s="18" customFormat="1" ht="16.8" customHeight="1"/>
    <row r="193" s="18" customFormat="1" ht="16.8" customHeight="1"/>
    <row r="194" s="18" customFormat="1" ht="16.8" customHeight="1"/>
    <row r="195" s="18" customFormat="1" ht="16.8" customHeight="1"/>
    <row r="196" s="18" customFormat="1" ht="16.8" customHeight="1"/>
    <row r="197" s="18" customFormat="1" ht="16.8" customHeight="1"/>
    <row r="198" s="18" customFormat="1" ht="16.8" customHeight="1"/>
    <row r="199" s="18" customFormat="1" ht="16.8" customHeight="1"/>
    <row r="200" s="18" customFormat="1" ht="16.8" customHeight="1"/>
  </sheetData>
  <autoFilter ref="A1:AP7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BB41"/>
  <sheetViews>
    <sheetView workbookViewId="0"/>
  </sheetViews>
  <sheetFormatPr defaultColWidth="9.1796875" defaultRowHeight="16.8" customHeight="1"/>
  <cols>
    <col min="2" max="2" width="15" style="18" customWidth="1"/>
    <col min="9" max="9" width="20.1796875" style="18" customWidth="1"/>
    <col min="10" max="26" width="9.1796875" style="18" hidden="1" customWidth="1"/>
    <col min="27" max="27" width="18" style="18" hidden="1" customWidth="1"/>
    <col min="28" max="28" width="9.1796875" style="18" hidden="1" customWidth="1"/>
    <col min="29" max="29" width="12" style="18" hidden="1" customWidth="1"/>
    <col min="30" max="30" width="23.36328125" style="18" customWidth="1"/>
    <col min="31" max="39" width="9.1796875" style="18" customWidth="1"/>
    <col min="40" max="40" width="18.36328125" style="18" customWidth="1"/>
    <col min="41" max="41" width="24.81640625" style="18" customWidth="1"/>
    <col min="42" max="43" width="22.1796875" style="18" customWidth="1"/>
  </cols>
  <sheetData>
    <row r="1" spans="1:54" s="18" customFormat="1" ht="16.8" customHeight="1">
      <c r="A1" s="18" t="s">
        <v>1691</v>
      </c>
      <c r="B1" s="18" t="s">
        <v>1692</v>
      </c>
      <c r="C1" s="18" t="s">
        <v>1693</v>
      </c>
      <c r="D1" s="18" t="s">
        <v>1694</v>
      </c>
      <c r="E1" s="18" t="s">
        <v>1695</v>
      </c>
      <c r="F1" s="18" t="s">
        <v>1696</v>
      </c>
      <c r="G1" s="18" t="s">
        <v>1697</v>
      </c>
      <c r="H1" s="18" t="s">
        <v>1698</v>
      </c>
      <c r="I1" s="18" t="s">
        <v>1699</v>
      </c>
      <c r="J1" s="18" t="s">
        <v>1700</v>
      </c>
      <c r="K1" s="18" t="s">
        <v>1701</v>
      </c>
      <c r="L1" s="18" t="s">
        <v>1702</v>
      </c>
      <c r="M1" s="18" t="s">
        <v>1703</v>
      </c>
      <c r="N1" s="18" t="s">
        <v>1704</v>
      </c>
      <c r="O1" s="18" t="s">
        <v>1705</v>
      </c>
      <c r="P1" s="18" t="s">
        <v>1706</v>
      </c>
      <c r="Q1" s="18" t="s">
        <v>1707</v>
      </c>
      <c r="R1" s="18" t="s">
        <v>1708</v>
      </c>
      <c r="S1" s="18" t="s">
        <v>1709</v>
      </c>
      <c r="T1" s="18" t="s">
        <v>1710</v>
      </c>
      <c r="U1" s="18" t="s">
        <v>1711</v>
      </c>
      <c r="V1" s="18" t="s">
        <v>1712</v>
      </c>
      <c r="W1" s="18" t="s">
        <v>1713</v>
      </c>
      <c r="X1" s="18" t="s">
        <v>1714</v>
      </c>
      <c r="Y1" s="18" t="s">
        <v>1715</v>
      </c>
      <c r="Z1" s="18" t="s">
        <v>1716</v>
      </c>
      <c r="AA1" s="18" t="s">
        <v>1717</v>
      </c>
      <c r="AB1" s="18" t="s">
        <v>1718</v>
      </c>
      <c r="AC1" s="18" t="s">
        <v>1719</v>
      </c>
      <c r="AD1" s="18" t="s">
        <v>1720</v>
      </c>
      <c r="AE1" s="18" t="s">
        <v>1721</v>
      </c>
      <c r="AF1" s="18" t="s">
        <v>1722</v>
      </c>
      <c r="AG1" s="18" t="s">
        <v>79</v>
      </c>
      <c r="AH1" s="18" t="s">
        <v>1723</v>
      </c>
      <c r="AI1" s="18" t="s">
        <v>102</v>
      </c>
      <c r="AJ1" s="18" t="s">
        <v>104</v>
      </c>
      <c r="AK1" s="18" t="s">
        <v>1724</v>
      </c>
      <c r="AL1" s="18" t="s">
        <v>1725</v>
      </c>
      <c r="AM1" s="18" t="s">
        <v>1726</v>
      </c>
      <c r="AN1" s="18" t="s">
        <v>1727</v>
      </c>
      <c r="AO1" s="18" t="s">
        <v>1728</v>
      </c>
      <c r="AP1" s="18" t="s">
        <v>1729</v>
      </c>
      <c r="AQ1" s="18" t="s">
        <v>1805</v>
      </c>
      <c r="AR1" s="18" t="s">
        <v>1730</v>
      </c>
      <c r="AS1" s="18" t="s">
        <v>1731</v>
      </c>
      <c r="AT1" s="18" t="s">
        <v>1732</v>
      </c>
      <c r="AU1" s="18" t="s">
        <v>1733</v>
      </c>
      <c r="AX1" s="18" t="s">
        <v>1734</v>
      </c>
      <c r="AY1" s="18" t="s">
        <v>1735</v>
      </c>
      <c r="AZ1" s="18" t="s">
        <v>1736</v>
      </c>
      <c r="BA1" s="18" t="s">
        <v>1737</v>
      </c>
      <c r="BB1" s="18" t="s">
        <v>1737</v>
      </c>
    </row>
    <row r="2" spans="1:54" s="18" customFormat="1" ht="16.8" customHeight="1">
      <c r="A2" s="18" t="s">
        <v>1806</v>
      </c>
      <c r="B2" s="18" t="s">
        <v>1807</v>
      </c>
      <c r="C2" s="18" t="s">
        <v>1808</v>
      </c>
      <c r="E2" s="18" t="s">
        <v>24</v>
      </c>
      <c r="G2" s="18" t="s">
        <v>978</v>
      </c>
      <c r="I2" s="18" t="s">
        <v>1809</v>
      </c>
      <c r="K2" s="18" t="s">
        <v>1810</v>
      </c>
      <c r="M2" s="18" t="s">
        <v>1811</v>
      </c>
      <c r="Z2" s="18" t="s">
        <v>1812</v>
      </c>
      <c r="AB2" s="18" t="s">
        <v>1813</v>
      </c>
      <c r="AF2" s="18" t="s">
        <v>1814</v>
      </c>
      <c r="AG2" s="18" t="s">
        <v>651</v>
      </c>
      <c r="AH2" s="18" t="s">
        <v>1815</v>
      </c>
      <c r="AI2" s="18" t="s">
        <v>303</v>
      </c>
      <c r="AJ2" s="18" t="s">
        <v>125</v>
      </c>
      <c r="AK2" s="18" t="s">
        <v>1749</v>
      </c>
      <c r="AL2" s="18" t="s">
        <v>1808</v>
      </c>
      <c r="AM2" s="18" t="s">
        <v>1816</v>
      </c>
      <c r="AN2" s="18" t="s">
        <v>1817</v>
      </c>
      <c r="AO2" s="18" t="s">
        <v>1818</v>
      </c>
      <c r="AP2" s="18">
        <f>17500/2</f>
        <v>8750</v>
      </c>
      <c r="AQ2" s="18">
        <f>17500/2</f>
        <v>8750</v>
      </c>
      <c r="AR2" s="18">
        <v>17500</v>
      </c>
      <c r="AS2" s="18">
        <v>12</v>
      </c>
      <c r="AT2" s="18">
        <v>1</v>
      </c>
      <c r="AU2" s="89" t="s">
        <v>1819</v>
      </c>
      <c r="AZ2" s="18" t="s">
        <v>1754</v>
      </c>
    </row>
    <row r="3" spans="1:54" s="18" customFormat="1" ht="16.8" customHeight="1">
      <c r="A3" s="18" t="s">
        <v>1820</v>
      </c>
      <c r="B3" s="18">
        <v>19008184</v>
      </c>
      <c r="C3" s="18" t="s">
        <v>1821</v>
      </c>
      <c r="E3" s="18" t="s">
        <v>21</v>
      </c>
      <c r="G3" s="18" t="s">
        <v>283</v>
      </c>
      <c r="I3" s="18" t="s">
        <v>1822</v>
      </c>
      <c r="K3" s="18" t="s">
        <v>1810</v>
      </c>
      <c r="M3" s="18" t="s">
        <v>1811</v>
      </c>
      <c r="Z3" s="18" t="s">
        <v>1746</v>
      </c>
      <c r="AB3" s="18" t="s">
        <v>1823</v>
      </c>
      <c r="AF3" s="18" t="s">
        <v>1824</v>
      </c>
      <c r="AG3" s="18" t="s">
        <v>1825</v>
      </c>
      <c r="AH3" s="18" t="s">
        <v>1826</v>
      </c>
      <c r="AI3" s="18" t="s">
        <v>124</v>
      </c>
      <c r="AJ3" s="18" t="s">
        <v>125</v>
      </c>
      <c r="AK3" s="18" t="s">
        <v>1749</v>
      </c>
      <c r="AL3" s="18" t="s">
        <v>1821</v>
      </c>
      <c r="AM3" s="18" t="s">
        <v>1816</v>
      </c>
      <c r="AN3" s="18" t="s">
        <v>1827</v>
      </c>
      <c r="AO3" s="18" t="s">
        <v>1828</v>
      </c>
      <c r="AP3" s="18">
        <v>1667</v>
      </c>
      <c r="AQ3" s="18">
        <v>1667</v>
      </c>
      <c r="AR3" s="18">
        <v>2025</v>
      </c>
      <c r="AS3" s="18">
        <v>12</v>
      </c>
      <c r="AT3" s="18">
        <v>1</v>
      </c>
      <c r="AU3" s="90" t="s">
        <v>1829</v>
      </c>
      <c r="AZ3" s="18" t="s">
        <v>1754</v>
      </c>
    </row>
    <row r="4" spans="1:54" s="18" customFormat="1" ht="16.8" customHeight="1">
      <c r="A4" s="18" t="s">
        <v>1820</v>
      </c>
      <c r="B4" s="18">
        <v>19003684</v>
      </c>
      <c r="C4" s="18" t="s">
        <v>1821</v>
      </c>
      <c r="E4" s="18" t="s">
        <v>24</v>
      </c>
      <c r="G4" s="18" t="s">
        <v>290</v>
      </c>
      <c r="I4" s="18" t="s">
        <v>1822</v>
      </c>
      <c r="K4" s="18" t="s">
        <v>1810</v>
      </c>
      <c r="M4" s="18" t="s">
        <v>1811</v>
      </c>
      <c r="Z4" s="18" t="s">
        <v>1746</v>
      </c>
      <c r="AB4" s="91" t="s">
        <v>1830</v>
      </c>
      <c r="AF4" s="18" t="s">
        <v>1824</v>
      </c>
      <c r="AG4" s="18" t="s">
        <v>1676</v>
      </c>
      <c r="AH4" s="18" t="s">
        <v>1831</v>
      </c>
      <c r="AI4" s="18" t="s">
        <v>1233</v>
      </c>
      <c r="AJ4" s="18" t="s">
        <v>1832</v>
      </c>
      <c r="AK4" s="18" t="s">
        <v>1749</v>
      </c>
      <c r="AL4" s="18" t="s">
        <v>1821</v>
      </c>
      <c r="AM4" s="18" t="s">
        <v>1816</v>
      </c>
      <c r="AN4" s="18" t="s">
        <v>1833</v>
      </c>
      <c r="AO4" s="18" t="s">
        <v>1834</v>
      </c>
      <c r="AP4" s="18">
        <v>1850</v>
      </c>
      <c r="AQ4" s="18">
        <v>1850</v>
      </c>
      <c r="AR4" s="18">
        <v>2025</v>
      </c>
      <c r="AS4" s="18">
        <v>12</v>
      </c>
      <c r="AT4" s="18">
        <v>2</v>
      </c>
      <c r="AU4" s="92" t="s">
        <v>1835</v>
      </c>
      <c r="AZ4" s="18" t="s">
        <v>1754</v>
      </c>
    </row>
    <row r="5" spans="1:54" s="18" customFormat="1" ht="16.8" customHeight="1">
      <c r="A5" s="18" t="s">
        <v>1836</v>
      </c>
      <c r="B5" s="18" t="s">
        <v>1837</v>
      </c>
      <c r="C5" s="18" t="s">
        <v>1808</v>
      </c>
      <c r="E5" s="18" t="s">
        <v>19</v>
      </c>
      <c r="G5" s="18" t="s">
        <v>377</v>
      </c>
      <c r="I5" s="18" t="s">
        <v>1838</v>
      </c>
      <c r="K5" s="18" t="s">
        <v>1744</v>
      </c>
      <c r="L5" s="18" t="s">
        <v>1839</v>
      </c>
      <c r="P5" s="18" t="s">
        <v>1840</v>
      </c>
      <c r="AB5" s="18" t="s">
        <v>1841</v>
      </c>
      <c r="AF5" s="18" t="s">
        <v>1842</v>
      </c>
      <c r="AG5" s="18" t="s">
        <v>321</v>
      </c>
      <c r="AH5" s="18" t="s">
        <v>1843</v>
      </c>
      <c r="AI5" s="18" t="s">
        <v>140</v>
      </c>
      <c r="AJ5" s="18" t="s">
        <v>1844</v>
      </c>
      <c r="AK5" s="18" t="s">
        <v>1749</v>
      </c>
      <c r="AL5" s="18" t="s">
        <v>1808</v>
      </c>
      <c r="AM5" s="18" t="s">
        <v>1816</v>
      </c>
      <c r="AN5" s="18" t="s">
        <v>1845</v>
      </c>
      <c r="AO5" s="18" t="s">
        <v>1846</v>
      </c>
      <c r="AP5" s="18">
        <v>8500</v>
      </c>
      <c r="AQ5" s="18">
        <v>8500</v>
      </c>
      <c r="AR5" s="18">
        <v>2025</v>
      </c>
      <c r="AS5" s="18">
        <v>12</v>
      </c>
      <c r="AT5" s="18">
        <v>1</v>
      </c>
      <c r="AU5" s="93" t="s">
        <v>1847</v>
      </c>
      <c r="AZ5" s="18" t="s">
        <v>1754</v>
      </c>
    </row>
    <row r="6" spans="1:54" s="18" customFormat="1" ht="16.8" customHeight="1">
      <c r="A6" s="18" t="s">
        <v>1848</v>
      </c>
      <c r="B6" s="18" t="s">
        <v>1849</v>
      </c>
      <c r="C6" s="18" t="s">
        <v>1808</v>
      </c>
      <c r="E6" s="18" t="s">
        <v>21</v>
      </c>
      <c r="G6" s="18" t="s">
        <v>655</v>
      </c>
      <c r="I6" s="18" t="s">
        <v>1838</v>
      </c>
      <c r="K6" s="18" t="s">
        <v>1810</v>
      </c>
      <c r="M6" s="18" t="s">
        <v>1850</v>
      </c>
      <c r="Y6" s="18" t="s">
        <v>1851</v>
      </c>
      <c r="AB6" s="18" t="s">
        <v>1852</v>
      </c>
      <c r="AF6" s="18" t="s">
        <v>1853</v>
      </c>
      <c r="AG6" s="18" t="s">
        <v>511</v>
      </c>
      <c r="AH6" s="18" t="s">
        <v>835</v>
      </c>
      <c r="AI6" s="18" t="s">
        <v>140</v>
      </c>
      <c r="AJ6" s="18" t="s">
        <v>208</v>
      </c>
      <c r="AK6" s="18" t="s">
        <v>1749</v>
      </c>
      <c r="AL6" s="18" t="s">
        <v>1808</v>
      </c>
      <c r="AM6" s="18" t="s">
        <v>1816</v>
      </c>
      <c r="AN6" s="18" t="s">
        <v>1430</v>
      </c>
      <c r="AO6" s="18" t="s">
        <v>1434</v>
      </c>
      <c r="AP6" s="18">
        <v>46600</v>
      </c>
      <c r="AQ6" s="18">
        <v>46600</v>
      </c>
      <c r="AR6" s="18">
        <v>2025</v>
      </c>
      <c r="AS6" s="18">
        <v>12</v>
      </c>
      <c r="AT6" s="18">
        <v>6</v>
      </c>
      <c r="AU6" s="94" t="s">
        <v>1854</v>
      </c>
      <c r="AZ6" s="18" t="s">
        <v>1754</v>
      </c>
    </row>
    <row r="7" spans="1:54" s="18" customFormat="1" ht="16.8" customHeight="1">
      <c r="A7" s="18" t="s">
        <v>1855</v>
      </c>
      <c r="B7" s="18">
        <v>19014924</v>
      </c>
      <c r="C7" s="18" t="s">
        <v>583</v>
      </c>
      <c r="E7" s="18" t="s">
        <v>12</v>
      </c>
      <c r="G7" s="18" t="s">
        <v>484</v>
      </c>
      <c r="I7" s="18" t="s">
        <v>1822</v>
      </c>
      <c r="J7" s="18" t="s">
        <v>1856</v>
      </c>
      <c r="K7" s="18" t="s">
        <v>1810</v>
      </c>
      <c r="M7" s="18" t="s">
        <v>1850</v>
      </c>
      <c r="Y7" s="18" t="s">
        <v>1857</v>
      </c>
      <c r="AB7" s="18" t="s">
        <v>1858</v>
      </c>
      <c r="AC7" s="19">
        <v>5980</v>
      </c>
      <c r="AF7" s="18" t="s">
        <v>1548</v>
      </c>
      <c r="AG7" s="18" t="s">
        <v>1859</v>
      </c>
      <c r="AH7" s="18" t="s">
        <v>1860</v>
      </c>
      <c r="AI7" s="18" t="s">
        <v>124</v>
      </c>
      <c r="AJ7" s="18" t="s">
        <v>1861</v>
      </c>
      <c r="AK7" s="18" t="s">
        <v>1749</v>
      </c>
      <c r="AL7" s="18" t="s">
        <v>583</v>
      </c>
      <c r="AM7" s="18" t="s">
        <v>1750</v>
      </c>
      <c r="AN7" s="18" t="s">
        <v>1862</v>
      </c>
      <c r="AO7" s="18" t="s">
        <v>1863</v>
      </c>
      <c r="AP7" s="18">
        <v>3180</v>
      </c>
      <c r="AQ7" s="18">
        <v>3180</v>
      </c>
      <c r="AR7" s="18">
        <v>2025</v>
      </c>
      <c r="AS7" s="18">
        <v>12</v>
      </c>
      <c r="AT7" s="18">
        <v>6</v>
      </c>
      <c r="AU7" s="18" t="s">
        <v>1864</v>
      </c>
      <c r="AZ7" s="18" t="s">
        <v>1754</v>
      </c>
    </row>
    <row r="8" spans="1:54" s="18" customFormat="1" ht="16.8" customHeight="1">
      <c r="A8" s="18" t="s">
        <v>1855</v>
      </c>
      <c r="B8" s="18">
        <v>19014862</v>
      </c>
      <c r="C8" s="18" t="s">
        <v>583</v>
      </c>
      <c r="E8" s="18" t="s">
        <v>22</v>
      </c>
      <c r="G8" s="18" t="s">
        <v>820</v>
      </c>
      <c r="I8" s="18" t="s">
        <v>1822</v>
      </c>
      <c r="J8" s="18" t="s">
        <v>1856</v>
      </c>
      <c r="K8" s="18" t="s">
        <v>1744</v>
      </c>
      <c r="L8" s="18" t="s">
        <v>1839</v>
      </c>
      <c r="P8" s="18" t="s">
        <v>1857</v>
      </c>
      <c r="AB8" s="18" t="s">
        <v>1865</v>
      </c>
      <c r="AC8" s="19">
        <v>4980</v>
      </c>
      <c r="AF8" s="18" t="s">
        <v>1548</v>
      </c>
      <c r="AG8" s="18" t="s">
        <v>772</v>
      </c>
      <c r="AH8" s="18" t="s">
        <v>1512</v>
      </c>
      <c r="AI8" s="18" t="s">
        <v>140</v>
      </c>
      <c r="AJ8" s="18" t="s">
        <v>1513</v>
      </c>
      <c r="AK8" s="18" t="s">
        <v>1749</v>
      </c>
      <c r="AL8" s="18" t="s">
        <v>583</v>
      </c>
      <c r="AM8" s="18" t="s">
        <v>1750</v>
      </c>
      <c r="AN8" s="18" t="s">
        <v>1507</v>
      </c>
      <c r="AO8" s="18" t="s">
        <v>1511</v>
      </c>
      <c r="AP8" s="18">
        <v>5480</v>
      </c>
      <c r="AQ8" s="18">
        <v>5480</v>
      </c>
      <c r="AR8" s="18">
        <v>2025</v>
      </c>
      <c r="AS8" s="18">
        <v>12</v>
      </c>
      <c r="AT8" s="18">
        <v>6</v>
      </c>
      <c r="AU8" s="18" t="s">
        <v>1866</v>
      </c>
      <c r="AZ8" s="18" t="s">
        <v>1754</v>
      </c>
    </row>
    <row r="9" spans="1:54" s="18" customFormat="1" ht="16.8" customHeight="1">
      <c r="A9" s="18" t="s">
        <v>1867</v>
      </c>
      <c r="B9" s="18" t="s">
        <v>1868</v>
      </c>
      <c r="C9" s="18" t="s">
        <v>1808</v>
      </c>
      <c r="E9" s="18" t="s">
        <v>21</v>
      </c>
      <c r="G9" s="18" t="s">
        <v>283</v>
      </c>
      <c r="I9" s="18" t="s">
        <v>1838</v>
      </c>
      <c r="K9" s="18" t="s">
        <v>1810</v>
      </c>
      <c r="M9" s="18" t="s">
        <v>1850</v>
      </c>
      <c r="Y9" s="18" t="s">
        <v>1840</v>
      </c>
      <c r="AB9" s="18" t="s">
        <v>1869</v>
      </c>
      <c r="AF9" s="18" t="s">
        <v>1470</v>
      </c>
      <c r="AG9" s="18" t="s">
        <v>1870</v>
      </c>
      <c r="AH9" s="18" t="s">
        <v>1205</v>
      </c>
      <c r="AI9" s="18" t="s">
        <v>140</v>
      </c>
      <c r="AJ9" s="18" t="s">
        <v>1206</v>
      </c>
      <c r="AK9" s="18" t="s">
        <v>1749</v>
      </c>
      <c r="AL9" s="18" t="s">
        <v>1808</v>
      </c>
      <c r="AM9" s="18" t="s">
        <v>1816</v>
      </c>
      <c r="AN9" s="95" t="s">
        <v>1871</v>
      </c>
      <c r="AO9" s="18" t="s">
        <v>1872</v>
      </c>
      <c r="AP9" s="18">
        <v>9000</v>
      </c>
      <c r="AQ9" s="18">
        <v>9000</v>
      </c>
      <c r="AR9" s="18">
        <v>2025</v>
      </c>
      <c r="AS9" s="18">
        <v>12</v>
      </c>
      <c r="AT9" s="18">
        <v>13</v>
      </c>
      <c r="AU9" s="96" t="s">
        <v>1873</v>
      </c>
      <c r="AZ9" s="18" t="s">
        <v>1754</v>
      </c>
    </row>
    <row r="10" spans="1:54" s="18" customFormat="1" ht="16.8" customHeight="1">
      <c r="A10" s="18" t="s">
        <v>1874</v>
      </c>
      <c r="B10" s="18">
        <v>2025121100600</v>
      </c>
      <c r="C10" s="18" t="s">
        <v>1875</v>
      </c>
      <c r="E10" s="18" t="s">
        <v>22</v>
      </c>
      <c r="G10" s="18" t="s">
        <v>377</v>
      </c>
      <c r="I10" s="18" t="s">
        <v>1838</v>
      </c>
      <c r="J10" s="18" t="s">
        <v>1856</v>
      </c>
      <c r="K10" s="18" t="s">
        <v>1810</v>
      </c>
      <c r="M10" s="18" t="s">
        <v>1811</v>
      </c>
      <c r="Z10" s="18" t="s">
        <v>1876</v>
      </c>
      <c r="AB10" s="18" t="s">
        <v>1877</v>
      </c>
      <c r="AC10" s="19">
        <v>7000</v>
      </c>
      <c r="AF10" s="18" t="s">
        <v>1377</v>
      </c>
      <c r="AG10" s="18" t="s">
        <v>278</v>
      </c>
      <c r="AH10" s="18" t="s">
        <v>367</v>
      </c>
      <c r="AI10" s="18" t="s">
        <v>124</v>
      </c>
      <c r="AJ10" s="18" t="s">
        <v>1408</v>
      </c>
      <c r="AK10" s="18" t="s">
        <v>1749</v>
      </c>
      <c r="AL10" s="18" t="s">
        <v>1875</v>
      </c>
      <c r="AM10" s="18" t="s">
        <v>1750</v>
      </c>
      <c r="AN10" s="18" t="s">
        <v>1403</v>
      </c>
      <c r="AO10" s="18" t="s">
        <v>1407</v>
      </c>
      <c r="AP10" s="18">
        <v>7000</v>
      </c>
      <c r="AQ10" s="18">
        <v>7000</v>
      </c>
      <c r="AR10" s="18">
        <v>2025</v>
      </c>
      <c r="AS10" s="18">
        <v>12</v>
      </c>
      <c r="AT10" s="18">
        <v>11</v>
      </c>
      <c r="AU10" s="18" t="s">
        <v>1878</v>
      </c>
      <c r="AZ10" s="18" t="s">
        <v>1754</v>
      </c>
    </row>
    <row r="11" spans="1:54" s="18" customFormat="1" ht="16.8" customHeight="1">
      <c r="A11" s="18" t="s">
        <v>1879</v>
      </c>
      <c r="B11" s="18" t="s">
        <v>1880</v>
      </c>
      <c r="C11" s="18" t="s">
        <v>1808</v>
      </c>
      <c r="E11" s="18" t="s">
        <v>12</v>
      </c>
      <c r="G11" s="18" t="s">
        <v>255</v>
      </c>
      <c r="I11" s="18" t="s">
        <v>1838</v>
      </c>
      <c r="K11" s="18" t="s">
        <v>1810</v>
      </c>
      <c r="M11" s="18" t="s">
        <v>1850</v>
      </c>
      <c r="Y11" s="18" t="s">
        <v>1857</v>
      </c>
      <c r="AB11" s="18" t="s">
        <v>1881</v>
      </c>
      <c r="AF11" s="18" t="s">
        <v>217</v>
      </c>
      <c r="AG11" s="18" t="s">
        <v>195</v>
      </c>
      <c r="AH11" s="18" t="s">
        <v>682</v>
      </c>
      <c r="AI11" s="18" t="s">
        <v>124</v>
      </c>
      <c r="AJ11" s="18" t="s">
        <v>1319</v>
      </c>
      <c r="AK11" s="18" t="s">
        <v>1749</v>
      </c>
      <c r="AL11" s="18" t="s">
        <v>1808</v>
      </c>
      <c r="AM11" s="18" t="s">
        <v>1816</v>
      </c>
      <c r="AN11" s="18" t="s">
        <v>1882</v>
      </c>
      <c r="AO11" s="18" t="s">
        <v>1883</v>
      </c>
      <c r="AP11" s="18">
        <v>8500</v>
      </c>
      <c r="AQ11" s="18">
        <v>8500</v>
      </c>
      <c r="AR11" s="18">
        <v>2025</v>
      </c>
      <c r="AS11" s="18">
        <v>12</v>
      </c>
      <c r="AT11" s="18">
        <v>15</v>
      </c>
      <c r="AU11" s="97" t="s">
        <v>1884</v>
      </c>
      <c r="AZ11" s="18" t="s">
        <v>1754</v>
      </c>
    </row>
    <row r="12" spans="1:54" s="18" customFormat="1" ht="16.8" customHeight="1">
      <c r="A12" s="18" t="s">
        <v>1879</v>
      </c>
      <c r="C12" s="18" t="s">
        <v>1821</v>
      </c>
      <c r="E12" s="18" t="s">
        <v>22</v>
      </c>
      <c r="F12" s="18" t="s">
        <v>1754</v>
      </c>
      <c r="G12" s="18" t="s">
        <v>290</v>
      </c>
      <c r="I12" s="18" t="s">
        <v>1822</v>
      </c>
      <c r="AD12" s="18">
        <v>5874</v>
      </c>
      <c r="AE12" s="98" t="s">
        <v>1885</v>
      </c>
      <c r="AF12" s="18" t="s">
        <v>217</v>
      </c>
      <c r="AK12" s="18" t="s">
        <v>1670</v>
      </c>
      <c r="AL12" s="18" t="s">
        <v>1886</v>
      </c>
      <c r="AN12" s="18" t="s">
        <v>1320</v>
      </c>
      <c r="AO12" s="18" t="s">
        <v>1323</v>
      </c>
      <c r="AP12" s="18">
        <v>5874</v>
      </c>
      <c r="AQ12" s="18">
        <v>5874</v>
      </c>
      <c r="AR12" s="18">
        <v>2025</v>
      </c>
      <c r="AS12" s="18">
        <v>12</v>
      </c>
      <c r="AT12" s="18">
        <v>12</v>
      </c>
      <c r="AU12" s="18" t="s">
        <v>1887</v>
      </c>
      <c r="AZ12" s="18" t="s">
        <v>1754</v>
      </c>
    </row>
    <row r="13" spans="1:54" s="18" customFormat="1" ht="16.8" customHeight="1">
      <c r="A13" s="18" t="s">
        <v>1888</v>
      </c>
      <c r="B13" s="18">
        <v>2025120700786</v>
      </c>
      <c r="C13" s="18" t="s">
        <v>1875</v>
      </c>
      <c r="E13" s="18" t="s">
        <v>22</v>
      </c>
      <c r="G13" s="18" t="s">
        <v>377</v>
      </c>
      <c r="I13" s="18" t="s">
        <v>1838</v>
      </c>
      <c r="K13" s="18" t="s">
        <v>1810</v>
      </c>
      <c r="M13" s="18" t="s">
        <v>1811</v>
      </c>
      <c r="Z13" s="18" t="s">
        <v>1746</v>
      </c>
      <c r="AB13" s="18" t="s">
        <v>1889</v>
      </c>
      <c r="AF13" s="18" t="s">
        <v>243</v>
      </c>
      <c r="AG13" s="18" t="s">
        <v>462</v>
      </c>
      <c r="AH13" s="18" t="s">
        <v>462</v>
      </c>
      <c r="AI13" s="18" t="s">
        <v>462</v>
      </c>
      <c r="AJ13" s="18" t="s">
        <v>462</v>
      </c>
      <c r="AK13" s="18" t="s">
        <v>1749</v>
      </c>
      <c r="AL13" s="18" t="s">
        <v>1875</v>
      </c>
      <c r="AM13" s="18" t="s">
        <v>1816</v>
      </c>
      <c r="AN13" s="18" t="s">
        <v>1301</v>
      </c>
      <c r="AO13" s="18" t="s">
        <v>1305</v>
      </c>
      <c r="AP13" s="18">
        <v>2600</v>
      </c>
      <c r="AQ13" s="18">
        <v>2600</v>
      </c>
      <c r="AR13" s="18">
        <v>2025</v>
      </c>
      <c r="AS13" s="18">
        <v>12</v>
      </c>
      <c r="AT13" s="18">
        <v>19</v>
      </c>
      <c r="AU13" s="99" t="s">
        <v>1890</v>
      </c>
      <c r="AZ13" s="18" t="s">
        <v>1754</v>
      </c>
    </row>
    <row r="14" spans="1:54" s="18" customFormat="1" ht="16.8" customHeight="1">
      <c r="A14" s="18" t="s">
        <v>1888</v>
      </c>
      <c r="B14" s="18">
        <v>2025120700725</v>
      </c>
      <c r="C14" s="18" t="s">
        <v>1875</v>
      </c>
      <c r="E14" s="18" t="s">
        <v>12</v>
      </c>
      <c r="G14" s="18" t="s">
        <v>377</v>
      </c>
      <c r="I14" s="18" t="s">
        <v>1838</v>
      </c>
      <c r="K14" s="18" t="s">
        <v>1744</v>
      </c>
      <c r="L14" s="18" t="s">
        <v>1745</v>
      </c>
      <c r="O14" s="18" t="s">
        <v>1746</v>
      </c>
      <c r="AB14" s="18" t="s">
        <v>1891</v>
      </c>
      <c r="AF14" s="18" t="s">
        <v>243</v>
      </c>
      <c r="AG14" s="18" t="s">
        <v>1367</v>
      </c>
      <c r="AH14" s="18" t="s">
        <v>595</v>
      </c>
      <c r="AI14" s="18" t="s">
        <v>140</v>
      </c>
      <c r="AJ14" s="18" t="s">
        <v>595</v>
      </c>
      <c r="AK14" s="18" t="s">
        <v>1749</v>
      </c>
      <c r="AL14" s="18" t="s">
        <v>1875</v>
      </c>
      <c r="AM14" s="18" t="s">
        <v>1816</v>
      </c>
      <c r="AN14" s="18" t="s">
        <v>1892</v>
      </c>
      <c r="AO14" s="18" t="s">
        <v>1893</v>
      </c>
      <c r="AP14" s="18">
        <v>47400</v>
      </c>
      <c r="AQ14" s="18">
        <v>47400</v>
      </c>
      <c r="AR14" s="18">
        <v>2025</v>
      </c>
      <c r="AS14" s="18">
        <v>12</v>
      </c>
      <c r="AT14" s="18">
        <v>17</v>
      </c>
      <c r="AU14" s="100" t="s">
        <v>1894</v>
      </c>
      <c r="AZ14" s="18" t="s">
        <v>1754</v>
      </c>
    </row>
    <row r="15" spans="1:54" s="18" customFormat="1" ht="16.8" customHeight="1">
      <c r="A15" s="18" t="s">
        <v>1888</v>
      </c>
      <c r="B15" s="18">
        <v>2025120401585</v>
      </c>
      <c r="C15" s="18" t="s">
        <v>1875</v>
      </c>
      <c r="E15" s="18" t="s">
        <v>22</v>
      </c>
      <c r="G15" s="18" t="s">
        <v>407</v>
      </c>
      <c r="I15" s="18" t="s">
        <v>1838</v>
      </c>
      <c r="K15" s="18" t="s">
        <v>1810</v>
      </c>
      <c r="M15" s="18" t="s">
        <v>1811</v>
      </c>
      <c r="Z15" s="18" t="s">
        <v>1746</v>
      </c>
      <c r="AB15" s="18" t="s">
        <v>1895</v>
      </c>
      <c r="AF15" s="18" t="s">
        <v>243</v>
      </c>
      <c r="AG15" s="18" t="s">
        <v>462</v>
      </c>
      <c r="AH15" s="18" t="s">
        <v>462</v>
      </c>
      <c r="AI15" s="18" t="s">
        <v>140</v>
      </c>
      <c r="AJ15" s="18" t="s">
        <v>462</v>
      </c>
      <c r="AK15" s="18" t="s">
        <v>1749</v>
      </c>
      <c r="AL15" s="18" t="s">
        <v>1875</v>
      </c>
      <c r="AM15" s="18" t="s">
        <v>1816</v>
      </c>
      <c r="AN15" s="18" t="s">
        <v>1896</v>
      </c>
      <c r="AO15" s="18" t="s">
        <v>1897</v>
      </c>
      <c r="AP15" s="18">
        <v>52000</v>
      </c>
      <c r="AQ15" s="18">
        <v>52000</v>
      </c>
      <c r="AR15" s="18">
        <v>2025</v>
      </c>
      <c r="AS15" s="18">
        <v>12</v>
      </c>
      <c r="AT15" s="18">
        <v>15</v>
      </c>
      <c r="AU15" s="101" t="s">
        <v>1898</v>
      </c>
      <c r="AZ15" s="18" t="s">
        <v>1754</v>
      </c>
    </row>
    <row r="16" spans="1:54" s="18" customFormat="1" ht="16.8" customHeight="1">
      <c r="A16" s="18" t="s">
        <v>1899</v>
      </c>
      <c r="B16" s="18">
        <v>19019033</v>
      </c>
      <c r="C16" s="18" t="s">
        <v>583</v>
      </c>
      <c r="E16" s="18" t="s">
        <v>22</v>
      </c>
      <c r="G16" s="18" t="s">
        <v>353</v>
      </c>
      <c r="I16" s="18" t="s">
        <v>1822</v>
      </c>
      <c r="K16" s="18" t="s">
        <v>1810</v>
      </c>
      <c r="M16" s="18" t="s">
        <v>1811</v>
      </c>
      <c r="Z16" s="18" t="s">
        <v>1900</v>
      </c>
      <c r="AB16" s="18" t="s">
        <v>1901</v>
      </c>
      <c r="AF16" s="18" t="s">
        <v>1207</v>
      </c>
      <c r="AG16" s="18" t="s">
        <v>1902</v>
      </c>
      <c r="AH16" s="18" t="s">
        <v>1902</v>
      </c>
      <c r="AI16" s="18" t="s">
        <v>1902</v>
      </c>
      <c r="AJ16" s="18" t="s">
        <v>1902</v>
      </c>
      <c r="AK16" s="18" t="s">
        <v>1749</v>
      </c>
      <c r="AL16" s="18" t="s">
        <v>583</v>
      </c>
      <c r="AM16" s="18" t="s">
        <v>1816</v>
      </c>
      <c r="AN16" s="18" t="s">
        <v>1903</v>
      </c>
      <c r="AO16" s="18" t="s">
        <v>1904</v>
      </c>
      <c r="AP16" s="18">
        <v>738</v>
      </c>
      <c r="AQ16" s="18">
        <v>738</v>
      </c>
      <c r="AR16" s="18">
        <v>2025</v>
      </c>
      <c r="AS16" s="18">
        <v>12</v>
      </c>
      <c r="AT16" s="18">
        <v>15</v>
      </c>
      <c r="AU16" s="102" t="s">
        <v>1905</v>
      </c>
      <c r="AZ16" s="18" t="s">
        <v>1754</v>
      </c>
    </row>
    <row r="17" spans="1:52" s="18" customFormat="1" ht="16.8" customHeight="1">
      <c r="A17" s="18" t="s">
        <v>1899</v>
      </c>
      <c r="B17" s="18">
        <v>19027404</v>
      </c>
      <c r="C17" s="18" t="s">
        <v>1821</v>
      </c>
      <c r="E17" s="18" t="s">
        <v>24</v>
      </c>
      <c r="G17" s="18" t="s">
        <v>1906</v>
      </c>
      <c r="I17" s="18" t="s">
        <v>1822</v>
      </c>
      <c r="J17" s="18" t="s">
        <v>1856</v>
      </c>
      <c r="K17" s="18" t="s">
        <v>1744</v>
      </c>
      <c r="L17" s="18" t="s">
        <v>1745</v>
      </c>
      <c r="O17" s="18" t="s">
        <v>1746</v>
      </c>
      <c r="AB17" s="18" t="s">
        <v>1907</v>
      </c>
      <c r="AC17" s="19">
        <v>15800</v>
      </c>
      <c r="AF17" s="18" t="s">
        <v>1207</v>
      </c>
      <c r="AG17" s="18" t="s">
        <v>1225</v>
      </c>
      <c r="AH17" s="18" t="s">
        <v>418</v>
      </c>
      <c r="AI17" s="18" t="s">
        <v>140</v>
      </c>
      <c r="AJ17" s="18" t="s">
        <v>125</v>
      </c>
      <c r="AK17" s="18" t="s">
        <v>1749</v>
      </c>
      <c r="AL17" s="18" t="s">
        <v>1821</v>
      </c>
      <c r="AM17" s="18" t="s">
        <v>1750</v>
      </c>
      <c r="AN17" s="18" t="s">
        <v>1220</v>
      </c>
      <c r="AO17" s="18" t="s">
        <v>1224</v>
      </c>
      <c r="AP17" s="18">
        <v>6180</v>
      </c>
      <c r="AQ17" s="18">
        <v>6180</v>
      </c>
      <c r="AR17" s="18">
        <v>2025</v>
      </c>
      <c r="AS17" s="18">
        <v>12</v>
      </c>
      <c r="AT17" s="18">
        <v>15</v>
      </c>
      <c r="AU17" s="103" t="s">
        <v>1908</v>
      </c>
      <c r="AZ17" s="18" t="s">
        <v>1754</v>
      </c>
    </row>
    <row r="18" spans="1:52" s="18" customFormat="1" ht="16.8" customHeight="1">
      <c r="A18" s="18" t="s">
        <v>1909</v>
      </c>
      <c r="C18" s="18" t="s">
        <v>583</v>
      </c>
      <c r="E18" s="18" t="s">
        <v>19</v>
      </c>
      <c r="G18" s="18" t="s">
        <v>1910</v>
      </c>
      <c r="I18" s="18" t="s">
        <v>1822</v>
      </c>
      <c r="AD18" s="18">
        <v>5580</v>
      </c>
      <c r="AE18" s="18" t="s">
        <v>1911</v>
      </c>
      <c r="AF18" s="18" t="s">
        <v>187</v>
      </c>
      <c r="AK18" s="18" t="s">
        <v>1670</v>
      </c>
      <c r="AL18" s="18" t="s">
        <v>583</v>
      </c>
      <c r="AN18" s="18" t="s">
        <v>188</v>
      </c>
      <c r="AO18" s="18" t="s">
        <v>194</v>
      </c>
      <c r="AP18" s="18">
        <v>5580</v>
      </c>
      <c r="AQ18" s="18">
        <v>5580</v>
      </c>
      <c r="AR18" s="18">
        <v>2025</v>
      </c>
      <c r="AS18" s="18">
        <v>12</v>
      </c>
      <c r="AT18" s="18">
        <v>16</v>
      </c>
      <c r="AU18" s="18" t="s">
        <v>1912</v>
      </c>
      <c r="AZ18" s="18" t="s">
        <v>1754</v>
      </c>
    </row>
    <row r="19" spans="1:52" s="18" customFormat="1" ht="16.8" customHeight="1">
      <c r="A19" s="18" t="s">
        <v>1909</v>
      </c>
      <c r="C19" s="18" t="s">
        <v>583</v>
      </c>
      <c r="E19" s="18" t="s">
        <v>19</v>
      </c>
      <c r="G19" s="18" t="s">
        <v>1910</v>
      </c>
      <c r="I19" s="18" t="s">
        <v>1822</v>
      </c>
      <c r="AD19" s="18">
        <v>5480</v>
      </c>
      <c r="AE19" s="18" t="s">
        <v>1913</v>
      </c>
      <c r="AF19" s="18" t="s">
        <v>187</v>
      </c>
      <c r="AK19" s="18" t="s">
        <v>1670</v>
      </c>
      <c r="AL19" s="18" t="s">
        <v>583</v>
      </c>
      <c r="AN19" s="18" t="s">
        <v>210</v>
      </c>
      <c r="AO19" s="18" t="s">
        <v>213</v>
      </c>
      <c r="AP19" s="18">
        <v>5480</v>
      </c>
      <c r="AQ19" s="18">
        <v>5480</v>
      </c>
      <c r="AR19" s="18">
        <v>2025</v>
      </c>
      <c r="AS19" s="18">
        <v>12</v>
      </c>
      <c r="AT19" s="18">
        <v>16</v>
      </c>
      <c r="AU19" s="18" t="s">
        <v>1912</v>
      </c>
      <c r="AZ19" s="18" t="s">
        <v>1754</v>
      </c>
    </row>
    <row r="20" spans="1:52" s="18" customFormat="1" ht="16.8" customHeight="1">
      <c r="A20" s="18" t="s">
        <v>1909</v>
      </c>
      <c r="C20" s="18" t="s">
        <v>583</v>
      </c>
      <c r="E20" s="18" t="s">
        <v>19</v>
      </c>
      <c r="G20" s="18" t="s">
        <v>1914</v>
      </c>
      <c r="I20" s="18" t="s">
        <v>1822</v>
      </c>
      <c r="AD20" s="18">
        <v>5780</v>
      </c>
      <c r="AE20" s="18" t="s">
        <v>1915</v>
      </c>
      <c r="AF20" s="18" t="s">
        <v>187</v>
      </c>
      <c r="AK20" s="18" t="s">
        <v>1670</v>
      </c>
      <c r="AL20" s="18" t="s">
        <v>583</v>
      </c>
      <c r="AN20" s="18" t="s">
        <v>198</v>
      </c>
      <c r="AO20" s="18" t="s">
        <v>204</v>
      </c>
      <c r="AP20" s="18">
        <v>5780</v>
      </c>
      <c r="AQ20" s="18">
        <v>5780</v>
      </c>
      <c r="AR20" s="18">
        <v>2025</v>
      </c>
      <c r="AS20" s="18">
        <v>12</v>
      </c>
      <c r="AT20" s="18">
        <v>16</v>
      </c>
      <c r="AU20" s="18" t="s">
        <v>1912</v>
      </c>
      <c r="AZ20" s="18" t="s">
        <v>1754</v>
      </c>
    </row>
    <row r="21" spans="1:52" s="18" customFormat="1" ht="16.8" customHeight="1">
      <c r="A21" s="18" t="s">
        <v>1909</v>
      </c>
      <c r="C21" s="18" t="s">
        <v>583</v>
      </c>
      <c r="E21" s="18" t="s">
        <v>22</v>
      </c>
      <c r="G21" s="18" t="s">
        <v>1200</v>
      </c>
      <c r="I21" s="18" t="s">
        <v>1822</v>
      </c>
      <c r="AD21" s="18">
        <v>5874</v>
      </c>
      <c r="AE21" s="18" t="s">
        <v>1916</v>
      </c>
      <c r="AF21" s="18" t="s">
        <v>187</v>
      </c>
      <c r="AK21" s="18" t="s">
        <v>1670</v>
      </c>
      <c r="AL21" s="18" t="s">
        <v>583</v>
      </c>
      <c r="AN21" s="18" t="s">
        <v>1199</v>
      </c>
      <c r="AO21" s="18" t="s">
        <v>1203</v>
      </c>
      <c r="AP21" s="18">
        <v>5874</v>
      </c>
      <c r="AQ21" s="18">
        <v>6480</v>
      </c>
      <c r="AR21" s="18">
        <v>2025</v>
      </c>
      <c r="AS21" s="18">
        <v>12</v>
      </c>
      <c r="AT21" s="18">
        <v>16</v>
      </c>
      <c r="AU21" s="18" t="s">
        <v>1912</v>
      </c>
      <c r="AZ21" s="18" t="s">
        <v>1754</v>
      </c>
    </row>
    <row r="22" spans="1:52" s="18" customFormat="1" ht="16.8" customHeight="1">
      <c r="A22" s="18" t="s">
        <v>1909</v>
      </c>
      <c r="C22" s="18" t="s">
        <v>583</v>
      </c>
      <c r="E22" s="18" t="s">
        <v>20</v>
      </c>
      <c r="G22" s="18" t="s">
        <v>1041</v>
      </c>
      <c r="I22" s="18" t="s">
        <v>1822</v>
      </c>
      <c r="AD22" s="18">
        <v>6480</v>
      </c>
      <c r="AE22" s="18" t="s">
        <v>1916</v>
      </c>
      <c r="AF22" s="18" t="s">
        <v>187</v>
      </c>
      <c r="AK22" s="18" t="s">
        <v>1670</v>
      </c>
      <c r="AL22" s="18" t="s">
        <v>583</v>
      </c>
      <c r="AN22" s="18" t="s">
        <v>1683</v>
      </c>
      <c r="AO22" s="18" t="s">
        <v>1686</v>
      </c>
      <c r="AP22" s="18">
        <v>5680</v>
      </c>
      <c r="AQ22" s="18">
        <v>6480</v>
      </c>
      <c r="AR22" s="18">
        <v>2025</v>
      </c>
      <c r="AS22" s="18">
        <v>12</v>
      </c>
      <c r="AT22" s="18">
        <v>16</v>
      </c>
      <c r="AU22" s="18" t="s">
        <v>1912</v>
      </c>
      <c r="AZ22" s="18" t="s">
        <v>1754</v>
      </c>
    </row>
    <row r="23" spans="1:52" s="18" customFormat="1" ht="16.8" customHeight="1">
      <c r="A23" s="18" t="s">
        <v>1909</v>
      </c>
      <c r="C23" s="18" t="s">
        <v>583</v>
      </c>
      <c r="E23" s="18" t="s">
        <v>22</v>
      </c>
      <c r="G23" s="18" t="s">
        <v>377</v>
      </c>
      <c r="I23" s="18" t="s">
        <v>1822</v>
      </c>
      <c r="AD23" s="18">
        <v>5874</v>
      </c>
      <c r="AE23" s="18" t="s">
        <v>1916</v>
      </c>
      <c r="AF23" s="18" t="s">
        <v>187</v>
      </c>
      <c r="AK23" s="18" t="s">
        <v>1670</v>
      </c>
      <c r="AL23" s="18" t="s">
        <v>583</v>
      </c>
      <c r="AN23" s="18" t="s">
        <v>1194</v>
      </c>
      <c r="AO23" s="18" t="s">
        <v>1198</v>
      </c>
      <c r="AP23" s="18">
        <v>5874</v>
      </c>
      <c r="AQ23" s="18">
        <v>6480</v>
      </c>
      <c r="AR23" s="18">
        <v>2025</v>
      </c>
      <c r="AS23" s="18">
        <v>12</v>
      </c>
      <c r="AT23" s="18">
        <v>16</v>
      </c>
      <c r="AU23" s="18" t="s">
        <v>1912</v>
      </c>
      <c r="AZ23" s="18" t="s">
        <v>1754</v>
      </c>
    </row>
    <row r="24" spans="1:52" s="18" customFormat="1" ht="16.8" customHeight="1">
      <c r="A24" s="18" t="s">
        <v>1917</v>
      </c>
      <c r="C24" s="18" t="s">
        <v>583</v>
      </c>
      <c r="E24" s="18" t="s">
        <v>22</v>
      </c>
      <c r="F24" s="18" t="s">
        <v>1754</v>
      </c>
      <c r="G24" s="18" t="s">
        <v>283</v>
      </c>
      <c r="I24" s="18" t="s">
        <v>1822</v>
      </c>
      <c r="AD24" s="18">
        <v>19800</v>
      </c>
      <c r="AE24" s="104" t="s">
        <v>1918</v>
      </c>
      <c r="AF24" s="18" t="s">
        <v>1148</v>
      </c>
      <c r="AK24" s="18" t="s">
        <v>1670</v>
      </c>
      <c r="AL24" s="18" t="s">
        <v>1886</v>
      </c>
      <c r="AN24" s="18" t="s">
        <v>1168</v>
      </c>
      <c r="AO24" s="18" t="s">
        <v>1171</v>
      </c>
      <c r="AP24" s="18">
        <v>19800</v>
      </c>
      <c r="AQ24" s="18">
        <v>19800</v>
      </c>
      <c r="AR24" s="18">
        <v>2025</v>
      </c>
      <c r="AS24" s="18">
        <v>12</v>
      </c>
      <c r="AT24" s="18">
        <v>17</v>
      </c>
      <c r="AU24" s="18" t="s">
        <v>1887</v>
      </c>
      <c r="AZ24" s="18" t="s">
        <v>1754</v>
      </c>
    </row>
    <row r="25" spans="1:52" s="18" customFormat="1" ht="16.8" customHeight="1">
      <c r="A25" s="18" t="s">
        <v>1919</v>
      </c>
      <c r="B25" s="18" t="s">
        <v>1920</v>
      </c>
      <c r="C25" s="18" t="s">
        <v>1808</v>
      </c>
      <c r="E25" s="18" t="s">
        <v>22</v>
      </c>
      <c r="G25" s="18" t="s">
        <v>377</v>
      </c>
      <c r="I25" s="18" t="s">
        <v>1838</v>
      </c>
      <c r="K25" s="18" t="s">
        <v>1744</v>
      </c>
      <c r="L25" s="18" t="s">
        <v>1745</v>
      </c>
      <c r="O25" s="18" t="s">
        <v>1876</v>
      </c>
      <c r="AB25" s="18" t="s">
        <v>1921</v>
      </c>
      <c r="AF25" s="18" t="s">
        <v>175</v>
      </c>
      <c r="AG25" s="18" t="s">
        <v>811</v>
      </c>
      <c r="AH25" s="18" t="s">
        <v>1037</v>
      </c>
      <c r="AI25" s="18" t="s">
        <v>140</v>
      </c>
      <c r="AJ25" s="18" t="s">
        <v>448</v>
      </c>
      <c r="AK25" s="18" t="s">
        <v>1749</v>
      </c>
      <c r="AL25" s="18" t="s">
        <v>1808</v>
      </c>
      <c r="AM25" s="18" t="s">
        <v>1816</v>
      </c>
      <c r="AN25" s="18" t="s">
        <v>1922</v>
      </c>
      <c r="AO25" s="18" t="s">
        <v>1923</v>
      </c>
      <c r="AP25" s="18">
        <v>0</v>
      </c>
      <c r="AQ25" s="18">
        <v>1800</v>
      </c>
      <c r="AR25" s="18">
        <v>2025</v>
      </c>
      <c r="AS25" s="18">
        <v>12</v>
      </c>
      <c r="AT25" s="18">
        <v>27</v>
      </c>
      <c r="AU25" s="105" t="s">
        <v>1924</v>
      </c>
      <c r="AZ25" s="18" t="s">
        <v>1754</v>
      </c>
    </row>
    <row r="26" spans="1:52" s="18" customFormat="1" ht="16.8" customHeight="1">
      <c r="A26" s="18" t="s">
        <v>1925</v>
      </c>
      <c r="C26" s="18" t="s">
        <v>1821</v>
      </c>
      <c r="E26" s="18" t="s">
        <v>12</v>
      </c>
      <c r="G26" s="18" t="s">
        <v>353</v>
      </c>
      <c r="I26" s="18" t="s">
        <v>1822</v>
      </c>
      <c r="AD26" s="18">
        <v>19300</v>
      </c>
      <c r="AE26" s="18" t="s">
        <v>1926</v>
      </c>
      <c r="AF26" s="18" t="s">
        <v>911</v>
      </c>
      <c r="AK26" s="18" t="s">
        <v>1670</v>
      </c>
      <c r="AL26" s="18" t="s">
        <v>1821</v>
      </c>
      <c r="AN26" s="18" t="s">
        <v>937</v>
      </c>
      <c r="AO26" s="18" t="s">
        <v>940</v>
      </c>
      <c r="AP26" s="18">
        <v>19300</v>
      </c>
      <c r="AQ26" s="18">
        <v>19300</v>
      </c>
      <c r="AR26" s="18">
        <v>2025</v>
      </c>
      <c r="AS26" s="18">
        <v>12</v>
      </c>
      <c r="AT26" s="18">
        <v>23</v>
      </c>
      <c r="AU26" s="18" t="s">
        <v>1887</v>
      </c>
      <c r="AZ26" s="18" t="s">
        <v>1754</v>
      </c>
    </row>
    <row r="27" spans="1:52" s="18" customFormat="1" ht="16.8" customHeight="1">
      <c r="A27" s="18" t="s">
        <v>1925</v>
      </c>
      <c r="C27" s="18" t="s">
        <v>1821</v>
      </c>
      <c r="E27" s="18" t="s">
        <v>20</v>
      </c>
      <c r="F27" s="18" t="s">
        <v>1754</v>
      </c>
      <c r="G27" s="18" t="s">
        <v>236</v>
      </c>
      <c r="I27" s="18" t="s">
        <v>1822</v>
      </c>
      <c r="AD27" s="18">
        <v>19300</v>
      </c>
      <c r="AE27" s="18" t="s">
        <v>1927</v>
      </c>
      <c r="AF27" s="18" t="s">
        <v>911</v>
      </c>
      <c r="AK27" s="18" t="s">
        <v>1670</v>
      </c>
      <c r="AL27" s="18" t="s">
        <v>20</v>
      </c>
      <c r="AN27" s="106" t="s">
        <v>1928</v>
      </c>
      <c r="AO27" s="18" t="s">
        <v>593</v>
      </c>
      <c r="AP27" s="18">
        <v>19300</v>
      </c>
      <c r="AQ27" s="18">
        <v>19300</v>
      </c>
      <c r="AR27" s="18">
        <v>2025</v>
      </c>
      <c r="AS27" s="18">
        <v>12</v>
      </c>
      <c r="AT27" s="18">
        <v>23</v>
      </c>
      <c r="AU27" s="18" t="s">
        <v>1887</v>
      </c>
      <c r="AZ27" s="18" t="s">
        <v>1754</v>
      </c>
    </row>
    <row r="28" spans="1:52" s="18" customFormat="1" ht="16.8" customHeight="1">
      <c r="A28" s="18" t="s">
        <v>1925</v>
      </c>
      <c r="C28" s="18" t="s">
        <v>1821</v>
      </c>
      <c r="E28" s="18" t="s">
        <v>22</v>
      </c>
      <c r="G28" s="18" t="s">
        <v>255</v>
      </c>
      <c r="I28" s="18" t="s">
        <v>1822</v>
      </c>
      <c r="AD28" s="18">
        <v>18800</v>
      </c>
      <c r="AE28" s="107" t="s">
        <v>1929</v>
      </c>
      <c r="AF28" s="18" t="s">
        <v>911</v>
      </c>
      <c r="AK28" s="18" t="s">
        <v>1670</v>
      </c>
      <c r="AL28" s="18" t="s">
        <v>1821</v>
      </c>
      <c r="AN28" s="18" t="s">
        <v>926</v>
      </c>
      <c r="AO28" s="18" t="s">
        <v>930</v>
      </c>
      <c r="AP28" s="18">
        <v>18800</v>
      </c>
      <c r="AQ28" s="18">
        <v>18800</v>
      </c>
      <c r="AR28" s="18">
        <v>2025</v>
      </c>
      <c r="AS28" s="18">
        <v>12</v>
      </c>
      <c r="AT28" s="18">
        <v>23</v>
      </c>
      <c r="AU28" s="18" t="s">
        <v>1887</v>
      </c>
      <c r="AZ28" s="18" t="s">
        <v>1754</v>
      </c>
    </row>
    <row r="29" spans="1:52" s="18" customFormat="1" ht="16.8" customHeight="1">
      <c r="A29" s="18" t="s">
        <v>1930</v>
      </c>
      <c r="C29" s="18" t="s">
        <v>1821</v>
      </c>
      <c r="E29" s="18" t="s">
        <v>22</v>
      </c>
      <c r="G29" s="18" t="s">
        <v>1910</v>
      </c>
      <c r="I29" s="18" t="s">
        <v>1822</v>
      </c>
      <c r="AD29" s="18">
        <v>19600</v>
      </c>
      <c r="AE29" s="108" t="s">
        <v>1929</v>
      </c>
      <c r="AF29" s="18" t="s">
        <v>145</v>
      </c>
      <c r="AK29" s="18" t="s">
        <v>1670</v>
      </c>
      <c r="AL29" s="18" t="s">
        <v>1821</v>
      </c>
      <c r="AN29" s="18" t="s">
        <v>146</v>
      </c>
      <c r="AO29" s="18" t="s">
        <v>153</v>
      </c>
      <c r="AP29" s="18">
        <v>19600</v>
      </c>
      <c r="AQ29" s="18">
        <v>19600</v>
      </c>
      <c r="AR29" s="18">
        <v>2025</v>
      </c>
      <c r="AS29" s="18">
        <v>12</v>
      </c>
      <c r="AT29" s="18">
        <v>25</v>
      </c>
      <c r="AU29" s="109" t="s">
        <v>1931</v>
      </c>
      <c r="AZ29" s="18" t="s">
        <v>1754</v>
      </c>
    </row>
    <row r="30" spans="1:52" s="18" customFormat="1" ht="16.8" customHeight="1">
      <c r="A30" s="18" t="s">
        <v>1930</v>
      </c>
      <c r="C30" s="18" t="s">
        <v>1821</v>
      </c>
      <c r="E30" s="18" t="s">
        <v>22</v>
      </c>
      <c r="G30" s="18" t="s">
        <v>255</v>
      </c>
      <c r="I30" s="18" t="s">
        <v>1822</v>
      </c>
      <c r="AD30" s="18">
        <v>19800</v>
      </c>
      <c r="AE30" s="110" t="s">
        <v>1929</v>
      </c>
      <c r="AF30" s="18" t="s">
        <v>145</v>
      </c>
      <c r="AK30" s="18" t="s">
        <v>1670</v>
      </c>
      <c r="AL30" s="18" t="s">
        <v>1821</v>
      </c>
      <c r="AN30" s="18" t="s">
        <v>148</v>
      </c>
      <c r="AO30" s="18" t="s">
        <v>845</v>
      </c>
      <c r="AP30" s="18">
        <v>19800</v>
      </c>
      <c r="AQ30" s="18">
        <v>19800</v>
      </c>
      <c r="AR30" s="18">
        <v>2025</v>
      </c>
      <c r="AS30" s="18">
        <v>12</v>
      </c>
      <c r="AT30" s="18">
        <v>25</v>
      </c>
      <c r="AU30" s="111" t="s">
        <v>1931</v>
      </c>
      <c r="AZ30" s="18" t="s">
        <v>1754</v>
      </c>
    </row>
    <row r="31" spans="1:52" s="18" customFormat="1" ht="16.8" customHeight="1">
      <c r="A31" s="18" t="s">
        <v>1738</v>
      </c>
      <c r="C31" s="18" t="s">
        <v>583</v>
      </c>
      <c r="E31" s="18" t="s">
        <v>12</v>
      </c>
      <c r="G31" s="18" t="s">
        <v>290</v>
      </c>
      <c r="H31" s="18" t="s">
        <v>289</v>
      </c>
      <c r="I31" s="18" t="s">
        <v>1822</v>
      </c>
      <c r="AD31" s="18">
        <v>5832</v>
      </c>
      <c r="AE31" s="18" t="s">
        <v>1932</v>
      </c>
      <c r="AF31" s="18" t="s">
        <v>775</v>
      </c>
      <c r="AK31" s="18" t="s">
        <v>1670</v>
      </c>
      <c r="AL31" s="18" t="s">
        <v>583</v>
      </c>
      <c r="AN31" s="18" t="s">
        <v>807</v>
      </c>
      <c r="AO31" s="18" t="s">
        <v>810</v>
      </c>
      <c r="AP31" s="18">
        <v>5832</v>
      </c>
      <c r="AQ31" s="18">
        <v>5832</v>
      </c>
      <c r="AR31" s="18">
        <v>2025</v>
      </c>
      <c r="AS31" s="18">
        <v>12</v>
      </c>
      <c r="AT31" s="18">
        <v>26</v>
      </c>
      <c r="AU31" s="18" t="s">
        <v>1887</v>
      </c>
      <c r="AZ31" s="18" t="s">
        <v>1754</v>
      </c>
    </row>
    <row r="32" spans="1:52" s="18" customFormat="1" ht="16.8" customHeight="1">
      <c r="A32" s="18" t="s">
        <v>1738</v>
      </c>
      <c r="C32" s="18" t="s">
        <v>583</v>
      </c>
      <c r="E32" s="18" t="s">
        <v>21</v>
      </c>
      <c r="G32" s="18" t="s">
        <v>255</v>
      </c>
      <c r="I32" s="18" t="s">
        <v>1822</v>
      </c>
      <c r="AD32" s="18">
        <v>6067</v>
      </c>
      <c r="AE32" s="18" t="s">
        <v>1933</v>
      </c>
      <c r="AF32" s="18" t="s">
        <v>775</v>
      </c>
      <c r="AK32" s="18" t="s">
        <v>1670</v>
      </c>
      <c r="AL32" s="18" t="s">
        <v>583</v>
      </c>
      <c r="AN32" s="18" t="s">
        <v>812</v>
      </c>
      <c r="AO32" s="18" t="s">
        <v>816</v>
      </c>
      <c r="AP32" s="18">
        <v>6067</v>
      </c>
      <c r="AQ32" s="18">
        <v>6067</v>
      </c>
      <c r="AR32" s="18">
        <v>2025</v>
      </c>
      <c r="AS32" s="18">
        <v>12</v>
      </c>
      <c r="AT32" s="18">
        <v>26</v>
      </c>
      <c r="AU32" s="18" t="s">
        <v>1887</v>
      </c>
      <c r="AZ32" s="18" t="s">
        <v>1754</v>
      </c>
    </row>
    <row r="33" spans="1:52" s="18" customFormat="1" ht="16.8" customHeight="1">
      <c r="A33" s="18" t="s">
        <v>1738</v>
      </c>
      <c r="C33" s="18" t="s">
        <v>583</v>
      </c>
      <c r="E33" s="18" t="s">
        <v>24</v>
      </c>
      <c r="G33" s="18" t="s">
        <v>484</v>
      </c>
      <c r="I33" s="18" t="s">
        <v>1822</v>
      </c>
      <c r="AD33" s="18">
        <v>6180</v>
      </c>
      <c r="AE33" s="18" t="s">
        <v>1933</v>
      </c>
      <c r="AF33" s="18" t="s">
        <v>775</v>
      </c>
      <c r="AK33" s="18" t="s">
        <v>1670</v>
      </c>
      <c r="AL33" s="18" t="s">
        <v>583</v>
      </c>
      <c r="AN33" s="18" t="s">
        <v>1669</v>
      </c>
      <c r="AO33" s="18" t="s">
        <v>1674</v>
      </c>
      <c r="AP33" s="18">
        <v>6180</v>
      </c>
      <c r="AQ33" s="18">
        <v>6180</v>
      </c>
      <c r="AR33" s="18">
        <v>2025</v>
      </c>
      <c r="AS33" s="18">
        <v>12</v>
      </c>
      <c r="AT33" s="18">
        <v>26</v>
      </c>
      <c r="AU33" s="18" t="s">
        <v>1887</v>
      </c>
      <c r="AZ33" s="18" t="s">
        <v>1754</v>
      </c>
    </row>
    <row r="34" spans="1:52" s="18" customFormat="1" ht="16.8" customHeight="1">
      <c r="A34" s="18" t="s">
        <v>1738</v>
      </c>
      <c r="C34" s="18" t="s">
        <v>583</v>
      </c>
      <c r="E34" s="18" t="s">
        <v>12</v>
      </c>
      <c r="G34" s="18" t="s">
        <v>820</v>
      </c>
      <c r="H34" s="18" t="s">
        <v>396</v>
      </c>
      <c r="I34" s="18" t="s">
        <v>1822</v>
      </c>
      <c r="AD34" s="18">
        <v>5980</v>
      </c>
      <c r="AE34" s="18" t="s">
        <v>1934</v>
      </c>
      <c r="AF34" s="18" t="s">
        <v>775</v>
      </c>
      <c r="AK34" s="18" t="s">
        <v>1670</v>
      </c>
      <c r="AL34" s="18" t="s">
        <v>583</v>
      </c>
      <c r="AN34" s="18" t="s">
        <v>818</v>
      </c>
      <c r="AO34" s="18" t="s">
        <v>823</v>
      </c>
      <c r="AP34" s="18">
        <v>5980</v>
      </c>
      <c r="AQ34" s="18">
        <v>5980</v>
      </c>
      <c r="AR34" s="18">
        <v>2025</v>
      </c>
      <c r="AS34" s="18">
        <v>12</v>
      </c>
      <c r="AT34" s="18">
        <v>26</v>
      </c>
      <c r="AU34" s="18" t="s">
        <v>1887</v>
      </c>
      <c r="AZ34" s="18" t="s">
        <v>1754</v>
      </c>
    </row>
    <row r="35" spans="1:52" s="18" customFormat="1" ht="16.8" customHeight="1">
      <c r="A35" s="18" t="s">
        <v>1935</v>
      </c>
      <c r="B35" s="18">
        <v>18989266</v>
      </c>
      <c r="C35" s="18" t="s">
        <v>1821</v>
      </c>
      <c r="E35" s="18" t="s">
        <v>22</v>
      </c>
      <c r="G35" s="18" t="s">
        <v>290</v>
      </c>
      <c r="H35" s="18" t="s">
        <v>1425</v>
      </c>
      <c r="I35" s="18" t="s">
        <v>1822</v>
      </c>
      <c r="J35" s="18" t="s">
        <v>1856</v>
      </c>
      <c r="K35" s="18" t="s">
        <v>1810</v>
      </c>
      <c r="M35" s="18" t="s">
        <v>1811</v>
      </c>
      <c r="Z35" s="18" t="s">
        <v>1936</v>
      </c>
      <c r="AB35" s="18" t="s">
        <v>1937</v>
      </c>
      <c r="AC35" s="19">
        <v>2130</v>
      </c>
      <c r="AF35" s="18" t="s">
        <v>297</v>
      </c>
      <c r="AG35" s="18" t="s">
        <v>1938</v>
      </c>
      <c r="AH35" s="18" t="s">
        <v>314</v>
      </c>
      <c r="AI35" s="18" t="s">
        <v>140</v>
      </c>
      <c r="AJ35" s="18" t="s">
        <v>1939</v>
      </c>
      <c r="AK35" s="18" t="s">
        <v>1749</v>
      </c>
      <c r="AL35" s="18" t="s">
        <v>1821</v>
      </c>
      <c r="AM35" s="18" t="s">
        <v>1750</v>
      </c>
      <c r="AN35" s="18" t="s">
        <v>1940</v>
      </c>
      <c r="AO35" s="18" t="s">
        <v>1941</v>
      </c>
      <c r="AP35" s="18">
        <v>2130</v>
      </c>
      <c r="AQ35" s="18">
        <v>2130</v>
      </c>
      <c r="AR35" s="18">
        <v>2025</v>
      </c>
      <c r="AS35" s="18">
        <v>12</v>
      </c>
      <c r="AT35" s="18">
        <v>30</v>
      </c>
      <c r="AU35" s="18" t="s">
        <v>1864</v>
      </c>
      <c r="AZ35" s="18" t="s">
        <v>1754</v>
      </c>
    </row>
    <row r="36" spans="1:52" s="18" customFormat="1" ht="16.8" customHeight="1">
      <c r="A36" s="18" t="s">
        <v>1942</v>
      </c>
      <c r="B36" s="18">
        <v>19035541</v>
      </c>
      <c r="C36" s="18" t="s">
        <v>583</v>
      </c>
      <c r="E36" s="18" t="s">
        <v>22</v>
      </c>
      <c r="G36" s="18" t="s">
        <v>1910</v>
      </c>
      <c r="I36" s="18" t="s">
        <v>1822</v>
      </c>
      <c r="K36" s="18" t="s">
        <v>1744</v>
      </c>
      <c r="L36" s="18" t="s">
        <v>1839</v>
      </c>
      <c r="P36" s="18" t="s">
        <v>1857</v>
      </c>
      <c r="AB36" s="18" t="s">
        <v>1943</v>
      </c>
      <c r="AF36" s="18" t="s">
        <v>514</v>
      </c>
      <c r="AG36" s="18" t="s">
        <v>225</v>
      </c>
      <c r="AH36" s="18" t="s">
        <v>252</v>
      </c>
      <c r="AI36" s="18" t="s">
        <v>140</v>
      </c>
      <c r="AJ36" s="18" t="s">
        <v>174</v>
      </c>
      <c r="AK36" s="18" t="s">
        <v>1749</v>
      </c>
      <c r="AL36" s="18" t="s">
        <v>583</v>
      </c>
      <c r="AM36" s="18" t="s">
        <v>1816</v>
      </c>
      <c r="AN36" s="18" t="s">
        <v>1944</v>
      </c>
      <c r="AO36" s="18" t="s">
        <v>1945</v>
      </c>
      <c r="AP36" s="18">
        <v>19300</v>
      </c>
      <c r="AQ36" s="18">
        <v>19300</v>
      </c>
      <c r="AR36" s="18">
        <v>2025</v>
      </c>
      <c r="AS36" s="18">
        <v>12</v>
      </c>
      <c r="AT36" s="18">
        <v>30</v>
      </c>
      <c r="AU36" s="18" t="s">
        <v>1946</v>
      </c>
      <c r="AZ36" s="18" t="s">
        <v>1754</v>
      </c>
    </row>
    <row r="37" spans="1:52" s="18" customFormat="1" ht="16.8" customHeight="1">
      <c r="A37" s="18" t="s">
        <v>1942</v>
      </c>
      <c r="C37" s="18" t="s">
        <v>1821</v>
      </c>
      <c r="E37" s="18" t="s">
        <v>22</v>
      </c>
      <c r="G37" s="18" t="s">
        <v>247</v>
      </c>
      <c r="I37" s="18" t="s">
        <v>1822</v>
      </c>
      <c r="AD37" s="18">
        <v>5832</v>
      </c>
      <c r="AE37" s="18" t="s">
        <v>1947</v>
      </c>
      <c r="AF37" s="18" t="s">
        <v>514</v>
      </c>
      <c r="AK37" s="18" t="s">
        <v>1670</v>
      </c>
      <c r="AL37" s="18" t="s">
        <v>1821</v>
      </c>
      <c r="AN37" s="18" t="s">
        <v>523</v>
      </c>
      <c r="AO37" s="18" t="s">
        <v>527</v>
      </c>
      <c r="AP37" s="18">
        <v>5832</v>
      </c>
      <c r="AQ37" s="18">
        <v>5832</v>
      </c>
      <c r="AR37" s="18">
        <v>2025</v>
      </c>
      <c r="AS37" s="18">
        <v>12</v>
      </c>
      <c r="AT37" s="18">
        <v>30</v>
      </c>
      <c r="AU37" s="18" t="s">
        <v>1887</v>
      </c>
      <c r="AZ37" s="18" t="s">
        <v>1754</v>
      </c>
    </row>
    <row r="38" spans="1:52" s="18" customFormat="1" ht="16.8" customHeight="1">
      <c r="A38" s="18" t="s">
        <v>1942</v>
      </c>
      <c r="C38" s="18" t="s">
        <v>1821</v>
      </c>
      <c r="E38" s="18" t="s">
        <v>20</v>
      </c>
      <c r="G38" s="18" t="s">
        <v>236</v>
      </c>
      <c r="I38" s="18" t="s">
        <v>1822</v>
      </c>
      <c r="AD38" s="18">
        <v>19300</v>
      </c>
      <c r="AE38" s="18" t="s">
        <v>1948</v>
      </c>
      <c r="AF38" s="18" t="s">
        <v>514</v>
      </c>
      <c r="AK38" s="18" t="s">
        <v>1670</v>
      </c>
      <c r="AL38" s="18" t="s">
        <v>1821</v>
      </c>
      <c r="AN38" s="18" t="s">
        <v>590</v>
      </c>
      <c r="AO38" s="18" t="s">
        <v>593</v>
      </c>
      <c r="AP38" s="18">
        <v>19300</v>
      </c>
      <c r="AQ38" s="18">
        <v>19300</v>
      </c>
      <c r="AR38" s="18">
        <v>2025</v>
      </c>
      <c r="AS38" s="18">
        <v>12</v>
      </c>
      <c r="AT38" s="18">
        <v>30</v>
      </c>
      <c r="AU38" s="18" t="s">
        <v>1887</v>
      </c>
      <c r="AZ38" s="18" t="s">
        <v>1754</v>
      </c>
    </row>
    <row r="39" spans="1:52" s="18" customFormat="1" ht="16.8" customHeight="1">
      <c r="A39" s="18" t="s">
        <v>1949</v>
      </c>
      <c r="B39" s="18">
        <v>19044338</v>
      </c>
      <c r="C39" s="18" t="s">
        <v>1950</v>
      </c>
      <c r="E39" s="18" t="s">
        <v>21</v>
      </c>
      <c r="G39" s="18" t="s">
        <v>247</v>
      </c>
      <c r="I39" s="18" t="s">
        <v>1822</v>
      </c>
      <c r="J39" s="18" t="s">
        <v>1856</v>
      </c>
      <c r="K39" s="18" t="s">
        <v>1744</v>
      </c>
      <c r="L39" s="18" t="s">
        <v>1951</v>
      </c>
      <c r="Q39" s="18" t="s">
        <v>1952</v>
      </c>
      <c r="AB39" s="18" t="s">
        <v>1953</v>
      </c>
      <c r="AC39" s="19">
        <v>31000</v>
      </c>
      <c r="AF39" s="18" t="s">
        <v>110</v>
      </c>
      <c r="AG39" s="18" t="s">
        <v>495</v>
      </c>
      <c r="AH39" s="18" t="s">
        <v>676</v>
      </c>
      <c r="AI39" s="18" t="s">
        <v>303</v>
      </c>
      <c r="AJ39" s="18" t="s">
        <v>496</v>
      </c>
      <c r="AK39" s="18" t="s">
        <v>1749</v>
      </c>
      <c r="AL39" s="18" t="s">
        <v>1950</v>
      </c>
      <c r="AM39" s="18" t="s">
        <v>1750</v>
      </c>
      <c r="AN39" s="18" t="s">
        <v>489</v>
      </c>
      <c r="AO39" s="18" t="s">
        <v>493</v>
      </c>
      <c r="AP39" s="18">
        <v>5382</v>
      </c>
      <c r="AQ39" s="18">
        <v>5382</v>
      </c>
      <c r="AR39" s="18">
        <v>2025</v>
      </c>
      <c r="AS39" s="18">
        <v>12</v>
      </c>
      <c r="AT39" s="18">
        <v>31</v>
      </c>
      <c r="AU39" s="18" t="s">
        <v>1864</v>
      </c>
      <c r="AZ39" s="18" t="s">
        <v>1754</v>
      </c>
    </row>
    <row r="40" spans="1:52" s="18" customFormat="1" ht="16.8" customHeight="1">
      <c r="A40" s="18" t="s">
        <v>1949</v>
      </c>
      <c r="B40" s="18">
        <v>2025121701108</v>
      </c>
      <c r="C40" s="18" t="s">
        <v>1875</v>
      </c>
      <c r="E40" s="18" t="s">
        <v>21</v>
      </c>
      <c r="G40" s="18" t="s">
        <v>290</v>
      </c>
      <c r="H40" s="18" t="s">
        <v>1425</v>
      </c>
      <c r="I40" s="18" t="s">
        <v>1838</v>
      </c>
      <c r="K40" s="18" t="s">
        <v>1810</v>
      </c>
      <c r="M40" s="18" t="s">
        <v>1811</v>
      </c>
      <c r="Z40" s="18" t="s">
        <v>1746</v>
      </c>
      <c r="AB40" s="18" t="s">
        <v>1954</v>
      </c>
      <c r="AF40" s="18" t="s">
        <v>110</v>
      </c>
      <c r="AG40" s="18" t="s">
        <v>1955</v>
      </c>
      <c r="AH40" s="18" t="s">
        <v>1956</v>
      </c>
      <c r="AI40" s="18" t="s">
        <v>140</v>
      </c>
      <c r="AJ40" s="18" t="s">
        <v>1957</v>
      </c>
      <c r="AK40" s="18" t="s">
        <v>1749</v>
      </c>
      <c r="AL40" s="18" t="s">
        <v>1875</v>
      </c>
      <c r="AM40" s="18" t="s">
        <v>1816</v>
      </c>
      <c r="AN40" s="18" t="s">
        <v>1958</v>
      </c>
      <c r="AO40" s="18" t="s">
        <v>1959</v>
      </c>
      <c r="AP40" s="18">
        <v>28800</v>
      </c>
      <c r="AQ40" s="18">
        <v>28800</v>
      </c>
      <c r="AR40" s="18">
        <v>2025</v>
      </c>
      <c r="AS40" s="18">
        <v>12</v>
      </c>
      <c r="AT40" s="18">
        <v>31</v>
      </c>
      <c r="AU40" s="18" t="s">
        <v>1946</v>
      </c>
      <c r="AZ40" s="18" t="s">
        <v>1754</v>
      </c>
    </row>
    <row r="41" spans="1:52" s="18" customFormat="1" ht="16.8" customHeight="1">
      <c r="A41" s="18" t="s">
        <v>1806</v>
      </c>
      <c r="B41" s="18" t="s">
        <v>1807</v>
      </c>
      <c r="C41" s="18" t="s">
        <v>1808</v>
      </c>
      <c r="E41" s="18" t="s">
        <v>19</v>
      </c>
      <c r="G41" s="18" t="s">
        <v>978</v>
      </c>
      <c r="I41" s="18" t="s">
        <v>1809</v>
      </c>
      <c r="L41" s="18" t="s">
        <v>1814</v>
      </c>
      <c r="M41" s="18" t="s">
        <v>651</v>
      </c>
      <c r="N41" s="18" t="s">
        <v>1815</v>
      </c>
      <c r="O41" s="18" t="s">
        <v>303</v>
      </c>
      <c r="P41" s="18" t="s">
        <v>125</v>
      </c>
      <c r="Q41" s="18" t="s">
        <v>1749</v>
      </c>
      <c r="R41" s="18" t="s">
        <v>1808</v>
      </c>
      <c r="S41" s="18" t="s">
        <v>1816</v>
      </c>
      <c r="T41" s="18" t="s">
        <v>1817</v>
      </c>
      <c r="U41" s="18" t="s">
        <v>1818</v>
      </c>
      <c r="V41" s="18">
        <v>8750</v>
      </c>
      <c r="W41" s="18">
        <v>2025</v>
      </c>
      <c r="X41" s="18">
        <v>12</v>
      </c>
      <c r="Y41" s="18">
        <v>1</v>
      </c>
      <c r="Z41" s="112" t="s">
        <v>1819</v>
      </c>
      <c r="AE41" s="18" t="s">
        <v>1754</v>
      </c>
    </row>
  </sheetData>
  <autoFilter ref="A1:BB41"/>
  <phoneticPr fontId="1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6"/>
  <sheetViews>
    <sheetView topLeftCell="A5" workbookViewId="0">
      <selection activeCell="M22" sqref="M22"/>
    </sheetView>
  </sheetViews>
  <sheetFormatPr defaultColWidth="9.1796875" defaultRowHeight="16.8" customHeight="1"/>
  <cols>
    <col min="4" max="4" width="10.453125" style="18"/>
    <col min="5" max="5" width="14.453125" style="18"/>
    <col min="6" max="6" width="11.81640625" style="18"/>
    <col min="8" max="8" width="14.453125" style="18"/>
    <col min="15" max="15" width="16.453125" style="18" customWidth="1"/>
    <col min="16" max="16" width="15.36328125" style="18"/>
    <col min="17" max="17" width="16.81640625" style="18"/>
    <col min="19" max="19" width="14.453125" style="18"/>
    <col min="20" max="20" width="11.81640625" style="18" customWidth="1"/>
  </cols>
  <sheetData>
    <row r="1" spans="1:20" ht="18.75" customHeight="1">
      <c r="A1" s="130" t="s">
        <v>1960</v>
      </c>
      <c r="B1" s="131"/>
      <c r="C1" s="131"/>
      <c r="D1" s="131"/>
      <c r="E1" s="131"/>
      <c r="F1" s="131"/>
      <c r="G1" s="131"/>
      <c r="H1" s="131"/>
      <c r="I1" s="132"/>
      <c r="L1" s="130" t="s">
        <v>1961</v>
      </c>
      <c r="M1" s="131"/>
      <c r="N1" s="131"/>
      <c r="O1" s="131"/>
      <c r="P1" s="131"/>
      <c r="Q1" s="131"/>
      <c r="R1" s="131"/>
      <c r="S1" s="131"/>
      <c r="T1" s="132"/>
    </row>
    <row r="2" spans="1:20" ht="16.8" customHeight="1">
      <c r="A2" s="138" t="s">
        <v>28</v>
      </c>
      <c r="B2" s="138" t="s">
        <v>29</v>
      </c>
      <c r="C2" s="129" t="s">
        <v>30</v>
      </c>
      <c r="D2" s="126" t="s">
        <v>31</v>
      </c>
      <c r="E2" s="127"/>
      <c r="F2" s="127"/>
      <c r="G2" s="127"/>
      <c r="H2" s="127"/>
      <c r="I2" s="128"/>
      <c r="L2" s="138" t="s">
        <v>28</v>
      </c>
      <c r="M2" s="138" t="s">
        <v>29</v>
      </c>
      <c r="N2" s="129" t="s">
        <v>30</v>
      </c>
      <c r="O2" s="126" t="s">
        <v>31</v>
      </c>
      <c r="P2" s="127"/>
      <c r="Q2" s="127"/>
      <c r="R2" s="127"/>
      <c r="S2" s="127"/>
      <c r="T2" s="128"/>
    </row>
    <row r="3" spans="1:20" ht="16.8" customHeight="1">
      <c r="A3" s="139"/>
      <c r="B3" s="139"/>
      <c r="C3" s="129"/>
      <c r="D3" s="2" t="s">
        <v>35</v>
      </c>
      <c r="E3" s="3" t="s">
        <v>36</v>
      </c>
      <c r="F3" s="3" t="s">
        <v>37</v>
      </c>
      <c r="G3" s="4" t="s">
        <v>1962</v>
      </c>
      <c r="H3" s="5" t="s">
        <v>38</v>
      </c>
      <c r="I3" s="6" t="s">
        <v>39</v>
      </c>
      <c r="L3" s="139"/>
      <c r="M3" s="139"/>
      <c r="N3" s="129"/>
      <c r="O3" s="2" t="s">
        <v>1963</v>
      </c>
      <c r="P3" s="3" t="s">
        <v>36</v>
      </c>
      <c r="Q3" s="3" t="s">
        <v>37</v>
      </c>
      <c r="R3" s="4" t="s">
        <v>1962</v>
      </c>
      <c r="S3" s="5" t="s">
        <v>38</v>
      </c>
      <c r="T3" s="6" t="s">
        <v>39</v>
      </c>
    </row>
    <row r="4" spans="1:20" ht="16.8" customHeight="1">
      <c r="A4" s="117" t="s">
        <v>56</v>
      </c>
      <c r="B4" s="118"/>
      <c r="C4" s="7" t="s">
        <v>12</v>
      </c>
      <c r="D4" s="8">
        <v>480000</v>
      </c>
      <c r="E4" s="8">
        <v>810505.15</v>
      </c>
      <c r="F4" s="8">
        <v>188387.8</v>
      </c>
      <c r="G4" s="9">
        <v>2730</v>
      </c>
      <c r="H4" s="9">
        <f>E4-F4+G4</f>
        <v>624847.35000000009</v>
      </c>
      <c r="I4" s="10">
        <f t="shared" ref="I4:I9" si="0">H4/D4</f>
        <v>1.3017653125000002</v>
      </c>
      <c r="L4" s="117" t="s">
        <v>56</v>
      </c>
      <c r="M4" s="118"/>
      <c r="N4" s="7" t="s">
        <v>12</v>
      </c>
      <c r="O4" s="8">
        <f t="shared" ref="O4:Q9" si="1">D4+D18+D30</f>
        <v>1164500</v>
      </c>
      <c r="P4" s="8">
        <f t="shared" si="1"/>
        <v>1687531.65</v>
      </c>
      <c r="Q4" s="8">
        <f t="shared" si="1"/>
        <v>324513.90000000002</v>
      </c>
      <c r="R4" s="9">
        <v>2730</v>
      </c>
      <c r="S4" s="9">
        <f t="shared" ref="S4:S9" si="2">P4-Q4+R4</f>
        <v>1365747.75</v>
      </c>
      <c r="T4" s="10">
        <f t="shared" ref="T4:T11" si="3">S4/O4</f>
        <v>1.1728190210390725</v>
      </c>
    </row>
    <row r="5" spans="1:20" ht="16.8" customHeight="1">
      <c r="A5" s="119"/>
      <c r="B5" s="120"/>
      <c r="C5" s="7" t="s">
        <v>19</v>
      </c>
      <c r="D5" s="8">
        <v>480000</v>
      </c>
      <c r="E5" s="8">
        <v>705889</v>
      </c>
      <c r="F5" s="8">
        <v>111034</v>
      </c>
      <c r="G5" s="11"/>
      <c r="H5" s="9">
        <f t="shared" ref="H5:H10" si="4">E5-F5</f>
        <v>594855</v>
      </c>
      <c r="I5" s="10">
        <f t="shared" si="0"/>
        <v>1.2392812499999999</v>
      </c>
      <c r="L5" s="119"/>
      <c r="M5" s="120"/>
      <c r="N5" s="7" t="s">
        <v>19</v>
      </c>
      <c r="O5" s="8">
        <f t="shared" si="1"/>
        <v>1187000</v>
      </c>
      <c r="P5" s="8">
        <f t="shared" si="1"/>
        <v>1131319.6499999999</v>
      </c>
      <c r="Q5" s="8">
        <f t="shared" si="1"/>
        <v>165457.9</v>
      </c>
      <c r="R5" s="11"/>
      <c r="S5" s="9">
        <f t="shared" si="2"/>
        <v>965861.74999999988</v>
      </c>
      <c r="T5" s="10">
        <f t="shared" si="3"/>
        <v>0.81369987363100238</v>
      </c>
    </row>
    <row r="6" spans="1:20" ht="16.8" customHeight="1">
      <c r="A6" s="119"/>
      <c r="B6" s="120"/>
      <c r="C6" s="12" t="s">
        <v>20</v>
      </c>
      <c r="D6" s="8">
        <v>480000</v>
      </c>
      <c r="E6" s="8">
        <v>565662.5</v>
      </c>
      <c r="F6" s="8">
        <v>27310</v>
      </c>
      <c r="G6" s="11"/>
      <c r="H6" s="9">
        <f t="shared" si="4"/>
        <v>538352.5</v>
      </c>
      <c r="I6" s="10">
        <f t="shared" si="0"/>
        <v>1.1215677083333333</v>
      </c>
      <c r="L6" s="119"/>
      <c r="M6" s="120"/>
      <c r="N6" s="12" t="s">
        <v>20</v>
      </c>
      <c r="O6" s="8">
        <f t="shared" si="1"/>
        <v>1187000</v>
      </c>
      <c r="P6" s="8">
        <f t="shared" si="1"/>
        <v>870210.5</v>
      </c>
      <c r="Q6" s="8">
        <f t="shared" si="1"/>
        <v>90252</v>
      </c>
      <c r="R6" s="11"/>
      <c r="S6" s="9">
        <f t="shared" si="2"/>
        <v>779958.5</v>
      </c>
      <c r="T6" s="10">
        <f t="shared" si="3"/>
        <v>0.6570838247683235</v>
      </c>
    </row>
    <row r="7" spans="1:20" ht="16.8" customHeight="1">
      <c r="A7" s="119"/>
      <c r="B7" s="120"/>
      <c r="C7" s="12" t="s">
        <v>21</v>
      </c>
      <c r="D7" s="8">
        <v>480000</v>
      </c>
      <c r="E7" s="8">
        <v>617994</v>
      </c>
      <c r="F7" s="8">
        <v>32802.800000000003</v>
      </c>
      <c r="G7" s="11"/>
      <c r="H7" s="9">
        <f t="shared" si="4"/>
        <v>585191.19999999995</v>
      </c>
      <c r="I7" s="10">
        <f t="shared" si="0"/>
        <v>1.2191483333333333</v>
      </c>
      <c r="L7" s="119"/>
      <c r="M7" s="120"/>
      <c r="N7" s="12" t="s">
        <v>21</v>
      </c>
      <c r="O7" s="8">
        <f t="shared" si="1"/>
        <v>1164500</v>
      </c>
      <c r="P7" s="8">
        <f t="shared" si="1"/>
        <v>1312919.1000000001</v>
      </c>
      <c r="Q7" s="8">
        <f t="shared" si="1"/>
        <v>81535.100000000006</v>
      </c>
      <c r="R7" s="11"/>
      <c r="S7" s="9">
        <f t="shared" si="2"/>
        <v>1231384</v>
      </c>
      <c r="T7" s="10">
        <f t="shared" si="3"/>
        <v>1.0574358093602405</v>
      </c>
    </row>
    <row r="8" spans="1:20" ht="16.8" customHeight="1">
      <c r="A8" s="119"/>
      <c r="B8" s="120"/>
      <c r="C8" s="12" t="s">
        <v>22</v>
      </c>
      <c r="D8" s="8">
        <v>480000</v>
      </c>
      <c r="E8" s="8">
        <v>790137</v>
      </c>
      <c r="F8" s="8">
        <v>95780</v>
      </c>
      <c r="G8" s="11"/>
      <c r="H8" s="9">
        <f t="shared" si="4"/>
        <v>694357</v>
      </c>
      <c r="I8" s="10">
        <f t="shared" si="0"/>
        <v>1.4465770833333333</v>
      </c>
      <c r="L8" s="119"/>
      <c r="M8" s="120"/>
      <c r="N8" s="12" t="s">
        <v>22</v>
      </c>
      <c r="O8" s="8">
        <f t="shared" si="1"/>
        <v>1164500</v>
      </c>
      <c r="P8" s="8">
        <f t="shared" si="1"/>
        <v>1686870.65</v>
      </c>
      <c r="Q8" s="8">
        <f t="shared" si="1"/>
        <v>176598</v>
      </c>
      <c r="R8" s="11"/>
      <c r="S8" s="9">
        <f t="shared" si="2"/>
        <v>1510272.65</v>
      </c>
      <c r="T8" s="10">
        <f t="shared" si="3"/>
        <v>1.296927994847574</v>
      </c>
    </row>
    <row r="9" spans="1:20" ht="16.8" customHeight="1">
      <c r="A9" s="119"/>
      <c r="B9" s="120"/>
      <c r="C9" s="12" t="s">
        <v>24</v>
      </c>
      <c r="D9" s="8">
        <v>240000</v>
      </c>
      <c r="E9" s="8">
        <v>440432</v>
      </c>
      <c r="F9" s="8">
        <v>79000</v>
      </c>
      <c r="G9" s="11"/>
      <c r="H9" s="9">
        <f t="shared" si="4"/>
        <v>361432</v>
      </c>
      <c r="I9" s="10">
        <f t="shared" si="0"/>
        <v>1.5059666666666667</v>
      </c>
      <c r="L9" s="119"/>
      <c r="M9" s="120"/>
      <c r="N9" s="12" t="s">
        <v>24</v>
      </c>
      <c r="O9" s="8">
        <f t="shared" si="1"/>
        <v>822500</v>
      </c>
      <c r="P9" s="8">
        <f t="shared" si="1"/>
        <v>767284</v>
      </c>
      <c r="Q9" s="8">
        <f t="shared" si="1"/>
        <v>149516.29999999999</v>
      </c>
      <c r="R9" s="11"/>
      <c r="S9" s="9">
        <f t="shared" si="2"/>
        <v>617767.69999999995</v>
      </c>
      <c r="T9" s="10">
        <f t="shared" si="3"/>
        <v>0.75108534954407291</v>
      </c>
    </row>
    <row r="10" spans="1:20" ht="16.8" customHeight="1">
      <c r="A10" s="119"/>
      <c r="B10" s="120"/>
      <c r="C10" s="13" t="s">
        <v>1964</v>
      </c>
      <c r="D10" s="14"/>
      <c r="E10" s="8">
        <v>5680</v>
      </c>
      <c r="F10" s="14"/>
      <c r="G10" s="14"/>
      <c r="H10" s="9">
        <f t="shared" si="4"/>
        <v>5680</v>
      </c>
      <c r="I10" s="15"/>
      <c r="L10" s="119"/>
      <c r="M10" s="120"/>
      <c r="N10" s="13"/>
      <c r="O10" s="14"/>
      <c r="P10" s="8"/>
      <c r="Q10" s="8"/>
      <c r="R10" s="14"/>
      <c r="S10" s="9"/>
      <c r="T10" s="10"/>
    </row>
    <row r="11" spans="1:20" ht="16.8" customHeight="1">
      <c r="A11" s="119"/>
      <c r="B11" s="120"/>
      <c r="C11" s="16" t="s">
        <v>57</v>
      </c>
      <c r="D11" s="16">
        <f>SUM(D4:D10)</f>
        <v>2640000</v>
      </c>
      <c r="E11" s="16">
        <f>SUM(E4:E10)</f>
        <v>3936299.65</v>
      </c>
      <c r="F11" s="16">
        <f>SUM(F4:F10)</f>
        <v>534314.6</v>
      </c>
      <c r="G11" s="16">
        <f>SUM(G4:G7)</f>
        <v>2730</v>
      </c>
      <c r="H11" s="16">
        <f>SUM(H4:H10)</f>
        <v>3404715.05</v>
      </c>
      <c r="I11" s="15">
        <f>H11/D11</f>
        <v>1.2896647916666666</v>
      </c>
      <c r="L11" s="119"/>
      <c r="M11" s="120"/>
      <c r="N11" s="16" t="s">
        <v>57</v>
      </c>
      <c r="O11" s="16">
        <f>SUM(O4:O10)</f>
        <v>6690000</v>
      </c>
      <c r="P11" s="16">
        <f>SUM(P4:P10)</f>
        <v>7456135.5500000007</v>
      </c>
      <c r="Q11" s="16">
        <f>SUM(Q4:Q10)</f>
        <v>987873.2</v>
      </c>
      <c r="R11" s="16">
        <f>SUM(R4:R7)</f>
        <v>2730</v>
      </c>
      <c r="S11" s="16">
        <f>SUM(S4:S10)</f>
        <v>6470992.3500000006</v>
      </c>
      <c r="T11" s="15">
        <f t="shared" si="3"/>
        <v>0.96726343049327368</v>
      </c>
    </row>
    <row r="12" spans="1:20" ht="16.8" customHeight="1">
      <c r="A12" s="121"/>
      <c r="B12" s="122"/>
      <c r="L12" s="121"/>
      <c r="M12" s="122"/>
    </row>
    <row r="13" spans="1:20" ht="16.8" customHeight="1">
      <c r="N13" s="1"/>
    </row>
    <row r="14" spans="1:20" ht="16.8" customHeight="1">
      <c r="N14" s="1"/>
    </row>
    <row r="15" spans="1:20" ht="16.8" customHeight="1">
      <c r="A15" s="130" t="s">
        <v>1970</v>
      </c>
      <c r="B15" s="131"/>
      <c r="C15" s="131"/>
      <c r="D15" s="131"/>
      <c r="E15" s="131"/>
      <c r="F15" s="131"/>
      <c r="G15" s="131"/>
      <c r="H15" s="131"/>
      <c r="I15" s="132"/>
      <c r="N15" s="1"/>
    </row>
    <row r="16" spans="1:20" ht="16.8" customHeight="1">
      <c r="A16" s="138" t="s">
        <v>28</v>
      </c>
      <c r="B16" s="138" t="s">
        <v>29</v>
      </c>
      <c r="C16" s="129" t="s">
        <v>30</v>
      </c>
      <c r="D16" s="126" t="s">
        <v>31</v>
      </c>
      <c r="E16" s="127"/>
      <c r="F16" s="127"/>
      <c r="G16" s="127"/>
      <c r="H16" s="127"/>
      <c r="I16" s="128"/>
      <c r="N16" s="1"/>
    </row>
    <row r="17" spans="1:9" ht="16.8" customHeight="1">
      <c r="A17" s="139"/>
      <c r="B17" s="139"/>
      <c r="C17" s="129"/>
      <c r="D17" s="2" t="s">
        <v>35</v>
      </c>
      <c r="E17" s="3" t="s">
        <v>36</v>
      </c>
      <c r="F17" s="3" t="s">
        <v>37</v>
      </c>
      <c r="G17" s="4" t="s">
        <v>1962</v>
      </c>
      <c r="H17" s="5" t="s">
        <v>38</v>
      </c>
      <c r="I17" s="6" t="s">
        <v>39</v>
      </c>
    </row>
    <row r="18" spans="1:9" ht="16.8" customHeight="1">
      <c r="A18" s="117" t="s">
        <v>56</v>
      </c>
      <c r="B18" s="118"/>
      <c r="C18" s="7" t="s">
        <v>12</v>
      </c>
      <c r="D18" s="11">
        <v>417000</v>
      </c>
      <c r="E18" s="11">
        <v>419155</v>
      </c>
      <c r="F18" s="11">
        <v>28054.6</v>
      </c>
      <c r="G18" s="9"/>
      <c r="H18" s="9">
        <f t="shared" ref="H18:H24" si="5">E18-F18+G18</f>
        <v>391100.4</v>
      </c>
      <c r="I18" s="10">
        <f t="shared" ref="I18:I23" si="6">H18/D18</f>
        <v>0.93789064748201445</v>
      </c>
    </row>
    <row r="19" spans="1:9" ht="16.8" customHeight="1">
      <c r="A19" s="119"/>
      <c r="B19" s="120"/>
      <c r="C19" s="7" t="s">
        <v>19</v>
      </c>
      <c r="D19" s="11">
        <v>417000</v>
      </c>
      <c r="E19" s="11">
        <v>187612.5</v>
      </c>
      <c r="F19" s="11">
        <v>51200.9</v>
      </c>
      <c r="G19" s="11"/>
      <c r="H19" s="9">
        <f t="shared" si="5"/>
        <v>136411.6</v>
      </c>
      <c r="I19" s="10">
        <f t="shared" si="6"/>
        <v>0.32712613908872901</v>
      </c>
    </row>
    <row r="20" spans="1:9" ht="16.8" customHeight="1">
      <c r="A20" s="119"/>
      <c r="B20" s="120"/>
      <c r="C20" s="12" t="s">
        <v>20</v>
      </c>
      <c r="D20" s="11">
        <v>417000</v>
      </c>
      <c r="E20" s="11">
        <v>216170</v>
      </c>
      <c r="F20" s="11">
        <v>56820</v>
      </c>
      <c r="G20" s="11"/>
      <c r="H20" s="9">
        <f t="shared" si="5"/>
        <v>159350</v>
      </c>
      <c r="I20" s="10">
        <f t="shared" si="6"/>
        <v>0.38213429256594722</v>
      </c>
    </row>
    <row r="21" spans="1:9" ht="16.8" customHeight="1">
      <c r="A21" s="119"/>
      <c r="B21" s="120"/>
      <c r="C21" s="12" t="s">
        <v>21</v>
      </c>
      <c r="D21" s="11">
        <v>417000</v>
      </c>
      <c r="E21" s="11">
        <v>396955.1</v>
      </c>
      <c r="F21" s="11">
        <v>36111.300000000003</v>
      </c>
      <c r="G21" s="11"/>
      <c r="H21" s="9">
        <f t="shared" si="5"/>
        <v>360843.8</v>
      </c>
      <c r="I21" s="10">
        <f t="shared" si="6"/>
        <v>0.8653328537170264</v>
      </c>
    </row>
    <row r="22" spans="1:9" ht="16.8" customHeight="1">
      <c r="A22" s="119"/>
      <c r="B22" s="120"/>
      <c r="C22" s="12" t="s">
        <v>22</v>
      </c>
      <c r="D22" s="11">
        <v>417000</v>
      </c>
      <c r="E22" s="11">
        <v>493295.5</v>
      </c>
      <c r="F22" s="11">
        <v>23447</v>
      </c>
      <c r="G22" s="11"/>
      <c r="H22" s="9">
        <f t="shared" si="5"/>
        <v>469848.5</v>
      </c>
      <c r="I22" s="10">
        <f t="shared" si="6"/>
        <v>1.1267350119904076</v>
      </c>
    </row>
    <row r="23" spans="1:9" ht="16.8" customHeight="1">
      <c r="A23" s="119"/>
      <c r="B23" s="120"/>
      <c r="C23" s="12" t="s">
        <v>24</v>
      </c>
      <c r="D23" s="11">
        <v>315000</v>
      </c>
      <c r="E23" s="11">
        <v>223580</v>
      </c>
      <c r="F23" s="11">
        <v>66824.3</v>
      </c>
      <c r="G23" s="11"/>
      <c r="H23" s="9">
        <f t="shared" si="5"/>
        <v>156755.70000000001</v>
      </c>
      <c r="I23" s="10">
        <f t="shared" si="6"/>
        <v>0.49763714285714289</v>
      </c>
    </row>
    <row r="24" spans="1:9" ht="16.8" customHeight="1">
      <c r="A24" s="119"/>
      <c r="B24" s="120"/>
      <c r="C24" s="13" t="s">
        <v>1964</v>
      </c>
      <c r="D24" s="14"/>
      <c r="E24" s="8">
        <v>5680</v>
      </c>
      <c r="F24" s="14"/>
      <c r="G24" s="14"/>
      <c r="H24" s="9">
        <f t="shared" si="5"/>
        <v>5680</v>
      </c>
      <c r="I24" s="15"/>
    </row>
    <row r="25" spans="1:9" ht="16.8" customHeight="1">
      <c r="A25" s="121"/>
      <c r="B25" s="122"/>
      <c r="C25" s="16" t="s">
        <v>57</v>
      </c>
      <c r="D25" s="16">
        <f>SUM(D18:D24)</f>
        <v>2400000</v>
      </c>
      <c r="E25" s="16">
        <f>SUM(E18:E24)</f>
        <v>1942448.1</v>
      </c>
      <c r="F25" s="16">
        <f>SUM(F18:F24)</f>
        <v>262458.09999999998</v>
      </c>
      <c r="G25" s="16">
        <f>SUM(G18:G21)</f>
        <v>0</v>
      </c>
      <c r="H25" s="17">
        <f>H18+H19+H20+H21+H22+H23</f>
        <v>1674310</v>
      </c>
      <c r="I25" s="15">
        <f>H25/D25</f>
        <v>0.69762916666666663</v>
      </c>
    </row>
    <row r="27" spans="1:9" ht="16.8" customHeight="1">
      <c r="A27" s="130" t="s">
        <v>27</v>
      </c>
      <c r="B27" s="131"/>
      <c r="C27" s="131"/>
      <c r="D27" s="131"/>
      <c r="E27" s="131"/>
      <c r="F27" s="131"/>
      <c r="G27" s="131"/>
      <c r="H27" s="132"/>
    </row>
    <row r="28" spans="1:9" ht="16.8" customHeight="1">
      <c r="A28" s="138" t="s">
        <v>28</v>
      </c>
      <c r="B28" s="138" t="s">
        <v>29</v>
      </c>
      <c r="C28" s="129" t="s">
        <v>30</v>
      </c>
      <c r="D28" s="126" t="s">
        <v>31</v>
      </c>
      <c r="E28" s="127"/>
      <c r="F28" s="127"/>
      <c r="G28" s="127"/>
      <c r="H28" s="128"/>
    </row>
    <row r="29" spans="1:9" ht="16.8" customHeight="1">
      <c r="A29" s="139"/>
      <c r="B29" s="139"/>
      <c r="C29" s="129"/>
      <c r="D29" s="2" t="s">
        <v>35</v>
      </c>
      <c r="E29" s="3" t="s">
        <v>36</v>
      </c>
      <c r="F29" s="3" t="s">
        <v>37</v>
      </c>
      <c r="G29" s="5" t="s">
        <v>38</v>
      </c>
      <c r="H29" s="6" t="s">
        <v>39</v>
      </c>
    </row>
    <row r="30" spans="1:9" ht="16.8" customHeight="1">
      <c r="A30" s="117" t="s">
        <v>56</v>
      </c>
      <c r="B30" s="118"/>
      <c r="C30" s="7" t="s">
        <v>12</v>
      </c>
      <c r="D30" s="11">
        <v>267500</v>
      </c>
      <c r="E30" s="11">
        <v>457871.5</v>
      </c>
      <c r="F30" s="11">
        <v>108071.5</v>
      </c>
      <c r="G30" s="11">
        <v>349800</v>
      </c>
      <c r="H30" s="10">
        <f t="shared" ref="H30:H36" si="7">G30/D30</f>
        <v>1.3076635514018691</v>
      </c>
    </row>
    <row r="31" spans="1:9" ht="16.8" customHeight="1">
      <c r="A31" s="119"/>
      <c r="B31" s="120"/>
      <c r="C31" s="7" t="s">
        <v>19</v>
      </c>
      <c r="D31" s="11">
        <v>290000</v>
      </c>
      <c r="E31" s="11">
        <v>237818.15</v>
      </c>
      <c r="F31" s="11">
        <v>3223</v>
      </c>
      <c r="G31" s="11">
        <v>234595.15</v>
      </c>
      <c r="H31" s="10">
        <f t="shared" si="7"/>
        <v>0.80894879310344825</v>
      </c>
    </row>
    <row r="32" spans="1:9" ht="16.8" customHeight="1">
      <c r="A32" s="119"/>
      <c r="B32" s="120"/>
      <c r="C32" s="12" t="s">
        <v>20</v>
      </c>
      <c r="D32" s="11">
        <v>290000</v>
      </c>
      <c r="E32" s="11">
        <v>88378</v>
      </c>
      <c r="F32" s="11">
        <v>6122</v>
      </c>
      <c r="G32" s="11">
        <v>82256</v>
      </c>
      <c r="H32" s="10">
        <f t="shared" si="7"/>
        <v>0.28364137931034483</v>
      </c>
    </row>
    <row r="33" spans="1:8" ht="16.8" customHeight="1">
      <c r="A33" s="119"/>
      <c r="B33" s="120"/>
      <c r="C33" s="12" t="s">
        <v>21</v>
      </c>
      <c r="D33" s="11">
        <v>267500</v>
      </c>
      <c r="E33" s="11">
        <v>297970</v>
      </c>
      <c r="F33" s="11">
        <v>12621</v>
      </c>
      <c r="G33" s="11">
        <v>285349</v>
      </c>
      <c r="H33" s="10">
        <f t="shared" si="7"/>
        <v>1.0667252336448598</v>
      </c>
    </row>
    <row r="34" spans="1:8" ht="16.8" customHeight="1">
      <c r="A34" s="119"/>
      <c r="B34" s="120"/>
      <c r="C34" s="12" t="s">
        <v>22</v>
      </c>
      <c r="D34" s="11">
        <v>267500</v>
      </c>
      <c r="E34" s="11">
        <v>403438.15</v>
      </c>
      <c r="F34" s="11">
        <v>57371</v>
      </c>
      <c r="G34" s="11">
        <v>346067.15</v>
      </c>
      <c r="H34" s="10">
        <f t="shared" si="7"/>
        <v>1.2937089719626169</v>
      </c>
    </row>
    <row r="35" spans="1:8" ht="16.8" customHeight="1">
      <c r="A35" s="119"/>
      <c r="B35" s="120"/>
      <c r="C35" s="12" t="s">
        <v>24</v>
      </c>
      <c r="D35" s="11">
        <v>267500</v>
      </c>
      <c r="E35" s="11">
        <v>103272</v>
      </c>
      <c r="F35" s="11">
        <v>3692</v>
      </c>
      <c r="G35" s="11">
        <v>99580</v>
      </c>
      <c r="H35" s="10">
        <f t="shared" si="7"/>
        <v>0.37226168224299067</v>
      </c>
    </row>
    <row r="36" spans="1:8" ht="16.8" customHeight="1">
      <c r="A36" s="121"/>
      <c r="B36" s="122"/>
      <c r="C36" s="16" t="s">
        <v>57</v>
      </c>
      <c r="D36" s="16">
        <f>SUM(D30:D35)</f>
        <v>1650000</v>
      </c>
      <c r="E36" s="16">
        <f>SUM(E30:E35)</f>
        <v>1588747.7999999998</v>
      </c>
      <c r="F36" s="16">
        <f>SUM(F30:F35)</f>
        <v>191100.5</v>
      </c>
      <c r="G36" s="17">
        <f>G30+G31+G32+G33+G34+G35</f>
        <v>1397647.3</v>
      </c>
      <c r="H36" s="15">
        <f t="shared" si="7"/>
        <v>0.8470589696969697</v>
      </c>
    </row>
  </sheetData>
  <mergeCells count="24">
    <mergeCell ref="A30:B36"/>
    <mergeCell ref="L1:T1"/>
    <mergeCell ref="B28:B29"/>
    <mergeCell ref="O2:T2"/>
    <mergeCell ref="A4:B12"/>
    <mergeCell ref="A15:I15"/>
    <mergeCell ref="L4:M12"/>
    <mergeCell ref="B2:B3"/>
    <mergeCell ref="C2:C3"/>
    <mergeCell ref="A27:H27"/>
    <mergeCell ref="C28:C29"/>
    <mergeCell ref="A16:A17"/>
    <mergeCell ref="A1:I1"/>
    <mergeCell ref="N2:N3"/>
    <mergeCell ref="L2:L3"/>
    <mergeCell ref="A18:B25"/>
    <mergeCell ref="A2:A3"/>
    <mergeCell ref="C16:C17"/>
    <mergeCell ref="M2:M3"/>
    <mergeCell ref="D28:H28"/>
    <mergeCell ref="A28:A29"/>
    <mergeCell ref="D16:I16"/>
    <mergeCell ref="B16:B17"/>
    <mergeCell ref="D2:I2"/>
  </mergeCells>
  <phoneticPr fontId="1" type="noConversion"/>
  <conditionalFormatting sqref="H30:H36">
    <cfRule type="colorScale" priority="3">
      <colorScale>
        <cfvo type="min"/>
        <cfvo type="percentile" val="50"/>
        <cfvo type="max"/>
        <color rgb="FFF9686A"/>
        <color rgb="FFEDC97E"/>
        <color rgb="FF62BF7A"/>
      </colorScale>
    </cfRule>
    <cfRule type="colorScale" priority="4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I4:I11">
    <cfRule type="colorScale" priority="7">
      <colorScale>
        <cfvo type="min"/>
        <cfvo type="percentile" val="50"/>
        <cfvo type="max"/>
        <color rgb="FFF9686A"/>
        <color rgb="FFEDC97E"/>
        <color rgb="FF62BF7A"/>
      </colorScale>
    </cfRule>
    <cfRule type="colorScale" priority="8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I18:I25">
    <cfRule type="colorScale" priority="5">
      <colorScale>
        <cfvo type="min"/>
        <cfvo type="percentile" val="50"/>
        <cfvo type="max"/>
        <color rgb="FFF9686A"/>
        <color rgb="FFEDC97E"/>
        <color rgb="FF62BF7A"/>
      </colorScale>
    </cfRule>
    <cfRule type="colorScale" priority="6">
      <colorScale>
        <cfvo type="min"/>
        <cfvo type="percentile" val="50"/>
        <cfvo type="max"/>
        <color rgb="FFF9686A"/>
        <color rgb="FFEDC97E"/>
        <color rgb="FF62BF7A"/>
      </colorScale>
    </cfRule>
  </conditionalFormatting>
  <conditionalFormatting sqref="T4:T11">
    <cfRule type="colorScale" priority="1">
      <colorScale>
        <cfvo type="min"/>
        <cfvo type="percentile" val="50"/>
        <cfvo type="max"/>
        <color rgb="FFF9686A"/>
        <color rgb="FFEDC97E"/>
        <color rgb="FF62BF7A"/>
      </colorScale>
    </cfRule>
    <cfRule type="colorScale" priority="2">
      <colorScale>
        <cfvo type="min"/>
        <cfvo type="percentile" val="50"/>
        <cfvo type="max"/>
        <color rgb="FFF9686A"/>
        <color rgb="FFEDC97E"/>
        <color rgb="FF62BF7A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Q27"/>
  <sheetViews>
    <sheetView workbookViewId="0">
      <selection activeCell="E32" sqref="E32"/>
    </sheetView>
  </sheetViews>
  <sheetFormatPr defaultColWidth="10" defaultRowHeight="16.5" customHeight="1"/>
  <cols>
    <col min="2" max="2" width="12.6328125" customWidth="1"/>
    <col min="3" max="3" width="17.36328125" customWidth="1"/>
    <col min="4" max="4" width="21" customWidth="1"/>
    <col min="5" max="5" width="13.36328125" customWidth="1"/>
    <col min="17" max="18" width="17.1796875" customWidth="1"/>
  </cols>
  <sheetData>
    <row r="2" spans="2:17" ht="16.5" customHeight="1">
      <c r="B2" s="153" t="s">
        <v>1972</v>
      </c>
      <c r="C2" s="153"/>
      <c r="D2" s="153"/>
      <c r="E2" s="153"/>
    </row>
    <row r="3" spans="2:17" ht="16.5" customHeight="1">
      <c r="B3" s="80" t="s">
        <v>1965</v>
      </c>
      <c r="C3" s="63" t="s">
        <v>1966</v>
      </c>
      <c r="D3" s="63" t="s">
        <v>1967</v>
      </c>
      <c r="E3" s="63" t="s">
        <v>1968</v>
      </c>
    </row>
    <row r="4" spans="2:17" ht="16.5" customHeight="1">
      <c r="B4" s="80" t="s">
        <v>1969</v>
      </c>
      <c r="C4" s="63">
        <v>3120000</v>
      </c>
      <c r="D4" s="63">
        <v>3421973.95</v>
      </c>
      <c r="E4" s="81">
        <f>D4/C4</f>
        <v>1.0967865224358975</v>
      </c>
      <c r="N4" s="14"/>
      <c r="O4" s="78"/>
      <c r="Q4" s="78"/>
    </row>
    <row r="5" spans="2:17" ht="16.5" customHeight="1">
      <c r="B5" s="80" t="s">
        <v>1971</v>
      </c>
      <c r="C5" s="63">
        <v>2400000</v>
      </c>
      <c r="D5" s="63">
        <v>1674310</v>
      </c>
      <c r="E5" s="81">
        <f>D5/C5</f>
        <v>0.69762916666666663</v>
      </c>
      <c r="N5" s="78"/>
      <c r="O5" s="78"/>
      <c r="P5" s="78"/>
      <c r="Q5" s="78"/>
    </row>
    <row r="6" spans="2:17" ht="16.5" customHeight="1">
      <c r="B6" s="80" t="s">
        <v>1973</v>
      </c>
      <c r="C6" s="80">
        <f>SUM(C4:C5)</f>
        <v>5520000</v>
      </c>
      <c r="D6" s="9">
        <f>SUM(D4:D5)</f>
        <v>5096283.95</v>
      </c>
      <c r="E6" s="81">
        <f>D6/C6</f>
        <v>0.92323984601449283</v>
      </c>
      <c r="N6" s="79"/>
      <c r="O6" s="78"/>
      <c r="Q6" s="78"/>
    </row>
    <row r="9" spans="2:17" ht="16.5" customHeight="1">
      <c r="B9" s="153" t="s">
        <v>1974</v>
      </c>
      <c r="C9" s="153"/>
      <c r="D9" s="153"/>
      <c r="E9" s="153"/>
    </row>
    <row r="10" spans="2:17" ht="16.5" customHeight="1">
      <c r="B10" s="80" t="s">
        <v>1965</v>
      </c>
      <c r="C10" s="63" t="s">
        <v>1975</v>
      </c>
      <c r="D10" s="63" t="s">
        <v>1976</v>
      </c>
      <c r="E10" s="63" t="s">
        <v>44</v>
      </c>
    </row>
    <row r="11" spans="2:17" ht="16.5" customHeight="1">
      <c r="B11" s="80" t="s">
        <v>1969</v>
      </c>
      <c r="C11" s="80">
        <v>325000</v>
      </c>
      <c r="D11" s="63">
        <v>146647</v>
      </c>
      <c r="E11" s="81">
        <f>D11/C11</f>
        <v>0.45122153846153845</v>
      </c>
    </row>
    <row r="12" spans="2:17" ht="16.5" customHeight="1">
      <c r="B12" s="80" t="s">
        <v>1971</v>
      </c>
      <c r="C12" s="80">
        <v>290000</v>
      </c>
      <c r="D12" s="63">
        <v>114664</v>
      </c>
      <c r="E12" s="81">
        <f>D12/C12</f>
        <v>0.39539310344827588</v>
      </c>
    </row>
    <row r="13" spans="2:17" ht="16.5" customHeight="1">
      <c r="B13" s="80" t="s">
        <v>1973</v>
      </c>
      <c r="C13" s="80">
        <f>SUM(C11:C12)</f>
        <v>615000</v>
      </c>
      <c r="D13" s="9">
        <f>SUM(D11:D12)</f>
        <v>261311</v>
      </c>
      <c r="E13" s="81">
        <f>D13/C13</f>
        <v>0.42489593495934957</v>
      </c>
    </row>
    <row r="16" spans="2:17" ht="16.5" customHeight="1">
      <c r="B16" s="153" t="s">
        <v>1977</v>
      </c>
      <c r="C16" s="153"/>
      <c r="D16" s="153"/>
      <c r="E16" s="153"/>
    </row>
    <row r="17" spans="2:7" ht="16.5" customHeight="1">
      <c r="B17" s="80" t="s">
        <v>1965</v>
      </c>
      <c r="C17" s="80" t="s">
        <v>1978</v>
      </c>
      <c r="D17" s="80" t="s">
        <v>1979</v>
      </c>
      <c r="E17" s="80" t="s">
        <v>1980</v>
      </c>
    </row>
    <row r="18" spans="2:7" ht="16.5" customHeight="1">
      <c r="B18" s="80" t="s">
        <v>1969</v>
      </c>
      <c r="C18" s="80">
        <v>1345</v>
      </c>
      <c r="D18" s="80">
        <v>309</v>
      </c>
      <c r="E18" s="82">
        <f>D18/C18</f>
        <v>0.22973977695167286</v>
      </c>
    </row>
    <row r="19" spans="2:7" ht="16.5" customHeight="1">
      <c r="B19" s="80" t="s">
        <v>1971</v>
      </c>
      <c r="C19" s="80">
        <v>716</v>
      </c>
      <c r="D19" s="80">
        <v>167</v>
      </c>
      <c r="E19" s="82">
        <f>D19/C19</f>
        <v>0.23324022346368714</v>
      </c>
    </row>
    <row r="20" spans="2:7" ht="16.5" customHeight="1">
      <c r="B20" s="80" t="s">
        <v>1973</v>
      </c>
      <c r="C20" s="80">
        <f>SUM(C18:C19)</f>
        <v>2061</v>
      </c>
      <c r="D20" s="80">
        <f>SUM(D18:D19)</f>
        <v>476</v>
      </c>
      <c r="E20" s="82">
        <f>D20/C20</f>
        <v>0.2309558466763707</v>
      </c>
    </row>
    <row r="23" spans="2:7" ht="16.5" customHeight="1">
      <c r="B23" s="80" t="s">
        <v>1981</v>
      </c>
      <c r="C23" s="80" t="s">
        <v>67</v>
      </c>
      <c r="D23" s="80" t="s">
        <v>1982</v>
      </c>
      <c r="E23" s="80" t="s">
        <v>1983</v>
      </c>
      <c r="F23" s="80" t="s">
        <v>69</v>
      </c>
      <c r="G23" s="80" t="s">
        <v>70</v>
      </c>
    </row>
    <row r="24" spans="2:7" ht="16.5" customHeight="1">
      <c r="B24" s="80" t="s">
        <v>1984</v>
      </c>
      <c r="C24" s="14">
        <v>5520000</v>
      </c>
      <c r="D24" s="82">
        <v>0.5</v>
      </c>
      <c r="E24" s="80">
        <v>5096284</v>
      </c>
      <c r="F24" s="82">
        <f>E24/C24</f>
        <v>0.92323985507246376</v>
      </c>
      <c r="G24" s="80">
        <v>34</v>
      </c>
    </row>
    <row r="25" spans="2:7" ht="16.5" customHeight="1">
      <c r="B25" s="80" t="s">
        <v>1985</v>
      </c>
      <c r="C25" s="82">
        <v>0.28999999999999998</v>
      </c>
      <c r="D25" s="82">
        <v>0.3</v>
      </c>
      <c r="E25" s="82">
        <v>0.23</v>
      </c>
      <c r="F25" s="82">
        <v>0.79</v>
      </c>
      <c r="G25" s="80">
        <v>12</v>
      </c>
    </row>
    <row r="26" spans="2:7" ht="16.5" customHeight="1">
      <c r="B26" s="80" t="s">
        <v>1986</v>
      </c>
      <c r="C26" s="80">
        <v>615000</v>
      </c>
      <c r="D26" s="82">
        <v>0.2</v>
      </c>
      <c r="E26" s="80">
        <v>210504</v>
      </c>
      <c r="F26" s="82">
        <f>E26/C26</f>
        <v>0.34228292682926831</v>
      </c>
      <c r="G26" s="80">
        <v>0</v>
      </c>
    </row>
    <row r="27" spans="2:7" ht="16.5" customHeight="1">
      <c r="B27" s="154" t="s">
        <v>1973</v>
      </c>
      <c r="C27" s="155"/>
      <c r="D27" s="155"/>
      <c r="E27" s="155"/>
      <c r="F27" s="156"/>
      <c r="G27" s="80">
        <f>SUM(G24:G26)</f>
        <v>46</v>
      </c>
    </row>
  </sheetData>
  <mergeCells count="4">
    <mergeCell ref="B2:E2"/>
    <mergeCell ref="B9:E9"/>
    <mergeCell ref="B16:E16"/>
    <mergeCell ref="B27:F2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3</vt:i4>
      </vt:variant>
    </vt:vector>
  </HeadingPairs>
  <TitlesOfParts>
    <vt:vector size="13" baseType="lpstr">
      <vt:lpstr>业绩奖金</vt:lpstr>
      <vt:lpstr>业绩核算明细</vt:lpstr>
      <vt:lpstr>12月绩效</vt:lpstr>
      <vt:lpstr>转介绍金额和人头</vt:lpstr>
      <vt:lpstr>四六级进账</vt:lpstr>
      <vt:lpstr>无考研退费</vt:lpstr>
      <vt:lpstr>考研进账</vt:lpstr>
      <vt:lpstr>四六级退费合计</vt:lpstr>
      <vt:lpstr>q2绩效</vt:lpstr>
      <vt:lpstr>刘文君q2季度绩效</vt:lpstr>
      <vt:lpstr>考研进账!_FilterDatabase</vt:lpstr>
      <vt:lpstr>四六级进账!_FilterDatabase</vt:lpstr>
      <vt:lpstr>四六级退费合计!_FilterDatabase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</cp:lastModifiedBy>
  <dcterms:created xsi:type="dcterms:W3CDTF">2006-09-16T00:00:00Z</dcterms:created>
  <dcterms:modified xsi:type="dcterms:W3CDTF">2026-01-07T02:26:50Z</dcterms:modified>
</cp:coreProperties>
</file>